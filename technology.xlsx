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36F419BD-B60B-4B07-945F-E1651FDB9AEA}" xr6:coauthVersionLast="36" xr6:coauthVersionMax="36" xr10:uidLastSave="{00000000-0000-0000-0000-000000000000}"/>
  <bookViews>
    <workbookView xWindow="0" yWindow="0" windowWidth="19200" windowHeight="6930" activeTab="4" xr2:uid="{D746D7D5-B0A8-4858-AD5A-93AA09E65399}"/>
  </bookViews>
  <sheets>
    <sheet name="id_tech" sheetId="2" r:id="rId1"/>
    <sheet name="tech" sheetId="1" r:id="rId2"/>
    <sheet name="Feuil6" sheetId="6" r:id="rId3"/>
    <sheet name="coproduct" sheetId="3" r:id="rId4"/>
    <sheet name="subs_ratio" sheetId="4" r:id="rId5"/>
    <sheet name="conv_prod_impact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6" l="1"/>
  <c r="I7" i="6"/>
  <c r="H7" i="6"/>
  <c r="G7" i="6"/>
  <c r="F7" i="6"/>
  <c r="I6" i="6"/>
  <c r="H4" i="6"/>
  <c r="H6" i="6"/>
  <c r="F6" i="6"/>
  <c r="I5" i="6"/>
  <c r="H5" i="6"/>
  <c r="H3" i="6"/>
  <c r="G5" i="6"/>
  <c r="G3" i="6"/>
  <c r="F5" i="6"/>
  <c r="F3" i="6"/>
  <c r="F4" i="6"/>
  <c r="H2" i="6"/>
  <c r="F2" i="6"/>
  <c r="I2" i="6" s="1"/>
  <c r="E15" i="1"/>
  <c r="E16" i="1"/>
  <c r="I4" i="6" l="1"/>
  <c r="I3" i="6"/>
</calcChain>
</file>

<file path=xl/sharedStrings.xml><?xml version="1.0" encoding="utf-8"?>
<sst xmlns="http://schemas.openxmlformats.org/spreadsheetml/2006/main" count="127" uniqueCount="58">
  <si>
    <t>HC</t>
  </si>
  <si>
    <t>CC</t>
  </si>
  <si>
    <t>IC</t>
  </si>
  <si>
    <t>Home Composting</t>
  </si>
  <si>
    <t>Community composting</t>
  </si>
  <si>
    <t>Industrial composting</t>
  </si>
  <si>
    <t>GHG</t>
  </si>
  <si>
    <t>l.b</t>
  </si>
  <si>
    <t>u.b</t>
  </si>
  <si>
    <t>t/y</t>
  </si>
  <si>
    <t>(kgCO2.Eq/t)</t>
  </si>
  <si>
    <t>Symbol</t>
  </si>
  <si>
    <t>name</t>
  </si>
  <si>
    <t>Centralized anaerobic digestion + CHP</t>
  </si>
  <si>
    <t>Coproduct</t>
  </si>
  <si>
    <t>compost</t>
  </si>
  <si>
    <t>heat, electricity, digestate</t>
  </si>
  <si>
    <t>Centralized anaerobic digestion + CHP + composting</t>
  </si>
  <si>
    <t>heat, electricity, compost</t>
  </si>
  <si>
    <t>Centralized anaerobic digestion + upgrading</t>
  </si>
  <si>
    <t>biomethane, digestate</t>
  </si>
  <si>
    <t>Centralized anaerobic digestion + upgrading +composting</t>
  </si>
  <si>
    <t>biomethane, compost</t>
  </si>
  <si>
    <t>AD-a</t>
  </si>
  <si>
    <t>AD-b</t>
  </si>
  <si>
    <t>AD-c</t>
  </si>
  <si>
    <t>AD-d</t>
  </si>
  <si>
    <t>AD-e</t>
  </si>
  <si>
    <t>AD-f</t>
  </si>
  <si>
    <t>Centralized anaerobic digestion + combustion</t>
  </si>
  <si>
    <t>heat, digestate</t>
  </si>
  <si>
    <t>Centralized anaerobic digestion + combustion +composting</t>
  </si>
  <si>
    <t>Decentralized</t>
  </si>
  <si>
    <t>Centralized</t>
  </si>
  <si>
    <t>Type</t>
  </si>
  <si>
    <t>Comp</t>
  </si>
  <si>
    <t>Dig</t>
  </si>
  <si>
    <t>Heat</t>
  </si>
  <si>
    <t>Elect</t>
  </si>
  <si>
    <t>CH4</t>
  </si>
  <si>
    <t>Unit</t>
  </si>
  <si>
    <t>t/t</t>
  </si>
  <si>
    <t>kWh/t</t>
  </si>
  <si>
    <t>Fertilizer</t>
  </si>
  <si>
    <t>Elec</t>
  </si>
  <si>
    <t>natural_gas</t>
  </si>
  <si>
    <t>kgCO2/t</t>
  </si>
  <si>
    <t>kgCO2/kWh</t>
  </si>
  <si>
    <t>Co-product</t>
  </si>
  <si>
    <t>Conventional product</t>
  </si>
  <si>
    <t>A</t>
  </si>
  <si>
    <t>technology</t>
  </si>
  <si>
    <t>transport</t>
  </si>
  <si>
    <t>sub</t>
  </si>
  <si>
    <t>Total</t>
  </si>
  <si>
    <t>B</t>
  </si>
  <si>
    <t>Home</t>
  </si>
  <si>
    <t>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</si>
</sst>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rri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n"/>
      <sheetName val="waste_gen"/>
      <sheetName val="site"/>
      <sheetName val="dist"/>
      <sheetName val="market"/>
    </sheetNames>
    <sheetDataSet>
      <sheetData sheetId="0"/>
      <sheetData sheetId="1"/>
      <sheetData sheetId="2"/>
      <sheetData sheetId="3">
        <row r="2">
          <cell r="B2">
            <v>10</v>
          </cell>
        </row>
        <row r="3">
          <cell r="B3">
            <v>10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10"/>
  <sheetViews>
    <sheetView workbookViewId="0">
      <selection activeCell="B3" sqref="B3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11</v>
      </c>
      <c r="B1" t="s">
        <v>34</v>
      </c>
      <c r="C1" t="s">
        <v>12</v>
      </c>
    </row>
    <row r="2" spans="1:3" x14ac:dyDescent="0.35">
      <c r="A2" t="s">
        <v>0</v>
      </c>
      <c r="B2" t="s">
        <v>32</v>
      </c>
      <c r="C2" t="s">
        <v>3</v>
      </c>
    </row>
    <row r="3" spans="1:3" x14ac:dyDescent="0.35">
      <c r="A3" t="s">
        <v>1</v>
      </c>
      <c r="B3" t="s">
        <v>32</v>
      </c>
      <c r="C3" t="s">
        <v>4</v>
      </c>
    </row>
    <row r="4" spans="1:3" x14ac:dyDescent="0.35">
      <c r="A4" t="s">
        <v>2</v>
      </c>
      <c r="B4" t="s">
        <v>33</v>
      </c>
      <c r="C4" t="s">
        <v>5</v>
      </c>
    </row>
    <row r="5" spans="1:3" x14ac:dyDescent="0.35">
      <c r="A5" t="s">
        <v>23</v>
      </c>
      <c r="B5" t="s">
        <v>33</v>
      </c>
      <c r="C5" t="s">
        <v>13</v>
      </c>
    </row>
    <row r="6" spans="1:3" x14ac:dyDescent="0.35">
      <c r="A6" t="s">
        <v>24</v>
      </c>
      <c r="B6" t="s">
        <v>33</v>
      </c>
      <c r="C6" t="s">
        <v>17</v>
      </c>
    </row>
    <row r="7" spans="1:3" x14ac:dyDescent="0.35">
      <c r="A7" t="s">
        <v>25</v>
      </c>
      <c r="B7" t="s">
        <v>33</v>
      </c>
      <c r="C7" t="s">
        <v>19</v>
      </c>
    </row>
    <row r="8" spans="1:3" x14ac:dyDescent="0.35">
      <c r="A8" t="s">
        <v>26</v>
      </c>
      <c r="B8" t="s">
        <v>33</v>
      </c>
      <c r="C8" t="s">
        <v>21</v>
      </c>
    </row>
    <row r="9" spans="1:3" x14ac:dyDescent="0.35">
      <c r="A9" t="s">
        <v>27</v>
      </c>
      <c r="B9" t="s">
        <v>33</v>
      </c>
      <c r="C9" t="s">
        <v>29</v>
      </c>
    </row>
    <row r="10" spans="1:3" x14ac:dyDescent="0.35">
      <c r="A10" t="s">
        <v>28</v>
      </c>
      <c r="B10" t="s">
        <v>33</v>
      </c>
      <c r="C1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J16"/>
  <sheetViews>
    <sheetView workbookViewId="0">
      <selection activeCell="D4" sqref="D4"/>
    </sheetView>
  </sheetViews>
  <sheetFormatPr baseColWidth="10" defaultRowHeight="14.5" x14ac:dyDescent="0.35"/>
  <cols>
    <col min="9" max="9" width="51.36328125" customWidth="1"/>
    <col min="10" max="10" width="33.54296875" customWidth="1"/>
  </cols>
  <sheetData>
    <row r="1" spans="1:10" x14ac:dyDescent="0.35">
      <c r="B1" t="s">
        <v>6</v>
      </c>
      <c r="C1" t="s">
        <v>7</v>
      </c>
      <c r="D1" t="s">
        <v>8</v>
      </c>
      <c r="J1" t="s">
        <v>14</v>
      </c>
    </row>
    <row r="2" spans="1:10" x14ac:dyDescent="0.35">
      <c r="A2" t="s">
        <v>0</v>
      </c>
      <c r="B2">
        <v>1200</v>
      </c>
      <c r="H2" t="s">
        <v>0</v>
      </c>
      <c r="I2" t="s">
        <v>3</v>
      </c>
      <c r="J2" t="s">
        <v>15</v>
      </c>
    </row>
    <row r="3" spans="1:10" x14ac:dyDescent="0.35">
      <c r="A3" t="s">
        <v>1</v>
      </c>
      <c r="B3">
        <v>1700</v>
      </c>
      <c r="H3" t="s">
        <v>1</v>
      </c>
      <c r="I3" t="s">
        <v>4</v>
      </c>
      <c r="J3" t="s">
        <v>15</v>
      </c>
    </row>
    <row r="4" spans="1:10" x14ac:dyDescent="0.35">
      <c r="A4" t="s">
        <v>2</v>
      </c>
      <c r="B4">
        <v>1500</v>
      </c>
      <c r="C4">
        <v>500</v>
      </c>
      <c r="D4">
        <v>1000</v>
      </c>
      <c r="H4" t="s">
        <v>2</v>
      </c>
      <c r="I4" t="s">
        <v>5</v>
      </c>
      <c r="J4" t="s">
        <v>15</v>
      </c>
    </row>
    <row r="5" spans="1:10" x14ac:dyDescent="0.35">
      <c r="A5" t="s">
        <v>23</v>
      </c>
      <c r="B5">
        <v>1400</v>
      </c>
      <c r="C5">
        <v>600</v>
      </c>
      <c r="D5">
        <v>1200</v>
      </c>
      <c r="H5" t="s">
        <v>23</v>
      </c>
      <c r="I5" t="s">
        <v>13</v>
      </c>
      <c r="J5" t="s">
        <v>16</v>
      </c>
    </row>
    <row r="6" spans="1:10" x14ac:dyDescent="0.35">
      <c r="A6" t="s">
        <v>24</v>
      </c>
      <c r="B6">
        <v>1300</v>
      </c>
      <c r="C6">
        <v>600</v>
      </c>
      <c r="D6">
        <v>1200</v>
      </c>
      <c r="H6" t="s">
        <v>24</v>
      </c>
      <c r="I6" t="s">
        <v>17</v>
      </c>
      <c r="J6" t="s">
        <v>18</v>
      </c>
    </row>
    <row r="7" spans="1:10" x14ac:dyDescent="0.35">
      <c r="A7" t="s">
        <v>25</v>
      </c>
      <c r="B7">
        <v>1750</v>
      </c>
      <c r="C7">
        <v>600</v>
      </c>
      <c r="D7">
        <v>1200</v>
      </c>
      <c r="H7" t="s">
        <v>25</v>
      </c>
      <c r="I7" t="s">
        <v>19</v>
      </c>
      <c r="J7" t="s">
        <v>20</v>
      </c>
    </row>
    <row r="8" spans="1:10" x14ac:dyDescent="0.35">
      <c r="A8" t="s">
        <v>26</v>
      </c>
      <c r="B8">
        <v>1350</v>
      </c>
      <c r="C8">
        <v>600</v>
      </c>
      <c r="D8">
        <v>1200</v>
      </c>
      <c r="H8" t="s">
        <v>26</v>
      </c>
      <c r="I8" t="s">
        <v>21</v>
      </c>
      <c r="J8" t="s">
        <v>22</v>
      </c>
    </row>
    <row r="9" spans="1:10" x14ac:dyDescent="0.35">
      <c r="A9" t="s">
        <v>27</v>
      </c>
      <c r="B9">
        <v>1630</v>
      </c>
      <c r="C9">
        <v>600</v>
      </c>
      <c r="D9">
        <v>1200</v>
      </c>
      <c r="H9" t="s">
        <v>27</v>
      </c>
      <c r="I9" t="s">
        <v>29</v>
      </c>
      <c r="J9" t="s">
        <v>30</v>
      </c>
    </row>
    <row r="10" spans="1:10" x14ac:dyDescent="0.35">
      <c r="A10" t="s">
        <v>28</v>
      </c>
      <c r="B10">
        <v>1800</v>
      </c>
      <c r="C10">
        <v>600</v>
      </c>
      <c r="D10">
        <v>1200</v>
      </c>
      <c r="H10" t="s">
        <v>28</v>
      </c>
      <c r="I10" t="s">
        <v>31</v>
      </c>
      <c r="J10" t="s">
        <v>30</v>
      </c>
    </row>
    <row r="12" spans="1:10" x14ac:dyDescent="0.35">
      <c r="B12" t="s">
        <v>10</v>
      </c>
      <c r="C12" t="s">
        <v>9</v>
      </c>
      <c r="D12" t="s">
        <v>9</v>
      </c>
    </row>
    <row r="15" spans="1:10" x14ac:dyDescent="0.35">
      <c r="E15">
        <f>(300+1000+700)*(30+40+25)*0.2</f>
        <v>38000</v>
      </c>
    </row>
    <row r="16" spans="1:10" x14ac:dyDescent="0.35">
      <c r="E16" s="1">
        <f>2460000+E15</f>
        <v>2498000</v>
      </c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B326-28D7-424B-88BE-3F27C3E2D5BB}">
  <dimension ref="D1:I8"/>
  <sheetViews>
    <sheetView workbookViewId="0">
      <selection activeCell="I9" sqref="I9"/>
    </sheetView>
  </sheetViews>
  <sheetFormatPr baseColWidth="10" defaultRowHeight="14.5" x14ac:dyDescent="0.35"/>
  <sheetData>
    <row r="1" spans="4:9" x14ac:dyDescent="0.35">
      <c r="F1" t="s">
        <v>51</v>
      </c>
      <c r="G1" t="s">
        <v>52</v>
      </c>
      <c r="H1" t="s">
        <v>53</v>
      </c>
      <c r="I1" t="s">
        <v>54</v>
      </c>
    </row>
    <row r="2" spans="4:9" x14ac:dyDescent="0.35">
      <c r="D2" t="s">
        <v>50</v>
      </c>
      <c r="E2" t="s">
        <v>56</v>
      </c>
      <c r="F2">
        <f>100*tech!B2</f>
        <v>120000</v>
      </c>
      <c r="G2">
        <v>0</v>
      </c>
      <c r="H2">
        <f>100*coproduct!B2*subs_ratio!B2*conv_prod_impact!B2</f>
        <v>600000</v>
      </c>
      <c r="I2">
        <f>F2-H2</f>
        <v>-480000</v>
      </c>
    </row>
    <row r="3" spans="4:9" x14ac:dyDescent="0.35">
      <c r="E3" t="s">
        <v>57</v>
      </c>
      <c r="F3">
        <f>200*tech!B4</f>
        <v>300000</v>
      </c>
      <c r="G3">
        <f>200*[1]dist!$B$2*0.2</f>
        <v>400</v>
      </c>
      <c r="H3">
        <f>200*coproduct!D2*subs_ratio!B2*conv_prod_impact!B2</f>
        <v>2000000</v>
      </c>
      <c r="I3">
        <f>F3+G3-H3</f>
        <v>-1699600</v>
      </c>
    </row>
    <row r="4" spans="4:9" x14ac:dyDescent="0.35">
      <c r="D4" t="s">
        <v>55</v>
      </c>
      <c r="E4" t="s">
        <v>56</v>
      </c>
      <c r="F4">
        <f>800*tech!B2</f>
        <v>960000</v>
      </c>
      <c r="G4">
        <v>0</v>
      </c>
      <c r="H4">
        <f>800*coproduct!B2*subs_ratio!B2*conv_prod_impact!B2</f>
        <v>4800000</v>
      </c>
      <c r="I4">
        <f>F4+G4-H4</f>
        <v>-3840000</v>
      </c>
    </row>
    <row r="5" spans="4:9" x14ac:dyDescent="0.35">
      <c r="E5" t="s">
        <v>57</v>
      </c>
      <c r="F5">
        <f>200*tech!B4</f>
        <v>300000</v>
      </c>
      <c r="G5">
        <f>200*[1]dist!$B$3*0.2</f>
        <v>400</v>
      </c>
      <c r="H5">
        <f>200*coproduct!D2*subs_ratio!B2*conv_prod_impact!B2</f>
        <v>2000000</v>
      </c>
      <c r="I5">
        <f>F5+G5-H5</f>
        <v>-1699600</v>
      </c>
    </row>
    <row r="6" spans="4:9" x14ac:dyDescent="0.35">
      <c r="D6" t="s">
        <v>55</v>
      </c>
      <c r="E6" t="s">
        <v>56</v>
      </c>
      <c r="F6">
        <f>600*tech!B2</f>
        <v>720000</v>
      </c>
      <c r="G6">
        <v>0</v>
      </c>
      <c r="H6">
        <f>600*coproduct!B2*subs_ratio!B2*conv_prod_impact!B2</f>
        <v>3600000</v>
      </c>
      <c r="I6">
        <f>F6+G6-H6</f>
        <v>-2880000</v>
      </c>
    </row>
    <row r="7" spans="4:9" x14ac:dyDescent="0.35">
      <c r="E7" t="s">
        <v>57</v>
      </c>
      <c r="F7">
        <f>100*tech!B4</f>
        <v>150000</v>
      </c>
      <c r="G7">
        <f>G5</f>
        <v>400</v>
      </c>
      <c r="H7">
        <f>100*coproduct!D2*subs_ratio!B2*conv_prod_impact!B2</f>
        <v>1000000</v>
      </c>
      <c r="I7">
        <f>F7+G7-H7</f>
        <v>-849600</v>
      </c>
    </row>
    <row r="8" spans="4:9" x14ac:dyDescent="0.35">
      <c r="I8">
        <f>SUM(I2:I7)</f>
        <v>-11448800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L6"/>
  <sheetViews>
    <sheetView workbookViewId="0">
      <selection activeCell="G13" sqref="G13"/>
    </sheetView>
  </sheetViews>
  <sheetFormatPr baseColWidth="10" defaultRowHeight="14.5" x14ac:dyDescent="0.35"/>
  <cols>
    <col min="1" max="1" width="13.453125" customWidth="1"/>
  </cols>
  <sheetData>
    <row r="1" spans="1:12" x14ac:dyDescent="0.35">
      <c r="A1" t="s">
        <v>48</v>
      </c>
      <c r="B1" t="s">
        <v>0</v>
      </c>
      <c r="C1" t="s">
        <v>1</v>
      </c>
      <c r="D1" t="s">
        <v>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L1" t="s">
        <v>40</v>
      </c>
    </row>
    <row r="2" spans="1:12" x14ac:dyDescent="0.35">
      <c r="A2" t="s">
        <v>35</v>
      </c>
      <c r="B2">
        <v>30</v>
      </c>
      <c r="C2">
        <v>30</v>
      </c>
      <c r="D2">
        <v>50</v>
      </c>
      <c r="E2">
        <v>0</v>
      </c>
      <c r="F2">
        <v>10</v>
      </c>
      <c r="G2">
        <v>0</v>
      </c>
      <c r="H2">
        <v>10</v>
      </c>
      <c r="I2">
        <v>0</v>
      </c>
      <c r="J2">
        <v>10</v>
      </c>
      <c r="L2" t="s">
        <v>41</v>
      </c>
    </row>
    <row r="3" spans="1:12" x14ac:dyDescent="0.35">
      <c r="A3" t="s">
        <v>36</v>
      </c>
      <c r="B3">
        <v>0</v>
      </c>
      <c r="C3">
        <v>0</v>
      </c>
      <c r="D3">
        <v>0</v>
      </c>
      <c r="E3">
        <v>15</v>
      </c>
      <c r="F3">
        <v>0</v>
      </c>
      <c r="G3">
        <v>15</v>
      </c>
      <c r="H3">
        <v>0</v>
      </c>
      <c r="I3">
        <v>15</v>
      </c>
      <c r="J3">
        <v>0</v>
      </c>
      <c r="L3" t="s">
        <v>41</v>
      </c>
    </row>
    <row r="4" spans="1:12" x14ac:dyDescent="0.35">
      <c r="A4" t="s">
        <v>37</v>
      </c>
      <c r="B4">
        <v>0</v>
      </c>
      <c r="C4">
        <v>0</v>
      </c>
      <c r="D4">
        <v>0</v>
      </c>
      <c r="E4">
        <v>41</v>
      </c>
      <c r="F4">
        <v>41</v>
      </c>
      <c r="G4">
        <v>0</v>
      </c>
      <c r="H4">
        <v>0</v>
      </c>
      <c r="I4">
        <v>45</v>
      </c>
      <c r="J4">
        <v>45</v>
      </c>
      <c r="L4" t="s">
        <v>42</v>
      </c>
    </row>
    <row r="5" spans="1:12" x14ac:dyDescent="0.35">
      <c r="A5" t="s">
        <v>38</v>
      </c>
      <c r="B5">
        <v>0</v>
      </c>
      <c r="C5">
        <v>0</v>
      </c>
      <c r="D5">
        <v>0</v>
      </c>
      <c r="E5">
        <v>29</v>
      </c>
      <c r="F5">
        <v>29</v>
      </c>
      <c r="G5">
        <v>0</v>
      </c>
      <c r="H5">
        <v>0</v>
      </c>
      <c r="I5">
        <v>0</v>
      </c>
      <c r="J5">
        <v>0</v>
      </c>
      <c r="L5" t="s">
        <v>42</v>
      </c>
    </row>
    <row r="6" spans="1:12" x14ac:dyDescent="0.35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30</v>
      </c>
      <c r="H6">
        <v>30</v>
      </c>
      <c r="I6">
        <v>0</v>
      </c>
      <c r="J6">
        <v>0</v>
      </c>
      <c r="L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F5"/>
  <sheetViews>
    <sheetView tabSelected="1" workbookViewId="0">
      <selection activeCell="I9" sqref="I9"/>
    </sheetView>
  </sheetViews>
  <sheetFormatPr baseColWidth="10" defaultRowHeight="14.5" x14ac:dyDescent="0.35"/>
  <cols>
    <col min="1" max="1" width="24.90625" customWidth="1"/>
  </cols>
  <sheetData>
    <row r="1" spans="1:6" x14ac:dyDescent="0.35">
      <c r="A1" t="s">
        <v>49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35">
      <c r="A2" t="s">
        <v>43</v>
      </c>
      <c r="B2">
        <v>1</v>
      </c>
      <c r="C2">
        <v>1</v>
      </c>
      <c r="D2">
        <v>0</v>
      </c>
      <c r="E2">
        <v>0</v>
      </c>
      <c r="F2">
        <v>0</v>
      </c>
    </row>
    <row r="3" spans="1:6" x14ac:dyDescent="0.35">
      <c r="A3" t="s">
        <v>37</v>
      </c>
      <c r="B3">
        <v>0</v>
      </c>
      <c r="C3">
        <v>0</v>
      </c>
      <c r="D3">
        <v>1</v>
      </c>
      <c r="E3">
        <v>0</v>
      </c>
      <c r="F3">
        <v>0</v>
      </c>
    </row>
    <row r="4" spans="1:6" x14ac:dyDescent="0.35">
      <c r="A4" t="s">
        <v>44</v>
      </c>
      <c r="B4">
        <v>0</v>
      </c>
      <c r="C4">
        <v>0</v>
      </c>
      <c r="D4">
        <v>0</v>
      </c>
      <c r="E4">
        <v>1</v>
      </c>
      <c r="F4">
        <v>0</v>
      </c>
    </row>
    <row r="5" spans="1:6" x14ac:dyDescent="0.35">
      <c r="A5" t="s">
        <v>45</v>
      </c>
      <c r="B5">
        <v>0</v>
      </c>
      <c r="C5">
        <v>0</v>
      </c>
      <c r="D5">
        <v>0</v>
      </c>
      <c r="E5">
        <v>0</v>
      </c>
      <c r="F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D246-4F1C-42C3-89B4-E352479F0DBF}">
  <dimension ref="A1:C5"/>
  <sheetViews>
    <sheetView workbookViewId="0">
      <selection activeCell="B2" sqref="B2"/>
    </sheetView>
  </sheetViews>
  <sheetFormatPr baseColWidth="10" defaultRowHeight="14.5" x14ac:dyDescent="0.35"/>
  <cols>
    <col min="2" max="2" width="12.1796875" customWidth="1"/>
  </cols>
  <sheetData>
    <row r="1" spans="1:3" x14ac:dyDescent="0.35">
      <c r="B1" t="s">
        <v>6</v>
      </c>
      <c r="C1" t="s">
        <v>40</v>
      </c>
    </row>
    <row r="2" spans="1:3" x14ac:dyDescent="0.35">
      <c r="A2" t="s">
        <v>43</v>
      </c>
      <c r="B2">
        <v>200</v>
      </c>
      <c r="C2" t="s">
        <v>46</v>
      </c>
    </row>
    <row r="3" spans="1:3" x14ac:dyDescent="0.35">
      <c r="A3" t="s">
        <v>37</v>
      </c>
      <c r="B3">
        <v>15</v>
      </c>
      <c r="C3" t="s">
        <v>47</v>
      </c>
    </row>
    <row r="4" spans="1:3" x14ac:dyDescent="0.35">
      <c r="A4" t="s">
        <v>44</v>
      </c>
      <c r="B4">
        <v>30</v>
      </c>
      <c r="C4" t="s">
        <v>47</v>
      </c>
    </row>
    <row r="5" spans="1:3" x14ac:dyDescent="0.35">
      <c r="A5" t="s">
        <v>45</v>
      </c>
      <c r="B5">
        <v>60</v>
      </c>
      <c r="C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id_tech</vt:lpstr>
      <vt:lpstr>tech</vt:lpstr>
      <vt:lpstr>Feuil6</vt:lpstr>
      <vt:lpstr>coproduct</vt:lpstr>
      <vt:lpstr>subs_ratio</vt:lpstr>
      <vt:lpstr>conv_prod_impact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2025-06-27T12:48:45Z</dcterms:modified>
</cp:coreProperties>
</file>