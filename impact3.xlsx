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"/>
    </mc:Choice>
  </mc:AlternateContent>
  <xr:revisionPtr revIDLastSave="0" documentId="13_ncr:1_{1666B2EB-A74D-4F3E-8FB0-189EECE62E02}" xr6:coauthVersionLast="36" xr6:coauthVersionMax="36" xr10:uidLastSave="{00000000-0000-0000-0000-000000000000}"/>
  <bookViews>
    <workbookView xWindow="0" yWindow="0" windowWidth="19200" windowHeight="6640" xr2:uid="{9F4004D4-A1D9-4A72-950D-807AD9ECE5A0}"/>
  </bookViews>
  <sheets>
    <sheet name="Feuil1" sheetId="1" r:id="rId1"/>
    <sheet name="Feuil2" sheetId="2" r:id="rId2"/>
  </sheets>
  <externalReferences>
    <externalReference r:id="rId3"/>
  </externalReference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" i="1" l="1"/>
  <c r="C10" i="1"/>
  <c r="D8" i="1"/>
  <c r="D9" i="1"/>
  <c r="C9" i="1"/>
  <c r="C8" i="1"/>
  <c r="D7" i="1"/>
  <c r="C7" i="1"/>
  <c r="D6" i="1"/>
  <c r="C6" i="1"/>
  <c r="C28" i="1"/>
  <c r="C27" i="1"/>
  <c r="D25" i="1"/>
  <c r="C25" i="1"/>
  <c r="D24" i="1"/>
  <c r="C24" i="1"/>
  <c r="D23" i="1"/>
  <c r="C23" i="1"/>
  <c r="D22" i="1"/>
  <c r="C22" i="1"/>
  <c r="D21" i="1"/>
  <c r="C21" i="1"/>
  <c r="D20" i="1"/>
  <c r="C20" i="1"/>
  <c r="D19" i="1"/>
  <c r="C19" i="1"/>
</calcChain>
</file>

<file path=xl/sharedStrings.xml><?xml version="1.0" encoding="utf-8"?>
<sst xmlns="http://schemas.openxmlformats.org/spreadsheetml/2006/main" count="72" uniqueCount="44">
  <si>
    <t>Process</t>
  </si>
  <si>
    <t>Unit reference</t>
  </si>
  <si>
    <t>Carbon</t>
  </si>
  <si>
    <t>Water</t>
  </si>
  <si>
    <t>tkm</t>
  </si>
  <si>
    <t>Waste transport, truck</t>
  </si>
  <si>
    <t>Treatment technologies</t>
  </si>
  <si>
    <t>AD-a</t>
  </si>
  <si>
    <t>AD-b</t>
  </si>
  <si>
    <t>HC</t>
  </si>
  <si>
    <t>IC</t>
  </si>
  <si>
    <t>Transport of coproduct</t>
  </si>
  <si>
    <t>t of waste</t>
  </si>
  <si>
    <t>MJ.km</t>
  </si>
  <si>
    <t>kWh.km</t>
  </si>
  <si>
    <t>Conventional products</t>
  </si>
  <si>
    <t>MJ</t>
  </si>
  <si>
    <t>kWh</t>
  </si>
  <si>
    <t>Net impact of coproduct use</t>
  </si>
  <si>
    <t>kgCO2</t>
  </si>
  <si>
    <t>m3 world-eq</t>
  </si>
  <si>
    <t>Comp</t>
  </si>
  <si>
    <t>Dig</t>
  </si>
  <si>
    <t>Heat</t>
  </si>
  <si>
    <t>Elect</t>
  </si>
  <si>
    <t>AD-c</t>
  </si>
  <si>
    <t>Biomet</t>
  </si>
  <si>
    <t>Gas</t>
  </si>
  <si>
    <t>Home Composting</t>
  </si>
  <si>
    <t>Industrial Composting</t>
  </si>
  <si>
    <t>AD+CHP+Composting</t>
  </si>
  <si>
    <t>AD+CHP+Digestate</t>
  </si>
  <si>
    <t>AD+Injection+Digestate</t>
  </si>
  <si>
    <t>m3</t>
  </si>
  <si>
    <t>m3.km</t>
  </si>
  <si>
    <t>Waste collection</t>
  </si>
  <si>
    <t>Comp_dec</t>
  </si>
  <si>
    <t>N-fertilizer</t>
  </si>
  <si>
    <t>P-fertilizer</t>
  </si>
  <si>
    <t>K-fertilizer</t>
  </si>
  <si>
    <t>Peat</t>
  </si>
  <si>
    <t>kg</t>
  </si>
  <si>
    <t>t/t of waste</t>
  </si>
  <si>
    <t>Comp_IC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</si>
</sst>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LCA_tech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CIA_AD-f"/>
      <sheetName val="IW+f"/>
      <sheetName val="LCIA_AD-e"/>
      <sheetName val="LCI_AD-e"/>
      <sheetName val="LCI_AD-f"/>
      <sheetName val="LCIA_AD-d"/>
      <sheetName val="Waste_characteristics"/>
      <sheetName val="Parameters"/>
      <sheetName val="LCI_AD-b"/>
      <sheetName val="LCI"/>
      <sheetName val="LCI_AD-a"/>
      <sheetName val="LCI_AD-c"/>
      <sheetName val="LCI_AD-d"/>
      <sheetName val="params_HC"/>
      <sheetName val="LCI_HC"/>
      <sheetName val="LCIA_HC"/>
      <sheetName val="LCIA_AD-a"/>
      <sheetName val="LCIA_AD-b"/>
      <sheetName val="LCIA_AD-c"/>
      <sheetName val="LCI_IC"/>
      <sheetName val="LCIA_IC"/>
      <sheetName val="IW+_end"/>
      <sheetName val="AD_a_end"/>
      <sheetName val="impact_process_end"/>
      <sheetName val="impact_process_mid"/>
      <sheetName val="IW+_mid"/>
      <sheetName val="IC_end"/>
      <sheetName val="AD_a_mid"/>
    </sheetNames>
    <sheetDataSet>
      <sheetData sheetId="0"/>
      <sheetData sheetId="1">
        <row r="28">
          <cell r="C28">
            <v>1.5776478677100687</v>
          </cell>
          <cell r="G28">
            <v>2.3755902490883187</v>
          </cell>
        </row>
        <row r="29">
          <cell r="C29">
            <v>0.66714792714666193</v>
          </cell>
          <cell r="G29">
            <v>0.31390973645585518</v>
          </cell>
        </row>
        <row r="30">
          <cell r="C30">
            <v>0.38986915383247311</v>
          </cell>
          <cell r="G30">
            <v>0.92484418441705429</v>
          </cell>
        </row>
        <row r="31">
          <cell r="C31">
            <v>1.4284515611925735E-2</v>
          </cell>
          <cell r="G31">
            <v>3.2008550717339546E-2</v>
          </cell>
        </row>
        <row r="37">
          <cell r="C37">
            <v>3.7452427019751884E-2</v>
          </cell>
          <cell r="G37">
            <v>1.371409771705601E-2</v>
          </cell>
        </row>
        <row r="38">
          <cell r="C38">
            <v>0.73571240611880662</v>
          </cell>
          <cell r="G38">
            <v>7.8893246702014919E-2</v>
          </cell>
        </row>
        <row r="39">
          <cell r="C39">
            <v>3.1810426802821895E-2</v>
          </cell>
          <cell r="G39">
            <v>1.1130534401230463E-2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70">
          <cell r="C70">
            <v>34.264521044421535</v>
          </cell>
          <cell r="G70">
            <v>1.4632061758519388</v>
          </cell>
        </row>
        <row r="75">
          <cell r="C75">
            <v>-320.64976274672284</v>
          </cell>
          <cell r="G75">
            <v>0</v>
          </cell>
        </row>
        <row r="81">
          <cell r="C81">
            <v>29.25339567634315</v>
          </cell>
          <cell r="G81">
            <v>46.338316491067204</v>
          </cell>
        </row>
      </sheetData>
      <sheetData sheetId="16">
        <row r="5">
          <cell r="C5">
            <v>130.89983518703079</v>
          </cell>
          <cell r="G5">
            <v>15.5837763706547</v>
          </cell>
        </row>
        <row r="27">
          <cell r="C27">
            <v>-96.310982618440732</v>
          </cell>
          <cell r="G27">
            <v>0</v>
          </cell>
        </row>
        <row r="33">
          <cell r="C33">
            <v>150.41016773502997</v>
          </cell>
          <cell r="G33">
            <v>131.11963414948895</v>
          </cell>
        </row>
      </sheetData>
      <sheetData sheetId="17">
        <row r="5">
          <cell r="C5">
            <v>115.03586225244955</v>
          </cell>
          <cell r="G5">
            <v>16.267041103736279</v>
          </cell>
        </row>
        <row r="36">
          <cell r="C36">
            <v>-27.214300839017277</v>
          </cell>
          <cell r="G36">
            <v>0</v>
          </cell>
        </row>
        <row r="42">
          <cell r="C42">
            <v>118.29547925942495</v>
          </cell>
          <cell r="G42">
            <v>86.192120045715455</v>
          </cell>
        </row>
      </sheetData>
      <sheetData sheetId="18">
        <row r="5">
          <cell r="C5">
            <v>166.06528020235362</v>
          </cell>
          <cell r="G5">
            <v>34.395350157877701</v>
          </cell>
        </row>
        <row r="25">
          <cell r="C25">
            <v>-96.310982618440732</v>
          </cell>
          <cell r="G25">
            <v>0</v>
          </cell>
        </row>
        <row r="31">
          <cell r="C31">
            <v>159.58139539500371</v>
          </cell>
          <cell r="G31">
            <v>110.48170163011559</v>
          </cell>
        </row>
      </sheetData>
      <sheetData sheetId="19"/>
      <sheetData sheetId="20">
        <row r="29">
          <cell r="C29">
            <v>35.421319139716672</v>
          </cell>
          <cell r="G29">
            <v>13.278828638799126</v>
          </cell>
        </row>
        <row r="43">
          <cell r="C43">
            <v>-264.03464255865981</v>
          </cell>
          <cell r="G43">
            <v>0</v>
          </cell>
        </row>
        <row r="49">
          <cell r="C49">
            <v>23.174036130287757</v>
          </cell>
          <cell r="G49">
            <v>36.87272461273961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A6E0B-B9EE-48A8-800F-BDEF0A29E888}">
  <dimension ref="A1:H33"/>
  <sheetViews>
    <sheetView tabSelected="1" zoomScale="80" zoomScaleNormal="80" zoomScaleSheetLayoutView="90" workbookViewId="0">
      <selection activeCell="C6" sqref="C6"/>
    </sheetView>
  </sheetViews>
  <sheetFormatPr baseColWidth="10" defaultRowHeight="14.5" x14ac:dyDescent="0.35"/>
  <cols>
    <col min="1" max="1" width="27.1796875" customWidth="1"/>
    <col min="2" max="2" width="14.90625" customWidth="1"/>
    <col min="3" max="3" width="16.81640625" customWidth="1"/>
    <col min="4" max="4" width="15.26953125" customWidth="1"/>
    <col min="5" max="5" width="16" customWidth="1"/>
    <col min="6" max="6" width="14.179687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spans="1:8" x14ac:dyDescent="0.35">
      <c r="C2" t="s">
        <v>19</v>
      </c>
      <c r="D2" t="s">
        <v>20</v>
      </c>
    </row>
    <row r="3" spans="1:8" x14ac:dyDescent="0.35">
      <c r="A3" s="1" t="s">
        <v>5</v>
      </c>
      <c r="B3" t="s">
        <v>4</v>
      </c>
      <c r="C3">
        <v>0.23535</v>
      </c>
      <c r="D3">
        <v>2.1149999999999999E-2</v>
      </c>
    </row>
    <row r="4" spans="1:8" x14ac:dyDescent="0.35">
      <c r="A4" s="1" t="s">
        <v>35</v>
      </c>
      <c r="B4" t="s">
        <v>4</v>
      </c>
      <c r="C4">
        <v>1.38914</v>
      </c>
      <c r="D4">
        <v>4.6600000000000003E-2</v>
      </c>
    </row>
    <row r="5" spans="1:8" x14ac:dyDescent="0.35">
      <c r="A5" s="2" t="s">
        <v>6</v>
      </c>
    </row>
    <row r="6" spans="1:8" x14ac:dyDescent="0.35">
      <c r="A6" t="s">
        <v>9</v>
      </c>
      <c r="B6" t="s">
        <v>12</v>
      </c>
      <c r="C6" s="3">
        <f>[1]LCIA_HC!$C$70+[1]LCIA_HC!$C$75-[1]LCIA_HC!$C$81</f>
        <v>-315.63863737864443</v>
      </c>
      <c r="D6">
        <f>[1]LCIA_HC!$G$70+[1]LCIA_HC!$G$75-[1]LCIA_HC!$G$81</f>
        <v>-44.875110315215267</v>
      </c>
    </row>
    <row r="7" spans="1:8" x14ac:dyDescent="0.35">
      <c r="A7" t="s">
        <v>10</v>
      </c>
      <c r="B7" t="s">
        <v>12</v>
      </c>
      <c r="C7" s="3">
        <f>[1]LCIA_IC!$C$29+[1]LCIA_IC!$C$43-[1]LCIA_IC!$C$49</f>
        <v>-251.7873595492309</v>
      </c>
      <c r="D7" s="3">
        <f>[1]LCIA_IC!$G$29+[1]LCIA_IC!$G$43-[1]LCIA_IC!$G$49</f>
        <v>-23.593895973940484</v>
      </c>
      <c r="H7" s="3"/>
    </row>
    <row r="8" spans="1:8" x14ac:dyDescent="0.35">
      <c r="A8" t="s">
        <v>7</v>
      </c>
      <c r="B8" t="s">
        <v>12</v>
      </c>
      <c r="C8" s="3">
        <f>'[1]LCIA_AD-a'!$C$5+'[1]LCIA_AD-a'!$C$27-'[1]LCIA_AD-a'!$C$33</f>
        <v>-115.82131516643992</v>
      </c>
      <c r="D8" s="3">
        <f>'[1]LCIA_AD-a'!$G$5+'[1]LCIA_AD-a'!$G$27-'[1]LCIA_AD-a'!$G$33</f>
        <v>-115.53585777883424</v>
      </c>
    </row>
    <row r="9" spans="1:8" x14ac:dyDescent="0.35">
      <c r="A9" t="s">
        <v>8</v>
      </c>
      <c r="B9" t="s">
        <v>12</v>
      </c>
      <c r="C9" s="3">
        <f>'[1]LCIA_AD-b'!$C$5+'[1]LCIA_AD-b'!$C$36-'[1]LCIA_AD-b'!$C$42</f>
        <v>-30.473917845992673</v>
      </c>
      <c r="D9" s="3">
        <f>'[1]LCIA_AD-b'!$G$5+'[1]LCIA_AD-b'!$G$36-'[1]LCIA_AD-b'!$G$42</f>
        <v>-69.92507894197918</v>
      </c>
    </row>
    <row r="10" spans="1:8" x14ac:dyDescent="0.35">
      <c r="A10" t="s">
        <v>25</v>
      </c>
      <c r="B10" t="s">
        <v>12</v>
      </c>
      <c r="C10" s="3">
        <f>'[1]LCIA_AD-c'!$C$5+'[1]LCIA_AD-c'!$C$25-'[1]LCIA_AD-c'!$C$31</f>
        <v>-89.827097811090823</v>
      </c>
      <c r="D10" s="3">
        <f>'[1]LCIA_AD-c'!$G$5+'[1]LCIA_AD-c'!$G$25-'[1]LCIA_AD-c'!$G$31</f>
        <v>-76.086351472237894</v>
      </c>
    </row>
    <row r="11" spans="1:8" x14ac:dyDescent="0.35">
      <c r="A11" s="2" t="s">
        <v>11</v>
      </c>
    </row>
    <row r="12" spans="1:8" x14ac:dyDescent="0.35">
      <c r="A12" t="s">
        <v>21</v>
      </c>
      <c r="B12" t="s">
        <v>4</v>
      </c>
      <c r="C12">
        <v>0.23535</v>
      </c>
      <c r="D12">
        <v>2.1149999999999999E-2</v>
      </c>
    </row>
    <row r="13" spans="1:8" x14ac:dyDescent="0.35">
      <c r="A13" t="s">
        <v>36</v>
      </c>
      <c r="B13" t="s">
        <v>4</v>
      </c>
      <c r="C13" s="3">
        <v>0</v>
      </c>
      <c r="D13" s="3">
        <v>0</v>
      </c>
    </row>
    <row r="14" spans="1:8" x14ac:dyDescent="0.35">
      <c r="A14" t="s">
        <v>22</v>
      </c>
      <c r="B14" t="s">
        <v>4</v>
      </c>
      <c r="C14">
        <v>0.23535</v>
      </c>
      <c r="D14">
        <v>2.1149999999999999E-2</v>
      </c>
    </row>
    <row r="15" spans="1:8" x14ac:dyDescent="0.35">
      <c r="A15" t="s">
        <v>23</v>
      </c>
      <c r="B15" t="s">
        <v>13</v>
      </c>
      <c r="C15">
        <v>0</v>
      </c>
      <c r="D15">
        <v>0</v>
      </c>
    </row>
    <row r="16" spans="1:8" x14ac:dyDescent="0.35">
      <c r="A16" t="s">
        <v>24</v>
      </c>
      <c r="B16" t="s">
        <v>14</v>
      </c>
      <c r="C16">
        <v>0</v>
      </c>
      <c r="D16">
        <v>0</v>
      </c>
    </row>
    <row r="17" spans="1:4" x14ac:dyDescent="0.35">
      <c r="A17" t="s">
        <v>26</v>
      </c>
      <c r="B17" t="s">
        <v>34</v>
      </c>
      <c r="C17">
        <v>0</v>
      </c>
      <c r="D17">
        <v>0</v>
      </c>
    </row>
    <row r="18" spans="1:4" x14ac:dyDescent="0.35">
      <c r="A18" s="2" t="s">
        <v>15</v>
      </c>
    </row>
    <row r="19" spans="1:4" x14ac:dyDescent="0.35">
      <c r="A19" t="s">
        <v>37</v>
      </c>
      <c r="B19" t="s">
        <v>41</v>
      </c>
      <c r="C19">
        <f>'[1]IW+f'!$C$28</f>
        <v>1.5776478677100687</v>
      </c>
      <c r="D19">
        <f>'[1]IW+f'!$G$28</f>
        <v>2.3755902490883187</v>
      </c>
    </row>
    <row r="20" spans="1:4" x14ac:dyDescent="0.35">
      <c r="A20" t="s">
        <v>38</v>
      </c>
      <c r="B20" t="s">
        <v>41</v>
      </c>
      <c r="C20">
        <f>'[1]IW+f'!$C$30</f>
        <v>0.38986915383247311</v>
      </c>
      <c r="D20">
        <f>'[1]IW+f'!$G$30</f>
        <v>0.92484418441705429</v>
      </c>
    </row>
    <row r="21" spans="1:4" x14ac:dyDescent="0.35">
      <c r="A21" t="s">
        <v>39</v>
      </c>
      <c r="B21" t="s">
        <v>41</v>
      </c>
      <c r="C21">
        <f>'[1]IW+f'!$C$29</f>
        <v>0.66714792714666193</v>
      </c>
      <c r="D21">
        <f>'[1]IW+f'!$G$29</f>
        <v>0.31390973645585518</v>
      </c>
    </row>
    <row r="22" spans="1:4" x14ac:dyDescent="0.35">
      <c r="A22" t="s">
        <v>40</v>
      </c>
      <c r="B22" t="s">
        <v>41</v>
      </c>
      <c r="C22" s="3">
        <f>'[1]IW+f'!$C$31</f>
        <v>1.4284515611925735E-2</v>
      </c>
      <c r="D22" s="3">
        <f>'[1]IW+f'!$G$31</f>
        <v>3.2008550717339546E-2</v>
      </c>
    </row>
    <row r="23" spans="1:4" x14ac:dyDescent="0.35">
      <c r="A23" t="s">
        <v>23</v>
      </c>
      <c r="B23" t="s">
        <v>16</v>
      </c>
      <c r="C23">
        <f>'[1]IW+f'!$C$39</f>
        <v>3.1810426802821895E-2</v>
      </c>
      <c r="D23">
        <f>'[1]IW+f'!$G$39</f>
        <v>1.1130534401230463E-2</v>
      </c>
    </row>
    <row r="24" spans="1:4" x14ac:dyDescent="0.35">
      <c r="A24" t="s">
        <v>24</v>
      </c>
      <c r="B24" t="s">
        <v>17</v>
      </c>
      <c r="C24">
        <f>'[1]IW+f'!$C$37</f>
        <v>3.7452427019751884E-2</v>
      </c>
      <c r="D24">
        <f>'[1]IW+f'!$G$37</f>
        <v>1.371409771705601E-2</v>
      </c>
    </row>
    <row r="25" spans="1:4" x14ac:dyDescent="0.35">
      <c r="A25" t="s">
        <v>27</v>
      </c>
      <c r="B25" t="s">
        <v>33</v>
      </c>
      <c r="C25">
        <f>'[1]IW+f'!$C$38</f>
        <v>0.73571240611880662</v>
      </c>
      <c r="D25">
        <f>'[1]IW+f'!$G$38</f>
        <v>7.8893246702014919E-2</v>
      </c>
    </row>
    <row r="26" spans="1:4" x14ac:dyDescent="0.35">
      <c r="A26" s="2" t="s">
        <v>18</v>
      </c>
    </row>
    <row r="27" spans="1:4" x14ac:dyDescent="0.35">
      <c r="A27" t="s">
        <v>36</v>
      </c>
      <c r="B27" t="s">
        <v>42</v>
      </c>
      <c r="C27" s="3">
        <f>[1]LCIA_HC!$C$75</f>
        <v>-320.64976274672284</v>
      </c>
      <c r="D27">
        <v>0</v>
      </c>
    </row>
    <row r="28" spans="1:4" x14ac:dyDescent="0.35">
      <c r="A28" t="s">
        <v>43</v>
      </c>
      <c r="B28" t="s">
        <v>42</v>
      </c>
      <c r="C28" s="3">
        <f>[1]LCIA_IC!$C$43</f>
        <v>-264.03464255865981</v>
      </c>
      <c r="D28">
        <v>0</v>
      </c>
    </row>
    <row r="29" spans="1:4" x14ac:dyDescent="0.35">
      <c r="C29" s="3"/>
    </row>
    <row r="30" spans="1:4" x14ac:dyDescent="0.35">
      <c r="A30" t="s">
        <v>22</v>
      </c>
      <c r="B30" t="s">
        <v>42</v>
      </c>
      <c r="C30" s="3"/>
      <c r="D30">
        <v>0</v>
      </c>
    </row>
    <row r="31" spans="1:4" x14ac:dyDescent="0.35">
      <c r="A31" t="s">
        <v>23</v>
      </c>
      <c r="B31" t="s">
        <v>16</v>
      </c>
      <c r="C31">
        <v>0</v>
      </c>
      <c r="D31">
        <v>0</v>
      </c>
    </row>
    <row r="32" spans="1:4" x14ac:dyDescent="0.35">
      <c r="A32" t="s">
        <v>24</v>
      </c>
      <c r="B32" t="s">
        <v>17</v>
      </c>
      <c r="C32">
        <v>0</v>
      </c>
      <c r="D32">
        <v>0</v>
      </c>
    </row>
    <row r="33" spans="1:4" x14ac:dyDescent="0.35">
      <c r="A33" t="s">
        <v>26</v>
      </c>
      <c r="B33" t="s">
        <v>33</v>
      </c>
      <c r="C33">
        <v>0</v>
      </c>
      <c r="D33">
        <v>0</v>
      </c>
    </row>
  </sheetData>
  <pageMargins left="0.7" right="0.7" top="0.75" bottom="0.75" header="0.3" footer="0.3"/>
  <pageSetup paperSize="9" orientation="portrait" verticalDpi="597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DF1CD-1CDC-4E41-9B2A-3F388EBABF4A}">
  <dimension ref="A1:B5"/>
  <sheetViews>
    <sheetView workbookViewId="0">
      <selection activeCell="B6" sqref="B6"/>
    </sheetView>
  </sheetViews>
  <sheetFormatPr baseColWidth="10" defaultRowHeight="14.5" x14ac:dyDescent="0.35"/>
  <sheetData>
    <row r="1" spans="1:2" x14ac:dyDescent="0.35">
      <c r="A1" t="s">
        <v>9</v>
      </c>
      <c r="B1" t="s">
        <v>28</v>
      </c>
    </row>
    <row r="2" spans="1:2" x14ac:dyDescent="0.35">
      <c r="A2" t="s">
        <v>10</v>
      </c>
      <c r="B2" t="s">
        <v>29</v>
      </c>
    </row>
    <row r="3" spans="1:2" x14ac:dyDescent="0.35">
      <c r="A3" t="s">
        <v>7</v>
      </c>
      <c r="B3" t="s">
        <v>31</v>
      </c>
    </row>
    <row r="4" spans="1:2" x14ac:dyDescent="0.35">
      <c r="A4" t="s">
        <v>8</v>
      </c>
      <c r="B4" t="s">
        <v>30</v>
      </c>
    </row>
    <row r="5" spans="1:2" x14ac:dyDescent="0.35">
      <c r="A5" t="s">
        <v>25</v>
      </c>
      <c r="B5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>UTC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Nomena Ravoahangy</dc:creator>
  <cp:lastModifiedBy>Nomena Ravoahangy</cp:lastModifiedBy>
  <dcterms:created xsi:type="dcterms:W3CDTF">2025-09-10T08:13:22Z</dcterms:created>
  <dcterms:modified xsi:type="dcterms:W3CDTF">2026-01-06T10:20:27Z</dcterms:modified>
</cp:coreProperties>
</file>