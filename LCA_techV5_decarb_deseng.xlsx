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FB87C702-E002-4CF4-9B62-A6A6FCB1D9FE}" xr6:coauthVersionLast="36" xr6:coauthVersionMax="36" xr10:uidLastSave="{00000000-0000-0000-0000-000000000000}"/>
  <bookViews>
    <workbookView xWindow="0" yWindow="0" windowWidth="19200" windowHeight="6640" xr2:uid="{D3821372-1969-4DD6-A628-04C5F8F02CF2}"/>
  </bookViews>
  <sheets>
    <sheet name="LCIA_AD-f" sheetId="38" r:id="rId1"/>
    <sheet name="IW+f" sheetId="28" r:id="rId2"/>
    <sheet name="LCIA_AD-e" sheetId="37" r:id="rId3"/>
    <sheet name="LCI_AD-e" sheetId="35" r:id="rId4"/>
    <sheet name="LCI_AD-f" sheetId="36" r:id="rId5"/>
    <sheet name="LCIA_AD-d" sheetId="34" r:id="rId6"/>
    <sheet name="Waste_characteristics" sheetId="6" r:id="rId7"/>
    <sheet name="Parameters" sheetId="3" r:id="rId8"/>
    <sheet name="LCI_AD-b" sheetId="21" r:id="rId9"/>
    <sheet name="LCI" sheetId="1" r:id="rId10"/>
    <sheet name="LCI_AD-a" sheetId="20" r:id="rId11"/>
    <sheet name="LCI_AD-c" sheetId="22" r:id="rId12"/>
    <sheet name="LCI_AD-d" sheetId="23" r:id="rId13"/>
    <sheet name="params_HC" sheetId="14" r:id="rId14"/>
    <sheet name="LCI_HC" sheetId="17" r:id="rId15"/>
    <sheet name="LCIA_HC" sheetId="11" r:id="rId16"/>
    <sheet name="LCIA_AD-a" sheetId="29" r:id="rId17"/>
    <sheet name="LCIA_AD-b" sheetId="30" r:id="rId18"/>
    <sheet name="LCIA_AD-c" sheetId="31" r:id="rId19"/>
    <sheet name="LCI_IC" sheetId="19" r:id="rId20"/>
    <sheet name="LCIA_IC" sheetId="12" r:id="rId21"/>
    <sheet name="IW+_end" sheetId="27" r:id="rId22"/>
    <sheet name="AD_a_end" sheetId="9" r:id="rId23"/>
    <sheet name="impact_process_end" sheetId="8" r:id="rId24"/>
    <sheet name="impact_process_mid" sheetId="7" r:id="rId25"/>
    <sheet name="IW+_mid" sheetId="26" r:id="rId26"/>
    <sheet name="IC_end" sheetId="13" r:id="rId27"/>
    <sheet name="AD_a_mid" sheetId="2" r:id="rId28"/>
  </sheets>
  <externalReferences>
    <externalReference r:id="rId29"/>
    <externalReference r:id="rId30"/>
    <externalReference r:id="rId31"/>
    <externalReference r:id="rId32"/>
  </externalReferences>
  <definedNames>
    <definedName name="_xlnm._FilterDatabase" localSheetId="21" hidden="1">'IW+_end'!$A$1:$AK$35</definedName>
    <definedName name="_xlnm._FilterDatabase" localSheetId="25" hidden="1">'IW+_mid'!$A$1:$A$39</definedName>
    <definedName name="_xlnm._FilterDatabase" localSheetId="1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38" l="1"/>
  <c r="F8" i="38"/>
  <c r="E8" i="38"/>
  <c r="D8" i="38"/>
  <c r="C8" i="38"/>
  <c r="D8" i="37" l="1"/>
  <c r="E8" i="37"/>
  <c r="F8" i="37"/>
  <c r="G8" i="37"/>
  <c r="C8" i="37"/>
  <c r="E41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D43" i="38" s="1"/>
  <c r="E41" i="30"/>
  <c r="E43" i="38" s="1"/>
  <c r="F41" i="30"/>
  <c r="F43" i="38" s="1"/>
  <c r="G41" i="30"/>
  <c r="G43" i="38" s="1"/>
  <c r="E43" i="23"/>
  <c r="E47" i="36" s="1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D53" i="12"/>
  <c r="G50" i="12"/>
  <c r="C48" i="12"/>
  <c r="E21" i="19"/>
  <c r="D46" i="12" s="1"/>
  <c r="E20" i="19"/>
  <c r="G45" i="12" s="1"/>
  <c r="E19" i="19"/>
  <c r="D44" i="12" s="1"/>
  <c r="E14" i="19"/>
  <c r="E40" i="12" s="1"/>
  <c r="G48" i="12" l="1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AG70" i="12"/>
  <c r="J70" i="12"/>
  <c r="R70" i="12"/>
  <c r="Z70" i="12"/>
  <c r="AH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AG74" i="12"/>
  <c r="J74" i="12"/>
  <c r="R74" i="12"/>
  <c r="Z74" i="12"/>
  <c r="AH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AG76" i="12"/>
  <c r="S76" i="12"/>
  <c r="J76" i="12"/>
  <c r="R76" i="12"/>
  <c r="Z76" i="12"/>
  <c r="AH76" i="12"/>
  <c r="K76" i="12"/>
  <c r="I75" i="12"/>
  <c r="Q75" i="12"/>
  <c r="Y75" i="12"/>
  <c r="AG75" i="12"/>
  <c r="X75" i="12"/>
  <c r="J75" i="12"/>
  <c r="R75" i="12"/>
  <c r="Z75" i="12"/>
  <c r="AH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D52" i="12" l="1"/>
  <c r="E52" i="12"/>
  <c r="F52" i="12"/>
  <c r="G52" i="12"/>
  <c r="C52" i="12"/>
  <c r="E22" i="19" l="1"/>
  <c r="D85" i="11"/>
  <c r="E85" i="11"/>
  <c r="F85" i="11"/>
  <c r="G85" i="11"/>
  <c r="C85" i="11"/>
  <c r="D84" i="11"/>
  <c r="E84" i="11"/>
  <c r="F84" i="11"/>
  <c r="G84" i="11"/>
  <c r="C84" i="11"/>
  <c r="D83" i="11"/>
  <c r="E83" i="11"/>
  <c r="F83" i="11"/>
  <c r="G83" i="11"/>
  <c r="C83" i="11"/>
  <c r="D82" i="11"/>
  <c r="E82" i="11"/>
  <c r="F82" i="11"/>
  <c r="G82" i="11"/>
  <c r="C82" i="11"/>
  <c r="D74" i="11"/>
  <c r="E74" i="11"/>
  <c r="F74" i="11"/>
  <c r="G74" i="11"/>
  <c r="C74" i="11"/>
  <c r="T65" i="11"/>
  <c r="N65" i="11"/>
  <c r="O65" i="11"/>
  <c r="P65" i="11"/>
  <c r="Q65" i="11"/>
  <c r="R65" i="11"/>
  <c r="S65" i="11"/>
  <c r="M65" i="11"/>
  <c r="D65" i="11"/>
  <c r="E65" i="11"/>
  <c r="F65" i="11"/>
  <c r="G65" i="11"/>
  <c r="H65" i="11"/>
  <c r="I65" i="11"/>
  <c r="J65" i="11"/>
  <c r="K65" i="11"/>
  <c r="L65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D61" i="11" s="1"/>
  <c r="E63" i="11"/>
  <c r="F63" i="11"/>
  <c r="G63" i="11"/>
  <c r="H63" i="11"/>
  <c r="I63" i="11"/>
  <c r="J63" i="11"/>
  <c r="K63" i="11"/>
  <c r="K61" i="11" s="1"/>
  <c r="L63" i="11"/>
  <c r="L61" i="11" s="1"/>
  <c r="M63" i="11"/>
  <c r="N63" i="11"/>
  <c r="O63" i="11"/>
  <c r="P63" i="11"/>
  <c r="Q63" i="11"/>
  <c r="R63" i="11"/>
  <c r="S63" i="11"/>
  <c r="T63" i="11"/>
  <c r="T61" i="11" s="1"/>
  <c r="I62" i="11"/>
  <c r="J62" i="11"/>
  <c r="K62" i="11"/>
  <c r="L62" i="11"/>
  <c r="M62" i="11"/>
  <c r="N62" i="11"/>
  <c r="O62" i="11"/>
  <c r="P62" i="11"/>
  <c r="P61" i="11" s="1"/>
  <c r="Q62" i="11"/>
  <c r="R62" i="11"/>
  <c r="S62" i="11"/>
  <c r="T62" i="11"/>
  <c r="D62" i="11"/>
  <c r="E62" i="11"/>
  <c r="F62" i="11"/>
  <c r="G62" i="11"/>
  <c r="H62" i="11"/>
  <c r="C65" i="11"/>
  <c r="C64" i="11"/>
  <c r="C63" i="11"/>
  <c r="C62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C45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C43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D41" i="11" s="1"/>
  <c r="AE42" i="11"/>
  <c r="AF42" i="11"/>
  <c r="AG42" i="11"/>
  <c r="AH42" i="11"/>
  <c r="AI42" i="11"/>
  <c r="AJ42" i="11"/>
  <c r="AK42" i="11"/>
  <c r="C42" i="11"/>
  <c r="AH26" i="27"/>
  <c r="AG26" i="27"/>
  <c r="AH24" i="27"/>
  <c r="AH25" i="27"/>
  <c r="AG24" i="27"/>
  <c r="AG25" i="27"/>
  <c r="D80" i="11"/>
  <c r="E12" i="17"/>
  <c r="G79" i="11" s="1"/>
  <c r="E11" i="17"/>
  <c r="K58" i="11" s="1"/>
  <c r="E10" i="17"/>
  <c r="E77" i="11" s="1"/>
  <c r="E9" i="17"/>
  <c r="C76" i="11" s="1"/>
  <c r="J61" i="11" l="1"/>
  <c r="I61" i="11"/>
  <c r="S61" i="11"/>
  <c r="R41" i="11"/>
  <c r="AH41" i="11"/>
  <c r="Z41" i="11"/>
  <c r="J41" i="11"/>
  <c r="AC41" i="11"/>
  <c r="M41" i="11"/>
  <c r="AB41" i="11"/>
  <c r="T41" i="11"/>
  <c r="D41" i="11"/>
  <c r="U41" i="11"/>
  <c r="E41" i="11"/>
  <c r="R61" i="11"/>
  <c r="L41" i="11"/>
  <c r="AF41" i="11"/>
  <c r="H41" i="11"/>
  <c r="X41" i="11"/>
  <c r="P41" i="11"/>
  <c r="AE41" i="11"/>
  <c r="W41" i="11"/>
  <c r="O41" i="11"/>
  <c r="G41" i="11"/>
  <c r="H61" i="11"/>
  <c r="Q61" i="11"/>
  <c r="V41" i="11"/>
  <c r="F61" i="11"/>
  <c r="O61" i="11"/>
  <c r="G81" i="11"/>
  <c r="C41" i="11"/>
  <c r="G61" i="11"/>
  <c r="AJ41" i="11"/>
  <c r="E61" i="11"/>
  <c r="N61" i="11"/>
  <c r="F81" i="11"/>
  <c r="AI41" i="11"/>
  <c r="C61" i="11"/>
  <c r="M61" i="11"/>
  <c r="E81" i="11"/>
  <c r="N41" i="11"/>
  <c r="AK41" i="11"/>
  <c r="AA41" i="11"/>
  <c r="S41" i="11"/>
  <c r="K41" i="11"/>
  <c r="D81" i="11"/>
  <c r="F41" i="11"/>
  <c r="AG41" i="11"/>
  <c r="Y41" i="11"/>
  <c r="Q41" i="11"/>
  <c r="I41" i="11"/>
  <c r="N38" i="11"/>
  <c r="T60" i="11"/>
  <c r="D60" i="11"/>
  <c r="X36" i="11"/>
  <c r="AD38" i="11"/>
  <c r="AG40" i="1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AH37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AG37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AH36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AG36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AH40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C43" i="12" s="1"/>
  <c r="D47" i="12"/>
  <c r="D43" i="12" s="1"/>
  <c r="F51" i="12"/>
  <c r="F49" i="12" s="1"/>
  <c r="C51" i="12"/>
  <c r="C49" i="12" s="1"/>
  <c r="G51" i="12"/>
  <c r="G49" i="12" s="1"/>
  <c r="D51" i="12"/>
  <c r="D49" i="12" s="1"/>
  <c r="E51" i="12"/>
  <c r="E49" i="12" s="1"/>
  <c r="C81" i="11"/>
  <c r="G75" i="11" l="1"/>
  <c r="C55" i="11"/>
  <c r="H55" i="11"/>
  <c r="I55" i="11"/>
  <c r="I35" i="11"/>
  <c r="C35" i="11"/>
  <c r="P55" i="11"/>
  <c r="Q55" i="11"/>
  <c r="C75" i="11"/>
  <c r="AH3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AG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H19" i="27"/>
  <c r="AH20" i="27"/>
  <c r="AH21" i="27"/>
  <c r="AH22" i="27"/>
  <c r="AH23" i="27"/>
  <c r="AG19" i="27"/>
  <c r="AG20" i="27"/>
  <c r="AG21" i="27"/>
  <c r="AG22" i="27"/>
  <c r="AG23" i="27"/>
  <c r="AH18" i="27"/>
  <c r="AG18" i="27"/>
  <c r="AH14" i="27"/>
  <c r="AH15" i="27"/>
  <c r="AH16" i="27"/>
  <c r="AH17" i="27"/>
  <c r="AG14" i="27"/>
  <c r="AG15" i="27"/>
  <c r="AG16" i="27"/>
  <c r="AG17" i="27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C39" i="27"/>
  <c r="C37" i="7"/>
  <c r="AG13" i="27" l="1"/>
  <c r="AH13" i="27" s="1"/>
  <c r="AG12" i="27"/>
  <c r="AH12" i="27" s="1"/>
  <c r="E8" i="23" l="1"/>
  <c r="E6" i="23"/>
  <c r="E9" i="23" s="1"/>
  <c r="E4" i="23"/>
  <c r="E8" i="22"/>
  <c r="E6" i="22"/>
  <c r="E9" i="22" s="1"/>
  <c r="E11" i="22" s="1"/>
  <c r="E4" i="22"/>
  <c r="E8" i="21"/>
  <c r="E6" i="21"/>
  <c r="E4" i="21"/>
  <c r="C11" i="31" l="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7" i="17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9" i="6"/>
  <c r="B8" i="6"/>
  <c r="B5" i="6"/>
  <c r="B4" i="6"/>
  <c r="B15" i="6" l="1"/>
  <c r="C86" i="3" s="1"/>
  <c r="E37" i="20" s="1"/>
  <c r="B14" i="6"/>
  <c r="E32" i="21"/>
  <c r="C67" i="3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D87" i="11" s="1"/>
  <c r="G38" i="12"/>
  <c r="D50" i="11"/>
  <c r="C70" i="11"/>
  <c r="C87" i="11" s="1"/>
  <c r="E50" i="11"/>
  <c r="F38" i="12"/>
  <c r="E70" i="11"/>
  <c r="E87" i="11" s="1"/>
  <c r="Q50" i="11"/>
  <c r="C50" i="11"/>
  <c r="E38" i="12"/>
  <c r="F70" i="11"/>
  <c r="F87" i="11" s="1"/>
  <c r="I50" i="11"/>
  <c r="N50" i="11"/>
  <c r="S50" i="11"/>
  <c r="P50" i="11"/>
  <c r="F50" i="11"/>
  <c r="K50" i="11"/>
  <c r="H50" i="11"/>
  <c r="G70" i="11"/>
  <c r="G87" i="11" s="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H30" i="11"/>
  <c r="N30" i="11"/>
  <c r="L30" i="11"/>
  <c r="R30" i="11"/>
  <c r="J30" i="11"/>
  <c r="W30" i="11"/>
  <c r="AK30" i="11"/>
  <c r="AA30" i="11"/>
  <c r="AI30" i="11"/>
  <c r="AJ30" i="11"/>
  <c r="AG30" i="1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E34" i="36" l="1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6" i="38"/>
  <c r="D44" i="30"/>
  <c r="D46" i="38" s="1"/>
  <c r="G44" i="30"/>
  <c r="G46" i="38" s="1"/>
  <c r="E43" i="21"/>
  <c r="E45" i="23"/>
  <c r="F44" i="30"/>
  <c r="F46" i="38" s="1"/>
  <c r="D31" i="34"/>
  <c r="E31" i="34"/>
  <c r="F31" i="34"/>
  <c r="G31" i="34"/>
  <c r="C31" i="34"/>
  <c r="C85" i="3"/>
  <c r="E33" i="20"/>
  <c r="C31" i="29" s="1"/>
  <c r="E37" i="37"/>
  <c r="D37" i="37"/>
  <c r="F37" i="37"/>
  <c r="E39" i="35"/>
  <c r="E35" i="22"/>
  <c r="G37" i="37"/>
  <c r="D13" i="29"/>
  <c r="E13" i="29"/>
  <c r="G35" i="29"/>
  <c r="G13" i="29"/>
  <c r="C13" i="29"/>
  <c r="D35" i="29"/>
  <c r="E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C55" i="12" s="1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E38" i="20" l="1"/>
  <c r="C114" i="3"/>
  <c r="E48" i="21" s="1"/>
  <c r="G45" i="30" s="1"/>
  <c r="G47" i="38" s="1"/>
  <c r="E38" i="37"/>
  <c r="D38" i="37"/>
  <c r="F38" i="37"/>
  <c r="E36" i="22"/>
  <c r="G38" i="37"/>
  <c r="E40" i="35"/>
  <c r="D36" i="29"/>
  <c r="E36" i="29"/>
  <c r="F36" i="29"/>
  <c r="G36" i="29"/>
  <c r="F33" i="31"/>
  <c r="G33" i="31"/>
  <c r="D33" i="31"/>
  <c r="E33" i="31"/>
  <c r="C47" i="38"/>
  <c r="E46" i="23"/>
  <c r="E45" i="30"/>
  <c r="E47" i="38" s="1"/>
  <c r="F45" i="30"/>
  <c r="F47" i="38" s="1"/>
  <c r="E49" i="36"/>
  <c r="D42" i="34"/>
  <c r="E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1" i="20"/>
  <c r="E32" i="20"/>
  <c r="D36" i="37"/>
  <c r="E36" i="37"/>
  <c r="G36" i="37"/>
  <c r="E38" i="35"/>
  <c r="E34" i="22"/>
  <c r="F36" i="37"/>
  <c r="D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D45" i="30" l="1"/>
  <c r="D47" i="38" s="1"/>
  <c r="E46" i="21"/>
  <c r="E41" i="21" s="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D43" i="34"/>
  <c r="G43" i="34"/>
  <c r="D34" i="31"/>
  <c r="F34" i="31"/>
  <c r="E34" i="31"/>
  <c r="G34" i="31"/>
  <c r="E105" i="1"/>
  <c r="E104" i="1"/>
  <c r="E107" i="1" s="1"/>
  <c r="E102" i="1"/>
  <c r="E44" i="23" l="1"/>
  <c r="F41" i="34" s="1"/>
  <c r="F43" i="30"/>
  <c r="F45" i="38" s="1"/>
  <c r="C45" i="38"/>
  <c r="F38" i="30"/>
  <c r="F40" i="38" s="1"/>
  <c r="E38" i="30"/>
  <c r="E40" i="38" s="1"/>
  <c r="C38" i="30"/>
  <c r="C40" i="38" s="1"/>
  <c r="G38" i="30"/>
  <c r="G40" i="38" s="1"/>
  <c r="E39" i="23"/>
  <c r="D36" i="34" s="1"/>
  <c r="D38" i="30"/>
  <c r="D40" i="38" s="1"/>
  <c r="E43" i="30"/>
  <c r="E45" i="38" s="1"/>
  <c r="D43" i="30"/>
  <c r="D45" i="38" s="1"/>
  <c r="E42" i="21"/>
  <c r="E40" i="21"/>
  <c r="G43" i="30"/>
  <c r="G45" i="38" s="1"/>
  <c r="E41" i="34"/>
  <c r="G41" i="34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G36" i="34" l="1"/>
  <c r="F36" i="34"/>
  <c r="E36" i="34"/>
  <c r="C36" i="34"/>
  <c r="E48" i="36"/>
  <c r="E43" i="36"/>
  <c r="D41" i="34"/>
  <c r="F37" i="30"/>
  <c r="G37" i="30"/>
  <c r="C37" i="30"/>
  <c r="C39" i="38" s="1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D37" i="34" l="1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E6" i="1" l="1"/>
  <c r="H67" i="3"/>
  <c r="C70" i="3" s="1"/>
  <c r="E85" i="1" l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D11" i="27"/>
  <c r="L11" i="27"/>
  <c r="T11" i="27"/>
  <c r="AB11" i="27"/>
  <c r="AJ11" i="27"/>
  <c r="I11" i="26"/>
  <c r="Q11" i="26"/>
  <c r="G11" i="28"/>
  <c r="P11" i="26"/>
  <c r="E11" i="27"/>
  <c r="M11" i="27"/>
  <c r="U11" i="27"/>
  <c r="AC11" i="27"/>
  <c r="AK11" i="27"/>
  <c r="J11" i="26"/>
  <c r="R11" i="26"/>
  <c r="C11" i="28"/>
  <c r="F11" i="28"/>
  <c r="F11" i="27"/>
  <c r="N11" i="27"/>
  <c r="V11" i="27"/>
  <c r="AD11" i="27"/>
  <c r="C11" i="27"/>
  <c r="K11" i="26"/>
  <c r="S11" i="26"/>
  <c r="C10" i="8"/>
  <c r="G11" i="27"/>
  <c r="O11" i="27"/>
  <c r="W11" i="27"/>
  <c r="AE11" i="27"/>
  <c r="D11" i="26"/>
  <c r="L11" i="26"/>
  <c r="T11" i="26"/>
  <c r="S11" i="27"/>
  <c r="AI11" i="27"/>
  <c r="H11" i="27"/>
  <c r="P11" i="27"/>
  <c r="X11" i="27"/>
  <c r="AF11" i="27"/>
  <c r="E11" i="26"/>
  <c r="M11" i="26"/>
  <c r="C11" i="26"/>
  <c r="K11" i="27"/>
  <c r="I11" i="27"/>
  <c r="Q11" i="27"/>
  <c r="Y11" i="27"/>
  <c r="AG11" i="27"/>
  <c r="F11" i="26"/>
  <c r="N11" i="26"/>
  <c r="D11" i="28"/>
  <c r="H11" i="26"/>
  <c r="J11" i="27"/>
  <c r="R11" i="27"/>
  <c r="Z11" i="27"/>
  <c r="AH11" i="27"/>
  <c r="G11" i="26"/>
  <c r="O11" i="26"/>
  <c r="E11" i="28"/>
  <c r="AA11" i="27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E14" i="37" l="1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26" i="35" l="1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E15" i="23" l="1"/>
  <c r="E26" i="23"/>
  <c r="E28" i="21"/>
  <c r="C21" i="38"/>
  <c r="C21" i="37"/>
  <c r="G21" i="38"/>
  <c r="F21" i="37"/>
  <c r="D21" i="37"/>
  <c r="E21" i="37"/>
  <c r="E21" i="38"/>
  <c r="D21" i="38"/>
  <c r="F21" i="38"/>
  <c r="G21" i="37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D40" i="37"/>
  <c r="E42" i="35"/>
  <c r="E17" i="22"/>
  <c r="G17" i="31" s="1"/>
  <c r="E20" i="22"/>
  <c r="C20" i="31" s="1"/>
  <c r="E21" i="22"/>
  <c r="D21" i="31" s="1"/>
  <c r="E22" i="22"/>
  <c r="C22" i="31" s="1"/>
  <c r="E15" i="21"/>
  <c r="E17" i="21" s="1"/>
  <c r="E18" i="31"/>
  <c r="F18" i="31"/>
  <c r="G18" i="31"/>
  <c r="D18" i="31"/>
  <c r="C18" i="31"/>
  <c r="E19" i="22"/>
  <c r="F20" i="31"/>
  <c r="E16" i="22"/>
  <c r="E28" i="35"/>
  <c r="E24" i="22"/>
  <c r="E23" i="22"/>
  <c r="E38" i="22" s="1"/>
  <c r="G38" i="22" s="1"/>
  <c r="E33" i="36"/>
  <c r="G27" i="34"/>
  <c r="C27" i="34"/>
  <c r="D27" i="34"/>
  <c r="E27" i="34"/>
  <c r="F27" i="34"/>
  <c r="E22" i="20"/>
  <c r="E23" i="29" s="1"/>
  <c r="E17" i="20"/>
  <c r="F18" i="29" s="1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F21" i="29" s="1"/>
  <c r="E24" i="20"/>
  <c r="E41" i="20" s="1"/>
  <c r="E21" i="20"/>
  <c r="F22" i="29" s="1"/>
  <c r="E18" i="20"/>
  <c r="F19" i="29" s="1"/>
  <c r="E17" i="29"/>
  <c r="G17" i="29"/>
  <c r="F17" i="29"/>
  <c r="C17" i="29"/>
  <c r="D17" i="29"/>
  <c r="C34" i="3"/>
  <c r="E73" i="1"/>
  <c r="C35" i="3"/>
  <c r="E30" i="21"/>
  <c r="E74" i="1"/>
  <c r="E82" i="1" s="1"/>
  <c r="E26" i="21"/>
  <c r="E35" i="21"/>
  <c r="E18" i="23"/>
  <c r="E22" i="23"/>
  <c r="E21" i="23"/>
  <c r="E17" i="23"/>
  <c r="E19" i="23"/>
  <c r="E23" i="23"/>
  <c r="E48" i="23" s="1"/>
  <c r="E16" i="23"/>
  <c r="E20" i="23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G20" i="31" l="1"/>
  <c r="F21" i="31"/>
  <c r="D20" i="31"/>
  <c r="E20" i="31"/>
  <c r="E21" i="21"/>
  <c r="C22" i="30" s="1"/>
  <c r="E43" i="22"/>
  <c r="E53" i="23" s="1"/>
  <c r="E42" i="22"/>
  <c r="E52" i="23" s="1"/>
  <c r="E41" i="22"/>
  <c r="E51" i="23" s="1"/>
  <c r="E40" i="22"/>
  <c r="E20" i="21"/>
  <c r="C21" i="30" s="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D45" i="34"/>
  <c r="E45" i="34"/>
  <c r="F45" i="34"/>
  <c r="G45" i="34"/>
  <c r="E28" i="23"/>
  <c r="E32" i="36" s="1"/>
  <c r="E30" i="36"/>
  <c r="F23" i="29"/>
  <c r="D20" i="34"/>
  <c r="E20" i="34"/>
  <c r="F20" i="34"/>
  <c r="G20" i="34"/>
  <c r="C20" i="34"/>
  <c r="G19" i="34"/>
  <c r="C19" i="34"/>
  <c r="E19" i="34"/>
  <c r="F19" i="34"/>
  <c r="D19" i="34"/>
  <c r="E36" i="31"/>
  <c r="F36" i="31"/>
  <c r="G36" i="31"/>
  <c r="D36" i="31"/>
  <c r="C19" i="31"/>
  <c r="D19" i="31"/>
  <c r="E19" i="31"/>
  <c r="F19" i="31"/>
  <c r="G19" i="31"/>
  <c r="F22" i="34"/>
  <c r="G22" i="34"/>
  <c r="C22" i="34"/>
  <c r="D22" i="34"/>
  <c r="E22" i="34"/>
  <c r="G21" i="34"/>
  <c r="D21" i="34"/>
  <c r="E21" i="34"/>
  <c r="C21" i="34"/>
  <c r="F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D21" i="29"/>
  <c r="D22" i="29"/>
  <c r="F22" i="30"/>
  <c r="G22" i="30"/>
  <c r="D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D38" i="29"/>
  <c r="E38" i="29"/>
  <c r="F38" i="29"/>
  <c r="G38" i="29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F21" i="30" l="1"/>
  <c r="E22" i="30"/>
  <c r="E21" i="30"/>
  <c r="D21" i="30"/>
  <c r="F17" i="30"/>
  <c r="G21" i="30"/>
  <c r="E19" i="30"/>
  <c r="C19" i="30"/>
  <c r="F16" i="31"/>
  <c r="C23" i="30"/>
  <c r="E23" i="30"/>
  <c r="C16" i="31"/>
  <c r="D23" i="30"/>
  <c r="E50" i="23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D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F16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E39" i="20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D23" i="34" l="1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5" i="37"/>
  <c r="F39" i="37"/>
  <c r="F35" i="37" s="1"/>
  <c r="E41" i="35"/>
  <c r="E34" i="20"/>
  <c r="E37" i="22"/>
  <c r="C112" i="3"/>
  <c r="E49" i="21" s="1"/>
  <c r="E25" i="30"/>
  <c r="E27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E5" i="38" l="1"/>
  <c r="F5" i="38"/>
  <c r="G5" i="38"/>
  <c r="C5" i="38"/>
  <c r="D5" i="38"/>
  <c r="F26" i="34"/>
  <c r="F5" i="34" s="1"/>
  <c r="G26" i="34"/>
  <c r="G5" i="34" s="1"/>
  <c r="E26" i="34"/>
  <c r="E5" i="34" s="1"/>
  <c r="C26" i="34"/>
  <c r="C5" i="34" s="1"/>
  <c r="E29" i="35"/>
  <c r="G28" i="37"/>
  <c r="G27" i="37" s="1"/>
  <c r="G5" i="37" s="1"/>
  <c r="F28" i="37"/>
  <c r="F27" i="37" s="1"/>
  <c r="F5" i="37" s="1"/>
  <c r="E28" i="37"/>
  <c r="E27" i="37" s="1"/>
  <c r="E5" i="37" s="1"/>
  <c r="E42" i="37" s="1"/>
  <c r="C28" i="37"/>
  <c r="C27" i="37" s="1"/>
  <c r="C5" i="37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E47" i="23"/>
  <c r="E51" i="36" s="1"/>
  <c r="E44" i="21"/>
  <c r="E35" i="31"/>
  <c r="E31" i="31" s="1"/>
  <c r="G35" i="31"/>
  <c r="G31" i="31" s="1"/>
  <c r="C31" i="3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C27" i="29" s="1"/>
  <c r="D37" i="29"/>
  <c r="D33" i="29" s="1"/>
  <c r="F37" i="29"/>
  <c r="F33" i="29" s="1"/>
  <c r="G37" i="29"/>
  <c r="G33" i="29" s="1"/>
  <c r="C33" i="29"/>
  <c r="E37" i="29"/>
  <c r="E33" i="29" s="1"/>
  <c r="F5" i="30"/>
  <c r="Q54" i="2"/>
  <c r="D5" i="30"/>
  <c r="G5" i="30"/>
  <c r="V54" i="9"/>
  <c r="C5" i="30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G41" i="29" s="1"/>
  <c r="C26" i="29"/>
  <c r="C25" i="29" s="1"/>
  <c r="C5" i="29" s="1"/>
  <c r="D26" i="29"/>
  <c r="D25" i="29" s="1"/>
  <c r="D5" i="29" s="1"/>
  <c r="D41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F41" i="29" l="1"/>
  <c r="D42" i="37"/>
  <c r="C42" i="37"/>
  <c r="F42" i="37"/>
  <c r="G42" i="37"/>
  <c r="C41" i="29"/>
  <c r="E41" i="29"/>
  <c r="G50" i="30"/>
  <c r="C42" i="30"/>
  <c r="C48" i="38"/>
  <c r="C44" i="38" s="1"/>
  <c r="G42" i="30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0" i="34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42" i="23"/>
  <c r="E46" i="36" s="1"/>
  <c r="C40" i="31" l="1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C38" i="38" l="1"/>
  <c r="C51" i="38" s="1"/>
  <c r="C50" i="30"/>
</calcChain>
</file>

<file path=xl/sharedStrings.xml><?xml version="1.0" encoding="utf-8"?>
<sst xmlns="http://schemas.openxmlformats.org/spreadsheetml/2006/main" count="3478" uniqueCount="498">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</sst>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E+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8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168" fontId="0" fillId="0" borderId="0" xfId="0" applyNumberForma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IC_FR/Assessmen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2">
          <cell r="C22">
            <v>-6.2584498828987403E-5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G51"/>
  <sheetViews>
    <sheetView tabSelected="1" topLeftCell="A25" zoomScaleNormal="100" workbookViewId="0">
      <selection activeCell="H48" sqref="H48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64.523122487452923</v>
      </c>
      <c r="D5" s="112">
        <f>SUM(D6,D9,D12,D16,D27)</f>
        <v>12.136919211846868</v>
      </c>
      <c r="E5" s="112">
        <f>SUM(E6,E9,E12,E16,E27)</f>
        <v>635.68926661540377</v>
      </c>
      <c r="F5" s="112">
        <f>SUM(F6,F9,F12,F16,F27)</f>
        <v>1.3928493842029554E-4</v>
      </c>
      <c r="G5" s="112">
        <f>SUM(G6,G9,G12,G16,G27)</f>
        <v>15.914782175900458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>SUM(D7:D8)</f>
        <v>0.11916920601637257</v>
      </c>
      <c r="E6" s="115">
        <f>SUM(E7:E8)</f>
        <v>116.96082759610819</v>
      </c>
      <c r="F6" s="115">
        <f>SUM(F7:F8)</f>
        <v>7.7420482538410759E-7</v>
      </c>
      <c r="G6" s="115">
        <f>SUM(G7:G8)</f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>SUM(D10:D11)</f>
        <v>1.776054546690981</v>
      </c>
      <c r="E9" s="112">
        <f>SUM(E10:E11)</f>
        <v>70.109593887244714</v>
      </c>
      <c r="F9" s="112">
        <f>SUM(F10:F11)</f>
        <v>3.9183035816743554E-5</v>
      </c>
      <c r="G9" s="112">
        <f>SUM(G10:G11)</f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>SUM(D13:D15)</f>
        <v>2.7873234481033835</v>
      </c>
      <c r="E12" s="115">
        <f>SUM(E13:E15)</f>
        <v>416.86802336275355</v>
      </c>
      <c r="F12" s="115">
        <f>SUM(F13:F15)</f>
        <v>4.5598347798669536E-5</v>
      </c>
      <c r="G12" s="115">
        <f>SUM(G13:G15)</f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>SUM(D17:D26)</f>
        <v>7.2504014430452663</v>
      </c>
      <c r="E16" s="118">
        <f>SUM(E17:E26)</f>
        <v>7.1324960400400128</v>
      </c>
      <c r="F16" s="118">
        <f>SUM(F17:F26)</f>
        <v>5.3325991838941126E-5</v>
      </c>
      <c r="G16" s="118">
        <f>SUM(G17:G26)</f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272</v>
      </c>
      <c r="B27" s="114"/>
      <c r="C27" s="115">
        <f>'LCIA_AD-b'!C25</f>
        <v>0.23986336868347383</v>
      </c>
      <c r="D27" s="115">
        <f>'LCIA_AD-b'!D25</f>
        <v>0.2039705679908648</v>
      </c>
      <c r="E27" s="115">
        <f>'LCIA_AD-b'!E25</f>
        <v>24.618325729257286</v>
      </c>
      <c r="F27" s="115">
        <f>'LCIA_AD-b'!F25</f>
        <v>4.0335814055722942E-7</v>
      </c>
      <c r="G27" s="115">
        <f>'LCIA_AD-b'!G25</f>
        <v>0.2542157415208825</v>
      </c>
    </row>
    <row r="28" spans="1:7" x14ac:dyDescent="0.35">
      <c r="A28" s="114"/>
      <c r="B28" s="114" t="s">
        <v>273</v>
      </c>
      <c r="C28" s="114">
        <f>'LCIA_AD-b'!C26</f>
        <v>0.15696910819275928</v>
      </c>
      <c r="D28" s="114">
        <f>'LCIA_AD-b'!D26</f>
        <v>2.4102212737902536E-2</v>
      </c>
      <c r="E28" s="114">
        <f>'LCIA_AD-b'!E26</f>
        <v>23.655563739639575</v>
      </c>
      <c r="F28" s="114">
        <f>'LCIA_AD-b'!F26</f>
        <v>1.565844904727716E-7</v>
      </c>
      <c r="G28" s="114">
        <f>'LCIA_AD-b'!G26</f>
        <v>0.25468114343384457</v>
      </c>
    </row>
    <row r="29" spans="1:7" x14ac:dyDescent="0.35">
      <c r="A29" s="114"/>
      <c r="B29" s="114" t="s">
        <v>427</v>
      </c>
      <c r="C29" s="131">
        <f>'LCIA_AD-b'!C27</f>
        <v>8.289426049071455E-2</v>
      </c>
      <c r="D29" s="131">
        <f>'LCIA_AD-b'!D27</f>
        <v>0.17986835525296227</v>
      </c>
      <c r="E29" s="131">
        <f>'LCIA_AD-b'!E27</f>
        <v>0.96276198961770965</v>
      </c>
      <c r="F29" s="131">
        <f>'LCIA_AD-b'!F27</f>
        <v>2.4677365008445785E-7</v>
      </c>
      <c r="G29" s="131">
        <f>'LCIA_AD-b'!G27</f>
        <v>-4.6540191296209324E-4</v>
      </c>
    </row>
    <row r="30" spans="1:7" x14ac:dyDescent="0.35">
      <c r="A30" s="113" t="s">
        <v>287</v>
      </c>
      <c r="B30" s="114"/>
      <c r="C30" s="136">
        <f>'LCIA_AD-b'!C28</f>
        <v>20.023161550779676</v>
      </c>
      <c r="D30" s="136">
        <f>'LCIA_AD-b'!D28</f>
        <v>5.5377949616824766</v>
      </c>
      <c r="E30" s="136">
        <f>'LCIA_AD-b'!E28</f>
        <v>61.671424253960097</v>
      </c>
      <c r="F30" s="136">
        <f>'LCIA_AD-b'!F28</f>
        <v>3.6457711739845012E-5</v>
      </c>
      <c r="G30" s="136">
        <f>'LCIA_AD-b'!G28</f>
        <v>0.42904899156069698</v>
      </c>
    </row>
    <row r="31" spans="1:7" x14ac:dyDescent="0.35">
      <c r="A31" s="114"/>
      <c r="B31" s="114" t="s">
        <v>96</v>
      </c>
      <c r="C31" s="134">
        <f>'LCIA_AD-b'!C29</f>
        <v>2.3821711546319135</v>
      </c>
      <c r="D31" s="134">
        <f>'LCIA_AD-b'!D29</f>
        <v>0</v>
      </c>
      <c r="E31" s="134">
        <f>'LCIA_AD-b'!E29</f>
        <v>0</v>
      </c>
      <c r="F31" s="134">
        <f>'LCIA_AD-b'!F29</f>
        <v>0</v>
      </c>
      <c r="G31" s="134">
        <f>'LCIA_AD-b'!G29</f>
        <v>0</v>
      </c>
    </row>
    <row r="32" spans="1:7" x14ac:dyDescent="0.35">
      <c r="A32" s="114"/>
      <c r="B32" s="114" t="s">
        <v>111</v>
      </c>
      <c r="C32" s="134">
        <f>'LCIA_AD-b'!C30</f>
        <v>17.012982491752076</v>
      </c>
      <c r="D32" s="134">
        <f>'LCIA_AD-b'!D30</f>
        <v>0</v>
      </c>
      <c r="E32" s="134">
        <f>'LCIA_AD-b'!E30</f>
        <v>0</v>
      </c>
      <c r="F32" s="134">
        <f>'LCIA_AD-b'!F30</f>
        <v>0</v>
      </c>
      <c r="G32" s="134">
        <f>'LCIA_AD-b'!G30</f>
        <v>0</v>
      </c>
    </row>
    <row r="33" spans="1:7" x14ac:dyDescent="0.35">
      <c r="A33" s="114"/>
      <c r="B33" s="114" t="s">
        <v>110</v>
      </c>
      <c r="C33" s="135">
        <f>'LCIA_AD-b'!C31</f>
        <v>0</v>
      </c>
      <c r="D33" s="135">
        <f>'LCIA_AD-b'!D31</f>
        <v>5.3456952796906902</v>
      </c>
      <c r="E33" s="135">
        <f>'LCIA_AD-b'!E31</f>
        <v>0</v>
      </c>
      <c r="F33" s="135">
        <f>'LCIA_AD-b'!F31</f>
        <v>3.5968540350410269E-5</v>
      </c>
      <c r="G33" s="135">
        <f>'LCIA_AD-b'!G31</f>
        <v>0</v>
      </c>
    </row>
    <row r="34" spans="1:7" x14ac:dyDescent="0.35">
      <c r="A34" s="114"/>
      <c r="B34" s="114" t="s">
        <v>288</v>
      </c>
      <c r="C34" s="135">
        <f>'LCIA_AD-b'!C32</f>
        <v>0</v>
      </c>
      <c r="D34" s="135">
        <f>'LCIA_AD-b'!D32</f>
        <v>7.8076707234924367E-2</v>
      </c>
      <c r="E34" s="135">
        <f>'LCIA_AD-b'!E32</f>
        <v>0</v>
      </c>
      <c r="F34" s="135">
        <f>'LCIA_AD-b'!F32</f>
        <v>5.059520896744001E-9</v>
      </c>
      <c r="G34" s="135">
        <f>'LCIA_AD-b'!G32</f>
        <v>0</v>
      </c>
    </row>
    <row r="35" spans="1:7" x14ac:dyDescent="0.35">
      <c r="A35" s="114"/>
      <c r="B35" s="114" t="s">
        <v>123</v>
      </c>
      <c r="C35" s="115">
        <f>'LCIA_AD-b'!C33</f>
        <v>0</v>
      </c>
      <c r="D35" s="115">
        <f>'LCIA_AD-b'!D33</f>
        <v>0</v>
      </c>
      <c r="E35" s="115">
        <f>'LCIA_AD-b'!E33</f>
        <v>0</v>
      </c>
      <c r="F35" s="115">
        <f>'LCIA_AD-b'!F33</f>
        <v>0</v>
      </c>
      <c r="G35" s="115">
        <f>'LCIA_AD-b'!G33</f>
        <v>0</v>
      </c>
    </row>
    <row r="36" spans="1:7" x14ac:dyDescent="0.35">
      <c r="A36" s="114"/>
      <c r="B36" s="114" t="s">
        <v>273</v>
      </c>
      <c r="C36" s="114">
        <f>'LCIA_AD-b'!C34</f>
        <v>0.24305617699473206</v>
      </c>
      <c r="D36" s="114">
        <f>'LCIA_AD-b'!D34</f>
        <v>3.7320666165691789E-2</v>
      </c>
      <c r="E36" s="114">
        <f>'LCIA_AD-b'!E34</f>
        <v>36.629060032318023</v>
      </c>
      <c r="F36" s="114">
        <f>'LCIA_AD-b'!F34</f>
        <v>2.4246062215148331E-7</v>
      </c>
      <c r="G36" s="114">
        <f>'LCIA_AD-b'!G34</f>
        <v>0.39435673546454347</v>
      </c>
    </row>
    <row r="37" spans="1:7" x14ac:dyDescent="0.35">
      <c r="A37" s="114"/>
      <c r="B37" s="114" t="s">
        <v>289</v>
      </c>
      <c r="C37" s="114">
        <f>'LCIA_AD-b'!C35</f>
        <v>0.38495172740095668</v>
      </c>
      <c r="D37" s="114">
        <f>'LCIA_AD-b'!D35</f>
        <v>7.6702308591170859E-2</v>
      </c>
      <c r="E37" s="114">
        <f>'LCIA_AD-b'!E35</f>
        <v>25.042364221642071</v>
      </c>
      <c r="F37" s="114">
        <f>'LCIA_AD-b'!F35</f>
        <v>2.416512463865165E-7</v>
      </c>
      <c r="G37" s="114">
        <f>'LCIA_AD-b'!G35</f>
        <v>3.4692256096153506E-2</v>
      </c>
    </row>
    <row r="38" spans="1:7" x14ac:dyDescent="0.35">
      <c r="A38" s="113" t="s">
        <v>353</v>
      </c>
      <c r="B38" s="114"/>
      <c r="C38" s="114">
        <f>'LCIA_AD-b'!C36</f>
        <v>-27.214300839017277</v>
      </c>
      <c r="D38" s="114">
        <f>'LCIA_AD-b'!D36</f>
        <v>7.1951540722679077</v>
      </c>
      <c r="E38" s="114">
        <f>'LCIA_AD-b'!E36</f>
        <v>0</v>
      </c>
      <c r="F38" s="114">
        <f>'LCIA_AD-b'!F36</f>
        <v>1.4004955712866033E-5</v>
      </c>
      <c r="G38" s="114">
        <f>'LCIA_AD-b'!G36</f>
        <v>0</v>
      </c>
    </row>
    <row r="39" spans="1:7" x14ac:dyDescent="0.35">
      <c r="A39" s="114"/>
      <c r="B39" s="114" t="s">
        <v>111</v>
      </c>
      <c r="C39" s="117">
        <f>'LCIA_AD-b'!C37</f>
        <v>3.6020203114535199</v>
      </c>
      <c r="D39" s="117">
        <f>'LCIA_AD-b'!D37</f>
        <v>0</v>
      </c>
      <c r="E39" s="117">
        <f>'LCIA_AD-b'!E37</f>
        <v>0</v>
      </c>
      <c r="F39" s="117">
        <f>'LCIA_AD-b'!F37</f>
        <v>0</v>
      </c>
      <c r="G39" s="117">
        <f>'LCIA_AD-b'!G37</f>
        <v>0</v>
      </c>
    </row>
    <row r="40" spans="1:7" x14ac:dyDescent="0.35">
      <c r="A40" s="114"/>
      <c r="B40" s="114" t="s">
        <v>110</v>
      </c>
      <c r="C40" s="114">
        <f>'LCIA_AD-b'!C38</f>
        <v>0</v>
      </c>
      <c r="D40" s="114">
        <f>'LCIA_AD-b'!D38</f>
        <v>2.0814363028687977</v>
      </c>
      <c r="E40" s="114">
        <f>'LCIA_AD-b'!E38</f>
        <v>0</v>
      </c>
      <c r="F40" s="114">
        <f>'LCIA_AD-b'!F38</f>
        <v>1.4004955712866033E-5</v>
      </c>
      <c r="G40" s="114">
        <f>'LCIA_AD-b'!G38</f>
        <v>0</v>
      </c>
    </row>
    <row r="41" spans="1:7" x14ac:dyDescent="0.35">
      <c r="A41" s="114"/>
      <c r="B41" s="114" t="s">
        <v>114</v>
      </c>
      <c r="C41" s="114">
        <f>'LCIA_AD-b'!C39</f>
        <v>0</v>
      </c>
      <c r="D41" s="114">
        <f>'LCIA_AD-b'!D39</f>
        <v>5.2372357739406041</v>
      </c>
      <c r="E41" s="114">
        <f>'LCIA_AD-b'!E39</f>
        <v>0</v>
      </c>
      <c r="F41" s="114">
        <f>'LCIA_AD-b'!F39</f>
        <v>0</v>
      </c>
      <c r="G41" s="114">
        <f>'LCIA_AD-b'!G39</f>
        <v>0</v>
      </c>
    </row>
    <row r="42" spans="1:7" x14ac:dyDescent="0.35">
      <c r="A42" s="114"/>
      <c r="B42" s="114" t="s">
        <v>414</v>
      </c>
      <c r="C42" s="114">
        <f>'LCIA_AD-b'!C40</f>
        <v>0</v>
      </c>
      <c r="D42" s="114">
        <f>'LCIA_AD-b'!D40</f>
        <v>-0.12351800454149389</v>
      </c>
      <c r="E42" s="114">
        <f>'LCIA_AD-b'!E40</f>
        <v>0</v>
      </c>
      <c r="F42" s="114">
        <f>'LCIA_AD-b'!F40</f>
        <v>0</v>
      </c>
      <c r="G42" s="114">
        <f>'LCIA_AD-b'!G40</f>
        <v>0</v>
      </c>
    </row>
    <row r="43" spans="1:7" x14ac:dyDescent="0.35">
      <c r="A43" s="114"/>
      <c r="B43" s="114" t="s">
        <v>415</v>
      </c>
      <c r="C43" s="114">
        <f>'LCIA_AD-b'!C41</f>
        <v>-30.816321150470795</v>
      </c>
      <c r="D43" s="114">
        <f>'LCIA_AD-b'!D41</f>
        <v>0</v>
      </c>
      <c r="E43" s="114">
        <f>'LCIA_AD-b'!E41</f>
        <v>0</v>
      </c>
      <c r="F43" s="114">
        <f>'LCIA_AD-b'!F41</f>
        <v>0</v>
      </c>
      <c r="G43" s="114">
        <f>'LCIA_AD-b'!G41</f>
        <v>0</v>
      </c>
    </row>
    <row r="44" spans="1:7" x14ac:dyDescent="0.35">
      <c r="A44" s="113" t="s">
        <v>421</v>
      </c>
      <c r="B44" s="114"/>
      <c r="C44" s="115">
        <f>SUM(C45:C49)</f>
        <v>0</v>
      </c>
      <c r="D44" s="115">
        <f>SUM(D45:D49)</f>
        <v>21.484152098230851</v>
      </c>
      <c r="E44" s="115">
        <f>SUM(E45:E49)</f>
        <v>5462.6153893986711</v>
      </c>
      <c r="F44" s="115">
        <f>SUM(F45:F49)</f>
        <v>8.1963163041322753E-5</v>
      </c>
      <c r="G44" s="115">
        <f>SUM(G45:G49)</f>
        <v>60.66885532438814</v>
      </c>
    </row>
    <row r="45" spans="1:7" x14ac:dyDescent="0.35">
      <c r="A45" s="114"/>
      <c r="B45" s="114" t="s">
        <v>228</v>
      </c>
      <c r="C45" s="114">
        <f>'LCIA_AD-b'!C43</f>
        <v>0</v>
      </c>
      <c r="D45" s="114">
        <f>'LCIA_AD-b'!D43</f>
        <v>2.059694637999725</v>
      </c>
      <c r="E45" s="114">
        <f>'LCIA_AD-b'!E43</f>
        <v>228.26827147082756</v>
      </c>
      <c r="F45" s="114">
        <f>'LCIA_AD-b'!F43</f>
        <v>1.1387281963638193E-5</v>
      </c>
      <c r="G45" s="114">
        <f>'LCIA_AD-b'!G43</f>
        <v>23.373765692874599</v>
      </c>
    </row>
    <row r="46" spans="1:7" x14ac:dyDescent="0.35">
      <c r="A46" s="114"/>
      <c r="B46" s="114" t="s">
        <v>230</v>
      </c>
      <c r="C46" s="114">
        <f>'LCIA_AD-b'!C44</f>
        <v>0</v>
      </c>
      <c r="D46" s="114">
        <f>'LCIA_AD-b'!D44</f>
        <v>5.8033748135817964</v>
      </c>
      <c r="E46" s="114">
        <f>'LCIA_AD-b'!E44</f>
        <v>218.31950486780622</v>
      </c>
      <c r="F46" s="114">
        <f>'LCIA_AD-b'!F44</f>
        <v>4.7898740522255537E-5</v>
      </c>
      <c r="G46" s="114">
        <f>'LCIA_AD-b'!G44</f>
        <v>29.538178374805231</v>
      </c>
    </row>
    <row r="47" spans="1:7" x14ac:dyDescent="0.35">
      <c r="A47" s="114"/>
      <c r="B47" s="114" t="s">
        <v>229</v>
      </c>
      <c r="C47" s="114">
        <f>'LCIA_AD-b'!C45</f>
        <v>0</v>
      </c>
      <c r="D47" s="114">
        <f>'LCIA_AD-b'!D45</f>
        <v>0.46221699116395226</v>
      </c>
      <c r="E47" s="114">
        <f>'LCIA_AD-b'!E45</f>
        <v>30.790657167218129</v>
      </c>
      <c r="F47" s="114">
        <f>'LCIA_AD-b'!F45</f>
        <v>2.1302278009307427E-6</v>
      </c>
      <c r="G47" s="114">
        <f>'LCIA_AD-b'!G45</f>
        <v>0.89360271143972314</v>
      </c>
    </row>
    <row r="48" spans="1:7" x14ac:dyDescent="0.35">
      <c r="A48" s="114"/>
      <c r="B48" s="114" t="s">
        <v>231</v>
      </c>
      <c r="C48" s="114">
        <f>'LCIA_AD-b'!C46</f>
        <v>0</v>
      </c>
      <c r="D48" s="114">
        <f>'LCIA_AD-b'!D46</f>
        <v>0.26016692421759646</v>
      </c>
      <c r="E48" s="114">
        <f>'LCIA_AD-b'!E46</f>
        <v>424.13181213239164</v>
      </c>
      <c r="F48" s="114">
        <f>'LCIA_AD-b'!F46</f>
        <v>4.8284247774503164E-7</v>
      </c>
      <c r="G48" s="114">
        <f>'LCIA_AD-b'!G46</f>
        <v>1.3478750962911963</v>
      </c>
    </row>
    <row r="49" spans="1:7" x14ac:dyDescent="0.35">
      <c r="A49" s="114"/>
      <c r="B49" s="114" t="s">
        <v>423</v>
      </c>
      <c r="C49" s="114">
        <v>0</v>
      </c>
      <c r="D49" s="114">
        <f>'LCI_AD-f'!$E52*'IW+f'!D39</f>
        <v>12.898698731267778</v>
      </c>
      <c r="E49" s="114">
        <f>'LCI_AD-f'!$E52*'IW+f'!E39</f>
        <v>4561.1051437604274</v>
      </c>
      <c r="F49" s="114">
        <f>'LCI_AD-f'!$E52*'IW+f'!F39</f>
        <v>2.0064070276753234E-5</v>
      </c>
      <c r="G49" s="114">
        <f>'LCI_AD-f'!$E52*'IW+f'!G39</f>
        <v>5.5154334489773911</v>
      </c>
    </row>
    <row r="50" spans="1:7" x14ac:dyDescent="0.35">
      <c r="A50" s="114"/>
      <c r="B50" s="114"/>
      <c r="C50" s="114"/>
      <c r="D50" s="114"/>
      <c r="E50" s="114"/>
      <c r="F50" s="114"/>
      <c r="G50" s="114"/>
    </row>
    <row r="51" spans="1:7" x14ac:dyDescent="0.35">
      <c r="A51" s="113" t="s">
        <v>494</v>
      </c>
      <c r="B51" s="114"/>
      <c r="C51" s="115">
        <f>C5+C38-C44</f>
        <v>37.308821648435647</v>
      </c>
      <c r="D51" s="115">
        <f>D5+D38-D44</f>
        <v>-2.1520788141160736</v>
      </c>
      <c r="E51" s="115">
        <f>E5+E38-E44</f>
        <v>-4826.9261227832676</v>
      </c>
      <c r="F51" s="115">
        <f>F5+F38-F44</f>
        <v>7.1326731091838803E-5</v>
      </c>
      <c r="G51" s="115">
        <f>G5+G38-G44</f>
        <v>-44.754073148487684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F41" sqref="F41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hidden="1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hidden="1" x14ac:dyDescent="0.35">
      <c r="A10" s="17" t="s">
        <v>255</v>
      </c>
      <c r="B10" s="17" t="s">
        <v>219</v>
      </c>
    </row>
    <row r="11" spans="1:7" hidden="1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G80"/>
  <sheetViews>
    <sheetView topLeftCell="A22" workbookViewId="0">
      <selection activeCell="C40" sqref="C40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100.41025697281384</v>
      </c>
      <c r="D5" s="112">
        <f>SUM(D6,D9,D12,D16,D27)</f>
        <v>11.932948643856003</v>
      </c>
      <c r="E5" s="112">
        <f>SUM(E6,E9,E12,E16,E27)</f>
        <v>611.07094088614645</v>
      </c>
      <c r="F5" s="112">
        <f>SUM(F6,F9,F12,F16,F27)</f>
        <v>1.3888158027973831E-4</v>
      </c>
      <c r="G5" s="112">
        <f>SUM(G6,G9,G12,G16,G27)</f>
        <v>15.660566434379575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>SUM(D7:D8)</f>
        <v>0.11916920601637257</v>
      </c>
      <c r="E6" s="115">
        <f>SUM(E7:E8)</f>
        <v>116.96082759610819</v>
      </c>
      <c r="F6" s="115">
        <f>SUM(F7:F8)</f>
        <v>7.7420482538410759E-7</v>
      </c>
      <c r="G6" s="115">
        <f>SUM(G7:G8)</f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>SUM(D10:D11)</f>
        <v>1.776054546690981</v>
      </c>
      <c r="E9" s="112">
        <f>SUM(E10:E11)</f>
        <v>70.109593887244714</v>
      </c>
      <c r="F9" s="112">
        <f>SUM(F10:F11)</f>
        <v>3.9183035816743554E-5</v>
      </c>
      <c r="G9" s="112">
        <f>SUM(G10:G11)</f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>SUM(D13:D15)</f>
        <v>2.7873234481033835</v>
      </c>
      <c r="E12" s="115">
        <f>SUM(E13:E15)</f>
        <v>416.86802336275355</v>
      </c>
      <c r="F12" s="115">
        <f>SUM(F13:F15)</f>
        <v>4.5598347798669536E-5</v>
      </c>
      <c r="G12" s="115">
        <f>SUM(G13:G15)</f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>SUM(D17:D26)</f>
        <v>7.2504014430452663</v>
      </c>
      <c r="E16" s="118">
        <f>SUM(E17:E26)</f>
        <v>7.1324960400400128</v>
      </c>
      <c r="F16" s="118">
        <f>SUM(F17:F26)</f>
        <v>5.3325991838941126E-5</v>
      </c>
      <c r="G16" s="118">
        <f>SUM(G17:G26)</f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100</v>
      </c>
      <c r="B27" s="114"/>
      <c r="C27" s="115">
        <f>C28</f>
        <v>36.12699785404439</v>
      </c>
      <c r="D27" s="115">
        <f>D28</f>
        <v>0</v>
      </c>
      <c r="E27" s="115">
        <f>E28</f>
        <v>0</v>
      </c>
      <c r="F27" s="115">
        <f>F28</f>
        <v>0</v>
      </c>
      <c r="G27" s="115">
        <f>G28</f>
        <v>0</v>
      </c>
    </row>
    <row r="28" spans="1:7" x14ac:dyDescent="0.35">
      <c r="A28" s="114"/>
      <c r="B28" s="114" t="s">
        <v>96</v>
      </c>
      <c r="C28" s="114">
        <f>'LCI_AD-a'!$E27*'IW+f'!C12</f>
        <v>36.12699785404439</v>
      </c>
      <c r="D28" s="114">
        <f>'LCI_AD-a'!$E27*'IW+f'!D12</f>
        <v>0</v>
      </c>
      <c r="E28" s="114">
        <f>'LCI_AD-a'!$E27*'IW+f'!E12</f>
        <v>0</v>
      </c>
      <c r="F28" s="114">
        <f>'LCI_AD-a'!$E27*'IW+f'!F12</f>
        <v>0</v>
      </c>
      <c r="G28" s="114">
        <f>'LCI_AD-a'!$E27*'IW+f'!G12</f>
        <v>0</v>
      </c>
    </row>
    <row r="29" spans="1:7" x14ac:dyDescent="0.35">
      <c r="A29" s="113" t="s">
        <v>108</v>
      </c>
      <c r="B29" s="114"/>
      <c r="C29" s="115">
        <f>SUM(C30:C34)</f>
        <v>-96.310982618440732</v>
      </c>
      <c r="D29" s="115">
        <f>SUM(D30:D34)</f>
        <v>108.30291146722087</v>
      </c>
      <c r="E29" s="115">
        <f>SUM(E30:E34)</f>
        <v>0</v>
      </c>
      <c r="F29" s="115">
        <f>SUM(F30:F34)</f>
        <v>7.6801640589139021E-4</v>
      </c>
      <c r="G29" s="115">
        <f>SUM(G30:G34)</f>
        <v>0</v>
      </c>
    </row>
    <row r="30" spans="1:7" x14ac:dyDescent="0.35">
      <c r="A30" s="114"/>
      <c r="B30" s="119" t="s">
        <v>111</v>
      </c>
      <c r="C30" s="119">
        <f>'LCI_AD-a'!$E30*'IW+f'!C20</f>
        <v>19.040938704967669</v>
      </c>
      <c r="D30" s="119">
        <f>'LCI_AD-a'!$E30*'IW+f'!D20</f>
        <v>0</v>
      </c>
      <c r="E30" s="119">
        <f>'LCI_AD-a'!$E30*'IW+f'!E20</f>
        <v>0</v>
      </c>
      <c r="F30" s="119">
        <f>'LCI_AD-a'!$E30*'IW+f'!F20</f>
        <v>0</v>
      </c>
      <c r="G30" s="119">
        <f>'LCI_AD-a'!$E30*'IW+f'!G20</f>
        <v>0</v>
      </c>
    </row>
    <row r="31" spans="1:7" x14ac:dyDescent="0.35">
      <c r="A31" s="114"/>
      <c r="B31" s="119" t="s">
        <v>110</v>
      </c>
      <c r="C31" s="119">
        <f>'LCI_AD-a'!$E31*'IW+f'!C18</f>
        <v>0</v>
      </c>
      <c r="D31" s="119">
        <f>'LCI_AD-a'!$E31*'IW+f'!D18</f>
        <v>114.14368322154571</v>
      </c>
      <c r="E31" s="119">
        <f>'LCI_AD-a'!$E31*'IW+f'!E18</f>
        <v>0</v>
      </c>
      <c r="F31" s="119">
        <f>'LCI_AD-a'!$E31*'IW+f'!F18</f>
        <v>7.6801640589139021E-4</v>
      </c>
      <c r="G31" s="119">
        <f>'LCI_AD-a'!$E31*'IW+f'!G18</f>
        <v>0</v>
      </c>
    </row>
    <row r="32" spans="1:7" x14ac:dyDescent="0.35">
      <c r="A32" s="114"/>
      <c r="B32" s="119" t="s">
        <v>114</v>
      </c>
      <c r="C32" s="119">
        <f>'LCI_AD-a'!$E32*'IW+f'!C21</f>
        <v>0</v>
      </c>
      <c r="D32" s="119">
        <f>'LCI_AD-a'!$E32*'IW+f'!D21</f>
        <v>-3.7432543535239895</v>
      </c>
      <c r="E32" s="119">
        <f>'LCI_AD-a'!$E32*'IW+f'!E21</f>
        <v>0</v>
      </c>
      <c r="F32" s="119">
        <f>'LCI_AD-a'!$E32*'IW+f'!F21</f>
        <v>0</v>
      </c>
      <c r="G32" s="119">
        <f>'LCI_AD-a'!$E32*'IW+f'!G21</f>
        <v>0</v>
      </c>
    </row>
    <row r="33" spans="1:7" x14ac:dyDescent="0.35">
      <c r="A33" s="114"/>
      <c r="B33" s="119" t="s">
        <v>414</v>
      </c>
      <c r="C33" s="120">
        <f>'LCI_AD-a'!$E33*'IW+f'!C25</f>
        <v>0</v>
      </c>
      <c r="D33" s="120">
        <f>'LCI_AD-a'!$E33*'IW+f'!D25</f>
        <v>-0.19421069896461307</v>
      </c>
      <c r="E33" s="120">
        <f>'LCI_AD-a'!$E33*'IW+f'!E25</f>
        <v>0</v>
      </c>
      <c r="F33" s="120">
        <f>'LCI_AD-a'!$E33*'IW+f'!F25</f>
        <v>0</v>
      </c>
      <c r="G33" s="120">
        <f>'LCI_AD-a'!$E33*'IW+f'!G25</f>
        <v>0</v>
      </c>
    </row>
    <row r="34" spans="1:7" x14ac:dyDescent="0.35">
      <c r="A34" s="114"/>
      <c r="B34" s="119" t="s">
        <v>415</v>
      </c>
      <c r="C34" s="120">
        <f>'LCI_AD-a'!$E34*'IW+f'!C26</f>
        <v>-115.3519213234084</v>
      </c>
      <c r="D34" s="120">
        <f>'LCI_AD-a'!$E34*'IW+f'!D26</f>
        <v>-1.9033067018362388</v>
      </c>
      <c r="E34" s="120">
        <f>'LCI_AD-a'!$E34*'IW+f'!E26</f>
        <v>0</v>
      </c>
      <c r="F34" s="120">
        <f>'LCI_AD-a'!$E34*'IW+f'!F26</f>
        <v>0</v>
      </c>
      <c r="G34" s="120">
        <f>'LCI_AD-a'!$E34*'IW+f'!G26</f>
        <v>0</v>
      </c>
    </row>
    <row r="35" spans="1:7" x14ac:dyDescent="0.35">
      <c r="A35" s="113" t="s">
        <v>421</v>
      </c>
      <c r="B35" s="114"/>
      <c r="C35" s="115">
        <f>SUM(C36:C40)</f>
        <v>0</v>
      </c>
      <c r="D35" s="115">
        <f>SUM(D36:D40)</f>
        <v>29.772595347537806</v>
      </c>
      <c r="E35" s="115">
        <f>SUM(E36:E40)</f>
        <v>7109.9944487605026</v>
      </c>
      <c r="F35" s="115">
        <f>SUM(F36:F40)</f>
        <v>1.3187706315801403E-4</v>
      </c>
      <c r="G35" s="115">
        <f>SUM(G36:G40)</f>
        <v>105.59636942816161</v>
      </c>
    </row>
    <row r="36" spans="1:7" x14ac:dyDescent="0.35">
      <c r="A36" s="114"/>
      <c r="B36" s="114" t="s">
        <v>228</v>
      </c>
      <c r="C36" s="114">
        <v>0</v>
      </c>
      <c r="D36" s="114">
        <f>'LCI_AD-a'!$E36*'IW+f'!D28</f>
        <v>3.7699223208212893</v>
      </c>
      <c r="E36" s="114">
        <f>'LCI_AD-a'!$E36*'IW+f'!E28</f>
        <v>417.80642425174938</v>
      </c>
      <c r="F36" s="114">
        <f>'LCI_AD-a'!$E36*'IW+f'!F28</f>
        <v>2.0842491724839379E-5</v>
      </c>
      <c r="G36" s="114">
        <f>'LCI_AD-a'!$E36*'IW+f'!G28</f>
        <v>42.781720834497129</v>
      </c>
    </row>
    <row r="37" spans="1:7" x14ac:dyDescent="0.35">
      <c r="A37" s="114"/>
      <c r="B37" s="114" t="s">
        <v>230</v>
      </c>
      <c r="C37" s="114">
        <v>0</v>
      </c>
      <c r="D37" s="114">
        <f>'LCI_AD-a'!$E37*'IW+f'!D30</f>
        <v>9.1248031660091158</v>
      </c>
      <c r="E37" s="114">
        <f>'LCI_AD-a'!$E37*'IW+f'!E30</f>
        <v>343.26966174183377</v>
      </c>
      <c r="F37" s="114">
        <f>'LCI_AD-a'!$E37*'IW+f'!F30</f>
        <v>7.5312485097886082E-5</v>
      </c>
      <c r="G37" s="114">
        <f>'LCI_AD-a'!$E37*'IW+f'!G30</f>
        <v>46.443676689945342</v>
      </c>
    </row>
    <row r="38" spans="1:7" x14ac:dyDescent="0.35">
      <c r="A38" s="114"/>
      <c r="B38" s="114" t="s">
        <v>229</v>
      </c>
      <c r="C38" s="114">
        <v>0</v>
      </c>
      <c r="D38" s="114">
        <f>'LCI_AD-a'!$E38*'IW+f'!D29</f>
        <v>3.0053120361765435</v>
      </c>
      <c r="E38" s="114">
        <f>'LCI_AD-a'!$E38*'IW+f'!E29</f>
        <v>200.1993313863338</v>
      </c>
      <c r="F38" s="114">
        <f>'LCI_AD-a'!$E38*'IW+f'!F29</f>
        <v>1.3850635896818876E-5</v>
      </c>
      <c r="G38" s="114">
        <f>'LCI_AD-a'!$E38*'IW+f'!G29</f>
        <v>5.8101606725599693</v>
      </c>
    </row>
    <row r="39" spans="1:7" x14ac:dyDescent="0.35">
      <c r="A39" s="114"/>
      <c r="B39" s="114" t="s">
        <v>231</v>
      </c>
      <c r="C39" s="117">
        <v>0</v>
      </c>
      <c r="D39" s="117">
        <f>'LCI_AD-a'!$E39*'IW+f'!D31</f>
        <v>0.97385909326307918</v>
      </c>
      <c r="E39" s="117">
        <f>'LCI_AD-a'!$E39*'IW+f'!E31</f>
        <v>1587.6138876201587</v>
      </c>
      <c r="F39" s="117">
        <f>'LCI_AD-a'!$E39*'IW+f'!F31</f>
        <v>1.8073801617164658E-6</v>
      </c>
      <c r="G39" s="117">
        <f>'LCI_AD-a'!$E39*'IW+f'!G31</f>
        <v>5.045377782181772</v>
      </c>
    </row>
    <row r="40" spans="1:7" x14ac:dyDescent="0.35">
      <c r="A40" s="114"/>
      <c r="B40" s="114" t="s">
        <v>423</v>
      </c>
      <c r="C40" s="114">
        <v>0</v>
      </c>
      <c r="D40" s="114">
        <f>'LCI_AD-e'!$E27*'IW+f'!D39</f>
        <v>12.898698731267778</v>
      </c>
      <c r="E40" s="114">
        <f>'LCI_AD-e'!$E27*'IW+f'!E39</f>
        <v>4561.1051437604274</v>
      </c>
      <c r="F40" s="114">
        <f>'LCI_AD-e'!$E27*'IW+f'!F39</f>
        <v>2.0064070276753234E-5</v>
      </c>
      <c r="G40" s="114">
        <f>'LCI_AD-e'!$E27*'IW+f'!G39</f>
        <v>5.5154334489773911</v>
      </c>
    </row>
    <row r="41" spans="1:7" x14ac:dyDescent="0.35">
      <c r="A41" s="113"/>
      <c r="B41" s="113"/>
      <c r="C41" s="113"/>
      <c r="D41" s="113"/>
      <c r="E41" s="113"/>
      <c r="F41" s="113"/>
      <c r="G41" s="113"/>
    </row>
    <row r="42" spans="1:7" x14ac:dyDescent="0.35">
      <c r="A42" s="113" t="s">
        <v>494</v>
      </c>
      <c r="B42" s="113"/>
      <c r="C42" s="115">
        <f>C5+C29-C35</f>
        <v>4.0992743543731081</v>
      </c>
      <c r="D42" s="115">
        <f>D5+D29-D35</f>
        <v>90.463264763539073</v>
      </c>
      <c r="E42" s="115">
        <f>E5+E29-E35</f>
        <v>-6498.9235078743559</v>
      </c>
      <c r="F42" s="115">
        <f>F5+F29-F35</f>
        <v>7.7502092301311447E-4</v>
      </c>
      <c r="G42" s="115">
        <f>G5+G29-G35</f>
        <v>-89.935802993782033</v>
      </c>
    </row>
    <row r="45" spans="1:7" x14ac:dyDescent="0.35">
      <c r="A45" t="s">
        <v>0</v>
      </c>
    </row>
    <row r="46" spans="1:7" x14ac:dyDescent="0.35">
      <c r="A46" t="s">
        <v>6</v>
      </c>
    </row>
    <row r="47" spans="1:7" x14ac:dyDescent="0.35">
      <c r="A47" t="s">
        <v>5</v>
      </c>
    </row>
    <row r="48" spans="1:7" x14ac:dyDescent="0.35">
      <c r="B48" t="s">
        <v>249</v>
      </c>
    </row>
    <row r="49" spans="1:2" x14ac:dyDescent="0.35">
      <c r="B49" t="s">
        <v>250</v>
      </c>
    </row>
    <row r="50" spans="1:2" x14ac:dyDescent="0.35">
      <c r="A50" t="s">
        <v>235</v>
      </c>
    </row>
    <row r="51" spans="1:2" x14ac:dyDescent="0.35">
      <c r="B51" t="s">
        <v>286</v>
      </c>
    </row>
    <row r="52" spans="1:2" x14ac:dyDescent="0.35">
      <c r="B52" t="s">
        <v>235</v>
      </c>
    </row>
    <row r="53" spans="1:2" x14ac:dyDescent="0.35">
      <c r="A53" t="s">
        <v>6</v>
      </c>
    </row>
    <row r="54" spans="1:2" x14ac:dyDescent="0.35">
      <c r="B54" t="s">
        <v>8</v>
      </c>
    </row>
    <row r="55" spans="1:2" x14ac:dyDescent="0.35">
      <c r="B55" t="s">
        <v>18</v>
      </c>
    </row>
    <row r="56" spans="1:2" x14ac:dyDescent="0.35">
      <c r="B56" t="s">
        <v>96</v>
      </c>
    </row>
    <row r="57" spans="1:2" x14ac:dyDescent="0.35">
      <c r="A57" t="s">
        <v>7</v>
      </c>
    </row>
    <row r="58" spans="1:2" x14ac:dyDescent="0.35">
      <c r="B58" t="s">
        <v>50</v>
      </c>
    </row>
    <row r="59" spans="1:2" x14ac:dyDescent="0.35">
      <c r="B59" t="s">
        <v>51</v>
      </c>
    </row>
    <row r="60" spans="1:2" x14ac:dyDescent="0.35">
      <c r="B60" t="s">
        <v>52</v>
      </c>
    </row>
    <row r="61" spans="1:2" x14ac:dyDescent="0.35">
      <c r="B61" t="s">
        <v>53</v>
      </c>
    </row>
    <row r="62" spans="1:2" x14ac:dyDescent="0.35">
      <c r="B62" t="s">
        <v>54</v>
      </c>
    </row>
    <row r="63" spans="1:2" x14ac:dyDescent="0.35">
      <c r="B63" t="s">
        <v>55</v>
      </c>
    </row>
    <row r="64" spans="1:2" x14ac:dyDescent="0.35">
      <c r="B64" t="s">
        <v>58</v>
      </c>
    </row>
    <row r="65" spans="1:2" x14ac:dyDescent="0.35">
      <c r="B65" t="s">
        <v>59</v>
      </c>
    </row>
    <row r="66" spans="1:2" x14ac:dyDescent="0.35">
      <c r="A66" t="s">
        <v>100</v>
      </c>
    </row>
    <row r="67" spans="1:2" x14ac:dyDescent="0.35">
      <c r="B67" t="s">
        <v>96</v>
      </c>
    </row>
    <row r="68" spans="1:2" x14ac:dyDescent="0.35">
      <c r="A68" t="s">
        <v>108</v>
      </c>
    </row>
    <row r="69" spans="1:2" x14ac:dyDescent="0.35">
      <c r="B69" t="s">
        <v>111</v>
      </c>
    </row>
    <row r="70" spans="1:2" x14ac:dyDescent="0.35">
      <c r="B70" t="s">
        <v>110</v>
      </c>
    </row>
    <row r="71" spans="1:2" x14ac:dyDescent="0.35">
      <c r="B71" t="s">
        <v>114</v>
      </c>
    </row>
    <row r="72" spans="1:2" x14ac:dyDescent="0.35">
      <c r="B72" t="s">
        <v>414</v>
      </c>
    </row>
    <row r="73" spans="1:2" x14ac:dyDescent="0.35">
      <c r="B73" t="s">
        <v>415</v>
      </c>
    </row>
    <row r="74" spans="1:2" x14ac:dyDescent="0.35">
      <c r="A74" t="s">
        <v>421</v>
      </c>
    </row>
    <row r="75" spans="1:2" x14ac:dyDescent="0.35">
      <c r="B75" t="s">
        <v>228</v>
      </c>
    </row>
    <row r="76" spans="1:2" x14ac:dyDescent="0.35">
      <c r="B76" t="s">
        <v>230</v>
      </c>
    </row>
    <row r="77" spans="1:2" x14ac:dyDescent="0.35">
      <c r="B77" t="s">
        <v>229</v>
      </c>
    </row>
    <row r="78" spans="1:2" x14ac:dyDescent="0.35">
      <c r="B78" t="s">
        <v>231</v>
      </c>
    </row>
    <row r="79" spans="1:2" x14ac:dyDescent="0.35">
      <c r="B79" t="s">
        <v>423</v>
      </c>
    </row>
    <row r="80" spans="1:2" x14ac:dyDescent="0.35">
      <c r="B80" t="s">
        <v>424</v>
      </c>
    </row>
  </sheetData>
  <mergeCells count="1"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31" workbookViewId="0">
      <selection activeCell="A44" sqref="A44:C44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7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7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7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7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9" t="s">
        <v>415</v>
      </c>
      <c r="E36" s="49">
        <f>'LCI_AD-a'!E34</f>
        <v>-115.3519213234084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157.6259364797985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7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7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7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7" t="s">
        <v>415</v>
      </c>
      <c r="E46">
        <f>'LCI_AD-d'!E42</f>
        <v>-30.816321150470795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42.109844591027695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H49"/>
  <sheetViews>
    <sheetView topLeftCell="A19" zoomScaleNormal="100" workbookViewId="0">
      <selection activeCell="C45" sqref="C45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5" width="11" bestFit="1" customWidth="1"/>
    <col min="6" max="6" width="12.1796875" bestFit="1" customWidth="1"/>
    <col min="7" max="7" width="11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SUM(C6,C9,C12,C16,C23,C26)</f>
        <v>150.20130726777239</v>
      </c>
      <c r="D5" s="124">
        <f>SUM(D6,D9,D12,D16,D23,D26)</f>
        <v>17.579182524942819</v>
      </c>
      <c r="E5" s="124">
        <f>SUM(E6,E9,E12,E16,E23,E26)</f>
        <v>1771.9128631729932</v>
      </c>
      <c r="F5" s="124">
        <f>SUM(F6,F9,F12,F16,F23,F26)</f>
        <v>1.8730310859468852E-4</v>
      </c>
      <c r="G5" s="124">
        <f>SUM(G6,G9,G12,G16,G23,G26)</f>
        <v>35.07861489095928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>SUM(D7:D8)</f>
        <v>0.11916920601637257</v>
      </c>
      <c r="E6" s="115">
        <f>SUM(E7:E8)</f>
        <v>116.96082759610819</v>
      </c>
      <c r="F6" s="115">
        <f>SUM(F7:F8)</f>
        <v>7.7420482538410759E-7</v>
      </c>
      <c r="G6" s="115">
        <f>SUM(G7:G8)</f>
        <v>1.2592266934323948</v>
      </c>
    </row>
    <row r="7" spans="1:7" x14ac:dyDescent="0.35">
      <c r="A7" s="114"/>
      <c r="B7" s="114" t="s">
        <v>249</v>
      </c>
      <c r="C7" s="114">
        <f>'LCI_AD-d'!$E4*'IW+f'!C2</f>
        <v>0.77610650091942801</v>
      </c>
      <c r="D7" s="114">
        <f>'LCI_AD-d'!$E4*'IW+f'!D2</f>
        <v>0.11916920601637257</v>
      </c>
      <c r="E7" s="114">
        <f>'LCI_AD-d'!$E4*'IW+f'!E2</f>
        <v>116.96082759610819</v>
      </c>
      <c r="F7" s="114">
        <f>'LCI_AD-d'!$E4*'IW+f'!F2</f>
        <v>7.7420482538410759E-7</v>
      </c>
      <c r="G7" s="114">
        <f>'LCI_AD-d'!$E4*'IW+f'!G2</f>
        <v>1.2592266934323948</v>
      </c>
    </row>
    <row r="8" spans="1:7" x14ac:dyDescent="0.35">
      <c r="A8" s="114"/>
      <c r="B8" s="114" t="s">
        <v>250</v>
      </c>
      <c r="C8" s="114">
        <f>'LCI_AD-d'!$E5*'IW+f'!C3</f>
        <v>0</v>
      </c>
      <c r="D8" s="114">
        <f>'LCI_AD-d'!$E5*'IW+f'!D3</f>
        <v>0</v>
      </c>
      <c r="E8" s="114">
        <f>'LCI_AD-d'!$E5*'IW+f'!E3</f>
        <v>0</v>
      </c>
      <c r="F8" s="114">
        <f>'LCI_AD-d'!$E5*'IW+f'!F3</f>
        <v>0</v>
      </c>
      <c r="G8" s="114">
        <f>'LCI_AD-d'!$E5*'IW+f'!G3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>SUM(D10:D11)</f>
        <v>1.776054546690981</v>
      </c>
      <c r="E9" s="112">
        <f>SUM(E10:E11)</f>
        <v>70.109593887244714</v>
      </c>
      <c r="F9" s="112">
        <f>SUM(F10:F11)</f>
        <v>3.9183035816743554E-5</v>
      </c>
      <c r="G9" s="112">
        <f>SUM(G10:G11)</f>
        <v>10.018540305643455</v>
      </c>
    </row>
    <row r="10" spans="1:7" x14ac:dyDescent="0.35">
      <c r="A10" s="114"/>
      <c r="B10" s="114" t="s">
        <v>286</v>
      </c>
      <c r="C10" s="116">
        <f>'LCI_AD-d'!$E7*'IW+f'!C4</f>
        <v>0.43472978582596905</v>
      </c>
      <c r="D10" s="116">
        <f>'LCI_AD-d'!$E7*'IW+f'!D4</f>
        <v>6.359420180299287E-2</v>
      </c>
      <c r="E10" s="116">
        <f>'LCI_AD-d'!$E7*'IW+f'!E4</f>
        <v>6.5761119524385903</v>
      </c>
      <c r="F10" s="116">
        <f>'LCI_AD-d'!$E7*'IW+f'!F4</f>
        <v>3.4579966311397133E-7</v>
      </c>
      <c r="G10" s="116">
        <f>'LCI_AD-d'!$E7*'IW+f'!G4</f>
        <v>3.9223403259142219E-2</v>
      </c>
    </row>
    <row r="11" spans="1:7" x14ac:dyDescent="0.35">
      <c r="A11" s="114"/>
      <c r="B11" s="114" t="s">
        <v>235</v>
      </c>
      <c r="C11" s="114">
        <f>'LCI_AD-d'!$E8*'IW+f'!C5</f>
        <v>9.056542744340673</v>
      </c>
      <c r="D11" s="114">
        <f>'LCI_AD-d'!$E8*'IW+f'!D5</f>
        <v>1.712460344887988</v>
      </c>
      <c r="E11" s="114">
        <f>'LCI_AD-d'!$E8*'IW+f'!E5</f>
        <v>63.533481934806119</v>
      </c>
      <c r="F11" s="114">
        <f>'LCI_AD-d'!$E8*'IW+f'!F5</f>
        <v>3.8837236153629584E-5</v>
      </c>
      <c r="G11" s="114">
        <f>'LCI_AD-d'!$E8*'IW+f'!G5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>SUM(D13:D15)</f>
        <v>2.7873234481033835</v>
      </c>
      <c r="E12" s="115">
        <f>SUM(E13:E15)</f>
        <v>416.86802336275355</v>
      </c>
      <c r="F12" s="115">
        <f>SUM(F13:F15)</f>
        <v>4.5598347798669536E-5</v>
      </c>
      <c r="G12" s="115">
        <f>SUM(G13:G15)</f>
        <v>4.3060093715788508</v>
      </c>
    </row>
    <row r="13" spans="1:7" x14ac:dyDescent="0.35">
      <c r="A13" s="114"/>
      <c r="B13" s="114" t="s">
        <v>8</v>
      </c>
      <c r="C13" s="114">
        <f>'LCI_AD-d'!$E10*'IW+f'!C2</f>
        <v>1.7365188542616061</v>
      </c>
      <c r="D13" s="114">
        <f>'LCI_AD-d'!$E10*'IW+f'!D2</f>
        <v>0.26663811326108211</v>
      </c>
      <c r="E13" s="114">
        <f>'LCI_AD-d'!$E10*'IW+f'!E2</f>
        <v>261.69692186584126</v>
      </c>
      <c r="F13" s="114">
        <f>'LCI_AD-d'!$E10*'IW+f'!F2</f>
        <v>1.7322639028884893E-6</v>
      </c>
      <c r="G13" s="114">
        <f>'LCI_AD-d'!$E10*'IW+f'!G2</f>
        <v>2.8174881828001381</v>
      </c>
    </row>
    <row r="14" spans="1:7" x14ac:dyDescent="0.35">
      <c r="A14" s="114"/>
      <c r="B14" s="114" t="s">
        <v>18</v>
      </c>
      <c r="C14" s="114">
        <f>'LCI_AD-d'!$E11*'IW+f'!C11</f>
        <v>9.6923673180164887</v>
      </c>
      <c r="D14" s="114">
        <f>'LCI_AD-d'!$E11*'IW+f'!D11</f>
        <v>2.5206853348423013</v>
      </c>
      <c r="E14" s="114">
        <f>'LCI_AD-d'!$E11*'IW+f'!E11</f>
        <v>155.17110149691229</v>
      </c>
      <c r="F14" s="114">
        <f>'LCI_AD-d'!$E11*'IW+f'!F11</f>
        <v>4.3866083895781045E-5</v>
      </c>
      <c r="G14" s="114">
        <f>'LCI_AD-d'!$E11*'IW+f'!G11</f>
        <v>1.4885211887787131</v>
      </c>
    </row>
    <row r="15" spans="1:7" x14ac:dyDescent="0.35">
      <c r="A15" s="114"/>
      <c r="B15" s="114" t="s">
        <v>96</v>
      </c>
      <c r="C15" s="114">
        <f>'LCI_AD-d'!$E12*'IW+f'!C12</f>
        <v>40.819825536389409</v>
      </c>
      <c r="D15" s="114">
        <f>'LCI_AD-d'!$E12*'IW+f'!D12</f>
        <v>0</v>
      </c>
      <c r="E15" s="114">
        <f>'LCI_AD-d'!$E12*'IW+f'!E12</f>
        <v>0</v>
      </c>
      <c r="F15" s="114">
        <f>'LCI_AD-d'!$E12*'IW+f'!F12</f>
        <v>0</v>
      </c>
      <c r="G15" s="114">
        <f>'LCI_AD-d'!$E12*'IW+f'!G12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>SUM(D17:D22)</f>
        <v>3.7790661744926783</v>
      </c>
      <c r="E16" s="115">
        <f>SUM(E17:E22)</f>
        <v>1081.6846683436693</v>
      </c>
      <c r="F16" s="115">
        <f>SUM(F17:F22)</f>
        <v>4.6055861501803745E-5</v>
      </c>
      <c r="G16" s="115">
        <f>SUM(G17:G22)</f>
        <v>18.811573787222997</v>
      </c>
    </row>
    <row r="17" spans="1:7" x14ac:dyDescent="0.35">
      <c r="A17" s="114"/>
      <c r="B17" s="132" t="s">
        <v>96</v>
      </c>
      <c r="C17" s="114">
        <f>'LCI_AD-d'!$E17*'IW+f'!C12</f>
        <v>46.976727533527409</v>
      </c>
      <c r="D17" s="114">
        <f>'LCI_AD-d'!$E17*'IW+f'!D12</f>
        <v>0</v>
      </c>
      <c r="E17" s="114">
        <f>'LCI_AD-d'!$E17*'IW+f'!E12</f>
        <v>0</v>
      </c>
      <c r="F17" s="114">
        <f>'LCI_AD-d'!$E17*'IW+f'!F12</f>
        <v>0</v>
      </c>
      <c r="G17" s="114">
        <f>'LCI_AD-d'!$E17*'IW+f'!G12</f>
        <v>0</v>
      </c>
    </row>
    <row r="18" spans="1:7" x14ac:dyDescent="0.35">
      <c r="A18" s="114"/>
      <c r="B18" s="132" t="s">
        <v>141</v>
      </c>
      <c r="C18" s="117">
        <f>'LCI_AD-d'!$E18*'IW+f'!C24</f>
        <v>0</v>
      </c>
      <c r="D18" s="117">
        <f>'LCI_AD-d'!$E18*'IW+f'!D24</f>
        <v>0</v>
      </c>
      <c r="E18" s="117">
        <f>'LCI_AD-d'!$E18*'IW+f'!E24</f>
        <v>0</v>
      </c>
      <c r="F18" s="117">
        <f>'LCI_AD-d'!$E18*'IW+f'!F24</f>
        <v>0</v>
      </c>
      <c r="G18" s="117">
        <f>'LCI_AD-d'!$E18*'IW+f'!G24</f>
        <v>0</v>
      </c>
    </row>
    <row r="19" spans="1:7" x14ac:dyDescent="0.35">
      <c r="A19" s="114"/>
      <c r="B19" s="132" t="s">
        <v>142</v>
      </c>
      <c r="C19" s="117">
        <f>'LCI_AD-d'!$E19*'IW+f'!C19</f>
        <v>0</v>
      </c>
      <c r="D19" s="117">
        <f>'LCI_AD-d'!$E19*'IW+f'!D19</f>
        <v>2.4586879870811568E-2</v>
      </c>
      <c r="E19" s="117">
        <f>'LCI_AD-d'!$E19*'IW+f'!E19</f>
        <v>0</v>
      </c>
      <c r="F19" s="117">
        <f>'LCI_AD-d'!$E19*'IW+f'!F19</f>
        <v>1.3714821006997321E-7</v>
      </c>
      <c r="G19" s="117">
        <f>'LCI_AD-d'!$E19*'IW+f'!G19</f>
        <v>0</v>
      </c>
    </row>
    <row r="20" spans="1:7" x14ac:dyDescent="0.35">
      <c r="A20" s="114"/>
      <c r="B20" s="132" t="s">
        <v>8</v>
      </c>
      <c r="C20" s="114">
        <f>'LCI_AD-d'!$E20*'IW+f'!C2</f>
        <v>5.9160582417096848</v>
      </c>
      <c r="D20" s="114">
        <f>'LCI_AD-d'!$E20*'IW+f'!D2</f>
        <v>0.90839590001624215</v>
      </c>
      <c r="E20" s="114">
        <f>'LCI_AD-d'!$E20*'IW+f'!E2</f>
        <v>891.56200500500165</v>
      </c>
      <c r="F20" s="114">
        <f>'LCI_AD-d'!$E20*'IW+f'!F2</f>
        <v>5.9015622631159448E-6</v>
      </c>
      <c r="G20" s="114">
        <f>'LCI_AD-d'!$E20*'IW+f'!G2</f>
        <v>9.5987579656093427</v>
      </c>
    </row>
    <row r="21" spans="1:7" x14ac:dyDescent="0.35">
      <c r="A21" s="114"/>
      <c r="B21" s="132" t="s">
        <v>127</v>
      </c>
      <c r="C21" s="117">
        <f>'LCI_AD-d'!$E21*'IW+f'!C32</f>
        <v>0.66406480235916754</v>
      </c>
      <c r="D21" s="117">
        <f>'LCI_AD-d'!$E21*'IW+f'!D32</f>
        <v>0.1141432485813005</v>
      </c>
      <c r="E21" s="117">
        <f>'LCI_AD-d'!$E21*'IW+f'!E32</f>
        <v>8.3706898499265812</v>
      </c>
      <c r="F21" s="117">
        <f>'LCI_AD-d'!$E21*'IW+f'!F32</f>
        <v>9.7423405936760903E-7</v>
      </c>
      <c r="G21" s="117">
        <f>'LCI_AD-d'!$E21*'IW+f'!G32</f>
        <v>8.3275453035152963E-2</v>
      </c>
    </row>
    <row r="22" spans="1:7" x14ac:dyDescent="0.35">
      <c r="A22" s="114"/>
      <c r="B22" s="132" t="s">
        <v>134</v>
      </c>
      <c r="C22" s="117">
        <f>'LCI_AD-d'!$E22*'IW+f'!C33</f>
        <v>13.865341030959407</v>
      </c>
      <c r="D22" s="117">
        <f>'LCI_AD-d'!$E22*'IW+f'!D33</f>
        <v>2.731940146024324</v>
      </c>
      <c r="E22" s="117">
        <f>'LCI_AD-d'!$E22*'IW+f'!E33</f>
        <v>181.7519734887409</v>
      </c>
      <c r="F22" s="117">
        <f>'LCI_AD-d'!$E22*'IW+f'!F33</f>
        <v>3.9042916969250215E-5</v>
      </c>
      <c r="G22" s="117">
        <f>'LCI_AD-d'!$E22*'IW+f'!G33</f>
        <v>9.1295403685785033</v>
      </c>
    </row>
    <row r="23" spans="1:7" x14ac:dyDescent="0.35">
      <c r="A23" s="115" t="s">
        <v>272</v>
      </c>
      <c r="B23" s="114"/>
      <c r="C23" s="115">
        <f>SUM(C24:C25)</f>
        <v>0.23986336868347383</v>
      </c>
      <c r="D23" s="115">
        <f>SUM(D24:D25)</f>
        <v>0.2039705679908648</v>
      </c>
      <c r="E23" s="115">
        <f>SUM(E24:E25)</f>
        <v>24.618325729257286</v>
      </c>
      <c r="F23" s="115">
        <f>SUM(F24:F25)</f>
        <v>4.0335814055722942E-7</v>
      </c>
      <c r="G23" s="115">
        <f>SUM(G24:G25)</f>
        <v>0.2542157415208825</v>
      </c>
    </row>
    <row r="24" spans="1:7" x14ac:dyDescent="0.35">
      <c r="A24" s="114"/>
      <c r="B24" s="114" t="s">
        <v>273</v>
      </c>
      <c r="C24" s="114">
        <f>'LCI_AD-d'!$E25*'IW+f'!C2</f>
        <v>0.15696910819275928</v>
      </c>
      <c r="D24" s="114">
        <f>'LCI_AD-d'!$E25*'IW+f'!D2</f>
        <v>2.4102212737902536E-2</v>
      </c>
      <c r="E24" s="114">
        <f>'LCI_AD-d'!$E25*'IW+f'!E2</f>
        <v>23.655563739639575</v>
      </c>
      <c r="F24" s="114">
        <f>'LCI_AD-d'!$E25*'IW+f'!F2</f>
        <v>1.565844904727716E-7</v>
      </c>
      <c r="G24" s="114">
        <f>'LCI_AD-d'!$E25*'IW+f'!G2</f>
        <v>0.25468114343384457</v>
      </c>
    </row>
    <row r="25" spans="1:7" x14ac:dyDescent="0.35">
      <c r="A25" s="114"/>
      <c r="B25" s="114" t="s">
        <v>427</v>
      </c>
      <c r="C25" s="114">
        <f>'LCI_AD-d'!$E27*'IW+f'!C34</f>
        <v>8.289426049071455E-2</v>
      </c>
      <c r="D25" s="114">
        <f>'LCI_AD-d'!$E27*'IW+f'!D34</f>
        <v>0.17986835525296227</v>
      </c>
      <c r="E25" s="114">
        <f>'LCI_AD-d'!$E27*'IW+f'!E34</f>
        <v>0.96276198961770965</v>
      </c>
      <c r="F25" s="114">
        <f>'LCI_AD-d'!$E27*'IW+f'!F34</f>
        <v>2.4677365008445785E-7</v>
      </c>
      <c r="G25" s="114">
        <f>'LCI_AD-d'!$E27*'IW+f'!G34</f>
        <v>-4.6540191296209324E-4</v>
      </c>
    </row>
    <row r="26" spans="1:7" x14ac:dyDescent="0.35">
      <c r="A26" s="113" t="s">
        <v>287</v>
      </c>
      <c r="B26" s="114"/>
      <c r="C26" s="115">
        <f>SUM(C27:C33)</f>
        <v>20.023161550779676</v>
      </c>
      <c r="D26" s="115">
        <f>SUM(D27:D33)</f>
        <v>8.9135985816485395</v>
      </c>
      <c r="E26" s="115">
        <f>SUM(E27:E33)</f>
        <v>61.671424253960097</v>
      </c>
      <c r="F26" s="115">
        <f>SUM(F27:F33)</f>
        <v>5.5288300511530377E-5</v>
      </c>
      <c r="G26" s="115">
        <f>SUM(G27:G33)</f>
        <v>0.42904899156069698</v>
      </c>
    </row>
    <row r="27" spans="1:7" x14ac:dyDescent="0.35">
      <c r="A27" s="114"/>
      <c r="B27" s="114" t="s">
        <v>96</v>
      </c>
      <c r="C27" s="114">
        <f>'LCI_AD-d'!$E29*'IW+f'!C12</f>
        <v>2.3821711546319135</v>
      </c>
      <c r="D27" s="114">
        <f>'LCI_AD-d'!$E29*'IW+f'!D12</f>
        <v>0</v>
      </c>
      <c r="E27" s="114">
        <f>'LCI_AD-d'!$E29*'IW+f'!E12</f>
        <v>0</v>
      </c>
      <c r="F27" s="114">
        <f>'LCI_AD-d'!$E29*'IW+f'!F12</f>
        <v>0</v>
      </c>
      <c r="G27" s="114">
        <f>'LCI_AD-d'!$E29*'IW+f'!G12</f>
        <v>0</v>
      </c>
    </row>
    <row r="28" spans="1:7" x14ac:dyDescent="0.35">
      <c r="A28" s="114"/>
      <c r="B28" s="114" t="s">
        <v>111</v>
      </c>
      <c r="C28" s="114">
        <f>'LCI_AD-d'!$E30*'IW+f'!C20</f>
        <v>17.012982491752076</v>
      </c>
      <c r="D28" s="114">
        <f>'LCI_AD-d'!$E30*'IW+f'!D20</f>
        <v>0</v>
      </c>
      <c r="E28" s="114">
        <f>'LCI_AD-d'!$E30*'IW+f'!E20</f>
        <v>0</v>
      </c>
      <c r="F28" s="114">
        <f>'LCI_AD-d'!$E30*'IW+f'!F20</f>
        <v>0</v>
      </c>
      <c r="G28" s="114">
        <f>'LCI_AD-d'!$E30*'IW+f'!G20</f>
        <v>0</v>
      </c>
    </row>
    <row r="29" spans="1:7" x14ac:dyDescent="0.35">
      <c r="A29" s="114"/>
      <c r="B29" s="114" t="s">
        <v>110</v>
      </c>
      <c r="C29" s="114">
        <f>'LCI_AD-d'!$E31*'IW+f'!C18</f>
        <v>0</v>
      </c>
      <c r="D29" s="114">
        <f>'LCI_AD-d'!$E31*'IW+f'!D18</f>
        <v>5.3456952796906902</v>
      </c>
      <c r="E29" s="114">
        <f>'LCI_AD-d'!$E31*'IW+f'!E18</f>
        <v>0</v>
      </c>
      <c r="F29" s="114">
        <f>'LCI_AD-d'!$E31*'IW+f'!F18</f>
        <v>3.5968540350410269E-5</v>
      </c>
      <c r="G29" s="114">
        <f>'LCI_AD-d'!$E31*'IW+f'!G18</f>
        <v>0</v>
      </c>
    </row>
    <row r="30" spans="1:7" x14ac:dyDescent="0.35">
      <c r="A30" s="114"/>
      <c r="B30" s="114" t="s">
        <v>288</v>
      </c>
      <c r="C30" s="114">
        <f>'LCI_AD-d'!$E32*'IW+f'!C23</f>
        <v>0</v>
      </c>
      <c r="D30" s="114">
        <f>'LCI_AD-d'!$E32*'IW+f'!D23</f>
        <v>7.8076707234924367E-2</v>
      </c>
      <c r="E30" s="114">
        <f>'LCI_AD-d'!$E32*'IW+f'!E23</f>
        <v>0</v>
      </c>
      <c r="F30" s="114">
        <f>'LCI_AD-d'!$E32*'IW+f'!F23</f>
        <v>5.059520896744001E-9</v>
      </c>
      <c r="G30" s="114">
        <f>'LCI_AD-d'!$E32*'IW+f'!G23</f>
        <v>0</v>
      </c>
    </row>
    <row r="31" spans="1:7" x14ac:dyDescent="0.35">
      <c r="A31" s="114"/>
      <c r="B31" s="114" t="s">
        <v>123</v>
      </c>
      <c r="C31" s="114">
        <f>'LCI_AD-b'!$E33*'IW+f'!C15</f>
        <v>0</v>
      </c>
      <c r="D31" s="114">
        <f>'LCI_AD-b'!$E33*'IW+f'!D15</f>
        <v>3.3758036199660606</v>
      </c>
      <c r="E31" s="114">
        <f>'LCI_AD-b'!$E33*'IW+f'!E15</f>
        <v>0</v>
      </c>
      <c r="F31" s="114">
        <f>'LCI_AD-b'!$E33*'IW+f'!F15</f>
        <v>1.8830588771685368E-5</v>
      </c>
      <c r="G31" s="114">
        <f>'LCI_AD-b'!$E33*'IW+f'!G15</f>
        <v>0</v>
      </c>
    </row>
    <row r="32" spans="1:7" x14ac:dyDescent="0.35">
      <c r="A32" s="114"/>
      <c r="B32" s="114" t="s">
        <v>273</v>
      </c>
      <c r="C32" s="114">
        <f>'LCI_AD-d'!$E35*'IW+f'!C2</f>
        <v>0.24305617699473206</v>
      </c>
      <c r="D32" s="114">
        <f>'LCI_AD-d'!$E35*'IW+f'!D2</f>
        <v>3.7320666165691789E-2</v>
      </c>
      <c r="E32" s="114">
        <f>'LCI_AD-d'!$E35*'IW+f'!E2</f>
        <v>36.629060032318023</v>
      </c>
      <c r="F32" s="114">
        <f>'LCI_AD-d'!$E35*'IW+f'!F2</f>
        <v>2.4246062215148331E-7</v>
      </c>
      <c r="G32" s="114">
        <f>'LCI_AD-d'!$E35*'IW+f'!G2</f>
        <v>0.39435673546454347</v>
      </c>
    </row>
    <row r="33" spans="1:8" x14ac:dyDescent="0.35">
      <c r="A33" s="114"/>
      <c r="B33" s="114" t="s">
        <v>289</v>
      </c>
      <c r="C33" s="116">
        <f>'LCI_AD-d'!$E36*'IW+f'!C27</f>
        <v>0.38495172740095668</v>
      </c>
      <c r="D33" s="116">
        <f>'LCI_AD-d'!$E36*'IW+f'!D27</f>
        <v>7.6702308591170859E-2</v>
      </c>
      <c r="E33" s="116">
        <f>'LCI_AD-d'!$E36*'IW+f'!E27</f>
        <v>25.042364221642071</v>
      </c>
      <c r="F33" s="116">
        <f>'LCI_AD-d'!$E36*'IW+f'!F27</f>
        <v>2.416512463865165E-7</v>
      </c>
      <c r="G33" s="116">
        <f>'LCI_AD-d'!$E36*'IW+f'!G27</f>
        <v>3.4692256096153506E-2</v>
      </c>
    </row>
    <row r="34" spans="1:8" x14ac:dyDescent="0.35">
      <c r="A34" s="113" t="s">
        <v>353</v>
      </c>
      <c r="B34" s="114"/>
      <c r="C34" s="115">
        <f>SUM(C35:C39)</f>
        <v>-27.214300839017277</v>
      </c>
      <c r="D34" s="115">
        <f>SUM(D35:D39)</f>
        <v>6.6866847732851395</v>
      </c>
      <c r="E34" s="115">
        <f>SUM(E35:E39)</f>
        <v>0</v>
      </c>
      <c r="F34" s="115">
        <f>SUM(F35:F39)</f>
        <v>1.4004955712866033E-5</v>
      </c>
      <c r="G34" s="115">
        <f>SUM(G35:G39)</f>
        <v>0</v>
      </c>
    </row>
    <row r="35" spans="1:8" x14ac:dyDescent="0.35">
      <c r="A35" s="114"/>
      <c r="B35" s="114" t="s">
        <v>111</v>
      </c>
      <c r="C35" s="117">
        <f>'LCI_AD-d'!$E38*'IW+f'!C20</f>
        <v>3.6020203114535199</v>
      </c>
      <c r="D35" s="117">
        <f>'LCI_AD-d'!$E38*'IW+f'!D20</f>
        <v>0</v>
      </c>
      <c r="E35" s="117">
        <f>'LCI_AD-d'!$E38*'IW+f'!E20</f>
        <v>0</v>
      </c>
      <c r="F35" s="117">
        <f>'LCI_AD-d'!$E38*'IW+f'!F20</f>
        <v>0</v>
      </c>
      <c r="G35" s="117">
        <f>'LCI_AD-d'!$E38*'IW+f'!G20</f>
        <v>0</v>
      </c>
    </row>
    <row r="36" spans="1:8" x14ac:dyDescent="0.35">
      <c r="A36" s="114"/>
      <c r="B36" s="114" t="s">
        <v>110</v>
      </c>
      <c r="C36" s="117">
        <f>'LCI_AD-d'!$E39*'IW+f'!C18</f>
        <v>0</v>
      </c>
      <c r="D36" s="117">
        <f>'LCI_AD-d'!$E39*'IW+f'!D18</f>
        <v>2.0814363028687977</v>
      </c>
      <c r="E36" s="117">
        <f>'LCI_AD-d'!$E39*'IW+f'!E18</f>
        <v>0</v>
      </c>
      <c r="F36" s="117">
        <f>'LCI_AD-d'!$E39*'IW+f'!F18</f>
        <v>1.4004955712866033E-5</v>
      </c>
      <c r="G36" s="117">
        <f>'LCI_AD-d'!$E39*'IW+f'!G18</f>
        <v>0</v>
      </c>
    </row>
    <row r="37" spans="1:8" x14ac:dyDescent="0.35">
      <c r="A37" s="114"/>
      <c r="B37" s="114" t="s">
        <v>114</v>
      </c>
      <c r="C37" s="117">
        <f>'LCI_AD-d'!$E40*'IW+f'!C21</f>
        <v>0</v>
      </c>
      <c r="D37" s="117">
        <f>'LCI_AD-d'!$E40*'IW+f'!D21</f>
        <v>5.2372357739406041</v>
      </c>
      <c r="E37" s="117">
        <f>'LCI_AD-d'!$E40*'IW+f'!E21</f>
        <v>0</v>
      </c>
      <c r="F37" s="117">
        <f>'LCI_AD-d'!$E40*'IW+f'!F21</f>
        <v>0</v>
      </c>
      <c r="G37" s="117">
        <f>'LCI_AD-d'!$E40*'IW+f'!G21</f>
        <v>0</v>
      </c>
    </row>
    <row r="38" spans="1:8" x14ac:dyDescent="0.35">
      <c r="A38" s="114"/>
      <c r="B38" s="114" t="s">
        <v>414</v>
      </c>
      <c r="C38" s="117">
        <f>'LCI_AD-d'!$E41*'IW+f'!C25</f>
        <v>0</v>
      </c>
      <c r="D38" s="117">
        <f>'LCI_AD-d'!$E41*'IW+f'!D25</f>
        <v>-0.12351800454149389</v>
      </c>
      <c r="E38" s="117">
        <f>'LCI_AD-d'!$E41*'IW+f'!E25</f>
        <v>0</v>
      </c>
      <c r="F38" s="117">
        <f>'LCI_AD-d'!$E41*'IW+f'!F25</f>
        <v>0</v>
      </c>
      <c r="G38" s="117">
        <f>'LCI_AD-d'!$E41*'IW+f'!G25</f>
        <v>0</v>
      </c>
    </row>
    <row r="39" spans="1:8" x14ac:dyDescent="0.35">
      <c r="A39" s="114"/>
      <c r="B39" s="114" t="s">
        <v>415</v>
      </c>
      <c r="C39" s="117">
        <f>'LCI_AD-d'!$E42*'IW+f'!C26</f>
        <v>-30.816321150470795</v>
      </c>
      <c r="D39" s="117">
        <f>'LCI_AD-d'!$E42*'IW+f'!D26</f>
        <v>-0.50846929898276816</v>
      </c>
      <c r="E39" s="117">
        <f>'LCI_AD-d'!$E42*'IW+f'!E26</f>
        <v>0</v>
      </c>
      <c r="F39" s="117">
        <f>'LCI_AD-d'!$E42*'IW+f'!F26</f>
        <v>0</v>
      </c>
      <c r="G39" s="117">
        <f>'LCI_AD-d'!$E42*'IW+f'!G26</f>
        <v>0</v>
      </c>
    </row>
    <row r="40" spans="1:8" x14ac:dyDescent="0.35">
      <c r="A40" s="113" t="s">
        <v>421</v>
      </c>
      <c r="B40" s="114"/>
      <c r="C40" s="115">
        <f>SUM(C41:C45)</f>
        <v>0</v>
      </c>
      <c r="D40" s="115">
        <f>SUM(D41:D45)</f>
        <v>21.38556158781822</v>
      </c>
      <c r="E40" s="115">
        <f>SUM(E41:E45)</f>
        <v>7190.0103072814718</v>
      </c>
      <c r="F40" s="115">
        <f>SUM(F41:F45)</f>
        <v>9.1311749139430049E-5</v>
      </c>
      <c r="G40" s="115">
        <f>SUM(G41:G45)</f>
        <v>65.554187526342133</v>
      </c>
    </row>
    <row r="41" spans="1:8" x14ac:dyDescent="0.35">
      <c r="A41" s="114"/>
      <c r="B41" s="114" t="s">
        <v>228</v>
      </c>
      <c r="C41" s="117">
        <v>0</v>
      </c>
      <c r="D41" s="117">
        <f>'LCI_AD-d'!$E44*'IW+f'!D28</f>
        <v>2.059694637999725</v>
      </c>
      <c r="E41" s="117">
        <f>'LCI_AD-d'!$E44*'IW+f'!E28</f>
        <v>228.26827147082756</v>
      </c>
      <c r="F41" s="117">
        <f>'LCI_AD-d'!$E44*'IW+f'!F28</f>
        <v>1.1387281963638193E-5</v>
      </c>
      <c r="G41" s="117">
        <f>'LCI_AD-d'!$E44*'IW+f'!G28</f>
        <v>23.373765692874599</v>
      </c>
    </row>
    <row r="42" spans="1:8" x14ac:dyDescent="0.35">
      <c r="A42" s="114"/>
      <c r="B42" s="114" t="s">
        <v>230</v>
      </c>
      <c r="C42" s="117">
        <v>0</v>
      </c>
      <c r="D42" s="117">
        <f>'LCI_AD-d'!$E45*'IW+f'!D30</f>
        <v>5.8033748135817964</v>
      </c>
      <c r="E42" s="117">
        <f>'LCI_AD-d'!$E45*'IW+f'!E30</f>
        <v>218.31950486780622</v>
      </c>
      <c r="F42" s="117">
        <f>'LCI_AD-d'!$E45*'IW+f'!F30</f>
        <v>4.7898740522255537E-5</v>
      </c>
      <c r="G42" s="117">
        <f>'LCI_AD-d'!$E45*'IW+f'!G30</f>
        <v>29.538178374805231</v>
      </c>
    </row>
    <row r="43" spans="1:8" x14ac:dyDescent="0.35">
      <c r="A43" s="114"/>
      <c r="B43" s="114" t="s">
        <v>229</v>
      </c>
      <c r="C43" s="117">
        <v>0</v>
      </c>
      <c r="D43" s="117">
        <f>'LCI_AD-d'!$E46*'IW+f'!D29</f>
        <v>0.46221699116395226</v>
      </c>
      <c r="E43" s="117">
        <f>'LCI_AD-d'!$E46*'IW+f'!E29</f>
        <v>30.790657167218129</v>
      </c>
      <c r="F43" s="117">
        <f>'LCI_AD-d'!$E46*'IW+f'!F29</f>
        <v>2.1302278009307427E-6</v>
      </c>
      <c r="G43" s="117">
        <f>'LCI_AD-d'!$E46*'IW+f'!G29</f>
        <v>0.89360271143972314</v>
      </c>
    </row>
    <row r="44" spans="1:8" x14ac:dyDescent="0.35">
      <c r="A44" s="114"/>
      <c r="B44" s="114" t="s">
        <v>231</v>
      </c>
      <c r="C44" s="117">
        <v>0</v>
      </c>
      <c r="D44" s="117">
        <f>'LCI_AD-d'!$E47*'IW+f'!D31</f>
        <v>0.26016692421759646</v>
      </c>
      <c r="E44" s="117">
        <f>'LCI_AD-d'!$E47*'IW+f'!E31</f>
        <v>424.13181213239164</v>
      </c>
      <c r="F44" s="117">
        <f>'LCI_AD-d'!$E47*'IW+f'!F31</f>
        <v>4.8284247774503164E-7</v>
      </c>
      <c r="G44" s="117">
        <f>'LCI_AD-d'!$E47*'IW+f'!G31</f>
        <v>1.3478750962911963</v>
      </c>
    </row>
    <row r="45" spans="1:8" x14ac:dyDescent="0.35">
      <c r="A45" s="114"/>
      <c r="B45" s="114" t="s">
        <v>475</v>
      </c>
      <c r="C45" s="117">
        <v>0</v>
      </c>
      <c r="D45" s="117">
        <f>'LCI_AD-d'!$E48*'IW+f'!D38</f>
        <v>12.800108220855149</v>
      </c>
      <c r="E45" s="117">
        <f>'LCI_AD-d'!$E48*'IW+f'!E38</f>
        <v>6288.500061643228</v>
      </c>
      <c r="F45" s="117">
        <f>'LCI_AD-d'!$E48*'IW+f'!F38</f>
        <v>2.941265637486053E-5</v>
      </c>
      <c r="G45" s="117">
        <f>'LCI_AD-d'!$E48*'IW+f'!G38</f>
        <v>10.40076565093138</v>
      </c>
    </row>
    <row r="46" spans="1:8" x14ac:dyDescent="0.35">
      <c r="A46" s="113" t="s">
        <v>488</v>
      </c>
      <c r="B46" s="114"/>
      <c r="C46" s="114"/>
      <c r="D46" s="114"/>
      <c r="E46" s="114"/>
      <c r="F46" s="114"/>
      <c r="G46" s="114"/>
      <c r="H46" s="36" t="s">
        <v>496</v>
      </c>
    </row>
    <row r="47" spans="1:8" x14ac:dyDescent="0.35">
      <c r="A47" s="114"/>
      <c r="B47" s="114" t="s">
        <v>415</v>
      </c>
      <c r="C47" s="114">
        <v>0</v>
      </c>
      <c r="D47" s="114"/>
      <c r="E47" s="114"/>
      <c r="F47" s="114"/>
      <c r="G47" s="114"/>
    </row>
    <row r="48" spans="1:8" x14ac:dyDescent="0.35">
      <c r="A48" s="114"/>
      <c r="B48" s="114"/>
      <c r="C48" s="114"/>
      <c r="D48" s="114"/>
      <c r="E48" s="114"/>
      <c r="F48" s="114"/>
      <c r="G48" s="114"/>
    </row>
    <row r="49" spans="1:7" x14ac:dyDescent="0.35">
      <c r="A49" s="113" t="s">
        <v>494</v>
      </c>
      <c r="B49" s="114"/>
      <c r="C49" s="115">
        <f>C5+C34-C40+C47</f>
        <v>122.98700642875511</v>
      </c>
      <c r="D49" s="115">
        <f>D5+D34-D40+D47</f>
        <v>2.8803057104097398</v>
      </c>
      <c r="E49" s="115">
        <f>E5+E34-E40+E47</f>
        <v>-5418.0974441084782</v>
      </c>
      <c r="F49" s="115">
        <f>F5+F34-F40+F47</f>
        <v>1.0999631516812449E-4</v>
      </c>
      <c r="G49" s="115">
        <f>G5+G34-G40+G47</f>
        <v>-30.475572635382854</v>
      </c>
    </row>
  </sheetData>
  <mergeCells count="1"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workbookViewId="0">
      <selection activeCell="C7" sqref="C7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5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6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22" zoomScale="88" workbookViewId="0">
      <selection activeCell="A52" sqref="A52:C52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1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7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7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9" t="s">
        <v>415</v>
      </c>
      <c r="E44" s="49">
        <f>-'LCI_AD-b'!E49*Parameters!C136*Parameters!C134*44/12</f>
        <v>-30.816321150470795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f>(Parameters!C112/Parameters!C136)*1000*E9</f>
        <v>42.109844591027695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2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16" workbookViewId="0">
      <selection activeCell="K20" sqref="K2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7" t="s">
        <v>111</v>
      </c>
      <c r="E30" s="127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7" t="s">
        <v>110</v>
      </c>
      <c r="E31" s="127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7" t="s">
        <v>114</v>
      </c>
      <c r="E32" s="127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7" t="s">
        <v>414</v>
      </c>
      <c r="E33" s="128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9" t="s">
        <v>415</v>
      </c>
      <c r="E34" s="130">
        <f>-E39*Parameters!C136*Parameters!C134*44/12</f>
        <v>-115.3519213234084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7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7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7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8">
        <f>(Parameters!C84/Parameters!C136)*1000*E9</f>
        <v>157.6259364797985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topLeftCell="A32" zoomScale="110" zoomScaleNormal="110" workbookViewId="0">
      <selection activeCell="F40" sqref="F40:F43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1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-115.3519213234084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157.6259364797985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6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topLeftCell="A38" workbookViewId="0">
      <selection activeCell="D55" sqref="D55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7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7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7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9" t="s">
        <v>415</v>
      </c>
      <c r="E42" s="96">
        <f>'LCI_AD-b'!E44</f>
        <v>-30.816321150470795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8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42.109844591027695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6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40" t="s">
        <v>319</v>
      </c>
      <c r="J2" s="140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E19" sqref="E19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6">
        <v>0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v>0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v>0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v>0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v>0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opLeftCell="A58" zoomScale="80" zoomScaleNormal="80" workbookViewId="0">
      <selection activeCell="C87" sqref="C87"/>
    </sheetView>
  </sheetViews>
  <sheetFormatPr baseColWidth="10" defaultRowHeight="14.5" x14ac:dyDescent="0.35"/>
  <cols>
    <col min="1" max="1" width="25.6328125" customWidth="1"/>
    <col min="2" max="2" width="17.1796875" customWidth="1"/>
    <col min="3" max="20" width="20.6328125" style="33" customWidth="1"/>
    <col min="21" max="21" width="17" bestFit="1" customWidth="1"/>
    <col min="22" max="22" width="12.7265625" bestFit="1" customWidth="1"/>
    <col min="23" max="24" width="15.7265625" bestFit="1" customWidth="1"/>
    <col min="25" max="25" width="15" bestFit="1" customWidth="1"/>
    <col min="26" max="26" width="12" bestFit="1" customWidth="1"/>
    <col min="27" max="27" width="12.08984375" bestFit="1" customWidth="1"/>
    <col min="28" max="28" width="12" bestFit="1" customWidth="1"/>
    <col min="29" max="31" width="11.08984375" bestFit="1" customWidth="1"/>
    <col min="32" max="33" width="11" bestFit="1" customWidth="1"/>
    <col min="34" max="37" width="11.81640625" bestFit="1" customWidth="1"/>
  </cols>
  <sheetData>
    <row r="2" spans="1:27" ht="18.5" x14ac:dyDescent="0.45">
      <c r="A2" s="142" t="s">
        <v>356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43" t="s">
        <v>357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44" t="s">
        <v>412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6"/>
    </row>
    <row r="29" spans="1:37" ht="72.5" x14ac:dyDescent="0.35">
      <c r="A29" s="90" t="s">
        <v>0</v>
      </c>
      <c r="B29" s="91"/>
      <c r="C29" s="92" t="s">
        <v>376</v>
      </c>
      <c r="D29" s="92" t="s">
        <v>377</v>
      </c>
      <c r="E29" s="92" t="s">
        <v>378</v>
      </c>
      <c r="F29" s="92" t="s">
        <v>379</v>
      </c>
      <c r="G29" s="92" t="s">
        <v>380</v>
      </c>
      <c r="H29" s="92" t="s">
        <v>361</v>
      </c>
      <c r="I29" s="92" t="s">
        <v>381</v>
      </c>
      <c r="J29" s="92" t="s">
        <v>382</v>
      </c>
      <c r="K29" s="92" t="s">
        <v>363</v>
      </c>
      <c r="L29" s="92" t="s">
        <v>383</v>
      </c>
      <c r="M29" s="92" t="s">
        <v>384</v>
      </c>
      <c r="N29" s="92" t="s">
        <v>385</v>
      </c>
      <c r="O29" s="92" t="s">
        <v>386</v>
      </c>
      <c r="P29" s="92" t="s">
        <v>387</v>
      </c>
      <c r="Q29" s="92" t="s">
        <v>388</v>
      </c>
      <c r="R29" s="92" t="s">
        <v>367</v>
      </c>
      <c r="S29" s="92" t="s">
        <v>368</v>
      </c>
      <c r="T29" s="92" t="s">
        <v>389</v>
      </c>
      <c r="U29" s="92" t="s">
        <v>390</v>
      </c>
      <c r="V29" s="92" t="s">
        <v>391</v>
      </c>
      <c r="W29" s="92" t="s">
        <v>392</v>
      </c>
      <c r="X29" s="92" t="s">
        <v>369</v>
      </c>
      <c r="Y29" s="92" t="s">
        <v>371</v>
      </c>
      <c r="Z29" s="92" t="s">
        <v>372</v>
      </c>
      <c r="AA29" s="92" t="s">
        <v>393</v>
      </c>
      <c r="AB29" s="92" t="s">
        <v>394</v>
      </c>
      <c r="AC29" s="92" t="s">
        <v>374</v>
      </c>
      <c r="AD29" s="92" t="s">
        <v>395</v>
      </c>
      <c r="AE29" s="92" t="s">
        <v>396</v>
      </c>
      <c r="AF29" s="92" t="s">
        <v>397</v>
      </c>
      <c r="AG29" s="92" t="s">
        <v>398</v>
      </c>
      <c r="AH29" s="92" t="s">
        <v>399</v>
      </c>
      <c r="AI29" s="92" t="s">
        <v>400</v>
      </c>
      <c r="AJ29" s="92" t="s">
        <v>401</v>
      </c>
      <c r="AK29" s="92" t="s">
        <v>402</v>
      </c>
    </row>
    <row r="30" spans="1:37" x14ac:dyDescent="0.35">
      <c r="A30" s="97" t="s">
        <v>294</v>
      </c>
      <c r="B30" s="91"/>
      <c r="C30" s="98">
        <f>SUM(C31:C34)</f>
        <v>5.9124722432782884</v>
      </c>
      <c r="D30" s="98">
        <f t="shared" ref="D30:AK30" si="1">SUM(D31:D34)</f>
        <v>4.1174272633040436</v>
      </c>
      <c r="E30" s="98">
        <f t="shared" si="1"/>
        <v>7.968222552031427E-5</v>
      </c>
      <c r="F30" s="98">
        <f t="shared" si="1"/>
        <v>5.5490464231184139E-5</v>
      </c>
      <c r="G30" s="98">
        <f t="shared" si="1"/>
        <v>5.6277794486703148E-18</v>
      </c>
      <c r="H30" s="98">
        <f t="shared" si="1"/>
        <v>0.15195189258170927</v>
      </c>
      <c r="I30" s="98">
        <f t="shared" si="1"/>
        <v>0.51155102871179303</v>
      </c>
      <c r="J30" s="98">
        <f t="shared" si="1"/>
        <v>8.7051064351598859E-2</v>
      </c>
      <c r="K30" s="98">
        <f t="shared" si="1"/>
        <v>1.7178536165424186E-2</v>
      </c>
      <c r="L30" s="98">
        <f t="shared" si="1"/>
        <v>1.65473264628103E-8</v>
      </c>
      <c r="M30" s="98">
        <f t="shared" si="1"/>
        <v>1.345695908501447E-6</v>
      </c>
      <c r="N30" s="98">
        <f t="shared" si="1"/>
        <v>5.4668732139866088E-7</v>
      </c>
      <c r="O30" s="98">
        <f t="shared" si="1"/>
        <v>3.5557160456416687E-7</v>
      </c>
      <c r="P30" s="98">
        <f t="shared" si="1"/>
        <v>7.4986018095373098E-10</v>
      </c>
      <c r="Q30" s="98">
        <f t="shared" si="1"/>
        <v>1.3164098395917526E-8</v>
      </c>
      <c r="R30" s="98">
        <f t="shared" si="1"/>
        <v>31.470870169787869</v>
      </c>
      <c r="S30" s="98">
        <f t="shared" si="1"/>
        <v>0.23733962088834182</v>
      </c>
      <c r="T30" s="98">
        <f t="shared" si="1"/>
        <v>0.7795634512901618</v>
      </c>
      <c r="U30" s="98">
        <f t="shared" si="1"/>
        <v>8.4619968013163058E-2</v>
      </c>
      <c r="V30" s="98">
        <f t="shared" si="1"/>
        <v>1.1658923539154123E-6</v>
      </c>
      <c r="W30" s="98">
        <f t="shared" si="1"/>
        <v>8.7397245484159419E-7</v>
      </c>
      <c r="X30" s="98">
        <f t="shared" si="1"/>
        <v>5.3936050617333822E-2</v>
      </c>
      <c r="Y30" s="98">
        <f t="shared" si="1"/>
        <v>1.7286063782371375E-10</v>
      </c>
      <c r="Z30" s="98">
        <f t="shared" si="1"/>
        <v>1.4497858333340074E-5</v>
      </c>
      <c r="AA30" s="98">
        <f t="shared" si="1"/>
        <v>0.25628941225984636</v>
      </c>
      <c r="AB30" s="98">
        <f t="shared" si="1"/>
        <v>2.4113100969075709E-8</v>
      </c>
      <c r="AC30" s="98">
        <f t="shared" si="1"/>
        <v>1.7755289501838178</v>
      </c>
      <c r="AD30" s="98">
        <f t="shared" si="1"/>
        <v>4.2555871137612694E-2</v>
      </c>
      <c r="AE30" s="98">
        <f t="shared" si="1"/>
        <v>3.189999460171819E-2</v>
      </c>
      <c r="AF30" s="98">
        <f t="shared" si="1"/>
        <v>8.3194443297340197E-4</v>
      </c>
      <c r="AG30" s="98">
        <f t="shared" si="1"/>
        <v>45.531422488575686</v>
      </c>
      <c r="AH30" s="98">
        <f t="shared" si="1"/>
        <v>1.5340506341983027E-4</v>
      </c>
      <c r="AI30" s="98">
        <f t="shared" si="1"/>
        <v>1.1728631702773519E-5</v>
      </c>
      <c r="AJ30" s="98">
        <f t="shared" si="1"/>
        <v>1.4325631145776835E-6</v>
      </c>
      <c r="AK30" s="98">
        <f t="shared" si="1"/>
        <v>3.4125772359188772E-4</v>
      </c>
    </row>
    <row r="31" spans="1:37" x14ac:dyDescent="0.35">
      <c r="A31" s="91"/>
      <c r="B31" s="99" t="s">
        <v>96</v>
      </c>
      <c r="C31" s="93">
        <f>LCI_HC!$E4*'IW+_end'!C12</f>
        <v>0.21593705317517195</v>
      </c>
      <c r="D31" s="93">
        <f>LCI_HC!$E4*'IW+_end'!D12</f>
        <v>0.82011227592755376</v>
      </c>
      <c r="E31" s="93">
        <f>LCI_HC!$E4*'IW+_end'!E12</f>
        <v>2.9101777160742744E-6</v>
      </c>
      <c r="F31" s="93">
        <f>LCI_HC!$E4*'IW+_end'!F12</f>
        <v>1.1052640994999999E-5</v>
      </c>
      <c r="G31" s="93">
        <f>LCI_HC!$E4*'IW+_end'!G12</f>
        <v>0</v>
      </c>
      <c r="H31" s="93">
        <f>LCI_HC!$E4*'IW+_end'!H12</f>
        <v>0</v>
      </c>
      <c r="I31" s="93">
        <f>LCI_HC!$E4*'IW+_end'!I12</f>
        <v>0</v>
      </c>
      <c r="J31" s="93">
        <f>LCI_HC!$E4*'IW+_end'!J12</f>
        <v>0</v>
      </c>
      <c r="K31" s="93">
        <f>LCI_HC!$E4*'IW+_end'!K12</f>
        <v>0</v>
      </c>
      <c r="L31" s="93">
        <f>LCI_HC!$E4*'IW+_end'!L12</f>
        <v>0</v>
      </c>
      <c r="M31" s="93">
        <f>LCI_HC!$E4*'IW+_end'!M12</f>
        <v>0</v>
      </c>
      <c r="N31" s="93">
        <f>LCI_HC!$E4*'IW+_end'!N12</f>
        <v>0</v>
      </c>
      <c r="O31" s="93">
        <f>LCI_HC!$E4*'IW+_end'!O12</f>
        <v>0</v>
      </c>
      <c r="P31" s="93">
        <f>LCI_HC!$E4*'IW+_end'!P12</f>
        <v>0</v>
      </c>
      <c r="Q31" s="93">
        <f>LCI_HC!$E4*'IW+_end'!Q12</f>
        <v>0</v>
      </c>
      <c r="R31" s="93">
        <f>LCI_HC!$E4*'IW+_end'!R12</f>
        <v>0</v>
      </c>
      <c r="S31" s="93">
        <f>LCI_HC!$E4*'IW+_end'!S12</f>
        <v>0</v>
      </c>
      <c r="T31" s="93">
        <f>LCI_HC!$E4*'IW+_end'!T12</f>
        <v>0</v>
      </c>
      <c r="U31" s="93">
        <f>LCI_HC!$E4*'IW+_end'!U12</f>
        <v>0</v>
      </c>
      <c r="V31" s="93">
        <f>LCI_HC!$E4*'IW+_end'!V12</f>
        <v>0</v>
      </c>
      <c r="W31" s="93">
        <f>LCI_HC!$E4*'IW+_end'!W12</f>
        <v>0</v>
      </c>
      <c r="X31" s="93">
        <f>LCI_HC!$E4*'IW+_end'!X12</f>
        <v>0</v>
      </c>
      <c r="Y31" s="93">
        <f>LCI_HC!$E4*'IW+_end'!Y12</f>
        <v>0</v>
      </c>
      <c r="Z31" s="93">
        <f>LCI_HC!$E4*'IW+_end'!Z12</f>
        <v>0</v>
      </c>
      <c r="AA31" s="93">
        <f>LCI_HC!$E4*'IW+_end'!AA12</f>
        <v>0</v>
      </c>
      <c r="AB31" s="92">
        <f>LCI_HC!$E4*'IW+_end'!AB12</f>
        <v>0</v>
      </c>
      <c r="AC31" s="92">
        <f>LCI_HC!$E4*'IW+_end'!AC12</f>
        <v>0</v>
      </c>
      <c r="AD31" s="92">
        <f>LCI_HC!$E4*'IW+_end'!AD12</f>
        <v>0</v>
      </c>
      <c r="AE31" s="92">
        <f>LCI_HC!$E4*'IW+_end'!AE12</f>
        <v>0</v>
      </c>
      <c r="AF31" s="92">
        <f>LCI_HC!$E4*'IW+_end'!AF12</f>
        <v>0</v>
      </c>
      <c r="AG31" s="92">
        <f>LCI_HC!$E4*'IW+_end'!AG12</f>
        <v>1.0360493291027257</v>
      </c>
      <c r="AH31" s="92">
        <f>LCI_HC!$E4*'IW+_end'!AH12</f>
        <v>1.3962818711001311E-5</v>
      </c>
      <c r="AI31" s="92">
        <f>LCI_HC!$E4*'IW+_end'!AI12</f>
        <v>0</v>
      </c>
      <c r="AJ31" s="92">
        <f>LCI_HC!$E4*'IW+_end'!AJ12</f>
        <v>0</v>
      </c>
      <c r="AK31" s="92">
        <f>LCI_HC!$E4*'IW+_end'!AK12</f>
        <v>0</v>
      </c>
    </row>
    <row r="32" spans="1:37" x14ac:dyDescent="0.35">
      <c r="A32" s="91"/>
      <c r="B32" s="99" t="s">
        <v>110</v>
      </c>
      <c r="C32" s="95">
        <f>LCI_HC!$E6*'IW+_end'!C18</f>
        <v>0</v>
      </c>
      <c r="D32" s="95">
        <f>LCI_HC!$E6*'IW+_end'!D18</f>
        <v>0</v>
      </c>
      <c r="E32" s="95">
        <f>LCI_HC!$E6*'IW+_end'!E18</f>
        <v>0</v>
      </c>
      <c r="F32" s="95">
        <f>LCI_HC!$E6*'IW+_end'!F18</f>
        <v>0</v>
      </c>
      <c r="G32" s="95">
        <f>LCI_HC!$E6*'IW+_end'!G18</f>
        <v>0</v>
      </c>
      <c r="H32" s="95">
        <f>LCI_HC!$E6*'IW+_end'!H18</f>
        <v>0.11954158649720915</v>
      </c>
      <c r="I32" s="95">
        <f>LCI_HC!$E6*'IW+_end'!I18</f>
        <v>0</v>
      </c>
      <c r="J32" s="95">
        <f>LCI_HC!$E6*'IW+_end'!J18</f>
        <v>0</v>
      </c>
      <c r="K32" s="95">
        <f>LCI_HC!$E6*'IW+_end'!K18</f>
        <v>0</v>
      </c>
      <c r="L32" s="95">
        <f>LCI_HC!$E6*'IW+_end'!L18</f>
        <v>0</v>
      </c>
      <c r="M32" s="95">
        <f>LCI_HC!$E6*'IW+_end'!M18</f>
        <v>0</v>
      </c>
      <c r="N32" s="95">
        <f>LCI_HC!$E6*'IW+_end'!N18</f>
        <v>0</v>
      </c>
      <c r="O32" s="95">
        <f>LCI_HC!$E6*'IW+_end'!O18</f>
        <v>0</v>
      </c>
      <c r="P32" s="95">
        <f>LCI_HC!$E6*'IW+_end'!P18</f>
        <v>0</v>
      </c>
      <c r="Q32" s="95">
        <f>LCI_HC!$E6*'IW+_end'!Q18</f>
        <v>0</v>
      </c>
      <c r="R32" s="95">
        <f>LCI_HC!$E6*'IW+_end'!R18</f>
        <v>0</v>
      </c>
      <c r="S32" s="95">
        <f>LCI_HC!$E6*'IW+_end'!S18</f>
        <v>0</v>
      </c>
      <c r="T32" s="95">
        <f>LCI_HC!$E6*'IW+_end'!T18</f>
        <v>0</v>
      </c>
      <c r="U32" s="95">
        <f>LCI_HC!$E6*'IW+_end'!U18</f>
        <v>0</v>
      </c>
      <c r="V32" s="95">
        <f>LCI_HC!$E6*'IW+_end'!V18</f>
        <v>0</v>
      </c>
      <c r="W32" s="95">
        <f>LCI_HC!$E6*'IW+_end'!W18</f>
        <v>0</v>
      </c>
      <c r="X32" s="95">
        <f>LCI_HC!$E6*'IW+_end'!X18</f>
        <v>4.5891639433651252E-2</v>
      </c>
      <c r="Y32" s="95">
        <f>LCI_HC!$E6*'IW+_end'!Y18</f>
        <v>0</v>
      </c>
      <c r="Z32" s="95">
        <f>LCI_HC!$E6*'IW+_end'!Z18</f>
        <v>1.1483159701098625E-5</v>
      </c>
      <c r="AA32" s="95">
        <f>LCI_HC!$E6*'IW+_end'!AA18</f>
        <v>0</v>
      </c>
      <c r="AB32" s="95">
        <f>LCI_HC!$E6*'IW+_end'!AB18</f>
        <v>0</v>
      </c>
      <c r="AC32" s="95">
        <f>LCI_HC!$E6*'IW+_end'!AC18</f>
        <v>1.54121019112393</v>
      </c>
      <c r="AD32" s="95">
        <f>LCI_HC!$E6*'IW+_end'!AD18</f>
        <v>0</v>
      </c>
      <c r="AE32" s="95">
        <f>LCI_HC!$E6*'IW+_end'!AE18</f>
        <v>0</v>
      </c>
      <c r="AF32" s="95">
        <f>LCI_HC!$E6*'IW+_end'!AF18</f>
        <v>0</v>
      </c>
      <c r="AG32" s="95">
        <f>LCI_HC!$E6*'IW+_end'!AG18</f>
        <v>1.7066434170547906</v>
      </c>
      <c r="AH32" s="95">
        <f>LCI_HC!$E6*'IW+_end'!AH18</f>
        <v>1.1483159700972393E-5</v>
      </c>
      <c r="AI32" s="95">
        <f>LCI_HC!$E6*'IW+_end'!AI18</f>
        <v>0</v>
      </c>
      <c r="AJ32" s="95">
        <f>LCI_HC!$E6*'IW+_end'!AJ18</f>
        <v>0</v>
      </c>
      <c r="AK32" s="95">
        <f>LCI_HC!$E6*'IW+_end'!AK18</f>
        <v>0</v>
      </c>
    </row>
    <row r="33" spans="1:45" x14ac:dyDescent="0.35">
      <c r="A33" s="91"/>
      <c r="B33" s="99" t="s">
        <v>111</v>
      </c>
      <c r="C33" s="93">
        <f>LCI_HC!$E5*'IW+_end'!C20</f>
        <v>3.5672543868179409</v>
      </c>
      <c r="D33" s="93">
        <f>LCI_HC!$E5*'IW+_end'!D20</f>
        <v>2.6464982178980989</v>
      </c>
      <c r="E33" s="93">
        <f>LCI_HC!$E5*'IW+_end'!E20</f>
        <v>4.8075789084998944E-5</v>
      </c>
      <c r="F33" s="93">
        <f>LCI_HC!$E5*'IW+_end'!F20</f>
        <v>3.5666783565437958E-5</v>
      </c>
      <c r="G33" s="93">
        <f>LCI_HC!$E5*'IW+_end'!G20</f>
        <v>0</v>
      </c>
      <c r="H33" s="93">
        <f>LCI_HC!$E5*'IW+_end'!H20</f>
        <v>0</v>
      </c>
      <c r="I33" s="93">
        <f>LCI_HC!$E5*'IW+_end'!I20</f>
        <v>0</v>
      </c>
      <c r="J33" s="93">
        <f>LCI_HC!$E5*'IW+_end'!J20</f>
        <v>0</v>
      </c>
      <c r="K33" s="93">
        <f>LCI_HC!$E5*'IW+_end'!K20</f>
        <v>0</v>
      </c>
      <c r="L33" s="93">
        <f>LCI_HC!$E5*'IW+_end'!L20</f>
        <v>0</v>
      </c>
      <c r="M33" s="93">
        <f>LCI_HC!$E5*'IW+_end'!M20</f>
        <v>0</v>
      </c>
      <c r="N33" s="93">
        <f>LCI_HC!$E5*'IW+_end'!N20</f>
        <v>0</v>
      </c>
      <c r="O33" s="93">
        <f>LCI_HC!$E5*'IW+_end'!O20</f>
        <v>0</v>
      </c>
      <c r="P33" s="93">
        <f>LCI_HC!$E5*'IW+_end'!P20</f>
        <v>0</v>
      </c>
      <c r="Q33" s="93">
        <f>LCI_HC!$E5*'IW+_end'!Q20</f>
        <v>0</v>
      </c>
      <c r="R33" s="93">
        <f>LCI_HC!$E5*'IW+_end'!R20</f>
        <v>0</v>
      </c>
      <c r="S33" s="93">
        <f>LCI_HC!$E5*'IW+_end'!S20</f>
        <v>0</v>
      </c>
      <c r="T33" s="93">
        <f>LCI_HC!$E5*'IW+_end'!T20</f>
        <v>0</v>
      </c>
      <c r="U33" s="93">
        <f>LCI_HC!$E5*'IW+_end'!U20</f>
        <v>0</v>
      </c>
      <c r="V33" s="93">
        <f>LCI_HC!$E5*'IW+_end'!V20</f>
        <v>0</v>
      </c>
      <c r="W33" s="93">
        <f>LCI_HC!$E5*'IW+_end'!W20</f>
        <v>0</v>
      </c>
      <c r="X33" s="93">
        <f>LCI_HC!$E5*'IW+_end'!X20</f>
        <v>0</v>
      </c>
      <c r="Y33" s="93">
        <f>LCI_HC!$E5*'IW+_end'!Y20</f>
        <v>0</v>
      </c>
      <c r="Z33" s="93">
        <f>LCI_HC!$E5*'IW+_end'!Z20</f>
        <v>0</v>
      </c>
      <c r="AA33" s="93">
        <f>LCI_HC!$E5*'IW+_end'!AA20</f>
        <v>0</v>
      </c>
      <c r="AB33" s="93">
        <f>LCI_HC!$E5*'IW+_end'!AB20</f>
        <v>0</v>
      </c>
      <c r="AC33" s="93">
        <f>LCI_HC!$E5*'IW+_end'!AC20</f>
        <v>0</v>
      </c>
      <c r="AD33" s="93">
        <f>LCI_HC!$E5*'IW+_end'!AD20</f>
        <v>0</v>
      </c>
      <c r="AE33" s="93">
        <f>LCI_HC!$E5*'IW+_end'!AE20</f>
        <v>0</v>
      </c>
      <c r="AF33" s="93">
        <f>LCI_HC!$E5*'IW+_end'!AF20</f>
        <v>0</v>
      </c>
      <c r="AG33" s="93">
        <f>LCI_HC!$E5*'IW+_end'!AG20</f>
        <v>6.2137526047160394</v>
      </c>
      <c r="AH33" s="93">
        <f>LCI_HC!$E5*'IW+_end'!AH20</f>
        <v>8.3742572650119949E-5</v>
      </c>
      <c r="AI33" s="93">
        <f>LCI_HC!$E5*'IW+_end'!AI20</f>
        <v>0</v>
      </c>
      <c r="AJ33" s="93">
        <f>LCI_HC!$E5*'IW+_end'!AJ20</f>
        <v>0</v>
      </c>
      <c r="AK33" s="93">
        <f>LCI_HC!$E5*'IW+_end'!AK20</f>
        <v>0</v>
      </c>
    </row>
    <row r="34" spans="1:45" x14ac:dyDescent="0.35">
      <c r="A34" s="91"/>
      <c r="B34" s="99" t="s">
        <v>340</v>
      </c>
      <c r="C34" s="93">
        <f>LCI_HC!$E7*'IW+_end'!C35</f>
        <v>2.1292808032851753</v>
      </c>
      <c r="D34" s="93">
        <f>LCI_HC!$E7*'IW+_end'!D35</f>
        <v>0.65081676947839107</v>
      </c>
      <c r="E34" s="93">
        <f>LCI_HC!$E7*'IW+_end'!E35</f>
        <v>2.8696258719241049E-5</v>
      </c>
      <c r="F34" s="93">
        <f>LCI_HC!$E7*'IW+_end'!F35</f>
        <v>8.7710396707461815E-6</v>
      </c>
      <c r="G34" s="93">
        <f>LCI_HC!$E7*'IW+_end'!G35</f>
        <v>5.6277794486703148E-18</v>
      </c>
      <c r="H34" s="93">
        <f>LCI_HC!$E7*'IW+_end'!H35</f>
        <v>3.2410306084500101E-2</v>
      </c>
      <c r="I34" s="93">
        <f>LCI_HC!$E7*'IW+_end'!I35</f>
        <v>0.51155102871179303</v>
      </c>
      <c r="J34" s="93">
        <f>LCI_HC!$E7*'IW+_end'!J35</f>
        <v>8.7051064351598859E-2</v>
      </c>
      <c r="K34" s="93">
        <f>LCI_HC!$E7*'IW+_end'!K35</f>
        <v>1.7178536165424186E-2</v>
      </c>
      <c r="L34" s="93">
        <f>LCI_HC!$E7*'IW+_end'!L35</f>
        <v>1.65473264628103E-8</v>
      </c>
      <c r="M34" s="93">
        <f>LCI_HC!$E7*'IW+_end'!M35</f>
        <v>1.345695908501447E-6</v>
      </c>
      <c r="N34" s="93">
        <f>LCI_HC!$E7*'IW+_end'!N35</f>
        <v>5.4668732139866088E-7</v>
      </c>
      <c r="O34" s="93">
        <f>LCI_HC!$E7*'IW+_end'!O35</f>
        <v>3.5557160456416687E-7</v>
      </c>
      <c r="P34" s="93">
        <f>LCI_HC!$E7*'IW+_end'!P35</f>
        <v>7.4986018095373098E-10</v>
      </c>
      <c r="Q34" s="93">
        <f>LCI_HC!$E7*'IW+_end'!Q35</f>
        <v>1.3164098395917526E-8</v>
      </c>
      <c r="R34" s="93">
        <f>LCI_HC!$E7*'IW+_end'!R35</f>
        <v>31.470870169787869</v>
      </c>
      <c r="S34" s="93">
        <f>LCI_HC!$E7*'IW+_end'!S35</f>
        <v>0.23733962088834182</v>
      </c>
      <c r="T34" s="93">
        <f>LCI_HC!$E7*'IW+_end'!T35</f>
        <v>0.7795634512901618</v>
      </c>
      <c r="U34" s="93">
        <f>LCI_HC!$E7*'IW+_end'!U35</f>
        <v>8.4619968013163058E-2</v>
      </c>
      <c r="V34" s="93">
        <f>LCI_HC!$E7*'IW+_end'!V35</f>
        <v>1.1658923539154123E-6</v>
      </c>
      <c r="W34" s="93">
        <f>LCI_HC!$E7*'IW+_end'!W35</f>
        <v>8.7397245484159419E-7</v>
      </c>
      <c r="X34" s="93">
        <f>LCI_HC!$E7*'IW+_end'!X35</f>
        <v>8.0444111836825722E-3</v>
      </c>
      <c r="Y34" s="93">
        <f>LCI_HC!$E7*'IW+_end'!Y35</f>
        <v>1.7286063782371375E-10</v>
      </c>
      <c r="Z34" s="93">
        <f>LCI_HC!$E7*'IW+_end'!Z35</f>
        <v>3.0146986322414495E-6</v>
      </c>
      <c r="AA34" s="93">
        <f>LCI_HC!$E7*'IW+_end'!AA35</f>
        <v>0.25628941225984636</v>
      </c>
      <c r="AB34" s="93">
        <f>LCI_HC!$E7*'IW+_end'!AB35</f>
        <v>2.4113100969075709E-8</v>
      </c>
      <c r="AC34" s="93">
        <f>LCI_HC!$E7*'IW+_end'!AC35</f>
        <v>0.23431875905988775</v>
      </c>
      <c r="AD34" s="93">
        <f>LCI_HC!$E7*'IW+_end'!AD35</f>
        <v>4.2555871137612694E-2</v>
      </c>
      <c r="AE34" s="93">
        <f>LCI_HC!$E7*'IW+_end'!AE35</f>
        <v>3.189999460171819E-2</v>
      </c>
      <c r="AF34" s="93">
        <f>LCI_HC!$E7*'IW+_end'!AF35</f>
        <v>8.3194443297340197E-4</v>
      </c>
      <c r="AG34" s="93">
        <f>LCI_HC!$E7*'IW+_end'!AG35</f>
        <v>36.574977137702128</v>
      </c>
      <c r="AH34" s="93">
        <f>LCI_HC!$E7*'IW+_end'!AH35</f>
        <v>4.4216512357736619E-5</v>
      </c>
      <c r="AI34" s="93">
        <f>LCI_HC!$E7*'IW+_end'!AI35</f>
        <v>1.1728631702773519E-5</v>
      </c>
      <c r="AJ34" s="93">
        <f>LCI_HC!$E7*'IW+_end'!AJ35</f>
        <v>1.4325631145776835E-6</v>
      </c>
      <c r="AK34" s="93">
        <f>LCI_HC!$E7*'IW+_end'!AK35</f>
        <v>3.4125772359188772E-4</v>
      </c>
    </row>
    <row r="35" spans="1:45" s="40" customFormat="1" x14ac:dyDescent="0.35">
      <c r="A35" s="97" t="s">
        <v>351</v>
      </c>
      <c r="B35" s="91"/>
      <c r="C35" s="100">
        <f>SUM(C36:C40)</f>
        <v>6.6593045599137257</v>
      </c>
      <c r="D35" s="100">
        <f t="shared" ref="D35:AK35" si="2">SUM(D36:D40)</f>
        <v>4.9404487987673784</v>
      </c>
      <c r="E35" s="100">
        <f t="shared" si="2"/>
        <v>8.974726407464455E-5</v>
      </c>
      <c r="F35" s="100">
        <f t="shared" si="2"/>
        <v>6.6582292340145019E-5</v>
      </c>
      <c r="G35" s="100">
        <f t="shared" si="2"/>
        <v>0</v>
      </c>
      <c r="H35" s="100">
        <f t="shared" si="2"/>
        <v>0.67379289591198499</v>
      </c>
      <c r="I35" s="100">
        <f t="shared" si="2"/>
        <v>0</v>
      </c>
      <c r="J35" s="100">
        <f t="shared" si="2"/>
        <v>1.5513494802722975E-9</v>
      </c>
      <c r="K35" s="100">
        <f t="shared" si="2"/>
        <v>-0.25419203593559148</v>
      </c>
      <c r="L35" s="100">
        <f t="shared" si="2"/>
        <v>0</v>
      </c>
      <c r="M35" s="100">
        <f t="shared" si="2"/>
        <v>0</v>
      </c>
      <c r="N35" s="100">
        <f t="shared" si="2"/>
        <v>0</v>
      </c>
      <c r="O35" s="100">
        <f t="shared" si="2"/>
        <v>0</v>
      </c>
      <c r="P35" s="100">
        <f t="shared" si="2"/>
        <v>0</v>
      </c>
      <c r="Q35" s="100">
        <f t="shared" si="2"/>
        <v>0</v>
      </c>
      <c r="R35" s="100">
        <f t="shared" si="2"/>
        <v>0</v>
      </c>
      <c r="S35" s="100">
        <f t="shared" si="2"/>
        <v>0</v>
      </c>
      <c r="T35" s="100">
        <f t="shared" si="2"/>
        <v>0</v>
      </c>
      <c r="U35" s="100">
        <f t="shared" si="2"/>
        <v>0</v>
      </c>
      <c r="V35" s="100">
        <f t="shared" si="2"/>
        <v>0</v>
      </c>
      <c r="W35" s="100">
        <f t="shared" si="2"/>
        <v>0</v>
      </c>
      <c r="X35" s="100">
        <f t="shared" si="2"/>
        <v>0.25866697555390422</v>
      </c>
      <c r="Y35" s="100">
        <f t="shared" si="2"/>
        <v>1.5513494802722975E-9</v>
      </c>
      <c r="Z35" s="100">
        <f t="shared" si="2"/>
        <v>6.4724516847563201E-5</v>
      </c>
      <c r="AA35" s="100">
        <f t="shared" si="2"/>
        <v>0</v>
      </c>
      <c r="AB35" s="100">
        <f t="shared" si="2"/>
        <v>0</v>
      </c>
      <c r="AC35" s="100">
        <f t="shared" si="2"/>
        <v>8.6869892588442497</v>
      </c>
      <c r="AD35" s="100">
        <f t="shared" si="2"/>
        <v>0</v>
      </c>
      <c r="AE35" s="100">
        <f t="shared" si="2"/>
        <v>0</v>
      </c>
      <c r="AF35" s="100">
        <f t="shared" si="2"/>
        <v>0</v>
      </c>
      <c r="AG35" s="100">
        <f t="shared" si="2"/>
        <v>20.965010453055651</v>
      </c>
      <c r="AH35" s="100">
        <f t="shared" si="2"/>
        <v>2.2105407326104959E-4</v>
      </c>
      <c r="AI35" s="100">
        <f t="shared" si="2"/>
        <v>0</v>
      </c>
      <c r="AJ35" s="100">
        <f t="shared" si="2"/>
        <v>0</v>
      </c>
      <c r="AK35" s="100">
        <f t="shared" si="2"/>
        <v>0</v>
      </c>
    </row>
    <row r="36" spans="1:45" x14ac:dyDescent="0.35">
      <c r="A36" s="94"/>
      <c r="B36" s="94" t="s">
        <v>110</v>
      </c>
      <c r="C36" s="95">
        <f>LCI_HC!$E9*'IW+_end'!C18</f>
        <v>0</v>
      </c>
      <c r="D36" s="95">
        <f>LCI_HC!$E9*'IW+_end'!D18</f>
        <v>0</v>
      </c>
      <c r="E36" s="95">
        <f>LCI_HC!$E9*'IW+_end'!E18</f>
        <v>0</v>
      </c>
      <c r="F36" s="95">
        <f>LCI_HC!$E9*'IW+_end'!F18</f>
        <v>0</v>
      </c>
      <c r="G36" s="95">
        <f>LCI_HC!$E9*'IW+_end'!G18</f>
        <v>0</v>
      </c>
      <c r="H36" s="95">
        <f>LCI_HC!$E9*'IW+_end'!H18</f>
        <v>0.67379289591198499</v>
      </c>
      <c r="I36" s="95">
        <f>LCI_HC!$E9*'IW+_end'!I18</f>
        <v>0</v>
      </c>
      <c r="J36" s="95">
        <f>LCI_HC!$E9*'IW+_end'!J18</f>
        <v>0</v>
      </c>
      <c r="K36" s="95">
        <f>LCI_HC!$E9*'IW+_end'!K18</f>
        <v>0</v>
      </c>
      <c r="L36" s="95">
        <f>LCI_HC!$E9*'IW+_end'!L18</f>
        <v>0</v>
      </c>
      <c r="M36" s="95">
        <f>LCI_HC!$E9*'IW+_end'!M18</f>
        <v>0</v>
      </c>
      <c r="N36" s="95">
        <f>LCI_HC!$E9*'IW+_end'!N18</f>
        <v>0</v>
      </c>
      <c r="O36" s="95">
        <f>LCI_HC!$E9*'IW+_end'!O18</f>
        <v>0</v>
      </c>
      <c r="P36" s="95">
        <f>LCI_HC!$E9*'IW+_end'!P18</f>
        <v>0</v>
      </c>
      <c r="Q36" s="95">
        <f>LCI_HC!$E9*'IW+_end'!Q18</f>
        <v>0</v>
      </c>
      <c r="R36" s="95">
        <f>LCI_HC!$E9*'IW+_end'!R18</f>
        <v>0</v>
      </c>
      <c r="S36" s="95">
        <f>LCI_HC!$E9*'IW+_end'!S18</f>
        <v>0</v>
      </c>
      <c r="T36" s="95">
        <f>LCI_HC!$E9*'IW+_end'!T18</f>
        <v>0</v>
      </c>
      <c r="U36" s="95">
        <f>LCI_HC!$E9*'IW+_end'!U18</f>
        <v>0</v>
      </c>
      <c r="V36" s="95">
        <f>LCI_HC!$E9*'IW+_end'!V18</f>
        <v>0</v>
      </c>
      <c r="W36" s="95">
        <f>LCI_HC!$E9*'IW+_end'!W18</f>
        <v>0</v>
      </c>
      <c r="X36" s="95">
        <f>LCI_HC!$E9*'IW+_end'!X18</f>
        <v>0.25866697555390422</v>
      </c>
      <c r="Y36" s="95">
        <f>LCI_HC!$E9*'IW+_end'!Y18</f>
        <v>0</v>
      </c>
      <c r="Z36" s="95">
        <f>LCI_HC!$E9*'IW+_end'!Z18</f>
        <v>6.4724516847563201E-5</v>
      </c>
      <c r="AA36" s="95">
        <f>LCI_HC!$E9*'IW+_end'!AA18</f>
        <v>0</v>
      </c>
      <c r="AB36" s="95">
        <f>LCI_HC!$E9*'IW+_end'!AB18</f>
        <v>0</v>
      </c>
      <c r="AC36" s="95">
        <f>LCI_HC!$E9*'IW+_end'!AC18</f>
        <v>8.6869892588442497</v>
      </c>
      <c r="AD36" s="95">
        <f>LCI_HC!$E9*'IW+_end'!AD18</f>
        <v>0</v>
      </c>
      <c r="AE36" s="95">
        <f>LCI_HC!$E9*'IW+_end'!AE18</f>
        <v>0</v>
      </c>
      <c r="AF36" s="95">
        <f>LCI_HC!$E9*'IW+_end'!AF18</f>
        <v>0</v>
      </c>
      <c r="AG36" s="95">
        <f>LCI_HC!$E9*'IW+_end'!AG18</f>
        <v>9.619449130310139</v>
      </c>
      <c r="AH36" s="95">
        <f>LCI_HC!$E9*'IW+_end'!AH18</f>
        <v>6.4724516846851693E-5</v>
      </c>
      <c r="AI36" s="95">
        <f>LCI_HC!$E9*'IW+_end'!AI18</f>
        <v>0</v>
      </c>
      <c r="AJ36" s="95">
        <f>LCI_HC!$E9*'IW+_end'!AJ18</f>
        <v>0</v>
      </c>
      <c r="AK36" s="95">
        <f>LCI_HC!$E9*'IW+_end'!AK18</f>
        <v>0</v>
      </c>
    </row>
    <row r="37" spans="1:45" x14ac:dyDescent="0.35">
      <c r="A37" s="94"/>
      <c r="B37" s="94" t="s">
        <v>111</v>
      </c>
      <c r="C37" s="95">
        <f>LCI_HC!$E10*'IW+_end'!C20</f>
        <v>6.6593045599137257</v>
      </c>
      <c r="D37" s="95">
        <f>LCI_HC!$E10*'IW+_end'!D20</f>
        <v>4.9404487987673784</v>
      </c>
      <c r="E37" s="95">
        <f>LCI_HC!$E10*'IW+_end'!E20</f>
        <v>8.974726407464455E-5</v>
      </c>
      <c r="F37" s="95">
        <f>LCI_HC!$E10*'IW+_end'!F20</f>
        <v>6.6582292340145019E-5</v>
      </c>
      <c r="G37" s="95">
        <f>LCI_HC!$E10*'IW+_end'!G20</f>
        <v>0</v>
      </c>
      <c r="H37" s="95">
        <f>LCI_HC!$E10*'IW+_end'!H20</f>
        <v>0</v>
      </c>
      <c r="I37" s="95">
        <f>LCI_HC!$E10*'IW+_end'!I20</f>
        <v>0</v>
      </c>
      <c r="J37" s="95">
        <f>LCI_HC!$E10*'IW+_end'!J20</f>
        <v>0</v>
      </c>
      <c r="K37" s="95">
        <f>LCI_HC!$E10*'IW+_end'!K20</f>
        <v>0</v>
      </c>
      <c r="L37" s="95">
        <f>LCI_HC!$E10*'IW+_end'!L20</f>
        <v>0</v>
      </c>
      <c r="M37" s="95">
        <f>LCI_HC!$E10*'IW+_end'!M20</f>
        <v>0</v>
      </c>
      <c r="N37" s="95">
        <f>LCI_HC!$E10*'IW+_end'!N20</f>
        <v>0</v>
      </c>
      <c r="O37" s="95">
        <f>LCI_HC!$E10*'IW+_end'!O20</f>
        <v>0</v>
      </c>
      <c r="P37" s="95">
        <f>LCI_HC!$E10*'IW+_end'!P20</f>
        <v>0</v>
      </c>
      <c r="Q37" s="95">
        <f>LCI_HC!$E10*'IW+_end'!Q20</f>
        <v>0</v>
      </c>
      <c r="R37" s="95">
        <f>LCI_HC!$E10*'IW+_end'!R20</f>
        <v>0</v>
      </c>
      <c r="S37" s="95">
        <f>LCI_HC!$E10*'IW+_end'!S20</f>
        <v>0</v>
      </c>
      <c r="T37" s="95">
        <f>LCI_HC!$E10*'IW+_end'!T20</f>
        <v>0</v>
      </c>
      <c r="U37" s="95">
        <f>LCI_HC!$E10*'IW+_end'!U20</f>
        <v>0</v>
      </c>
      <c r="V37" s="95">
        <f>LCI_HC!$E10*'IW+_end'!V20</f>
        <v>0</v>
      </c>
      <c r="W37" s="95">
        <f>LCI_HC!$E10*'IW+_end'!W20</f>
        <v>0</v>
      </c>
      <c r="X37" s="95">
        <f>LCI_HC!$E10*'IW+_end'!X20</f>
        <v>0</v>
      </c>
      <c r="Y37" s="95">
        <f>LCI_HC!$E10*'IW+_end'!Y20</f>
        <v>0</v>
      </c>
      <c r="Z37" s="95">
        <f>LCI_HC!$E10*'IW+_end'!Z20</f>
        <v>0</v>
      </c>
      <c r="AA37" s="95">
        <f>LCI_HC!$E10*'IW+_end'!AA20</f>
        <v>0</v>
      </c>
      <c r="AB37" s="95">
        <f>LCI_HC!$E10*'IW+_end'!AB20</f>
        <v>0</v>
      </c>
      <c r="AC37" s="95">
        <f>LCI_HC!$E10*'IW+_end'!AC20</f>
        <v>0</v>
      </c>
      <c r="AD37" s="95">
        <f>LCI_HC!$E10*'IW+_end'!AD20</f>
        <v>0</v>
      </c>
      <c r="AE37" s="95">
        <f>LCI_HC!$E10*'IW+_end'!AE20</f>
        <v>0</v>
      </c>
      <c r="AF37" s="95">
        <f>LCI_HC!$E10*'IW+_end'!AF20</f>
        <v>0</v>
      </c>
      <c r="AG37" s="95">
        <f>LCI_HC!$E10*'IW+_end'!AG20</f>
        <v>11.599753358681102</v>
      </c>
      <c r="AH37" s="95">
        <f>LCI_HC!$E10*'IW+_end'!AH20</f>
        <v>1.5632955641419789E-4</v>
      </c>
      <c r="AI37" s="95">
        <f>LCI_HC!$E10*'IW+_end'!AI20</f>
        <v>0</v>
      </c>
      <c r="AJ37" s="95">
        <f>LCI_HC!$E10*'IW+_end'!AJ20</f>
        <v>0</v>
      </c>
      <c r="AK37" s="95">
        <f>LCI_HC!$E10*'IW+_end'!AK20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4"/>
      <c r="B38" s="94" t="s">
        <v>114</v>
      </c>
      <c r="C38" s="95">
        <f>LCI_HC!$E11*impact_process_end!C20</f>
        <v>0</v>
      </c>
      <c r="D38" s="95">
        <f>LCI_HC!$E11*impact_process_end!D20</f>
        <v>0</v>
      </c>
      <c r="E38" s="95">
        <f>LCI_HC!$E11*impact_process_end!E20</f>
        <v>0</v>
      </c>
      <c r="F38" s="95">
        <f>LCI_HC!$E11*impact_process_end!F20</f>
        <v>0</v>
      </c>
      <c r="G38" s="95">
        <f>LCI_HC!$E11*impact_process_end!G20</f>
        <v>0</v>
      </c>
      <c r="H38" s="95">
        <f>LCI_HC!$E11*impact_process_end!H20</f>
        <v>0</v>
      </c>
      <c r="I38" s="95">
        <f>LCI_HC!$E11*impact_process_end!I20</f>
        <v>0</v>
      </c>
      <c r="J38" s="95">
        <f>LCI_HC!$E11*impact_process_end!J20</f>
        <v>1.5513494802722975E-9</v>
      </c>
      <c r="K38" s="95">
        <f>LCI_HC!$E11*impact_process_end!K20</f>
        <v>0</v>
      </c>
      <c r="L38" s="95">
        <f>LCI_HC!$E11*impact_process_end!L20</f>
        <v>0</v>
      </c>
      <c r="M38" s="95">
        <f>LCI_HC!$E11*impact_process_end!M20</f>
        <v>0</v>
      </c>
      <c r="N38" s="95">
        <f>LCI_HC!$E11*impact_process_end!N20</f>
        <v>0</v>
      </c>
      <c r="O38" s="95">
        <f>LCI_HC!$E11*impact_process_end!O20</f>
        <v>0</v>
      </c>
      <c r="P38" s="95">
        <f>LCI_HC!$E11*impact_process_end!P20</f>
        <v>0</v>
      </c>
      <c r="Q38" s="95">
        <f>LCI_HC!$E11*impact_process_end!Q20</f>
        <v>0</v>
      </c>
      <c r="R38" s="95">
        <f>LCI_HC!$E11*impact_process_end!R20</f>
        <v>0</v>
      </c>
      <c r="S38" s="95">
        <f>LCI_HC!$E11*impact_process_end!S20</f>
        <v>0</v>
      </c>
      <c r="T38" s="95">
        <f>LCI_HC!$E11*impact_process_end!T20</f>
        <v>0</v>
      </c>
      <c r="U38" s="95">
        <f>LCI_HC!$E11*impact_process_end!U20</f>
        <v>0</v>
      </c>
      <c r="V38" s="95">
        <f>LCI_HC!$E11*impact_process_end!V20</f>
        <v>0</v>
      </c>
      <c r="W38" s="95">
        <f>LCI_HC!$E11*impact_process_end!W20</f>
        <v>0</v>
      </c>
      <c r="X38" s="95">
        <f>LCI_HC!$E11*impact_process_end!X20</f>
        <v>0</v>
      </c>
      <c r="Y38" s="95">
        <f>LCI_HC!$E11*impact_process_end!Y20</f>
        <v>1.5513494802722975E-9</v>
      </c>
      <c r="Z38" s="95">
        <f>LCI_HC!$E11*impact_process_end!Z20</f>
        <v>0</v>
      </c>
      <c r="AA38" s="95">
        <f>LCI_HC!$E11*impact_process_end!AA20</f>
        <v>0</v>
      </c>
      <c r="AB38" s="95">
        <f>LCI_HC!$E11*impact_process_end!AB20</f>
        <v>0</v>
      </c>
      <c r="AC38" s="95">
        <f>LCI_HC!$E11*impact_process_end!AC20</f>
        <v>0</v>
      </c>
      <c r="AD38" s="95">
        <f>LCI_HC!$E11*impact_process_end!AD20</f>
        <v>0</v>
      </c>
      <c r="AE38" s="95">
        <f>LCI_HC!$E11*impact_process_end!AE20</f>
        <v>0</v>
      </c>
      <c r="AF38" s="95">
        <f>LCI_HC!$E11*impact_process_end!AF20</f>
        <v>0</v>
      </c>
      <c r="AG38" s="95">
        <f>LCI_HC!$E11*impact_process_end!AG20</f>
        <v>0</v>
      </c>
      <c r="AH38" s="95">
        <f>LCI_HC!$E11*impact_process_end!AH20</f>
        <v>0</v>
      </c>
      <c r="AI38" s="95">
        <f>LCI_HC!$E11*impact_process_end!AI20</f>
        <v>0</v>
      </c>
      <c r="AJ38" s="95">
        <f>LCI_HC!$E11*impact_process_end!AJ20</f>
        <v>0</v>
      </c>
      <c r="AK38" s="95">
        <f>LCI_HC!$E11*impact_process_end!AK20</f>
        <v>0</v>
      </c>
    </row>
    <row r="39" spans="1:45" x14ac:dyDescent="0.35">
      <c r="A39" s="94"/>
      <c r="B39" s="94" t="s">
        <v>414</v>
      </c>
      <c r="C39" s="95">
        <f>LCI_HC!$E12*'IW+_end'!C25</f>
        <v>0</v>
      </c>
      <c r="D39" s="95">
        <f>LCI_HC!$E12*'IW+_end'!D25</f>
        <v>0</v>
      </c>
      <c r="E39" s="95">
        <f>LCI_HC!$E12*'IW+_end'!E25</f>
        <v>0</v>
      </c>
      <c r="F39" s="95">
        <f>LCI_HC!$E12*'IW+_end'!F25</f>
        <v>0</v>
      </c>
      <c r="G39" s="95">
        <f>LCI_HC!$E12*'IW+_end'!G25</f>
        <v>0</v>
      </c>
      <c r="H39" s="95">
        <f>LCI_HC!$E12*'IW+_end'!H25</f>
        <v>0</v>
      </c>
      <c r="I39" s="95">
        <f>LCI_HC!$E12*'IW+_end'!I25</f>
        <v>0</v>
      </c>
      <c r="J39" s="95">
        <f>LCI_HC!$E12*'IW+_end'!J25</f>
        <v>0</v>
      </c>
      <c r="K39" s="95">
        <f>LCI_HC!$E12*'IW+_end'!K25</f>
        <v>-0.25419203593559148</v>
      </c>
      <c r="L39" s="95">
        <f>LCI_HC!$E12*'IW+_end'!L25</f>
        <v>0</v>
      </c>
      <c r="M39" s="95">
        <f>LCI_HC!$E12*'IW+_end'!M25</f>
        <v>0</v>
      </c>
      <c r="N39" s="95">
        <f>LCI_HC!$E12*'IW+_end'!N25</f>
        <v>0</v>
      </c>
      <c r="O39" s="95">
        <f>LCI_HC!$E12*'IW+_end'!O25</f>
        <v>0</v>
      </c>
      <c r="P39" s="95">
        <f>LCI_HC!$E12*'IW+_end'!P25</f>
        <v>0</v>
      </c>
      <c r="Q39" s="95">
        <f>LCI_HC!$E12*'IW+_end'!Q25</f>
        <v>0</v>
      </c>
      <c r="R39" s="95">
        <f>LCI_HC!$E12*'IW+_end'!R25</f>
        <v>0</v>
      </c>
      <c r="S39" s="95">
        <f>LCI_HC!$E12*'IW+_end'!S25</f>
        <v>0</v>
      </c>
      <c r="T39" s="95">
        <f>LCI_HC!$E12*'IW+_end'!T25</f>
        <v>0</v>
      </c>
      <c r="U39" s="95">
        <f>LCI_HC!$E12*'IW+_end'!U25</f>
        <v>0</v>
      </c>
      <c r="V39" s="95">
        <f>LCI_HC!$E12*'IW+_end'!V25</f>
        <v>0</v>
      </c>
      <c r="W39" s="95">
        <f>LCI_HC!$E12*'IW+_end'!W25</f>
        <v>0</v>
      </c>
      <c r="X39" s="95">
        <f>LCI_HC!$E12*'IW+_end'!X25</f>
        <v>0</v>
      </c>
      <c r="Y39" s="95">
        <f>LCI_HC!$E12*'IW+_end'!Y25</f>
        <v>0</v>
      </c>
      <c r="Z39" s="95">
        <f>LCI_HC!$E12*'IW+_end'!Z25</f>
        <v>0</v>
      </c>
      <c r="AA39" s="95">
        <f>LCI_HC!$E12*'IW+_end'!AA25</f>
        <v>0</v>
      </c>
      <c r="AB39" s="95">
        <f>LCI_HC!$E12*'IW+_end'!AB25</f>
        <v>0</v>
      </c>
      <c r="AC39" s="95">
        <f>LCI_HC!$E12*'IW+_end'!AC25</f>
        <v>0</v>
      </c>
      <c r="AD39" s="95">
        <f>LCI_HC!$E12*'IW+_end'!AD25</f>
        <v>0</v>
      </c>
      <c r="AE39" s="95">
        <f>LCI_HC!$E12*'IW+_end'!AE25</f>
        <v>0</v>
      </c>
      <c r="AF39" s="95">
        <f>LCI_HC!$E12*'IW+_end'!AF25</f>
        <v>0</v>
      </c>
      <c r="AG39" s="95">
        <f>LCI_HC!$E12*'IW+_end'!AG25</f>
        <v>-0.25419203593559148</v>
      </c>
      <c r="AH39" s="95">
        <f>LCI_HC!$E12*'IW+_end'!AH25</f>
        <v>0</v>
      </c>
      <c r="AI39" s="95">
        <f>LCI_HC!$E12*'IW+_end'!AI25</f>
        <v>0</v>
      </c>
      <c r="AJ39" s="95">
        <f>LCI_HC!$E12*'IW+_end'!AJ25</f>
        <v>0</v>
      </c>
      <c r="AK39" s="95">
        <f>LCI_HC!$E12*'IW+_end'!AK25</f>
        <v>0</v>
      </c>
    </row>
    <row r="40" spans="1:45" x14ac:dyDescent="0.35">
      <c r="A40" s="94"/>
      <c r="B40" s="94" t="s">
        <v>415</v>
      </c>
      <c r="C40" s="95">
        <f>LCI_HC!$E13*'IW+_end'!C26</f>
        <v>0</v>
      </c>
      <c r="D40" s="95">
        <f>LCI_HC!$E13*'IW+_end'!D26</f>
        <v>0</v>
      </c>
      <c r="E40" s="95">
        <f>LCI_HC!$E13*'IW+_end'!E26</f>
        <v>0</v>
      </c>
      <c r="F40" s="95">
        <f>LCI_HC!$E13*'IW+_end'!F26</f>
        <v>0</v>
      </c>
      <c r="G40" s="95">
        <f>LCI_HC!$E13*'IW+_end'!G26</f>
        <v>0</v>
      </c>
      <c r="H40" s="95">
        <f>LCI_HC!$E13*'IW+_end'!H26</f>
        <v>0</v>
      </c>
      <c r="I40" s="95">
        <f>LCI_HC!$E13*'IW+_end'!I26</f>
        <v>0</v>
      </c>
      <c r="J40" s="95">
        <f>LCI_HC!$E13*'IW+_end'!J26</f>
        <v>0</v>
      </c>
      <c r="K40" s="95">
        <f>LCI_HC!$E13*'IW+_end'!K26</f>
        <v>0</v>
      </c>
      <c r="L40" s="95">
        <f>LCI_HC!$E13*'IW+_end'!L26</f>
        <v>0</v>
      </c>
      <c r="M40" s="95">
        <f>LCI_HC!$E13*'IW+_end'!M26</f>
        <v>0</v>
      </c>
      <c r="N40" s="95">
        <f>LCI_HC!$E13*'IW+_end'!N26</f>
        <v>0</v>
      </c>
      <c r="O40" s="95">
        <f>LCI_HC!$E13*'IW+_end'!O26</f>
        <v>0</v>
      </c>
      <c r="P40" s="95">
        <f>LCI_HC!$E13*'IW+_end'!P26</f>
        <v>0</v>
      </c>
      <c r="Q40" s="95">
        <f>LCI_HC!$E13*'IW+_end'!Q26</f>
        <v>0</v>
      </c>
      <c r="R40" s="95">
        <f>LCI_HC!$E13*'IW+_end'!R26</f>
        <v>0</v>
      </c>
      <c r="S40" s="95">
        <f>LCI_HC!$E13*'IW+_end'!S26</f>
        <v>0</v>
      </c>
      <c r="T40" s="95">
        <f>LCI_HC!$E13*'IW+_end'!T26</f>
        <v>0</v>
      </c>
      <c r="U40" s="95">
        <f>LCI_HC!$E13*'IW+_end'!U26</f>
        <v>0</v>
      </c>
      <c r="V40" s="95">
        <f>LCI_HC!$E13*'IW+_end'!V26</f>
        <v>0</v>
      </c>
      <c r="W40" s="95">
        <f>LCI_HC!$E13*'IW+_end'!W26</f>
        <v>0</v>
      </c>
      <c r="X40" s="95">
        <f>LCI_HC!$E13*'IW+_end'!X26</f>
        <v>0</v>
      </c>
      <c r="Y40" s="95">
        <f>LCI_HC!$E13*'IW+_end'!Y26</f>
        <v>0</v>
      </c>
      <c r="Z40" s="95">
        <f>LCI_HC!$E13*'IW+_end'!Z26</f>
        <v>0</v>
      </c>
      <c r="AA40" s="95">
        <f>LCI_HC!$E13*'IW+_end'!AA26</f>
        <v>0</v>
      </c>
      <c r="AB40" s="95">
        <f>LCI_HC!$E13*'IW+_end'!AB26</f>
        <v>0</v>
      </c>
      <c r="AC40" s="95">
        <f>LCI_HC!$E13*'IW+_end'!AC26</f>
        <v>0</v>
      </c>
      <c r="AD40" s="95">
        <f>LCI_HC!$E13*'IW+_end'!AD26</f>
        <v>0</v>
      </c>
      <c r="AE40" s="95">
        <f>LCI_HC!$E13*'IW+_end'!AE26</f>
        <v>0</v>
      </c>
      <c r="AF40" s="95">
        <f>LCI_HC!$E13*'IW+_end'!AF26</f>
        <v>0</v>
      </c>
      <c r="AG40" s="95">
        <f>LCI_HC!$E13*'IW+_end'!AG26</f>
        <v>0</v>
      </c>
      <c r="AH40" s="95">
        <f>LCI_HC!$E13*'IW+_end'!AH26</f>
        <v>0</v>
      </c>
      <c r="AI40" s="95">
        <f>LCI_HC!$E13*'IW+_end'!AI26</f>
        <v>0</v>
      </c>
      <c r="AJ40" s="95">
        <f>LCI_HC!$E13*'IW+_end'!AJ26</f>
        <v>0</v>
      </c>
      <c r="AK40" s="95">
        <f>LCI_HC!$E13*'IW+_end'!AK26</f>
        <v>0</v>
      </c>
    </row>
    <row r="41" spans="1:45" s="40" customFormat="1" x14ac:dyDescent="0.35">
      <c r="A41" s="97" t="s">
        <v>413</v>
      </c>
      <c r="B41" s="91"/>
      <c r="C41" s="98">
        <f>SUM(C42:C45)</f>
        <v>0</v>
      </c>
      <c r="D41" s="98">
        <f t="shared" ref="D41:AC41" si="3">SUM(D42:D45)</f>
        <v>0</v>
      </c>
      <c r="E41" s="98">
        <f t="shared" si="3"/>
        <v>0</v>
      </c>
      <c r="F41" s="98">
        <f t="shared" si="3"/>
        <v>0</v>
      </c>
      <c r="G41" s="98">
        <f t="shared" si="3"/>
        <v>0</v>
      </c>
      <c r="H41" s="98">
        <f t="shared" si="3"/>
        <v>0</v>
      </c>
      <c r="I41" s="98">
        <f t="shared" si="3"/>
        <v>0</v>
      </c>
      <c r="J41" s="98">
        <f t="shared" si="3"/>
        <v>0</v>
      </c>
      <c r="K41" s="98">
        <f t="shared" si="3"/>
        <v>0</v>
      </c>
      <c r="L41" s="98">
        <f t="shared" si="3"/>
        <v>0</v>
      </c>
      <c r="M41" s="98">
        <f t="shared" si="3"/>
        <v>0</v>
      </c>
      <c r="N41" s="98">
        <f t="shared" si="3"/>
        <v>0</v>
      </c>
      <c r="O41" s="98">
        <f t="shared" si="3"/>
        <v>0</v>
      </c>
      <c r="P41" s="98">
        <f t="shared" si="3"/>
        <v>0</v>
      </c>
      <c r="Q41" s="98">
        <f t="shared" si="3"/>
        <v>0</v>
      </c>
      <c r="R41" s="98">
        <f t="shared" si="3"/>
        <v>0</v>
      </c>
      <c r="S41" s="98">
        <f t="shared" si="3"/>
        <v>0</v>
      </c>
      <c r="T41" s="98">
        <f t="shared" si="3"/>
        <v>0</v>
      </c>
      <c r="U41" s="98">
        <f t="shared" si="3"/>
        <v>0</v>
      </c>
      <c r="V41" s="98">
        <f t="shared" si="3"/>
        <v>0</v>
      </c>
      <c r="W41" s="98">
        <f t="shared" si="3"/>
        <v>0</v>
      </c>
      <c r="X41" s="98">
        <f t="shared" si="3"/>
        <v>0</v>
      </c>
      <c r="Y41" s="98">
        <f t="shared" si="3"/>
        <v>0</v>
      </c>
      <c r="Z41" s="98">
        <f t="shared" si="3"/>
        <v>0</v>
      </c>
      <c r="AA41" s="98">
        <f t="shared" si="3"/>
        <v>0</v>
      </c>
      <c r="AB41" s="98">
        <f t="shared" si="3"/>
        <v>0</v>
      </c>
      <c r="AC41" s="98">
        <f t="shared" si="3"/>
        <v>0</v>
      </c>
      <c r="AD41" s="98">
        <f t="shared" ref="AD41:AK41" si="4">SUM(AD42:AD45)</f>
        <v>0</v>
      </c>
      <c r="AE41" s="98">
        <f t="shared" si="4"/>
        <v>0</v>
      </c>
      <c r="AF41" s="98">
        <f t="shared" si="4"/>
        <v>0</v>
      </c>
      <c r="AG41" s="98">
        <f t="shared" si="4"/>
        <v>0</v>
      </c>
      <c r="AH41" s="98">
        <f t="shared" si="4"/>
        <v>0</v>
      </c>
      <c r="AI41" s="98">
        <f t="shared" si="4"/>
        <v>0</v>
      </c>
      <c r="AJ41" s="98">
        <f t="shared" si="4"/>
        <v>0</v>
      </c>
      <c r="AK41" s="98">
        <f t="shared" si="4"/>
        <v>0</v>
      </c>
    </row>
    <row r="42" spans="1:45" x14ac:dyDescent="0.35">
      <c r="A42" s="94"/>
      <c r="B42" s="94" t="s">
        <v>228</v>
      </c>
      <c r="C42" s="93">
        <f>LCI_HC!$E15*'IW+_end'!C28</f>
        <v>0</v>
      </c>
      <c r="D42" s="93">
        <f>LCI_HC!$E15*'IW+_end'!D28</f>
        <v>0</v>
      </c>
      <c r="E42" s="93">
        <f>LCI_HC!$E15*'IW+_end'!E28</f>
        <v>0</v>
      </c>
      <c r="F42" s="93">
        <f>LCI_HC!$E15*'IW+_end'!F28</f>
        <v>0</v>
      </c>
      <c r="G42" s="93">
        <f>LCI_HC!$E15*'IW+_end'!G28</f>
        <v>0</v>
      </c>
      <c r="H42" s="93">
        <f>LCI_HC!$E15*'IW+_end'!H28</f>
        <v>0</v>
      </c>
      <c r="I42" s="93">
        <f>LCI_HC!$E15*'IW+_end'!I28</f>
        <v>0</v>
      </c>
      <c r="J42" s="93">
        <f>LCI_HC!$E15*'IW+_end'!J28</f>
        <v>0</v>
      </c>
      <c r="K42" s="93">
        <f>LCI_HC!$E15*'IW+_end'!K28</f>
        <v>0</v>
      </c>
      <c r="L42" s="93">
        <f>LCI_HC!$E15*'IW+_end'!L28</f>
        <v>0</v>
      </c>
      <c r="M42" s="93">
        <f>LCI_HC!$E15*'IW+_end'!M28</f>
        <v>0</v>
      </c>
      <c r="N42" s="93">
        <f>LCI_HC!$E15*'IW+_end'!N28</f>
        <v>0</v>
      </c>
      <c r="O42" s="93">
        <f>LCI_HC!$E15*'IW+_end'!O28</f>
        <v>0</v>
      </c>
      <c r="P42" s="93">
        <f>LCI_HC!$E15*'IW+_end'!P28</f>
        <v>0</v>
      </c>
      <c r="Q42" s="93">
        <f>LCI_HC!$E15*'IW+_end'!Q28</f>
        <v>0</v>
      </c>
      <c r="R42" s="93">
        <f>LCI_HC!$E15*'IW+_end'!R28</f>
        <v>0</v>
      </c>
      <c r="S42" s="93">
        <f>LCI_HC!$E15*'IW+_end'!S28</f>
        <v>0</v>
      </c>
      <c r="T42" s="93">
        <f>LCI_HC!$E15*'IW+_end'!T28</f>
        <v>0</v>
      </c>
      <c r="U42" s="93">
        <f>LCI_HC!$E15*'IW+_end'!U28</f>
        <v>0</v>
      </c>
      <c r="V42" s="93">
        <f>LCI_HC!$E15*'IW+_end'!V28</f>
        <v>0</v>
      </c>
      <c r="W42" s="93">
        <f>LCI_HC!$E15*'IW+_end'!W28</f>
        <v>0</v>
      </c>
      <c r="X42" s="93">
        <f>LCI_HC!$E15*'IW+_end'!X28</f>
        <v>0</v>
      </c>
      <c r="Y42" s="93">
        <f>LCI_HC!$E15*'IW+_end'!Y28</f>
        <v>0</v>
      </c>
      <c r="Z42" s="93">
        <f>LCI_HC!$E15*'IW+_end'!Z28</f>
        <v>0</v>
      </c>
      <c r="AA42" s="93">
        <f>LCI_HC!$E15*'IW+_end'!AA28</f>
        <v>0</v>
      </c>
      <c r="AB42" s="93">
        <f>LCI_HC!$E15*'IW+_end'!AB28</f>
        <v>0</v>
      </c>
      <c r="AC42" s="93">
        <f>LCI_HC!$E15*'IW+_end'!AC28</f>
        <v>0</v>
      </c>
      <c r="AD42" s="93">
        <f>LCI_HC!$E15*'IW+_end'!AD28</f>
        <v>0</v>
      </c>
      <c r="AE42" s="93">
        <f>LCI_HC!$E15*'IW+_end'!AE28</f>
        <v>0</v>
      </c>
      <c r="AF42" s="93">
        <f>LCI_HC!$E15*'IW+_end'!AF28</f>
        <v>0</v>
      </c>
      <c r="AG42" s="93">
        <f>LCI_HC!$E15*'IW+_end'!AG28</f>
        <v>0</v>
      </c>
      <c r="AH42" s="93">
        <f>LCI_HC!$E15*'IW+_end'!AH28</f>
        <v>0</v>
      </c>
      <c r="AI42" s="93">
        <f>LCI_HC!$E15*'IW+_end'!AI28</f>
        <v>0</v>
      </c>
      <c r="AJ42" s="93">
        <f>LCI_HC!$E15*'IW+_end'!AJ28</f>
        <v>0</v>
      </c>
      <c r="AK42" s="93">
        <f>LCI_HC!$E15*'IW+_end'!AK28</f>
        <v>0</v>
      </c>
    </row>
    <row r="43" spans="1:45" x14ac:dyDescent="0.35">
      <c r="A43" s="94"/>
      <c r="B43" s="94" t="s">
        <v>230</v>
      </c>
      <c r="C43" s="93">
        <f>LCI_HC!$E16*'IW+_end'!C30</f>
        <v>0</v>
      </c>
      <c r="D43" s="93">
        <f>LCI_HC!$E16*'IW+_end'!D30</f>
        <v>0</v>
      </c>
      <c r="E43" s="93">
        <f>LCI_HC!$E16*'IW+_end'!E30</f>
        <v>0</v>
      </c>
      <c r="F43" s="93">
        <f>LCI_HC!$E16*'IW+_end'!F30</f>
        <v>0</v>
      </c>
      <c r="G43" s="93">
        <f>LCI_HC!$E16*'IW+_end'!G30</f>
        <v>0</v>
      </c>
      <c r="H43" s="93">
        <f>LCI_HC!$E16*'IW+_end'!H30</f>
        <v>0</v>
      </c>
      <c r="I43" s="93">
        <f>LCI_HC!$E16*'IW+_end'!I30</f>
        <v>0</v>
      </c>
      <c r="J43" s="93">
        <f>LCI_HC!$E16*'IW+_end'!J30</f>
        <v>0</v>
      </c>
      <c r="K43" s="93">
        <f>LCI_HC!$E16*'IW+_end'!K30</f>
        <v>0</v>
      </c>
      <c r="L43" s="93">
        <f>LCI_HC!$E16*'IW+_end'!L30</f>
        <v>0</v>
      </c>
      <c r="M43" s="93">
        <f>LCI_HC!$E16*'IW+_end'!M30</f>
        <v>0</v>
      </c>
      <c r="N43" s="93">
        <f>LCI_HC!$E16*'IW+_end'!N30</f>
        <v>0</v>
      </c>
      <c r="O43" s="93">
        <f>LCI_HC!$E16*'IW+_end'!O30</f>
        <v>0</v>
      </c>
      <c r="P43" s="93">
        <f>LCI_HC!$E16*'IW+_end'!P30</f>
        <v>0</v>
      </c>
      <c r="Q43" s="93">
        <f>LCI_HC!$E16*'IW+_end'!Q30</f>
        <v>0</v>
      </c>
      <c r="R43" s="93">
        <f>LCI_HC!$E16*'IW+_end'!R30</f>
        <v>0</v>
      </c>
      <c r="S43" s="93">
        <f>LCI_HC!$E16*'IW+_end'!S30</f>
        <v>0</v>
      </c>
      <c r="T43" s="93">
        <f>LCI_HC!$E16*'IW+_end'!T30</f>
        <v>0</v>
      </c>
      <c r="U43" s="93">
        <f>LCI_HC!$E16*'IW+_end'!U30</f>
        <v>0</v>
      </c>
      <c r="V43" s="93">
        <f>LCI_HC!$E16*'IW+_end'!V30</f>
        <v>0</v>
      </c>
      <c r="W43" s="93">
        <f>LCI_HC!$E16*'IW+_end'!W30</f>
        <v>0</v>
      </c>
      <c r="X43" s="93">
        <f>LCI_HC!$E16*'IW+_end'!X30</f>
        <v>0</v>
      </c>
      <c r="Y43" s="93">
        <f>LCI_HC!$E16*'IW+_end'!Y30</f>
        <v>0</v>
      </c>
      <c r="Z43" s="93">
        <f>LCI_HC!$E16*'IW+_end'!Z30</f>
        <v>0</v>
      </c>
      <c r="AA43" s="93">
        <f>LCI_HC!$E16*'IW+_end'!AA30</f>
        <v>0</v>
      </c>
      <c r="AB43" s="93">
        <f>LCI_HC!$E16*'IW+_end'!AB30</f>
        <v>0</v>
      </c>
      <c r="AC43" s="93">
        <f>LCI_HC!$E16*'IW+_end'!AC30</f>
        <v>0</v>
      </c>
      <c r="AD43" s="93">
        <f>LCI_HC!$E16*'IW+_end'!AD30</f>
        <v>0</v>
      </c>
      <c r="AE43" s="93">
        <f>LCI_HC!$E16*'IW+_end'!AE30</f>
        <v>0</v>
      </c>
      <c r="AF43" s="93">
        <f>LCI_HC!$E16*'IW+_end'!AF30</f>
        <v>0</v>
      </c>
      <c r="AG43" s="93">
        <f>LCI_HC!$E16*'IW+_end'!AG30</f>
        <v>0</v>
      </c>
      <c r="AH43" s="93">
        <f>LCI_HC!$E16*'IW+_end'!AH30</f>
        <v>0</v>
      </c>
      <c r="AI43" s="93">
        <f>LCI_HC!$E16*'IW+_end'!AI30</f>
        <v>0</v>
      </c>
      <c r="AJ43" s="93">
        <f>LCI_HC!$E16*'IW+_end'!AJ30</f>
        <v>0</v>
      </c>
      <c r="AK43" s="93">
        <f>LCI_HC!$E16*'IW+_end'!AK30</f>
        <v>0</v>
      </c>
    </row>
    <row r="44" spans="1:45" x14ac:dyDescent="0.35">
      <c r="A44" s="94"/>
      <c r="B44" s="94" t="s">
        <v>229</v>
      </c>
      <c r="C44" s="93">
        <f>LCI_HC!$E17*'IW+_end'!C29</f>
        <v>0</v>
      </c>
      <c r="D44" s="93">
        <f>LCI_HC!$E17*'IW+_end'!D29</f>
        <v>0</v>
      </c>
      <c r="E44" s="93">
        <f>LCI_HC!$E17*'IW+_end'!E29</f>
        <v>0</v>
      </c>
      <c r="F44" s="93">
        <f>LCI_HC!$E17*'IW+_end'!F29</f>
        <v>0</v>
      </c>
      <c r="G44" s="93">
        <f>LCI_HC!$E17*'IW+_end'!G29</f>
        <v>0</v>
      </c>
      <c r="H44" s="93">
        <f>LCI_HC!$E17*'IW+_end'!H29</f>
        <v>0</v>
      </c>
      <c r="I44" s="93">
        <f>LCI_HC!$E17*'IW+_end'!I29</f>
        <v>0</v>
      </c>
      <c r="J44" s="93">
        <f>LCI_HC!$E17*'IW+_end'!J29</f>
        <v>0</v>
      </c>
      <c r="K44" s="93">
        <f>LCI_HC!$E17*'IW+_end'!K29</f>
        <v>0</v>
      </c>
      <c r="L44" s="93">
        <f>LCI_HC!$E17*'IW+_end'!L29</f>
        <v>0</v>
      </c>
      <c r="M44" s="93">
        <f>LCI_HC!$E17*'IW+_end'!M29</f>
        <v>0</v>
      </c>
      <c r="N44" s="93">
        <f>LCI_HC!$E17*'IW+_end'!N29</f>
        <v>0</v>
      </c>
      <c r="O44" s="93">
        <f>LCI_HC!$E17*'IW+_end'!O29</f>
        <v>0</v>
      </c>
      <c r="P44" s="93">
        <f>LCI_HC!$E17*'IW+_end'!P29</f>
        <v>0</v>
      </c>
      <c r="Q44" s="93">
        <f>LCI_HC!$E17*'IW+_end'!Q29</f>
        <v>0</v>
      </c>
      <c r="R44" s="93">
        <f>LCI_HC!$E17*'IW+_end'!R29</f>
        <v>0</v>
      </c>
      <c r="S44" s="93">
        <f>LCI_HC!$E17*'IW+_end'!S29</f>
        <v>0</v>
      </c>
      <c r="T44" s="93">
        <f>LCI_HC!$E17*'IW+_end'!T29</f>
        <v>0</v>
      </c>
      <c r="U44" s="93">
        <f>LCI_HC!$E17*'IW+_end'!U29</f>
        <v>0</v>
      </c>
      <c r="V44" s="93">
        <f>LCI_HC!$E17*'IW+_end'!V29</f>
        <v>0</v>
      </c>
      <c r="W44" s="93">
        <f>LCI_HC!$E17*'IW+_end'!W29</f>
        <v>0</v>
      </c>
      <c r="X44" s="93">
        <f>LCI_HC!$E17*'IW+_end'!X29</f>
        <v>0</v>
      </c>
      <c r="Y44" s="93">
        <f>LCI_HC!$E17*'IW+_end'!Y29</f>
        <v>0</v>
      </c>
      <c r="Z44" s="93">
        <f>LCI_HC!$E17*'IW+_end'!Z29</f>
        <v>0</v>
      </c>
      <c r="AA44" s="93">
        <f>LCI_HC!$E17*'IW+_end'!AA29</f>
        <v>0</v>
      </c>
      <c r="AB44" s="93">
        <f>LCI_HC!$E17*'IW+_end'!AB29</f>
        <v>0</v>
      </c>
      <c r="AC44" s="93">
        <f>LCI_HC!$E17*'IW+_end'!AC29</f>
        <v>0</v>
      </c>
      <c r="AD44" s="93">
        <f>LCI_HC!$E17*'IW+_end'!AD29</f>
        <v>0</v>
      </c>
      <c r="AE44" s="93">
        <f>LCI_HC!$E17*'IW+_end'!AE29</f>
        <v>0</v>
      </c>
      <c r="AF44" s="93">
        <f>LCI_HC!$E17*'IW+_end'!AF29</f>
        <v>0</v>
      </c>
      <c r="AG44" s="93">
        <f>LCI_HC!$E17*'IW+_end'!AG29</f>
        <v>0</v>
      </c>
      <c r="AH44" s="93">
        <f>LCI_HC!$E17*'IW+_end'!AH29</f>
        <v>0</v>
      </c>
      <c r="AI44" s="93">
        <f>LCI_HC!$E17*'IW+_end'!AI29</f>
        <v>0</v>
      </c>
      <c r="AJ44" s="93">
        <f>LCI_HC!$E17*'IW+_end'!AJ29</f>
        <v>0</v>
      </c>
      <c r="AK44" s="93">
        <f>LCI_HC!$E17*'IW+_end'!AK29</f>
        <v>0</v>
      </c>
    </row>
    <row r="45" spans="1:45" x14ac:dyDescent="0.35">
      <c r="A45" s="94"/>
      <c r="B45" s="94" t="s">
        <v>231</v>
      </c>
      <c r="C45" s="93">
        <f>LCI_HC!$E18*'IW+_end'!C31</f>
        <v>0</v>
      </c>
      <c r="D45" s="93">
        <f>LCI_HC!$E18*'IW+_end'!D31</f>
        <v>0</v>
      </c>
      <c r="E45" s="93">
        <f>LCI_HC!$E18*'IW+_end'!E31</f>
        <v>0</v>
      </c>
      <c r="F45" s="93">
        <f>LCI_HC!$E18*'IW+_end'!F31</f>
        <v>0</v>
      </c>
      <c r="G45" s="93">
        <f>LCI_HC!$E18*'IW+_end'!G31</f>
        <v>0</v>
      </c>
      <c r="H45" s="93">
        <f>LCI_HC!$E18*'IW+_end'!H31</f>
        <v>0</v>
      </c>
      <c r="I45" s="93">
        <f>LCI_HC!$E18*'IW+_end'!I31</f>
        <v>0</v>
      </c>
      <c r="J45" s="93">
        <f>LCI_HC!$E18*'IW+_end'!J31</f>
        <v>0</v>
      </c>
      <c r="K45" s="93">
        <f>LCI_HC!$E18*'IW+_end'!K31</f>
        <v>0</v>
      </c>
      <c r="L45" s="93">
        <f>LCI_HC!$E18*'IW+_end'!L31</f>
        <v>0</v>
      </c>
      <c r="M45" s="93">
        <f>LCI_HC!$E18*'IW+_end'!M31</f>
        <v>0</v>
      </c>
      <c r="N45" s="93">
        <f>LCI_HC!$E18*'IW+_end'!N31</f>
        <v>0</v>
      </c>
      <c r="O45" s="93">
        <f>LCI_HC!$E18*'IW+_end'!O31</f>
        <v>0</v>
      </c>
      <c r="P45" s="93">
        <f>LCI_HC!$E18*'IW+_end'!P31</f>
        <v>0</v>
      </c>
      <c r="Q45" s="93">
        <f>LCI_HC!$E18*'IW+_end'!Q31</f>
        <v>0</v>
      </c>
      <c r="R45" s="93">
        <f>LCI_HC!$E18*'IW+_end'!R31</f>
        <v>0</v>
      </c>
      <c r="S45" s="93">
        <f>LCI_HC!$E18*'IW+_end'!S31</f>
        <v>0</v>
      </c>
      <c r="T45" s="93">
        <f>LCI_HC!$E18*'IW+_end'!T31</f>
        <v>0</v>
      </c>
      <c r="U45" s="93">
        <f>LCI_HC!$E18*'IW+_end'!U31</f>
        <v>0</v>
      </c>
      <c r="V45" s="93">
        <f>LCI_HC!$E18*'IW+_end'!V31</f>
        <v>0</v>
      </c>
      <c r="W45" s="93">
        <f>LCI_HC!$E18*'IW+_end'!W31</f>
        <v>0</v>
      </c>
      <c r="X45" s="93">
        <f>LCI_HC!$E18*'IW+_end'!X31</f>
        <v>0</v>
      </c>
      <c r="Y45" s="93">
        <f>LCI_HC!$E18*'IW+_end'!Y31</f>
        <v>0</v>
      </c>
      <c r="Z45" s="93">
        <f>LCI_HC!$E18*'IW+_end'!Z31</f>
        <v>0</v>
      </c>
      <c r="AA45" s="93">
        <f>LCI_HC!$E18*'IW+_end'!AA31</f>
        <v>0</v>
      </c>
      <c r="AB45" s="93">
        <f>LCI_HC!$E18*'IW+_end'!AB31</f>
        <v>0</v>
      </c>
      <c r="AC45" s="93">
        <f>LCI_HC!$E18*'IW+_end'!AC31</f>
        <v>0</v>
      </c>
      <c r="AD45" s="93">
        <f>LCI_HC!$E18*'IW+_end'!AD31</f>
        <v>0</v>
      </c>
      <c r="AE45" s="93">
        <f>LCI_HC!$E18*'IW+_end'!AE31</f>
        <v>0</v>
      </c>
      <c r="AF45" s="93">
        <f>LCI_HC!$E18*'IW+_end'!AF31</f>
        <v>0</v>
      </c>
      <c r="AG45" s="93">
        <f>LCI_HC!$E18*'IW+_end'!AG31</f>
        <v>0</v>
      </c>
      <c r="AH45" s="93">
        <f>LCI_HC!$E18*'IW+_end'!AH31</f>
        <v>0</v>
      </c>
      <c r="AI45" s="93">
        <f>LCI_HC!$E18*'IW+_end'!AI31</f>
        <v>0</v>
      </c>
      <c r="AJ45" s="93">
        <f>LCI_HC!$E18*'IW+_end'!AJ31</f>
        <v>0</v>
      </c>
      <c r="AK45" s="93">
        <f>LCI_HC!$E18*'IW+_end'!AK31</f>
        <v>0</v>
      </c>
    </row>
    <row r="48" spans="1:45" x14ac:dyDescent="0.35">
      <c r="A48" s="147" t="s">
        <v>416</v>
      </c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</row>
    <row r="49" spans="1:28" ht="29" x14ac:dyDescent="0.35">
      <c r="A49" s="101" t="s">
        <v>0</v>
      </c>
      <c r="B49" s="83"/>
      <c r="C49" s="102" t="s">
        <v>358</v>
      </c>
      <c r="D49" s="102" t="s">
        <v>359</v>
      </c>
      <c r="E49" s="102" t="s">
        <v>360</v>
      </c>
      <c r="F49" s="102" t="s">
        <v>361</v>
      </c>
      <c r="G49" s="102" t="s">
        <v>362</v>
      </c>
      <c r="H49" s="102" t="s">
        <v>363</v>
      </c>
      <c r="I49" s="102" t="s">
        <v>364</v>
      </c>
      <c r="J49" s="102" t="s">
        <v>365</v>
      </c>
      <c r="K49" s="102" t="s">
        <v>366</v>
      </c>
      <c r="L49" s="102" t="s">
        <v>367</v>
      </c>
      <c r="M49" s="102" t="s">
        <v>368</v>
      </c>
      <c r="N49" s="102" t="s">
        <v>369</v>
      </c>
      <c r="O49" s="102" t="s">
        <v>370</v>
      </c>
      <c r="P49" s="102" t="s">
        <v>371</v>
      </c>
      <c r="Q49" s="102" t="s">
        <v>372</v>
      </c>
      <c r="R49" s="102" t="s">
        <v>373</v>
      </c>
      <c r="S49" s="102" t="s">
        <v>374</v>
      </c>
      <c r="T49" s="102" t="s">
        <v>375</v>
      </c>
    </row>
    <row r="50" spans="1:28" x14ac:dyDescent="0.35">
      <c r="A50" s="101" t="s">
        <v>294</v>
      </c>
      <c r="B50" s="83"/>
      <c r="C50" s="103">
        <f>SUM(C51:C54)</f>
        <v>23.266494862658526</v>
      </c>
      <c r="D50" s="103">
        <f t="shared" ref="D50:T50" si="5">SUM(D51:D54)</f>
        <v>34.264521044421535</v>
      </c>
      <c r="E50" s="103">
        <f t="shared" si="5"/>
        <v>89.514107231873453</v>
      </c>
      <c r="F50" s="103">
        <f t="shared" si="5"/>
        <v>5.9796920433079305E-2</v>
      </c>
      <c r="G50" s="103">
        <f t="shared" si="5"/>
        <v>1068.2938482575864</v>
      </c>
      <c r="H50" s="103">
        <f t="shared" si="5"/>
        <v>5.4928819760052339E-3</v>
      </c>
      <c r="I50" s="103">
        <f t="shared" si="5"/>
        <v>1.1845593347515277E-7</v>
      </c>
      <c r="J50" s="103">
        <f t="shared" si="5"/>
        <v>3.3416997257882508E-7</v>
      </c>
      <c r="K50" s="103">
        <f t="shared" si="5"/>
        <v>62.686182837702539</v>
      </c>
      <c r="L50" s="103">
        <f t="shared" si="5"/>
        <v>47.760527586652962</v>
      </c>
      <c r="M50" s="103">
        <f t="shared" si="5"/>
        <v>1.4790737915970755E-3</v>
      </c>
      <c r="N50" s="103">
        <f t="shared" si="5"/>
        <v>6.1641200705524367E-3</v>
      </c>
      <c r="O50" s="103">
        <f t="shared" si="5"/>
        <v>0.12165404826242537</v>
      </c>
      <c r="P50" s="103">
        <f t="shared" si="5"/>
        <v>1.2900047598784607E-7</v>
      </c>
      <c r="Q50" s="103">
        <f t="shared" si="5"/>
        <v>1.0600960411111802E-2</v>
      </c>
      <c r="R50" s="103">
        <f t="shared" si="5"/>
        <v>2.6497913152830455E-2</v>
      </c>
      <c r="S50" s="103">
        <f t="shared" si="5"/>
        <v>0.12585702842084132</v>
      </c>
      <c r="T50" s="103">
        <f t="shared" si="5"/>
        <v>1.4632061758519388</v>
      </c>
    </row>
    <row r="51" spans="1:28" x14ac:dyDescent="0.35">
      <c r="A51" s="101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1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1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1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4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1" t="s">
        <v>351</v>
      </c>
      <c r="B55" s="83"/>
      <c r="C55" s="105">
        <f>SUM(C56:C60)</f>
        <v>30.512107252796934</v>
      </c>
      <c r="D55" s="105">
        <f t="shared" ref="D55:T55" si="6">SUM(D56:D60)</f>
        <v>35.750237253277092</v>
      </c>
      <c r="E55" s="105">
        <f t="shared" si="6"/>
        <v>0</v>
      </c>
      <c r="F55" s="105">
        <f t="shared" si="6"/>
        <v>0.25353511248508054</v>
      </c>
      <c r="G55" s="105">
        <f t="shared" si="6"/>
        <v>0</v>
      </c>
      <c r="H55" s="105">
        <f t="shared" si="6"/>
        <v>-8.1278569907775836E-2</v>
      </c>
      <c r="I55" s="105">
        <f t="shared" si="6"/>
        <v>0</v>
      </c>
      <c r="J55" s="105">
        <f t="shared" si="6"/>
        <v>0</v>
      </c>
      <c r="K55" s="105">
        <f t="shared" si="6"/>
        <v>0</v>
      </c>
      <c r="L55" s="105">
        <f t="shared" si="6"/>
        <v>0</v>
      </c>
      <c r="M55" s="105">
        <f t="shared" si="6"/>
        <v>0</v>
      </c>
      <c r="N55" s="105">
        <f t="shared" si="6"/>
        <v>3.1036834101818287</v>
      </c>
      <c r="O55" s="105">
        <f t="shared" si="6"/>
        <v>0</v>
      </c>
      <c r="P55" s="105">
        <f t="shared" si="6"/>
        <v>0</v>
      </c>
      <c r="Q55" s="105">
        <f t="shared" si="6"/>
        <v>4.7327131011583014E-2</v>
      </c>
      <c r="R55" s="105">
        <f t="shared" si="6"/>
        <v>0</v>
      </c>
      <c r="S55" s="105">
        <f t="shared" si="6"/>
        <v>0.61801098227056317</v>
      </c>
      <c r="T55" s="105">
        <f t="shared" si="6"/>
        <v>0</v>
      </c>
    </row>
    <row r="56" spans="1:28" x14ac:dyDescent="0.35">
      <c r="A56" s="101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1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1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1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1"/>
      <c r="B60" s="83" t="s">
        <v>415</v>
      </c>
      <c r="C60" s="86">
        <f>LCI_HC!$E13*'IW+_mid'!C26</f>
        <v>0</v>
      </c>
      <c r="D60" s="86">
        <f>LCI_HC!$E13*'IW+_mid'!D26</f>
        <v>0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1" t="s">
        <v>413</v>
      </c>
      <c r="B61" s="83"/>
      <c r="C61" s="103">
        <f>SUM(C62:C65)</f>
        <v>0</v>
      </c>
      <c r="D61" s="103">
        <f t="shared" ref="D61:T61" si="7">SUM(D62:D65)</f>
        <v>0</v>
      </c>
      <c r="E61" s="103">
        <f t="shared" si="7"/>
        <v>0</v>
      </c>
      <c r="F61" s="103">
        <f t="shared" si="7"/>
        <v>0</v>
      </c>
      <c r="G61" s="103">
        <f t="shared" si="7"/>
        <v>0</v>
      </c>
      <c r="H61" s="103">
        <f t="shared" si="7"/>
        <v>0</v>
      </c>
      <c r="I61" s="103">
        <f t="shared" si="7"/>
        <v>0</v>
      </c>
      <c r="J61" s="103">
        <f t="shared" si="7"/>
        <v>0</v>
      </c>
      <c r="K61" s="103">
        <f t="shared" si="7"/>
        <v>0</v>
      </c>
      <c r="L61" s="103">
        <f t="shared" si="7"/>
        <v>0</v>
      </c>
      <c r="M61" s="103">
        <f t="shared" si="7"/>
        <v>0</v>
      </c>
      <c r="N61" s="103">
        <f t="shared" si="7"/>
        <v>0</v>
      </c>
      <c r="O61" s="103">
        <f t="shared" si="7"/>
        <v>0</v>
      </c>
      <c r="P61" s="103">
        <f t="shared" si="7"/>
        <v>0</v>
      </c>
      <c r="Q61" s="103">
        <f t="shared" si="7"/>
        <v>0</v>
      </c>
      <c r="R61" s="103">
        <f t="shared" si="7"/>
        <v>0</v>
      </c>
      <c r="S61" s="103">
        <f t="shared" si="7"/>
        <v>0</v>
      </c>
      <c r="T61" s="103">
        <f t="shared" si="7"/>
        <v>0</v>
      </c>
    </row>
    <row r="62" spans="1:28" x14ac:dyDescent="0.35">
      <c r="A62" s="101"/>
      <c r="B62" s="83" t="s">
        <v>228</v>
      </c>
      <c r="C62" s="84">
        <f>LCI_HC!$E15*'IW+_mid'!C28</f>
        <v>0</v>
      </c>
      <c r="D62" s="84">
        <f>LCI_HC!$E15*'IW+_mid'!D28</f>
        <v>0</v>
      </c>
      <c r="E62" s="84">
        <f>LCI_HC!$E15*'IW+_mid'!E28</f>
        <v>0</v>
      </c>
      <c r="F62" s="84">
        <f>LCI_HC!$E15*'IW+_mid'!F28</f>
        <v>0</v>
      </c>
      <c r="G62" s="84">
        <f>LCI_HC!$E15*'IW+_mid'!G28</f>
        <v>0</v>
      </c>
      <c r="H62" s="84">
        <f>LCI_HC!$E15*'IW+_mid'!H28</f>
        <v>0</v>
      </c>
      <c r="I62" s="84">
        <f>LCI_HC!$E15*'IW+_mid'!I28</f>
        <v>0</v>
      </c>
      <c r="J62" s="84">
        <f>LCI_HC!$E15*'IW+_mid'!J28</f>
        <v>0</v>
      </c>
      <c r="K62" s="84">
        <f>LCI_HC!$E15*'IW+_mid'!K28</f>
        <v>0</v>
      </c>
      <c r="L62" s="84">
        <f>LCI_HC!$E15*'IW+_mid'!L28</f>
        <v>0</v>
      </c>
      <c r="M62" s="84">
        <f>LCI_HC!$E15*'IW+_mid'!M28</f>
        <v>0</v>
      </c>
      <c r="N62" s="84">
        <f>LCI_HC!$E15*'IW+_mid'!N28</f>
        <v>0</v>
      </c>
      <c r="O62" s="84">
        <f>LCI_HC!$E15*'IW+_mid'!O28</f>
        <v>0</v>
      </c>
      <c r="P62" s="84">
        <f>LCI_HC!$E15*'IW+_mid'!P28</f>
        <v>0</v>
      </c>
      <c r="Q62" s="84">
        <f>LCI_HC!$E15*'IW+_mid'!Q28</f>
        <v>0</v>
      </c>
      <c r="R62" s="84">
        <f>LCI_HC!$E15*'IW+_mid'!R28</f>
        <v>0</v>
      </c>
      <c r="S62" s="84">
        <f>LCI_HC!$E15*'IW+_mid'!S28</f>
        <v>0</v>
      </c>
      <c r="T62" s="84">
        <f>LCI_HC!$E15*'IW+_mid'!T28</f>
        <v>0</v>
      </c>
    </row>
    <row r="63" spans="1:28" x14ac:dyDescent="0.35">
      <c r="A63" s="101"/>
      <c r="B63" s="83" t="s">
        <v>230</v>
      </c>
      <c r="C63" s="84">
        <f>LCI_HC!$E16*'IW+_mid'!C30</f>
        <v>0</v>
      </c>
      <c r="D63" s="84">
        <f>LCI_HC!$E16*'IW+_mid'!D30</f>
        <v>0</v>
      </c>
      <c r="E63" s="84">
        <f>LCI_HC!$E16*'IW+_mid'!E30</f>
        <v>0</v>
      </c>
      <c r="F63" s="84">
        <f>LCI_HC!$E16*'IW+_mid'!F30</f>
        <v>0</v>
      </c>
      <c r="G63" s="84">
        <f>LCI_HC!$E16*'IW+_mid'!G30</f>
        <v>0</v>
      </c>
      <c r="H63" s="84">
        <f>LCI_HC!$E16*'IW+_mid'!H30</f>
        <v>0</v>
      </c>
      <c r="I63" s="84">
        <f>LCI_HC!$E16*'IW+_mid'!I30</f>
        <v>0</v>
      </c>
      <c r="J63" s="84">
        <f>LCI_HC!$E16*'IW+_mid'!J30</f>
        <v>0</v>
      </c>
      <c r="K63" s="84">
        <f>LCI_HC!$E16*'IW+_mid'!K30</f>
        <v>0</v>
      </c>
      <c r="L63" s="84">
        <f>LCI_HC!$E16*'IW+_mid'!L30</f>
        <v>0</v>
      </c>
      <c r="M63" s="84">
        <f>LCI_HC!$E16*'IW+_mid'!M30</f>
        <v>0</v>
      </c>
      <c r="N63" s="84">
        <f>LCI_HC!$E16*'IW+_mid'!N30</f>
        <v>0</v>
      </c>
      <c r="O63" s="84">
        <f>LCI_HC!$E16*'IW+_mid'!O30</f>
        <v>0</v>
      </c>
      <c r="P63" s="84">
        <f>LCI_HC!$E16*'IW+_mid'!P30</f>
        <v>0</v>
      </c>
      <c r="Q63" s="84">
        <f>LCI_HC!$E16*'IW+_mid'!Q30</f>
        <v>0</v>
      </c>
      <c r="R63" s="84">
        <f>LCI_HC!$E16*'IW+_mid'!R30</f>
        <v>0</v>
      </c>
      <c r="S63" s="84">
        <f>LCI_HC!$E16*'IW+_mid'!S30</f>
        <v>0</v>
      </c>
      <c r="T63" s="84">
        <f>LCI_HC!$E16*'IW+_mid'!T30</f>
        <v>0</v>
      </c>
    </row>
    <row r="64" spans="1:28" x14ac:dyDescent="0.35">
      <c r="A64" s="101"/>
      <c r="B64" s="83" t="s">
        <v>229</v>
      </c>
      <c r="C64" s="84">
        <f>LCI_HC!$E17*'IW+_mid'!C29</f>
        <v>0</v>
      </c>
      <c r="D64" s="84">
        <f>LCI_HC!$E17*'IW+_mid'!D29</f>
        <v>0</v>
      </c>
      <c r="E64" s="84">
        <f>LCI_HC!$E17*'IW+_mid'!E29</f>
        <v>0</v>
      </c>
      <c r="F64" s="84">
        <f>LCI_HC!$E17*'IW+_mid'!F29</f>
        <v>0</v>
      </c>
      <c r="G64" s="84">
        <f>LCI_HC!$E17*'IW+_mid'!G29</f>
        <v>0</v>
      </c>
      <c r="H64" s="84">
        <f>LCI_HC!$E17*'IW+_mid'!H29</f>
        <v>0</v>
      </c>
      <c r="I64" s="84">
        <f>LCI_HC!$E17*'IW+_mid'!I29</f>
        <v>0</v>
      </c>
      <c r="J64" s="84">
        <f>LCI_HC!$E17*'IW+_mid'!J29</f>
        <v>0</v>
      </c>
      <c r="K64" s="84">
        <f>LCI_HC!$E17*'IW+_mid'!K29</f>
        <v>0</v>
      </c>
      <c r="L64" s="84">
        <f>LCI_HC!$E17*'IW+_mid'!L29</f>
        <v>0</v>
      </c>
      <c r="M64" s="84">
        <f>LCI_HC!$E17*'IW+_mid'!M29</f>
        <v>0</v>
      </c>
      <c r="N64" s="84">
        <f>LCI_HC!$E17*'IW+_mid'!N29</f>
        <v>0</v>
      </c>
      <c r="O64" s="84">
        <f>LCI_HC!$E17*'IW+_mid'!O29</f>
        <v>0</v>
      </c>
      <c r="P64" s="84">
        <f>LCI_HC!$E17*'IW+_mid'!P29</f>
        <v>0</v>
      </c>
      <c r="Q64" s="84">
        <f>LCI_HC!$E17*'IW+_mid'!Q29</f>
        <v>0</v>
      </c>
      <c r="R64" s="84">
        <f>LCI_HC!$E17*'IW+_mid'!R29</f>
        <v>0</v>
      </c>
      <c r="S64" s="84">
        <f>LCI_HC!$E17*'IW+_mid'!S29</f>
        <v>0</v>
      </c>
      <c r="T64" s="104">
        <f>LCI_HC!$E17*'IW+_mid'!T29</f>
        <v>0</v>
      </c>
      <c r="U64" s="71"/>
    </row>
    <row r="65" spans="1:20" x14ac:dyDescent="0.35">
      <c r="A65" s="83"/>
      <c r="B65" s="83" t="s">
        <v>231</v>
      </c>
      <c r="C65" s="84">
        <f>LCI_HC!$E18*'IW+_mid'!C31</f>
        <v>0</v>
      </c>
      <c r="D65" s="84">
        <f>LCI_HC!$E18*'IW+_mid'!D31</f>
        <v>0</v>
      </c>
      <c r="E65" s="84">
        <f>LCI_HC!$E18*'IW+_mid'!E31</f>
        <v>0</v>
      </c>
      <c r="F65" s="84">
        <f>LCI_HC!$E18*'IW+_mid'!F31</f>
        <v>0</v>
      </c>
      <c r="G65" s="84">
        <f>LCI_HC!$E18*'IW+_mid'!G31</f>
        <v>0</v>
      </c>
      <c r="H65" s="84">
        <f>LCI_HC!$E18*'IW+_mid'!H31</f>
        <v>0</v>
      </c>
      <c r="I65" s="84">
        <f>LCI_HC!$E18*'IW+_mid'!I31</f>
        <v>0</v>
      </c>
      <c r="J65" s="84">
        <f>LCI_HC!$E18*'IW+_mid'!J31</f>
        <v>0</v>
      </c>
      <c r="K65" s="84">
        <f>LCI_HC!$E18*'IW+_mid'!K31</f>
        <v>0</v>
      </c>
      <c r="L65" s="84">
        <f>LCI_HC!$E18*'IW+_mid'!L31</f>
        <v>0</v>
      </c>
      <c r="M65" s="84">
        <f>LCI_HC!$E18*'IW+_mid'!M31</f>
        <v>0</v>
      </c>
      <c r="N65" s="84">
        <f>LCI_HC!$E18*'IW+_mid'!N31</f>
        <v>0</v>
      </c>
      <c r="O65" s="84">
        <f>LCI_HC!$E18*'IW+_mid'!O31</f>
        <v>0</v>
      </c>
      <c r="P65" s="84">
        <f>LCI_HC!$E18*'IW+_mid'!P31</f>
        <v>0</v>
      </c>
      <c r="Q65" s="84">
        <f>LCI_HC!$E18*'IW+_mid'!Q31</f>
        <v>0</v>
      </c>
      <c r="R65" s="84">
        <f>LCI_HC!$E18*'IW+_mid'!R31</f>
        <v>0</v>
      </c>
      <c r="S65" s="84">
        <f>LCI_HC!$E18*'IW+_mid'!S31</f>
        <v>0</v>
      </c>
      <c r="T65" s="84">
        <f>LCI_HC!$E18*'IW+_mid'!T31</f>
        <v>0</v>
      </c>
    </row>
    <row r="68" spans="1:20" x14ac:dyDescent="0.35">
      <c r="A68" s="141" t="s">
        <v>417</v>
      </c>
      <c r="B68" s="141"/>
      <c r="C68" s="141"/>
      <c r="D68" s="141"/>
      <c r="E68" s="141"/>
      <c r="F68" s="141"/>
      <c r="G68" s="141"/>
    </row>
    <row r="69" spans="1:20" ht="29" x14ac:dyDescent="0.35">
      <c r="A69" s="78" t="s">
        <v>0</v>
      </c>
      <c r="B69" s="75"/>
      <c r="C69" s="106" t="s">
        <v>403</v>
      </c>
      <c r="D69" s="106" t="s">
        <v>404</v>
      </c>
      <c r="E69" s="106" t="s">
        <v>405</v>
      </c>
      <c r="F69" s="106" t="s">
        <v>406</v>
      </c>
      <c r="G69" s="106" t="s">
        <v>407</v>
      </c>
    </row>
    <row r="70" spans="1:20" x14ac:dyDescent="0.35">
      <c r="A70" s="79" t="s">
        <v>294</v>
      </c>
      <c r="B70" s="75"/>
      <c r="C70" s="107">
        <f>SUM(C71:C74)</f>
        <v>34.264521044421535</v>
      </c>
      <c r="D70" s="107">
        <f>SUM(D71:D74)</f>
        <v>34.167498478606134</v>
      </c>
      <c r="E70" s="107">
        <f>SUM(E71:E74)</f>
        <v>89.514107231873453</v>
      </c>
      <c r="F70" s="107">
        <f>SUM(F71:F74)</f>
        <v>1.6236575906408505E-5</v>
      </c>
      <c r="G70" s="107">
        <f>SUM(G71:G74)</f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7">
        <f>SUM(C76:C80)</f>
        <v>35.750237253277092</v>
      </c>
      <c r="D75" s="107">
        <f>SUM(D76:D80)</f>
        <v>36.263819957911657</v>
      </c>
      <c r="E75" s="107">
        <f>SUM(E76:E80)</f>
        <v>0</v>
      </c>
      <c r="F75" s="107">
        <f>SUM(F76:F80)</f>
        <v>6.4724516847563201E-5</v>
      </c>
      <c r="G75" s="107">
        <f>SUM(G76:G80)</f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0</v>
      </c>
      <c r="D80" s="77">
        <f>LCI_HC!$E13*'IW+f'!D26</f>
        <v>0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7">
        <f>SUM(C82:C85)</f>
        <v>0</v>
      </c>
      <c r="D81" s="107">
        <f>SUM(D82:D85)</f>
        <v>0</v>
      </c>
      <c r="E81" s="107">
        <f>SUM(E82:E85)</f>
        <v>0</v>
      </c>
      <c r="F81" s="107">
        <f>SUM(F82:F85)</f>
        <v>0</v>
      </c>
      <c r="G81" s="107">
        <f>SUM(G82:G85)</f>
        <v>0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0</v>
      </c>
      <c r="D82" s="76">
        <f>LCI_HC!$E15*'IW+f'!D28</f>
        <v>0</v>
      </c>
      <c r="E82" s="76">
        <f>LCI_HC!$E15*'IW+f'!E28</f>
        <v>0</v>
      </c>
      <c r="F82" s="76">
        <f>LCI_HC!$E15*'IW+f'!F28</f>
        <v>0</v>
      </c>
      <c r="G82" s="76">
        <f>LCI_HC!$E15*'IW+f'!G28</f>
        <v>0</v>
      </c>
    </row>
    <row r="83" spans="1:20" x14ac:dyDescent="0.35">
      <c r="A83" s="75"/>
      <c r="B83" s="75" t="s">
        <v>230</v>
      </c>
      <c r="C83" s="76">
        <f>LCI_HC!$E16*'IW+f'!C30</f>
        <v>0</v>
      </c>
      <c r="D83" s="76">
        <f>LCI_HC!$E16*'IW+f'!D30</f>
        <v>0</v>
      </c>
      <c r="E83" s="76">
        <f>LCI_HC!$E16*'IW+f'!E30</f>
        <v>0</v>
      </c>
      <c r="F83" s="76">
        <f>LCI_HC!$E16*'IW+f'!F30</f>
        <v>0</v>
      </c>
      <c r="G83" s="76">
        <f>LCI_HC!$E16*'IW+f'!G30</f>
        <v>0</v>
      </c>
    </row>
    <row r="84" spans="1:20" x14ac:dyDescent="0.35">
      <c r="A84" s="75"/>
      <c r="B84" s="75" t="s">
        <v>229</v>
      </c>
      <c r="C84" s="76">
        <f>LCI_HC!$E17*'IW+f'!C29</f>
        <v>0</v>
      </c>
      <c r="D84" s="76">
        <f>LCI_HC!$E17*'IW+f'!D29</f>
        <v>0</v>
      </c>
      <c r="E84" s="76">
        <f>LCI_HC!$E17*'IW+f'!E29</f>
        <v>0</v>
      </c>
      <c r="F84" s="76">
        <f>LCI_HC!$E17*'IW+f'!F29</f>
        <v>0</v>
      </c>
      <c r="G84" s="76">
        <f>LCI_HC!$E17*'IW+f'!G29</f>
        <v>0</v>
      </c>
    </row>
    <row r="85" spans="1:20" x14ac:dyDescent="0.35">
      <c r="A85" s="75"/>
      <c r="B85" s="75" t="s">
        <v>231</v>
      </c>
      <c r="C85" s="76">
        <f>LCI_HC!$E18*'IW+f'!C31</f>
        <v>0</v>
      </c>
      <c r="D85" s="76">
        <f>LCI_HC!$E18*'IW+f'!D31</f>
        <v>0</v>
      </c>
      <c r="E85" s="76">
        <f>LCI_HC!$E18*'IW+f'!E31</f>
        <v>0</v>
      </c>
      <c r="F85" s="76">
        <f>LCI_HC!$E18*'IW+f'!F31</f>
        <v>0</v>
      </c>
      <c r="G85" s="76">
        <f>LCI_HC!$E18*'IW+f'!G31</f>
        <v>0</v>
      </c>
    </row>
    <row r="87" spans="1:20" x14ac:dyDescent="0.35">
      <c r="A87" s="78" t="s">
        <v>494</v>
      </c>
      <c r="B87" s="75"/>
      <c r="C87" s="78">
        <f>C70+C75-C81</f>
        <v>70.01475829769862</v>
      </c>
      <c r="D87" s="78">
        <f>D70+D75-D81</f>
        <v>70.431318436517785</v>
      </c>
      <c r="E87" s="78">
        <f>E70+E75-E81</f>
        <v>89.514107231873453</v>
      </c>
      <c r="F87" s="78">
        <f>F70+F75-F81</f>
        <v>8.0961092753971712E-5</v>
      </c>
      <c r="G87" s="78">
        <f>G70+G75-G81</f>
        <v>1.4632061758519388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G79"/>
  <sheetViews>
    <sheetView topLeftCell="A13" workbookViewId="0">
      <selection activeCell="C38" sqref="C38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SUM(C6,C9,C12,C16,C25)</f>
        <v>130.89983518703079</v>
      </c>
      <c r="D5" s="112">
        <f>SUM(D6,D9,D12,D16,D25)</f>
        <v>5.7126690238664333</v>
      </c>
      <c r="E5" s="112">
        <f>SUM(E6,E9,E12,E16,E25)</f>
        <v>603.93844484610645</v>
      </c>
      <c r="F5" s="112">
        <f>SUM(F6,F9,F12,F16,F25)</f>
        <v>9.9635855944950542E-5</v>
      </c>
      <c r="G5" s="112">
        <f>SUM(G6,G9,G12,G16,G25)</f>
        <v>15.5837763706547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>SUM(D7:D8)</f>
        <v>0.11916920601637257</v>
      </c>
      <c r="E6" s="115">
        <f>SUM(E7:E8)</f>
        <v>116.96082759610819</v>
      </c>
      <c r="F6" s="115">
        <f>SUM(F7:F8)</f>
        <v>7.7420482538410759E-7</v>
      </c>
      <c r="G6" s="115">
        <f>SUM(G7:G8)</f>
        <v>1.2592266934323948</v>
      </c>
    </row>
    <row r="7" spans="1:7" x14ac:dyDescent="0.35">
      <c r="A7" s="114"/>
      <c r="B7" s="114" t="s">
        <v>249</v>
      </c>
      <c r="C7" s="114">
        <f>'LCI_AD-a'!$E4*'IW+f'!C2</f>
        <v>0.77610650091942801</v>
      </c>
      <c r="D7" s="114">
        <f>'LCI_AD-a'!$E4*'IW+f'!D2</f>
        <v>0.11916920601637257</v>
      </c>
      <c r="E7" s="114">
        <f>'LCI_AD-a'!$E4*'IW+f'!E2</f>
        <v>116.96082759610819</v>
      </c>
      <c r="F7" s="114">
        <f>'LCI_AD-a'!$E4*'IW+f'!F2</f>
        <v>7.7420482538410759E-7</v>
      </c>
      <c r="G7" s="114">
        <f>'LCI_AD-a'!$E4*'IW+f'!G2</f>
        <v>1.2592266934323948</v>
      </c>
    </row>
    <row r="8" spans="1:7" x14ac:dyDescent="0.35">
      <c r="A8" s="114"/>
      <c r="B8" s="114" t="s">
        <v>250</v>
      </c>
      <c r="C8" s="114">
        <f>'LCI_AD-a'!$E5*'IW+f'!C3</f>
        <v>0</v>
      </c>
      <c r="D8" s="114">
        <f>'LCI_AD-a'!$E5*'IW+f'!D3</f>
        <v>0</v>
      </c>
      <c r="E8" s="114">
        <f>'LCI_AD-a'!$E5*'IW+f'!E3</f>
        <v>0</v>
      </c>
      <c r="F8" s="114">
        <f>'LCI_AD-a'!$E5*'IW+f'!F3</f>
        <v>0</v>
      </c>
      <c r="G8" s="114">
        <f>'LCI_AD-a'!$E5*'IW+f'!G3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>SUM(D10:D11)</f>
        <v>1.776054546690981</v>
      </c>
      <c r="E9" s="112">
        <f>SUM(E10:E11)</f>
        <v>70.109593887244714</v>
      </c>
      <c r="F9" s="112">
        <f>SUM(F10:F11)</f>
        <v>3.9183035816743554E-5</v>
      </c>
      <c r="G9" s="112">
        <f>SUM(G10:G11)</f>
        <v>10.018540305643455</v>
      </c>
    </row>
    <row r="10" spans="1:7" x14ac:dyDescent="0.35">
      <c r="A10" s="114"/>
      <c r="B10" s="114" t="s">
        <v>286</v>
      </c>
      <c r="C10" s="116">
        <f>'LCI_AD-a'!$E7*'IW+f'!C4</f>
        <v>0.43472978582596905</v>
      </c>
      <c r="D10" s="116">
        <f>'LCI_AD-a'!$E7*'IW+f'!D4</f>
        <v>6.359420180299287E-2</v>
      </c>
      <c r="E10" s="116">
        <f>'LCI_AD-a'!$E7*'IW+f'!E4</f>
        <v>6.5761119524385903</v>
      </c>
      <c r="F10" s="116">
        <f>'LCI_AD-a'!$E7*'IW+f'!F4</f>
        <v>3.4579966311397133E-7</v>
      </c>
      <c r="G10" s="116">
        <f>'LCI_AD-a'!$E7*'IW+f'!G4</f>
        <v>3.9223403259142219E-2</v>
      </c>
    </row>
    <row r="11" spans="1:7" x14ac:dyDescent="0.35">
      <c r="A11" s="114"/>
      <c r="B11" s="114" t="s">
        <v>235</v>
      </c>
      <c r="C11" s="114">
        <f>'LCI_AD-a'!$E8*'IW+f'!C5</f>
        <v>9.056542744340673</v>
      </c>
      <c r="D11" s="114">
        <f>'LCI_AD-a'!$E8*'IW+f'!D5</f>
        <v>1.712460344887988</v>
      </c>
      <c r="E11" s="114">
        <f>'LCI_AD-a'!$E8*'IW+f'!E5</f>
        <v>63.533481934806119</v>
      </c>
      <c r="F11" s="114">
        <f>'LCI_AD-a'!$E8*'IW+f'!F5</f>
        <v>3.8837236153629584E-5</v>
      </c>
      <c r="G11" s="114">
        <f>'LCI_AD-a'!$E8*'IW+f'!G5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>SUM(D13:D15)</f>
        <v>2.7873234481033835</v>
      </c>
      <c r="E12" s="115">
        <f>SUM(E13:E15)</f>
        <v>416.86802336275355</v>
      </c>
      <c r="F12" s="115">
        <f>SUM(F13:F15)</f>
        <v>4.5598347798669536E-5</v>
      </c>
      <c r="G12" s="115">
        <f>SUM(G13:G15)</f>
        <v>4.3060093715788508</v>
      </c>
    </row>
    <row r="13" spans="1:7" x14ac:dyDescent="0.35">
      <c r="A13" s="114"/>
      <c r="B13" s="114" t="s">
        <v>8</v>
      </c>
      <c r="C13" s="114">
        <f>'LCI_AD-a'!$E10*'IW+f'!C2</f>
        <v>1.7365188542616061</v>
      </c>
      <c r="D13" s="114">
        <f>'LCI_AD-a'!$E10*'IW+f'!D2</f>
        <v>0.26663811326108211</v>
      </c>
      <c r="E13" s="114">
        <f>'LCI_AD-a'!$E10*'IW+f'!E2</f>
        <v>261.69692186584126</v>
      </c>
      <c r="F13" s="114">
        <f>'LCI_AD-a'!$E10*'IW+f'!F2</f>
        <v>1.7322639028884893E-6</v>
      </c>
      <c r="G13" s="114">
        <f>'LCI_AD-a'!$E10*'IW+f'!G2</f>
        <v>2.8174881828001381</v>
      </c>
    </row>
    <row r="14" spans="1:7" x14ac:dyDescent="0.35">
      <c r="A14" s="114"/>
      <c r="B14" s="114" t="s">
        <v>18</v>
      </c>
      <c r="C14" s="114">
        <f>'LCI_AD-a'!$E11*'IW+f'!C11</f>
        <v>9.6923673180164887</v>
      </c>
      <c r="D14" s="114">
        <f>'LCI_AD-a'!$E11*'IW+f'!D11</f>
        <v>2.5206853348423013</v>
      </c>
      <c r="E14" s="114">
        <f>'LCI_AD-a'!$E11*'IW+f'!E11</f>
        <v>155.17110149691229</v>
      </c>
      <c r="F14" s="114">
        <f>'LCI_AD-a'!$E11*'IW+f'!F11</f>
        <v>4.3866083895781045E-5</v>
      </c>
      <c r="G14" s="114">
        <f>'LCI_AD-a'!$E11*'IW+f'!G11</f>
        <v>1.4885211887787131</v>
      </c>
    </row>
    <row r="15" spans="1:7" x14ac:dyDescent="0.35">
      <c r="A15" s="114"/>
      <c r="B15" s="114" t="s">
        <v>96</v>
      </c>
      <c r="C15" s="114">
        <f>'LCI_AD-a'!$E12*'IW+f'!C12</f>
        <v>40.819825536389409</v>
      </c>
      <c r="D15" s="114">
        <f>'LCI_AD-a'!$E12*'IW+f'!D12</f>
        <v>0</v>
      </c>
      <c r="E15" s="114">
        <f>'LCI_AD-a'!$E12*'IW+f'!E12</f>
        <v>0</v>
      </c>
      <c r="F15" s="114">
        <f>'LCI_AD-a'!$E12*'IW+f'!F12</f>
        <v>0</v>
      </c>
      <c r="G15" s="114">
        <f>'LCI_AD-a'!$E12*'IW+f'!G12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>SUM(D17:D24)</f>
        <v>1.0301218230556968</v>
      </c>
      <c r="E16" s="115">
        <f>SUM(E17:E24)</f>
        <v>0</v>
      </c>
      <c r="F16" s="115">
        <f>SUM(F17:F24)</f>
        <v>1.4080267504153357E-5</v>
      </c>
      <c r="G16" s="115">
        <f>SUM(G17:G24)</f>
        <v>0</v>
      </c>
    </row>
    <row r="17" spans="1:7" x14ac:dyDescent="0.35">
      <c r="A17" s="114"/>
      <c r="B17" s="114" t="s">
        <v>50</v>
      </c>
      <c r="C17" s="114">
        <f>'LCI_AD-a'!$E16*'IW+f'!C13</f>
        <v>0</v>
      </c>
      <c r="D17" s="114">
        <f>'LCI_AD-a'!$E16*'IW+f'!D13</f>
        <v>0.59971300052812748</v>
      </c>
      <c r="E17" s="114">
        <f>'LCI_AD-a'!$E16*'IW+f'!E13</f>
        <v>0</v>
      </c>
      <c r="F17" s="114">
        <f>'LCI_AD-a'!$E16*'IW+f'!F13</f>
        <v>7.2309636082261313E-7</v>
      </c>
      <c r="G17" s="114">
        <f>'LCI_AD-a'!$E16*'IW+f'!G13</f>
        <v>0</v>
      </c>
    </row>
    <row r="18" spans="1:7" x14ac:dyDescent="0.35">
      <c r="A18" s="114"/>
      <c r="B18" s="114" t="s">
        <v>51</v>
      </c>
      <c r="C18" s="114">
        <f>'LCI_AD-a'!$E17*'IW+f'!C14</f>
        <v>0</v>
      </c>
      <c r="D18" s="114">
        <f>'LCI_AD-a'!$E17*'IW+f'!D14</f>
        <v>0</v>
      </c>
      <c r="E18" s="114">
        <f>'LCI_AD-a'!$E17*'IW+f'!E14</f>
        <v>0</v>
      </c>
      <c r="F18" s="114">
        <f>'LCI_AD-a'!$E17*'IW+f'!F14</f>
        <v>0</v>
      </c>
      <c r="G18" s="114">
        <f>'LCI_AD-a'!$E17*'IW+f'!G14</f>
        <v>0</v>
      </c>
    </row>
    <row r="19" spans="1:7" x14ac:dyDescent="0.35">
      <c r="A19" s="114"/>
      <c r="B19" s="114" t="s">
        <v>52</v>
      </c>
      <c r="C19" s="114">
        <f>'LCI_AD-a'!$E18*'IW+f'!C15</f>
        <v>0</v>
      </c>
      <c r="D19" s="114">
        <f>'LCI_AD-a'!$E18*'IW+f'!D15</f>
        <v>5.2400241326133447E-2</v>
      </c>
      <c r="E19" s="114">
        <f>'LCI_AD-a'!$E18*'IW+f'!E15</f>
        <v>0</v>
      </c>
      <c r="F19" s="114">
        <f>'LCI_AD-a'!$E18*'IW+f'!F15</f>
        <v>2.9229407484295913E-7</v>
      </c>
      <c r="G19" s="114">
        <f>'LCI_AD-a'!$E18*'IW+f'!G15</f>
        <v>0</v>
      </c>
    </row>
    <row r="20" spans="1:7" x14ac:dyDescent="0.35">
      <c r="A20" s="114"/>
      <c r="B20" s="114" t="s">
        <v>53</v>
      </c>
      <c r="C20" s="114">
        <f>'LCI_AD-a'!$E19*'IW+f'!C22</f>
        <v>0</v>
      </c>
      <c r="D20" s="114">
        <f>'LCI_AD-a'!$E19*'IW+f'!D22</f>
        <v>0</v>
      </c>
      <c r="E20" s="114">
        <f>'LCI_AD-a'!$E19*'IW+f'!E22</f>
        <v>0</v>
      </c>
      <c r="F20" s="114">
        <f>'LCI_AD-a'!$E19*'IW+f'!F22</f>
        <v>1.0521444232463526E-5</v>
      </c>
      <c r="G20" s="114">
        <f>'LCI_AD-a'!$E19*'IW+f'!G22</f>
        <v>0</v>
      </c>
    </row>
    <row r="21" spans="1:7" x14ac:dyDescent="0.35">
      <c r="A21" s="114"/>
      <c r="B21" s="114" t="s">
        <v>54</v>
      </c>
      <c r="C21" s="114">
        <f>'LCI_AD-a'!$E20*'IW+f'!C17</f>
        <v>0</v>
      </c>
      <c r="D21" s="114">
        <f>'LCI_AD-a'!$E20*'IW+f'!D17</f>
        <v>0</v>
      </c>
      <c r="E21" s="114">
        <f>'LCI_AD-a'!$E20*'IW+f'!E17</f>
        <v>0</v>
      </c>
      <c r="F21" s="114">
        <f>'LCI_AD-a'!$E20*'IW+f'!F17</f>
        <v>0</v>
      </c>
      <c r="G21" s="114">
        <f>'LCI_AD-a'!$E20*'IW+f'!G17</f>
        <v>0</v>
      </c>
    </row>
    <row r="22" spans="1:7" x14ac:dyDescent="0.35">
      <c r="A22" s="114"/>
      <c r="B22" s="114" t="s">
        <v>55</v>
      </c>
      <c r="C22" s="114">
        <f>'LCI_AD-a'!$E21*'IW+f'!C18</f>
        <v>0</v>
      </c>
      <c r="D22" s="114">
        <f>'LCI_AD-a'!$E21*'IW+f'!D18</f>
        <v>0.37800858120143593</v>
      </c>
      <c r="E22" s="114">
        <f>'LCI_AD-a'!$E21*'IW+f'!E18</f>
        <v>0</v>
      </c>
      <c r="F22" s="114">
        <f>'LCI_AD-a'!$E21*'IW+f'!F18</f>
        <v>2.5434328360242584E-6</v>
      </c>
      <c r="G22" s="114">
        <f>'LCI_AD-a'!$E21*'IW+f'!G18</f>
        <v>0</v>
      </c>
    </row>
    <row r="23" spans="1:7" x14ac:dyDescent="0.35">
      <c r="A23" s="114"/>
      <c r="B23" s="114" t="s">
        <v>58</v>
      </c>
      <c r="C23" s="114">
        <f>'LCI_AD-a'!$E22*'IW+f'!C12</f>
        <v>25.997974866187658</v>
      </c>
      <c r="D23" s="114">
        <f>'LCI_AD-a'!$E22*'IW+f'!D12</f>
        <v>0</v>
      </c>
      <c r="E23" s="114">
        <f>'LCI_AD-a'!$E22*'IW+f'!E12</f>
        <v>0</v>
      </c>
      <c r="F23" s="114">
        <f>'LCI_AD-a'!$E22*'IW+f'!F12</f>
        <v>0</v>
      </c>
      <c r="G23" s="114">
        <f>'LCI_AD-a'!$E22*'IW+f'!G12</f>
        <v>0</v>
      </c>
    </row>
    <row r="24" spans="1:7" x14ac:dyDescent="0.35">
      <c r="A24" s="114"/>
      <c r="B24" s="114" t="s">
        <v>59</v>
      </c>
      <c r="C24" s="114">
        <f>'LCI_AD-a'!$E23*'IW+f'!C20</f>
        <v>6.2587717270451764</v>
      </c>
      <c r="D24" s="114">
        <f>'LCI_AD-a'!$E23*'IW+f'!D20</f>
        <v>0</v>
      </c>
      <c r="E24" s="114">
        <f>'LCI_AD-a'!$E23*'IW+f'!E20</f>
        <v>0</v>
      </c>
      <c r="F24" s="114">
        <f>'LCI_AD-a'!$E23*'IW+f'!F20</f>
        <v>0</v>
      </c>
      <c r="G24" s="114">
        <f>'LCI_AD-a'!$E23*'IW+f'!G20</f>
        <v>0</v>
      </c>
    </row>
    <row r="25" spans="1:7" x14ac:dyDescent="0.35">
      <c r="A25" s="115" t="s">
        <v>100</v>
      </c>
      <c r="B25" s="114"/>
      <c r="C25" s="115">
        <f>C26</f>
        <v>36.12699785404439</v>
      </c>
      <c r="D25" s="115">
        <f>D26</f>
        <v>0</v>
      </c>
      <c r="E25" s="115">
        <f>E26</f>
        <v>0</v>
      </c>
      <c r="F25" s="115">
        <f>F26</f>
        <v>0</v>
      </c>
      <c r="G25" s="115">
        <f>G26</f>
        <v>0</v>
      </c>
    </row>
    <row r="26" spans="1:7" x14ac:dyDescent="0.35">
      <c r="A26" s="114"/>
      <c r="B26" s="114" t="s">
        <v>96</v>
      </c>
      <c r="C26" s="114">
        <f>'LCI_AD-a'!$E27*'IW+f'!C12</f>
        <v>36.12699785404439</v>
      </c>
      <c r="D26" s="114">
        <f>'LCI_AD-a'!$E27*'IW+f'!D12</f>
        <v>0</v>
      </c>
      <c r="E26" s="114">
        <f>'LCI_AD-a'!$E27*'IW+f'!E12</f>
        <v>0</v>
      </c>
      <c r="F26" s="114">
        <f>'LCI_AD-a'!$E27*'IW+f'!F12</f>
        <v>0</v>
      </c>
      <c r="G26" s="114">
        <f>'LCI_AD-a'!$E27*'IW+f'!G12</f>
        <v>0</v>
      </c>
    </row>
    <row r="27" spans="1:7" x14ac:dyDescent="0.35">
      <c r="A27" s="113" t="s">
        <v>108</v>
      </c>
      <c r="B27" s="114"/>
      <c r="C27" s="115">
        <f>SUM(C28:C32)</f>
        <v>-96.310982618440732</v>
      </c>
      <c r="D27" s="115">
        <f>SUM(D28:D32)</f>
        <v>108.30291146722087</v>
      </c>
      <c r="E27" s="115">
        <f>SUM(E28:E32)</f>
        <v>0</v>
      </c>
      <c r="F27" s="115">
        <f>SUM(F28:F32)</f>
        <v>7.6801640589139021E-4</v>
      </c>
      <c r="G27" s="115">
        <f>SUM(G28:G32)</f>
        <v>0</v>
      </c>
    </row>
    <row r="28" spans="1:7" x14ac:dyDescent="0.35">
      <c r="A28" s="114"/>
      <c r="B28" s="119" t="s">
        <v>111</v>
      </c>
      <c r="C28" s="119">
        <f>'LCI_AD-a'!$E30*'IW+f'!C20</f>
        <v>19.040938704967669</v>
      </c>
      <c r="D28" s="119">
        <f>'LCI_AD-a'!$E30*'IW+f'!D20</f>
        <v>0</v>
      </c>
      <c r="E28" s="119">
        <f>'LCI_AD-a'!$E30*'IW+f'!E20</f>
        <v>0</v>
      </c>
      <c r="F28" s="119">
        <f>'LCI_AD-a'!$E30*'IW+f'!F20</f>
        <v>0</v>
      </c>
      <c r="G28" s="119">
        <f>'LCI_AD-a'!$E30*'IW+f'!G20</f>
        <v>0</v>
      </c>
    </row>
    <row r="29" spans="1:7" x14ac:dyDescent="0.35">
      <c r="A29" s="114"/>
      <c r="B29" s="119" t="s">
        <v>110</v>
      </c>
      <c r="C29" s="119">
        <f>'LCI_AD-a'!$E31*'IW+f'!C18</f>
        <v>0</v>
      </c>
      <c r="D29" s="119">
        <f>'LCI_AD-a'!$E31*'IW+f'!D18</f>
        <v>114.14368322154571</v>
      </c>
      <c r="E29" s="119">
        <f>'LCI_AD-a'!$E31*'IW+f'!E18</f>
        <v>0</v>
      </c>
      <c r="F29" s="119">
        <f>'LCI_AD-a'!$E31*'IW+f'!F18</f>
        <v>7.6801640589139021E-4</v>
      </c>
      <c r="G29" s="119">
        <f>'LCI_AD-a'!$E31*'IW+f'!G18</f>
        <v>0</v>
      </c>
    </row>
    <row r="30" spans="1:7" x14ac:dyDescent="0.35">
      <c r="A30" s="114"/>
      <c r="B30" s="119" t="s">
        <v>114</v>
      </c>
      <c r="C30" s="119">
        <f>'LCI_AD-a'!$E32*'IW+f'!C21</f>
        <v>0</v>
      </c>
      <c r="D30" s="119">
        <f>'LCI_AD-a'!$E32*'IW+f'!D21</f>
        <v>-3.7432543535239895</v>
      </c>
      <c r="E30" s="119">
        <f>'LCI_AD-a'!$E32*'IW+f'!E21</f>
        <v>0</v>
      </c>
      <c r="F30" s="119">
        <f>'LCI_AD-a'!$E32*'IW+f'!F21</f>
        <v>0</v>
      </c>
      <c r="G30" s="119">
        <f>'LCI_AD-a'!$E32*'IW+f'!G21</f>
        <v>0</v>
      </c>
    </row>
    <row r="31" spans="1:7" x14ac:dyDescent="0.35">
      <c r="A31" s="114"/>
      <c r="B31" s="119" t="s">
        <v>414</v>
      </c>
      <c r="C31" s="120">
        <f>'LCI_AD-a'!$E33*'IW+f'!C25</f>
        <v>0</v>
      </c>
      <c r="D31" s="120">
        <f>'LCI_AD-a'!$E33*'IW+f'!D25</f>
        <v>-0.19421069896461307</v>
      </c>
      <c r="E31" s="120">
        <f>'LCI_AD-a'!$E33*'IW+f'!E25</f>
        <v>0</v>
      </c>
      <c r="F31" s="120">
        <f>'LCI_AD-a'!$E33*'IW+f'!F25</f>
        <v>0</v>
      </c>
      <c r="G31" s="120">
        <f>'LCI_AD-a'!$E33*'IW+f'!G25</f>
        <v>0</v>
      </c>
    </row>
    <row r="32" spans="1:7" x14ac:dyDescent="0.35">
      <c r="A32" s="114"/>
      <c r="B32" s="119" t="s">
        <v>415</v>
      </c>
      <c r="C32" s="120">
        <f>'LCI_AD-a'!$E34*'IW+f'!C26</f>
        <v>-115.3519213234084</v>
      </c>
      <c r="D32" s="120">
        <f>'LCI_AD-a'!$E34*'IW+f'!D26</f>
        <v>-1.9033067018362388</v>
      </c>
      <c r="E32" s="120">
        <f>'LCI_AD-a'!$E34*'IW+f'!E26</f>
        <v>0</v>
      </c>
      <c r="F32" s="120">
        <f>'LCI_AD-a'!$E34*'IW+f'!F26</f>
        <v>0</v>
      </c>
      <c r="G32" s="120">
        <f>'LCI_AD-a'!$E34*'IW+f'!G26</f>
        <v>0</v>
      </c>
    </row>
    <row r="33" spans="1:7" x14ac:dyDescent="0.35">
      <c r="A33" s="113" t="s">
        <v>421</v>
      </c>
      <c r="B33" s="114"/>
      <c r="C33" s="115">
        <f>SUM(C34:C39)</f>
        <v>0</v>
      </c>
      <c r="D33" s="115">
        <f>SUM(D34:D39)</f>
        <v>49.019575550617262</v>
      </c>
      <c r="E33" s="115">
        <f>SUM(E34:E39)</f>
        <v>5307.7061158345632</v>
      </c>
      <c r="F33" s="115">
        <f>SUM(F34:F39)</f>
        <v>1.9242560082907765E-4</v>
      </c>
      <c r="G33" s="115">
        <f>SUM(G34:G39)</f>
        <v>110.13710744176475</v>
      </c>
    </row>
    <row r="34" spans="1:7" x14ac:dyDescent="0.35">
      <c r="A34" s="114"/>
      <c r="B34" s="114" t="s">
        <v>228</v>
      </c>
      <c r="C34" s="114">
        <v>0</v>
      </c>
      <c r="D34" s="114">
        <f>'LCI_AD-a'!$E36*'IW+f'!D28</f>
        <v>3.7699223208212893</v>
      </c>
      <c r="E34" s="114">
        <f>'LCI_AD-a'!$E36*'IW+f'!E28</f>
        <v>417.80642425174938</v>
      </c>
      <c r="F34" s="114">
        <f>'LCI_AD-a'!$E36*'IW+f'!F28</f>
        <v>2.0842491724839379E-5</v>
      </c>
      <c r="G34" s="114">
        <f>'LCI_AD-a'!$E36*'IW+f'!G28</f>
        <v>42.781720834497129</v>
      </c>
    </row>
    <row r="35" spans="1:7" x14ac:dyDescent="0.35">
      <c r="A35" s="114"/>
      <c r="B35" s="114" t="s">
        <v>230</v>
      </c>
      <c r="C35" s="114">
        <v>0</v>
      </c>
      <c r="D35" s="114">
        <f>'LCI_AD-a'!$E37*'IW+f'!D30</f>
        <v>9.1248031660091158</v>
      </c>
      <c r="E35" s="114">
        <f>'LCI_AD-a'!$E37*'IW+f'!E30</f>
        <v>343.26966174183377</v>
      </c>
      <c r="F35" s="114">
        <f>'LCI_AD-a'!$E37*'IW+f'!F30</f>
        <v>7.5312485097886082E-5</v>
      </c>
      <c r="G35" s="114">
        <f>'LCI_AD-a'!$E37*'IW+f'!G30</f>
        <v>46.443676689945342</v>
      </c>
    </row>
    <row r="36" spans="1:7" x14ac:dyDescent="0.35">
      <c r="A36" s="114"/>
      <c r="B36" s="114" t="s">
        <v>229</v>
      </c>
      <c r="C36" s="114">
        <v>0</v>
      </c>
      <c r="D36" s="114">
        <f>'LCI_AD-a'!$E38*'IW+f'!D29</f>
        <v>3.0053120361765435</v>
      </c>
      <c r="E36" s="114">
        <f>'LCI_AD-a'!$E38*'IW+f'!E29</f>
        <v>200.1993313863338</v>
      </c>
      <c r="F36" s="114">
        <f>'LCI_AD-a'!$E38*'IW+f'!F29</f>
        <v>1.3850635896818876E-5</v>
      </c>
      <c r="G36" s="114">
        <f>'LCI_AD-a'!$E38*'IW+f'!G29</f>
        <v>5.8101606725599693</v>
      </c>
    </row>
    <row r="37" spans="1:7" x14ac:dyDescent="0.35">
      <c r="A37" s="114"/>
      <c r="B37" s="114" t="s">
        <v>231</v>
      </c>
      <c r="C37" s="117">
        <v>0</v>
      </c>
      <c r="D37" s="117">
        <f>'LCI_AD-a'!$E39*'IW+f'!D31</f>
        <v>0.97385909326307918</v>
      </c>
      <c r="E37" s="117">
        <f>'LCI_AD-a'!$E39*'IW+f'!E31</f>
        <v>1587.6138876201587</v>
      </c>
      <c r="F37" s="117">
        <f>'LCI_AD-a'!$E39*'IW+f'!F31</f>
        <v>1.8073801617164658E-6</v>
      </c>
      <c r="G37" s="117">
        <f>'LCI_AD-a'!$E39*'IW+f'!G31</f>
        <v>5.045377782181772</v>
      </c>
    </row>
    <row r="38" spans="1:7" x14ac:dyDescent="0.35">
      <c r="A38" s="114"/>
      <c r="B38" s="114" t="s">
        <v>423</v>
      </c>
      <c r="C38" s="114">
        <v>0</v>
      </c>
      <c r="D38" s="114">
        <f>'LCI_AD-a'!$E40*'IW+f'!D39</f>
        <v>7.1920017168280959</v>
      </c>
      <c r="E38" s="114">
        <f>'LCI_AD-a'!$E40*'IW+f'!E39</f>
        <v>2543.1616559149052</v>
      </c>
      <c r="F38" s="114">
        <f>'LCI_AD-a'!$E40*'IW+f'!F39</f>
        <v>1.1187239184613926E-5</v>
      </c>
      <c r="G38" s="114">
        <f>'LCI_AD-a'!$E40*'IW+f'!G39</f>
        <v>3.0752719836722426</v>
      </c>
    </row>
    <row r="39" spans="1:7" x14ac:dyDescent="0.35">
      <c r="A39" s="114"/>
      <c r="B39" s="114" t="s">
        <v>424</v>
      </c>
      <c r="C39" s="114">
        <v>0</v>
      </c>
      <c r="D39" s="114">
        <f>'LCI_AD-a'!$E41*'IW+f'!D37</f>
        <v>24.953677217519139</v>
      </c>
      <c r="E39" s="114">
        <f>'LCI_AD-a'!$E41*'IW+f'!E37</f>
        <v>215.65515491958169</v>
      </c>
      <c r="F39" s="114">
        <f>'LCI_AD-a'!$E41*'IW+f'!F37</f>
        <v>6.9425368763202937E-5</v>
      </c>
      <c r="G39" s="114">
        <f>'LCI_AD-a'!$E41*'IW+f'!G37</f>
        <v>6.980899478908305</v>
      </c>
    </row>
    <row r="40" spans="1:7" x14ac:dyDescent="0.35">
      <c r="A40" s="114"/>
      <c r="B40" s="114"/>
      <c r="C40" s="114"/>
      <c r="D40" s="114"/>
      <c r="E40" s="114"/>
      <c r="F40" s="114"/>
      <c r="G40" s="114"/>
    </row>
    <row r="41" spans="1:7" x14ac:dyDescent="0.35">
      <c r="A41" s="115" t="s">
        <v>494</v>
      </c>
      <c r="B41" s="114"/>
      <c r="C41" s="115">
        <f>C5+C27-C33</f>
        <v>34.588852568590056</v>
      </c>
      <c r="D41" s="115">
        <f>D5+D27-D33</f>
        <v>64.996004940470044</v>
      </c>
      <c r="E41" s="115">
        <f>E5+E27-E33</f>
        <v>-4703.7676709884563</v>
      </c>
      <c r="F41" s="115">
        <f>F5+F27-F33</f>
        <v>6.7522666100726316E-4</v>
      </c>
      <c r="G41" s="115">
        <f>G5+G27-G33</f>
        <v>-94.553331071110051</v>
      </c>
    </row>
    <row r="44" spans="1:7" x14ac:dyDescent="0.35">
      <c r="A44" t="s">
        <v>0</v>
      </c>
    </row>
    <row r="45" spans="1:7" x14ac:dyDescent="0.35">
      <c r="A45" t="s">
        <v>6</v>
      </c>
    </row>
    <row r="46" spans="1:7" x14ac:dyDescent="0.35">
      <c r="A46" t="s">
        <v>5</v>
      </c>
    </row>
    <row r="47" spans="1:7" x14ac:dyDescent="0.35">
      <c r="B47" t="s">
        <v>249</v>
      </c>
    </row>
    <row r="48" spans="1:7" x14ac:dyDescent="0.35">
      <c r="B48" t="s">
        <v>250</v>
      </c>
    </row>
    <row r="49" spans="1:2" x14ac:dyDescent="0.35">
      <c r="A49" t="s">
        <v>235</v>
      </c>
    </row>
    <row r="50" spans="1:2" x14ac:dyDescent="0.35">
      <c r="B50" t="s">
        <v>286</v>
      </c>
    </row>
    <row r="51" spans="1:2" x14ac:dyDescent="0.35">
      <c r="B51" t="s">
        <v>235</v>
      </c>
    </row>
    <row r="52" spans="1:2" x14ac:dyDescent="0.35">
      <c r="A52" t="s">
        <v>6</v>
      </c>
    </row>
    <row r="53" spans="1:2" x14ac:dyDescent="0.35">
      <c r="B53" t="s">
        <v>8</v>
      </c>
    </row>
    <row r="54" spans="1:2" x14ac:dyDescent="0.35">
      <c r="B54" t="s">
        <v>18</v>
      </c>
    </row>
    <row r="55" spans="1:2" x14ac:dyDescent="0.35">
      <c r="B55" t="s">
        <v>96</v>
      </c>
    </row>
    <row r="56" spans="1:2" x14ac:dyDescent="0.35">
      <c r="A56" t="s">
        <v>7</v>
      </c>
    </row>
    <row r="57" spans="1:2" x14ac:dyDescent="0.35">
      <c r="B57" t="s">
        <v>50</v>
      </c>
    </row>
    <row r="58" spans="1:2" x14ac:dyDescent="0.35">
      <c r="B58" t="s">
        <v>51</v>
      </c>
    </row>
    <row r="59" spans="1:2" x14ac:dyDescent="0.35">
      <c r="B59" t="s">
        <v>52</v>
      </c>
    </row>
    <row r="60" spans="1:2" x14ac:dyDescent="0.35">
      <c r="B60" t="s">
        <v>53</v>
      </c>
    </row>
    <row r="61" spans="1:2" x14ac:dyDescent="0.35">
      <c r="B61" t="s">
        <v>54</v>
      </c>
    </row>
    <row r="62" spans="1:2" x14ac:dyDescent="0.35">
      <c r="B62" t="s">
        <v>55</v>
      </c>
    </row>
    <row r="63" spans="1:2" x14ac:dyDescent="0.35">
      <c r="B63" t="s">
        <v>58</v>
      </c>
    </row>
    <row r="64" spans="1:2" x14ac:dyDescent="0.35">
      <c r="B64" t="s">
        <v>59</v>
      </c>
    </row>
    <row r="65" spans="1:2" x14ac:dyDescent="0.35">
      <c r="A65" t="s">
        <v>100</v>
      </c>
    </row>
    <row r="66" spans="1:2" x14ac:dyDescent="0.35">
      <c r="B66" t="s">
        <v>96</v>
      </c>
    </row>
    <row r="67" spans="1:2" x14ac:dyDescent="0.35">
      <c r="A67" t="s">
        <v>108</v>
      </c>
    </row>
    <row r="68" spans="1:2" x14ac:dyDescent="0.35">
      <c r="B68" t="s">
        <v>111</v>
      </c>
    </row>
    <row r="69" spans="1:2" x14ac:dyDescent="0.35">
      <c r="B69" t="s">
        <v>110</v>
      </c>
    </row>
    <row r="70" spans="1:2" x14ac:dyDescent="0.35">
      <c r="B70" t="s">
        <v>114</v>
      </c>
    </row>
    <row r="71" spans="1:2" x14ac:dyDescent="0.35">
      <c r="B71" t="s">
        <v>414</v>
      </c>
    </row>
    <row r="72" spans="1:2" x14ac:dyDescent="0.35">
      <c r="B72" t="s">
        <v>415</v>
      </c>
    </row>
    <row r="73" spans="1:2" x14ac:dyDescent="0.35">
      <c r="A73" t="s">
        <v>421</v>
      </c>
    </row>
    <row r="74" spans="1:2" x14ac:dyDescent="0.35">
      <c r="B74" t="s">
        <v>228</v>
      </c>
    </row>
    <row r="75" spans="1:2" x14ac:dyDescent="0.35">
      <c r="B75" t="s">
        <v>230</v>
      </c>
    </row>
    <row r="76" spans="1:2" x14ac:dyDescent="0.35">
      <c r="B76" t="s">
        <v>229</v>
      </c>
    </row>
    <row r="77" spans="1:2" x14ac:dyDescent="0.35">
      <c r="B77" t="s">
        <v>231</v>
      </c>
    </row>
    <row r="78" spans="1:2" x14ac:dyDescent="0.35">
      <c r="B78" t="s">
        <v>423</v>
      </c>
    </row>
    <row r="79" spans="1:2" x14ac:dyDescent="0.35">
      <c r="B79" t="s">
        <v>424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G50"/>
  <sheetViews>
    <sheetView topLeftCell="A31" workbookViewId="0">
      <selection activeCell="C47" sqref="C47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SUM(C6,C9,C12,C16,C25,C28)</f>
        <v>115.03586225244955</v>
      </c>
      <c r="D5" s="124">
        <f>SUM(D6,D9,D12,D16,D25,D28)</f>
        <v>11.454434553539775</v>
      </c>
      <c r="E5" s="124">
        <f>SUM(E6,E9,E12,E16,E25,E28)</f>
        <v>690.22819482932391</v>
      </c>
      <c r="F5" s="124">
        <f>SUM(F6,F9,F12,F16,F25,F28)</f>
        <v>1.3649692582535277E-4</v>
      </c>
      <c r="G5" s="124">
        <f>SUM(G6,G9,G12,G16,G25,G28)</f>
        <v>16.267041103736279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>SUM(D7:D8)</f>
        <v>0.11916920601637257</v>
      </c>
      <c r="E6" s="115">
        <f>SUM(E7:E8)</f>
        <v>116.96082759610819</v>
      </c>
      <c r="F6" s="115">
        <f>SUM(F7:F8)</f>
        <v>7.7420482538410759E-7</v>
      </c>
      <c r="G6" s="115">
        <f>SUM(G7:G8)</f>
        <v>1.2592266934323948</v>
      </c>
    </row>
    <row r="7" spans="1:7" x14ac:dyDescent="0.35">
      <c r="A7" s="114"/>
      <c r="B7" s="114" t="s">
        <v>249</v>
      </c>
      <c r="C7" s="114">
        <f>'LCI_AD-b'!$E4*'IW+f'!C2</f>
        <v>0.77610650091942801</v>
      </c>
      <c r="D7" s="114">
        <f>'LCI_AD-b'!$E4*'IW+f'!D2</f>
        <v>0.11916920601637257</v>
      </c>
      <c r="E7" s="114">
        <f>'LCI_AD-b'!$E4*'IW+f'!E2</f>
        <v>116.96082759610819</v>
      </c>
      <c r="F7" s="114">
        <f>'LCI_AD-b'!$E4*'IW+f'!F2</f>
        <v>7.7420482538410759E-7</v>
      </c>
      <c r="G7" s="114">
        <f>'LCI_AD-b'!$E4*'IW+f'!G2</f>
        <v>1.2592266934323948</v>
      </c>
    </row>
    <row r="8" spans="1:7" x14ac:dyDescent="0.35">
      <c r="A8" s="114"/>
      <c r="B8" s="114" t="s">
        <v>250</v>
      </c>
      <c r="C8" s="114">
        <f>'LCI_AD-b'!$E5*'IW+f'!C3</f>
        <v>0</v>
      </c>
      <c r="D8" s="114">
        <f>'LCI_AD-b'!$E5*'IW+f'!D3</f>
        <v>0</v>
      </c>
      <c r="E8" s="114">
        <f>'LCI_AD-b'!$E5*'IW+f'!E3</f>
        <v>0</v>
      </c>
      <c r="F8" s="114">
        <f>'LCI_AD-b'!$E5*'IW+f'!F3</f>
        <v>0</v>
      </c>
      <c r="G8" s="114">
        <f>'LCI_AD-b'!$E5*'IW+f'!G3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>SUM(D10:D11)</f>
        <v>1.776054546690981</v>
      </c>
      <c r="E9" s="112">
        <f>SUM(E10:E11)</f>
        <v>70.109593887244714</v>
      </c>
      <c r="F9" s="112">
        <f>SUM(F10:F11)</f>
        <v>3.9183035816743554E-5</v>
      </c>
      <c r="G9" s="112">
        <f>SUM(G10:G11)</f>
        <v>10.018540305643455</v>
      </c>
    </row>
    <row r="10" spans="1:7" x14ac:dyDescent="0.35">
      <c r="A10" s="114"/>
      <c r="B10" s="114" t="s">
        <v>286</v>
      </c>
      <c r="C10" s="116">
        <f>'LCI_AD-b'!$E7*'IW+f'!C4</f>
        <v>0.43472978582596905</v>
      </c>
      <c r="D10" s="116">
        <f>'LCI_AD-b'!$E7*'IW+f'!D4</f>
        <v>6.359420180299287E-2</v>
      </c>
      <c r="E10" s="116">
        <f>'LCI_AD-b'!$E7*'IW+f'!E4</f>
        <v>6.5761119524385903</v>
      </c>
      <c r="F10" s="116">
        <f>'LCI_AD-b'!$E7*'IW+f'!F4</f>
        <v>3.4579966311397133E-7</v>
      </c>
      <c r="G10" s="116">
        <f>'LCI_AD-b'!$E7*'IW+f'!G4</f>
        <v>3.9223403259142219E-2</v>
      </c>
    </row>
    <row r="11" spans="1:7" x14ac:dyDescent="0.35">
      <c r="A11" s="114"/>
      <c r="B11" s="114" t="s">
        <v>235</v>
      </c>
      <c r="C11" s="114">
        <f>'LCI_AD-b'!$E8*'IW+f'!C5</f>
        <v>9.056542744340673</v>
      </c>
      <c r="D11" s="114">
        <f>'LCI_AD-b'!$E8*'IW+f'!D5</f>
        <v>1.712460344887988</v>
      </c>
      <c r="E11" s="114">
        <f>'LCI_AD-b'!$E8*'IW+f'!E5</f>
        <v>63.533481934806119</v>
      </c>
      <c r="F11" s="114">
        <f>'LCI_AD-b'!$E8*'IW+f'!F5</f>
        <v>3.8837236153629584E-5</v>
      </c>
      <c r="G11" s="114">
        <f>'LCI_AD-b'!$E8*'IW+f'!G5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>SUM(D13:D15)</f>
        <v>2.7873234481033835</v>
      </c>
      <c r="E12" s="115">
        <f>SUM(E13:E15)</f>
        <v>416.86802336275355</v>
      </c>
      <c r="F12" s="115">
        <f>SUM(F13:F15)</f>
        <v>4.5598347798669536E-5</v>
      </c>
      <c r="G12" s="115">
        <f>SUM(G13:G15)</f>
        <v>4.3060093715788508</v>
      </c>
    </row>
    <row r="13" spans="1:7" x14ac:dyDescent="0.35">
      <c r="A13" s="114"/>
      <c r="B13" s="114" t="s">
        <v>8</v>
      </c>
      <c r="C13" s="114">
        <f>'LCI_AD-b'!$E10*'IW+f'!C2</f>
        <v>1.7365188542616061</v>
      </c>
      <c r="D13" s="114">
        <f>'LCI_AD-b'!$E10*'IW+f'!D2</f>
        <v>0.26663811326108211</v>
      </c>
      <c r="E13" s="114">
        <f>'LCI_AD-b'!$E10*'IW+f'!E2</f>
        <v>261.69692186584126</v>
      </c>
      <c r="F13" s="114">
        <f>'LCI_AD-b'!$E10*'IW+f'!F2</f>
        <v>1.7322639028884893E-6</v>
      </c>
      <c r="G13" s="114">
        <f>'LCI_AD-b'!$E10*'IW+f'!G2</f>
        <v>2.8174881828001381</v>
      </c>
    </row>
    <row r="14" spans="1:7" x14ac:dyDescent="0.35">
      <c r="A14" s="114"/>
      <c r="B14" s="114" t="s">
        <v>18</v>
      </c>
      <c r="C14" s="114">
        <f>'LCI_AD-b'!$E11*'IW+f'!C11</f>
        <v>9.6923673180164887</v>
      </c>
      <c r="D14" s="114">
        <f>'LCI_AD-b'!$E11*'IW+f'!D11</f>
        <v>2.5206853348423013</v>
      </c>
      <c r="E14" s="114">
        <f>'LCI_AD-b'!$E11*'IW+f'!E11</f>
        <v>155.17110149691229</v>
      </c>
      <c r="F14" s="114">
        <f>'LCI_AD-b'!$E11*'IW+f'!F11</f>
        <v>4.3866083895781045E-5</v>
      </c>
      <c r="G14" s="114">
        <f>'LCI_AD-b'!$E11*'IW+f'!G11</f>
        <v>1.4885211887787131</v>
      </c>
    </row>
    <row r="15" spans="1:7" x14ac:dyDescent="0.35">
      <c r="A15" s="114"/>
      <c r="B15" s="114" t="s">
        <v>96</v>
      </c>
      <c r="C15" s="114">
        <f>'LCI_AD-b'!$E12*'IW+f'!C12</f>
        <v>40.819825536389409</v>
      </c>
      <c r="D15" s="114">
        <f>'LCI_AD-b'!$E12*'IW+f'!D12</f>
        <v>0</v>
      </c>
      <c r="E15" s="114">
        <f>'LCI_AD-b'!$E12*'IW+f'!E12</f>
        <v>0</v>
      </c>
      <c r="F15" s="114">
        <f>'LCI_AD-b'!$E12*'IW+f'!F12</f>
        <v>0</v>
      </c>
      <c r="G15" s="114">
        <f>'LCI_AD-b'!$E12*'IW+f'!G12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>SUM(D17:D24)</f>
        <v>1.0301218230556968</v>
      </c>
      <c r="E16" s="115">
        <f>SUM(E17:E24)</f>
        <v>0</v>
      </c>
      <c r="F16" s="115">
        <f>SUM(F17:F24)</f>
        <v>1.4080267504153357E-5</v>
      </c>
      <c r="G16" s="115">
        <f>SUM(G17:G24)</f>
        <v>0</v>
      </c>
    </row>
    <row r="17" spans="1:7" x14ac:dyDescent="0.35">
      <c r="A17" s="114"/>
      <c r="B17" s="114" t="s">
        <v>50</v>
      </c>
      <c r="C17" s="114">
        <f>'LCI_AD-b'!$E16*'IW+f'!C13</f>
        <v>0</v>
      </c>
      <c r="D17" s="114">
        <f>'LCI_AD-b'!$E16*'IW+f'!D13</f>
        <v>0.59971300052812748</v>
      </c>
      <c r="E17" s="114">
        <f>'LCI_AD-b'!$E16*'IW+f'!E13</f>
        <v>0</v>
      </c>
      <c r="F17" s="114">
        <f>'LCI_AD-b'!$E16*'IW+f'!F13</f>
        <v>7.2309636082261313E-7</v>
      </c>
      <c r="G17" s="114">
        <f>'LCI_AD-b'!$E16*'IW+f'!G13</f>
        <v>0</v>
      </c>
    </row>
    <row r="18" spans="1:7" x14ac:dyDescent="0.35">
      <c r="A18" s="114"/>
      <c r="B18" s="114" t="s">
        <v>51</v>
      </c>
      <c r="C18" s="114">
        <f>'LCI_AD-b'!$E17*'IW+f'!C14</f>
        <v>0</v>
      </c>
      <c r="D18" s="114">
        <f>'LCI_AD-b'!$E17*'IW+f'!D14</f>
        <v>0</v>
      </c>
      <c r="E18" s="114">
        <f>'LCI_AD-b'!$E17*'IW+f'!E14</f>
        <v>0</v>
      </c>
      <c r="F18" s="114">
        <f>'LCI_AD-b'!$E17*'IW+f'!F14</f>
        <v>0</v>
      </c>
      <c r="G18" s="114">
        <f>'LCI_AD-b'!$E17*'IW+f'!G14</f>
        <v>0</v>
      </c>
    </row>
    <row r="19" spans="1:7" x14ac:dyDescent="0.35">
      <c r="A19" s="114"/>
      <c r="B19" s="114" t="s">
        <v>52</v>
      </c>
      <c r="C19" s="114">
        <f>'LCI_AD-b'!$E18*'IW+f'!C15</f>
        <v>0</v>
      </c>
      <c r="D19" s="114">
        <f>'LCI_AD-b'!$E18*'IW+f'!D15</f>
        <v>5.2400241326133447E-2</v>
      </c>
      <c r="E19" s="114">
        <f>'LCI_AD-b'!$E18*'IW+f'!E15</f>
        <v>0</v>
      </c>
      <c r="F19" s="114">
        <f>'LCI_AD-b'!$E18*'IW+f'!F15</f>
        <v>2.9229407484295913E-7</v>
      </c>
      <c r="G19" s="114">
        <f>'LCI_AD-b'!$E18*'IW+f'!G15</f>
        <v>0</v>
      </c>
    </row>
    <row r="20" spans="1:7" x14ac:dyDescent="0.35">
      <c r="A20" s="114"/>
      <c r="B20" s="114" t="s">
        <v>53</v>
      </c>
      <c r="C20" s="114">
        <f>'LCI_AD-b'!$E19*'IW+f'!C22</f>
        <v>0</v>
      </c>
      <c r="D20" s="114">
        <f>'LCI_AD-b'!$E19*'IW+f'!D22</f>
        <v>0</v>
      </c>
      <c r="E20" s="114">
        <f>'LCI_AD-b'!$E19*'IW+f'!E22</f>
        <v>0</v>
      </c>
      <c r="F20" s="114">
        <f>'LCI_AD-b'!$E19*'IW+f'!F22</f>
        <v>1.0521444232463526E-5</v>
      </c>
      <c r="G20" s="114">
        <f>'LCI_AD-b'!$E19*'IW+f'!G22</f>
        <v>0</v>
      </c>
    </row>
    <row r="21" spans="1:7" x14ac:dyDescent="0.35">
      <c r="A21" s="114"/>
      <c r="B21" s="114" t="s">
        <v>54</v>
      </c>
      <c r="C21" s="114">
        <f>'LCI_AD-b'!$E20*'IW+f'!C17</f>
        <v>0</v>
      </c>
      <c r="D21" s="114">
        <f>'LCI_AD-b'!$E20*'IW+f'!D17</f>
        <v>0</v>
      </c>
      <c r="E21" s="114">
        <f>'LCI_AD-b'!$E20*'IW+f'!E17</f>
        <v>0</v>
      </c>
      <c r="F21" s="114">
        <f>'LCI_AD-b'!$E20*'IW+f'!F17</f>
        <v>0</v>
      </c>
      <c r="G21" s="114">
        <f>'LCI_AD-b'!$E20*'IW+f'!G17</f>
        <v>0</v>
      </c>
    </row>
    <row r="22" spans="1:7" x14ac:dyDescent="0.35">
      <c r="A22" s="114"/>
      <c r="B22" s="114" t="s">
        <v>55</v>
      </c>
      <c r="C22" s="114">
        <f>'LCI_AD-b'!$E21*'IW+f'!C18</f>
        <v>0</v>
      </c>
      <c r="D22" s="114">
        <f>'LCI_AD-b'!$E21*'IW+f'!D18</f>
        <v>0.37800858120143593</v>
      </c>
      <c r="E22" s="114">
        <f>'LCI_AD-b'!$E21*'IW+f'!E18</f>
        <v>0</v>
      </c>
      <c r="F22" s="114">
        <f>'LCI_AD-b'!$E21*'IW+f'!F18</f>
        <v>2.5434328360242584E-6</v>
      </c>
      <c r="G22" s="114">
        <f>'LCI_AD-b'!$E21*'IW+f'!G18</f>
        <v>0</v>
      </c>
    </row>
    <row r="23" spans="1:7" x14ac:dyDescent="0.35">
      <c r="A23" s="114"/>
      <c r="B23" s="114" t="s">
        <v>58</v>
      </c>
      <c r="C23" s="114">
        <f>'LCI_AD-b'!$E22*'IW+f'!C12</f>
        <v>25.997974866187658</v>
      </c>
      <c r="D23" s="114">
        <f>'LCI_AD-b'!$E22*'IW+f'!D12</f>
        <v>0</v>
      </c>
      <c r="E23" s="114">
        <f>'LCI_AD-b'!$E22*'IW+f'!E12</f>
        <v>0</v>
      </c>
      <c r="F23" s="114">
        <f>'LCI_AD-b'!$E22*'IW+f'!F12</f>
        <v>0</v>
      </c>
      <c r="G23" s="114">
        <f>'LCI_AD-b'!$E22*'IW+f'!G12</f>
        <v>0</v>
      </c>
    </row>
    <row r="24" spans="1:7" x14ac:dyDescent="0.35">
      <c r="A24" s="114"/>
      <c r="B24" s="114" t="s">
        <v>59</v>
      </c>
      <c r="C24" s="114">
        <f>'LCI_AD-b'!$E23*'IW+f'!C20</f>
        <v>6.2587717270451764</v>
      </c>
      <c r="D24" s="114">
        <f>'LCI_AD-b'!$E23*'IW+f'!D20</f>
        <v>0</v>
      </c>
      <c r="E24" s="114">
        <f>'LCI_AD-b'!$E23*'IW+f'!E20</f>
        <v>0</v>
      </c>
      <c r="F24" s="114">
        <f>'LCI_AD-b'!$E23*'IW+f'!F20</f>
        <v>0</v>
      </c>
      <c r="G24" s="114">
        <f>'LCI_AD-b'!$E23*'IW+f'!G20</f>
        <v>0</v>
      </c>
    </row>
    <row r="25" spans="1:7" x14ac:dyDescent="0.35">
      <c r="A25" s="115" t="s">
        <v>272</v>
      </c>
      <c r="B25" s="114"/>
      <c r="C25" s="115">
        <f>SUM(C26:C27)</f>
        <v>0.23986336868347383</v>
      </c>
      <c r="D25" s="115">
        <f>SUM(D26:D27)</f>
        <v>0.2039705679908648</v>
      </c>
      <c r="E25" s="115">
        <f>SUM(E26:E27)</f>
        <v>24.618325729257286</v>
      </c>
      <c r="F25" s="115">
        <f>SUM(F26:F27)</f>
        <v>4.0335814055722942E-7</v>
      </c>
      <c r="G25" s="115">
        <f>SUM(G26:G27)</f>
        <v>0.2542157415208825</v>
      </c>
    </row>
    <row r="26" spans="1:7" x14ac:dyDescent="0.35">
      <c r="A26" s="114"/>
      <c r="B26" s="114" t="s">
        <v>273</v>
      </c>
      <c r="C26" s="114">
        <f>'LCI_AD-b'!$E27*'IW+f'!C2</f>
        <v>0.15696910819275928</v>
      </c>
      <c r="D26" s="114">
        <f>'LCI_AD-b'!$E27*'IW+f'!D2</f>
        <v>2.4102212737902536E-2</v>
      </c>
      <c r="E26" s="114">
        <f>'LCI_AD-b'!$E27*'IW+f'!E2</f>
        <v>23.655563739639575</v>
      </c>
      <c r="F26" s="114">
        <f>'LCI_AD-b'!$E27*'IW+f'!F2</f>
        <v>1.565844904727716E-7</v>
      </c>
      <c r="G26" s="114">
        <f>'LCI_AD-b'!$E27*'IW+f'!G2</f>
        <v>0.25468114343384457</v>
      </c>
    </row>
    <row r="27" spans="1:7" x14ac:dyDescent="0.35">
      <c r="A27" s="114"/>
      <c r="B27" s="114" t="s">
        <v>427</v>
      </c>
      <c r="C27" s="114">
        <f>'LCI_AD-b'!$E29*'IW+f'!C34</f>
        <v>8.289426049071455E-2</v>
      </c>
      <c r="D27" s="114">
        <f>'LCI_AD-b'!$E29*'IW+f'!D34</f>
        <v>0.17986835525296227</v>
      </c>
      <c r="E27" s="114">
        <f>'LCI_AD-b'!$E29*'IW+f'!E34</f>
        <v>0.96276198961770965</v>
      </c>
      <c r="F27" s="114">
        <f>'LCI_AD-b'!$E29*'IW+f'!F34</f>
        <v>2.4677365008445785E-7</v>
      </c>
      <c r="G27" s="114">
        <f>'LCI_AD-b'!$E29*'IW+f'!G34</f>
        <v>-4.6540191296209324E-4</v>
      </c>
    </row>
    <row r="28" spans="1:7" x14ac:dyDescent="0.35">
      <c r="A28" s="113" t="s">
        <v>287</v>
      </c>
      <c r="B28" s="114"/>
      <c r="C28" s="115">
        <f>SUM(C29:C35)</f>
        <v>20.023161550779676</v>
      </c>
      <c r="D28" s="115">
        <f>SUM(D29:D35)</f>
        <v>5.5377949616824766</v>
      </c>
      <c r="E28" s="115">
        <f>SUM(E29:E35)</f>
        <v>61.671424253960097</v>
      </c>
      <c r="F28" s="115">
        <f>SUM(F29:F35)</f>
        <v>3.6457711739845012E-5</v>
      </c>
      <c r="G28" s="115">
        <f>SUM(G29:G35)</f>
        <v>0.42904899156069698</v>
      </c>
    </row>
    <row r="29" spans="1:7" x14ac:dyDescent="0.35">
      <c r="A29" s="114"/>
      <c r="B29" s="114" t="s">
        <v>96</v>
      </c>
      <c r="C29" s="114">
        <f>'LCI_AD-b'!$E31*'IW+f'!C12</f>
        <v>2.3821711546319135</v>
      </c>
      <c r="D29" s="114">
        <f>'LCI_AD-b'!$E31*'IW+f'!D12</f>
        <v>0</v>
      </c>
      <c r="E29" s="114">
        <f>'LCI_AD-b'!$E31*'IW+f'!E12</f>
        <v>0</v>
      </c>
      <c r="F29" s="114">
        <f>'LCI_AD-b'!$E31*'IW+f'!F12</f>
        <v>0</v>
      </c>
      <c r="G29" s="114">
        <f>'LCI_AD-b'!$E31*'IW+f'!G12</f>
        <v>0</v>
      </c>
    </row>
    <row r="30" spans="1:7" x14ac:dyDescent="0.35">
      <c r="A30" s="114"/>
      <c r="B30" s="114" t="s">
        <v>111</v>
      </c>
      <c r="C30" s="114">
        <f>'LCI_AD-b'!$E32*'IW+f'!C20</f>
        <v>17.012982491752076</v>
      </c>
      <c r="D30" s="114">
        <f>'LCI_AD-b'!$E32*'IW+f'!D20</f>
        <v>0</v>
      </c>
      <c r="E30" s="114">
        <f>'LCI_AD-b'!$E32*'IW+f'!E20</f>
        <v>0</v>
      </c>
      <c r="F30" s="114">
        <f>'LCI_AD-b'!$E32*'IW+f'!F20</f>
        <v>0</v>
      </c>
      <c r="G30" s="114">
        <f>'LCI_AD-b'!$E32*'IW+f'!G20</f>
        <v>0</v>
      </c>
    </row>
    <row r="31" spans="1:7" x14ac:dyDescent="0.35">
      <c r="A31" s="114"/>
      <c r="B31" s="114" t="s">
        <v>110</v>
      </c>
      <c r="C31" s="114">
        <f>'LCI_AD-b'!$E33*'IW+f'!C18</f>
        <v>0</v>
      </c>
      <c r="D31" s="114">
        <f>'LCI_AD-b'!$E33*'IW+f'!D18</f>
        <v>5.3456952796906902</v>
      </c>
      <c r="E31" s="114">
        <f>'LCI_AD-b'!$E33*'IW+f'!E18</f>
        <v>0</v>
      </c>
      <c r="F31" s="114">
        <f>'LCI_AD-b'!$E33*'IW+f'!F18</f>
        <v>3.5968540350410269E-5</v>
      </c>
      <c r="G31" s="114">
        <f>'LCI_AD-b'!$E33*'IW+f'!G18</f>
        <v>0</v>
      </c>
    </row>
    <row r="32" spans="1:7" x14ac:dyDescent="0.35">
      <c r="A32" s="114"/>
      <c r="B32" s="114" t="s">
        <v>288</v>
      </c>
      <c r="C32" s="114">
        <f>'LCI_AD-b'!$E34*'IW+f'!C23</f>
        <v>0</v>
      </c>
      <c r="D32" s="114">
        <f>'LCI_AD-b'!$E34*'IW+f'!D23</f>
        <v>7.8076707234924367E-2</v>
      </c>
      <c r="E32" s="114">
        <f>'LCI_AD-b'!$E34*'IW+f'!E23</f>
        <v>0</v>
      </c>
      <c r="F32" s="114">
        <f>'LCI_AD-b'!$E34*'IW+f'!F23</f>
        <v>5.059520896744001E-9</v>
      </c>
      <c r="G32" s="114">
        <f>'LCI_AD-b'!$E34*'IW+f'!G23</f>
        <v>0</v>
      </c>
    </row>
    <row r="33" spans="1:7" x14ac:dyDescent="0.35">
      <c r="A33" s="114"/>
      <c r="B33" s="114" t="s">
        <v>123</v>
      </c>
      <c r="C33" s="114">
        <f>'LCI_AD-b'!$E35*'IW+f'!C17</f>
        <v>0</v>
      </c>
      <c r="D33" s="114">
        <f>'LCI_AD-b'!$E35*'IW+f'!D17</f>
        <v>0</v>
      </c>
      <c r="E33" s="114">
        <f>'LCI_AD-b'!$E35*'IW+f'!E17</f>
        <v>0</v>
      </c>
      <c r="F33" s="114">
        <f>'LCI_AD-b'!$E35*'IW+f'!F17</f>
        <v>0</v>
      </c>
      <c r="G33" s="114">
        <f>'LCI_AD-b'!$E35*'IW+f'!G17</f>
        <v>0</v>
      </c>
    </row>
    <row r="34" spans="1:7" x14ac:dyDescent="0.35">
      <c r="A34" s="114"/>
      <c r="B34" s="114" t="s">
        <v>273</v>
      </c>
      <c r="C34" s="114">
        <f>'LCI_AD-b'!$E37*'IW+f'!C2</f>
        <v>0.24305617699473206</v>
      </c>
      <c r="D34" s="114">
        <f>'LCI_AD-b'!$E37*'IW+f'!D2</f>
        <v>3.7320666165691789E-2</v>
      </c>
      <c r="E34" s="114">
        <f>'LCI_AD-b'!$E37*'IW+f'!E2</f>
        <v>36.629060032318023</v>
      </c>
      <c r="F34" s="114">
        <f>'LCI_AD-b'!$E37*'IW+f'!F2</f>
        <v>2.4246062215148331E-7</v>
      </c>
      <c r="G34" s="114">
        <f>'LCI_AD-b'!$E37*'IW+f'!G2</f>
        <v>0.39435673546454347</v>
      </c>
    </row>
    <row r="35" spans="1:7" x14ac:dyDescent="0.35">
      <c r="A35" s="114"/>
      <c r="B35" s="114" t="s">
        <v>289</v>
      </c>
      <c r="C35" s="116">
        <f>'LCI_AD-b'!$E38*'IW+f'!C27</f>
        <v>0.38495172740095668</v>
      </c>
      <c r="D35" s="116">
        <f>'LCI_AD-b'!$E38*'IW+f'!D27</f>
        <v>7.6702308591170859E-2</v>
      </c>
      <c r="E35" s="116">
        <f>'LCI_AD-b'!$E38*'IW+f'!E27</f>
        <v>25.042364221642071</v>
      </c>
      <c r="F35" s="116">
        <f>'LCI_AD-b'!$E38*'IW+f'!F27</f>
        <v>2.416512463865165E-7</v>
      </c>
      <c r="G35" s="116">
        <f>'LCI_AD-b'!$E38*'IW+f'!G27</f>
        <v>3.4692256096153506E-2</v>
      </c>
    </row>
    <row r="36" spans="1:7" x14ac:dyDescent="0.35">
      <c r="A36" s="113" t="s">
        <v>353</v>
      </c>
      <c r="B36" s="114"/>
      <c r="C36" s="115">
        <f>SUM(C37:C41)</f>
        <v>-27.214300839017277</v>
      </c>
      <c r="D36" s="115">
        <f>SUM(D37:D41)</f>
        <v>7.1951540722679077</v>
      </c>
      <c r="E36" s="115">
        <f>SUM(E37:E41)</f>
        <v>0</v>
      </c>
      <c r="F36" s="115">
        <f>SUM(F37:F41)</f>
        <v>1.4004955712866033E-5</v>
      </c>
      <c r="G36" s="115">
        <f>SUM(G37:G41)</f>
        <v>0</v>
      </c>
    </row>
    <row r="37" spans="1:7" x14ac:dyDescent="0.35">
      <c r="A37" s="114"/>
      <c r="B37" s="114" t="s">
        <v>111</v>
      </c>
      <c r="C37" s="114">
        <f>'LCI_AD-b'!$E40*'IW+f'!C20</f>
        <v>3.6020203114535199</v>
      </c>
      <c r="D37" s="114">
        <f>'LCI_AD-b'!$E40*'IW+f'!D20</f>
        <v>0</v>
      </c>
      <c r="E37" s="114">
        <f>'LCI_AD-b'!$E40*'IW+f'!E20</f>
        <v>0</v>
      </c>
      <c r="F37" s="114">
        <f>'LCI_AD-b'!$E40*'IW+f'!F20</f>
        <v>0</v>
      </c>
      <c r="G37" s="114">
        <f>'LCI_AD-b'!$E40*'IW+f'!G20</f>
        <v>0</v>
      </c>
    </row>
    <row r="38" spans="1:7" x14ac:dyDescent="0.35">
      <c r="A38" s="114"/>
      <c r="B38" s="114" t="s">
        <v>110</v>
      </c>
      <c r="C38" s="114">
        <f>'LCI_AD-b'!$E41*'IW+f'!C18</f>
        <v>0</v>
      </c>
      <c r="D38" s="114">
        <f>'LCI_AD-b'!$E41*'IW+f'!D18</f>
        <v>2.0814363028687977</v>
      </c>
      <c r="E38" s="114">
        <f>'LCI_AD-b'!$E41*'IW+f'!E18</f>
        <v>0</v>
      </c>
      <c r="F38" s="114">
        <f>'LCI_AD-b'!$E41*'IW+f'!F18</f>
        <v>1.4004955712866033E-5</v>
      </c>
      <c r="G38" s="114">
        <f>'LCI_AD-b'!$E41*'IW+f'!G18</f>
        <v>0</v>
      </c>
    </row>
    <row r="39" spans="1:7" x14ac:dyDescent="0.35">
      <c r="A39" s="114"/>
      <c r="B39" s="114" t="s">
        <v>114</v>
      </c>
      <c r="C39" s="114">
        <f>'LCI_AD-b'!$E42*'IW+f'!C21</f>
        <v>0</v>
      </c>
      <c r="D39" s="114">
        <f>'LCI_AD-b'!$E42*'IW+f'!D21</f>
        <v>5.2372357739406041</v>
      </c>
      <c r="E39" s="114">
        <f>'LCI_AD-b'!$E42*'IW+f'!E21</f>
        <v>0</v>
      </c>
      <c r="F39" s="114">
        <f>'LCI_AD-b'!$E42*'IW+f'!F21</f>
        <v>0</v>
      </c>
      <c r="G39" s="114">
        <f>'LCI_AD-b'!$E42*'IW+f'!G21</f>
        <v>0</v>
      </c>
    </row>
    <row r="40" spans="1:7" x14ac:dyDescent="0.35">
      <c r="A40" s="114"/>
      <c r="B40" s="114" t="s">
        <v>414</v>
      </c>
      <c r="C40" s="114">
        <f>'LCI_AD-b'!$E43*'IW+f'!C25</f>
        <v>0</v>
      </c>
      <c r="D40" s="114">
        <f>'LCI_AD-b'!$E43*'IW+f'!D25</f>
        <v>-0.12351800454149389</v>
      </c>
      <c r="E40" s="114">
        <f>'LCI_AD-b'!$E43*'IW+f'!E25</f>
        <v>0</v>
      </c>
      <c r="F40" s="114">
        <f>'LCI_AD-b'!$E43*'IW+f'!F25</f>
        <v>0</v>
      </c>
      <c r="G40" s="114">
        <f>'LCI_AD-b'!$E43*'IW+f'!G25</f>
        <v>0</v>
      </c>
    </row>
    <row r="41" spans="1:7" x14ac:dyDescent="0.35">
      <c r="A41" s="114"/>
      <c r="B41" s="114" t="s">
        <v>415</v>
      </c>
      <c r="C41" s="114">
        <f>'LCI_AD-b'!E44*'IW+f'!C26</f>
        <v>-30.816321150470795</v>
      </c>
      <c r="D41" s="114">
        <f>'LCI_AD-b'!$E45*'IW+f'!D26</f>
        <v>0</v>
      </c>
      <c r="E41" s="114">
        <f>'LCI_AD-b'!$E45*'IW+f'!E26</f>
        <v>0</v>
      </c>
      <c r="F41" s="114">
        <f>'LCI_AD-b'!$E45*'IW+f'!F26</f>
        <v>0</v>
      </c>
      <c r="G41" s="114">
        <f>'LCI_AD-b'!$E45*'IW+f'!G26</f>
        <v>0</v>
      </c>
    </row>
    <row r="42" spans="1:7" x14ac:dyDescent="0.35">
      <c r="A42" s="113" t="s">
        <v>421</v>
      </c>
      <c r="B42" s="114"/>
      <c r="C42" s="115">
        <f>SUM(C43:C48)</f>
        <v>0</v>
      </c>
      <c r="D42" s="115">
        <f>SUM(D43:D48)</f>
        <v>40.731132301310311</v>
      </c>
      <c r="E42" s="115">
        <f>SUM(E43:E48)</f>
        <v>3660.3270564727304</v>
      </c>
      <c r="F42" s="115">
        <f>SUM(F43:F48)</f>
        <v>1.4251170071238639E-4</v>
      </c>
      <c r="G42" s="115">
        <f>SUM(G43:G48)</f>
        <v>65.209593337991294</v>
      </c>
    </row>
    <row r="43" spans="1:7" x14ac:dyDescent="0.35">
      <c r="A43" s="114"/>
      <c r="B43" s="114" t="s">
        <v>228</v>
      </c>
      <c r="C43" s="114">
        <v>0</v>
      </c>
      <c r="D43" s="114">
        <f>'LCI_AD-b'!$E46*'IW+f'!D28</f>
        <v>2.059694637999725</v>
      </c>
      <c r="E43" s="114">
        <f>'LCI_AD-b'!$E46*'IW+f'!E28</f>
        <v>228.26827147082756</v>
      </c>
      <c r="F43" s="114">
        <f>'LCI_AD-b'!$E46*'IW+f'!F28</f>
        <v>1.1387281963638193E-5</v>
      </c>
      <c r="G43" s="114">
        <f>'LCI_AD-b'!$E46*'IW+f'!G28</f>
        <v>23.373765692874599</v>
      </c>
    </row>
    <row r="44" spans="1:7" x14ac:dyDescent="0.35">
      <c r="A44" s="114"/>
      <c r="B44" s="114" t="s">
        <v>230</v>
      </c>
      <c r="C44" s="114">
        <v>0</v>
      </c>
      <c r="D44" s="114">
        <f>'LCI_AD-b'!$E47*'IW+f'!D30</f>
        <v>5.8033748135817964</v>
      </c>
      <c r="E44" s="114">
        <f>'LCI_AD-b'!$E47*'IW+f'!E30</f>
        <v>218.31950486780622</v>
      </c>
      <c r="F44" s="114">
        <f>'LCI_AD-b'!$E47*'IW+f'!F30</f>
        <v>4.7898740522255537E-5</v>
      </c>
      <c r="G44" s="114">
        <f>'LCI_AD-b'!$E47*'IW+f'!G30</f>
        <v>29.538178374805231</v>
      </c>
    </row>
    <row r="45" spans="1:7" x14ac:dyDescent="0.35">
      <c r="A45" s="114"/>
      <c r="B45" s="114" t="s">
        <v>229</v>
      </c>
      <c r="C45" s="114">
        <v>0</v>
      </c>
      <c r="D45" s="114">
        <f>'LCI_AD-b'!$E48*'IW+f'!D29</f>
        <v>0.46221699116395226</v>
      </c>
      <c r="E45" s="114">
        <f>'LCI_AD-b'!$E48*'IW+f'!E29</f>
        <v>30.790657167218129</v>
      </c>
      <c r="F45" s="114">
        <f>'LCI_AD-b'!$E48*'IW+f'!F29</f>
        <v>2.1302278009307427E-6</v>
      </c>
      <c r="G45" s="114">
        <f>'LCI_AD-b'!$E48*'IW+f'!G29</f>
        <v>0.89360271143972314</v>
      </c>
    </row>
    <row r="46" spans="1:7" x14ac:dyDescent="0.35">
      <c r="A46" s="114"/>
      <c r="B46" s="114" t="s">
        <v>231</v>
      </c>
      <c r="C46" s="114">
        <v>0</v>
      </c>
      <c r="D46" s="114">
        <f>'LCI_AD-b'!$E49*'IW+f'!D31</f>
        <v>0.26016692421759646</v>
      </c>
      <c r="E46" s="114">
        <f>'LCI_AD-b'!$E49*'IW+f'!E31</f>
        <v>424.13181213239164</v>
      </c>
      <c r="F46" s="114">
        <f>'LCI_AD-b'!$E49*'IW+f'!F31</f>
        <v>4.8284247774503164E-7</v>
      </c>
      <c r="G46" s="114">
        <f>'LCI_AD-b'!$E49*'IW+f'!G31</f>
        <v>1.3478750962911963</v>
      </c>
    </row>
    <row r="47" spans="1:7" x14ac:dyDescent="0.35">
      <c r="A47" s="114"/>
      <c r="B47" s="114" t="s">
        <v>423</v>
      </c>
      <c r="C47" s="114">
        <v>0</v>
      </c>
      <c r="D47" s="114">
        <f>'LCI_AD-b'!$E50*'IW+f'!D39</f>
        <v>7.1920017168280959</v>
      </c>
      <c r="E47" s="114">
        <f>'LCI_AD-b'!$E50*'IW+f'!E39</f>
        <v>2543.1616559149052</v>
      </c>
      <c r="F47" s="114">
        <f>'LCI_AD-b'!$E50*'IW+f'!F39</f>
        <v>1.1187239184613926E-5</v>
      </c>
      <c r="G47" s="114">
        <f>'LCI_AD-b'!$E50*'IW+f'!G39</f>
        <v>3.0752719836722426</v>
      </c>
    </row>
    <row r="48" spans="1:7" x14ac:dyDescent="0.35">
      <c r="A48" s="114"/>
      <c r="B48" s="114" t="s">
        <v>424</v>
      </c>
      <c r="C48" s="114">
        <v>0</v>
      </c>
      <c r="D48" s="114">
        <f>'LCI_AD-b'!$E51*'IW+f'!D37</f>
        <v>24.953677217519139</v>
      </c>
      <c r="E48" s="114">
        <f>'LCI_AD-b'!$E51*'IW+f'!E37</f>
        <v>215.65515491958169</v>
      </c>
      <c r="F48" s="114">
        <f>'LCI_AD-b'!$E51*'IW+f'!F37</f>
        <v>6.9425368763202937E-5</v>
      </c>
      <c r="G48" s="114">
        <f>'LCI_AD-b'!$E51*'IW+f'!G37</f>
        <v>6.980899478908305</v>
      </c>
    </row>
    <row r="49" spans="1:7" x14ac:dyDescent="0.35">
      <c r="A49" s="114"/>
      <c r="B49" s="114"/>
      <c r="C49" s="114"/>
      <c r="D49" s="114"/>
      <c r="E49" s="114"/>
      <c r="F49" s="114"/>
      <c r="G49" s="114"/>
    </row>
    <row r="50" spans="1:7" x14ac:dyDescent="0.35">
      <c r="A50" s="115" t="s">
        <v>494</v>
      </c>
      <c r="B50" s="115"/>
      <c r="C50" s="115">
        <f>C5+C36-C42</f>
        <v>87.821561413432278</v>
      </c>
      <c r="D50" s="115">
        <f>D5+D36-D42</f>
        <v>-22.08154367550263</v>
      </c>
      <c r="E50" s="115">
        <f>E5+E36-E42</f>
        <v>-2970.0988616434065</v>
      </c>
      <c r="F50" s="115">
        <f>F5+F36-F42</f>
        <v>7.9901808258323991E-6</v>
      </c>
      <c r="G50" s="115">
        <f>G5+G36-G42</f>
        <v>-48.942552234255018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H40"/>
  <sheetViews>
    <sheetView topLeftCell="A4" zoomScale="85" workbookViewId="0">
      <selection activeCell="C36" sqref="C36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5" width="11" bestFit="1" customWidth="1"/>
    <col min="6" max="6" width="12.1796875" bestFit="1" customWidth="1"/>
    <col min="7" max="7" width="11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SUM(C6,C9,C12,C16,C23)</f>
        <v>166.06528020235362</v>
      </c>
      <c r="D5" s="124">
        <f>SUM(D6,D9,D12,D16,D25,D28)</f>
        <v>113.02127048900029</v>
      </c>
      <c r="E5" s="124">
        <f>SUM(E6,E9,E12,E16,E25,E28)</f>
        <v>1685.6231131897757</v>
      </c>
      <c r="F5" s="124">
        <f>SUM(F6,F9,F12,F16,F25,F28)</f>
        <v>8.996278558339912E-4</v>
      </c>
      <c r="G5" s="124">
        <f>SUM(G6,G9,G12,G16,G25,G28)</f>
        <v>34.395350157877701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>SUM(D7:D8)</f>
        <v>0.11916920601637257</v>
      </c>
      <c r="E6" s="115">
        <f>SUM(E7:E8)</f>
        <v>116.96082759610819</v>
      </c>
      <c r="F6" s="115">
        <f>SUM(F7:F8)</f>
        <v>7.7420482538410759E-7</v>
      </c>
      <c r="G6" s="115">
        <f>SUM(G7:G8)</f>
        <v>1.2592266934323948</v>
      </c>
    </row>
    <row r="7" spans="1:7" x14ac:dyDescent="0.35">
      <c r="A7" s="114"/>
      <c r="B7" s="114" t="s">
        <v>249</v>
      </c>
      <c r="C7" s="114">
        <f>'LCI_AD-c'!$E4*'IW+f'!C2</f>
        <v>0.77610650091942801</v>
      </c>
      <c r="D7" s="114">
        <f>'LCI_AD-c'!$E4*'IW+f'!D2</f>
        <v>0.11916920601637257</v>
      </c>
      <c r="E7" s="114">
        <f>'LCI_AD-c'!$E4*'IW+f'!E2</f>
        <v>116.96082759610819</v>
      </c>
      <c r="F7" s="114">
        <f>'LCI_AD-c'!$E4*'IW+f'!F2</f>
        <v>7.7420482538410759E-7</v>
      </c>
      <c r="G7" s="114">
        <f>'LCI_AD-c'!$E4*'IW+f'!G2</f>
        <v>1.2592266934323948</v>
      </c>
    </row>
    <row r="8" spans="1:7" x14ac:dyDescent="0.35">
      <c r="A8" s="114"/>
      <c r="B8" s="114" t="s">
        <v>250</v>
      </c>
      <c r="C8" s="114">
        <f>'LCI_AD-c'!$E5*'IW+f'!C3</f>
        <v>0</v>
      </c>
      <c r="D8" s="114">
        <f>'LCI_AD-c'!$E5*'IW+f'!D3</f>
        <v>0</v>
      </c>
      <c r="E8" s="114">
        <f>'LCI_AD-c'!$E5*'IW+f'!E3</f>
        <v>0</v>
      </c>
      <c r="F8" s="114">
        <f>'LCI_AD-c'!$E5*'IW+f'!F3</f>
        <v>0</v>
      </c>
      <c r="G8" s="114">
        <f>'LCI_AD-c'!$E5*'IW+f'!G3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>SUM(D10:D11)</f>
        <v>1.776054546690981</v>
      </c>
      <c r="E9" s="112">
        <f>SUM(E10:E11)</f>
        <v>70.109593887244714</v>
      </c>
      <c r="F9" s="112">
        <f>SUM(F10:F11)</f>
        <v>3.9183035816743554E-5</v>
      </c>
      <c r="G9" s="112">
        <f>SUM(G10:G11)</f>
        <v>10.018540305643455</v>
      </c>
    </row>
    <row r="10" spans="1:7" x14ac:dyDescent="0.35">
      <c r="A10" s="114"/>
      <c r="B10" s="114" t="s">
        <v>286</v>
      </c>
      <c r="C10" s="116">
        <f>'LCI_AD-c'!$E7*'IW+f'!C4</f>
        <v>0.43472978582596905</v>
      </c>
      <c r="D10" s="116">
        <f>'LCI_AD-c'!$E7*'IW+f'!D4</f>
        <v>6.359420180299287E-2</v>
      </c>
      <c r="E10" s="116">
        <f>'LCI_AD-c'!$E7*'IW+f'!E4</f>
        <v>6.5761119524385903</v>
      </c>
      <c r="F10" s="116">
        <f>'LCI_AD-c'!$E7*'IW+f'!F4</f>
        <v>3.4579966311397133E-7</v>
      </c>
      <c r="G10" s="116">
        <f>'LCI_AD-c'!$E7*'IW+f'!G4</f>
        <v>3.9223403259142219E-2</v>
      </c>
    </row>
    <row r="11" spans="1:7" x14ac:dyDescent="0.35">
      <c r="A11" s="114"/>
      <c r="B11" s="114" t="s">
        <v>235</v>
      </c>
      <c r="C11" s="114">
        <f>'LCI_AD-c'!$E8*'IW+f'!C5</f>
        <v>9.056542744340673</v>
      </c>
      <c r="D11" s="114">
        <f>'LCI_AD-c'!$E8*'IW+f'!D5</f>
        <v>1.712460344887988</v>
      </c>
      <c r="E11" s="114">
        <f>'LCI_AD-c'!$E8*'IW+f'!E5</f>
        <v>63.533481934806119</v>
      </c>
      <c r="F11" s="114">
        <f>'LCI_AD-c'!$E8*'IW+f'!F5</f>
        <v>3.8837236153629584E-5</v>
      </c>
      <c r="G11" s="114">
        <f>'LCI_AD-c'!$E8*'IW+f'!G5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>SUM(D13:D15)</f>
        <v>2.7873234481033835</v>
      </c>
      <c r="E12" s="115">
        <f>SUM(E13:E15)</f>
        <v>416.86802336275355</v>
      </c>
      <c r="F12" s="115">
        <f>SUM(F13:F15)</f>
        <v>4.5598347798669536E-5</v>
      </c>
      <c r="G12" s="115">
        <f>SUM(G13:G15)</f>
        <v>4.3060093715788508</v>
      </c>
    </row>
    <row r="13" spans="1:7" x14ac:dyDescent="0.35">
      <c r="A13" s="114"/>
      <c r="B13" s="114" t="s">
        <v>8</v>
      </c>
      <c r="C13" s="114">
        <f>'LCI_AD-c'!$E10*'IW+f'!C2</f>
        <v>1.7365188542616061</v>
      </c>
      <c r="D13" s="114">
        <f>'LCI_AD-c'!$E10*'IW+f'!D2</f>
        <v>0.26663811326108211</v>
      </c>
      <c r="E13" s="114">
        <f>'LCI_AD-c'!$E10*'IW+f'!E2</f>
        <v>261.69692186584126</v>
      </c>
      <c r="F13" s="114">
        <f>'LCI_AD-c'!$E10*'IW+f'!F2</f>
        <v>1.7322639028884893E-6</v>
      </c>
      <c r="G13" s="114">
        <f>'LCI_AD-c'!$E10*'IW+f'!G2</f>
        <v>2.8174881828001381</v>
      </c>
    </row>
    <row r="14" spans="1:7" x14ac:dyDescent="0.35">
      <c r="A14" s="114"/>
      <c r="B14" s="114" t="s">
        <v>18</v>
      </c>
      <c r="C14" s="114">
        <f>'LCI_AD-c'!$E11*'IW+f'!C11</f>
        <v>9.6923673180164887</v>
      </c>
      <c r="D14" s="114">
        <f>'LCI_AD-c'!$E11*'IW+f'!D11</f>
        <v>2.5206853348423013</v>
      </c>
      <c r="E14" s="114">
        <f>'LCI_AD-c'!$E11*'IW+f'!E11</f>
        <v>155.17110149691229</v>
      </c>
      <c r="F14" s="114">
        <f>'LCI_AD-c'!$E11*'IW+f'!F11</f>
        <v>4.3866083895781045E-5</v>
      </c>
      <c r="G14" s="114">
        <f>'LCI_AD-c'!$E11*'IW+f'!G11</f>
        <v>1.4885211887787131</v>
      </c>
    </row>
    <row r="15" spans="1:7" x14ac:dyDescent="0.35">
      <c r="A15" s="114"/>
      <c r="B15" s="114" t="s">
        <v>96</v>
      </c>
      <c r="C15" s="114">
        <f>'LCI_AD-c'!$E12*'IW+f'!C12</f>
        <v>40.819825536389409</v>
      </c>
      <c r="D15" s="114">
        <f>'LCI_AD-c'!$E12*'IW+f'!D12</f>
        <v>0</v>
      </c>
      <c r="E15" s="114">
        <f>'LCI_AD-c'!$E12*'IW+f'!E12</f>
        <v>0</v>
      </c>
      <c r="F15" s="114">
        <f>'LCI_AD-c'!$E12*'IW+f'!F12</f>
        <v>0</v>
      </c>
      <c r="G15" s="114">
        <f>'LCI_AD-c'!$E12*'IW+f'!G12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>SUM(D17:D22)</f>
        <v>3.7790661744926783</v>
      </c>
      <c r="E16" s="115">
        <f>SUM(E17:E22)</f>
        <v>1081.6846683436693</v>
      </c>
      <c r="F16" s="115">
        <f>SUM(F17:F22)</f>
        <v>4.6055861501803745E-5</v>
      </c>
      <c r="G16" s="115">
        <f>SUM(G17:G22)</f>
        <v>18.811573787222997</v>
      </c>
    </row>
    <row r="17" spans="1:7" x14ac:dyDescent="0.35">
      <c r="A17" s="114"/>
      <c r="B17" s="132" t="s">
        <v>96</v>
      </c>
      <c r="C17" s="114">
        <f>'LCI_AD-c'!$E17*'IW+f'!C12</f>
        <v>46.976727533527409</v>
      </c>
      <c r="D17" s="114">
        <f>'LCI_AD-c'!$E17*'IW+f'!D12</f>
        <v>0</v>
      </c>
      <c r="E17" s="114">
        <f>'LCI_AD-c'!$E17*'IW+f'!E12</f>
        <v>0</v>
      </c>
      <c r="F17" s="114">
        <f>'LCI_AD-c'!$E17*'IW+f'!F12</f>
        <v>0</v>
      </c>
      <c r="G17" s="114">
        <f>'LCI_AD-c'!$E17*'IW+f'!G12</f>
        <v>0</v>
      </c>
    </row>
    <row r="18" spans="1:7" x14ac:dyDescent="0.35">
      <c r="A18" s="114"/>
      <c r="B18" s="132" t="s">
        <v>141</v>
      </c>
      <c r="C18" s="117">
        <f>'LCI_AD-c'!$E18*'IW+f'!C24</f>
        <v>0</v>
      </c>
      <c r="D18" s="117">
        <f>'LCI_AD-c'!$E18*'IW+f'!D24</f>
        <v>0</v>
      </c>
      <c r="E18" s="117">
        <f>'LCI_AD-c'!$E18*'IW+f'!E24</f>
        <v>0</v>
      </c>
      <c r="F18" s="117">
        <f>'LCI_AD-c'!$E18*'IW+f'!F24</f>
        <v>0</v>
      </c>
      <c r="G18" s="117">
        <f>'LCI_AD-c'!$E18*'IW+f'!G24</f>
        <v>0</v>
      </c>
    </row>
    <row r="19" spans="1:7" x14ac:dyDescent="0.35">
      <c r="A19" s="114"/>
      <c r="B19" s="132" t="s">
        <v>142</v>
      </c>
      <c r="C19" s="117">
        <f>'LCI_AD-c'!$E19*'IW+f'!C19</f>
        <v>0</v>
      </c>
      <c r="D19" s="117">
        <f>'LCI_AD-c'!$E19*'IW+f'!D19</f>
        <v>2.4586879870811568E-2</v>
      </c>
      <c r="E19" s="117">
        <f>'LCI_AD-c'!$E19*'IW+f'!E19</f>
        <v>0</v>
      </c>
      <c r="F19" s="117">
        <f>'LCI_AD-c'!$E19*'IW+f'!F19</f>
        <v>1.3714821006997321E-7</v>
      </c>
      <c r="G19" s="117">
        <f>'LCI_AD-c'!$E19*'IW+f'!G19</f>
        <v>0</v>
      </c>
    </row>
    <row r="20" spans="1:7" x14ac:dyDescent="0.35">
      <c r="A20" s="114"/>
      <c r="B20" s="132" t="s">
        <v>8</v>
      </c>
      <c r="C20" s="114">
        <f>'LCI_AD-c'!$E20*'IW+f'!C2</f>
        <v>5.9160582417096848</v>
      </c>
      <c r="D20" s="114">
        <f>'LCI_AD-c'!$E20*'IW+f'!D2</f>
        <v>0.90839590001624215</v>
      </c>
      <c r="E20" s="114">
        <f>'LCI_AD-c'!$E20*'IW+f'!E2</f>
        <v>891.56200500500165</v>
      </c>
      <c r="F20" s="114">
        <f>'LCI_AD-c'!$E20*'IW+f'!F2</f>
        <v>5.9015622631159448E-6</v>
      </c>
      <c r="G20" s="114">
        <f>'LCI_AD-c'!$E20*'IW+f'!G2</f>
        <v>9.5987579656093427</v>
      </c>
    </row>
    <row r="21" spans="1:7" x14ac:dyDescent="0.35">
      <c r="A21" s="114"/>
      <c r="B21" s="132" t="s">
        <v>127</v>
      </c>
      <c r="C21" s="117">
        <f>'LCI_AD-c'!$E21*'IW+f'!C32</f>
        <v>0.66406480235916754</v>
      </c>
      <c r="D21" s="117">
        <f>'LCI_AD-c'!$E21*'IW+f'!D32</f>
        <v>0.1141432485813005</v>
      </c>
      <c r="E21" s="117">
        <f>'LCI_AD-c'!$E21*'IW+f'!E32</f>
        <v>8.3706898499265812</v>
      </c>
      <c r="F21" s="117">
        <f>'LCI_AD-c'!$E21*'IW+f'!F32</f>
        <v>9.7423405936760903E-7</v>
      </c>
      <c r="G21" s="117">
        <f>'LCI_AD-c'!$E21*'IW+f'!G32</f>
        <v>8.3275453035152963E-2</v>
      </c>
    </row>
    <row r="22" spans="1:7" x14ac:dyDescent="0.35">
      <c r="A22" s="114"/>
      <c r="B22" s="132" t="s">
        <v>134</v>
      </c>
      <c r="C22" s="117">
        <f>'LCI_AD-c'!$E22*'IW+f'!C33</f>
        <v>13.865341030959407</v>
      </c>
      <c r="D22" s="117">
        <f>'LCI_AD-c'!$E22*'IW+f'!D33</f>
        <v>2.731940146024324</v>
      </c>
      <c r="E22" s="117">
        <f>'LCI_AD-c'!$E22*'IW+f'!E33</f>
        <v>181.7519734887409</v>
      </c>
      <c r="F22" s="117">
        <f>'LCI_AD-c'!$E22*'IW+f'!F33</f>
        <v>3.9042916969250215E-5</v>
      </c>
      <c r="G22" s="117">
        <f>'LCI_AD-c'!$E22*'IW+f'!G33</f>
        <v>9.1295403685785033</v>
      </c>
    </row>
    <row r="23" spans="1:7" x14ac:dyDescent="0.35">
      <c r="A23" s="115" t="s">
        <v>100</v>
      </c>
      <c r="B23" s="114"/>
      <c r="C23" s="115">
        <f>C24</f>
        <v>36.12699785404439</v>
      </c>
      <c r="D23" s="115">
        <f>D24</f>
        <v>0</v>
      </c>
      <c r="E23" s="115">
        <f>E24</f>
        <v>0</v>
      </c>
      <c r="F23" s="115">
        <f>F24</f>
        <v>0</v>
      </c>
      <c r="G23" s="115">
        <f>G24</f>
        <v>0</v>
      </c>
    </row>
    <row r="24" spans="1:7" x14ac:dyDescent="0.35">
      <c r="A24" s="114"/>
      <c r="B24" s="114" t="s">
        <v>96</v>
      </c>
      <c r="C24" s="114">
        <f>'LCI_AD-c'!$E25*'IW+f'!C12</f>
        <v>36.12699785404439</v>
      </c>
      <c r="D24" s="114">
        <f>'LCI_AD-c'!$E25*'IW+f'!D12</f>
        <v>0</v>
      </c>
      <c r="E24" s="114">
        <f>'LCI_AD-c'!$E25*'IW+f'!E12</f>
        <v>0</v>
      </c>
      <c r="F24" s="114">
        <f>'LCI_AD-c'!$E25*'IW+f'!F12</f>
        <v>0</v>
      </c>
      <c r="G24" s="114">
        <f>'LCI_AD-c'!$E25*'IW+f'!G12</f>
        <v>0</v>
      </c>
    </row>
    <row r="25" spans="1:7" x14ac:dyDescent="0.35">
      <c r="A25" s="113" t="s">
        <v>108</v>
      </c>
      <c r="B25" s="114"/>
      <c r="C25" s="114">
        <f>SUM(C26:C30)</f>
        <v>-96.310982618440732</v>
      </c>
      <c r="D25" s="114">
        <f>SUM(D26:D30)</f>
        <v>108.30291146722087</v>
      </c>
      <c r="E25" s="114">
        <f>SUM(E26:E30)</f>
        <v>0</v>
      </c>
      <c r="F25" s="114">
        <f>SUM(F26:F30)</f>
        <v>7.6801640589139021E-4</v>
      </c>
      <c r="G25" s="114">
        <f>SUM(G26:G30)</f>
        <v>0</v>
      </c>
    </row>
    <row r="26" spans="1:7" x14ac:dyDescent="0.35">
      <c r="A26" s="114"/>
      <c r="B26" s="119" t="s">
        <v>111</v>
      </c>
      <c r="C26" s="114">
        <f>'LCI_AD-c'!$E28*'IW+f'!C20</f>
        <v>19.040938704967669</v>
      </c>
      <c r="D26" s="114">
        <f>'LCI_AD-c'!$E28*'IW+f'!D20</f>
        <v>0</v>
      </c>
      <c r="E26" s="114">
        <f>'LCI_AD-c'!$E28*'IW+f'!E20</f>
        <v>0</v>
      </c>
      <c r="F26" s="114">
        <f>'LCI_AD-c'!$E28*'IW+f'!F20</f>
        <v>0</v>
      </c>
      <c r="G26" s="114">
        <f>'LCI_AD-c'!$E28*'IW+f'!G20</f>
        <v>0</v>
      </c>
    </row>
    <row r="27" spans="1:7" x14ac:dyDescent="0.35">
      <c r="A27" s="114"/>
      <c r="B27" s="119" t="s">
        <v>110</v>
      </c>
      <c r="C27" s="114">
        <f>'LCI_AD-c'!$E29*'IW+f'!C18</f>
        <v>0</v>
      </c>
      <c r="D27" s="114">
        <f>'LCI_AD-c'!$E29*'IW+f'!D18</f>
        <v>114.14368322154571</v>
      </c>
      <c r="E27" s="114">
        <f>'LCI_AD-c'!$E29*'IW+f'!E18</f>
        <v>0</v>
      </c>
      <c r="F27" s="114">
        <f>'LCI_AD-c'!$E29*'IW+f'!F18</f>
        <v>7.6801640589139021E-4</v>
      </c>
      <c r="G27" s="114">
        <f>'LCI_AD-c'!$E29*'IW+f'!G18</f>
        <v>0</v>
      </c>
    </row>
    <row r="28" spans="1:7" x14ac:dyDescent="0.35">
      <c r="A28" s="114"/>
      <c r="B28" s="119" t="s">
        <v>114</v>
      </c>
      <c r="C28" s="114">
        <f>'LCI_AD-c'!$E30*'IW+f'!C21</f>
        <v>0</v>
      </c>
      <c r="D28" s="114">
        <f>'LCI_AD-c'!$E30*'IW+f'!D21</f>
        <v>-3.7432543535239895</v>
      </c>
      <c r="E28" s="114">
        <f>'LCI_AD-c'!$E30*'IW+f'!E21</f>
        <v>0</v>
      </c>
      <c r="F28" s="114">
        <f>'LCI_AD-c'!$E30*'IW+f'!F21</f>
        <v>0</v>
      </c>
      <c r="G28" s="114">
        <f>'LCI_AD-c'!$E30*'IW+f'!G21</f>
        <v>0</v>
      </c>
    </row>
    <row r="29" spans="1:7" x14ac:dyDescent="0.35">
      <c r="A29" s="114"/>
      <c r="B29" s="119" t="s">
        <v>414</v>
      </c>
      <c r="C29" s="114">
        <f>'LCI_AD-c'!$E31*'IW+f'!C25</f>
        <v>0</v>
      </c>
      <c r="D29" s="114">
        <f>'LCI_AD-c'!$E31*'IW+f'!D25</f>
        <v>-0.19421069896461307</v>
      </c>
      <c r="E29" s="114">
        <f>'LCI_AD-c'!$E31*'IW+f'!E25</f>
        <v>0</v>
      </c>
      <c r="F29" s="114">
        <f>'LCI_AD-c'!$E31*'IW+f'!F25</f>
        <v>0</v>
      </c>
      <c r="G29" s="114">
        <f>'LCI_AD-c'!$E31*'IW+f'!G25</f>
        <v>0</v>
      </c>
    </row>
    <row r="30" spans="1:7" x14ac:dyDescent="0.35">
      <c r="A30" s="114"/>
      <c r="B30" s="119" t="s">
        <v>415</v>
      </c>
      <c r="C30" s="114">
        <f>'LCI_AD-c'!$E32*'IW+f'!C26</f>
        <v>-115.3519213234084</v>
      </c>
      <c r="D30" s="114">
        <f>'LCI_AD-c'!$E32*'IW+f'!D26</f>
        <v>-1.9033067018362388</v>
      </c>
      <c r="E30" s="114">
        <f>'LCI_AD-c'!$E32*'IW+f'!E26</f>
        <v>0</v>
      </c>
      <c r="F30" s="114">
        <f>'LCI_AD-c'!$E32*'IW+f'!F26</f>
        <v>0</v>
      </c>
      <c r="G30" s="114">
        <f>'LCI_AD-c'!$E32*'IW+f'!G26</f>
        <v>0</v>
      </c>
    </row>
    <row r="31" spans="1:7" x14ac:dyDescent="0.35">
      <c r="A31" s="113" t="s">
        <v>421</v>
      </c>
      <c r="B31" s="114"/>
      <c r="C31" s="115">
        <f>SUM(C32:C36)</f>
        <v>0</v>
      </c>
      <c r="D31" s="115">
        <f>SUM(D32:D36)</f>
        <v>29.674004837125175</v>
      </c>
      <c r="E31" s="115">
        <f>SUM(E32:E36)</f>
        <v>8837.3893666433032</v>
      </c>
      <c r="F31" s="115">
        <f>SUM(F32:F36)</f>
        <v>1.4122564925612134E-4</v>
      </c>
      <c r="G31" s="115">
        <f>SUM(G32:G36)</f>
        <v>110.48170163011559</v>
      </c>
    </row>
    <row r="32" spans="1:7" x14ac:dyDescent="0.35">
      <c r="A32" s="114"/>
      <c r="B32" s="114" t="s">
        <v>228</v>
      </c>
      <c r="C32" s="114">
        <v>0</v>
      </c>
      <c r="D32" s="114">
        <f>'LCI_AD-c'!$E34*'IW+f'!D28</f>
        <v>3.7699223208212893</v>
      </c>
      <c r="E32" s="114">
        <f>'LCI_AD-c'!$E34*'IW+f'!E28</f>
        <v>417.80642425174938</v>
      </c>
      <c r="F32" s="114">
        <f>'LCI_AD-c'!$E34*'IW+f'!F28</f>
        <v>2.0842491724839379E-5</v>
      </c>
      <c r="G32" s="114">
        <f>'LCI_AD-c'!$E34*'IW+f'!G28</f>
        <v>42.781720834497129</v>
      </c>
    </row>
    <row r="33" spans="1:8" x14ac:dyDescent="0.35">
      <c r="A33" s="114"/>
      <c r="B33" s="114" t="s">
        <v>230</v>
      </c>
      <c r="C33" s="114">
        <v>0</v>
      </c>
      <c r="D33" s="114">
        <f>'LCI_AD-c'!$E35*'IW+f'!D30</f>
        <v>9.1248031660091158</v>
      </c>
      <c r="E33" s="114">
        <f>'LCI_AD-c'!$E35*'IW+f'!E30</f>
        <v>343.26966174183377</v>
      </c>
      <c r="F33" s="114">
        <f>'LCI_AD-c'!$E35*'IW+f'!F30</f>
        <v>7.5312485097886082E-5</v>
      </c>
      <c r="G33" s="114">
        <f>'LCI_AD-c'!$E35*'IW+f'!G30</f>
        <v>46.443676689945342</v>
      </c>
    </row>
    <row r="34" spans="1:8" x14ac:dyDescent="0.35">
      <c r="A34" s="114"/>
      <c r="B34" s="114" t="s">
        <v>229</v>
      </c>
      <c r="C34" s="114">
        <v>0</v>
      </c>
      <c r="D34" s="114">
        <f>'LCI_AD-c'!$E36*'IW+f'!D29</f>
        <v>3.0053120361765435</v>
      </c>
      <c r="E34" s="114">
        <f>'LCI_AD-c'!$E36*'IW+f'!E29</f>
        <v>200.1993313863338</v>
      </c>
      <c r="F34" s="114">
        <f>'LCI_AD-c'!$E36*'IW+f'!F29</f>
        <v>1.3850635896818876E-5</v>
      </c>
      <c r="G34" s="114">
        <f>'LCI_AD-c'!$E36*'IW+f'!G29</f>
        <v>5.8101606725599693</v>
      </c>
    </row>
    <row r="35" spans="1:8" x14ac:dyDescent="0.35">
      <c r="A35" s="114"/>
      <c r="B35" s="114" t="s">
        <v>231</v>
      </c>
      <c r="C35" s="114">
        <v>0</v>
      </c>
      <c r="D35" s="114">
        <f>'LCI_AD-c'!$E37*'IW+f'!D31</f>
        <v>0.97385909326307918</v>
      </c>
      <c r="E35" s="114">
        <f>'LCI_AD-c'!$E37*'IW+f'!E31</f>
        <v>1587.6138876201587</v>
      </c>
      <c r="F35" s="114">
        <f>'LCI_AD-c'!$E37*'IW+f'!F31</f>
        <v>1.8073801617164658E-6</v>
      </c>
      <c r="G35" s="114">
        <f>'LCI_AD-c'!$E37*'IW+f'!G31</f>
        <v>5.045377782181772</v>
      </c>
    </row>
    <row r="36" spans="1:8" x14ac:dyDescent="0.35">
      <c r="A36" s="114"/>
      <c r="B36" s="114" t="s">
        <v>474</v>
      </c>
      <c r="C36" s="114">
        <v>0</v>
      </c>
      <c r="D36" s="114">
        <f>'LCI_AD-c'!$E38*'IW+f'!D38</f>
        <v>12.800108220855149</v>
      </c>
      <c r="E36" s="114">
        <f>'LCI_AD-c'!$E38*'IW+f'!E38</f>
        <v>6288.500061643228</v>
      </c>
      <c r="F36" s="114">
        <f>'LCI_AD-c'!$E38*'IW+f'!F38</f>
        <v>2.941265637486053E-5</v>
      </c>
      <c r="G36" s="114">
        <f>'LCI_AD-c'!$E38*'IW+f'!G38</f>
        <v>10.40076565093138</v>
      </c>
    </row>
    <row r="37" spans="1:8" x14ac:dyDescent="0.35">
      <c r="A37" s="115" t="s">
        <v>488</v>
      </c>
      <c r="B37" s="114"/>
      <c r="C37" s="114"/>
      <c r="D37" s="114"/>
      <c r="E37" s="114"/>
      <c r="F37" s="114"/>
      <c r="G37" s="114"/>
      <c r="H37" s="36" t="s">
        <v>496</v>
      </c>
    </row>
    <row r="38" spans="1:8" x14ac:dyDescent="0.35">
      <c r="A38" s="114"/>
      <c r="B38" s="114" t="s">
        <v>415</v>
      </c>
      <c r="C38" s="114">
        <v>0</v>
      </c>
      <c r="D38" s="114"/>
      <c r="E38" s="114"/>
      <c r="F38" s="114"/>
      <c r="G38" s="114"/>
    </row>
    <row r="39" spans="1:8" x14ac:dyDescent="0.35">
      <c r="A39" s="114"/>
      <c r="B39" s="114"/>
      <c r="C39" s="114"/>
      <c r="D39" s="114"/>
      <c r="E39" s="114"/>
      <c r="F39" s="114"/>
      <c r="G39" s="114"/>
    </row>
    <row r="40" spans="1:8" x14ac:dyDescent="0.35">
      <c r="A40" s="115" t="s">
        <v>494</v>
      </c>
      <c r="B40" s="114"/>
      <c r="C40" s="115">
        <f>C5+C25-C31+C38</f>
        <v>69.754297583912887</v>
      </c>
      <c r="D40" s="115">
        <f>D5+D25-D31+D38</f>
        <v>191.65017711909596</v>
      </c>
      <c r="E40" s="115">
        <f>E5+E25-E31+E38</f>
        <v>-7151.7662534535275</v>
      </c>
      <c r="F40" s="115">
        <f>F5+F25-F31+F38</f>
        <v>1.5264186124692601E-3</v>
      </c>
      <c r="G40" s="115">
        <f>G5+G25-G31+G38</f>
        <v>-76.086351472237894</v>
      </c>
    </row>
  </sheetData>
  <mergeCells count="1">
    <mergeCell ref="A3: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topLeftCell="A10" workbookViewId="0">
      <selection activeCell="E29" sqref="E29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8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v>0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v>0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v>0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v>0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6">
        <v>0</v>
      </c>
      <c r="F28" s="50" t="s">
        <v>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3"/>
  <sheetViews>
    <sheetView topLeftCell="A78" workbookViewId="0">
      <selection activeCell="C55" sqref="C55:G55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4" width="11.81640625" bestFit="1" customWidth="1"/>
    <col min="5" max="5" width="13.08984375" bestFit="1" customWidth="1"/>
    <col min="6" max="7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37" t="s">
        <v>420</v>
      </c>
      <c r="B27" s="138"/>
      <c r="C27" s="138"/>
      <c r="D27" s="138"/>
      <c r="E27" s="138"/>
      <c r="F27" s="138"/>
      <c r="G27" s="139"/>
    </row>
    <row r="28" spans="1:7" ht="43.5" x14ac:dyDescent="0.35">
      <c r="A28" s="109" t="s">
        <v>0</v>
      </c>
      <c r="B28" s="109"/>
      <c r="C28" s="109" t="s">
        <v>403</v>
      </c>
      <c r="D28" s="109" t="s">
        <v>404</v>
      </c>
      <c r="E28" s="109" t="s">
        <v>405</v>
      </c>
      <c r="F28" s="109" t="s">
        <v>406</v>
      </c>
      <c r="G28" s="109" t="s">
        <v>407</v>
      </c>
    </row>
    <row r="29" spans="1:7" x14ac:dyDescent="0.35">
      <c r="A29" s="110" t="s">
        <v>294</v>
      </c>
      <c r="B29" s="111"/>
      <c r="C29" s="112">
        <f>SUM(C30,C33,C36,C38)</f>
        <v>35.421319139716672</v>
      </c>
      <c r="D29" s="112">
        <f>SUM(D30,D33,D36,D38)</f>
        <v>32.067942378795308</v>
      </c>
      <c r="E29" s="112">
        <f>SUM(E30,E33,E36,E38)</f>
        <v>337.21257014819105</v>
      </c>
      <c r="F29" s="112">
        <f>SUM(F30,F33,F36,F38)</f>
        <v>7.8437449326508788E-5</v>
      </c>
      <c r="G29" s="112">
        <f>SUM(G30,G33,G36,G38)</f>
        <v>13.278828638799126</v>
      </c>
    </row>
    <row r="30" spans="1:7" x14ac:dyDescent="0.35">
      <c r="A30" s="113" t="s">
        <v>5</v>
      </c>
      <c r="B30" s="114"/>
      <c r="C30" s="115">
        <f>SUM(C31:C32)</f>
        <v>0.77610650091942801</v>
      </c>
      <c r="D30" s="115">
        <f>SUM(D31:D32)</f>
        <v>0.11916920601637257</v>
      </c>
      <c r="E30" s="115">
        <f>SUM(E31:E32)</f>
        <v>116.96082759610819</v>
      </c>
      <c r="F30" s="115">
        <f>SUM(F31:F32)</f>
        <v>7.7420482538410759E-7</v>
      </c>
      <c r="G30" s="115">
        <f>SUM(G31:G32)</f>
        <v>1.2592266934323948</v>
      </c>
    </row>
    <row r="31" spans="1:7" x14ac:dyDescent="0.35">
      <c r="A31" s="114"/>
      <c r="B31" s="114" t="s">
        <v>249</v>
      </c>
      <c r="C31" s="114">
        <f>LCI_IC!$E4*'IW+f'!C2</f>
        <v>0.77610650091942801</v>
      </c>
      <c r="D31" s="114">
        <f>LCI_IC!$E4*'IW+f'!D2</f>
        <v>0.11916920601637257</v>
      </c>
      <c r="E31" s="114">
        <f>LCI_IC!$E4*'IW+f'!E2</f>
        <v>116.96082759610819</v>
      </c>
      <c r="F31" s="114">
        <f>LCI_IC!$E4*'IW+f'!F2</f>
        <v>7.7420482538410759E-7</v>
      </c>
      <c r="G31" s="114">
        <f>LCI_IC!$E4*'IW+f'!G2</f>
        <v>1.2592266934323948</v>
      </c>
    </row>
    <row r="32" spans="1:7" x14ac:dyDescent="0.35">
      <c r="A32" s="114"/>
      <c r="B32" s="114" t="s">
        <v>250</v>
      </c>
      <c r="C32" s="114">
        <f>LCI_IC!$E5*'IW+f'!C3</f>
        <v>0</v>
      </c>
      <c r="D32" s="114">
        <f>LCI_IC!$E5*'IW+f'!D3</f>
        <v>0</v>
      </c>
      <c r="E32" s="114">
        <f>LCI_IC!$E5*'IW+f'!E3</f>
        <v>0</v>
      </c>
      <c r="F32" s="114">
        <f>LCI_IC!$E5*'IW+f'!F3</f>
        <v>0</v>
      </c>
      <c r="G32" s="114">
        <f>LCI_IC!$E5*'IW+f'!G3</f>
        <v>0</v>
      </c>
    </row>
    <row r="33" spans="1:7" x14ac:dyDescent="0.35">
      <c r="A33" s="113" t="s">
        <v>235</v>
      </c>
      <c r="B33" s="114"/>
      <c r="C33" s="112">
        <f>SUM(C34:C35)</f>
        <v>9.4912725301666416</v>
      </c>
      <c r="D33" s="112">
        <f>SUM(D34:D35)</f>
        <v>1.776054546690981</v>
      </c>
      <c r="E33" s="112">
        <f>SUM(E34:E35)</f>
        <v>70.109593887244714</v>
      </c>
      <c r="F33" s="112">
        <f>SUM(F34:F35)</f>
        <v>3.9183035816743554E-5</v>
      </c>
      <c r="G33" s="112">
        <f>SUM(G34:G35)</f>
        <v>10.018540305643455</v>
      </c>
    </row>
    <row r="34" spans="1:7" x14ac:dyDescent="0.35">
      <c r="A34" s="114"/>
      <c r="B34" s="114" t="s">
        <v>286</v>
      </c>
      <c r="C34" s="116">
        <f>LCI_IC!$E8*'IW+f'!C4</f>
        <v>0.43472978582596905</v>
      </c>
      <c r="D34" s="116">
        <f>LCI_IC!$E8*'IW+f'!D4</f>
        <v>6.359420180299287E-2</v>
      </c>
      <c r="E34" s="116">
        <f>LCI_IC!$E8*'IW+f'!E4</f>
        <v>6.5761119524385903</v>
      </c>
      <c r="F34" s="116">
        <f>LCI_IC!$E8*'IW+f'!F4</f>
        <v>3.4579966311397133E-7</v>
      </c>
      <c r="G34" s="116">
        <f>LCI_IC!$E8*'IW+f'!G4</f>
        <v>3.9223403259142219E-2</v>
      </c>
    </row>
    <row r="35" spans="1:7" x14ac:dyDescent="0.35">
      <c r="A35" s="114"/>
      <c r="B35" s="114" t="s">
        <v>235</v>
      </c>
      <c r="C35" s="114">
        <f>LCI_IC!$E7*'IW+f'!C5</f>
        <v>9.056542744340673</v>
      </c>
      <c r="D35" s="114">
        <f>LCI_IC!$E7*'IW+f'!D5</f>
        <v>1.712460344887988</v>
      </c>
      <c r="E35" s="114">
        <f>LCI_IC!$E7*'IW+f'!E5</f>
        <v>63.533481934806119</v>
      </c>
      <c r="F35" s="114">
        <f>LCI_IC!$E7*'IW+f'!F5</f>
        <v>3.8837236153629584E-5</v>
      </c>
      <c r="G35" s="114">
        <f>LCI_IC!$E7*'IW+f'!G5</f>
        <v>9.9793169023843138</v>
      </c>
    </row>
    <row r="36" spans="1:7" x14ac:dyDescent="0.35">
      <c r="A36" s="113" t="s">
        <v>300</v>
      </c>
      <c r="B36" s="114"/>
      <c r="C36" s="115">
        <f>C37</f>
        <v>4.4017004142045844</v>
      </c>
      <c r="D36" s="115">
        <f>D37</f>
        <v>24.994858397394534</v>
      </c>
      <c r="E36" s="115">
        <f>E37</f>
        <v>68.925862568542556</v>
      </c>
      <c r="F36" s="115">
        <f>F37</f>
        <v>3.6601304780886087E-6</v>
      </c>
      <c r="G36" s="115">
        <f>G37</f>
        <v>1.1266687554059929</v>
      </c>
    </row>
    <row r="37" spans="1:7" x14ac:dyDescent="0.35">
      <c r="A37" s="114"/>
      <c r="B37" s="114" t="s">
        <v>301</v>
      </c>
      <c r="C37" s="114">
        <f>LCI_IC!$E10*'IW+f'!C35</f>
        <v>4.4017004142045844</v>
      </c>
      <c r="D37" s="114">
        <f>LCI_IC!$E10*'IW+f'!D35</f>
        <v>24.994858397394534</v>
      </c>
      <c r="E37" s="114">
        <f>LCI_IC!$E10*'IW+f'!E35</f>
        <v>68.925862568542556</v>
      </c>
      <c r="F37" s="114">
        <f>LCI_IC!$E10*'IW+f'!F35</f>
        <v>3.6601304780886087E-6</v>
      </c>
      <c r="G37" s="114">
        <f>LCI_IC!$E10*'IW+f'!G35</f>
        <v>1.1266687554059929</v>
      </c>
    </row>
    <row r="38" spans="1:7" x14ac:dyDescent="0.35">
      <c r="A38" s="113" t="s">
        <v>302</v>
      </c>
      <c r="B38" s="114"/>
      <c r="C38" s="115">
        <f>SUM(C39:C42)</f>
        <v>20.752239694426017</v>
      </c>
      <c r="D38" s="115">
        <f>SUM(D39:D42)</f>
        <v>5.1778602286934197</v>
      </c>
      <c r="E38" s="115">
        <f>SUM(E39:E42)</f>
        <v>81.216286096295562</v>
      </c>
      <c r="F38" s="115">
        <f>SUM(F39:F42)</f>
        <v>3.4820078206292518E-5</v>
      </c>
      <c r="G38" s="115">
        <f>SUM(G39:G42)</f>
        <v>0.87439288431728412</v>
      </c>
    </row>
    <row r="39" spans="1:7" x14ac:dyDescent="0.35">
      <c r="A39" s="114"/>
      <c r="B39" s="114" t="s">
        <v>96</v>
      </c>
      <c r="C39" s="114">
        <f>LCI_IC!$E13*'IW+f'!C12</f>
        <v>3.8074805999999999</v>
      </c>
      <c r="D39" s="114">
        <f>LCI_IC!$E13*'IW+f'!D12</f>
        <v>0</v>
      </c>
      <c r="E39" s="114">
        <f>LCI_IC!$E13*'IW+f'!E12</f>
        <v>0</v>
      </c>
      <c r="F39" s="114">
        <f>LCI_IC!$E13*'IW+f'!F12</f>
        <v>0</v>
      </c>
      <c r="G39" s="114">
        <f>LCI_IC!$E13*'IW+f'!G12</f>
        <v>0</v>
      </c>
    </row>
    <row r="40" spans="1:7" x14ac:dyDescent="0.35">
      <c r="A40" s="114"/>
      <c r="B40" s="114" t="s">
        <v>110</v>
      </c>
      <c r="C40" s="117">
        <f>LCI_IC!$E14*'IW+f'!C18</f>
        <v>0</v>
      </c>
      <c r="D40" s="117">
        <f>LCI_IC!$E14*'IW+f'!D18</f>
        <v>5.0951104694054976</v>
      </c>
      <c r="E40" s="117">
        <f>LCI_IC!$E14*'IW+f'!E18</f>
        <v>0</v>
      </c>
      <c r="F40" s="117">
        <f>LCI_IC!$E14*'IW+f'!F18</f>
        <v>3.4282479064016783E-5</v>
      </c>
      <c r="G40" s="117">
        <f>LCI_IC!$E14*'IW+f'!G18</f>
        <v>0</v>
      </c>
    </row>
    <row r="41" spans="1:7" x14ac:dyDescent="0.35">
      <c r="A41" s="114"/>
      <c r="B41" s="114" t="s">
        <v>111</v>
      </c>
      <c r="C41" s="114">
        <f>LCI_IC!$E15*'IW+f'!C20</f>
        <v>16.405839449999998</v>
      </c>
      <c r="D41" s="114">
        <f>LCI_IC!$E15*'IW+f'!D20</f>
        <v>0</v>
      </c>
      <c r="E41" s="114">
        <f>LCI_IC!$E15*'IW+f'!E20</f>
        <v>0</v>
      </c>
      <c r="F41" s="114">
        <f>LCI_IC!$E15*'IW+f'!F20</f>
        <v>0</v>
      </c>
      <c r="G41" s="114">
        <f>LCI_IC!$E15*'IW+f'!G20</f>
        <v>0</v>
      </c>
    </row>
    <row r="42" spans="1:7" x14ac:dyDescent="0.35">
      <c r="A42" s="114"/>
      <c r="B42" s="114" t="s">
        <v>249</v>
      </c>
      <c r="C42" s="114">
        <f>LCI_IC!$E17*'IW+f'!C2</f>
        <v>0.53891964442601559</v>
      </c>
      <c r="D42" s="114">
        <f>LCI_IC!$E17*'IW+f'!D2</f>
        <v>8.2749759287922026E-2</v>
      </c>
      <c r="E42" s="114">
        <f>LCI_IC!$E17*'IW+f'!E2</f>
        <v>81.216286096295562</v>
      </c>
      <c r="F42" s="114">
        <f>LCI_IC!$E17*'IW+f'!F2</f>
        <v>5.3759914227573803E-7</v>
      </c>
      <c r="G42" s="114">
        <f>LCI_IC!$E17*'IW+f'!G2</f>
        <v>0.87439288431728412</v>
      </c>
    </row>
    <row r="43" spans="1:7" x14ac:dyDescent="0.35">
      <c r="A43" s="113" t="s">
        <v>351</v>
      </c>
      <c r="B43" s="114"/>
      <c r="C43" s="118">
        <f>SUM(C44:C48)</f>
        <v>27.051024108006885</v>
      </c>
      <c r="D43" s="118">
        <f>SUM(D44:D48)</f>
        <v>27.72184138909309</v>
      </c>
      <c r="E43" s="118">
        <f>SUM(E44:E48)</f>
        <v>0</v>
      </c>
      <c r="F43" s="118">
        <f>SUM(F44:F48)</f>
        <v>5.0112026067618947E-5</v>
      </c>
      <c r="G43" s="118">
        <f>SUM(G44:G48)</f>
        <v>0</v>
      </c>
    </row>
    <row r="44" spans="1:7" x14ac:dyDescent="0.35">
      <c r="A44" s="114"/>
      <c r="B44" s="114" t="s">
        <v>110</v>
      </c>
      <c r="C44" s="117">
        <f>LCI_IC!$E19*'IW+f'!C18</f>
        <v>0</v>
      </c>
      <c r="D44" s="117">
        <f>LCI_IC!$E19*'IW+f'!D18</f>
        <v>7.4477201075064441</v>
      </c>
      <c r="E44" s="117">
        <f>LCI_IC!$E19*'IW+f'!E18</f>
        <v>0</v>
      </c>
      <c r="F44" s="117">
        <f>LCI_IC!$E19*'IW+f'!F18</f>
        <v>5.0112026067618947E-5</v>
      </c>
      <c r="G44" s="117">
        <f>LCI_IC!$E19*'IW+f'!G18</f>
        <v>0</v>
      </c>
    </row>
    <row r="45" spans="1:7" x14ac:dyDescent="0.35">
      <c r="A45" s="114"/>
      <c r="B45" s="114" t="s">
        <v>111</v>
      </c>
      <c r="C45" s="117">
        <f>LCI_IC!$E20*'IW+f'!C20</f>
        <v>27.051024108006885</v>
      </c>
      <c r="D45" s="117">
        <f>LCI_IC!$E20*'IW+f'!D20</f>
        <v>0</v>
      </c>
      <c r="E45" s="117">
        <f>LCI_IC!$E20*'IW+f'!E20</f>
        <v>0</v>
      </c>
      <c r="F45" s="117">
        <f>LCI_IC!$E20*'IW+f'!F20</f>
        <v>0</v>
      </c>
      <c r="G45" s="117">
        <f>LCI_IC!$E20*'IW+f'!G20</f>
        <v>0</v>
      </c>
    </row>
    <row r="46" spans="1:7" x14ac:dyDescent="0.35">
      <c r="A46" s="114"/>
      <c r="B46" s="114" t="s">
        <v>114</v>
      </c>
      <c r="C46" s="117">
        <f>LCI_IC!$E21*'IW+f'!C21</f>
        <v>0</v>
      </c>
      <c r="D46" s="117">
        <f>LCI_IC!$E21*'IW+f'!D21</f>
        <v>20.469849149257051</v>
      </c>
      <c r="E46" s="117">
        <f>LCI_IC!$E21*'IW+f'!E21</f>
        <v>0</v>
      </c>
      <c r="F46" s="117">
        <f>LCI_IC!$E21*'IW+f'!F21</f>
        <v>0</v>
      </c>
      <c r="G46" s="117">
        <f>LCI_IC!$E21*'IW+f'!G21</f>
        <v>0</v>
      </c>
    </row>
    <row r="47" spans="1:7" x14ac:dyDescent="0.35">
      <c r="A47" s="114"/>
      <c r="B47" s="114" t="s">
        <v>414</v>
      </c>
      <c r="C47" s="117">
        <f>LCI_IC!$E22*'IW+f'!C25</f>
        <v>0</v>
      </c>
      <c r="D47" s="117">
        <f>LCI_IC!$E22*'IW+f'!D25</f>
        <v>-0.19572786767040548</v>
      </c>
      <c r="E47" s="117">
        <f>LCI_IC!$E22*'IW+f'!E25</f>
        <v>0</v>
      </c>
      <c r="F47" s="117">
        <f>LCI_IC!$E22*'IW+f'!F25</f>
        <v>0</v>
      </c>
      <c r="G47" s="117">
        <f>LCI_IC!$E22*'IW+f'!G25</f>
        <v>0</v>
      </c>
    </row>
    <row r="48" spans="1:7" x14ac:dyDescent="0.35">
      <c r="A48" s="114"/>
      <c r="B48" s="114" t="s">
        <v>415</v>
      </c>
      <c r="C48" s="117">
        <f>LCI_IC!$E23*'IW+f'!C26</f>
        <v>0</v>
      </c>
      <c r="D48" s="117">
        <f>LCI_IC!$E23*'IW+f'!D26</f>
        <v>0</v>
      </c>
      <c r="E48" s="117">
        <f>LCI_IC!$E23*'IW+f'!E26</f>
        <v>0</v>
      </c>
      <c r="F48" s="117">
        <f>LCI_IC!$E23*'IW+f'!F26</f>
        <v>0</v>
      </c>
      <c r="G48" s="117">
        <f>LCI_IC!$E23*'IW+f'!G26</f>
        <v>0</v>
      </c>
    </row>
    <row r="49" spans="1:37" x14ac:dyDescent="0.35">
      <c r="A49" s="113" t="s">
        <v>421</v>
      </c>
      <c r="B49" s="114"/>
      <c r="C49" s="118">
        <f>SUM(C50:C53)</f>
        <v>0</v>
      </c>
      <c r="D49" s="118">
        <f>SUM(D50:D53)</f>
        <v>0</v>
      </c>
      <c r="E49" s="118">
        <f>SUM(E50:E53)</f>
        <v>0</v>
      </c>
      <c r="F49" s="118">
        <f>SUM(F50:F53)</f>
        <v>0</v>
      </c>
      <c r="G49" s="118">
        <f>SUM(G50:G53)</f>
        <v>0</v>
      </c>
    </row>
    <row r="50" spans="1:37" x14ac:dyDescent="0.35">
      <c r="A50" s="114"/>
      <c r="B50" s="114" t="s">
        <v>228</v>
      </c>
      <c r="C50" s="117">
        <f>LCI_IC!$E25*'IW+f'!C28</f>
        <v>0</v>
      </c>
      <c r="D50" s="117">
        <f>LCI_IC!$E25*'IW+f'!D28</f>
        <v>0</v>
      </c>
      <c r="E50" s="117">
        <f>LCI_IC!$E25*'IW+f'!E28</f>
        <v>0</v>
      </c>
      <c r="F50" s="117">
        <f>LCI_IC!$E25*'IW+f'!F28</f>
        <v>0</v>
      </c>
      <c r="G50" s="117">
        <f>LCI_IC!$E25*'IW+f'!G28</f>
        <v>0</v>
      </c>
    </row>
    <row r="51" spans="1:37" x14ac:dyDescent="0.35">
      <c r="A51" s="114"/>
      <c r="B51" s="114" t="s">
        <v>230</v>
      </c>
      <c r="C51" s="117">
        <f>LCI_IC!$E26*'IW+f'!C30</f>
        <v>0</v>
      </c>
      <c r="D51" s="117">
        <f>LCI_IC!$E26*'IW+f'!D30</f>
        <v>0</v>
      </c>
      <c r="E51" s="117">
        <f>LCI_IC!$E26*'IW+f'!E30</f>
        <v>0</v>
      </c>
      <c r="F51" s="117">
        <f>LCI_IC!$E26*'IW+f'!F30</f>
        <v>0</v>
      </c>
      <c r="G51" s="117">
        <f>LCI_IC!$E26*'IW+f'!G30</f>
        <v>0</v>
      </c>
    </row>
    <row r="52" spans="1:37" x14ac:dyDescent="0.35">
      <c r="A52" s="114"/>
      <c r="B52" s="114" t="s">
        <v>229</v>
      </c>
      <c r="C52" s="117">
        <f>LCI_IC!$E27*'IW+f'!C29</f>
        <v>0</v>
      </c>
      <c r="D52" s="117">
        <f>LCI_IC!$E27*'IW+f'!D29</f>
        <v>0</v>
      </c>
      <c r="E52" s="117">
        <f>LCI_IC!$E27*'IW+f'!E29</f>
        <v>0</v>
      </c>
      <c r="F52" s="117">
        <f>LCI_IC!$E27*'IW+f'!F29</f>
        <v>0</v>
      </c>
      <c r="G52" s="117">
        <f>LCI_IC!$E27*'IW+f'!G29</f>
        <v>0</v>
      </c>
    </row>
    <row r="53" spans="1:37" x14ac:dyDescent="0.35">
      <c r="A53" s="114"/>
      <c r="B53" s="114" t="s">
        <v>231</v>
      </c>
      <c r="C53" s="117">
        <f>LCI_IC!$E28*'IW+f'!C31</f>
        <v>0</v>
      </c>
      <c r="D53" s="117">
        <f>LCI_IC!$E28*'IW+f'!D31</f>
        <v>0</v>
      </c>
      <c r="E53" s="117">
        <f>LCI_IC!$E28*'IW+f'!E31</f>
        <v>0</v>
      </c>
      <c r="F53" s="117">
        <f>LCI_IC!$E28*'IW+f'!F31</f>
        <v>0</v>
      </c>
      <c r="G53" s="117">
        <f>LCI_IC!$E28*'IW+f'!G31</f>
        <v>0</v>
      </c>
    </row>
    <row r="54" spans="1:37" x14ac:dyDescent="0.35">
      <c r="A54" s="114"/>
      <c r="B54" s="114"/>
      <c r="C54" s="114"/>
      <c r="D54" s="114"/>
      <c r="E54" s="114"/>
      <c r="F54" s="114"/>
      <c r="G54" s="114"/>
    </row>
    <row r="55" spans="1:37" x14ac:dyDescent="0.35">
      <c r="A55" s="113" t="s">
        <v>494</v>
      </c>
      <c r="B55" s="114"/>
      <c r="C55" s="115">
        <f>C29+C43-C49</f>
        <v>62.472343247723558</v>
      </c>
      <c r="D55" s="115">
        <f>D29+D43-D49</f>
        <v>59.789783767888395</v>
      </c>
      <c r="E55" s="115">
        <f>E29+E43-E49</f>
        <v>337.21257014819105</v>
      </c>
      <c r="F55" s="115">
        <f>F29+F43-F49</f>
        <v>1.2854947539412773E-4</v>
      </c>
      <c r="G55" s="115">
        <f>G29+G43-G49</f>
        <v>13.278828638799126</v>
      </c>
    </row>
    <row r="57" spans="1:37" x14ac:dyDescent="0.35">
      <c r="A57" t="s">
        <v>426</v>
      </c>
    </row>
    <row r="58" spans="1:37" ht="72.5" x14ac:dyDescent="0.35">
      <c r="A58" t="s">
        <v>0</v>
      </c>
      <c r="C58" s="88" t="s">
        <v>376</v>
      </c>
      <c r="D58" s="88" t="s">
        <v>377</v>
      </c>
      <c r="E58" s="88" t="s">
        <v>378</v>
      </c>
      <c r="F58" s="88" t="s">
        <v>379</v>
      </c>
      <c r="G58" s="88" t="s">
        <v>380</v>
      </c>
      <c r="H58" s="88" t="s">
        <v>361</v>
      </c>
      <c r="I58" s="88" t="s">
        <v>381</v>
      </c>
      <c r="J58" s="88" t="s">
        <v>382</v>
      </c>
      <c r="K58" s="88" t="s">
        <v>363</v>
      </c>
      <c r="L58" s="88" t="s">
        <v>383</v>
      </c>
      <c r="M58" s="88" t="s">
        <v>384</v>
      </c>
      <c r="N58" s="88" t="s">
        <v>385</v>
      </c>
      <c r="O58" s="88" t="s">
        <v>386</v>
      </c>
      <c r="P58" s="88" t="s">
        <v>387</v>
      </c>
      <c r="Q58" s="88" t="s">
        <v>388</v>
      </c>
      <c r="R58" s="88" t="s">
        <v>367</v>
      </c>
      <c r="S58" s="88" t="s">
        <v>368</v>
      </c>
      <c r="T58" s="88" t="s">
        <v>389</v>
      </c>
      <c r="U58" s="88" t="s">
        <v>390</v>
      </c>
      <c r="V58" s="88" t="s">
        <v>391</v>
      </c>
      <c r="W58" s="88" t="s">
        <v>392</v>
      </c>
      <c r="X58" s="88" t="s">
        <v>369</v>
      </c>
      <c r="Y58" s="88" t="s">
        <v>371</v>
      </c>
      <c r="Z58" s="88" t="s">
        <v>372</v>
      </c>
      <c r="AA58" s="88" t="s">
        <v>393</v>
      </c>
      <c r="AB58" s="88" t="s">
        <v>394</v>
      </c>
      <c r="AC58" s="88" t="s">
        <v>374</v>
      </c>
      <c r="AD58" s="88" t="s">
        <v>395</v>
      </c>
      <c r="AE58" s="88" t="s">
        <v>396</v>
      </c>
      <c r="AF58" s="88" t="s">
        <v>397</v>
      </c>
      <c r="AG58" s="88" t="s">
        <v>398</v>
      </c>
      <c r="AH58" s="88" t="s">
        <v>399</v>
      </c>
      <c r="AI58" s="88" t="s">
        <v>400</v>
      </c>
      <c r="AJ58" s="88" t="s">
        <v>401</v>
      </c>
      <c r="AK58" s="88" t="s">
        <v>402</v>
      </c>
    </row>
    <row r="59" spans="1:37" x14ac:dyDescent="0.35">
      <c r="A59" t="s">
        <v>294</v>
      </c>
    </row>
    <row r="60" spans="1:37" x14ac:dyDescent="0.35">
      <c r="A60" t="s">
        <v>5</v>
      </c>
    </row>
    <row r="61" spans="1:37" x14ac:dyDescent="0.35">
      <c r="B61" t="s">
        <v>249</v>
      </c>
      <c r="C61">
        <f>LCI_IC!$E4*'IW+_end'!C2</f>
        <v>0.29375833601169027</v>
      </c>
      <c r="D61">
        <f>LCI_IC!$E4*'IW+_end'!D2</f>
        <v>8.9990845888640369E-2</v>
      </c>
      <c r="E61">
        <f>LCI_IC!$E4*'IW+_end'!E2</f>
        <v>3.9589730007048797E-6</v>
      </c>
      <c r="F61">
        <f>LCI_IC!$E4*'IW+_end'!F2</f>
        <v>1.2128041505843192E-6</v>
      </c>
      <c r="G61">
        <f>LCI_IC!$E4*'IW+_end'!G2</f>
        <v>9.0040097542142219E-20</v>
      </c>
      <c r="H61">
        <f>LCI_IC!$E4*'IW+_end'!H2</f>
        <v>5.1931114803604956E-3</v>
      </c>
      <c r="I61">
        <f>LCI_IC!$E4*'IW+_end'!I2</f>
        <v>0.24839018720173295</v>
      </c>
      <c r="J61">
        <f>LCI_IC!$E4*'IW+_end'!J2</f>
        <v>1.234083364332369E-2</v>
      </c>
      <c r="K61">
        <f>LCI_IC!$E4*'IW+_end'!K2</f>
        <v>2.1439753416220663E-5</v>
      </c>
      <c r="L61">
        <f>LCI_IC!$E4*'IW+_end'!L2</f>
        <v>8.7015032149142414E-9</v>
      </c>
      <c r="M61">
        <f>LCI_IC!$E4*'IW+_end'!M2</f>
        <v>1.6596905236710246E-7</v>
      </c>
      <c r="N61">
        <f>LCI_IC!$E4*'IW+_end'!N2</f>
        <v>1.9676602640470916E-7</v>
      </c>
      <c r="O61">
        <f>LCI_IC!$E4*'IW+_end'!O2</f>
        <v>1.0474046667854858E-7</v>
      </c>
      <c r="P61">
        <f>LCI_IC!$E4*'IW+_end'!P2</f>
        <v>4.1389310905179983E-9</v>
      </c>
      <c r="Q61">
        <f>LCI_IC!$E4*'IW+_end'!Q2</f>
        <v>1.2763337153218512E-7</v>
      </c>
      <c r="R61">
        <f>LCI_IC!$E4*'IW+_end'!R2</f>
        <v>1.6534106080479432E-2</v>
      </c>
      <c r="S61">
        <f>LCI_IC!$E4*'IW+_end'!S2</f>
        <v>1.1656841267618703E-2</v>
      </c>
      <c r="T61">
        <f>LCI_IC!$E4*'IW+_end'!T2</f>
        <v>0.10249049260823448</v>
      </c>
      <c r="U61">
        <f>LCI_IC!$E4*'IW+_end'!U2</f>
        <v>1.1125576504552512E-2</v>
      </c>
      <c r="V61">
        <f>LCI_IC!$E4*'IW+_end'!V2</f>
        <v>9.6489525909131685E-7</v>
      </c>
      <c r="W61">
        <f>LCI_IC!$E4*'IW+_end'!W2</f>
        <v>2.6554776215088471E-7</v>
      </c>
      <c r="X61">
        <f>LCI_IC!$E4*'IW+_end'!X2</f>
        <v>6.7963986332143073E-4</v>
      </c>
      <c r="Y61">
        <f>LCI_IC!$E4*'IW+_end'!Y2</f>
        <v>4.6233568878889853E-11</v>
      </c>
      <c r="Z61">
        <f>LCI_IC!$E4*'IW+_end'!Z2</f>
        <v>3.7424948947123667E-7</v>
      </c>
      <c r="AA61">
        <f>LCI_IC!$E4*'IW+_end'!AA2</f>
        <v>1.5755418847462184E-2</v>
      </c>
      <c r="AB61">
        <f>LCI_IC!$E4*'IW+_end'!AB2</f>
        <v>1.5662117661554336E-9</v>
      </c>
      <c r="AC61">
        <f>LCI_IC!$E4*'IW+_end'!AC2</f>
        <v>3.4269056902659287E-2</v>
      </c>
      <c r="AD61">
        <f>LCI_IC!$E4*'IW+_end'!AD2</f>
        <v>3.5220034139757453E-2</v>
      </c>
      <c r="AE61">
        <f>LCI_IC!$E4*'IW+_end'!AE2</f>
        <v>9.6924933185072934E-3</v>
      </c>
      <c r="AF61">
        <f>LCI_IC!$E4*'IW+_end'!AF2</f>
        <v>1.9004186679781043E-3</v>
      </c>
      <c r="AG61">
        <f>LCI_IC!$E4*'IW+_end'!AG2</f>
        <v>0.88904487549306932</v>
      </c>
      <c r="AH61">
        <f>LCI_IC!$E4*'IW+_end'!AH2</f>
        <v>7.3843049600713193E-6</v>
      </c>
      <c r="AI61">
        <f>LCI_IC!$E4*'IW+_end'!AI2</f>
        <v>1.0093591977195651E-5</v>
      </c>
      <c r="AJ61">
        <f>LCI_IC!$E4*'IW+_end'!AJ2</f>
        <v>1.2328554537785757E-6</v>
      </c>
      <c r="AK61">
        <f>LCI_IC!$E4*'IW+_end'!AK2</f>
        <v>1.4715139405635514E-5</v>
      </c>
    </row>
    <row r="62" spans="1:37" x14ac:dyDescent="0.35">
      <c r="B62" t="s">
        <v>250</v>
      </c>
      <c r="C62">
        <f>LCI_IC!$E5*'IW+_end'!C3</f>
        <v>0</v>
      </c>
      <c r="D62">
        <f>LCI_IC!$E5*'IW+_end'!D3</f>
        <v>0</v>
      </c>
      <c r="E62">
        <f>LCI_IC!$E5*'IW+_end'!E3</f>
        <v>0</v>
      </c>
      <c r="F62">
        <f>LCI_IC!$E5*'IW+_end'!F3</f>
        <v>0</v>
      </c>
      <c r="G62">
        <f>LCI_IC!$E5*'IW+_end'!G3</f>
        <v>0</v>
      </c>
      <c r="H62">
        <f>LCI_IC!$E5*'IW+_end'!H3</f>
        <v>0</v>
      </c>
      <c r="I62">
        <f>LCI_IC!$E5*'IW+_end'!I3</f>
        <v>0</v>
      </c>
      <c r="J62">
        <f>LCI_IC!$E5*'IW+_end'!J3</f>
        <v>0</v>
      </c>
      <c r="K62">
        <f>LCI_IC!$E5*'IW+_end'!K3</f>
        <v>0</v>
      </c>
      <c r="L62">
        <f>LCI_IC!$E5*'IW+_end'!L3</f>
        <v>0</v>
      </c>
      <c r="M62">
        <f>LCI_IC!$E5*'IW+_end'!M3</f>
        <v>0</v>
      </c>
      <c r="N62">
        <f>LCI_IC!$E5*'IW+_end'!N3</f>
        <v>0</v>
      </c>
      <c r="O62">
        <f>LCI_IC!$E5*'IW+_end'!O3</f>
        <v>0</v>
      </c>
      <c r="P62">
        <f>LCI_IC!$E5*'IW+_end'!P3</f>
        <v>0</v>
      </c>
      <c r="Q62">
        <f>LCI_IC!$E5*'IW+_end'!Q3</f>
        <v>0</v>
      </c>
      <c r="R62">
        <f>LCI_IC!$E5*'IW+_end'!R3</f>
        <v>0</v>
      </c>
      <c r="S62">
        <f>LCI_IC!$E5*'IW+_end'!S3</f>
        <v>0</v>
      </c>
      <c r="T62">
        <f>LCI_IC!$E5*'IW+_end'!T3</f>
        <v>0</v>
      </c>
      <c r="U62">
        <f>LCI_IC!$E5*'IW+_end'!U3</f>
        <v>0</v>
      </c>
      <c r="V62">
        <f>LCI_IC!$E5*'IW+_end'!V3</f>
        <v>0</v>
      </c>
      <c r="W62">
        <f>LCI_IC!$E5*'IW+_end'!W3</f>
        <v>0</v>
      </c>
      <c r="X62">
        <f>LCI_IC!$E5*'IW+_end'!X3</f>
        <v>0</v>
      </c>
      <c r="Y62">
        <f>LCI_IC!$E5*'IW+_end'!Y3</f>
        <v>0</v>
      </c>
      <c r="Z62">
        <f>LCI_IC!$E5*'IW+_end'!Z3</f>
        <v>0</v>
      </c>
      <c r="AA62">
        <f>LCI_IC!$E5*'IW+_end'!AA3</f>
        <v>0</v>
      </c>
      <c r="AB62">
        <f>LCI_IC!$E5*'IW+_end'!AB3</f>
        <v>0</v>
      </c>
      <c r="AC62">
        <f>LCI_IC!$E5*'IW+_end'!AC3</f>
        <v>0</v>
      </c>
      <c r="AD62">
        <f>LCI_IC!$E5*'IW+_end'!AD3</f>
        <v>0</v>
      </c>
      <c r="AE62">
        <f>LCI_IC!$E5*'IW+_end'!AE3</f>
        <v>0</v>
      </c>
      <c r="AF62">
        <f>LCI_IC!$E5*'IW+_end'!AF3</f>
        <v>0</v>
      </c>
      <c r="AG62">
        <f>LCI_IC!$E5*'IW+_end'!AG3</f>
        <v>0</v>
      </c>
      <c r="AH62">
        <f>LCI_IC!$E5*'IW+_end'!AH3</f>
        <v>0</v>
      </c>
      <c r="AI62">
        <f>LCI_IC!$E5*'IW+_end'!AI3</f>
        <v>0</v>
      </c>
      <c r="AJ62">
        <f>LCI_IC!$E5*'IW+_end'!AJ3</f>
        <v>0</v>
      </c>
      <c r="AK62">
        <f>LCI_IC!$E5*'IW+_end'!AK3</f>
        <v>0</v>
      </c>
    </row>
    <row r="63" spans="1:37" x14ac:dyDescent="0.35">
      <c r="A63" t="s">
        <v>235</v>
      </c>
    </row>
    <row r="64" spans="1:37" x14ac:dyDescent="0.35">
      <c r="B64" t="s">
        <v>286</v>
      </c>
      <c r="C64" s="5">
        <f>LCI_IC!$E8*'IW+_end'!C5</f>
        <v>0.1642293381452089</v>
      </c>
      <c r="D64" s="5">
        <f>LCI_IC!$E8*'IW+_end'!D5</f>
        <v>5.0160114465116465E-2</v>
      </c>
      <c r="E64" s="5">
        <f>LCI_IC!$E8*'IW+_end'!E5</f>
        <v>2.2133142652831479E-6</v>
      </c>
      <c r="F64" s="5">
        <f>LCI_IC!$E8*'IW+_end'!F5</f>
        <v>6.7600648061868024E-7</v>
      </c>
      <c r="G64" s="5">
        <f>LCI_IC!$E8*'IW+_end'!G5</f>
        <v>3.4259653114390555E-19</v>
      </c>
      <c r="H64" s="5">
        <f>LCI_IC!$E8*'IW+_end'!H5</f>
        <v>1.9088748614477355E-3</v>
      </c>
      <c r="I64" s="5">
        <f>LCI_IC!$E8*'IW+_end'!I5</f>
        <v>2.1165975185515697E-2</v>
      </c>
      <c r="J64" s="5">
        <f>LCI_IC!$E8*'IW+_end'!J5</f>
        <v>7.7842440064621963E-3</v>
      </c>
      <c r="K64" s="5">
        <f>LCI_IC!$E8*'IW+_end'!K5</f>
        <v>1.2090234903629117E-5</v>
      </c>
      <c r="L64" s="5">
        <f>LCI_IC!$E8*'IW+_end'!L5</f>
        <v>1.3807900143766815E-9</v>
      </c>
      <c r="M64" s="5">
        <f>LCI_IC!$E8*'IW+_end'!M5</f>
        <v>7.8521018154124293E-8</v>
      </c>
      <c r="N64" s="5">
        <f>LCI_IC!$E8*'IW+_end'!N5</f>
        <v>5.1916740498462542E-8</v>
      </c>
      <c r="O64" s="5">
        <f>LCI_IC!$E8*'IW+_end'!O5</f>
        <v>3.4957298081958831E-8</v>
      </c>
      <c r="P64" s="5">
        <f>LCI_IC!$E8*'IW+_end'!P5</f>
        <v>1.6087202212299374E-11</v>
      </c>
      <c r="Q64" s="5">
        <f>LCI_IC!$E8*'IW+_end'!Q5</f>
        <v>1.9821700798180701E-10</v>
      </c>
      <c r="R64" s="5">
        <f>LCI_IC!$E8*'IW+_end'!R5</f>
        <v>9.3882236600461508E-3</v>
      </c>
      <c r="S64" s="5">
        <f>LCI_IC!$E8*'IW+_end'!S5</f>
        <v>1.0847515163367839E-2</v>
      </c>
      <c r="T64" s="5">
        <f>LCI_IC!$E8*'IW+_end'!T5</f>
        <v>5.9340583237830792E-2</v>
      </c>
      <c r="U64" s="5">
        <f>LCI_IC!$E8*'IW+_end'!U5</f>
        <v>6.4415394809225063E-3</v>
      </c>
      <c r="V64" s="5">
        <f>LCI_IC!$E8*'IW+_end'!V5</f>
        <v>2.2361093064658549E-8</v>
      </c>
      <c r="W64" s="5">
        <f>LCI_IC!$E8*'IW+_end'!W5</f>
        <v>1.8378519819012135E-8</v>
      </c>
      <c r="X64" s="5">
        <f>LCI_IC!$E8*'IW+_end'!X5</f>
        <v>4.9087972213900696E-4</v>
      </c>
      <c r="Y64" s="5">
        <f>LCI_IC!$E8*'IW+_end'!Y5</f>
        <v>1.4130656214684504E-11</v>
      </c>
      <c r="Z64" s="5">
        <f>LCI_IC!$E8*'IW+_end'!Z5</f>
        <v>2.3089230034193365E-7</v>
      </c>
      <c r="AA64" s="5">
        <f>LCI_IC!$E8*'IW+_end'!AA5</f>
        <v>1.24610140420619E-2</v>
      </c>
      <c r="AB64" s="5">
        <f>LCI_IC!$E8*'IW+_end'!AB5</f>
        <v>1.2166988717580699E-9</v>
      </c>
      <c r="AC64" s="5">
        <f>LCI_IC!$E8*'IW+_end'!AC5</f>
        <v>1.357355809150523E-2</v>
      </c>
      <c r="AD64" s="5">
        <f>LCI_IC!$E8*'IW+_end'!AD5</f>
        <v>8.1619861313748173E-4</v>
      </c>
      <c r="AE64" s="5">
        <f>LCI_IC!$E8*'IW+_end'!AE5</f>
        <v>6.7081597339394266E-4</v>
      </c>
      <c r="AF64" s="5">
        <f>LCI_IC!$E8*'IW+_end'!AF5</f>
        <v>1.5428172135718716E-5</v>
      </c>
      <c r="AG64" s="5">
        <f>LCI_IC!$E8*'IW+_end'!AG5</f>
        <v>0.35931316945148462</v>
      </c>
      <c r="AH64" s="5">
        <f>LCI_IC!$E8*'IW+_end'!AH5</f>
        <v>3.3268199102587953E-6</v>
      </c>
      <c r="AI64" s="5">
        <f>LCI_IC!$E8*'IW+_end'!AI5</f>
        <v>3.14403300469906E-7</v>
      </c>
      <c r="AJ64" s="5">
        <f>LCI_IC!$E8*'IW+_end'!AJ5</f>
        <v>3.8401970730154165E-8</v>
      </c>
      <c r="AK64" s="5">
        <f>LCI_IC!$E8*'IW+_end'!AK5</f>
        <v>6.4212372885133327E-6</v>
      </c>
    </row>
    <row r="65" spans="1:43" x14ac:dyDescent="0.35">
      <c r="B65" t="s">
        <v>235</v>
      </c>
      <c r="C65">
        <f>LCI_IC!$E7*'IW+_end'!C4</f>
        <v>2.8461745710597834</v>
      </c>
      <c r="D65">
        <f>LCI_IC!$E7*'IW+_end'!D4</f>
        <v>1.1214611679069222</v>
      </c>
      <c r="E65">
        <f>LCI_IC!$E7*'IW+_end'!E4</f>
        <v>3.8357816275450525E-5</v>
      </c>
      <c r="F65">
        <f>LCI_IC!$E7*'IW+_end'!F4</f>
        <v>1.5113901261020833E-5</v>
      </c>
      <c r="G65">
        <f>LCI_IC!$E7*'IW+_end'!G4</f>
        <v>1.3417014761931066E-18</v>
      </c>
      <c r="H65">
        <f>LCI_IC!$E7*'IW+_end'!H4</f>
        <v>7.0661974280644954E-2</v>
      </c>
      <c r="I65">
        <f>LCI_IC!$E7*'IW+_end'!I4</f>
        <v>0.93416719125512804</v>
      </c>
      <c r="J65">
        <f>LCI_IC!$E7*'IW+_end'!J4</f>
        <v>0.11947233209536294</v>
      </c>
      <c r="K65">
        <f>LCI_IC!$E7*'IW+_end'!K4</f>
        <v>5.8252778621848689E-3</v>
      </c>
      <c r="L65">
        <f>LCI_IC!$E7*'IW+_end'!L4</f>
        <v>7.543227881230801E-8</v>
      </c>
      <c r="M65">
        <f>LCI_IC!$E7*'IW+_end'!M4</f>
        <v>9.2358423028085057E-6</v>
      </c>
      <c r="N65">
        <f>LCI_IC!$E7*'IW+_end'!N4</f>
        <v>2.0141902382323624E-6</v>
      </c>
      <c r="O65">
        <f>LCI_IC!$E7*'IW+_end'!O4</f>
        <v>2.073338334217323E-5</v>
      </c>
      <c r="P65">
        <f>LCI_IC!$E7*'IW+_end'!P4</f>
        <v>1.6721138820675336E-10</v>
      </c>
      <c r="Q65">
        <f>LCI_IC!$E7*'IW+_end'!Q4</f>
        <v>2.5414819458518307E-9</v>
      </c>
      <c r="R65">
        <f>LCI_IC!$E7*'IW+_end'!R4</f>
        <v>0.10325709629067527</v>
      </c>
      <c r="S65">
        <f>LCI_IC!$E7*'IW+_end'!S4</f>
        <v>0.20192306813671582</v>
      </c>
      <c r="T65">
        <f>LCI_IC!$E7*'IW+_end'!T4</f>
        <v>0.81381304343515604</v>
      </c>
      <c r="U65">
        <f>LCI_IC!$E7*'IW+_end'!U4</f>
        <v>8.8340903369667073E-2</v>
      </c>
      <c r="V65">
        <f>LCI_IC!$E7*'IW+_end'!V4</f>
        <v>4.1790110398157114E-7</v>
      </c>
      <c r="W65">
        <f>LCI_IC!$E7*'IW+_end'!W4</f>
        <v>9.1166986820938597E-7</v>
      </c>
      <c r="X65">
        <f>LCI_IC!$E7*'IW+_end'!X4</f>
        <v>3.6914893888666471E-2</v>
      </c>
      <c r="Y65">
        <f>LCI_IC!$E7*'IW+_end'!Y4</f>
        <v>3.4271490621614475E-10</v>
      </c>
      <c r="Z65">
        <f>LCI_IC!$E7*'IW+_end'!Z4</f>
        <v>8.8111435597395313E-6</v>
      </c>
      <c r="AA65">
        <f>LCI_IC!$E7*'IW+_end'!AA4</f>
        <v>0.52310036021523809</v>
      </c>
      <c r="AB65">
        <f>LCI_IC!$E7*'IW+_end'!AB4</f>
        <v>5.3982752056258097E-8</v>
      </c>
      <c r="AC65">
        <f>LCI_IC!$E7*'IW+_end'!AC4</f>
        <v>0.52930584039175488</v>
      </c>
      <c r="AD65">
        <f>LCI_IC!$E7*'IW+_end'!AD4</f>
        <v>1.5262636374080941E-2</v>
      </c>
      <c r="AE65">
        <f>LCI_IC!$E7*'IW+_end'!AE4</f>
        <v>3.3275950189642592E-2</v>
      </c>
      <c r="AF65">
        <f>LCI_IC!$E7*'IW+_end'!AF4</f>
        <v>3.8173633035694057E-4</v>
      </c>
      <c r="AG65">
        <f>LCI_IC!$E7*'IW+_end'!AG4</f>
        <v>7.4436332210323055</v>
      </c>
      <c r="AH65">
        <f>LCI_IC!$E7*'IW+_end'!AH4</f>
        <v>1.04168902179637E-4</v>
      </c>
      <c r="AI65">
        <f>LCI_IC!$E7*'IW+_end'!AI4</f>
        <v>7.999127841649449E-5</v>
      </c>
      <c r="AJ65">
        <f>LCI_IC!$E7*'IW+_end'!AJ4</f>
        <v>9.7703259724914291E-6</v>
      </c>
      <c r="AK65">
        <f>LCI_IC!$E7*'IW+_end'!AK4</f>
        <v>2.1385693372968594E-4</v>
      </c>
    </row>
    <row r="66" spans="1:43" x14ac:dyDescent="0.35">
      <c r="A66" t="s">
        <v>300</v>
      </c>
    </row>
    <row r="67" spans="1:43" x14ac:dyDescent="0.35">
      <c r="B67" t="s">
        <v>301</v>
      </c>
      <c r="C67">
        <f>LCI_IC!$E10*'IW+_end'!C35</f>
        <v>1.639546218529585</v>
      </c>
      <c r="D67">
        <f>LCI_IC!$E10*'IW+_end'!D35</f>
        <v>0.50112891249836111</v>
      </c>
      <c r="E67">
        <f>LCI_IC!$E10*'IW+_end'!E35</f>
        <v>2.2096119213815607E-5</v>
      </c>
      <c r="F67">
        <f>LCI_IC!$E10*'IW+_end'!F35</f>
        <v>6.753700546474559E-6</v>
      </c>
      <c r="G67">
        <f>LCI_IC!$E10*'IW+_end'!G35</f>
        <v>4.3333901754761425E-18</v>
      </c>
      <c r="H67">
        <f>LCI_IC!$E10*'IW+_end'!H35</f>
        <v>2.495593568506508E-2</v>
      </c>
      <c r="I67">
        <f>LCI_IC!$E10*'IW+_end'!I35</f>
        <v>0.39389429210808058</v>
      </c>
      <c r="J67">
        <f>LCI_IC!$E10*'IW+_end'!J35</f>
        <v>6.7029319550731117E-2</v>
      </c>
      <c r="K67">
        <f>LCI_IC!$E10*'IW+_end'!K35</f>
        <v>1.3227472847376623E-2</v>
      </c>
      <c r="L67">
        <f>LCI_IC!$E10*'IW+_end'!L35</f>
        <v>1.2741441376363931E-8</v>
      </c>
      <c r="M67">
        <f>LCI_IC!$E10*'IW+_end'!M35</f>
        <v>1.0361858495461141E-6</v>
      </c>
      <c r="N67">
        <f>LCI_IC!$E10*'IW+_end'!N35</f>
        <v>4.2094923747696886E-7</v>
      </c>
      <c r="O67">
        <f>LCI_IC!$E10*'IW+_end'!O35</f>
        <v>2.7379013551440849E-7</v>
      </c>
      <c r="P67">
        <f>LCI_IC!$E10*'IW+_end'!P35</f>
        <v>5.7739233933437292E-10</v>
      </c>
      <c r="Q67">
        <f>LCI_IC!$E10*'IW+_end'!Q35</f>
        <v>1.0136355764856495E-8</v>
      </c>
      <c r="R67">
        <f>LCI_IC!$E10*'IW+_end'!R35</f>
        <v>24.23257003073666</v>
      </c>
      <c r="S67">
        <f>LCI_IC!$E10*'IW+_end'!S35</f>
        <v>0.18275150808402318</v>
      </c>
      <c r="T67">
        <f>LCI_IC!$E10*'IW+_end'!T35</f>
        <v>0.60026385749342459</v>
      </c>
      <c r="U67">
        <f>LCI_IC!$E10*'IW+_end'!U35</f>
        <v>6.5157375370135551E-2</v>
      </c>
      <c r="V67">
        <f>LCI_IC!$E10*'IW+_end'!V35</f>
        <v>8.9773711251486744E-7</v>
      </c>
      <c r="W67">
        <f>LCI_IC!$E10*'IW+_end'!W35</f>
        <v>6.7295879022802748E-7</v>
      </c>
      <c r="X67">
        <f>LCI_IC!$E10*'IW+_end'!X35</f>
        <v>6.19419661143558E-3</v>
      </c>
      <c r="Y67">
        <f>LCI_IC!$E10*'IW+_end'!Y35</f>
        <v>1.3310269112425958E-10</v>
      </c>
      <c r="Z67">
        <f>LCI_IC!$E10*'IW+_end'!Z35</f>
        <v>2.3213179468259162E-6</v>
      </c>
      <c r="AA67">
        <f>LCI_IC!$E10*'IW+_end'!AA35</f>
        <v>0.19734284744008171</v>
      </c>
      <c r="AB67">
        <f>LCI_IC!$E10*'IW+_end'!AB35</f>
        <v>1.8567087746188296E-8</v>
      </c>
      <c r="AC67">
        <f>LCI_IC!$E10*'IW+_end'!AC35</f>
        <v>0.18042544447611356</v>
      </c>
      <c r="AD67">
        <f>LCI_IC!$E10*'IW+_end'!AD35</f>
        <v>3.2768020775961776E-2</v>
      </c>
      <c r="AE67">
        <f>LCI_IC!$E10*'IW+_end'!AE35</f>
        <v>2.4562995843323009E-2</v>
      </c>
      <c r="AF67">
        <f>LCI_IC!$E10*'IW+_end'!AF35</f>
        <v>6.4059721338951951E-4</v>
      </c>
      <c r="AG67">
        <f>LCI_IC!$E10*'IW+_end'!AG35</f>
        <v>28.162732396030638</v>
      </c>
      <c r="AH67">
        <f>LCI_IC!$E10*'IW+_end'!AH35</f>
        <v>3.4046714515457196E-5</v>
      </c>
      <c r="AI67">
        <f>LCI_IC!$E10*'IW+_end'!AI35</f>
        <v>9.0310464111356095E-6</v>
      </c>
      <c r="AJ67">
        <f>LCI_IC!$E10*'IW+_end'!AJ35</f>
        <v>1.1030735982248163E-6</v>
      </c>
      <c r="AK67">
        <f>LCI_IC!$E10*'IW+_end'!AK35</f>
        <v>2.6276844716575351E-4</v>
      </c>
    </row>
    <row r="68" spans="1:43" x14ac:dyDescent="0.35">
      <c r="A68" t="s">
        <v>302</v>
      </c>
    </row>
    <row r="69" spans="1:43" x14ac:dyDescent="0.35">
      <c r="B69" t="s">
        <v>96</v>
      </c>
      <c r="C69">
        <f>LCI_IC!$E13*'IW+_end'!C12</f>
        <v>8.7490211685808825E-2</v>
      </c>
      <c r="D69">
        <f>LCI_IC!$E13*'IW+_end'!D12</f>
        <v>0.33228107715643329</v>
      </c>
      <c r="E69">
        <f>LCI_IC!$E13*'IW+_end'!E12</f>
        <v>1.1791031723310412E-6</v>
      </c>
      <c r="F69">
        <f>LCI_IC!$E13*'IW+_end'!F12</f>
        <v>4.4781471550199997E-6</v>
      </c>
      <c r="G69">
        <f>LCI_IC!$E13*'IW+_end'!G12</f>
        <v>0</v>
      </c>
      <c r="H69">
        <f>LCI_IC!$E13*'IW+_end'!H12</f>
        <v>0</v>
      </c>
      <c r="I69">
        <f>LCI_IC!$E13*'IW+_end'!I12</f>
        <v>0</v>
      </c>
      <c r="J69">
        <f>LCI_IC!$E13*'IW+_end'!J12</f>
        <v>0</v>
      </c>
      <c r="K69">
        <f>LCI_IC!$E13*'IW+_end'!K12</f>
        <v>0</v>
      </c>
      <c r="L69">
        <f>LCI_IC!$E13*'IW+_end'!L12</f>
        <v>0</v>
      </c>
      <c r="M69">
        <f>LCI_IC!$E13*'IW+_end'!M12</f>
        <v>0</v>
      </c>
      <c r="N69">
        <f>LCI_IC!$E13*'IW+_end'!N12</f>
        <v>0</v>
      </c>
      <c r="O69">
        <f>LCI_IC!$E13*'IW+_end'!O12</f>
        <v>0</v>
      </c>
      <c r="P69">
        <f>LCI_IC!$E13*'IW+_end'!P12</f>
        <v>0</v>
      </c>
      <c r="Q69">
        <f>LCI_IC!$E13*'IW+_end'!Q12</f>
        <v>0</v>
      </c>
      <c r="R69">
        <f>LCI_IC!$E13*'IW+_end'!R12</f>
        <v>0</v>
      </c>
      <c r="S69">
        <f>LCI_IC!$E13*'IW+_end'!S12</f>
        <v>0</v>
      </c>
      <c r="T69">
        <f>LCI_IC!$E13*'IW+_end'!T12</f>
        <v>0</v>
      </c>
      <c r="U69">
        <f>LCI_IC!$E13*'IW+_end'!U12</f>
        <v>0</v>
      </c>
      <c r="V69">
        <f>LCI_IC!$E13*'IW+_end'!V12</f>
        <v>0</v>
      </c>
      <c r="W69">
        <f>LCI_IC!$E13*'IW+_end'!W12</f>
        <v>0</v>
      </c>
      <c r="X69">
        <f>LCI_IC!$E13*'IW+_end'!X12</f>
        <v>0</v>
      </c>
      <c r="Y69">
        <f>LCI_IC!$E13*'IW+_end'!Y12</f>
        <v>0</v>
      </c>
      <c r="Z69">
        <f>LCI_IC!$E13*'IW+_end'!Z12</f>
        <v>0</v>
      </c>
      <c r="AA69">
        <f>LCI_IC!$E13*'IW+_end'!AA12</f>
        <v>0</v>
      </c>
      <c r="AB69">
        <f>LCI_IC!$E13*'IW+_end'!AB12</f>
        <v>0</v>
      </c>
      <c r="AC69">
        <f>LCI_IC!$E13*'IW+_end'!AC12</f>
        <v>0</v>
      </c>
      <c r="AD69">
        <f>LCI_IC!$E13*'IW+_end'!AD12</f>
        <v>0</v>
      </c>
      <c r="AE69">
        <f>LCI_IC!$E13*'IW+_end'!AE12</f>
        <v>0</v>
      </c>
      <c r="AF69">
        <f>LCI_IC!$E13*'IW+_end'!AF12</f>
        <v>0</v>
      </c>
      <c r="AG69">
        <f>LCI_IC!$E13*'IW+_end'!AG12</f>
        <v>0.41977128884224213</v>
      </c>
      <c r="AH69">
        <f>LCI_IC!$E13*'IW+_end'!AH12</f>
        <v>5.6572503273214794E-6</v>
      </c>
      <c r="AI69">
        <f>LCI_IC!$E13*'IW+_end'!AI12</f>
        <v>0</v>
      </c>
      <c r="AJ69">
        <f>LCI_IC!$E13*'IW+_end'!AJ12</f>
        <v>0</v>
      </c>
      <c r="AK69">
        <f>LCI_IC!$E13*'IW+_end'!AK12</f>
        <v>0</v>
      </c>
    </row>
    <row r="70" spans="1:43" x14ac:dyDescent="0.35">
      <c r="B70" t="s">
        <v>110</v>
      </c>
      <c r="C70" s="5">
        <f>LCI_IC!$E14*'IW+_end'!C18</f>
        <v>0</v>
      </c>
      <c r="D70" s="5">
        <f>LCI_IC!$E14*'IW+_end'!D18</f>
        <v>0</v>
      </c>
      <c r="E70" s="5">
        <f>LCI_IC!$E14*'IW+_end'!E18</f>
        <v>0</v>
      </c>
      <c r="F70" s="5">
        <f>LCI_IC!$E14*'IW+_end'!F18</f>
        <v>0</v>
      </c>
      <c r="G70" s="5">
        <f>LCI_IC!$E14*'IW+_end'!G18</f>
        <v>0</v>
      </c>
      <c r="H70" s="5">
        <f>LCI_IC!$E14*'IW+_end'!H18</f>
        <v>0.35688626153808867</v>
      </c>
      <c r="I70" s="5">
        <f>LCI_IC!$E14*'IW+_end'!I18</f>
        <v>0</v>
      </c>
      <c r="J70" s="5">
        <f>LCI_IC!$E14*'IW+_end'!J18</f>
        <v>0</v>
      </c>
      <c r="K70" s="5">
        <f>LCI_IC!$E14*'IW+_end'!K18</f>
        <v>0</v>
      </c>
      <c r="L70" s="5">
        <f>LCI_IC!$E14*'IW+_end'!L18</f>
        <v>0</v>
      </c>
      <c r="M70" s="5">
        <f>LCI_IC!$E14*'IW+_end'!M18</f>
        <v>0</v>
      </c>
      <c r="N70" s="5">
        <f>LCI_IC!$E14*'IW+_end'!N18</f>
        <v>0</v>
      </c>
      <c r="O70" s="5">
        <f>LCI_IC!$E14*'IW+_end'!O18</f>
        <v>0</v>
      </c>
      <c r="P70" s="5">
        <f>LCI_IC!$E14*'IW+_end'!P18</f>
        <v>0</v>
      </c>
      <c r="Q70" s="5">
        <f>LCI_IC!$E14*'IW+_end'!Q18</f>
        <v>0</v>
      </c>
      <c r="R70" s="5">
        <f>LCI_IC!$E14*'IW+_end'!R18</f>
        <v>0</v>
      </c>
      <c r="S70" s="5">
        <f>LCI_IC!$E14*'IW+_end'!S18</f>
        <v>0</v>
      </c>
      <c r="T70" s="5">
        <f>LCI_IC!$E14*'IW+_end'!T18</f>
        <v>0</v>
      </c>
      <c r="U70" s="5">
        <f>LCI_IC!$E14*'IW+_end'!U18</f>
        <v>0</v>
      </c>
      <c r="V70" s="5">
        <f>LCI_IC!$E14*'IW+_end'!V18</f>
        <v>0</v>
      </c>
      <c r="W70" s="5">
        <f>LCI_IC!$E14*'IW+_end'!W18</f>
        <v>0</v>
      </c>
      <c r="X70" s="5">
        <f>LCI_IC!$E14*'IW+_end'!X18</f>
        <v>0.13700751439928474</v>
      </c>
      <c r="Y70" s="5">
        <f>LCI_IC!$E14*'IW+_end'!Y18</f>
        <v>0</v>
      </c>
      <c r="Z70" s="5">
        <f>LCI_IC!$E14*'IW+_end'!Z18</f>
        <v>3.4282479064016783E-5</v>
      </c>
      <c r="AA70" s="5">
        <f>LCI_IC!$E14*'IW+_end'!AA18</f>
        <v>0</v>
      </c>
      <c r="AB70" s="5">
        <f>LCI_IC!$E14*'IW+_end'!AB18</f>
        <v>0</v>
      </c>
      <c r="AC70" s="5">
        <f>LCI_IC!$E14*'IW+_end'!AC18</f>
        <v>4.6012166934681247</v>
      </c>
      <c r="AD70" s="5">
        <f>LCI_IC!$E14*'IW+_end'!AD18</f>
        <v>0</v>
      </c>
      <c r="AE70" s="5">
        <f>LCI_IC!$E14*'IW+_end'!AE18</f>
        <v>0</v>
      </c>
      <c r="AF70" s="5">
        <f>LCI_IC!$E14*'IW+_end'!AF18</f>
        <v>0</v>
      </c>
      <c r="AG70" s="5">
        <f>LCI_IC!$E14*'IW+_end'!AG18</f>
        <v>5.0951104694054985</v>
      </c>
      <c r="AH70" s="5">
        <f>LCI_IC!$E14*'IW+_end'!AH18</f>
        <v>3.4282479063639921E-5</v>
      </c>
      <c r="AI70" s="5">
        <f>LCI_IC!$E14*'IW+_end'!AI18</f>
        <v>0</v>
      </c>
      <c r="AJ70" s="5">
        <f>LCI_IC!$E14*'IW+_end'!AJ18</f>
        <v>0</v>
      </c>
      <c r="AK70" s="5">
        <f>LCI_IC!$E14*'IW+_end'!AK18</f>
        <v>0</v>
      </c>
    </row>
    <row r="71" spans="1:43" x14ac:dyDescent="0.35">
      <c r="B71" t="s">
        <v>111</v>
      </c>
      <c r="C71">
        <f>LCI_IC!$E15*'IW+_end'!C20</f>
        <v>3.0559652145688294</v>
      </c>
      <c r="D71">
        <f>LCI_IC!$E15*'IW+_end'!D20</f>
        <v>2.2671796337825203</v>
      </c>
      <c r="E71">
        <f>LCI_IC!$E15*'IW+_end'!E20</f>
        <v>4.1185158997802283E-5</v>
      </c>
      <c r="F71">
        <f>LCI_IC!$E15*'IW+_end'!F20</f>
        <v>3.0554717458420595E-5</v>
      </c>
      <c r="G71">
        <f>LCI_IC!$E15*'IW+_end'!G20</f>
        <v>0</v>
      </c>
      <c r="H71">
        <f>LCI_IC!$E15*'IW+_end'!H20</f>
        <v>0</v>
      </c>
      <c r="I71">
        <f>LCI_IC!$E15*'IW+_end'!I20</f>
        <v>0</v>
      </c>
      <c r="J71">
        <f>LCI_IC!$E15*'IW+_end'!J20</f>
        <v>0</v>
      </c>
      <c r="K71">
        <f>LCI_IC!$E15*'IW+_end'!K20</f>
        <v>0</v>
      </c>
      <c r="L71">
        <f>LCI_IC!$E15*'IW+_end'!L20</f>
        <v>0</v>
      </c>
      <c r="M71">
        <f>LCI_IC!$E15*'IW+_end'!M20</f>
        <v>0</v>
      </c>
      <c r="N71">
        <f>LCI_IC!$E15*'IW+_end'!N20</f>
        <v>0</v>
      </c>
      <c r="O71">
        <f>LCI_IC!$E15*'IW+_end'!O20</f>
        <v>0</v>
      </c>
      <c r="P71">
        <f>LCI_IC!$E15*'IW+_end'!P20</f>
        <v>0</v>
      </c>
      <c r="Q71">
        <f>LCI_IC!$E15*'IW+_end'!Q20</f>
        <v>0</v>
      </c>
      <c r="R71">
        <f>LCI_IC!$E15*'IW+_end'!R20</f>
        <v>0</v>
      </c>
      <c r="S71">
        <f>LCI_IC!$E15*'IW+_end'!S20</f>
        <v>0</v>
      </c>
      <c r="T71">
        <f>LCI_IC!$E15*'IW+_end'!T20</f>
        <v>0</v>
      </c>
      <c r="U71">
        <f>LCI_IC!$E15*'IW+_end'!U20</f>
        <v>0</v>
      </c>
      <c r="V71">
        <f>LCI_IC!$E15*'IW+_end'!V20</f>
        <v>0</v>
      </c>
      <c r="W71">
        <f>LCI_IC!$E15*'IW+_end'!W20</f>
        <v>0</v>
      </c>
      <c r="X71">
        <f>LCI_IC!$E15*'IW+_end'!X20</f>
        <v>0</v>
      </c>
      <c r="Y71">
        <f>LCI_IC!$E15*'IW+_end'!Y20</f>
        <v>0</v>
      </c>
      <c r="Z71">
        <f>LCI_IC!$E15*'IW+_end'!Z20</f>
        <v>0</v>
      </c>
      <c r="AA71">
        <f>LCI_IC!$E15*'IW+_end'!AA20</f>
        <v>0</v>
      </c>
      <c r="AB71">
        <f>LCI_IC!$E15*'IW+_end'!AB20</f>
        <v>0</v>
      </c>
      <c r="AC71">
        <f>LCI_IC!$E15*'IW+_end'!AC20</f>
        <v>0</v>
      </c>
      <c r="AD71">
        <f>LCI_IC!$E15*'IW+_end'!AD20</f>
        <v>0</v>
      </c>
      <c r="AE71">
        <f>LCI_IC!$E15*'IW+_end'!AE20</f>
        <v>0</v>
      </c>
      <c r="AF71">
        <f>LCI_IC!$E15*'IW+_end'!AF20</f>
        <v>0</v>
      </c>
      <c r="AG71">
        <f>LCI_IC!$E15*'IW+_end'!AG20</f>
        <v>5.3231448483513493</v>
      </c>
      <c r="AH71">
        <f>LCI_IC!$E15*'IW+_end'!AH20</f>
        <v>7.1739876455951352E-5</v>
      </c>
      <c r="AI71">
        <f>LCI_IC!$E15*'IW+_end'!AI20</f>
        <v>0</v>
      </c>
      <c r="AJ71">
        <f>LCI_IC!$E15*'IW+_end'!AJ20</f>
        <v>0</v>
      </c>
      <c r="AK71">
        <f>LCI_IC!$E15*'IW+_end'!AK20</f>
        <v>0</v>
      </c>
    </row>
    <row r="72" spans="1:43" x14ac:dyDescent="0.35">
      <c r="B72" t="s">
        <v>249</v>
      </c>
      <c r="C72">
        <f>LCI_IC!$E17*'IW+_end'!C2</f>
        <v>0.2039824918397809</v>
      </c>
      <c r="D72">
        <f>LCI_IC!$E17*'IW+_end'!D2</f>
        <v>6.2488633467763302E-2</v>
      </c>
      <c r="E72">
        <f>LCI_IC!$E17*'IW+_end'!E2</f>
        <v>2.7490664223331478E-6</v>
      </c>
      <c r="F72">
        <f>LCI_IC!$E17*'IW+_end'!F2</f>
        <v>8.4215759153800914E-7</v>
      </c>
      <c r="G72">
        <f>LCI_IC!$E17*'IW+_end'!G2</f>
        <v>6.252283326323102E-20</v>
      </c>
      <c r="H72">
        <f>LCI_IC!$E17*'IW+_end'!H2</f>
        <v>3.606038332554933E-3</v>
      </c>
      <c r="I72">
        <f>LCI_IC!$E17*'IW+_end'!I2</f>
        <v>0.17247935844769632</v>
      </c>
      <c r="J72">
        <f>LCI_IC!$E17*'IW+_end'!J2</f>
        <v>8.5693363875985126E-3</v>
      </c>
      <c r="K72">
        <f>LCI_IC!$E17*'IW+_end'!K2</f>
        <v>1.4887524165772464E-5</v>
      </c>
      <c r="L72">
        <f>LCI_IC!$E17*'IW+_end'!L2</f>
        <v>6.0422261802961613E-9</v>
      </c>
      <c r="M72">
        <f>LCI_IC!$E17*'IW+_end'!M2</f>
        <v>1.1524704738517235E-7</v>
      </c>
      <c r="N72">
        <f>LCI_IC!$E17*'IW+_end'!N2</f>
        <v>1.3663212053954253E-7</v>
      </c>
      <c r="O72">
        <f>LCI_IC!$E17*'IW+_end'!O2</f>
        <v>7.2730604617469096E-8</v>
      </c>
      <c r="P72">
        <f>LCI_IC!$E17*'IW+_end'!P2</f>
        <v>2.8740273003296317E-9</v>
      </c>
      <c r="Q72">
        <f>LCI_IC!$E17*'IW+_end'!Q2</f>
        <v>8.862718083347123E-8</v>
      </c>
      <c r="R72">
        <f>LCI_IC!$E17*'IW+_end'!R2</f>
        <v>1.1481097709190627E-2</v>
      </c>
      <c r="S72">
        <f>LCI_IC!$E17*'IW+_end'!S2</f>
        <v>8.0943797579757122E-3</v>
      </c>
      <c r="T72">
        <f>LCI_IC!$E17*'IW+_end'!T2</f>
        <v>7.1168247873253002E-2</v>
      </c>
      <c r="U72">
        <f>LCI_IC!$E17*'IW+_end'!U2</f>
        <v>7.7254754685920739E-3</v>
      </c>
      <c r="V72">
        <f>LCI_IC!$E17*'IW+_end'!V2</f>
        <v>6.7001243942914083E-7</v>
      </c>
      <c r="W72">
        <f>LCI_IC!$E17*'IW+_end'!W2</f>
        <v>1.8439338594244798E-7</v>
      </c>
      <c r="X72">
        <f>LCI_IC!$E17*'IW+_end'!X2</f>
        <v>4.719342938694904E-4</v>
      </c>
      <c r="Y72">
        <f>LCI_IC!$E17*'IW+_end'!Y2</f>
        <v>3.2104071375822308E-11</v>
      </c>
      <c r="Z72">
        <f>LCI_IC!$E17*'IW+_end'!Z2</f>
        <v>2.5987464549455609E-7</v>
      </c>
      <c r="AA72">
        <f>LCI_IC!$E17*'IW+_end'!AA2</f>
        <v>1.0940386033358009E-2</v>
      </c>
      <c r="AB72">
        <f>LCI_IC!$E17*'IW+_end'!AB2</f>
        <v>1.0875598736931017E-9</v>
      </c>
      <c r="AC72">
        <f>LCI_IC!$E17*'IW+_end'!AC2</f>
        <v>2.3796048530604092E-2</v>
      </c>
      <c r="AD72">
        <f>LCI_IC!$E17*'IW+_end'!AD2</f>
        <v>2.4456396451755423E-2</v>
      </c>
      <c r="AE72">
        <f>LCI_IC!$E17*'IW+_end'!AE2</f>
        <v>6.7303585868993517E-3</v>
      </c>
      <c r="AF72">
        <f>LCI_IC!$E17*'IW+_end'!AF2</f>
        <v>1.3196293957002266E-3</v>
      </c>
      <c r="AG72">
        <f>LCI_IC!$E17*'IW+_end'!AG2</f>
        <v>0.61734278428526745</v>
      </c>
      <c r="AH72">
        <f>LCI_IC!$E17*'IW+_end'!AH2</f>
        <v>5.12757849431806E-6</v>
      </c>
      <c r="AI72">
        <f>LCI_IC!$E17*'IW+_end'!AI2</f>
        <v>7.0088769941849565E-6</v>
      </c>
      <c r="AJ72">
        <f>LCI_IC!$E17*'IW+_end'!AJ2</f>
        <v>8.5608099145145577E-7</v>
      </c>
      <c r="AK72">
        <f>LCI_IC!$E17*'IW+_end'!AK2</f>
        <v>1.0218027663432276E-5</v>
      </c>
    </row>
    <row r="73" spans="1:43" x14ac:dyDescent="0.35">
      <c r="A73" t="s">
        <v>351</v>
      </c>
    </row>
    <row r="74" spans="1:43" x14ac:dyDescent="0.35">
      <c r="B74" t="s">
        <v>110</v>
      </c>
      <c r="C74" s="5">
        <f>LCI_IC!$E19*'IW+_end'!C18</f>
        <v>0</v>
      </c>
      <c r="D74" s="5">
        <f>LCI_IC!$E19*'IW+_end'!D18</f>
        <v>0</v>
      </c>
      <c r="E74" s="5">
        <f>LCI_IC!$E19*'IW+_end'!E18</f>
        <v>0</v>
      </c>
      <c r="F74" s="5">
        <f>LCI_IC!$E19*'IW+_end'!F18</f>
        <v>0</v>
      </c>
      <c r="G74" s="5">
        <f>LCI_IC!$E19*'IW+_end'!G18</f>
        <v>0</v>
      </c>
      <c r="H74" s="5">
        <f>LCI_IC!$E19*'IW+_end'!H18</f>
        <v>0.52167445673855295</v>
      </c>
      <c r="I74" s="5">
        <f>LCI_IC!$E19*'IW+_end'!I18</f>
        <v>0</v>
      </c>
      <c r="J74" s="5">
        <f>LCI_IC!$E19*'IW+_end'!J18</f>
        <v>0</v>
      </c>
      <c r="K74" s="5">
        <f>LCI_IC!$E19*'IW+_end'!K18</f>
        <v>0</v>
      </c>
      <c r="L74" s="5">
        <f>LCI_IC!$E19*'IW+_end'!L18</f>
        <v>0</v>
      </c>
      <c r="M74" s="5">
        <f>LCI_IC!$E19*'IW+_end'!M18</f>
        <v>0</v>
      </c>
      <c r="N74" s="5">
        <f>LCI_IC!$E19*'IW+_end'!N18</f>
        <v>0</v>
      </c>
      <c r="O74" s="5">
        <f>LCI_IC!$E19*'IW+_end'!O18</f>
        <v>0</v>
      </c>
      <c r="P74" s="5">
        <f>LCI_IC!$E19*'IW+_end'!P18</f>
        <v>0</v>
      </c>
      <c r="Q74" s="5">
        <f>LCI_IC!$E19*'IW+_end'!Q18</f>
        <v>0</v>
      </c>
      <c r="R74" s="5">
        <f>LCI_IC!$E19*'IW+_end'!R18</f>
        <v>0</v>
      </c>
      <c r="S74" s="5">
        <f>LCI_IC!$E19*'IW+_end'!S18</f>
        <v>0</v>
      </c>
      <c r="T74" s="5">
        <f>LCI_IC!$E19*'IW+_end'!T18</f>
        <v>0</v>
      </c>
      <c r="U74" s="5">
        <f>LCI_IC!$E19*'IW+_end'!U18</f>
        <v>0</v>
      </c>
      <c r="V74" s="5">
        <f>LCI_IC!$E19*'IW+_end'!V18</f>
        <v>0</v>
      </c>
      <c r="W74" s="5">
        <f>LCI_IC!$E19*'IW+_end'!W18</f>
        <v>0</v>
      </c>
      <c r="X74" s="5">
        <f>LCI_IC!$E19*'IW+_end'!X18</f>
        <v>0.20026918474057975</v>
      </c>
      <c r="Y74" s="5">
        <f>LCI_IC!$E19*'IW+_end'!Y18</f>
        <v>0</v>
      </c>
      <c r="Z74" s="5">
        <f>LCI_IC!$E19*'IW+_end'!Z18</f>
        <v>5.0112026067618947E-5</v>
      </c>
      <c r="AA74" s="5">
        <f>LCI_IC!$E19*'IW+_end'!AA18</f>
        <v>0</v>
      </c>
      <c r="AB74" s="5">
        <f>LCI_IC!$E19*'IW+_end'!AB18</f>
        <v>0</v>
      </c>
      <c r="AC74" s="5">
        <f>LCI_IC!$E19*'IW+_end'!AC18</f>
        <v>6.7257764660273125</v>
      </c>
      <c r="AD74" s="5">
        <f>LCI_IC!$E19*'IW+_end'!AD18</f>
        <v>0</v>
      </c>
      <c r="AE74" s="5">
        <f>LCI_IC!$E19*'IW+_end'!AE18</f>
        <v>0</v>
      </c>
      <c r="AF74" s="5">
        <f>LCI_IC!$E19*'IW+_end'!AF18</f>
        <v>0</v>
      </c>
      <c r="AG74" s="5">
        <f>LCI_IC!$E19*'IW+_end'!AG18</f>
        <v>7.4477201075064459</v>
      </c>
      <c r="AH74" s="5">
        <f>LCI_IC!$E19*'IW+_end'!AH18</f>
        <v>5.0112026067068077E-5</v>
      </c>
      <c r="AI74" s="5">
        <f>LCI_IC!$E19*'IW+_end'!AI18</f>
        <v>0</v>
      </c>
      <c r="AJ74" s="5">
        <f>LCI_IC!$E19*'IW+_end'!AJ18</f>
        <v>0</v>
      </c>
      <c r="AK74" s="5">
        <f>LCI_IC!$E19*'IW+_end'!AK18</f>
        <v>0</v>
      </c>
    </row>
    <row r="75" spans="1:43" x14ac:dyDescent="0.35">
      <c r="B75" t="s">
        <v>111</v>
      </c>
      <c r="C75" s="5">
        <f>LCI_IC!$E20*'IW+_end'!C20</f>
        <v>5.0388758798033857</v>
      </c>
      <c r="D75" s="5">
        <f>LCI_IC!$E20*'IW+_end'!D20</f>
        <v>3.7382744794953595</v>
      </c>
      <c r="E75" s="5">
        <f>LCI_IC!$E20*'IW+_end'!E20</f>
        <v>6.7908791399372509E-5</v>
      </c>
      <c r="F75" s="5">
        <f>LCI_IC!$E20*'IW+_end'!F20</f>
        <v>5.0380622162011616E-5</v>
      </c>
      <c r="G75" s="5">
        <f>LCI_IC!$E20*'IW+_end'!G20</f>
        <v>0</v>
      </c>
      <c r="H75" s="5">
        <f>LCI_IC!$E20*'IW+_end'!H20</f>
        <v>0</v>
      </c>
      <c r="I75" s="5">
        <f>LCI_IC!$E20*'IW+_end'!I20</f>
        <v>0</v>
      </c>
      <c r="J75" s="5">
        <f>LCI_IC!$E20*'IW+_end'!J20</f>
        <v>0</v>
      </c>
      <c r="K75" s="5">
        <f>LCI_IC!$E20*'IW+_end'!K20</f>
        <v>0</v>
      </c>
      <c r="L75" s="5">
        <f>LCI_IC!$E20*'IW+_end'!L20</f>
        <v>0</v>
      </c>
      <c r="M75" s="5">
        <f>LCI_IC!$E20*'IW+_end'!M20</f>
        <v>0</v>
      </c>
      <c r="N75" s="5">
        <f>LCI_IC!$E20*'IW+_end'!N20</f>
        <v>0</v>
      </c>
      <c r="O75" s="5">
        <f>LCI_IC!$E20*'IW+_end'!O20</f>
        <v>0</v>
      </c>
      <c r="P75" s="5">
        <f>LCI_IC!$E20*'IW+_end'!P20</f>
        <v>0</v>
      </c>
      <c r="Q75" s="5">
        <f>LCI_IC!$E20*'IW+_end'!Q20</f>
        <v>0</v>
      </c>
      <c r="R75" s="5">
        <f>LCI_IC!$E20*'IW+_end'!R20</f>
        <v>0</v>
      </c>
      <c r="S75" s="5">
        <f>LCI_IC!$E20*'IW+_end'!S20</f>
        <v>0</v>
      </c>
      <c r="T75" s="5">
        <f>LCI_IC!$E20*'IW+_end'!T20</f>
        <v>0</v>
      </c>
      <c r="U75" s="5">
        <f>LCI_IC!$E20*'IW+_end'!U20</f>
        <v>0</v>
      </c>
      <c r="V75" s="5">
        <f>LCI_IC!$E20*'IW+_end'!V20</f>
        <v>0</v>
      </c>
      <c r="W75" s="5">
        <f>LCI_IC!$E20*'IW+_end'!W20</f>
        <v>0</v>
      </c>
      <c r="X75" s="5">
        <f>LCI_IC!$E20*'IW+_end'!X20</f>
        <v>0</v>
      </c>
      <c r="Y75" s="5">
        <f>LCI_IC!$E20*'IW+_end'!Y20</f>
        <v>0</v>
      </c>
      <c r="Z75" s="5">
        <f>LCI_IC!$E20*'IW+_end'!Z20</f>
        <v>0</v>
      </c>
      <c r="AA75" s="5">
        <f>LCI_IC!$E20*'IW+_end'!AA20</f>
        <v>0</v>
      </c>
      <c r="AB75" s="5">
        <f>LCI_IC!$E20*'IW+_end'!AB20</f>
        <v>0</v>
      </c>
      <c r="AC75" s="5">
        <f>LCI_IC!$E20*'IW+_end'!AC20</f>
        <v>0</v>
      </c>
      <c r="AD75" s="5">
        <f>LCI_IC!$E20*'IW+_end'!AD20</f>
        <v>0</v>
      </c>
      <c r="AE75" s="5">
        <f>LCI_IC!$E20*'IW+_end'!AE20</f>
        <v>0</v>
      </c>
      <c r="AF75" s="5">
        <f>LCI_IC!$E20*'IW+_end'!AF20</f>
        <v>0</v>
      </c>
      <c r="AG75" s="5">
        <f>LCI_IC!$E20*'IW+_end'!AG20</f>
        <v>8.7771503592987443</v>
      </c>
      <c r="AH75" s="5">
        <f>LCI_IC!$E20*'IW+_end'!AH20</f>
        <v>1.1828941356093644E-4</v>
      </c>
      <c r="AI75" s="5">
        <f>LCI_IC!$E20*'IW+_end'!AI20</f>
        <v>0</v>
      </c>
      <c r="AJ75" s="5">
        <f>LCI_IC!$E20*'IW+_end'!AJ20</f>
        <v>0</v>
      </c>
      <c r="AK75" s="5">
        <f>LCI_IC!$E20*'IW+_end'!AK20</f>
        <v>0</v>
      </c>
    </row>
    <row r="76" spans="1:43" x14ac:dyDescent="0.35">
      <c r="B76" t="s">
        <v>114</v>
      </c>
      <c r="C76" s="5">
        <f>LCI_IC!$E21*'IW+_end'!C21</f>
        <v>0</v>
      </c>
      <c r="D76" s="5">
        <f>LCI_IC!$E21*'IW+_end'!D21</f>
        <v>0</v>
      </c>
      <c r="E76" s="5">
        <f>LCI_IC!$E21*'IW+_end'!E21</f>
        <v>0</v>
      </c>
      <c r="F76" s="5">
        <f>LCI_IC!$E21*'IW+_end'!F21</f>
        <v>0</v>
      </c>
      <c r="G76" s="5">
        <f>LCI_IC!$E21*'IW+_end'!G21</f>
        <v>0</v>
      </c>
      <c r="H76" s="5">
        <f>LCI_IC!$E21*'IW+_end'!H21</f>
        <v>0</v>
      </c>
      <c r="I76" s="5">
        <f>LCI_IC!$E21*'IW+_end'!I21</f>
        <v>0</v>
      </c>
      <c r="J76" s="5">
        <f>LCI_IC!$E21*'IW+_end'!J21</f>
        <v>0</v>
      </c>
      <c r="K76" s="5">
        <f>LCI_IC!$E21*'IW+_end'!K21</f>
        <v>0</v>
      </c>
      <c r="L76" s="5">
        <f>LCI_IC!$E21*'IW+_end'!L21</f>
        <v>0</v>
      </c>
      <c r="M76" s="5">
        <f>LCI_IC!$E21*'IW+_end'!M21</f>
        <v>0</v>
      </c>
      <c r="N76" s="5">
        <f>LCI_IC!$E21*'IW+_end'!N21</f>
        <v>0</v>
      </c>
      <c r="O76" s="5">
        <f>LCI_IC!$E21*'IW+_end'!O21</f>
        <v>0</v>
      </c>
      <c r="P76" s="5">
        <f>LCI_IC!$E21*'IW+_end'!P21</f>
        <v>0</v>
      </c>
      <c r="Q76" s="5">
        <f>LCI_IC!$E21*'IW+_end'!Q21</f>
        <v>0</v>
      </c>
      <c r="R76" s="5">
        <f>LCI_IC!$E21*'IW+_end'!R21</f>
        <v>0</v>
      </c>
      <c r="S76" s="5">
        <f>LCI_IC!$E21*'IW+_end'!S21</f>
        <v>0</v>
      </c>
      <c r="T76" s="5">
        <f>LCI_IC!$E21*'IW+_end'!T21</f>
        <v>0</v>
      </c>
      <c r="U76" s="5">
        <f>LCI_IC!$E21*'IW+_end'!U21</f>
        <v>0</v>
      </c>
      <c r="V76" s="5">
        <f>LCI_IC!$E21*'IW+_end'!V21</f>
        <v>0</v>
      </c>
      <c r="W76" s="5">
        <f>LCI_IC!$E21*'IW+_end'!W21</f>
        <v>0</v>
      </c>
      <c r="X76" s="5">
        <f>LCI_IC!$E21*'IW+_end'!X21</f>
        <v>20.469849149257051</v>
      </c>
      <c r="Y76" s="5">
        <f>LCI_IC!$E21*'IW+_end'!Y21</f>
        <v>0</v>
      </c>
      <c r="Z76" s="5">
        <f>LCI_IC!$E21*'IW+_end'!Z21</f>
        <v>0</v>
      </c>
      <c r="AA76" s="5">
        <f>LCI_IC!$E21*'IW+_end'!AA21</f>
        <v>0</v>
      </c>
      <c r="AB76" s="5">
        <f>LCI_IC!$E21*'IW+_end'!AB21</f>
        <v>0</v>
      </c>
      <c r="AC76" s="5">
        <f>LCI_IC!$E21*'IW+_end'!AC21</f>
        <v>0</v>
      </c>
      <c r="AD76" s="5">
        <f>LCI_IC!$E21*'IW+_end'!AD21</f>
        <v>0</v>
      </c>
      <c r="AE76" s="5">
        <f>LCI_IC!$E21*'IW+_end'!AE21</f>
        <v>0</v>
      </c>
      <c r="AF76" s="5">
        <f>LCI_IC!$E21*'IW+_end'!AF21</f>
        <v>0</v>
      </c>
      <c r="AG76" s="5">
        <f>LCI_IC!$E21*'IW+_end'!AG21</f>
        <v>20.469849149257051</v>
      </c>
      <c r="AH76" s="5">
        <f>LCI_IC!$E21*'IW+_end'!AH21</f>
        <v>0</v>
      </c>
      <c r="AI76" s="5">
        <f>LCI_IC!$E21*'IW+_end'!AI21</f>
        <v>0</v>
      </c>
      <c r="AJ76" s="5">
        <f>LCI_IC!$E21*'IW+_end'!AJ21</f>
        <v>0</v>
      </c>
      <c r="AK76" s="5">
        <f>LCI_IC!$E21*'IW+_end'!AK21</f>
        <v>0</v>
      </c>
      <c r="AL76" s="5"/>
      <c r="AM76" s="5"/>
      <c r="AN76" s="5"/>
      <c r="AO76" s="5"/>
      <c r="AP76" s="5"/>
      <c r="AQ76" s="5"/>
    </row>
    <row r="77" spans="1:43" x14ac:dyDescent="0.35">
      <c r="B77" t="s">
        <v>414</v>
      </c>
    </row>
    <row r="78" spans="1:43" x14ac:dyDescent="0.35">
      <c r="B78" t="s">
        <v>415</v>
      </c>
    </row>
    <row r="79" spans="1:43" x14ac:dyDescent="0.35">
      <c r="A79" t="s">
        <v>421</v>
      </c>
    </row>
    <row r="80" spans="1:43" x14ac:dyDescent="0.35">
      <c r="B80" t="s">
        <v>228</v>
      </c>
    </row>
    <row r="81" spans="2:2" x14ac:dyDescent="0.35">
      <c r="B81" t="s">
        <v>230</v>
      </c>
    </row>
    <row r="82" spans="2:2" x14ac:dyDescent="0.35">
      <c r="B82" t="s">
        <v>229</v>
      </c>
    </row>
    <row r="83" spans="2:2" x14ac:dyDescent="0.35">
      <c r="B83" t="s">
        <v>231</v>
      </c>
    </row>
  </sheetData>
  <mergeCells count="1">
    <mergeCell ref="A27:G2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N39"/>
  <sheetViews>
    <sheetView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A35" sqref="A35"/>
    </sheetView>
  </sheetViews>
  <sheetFormatPr baseColWidth="10" defaultRowHeight="14.5" x14ac:dyDescent="0.35"/>
  <cols>
    <col min="1" max="1" width="25.54296875" customWidth="1"/>
    <col min="2" max="2" width="13" bestFit="1" customWidth="1"/>
    <col min="39" max="39" width="37.90625" customWidth="1"/>
    <col min="40" max="40" width="17.36328125" customWidth="1"/>
  </cols>
  <sheetData>
    <row r="1" spans="1:40" ht="72.5" x14ac:dyDescent="0.35">
      <c r="A1" s="40" t="s">
        <v>0</v>
      </c>
      <c r="B1" s="40" t="s">
        <v>184</v>
      </c>
      <c r="C1" s="88" t="s">
        <v>376</v>
      </c>
      <c r="D1" s="88" t="s">
        <v>377</v>
      </c>
      <c r="E1" s="88" t="s">
        <v>378</v>
      </c>
      <c r="F1" s="88" t="s">
        <v>379</v>
      </c>
      <c r="G1" s="88" t="s">
        <v>380</v>
      </c>
      <c r="H1" s="88" t="s">
        <v>361</v>
      </c>
      <c r="I1" s="88" t="s">
        <v>381</v>
      </c>
      <c r="J1" s="88" t="s">
        <v>382</v>
      </c>
      <c r="K1" s="88" t="s">
        <v>363</v>
      </c>
      <c r="L1" s="88" t="s">
        <v>383</v>
      </c>
      <c r="M1" s="88" t="s">
        <v>384</v>
      </c>
      <c r="N1" s="88" t="s">
        <v>385</v>
      </c>
      <c r="O1" s="88" t="s">
        <v>386</v>
      </c>
      <c r="P1" s="88" t="s">
        <v>387</v>
      </c>
      <c r="Q1" s="88" t="s">
        <v>388</v>
      </c>
      <c r="R1" s="88" t="s">
        <v>367</v>
      </c>
      <c r="S1" s="88" t="s">
        <v>368</v>
      </c>
      <c r="T1" s="88" t="s">
        <v>389</v>
      </c>
      <c r="U1" s="88" t="s">
        <v>390</v>
      </c>
      <c r="V1" s="88" t="s">
        <v>391</v>
      </c>
      <c r="W1" s="88" t="s">
        <v>392</v>
      </c>
      <c r="X1" s="88" t="s">
        <v>369</v>
      </c>
      <c r="Y1" s="88" t="s">
        <v>371</v>
      </c>
      <c r="Z1" s="88" t="s">
        <v>372</v>
      </c>
      <c r="AA1" s="88" t="s">
        <v>393</v>
      </c>
      <c r="AB1" s="88" t="s">
        <v>394</v>
      </c>
      <c r="AC1" s="88" t="s">
        <v>374</v>
      </c>
      <c r="AD1" s="88" t="s">
        <v>395</v>
      </c>
      <c r="AE1" s="88" t="s">
        <v>396</v>
      </c>
      <c r="AF1" s="88" t="s">
        <v>397</v>
      </c>
      <c r="AG1" s="88" t="s">
        <v>398</v>
      </c>
      <c r="AH1" s="88" t="s">
        <v>399</v>
      </c>
      <c r="AI1" s="88" t="s">
        <v>400</v>
      </c>
      <c r="AJ1" s="88" t="s">
        <v>401</v>
      </c>
      <c r="AK1" s="88" t="s">
        <v>402</v>
      </c>
      <c r="AM1" s="88" t="s">
        <v>410</v>
      </c>
      <c r="AN1" s="88" t="s">
        <v>411</v>
      </c>
    </row>
    <row r="2" spans="1:40" x14ac:dyDescent="0.35">
      <c r="A2" t="s">
        <v>22</v>
      </c>
      <c r="B2" t="s">
        <v>128</v>
      </c>
      <c r="C2">
        <v>2.9434703007183392E-2</v>
      </c>
      <c r="D2">
        <v>9.0171188265170711E-3</v>
      </c>
      <c r="E2">
        <v>3.9669068143335468E-7</v>
      </c>
      <c r="F2">
        <v>1.215234619823967E-7</v>
      </c>
      <c r="G2">
        <v>9.0220538619380979E-21</v>
      </c>
      <c r="H2">
        <v>5.2035185173952858E-4</v>
      </c>
      <c r="I2">
        <v>2.4888796312798892E-2</v>
      </c>
      <c r="J2">
        <v>1.2365564772869428E-3</v>
      </c>
      <c r="K2">
        <v>2.148271885392852E-6</v>
      </c>
      <c r="L2">
        <v>8.7189410971084587E-10</v>
      </c>
      <c r="M2">
        <v>1.6630165567845938E-8</v>
      </c>
      <c r="N2">
        <v>1.9716034709890697E-8</v>
      </c>
      <c r="O2">
        <v>1.0495036741337533E-8</v>
      </c>
      <c r="P2">
        <v>4.1472255416012004E-10</v>
      </c>
      <c r="Q2">
        <v>1.2788914983184881E-8</v>
      </c>
      <c r="R2">
        <v>1.6567240561602638E-3</v>
      </c>
      <c r="S2">
        <v>1.1680201670960623E-3</v>
      </c>
      <c r="T2">
        <v>1.0269588437698846E-2</v>
      </c>
      <c r="U2">
        <v>1.1147872249050613E-3</v>
      </c>
      <c r="V2">
        <v>9.6682891692516715E-8</v>
      </c>
      <c r="W2">
        <v>2.6607992199487442E-8</v>
      </c>
      <c r="X2">
        <v>6.8100186705554177E-5</v>
      </c>
      <c r="Y2">
        <v>4.6326221321532917E-12</v>
      </c>
      <c r="Z2">
        <v>3.7499948844813292E-8</v>
      </c>
      <c r="AA2">
        <v>1.5786992833128441E-3</v>
      </c>
      <c r="AB2">
        <v>1.5693504670896128E-10</v>
      </c>
      <c r="AC2">
        <v>3.4337732367394074E-3</v>
      </c>
      <c r="AD2">
        <v>3.5290615370498447E-3</v>
      </c>
      <c r="AE2">
        <v>9.7119171528129182E-4</v>
      </c>
      <c r="AF2">
        <v>1.9042271222225493E-4</v>
      </c>
      <c r="AG2">
        <v>8.9082652855016958E-2</v>
      </c>
      <c r="AH2">
        <v>7.3991031664041275E-7</v>
      </c>
      <c r="AI2">
        <v>1.0113819616428509E-6</v>
      </c>
      <c r="AJ2">
        <v>1.2353261059905567E-7</v>
      </c>
      <c r="AK2">
        <v>1.4744628662961437E-6</v>
      </c>
      <c r="AM2" t="s">
        <v>212</v>
      </c>
      <c r="AN2" t="s">
        <v>214</v>
      </c>
    </row>
    <row r="3" spans="1:40" x14ac:dyDescent="0.35">
      <c r="A3" t="s">
        <v>23</v>
      </c>
      <c r="B3" t="s">
        <v>88</v>
      </c>
      <c r="C3">
        <v>1.1863638489768291E-4</v>
      </c>
      <c r="D3">
        <v>3.5826192069448324E-5</v>
      </c>
      <c r="E3">
        <v>1.5988592905580309E-9</v>
      </c>
      <c r="F3">
        <v>4.8282860342512563E-10</v>
      </c>
      <c r="G3">
        <v>1.4472651835436353E-20</v>
      </c>
      <c r="H3">
        <v>2.6983115255249146E-6</v>
      </c>
      <c r="I3">
        <v>2.7477980999020377E-5</v>
      </c>
      <c r="J3">
        <v>6.1320649189226223E-6</v>
      </c>
      <c r="K3">
        <v>1.2606069060448648E-8</v>
      </c>
      <c r="L3">
        <v>1.4084130451918005E-11</v>
      </c>
      <c r="M3">
        <v>9.2762381414995848E-10</v>
      </c>
      <c r="N3">
        <v>3.9435252419373301E-10</v>
      </c>
      <c r="O3">
        <v>6.7110820367841502E-11</v>
      </c>
      <c r="P3">
        <v>1.4514270505968144E-13</v>
      </c>
      <c r="Q3">
        <v>2.7987480386967563E-12</v>
      </c>
      <c r="R3">
        <v>4.7297184564516175E-6</v>
      </c>
      <c r="S3">
        <v>6.0711291637079029E-6</v>
      </c>
      <c r="T3">
        <v>4.291308909682802E-5</v>
      </c>
      <c r="U3">
        <v>4.6582693117860746E-6</v>
      </c>
      <c r="V3">
        <v>4.980426295804192E-11</v>
      </c>
      <c r="W3">
        <v>3.9972635156604782E-11</v>
      </c>
      <c r="X3">
        <v>2.4074305056850858E-7</v>
      </c>
      <c r="Y3">
        <v>1.3310981465876445E-14</v>
      </c>
      <c r="Z3">
        <v>2.4250394925894105E-10</v>
      </c>
      <c r="AA3">
        <v>6.8457405464292491E-6</v>
      </c>
      <c r="AB3">
        <v>6.8269851084107783E-13</v>
      </c>
      <c r="AC3">
        <v>1.7503833548284519E-5</v>
      </c>
      <c r="AD3">
        <v>1.8179050849897476E-6</v>
      </c>
      <c r="AE3">
        <v>1.4590011832160742E-6</v>
      </c>
      <c r="AF3">
        <v>1.061667760740237E-7</v>
      </c>
      <c r="AG3">
        <v>2.8632406664732879E-4</v>
      </c>
      <c r="AH3">
        <v>4.2091312431600076E-8</v>
      </c>
      <c r="AI3">
        <v>3.140634005523362E-7</v>
      </c>
      <c r="AJ3">
        <v>3.8360454541663594E-8</v>
      </c>
      <c r="AK3">
        <v>8.8807766267402952E-6</v>
      </c>
      <c r="AM3" t="s">
        <v>215</v>
      </c>
      <c r="AN3" t="s">
        <v>216</v>
      </c>
    </row>
    <row r="4" spans="1:40" x14ac:dyDescent="0.35">
      <c r="A4" t="s">
        <v>235</v>
      </c>
      <c r="B4" t="s">
        <v>88</v>
      </c>
      <c r="C4">
        <v>1.2374672048086016E-2</v>
      </c>
      <c r="D4">
        <v>4.875918121334445E-3</v>
      </c>
      <c r="E4">
        <v>1.6677311424108926E-7</v>
      </c>
      <c r="F4">
        <v>6.5712614178351459E-8</v>
      </c>
      <c r="G4">
        <v>5.8334846791004641E-21</v>
      </c>
      <c r="H4">
        <v>3.0722597513323897E-4</v>
      </c>
      <c r="I4">
        <v>4.0615964837179483E-3</v>
      </c>
      <c r="J4">
        <v>5.19444922153752E-4</v>
      </c>
      <c r="K4">
        <v>2.5327295052977693E-5</v>
      </c>
      <c r="L4">
        <v>3.2796642961873051E-10</v>
      </c>
      <c r="M4">
        <v>4.0155836099167421E-8</v>
      </c>
      <c r="N4">
        <v>8.7573488618798371E-9</v>
      </c>
      <c r="O4">
        <v>9.0145144965970571E-8</v>
      </c>
      <c r="P4">
        <v>7.270060356815364E-13</v>
      </c>
      <c r="Q4">
        <v>1.1049921503703612E-11</v>
      </c>
      <c r="R4">
        <v>4.4894389691597946E-4</v>
      </c>
      <c r="S4">
        <v>8.7792638320311237E-4</v>
      </c>
      <c r="T4">
        <v>3.5383175801528529E-3</v>
      </c>
      <c r="U4">
        <v>3.8409088421594386E-4</v>
      </c>
      <c r="V4">
        <v>1.8169613216590052E-9</v>
      </c>
      <c r="W4">
        <v>3.9637820356929832E-9</v>
      </c>
      <c r="X4">
        <v>1.6049953864637597E-4</v>
      </c>
      <c r="Y4">
        <v>1.4900648096354121E-12</v>
      </c>
      <c r="Z4">
        <v>3.8309319824954486E-8</v>
      </c>
      <c r="AA4">
        <v>2.2743493922401659E-3</v>
      </c>
      <c r="AB4">
        <v>2.3470761763590479E-10</v>
      </c>
      <c r="AC4">
        <v>2.3013297408337173E-3</v>
      </c>
      <c r="AD4">
        <v>6.6359288582960621E-5</v>
      </c>
      <c r="AE4">
        <v>1.4467804430279391E-4</v>
      </c>
      <c r="AF4">
        <v>1.6597231754649591E-6</v>
      </c>
      <c r="AG4">
        <v>3.2363622700140461E-2</v>
      </c>
      <c r="AH4">
        <v>4.5290827034624787E-7</v>
      </c>
      <c r="AI4">
        <v>3.4778816702823694E-7</v>
      </c>
      <c r="AJ4">
        <v>4.2479678141267087E-8</v>
      </c>
      <c r="AK4">
        <v>9.298127553464607E-7</v>
      </c>
    </row>
    <row r="5" spans="1:40" x14ac:dyDescent="0.35">
      <c r="A5" t="s">
        <v>286</v>
      </c>
      <c r="B5" t="s">
        <v>284</v>
      </c>
      <c r="C5">
        <v>7.1404060063134309E-2</v>
      </c>
      <c r="D5">
        <v>2.1808745419615857E-2</v>
      </c>
      <c r="E5">
        <v>9.623105501231078E-7</v>
      </c>
      <c r="F5">
        <v>2.9391586113855664E-7</v>
      </c>
      <c r="G5">
        <v>1.4895501354082852E-19</v>
      </c>
      <c r="H5">
        <v>8.299455919337981E-4</v>
      </c>
      <c r="I5">
        <v>9.202597906745956E-3</v>
      </c>
      <c r="J5">
        <v>3.384453915853129E-3</v>
      </c>
      <c r="K5">
        <v>5.2566238711430949E-6</v>
      </c>
      <c r="L5">
        <v>6.0034348451160065E-10</v>
      </c>
      <c r="M5">
        <v>3.4139573110488823E-8</v>
      </c>
      <c r="N5">
        <v>2.2572495868896758E-8</v>
      </c>
      <c r="O5">
        <v>1.5198825253025579E-8</v>
      </c>
      <c r="P5">
        <v>6.99443574447799E-12</v>
      </c>
      <c r="Q5">
        <v>8.6181307818176963E-11</v>
      </c>
      <c r="R5">
        <v>4.0818363739331094E-3</v>
      </c>
      <c r="S5">
        <v>4.7163109405947128E-3</v>
      </c>
      <c r="T5">
        <v>2.5800253581665565E-2</v>
      </c>
      <c r="U5">
        <v>2.8006693395315248E-3</v>
      </c>
      <c r="V5">
        <v>9.7222143759385003E-9</v>
      </c>
      <c r="W5">
        <v>7.9906607908748425E-9</v>
      </c>
      <c r="X5">
        <v>2.1342596614739434E-4</v>
      </c>
      <c r="Y5">
        <v>6.1437635716019587E-12</v>
      </c>
      <c r="Z5">
        <v>1.0038795667040594E-7</v>
      </c>
      <c r="AA5">
        <v>5.4178321922008265E-3</v>
      </c>
      <c r="AB5">
        <v>5.2899950946003048E-10</v>
      </c>
      <c r="AC5">
        <v>5.901546996306622E-3</v>
      </c>
      <c r="AD5">
        <v>3.5486896223368774E-4</v>
      </c>
      <c r="AE5">
        <v>2.9165911886693159E-4</v>
      </c>
      <c r="AF5">
        <v>6.7079009285733555E-6</v>
      </c>
      <c r="AG5">
        <v>0.15622311715281942</v>
      </c>
      <c r="AH5">
        <v>1.4464434392429546E-6</v>
      </c>
      <c r="AI5">
        <v>1.3669708716082871E-7</v>
      </c>
      <c r="AJ5">
        <v>1.6696509013110508E-8</v>
      </c>
      <c r="AK5">
        <v>2.791842299353623E-6</v>
      </c>
    </row>
    <row r="6" spans="1:40" x14ac:dyDescent="0.35">
      <c r="A6" t="s">
        <v>218</v>
      </c>
      <c r="B6" t="s">
        <v>219</v>
      </c>
      <c r="C6">
        <v>2.8775240021299362E-2</v>
      </c>
      <c r="D6">
        <v>8.8335485691896816E-3</v>
      </c>
      <c r="E6">
        <v>3.8780311694233315E-7</v>
      </c>
      <c r="F6">
        <v>1.1904949068218261E-7</v>
      </c>
      <c r="G6">
        <v>2.4560389949825308E-19</v>
      </c>
      <c r="H6">
        <v>8.7487048973086651E-5</v>
      </c>
      <c r="I6">
        <v>9.0902716042847928E-4</v>
      </c>
      <c r="J6">
        <v>8.4404331713613847E-4</v>
      </c>
      <c r="K6">
        <v>1.0175097845019178E-6</v>
      </c>
      <c r="L6">
        <v>7.3128563841880906E-11</v>
      </c>
      <c r="M6">
        <v>5.460713208174416E-9</v>
      </c>
      <c r="N6">
        <v>2.1836439218091472E-9</v>
      </c>
      <c r="O6">
        <v>1.277659235259442E-9</v>
      </c>
      <c r="P6">
        <v>1.4950808064973775E-12</v>
      </c>
      <c r="Q6">
        <v>2.7539256307207835E-11</v>
      </c>
      <c r="R6">
        <v>8.8589251322401748E-5</v>
      </c>
      <c r="S6">
        <v>4.1813597331621656E-4</v>
      </c>
      <c r="T6">
        <v>1.0404099123329466E-2</v>
      </c>
      <c r="U6">
        <v>1.1293905139696386E-3</v>
      </c>
      <c r="V6">
        <v>2.2228436883201581E-9</v>
      </c>
      <c r="W6">
        <v>2.0080477152265347E-9</v>
      </c>
      <c r="X6">
        <v>1.3926727973272375E-5</v>
      </c>
      <c r="Y6">
        <v>4.9676217271897631E-12</v>
      </c>
      <c r="Z6">
        <v>6.0152951246024146E-9</v>
      </c>
      <c r="AA6">
        <v>6.1565555913355434E-4</v>
      </c>
      <c r="AB6">
        <v>5.6382164820467323E-11</v>
      </c>
      <c r="AC6">
        <v>6.1064150916163937E-4</v>
      </c>
      <c r="AD6">
        <v>8.1134935235759278E-5</v>
      </c>
      <c r="AE6">
        <v>7.3293741605768526E-5</v>
      </c>
      <c r="AF6">
        <v>1.3011011121827551E-6</v>
      </c>
      <c r="AG6">
        <v>5.2887170525342565E-2</v>
      </c>
      <c r="AH6">
        <v>5.2526772501215577E-7</v>
      </c>
      <c r="AI6">
        <v>2.7146908415357464E-8</v>
      </c>
      <c r="AJ6">
        <v>3.3157882910982512E-9</v>
      </c>
      <c r="AK6">
        <v>6.0708307656183557E-7</v>
      </c>
    </row>
    <row r="7" spans="1:40" x14ac:dyDescent="0.35">
      <c r="A7" t="s">
        <v>220</v>
      </c>
      <c r="B7" t="s">
        <v>219</v>
      </c>
      <c r="C7">
        <v>3.6606595375015857E-2</v>
      </c>
      <c r="D7">
        <v>1.1027964246848106E-2</v>
      </c>
      <c r="E7">
        <v>4.9334607727233503E-7</v>
      </c>
      <c r="F7">
        <v>1.486235703087348E-7</v>
      </c>
      <c r="G7">
        <v>1.8355354728057364E-21</v>
      </c>
      <c r="H7">
        <v>2.8862325251291656E-4</v>
      </c>
      <c r="I7">
        <v>1.9138160280998788E-3</v>
      </c>
      <c r="J7">
        <v>9.3700431615985455E-4</v>
      </c>
      <c r="K7">
        <v>1.4412765837107648E-6</v>
      </c>
      <c r="L7">
        <v>1.5012604259306798E-10</v>
      </c>
      <c r="M7">
        <v>4.165524488829646E-9</v>
      </c>
      <c r="N7">
        <v>4.0009950687233719E-9</v>
      </c>
      <c r="O7">
        <v>2.2101399026680218E-9</v>
      </c>
      <c r="P7">
        <v>1.1573822055069157E-12</v>
      </c>
      <c r="Q7">
        <v>2.1749979679961288E-11</v>
      </c>
      <c r="R7">
        <v>1.2145571688577686E-4</v>
      </c>
      <c r="S7">
        <v>9.9540935208039982E-4</v>
      </c>
      <c r="T7">
        <v>1.3271943202898127E-2</v>
      </c>
      <c r="U7">
        <v>1.4407029626190709E-3</v>
      </c>
      <c r="V7">
        <v>1.9565669007548191E-9</v>
      </c>
      <c r="W7">
        <v>1.7764735532561099E-9</v>
      </c>
      <c r="X7">
        <v>5.5334524844955225E-5</v>
      </c>
      <c r="Y7">
        <v>2.9853225411209588E-12</v>
      </c>
      <c r="Z7">
        <v>1.6704189351068451E-8</v>
      </c>
      <c r="AA7">
        <v>9.3625163314246492E-4</v>
      </c>
      <c r="AB7">
        <v>8.3728290516360725E-11</v>
      </c>
      <c r="AC7">
        <v>1.8442608762118653E-3</v>
      </c>
      <c r="AD7">
        <v>7.1423215114739861E-5</v>
      </c>
      <c r="AE7">
        <v>6.4841284693848016E-5</v>
      </c>
      <c r="AF7">
        <v>1.0391969763024733E-6</v>
      </c>
      <c r="AG7">
        <v>6.9578362455275211E-2</v>
      </c>
      <c r="AH7">
        <v>6.717670699752272E-7</v>
      </c>
      <c r="AI7">
        <v>2.0123922051753062E-8</v>
      </c>
      <c r="AJ7">
        <v>2.4579839475362908E-9</v>
      </c>
      <c r="AK7">
        <v>2.3213646753144058E-7</v>
      </c>
    </row>
    <row r="8" spans="1:40" x14ac:dyDescent="0.35">
      <c r="A8" t="s">
        <v>221</v>
      </c>
      <c r="B8" t="s">
        <v>219</v>
      </c>
      <c r="C8">
        <v>5.1481483201682963E-2</v>
      </c>
      <c r="D8">
        <v>1.5338012872360945E-2</v>
      </c>
      <c r="E8">
        <v>6.9381453067460829E-7</v>
      </c>
      <c r="F8">
        <v>2.0670997688291776E-7</v>
      </c>
      <c r="G8">
        <v>1.4763406772054707E-21</v>
      </c>
      <c r="H8">
        <v>1.8246418078717973E-3</v>
      </c>
      <c r="I8">
        <v>2.4268277760785457E-2</v>
      </c>
      <c r="J8">
        <v>3.8523925581445469E-4</v>
      </c>
      <c r="K8">
        <v>3.276144300204517E-7</v>
      </c>
      <c r="L8">
        <v>5.3314860846819331E-10</v>
      </c>
      <c r="M8">
        <v>5.090997265389222E-9</v>
      </c>
      <c r="N8">
        <v>1.624044537833536E-8</v>
      </c>
      <c r="O8">
        <v>9.0877924897581806E-9</v>
      </c>
      <c r="P8">
        <v>2.8551302595229341E-12</v>
      </c>
      <c r="Q8">
        <v>4.9809633093107691E-11</v>
      </c>
      <c r="R8">
        <v>5.3115687879024334E-4</v>
      </c>
      <c r="S8">
        <v>9.8265018177612785E-4</v>
      </c>
      <c r="T8">
        <v>1.8710324509285593E-2</v>
      </c>
      <c r="U8">
        <v>2.0310485306942582E-3</v>
      </c>
      <c r="V8">
        <v>2.5836040299636175E-8</v>
      </c>
      <c r="W8">
        <v>1.3618007694421061E-8</v>
      </c>
      <c r="X8">
        <v>8.7815690474825941E-5</v>
      </c>
      <c r="Y8">
        <v>1.7481896083650981E-13</v>
      </c>
      <c r="Z8">
        <v>1.7750187013112361E-7</v>
      </c>
      <c r="AA8">
        <v>2.8372389797051466E-3</v>
      </c>
      <c r="AB8">
        <v>2.9350261677862762E-10</v>
      </c>
      <c r="AC8">
        <v>1.1489983124136113E-2</v>
      </c>
      <c r="AD8">
        <v>9.4302658490658196E-4</v>
      </c>
      <c r="AE8">
        <v>4.9705728084636924E-4</v>
      </c>
      <c r="AF8">
        <v>2.3780798149252522E-6</v>
      </c>
      <c r="AG8">
        <v>0.13141416271525175</v>
      </c>
      <c r="AH8">
        <v>1.1137170923127932E-6</v>
      </c>
      <c r="AI8">
        <v>3.5981314856971963E-8</v>
      </c>
      <c r="AJ8">
        <v>4.3948438133595166E-9</v>
      </c>
      <c r="AK8">
        <v>3.4249236579842021E-6</v>
      </c>
    </row>
    <row r="9" spans="1:40" x14ac:dyDescent="0.35">
      <c r="A9" t="s">
        <v>222</v>
      </c>
      <c r="B9" t="s">
        <v>219</v>
      </c>
      <c r="C9">
        <v>6.0444079166129781E-3</v>
      </c>
      <c r="D9">
        <v>1.9503036741945062E-3</v>
      </c>
      <c r="E9">
        <v>8.1460318954711552E-8</v>
      </c>
      <c r="F9">
        <v>2.6284188881721841E-8</v>
      </c>
      <c r="G9">
        <v>1.0746196980379661E-20</v>
      </c>
      <c r="H9">
        <v>3.5685042474032334E-4</v>
      </c>
      <c r="I9">
        <v>1.2324661375997454E-2</v>
      </c>
      <c r="J9">
        <v>6.5584737403871101E-4</v>
      </c>
      <c r="K9">
        <v>5.9519004313033472E-6</v>
      </c>
      <c r="L9">
        <v>2.0411294556360925E-10</v>
      </c>
      <c r="M9">
        <v>4.4194285966493013E-9</v>
      </c>
      <c r="N9">
        <v>7.8800496138078209E-9</v>
      </c>
      <c r="O9">
        <v>6.0846186492243465E-9</v>
      </c>
      <c r="P9">
        <v>2.2079745465398701E-12</v>
      </c>
      <c r="Q9">
        <v>3.2533633000623442E-11</v>
      </c>
      <c r="R9">
        <v>1.5167810773515884E-2</v>
      </c>
      <c r="S9">
        <v>2.1577356891248709E-3</v>
      </c>
      <c r="T9">
        <v>2.1074605718685007E-3</v>
      </c>
      <c r="U9">
        <v>2.2876864681253703E-4</v>
      </c>
      <c r="V9">
        <v>5.6782297585301723E-8</v>
      </c>
      <c r="W9">
        <v>3.5926710000624893E-8</v>
      </c>
      <c r="X9">
        <v>8.8430730703557088E-5</v>
      </c>
      <c r="Y9">
        <v>2.6955337107343576E-13</v>
      </c>
      <c r="Z9">
        <v>5.0689545731613716E-7</v>
      </c>
      <c r="AA9">
        <v>2.8524828730838703E-3</v>
      </c>
      <c r="AB9">
        <v>2.9414464412475507E-10</v>
      </c>
      <c r="AC9">
        <v>2.7377652696473384E-3</v>
      </c>
      <c r="AD9">
        <v>2.072561219869303E-3</v>
      </c>
      <c r="AE9">
        <v>1.3113249150228086E-3</v>
      </c>
      <c r="AF9">
        <v>3.5809584627904084E-6</v>
      </c>
      <c r="AG9">
        <v>5.0067007507309212E-2</v>
      </c>
      <c r="AH9">
        <v>6.469797722970732E-7</v>
      </c>
      <c r="AI9">
        <v>1.0990983100489011E-7</v>
      </c>
      <c r="AJ9">
        <v>1.3424649508761975E-8</v>
      </c>
      <c r="AK9">
        <v>8.6057213591847721E-7</v>
      </c>
    </row>
    <row r="10" spans="1:40" x14ac:dyDescent="0.35">
      <c r="A10" s="17" t="s">
        <v>255</v>
      </c>
      <c r="B10" s="17" t="s">
        <v>219</v>
      </c>
    </row>
    <row r="11" spans="1:4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1.5897436834520041E-2</v>
      </c>
      <c r="D11">
        <f>(D6*Parameters!$C115)+(D7*Parameters!$C117)+(D8*Parameters!$C116)+(D9*Parameters!$C118)+(D10*Parameters!$C119)</f>
        <v>4.9132377297279725E-3</v>
      </c>
      <c r="E11">
        <f>(E6*Parameters!$C115)+(E7*Parameters!$C117)+(E8*Parameters!$C116)+(E9*Parameters!$C118)+(E10*Parameters!$C119)</f>
        <v>2.1424931820750602E-7</v>
      </c>
      <c r="F11">
        <f>(F6*Parameters!$C115)+(F7*Parameters!$C117)+(F8*Parameters!$C116)+(F9*Parameters!$C118)+(F10*Parameters!$C119)</f>
        <v>6.6215569512429125E-8</v>
      </c>
      <c r="G11">
        <f>(G6*Parameters!$C115)+(G7*Parameters!$C117)+(G8*Parameters!$C116)+(G9*Parameters!$C118)+(G10*Parameters!$C119)</f>
        <v>1.1956472007918376E-19</v>
      </c>
      <c r="H11">
        <f>(H6*Parameters!$C115)+(H7*Parameters!$C117)+(H8*Parameters!$C116)+(H9*Parameters!$C118)+(H10*Parameters!$C119)</f>
        <v>1.7338511952427632E-4</v>
      </c>
      <c r="I11">
        <f>(I6*Parameters!$C115)+(I7*Parameters!$C117)+(I8*Parameters!$C116)+(I9*Parameters!$C118)+(I10*Parameters!$C119)</f>
        <v>4.9148544019979208E-3</v>
      </c>
      <c r="J11">
        <f>(J6*Parameters!$C115)+(J7*Parameters!$C117)+(J8*Parameters!$C116)+(J9*Parameters!$C118)+(J10*Parameters!$C119)</f>
        <v>6.3684545636486639E-4</v>
      </c>
      <c r="K11">
        <f>(K6*Parameters!$C115)+(K7*Parameters!$C117)+(K8*Parameters!$C116)+(K9*Parameters!$C118)+(K10*Parameters!$C119)</f>
        <v>2.6296320567730675E-6</v>
      </c>
      <c r="L11">
        <f>(L6*Parameters!$C115)+(L7*Parameters!$C117)+(L8*Parameters!$C116)+(L9*Parameters!$C118)+(L10*Parameters!$C119)</f>
        <v>1.0922634506401339E-10</v>
      </c>
      <c r="M11">
        <f>(M6*Parameters!$C115)+(M7*Parameters!$C117)+(M8*Parameters!$C116)+(M9*Parameters!$C118)+(M10*Parameters!$C119)</f>
        <v>4.1834016479332636E-9</v>
      </c>
      <c r="N11">
        <f>(N6*Parameters!$C115)+(N7*Parameters!$C117)+(N8*Parameters!$C116)+(N9*Parameters!$C118)+(N10*Parameters!$C119)</f>
        <v>3.9047305478542126E-9</v>
      </c>
      <c r="O11">
        <f>(O6*Parameters!$C115)+(O7*Parameters!$C117)+(O8*Parameters!$C116)+(O9*Parameters!$C118)+(O10*Parameters!$C119)</f>
        <v>2.8153144118293557E-9</v>
      </c>
      <c r="P11">
        <f>(P6*Parameters!$C115)+(P7*Parameters!$C117)+(P8*Parameters!$C116)+(P9*Parameters!$C118)+(P10*Parameters!$C119)</f>
        <v>1.5075797929132167E-12</v>
      </c>
      <c r="Q11">
        <f>(Q6*Parameters!$C115)+(Q7*Parameters!$C117)+(Q8*Parameters!$C116)+(Q9*Parameters!$C118)+(Q10*Parameters!$C119)</f>
        <v>2.4831589662665749E-11</v>
      </c>
      <c r="R11">
        <f>(R6*Parameters!$C115)+(R7*Parameters!$C117)+(R8*Parameters!$C116)+(R9*Parameters!$C118)+(R10*Parameters!$C119)</f>
        <v>5.513048052015578E-3</v>
      </c>
      <c r="S11">
        <f>(S6*Parameters!$C115)+(S7*Parameters!$C117)+(S8*Parameters!$C116)+(S9*Parameters!$C118)+(S10*Parameters!$C119)</f>
        <v>9.7894484543755572E-4</v>
      </c>
      <c r="T11">
        <f>(T6*Parameters!$C115)+(T7*Parameters!$C117)+(T8*Parameters!$C116)+(T9*Parameters!$C118)+(T10*Parameters!$C119)</f>
        <v>5.7200543217100479E-3</v>
      </c>
      <c r="U11">
        <f>(U6*Parameters!$C115)+(U7*Parameters!$C117)+(U8*Parameters!$C116)+(U9*Parameters!$C118)+(U10*Parameters!$C119)</f>
        <v>6.2092544756616993E-4</v>
      </c>
      <c r="V11">
        <f>(V6*Parameters!$C115)+(V7*Parameters!$C117)+(V8*Parameters!$C116)+(V9*Parameters!$C118)+(V10*Parameters!$C119)</f>
        <v>2.156969672530875E-8</v>
      </c>
      <c r="W11">
        <f>(W6*Parameters!$C115)+(W7*Parameters!$C117)+(W8*Parameters!$C116)+(W9*Parameters!$C118)+(W10*Parameters!$C119)</f>
        <v>1.3927771515028752E-8</v>
      </c>
      <c r="X11">
        <f>(X6*Parameters!$C115)+(X7*Parameters!$C117)+(X8*Parameters!$C116)+(X9*Parameters!$C118)+(X10*Parameters!$C119)</f>
        <v>3.8715283991820489E-5</v>
      </c>
      <c r="Y11">
        <f>(Y6*Parameters!$C115)+(Y7*Parameters!$C117)+(Y8*Parameters!$C116)+(Y9*Parameters!$C118)+(Y10*Parameters!$C119)</f>
        <v>2.4442012332880924E-12</v>
      </c>
      <c r="Z11">
        <f>(Z6*Parameters!$C115)+(Z7*Parameters!$C117)+(Z8*Parameters!$C116)+(Z9*Parameters!$C118)+(Z10*Parameters!$C119)</f>
        <v>1.8595577423618802E-7</v>
      </c>
      <c r="AA11">
        <f>(AA6*Parameters!$C115)+(AA7*Parameters!$C117)+(AA8*Parameters!$C116)+(AA9*Parameters!$C118)+(AA10*Parameters!$C119)</f>
        <v>1.325259959724183E-3</v>
      </c>
      <c r="AB11">
        <f>(AB6*Parameters!$C115)+(AB7*Parameters!$C117)+(AB8*Parameters!$C116)+(AB9*Parameters!$C118)+(AB10*Parameters!$C119)</f>
        <v>1.3328518227523368E-10</v>
      </c>
      <c r="AC11">
        <f>(AC6*Parameters!$C115)+(AC7*Parameters!$C117)+(AC8*Parameters!$C116)+(AC9*Parameters!$C118)+(AC10*Parameters!$C119)</f>
        <v>1.2969661050848211E-3</v>
      </c>
      <c r="AD11">
        <f>(AD6*Parameters!$C115)+(AD7*Parameters!$C117)+(AD8*Parameters!$C116)+(AD9*Parameters!$C118)+(AD10*Parameters!$C119)</f>
        <v>7.8729715820392485E-4</v>
      </c>
      <c r="AE11">
        <f>(AE6*Parameters!$C115)+(AE7*Parameters!$C117)+(AE8*Parameters!$C116)+(AE9*Parameters!$C118)+(AE10*Parameters!$C119)</f>
        <v>5.0836366029854952E-4</v>
      </c>
      <c r="AF11">
        <f>(AF6*Parameters!$C115)+(AF7*Parameters!$C117)+(AF8*Parameters!$C116)+(AF9*Parameters!$C118)+(AF10*Parameters!$C119)</f>
        <v>1.9103662055097187E-6</v>
      </c>
      <c r="AG11">
        <f>(AG6*Parameters!$C115)+(AG7*Parameters!$C117)+(AG8*Parameters!$C116)+(AG9*Parameters!$C118)+(AG10*Parameters!$C119)</f>
        <v>4.3330564524379528E-2</v>
      </c>
      <c r="AH11">
        <f>(AH6*Parameters!$C115)+(AH7*Parameters!$C117)+(AH8*Parameters!$C116)+(AH9*Parameters!$C118)+(AH10*Parameters!$C119)</f>
        <v>4.8400969148032617E-7</v>
      </c>
      <c r="AI11">
        <f>(AI6*Parameters!$C115)+(AI7*Parameters!$C117)+(AI8*Parameters!$C116)+(AI9*Parameters!$C118)+(AI10*Parameters!$C119)</f>
        <v>5.2527182144792331E-8</v>
      </c>
      <c r="AJ11">
        <f>(AJ6*Parameters!$C115)+(AJ7*Parameters!$C117)+(AJ8*Parameters!$C116)+(AJ9*Parameters!$C118)+(AJ10*Parameters!$C119)</f>
        <v>6.4157955983514137E-9</v>
      </c>
      <c r="AK11">
        <f>(AK6*Parameters!$C115)+(AK7*Parameters!$C117)+(AK8*Parameters!$C116)+(AK9*Parameters!$C118)+(AK10*Parameters!$C119)</f>
        <v>6.0212379157918856E-7</v>
      </c>
    </row>
    <row r="12" spans="1:40" x14ac:dyDescent="0.35">
      <c r="A12" t="s">
        <v>96</v>
      </c>
      <c r="B12" t="s">
        <v>88</v>
      </c>
      <c r="C12">
        <v>0.62041963274004297</v>
      </c>
      <c r="D12">
        <v>2.3563059213548452</v>
      </c>
      <c r="E12" s="5">
        <v>8.3613782964352099E-6</v>
      </c>
      <c r="F12" s="5">
        <v>3.1755899999999999E-5</v>
      </c>
      <c r="AG12">
        <f>SUM(C12:D12,G12,H12,I12,J12,K12,P12,R12,S12,T12,U12,V12,W12,X12,AA12,AC12:AF12)</f>
        <v>2.9767255540948883</v>
      </c>
      <c r="AH12" s="5">
        <f>SUM(C12:AF12)-AG12</f>
        <v>4.0117278296225578E-5</v>
      </c>
    </row>
    <row r="13" spans="1:40" x14ac:dyDescent="0.35">
      <c r="A13" t="s">
        <v>25</v>
      </c>
      <c r="B13" t="s">
        <v>88</v>
      </c>
      <c r="H13">
        <v>0.79919440634400496</v>
      </c>
      <c r="X13">
        <v>0.2633022361019709</v>
      </c>
      <c r="Z13">
        <v>1.8783043446079511E-5</v>
      </c>
      <c r="AA13">
        <v>8.7162162162162158</v>
      </c>
      <c r="AB13">
        <v>9.0999999999999997E-7</v>
      </c>
      <c r="AC13">
        <v>6.5540676868567438</v>
      </c>
      <c r="AG13">
        <f>SUM(C13:D13,G13,H13,I13,J13,K13,P13,R13,S13,T13,U13,V13,W13,X13,AA13,AC13:AF13)</f>
        <v>16.332780545518936</v>
      </c>
      <c r="AH13" s="89">
        <f>SUM(C13:AF13)-AG13</f>
        <v>1.9693043448398839E-5</v>
      </c>
    </row>
    <row r="14" spans="1:40" x14ac:dyDescent="0.35">
      <c r="A14" s="17" t="s">
        <v>26</v>
      </c>
      <c r="B14" t="s">
        <v>88</v>
      </c>
      <c r="G14" s="5"/>
      <c r="AG14">
        <f t="shared" ref="AG14:AG26" si="0">SUM(C14:D14,G14,H14,I14,J14,K14,P14,R14,S14,T14,U14,V14,W14,X14,AA14,AC14:AF14)</f>
        <v>0</v>
      </c>
      <c r="AH14" s="89">
        <f t="shared" ref="AH14:AH26" si="1">SUM(C14:AF14)-AG14</f>
        <v>0</v>
      </c>
    </row>
    <row r="15" spans="1:40" x14ac:dyDescent="0.35">
      <c r="A15" t="s">
        <v>27</v>
      </c>
      <c r="B15" t="s">
        <v>88</v>
      </c>
      <c r="H15">
        <v>2.392595976864154</v>
      </c>
      <c r="Z15">
        <v>9.2871714816726453E-5</v>
      </c>
      <c r="AC15">
        <v>14.256733200892651</v>
      </c>
      <c r="AG15">
        <f t="shared" si="0"/>
        <v>16.649329177756805</v>
      </c>
      <c r="AH15" s="89">
        <f t="shared" si="1"/>
        <v>9.2871714816311624E-5</v>
      </c>
    </row>
    <row r="16" spans="1:40" x14ac:dyDescent="0.35">
      <c r="A16" s="17" t="s">
        <v>28</v>
      </c>
      <c r="B16" t="s">
        <v>88</v>
      </c>
      <c r="AG16">
        <f t="shared" si="0"/>
        <v>0</v>
      </c>
      <c r="AH16" s="89">
        <f t="shared" si="1"/>
        <v>0</v>
      </c>
    </row>
    <row r="17" spans="1:37" x14ac:dyDescent="0.35">
      <c r="A17" s="17" t="s">
        <v>409</v>
      </c>
      <c r="B17" t="s">
        <v>88</v>
      </c>
      <c r="AG17">
        <f t="shared" si="0"/>
        <v>0</v>
      </c>
      <c r="AH17" s="89">
        <f t="shared" si="1"/>
        <v>0</v>
      </c>
    </row>
    <row r="18" spans="1:37" x14ac:dyDescent="0.35">
      <c r="A18" t="s">
        <v>30</v>
      </c>
      <c r="B18" t="s">
        <v>88</v>
      </c>
      <c r="H18">
        <v>1.8467154807082919</v>
      </c>
      <c r="X18">
        <v>0.70894827030914009</v>
      </c>
      <c r="Z18">
        <v>1.7739541032408431E-4</v>
      </c>
      <c r="AC18">
        <v>23.809092738119169</v>
      </c>
      <c r="AG18">
        <f t="shared" si="0"/>
        <v>26.364756489136603</v>
      </c>
      <c r="AH18" s="89">
        <f t="shared" si="1"/>
        <v>1.7739541032213424E-4</v>
      </c>
    </row>
    <row r="19" spans="1:37" x14ac:dyDescent="0.35">
      <c r="A19" t="s">
        <v>223</v>
      </c>
      <c r="B19" t="s">
        <v>88</v>
      </c>
      <c r="H19">
        <v>2.392595976864154</v>
      </c>
      <c r="Z19">
        <v>9.2871714816726453E-5</v>
      </c>
      <c r="AC19">
        <v>14.256733200892651</v>
      </c>
      <c r="AG19">
        <f t="shared" si="0"/>
        <v>16.649329177756805</v>
      </c>
      <c r="AH19" s="89">
        <f t="shared" si="1"/>
        <v>9.2871714816311624E-5</v>
      </c>
    </row>
    <row r="20" spans="1:37" x14ac:dyDescent="0.35">
      <c r="A20" t="s">
        <v>224</v>
      </c>
      <c r="B20" t="s">
        <v>88</v>
      </c>
      <c r="C20">
        <v>50.852533704228733</v>
      </c>
      <c r="D20">
        <v>37.726813181914203</v>
      </c>
      <c r="E20">
        <v>6.8533819562643732E-4</v>
      </c>
      <c r="F20">
        <v>5.0844322179130084E-4</v>
      </c>
      <c r="AG20">
        <f t="shared" si="0"/>
        <v>88.579346886142929</v>
      </c>
      <c r="AH20" s="89">
        <f t="shared" si="1"/>
        <v>1.19378141741322E-3</v>
      </c>
    </row>
    <row r="21" spans="1:37" x14ac:dyDescent="0.35">
      <c r="A21" t="s">
        <v>225</v>
      </c>
      <c r="B21" t="s">
        <v>88</v>
      </c>
      <c r="X21">
        <v>1.9766250000000001</v>
      </c>
      <c r="AG21">
        <f t="shared" si="0"/>
        <v>1.9766250000000001</v>
      </c>
      <c r="AH21" s="89">
        <f t="shared" si="1"/>
        <v>0</v>
      </c>
    </row>
    <row r="22" spans="1:37" x14ac:dyDescent="0.35">
      <c r="A22" t="s">
        <v>144</v>
      </c>
      <c r="B22" t="s">
        <v>88</v>
      </c>
      <c r="Z22">
        <v>1.3675985732522491E-3</v>
      </c>
      <c r="AG22">
        <f t="shared" si="0"/>
        <v>0</v>
      </c>
      <c r="AH22" s="89">
        <f t="shared" si="1"/>
        <v>1.3675985732522491E-3</v>
      </c>
    </row>
    <row r="23" spans="1:37" x14ac:dyDescent="0.35">
      <c r="A23" t="s">
        <v>226</v>
      </c>
      <c r="B23" t="s">
        <v>88</v>
      </c>
      <c r="AA23">
        <v>2.5277027027027019</v>
      </c>
      <c r="AB23">
        <v>1.638E-7</v>
      </c>
      <c r="AG23">
        <f t="shared" si="0"/>
        <v>2.5277027027027019</v>
      </c>
      <c r="AH23" s="89">
        <f t="shared" si="1"/>
        <v>1.6379999978610726E-7</v>
      </c>
    </row>
    <row r="24" spans="1:37" x14ac:dyDescent="0.35">
      <c r="A24" s="17" t="s">
        <v>141</v>
      </c>
      <c r="AG24">
        <f t="shared" si="0"/>
        <v>0</v>
      </c>
      <c r="AH24" s="89">
        <f t="shared" si="1"/>
        <v>0</v>
      </c>
    </row>
    <row r="25" spans="1:37" x14ac:dyDescent="0.35">
      <c r="A25" s="39" t="s">
        <v>414</v>
      </c>
      <c r="B25" t="s">
        <v>88</v>
      </c>
      <c r="K25">
        <v>3.1274176726290208</v>
      </c>
      <c r="AG25">
        <f t="shared" si="0"/>
        <v>3.1274176726290208</v>
      </c>
      <c r="AH25" s="89">
        <f t="shared" si="1"/>
        <v>0</v>
      </c>
    </row>
    <row r="26" spans="1:37" x14ac:dyDescent="0.35">
      <c r="A26" s="39" t="s">
        <v>415</v>
      </c>
      <c r="B26" t="s">
        <v>88</v>
      </c>
      <c r="C26">
        <v>0.41583345734838739</v>
      </c>
      <c r="D26">
        <v>0.11820998722721771</v>
      </c>
      <c r="E26">
        <v>5.6041760475063289E-6</v>
      </c>
      <c r="F26">
        <v>1.5931127409014181E-6</v>
      </c>
      <c r="T26">
        <v>0.152</v>
      </c>
      <c r="U26">
        <v>1.6500000000000001E-2</v>
      </c>
      <c r="AG26">
        <f t="shared" si="0"/>
        <v>0.70254344457560503</v>
      </c>
      <c r="AH26" s="89">
        <f t="shared" si="1"/>
        <v>7.1972887885074499E-6</v>
      </c>
    </row>
    <row r="27" spans="1:37" x14ac:dyDescent="0.35">
      <c r="A27" t="s">
        <v>227</v>
      </c>
      <c r="B27" t="s">
        <v>88</v>
      </c>
      <c r="C27">
        <v>0.23152334559961671</v>
      </c>
      <c r="D27">
        <v>9.1497994595273885E-2</v>
      </c>
      <c r="E27">
        <v>3.1202337496399467E-6</v>
      </c>
      <c r="F27">
        <v>1.2331159521781704E-6</v>
      </c>
      <c r="G27">
        <v>3.5939000008012757E-20</v>
      </c>
      <c r="H27">
        <v>6.0276801787893936E-3</v>
      </c>
      <c r="I27">
        <v>5.3909966201764137E-2</v>
      </c>
      <c r="J27">
        <v>3.9281157205111897E-2</v>
      </c>
      <c r="K27">
        <v>5.4524179100948422E-5</v>
      </c>
      <c r="L27">
        <v>3.0249295318031371E-9</v>
      </c>
      <c r="M27">
        <v>1.1490511239584158E-7</v>
      </c>
      <c r="N27">
        <v>7.546917736671531E-8</v>
      </c>
      <c r="O27">
        <v>5.85720714736017E-8</v>
      </c>
      <c r="P27">
        <v>2.8259643073533631E-11</v>
      </c>
      <c r="Q27">
        <v>5.253718698395959E-10</v>
      </c>
      <c r="R27">
        <v>4.6989474466458932E-3</v>
      </c>
      <c r="S27">
        <v>4.2316085093282808E-2</v>
      </c>
      <c r="T27">
        <v>8.0521959714315694E-2</v>
      </c>
      <c r="U27">
        <v>8.7408310830224926E-3</v>
      </c>
      <c r="V27">
        <v>1.8677780669824737E-8</v>
      </c>
      <c r="W27">
        <v>1.648882337644944E-8</v>
      </c>
      <c r="X27">
        <v>2.0073883648627729E-3</v>
      </c>
      <c r="Y27">
        <v>1.2694832315792492E-10</v>
      </c>
      <c r="Z27">
        <v>3.619103403289948E-7</v>
      </c>
      <c r="AA27">
        <v>2.8325675352750448E-2</v>
      </c>
      <c r="AB27">
        <v>2.3621058782653779E-9</v>
      </c>
      <c r="AC27">
        <v>3.8813115348995703E-2</v>
      </c>
      <c r="AD27">
        <v>6.8185264858278225E-4</v>
      </c>
      <c r="AE27">
        <v>6.0184205324040449E-4</v>
      </c>
      <c r="AF27">
        <v>2.6424477288962865E-5</v>
      </c>
      <c r="AG27">
        <v>0.62903683601181959</v>
      </c>
      <c r="AH27">
        <v>5.0459217937175292E-6</v>
      </c>
      <c r="AI27">
        <v>6.1957224156916841E-7</v>
      </c>
      <c r="AJ27">
        <v>7.5676034731184317E-8</v>
      </c>
      <c r="AK27">
        <v>7.3917020696779911E-6</v>
      </c>
    </row>
    <row r="28" spans="1:37" x14ac:dyDescent="0.35">
      <c r="A28" t="s">
        <v>228</v>
      </c>
      <c r="B28" t="s">
        <v>88</v>
      </c>
      <c r="C28">
        <v>0.57518501330210292</v>
      </c>
      <c r="D28">
        <v>0.1852956240448719</v>
      </c>
      <c r="E28">
        <v>7.7517525765889504E-6</v>
      </c>
      <c r="F28">
        <v>2.497224019927784E-6</v>
      </c>
      <c r="G28">
        <v>3.9890908034265525E-18</v>
      </c>
      <c r="H28">
        <v>8.8714777022544516E-3</v>
      </c>
      <c r="I28">
        <v>7.3779372208077704E-2</v>
      </c>
      <c r="J28">
        <v>2.4525279008728106E-2</v>
      </c>
      <c r="K28">
        <v>3.6074948532728762E-5</v>
      </c>
      <c r="L28">
        <v>5.5072058365021838E-9</v>
      </c>
      <c r="M28">
        <v>2.585896540034641E-7</v>
      </c>
      <c r="N28">
        <v>1.7938781748110298E-7</v>
      </c>
      <c r="O28">
        <v>1.8156288271568799E-7</v>
      </c>
      <c r="P28">
        <v>7.7547789898348224E-11</v>
      </c>
      <c r="Q28">
        <v>1.4008319326237542E-9</v>
      </c>
      <c r="R28">
        <v>1.050855606350889E-2</v>
      </c>
      <c r="S28">
        <v>1.8970043663028874E-2</v>
      </c>
      <c r="T28">
        <v>0.1989755126066165</v>
      </c>
      <c r="U28">
        <v>2.1599272191896699E-2</v>
      </c>
      <c r="V28">
        <v>3.8568777293281872E-7</v>
      </c>
      <c r="W28">
        <v>5.2487349874142112E-7</v>
      </c>
      <c r="X28">
        <v>3.6257269460865439E-3</v>
      </c>
      <c r="Y28">
        <v>6.0235591956979194E-11</v>
      </c>
      <c r="Z28">
        <v>7.1374671243470142E-7</v>
      </c>
      <c r="AA28">
        <v>2.0639575985298485E-2</v>
      </c>
      <c r="AB28">
        <v>1.9849032526748745E-9</v>
      </c>
      <c r="AC28">
        <v>8.1315348364733239E-2</v>
      </c>
      <c r="AD28">
        <v>1.4077665094112627E-2</v>
      </c>
      <c r="AE28">
        <v>1.9157882704061865E-2</v>
      </c>
      <c r="AF28">
        <v>8.7088127423101466E-5</v>
      </c>
      <c r="AG28">
        <v>1.2567017021135045</v>
      </c>
      <c r="AH28">
        <v>1.3917056507720995E-5</v>
      </c>
      <c r="AI28">
        <v>1.9042034928556072E-5</v>
      </c>
      <c r="AJ28">
        <v>2.3258396679555834E-6</v>
      </c>
      <c r="AK28">
        <v>3.2236478423249525E-5</v>
      </c>
    </row>
    <row r="29" spans="1:37" x14ac:dyDescent="0.35">
      <c r="A29" t="s">
        <v>229</v>
      </c>
      <c r="B29" t="s">
        <v>88</v>
      </c>
      <c r="C29">
        <v>0.25246103828102601</v>
      </c>
      <c r="D29">
        <v>7.6884143820528217E-2</v>
      </c>
      <c r="E29">
        <v>3.4024104570252199E-6</v>
      </c>
      <c r="F29">
        <v>1.0361654879324655E-6</v>
      </c>
      <c r="G29">
        <v>2.0720307290252473E-18</v>
      </c>
      <c r="H29">
        <v>4.8895792725799896E-3</v>
      </c>
      <c r="I29">
        <v>0.13220144689056129</v>
      </c>
      <c r="J29">
        <v>1.3751198942389279E-2</v>
      </c>
      <c r="K29">
        <v>2.4885781537514941E-5</v>
      </c>
      <c r="L29">
        <v>3.6714451432737336E-9</v>
      </c>
      <c r="M29">
        <v>1.8273608816036452E-7</v>
      </c>
      <c r="N29">
        <v>1.2199789266761732E-7</v>
      </c>
      <c r="O29">
        <v>1.134639090487278E-7</v>
      </c>
      <c r="P29">
        <v>4.5438068175651619E-11</v>
      </c>
      <c r="Q29">
        <v>7.8933778726355012E-10</v>
      </c>
      <c r="R29">
        <v>2.3650481109183889E-2</v>
      </c>
      <c r="S29">
        <v>4.3627547569880659E-2</v>
      </c>
      <c r="T29">
        <v>9.1304599355772842E-2</v>
      </c>
      <c r="U29">
        <v>9.9112966587062909E-3</v>
      </c>
      <c r="V29">
        <v>2.2604763597282744E-7</v>
      </c>
      <c r="W29">
        <v>2.8296064487383868E-7</v>
      </c>
      <c r="X29">
        <v>8.0009027709433147E-4</v>
      </c>
      <c r="Y29">
        <v>2.6968749471235567E-11</v>
      </c>
      <c r="Z29">
        <v>4.4915067324877472E-7</v>
      </c>
      <c r="AA29">
        <v>2.1631556467938785E-2</v>
      </c>
      <c r="AB29">
        <v>2.1513069816569795E-9</v>
      </c>
      <c r="AC29">
        <v>3.3704359893679273E-2</v>
      </c>
      <c r="AD29">
        <v>8.2507834550806115E-3</v>
      </c>
      <c r="AE29">
        <v>1.0328063537895109E-2</v>
      </c>
      <c r="AF29">
        <v>5.0815970942541998E-5</v>
      </c>
      <c r="AG29">
        <v>0.72349036664109567</v>
      </c>
      <c r="AH29">
        <v>5.6198992773063345E-6</v>
      </c>
      <c r="AI29">
        <v>2.5162084110676337E-6</v>
      </c>
      <c r="AJ29">
        <v>3.0733571056148432E-7</v>
      </c>
      <c r="AK29">
        <v>1.5454094169259973E-5</v>
      </c>
    </row>
    <row r="30" spans="1:37" x14ac:dyDescent="0.35">
      <c r="A30" t="s">
        <v>230</v>
      </c>
      <c r="B30" t="s">
        <v>88</v>
      </c>
      <c r="C30">
        <v>0.15058630886978489</v>
      </c>
      <c r="D30">
        <v>4.5215284687181966E-2</v>
      </c>
      <c r="E30">
        <v>2.0294475356354117E-6</v>
      </c>
      <c r="F30">
        <v>6.0936514594300604E-7</v>
      </c>
      <c r="G30">
        <v>2.289521288876956E-18</v>
      </c>
      <c r="H30">
        <v>1.4034236238186039E-2</v>
      </c>
      <c r="I30">
        <v>7.349362546607624E-2</v>
      </c>
      <c r="J30">
        <v>6.7405600649557435E-3</v>
      </c>
      <c r="K30">
        <v>3.1201992796418758E-3</v>
      </c>
      <c r="L30">
        <v>3.9097242099138545E-9</v>
      </c>
      <c r="M30">
        <v>1.4645926911176282E-7</v>
      </c>
      <c r="N30">
        <v>1.2555538069947665E-7</v>
      </c>
      <c r="O30">
        <v>2.1940332822667247E-7</v>
      </c>
      <c r="P30">
        <v>1.455095913601662E-10</v>
      </c>
      <c r="Q30">
        <v>2.9605534422655179E-9</v>
      </c>
      <c r="R30">
        <v>2.1390801805028364E-2</v>
      </c>
      <c r="S30">
        <v>2.4768996472056642E-2</v>
      </c>
      <c r="T30">
        <v>5.420360289464795E-2</v>
      </c>
      <c r="U30">
        <v>5.8839214733860043E-3</v>
      </c>
      <c r="V30">
        <v>2.2661925580926573E-7</v>
      </c>
      <c r="W30">
        <v>3.007108435445814E-7</v>
      </c>
      <c r="X30">
        <v>4.511620982287054E-4</v>
      </c>
      <c r="Y30">
        <v>1.1973211066454374E-11</v>
      </c>
      <c r="Z30">
        <v>1.130016209357212E-6</v>
      </c>
      <c r="AA30">
        <v>8.6391901192993323E-3</v>
      </c>
      <c r="AB30">
        <v>8.644260593447129E-10</v>
      </c>
      <c r="AC30">
        <v>8.557809220933292E-2</v>
      </c>
      <c r="AD30">
        <v>8.2717180230007827E-3</v>
      </c>
      <c r="AE30">
        <v>1.0975945789377222E-2</v>
      </c>
      <c r="AF30">
        <v>1.2100942609075048E-4</v>
      </c>
      <c r="AG30">
        <v>0.51359006359520865</v>
      </c>
      <c r="AH30">
        <v>5.1734692657180395E-6</v>
      </c>
      <c r="AI30">
        <v>7.4132798237828024E-6</v>
      </c>
      <c r="AJ30">
        <v>9.0547571982192579E-7</v>
      </c>
      <c r="AK30">
        <v>1.0746792350090466E-4</v>
      </c>
    </row>
    <row r="31" spans="1:37" x14ac:dyDescent="0.35">
      <c r="A31" t="s">
        <v>231</v>
      </c>
      <c r="B31" t="s">
        <v>88</v>
      </c>
      <c r="C31">
        <v>3.233197266628839E-3</v>
      </c>
      <c r="D31">
        <v>1.4752003607961062E-3</v>
      </c>
      <c r="E31">
        <v>4.3573710480260214E-8</v>
      </c>
      <c r="F31">
        <v>1.9881234617251735E-8</v>
      </c>
      <c r="G31">
        <v>1.9344146114094601E-21</v>
      </c>
      <c r="H31">
        <v>6.636890964110029E-5</v>
      </c>
      <c r="I31">
        <v>7.5505203869427465E-4</v>
      </c>
      <c r="J31">
        <v>3.1143303711277857E-4</v>
      </c>
      <c r="K31">
        <v>3.5965965508570343E-7</v>
      </c>
      <c r="L31">
        <v>4.2855048343964826E-11</v>
      </c>
      <c r="M31">
        <v>3.2113094191554205E-9</v>
      </c>
      <c r="N31">
        <v>1.3619544432882786E-9</v>
      </c>
      <c r="O31">
        <v>1.1392657054087988E-9</v>
      </c>
      <c r="P31">
        <v>1.016477062959068E-11</v>
      </c>
      <c r="Q31">
        <v>1.2800992923004201E-10</v>
      </c>
      <c r="R31">
        <v>7.5630766742319777E-4</v>
      </c>
      <c r="S31">
        <v>3.9219772833467828E-3</v>
      </c>
      <c r="T31">
        <v>1.0931182279903455E-3</v>
      </c>
      <c r="U31">
        <v>1.1865992824121522E-4</v>
      </c>
      <c r="V31">
        <v>2.7437094728545446E-9</v>
      </c>
      <c r="W31">
        <v>1.8314111929149236E-9</v>
      </c>
      <c r="X31">
        <v>1.4534951575830311E-5</v>
      </c>
      <c r="Y31">
        <v>1.9514453186616275E-13</v>
      </c>
      <c r="Z31">
        <v>6.9437348467136171E-9</v>
      </c>
      <c r="AA31">
        <v>4.3203666400959488E-4</v>
      </c>
      <c r="AB31">
        <v>4.3746168565178258E-11</v>
      </c>
      <c r="AC31">
        <v>4.8190886140179936E-4</v>
      </c>
      <c r="AD31">
        <v>1.0014674478861022E-4</v>
      </c>
      <c r="AE31">
        <v>6.6846508541394708E-5</v>
      </c>
      <c r="AF31">
        <v>7.8568836195716457E-6</v>
      </c>
      <c r="AG31">
        <v>1.2982466109688204E-2</v>
      </c>
      <c r="AH31">
        <v>1.0766423037941223E-7</v>
      </c>
      <c r="AI31">
        <v>2.5657115784421793E-7</v>
      </c>
      <c r="AJ31">
        <v>3.1338214576662513E-8</v>
      </c>
      <c r="AK31">
        <v>1.4719995977840455E-4</v>
      </c>
    </row>
    <row r="32" spans="1:37" x14ac:dyDescent="0.35">
      <c r="A32" t="s">
        <v>127</v>
      </c>
      <c r="B32" t="s">
        <v>88</v>
      </c>
      <c r="C32">
        <v>1.2634258024954614</v>
      </c>
      <c r="D32">
        <v>0.3845398868319751</v>
      </c>
      <c r="E32">
        <v>1.7027154729915053E-5</v>
      </c>
      <c r="F32">
        <v>5.1824334598672136E-6</v>
      </c>
      <c r="G32">
        <v>1.1804703880518749E-19</v>
      </c>
      <c r="H32">
        <v>3.7539918187422361E-2</v>
      </c>
      <c r="I32">
        <v>0.47772922362030168</v>
      </c>
      <c r="J32">
        <v>0.10027248161130796</v>
      </c>
      <c r="K32">
        <v>1.9677837939715673E-5</v>
      </c>
      <c r="L32">
        <v>1.1821865676001042E-8</v>
      </c>
      <c r="M32">
        <v>1.6797788436948345E-7</v>
      </c>
      <c r="N32">
        <v>3.5529760302935768E-7</v>
      </c>
      <c r="O32">
        <v>1.985315470508918E-7</v>
      </c>
      <c r="P32">
        <v>1.9926702573105611E-10</v>
      </c>
      <c r="Q32">
        <v>3.3445847887544294E-9</v>
      </c>
      <c r="R32">
        <v>2.2971069097696604E-2</v>
      </c>
      <c r="S32">
        <v>4.0682934856713253E-2</v>
      </c>
      <c r="T32">
        <v>0.45706972385011724</v>
      </c>
      <c r="U32">
        <v>4.9615971371921988E-2</v>
      </c>
      <c r="V32">
        <v>4.7965579415764859E-7</v>
      </c>
      <c r="W32">
        <v>2.6578995566407441E-7</v>
      </c>
      <c r="X32">
        <v>2.2087376178495026E-3</v>
      </c>
      <c r="Y32">
        <v>2.8627356287183962E-11</v>
      </c>
      <c r="Z32">
        <v>4.5150881472481989E-6</v>
      </c>
      <c r="AA32">
        <v>7.1239532634324851E-2</v>
      </c>
      <c r="AB32">
        <v>7.3007937875971041E-9</v>
      </c>
      <c r="AC32">
        <v>0.23869150612336579</v>
      </c>
      <c r="AD32">
        <v>1.7507682642731167E-2</v>
      </c>
      <c r="AE32">
        <v>9.7013333817387182E-3</v>
      </c>
      <c r="AF32">
        <v>2.4508409084730989E-4</v>
      </c>
      <c r="AG32">
        <v>3.173926973767867</v>
      </c>
      <c r="AH32">
        <v>2.7878402485008768E-5</v>
      </c>
      <c r="AI32">
        <v>3.3520159538995287E-6</v>
      </c>
      <c r="AJ32">
        <v>4.0942324191979877E-7</v>
      </c>
      <c r="AK32">
        <v>4.6230985518078545E-4</v>
      </c>
    </row>
    <row r="33" spans="1:37" x14ac:dyDescent="0.35">
      <c r="A33" t="s">
        <v>253</v>
      </c>
      <c r="B33" t="s">
        <v>88</v>
      </c>
      <c r="C33">
        <v>1.98276235135481</v>
      </c>
      <c r="D33">
        <v>0.60143574840806768</v>
      </c>
      <c r="E33">
        <v>2.672163357949929E-5</v>
      </c>
      <c r="F33">
        <v>8.1055330103432964E-6</v>
      </c>
      <c r="G33">
        <v>1.3097601406295267E-17</v>
      </c>
      <c r="H33">
        <v>4.9898833240263556E-2</v>
      </c>
      <c r="I33">
        <v>8.8435677217905759</v>
      </c>
      <c r="J33">
        <v>0.17100583819355003</v>
      </c>
      <c r="K33">
        <v>4.89633802984286E-4</v>
      </c>
      <c r="L33">
        <v>4.6252071912521103E-8</v>
      </c>
      <c r="M33">
        <v>6.2794828476142792E-6</v>
      </c>
      <c r="N33">
        <v>1.3863795194155507E-6</v>
      </c>
      <c r="O33">
        <v>2.8909315957076682E-6</v>
      </c>
      <c r="P33">
        <v>5.0182779785413791E-10</v>
      </c>
      <c r="Q33">
        <v>8.0697763850683298E-9</v>
      </c>
      <c r="R33">
        <v>7.0209895651957593E-2</v>
      </c>
      <c r="S33">
        <v>0.11857824170552793</v>
      </c>
      <c r="T33">
        <v>0.71575874275095053</v>
      </c>
      <c r="U33">
        <v>7.7697232946619732E-2</v>
      </c>
      <c r="V33">
        <v>1.7757896974803496E-6</v>
      </c>
      <c r="W33">
        <v>2.0566412991170785E-6</v>
      </c>
      <c r="X33">
        <v>7.3018258940127818E-3</v>
      </c>
      <c r="Y33">
        <v>1.5803457064804116E-9</v>
      </c>
      <c r="Z33">
        <v>5.4700676758455584E-6</v>
      </c>
      <c r="AA33">
        <v>0.13034452234961411</v>
      </c>
      <c r="AB33">
        <v>1.3195847571214254E-8</v>
      </c>
      <c r="AC33">
        <v>0.32466583873978438</v>
      </c>
      <c r="AD33">
        <v>6.4937117128434696E-2</v>
      </c>
      <c r="AE33">
        <v>7.5067407417773346E-2</v>
      </c>
      <c r="AF33">
        <v>7.720174968989706E-4</v>
      </c>
      <c r="AG33">
        <v>13.23490239040162</v>
      </c>
      <c r="AH33">
        <v>5.4280096171259631E-5</v>
      </c>
      <c r="AI33">
        <v>2.7484069084638546E-5</v>
      </c>
      <c r="AJ33">
        <v>3.35696990125874E-6</v>
      </c>
      <c r="AK33">
        <v>3.7810452787760603E-4</v>
      </c>
    </row>
    <row r="34" spans="1:37" x14ac:dyDescent="0.35">
      <c r="A34" t="s">
        <v>281</v>
      </c>
      <c r="B34" t="s">
        <v>239</v>
      </c>
      <c r="C34">
        <v>9.2345532583272688E-2</v>
      </c>
      <c r="D34">
        <v>3.6271031273941524E-2</v>
      </c>
      <c r="E34">
        <v>1.2445381982907898E-6</v>
      </c>
      <c r="F34">
        <v>4.888236891277269E-7</v>
      </c>
      <c r="G34">
        <v>1.3270271225921773E-19</v>
      </c>
      <c r="H34">
        <v>2.0338405662320867E-3</v>
      </c>
      <c r="I34">
        <v>2.978971592823719</v>
      </c>
      <c r="J34">
        <v>6.7124289622960713E-3</v>
      </c>
      <c r="K34">
        <v>1.2750680045936482E-2</v>
      </c>
      <c r="L34">
        <v>1.7899237955003304E-8</v>
      </c>
      <c r="M34">
        <v>1.1926514329728577E-7</v>
      </c>
      <c r="N34">
        <v>8.5934993561612462E-7</v>
      </c>
      <c r="O34">
        <v>6.4789761585409413E-7</v>
      </c>
      <c r="P34">
        <v>7.884257324482384E-11</v>
      </c>
      <c r="Q34">
        <v>1.5130176100698047E-9</v>
      </c>
      <c r="R34">
        <v>4.5994250944693636E-3</v>
      </c>
      <c r="S34">
        <v>1.0311723490791529E-2</v>
      </c>
      <c r="T34">
        <v>2.9900954845046512E-2</v>
      </c>
      <c r="U34">
        <v>3.2458104709846437E-3</v>
      </c>
      <c r="V34">
        <v>2.6654643631000712E-5</v>
      </c>
      <c r="W34">
        <v>1.3034913469128935E-5</v>
      </c>
      <c r="X34">
        <v>0.15593722806708174</v>
      </c>
      <c r="Y34">
        <v>5.1364403857354534E-12</v>
      </c>
      <c r="Z34">
        <v>1.8298016236133136E-7</v>
      </c>
      <c r="AA34">
        <v>7.1055637534287374E-3</v>
      </c>
      <c r="AB34">
        <v>7.2009463750542142E-10</v>
      </c>
      <c r="AC34">
        <v>1.5628420019741039E-2</v>
      </c>
      <c r="AD34">
        <v>0.97289572605036001</v>
      </c>
      <c r="AE34">
        <v>0.47577434162320553</v>
      </c>
      <c r="AF34">
        <v>5.9002177150309411E-5</v>
      </c>
      <c r="AG34">
        <v>4.8045968891474109</v>
      </c>
      <c r="AH34">
        <v>3.5612337067090284E-6</v>
      </c>
      <c r="AI34">
        <v>-1.4397331448345527E-8</v>
      </c>
      <c r="AJ34">
        <v>-1.7585244812786446E-9</v>
      </c>
      <c r="AK34">
        <v>1.3912061140071935E-5</v>
      </c>
    </row>
    <row r="35" spans="1:37" x14ac:dyDescent="0.35">
      <c r="A35" t="s">
        <v>340</v>
      </c>
      <c r="B35" t="s">
        <v>88</v>
      </c>
      <c r="C35">
        <v>1.7034246426281402E-2</v>
      </c>
      <c r="D35">
        <v>5.2065341558271286E-3</v>
      </c>
      <c r="E35">
        <v>2.2957006975392841E-7</v>
      </c>
      <c r="F35">
        <v>7.0168317365969447E-8</v>
      </c>
      <c r="G35">
        <v>4.5022235589362516E-20</v>
      </c>
      <c r="H35">
        <v>2.5928244867600081E-4</v>
      </c>
      <c r="I35">
        <v>4.0924082296943439E-3</v>
      </c>
      <c r="J35">
        <v>6.9640851481279084E-4</v>
      </c>
      <c r="K35">
        <v>1.3742828932339349E-4</v>
      </c>
      <c r="L35">
        <v>1.323786117024824E-10</v>
      </c>
      <c r="M35">
        <v>1.0765567268011575E-8</v>
      </c>
      <c r="N35">
        <v>4.3734985711892867E-9</v>
      </c>
      <c r="O35">
        <v>2.8445728365133349E-9</v>
      </c>
      <c r="P35">
        <v>5.9988814476298481E-12</v>
      </c>
      <c r="Q35">
        <v>1.0531278716734021E-10</v>
      </c>
      <c r="R35">
        <v>0.25176696135830295</v>
      </c>
      <c r="S35">
        <v>1.8987169671067345E-3</v>
      </c>
      <c r="T35">
        <v>6.236507610321294E-3</v>
      </c>
      <c r="U35">
        <v>6.7695974410530448E-4</v>
      </c>
      <c r="V35">
        <v>9.3271388313232976E-9</v>
      </c>
      <c r="W35">
        <v>6.9917796387327536E-9</v>
      </c>
      <c r="X35">
        <v>6.4355289469460571E-5</v>
      </c>
      <c r="Y35">
        <v>1.38288510258971E-12</v>
      </c>
      <c r="Z35">
        <v>2.4117589057931597E-8</v>
      </c>
      <c r="AA35">
        <v>2.0503152980787709E-3</v>
      </c>
      <c r="AB35">
        <v>1.9290480775260567E-10</v>
      </c>
      <c r="AC35">
        <v>1.8745500724791019E-3</v>
      </c>
      <c r="AD35">
        <v>3.4044696910090158E-4</v>
      </c>
      <c r="AE35">
        <v>2.5519995681374554E-4</v>
      </c>
      <c r="AF35">
        <v>6.6555554637872157E-6</v>
      </c>
      <c r="AG35">
        <v>0.29259981710161703</v>
      </c>
      <c r="AH35">
        <v>3.5373209886189294E-7</v>
      </c>
      <c r="AI35">
        <v>9.382905362218815E-8</v>
      </c>
      <c r="AJ35">
        <v>1.1460504916621468E-8</v>
      </c>
      <c r="AK35">
        <v>2.7300617887351016E-6</v>
      </c>
    </row>
    <row r="37" spans="1:37" x14ac:dyDescent="0.35">
      <c r="A37" t="s">
        <v>341</v>
      </c>
      <c r="B37" t="s">
        <v>128</v>
      </c>
      <c r="C37">
        <v>1.3824982952964771E-2</v>
      </c>
      <c r="D37">
        <v>4.3448491111507609E-3</v>
      </c>
      <c r="E37">
        <v>1.8631891434670516E-7</v>
      </c>
      <c r="F37">
        <v>5.8555411760291042E-8</v>
      </c>
      <c r="G37">
        <v>0</v>
      </c>
      <c r="H37">
        <v>4.6485490314901408E-4</v>
      </c>
      <c r="I37">
        <v>2.3786994219152646E-2</v>
      </c>
      <c r="J37">
        <v>2.8233329127849691E-3</v>
      </c>
      <c r="K37">
        <v>7.9803111558643204E-6</v>
      </c>
      <c r="L37">
        <v>1.0699067796871338E-9</v>
      </c>
      <c r="M37">
        <v>2.6189697019005415E-8</v>
      </c>
      <c r="N37">
        <v>3.7103556683316001E-8</v>
      </c>
      <c r="O37">
        <v>3.8354561367818476E-8</v>
      </c>
      <c r="P37">
        <v>2.4781029381104743E-13</v>
      </c>
      <c r="Q37">
        <v>8.4198596243739606E-12</v>
      </c>
      <c r="R37">
        <v>3.319571326489909E-2</v>
      </c>
      <c r="S37">
        <v>2.6553411334940442E-3</v>
      </c>
      <c r="T37">
        <v>4.5994162120045687E-3</v>
      </c>
      <c r="U37">
        <v>4.992696160153739E-4</v>
      </c>
      <c r="V37">
        <v>1.2243211644164006E-7</v>
      </c>
      <c r="W37">
        <v>1.0121041890475962E-7</v>
      </c>
      <c r="X37">
        <v>9.2096627995968481E-5</v>
      </c>
      <c r="Y37">
        <v>1.7140880312067482E-12</v>
      </c>
      <c r="Z37">
        <v>7.1625226693215106E-8</v>
      </c>
      <c r="AA37">
        <v>2.0593875972052334E-3</v>
      </c>
      <c r="AB37">
        <v>2.0771818262542056E-10</v>
      </c>
      <c r="AC37">
        <v>3.5156093164907766E-3</v>
      </c>
      <c r="AD37">
        <v>4.4687846918044982E-3</v>
      </c>
      <c r="AE37">
        <v>3.6941802900237256E-3</v>
      </c>
      <c r="AF37">
        <v>1.4063126802969403E-5</v>
      </c>
      <c r="AG37">
        <v>0.1000497919613773</v>
      </c>
      <c r="AH37">
        <v>4.3286201826245368E-7</v>
      </c>
      <c r="AI37">
        <v>1.0992818641264898E-7</v>
      </c>
      <c r="AJ37">
        <v>1.3426891482144081E-8</v>
      </c>
      <c r="AK37">
        <v>2.6021033134810767E-6</v>
      </c>
    </row>
    <row r="38" spans="1:37" x14ac:dyDescent="0.35">
      <c r="A38" t="s">
        <v>343</v>
      </c>
      <c r="B38" t="s">
        <v>239</v>
      </c>
      <c r="C38">
        <v>0.19208700505305459</v>
      </c>
      <c r="D38">
        <v>7.7895458522338326E-2</v>
      </c>
      <c r="E38">
        <v>2.5887512746567361E-6</v>
      </c>
      <c r="F38">
        <v>1.04979494830469E-6</v>
      </c>
      <c r="G38">
        <v>0</v>
      </c>
      <c r="H38">
        <v>2.5264038582091964E-3</v>
      </c>
      <c r="I38">
        <v>2.7002480903112455E-2</v>
      </c>
      <c r="J38">
        <v>3.1055895729254268E-2</v>
      </c>
      <c r="K38">
        <v>4.0494622827571366E-6</v>
      </c>
      <c r="L38">
        <v>1.4981608392966044E-9</v>
      </c>
      <c r="M38">
        <v>1.2329244793319029E-8</v>
      </c>
      <c r="N38">
        <v>4.4427158793134555E-8</v>
      </c>
      <c r="O38">
        <v>2.9351524442075052E-8</v>
      </c>
      <c r="P38">
        <v>5.7241307379024534E-12</v>
      </c>
      <c r="Q38">
        <v>1.2261411152534228E-10</v>
      </c>
      <c r="R38">
        <v>3.4303236124844007E-3</v>
      </c>
      <c r="S38">
        <v>1.4342243451923767E-2</v>
      </c>
      <c r="T38">
        <v>6.6426258952306624E-2</v>
      </c>
      <c r="U38">
        <v>7.2106913341117252E-3</v>
      </c>
      <c r="V38">
        <v>4.8755254936658162E-8</v>
      </c>
      <c r="W38">
        <v>4.2659540652520935E-8</v>
      </c>
      <c r="X38">
        <v>3.9935438767819319E-4</v>
      </c>
      <c r="Y38">
        <v>2.1627319873371325E-10</v>
      </c>
      <c r="Z38">
        <v>1.7938465913232917E-7</v>
      </c>
      <c r="AA38">
        <v>1.8893856168961297E-2</v>
      </c>
      <c r="AB38">
        <v>1.7004088607989403E-9</v>
      </c>
      <c r="AC38">
        <v>1.7655912783180006E-2</v>
      </c>
      <c r="AD38">
        <v>1.7796015102347527E-3</v>
      </c>
      <c r="AE38">
        <v>1.5570732338170141E-3</v>
      </c>
      <c r="AF38">
        <v>1.720680259983359E-5</v>
      </c>
      <c r="AG38">
        <v>0.46230322003832358</v>
      </c>
      <c r="AH38">
        <v>3.9848172992440324E-6</v>
      </c>
      <c r="AI38">
        <v>6.3238513455906604E-7</v>
      </c>
      <c r="AJ38">
        <v>7.7241032111394951E-8</v>
      </c>
      <c r="AK38">
        <v>1.8680467120311755E-5</v>
      </c>
    </row>
    <row r="39" spans="1:37" x14ac:dyDescent="0.35">
      <c r="A39" t="s">
        <v>345</v>
      </c>
      <c r="B39" t="s">
        <v>219</v>
      </c>
      <c r="C39">
        <f>(C9*0.75)+(C6*0.25)</f>
        <v>1.1727115942784574E-2</v>
      </c>
      <c r="D39">
        <f t="shared" ref="D39:AK39" si="2">(D9*0.75)+(D6*0.25)</f>
        <v>3.6711148979433001E-3</v>
      </c>
      <c r="E39">
        <f t="shared" si="2"/>
        <v>1.5804601845161695E-7</v>
      </c>
      <c r="F39">
        <f t="shared" si="2"/>
        <v>4.9475514331837038E-8</v>
      </c>
      <c r="G39">
        <f t="shared" si="2"/>
        <v>6.9460622609848014E-20</v>
      </c>
      <c r="H39">
        <f t="shared" si="2"/>
        <v>2.8950958079851418E-4</v>
      </c>
      <c r="I39">
        <f t="shared" si="2"/>
        <v>9.4707528221052092E-3</v>
      </c>
      <c r="J39">
        <f t="shared" si="2"/>
        <v>7.0289635981306796E-4</v>
      </c>
      <c r="K39">
        <f t="shared" si="2"/>
        <v>4.7183027696029896E-6</v>
      </c>
      <c r="L39">
        <f t="shared" si="2"/>
        <v>1.7136685013317717E-10</v>
      </c>
      <c r="M39">
        <f t="shared" si="2"/>
        <v>4.67974974953058E-9</v>
      </c>
      <c r="N39">
        <f t="shared" si="2"/>
        <v>6.4559481908081532E-9</v>
      </c>
      <c r="O39">
        <f t="shared" si="2"/>
        <v>4.8828787957331204E-9</v>
      </c>
      <c r="P39">
        <f t="shared" si="2"/>
        <v>2.0297511115292472E-12</v>
      </c>
      <c r="Q39">
        <f t="shared" si="2"/>
        <v>3.1285038827269542E-11</v>
      </c>
      <c r="R39">
        <f t="shared" si="2"/>
        <v>1.1398005392967514E-2</v>
      </c>
      <c r="S39">
        <f t="shared" si="2"/>
        <v>1.7228357601727074E-3</v>
      </c>
      <c r="T39">
        <f t="shared" si="2"/>
        <v>4.1816202097337421E-3</v>
      </c>
      <c r="U39">
        <f t="shared" si="2"/>
        <v>4.5392411360181245E-4</v>
      </c>
      <c r="V39">
        <f t="shared" si="2"/>
        <v>4.3142434111056332E-8</v>
      </c>
      <c r="W39">
        <f t="shared" si="2"/>
        <v>2.7447044429275303E-8</v>
      </c>
      <c r="X39">
        <f t="shared" si="2"/>
        <v>6.9804730020985907E-5</v>
      </c>
      <c r="Y39">
        <f t="shared" si="2"/>
        <v>1.4440704601025176E-12</v>
      </c>
      <c r="Z39">
        <f t="shared" si="2"/>
        <v>3.8167541676825349E-7</v>
      </c>
      <c r="AA39">
        <f t="shared" si="2"/>
        <v>2.2932760445962914E-3</v>
      </c>
      <c r="AB39">
        <f t="shared" si="2"/>
        <v>2.347040242986831E-10</v>
      </c>
      <c r="AC39">
        <f t="shared" si="2"/>
        <v>2.2059843295259137E-3</v>
      </c>
      <c r="AD39">
        <f t="shared" si="2"/>
        <v>1.5747046487109171E-3</v>
      </c>
      <c r="AE39">
        <f t="shared" si="2"/>
        <v>1.0018171216685486E-3</v>
      </c>
      <c r="AF39">
        <f t="shared" si="2"/>
        <v>3.0109941251384952E-6</v>
      </c>
      <c r="AG39">
        <f t="shared" si="2"/>
        <v>5.0772048261817547E-2</v>
      </c>
      <c r="AH39">
        <f t="shared" si="2"/>
        <v>6.1655176047584382E-7</v>
      </c>
      <c r="AI39">
        <f t="shared" si="2"/>
        <v>8.921910035750695E-8</v>
      </c>
      <c r="AJ39">
        <f t="shared" si="2"/>
        <v>1.0897434204346044E-8</v>
      </c>
      <c r="AK39">
        <f t="shared" si="2"/>
        <v>7.9719987107931683E-7</v>
      </c>
    </row>
  </sheetData>
  <autoFilter ref="A1:AK35" xr:uid="{53E97A23-3613-4D1B-AFA4-17D7DC5FF149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28</vt:i4>
      </vt:variant>
      <vt:variant>
        <vt:lpstr>Plages nommées</vt:lpstr>
      </vt:variant>
      <vt:variant>
        <vt:i4>5</vt:i4>
      </vt:variant>
    </vt:vector>
  </HeadingPairs>
  <TitlesOfParts>
    <vt:vector size="33" baseType="lpstr">
      <vt:lpstr>LCIA_AD-f</vt:lpstr>
      <vt:lpstr>IW+f</vt:lpstr>
      <vt:lpstr>LCIA_AD-e</vt:lpstr>
      <vt:lpstr>LCI_AD-e</vt:lpstr>
      <vt:lpstr>LCI_AD-f</vt:lpstr>
      <vt:lpstr>LCIA_AD-d</vt:lpstr>
      <vt:lpstr>Waste_characteristics</vt:lpstr>
      <vt:lpstr>Parameters</vt:lpstr>
      <vt:lpstr>LCI_AD-b</vt:lpstr>
      <vt:lpstr>LCI</vt:lpstr>
      <vt:lpstr>LCI_AD-a</vt:lpstr>
      <vt:lpstr>LCI_AD-c</vt:lpstr>
      <vt:lpstr>LCI_AD-d</vt:lpstr>
      <vt:lpstr>params_HC</vt:lpstr>
      <vt:lpstr>LCI_HC</vt:lpstr>
      <vt:lpstr>LCIA_HC</vt:lpstr>
      <vt:lpstr>LCIA_AD-a</vt:lpstr>
      <vt:lpstr>LCIA_AD-b</vt:lpstr>
      <vt:lpstr>LCIA_AD-c</vt:lpstr>
      <vt:lpstr>LCI_IC</vt:lpstr>
      <vt:lpstr>LCIA_IC</vt:lpstr>
      <vt:lpstr>IW+_end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2026-01-22T15:55:24Z</dcterms:modified>
</cp:coreProperties>
</file>