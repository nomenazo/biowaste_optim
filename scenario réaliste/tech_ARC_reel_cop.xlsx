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A26F3F3B-D8B1-4D62-8580-3A7D618EB745}" xr6:coauthVersionLast="36" xr6:coauthVersionMax="36" xr10:uidLastSave="{00000000-0000-0000-0000-000000000000}"/>
  <bookViews>
    <workbookView xWindow="0" yWindow="0" windowWidth="19200" windowHeight="6930" activeTab="1" xr2:uid="{D746D7D5-B0A8-4858-AD5A-93AA09E65399}"/>
  </bookViews>
  <sheets>
    <sheet name="id_tech" sheetId="2" r:id="rId1"/>
    <sheet name="tech_lb" sheetId="1" r:id="rId2"/>
    <sheet name="tech_ub" sheetId="6" r:id="rId3"/>
    <sheet name="coproduct" sheetId="3" r:id="rId4"/>
    <sheet name="subs_ratio" sheetId="4" r:id="rId5"/>
    <sheet name="avoid" sheetId="5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5" l="1"/>
  <c r="F5" i="5"/>
  <c r="D5" i="5"/>
  <c r="B5" i="5"/>
  <c r="G8" i="5" l="1"/>
  <c r="I5" i="5"/>
  <c r="G5" i="5"/>
  <c r="I4" i="5"/>
  <c r="I3" i="5"/>
  <c r="I2" i="5"/>
  <c r="G4" i="5"/>
  <c r="G3" i="5"/>
  <c r="G2" i="5"/>
  <c r="H4" i="5"/>
  <c r="H3" i="5"/>
  <c r="H2" i="5"/>
  <c r="I5" i="3" l="1"/>
  <c r="H5" i="3"/>
  <c r="F7" i="3" l="1"/>
  <c r="G7" i="3" s="1"/>
  <c r="F4" i="3"/>
  <c r="H4" i="3" s="1"/>
  <c r="E6" i="3"/>
  <c r="E5" i="3"/>
  <c r="E3" i="3"/>
  <c r="G3" i="3" s="1"/>
  <c r="I3" i="3" s="1"/>
  <c r="D6" i="3"/>
  <c r="D5" i="3"/>
  <c r="D4" i="3"/>
  <c r="F8" i="5"/>
  <c r="F4" i="5"/>
  <c r="F3" i="5"/>
  <c r="F2" i="5"/>
  <c r="E7" i="5"/>
  <c r="E6" i="5"/>
  <c r="E5" i="5"/>
  <c r="E4" i="5"/>
  <c r="E3" i="5"/>
  <c r="E2" i="5"/>
  <c r="D7" i="5"/>
  <c r="D6" i="5"/>
  <c r="D4" i="5"/>
  <c r="D3" i="5"/>
  <c r="D2" i="5"/>
  <c r="C5" i="5"/>
  <c r="C4" i="5"/>
  <c r="C3" i="5"/>
  <c r="C2" i="5"/>
  <c r="B4" i="5"/>
  <c r="B3" i="5"/>
  <c r="B2" i="5"/>
  <c r="C11" i="5" l="1"/>
</calcChain>
</file>

<file path=xl/sharedStrings.xml><?xml version="1.0" encoding="utf-8"?>
<sst xmlns="http://schemas.openxmlformats.org/spreadsheetml/2006/main" count="152" uniqueCount="66">
  <si>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</si>
  <si>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</si>
  <si>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</si>
  <si>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</si>
  <si>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</si>
  <si>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</si>
  <si>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</si>
  <si>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</si>
  <si>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</si>
  <si>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</si>
  <si>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</si>
  <si>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</si>
  <si>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</si>
  <si>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</si>
  <si>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</si>
  <si>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</si>
  <si>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</si>
  <si>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</si>
  <si>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</si>
  <si>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</si>
  <si>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</si>
  <si>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</si>
  <si>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</si>
  <si>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</si>
  <si>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</si>
  <si>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</si>
  <si>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</si>
  <si>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</si>
  <si>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</si>
  <si>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</si>
  <si>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</si>
  <si>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</si>
  <si>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</si>
  <si>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</si>
  <si>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</si>
  <si>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</si>
  <si>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</si>
  <si>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</si>
  <si>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</si>
  <si>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</si>
  <si>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</si>
  <si>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</si>
  <si>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</si>
  <si>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</si>
  <si>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</si>
  <si>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</si>
  <si>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</si>
  <si>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</si>
  <si>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</si>
  <si>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</si>
  <si>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</si>
  <si>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</si>
  <si>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</si>
  <si>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</si>
  <si>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</si>
  <si>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</si>
  <si>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</si>
  <si>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</si>
  <si>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</si>
  <si>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</si>
  <si>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</si>
  <si>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Villiers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</si>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</sst>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impact_carb_p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26">
          <cell r="C26">
            <v>1.4284515611925735E-2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B6" sqref="B6:B9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26</v>
      </c>
    </row>
    <row r="5" spans="1:3" x14ac:dyDescent="0.35">
      <c r="A5" t="s">
        <v>7</v>
      </c>
      <c r="B5" t="s">
        <v>9</v>
      </c>
      <c r="C5" t="s">
        <v>27</v>
      </c>
    </row>
    <row r="6" spans="1:3" x14ac:dyDescent="0.35">
      <c r="A6" t="s">
        <v>23</v>
      </c>
      <c r="B6" t="s">
        <v>9</v>
      </c>
      <c r="C6" t="s">
        <v>22</v>
      </c>
    </row>
    <row r="7" spans="1:3" x14ac:dyDescent="0.35">
      <c r="A7" t="s">
        <v>36</v>
      </c>
      <c r="B7" t="s">
        <v>9</v>
      </c>
    </row>
    <row r="8" spans="1:3" x14ac:dyDescent="0.35">
      <c r="A8" t="s">
        <v>37</v>
      </c>
      <c r="B8" t="s">
        <v>9</v>
      </c>
    </row>
    <row r="9" spans="1:3" x14ac:dyDescent="0.35">
      <c r="A9" t="s">
        <v>38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8"/>
  <sheetViews>
    <sheetView tabSelected="1" topLeftCell="A15" workbookViewId="0">
      <selection activeCell="A24" sqref="A24:A28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62</v>
      </c>
    </row>
    <row r="25" spans="1:9" x14ac:dyDescent="0.35">
      <c r="A25" t="s">
        <v>63</v>
      </c>
    </row>
    <row r="26" spans="1:9" x14ac:dyDescent="0.35">
      <c r="A26" t="s">
        <v>64</v>
      </c>
    </row>
    <row r="27" spans="1:9" x14ac:dyDescent="0.35">
      <c r="A27" t="s">
        <v>65</v>
      </c>
    </row>
    <row r="28" spans="1:9" x14ac:dyDescent="0.35">
      <c r="A28" t="s">
        <v>61</v>
      </c>
      <c r="C28">
        <v>3000</v>
      </c>
      <c r="D28">
        <v>3000</v>
      </c>
      <c r="E28">
        <v>3000</v>
      </c>
      <c r="F28">
        <v>3000</v>
      </c>
      <c r="G28">
        <v>3000</v>
      </c>
      <c r="H28">
        <v>3000</v>
      </c>
      <c r="I28">
        <v>3000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8"/>
  <sheetViews>
    <sheetView topLeftCell="A15" workbookViewId="0">
      <selection activeCell="C27" sqref="C27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62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63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64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65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61</v>
      </c>
      <c r="B28">
        <v>0</v>
      </c>
      <c r="C28">
        <v>7000</v>
      </c>
      <c r="D28">
        <v>7000</v>
      </c>
      <c r="E28">
        <v>7000</v>
      </c>
      <c r="F28">
        <v>7000</v>
      </c>
      <c r="G28">
        <v>7000</v>
      </c>
      <c r="H28">
        <v>7000</v>
      </c>
      <c r="I28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7"/>
  <sheetViews>
    <sheetView workbookViewId="0">
      <selection activeCell="G1" sqref="G1:I1"/>
    </sheetView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19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  <c r="J1" t="s">
        <v>15</v>
      </c>
    </row>
    <row r="2" spans="1:10" x14ac:dyDescent="0.35">
      <c r="A2" t="s">
        <v>29</v>
      </c>
      <c r="B2">
        <v>0.8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16</v>
      </c>
    </row>
    <row r="3" spans="1:10" x14ac:dyDescent="0.35">
      <c r="A3" t="s">
        <v>11</v>
      </c>
      <c r="B3">
        <v>0</v>
      </c>
      <c r="C3">
        <v>0.6</v>
      </c>
      <c r="D3">
        <v>0</v>
      </c>
      <c r="E3">
        <f>'[1]LCI_AD-b'!$E$36</f>
        <v>0.15444202981514046</v>
      </c>
      <c r="F3">
        <v>0</v>
      </c>
      <c r="G3">
        <f>E3</f>
        <v>0.15444202981514046</v>
      </c>
      <c r="H3">
        <v>0</v>
      </c>
      <c r="I3">
        <f>G3</f>
        <v>0.15444202981514046</v>
      </c>
      <c r="J3" t="s">
        <v>16</v>
      </c>
    </row>
    <row r="4" spans="1:10" x14ac:dyDescent="0.35">
      <c r="A4" t="s">
        <v>12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>
        <v>0</v>
      </c>
      <c r="H4">
        <f>F4</f>
        <v>0.55448386609225153</v>
      </c>
      <c r="I4">
        <v>0</v>
      </c>
      <c r="J4" t="s">
        <v>16</v>
      </c>
    </row>
    <row r="5" spans="1:10" x14ac:dyDescent="0.35">
      <c r="A5" t="s">
        <v>13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>
        <v>0</v>
      </c>
      <c r="H5">
        <f>'[2]LCI_AD-e'!$E$42</f>
        <v>3876.4660709036466</v>
      </c>
      <c r="I5">
        <f>'[2]LCI_AD-e'!$E$42</f>
        <v>3876.4660709036466</v>
      </c>
      <c r="J5" t="s">
        <v>21</v>
      </c>
    </row>
    <row r="6" spans="1:10" x14ac:dyDescent="0.35">
      <c r="A6" t="s">
        <v>14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>
        <v>0</v>
      </c>
      <c r="H6">
        <v>0</v>
      </c>
      <c r="I6">
        <v>0</v>
      </c>
      <c r="J6" t="s">
        <v>17</v>
      </c>
    </row>
    <row r="7" spans="1:10" x14ac:dyDescent="0.35">
      <c r="A7" t="s">
        <v>24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>
        <f>F7</f>
        <v>131.83340888752835</v>
      </c>
      <c r="H7">
        <v>0</v>
      </c>
      <c r="I7">
        <v>0</v>
      </c>
      <c r="J7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workbookViewId="0"/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20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24</v>
      </c>
    </row>
    <row r="2" spans="1:7" x14ac:dyDescent="0.35">
      <c r="A2" t="s">
        <v>18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13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14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11"/>
  <sheetViews>
    <sheetView workbookViewId="0">
      <selection activeCell="G2" sqref="G2:I4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10" x14ac:dyDescent="0.35">
      <c r="A2" t="s">
        <v>30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34</v>
      </c>
    </row>
    <row r="3" spans="1:10" x14ac:dyDescent="0.35">
      <c r="A3" t="s">
        <v>31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34</v>
      </c>
    </row>
    <row r="4" spans="1:10" x14ac:dyDescent="0.35">
      <c r="A4" t="s">
        <v>32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34</v>
      </c>
    </row>
    <row r="5" spans="1:10" x14ac:dyDescent="0.35">
      <c r="A5" t="s">
        <v>33</v>
      </c>
      <c r="B5">
        <f>[1]LCI_HC!$E$18*0</f>
        <v>0</v>
      </c>
      <c r="C5" s="1">
        <f>[1]LCI_IC!$E$28</f>
        <v>357.9861111111112</v>
      </c>
      <c r="D5" s="1">
        <f>'[1]LCI_AD-a'!$E$39*0</f>
        <v>0</v>
      </c>
      <c r="E5">
        <f>+'[1]LCI_AD-b'!$E$49</f>
        <v>42.109844591027695</v>
      </c>
      <c r="F5">
        <f>+'[1]LCI_AD-c'!$E$37*0</f>
        <v>0</v>
      </c>
      <c r="G5">
        <f>+'[1]LCI_AD-b'!$E$49</f>
        <v>42.109844591027695</v>
      </c>
      <c r="H5">
        <f>+'[1]LCI_AD-c'!$E$37*0</f>
        <v>0</v>
      </c>
      <c r="I5">
        <f>+'[1]LCI_AD-b'!$E$49</f>
        <v>42.109844591027695</v>
      </c>
      <c r="J5" t="s">
        <v>34</v>
      </c>
    </row>
    <row r="6" spans="1:10" x14ac:dyDescent="0.35">
      <c r="A6" t="s">
        <v>13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>
        <v>0</v>
      </c>
      <c r="H6">
        <v>3876.4660709036466</v>
      </c>
      <c r="I6">
        <v>3876.4660709036466</v>
      </c>
      <c r="J6" t="s">
        <v>21</v>
      </c>
    </row>
    <row r="7" spans="1:10" x14ac:dyDescent="0.35">
      <c r="A7" t="s">
        <v>14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>
        <v>0</v>
      </c>
      <c r="H7">
        <v>0</v>
      </c>
      <c r="I7">
        <v>0</v>
      </c>
      <c r="J7" t="s">
        <v>17</v>
      </c>
    </row>
    <row r="8" spans="1:10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>
        <f>+'[1]LCI_AD-c'!$E$38</f>
        <v>131.83340888752835</v>
      </c>
      <c r="H8">
        <v>0</v>
      </c>
      <c r="I8">
        <v>0</v>
      </c>
      <c r="J8" t="s">
        <v>25</v>
      </c>
    </row>
    <row r="11" spans="1:10" x14ac:dyDescent="0.35">
      <c r="C11" s="1">
        <f>C5*([3]Feuil1!$C$26 + 0.7318)</f>
        <v>267.08789430413043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id_tech</vt:lpstr>
      <vt:lpstr>tech_lb</vt:lpstr>
      <vt:lpstr>tech_ub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2026-02-13T13:54:28Z</dcterms:modified>
</cp:coreProperties>
</file>