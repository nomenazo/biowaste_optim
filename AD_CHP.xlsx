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EE279946-9D13-4218-A97C-999AD15BC500}" xr6:coauthVersionLast="36" xr6:coauthVersionMax="36" xr10:uidLastSave="{00000000-0000-0000-0000-000000000000}"/>
  <bookViews>
    <workbookView xWindow="0" yWindow="0" windowWidth="19200" windowHeight="6640" activeTab="5" xr2:uid="{D3821372-1969-4DD6-A628-04C5F8F02CF2}"/>
  </bookViews>
  <sheets>
    <sheet name="LCI" sheetId="1" r:id="rId1"/>
    <sheet name="Parameters" sheetId="3" r:id="rId2"/>
    <sheet name="Waste_characteristics" sheetId="6" r:id="rId3"/>
    <sheet name="Feuil4" sheetId="4" r:id="rId4"/>
    <sheet name="midpoint_matrix" sheetId="5" r:id="rId5"/>
    <sheet name="AD_a_mid" sheetId="2" r:id="rId6"/>
    <sheet name="Feuil1" sheetId="7" r:id="rId7"/>
  </sheets>
  <externalReferences>
    <externalReference r:id="rId8"/>
  </externalReferences>
  <definedNames>
    <definedName name="Food_Type">"Baseline"</definedName>
    <definedName name="Methane_LHV">'[1]Global params'!$E$21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3" l="1"/>
  <c r="L35" i="3"/>
  <c r="C32" i="3" s="1"/>
  <c r="L46" i="3"/>
  <c r="C37" i="3" s="1"/>
  <c r="E4" i="1"/>
  <c r="C41" i="3" l="1"/>
  <c r="C40" i="3"/>
  <c r="C39" i="3"/>
  <c r="C38" i="3"/>
  <c r="C36" i="3"/>
  <c r="C35" i="3"/>
  <c r="C34" i="3"/>
  <c r="C11" i="3"/>
  <c r="C67" i="3"/>
  <c r="B6" i="6"/>
  <c r="C64" i="3"/>
  <c r="B3" i="6"/>
  <c r="C68" i="3" l="1"/>
  <c r="C71" i="3" s="1"/>
  <c r="O49" i="3"/>
  <c r="O55" i="3"/>
  <c r="O56" i="3" l="1"/>
  <c r="O57" i="3" s="1"/>
</calcChain>
</file>

<file path=xl/sharedStrings.xml><?xml version="1.0" encoding="utf-8"?>
<sst xmlns="http://schemas.openxmlformats.org/spreadsheetml/2006/main" count="336" uniqueCount="195">
  <si>
    <t>Process</t>
  </si>
  <si>
    <t>Value</t>
  </si>
  <si>
    <t>Unit</t>
  </si>
  <si>
    <t>input</t>
  </si>
  <si>
    <t>output</t>
  </si>
  <si>
    <t>Pretreatment</t>
  </si>
  <si>
    <t>AD</t>
  </si>
  <si>
    <t>CHP</t>
  </si>
  <si>
    <t>Electricity</t>
  </si>
  <si>
    <t>Water</t>
  </si>
  <si>
    <t>Flow direction</t>
  </si>
  <si>
    <t>Flow type</t>
  </si>
  <si>
    <t>Flow name</t>
  </si>
  <si>
    <t>Waste</t>
  </si>
  <si>
    <t>t</t>
  </si>
  <si>
    <t>Technosphere flow</t>
  </si>
  <si>
    <t>Pretreated waste</t>
  </si>
  <si>
    <t>Intermediate flow</t>
  </si>
  <si>
    <t>Heat</t>
  </si>
  <si>
    <t>Methane</t>
  </si>
  <si>
    <t>Elementary flow</t>
  </si>
  <si>
    <t>Biogas</t>
  </si>
  <si>
    <t>Electricity production</t>
  </si>
  <si>
    <t>Water production</t>
  </si>
  <si>
    <t>Heat production</t>
  </si>
  <si>
    <t>Fugitive methane</t>
  </si>
  <si>
    <t>Nitrogen oxides</t>
  </si>
  <si>
    <t>Volatile organic compounds</t>
  </si>
  <si>
    <t>Sulfur dioxide</t>
  </si>
  <si>
    <t>Particulate matter</t>
  </si>
  <si>
    <t>Carbon monoxide</t>
  </si>
  <si>
    <t>Ammonia</t>
  </si>
  <si>
    <t>Nitrous oxide</t>
  </si>
  <si>
    <t>Avoided heat</t>
  </si>
  <si>
    <t>Avoided electricity</t>
  </si>
  <si>
    <t>acidification: terrestrial - terrestrial acidification potential (TAP)</t>
  </si>
  <si>
    <t>climate change - global warming potential (GWP100)</t>
  </si>
  <si>
    <t>ecotoxicity: freshwater - freshwater ecotoxicity potential (FETP)</t>
  </si>
  <si>
    <t>ecotoxicity: marine - marine ecotoxicity potential (METP)</t>
  </si>
  <si>
    <t>ecotoxicity: terrestrial - terrestrial ecotoxicity potential (TETP)</t>
  </si>
  <si>
    <t>energy resources: non-renewable, fossil - fossil fuel potential (FFP)</t>
  </si>
  <si>
    <t>eutrophication: freshwater - freshwater eutrophication potential (FEP)</t>
  </si>
  <si>
    <t>eutrophication: marine - marine eutrophication potential (MEP)</t>
  </si>
  <si>
    <t>human toxicity: carcinogenic - human toxicity potential (HTPc)</t>
  </si>
  <si>
    <t>human toxicity: non-carcinogenic - human toxicity potential (HTPnc)</t>
  </si>
  <si>
    <t>ionising radiation - ionising radiation potential (IRP)</t>
  </si>
  <si>
    <t>land use - agricultural land occupation (LOP)</t>
  </si>
  <si>
    <t>material resources: metals/minerals - surplus ore potential (SOP)</t>
  </si>
  <si>
    <t>ozone depletion - ozone depletion potential (ODPinfinite)</t>
  </si>
  <si>
    <t>particulate matter formation - particulate matter formation potential (PMFP)</t>
  </si>
  <si>
    <t>photochemical oxidant formation: human health - photochemical oxidant formation potential: humans (HOFP)</t>
  </si>
  <si>
    <t>photochemical oxidant formation: terrestrial ecosystems - photochemical oxidant formation potential: ecosystems (EOFP)</t>
  </si>
  <si>
    <t>water use - water consumption potential (WCP)</t>
  </si>
  <si>
    <t>Nitrogen Oxides (NOx)</t>
  </si>
  <si>
    <t>Volatile Organic Compounds (VOCs)</t>
  </si>
  <si>
    <t>Sulfur Dioxide (SO2)</t>
  </si>
  <si>
    <t>Particulate Matter (PM)</t>
  </si>
  <si>
    <t>Carbon Monoxide (CO)</t>
  </si>
  <si>
    <t>Ammonia (NH3)</t>
  </si>
  <si>
    <t>Parameter</t>
  </si>
  <si>
    <t>kg/m3 biogas combusted</t>
  </si>
  <si>
    <t>Methane (CH4)</t>
  </si>
  <si>
    <t>Nitrous Oxide (N2O)</t>
  </si>
  <si>
    <t>Source</t>
  </si>
  <si>
    <t>https://catalog.data.gov/dataset/food-waste-management-life-cycle-inventory-tool-v1-0-0</t>
  </si>
  <si>
    <t>https://catalog.data.gov/dataset/food-waste-management-life-cycle-inventory-tool-v1-0-1</t>
  </si>
  <si>
    <t>https://catalog.data.gov/dataset/food-waste-management-life-cycle-inventory-tool-v1-0-2</t>
  </si>
  <si>
    <t>https://catalog.data.gov/dataset/food-waste-management-life-cycle-inventory-tool-v1-0-3</t>
  </si>
  <si>
    <t>https://catalog.data.gov/dataset/food-waste-management-life-cycle-inventory-tool-v1-0-4</t>
  </si>
  <si>
    <t>https://catalog.data.gov/dataset/food-waste-management-life-cycle-inventory-tool-v1-0-5</t>
  </si>
  <si>
    <t>https://catalog.data.gov/dataset/food-waste-management-life-cycle-inventory-tool-v1-0-6</t>
  </si>
  <si>
    <t>https://catalog.data.gov/dataset/food-waste-management-life-cycle-inventory-tool-v1-0-7</t>
  </si>
  <si>
    <t>Emissions</t>
  </si>
  <si>
    <t>Efficiency</t>
  </si>
  <si>
    <t>Thermal</t>
  </si>
  <si>
    <t>Electric</t>
  </si>
  <si>
    <t>L/dry-kg</t>
  </si>
  <si>
    <t>Fugitive methane loss</t>
  </si>
  <si>
    <t>Methane_lhv</t>
  </si>
  <si>
    <t>MJ/m3</t>
  </si>
  <si>
    <t>Methane volume share in biogas</t>
  </si>
  <si>
    <t>Methane density</t>
  </si>
  <si>
    <t>kg/m3</t>
  </si>
  <si>
    <t>Electricity requirement</t>
  </si>
  <si>
    <t>kWh/t</t>
  </si>
  <si>
    <t>Heat requirement</t>
  </si>
  <si>
    <t>https://catalog.data.gov/dataset/food-waste-management-life-cycle-inventory-tool-v1-0-8</t>
  </si>
  <si>
    <t>https://catalog.data.gov/dataset/food-waste-management-life-cycle-inventory-tool-v1-0-9</t>
  </si>
  <si>
    <t>Sorting efficiency</t>
  </si>
  <si>
    <t>Production of digestate</t>
  </si>
  <si>
    <t>Water requriement</t>
  </si>
  <si>
    <t>Mass</t>
  </si>
  <si>
    <t>%TS</t>
  </si>
  <si>
    <t>kg</t>
  </si>
  <si>
    <t>Mass of digestate</t>
  </si>
  <si>
    <t>CO2 density</t>
  </si>
  <si>
    <t>impurities</t>
  </si>
  <si>
    <t>%total mass</t>
  </si>
  <si>
    <t>Moisture content, FW</t>
  </si>
  <si>
    <t>VS, FW</t>
  </si>
  <si>
    <t>% of impurities sorted</t>
  </si>
  <si>
    <t>FW</t>
  </si>
  <si>
    <t>%of total waste</t>
  </si>
  <si>
    <t>CH4</t>
  </si>
  <si>
    <t>CO2</t>
  </si>
  <si>
    <t>biogaz</t>
  </si>
  <si>
    <t>digestat</t>
  </si>
  <si>
    <t>calculated</t>
  </si>
  <si>
    <t>Storage</t>
  </si>
  <si>
    <t>Volatile Solids Destruction, Storage</t>
  </si>
  <si>
    <t>%of VS in digestate</t>
  </si>
  <si>
    <t>Methane production</t>
  </si>
  <si>
    <t>VS conversion</t>
  </si>
  <si>
    <t>%VS initial</t>
  </si>
  <si>
    <t>kg VS</t>
  </si>
  <si>
    <t>Methane emitted</t>
  </si>
  <si>
    <t>biogas density</t>
  </si>
  <si>
    <t>kg of biogas produced during storage</t>
  </si>
  <si>
    <t>Land application of digestate</t>
  </si>
  <si>
    <t>Mass of digestate after storage</t>
  </si>
  <si>
    <t>NH3</t>
  </si>
  <si>
    <t>kg NH3-N/N of digestate</t>
  </si>
  <si>
    <t>N2O</t>
  </si>
  <si>
    <t>https://www.sciencedirect.com/science/article/pii/S0964830514002029?casa_token=CuYe3ZTSPycAAAAA:rRl8EoKYwznoEuX0VuPF32xCFrhHD9S8o6J9Rem4dyM93P7UKc0KSdNufZkaSkLN-jqlbWcV0A</t>
  </si>
  <si>
    <t>https://www.sciencedirect.com/science/article/pii/S0269749116318681?casa_token=rEHlW1O-mdgAAAAA:ajVYtblqpRrvAmnneRiCuHYjbAf28QtOFIZvNqxyyT-5bQeD04vvZbKV7yYKKyCFgeWfW8dgUQ#sec3</t>
  </si>
  <si>
    <t>NO3</t>
  </si>
  <si>
    <t>kgN-N2O/kgN applied</t>
  </si>
  <si>
    <t>kgN-NH3/kgN applied</t>
  </si>
  <si>
    <t>kgN-NO3-/kgN applied</t>
  </si>
  <si>
    <t>kWh/m3 of biogas</t>
  </si>
  <si>
    <t>https://www.sciencedirect.com/science/article/pii/S0013935122009598?casa_token=b-5UAciDODcAAAAA:iPTgJGz224xsnoQdrEctjVyXjbgpRksrTp6NPBa96VQZoPJqxyo5SRxUSGA4QFvLo7qp_-bQrQ</t>
  </si>
  <si>
    <t>Lubricating oil</t>
  </si>
  <si>
    <t>g/m3 of biogas</t>
  </si>
  <si>
    <t>Biogas boiler</t>
  </si>
  <si>
    <t>CO</t>
  </si>
  <si>
    <t>Nox</t>
  </si>
  <si>
    <t>kg/m3 of biogas</t>
  </si>
  <si>
    <t>Biogas upgrading</t>
  </si>
  <si>
    <t>Activated carbon</t>
  </si>
  <si>
    <t>kWh</t>
  </si>
  <si>
    <t>Electric engine</t>
  </si>
  <si>
    <t>% of fuel combusted</t>
  </si>
  <si>
    <t>Digestate dewatering</t>
  </si>
  <si>
    <t>https://www.sciencedirect.com/science/article/pii/S1364032120308728?via%3Dihub#sec2</t>
  </si>
  <si>
    <t>Ardolino, 2021</t>
  </si>
  <si>
    <t xml:space="preserve">Zeolite </t>
  </si>
  <si>
    <t>CH4 fugitive</t>
  </si>
  <si>
    <t>CO2 removal rate</t>
  </si>
  <si>
    <t>:Using Pressure Swing Adsorption technology</t>
  </si>
  <si>
    <t>electricty for upgrading + injection</t>
  </si>
  <si>
    <t>% volume of methane</t>
  </si>
  <si>
    <t>% volume of CO2</t>
  </si>
  <si>
    <t>H2S</t>
  </si>
  <si>
    <t>Sox</t>
  </si>
  <si>
    <t>PM10</t>
  </si>
  <si>
    <t>PM2.5</t>
  </si>
  <si>
    <t>VOC</t>
  </si>
  <si>
    <t>1 lb/MCF</t>
  </si>
  <si>
    <t>Labutong, 2012</t>
  </si>
  <si>
    <t>https://pureadmin.qub.ac.uk/ws/files/135497181/Document2.pdf</t>
  </si>
  <si>
    <t>Electricity requirement (low voltage)</t>
  </si>
  <si>
    <t>Ecoinvent</t>
  </si>
  <si>
    <t>heat production, biomethane, at boiler condensing modulating &lt;100kW | heat, central or small-scale, biomethane | Cutoff, U</t>
  </si>
  <si>
    <t>Dewatering, solids capture</t>
  </si>
  <si>
    <t>Dewatering, solids concentration</t>
  </si>
  <si>
    <t>Electricity, Digestate Dewatering</t>
  </si>
  <si>
    <t>Nitrogen, partitioning to water</t>
  </si>
  <si>
    <t>Phosphorus, partitioning to water</t>
  </si>
  <si>
    <t>Potassium, partitioning to water</t>
  </si>
  <si>
    <t>Carbon, partitioning to water</t>
  </si>
  <si>
    <t>% of TS</t>
  </si>
  <si>
    <t>% of wet mass</t>
  </si>
  <si>
    <t>kWh/kg digestate</t>
  </si>
  <si>
    <t>% of N</t>
  </si>
  <si>
    <t>% of P</t>
  </si>
  <si>
    <t>% of K</t>
  </si>
  <si>
    <t>% of C</t>
  </si>
  <si>
    <t>Digestate composting</t>
  </si>
  <si>
    <t>Carbon degraded during composting</t>
  </si>
  <si>
    <t>% of feedstock carbon</t>
  </si>
  <si>
    <t>Compost emission, methane</t>
  </si>
  <si>
    <t>% of incoming C</t>
  </si>
  <si>
    <t>Compost emission, nitrous oxide</t>
  </si>
  <si>
    <t>% of incoming N</t>
  </si>
  <si>
    <t>Compost emission, ammonia</t>
  </si>
  <si>
    <t>Compost emission, NMVOC</t>
  </si>
  <si>
    <t>kg NMVOC/Mg FW</t>
  </si>
  <si>
    <t>Compost emission, carbon monoxide</t>
  </si>
  <si>
    <t>Mass loss</t>
  </si>
  <si>
    <t>% of incoming feedstock mass</t>
  </si>
  <si>
    <t>Electricity, windrow</t>
  </si>
  <si>
    <t>Diesel, windrow</t>
  </si>
  <si>
    <t>kWh/Mg digestate</t>
  </si>
  <si>
    <t>liters/Mg digestate</t>
  </si>
  <si>
    <t>Land application of compost from digestate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</si>
</sst>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€_-;\-* #,##0.00\ _€_-;_-* &quot;-&quot;??\ _€_-;_-@_-"/>
    <numFmt numFmtId="164" formatCode="_-* #,##0.00000\ _€_-;\-* #,##0.0000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9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0" fillId="0" borderId="0" xfId="0" applyNumberFormat="1"/>
    <xf numFmtId="11" fontId="0" fillId="0" borderId="0" xfId="0" applyNumberFormat="1"/>
    <xf numFmtId="9" fontId="0" fillId="0" borderId="0" xfId="2" applyFont="1"/>
    <xf numFmtId="0" fontId="0" fillId="0" borderId="1" xfId="0" applyBorder="1" applyAlignment="1">
      <alignment horizontal="right"/>
    </xf>
    <xf numFmtId="0" fontId="4" fillId="0" borderId="0" xfId="3"/>
    <xf numFmtId="2" fontId="2" fillId="0" borderId="0" xfId="0" applyNumberFormat="1" applyFont="1"/>
    <xf numFmtId="10" fontId="0" fillId="0" borderId="0" xfId="0" applyNumberFormat="1"/>
    <xf numFmtId="11" fontId="2" fillId="0" borderId="0" xfId="0" applyNumberFormat="1" applyFont="1"/>
    <xf numFmtId="164" fontId="0" fillId="0" borderId="0" xfId="1" applyNumberFormat="1" applyFont="1"/>
    <xf numFmtId="11" fontId="5" fillId="0" borderId="0" xfId="0" applyNumberFormat="1" applyFont="1"/>
    <xf numFmtId="2" fontId="5" fillId="0" borderId="0" xfId="0" applyNumberFormat="1" applyFont="1"/>
    <xf numFmtId="10" fontId="2" fillId="0" borderId="0" xfId="0" applyNumberFormat="1" applyFont="1"/>
    <xf numFmtId="10" fontId="0" fillId="0" borderId="0" xfId="2" applyNumberFormat="1" applyFont="1"/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ravoaha\AppData\Local\Temp\4945377e-eac1-4fbe-af18-9d2f5fccf853_Food%20Waste%20LCI%20Tool%20v1.0.0%20(1).zip.853\Food%20Waste%20LCI%20Tool%20v1.0.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User selections"/>
      <sheetName val="LCI"/>
      <sheetName val="AD"/>
      <sheetName val="Compost - Windrow"/>
      <sheetName val="Compost - ASP"/>
      <sheetName val="Landfill"/>
      <sheetName val="Incineration"/>
      <sheetName val="Global params"/>
      <sheetName val="AD params"/>
      <sheetName val="Food params"/>
      <sheetName val="Compost params"/>
      <sheetName val="Landfill params"/>
      <sheetName val="Incineration params"/>
      <sheetName val="Parameter Definition"/>
      <sheetName val="LCI Key"/>
      <sheetName val="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E21">
            <v>35.799999999999997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iencedirect.com/science/article/pii/S0964830514002029?casa_token=CuYe3ZTSPycAAAAA:rRl8EoKYwznoEuX0VuPF32xCFrhHD9S8o6J9Rem4dyM93P7UKc0KSdNufZkaSkLN-jqlbWcV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3B7D-8FD5-44A6-ABDF-F41A2C90169E}">
  <dimension ref="A2:F14"/>
  <sheetViews>
    <sheetView workbookViewId="0">
      <selection activeCell="E5" sqref="E5"/>
    </sheetView>
  </sheetViews>
  <sheetFormatPr baseColWidth="10" defaultRowHeight="14.5" x14ac:dyDescent="0.35"/>
  <cols>
    <col min="2" max="3" width="24.26953125" customWidth="1"/>
    <col min="4" max="4" width="19.08984375" customWidth="1"/>
    <col min="5" max="5" width="14.453125" customWidth="1"/>
  </cols>
  <sheetData>
    <row r="2" spans="1:6" x14ac:dyDescent="0.35">
      <c r="A2" t="s">
        <v>0</v>
      </c>
      <c r="B2" t="s">
        <v>10</v>
      </c>
      <c r="C2" t="s">
        <v>11</v>
      </c>
      <c r="D2" t="s">
        <v>12</v>
      </c>
      <c r="E2" t="s">
        <v>1</v>
      </c>
      <c r="F2" t="s">
        <v>2</v>
      </c>
    </row>
    <row r="3" spans="1:6" x14ac:dyDescent="0.35">
      <c r="A3" t="s">
        <v>5</v>
      </c>
      <c r="B3" t="s">
        <v>3</v>
      </c>
      <c r="C3" t="s">
        <v>15</v>
      </c>
      <c r="D3" t="s">
        <v>13</v>
      </c>
      <c r="E3">
        <v>1</v>
      </c>
      <c r="F3" t="s">
        <v>14</v>
      </c>
    </row>
    <row r="4" spans="1:6" x14ac:dyDescent="0.35">
      <c r="B4" t="s">
        <v>3</v>
      </c>
      <c r="C4" t="s">
        <v>15</v>
      </c>
      <c r="D4" t="s">
        <v>8</v>
      </c>
      <c r="E4">
        <f>E3*Parameters!C3</f>
        <v>19</v>
      </c>
      <c r="F4" t="s">
        <v>139</v>
      </c>
    </row>
    <row r="5" spans="1:6" x14ac:dyDescent="0.35">
      <c r="B5" t="s">
        <v>3</v>
      </c>
      <c r="C5" t="s">
        <v>15</v>
      </c>
      <c r="D5" t="s">
        <v>9</v>
      </c>
    </row>
    <row r="6" spans="1:6" x14ac:dyDescent="0.35">
      <c r="B6" t="s">
        <v>4</v>
      </c>
      <c r="C6" t="s">
        <v>17</v>
      </c>
      <c r="D6" t="s">
        <v>16</v>
      </c>
    </row>
    <row r="7" spans="1:6" x14ac:dyDescent="0.35">
      <c r="A7" t="s">
        <v>6</v>
      </c>
      <c r="B7" t="s">
        <v>3</v>
      </c>
      <c r="C7" t="s">
        <v>17</v>
      </c>
      <c r="D7" t="s">
        <v>16</v>
      </c>
    </row>
    <row r="8" spans="1:6" x14ac:dyDescent="0.35">
      <c r="B8" t="s">
        <v>3</v>
      </c>
      <c r="D8" t="s">
        <v>8</v>
      </c>
    </row>
    <row r="9" spans="1:6" x14ac:dyDescent="0.35">
      <c r="D9" t="s">
        <v>18</v>
      </c>
    </row>
    <row r="10" spans="1:6" x14ac:dyDescent="0.35">
      <c r="B10" t="s">
        <v>4</v>
      </c>
      <c r="C10" t="s">
        <v>20</v>
      </c>
      <c r="D10" t="s">
        <v>19</v>
      </c>
    </row>
    <row r="11" spans="1:6" x14ac:dyDescent="0.35">
      <c r="B11" t="s">
        <v>4</v>
      </c>
      <c r="C11" t="s">
        <v>17</v>
      </c>
      <c r="D11" t="s">
        <v>21</v>
      </c>
    </row>
    <row r="12" spans="1:6" x14ac:dyDescent="0.35">
      <c r="A12" t="s">
        <v>7</v>
      </c>
      <c r="B12" t="s">
        <v>3</v>
      </c>
    </row>
    <row r="13" spans="1:6" x14ac:dyDescent="0.35">
      <c r="B13" t="s">
        <v>3</v>
      </c>
    </row>
    <row r="14" spans="1:6" x14ac:dyDescent="0.35">
      <c r="B1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A2F4-4FB6-49BA-A556-5590FDE0E4A0}">
  <dimension ref="A1:P93"/>
  <sheetViews>
    <sheetView topLeftCell="A67" workbookViewId="0">
      <selection activeCell="B94" sqref="B94"/>
    </sheetView>
  </sheetViews>
  <sheetFormatPr baseColWidth="10" defaultRowHeight="14.5" x14ac:dyDescent="0.35"/>
  <cols>
    <col min="1" max="1" width="20.36328125" customWidth="1"/>
    <col min="2" max="2" width="33.54296875" bestFit="1" customWidth="1"/>
    <col min="3" max="3" width="28.6328125" customWidth="1"/>
    <col min="4" max="4" width="22.1796875" bestFit="1" customWidth="1"/>
    <col min="5" max="5" width="22.1796875" customWidth="1"/>
    <col min="6" max="6" width="176.1796875" bestFit="1" customWidth="1"/>
  </cols>
  <sheetData>
    <row r="1" spans="1:6" x14ac:dyDescent="0.35">
      <c r="A1" s="2"/>
      <c r="B1" s="2" t="s">
        <v>5</v>
      </c>
      <c r="C1" s="2"/>
      <c r="D1" s="2"/>
      <c r="E1" s="2"/>
      <c r="F1" s="2"/>
    </row>
    <row r="2" spans="1:6" x14ac:dyDescent="0.35">
      <c r="A2" s="2" t="s">
        <v>0</v>
      </c>
      <c r="B2" s="2" t="s">
        <v>59</v>
      </c>
      <c r="C2" s="2" t="s">
        <v>1</v>
      </c>
      <c r="D2" s="2" t="s">
        <v>2</v>
      </c>
      <c r="E2" s="2"/>
      <c r="F2" s="2" t="s">
        <v>63</v>
      </c>
    </row>
    <row r="3" spans="1:6" x14ac:dyDescent="0.35">
      <c r="A3" s="2" t="s">
        <v>5</v>
      </c>
      <c r="B3" s="2" t="s">
        <v>83</v>
      </c>
      <c r="C3" s="9">
        <v>19</v>
      </c>
      <c r="D3" s="2" t="s">
        <v>84</v>
      </c>
      <c r="E3" s="2"/>
      <c r="F3" s="2"/>
    </row>
    <row r="4" spans="1:6" x14ac:dyDescent="0.35">
      <c r="A4" s="2"/>
      <c r="B4" s="2" t="s">
        <v>88</v>
      </c>
      <c r="C4" s="6">
        <v>0.7</v>
      </c>
      <c r="D4" s="2" t="s">
        <v>100</v>
      </c>
      <c r="E4" s="2"/>
      <c r="F4" s="2"/>
    </row>
    <row r="5" spans="1:6" x14ac:dyDescent="0.35">
      <c r="A5" s="2" t="s">
        <v>6</v>
      </c>
      <c r="B5" s="2" t="s">
        <v>111</v>
      </c>
      <c r="C5" s="4">
        <v>374</v>
      </c>
      <c r="D5" s="2" t="s">
        <v>76</v>
      </c>
      <c r="E5" s="2"/>
      <c r="F5" s="2" t="s">
        <v>64</v>
      </c>
    </row>
    <row r="6" spans="1:6" x14ac:dyDescent="0.35">
      <c r="A6" s="2"/>
      <c r="B6" s="2" t="s">
        <v>112</v>
      </c>
      <c r="C6" s="1">
        <v>0.86</v>
      </c>
      <c r="D6" s="2" t="s">
        <v>113</v>
      </c>
      <c r="E6" s="2"/>
      <c r="F6" s="2"/>
    </row>
    <row r="7" spans="1:6" x14ac:dyDescent="0.35">
      <c r="A7" s="2"/>
      <c r="B7" s="2" t="s">
        <v>77</v>
      </c>
      <c r="C7" s="4">
        <v>0.02</v>
      </c>
      <c r="D7" s="2"/>
      <c r="E7" s="2"/>
      <c r="F7" s="2" t="s">
        <v>65</v>
      </c>
    </row>
    <row r="8" spans="1:6" x14ac:dyDescent="0.35">
      <c r="A8" s="2"/>
      <c r="B8" s="2" t="s">
        <v>80</v>
      </c>
      <c r="C8" s="4">
        <v>0.6</v>
      </c>
      <c r="D8" s="2"/>
      <c r="E8" s="2"/>
      <c r="F8" s="2" t="s">
        <v>66</v>
      </c>
    </row>
    <row r="9" spans="1:6" x14ac:dyDescent="0.35">
      <c r="A9" s="2"/>
      <c r="B9" s="2" t="s">
        <v>81</v>
      </c>
      <c r="C9" s="4">
        <v>0.72</v>
      </c>
      <c r="D9" s="2" t="s">
        <v>82</v>
      </c>
      <c r="E9" s="2"/>
      <c r="F9" s="2" t="s">
        <v>67</v>
      </c>
    </row>
    <row r="10" spans="1:6" x14ac:dyDescent="0.35">
      <c r="A10" s="2"/>
      <c r="B10" s="2" t="s">
        <v>95</v>
      </c>
      <c r="C10" s="4">
        <v>1.98</v>
      </c>
      <c r="D10" s="2" t="s">
        <v>82</v>
      </c>
      <c r="E10" s="2"/>
      <c r="F10" s="2"/>
    </row>
    <row r="11" spans="1:6" x14ac:dyDescent="0.35">
      <c r="A11" s="2"/>
      <c r="B11" s="2" t="s">
        <v>116</v>
      </c>
      <c r="C11" s="4">
        <f>(C8*C9)+((1-C8)*C10)</f>
        <v>1.224</v>
      </c>
      <c r="D11" s="2" t="s">
        <v>82</v>
      </c>
      <c r="E11" s="2"/>
      <c r="F11" s="2"/>
    </row>
    <row r="12" spans="1:6" x14ac:dyDescent="0.35">
      <c r="A12" s="2"/>
      <c r="B12" s="2" t="s">
        <v>83</v>
      </c>
      <c r="C12" s="4">
        <v>29</v>
      </c>
      <c r="D12" s="2" t="s">
        <v>84</v>
      </c>
      <c r="E12" s="2"/>
      <c r="F12" s="2" t="s">
        <v>68</v>
      </c>
    </row>
    <row r="13" spans="1:6" x14ac:dyDescent="0.35">
      <c r="A13" s="2"/>
      <c r="B13" s="2" t="s">
        <v>85</v>
      </c>
      <c r="C13" s="4">
        <v>295</v>
      </c>
      <c r="D13" s="2" t="s">
        <v>84</v>
      </c>
      <c r="E13" s="2"/>
      <c r="F13" s="2" t="s">
        <v>69</v>
      </c>
    </row>
    <row r="14" spans="1:6" x14ac:dyDescent="0.35">
      <c r="A14" s="2"/>
      <c r="B14" s="2" t="s">
        <v>90</v>
      </c>
      <c r="C14" s="4">
        <v>0</v>
      </c>
      <c r="D14" s="2" t="s">
        <v>102</v>
      </c>
      <c r="E14" s="2"/>
      <c r="F14" s="2"/>
    </row>
    <row r="15" spans="1:6" x14ac:dyDescent="0.35">
      <c r="A15" s="2" t="s">
        <v>7</v>
      </c>
      <c r="B15" s="3" t="s">
        <v>73</v>
      </c>
      <c r="C15" s="4"/>
      <c r="D15" s="2"/>
      <c r="E15" s="2"/>
      <c r="F15" s="2" t="s">
        <v>70</v>
      </c>
    </row>
    <row r="16" spans="1:6" x14ac:dyDescent="0.35">
      <c r="A16" s="2"/>
      <c r="B16" s="2" t="s">
        <v>74</v>
      </c>
      <c r="C16" s="4">
        <v>0.46</v>
      </c>
      <c r="D16" s="2"/>
      <c r="E16" s="2"/>
      <c r="F16" s="2" t="s">
        <v>71</v>
      </c>
    </row>
    <row r="17" spans="1:6" x14ac:dyDescent="0.35">
      <c r="A17" s="2"/>
      <c r="B17" s="2" t="s">
        <v>75</v>
      </c>
      <c r="C17" s="4">
        <v>0.39</v>
      </c>
      <c r="D17" s="2"/>
      <c r="E17" s="2"/>
      <c r="F17" s="2" t="s">
        <v>86</v>
      </c>
    </row>
    <row r="18" spans="1:6" x14ac:dyDescent="0.35">
      <c r="A18" s="2"/>
      <c r="B18" s="2" t="s">
        <v>78</v>
      </c>
      <c r="C18" s="4">
        <v>35</v>
      </c>
      <c r="D18" s="2" t="s">
        <v>79</v>
      </c>
      <c r="E18" s="2"/>
      <c r="F18" s="2" t="s">
        <v>87</v>
      </c>
    </row>
    <row r="19" spans="1:6" x14ac:dyDescent="0.35">
      <c r="A19" s="2"/>
      <c r="B19" s="2" t="s">
        <v>83</v>
      </c>
      <c r="C19" s="4">
        <v>1</v>
      </c>
      <c r="D19" s="2" t="s">
        <v>129</v>
      </c>
      <c r="E19" s="2"/>
      <c r="F19" s="2" t="s">
        <v>130</v>
      </c>
    </row>
    <row r="20" spans="1:6" x14ac:dyDescent="0.35">
      <c r="A20" s="2"/>
      <c r="B20" s="2" t="s">
        <v>131</v>
      </c>
      <c r="C20" s="4">
        <v>1.54</v>
      </c>
      <c r="D20" s="2" t="s">
        <v>132</v>
      </c>
      <c r="E20" s="2"/>
      <c r="F20" s="2" t="s">
        <v>130</v>
      </c>
    </row>
    <row r="21" spans="1:6" x14ac:dyDescent="0.35">
      <c r="A21" s="2"/>
      <c r="B21" s="3" t="s">
        <v>72</v>
      </c>
      <c r="C21" s="4"/>
      <c r="D21" s="2"/>
      <c r="E21" s="2"/>
      <c r="F21" s="2"/>
    </row>
    <row r="22" spans="1:6" x14ac:dyDescent="0.35">
      <c r="A22" s="2"/>
      <c r="B22" s="2" t="s">
        <v>53</v>
      </c>
      <c r="C22" s="4">
        <v>1.6410453881552701E-4</v>
      </c>
      <c r="D22" s="2" t="s">
        <v>60</v>
      </c>
      <c r="E22" s="2"/>
      <c r="F22" s="2" t="s">
        <v>64</v>
      </c>
    </row>
    <row r="23" spans="1:6" x14ac:dyDescent="0.35">
      <c r="A23" s="2"/>
      <c r="B23" s="2" t="s">
        <v>54</v>
      </c>
      <c r="C23" s="4">
        <v>1.5816551741077416E-3</v>
      </c>
      <c r="D23" s="2" t="s">
        <v>60</v>
      </c>
      <c r="E23" s="2"/>
      <c r="F23" s="2" t="s">
        <v>65</v>
      </c>
    </row>
    <row r="24" spans="1:6" x14ac:dyDescent="0.35">
      <c r="A24" s="2"/>
      <c r="B24" s="2" t="s">
        <v>55</v>
      </c>
      <c r="C24" s="4">
        <v>1.40661033270451E-5</v>
      </c>
      <c r="D24" s="2" t="s">
        <v>60</v>
      </c>
      <c r="E24" s="2"/>
      <c r="F24" s="2" t="s">
        <v>66</v>
      </c>
    </row>
    <row r="25" spans="1:6" x14ac:dyDescent="0.35">
      <c r="A25" s="2"/>
      <c r="B25" s="2" t="s">
        <v>56</v>
      </c>
      <c r="C25" s="4">
        <v>3.4383808132776998E-5</v>
      </c>
      <c r="D25" s="2" t="s">
        <v>60</v>
      </c>
      <c r="E25" s="2"/>
      <c r="F25" s="2" t="s">
        <v>67</v>
      </c>
    </row>
    <row r="26" spans="1:6" x14ac:dyDescent="0.35">
      <c r="A26" s="2"/>
      <c r="B26" s="2" t="s">
        <v>57</v>
      </c>
      <c r="C26" s="4">
        <v>1.0682424026705944E-3</v>
      </c>
      <c r="D26" s="2" t="s">
        <v>60</v>
      </c>
      <c r="E26" s="2"/>
      <c r="F26" s="2" t="s">
        <v>68</v>
      </c>
    </row>
    <row r="27" spans="1:6" x14ac:dyDescent="0.35">
      <c r="A27" s="2"/>
      <c r="B27" s="2" t="s">
        <v>58</v>
      </c>
      <c r="C27" s="4">
        <v>6.4078915156538948E-5</v>
      </c>
      <c r="D27" s="2" t="s">
        <v>60</v>
      </c>
      <c r="E27" s="2"/>
      <c r="F27" s="2" t="s">
        <v>69</v>
      </c>
    </row>
    <row r="28" spans="1:6" x14ac:dyDescent="0.35">
      <c r="A28" s="2"/>
      <c r="B28" s="2" t="s">
        <v>61</v>
      </c>
      <c r="C28" s="4">
        <v>4.3034128423524798E-3</v>
      </c>
      <c r="D28" s="2" t="s">
        <v>60</v>
      </c>
      <c r="E28" s="2"/>
      <c r="F28" s="2" t="s">
        <v>70</v>
      </c>
    </row>
    <row r="29" spans="1:6" x14ac:dyDescent="0.35">
      <c r="A29" s="2"/>
      <c r="B29" s="2" t="s">
        <v>62</v>
      </c>
      <c r="C29" s="4">
        <v>1.024622105322019E-4</v>
      </c>
      <c r="D29" s="2" t="s">
        <v>60</v>
      </c>
      <c r="E29" s="2"/>
      <c r="F29" s="2" t="s">
        <v>71</v>
      </c>
    </row>
    <row r="30" spans="1:6" x14ac:dyDescent="0.35">
      <c r="A30" s="2" t="s">
        <v>133</v>
      </c>
      <c r="B30" s="2"/>
      <c r="C30" s="4"/>
      <c r="D30" s="2"/>
      <c r="E30" s="2"/>
      <c r="F30" s="2"/>
    </row>
    <row r="31" spans="1:6" x14ac:dyDescent="0.35">
      <c r="A31" s="2"/>
      <c r="B31" s="9" t="s">
        <v>73</v>
      </c>
      <c r="C31" s="15">
        <v>0.82499999999999996</v>
      </c>
      <c r="D31" s="9"/>
      <c r="E31" s="2"/>
      <c r="F31" s="2" t="s">
        <v>159</v>
      </c>
    </row>
    <row r="32" spans="1:6" x14ac:dyDescent="0.35">
      <c r="A32" s="2"/>
      <c r="B32" t="s">
        <v>104</v>
      </c>
      <c r="C32" s="13">
        <f>L35*L$46</f>
        <v>2.009683968926554</v>
      </c>
      <c r="D32" s="14" t="s">
        <v>136</v>
      </c>
      <c r="E32" s="2" t="s">
        <v>158</v>
      </c>
      <c r="F32" s="2"/>
    </row>
    <row r="33" spans="1:13" x14ac:dyDescent="0.35">
      <c r="A33" s="2"/>
      <c r="B33" t="s">
        <v>103</v>
      </c>
      <c r="C33" s="13">
        <f>L36*L$46</f>
        <v>2.5621468926553675E-5</v>
      </c>
      <c r="D33" s="14" t="s">
        <v>136</v>
      </c>
      <c r="E33" s="2" t="s">
        <v>158</v>
      </c>
      <c r="F33" s="2"/>
    </row>
    <row r="34" spans="1:13" x14ac:dyDescent="0.35">
      <c r="A34" s="2"/>
      <c r="B34" t="s">
        <v>122</v>
      </c>
      <c r="C34" s="13">
        <f>L37*L$46</f>
        <v>2.5621468926553675E-5</v>
      </c>
      <c r="D34" s="14" t="s">
        <v>136</v>
      </c>
      <c r="E34" s="2" t="s">
        <v>158</v>
      </c>
      <c r="F34" s="2"/>
    </row>
    <row r="35" spans="1:13" x14ac:dyDescent="0.35">
      <c r="A35" s="2"/>
      <c r="B35" t="s">
        <v>153</v>
      </c>
      <c r="C35" s="13">
        <f>L38*L$46</f>
        <v>1.7774894067796614E-4</v>
      </c>
      <c r="D35" s="14" t="s">
        <v>136</v>
      </c>
      <c r="E35" s="2" t="s">
        <v>158</v>
      </c>
      <c r="F35" s="2"/>
      <c r="K35" t="s">
        <v>104</v>
      </c>
      <c r="L35">
        <f>39.1+86.4</f>
        <v>125.5</v>
      </c>
    </row>
    <row r="36" spans="1:13" x14ac:dyDescent="0.35">
      <c r="A36" s="2"/>
      <c r="B36" t="s">
        <v>154</v>
      </c>
      <c r="C36" s="13">
        <f>L39*L$46</f>
        <v>1.3034922316384183E-4</v>
      </c>
      <c r="D36" s="14" t="s">
        <v>136</v>
      </c>
      <c r="E36" s="2" t="s">
        <v>158</v>
      </c>
      <c r="F36" s="2"/>
      <c r="K36" t="s">
        <v>103</v>
      </c>
      <c r="L36" s="5">
        <v>1.6000000000000001E-3</v>
      </c>
    </row>
    <row r="37" spans="1:13" x14ac:dyDescent="0.35">
      <c r="A37" s="2"/>
      <c r="B37" t="s">
        <v>155</v>
      </c>
      <c r="C37" s="13">
        <f>L40*L$46</f>
        <v>1.3034922316384183E-4</v>
      </c>
      <c r="D37" s="14" t="s">
        <v>136</v>
      </c>
      <c r="E37" s="2" t="s">
        <v>158</v>
      </c>
      <c r="F37" s="2"/>
      <c r="K37" t="s">
        <v>122</v>
      </c>
      <c r="L37" s="5">
        <v>1.6000000000000001E-3</v>
      </c>
    </row>
    <row r="38" spans="1:13" x14ac:dyDescent="0.35">
      <c r="A38" s="2"/>
      <c r="B38" t="s">
        <v>135</v>
      </c>
      <c r="C38" s="13">
        <f>L41*L$46</f>
        <v>1.713435734463277E-3</v>
      </c>
      <c r="D38" s="14" t="s">
        <v>136</v>
      </c>
      <c r="E38" s="2" t="s">
        <v>158</v>
      </c>
      <c r="F38" s="2"/>
      <c r="K38" t="s">
        <v>153</v>
      </c>
      <c r="L38" s="5">
        <v>1.11E-2</v>
      </c>
    </row>
    <row r="39" spans="1:13" x14ac:dyDescent="0.35">
      <c r="A39" s="2"/>
      <c r="B39" t="s">
        <v>120</v>
      </c>
      <c r="C39" s="13">
        <f>L42*L$46</f>
        <v>5.4125353107344641E-5</v>
      </c>
      <c r="D39" s="14" t="s">
        <v>136</v>
      </c>
      <c r="E39" s="2" t="s">
        <v>158</v>
      </c>
      <c r="F39" s="2"/>
      <c r="K39" t="s">
        <v>154</v>
      </c>
      <c r="L39" s="5">
        <v>8.1399999999999997E-3</v>
      </c>
    </row>
    <row r="40" spans="1:13" x14ac:dyDescent="0.35">
      <c r="A40" s="2"/>
      <c r="B40" t="s">
        <v>134</v>
      </c>
      <c r="C40" s="13">
        <f>L43*L$46</f>
        <v>1.4412076271186442E-3</v>
      </c>
      <c r="D40" s="14" t="s">
        <v>136</v>
      </c>
      <c r="E40" s="2" t="s">
        <v>158</v>
      </c>
      <c r="F40" s="2"/>
      <c r="K40" t="s">
        <v>155</v>
      </c>
      <c r="L40" s="5">
        <v>8.1399999999999997E-3</v>
      </c>
    </row>
    <row r="41" spans="1:13" x14ac:dyDescent="0.35">
      <c r="A41" s="2"/>
      <c r="B41" t="s">
        <v>156</v>
      </c>
      <c r="C41" s="13">
        <f>L44*L$46</f>
        <v>8.615218926553674E-5</v>
      </c>
      <c r="D41" s="14" t="s">
        <v>136</v>
      </c>
      <c r="E41" s="2" t="s">
        <v>158</v>
      </c>
      <c r="F41" s="2"/>
      <c r="K41" t="s">
        <v>135</v>
      </c>
      <c r="L41" s="5">
        <v>0.107</v>
      </c>
    </row>
    <row r="42" spans="1:13" x14ac:dyDescent="0.35">
      <c r="A42" s="2"/>
      <c r="B42" s="9" t="s">
        <v>160</v>
      </c>
      <c r="C42" s="11">
        <v>2.7200000000000002E-3</v>
      </c>
      <c r="D42" s="9" t="s">
        <v>129</v>
      </c>
      <c r="E42" s="2" t="s">
        <v>161</v>
      </c>
      <c r="F42" s="2" t="s">
        <v>162</v>
      </c>
      <c r="K42" t="s">
        <v>120</v>
      </c>
      <c r="L42" s="5">
        <v>3.3800000000000002E-3</v>
      </c>
    </row>
    <row r="43" spans="1:13" x14ac:dyDescent="0.35">
      <c r="A43" s="2"/>
      <c r="B43" s="9"/>
      <c r="C43" s="11"/>
      <c r="D43" s="9"/>
      <c r="E43" s="2"/>
      <c r="F43" s="2"/>
      <c r="K43" t="s">
        <v>134</v>
      </c>
      <c r="L43" s="5">
        <v>0.09</v>
      </c>
    </row>
    <row r="44" spans="1:13" x14ac:dyDescent="0.35">
      <c r="A44" s="2" t="s">
        <v>137</v>
      </c>
      <c r="B44" s="2" t="s">
        <v>148</v>
      </c>
      <c r="C44" s="5"/>
      <c r="D44" s="2"/>
      <c r="E44" s="2"/>
      <c r="F44" s="2"/>
      <c r="K44" t="s">
        <v>156</v>
      </c>
      <c r="L44" s="5">
        <v>5.3800000000000002E-3</v>
      </c>
    </row>
    <row r="45" spans="1:13" x14ac:dyDescent="0.35">
      <c r="A45" s="2"/>
      <c r="B45" s="2" t="s">
        <v>147</v>
      </c>
      <c r="C45" s="10">
        <v>0.98499999999999999</v>
      </c>
      <c r="D45" s="2" t="s">
        <v>151</v>
      </c>
      <c r="E45" s="2"/>
      <c r="F45" s="2" t="s">
        <v>130</v>
      </c>
    </row>
    <row r="46" spans="1:13" x14ac:dyDescent="0.35">
      <c r="A46" s="2"/>
      <c r="B46" s="2" t="s">
        <v>146</v>
      </c>
      <c r="C46" s="10">
        <v>1.7999999999999999E-2</v>
      </c>
      <c r="D46" s="2" t="s">
        <v>150</v>
      </c>
      <c r="E46" s="2" t="s">
        <v>144</v>
      </c>
      <c r="F46" s="2" t="s">
        <v>130</v>
      </c>
      <c r="K46" t="s">
        <v>157</v>
      </c>
      <c r="L46" s="12">
        <f>0.4535/28.32</f>
        <v>1.6013418079096047E-2</v>
      </c>
      <c r="M46" t="s">
        <v>82</v>
      </c>
    </row>
    <row r="47" spans="1:13" x14ac:dyDescent="0.35">
      <c r="A47" s="2"/>
      <c r="B47" s="2" t="s">
        <v>152</v>
      </c>
      <c r="C47" s="5">
        <v>6.0000000000000002E-6</v>
      </c>
      <c r="D47" s="2" t="s">
        <v>136</v>
      </c>
      <c r="E47" s="2" t="s">
        <v>144</v>
      </c>
      <c r="F47" s="2" t="s">
        <v>130</v>
      </c>
    </row>
    <row r="48" spans="1:13" x14ac:dyDescent="0.35">
      <c r="B48" s="2" t="s">
        <v>153</v>
      </c>
      <c r="C48" s="5">
        <v>6.6000000000000003E-6</v>
      </c>
      <c r="D48" s="2" t="s">
        <v>136</v>
      </c>
      <c r="E48" s="2" t="s">
        <v>144</v>
      </c>
      <c r="F48" s="2" t="s">
        <v>130</v>
      </c>
    </row>
    <row r="49" spans="1:16" x14ac:dyDescent="0.35">
      <c r="B49" s="2" t="s">
        <v>83</v>
      </c>
      <c r="C49">
        <v>0.34</v>
      </c>
      <c r="D49" t="s">
        <v>129</v>
      </c>
      <c r="E49" t="s">
        <v>144</v>
      </c>
      <c r="F49" s="2" t="s">
        <v>143</v>
      </c>
      <c r="G49" t="s">
        <v>149</v>
      </c>
      <c r="O49" t="e">
        <f>#REF!*C9*0.001</f>
        <v>#REF!</v>
      </c>
      <c r="P49" t="s">
        <v>93</v>
      </c>
    </row>
    <row r="50" spans="1:16" x14ac:dyDescent="0.35">
      <c r="B50" s="2" t="s">
        <v>138</v>
      </c>
      <c r="C50" s="5">
        <v>8.8999999999999995E-4</v>
      </c>
      <c r="D50" t="s">
        <v>136</v>
      </c>
      <c r="E50" t="s">
        <v>144</v>
      </c>
      <c r="F50" s="2" t="s">
        <v>143</v>
      </c>
    </row>
    <row r="51" spans="1:16" x14ac:dyDescent="0.35">
      <c r="B51" s="2" t="s">
        <v>145</v>
      </c>
      <c r="C51" s="5">
        <v>1.1900000000000001E-2</v>
      </c>
      <c r="D51" s="2" t="s">
        <v>136</v>
      </c>
      <c r="E51" t="s">
        <v>144</v>
      </c>
      <c r="F51" s="2" t="s">
        <v>143</v>
      </c>
    </row>
    <row r="52" spans="1:16" x14ac:dyDescent="0.35">
      <c r="A52" t="s">
        <v>140</v>
      </c>
      <c r="B52" s="2"/>
    </row>
    <row r="53" spans="1:16" x14ac:dyDescent="0.35">
      <c r="B53" s="2" t="s">
        <v>73</v>
      </c>
      <c r="C53" s="1">
        <v>0.35</v>
      </c>
      <c r="D53" t="s">
        <v>141</v>
      </c>
      <c r="F53" s="2" t="s">
        <v>70</v>
      </c>
    </row>
    <row r="54" spans="1:16" x14ac:dyDescent="0.35">
      <c r="B54" t="s">
        <v>53</v>
      </c>
      <c r="C54">
        <v>2.9274118658641445E-2</v>
      </c>
      <c r="D54" t="s">
        <v>136</v>
      </c>
      <c r="F54" s="2" t="s">
        <v>70</v>
      </c>
    </row>
    <row r="55" spans="1:16" x14ac:dyDescent="0.35">
      <c r="B55" t="s">
        <v>54</v>
      </c>
      <c r="C55">
        <v>1.1081685296646603E-3</v>
      </c>
      <c r="D55" t="s">
        <v>136</v>
      </c>
      <c r="F55" s="2" t="s">
        <v>70</v>
      </c>
      <c r="N55" t="s">
        <v>104</v>
      </c>
      <c r="O55" t="e">
        <f>(#REF!*(0.4/0.6))*C10*0.001</f>
        <v>#REF!</v>
      </c>
      <c r="P55" t="s">
        <v>93</v>
      </c>
    </row>
    <row r="56" spans="1:16" x14ac:dyDescent="0.35">
      <c r="B56" t="s">
        <v>55</v>
      </c>
      <c r="C56">
        <v>5.4300257953568357E-6</v>
      </c>
      <c r="D56" t="s">
        <v>136</v>
      </c>
      <c r="F56" s="2" t="s">
        <v>70</v>
      </c>
      <c r="N56" t="s">
        <v>105</v>
      </c>
      <c r="O56" t="e">
        <f>O55+O49</f>
        <v>#REF!</v>
      </c>
    </row>
    <row r="57" spans="1:16" x14ac:dyDescent="0.35">
      <c r="B57" t="s">
        <v>56</v>
      </c>
      <c r="C57">
        <v>3.99226947549441E-3</v>
      </c>
      <c r="D57" t="s">
        <v>136</v>
      </c>
      <c r="F57" s="2" t="s">
        <v>70</v>
      </c>
      <c r="N57" t="s">
        <v>106</v>
      </c>
      <c r="O57" t="e">
        <f>1000-O56</f>
        <v>#REF!</v>
      </c>
    </row>
    <row r="58" spans="1:16" x14ac:dyDescent="0.35">
      <c r="B58" t="s">
        <v>57</v>
      </c>
      <c r="C58">
        <v>3.5646087704213243E-3</v>
      </c>
      <c r="D58" t="s">
        <v>136</v>
      </c>
      <c r="F58" s="2" t="s">
        <v>70</v>
      </c>
    </row>
    <row r="59" spans="1:16" x14ac:dyDescent="0.35">
      <c r="B59" t="s">
        <v>61</v>
      </c>
      <c r="C59">
        <v>1.3390369733447977E-2</v>
      </c>
      <c r="D59" t="s">
        <v>136</v>
      </c>
      <c r="F59" s="2" t="s">
        <v>70</v>
      </c>
    </row>
    <row r="60" spans="1:16" x14ac:dyDescent="0.35">
      <c r="B60" t="s">
        <v>83</v>
      </c>
    </row>
    <row r="63" spans="1:16" x14ac:dyDescent="0.35">
      <c r="A63" t="s">
        <v>89</v>
      </c>
    </row>
    <row r="64" spans="1:16" x14ac:dyDescent="0.35">
      <c r="B64" s="2" t="s">
        <v>94</v>
      </c>
      <c r="C64">
        <f>Waste_characteristics!B3+(Waste_characteristics!B7*(1-Parameters!C4))+(Parameters!C14*Waste_characteristics!B2)-(Waste_characteristics!B2*(1-Waste_characteristics!B4)*Parameters!C5*Parameters!C9*0.001)-(Waste_characteristics!B2*(1-Waste_characteristics!B4)*Parameters!C5*((1-C8)/C8)*C10*0.001)</f>
        <v>786.37119999999993</v>
      </c>
      <c r="D64" s="2" t="s">
        <v>107</v>
      </c>
      <c r="E64" s="2"/>
    </row>
    <row r="65" spans="1:6" x14ac:dyDescent="0.35">
      <c r="A65" t="s">
        <v>108</v>
      </c>
    </row>
    <row r="66" spans="1:6" x14ac:dyDescent="0.35">
      <c r="B66" s="7" t="s">
        <v>109</v>
      </c>
      <c r="C66" s="1">
        <v>0.1</v>
      </c>
      <c r="D66" s="2" t="s">
        <v>110</v>
      </c>
      <c r="E66" s="2"/>
    </row>
    <row r="67" spans="1:6" x14ac:dyDescent="0.35">
      <c r="B67" s="7" t="s">
        <v>109</v>
      </c>
      <c r="C67">
        <f>Waste_characteristics!B6*(1-Parameters!C6)*Parameters!C66</f>
        <v>3.7632000000000008</v>
      </c>
      <c r="D67" t="s">
        <v>114</v>
      </c>
      <c r="F67" t="s">
        <v>117</v>
      </c>
    </row>
    <row r="68" spans="1:6" x14ac:dyDescent="0.35">
      <c r="B68" t="s">
        <v>115</v>
      </c>
      <c r="C68">
        <f>(C67/C11)*C8*C9</f>
        <v>1.3281882352941177</v>
      </c>
      <c r="D68" s="2" t="s">
        <v>93</v>
      </c>
      <c r="E68" s="2"/>
    </row>
    <row r="69" spans="1:6" x14ac:dyDescent="0.35">
      <c r="B69" t="s">
        <v>120</v>
      </c>
      <c r="C69">
        <v>2.6599999999999999E-2</v>
      </c>
      <c r="D69" s="2" t="s">
        <v>121</v>
      </c>
      <c r="E69" s="2"/>
    </row>
    <row r="70" spans="1:6" x14ac:dyDescent="0.35">
      <c r="A70" t="s">
        <v>118</v>
      </c>
    </row>
    <row r="71" spans="1:6" x14ac:dyDescent="0.35">
      <c r="B71" t="s">
        <v>119</v>
      </c>
      <c r="C71">
        <f>C64-C68</f>
        <v>785.04301176470585</v>
      </c>
    </row>
    <row r="72" spans="1:6" x14ac:dyDescent="0.35">
      <c r="B72" t="s">
        <v>122</v>
      </c>
      <c r="C72">
        <v>1.2999999999999999E-2</v>
      </c>
      <c r="D72" t="s">
        <v>126</v>
      </c>
      <c r="F72" s="8" t="s">
        <v>123</v>
      </c>
    </row>
    <row r="73" spans="1:6" x14ac:dyDescent="0.35">
      <c r="B73" t="s">
        <v>120</v>
      </c>
      <c r="C73">
        <v>0.4</v>
      </c>
      <c r="D73" t="s">
        <v>127</v>
      </c>
      <c r="F73" t="s">
        <v>124</v>
      </c>
    </row>
    <row r="74" spans="1:6" x14ac:dyDescent="0.35">
      <c r="B74" t="s">
        <v>125</v>
      </c>
      <c r="C74">
        <v>0.15</v>
      </c>
      <c r="D74" t="s">
        <v>128</v>
      </c>
    </row>
    <row r="75" spans="1:6" x14ac:dyDescent="0.35">
      <c r="A75" t="s">
        <v>142</v>
      </c>
    </row>
    <row r="76" spans="1:6" x14ac:dyDescent="0.35">
      <c r="B76" t="s">
        <v>163</v>
      </c>
      <c r="C76" s="16">
        <v>0.91500000000000004</v>
      </c>
      <c r="D76" t="s">
        <v>170</v>
      </c>
    </row>
    <row r="77" spans="1:6" x14ac:dyDescent="0.35">
      <c r="B77" t="s">
        <v>164</v>
      </c>
      <c r="C77" s="16">
        <v>0.20499999999999999</v>
      </c>
      <c r="D77" t="s">
        <v>171</v>
      </c>
    </row>
    <row r="78" spans="1:6" x14ac:dyDescent="0.35">
      <c r="B78" t="s">
        <v>165</v>
      </c>
      <c r="C78">
        <v>3.6315142617449662E-3</v>
      </c>
      <c r="D78" t="s">
        <v>172</v>
      </c>
    </row>
    <row r="79" spans="1:6" x14ac:dyDescent="0.35">
      <c r="B79" t="s">
        <v>166</v>
      </c>
      <c r="C79" s="16">
        <v>0.54699999999999993</v>
      </c>
      <c r="D79" t="s">
        <v>173</v>
      </c>
    </row>
    <row r="80" spans="1:6" x14ac:dyDescent="0.35">
      <c r="B80" t="s">
        <v>167</v>
      </c>
      <c r="C80" s="16">
        <v>0.36399999999999999</v>
      </c>
      <c r="D80" t="s">
        <v>174</v>
      </c>
    </row>
    <row r="81" spans="1:4" x14ac:dyDescent="0.35">
      <c r="B81" t="s">
        <v>168</v>
      </c>
      <c r="C81" s="16">
        <v>0.84620000000000006</v>
      </c>
      <c r="D81" t="s">
        <v>175</v>
      </c>
    </row>
    <row r="82" spans="1:4" x14ac:dyDescent="0.35">
      <c r="B82" t="s">
        <v>169</v>
      </c>
      <c r="C82" s="16">
        <v>0.34799999999999998</v>
      </c>
      <c r="D82" t="s">
        <v>176</v>
      </c>
    </row>
    <row r="83" spans="1:4" x14ac:dyDescent="0.35">
      <c r="A83" t="s">
        <v>177</v>
      </c>
    </row>
    <row r="84" spans="1:4" x14ac:dyDescent="0.35">
      <c r="B84" t="s">
        <v>178</v>
      </c>
      <c r="C84" s="16">
        <v>0.57999999999999996</v>
      </c>
      <c r="D84" t="s">
        <v>179</v>
      </c>
    </row>
    <row r="85" spans="1:4" x14ac:dyDescent="0.35">
      <c r="B85" t="s">
        <v>180</v>
      </c>
      <c r="C85" s="16">
        <v>9.8600000000000007E-3</v>
      </c>
      <c r="D85" t="s">
        <v>181</v>
      </c>
    </row>
    <row r="86" spans="1:4" x14ac:dyDescent="0.35">
      <c r="B86" t="s">
        <v>182</v>
      </c>
      <c r="C86" s="16">
        <v>9.4999999999999998E-3</v>
      </c>
      <c r="D86" t="s">
        <v>183</v>
      </c>
    </row>
    <row r="87" spans="1:4" x14ac:dyDescent="0.35">
      <c r="B87" t="s">
        <v>184</v>
      </c>
      <c r="C87" s="16">
        <v>0.04</v>
      </c>
      <c r="D87" t="s">
        <v>183</v>
      </c>
    </row>
    <row r="88" spans="1:4" x14ac:dyDescent="0.35">
      <c r="B88" t="s">
        <v>185</v>
      </c>
      <c r="C88" s="16">
        <v>0.104</v>
      </c>
      <c r="D88" t="s">
        <v>186</v>
      </c>
    </row>
    <row r="89" spans="1:4" x14ac:dyDescent="0.35">
      <c r="B89" t="s">
        <v>187</v>
      </c>
      <c r="C89" s="16">
        <v>4.0000000000000002E-4</v>
      </c>
      <c r="D89" t="s">
        <v>181</v>
      </c>
    </row>
    <row r="90" spans="1:4" x14ac:dyDescent="0.35">
      <c r="B90" t="s">
        <v>188</v>
      </c>
      <c r="C90" s="16">
        <v>0.48</v>
      </c>
      <c r="D90" t="s">
        <v>189</v>
      </c>
    </row>
    <row r="91" spans="1:4" x14ac:dyDescent="0.35">
      <c r="B91" t="s">
        <v>190</v>
      </c>
      <c r="C91">
        <v>10.523342983999999</v>
      </c>
      <c r="D91" t="s">
        <v>192</v>
      </c>
    </row>
    <row r="92" spans="1:4" x14ac:dyDescent="0.35">
      <c r="B92" t="s">
        <v>191</v>
      </c>
      <c r="C92">
        <v>1.7990406305204509</v>
      </c>
      <c r="D92" t="s">
        <v>193</v>
      </c>
    </row>
    <row r="93" spans="1:4" x14ac:dyDescent="0.35">
      <c r="A93" t="s">
        <v>194</v>
      </c>
    </row>
  </sheetData>
  <hyperlinks>
    <hyperlink ref="F72" r:id="rId1" xr:uid="{9BBFB4ED-D8C2-43B9-9DDA-65BB07F7577F}"/>
  </hyperlinks>
  <pageMargins left="0.7" right="0.7" top="0.75" bottom="0.75" header="0.3" footer="0.3"/>
  <pageSetup paperSize="9" orientation="portrait" verticalDpi="597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0B8B-1FF2-4509-8B5B-683B64610CAB}">
  <dimension ref="A1:C7"/>
  <sheetViews>
    <sheetView workbookViewId="0">
      <selection activeCell="C6" sqref="C6"/>
    </sheetView>
  </sheetViews>
  <sheetFormatPr baseColWidth="10" defaultRowHeight="14.5" x14ac:dyDescent="0.35"/>
  <cols>
    <col min="1" max="1" width="24.08984375" customWidth="1"/>
  </cols>
  <sheetData>
    <row r="1" spans="1:3" x14ac:dyDescent="0.35">
      <c r="C1" t="s">
        <v>2</v>
      </c>
    </row>
    <row r="2" spans="1:3" x14ac:dyDescent="0.35">
      <c r="A2" t="s">
        <v>91</v>
      </c>
      <c r="B2">
        <v>1000</v>
      </c>
      <c r="C2" t="s">
        <v>93</v>
      </c>
    </row>
    <row r="3" spans="1:3" x14ac:dyDescent="0.35">
      <c r="A3" t="s">
        <v>101</v>
      </c>
      <c r="B3">
        <f>B2-B7</f>
        <v>1000</v>
      </c>
      <c r="C3" t="s">
        <v>93</v>
      </c>
    </row>
    <row r="4" spans="1:3" x14ac:dyDescent="0.35">
      <c r="A4" t="s">
        <v>98</v>
      </c>
      <c r="B4" s="1">
        <v>0.72</v>
      </c>
      <c r="C4" t="s">
        <v>97</v>
      </c>
    </row>
    <row r="5" spans="1:3" x14ac:dyDescent="0.35">
      <c r="A5" t="s">
        <v>99</v>
      </c>
      <c r="B5" s="1">
        <v>0.96</v>
      </c>
      <c r="C5" t="s">
        <v>92</v>
      </c>
    </row>
    <row r="6" spans="1:3" x14ac:dyDescent="0.35">
      <c r="A6" t="s">
        <v>99</v>
      </c>
      <c r="B6" s="4">
        <f>B3*(1-B4)*B5</f>
        <v>268.8</v>
      </c>
      <c r="C6" t="s">
        <v>93</v>
      </c>
    </row>
    <row r="7" spans="1:3" x14ac:dyDescent="0.35">
      <c r="A7" t="s">
        <v>96</v>
      </c>
      <c r="B7">
        <v>0</v>
      </c>
      <c r="C7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8EA1-7085-483E-B301-14FD379C82A6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4FAF-4709-4BFE-ABE0-A5FB02FE4FE0}">
  <dimension ref="A2:A3"/>
  <sheetViews>
    <sheetView workbookViewId="0">
      <selection activeCell="A3" sqref="A3"/>
    </sheetView>
  </sheetViews>
  <sheetFormatPr baseColWidth="10" defaultRowHeight="14.5" x14ac:dyDescent="0.35"/>
  <sheetData>
    <row r="2" spans="1:1" x14ac:dyDescent="0.35">
      <c r="A2" t="s">
        <v>22</v>
      </c>
    </row>
    <row r="3" spans="1:1" x14ac:dyDescent="0.35">
      <c r="A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1468-0BFB-4CC0-86A8-2F8089FAEBA1}">
  <dimension ref="A1:T23"/>
  <sheetViews>
    <sheetView tabSelected="1" workbookViewId="0">
      <selection activeCell="G12" sqref="G12"/>
    </sheetView>
  </sheetViews>
  <sheetFormatPr baseColWidth="10" defaultRowHeight="14.5" x14ac:dyDescent="0.35"/>
  <cols>
    <col min="1" max="1" width="30" customWidth="1"/>
    <col min="2" max="2" width="24.6328125" bestFit="1" customWidth="1"/>
    <col min="3" max="3" width="10.90625" customWidth="1"/>
  </cols>
  <sheetData>
    <row r="1" spans="1:20" x14ac:dyDescent="0.35">
      <c r="A1" t="s">
        <v>0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</row>
    <row r="2" spans="1:20" x14ac:dyDescent="0.35">
      <c r="A2" t="s">
        <v>5</v>
      </c>
    </row>
    <row r="3" spans="1:20" x14ac:dyDescent="0.35">
      <c r="B3" t="s">
        <v>22</v>
      </c>
    </row>
    <row r="4" spans="1:20" x14ac:dyDescent="0.35">
      <c r="B4" t="s">
        <v>23</v>
      </c>
    </row>
    <row r="5" spans="1:20" x14ac:dyDescent="0.35">
      <c r="A5" t="s">
        <v>6</v>
      </c>
    </row>
    <row r="6" spans="1:20" x14ac:dyDescent="0.35">
      <c r="B6" t="s">
        <v>22</v>
      </c>
    </row>
    <row r="7" spans="1:20" x14ac:dyDescent="0.35">
      <c r="B7" t="s">
        <v>24</v>
      </c>
    </row>
    <row r="8" spans="1:20" x14ac:dyDescent="0.35">
      <c r="B8" t="s">
        <v>25</v>
      </c>
    </row>
    <row r="9" spans="1:20" x14ac:dyDescent="0.35">
      <c r="A9" t="s">
        <v>7</v>
      </c>
    </row>
    <row r="10" spans="1:20" x14ac:dyDescent="0.35">
      <c r="B10" t="s">
        <v>22</v>
      </c>
    </row>
    <row r="11" spans="1:20" x14ac:dyDescent="0.35">
      <c r="B11" t="s">
        <v>24</v>
      </c>
    </row>
    <row r="12" spans="1:20" x14ac:dyDescent="0.35">
      <c r="B12" t="s">
        <v>26</v>
      </c>
    </row>
    <row r="13" spans="1:20" x14ac:dyDescent="0.35">
      <c r="B13" t="s">
        <v>27</v>
      </c>
    </row>
    <row r="14" spans="1:20" x14ac:dyDescent="0.35">
      <c r="B14" t="s">
        <v>28</v>
      </c>
    </row>
    <row r="15" spans="1:20" x14ac:dyDescent="0.35">
      <c r="B15" t="s">
        <v>29</v>
      </c>
    </row>
    <row r="16" spans="1:20" x14ac:dyDescent="0.35">
      <c r="B16" t="s">
        <v>30</v>
      </c>
    </row>
    <row r="17" spans="1:2" x14ac:dyDescent="0.35">
      <c r="B17" t="s">
        <v>31</v>
      </c>
    </row>
    <row r="18" spans="1:2" x14ac:dyDescent="0.35">
      <c r="B18" t="s">
        <v>19</v>
      </c>
    </row>
    <row r="19" spans="1:2" x14ac:dyDescent="0.35">
      <c r="B19" t="s">
        <v>32</v>
      </c>
    </row>
    <row r="20" spans="1:2" x14ac:dyDescent="0.35">
      <c r="A20" t="s">
        <v>33</v>
      </c>
    </row>
    <row r="21" spans="1:2" x14ac:dyDescent="0.35">
      <c r="B21" t="s">
        <v>33</v>
      </c>
    </row>
    <row r="22" spans="1:2" x14ac:dyDescent="0.35">
      <c r="A22" t="s">
        <v>34</v>
      </c>
    </row>
    <row r="23" spans="1:2" x14ac:dyDescent="0.35">
      <c r="B23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8637-5014-4DAF-B847-849560F6E5D4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LCI</vt:lpstr>
      <vt:lpstr>Parameters</vt:lpstr>
      <vt:lpstr>Waste_characteristics</vt:lpstr>
      <vt:lpstr>Feuil4</vt:lpstr>
      <vt:lpstr>midpoint_matrix</vt:lpstr>
      <vt:lpstr>AD_a_mid</vt:lpstr>
      <vt:lpstr>Feuil1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2025-06-17T09:55:48Z</dcterms:created>
  <dcterms:modified xsi:type="dcterms:W3CDTF">2025-06-30T21:31:49Z</dcterms:modified>
</cp:coreProperties>
</file>