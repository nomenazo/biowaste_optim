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AED44925-3A34-4AED-B8B4-4E1AD8BA7E49}" xr6:coauthVersionLast="36" xr6:coauthVersionMax="36" xr10:uidLastSave="{00000000-0000-0000-0000-000000000000}"/>
  <bookViews>
    <workbookView xWindow="0" yWindow="0" windowWidth="19200" windowHeight="6060" firstSheet="1" activeTab="4" xr2:uid="{AD25C4C4-CDAB-475A-A223-6BD98AE97C2F}"/>
  </bookViews>
  <sheets>
    <sheet name="Feuil1" sheetId="1" r:id="rId1"/>
    <sheet name="minCO2" sheetId="2" r:id="rId2"/>
    <sheet name="minEQ" sheetId="3" r:id="rId3"/>
    <sheet name="minHH" sheetId="5" r:id="rId4"/>
    <sheet name="Feuil6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5" l="1"/>
  <c r="L6" i="5"/>
  <c r="L6" i="3" l="1"/>
  <c r="B2" i="6" l="1"/>
  <c r="D7" i="6" l="1"/>
  <c r="C7" i="6"/>
  <c r="B7" i="6"/>
  <c r="D6" i="6"/>
  <c r="C6" i="6"/>
  <c r="B6" i="6"/>
  <c r="D5" i="6"/>
  <c r="C5" i="6"/>
  <c r="B5" i="6"/>
  <c r="D4" i="6"/>
  <c r="C4" i="6"/>
  <c r="D3" i="6"/>
  <c r="B4" i="6"/>
  <c r="C3" i="6"/>
  <c r="B3" i="6"/>
  <c r="D2" i="6"/>
  <c r="C2" i="6"/>
  <c r="B13" i="6" l="1"/>
  <c r="B10" i="6"/>
  <c r="C12" i="6"/>
  <c r="C13" i="6"/>
  <c r="D10" i="6"/>
  <c r="B11" i="6"/>
  <c r="B15" i="6"/>
  <c r="B14" i="6"/>
  <c r="B12" i="6"/>
  <c r="D11" i="6"/>
  <c r="D15" i="6"/>
  <c r="D14" i="6"/>
  <c r="D13" i="6"/>
  <c r="D12" i="6"/>
  <c r="C11" i="6"/>
  <c r="C10" i="6"/>
  <c r="C15" i="6"/>
  <c r="C14" i="6"/>
</calcChain>
</file>

<file path=xl/sharedStrings.xml><?xml version="1.0" encoding="utf-8"?>
<sst xmlns="http://schemas.openxmlformats.org/spreadsheetml/2006/main" count="146" uniqueCount="82">
  <si>
    <t>Tableau des scénarios</t>
  </si>
  <si>
    <t>Facteurs humains</t>
  </si>
  <si>
    <t>Taux de tri</t>
  </si>
  <si>
    <t>Comportement à l'utilisation du compost/digestat</t>
  </si>
  <si>
    <t>Logistique</t>
  </si>
  <si>
    <t>Ne veut pas investir</t>
  </si>
  <si>
    <t>Peut investir</t>
  </si>
  <si>
    <t>Politique énergétique</t>
  </si>
  <si>
    <t>Niveau d'investissement</t>
  </si>
  <si>
    <t>Substitution biomethane</t>
  </si>
  <si>
    <t>Substitution de l'électricité</t>
  </si>
  <si>
    <t>Substitution de la chaleur</t>
  </si>
  <si>
    <t>Evolution de la réglementation : les sites existants accepteraient les biodéchets</t>
  </si>
  <si>
    <t>Optimiste</t>
  </si>
  <si>
    <t>BaU</t>
  </si>
  <si>
    <t>Pessimiste</t>
  </si>
  <si>
    <t>Variables/contraintes?</t>
  </si>
  <si>
    <t>substitution 100%</t>
  </si>
  <si>
    <t xml:space="preserve">Neutralité carbone en 2050 --&gt; sortie du fossile </t>
  </si>
  <si>
    <t>Même mix qu'aujourd'hui</t>
  </si>
  <si>
    <t>Re</t>
  </si>
  <si>
    <t>Narration</t>
  </si>
  <si>
    <t>Tri</t>
  </si>
  <si>
    <t>Taux de substitution fertilisant et peat</t>
  </si>
  <si>
    <t>Substitut du biométhane</t>
  </si>
  <si>
    <t>Substitut de la chaleur</t>
  </si>
  <si>
    <t>Substitut de l'électricité</t>
  </si>
  <si>
    <t>Résultat d'optimisation</t>
  </si>
  <si>
    <t>Santé humaine</t>
  </si>
  <si>
    <t>Qualité des écosystèmes</t>
  </si>
  <si>
    <t>Disengagement Pathway</t>
  </si>
  <si>
    <t>Sustainability pathway</t>
  </si>
  <si>
    <t>Policy-Society mismatch</t>
  </si>
  <si>
    <t>Civic-led pathway</t>
  </si>
  <si>
    <t>-Politique énergétique en faveur du développement fossile 
- Société consciente</t>
  </si>
  <si>
    <t>Partial mobilization</t>
  </si>
  <si>
    <t>-Politique ambitieuse, mais peu de moyen mis en œuvre
-Seule une partie de la population adhère</t>
  </si>
  <si>
    <t>Nom du scenario dans python</t>
  </si>
  <si>
    <t>sc_reel_sust</t>
  </si>
  <si>
    <t>CO2 (kgCO2eq/an)</t>
  </si>
  <si>
    <t>mismatch</t>
  </si>
  <si>
    <t>HC et IC existant</t>
  </si>
  <si>
    <t>- HC pour les maisons
- IC existant pour les buildings</t>
  </si>
  <si>
    <t>tout vers AD-c nouveau</t>
  </si>
  <si>
    <t>sc_reel_civic_led</t>
  </si>
  <si>
    <t>diseng</t>
  </si>
  <si>
    <t>tout vers AD-c existant</t>
  </si>
  <si>
    <t>Sensibilité à la politique énergétique</t>
  </si>
  <si>
    <t>sensibilité au comportement</t>
  </si>
  <si>
    <t>OUI</t>
  </si>
  <si>
    <t>-Politique énergétique orientée vers la neutralité carbone
-Société consciente</t>
  </si>
  <si>
    <t>-Politique énergétique en faveur du développement fossile
-Société inconsciente</t>
  </si>
  <si>
    <t>-Politique énergétique orientée vers la neutralité carbone
-Société inconsciente</t>
  </si>
  <si>
    <t>civic-led pathway - sans investissement</t>
  </si>
  <si>
    <t>civic_ss_inv</t>
  </si>
  <si>
    <t>AD-c existant et HC</t>
  </si>
  <si>
    <t>Total ecosystem quality (PDF.m2.yr)</t>
  </si>
  <si>
    <t>AD-b existant et AD-b nouveau</t>
  </si>
  <si>
    <t>AD-b existant puis AD-c existant</t>
  </si>
  <si>
    <t>sc_reel_civic_led_EQ</t>
  </si>
  <si>
    <t>civic_ss_inv_EQ</t>
  </si>
  <si>
    <t>Human health (DALY)</t>
  </si>
  <si>
    <t>civic_ss_inv_HH</t>
  </si>
  <si>
    <t>AD-C existant puis IC existant</t>
  </si>
  <si>
    <t>AD-c nouveau</t>
  </si>
  <si>
    <t>Carbon</t>
  </si>
  <si>
    <t>HH</t>
  </si>
  <si>
    <t>Carbone</t>
  </si>
  <si>
    <t>EQ</t>
  </si>
  <si>
    <t>minEQ</t>
  </si>
  <si>
    <t>minHH</t>
  </si>
  <si>
    <t>minCarbon</t>
  </si>
  <si>
    <t>minCarbon_inv</t>
  </si>
  <si>
    <t>minEQ_inv</t>
  </si>
  <si>
    <t>minHH_inv</t>
  </si>
  <si>
    <t>Scénario optimal</t>
  </si>
  <si>
    <t xml:space="preserve"> </t>
  </si>
  <si>
    <t>AD-c existant (n'atteint pas la capacité max) et HC</t>
  </si>
  <si>
    <t>AD-b existant (capacité max non atteinte et HC)</t>
  </si>
  <si>
    <t xml:space="preserve">AD-C existant (capacité max non atteinte et HC) </t>
  </si>
  <si>
    <t>tout vers AD-c nouveau pour atteindre cap min. , le reste HC</t>
  </si>
  <si>
    <t xml:space="preserve">AD-b existant (build) et HC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</si>
</sst>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0.00000E+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Fill="1"/>
    <xf numFmtId="11" fontId="0" fillId="0" borderId="0" xfId="1" applyNumberFormat="1" applyFont="1"/>
    <xf numFmtId="11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Feuil6!$A$10</c:f>
              <c:strCache>
                <c:ptCount val="1"/>
                <c:pt idx="0">
                  <c:v>minCarbon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Feuil6!$B$9:$D$9</c:f>
              <c:strCache>
                <c:ptCount val="3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</c:strCache>
            </c:strRef>
          </c:cat>
          <c:val>
            <c:numRef>
              <c:f>Feuil6!$B$10:$D$10</c:f>
              <c:numCache>
                <c:formatCode>0.00E+00</c:formatCode>
                <c:ptCount val="3"/>
                <c:pt idx="0">
                  <c:v>3.8833510370696905E-2</c:v>
                </c:pt>
                <c:pt idx="1">
                  <c:v>0.45536603816514926</c:v>
                </c:pt>
                <c:pt idx="2">
                  <c:v>4.9999999999999822E-2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5E-436E-A7A0-C28712E05AEF}"/>
            </c:ext>
          </c:extLst>
        </c:ser>
        <c:ser>
          <c:idx val="1"/>
          <c:order val="1"/>
          <c:tx>
            <c:strRef>
              <c:f>Feuil6!$A$11</c:f>
              <c:strCache>
                <c:ptCount val="1"/>
                <c:pt idx="0">
                  <c:v>minEQ</c:v>
                </c:pt>
              </c:strCache>
            </c:strRef>
          </c:tx>
          <c:spPr>
            <a:ln w="34925" cap="rnd" cmpd="sng">
              <a:solidFill>
                <a:schemeClr val="accent5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Feuil6!$B$9:$D$9</c:f>
              <c:strCache>
                <c:ptCount val="3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</c:strCache>
            </c:strRef>
          </c:cat>
          <c:val>
            <c:numRef>
              <c:f>Feuil6!$B$11:$D$11</c:f>
              <c:numCache>
                <c:formatCode>0.00E+00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5E-436E-A7A0-C28712E05AEF}"/>
            </c:ext>
          </c:extLst>
        </c:ser>
        <c:ser>
          <c:idx val="2"/>
          <c:order val="2"/>
          <c:tx>
            <c:strRef>
              <c:f>Feuil6!$A$12</c:f>
              <c:strCache>
                <c:ptCount val="1"/>
                <c:pt idx="0">
                  <c:v>minHH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Feuil6!$B$9:$D$9</c:f>
              <c:strCache>
                <c:ptCount val="3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</c:strCache>
            </c:strRef>
          </c:cat>
          <c:val>
            <c:numRef>
              <c:f>Feuil6!$B$12:$D$12</c:f>
              <c:numCache>
                <c:formatCode>0.00E+00</c:formatCode>
                <c:ptCount val="3"/>
                <c:pt idx="0">
                  <c:v>4.1366440169448973E-2</c:v>
                </c:pt>
                <c:pt idx="1">
                  <c:v>0.36699372985597445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5E-436E-A7A0-C28712E05AEF}"/>
            </c:ext>
          </c:extLst>
        </c:ser>
        <c:ser>
          <c:idx val="3"/>
          <c:order val="3"/>
          <c:tx>
            <c:strRef>
              <c:f>Feuil6!$A$13</c:f>
              <c:strCache>
                <c:ptCount val="1"/>
                <c:pt idx="0">
                  <c:v>minCarbon_inv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Feuil6!$B$9:$D$9</c:f>
              <c:strCache>
                <c:ptCount val="3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</c:strCache>
            </c:strRef>
          </c:cat>
          <c:val>
            <c:numRef>
              <c:f>Feuil6!$B$13:$D$13</c:f>
              <c:numCache>
                <c:formatCode>0.00E+00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0.37999999999999989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5E-436E-A7A0-C28712E05AEF}"/>
            </c:ext>
          </c:extLst>
        </c:ser>
        <c:ser>
          <c:idx val="5"/>
          <c:order val="4"/>
          <c:tx>
            <c:strRef>
              <c:f>Feuil6!$A$15</c:f>
              <c:strCache>
                <c:ptCount val="1"/>
                <c:pt idx="0">
                  <c:v>minHH_inv</c:v>
                </c:pt>
              </c:strCache>
            </c:strRef>
          </c:tx>
          <c:spPr>
            <a:ln w="3492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Feuil6!$B$9:$D$9</c:f>
              <c:strCache>
                <c:ptCount val="3"/>
                <c:pt idx="0">
                  <c:v>Carbon</c:v>
                </c:pt>
                <c:pt idx="1">
                  <c:v>EQ</c:v>
                </c:pt>
                <c:pt idx="2">
                  <c:v>HH</c:v>
                </c:pt>
              </c:strCache>
            </c:strRef>
          </c:cat>
          <c:val>
            <c:numRef>
              <c:f>Feuil6!$B$15:$D$15</c:f>
              <c:numCache>
                <c:formatCode>0.00E+00</c:formatCode>
                <c:ptCount val="3"/>
                <c:pt idx="0">
                  <c:v>4.1366440169448973E-2</c:v>
                </c:pt>
                <c:pt idx="1">
                  <c:v>0.36699372985597445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5E-436E-A7A0-C28712E05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243648"/>
        <c:axId val="1986738336"/>
      </c:lineChart>
      <c:catAx>
        <c:axId val="86024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86738336"/>
        <c:crosses val="autoZero"/>
        <c:auto val="1"/>
        <c:lblAlgn val="ctr"/>
        <c:lblOffset val="100"/>
        <c:noMultiLvlLbl val="0"/>
      </c:catAx>
      <c:valAx>
        <c:axId val="1986738336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860243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311661</xdr:colOff>
      <xdr:row>3</xdr:row>
      <xdr:rowOff>107258</xdr:rowOff>
    </xdr:from>
    <xdr:to>
      <xdr:col>20</xdr:col>
      <xdr:colOff>400326</xdr:colOff>
      <xdr:row>40</xdr:row>
      <xdr:rowOff>124238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CAE72FF-F427-430A-8A8E-FAF3A575F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38B6-F64E-4345-8888-ADA190DAB79A}">
  <dimension ref="A1:K26"/>
  <sheetViews>
    <sheetView topLeftCell="A15" zoomScale="110" zoomScaleNormal="110" workbookViewId="0">
      <selection activeCell="C12" sqref="C12"/>
    </sheetView>
  </sheetViews>
  <sheetFormatPr baseColWidth="10" defaultRowHeight="14.5" x14ac:dyDescent="0.35"/>
  <cols>
    <col min="1" max="1" width="25.81640625" customWidth="1"/>
    <col min="2" max="2" width="24.54296875" customWidth="1"/>
    <col min="3" max="3" width="22.90625" customWidth="1"/>
    <col min="7" max="7" width="16.26953125" customWidth="1"/>
  </cols>
  <sheetData>
    <row r="1" spans="1:11" x14ac:dyDescent="0.35">
      <c r="A1" t="s">
        <v>0</v>
      </c>
    </row>
    <row r="3" spans="1:11" x14ac:dyDescent="0.35">
      <c r="A3" t="s">
        <v>1</v>
      </c>
      <c r="E3" t="s">
        <v>15</v>
      </c>
      <c r="G3" t="s">
        <v>14</v>
      </c>
      <c r="I3" t="s">
        <v>13</v>
      </c>
    </row>
    <row r="4" spans="1:11" x14ac:dyDescent="0.35">
      <c r="B4" t="s">
        <v>2</v>
      </c>
      <c r="G4" s="10">
        <v>0.4</v>
      </c>
      <c r="I4" s="10">
        <v>0.7</v>
      </c>
    </row>
    <row r="5" spans="1:11" x14ac:dyDescent="0.35">
      <c r="B5" t="s">
        <v>3</v>
      </c>
      <c r="E5" s="10">
        <v>0.25</v>
      </c>
      <c r="G5" s="10">
        <v>0.5</v>
      </c>
      <c r="I5" t="s">
        <v>17</v>
      </c>
    </row>
    <row r="10" spans="1:11" ht="15" thickBot="1" x14ac:dyDescent="0.4"/>
    <row r="11" spans="1:11" x14ac:dyDescent="0.35">
      <c r="A11" s="1" t="s">
        <v>4</v>
      </c>
      <c r="B11" s="2" t="s">
        <v>8</v>
      </c>
      <c r="C11" s="2" t="s">
        <v>5</v>
      </c>
      <c r="D11" s="2"/>
      <c r="E11" s="2"/>
      <c r="F11" s="2"/>
      <c r="G11" s="2"/>
      <c r="H11" s="2"/>
      <c r="I11" s="2"/>
      <c r="J11" s="3"/>
    </row>
    <row r="12" spans="1:11" x14ac:dyDescent="0.35">
      <c r="A12" s="4"/>
      <c r="B12" s="5"/>
      <c r="C12" s="5"/>
      <c r="D12" s="5"/>
      <c r="E12" s="5"/>
      <c r="F12" s="5"/>
      <c r="G12" s="5"/>
      <c r="H12" s="5"/>
      <c r="I12" s="5"/>
      <c r="J12" s="6"/>
    </row>
    <row r="13" spans="1:11" x14ac:dyDescent="0.35">
      <c r="A13" s="4"/>
      <c r="B13" s="5"/>
      <c r="C13" s="5"/>
      <c r="D13" s="5"/>
      <c r="E13" s="5"/>
      <c r="F13" s="5"/>
      <c r="G13" s="5"/>
      <c r="H13" s="5"/>
      <c r="I13" s="5"/>
      <c r="J13" s="6"/>
      <c r="K13" t="s">
        <v>16</v>
      </c>
    </row>
    <row r="14" spans="1:11" x14ac:dyDescent="0.35">
      <c r="A14" s="4"/>
      <c r="B14" s="5"/>
      <c r="C14" s="5"/>
      <c r="D14" s="5"/>
      <c r="E14" s="5"/>
      <c r="F14" s="5"/>
      <c r="G14" s="5"/>
      <c r="H14" s="5"/>
      <c r="I14" s="5"/>
      <c r="J14" s="6"/>
    </row>
    <row r="15" spans="1:11" x14ac:dyDescent="0.35">
      <c r="A15" s="4"/>
      <c r="B15" s="5"/>
      <c r="C15" s="5" t="s">
        <v>6</v>
      </c>
      <c r="D15" s="5"/>
      <c r="E15" s="5"/>
      <c r="F15" s="5"/>
      <c r="G15" s="5"/>
      <c r="H15" s="5"/>
      <c r="I15" s="5"/>
      <c r="J15" s="6"/>
    </row>
    <row r="16" spans="1:11" x14ac:dyDescent="0.35">
      <c r="A16" s="4"/>
      <c r="B16" s="5"/>
      <c r="C16" s="5"/>
      <c r="D16" s="5"/>
      <c r="E16" s="5"/>
      <c r="F16" s="5"/>
      <c r="G16" s="5"/>
      <c r="H16" s="5"/>
      <c r="I16" s="5"/>
      <c r="J16" s="6"/>
    </row>
    <row r="17" spans="1:10" x14ac:dyDescent="0.35">
      <c r="A17" s="4"/>
      <c r="B17" s="5"/>
      <c r="C17" s="5"/>
      <c r="D17" s="5"/>
      <c r="E17" s="5"/>
      <c r="F17" s="5"/>
      <c r="G17" s="5"/>
      <c r="H17" s="5"/>
      <c r="I17" s="5"/>
      <c r="J17" s="6"/>
    </row>
    <row r="18" spans="1:10" x14ac:dyDescent="0.35">
      <c r="A18" s="4"/>
      <c r="B18" s="5"/>
      <c r="C18" s="5" t="s">
        <v>12</v>
      </c>
      <c r="D18" s="5"/>
      <c r="E18" s="5"/>
      <c r="F18" s="5"/>
      <c r="G18" s="5"/>
      <c r="H18" s="5"/>
      <c r="I18" s="5"/>
      <c r="J18" s="6"/>
    </row>
    <row r="19" spans="1:10" x14ac:dyDescent="0.35">
      <c r="A19" s="4"/>
      <c r="B19" s="5"/>
      <c r="C19" s="5"/>
      <c r="D19" s="5"/>
      <c r="E19" s="5"/>
      <c r="F19" s="5"/>
      <c r="G19" s="5"/>
      <c r="H19" s="5"/>
      <c r="I19" s="5"/>
      <c r="J19" s="6"/>
    </row>
    <row r="20" spans="1:10" ht="15" thickBot="1" x14ac:dyDescent="0.4">
      <c r="A20" s="7"/>
      <c r="B20" s="8"/>
      <c r="C20" s="8"/>
      <c r="D20" s="8"/>
      <c r="E20" s="8"/>
      <c r="F20" s="8"/>
      <c r="G20" s="8"/>
      <c r="H20" s="8"/>
      <c r="I20" s="8"/>
      <c r="J20" s="9"/>
    </row>
    <row r="22" spans="1:10" x14ac:dyDescent="0.35">
      <c r="A22" t="s">
        <v>7</v>
      </c>
      <c r="E22" t="s">
        <v>15</v>
      </c>
      <c r="G22" t="s">
        <v>14</v>
      </c>
      <c r="I22" t="s">
        <v>13</v>
      </c>
    </row>
    <row r="23" spans="1:10" x14ac:dyDescent="0.35">
      <c r="B23" t="s">
        <v>9</v>
      </c>
    </row>
    <row r="24" spans="1:10" x14ac:dyDescent="0.35">
      <c r="B24" t="s">
        <v>10</v>
      </c>
    </row>
    <row r="25" spans="1:10" x14ac:dyDescent="0.35">
      <c r="B25" t="s">
        <v>11</v>
      </c>
    </row>
    <row r="26" spans="1:10" x14ac:dyDescent="0.35">
      <c r="E26" t="s">
        <v>20</v>
      </c>
      <c r="G26" t="s">
        <v>19</v>
      </c>
      <c r="I2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C737-CCDA-435C-92B2-E700015E977E}">
  <dimension ref="A1:L11"/>
  <sheetViews>
    <sheetView topLeftCell="C2" zoomScale="70" zoomScaleNormal="70" workbookViewId="0">
      <selection activeCell="I5" sqref="I5"/>
    </sheetView>
  </sheetViews>
  <sheetFormatPr baseColWidth="10" defaultRowHeight="14.5" x14ac:dyDescent="0.35"/>
  <cols>
    <col min="1" max="1" width="28.7265625" customWidth="1"/>
    <col min="2" max="2" width="31" customWidth="1"/>
    <col min="3" max="3" width="24" customWidth="1"/>
    <col min="4" max="4" width="14.453125" customWidth="1"/>
    <col min="5" max="5" width="15.1796875" customWidth="1"/>
    <col min="6" max="6" width="27.1796875" customWidth="1"/>
    <col min="7" max="8" width="22.36328125" customWidth="1"/>
    <col min="9" max="9" width="29.7265625" customWidth="1"/>
    <col min="10" max="10" width="24.7265625" customWidth="1"/>
    <col min="11" max="11" width="19.6328125" customWidth="1"/>
    <col min="12" max="12" width="17.90625" customWidth="1"/>
  </cols>
  <sheetData>
    <row r="1" spans="1:12" x14ac:dyDescent="0.35">
      <c r="B1" t="s">
        <v>21</v>
      </c>
      <c r="C1" t="s">
        <v>37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39</v>
      </c>
      <c r="K1" t="s">
        <v>28</v>
      </c>
      <c r="L1" t="s">
        <v>29</v>
      </c>
    </row>
    <row r="2" spans="1:12" ht="43.5" x14ac:dyDescent="0.35">
      <c r="A2" s="15" t="s">
        <v>31</v>
      </c>
      <c r="B2" s="12" t="s">
        <v>50</v>
      </c>
      <c r="C2" s="12" t="s">
        <v>38</v>
      </c>
      <c r="D2">
        <v>0.8</v>
      </c>
      <c r="E2">
        <v>1</v>
      </c>
      <c r="F2">
        <v>0</v>
      </c>
      <c r="G2">
        <v>0</v>
      </c>
      <c r="H2">
        <v>0</v>
      </c>
      <c r="I2" s="12" t="s">
        <v>42</v>
      </c>
      <c r="J2" s="16">
        <v>-1007783.62</v>
      </c>
    </row>
    <row r="3" spans="1:12" ht="43.5" x14ac:dyDescent="0.35">
      <c r="A3" s="15" t="s">
        <v>30</v>
      </c>
      <c r="B3" s="12" t="s">
        <v>51</v>
      </c>
      <c r="C3" s="12" t="s">
        <v>45</v>
      </c>
      <c r="D3">
        <v>0.2</v>
      </c>
      <c r="E3">
        <v>0</v>
      </c>
      <c r="F3">
        <v>1</v>
      </c>
      <c r="G3">
        <v>1</v>
      </c>
      <c r="H3">
        <v>1</v>
      </c>
      <c r="I3" t="s">
        <v>46</v>
      </c>
      <c r="J3" s="16">
        <v>76600.100000000006</v>
      </c>
    </row>
    <row r="4" spans="1:12" ht="43.5" x14ac:dyDescent="0.35">
      <c r="A4" s="15" t="s">
        <v>32</v>
      </c>
      <c r="B4" s="12" t="s">
        <v>52</v>
      </c>
      <c r="C4" s="12" t="s">
        <v>40</v>
      </c>
      <c r="D4">
        <v>0.2</v>
      </c>
      <c r="E4">
        <v>0</v>
      </c>
      <c r="F4">
        <v>0</v>
      </c>
      <c r="G4">
        <v>0</v>
      </c>
      <c r="H4">
        <v>0</v>
      </c>
      <c r="I4" t="s">
        <v>41</v>
      </c>
      <c r="J4" s="16">
        <v>278616.43</v>
      </c>
    </row>
    <row r="5" spans="1:12" ht="44" customHeight="1" x14ac:dyDescent="0.35">
      <c r="A5" s="15" t="s">
        <v>33</v>
      </c>
      <c r="B5" s="12" t="s">
        <v>34</v>
      </c>
      <c r="C5" s="12" t="s">
        <v>44</v>
      </c>
      <c r="D5">
        <v>0.8</v>
      </c>
      <c r="E5">
        <v>1</v>
      </c>
      <c r="F5">
        <v>1</v>
      </c>
      <c r="G5">
        <v>1</v>
      </c>
      <c r="H5">
        <v>1</v>
      </c>
      <c r="I5" t="s">
        <v>80</v>
      </c>
      <c r="J5" s="16">
        <v>-907734.15</v>
      </c>
      <c r="K5" s="18">
        <v>-5.64</v>
      </c>
      <c r="L5" s="19">
        <v>-462294.08</v>
      </c>
    </row>
    <row r="6" spans="1:12" ht="44" customHeight="1" x14ac:dyDescent="0.35">
      <c r="A6" s="15" t="s">
        <v>53</v>
      </c>
      <c r="C6" s="12" t="s">
        <v>54</v>
      </c>
      <c r="D6">
        <v>0.8</v>
      </c>
      <c r="E6">
        <v>1</v>
      </c>
      <c r="F6">
        <v>1</v>
      </c>
      <c r="G6">
        <v>1</v>
      </c>
      <c r="H6">
        <v>1</v>
      </c>
      <c r="I6" t="s">
        <v>77</v>
      </c>
      <c r="J6" s="19">
        <v>-892871.22</v>
      </c>
      <c r="K6" s="19">
        <v>-5.97</v>
      </c>
      <c r="L6" s="19">
        <v>-501359.16</v>
      </c>
    </row>
    <row r="7" spans="1:12" ht="58" x14ac:dyDescent="0.35">
      <c r="A7" t="s">
        <v>35</v>
      </c>
      <c r="B7" s="12" t="s">
        <v>36</v>
      </c>
      <c r="C7" s="12"/>
    </row>
    <row r="8" spans="1:12" ht="30.5" customHeight="1" x14ac:dyDescent="0.35"/>
    <row r="10" spans="1:12" ht="29" x14ac:dyDescent="0.35">
      <c r="A10" s="13"/>
      <c r="B10" s="11" t="s">
        <v>47</v>
      </c>
      <c r="C10" t="s">
        <v>49</v>
      </c>
    </row>
    <row r="11" spans="1:12" x14ac:dyDescent="0.35">
      <c r="A11" s="14"/>
      <c r="B11" t="s">
        <v>48</v>
      </c>
      <c r="C11" t="s">
        <v>49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2061-67DD-4F22-A3DD-DE7BC41A21E9}">
  <dimension ref="A1:M6"/>
  <sheetViews>
    <sheetView topLeftCell="E1" workbookViewId="0">
      <selection activeCell="N10" sqref="N10"/>
    </sheetView>
  </sheetViews>
  <sheetFormatPr baseColWidth="10" defaultRowHeight="14.5" x14ac:dyDescent="0.35"/>
  <cols>
    <col min="1" max="1" width="35.7265625" customWidth="1"/>
    <col min="2" max="2" width="59.08984375" customWidth="1"/>
    <col min="3" max="3" width="26.1796875" customWidth="1"/>
    <col min="10" max="10" width="27.7265625" customWidth="1"/>
    <col min="11" max="11" width="37.6328125" customWidth="1"/>
  </cols>
  <sheetData>
    <row r="1" spans="1:13" x14ac:dyDescent="0.35">
      <c r="B1" t="s">
        <v>21</v>
      </c>
      <c r="C1" t="s">
        <v>37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J1" t="s">
        <v>27</v>
      </c>
      <c r="K1" t="s">
        <v>56</v>
      </c>
      <c r="L1" t="s">
        <v>65</v>
      </c>
      <c r="M1" t="s">
        <v>66</v>
      </c>
    </row>
    <row r="2" spans="1:13" ht="29" x14ac:dyDescent="0.35">
      <c r="A2" s="15" t="s">
        <v>31</v>
      </c>
      <c r="B2" s="12" t="s">
        <v>50</v>
      </c>
      <c r="C2" s="12" t="s">
        <v>38</v>
      </c>
      <c r="D2">
        <v>0.8</v>
      </c>
      <c r="E2">
        <v>1</v>
      </c>
      <c r="F2">
        <v>0</v>
      </c>
      <c r="G2">
        <v>0</v>
      </c>
      <c r="H2">
        <v>0</v>
      </c>
      <c r="J2" s="12"/>
      <c r="K2" s="16">
        <v>-1007783.62</v>
      </c>
    </row>
    <row r="3" spans="1:13" ht="29" x14ac:dyDescent="0.35">
      <c r="A3" s="15" t="s">
        <v>30</v>
      </c>
      <c r="B3" s="12" t="s">
        <v>51</v>
      </c>
      <c r="C3" s="12" t="s">
        <v>45</v>
      </c>
      <c r="D3">
        <v>0.2</v>
      </c>
      <c r="E3">
        <v>0</v>
      </c>
      <c r="F3">
        <v>1</v>
      </c>
      <c r="G3">
        <v>1</v>
      </c>
      <c r="H3">
        <v>1</v>
      </c>
      <c r="K3" s="16">
        <v>76600.100000000006</v>
      </c>
    </row>
    <row r="4" spans="1:13" ht="29" x14ac:dyDescent="0.35">
      <c r="A4" s="15" t="s">
        <v>32</v>
      </c>
      <c r="B4" s="12" t="s">
        <v>52</v>
      </c>
      <c r="C4" s="12" t="s">
        <v>40</v>
      </c>
      <c r="D4">
        <v>0.2</v>
      </c>
      <c r="E4">
        <v>0</v>
      </c>
      <c r="F4">
        <v>0</v>
      </c>
      <c r="G4">
        <v>0</v>
      </c>
      <c r="H4">
        <v>0</v>
      </c>
      <c r="K4" s="16">
        <v>278616.43</v>
      </c>
    </row>
    <row r="5" spans="1:13" ht="29" x14ac:dyDescent="0.35">
      <c r="A5" s="15" t="s">
        <v>33</v>
      </c>
      <c r="B5" s="12" t="s">
        <v>34</v>
      </c>
      <c r="C5" s="12" t="s">
        <v>59</v>
      </c>
      <c r="D5">
        <v>0.8</v>
      </c>
      <c r="E5">
        <v>1</v>
      </c>
      <c r="F5">
        <v>1</v>
      </c>
      <c r="G5">
        <v>1</v>
      </c>
      <c r="H5">
        <v>1</v>
      </c>
      <c r="J5" t="s">
        <v>81</v>
      </c>
      <c r="K5" s="16">
        <v>-534021.30000000005</v>
      </c>
      <c r="L5" s="16">
        <v>-524999.5</v>
      </c>
      <c r="M5" s="16">
        <v>-5.0199999999999996</v>
      </c>
    </row>
    <row r="6" spans="1:13" x14ac:dyDescent="0.35">
      <c r="A6" s="15" t="s">
        <v>53</v>
      </c>
      <c r="C6" s="12" t="s">
        <v>60</v>
      </c>
      <c r="D6">
        <v>0.8</v>
      </c>
      <c r="E6">
        <v>1</v>
      </c>
      <c r="F6">
        <v>1</v>
      </c>
      <c r="G6">
        <v>1</v>
      </c>
      <c r="H6">
        <v>1</v>
      </c>
      <c r="J6" t="s">
        <v>78</v>
      </c>
      <c r="K6" s="16">
        <v>-534021.30000000005</v>
      </c>
      <c r="L6" s="16">
        <f>-524999.5</f>
        <v>-524999.5</v>
      </c>
      <c r="M6" s="16">
        <v>-5.0199999999999996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A9A1-3A71-44EA-8C26-E3FED860F3AD}">
  <dimension ref="A1:L6"/>
  <sheetViews>
    <sheetView topLeftCell="E1" workbookViewId="0">
      <selection activeCell="J5" sqref="J5:L6"/>
    </sheetView>
  </sheetViews>
  <sheetFormatPr baseColWidth="10" defaultRowHeight="14.5" x14ac:dyDescent="0.35"/>
  <cols>
    <col min="1" max="1" width="35.7265625" customWidth="1"/>
    <col min="2" max="2" width="59.08984375" customWidth="1"/>
    <col min="3" max="3" width="26.1796875" customWidth="1"/>
    <col min="9" max="9" width="27.7265625" customWidth="1"/>
    <col min="10" max="10" width="37.6328125" customWidth="1"/>
  </cols>
  <sheetData>
    <row r="1" spans="1:12" x14ac:dyDescent="0.35">
      <c r="B1" t="s">
        <v>21</v>
      </c>
      <c r="C1" t="s">
        <v>37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61</v>
      </c>
      <c r="K1" t="s">
        <v>67</v>
      </c>
      <c r="L1" t="s">
        <v>68</v>
      </c>
    </row>
    <row r="2" spans="1:12" ht="29" x14ac:dyDescent="0.35">
      <c r="A2" s="15" t="s">
        <v>31</v>
      </c>
      <c r="B2" s="12" t="s">
        <v>50</v>
      </c>
      <c r="C2" s="12" t="s">
        <v>38</v>
      </c>
      <c r="D2">
        <v>0.8</v>
      </c>
      <c r="E2">
        <v>1</v>
      </c>
      <c r="F2">
        <v>0</v>
      </c>
      <c r="G2">
        <v>0</v>
      </c>
      <c r="H2">
        <v>0</v>
      </c>
      <c r="I2" s="12"/>
      <c r="J2" s="16"/>
    </row>
    <row r="3" spans="1:12" ht="29" x14ac:dyDescent="0.35">
      <c r="A3" s="15" t="s">
        <v>30</v>
      </c>
      <c r="B3" s="12" t="s">
        <v>51</v>
      </c>
      <c r="C3" s="12" t="s">
        <v>45</v>
      </c>
      <c r="D3">
        <v>0.2</v>
      </c>
      <c r="E3">
        <v>0</v>
      </c>
      <c r="F3">
        <v>1</v>
      </c>
      <c r="G3">
        <v>1</v>
      </c>
      <c r="H3">
        <v>1</v>
      </c>
      <c r="J3" s="16"/>
    </row>
    <row r="4" spans="1:12" ht="29" x14ac:dyDescent="0.35">
      <c r="A4" s="15" t="s">
        <v>32</v>
      </c>
      <c r="B4" s="12" t="s">
        <v>52</v>
      </c>
      <c r="C4" s="12" t="s">
        <v>40</v>
      </c>
      <c r="D4">
        <v>0.2</v>
      </c>
      <c r="E4">
        <v>0</v>
      </c>
      <c r="F4">
        <v>0</v>
      </c>
      <c r="G4">
        <v>0</v>
      </c>
      <c r="H4">
        <v>0</v>
      </c>
      <c r="J4" s="16"/>
    </row>
    <row r="5" spans="1:12" ht="29" x14ac:dyDescent="0.35">
      <c r="A5" s="15" t="s">
        <v>33</v>
      </c>
      <c r="B5" s="12" t="s">
        <v>34</v>
      </c>
      <c r="C5" s="12" t="s">
        <v>59</v>
      </c>
      <c r="D5">
        <v>0.8</v>
      </c>
      <c r="E5">
        <v>1</v>
      </c>
      <c r="F5">
        <v>1</v>
      </c>
      <c r="G5">
        <v>1</v>
      </c>
      <c r="H5">
        <v>1</v>
      </c>
      <c r="I5" s="16" t="s">
        <v>79</v>
      </c>
      <c r="J5" s="17">
        <v>-6.02</v>
      </c>
      <c r="K5" s="17">
        <v>-891901.78</v>
      </c>
      <c r="L5" s="17">
        <f>-507697.86</f>
        <v>-507697.86</v>
      </c>
    </row>
    <row r="6" spans="1:12" x14ac:dyDescent="0.35">
      <c r="A6" s="15" t="s">
        <v>53</v>
      </c>
      <c r="C6" s="12" t="s">
        <v>62</v>
      </c>
      <c r="D6">
        <v>0.8</v>
      </c>
      <c r="E6">
        <v>1</v>
      </c>
      <c r="F6">
        <v>1</v>
      </c>
      <c r="G6">
        <v>1</v>
      </c>
      <c r="H6">
        <v>1</v>
      </c>
      <c r="I6" s="16" t="s">
        <v>79</v>
      </c>
      <c r="J6" s="17">
        <v>-6.02</v>
      </c>
      <c r="K6" s="17">
        <v>-891901.78</v>
      </c>
      <c r="L6" s="17">
        <f>-507697.86</f>
        <v>-507697.86</v>
      </c>
    </row>
  </sheetData>
  <pageMargins left="0.7" right="0.7" top="0.75" bottom="0.75" header="0.3" footer="0.3"/>
  <pageSetup paperSize="9"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161F-B12C-4925-99F4-FE199993DCD2}">
  <dimension ref="A1:F21"/>
  <sheetViews>
    <sheetView tabSelected="1" zoomScale="69" workbookViewId="0">
      <selection activeCell="D30" sqref="D30"/>
    </sheetView>
  </sheetViews>
  <sheetFormatPr baseColWidth="10" defaultRowHeight="14.5" x14ac:dyDescent="0.35"/>
  <cols>
    <col min="1" max="1" width="27.54296875" customWidth="1"/>
    <col min="2" max="2" width="32.08984375" customWidth="1"/>
    <col min="3" max="3" width="16" customWidth="1"/>
    <col min="4" max="4" width="16.08984375" customWidth="1"/>
    <col min="6" max="6" width="27.6328125" customWidth="1"/>
  </cols>
  <sheetData>
    <row r="1" spans="1:6" x14ac:dyDescent="0.35">
      <c r="B1" t="s">
        <v>65</v>
      </c>
      <c r="C1" t="s">
        <v>68</v>
      </c>
      <c r="D1" t="s">
        <v>66</v>
      </c>
      <c r="F1" t="s">
        <v>75</v>
      </c>
    </row>
    <row r="2" spans="1:6" x14ac:dyDescent="0.35">
      <c r="A2" t="s">
        <v>71</v>
      </c>
      <c r="B2" s="17">
        <f>minCO2!J6</f>
        <v>-892871.22</v>
      </c>
      <c r="C2" s="17">
        <f>minCO2!L6</f>
        <v>-501359.16</v>
      </c>
      <c r="D2">
        <f>minCO2!K6</f>
        <v>-5.97</v>
      </c>
      <c r="F2" t="s">
        <v>55</v>
      </c>
    </row>
    <row r="3" spans="1:6" x14ac:dyDescent="0.35">
      <c r="A3" t="s">
        <v>69</v>
      </c>
      <c r="B3" s="17">
        <f>minEQ!L6</f>
        <v>-524999.5</v>
      </c>
      <c r="C3" s="17">
        <f>minEQ!K6</f>
        <v>-534021.30000000005</v>
      </c>
      <c r="D3" s="17">
        <f>minEQ!M6</f>
        <v>-5.0199999999999996</v>
      </c>
      <c r="F3" t="s">
        <v>58</v>
      </c>
    </row>
    <row r="4" spans="1:6" x14ac:dyDescent="0.35">
      <c r="A4" t="s">
        <v>70</v>
      </c>
      <c r="B4" s="17">
        <f>minHH!K6</f>
        <v>-891901.78</v>
      </c>
      <c r="C4" s="17">
        <f>minHH!L6</f>
        <v>-507697.86</v>
      </c>
      <c r="D4" s="17">
        <f>minHH!J6</f>
        <v>-6.02</v>
      </c>
      <c r="E4" t="s">
        <v>76</v>
      </c>
      <c r="F4" s="16" t="s">
        <v>63</v>
      </c>
    </row>
    <row r="5" spans="1:6" x14ac:dyDescent="0.35">
      <c r="A5" t="s">
        <v>72</v>
      </c>
      <c r="B5" s="17">
        <f>minCO2!J5</f>
        <v>-907734.15</v>
      </c>
      <c r="C5" s="17">
        <f>minCO2!L5</f>
        <v>-462294.08</v>
      </c>
      <c r="D5" s="17">
        <f>minCO2!K5</f>
        <v>-5.64</v>
      </c>
      <c r="F5" t="s">
        <v>43</v>
      </c>
    </row>
    <row r="6" spans="1:6" x14ac:dyDescent="0.35">
      <c r="A6" t="s">
        <v>73</v>
      </c>
      <c r="B6" s="17">
        <f>minEQ!L5</f>
        <v>-524999.5</v>
      </c>
      <c r="C6" s="17">
        <f>minEQ!K5</f>
        <v>-534021.30000000005</v>
      </c>
      <c r="D6" s="17">
        <f>minEQ!M5</f>
        <v>-5.0199999999999996</v>
      </c>
      <c r="F6" t="s">
        <v>57</v>
      </c>
    </row>
    <row r="7" spans="1:6" x14ac:dyDescent="0.35">
      <c r="A7" t="s">
        <v>74</v>
      </c>
      <c r="B7" s="17">
        <f>minHH!K5</f>
        <v>-891901.78</v>
      </c>
      <c r="C7" s="17">
        <f>minHH!L5</f>
        <v>-507697.86</v>
      </c>
      <c r="D7" s="17">
        <f>minHH!J5</f>
        <v>-6.02</v>
      </c>
      <c r="F7" t="s">
        <v>64</v>
      </c>
    </row>
    <row r="9" spans="1:6" x14ac:dyDescent="0.35">
      <c r="B9" t="s">
        <v>65</v>
      </c>
      <c r="C9" t="s">
        <v>68</v>
      </c>
      <c r="D9" t="s">
        <v>66</v>
      </c>
    </row>
    <row r="10" spans="1:6" x14ac:dyDescent="0.35">
      <c r="A10" t="s">
        <v>71</v>
      </c>
      <c r="B10" s="17">
        <f>(B2-MIN(B$2:B$7))/(MAX(B$2:B$7)-MIN(B$2:B$7))</f>
        <v>3.8833510370696905E-2</v>
      </c>
      <c r="C10" s="17">
        <f>(C2-MIN(C$2:C$7))/(MAX(C$2:C$7)-MIN(C$2:C$7))</f>
        <v>0.45536603816514926</v>
      </c>
      <c r="D10" s="17">
        <f>(D2-MIN(D$2:D$7))/(MAX(D$2:D$7)-MIN(D$2:D$7))</f>
        <v>4.9999999999999822E-2</v>
      </c>
      <c r="F10" t="s">
        <v>55</v>
      </c>
    </row>
    <row r="11" spans="1:6" x14ac:dyDescent="0.35">
      <c r="A11" t="s">
        <v>69</v>
      </c>
      <c r="B11" s="17">
        <f t="shared" ref="B11:D15" si="0">(B3-MIN(B$2:B$7))/(MAX(B$2:B$7)-MIN(B$2:B$7))</f>
        <v>1</v>
      </c>
      <c r="C11" s="17">
        <f t="shared" si="0"/>
        <v>0</v>
      </c>
      <c r="D11" s="17">
        <f t="shared" si="0"/>
        <v>1</v>
      </c>
      <c r="F11" t="s">
        <v>58</v>
      </c>
    </row>
    <row r="12" spans="1:6" x14ac:dyDescent="0.35">
      <c r="A12" t="s">
        <v>70</v>
      </c>
      <c r="B12" s="17">
        <f t="shared" si="0"/>
        <v>4.1366440169448973E-2</v>
      </c>
      <c r="C12" s="17">
        <f t="shared" si="0"/>
        <v>0.36699372985597445</v>
      </c>
      <c r="D12" s="17">
        <f t="shared" si="0"/>
        <v>0</v>
      </c>
      <c r="F12" s="16" t="s">
        <v>63</v>
      </c>
    </row>
    <row r="13" spans="1:6" x14ac:dyDescent="0.35">
      <c r="A13" t="s">
        <v>72</v>
      </c>
      <c r="B13" s="17">
        <f t="shared" si="0"/>
        <v>0</v>
      </c>
      <c r="C13" s="17">
        <f t="shared" si="0"/>
        <v>1</v>
      </c>
      <c r="D13" s="17">
        <f t="shared" si="0"/>
        <v>0.37999999999999989</v>
      </c>
      <c r="F13" t="s">
        <v>43</v>
      </c>
    </row>
    <row r="14" spans="1:6" x14ac:dyDescent="0.35">
      <c r="A14" t="s">
        <v>73</v>
      </c>
      <c r="B14" s="17">
        <f t="shared" si="0"/>
        <v>1</v>
      </c>
      <c r="C14" s="17">
        <f t="shared" si="0"/>
        <v>0</v>
      </c>
      <c r="D14" s="17">
        <f t="shared" si="0"/>
        <v>1</v>
      </c>
      <c r="F14" t="s">
        <v>57</v>
      </c>
    </row>
    <row r="15" spans="1:6" x14ac:dyDescent="0.35">
      <c r="A15" t="s">
        <v>74</v>
      </c>
      <c r="B15" s="17">
        <f t="shared" si="0"/>
        <v>4.1366440169448973E-2</v>
      </c>
      <c r="C15" s="17">
        <f t="shared" si="0"/>
        <v>0.36699372985597445</v>
      </c>
      <c r="D15" s="17">
        <f t="shared" si="0"/>
        <v>0</v>
      </c>
      <c r="F15" t="s">
        <v>64</v>
      </c>
    </row>
    <row r="17" spans="2:4" x14ac:dyDescent="0.35">
      <c r="B17" s="17"/>
      <c r="D17" s="17"/>
    </row>
    <row r="18" spans="2:4" x14ac:dyDescent="0.35">
      <c r="B18" s="17"/>
    </row>
    <row r="21" spans="2:4" x14ac:dyDescent="0.35">
      <c r="B21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minCO2</vt:lpstr>
      <vt:lpstr>minEQ</vt:lpstr>
      <vt:lpstr>minHH</vt:lpstr>
      <vt:lpstr>Feuil6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2026-01-14T16:37:36Z</dcterms:created>
  <dcterms:modified xsi:type="dcterms:W3CDTF">2026-02-01T16:37:15Z</dcterms:modified>
</cp:coreProperties>
</file>