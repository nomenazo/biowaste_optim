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civic_led\"/>
    </mc:Choice>
  </mc:AlternateContent>
  <xr:revisionPtr revIDLastSave="0" documentId="13_ncr:1_{9093ABD1-0D9F-4F48-9F4C-053230F32FA4}" xr6:coauthVersionLast="36" xr6:coauthVersionMax="36" xr10:uidLastSave="{00000000-0000-0000-0000-000000000000}"/>
  <bookViews>
    <workbookView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E4" i="1"/>
  <c r="F14" i="1"/>
  <c r="E14" i="1"/>
  <c r="F3" i="1"/>
  <c r="E3" i="1"/>
  <c r="E7" i="1" l="1"/>
  <c r="F7" i="1"/>
  <c r="E6" i="1"/>
  <c r="F6" i="1"/>
  <c r="E12" i="1" l="1"/>
  <c r="F12" i="1"/>
  <c r="E8" i="1"/>
  <c r="F8" i="1"/>
  <c r="E10" i="1"/>
  <c r="F10" i="1"/>
  <c r="E13" i="1"/>
  <c r="F13" i="1"/>
  <c r="E11" i="1" l="1"/>
  <c r="E9" i="1"/>
  <c r="F11" i="1"/>
  <c r="F9" i="1"/>
  <c r="F16" i="1" l="1"/>
  <c r="F18" i="1" s="1"/>
  <c r="E16" i="1"/>
  <c r="E18" i="1" s="1"/>
  <c r="D14" i="1" l="1"/>
  <c r="C14" i="1"/>
  <c r="D13" i="1" l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C32" i="1" l="1"/>
  <c r="C31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</calcChain>
</file>

<file path=xl/sharedStrings.xml><?xml version="1.0" encoding="utf-8"?>
<sst xmlns="http://schemas.openxmlformats.org/spreadsheetml/2006/main" count="84" uniqueCount="51">
  <si>
    <t>Process</t>
  </si>
  <si>
    <t>Unit reference</t>
  </si>
  <si>
    <t>Carbon</t>
  </si>
  <si>
    <t>Water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</si>
  <si>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</si>
  <si>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</si>
  <si>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</si>
  <si>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</si>
  <si>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</si>
  <si>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</si>
  <si>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</si>
  <si>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</si>
  <si>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 of waste</t>
  </si>
  <si>
    <t>MJ.km</t>
  </si>
  <si>
    <t>kWh.km</t>
  </si>
  <si>
    <t>Conventional products</t>
  </si>
  <si>
    <t>MJ</t>
  </si>
  <si>
    <t>kWh</t>
  </si>
  <si>
    <t>Net impact of coproduct use</t>
  </si>
  <si>
    <t>kgCO2</t>
  </si>
  <si>
    <t>m3 world-eq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</si>
  <si>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</si>
  <si>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</si>
  <si>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</si>
  <si>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</si>
  <si>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</si>
  <si>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</si>
  <si>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</si>
  <si>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</si>
  <si>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</si>
  <si>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</si>
  <si>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</si>
  <si>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</si>
  <si>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</si>
  <si>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</si>
  <si>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</si>
  <si>
    <t>Comp_dec</t>
  </si>
  <si>
    <t>N-fertilizer</t>
  </si>
  <si>
    <t>P-fertilizer</t>
  </si>
  <si>
    <t>K-fertilizer</t>
  </si>
  <si>
    <t>Peat</t>
  </si>
  <si>
    <t>kg</t>
  </si>
  <si>
    <t>t/t of waste</t>
  </si>
  <si>
    <t>AD-d</t>
  </si>
  <si>
    <t>AD-e</t>
  </si>
  <si>
    <t>AD-f</t>
  </si>
  <si>
    <t>Inc</t>
  </si>
  <si>
    <t>Total ecosystem quality</t>
  </si>
  <si>
    <t>Total human health</t>
  </si>
  <si>
    <t>PDF.m2.yr</t>
  </si>
  <si>
    <t>DALY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</si>
</sst>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0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CA_Car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102">
          <cell r="AG102">
            <v>-74.885009179301292</v>
          </cell>
          <cell r="AH102">
            <v>-2.7927185048461626E-5</v>
          </cell>
        </row>
      </sheetData>
      <sheetData sheetId="1">
        <row r="4">
          <cell r="AG4">
            <v>9.298127553464607E-7</v>
          </cell>
        </row>
        <row r="5">
          <cell r="AG5">
            <v>2.791842299353623E-6</v>
          </cell>
          <cell r="AH5">
            <v>-2.2169617322467998E-7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6">
          <cell r="AG46">
            <v>-27.638343758325643</v>
          </cell>
          <cell r="AH46">
            <v>6.4081637501758643E-6</v>
          </cell>
        </row>
      </sheetData>
      <sheetData sheetId="14">
        <row r="99">
          <cell r="AG99">
            <v>-85.173709174847033</v>
          </cell>
          <cell r="AH99">
            <v>-1.1184831714685595E-4</v>
          </cell>
        </row>
      </sheetData>
      <sheetData sheetId="15">
        <row r="80">
          <cell r="AG80">
            <v>30.877881801331725</v>
          </cell>
          <cell r="AH80">
            <v>6.7464991175762885E-4</v>
          </cell>
        </row>
      </sheetData>
      <sheetData sheetId="16">
        <row r="98">
          <cell r="AG98">
            <v>-33.86380026059642</v>
          </cell>
          <cell r="AH98">
            <v>5.8445078427050051E-5</v>
          </cell>
        </row>
      </sheetData>
      <sheetData sheetId="17">
        <row r="83">
          <cell r="AG83">
            <v>-10.143327117373119</v>
          </cell>
          <cell r="AH83">
            <v>5.8827764828211712E-4</v>
          </cell>
        </row>
      </sheetData>
      <sheetData sheetId="18"/>
      <sheetData sheetId="19"/>
      <sheetData sheetId="20">
        <row r="81">
          <cell r="AG81">
            <v>-20.43202711291886</v>
          </cell>
          <cell r="AH81">
            <v>5.0435651618372279E-4</v>
          </cell>
        </row>
      </sheetData>
      <sheetData sheetId="21">
        <row r="84">
          <cell r="AG84">
            <v>4.3987681766360307</v>
          </cell>
          <cell r="AH84">
            <v>8.3798391124520249E-5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51">
          <cell r="C51">
            <v>-267.29345925553793</v>
          </cell>
          <cell r="G51">
            <v>-44.754073148487684</v>
          </cell>
        </row>
      </sheetData>
      <sheetData sheetId="1"/>
      <sheetData sheetId="2">
        <row r="42">
          <cell r="C42">
            <v>-332.61769502520548</v>
          </cell>
          <cell r="G42">
            <v>-89.935802993782033</v>
          </cell>
        </row>
      </sheetData>
      <sheetData sheetId="3"/>
      <sheetData sheetId="4"/>
      <sheetData sheetId="5">
        <row r="49">
          <cell r="C49">
            <v>-265.33407220943303</v>
          </cell>
          <cell r="G49">
            <v>-30.475572635382854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87">
          <cell r="C87">
            <v>-315.63863737864443</v>
          </cell>
          <cell r="G87">
            <v>-44.875110315215267</v>
          </cell>
        </row>
      </sheetData>
      <sheetData sheetId="16">
        <row r="41">
          <cell r="C41">
            <v>-199.91210764074481</v>
          </cell>
          <cell r="G41">
            <v>-94.553331071110051</v>
          </cell>
        </row>
      </sheetData>
      <sheetData sheetId="17">
        <row r="50">
          <cell r="C50">
            <v>-114.56471032029754</v>
          </cell>
          <cell r="G50">
            <v>-48.942552234255018</v>
          </cell>
        </row>
      </sheetData>
      <sheetData sheetId="18">
        <row r="40">
          <cell r="C40">
            <v>-350.6814695298803</v>
          </cell>
          <cell r="G40">
            <v>-76.086351472237894</v>
          </cell>
        </row>
      </sheetData>
      <sheetData sheetId="19"/>
      <sheetData sheetId="20">
        <row r="55">
          <cell r="C55">
            <v>-251.7873595492309</v>
          </cell>
          <cell r="G55">
            <v>-23.593895973940484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  <cell r="G28">
            <v>2.3755902490883187</v>
          </cell>
        </row>
        <row r="29">
          <cell r="C29">
            <v>0.66714792714666193</v>
          </cell>
          <cell r="G29">
            <v>0.31390973645585518</v>
          </cell>
        </row>
        <row r="30">
          <cell r="C30">
            <v>0.38986915383247311</v>
          </cell>
          <cell r="G30">
            <v>0.92484418441705429</v>
          </cell>
        </row>
        <row r="31">
          <cell r="C31">
            <v>1.4284515611925735E-2</v>
          </cell>
          <cell r="G31">
            <v>3.2008550717339546E-2</v>
          </cell>
        </row>
        <row r="37">
          <cell r="C37">
            <v>3.7452427019751884E-2</v>
          </cell>
          <cell r="G37">
            <v>1.371409771705601E-2</v>
          </cell>
        </row>
        <row r="38">
          <cell r="C38">
            <v>0.73571240611880662</v>
          </cell>
          <cell r="G38">
            <v>7.8893246702014919E-2</v>
          </cell>
        </row>
        <row r="39">
          <cell r="C39">
            <v>3.1810426802821895E-2</v>
          </cell>
          <cell r="G39">
            <v>1.1130534401230463E-2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</sheetData>
      <sheetData sheetId="9"/>
      <sheetData sheetId="10">
        <row r="24">
          <cell r="E24">
            <v>509.03089819946877</v>
          </cell>
        </row>
      </sheetData>
      <sheetData sheetId="11">
        <row r="23">
          <cell r="E23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H37"/>
  <sheetViews>
    <sheetView tabSelected="1" zoomScale="80" zoomScaleNormal="80" zoomScaleSheetLayoutView="90" workbookViewId="0">
      <selection activeCell="C9" sqref="C9"/>
    </sheetView>
  </sheetViews>
  <sheetFormatPr baseColWidth="10" defaultRowHeight="14.5" x14ac:dyDescent="0.35"/>
  <cols>
    <col min="1" max="1" width="27.1796875" customWidth="1"/>
    <col min="2" max="2" width="14.90625" hidden="1" customWidth="1"/>
    <col min="3" max="3" width="12.26953125" bestFit="1" customWidth="1"/>
    <col min="4" max="4" width="15.26953125" customWidth="1"/>
    <col min="5" max="5" width="21.36328125" bestFit="1" customWidth="1"/>
    <col min="6" max="6" width="14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1" t="s">
        <v>48</v>
      </c>
    </row>
    <row r="2" spans="1:8" x14ac:dyDescent="0.35">
      <c r="C2" t="s">
        <v>19</v>
      </c>
      <c r="D2" t="s">
        <v>20</v>
      </c>
      <c r="E2" t="s">
        <v>49</v>
      </c>
      <c r="F2" t="s">
        <v>50</v>
      </c>
    </row>
    <row r="3" spans="1:8" x14ac:dyDescent="0.35">
      <c r="A3" s="1" t="s">
        <v>5</v>
      </c>
      <c r="B3" t="s">
        <v>4</v>
      </c>
      <c r="C3">
        <v>0.23535</v>
      </c>
      <c r="D3">
        <v>2.1149999999999999E-2</v>
      </c>
      <c r="E3">
        <f>'[1]IW+_end'!$AG$5</f>
        <v>2.791842299353623E-6</v>
      </c>
      <c r="F3">
        <f>'[1]IW+_end'!$AH$5</f>
        <v>-2.2169617322467998E-7</v>
      </c>
    </row>
    <row r="4" spans="1:8" x14ac:dyDescent="0.35">
      <c r="A4" s="1" t="s">
        <v>35</v>
      </c>
      <c r="B4" t="s">
        <v>4</v>
      </c>
      <c r="C4">
        <v>1.38914</v>
      </c>
      <c r="D4">
        <v>4.6600000000000003E-2</v>
      </c>
      <c r="E4">
        <f>'[1]IW+_end'!$AG$41</f>
        <v>0</v>
      </c>
      <c r="F4" s="3">
        <f>'[1]IW+_end'!$AH$41</f>
        <v>0</v>
      </c>
    </row>
    <row r="5" spans="1:8" x14ac:dyDescent="0.35">
      <c r="A5" s="2" t="s">
        <v>6</v>
      </c>
    </row>
    <row r="6" spans="1:8" x14ac:dyDescent="0.35">
      <c r="A6" t="s">
        <v>9</v>
      </c>
      <c r="B6" t="s">
        <v>12</v>
      </c>
      <c r="C6" s="3">
        <f>[2]LCIA_HC!$C$87</f>
        <v>-315.63863737864443</v>
      </c>
      <c r="D6">
        <f>[2]LCIA_HC!$G$87</f>
        <v>-44.875110315215267</v>
      </c>
      <c r="E6" s="3">
        <f>[1]LCIA_HC!$AG$46</f>
        <v>-27.638343758325643</v>
      </c>
      <c r="F6" s="3">
        <f>[1]LCIA_HC!$AH$46</f>
        <v>6.4081637501758643E-6</v>
      </c>
    </row>
    <row r="7" spans="1:8" x14ac:dyDescent="0.35">
      <c r="A7" t="s">
        <v>10</v>
      </c>
      <c r="B7" t="s">
        <v>12</v>
      </c>
      <c r="C7" s="3">
        <f>[2]LCIA_IC!$C$55</f>
        <v>-251.7873595492309</v>
      </c>
      <c r="D7" s="3">
        <f>[2]LCIA_IC!$G$55</f>
        <v>-23.593895973940484</v>
      </c>
      <c r="E7" s="3">
        <f>[1]LCIA_IC!$AG$84</f>
        <v>4.3987681766360307</v>
      </c>
      <c r="F7" s="3">
        <f>[1]LCIA_IC!$AH$84</f>
        <v>8.3798391124520249E-5</v>
      </c>
      <c r="H7" s="3"/>
    </row>
    <row r="8" spans="1:8" x14ac:dyDescent="0.35">
      <c r="A8" t="s">
        <v>7</v>
      </c>
      <c r="B8" t="s">
        <v>12</v>
      </c>
      <c r="C8" s="3">
        <f>'[2]LCIA_AD-a'!$C$41</f>
        <v>-199.91210764074481</v>
      </c>
      <c r="D8" s="3">
        <f>'[2]LCIA_AD-a'!$G$41</f>
        <v>-94.553331071110051</v>
      </c>
      <c r="E8">
        <f>'[1]LCIA_AD-a'!$AG$81</f>
        <v>-20.43202711291886</v>
      </c>
      <c r="F8" s="3">
        <f>'[1]LCIA_AD-a'!$AH$81</f>
        <v>5.0435651618372279E-4</v>
      </c>
    </row>
    <row r="9" spans="1:8" x14ac:dyDescent="0.35">
      <c r="A9" t="s">
        <v>8</v>
      </c>
      <c r="B9" t="s">
        <v>12</v>
      </c>
      <c r="C9" s="3">
        <f>'[2]LCIA_AD-b'!$C$50</f>
        <v>-114.56471032029754</v>
      </c>
      <c r="D9" s="3">
        <f>'[2]LCIA_AD-b'!$G$50</f>
        <v>-48.942552234255018</v>
      </c>
      <c r="E9">
        <f>'[1]LCIA_AD-b'!$AG$99</f>
        <v>-85.173709174847033</v>
      </c>
      <c r="F9" s="3">
        <f>'[1]LCIA_AD-b'!$AH$99</f>
        <v>-1.1184831714685595E-4</v>
      </c>
    </row>
    <row r="10" spans="1:8" x14ac:dyDescent="0.35">
      <c r="A10" t="s">
        <v>25</v>
      </c>
      <c r="B10" t="s">
        <v>12</v>
      </c>
      <c r="C10" s="3">
        <f>'[2]LCIA_AD-c'!$C$40</f>
        <v>-350.6814695298803</v>
      </c>
      <c r="D10" s="3">
        <f>'[2]LCIA_AD-c'!$G$40</f>
        <v>-76.086351472237894</v>
      </c>
      <c r="E10">
        <f>'[1]LCIA_AD-c'!$AG$80</f>
        <v>30.877881801331725</v>
      </c>
      <c r="F10" s="3">
        <f>'[1]LCIA_AD-c'!$AH$80</f>
        <v>6.7464991175762885E-4</v>
      </c>
    </row>
    <row r="11" spans="1:8" x14ac:dyDescent="0.35">
      <c r="A11" t="s">
        <v>43</v>
      </c>
      <c r="B11" t="s">
        <v>12</v>
      </c>
      <c r="C11" s="3">
        <f>'[2]LCIA_AD-d'!$C$49</f>
        <v>-265.33407220943303</v>
      </c>
      <c r="D11" s="3">
        <f>'[2]LCIA_AD-d'!$G$49</f>
        <v>-30.475572635382854</v>
      </c>
      <c r="E11">
        <f>'[1]LCIA_AD-d'!$AG$98</f>
        <v>-33.86380026059642</v>
      </c>
      <c r="F11" s="3">
        <f>'[1]LCIA_AD-d'!$AH$98</f>
        <v>5.8445078427050051E-5</v>
      </c>
    </row>
    <row r="12" spans="1:8" x14ac:dyDescent="0.35">
      <c r="A12" t="s">
        <v>44</v>
      </c>
      <c r="B12" t="s">
        <v>12</v>
      </c>
      <c r="C12" s="3">
        <f>'[2]LCIA_AD-e'!$C$42</f>
        <v>-332.61769502520548</v>
      </c>
      <c r="D12" s="3">
        <f>'[2]LCIA_AD-e'!$G$42</f>
        <v>-89.935802993782033</v>
      </c>
      <c r="E12">
        <f>'[1]LCIA_AD-e'!$AG$83</f>
        <v>-10.143327117373119</v>
      </c>
      <c r="F12" s="3">
        <f>'[1]LCIA_AD-e'!$AH$83</f>
        <v>5.8827764828211712E-4</v>
      </c>
    </row>
    <row r="13" spans="1:8" x14ac:dyDescent="0.35">
      <c r="A13" t="s">
        <v>45</v>
      </c>
      <c r="B13" t="s">
        <v>12</v>
      </c>
      <c r="C13" s="3">
        <f>'[2]LCIA_AD-f'!$C$51</f>
        <v>-267.29345925553793</v>
      </c>
      <c r="D13" s="3">
        <f>'[2]LCIA_AD-f'!$G$51</f>
        <v>-44.754073148487684</v>
      </c>
      <c r="E13">
        <f>'[1]LCIA_AD-f'!$AG$102</f>
        <v>-74.885009179301292</v>
      </c>
      <c r="F13" s="3">
        <f>'[1]LCIA_AD-f'!$AH$102</f>
        <v>-2.7927185048461626E-5</v>
      </c>
    </row>
    <row r="14" spans="1:8" x14ac:dyDescent="0.35">
      <c r="A14" t="s">
        <v>46</v>
      </c>
      <c r="B14" t="s">
        <v>12</v>
      </c>
      <c r="C14" s="3">
        <f>0.0393762728014812*1000</f>
        <v>39.3762728014812</v>
      </c>
      <c r="D14">
        <f>0.0433883343581927*1000</f>
        <v>43.388334358192701</v>
      </c>
      <c r="E14">
        <f>'[1]IW+_end'!$AG$4</f>
        <v>9.298127553464607E-7</v>
      </c>
      <c r="F14" s="4">
        <f>'[1]IW+_end'!$AH$4</f>
        <v>0</v>
      </c>
    </row>
    <row r="15" spans="1:8" x14ac:dyDescent="0.35">
      <c r="A15" s="2" t="s">
        <v>11</v>
      </c>
    </row>
    <row r="16" spans="1:8" x14ac:dyDescent="0.35">
      <c r="A16" t="s">
        <v>21</v>
      </c>
      <c r="B16" t="s">
        <v>4</v>
      </c>
      <c r="C16">
        <v>0.23535</v>
      </c>
      <c r="D16">
        <v>2.1149999999999999E-2</v>
      </c>
      <c r="E16">
        <f>E3</f>
        <v>2.791842299353623E-6</v>
      </c>
      <c r="F16">
        <f>F3</f>
        <v>-2.2169617322467998E-7</v>
      </c>
    </row>
    <row r="17" spans="1:6" x14ac:dyDescent="0.35">
      <c r="A17" t="s">
        <v>36</v>
      </c>
      <c r="B17" t="s">
        <v>4</v>
      </c>
      <c r="C17" s="3">
        <v>0</v>
      </c>
      <c r="D17" s="3">
        <v>0</v>
      </c>
      <c r="E17">
        <v>0</v>
      </c>
      <c r="F17">
        <v>0</v>
      </c>
    </row>
    <row r="18" spans="1:6" x14ac:dyDescent="0.35">
      <c r="A18" t="s">
        <v>22</v>
      </c>
      <c r="B18" t="s">
        <v>4</v>
      </c>
      <c r="C18">
        <v>0.23535</v>
      </c>
      <c r="D18">
        <v>2.1149999999999999E-2</v>
      </c>
      <c r="E18">
        <f>E16</f>
        <v>2.791842299353623E-6</v>
      </c>
      <c r="F18">
        <f>F16</f>
        <v>-2.2169617322467998E-7</v>
      </c>
    </row>
    <row r="19" spans="1:6" x14ac:dyDescent="0.35">
      <c r="A19" t="s">
        <v>23</v>
      </c>
      <c r="B19" t="s">
        <v>13</v>
      </c>
      <c r="C19">
        <v>0</v>
      </c>
      <c r="D19">
        <v>0</v>
      </c>
      <c r="E19">
        <v>0</v>
      </c>
      <c r="F19">
        <v>0</v>
      </c>
    </row>
    <row r="20" spans="1:6" x14ac:dyDescent="0.35">
      <c r="A20" t="s">
        <v>24</v>
      </c>
      <c r="B20" t="s">
        <v>14</v>
      </c>
      <c r="C20">
        <v>0</v>
      </c>
      <c r="D20">
        <v>0</v>
      </c>
      <c r="E20">
        <v>0</v>
      </c>
      <c r="F20">
        <v>0</v>
      </c>
    </row>
    <row r="21" spans="1:6" x14ac:dyDescent="0.35">
      <c r="A21" t="s">
        <v>26</v>
      </c>
      <c r="B21" t="s">
        <v>34</v>
      </c>
      <c r="C21">
        <v>0</v>
      </c>
      <c r="D21">
        <v>0</v>
      </c>
      <c r="E21">
        <v>0</v>
      </c>
      <c r="F21">
        <v>0</v>
      </c>
    </row>
    <row r="22" spans="1:6" x14ac:dyDescent="0.35">
      <c r="A22" s="2" t="s">
        <v>15</v>
      </c>
    </row>
    <row r="23" spans="1:6" x14ac:dyDescent="0.35">
      <c r="A23" t="s">
        <v>37</v>
      </c>
      <c r="B23" t="s">
        <v>41</v>
      </c>
      <c r="C23">
        <f>'[3]IW+f'!$C$28</f>
        <v>1.5776478677100687</v>
      </c>
      <c r="D23">
        <f>'[3]IW+f'!$G$28</f>
        <v>2.3755902490883187</v>
      </c>
    </row>
    <row r="24" spans="1:6" x14ac:dyDescent="0.35">
      <c r="A24" t="s">
        <v>38</v>
      </c>
      <c r="B24" t="s">
        <v>41</v>
      </c>
      <c r="C24">
        <f>'[3]IW+f'!$C$30</f>
        <v>0.38986915383247311</v>
      </c>
      <c r="D24">
        <f>'[3]IW+f'!$G$30</f>
        <v>0.92484418441705429</v>
      </c>
    </row>
    <row r="25" spans="1:6" x14ac:dyDescent="0.35">
      <c r="A25" t="s">
        <v>39</v>
      </c>
      <c r="B25" t="s">
        <v>41</v>
      </c>
      <c r="C25">
        <f>'[3]IW+f'!$C$29</f>
        <v>0.66714792714666193</v>
      </c>
      <c r="D25">
        <f>'[3]IW+f'!$G$29</f>
        <v>0.31390973645585518</v>
      </c>
    </row>
    <row r="26" spans="1:6" x14ac:dyDescent="0.35">
      <c r="A26" t="s">
        <v>40</v>
      </c>
      <c r="B26" t="s">
        <v>41</v>
      </c>
      <c r="C26" s="3">
        <f>'[3]IW+f'!$C$31</f>
        <v>1.4284515611925735E-2</v>
      </c>
      <c r="D26" s="3">
        <f>'[3]IW+f'!$G$31</f>
        <v>3.2008550717339546E-2</v>
      </c>
    </row>
    <row r="27" spans="1:6" x14ac:dyDescent="0.35">
      <c r="A27" t="s">
        <v>23</v>
      </c>
      <c r="B27" t="s">
        <v>16</v>
      </c>
      <c r="C27">
        <f>'[3]IW+f'!$C$39</f>
        <v>3.1810426802821895E-2</v>
      </c>
      <c r="D27">
        <f>'[3]IW+f'!$G$39</f>
        <v>1.1130534401230463E-2</v>
      </c>
    </row>
    <row r="28" spans="1:6" x14ac:dyDescent="0.35">
      <c r="A28" t="s">
        <v>24</v>
      </c>
      <c r="B28" t="s">
        <v>17</v>
      </c>
      <c r="C28">
        <f>'[3]IW+f'!$C$37</f>
        <v>3.7452427019751884E-2</v>
      </c>
      <c r="D28">
        <f>'[3]IW+f'!$G$37</f>
        <v>1.371409771705601E-2</v>
      </c>
    </row>
    <row r="29" spans="1:6" x14ac:dyDescent="0.35">
      <c r="A29" t="s">
        <v>27</v>
      </c>
      <c r="B29" t="s">
        <v>33</v>
      </c>
      <c r="C29">
        <f>'[3]IW+f'!$C$38</f>
        <v>0.73571240611880662</v>
      </c>
      <c r="D29">
        <f>'[3]IW+f'!$G$38</f>
        <v>7.8893246702014919E-2</v>
      </c>
    </row>
    <row r="30" spans="1:6" x14ac:dyDescent="0.35">
      <c r="A30" s="2" t="s">
        <v>18</v>
      </c>
    </row>
    <row r="31" spans="1:6" x14ac:dyDescent="0.35">
      <c r="A31" t="s">
        <v>36</v>
      </c>
      <c r="B31" t="s">
        <v>42</v>
      </c>
      <c r="C31" s="3">
        <f>[3]LCIA_HC!$C$75</f>
        <v>-320.64976274672284</v>
      </c>
      <c r="D31">
        <v>0</v>
      </c>
    </row>
    <row r="32" spans="1:6" x14ac:dyDescent="0.35">
      <c r="A32" t="s">
        <v>21</v>
      </c>
      <c r="B32" t="s">
        <v>42</v>
      </c>
      <c r="C32" s="3">
        <f>[3]LCIA_IC!$C$43</f>
        <v>-264.03464255865981</v>
      </c>
      <c r="D32">
        <v>0</v>
      </c>
    </row>
    <row r="33" spans="1:4" x14ac:dyDescent="0.35">
      <c r="C33" s="3"/>
    </row>
    <row r="34" spans="1:4" x14ac:dyDescent="0.35">
      <c r="A34" t="s">
        <v>22</v>
      </c>
      <c r="B34" t="s">
        <v>42</v>
      </c>
      <c r="C34" s="3"/>
      <c r="D34">
        <v>0</v>
      </c>
    </row>
    <row r="35" spans="1:4" x14ac:dyDescent="0.35">
      <c r="A35" t="s">
        <v>23</v>
      </c>
      <c r="B35" t="s">
        <v>16</v>
      </c>
      <c r="C35">
        <v>0</v>
      </c>
      <c r="D35">
        <v>0</v>
      </c>
    </row>
    <row r="36" spans="1:4" x14ac:dyDescent="0.35">
      <c r="A36" t="s">
        <v>24</v>
      </c>
      <c r="B36" t="s">
        <v>17</v>
      </c>
      <c r="C36">
        <v>0</v>
      </c>
      <c r="D36">
        <v>0</v>
      </c>
    </row>
    <row r="37" spans="1:4" x14ac:dyDescent="0.35">
      <c r="A37" t="s">
        <v>26</v>
      </c>
      <c r="B37" t="s">
        <v>33</v>
      </c>
      <c r="C37">
        <v>0</v>
      </c>
      <c r="D37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18" sqref="B18"/>
    </sheetView>
  </sheetViews>
  <sheetFormatPr baseColWidth="10" defaultRowHeight="14.5" x14ac:dyDescent="0.35"/>
  <sheetData>
    <row r="1" spans="1:2" x14ac:dyDescent="0.35">
      <c r="A1" t="s">
        <v>9</v>
      </c>
      <c r="B1" t="s">
        <v>28</v>
      </c>
    </row>
    <row r="2" spans="1:2" x14ac:dyDescent="0.35">
      <c r="A2" t="s">
        <v>10</v>
      </c>
      <c r="B2" t="s">
        <v>29</v>
      </c>
    </row>
    <row r="3" spans="1:2" x14ac:dyDescent="0.35">
      <c r="A3" t="s">
        <v>7</v>
      </c>
      <c r="B3" t="s">
        <v>31</v>
      </c>
    </row>
    <row r="4" spans="1:2" x14ac:dyDescent="0.35">
      <c r="A4" t="s">
        <v>8</v>
      </c>
      <c r="B4" t="s">
        <v>30</v>
      </c>
    </row>
    <row r="5" spans="1:2" x14ac:dyDescent="0.35">
      <c r="A5" t="s">
        <v>25</v>
      </c>
      <c r="B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2026-02-12T15:23:08Z</dcterms:modified>
</cp:coreProperties>
</file>