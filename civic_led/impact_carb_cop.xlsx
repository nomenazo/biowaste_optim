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738EBDF3-9482-4947-BE01-15FAC2B3373E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F26" i="1" l="1"/>
  <c r="E26" i="1"/>
  <c r="C26" i="1"/>
  <c r="C7" i="1" l="1"/>
  <c r="F12" i="1" l="1"/>
  <c r="E12" i="1"/>
  <c r="C12" i="1"/>
  <c r="F10" i="1"/>
  <c r="E10" i="1"/>
  <c r="C10" i="1"/>
  <c r="F8" i="1"/>
  <c r="E8" i="1"/>
  <c r="C8" i="1"/>
  <c r="F7" i="1"/>
  <c r="E7" i="1"/>
  <c r="F6" i="1"/>
  <c r="C6" i="1" l="1"/>
  <c r="E6" i="1"/>
  <c r="F4" i="1" l="1"/>
  <c r="E4" i="1"/>
  <c r="F14" i="1"/>
  <c r="L14" i="1" s="1"/>
  <c r="J14" i="1"/>
  <c r="F3" i="1"/>
  <c r="E3" i="1"/>
  <c r="E13" i="1" l="1"/>
  <c r="F13" i="1"/>
  <c r="E11" i="1" l="1"/>
  <c r="E9" i="1"/>
  <c r="F11" i="1"/>
  <c r="F9" i="1"/>
  <c r="F16" i="1" l="1"/>
  <c r="F18" i="1" s="1"/>
  <c r="E16" i="1"/>
  <c r="E18" i="1" s="1"/>
  <c r="D14" i="1" l="1"/>
  <c r="C14" i="1"/>
  <c r="D13" i="1" l="1"/>
  <c r="C13" i="1"/>
  <c r="D12" i="1"/>
  <c r="D11" i="1"/>
  <c r="C11" i="1"/>
  <c r="D10" i="1"/>
  <c r="D9" i="1"/>
  <c r="C9" i="1"/>
  <c r="D8" i="1"/>
  <c r="D7" i="1"/>
  <c r="D6" i="1"/>
  <c r="C32" i="1" l="1"/>
  <c r="C31" i="1"/>
  <c r="D29" i="1"/>
  <c r="C29" i="1"/>
  <c r="D28" i="1"/>
  <c r="C28" i="1"/>
  <c r="D27" i="1"/>
  <c r="C27" i="1"/>
  <c r="D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<sst xmlns="http://schemas.openxmlformats.org/spreadsheetml/2006/main" count="85" uniqueCount="52">
  <si>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</si>
  <si>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</si>
  <si>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</si>
  <si>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</si>
  <si>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</si>
  <si>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</si>
  <si>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</si>
  <si>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</si>
  <si>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</si>
  <si>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</si>
  <si>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</si>
  <si>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</si>
  <si>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</si>
  <si>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</si>
  <si>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</si>
  <si>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</si>
  <si>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</si>
  <si>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</si>
  <si>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</si>
  <si>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</si>
  <si>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</si>
  <si>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</si>
  <si>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</si>
  <si>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</si>
  <si>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</si>
  <si>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</si>
  <si>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</si>
  <si>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</si>
  <si>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</si>
  <si>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</si>
  <si>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</si>
  <si>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</si>
  <si>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</si>
  <si>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</si>
  <si>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</si>
  <si>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</si>
  <si>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</si>
  <si>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</si>
  <si>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</si>
  <si>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</si>
  <si>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</si>
  <si>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</si>
  <si>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</si>
  <si>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</si>
  <si>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</si>
  <si>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</si>
  <si>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</si>
  <si>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Total ecosystem quality</t>
  </si>
  <si>
    <t>Total human health</t>
  </si>
  <si>
    <t>PDF.m2.yr</t>
  </si>
  <si>
    <t>DALY</t>
  </si>
  <si>
    <t>Note : substitution de tourbe lié au HC limité, digestat ^pas de substitut tourbe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</si>
</sst>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_co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mpact_carb_p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-74.885009179301292</v>
          </cell>
          <cell r="AH102">
            <v>-2.7927185048461626E-5</v>
          </cell>
        </row>
      </sheetData>
      <sheetData sheetId="1">
        <row r="4">
          <cell r="AG4">
            <v>9.298127553464607E-7</v>
          </cell>
        </row>
        <row r="5">
          <cell r="AG5">
            <v>2.791842299353623E-6</v>
          </cell>
          <cell r="AH5">
            <v>-2.2169617322467998E-7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9">
          <cell r="AG99">
            <v>-85.173709174847033</v>
          </cell>
          <cell r="AH99">
            <v>-1.1184831714685595E-4</v>
          </cell>
        </row>
      </sheetData>
      <sheetData sheetId="15"/>
      <sheetData sheetId="16">
        <row r="98">
          <cell r="AG98">
            <v>-33.86380026059642</v>
          </cell>
          <cell r="AH98">
            <v>5.8445078427050051E-5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26.234953944788906</v>
          </cell>
          <cell r="AH46">
            <v>2.2801483464610157E-5</v>
          </cell>
        </row>
        <row r="87">
          <cell r="C87">
            <v>-8.8273720278716645</v>
          </cell>
        </row>
      </sheetData>
      <sheetData sheetId="14"/>
      <sheetData sheetId="15">
        <row r="40">
          <cell r="C40">
            <v>-233.0779380559818</v>
          </cell>
        </row>
        <row r="80">
          <cell r="AG80">
            <v>51.618888337340763</v>
          </cell>
          <cell r="AH80">
            <v>6.8161844175129087E-4</v>
          </cell>
        </row>
      </sheetData>
      <sheetData sheetId="16"/>
      <sheetData sheetId="17">
        <row r="42">
          <cell r="C42">
            <v>-215.01416355130698</v>
          </cell>
        </row>
        <row r="83">
          <cell r="AG83">
            <v>10.59767941863592</v>
          </cell>
          <cell r="AH83">
            <v>5.9524617827577913E-4</v>
          </cell>
        </row>
      </sheetData>
      <sheetData sheetId="18"/>
      <sheetData sheetId="19"/>
      <sheetData sheetId="20">
        <row r="41">
          <cell r="C41">
            <v>-82.308576166846308</v>
          </cell>
        </row>
        <row r="81">
          <cell r="AG81">
            <v>0.30897942309017878</v>
          </cell>
          <cell r="AH81">
            <v>5.1132504617738481E-4</v>
          </cell>
        </row>
      </sheetData>
      <sheetData sheetId="21">
        <row r="55">
          <cell r="C55">
            <v>-251.7873595492309</v>
          </cell>
        </row>
        <row r="84">
          <cell r="AG84">
            <v>4.3987681766360307</v>
          </cell>
          <cell r="AH84">
            <v>8.3798391124520249E-5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/>
      <sheetData sheetId="4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26">
          <cell r="E26">
            <v>8.2740684822632665E-3</v>
          </cell>
          <cell r="F26">
            <v>4.4209285281899682E-8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L37"/>
  <sheetViews>
    <sheetView tabSelected="1" zoomScale="80" zoomScaleNormal="80" zoomScaleSheetLayoutView="90" workbookViewId="0">
      <selection activeCell="E14" sqref="E14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5.26953125" customWidth="1"/>
    <col min="5" max="5" width="21.36328125" bestFit="1" customWidth="1"/>
    <col min="6" max="6" width="14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</row>
    <row r="2" spans="1:12" x14ac:dyDescent="0.35">
      <c r="C2" t="s">
        <v>19</v>
      </c>
      <c r="D2" t="s">
        <v>20</v>
      </c>
      <c r="E2" t="s">
        <v>49</v>
      </c>
      <c r="F2" t="s">
        <v>50</v>
      </c>
      <c r="L2" t="s">
        <v>51</v>
      </c>
    </row>
    <row r="3" spans="1:12" x14ac:dyDescent="0.35">
      <c r="A3" s="1" t="s">
        <v>5</v>
      </c>
      <c r="B3" t="s">
        <v>4</v>
      </c>
      <c r="C3">
        <v>0.23535</v>
      </c>
      <c r="D3">
        <v>2.1149999999999999E-2</v>
      </c>
      <c r="E3">
        <f>'[1]IW+_end'!$AG$5</f>
        <v>2.791842299353623E-6</v>
      </c>
      <c r="F3">
        <f>'[1]IW+_end'!$AH$5</f>
        <v>-2.2169617322467998E-7</v>
      </c>
    </row>
    <row r="4" spans="1:12" x14ac:dyDescent="0.35">
      <c r="A4" s="1" t="s">
        <v>35</v>
      </c>
      <c r="B4" t="s">
        <v>4</v>
      </c>
      <c r="C4">
        <v>1.38914</v>
      </c>
      <c r="D4">
        <v>4.6600000000000003E-2</v>
      </c>
      <c r="E4">
        <f>'[1]IW+_end'!$AG$41</f>
        <v>0</v>
      </c>
      <c r="F4" s="3">
        <f>'[1]IW+_end'!$AH$41</f>
        <v>0</v>
      </c>
    </row>
    <row r="5" spans="1:12" x14ac:dyDescent="0.35">
      <c r="A5" s="2" t="s">
        <v>6</v>
      </c>
    </row>
    <row r="6" spans="1:12" x14ac:dyDescent="0.35">
      <c r="A6" t="s">
        <v>9</v>
      </c>
      <c r="B6" t="s">
        <v>12</v>
      </c>
      <c r="C6" s="3">
        <f>[2]LCIA_HC!$C$87</f>
        <v>-8.8273720278716645</v>
      </c>
      <c r="D6">
        <f>[3]LCIA_HC!$G$87</f>
        <v>-44.875110315215267</v>
      </c>
      <c r="E6" s="3">
        <f>[2]LCIA_HC!$AG$46</f>
        <v>26.234953944788906</v>
      </c>
      <c r="F6" s="3">
        <f>[2]LCIA_HC!$AH$46</f>
        <v>2.2801483464610157E-5</v>
      </c>
    </row>
    <row r="7" spans="1:12" x14ac:dyDescent="0.35">
      <c r="A7" t="s">
        <v>10</v>
      </c>
      <c r="B7" t="s">
        <v>12</v>
      </c>
      <c r="C7" s="3">
        <f>[2]LCIA_IC!$C$55</f>
        <v>-251.7873595492309</v>
      </c>
      <c r="D7" s="3">
        <f>[3]LCIA_IC!$G$55</f>
        <v>-23.593895973940484</v>
      </c>
      <c r="E7" s="3">
        <f>+[2]LCIA_IC!$AG$84</f>
        <v>4.3987681766360307</v>
      </c>
      <c r="F7" s="3">
        <f>+[2]LCIA_IC!$AH$84</f>
        <v>8.3798391124520249E-5</v>
      </c>
      <c r="H7" s="3"/>
    </row>
    <row r="8" spans="1:12" x14ac:dyDescent="0.35">
      <c r="A8" t="s">
        <v>7</v>
      </c>
      <c r="B8" t="s">
        <v>12</v>
      </c>
      <c r="C8" s="3">
        <f>+'[2]LCIA_AD-a'!$C$41</f>
        <v>-82.308576166846308</v>
      </c>
      <c r="D8" s="3">
        <f>'[3]LCIA_AD-a'!$G$41</f>
        <v>-94.553331071110051</v>
      </c>
      <c r="E8">
        <f>+'[2]LCIA_AD-a'!$AG$81</f>
        <v>0.30897942309017878</v>
      </c>
      <c r="F8" s="3">
        <f>+'[2]LCIA_AD-a'!$AH$81</f>
        <v>5.1132504617738481E-4</v>
      </c>
    </row>
    <row r="9" spans="1:12" x14ac:dyDescent="0.35">
      <c r="A9" t="s">
        <v>8</v>
      </c>
      <c r="B9" t="s">
        <v>12</v>
      </c>
      <c r="C9" s="3">
        <f>'[3]LCIA_AD-b'!$C$50</f>
        <v>-114.56471032029754</v>
      </c>
      <c r="D9" s="3">
        <f>'[3]LCIA_AD-b'!$G$50</f>
        <v>-48.942552234255018</v>
      </c>
      <c r="E9">
        <f>'[1]LCIA_AD-b'!$AG$99</f>
        <v>-85.173709174847033</v>
      </c>
      <c r="F9" s="3">
        <f>'[1]LCIA_AD-b'!$AH$99</f>
        <v>-1.1184831714685595E-4</v>
      </c>
    </row>
    <row r="10" spans="1:12" x14ac:dyDescent="0.35">
      <c r="A10" t="s">
        <v>25</v>
      </c>
      <c r="B10" t="s">
        <v>12</v>
      </c>
      <c r="C10" s="3">
        <f>+'[2]LCIA_AD-c'!$C$40</f>
        <v>-233.0779380559818</v>
      </c>
      <c r="D10" s="3">
        <f>'[3]LCIA_AD-c'!$G$40</f>
        <v>-76.086351472237894</v>
      </c>
      <c r="E10">
        <f>+'[2]LCIA_AD-c'!$AG$80</f>
        <v>51.618888337340763</v>
      </c>
      <c r="F10" s="3">
        <f>+'[2]LCIA_AD-c'!$AH$80</f>
        <v>6.8161844175129087E-4</v>
      </c>
    </row>
    <row r="11" spans="1:12" x14ac:dyDescent="0.35">
      <c r="A11" t="s">
        <v>43</v>
      </c>
      <c r="B11" t="s">
        <v>12</v>
      </c>
      <c r="C11" s="3">
        <f>'[3]LCIA_AD-d'!$C$49</f>
        <v>-265.33407220943303</v>
      </c>
      <c r="D11" s="3">
        <f>'[3]LCIA_AD-d'!$G$49</f>
        <v>-30.475572635382854</v>
      </c>
      <c r="E11">
        <f>'[1]LCIA_AD-d'!$AG$98</f>
        <v>-33.86380026059642</v>
      </c>
      <c r="F11" s="3">
        <f>'[1]LCIA_AD-d'!$AH$98</f>
        <v>5.8445078427050051E-5</v>
      </c>
    </row>
    <row r="12" spans="1:12" x14ac:dyDescent="0.35">
      <c r="A12" t="s">
        <v>44</v>
      </c>
      <c r="B12" t="s">
        <v>12</v>
      </c>
      <c r="C12" s="3">
        <f>+'[2]LCIA_AD-e'!$C$42</f>
        <v>-215.01416355130698</v>
      </c>
      <c r="D12" s="3">
        <f>'[3]LCIA_AD-e'!$G$42</f>
        <v>-89.935802993782033</v>
      </c>
      <c r="E12">
        <f>+'[2]LCIA_AD-e'!$AG$83</f>
        <v>10.59767941863592</v>
      </c>
      <c r="F12" s="3">
        <f>+'[2]LCIA_AD-e'!$AH$83</f>
        <v>5.9524617827577913E-4</v>
      </c>
    </row>
    <row r="13" spans="1:12" x14ac:dyDescent="0.35">
      <c r="A13" t="s">
        <v>45</v>
      </c>
      <c r="B13" t="s">
        <v>12</v>
      </c>
      <c r="C13" s="3">
        <f>'[3]LCIA_AD-f'!$C$51</f>
        <v>-267.29345925553793</v>
      </c>
      <c r="D13" s="3">
        <f>'[3]LCIA_AD-f'!$G$51</f>
        <v>-44.754073148487684</v>
      </c>
      <c r="E13">
        <f>'[1]LCIA_AD-f'!$AG$102</f>
        <v>-74.885009179301292</v>
      </c>
      <c r="F13" s="3">
        <f>'[1]LCIA_AD-f'!$AH$102</f>
        <v>-2.7927185048461626E-5</v>
      </c>
    </row>
    <row r="14" spans="1:12" x14ac:dyDescent="0.35">
      <c r="A14" t="s">
        <v>46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  <c r="E14">
        <f>'[1]IW+_end'!$AG$4*1000</f>
        <v>9.2981275534646075E-4</v>
      </c>
      <c r="F14" s="4">
        <f>'[1]IW+_end'!$AH$4</f>
        <v>0</v>
      </c>
      <c r="J14">
        <f>E14*5347</f>
        <v>4.9717088028375258</v>
      </c>
      <c r="L14">
        <f>F14*5347</f>
        <v>0</v>
      </c>
    </row>
    <row r="15" spans="1:12" x14ac:dyDescent="0.35">
      <c r="A15" s="2" t="s">
        <v>11</v>
      </c>
    </row>
    <row r="16" spans="1:12" x14ac:dyDescent="0.35">
      <c r="A16" t="s">
        <v>21</v>
      </c>
      <c r="B16" t="s">
        <v>4</v>
      </c>
      <c r="C16">
        <v>0.23535</v>
      </c>
      <c r="D16">
        <v>2.1149999999999999E-2</v>
      </c>
      <c r="E16">
        <f>E3</f>
        <v>2.791842299353623E-6</v>
      </c>
      <c r="F16">
        <f>F3</f>
        <v>-2.2169617322467998E-7</v>
      </c>
    </row>
    <row r="17" spans="1:6" x14ac:dyDescent="0.35">
      <c r="A17" t="s">
        <v>36</v>
      </c>
      <c r="B17" t="s">
        <v>4</v>
      </c>
      <c r="C17" s="3">
        <v>0</v>
      </c>
      <c r="D17" s="3">
        <v>0</v>
      </c>
      <c r="E17">
        <v>0</v>
      </c>
      <c r="F17">
        <v>0</v>
      </c>
    </row>
    <row r="18" spans="1:6" x14ac:dyDescent="0.35">
      <c r="A18" t="s">
        <v>22</v>
      </c>
      <c r="B18" t="s">
        <v>4</v>
      </c>
      <c r="C18">
        <v>0.23535</v>
      </c>
      <c r="D18">
        <v>2.1149999999999999E-2</v>
      </c>
      <c r="E18">
        <f>E16</f>
        <v>2.791842299353623E-6</v>
      </c>
      <c r="F18">
        <f>F16</f>
        <v>-2.2169617322467998E-7</v>
      </c>
    </row>
    <row r="19" spans="1:6" x14ac:dyDescent="0.35">
      <c r="A19" t="s">
        <v>23</v>
      </c>
      <c r="B19" t="s">
        <v>13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 t="s">
        <v>14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26</v>
      </c>
      <c r="B21" t="s">
        <v>34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s="2" t="s">
        <v>15</v>
      </c>
    </row>
    <row r="23" spans="1:6" x14ac:dyDescent="0.35">
      <c r="A23" t="s">
        <v>37</v>
      </c>
      <c r="B23" t="s">
        <v>41</v>
      </c>
      <c r="C23">
        <f>'[4]IW+f'!$C$28</f>
        <v>1.5776478677100687</v>
      </c>
      <c r="D23">
        <f>'[4]IW+f'!$G$28</f>
        <v>2.3755902490883187</v>
      </c>
    </row>
    <row r="24" spans="1:6" x14ac:dyDescent="0.35">
      <c r="A24" t="s">
        <v>38</v>
      </c>
      <c r="B24" t="s">
        <v>41</v>
      </c>
      <c r="C24">
        <f>'[4]IW+f'!$C$30</f>
        <v>0.38986915383247311</v>
      </c>
      <c r="D24">
        <f>'[4]IW+f'!$G$30</f>
        <v>0.92484418441705429</v>
      </c>
    </row>
    <row r="25" spans="1:6" x14ac:dyDescent="0.35">
      <c r="A25" t="s">
        <v>39</v>
      </c>
      <c r="B25" t="s">
        <v>41</v>
      </c>
      <c r="C25">
        <f>'[4]IW+f'!$C$29</f>
        <v>0.66714792714666193</v>
      </c>
      <c r="D25">
        <f>'[4]IW+f'!$G$29</f>
        <v>0.31390973645585518</v>
      </c>
    </row>
    <row r="26" spans="1:6" x14ac:dyDescent="0.35">
      <c r="A26" t="s">
        <v>40</v>
      </c>
      <c r="B26" t="s">
        <v>41</v>
      </c>
      <c r="C26" s="3">
        <f>'[4]IW+f'!$C$31</f>
        <v>1.4284515611925735E-2</v>
      </c>
      <c r="D26" s="3">
        <f>'[4]IW+f'!$G$31</f>
        <v>3.2008550717339546E-2</v>
      </c>
      <c r="E26">
        <f>[5]Feuil1!$E$26</f>
        <v>8.2740684822632665E-3</v>
      </c>
      <c r="F26" s="3">
        <f>[5]Feuil1!$F$26</f>
        <v>4.4209285281899682E-8</v>
      </c>
    </row>
    <row r="27" spans="1:6" x14ac:dyDescent="0.35">
      <c r="A27" t="s">
        <v>23</v>
      </c>
      <c r="B27" t="s">
        <v>16</v>
      </c>
      <c r="C27">
        <f>'[4]IW+f'!$C$39</f>
        <v>3.1810426802821895E-2</v>
      </c>
      <c r="D27">
        <f>'[4]IW+f'!$G$39</f>
        <v>1.1130534401230463E-2</v>
      </c>
    </row>
    <row r="28" spans="1:6" x14ac:dyDescent="0.35">
      <c r="A28" t="s">
        <v>24</v>
      </c>
      <c r="B28" t="s">
        <v>17</v>
      </c>
      <c r="C28">
        <f>'[4]IW+f'!$C$37</f>
        <v>3.7452427019751884E-2</v>
      </c>
      <c r="D28">
        <f>'[4]IW+f'!$G$37</f>
        <v>1.371409771705601E-2</v>
      </c>
    </row>
    <row r="29" spans="1:6" x14ac:dyDescent="0.35">
      <c r="A29" t="s">
        <v>27</v>
      </c>
      <c r="B29" t="s">
        <v>33</v>
      </c>
      <c r="C29">
        <f>'[4]IW+f'!$C$38</f>
        <v>0.73571240611880662</v>
      </c>
      <c r="D29">
        <f>'[4]IW+f'!$G$38</f>
        <v>7.8893246702014919E-2</v>
      </c>
    </row>
    <row r="30" spans="1:6" x14ac:dyDescent="0.35">
      <c r="A30" s="2" t="s">
        <v>18</v>
      </c>
    </row>
    <row r="31" spans="1:6" x14ac:dyDescent="0.35">
      <c r="A31" t="s">
        <v>36</v>
      </c>
      <c r="B31" t="s">
        <v>42</v>
      </c>
      <c r="C31" s="3">
        <f>[4]LCIA_HC!$C$75</f>
        <v>-320.64976274672284</v>
      </c>
      <c r="D31">
        <v>0</v>
      </c>
    </row>
    <row r="32" spans="1:6" x14ac:dyDescent="0.35">
      <c r="A32" t="s">
        <v>21</v>
      </c>
      <c r="B32" t="s">
        <v>42</v>
      </c>
      <c r="C32" s="3">
        <f>[4]LCIA_IC!$C$43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2026-02-11T14:57:05Z</dcterms:modified>
</cp:coreProperties>
</file>