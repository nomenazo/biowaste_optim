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civic_led\"/>
    </mc:Choice>
  </mc:AlternateContent>
  <xr:revisionPtr revIDLastSave="0" documentId="13_ncr:1_{6CFC62D1-2438-4792-BE37-044E2377DFE6}" xr6:coauthVersionLast="36" xr6:coauthVersionMax="36" xr10:uidLastSave="{00000000-0000-0000-0000-000000000000}"/>
  <bookViews>
    <workbookView xWindow="0" yWindow="0" windowWidth="19200" windowHeight="6640" firstSheet="1" activeTab="1" xr2:uid="{D3821372-1969-4DD6-A628-04C5F8F02CF2}"/>
  </bookViews>
  <sheets>
    <sheet name="LCIA_AD-f" sheetId="38" r:id="rId1"/>
    <sheet name="IW+_end" sheetId="27" r:id="rId2"/>
    <sheet name="LCI_AD-e" sheetId="35" r:id="rId3"/>
    <sheet name="LCI_AD-f" sheetId="36" r:id="rId4"/>
    <sheet name="Waste_characteristics" sheetId="6" r:id="rId5"/>
    <sheet name="Parameters" sheetId="3" r:id="rId6"/>
    <sheet name="LCI" sheetId="1" r:id="rId7"/>
    <sheet name="LCI_AD-d" sheetId="23" r:id="rId8"/>
    <sheet name="params_HC" sheetId="14" r:id="rId9"/>
    <sheet name="LCI_HC" sheetId="17" r:id="rId10"/>
    <sheet name="LCI_AD-a" sheetId="20" r:id="rId11"/>
    <sheet name="LCI_AD-c" sheetId="22" r:id="rId12"/>
    <sheet name="LCI_AD-b" sheetId="21" r:id="rId13"/>
    <sheet name="LCIA_HC" sheetId="11" r:id="rId14"/>
    <sheet name="LCIA_AD-b" sheetId="30" r:id="rId15"/>
    <sheet name="LCIA_AD-c" sheetId="31" r:id="rId16"/>
    <sheet name="LCIA_AD-d" sheetId="34" r:id="rId17"/>
    <sheet name="LCIA_AD-e" sheetId="37" r:id="rId18"/>
    <sheet name="Figures" sheetId="41" r:id="rId19"/>
    <sheet name="IW+f" sheetId="28" r:id="rId20"/>
    <sheet name="LCIA_AD-a" sheetId="29" r:id="rId21"/>
    <sheet name="LCIA_IC" sheetId="12" r:id="rId22"/>
    <sheet name="LCI_IC" sheetId="19" r:id="rId23"/>
    <sheet name="AD_a_end" sheetId="9" r:id="rId24"/>
    <sheet name="impact_process_end" sheetId="8" r:id="rId25"/>
    <sheet name="impact_process_mid" sheetId="7" r:id="rId26"/>
    <sheet name="IW+_mid" sheetId="26" r:id="rId27"/>
    <sheet name="IC_end" sheetId="13" r:id="rId28"/>
    <sheet name="AD_a_mid" sheetId="2" r:id="rId29"/>
  </sheets>
  <externalReferences>
    <externalReference r:id="rId30"/>
    <externalReference r:id="rId31"/>
    <externalReference r:id="rId32"/>
    <externalReference r:id="rId33"/>
  </externalReferences>
  <definedNames>
    <definedName name="_xlnm._FilterDatabase" localSheetId="1" hidden="1">'IW+_end'!$A$1:$AG$35</definedName>
    <definedName name="_xlnm._FilterDatabase" localSheetId="26" hidden="1">'IW+_mid'!$A$1:$A$39</definedName>
    <definedName name="_xlnm._FilterDatabase" localSheetId="19" hidden="1">'IW+f'!$A$1:$G$35</definedName>
    <definedName name="Food_Type">"Baseline"</definedName>
    <definedName name="FW_mass">Waste_characteristics!$B$3</definedName>
    <definedName name="H2O_FW">Waste_characteristics!$B$4</definedName>
    <definedName name="Mass">Waste_characteristics!$B$2</definedName>
    <definedName name="mass_VS_FW">Waste_characteristics!$B$6</definedName>
    <definedName name="Methane_LHV">'[1]Global params'!$E$21</definedName>
    <definedName name="VS_FW">Waste_characteristics!$B$5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D37" i="27" l="1"/>
  <c r="AD38" i="27"/>
  <c r="AD39" i="27"/>
  <c r="AC37" i="27"/>
  <c r="AC38" i="27"/>
  <c r="AC39" i="27"/>
  <c r="AD13" i="27"/>
  <c r="AD14" i="27"/>
  <c r="AD15" i="27"/>
  <c r="AD16" i="27"/>
  <c r="AD17" i="27"/>
  <c r="AD18" i="27"/>
  <c r="AD19" i="27"/>
  <c r="AD20" i="27"/>
  <c r="AD21" i="27"/>
  <c r="AD22" i="27"/>
  <c r="AD23" i="27"/>
  <c r="AD24" i="27"/>
  <c r="AD25" i="27"/>
  <c r="AD26" i="27"/>
  <c r="AD27" i="27"/>
  <c r="AD28" i="27"/>
  <c r="AD29" i="27"/>
  <c r="AD30" i="27"/>
  <c r="AD31" i="27"/>
  <c r="AD32" i="27"/>
  <c r="AD33" i="27"/>
  <c r="AD34" i="27"/>
  <c r="AD35" i="27"/>
  <c r="AD12" i="27"/>
  <c r="AD9" i="27"/>
  <c r="AC14" i="27"/>
  <c r="AC15" i="27"/>
  <c r="AC16" i="27"/>
  <c r="AC17" i="27"/>
  <c r="AC18" i="27"/>
  <c r="AC19" i="27"/>
  <c r="AC20" i="27"/>
  <c r="AC21" i="27"/>
  <c r="AC22" i="27"/>
  <c r="AC23" i="27"/>
  <c r="AC24" i="27"/>
  <c r="AC25" i="27"/>
  <c r="AC26" i="27"/>
  <c r="AC27" i="27"/>
  <c r="AC28" i="27"/>
  <c r="AC29" i="27"/>
  <c r="AC30" i="27"/>
  <c r="AC31" i="27"/>
  <c r="AC32" i="27"/>
  <c r="AC33" i="27"/>
  <c r="AC34" i="27"/>
  <c r="AC35" i="27"/>
  <c r="AC12" i="27"/>
  <c r="AC13" i="27"/>
  <c r="AC9" i="27"/>
  <c r="AC11" i="27" s="1"/>
  <c r="AD3" i="27"/>
  <c r="AD4" i="27"/>
  <c r="AD5" i="27"/>
  <c r="AD6" i="27"/>
  <c r="AD7" i="27"/>
  <c r="AD8" i="27"/>
  <c r="AC3" i="27"/>
  <c r="AC4" i="27"/>
  <c r="AC5" i="27"/>
  <c r="AC6" i="27"/>
  <c r="AC7" i="27"/>
  <c r="AC8" i="27"/>
  <c r="AH5" i="27"/>
  <c r="AD2" i="27"/>
  <c r="AC2" i="27"/>
  <c r="B33" i="41" l="1"/>
  <c r="B32" i="41"/>
  <c r="C81" i="38" l="1"/>
  <c r="D81" i="38"/>
  <c r="E81" i="38"/>
  <c r="F81" i="38"/>
  <c r="G81" i="38"/>
  <c r="H81" i="38"/>
  <c r="I81" i="38"/>
  <c r="J81" i="38"/>
  <c r="K81" i="38"/>
  <c r="L81" i="38"/>
  <c r="M81" i="38"/>
  <c r="N81" i="38"/>
  <c r="O81" i="38"/>
  <c r="P81" i="38"/>
  <c r="Q81" i="38"/>
  <c r="R81" i="38"/>
  <c r="S81" i="38"/>
  <c r="T81" i="38"/>
  <c r="U81" i="38"/>
  <c r="V81" i="38"/>
  <c r="W81" i="38"/>
  <c r="X81" i="38"/>
  <c r="Y81" i="38"/>
  <c r="Z81" i="38"/>
  <c r="AA81" i="38"/>
  <c r="AB81" i="38"/>
  <c r="AC81" i="38"/>
  <c r="AD81" i="38"/>
  <c r="AE81" i="38"/>
  <c r="AF81" i="38"/>
  <c r="AG81" i="38"/>
  <c r="AH81" i="38"/>
  <c r="AI81" i="38"/>
  <c r="AJ81" i="38"/>
  <c r="AK81" i="38"/>
  <c r="C60" i="38"/>
  <c r="D60" i="38"/>
  <c r="E60" i="38"/>
  <c r="F60" i="38"/>
  <c r="G60" i="38"/>
  <c r="H60" i="38"/>
  <c r="I60" i="38"/>
  <c r="J60" i="38"/>
  <c r="K60" i="38"/>
  <c r="L60" i="38"/>
  <c r="M60" i="38"/>
  <c r="N60" i="38"/>
  <c r="O60" i="38"/>
  <c r="P60" i="38"/>
  <c r="Q60" i="38"/>
  <c r="R60" i="38"/>
  <c r="S60" i="38"/>
  <c r="T60" i="38"/>
  <c r="U60" i="38"/>
  <c r="V60" i="38"/>
  <c r="W60" i="38"/>
  <c r="X60" i="38"/>
  <c r="Y60" i="38"/>
  <c r="Z60" i="38"/>
  <c r="AA60" i="38"/>
  <c r="AB60" i="38"/>
  <c r="AC60" i="38"/>
  <c r="AD60" i="38"/>
  <c r="AE60" i="38"/>
  <c r="AF60" i="38"/>
  <c r="AG60" i="38"/>
  <c r="AH60" i="38"/>
  <c r="AI60" i="38"/>
  <c r="AJ60" i="38"/>
  <c r="AK60" i="38"/>
  <c r="P61" i="38"/>
  <c r="C63" i="38"/>
  <c r="D63" i="38"/>
  <c r="E63" i="38"/>
  <c r="F63" i="38"/>
  <c r="G63" i="38"/>
  <c r="H63" i="38"/>
  <c r="I63" i="38"/>
  <c r="J63" i="38"/>
  <c r="K63" i="38"/>
  <c r="L63" i="38"/>
  <c r="M63" i="38"/>
  <c r="N63" i="38"/>
  <c r="O63" i="38"/>
  <c r="P63" i="38"/>
  <c r="Q63" i="38"/>
  <c r="R63" i="38"/>
  <c r="S63" i="38"/>
  <c r="T63" i="38"/>
  <c r="U63" i="38"/>
  <c r="V63" i="38"/>
  <c r="W63" i="38"/>
  <c r="X63" i="38"/>
  <c r="Y63" i="38"/>
  <c r="Z63" i="38"/>
  <c r="AA63" i="38"/>
  <c r="AB63" i="38"/>
  <c r="AC63" i="38"/>
  <c r="AD63" i="38"/>
  <c r="AE63" i="38"/>
  <c r="AF63" i="38"/>
  <c r="AG63" i="38"/>
  <c r="AH63" i="38"/>
  <c r="AI63" i="38"/>
  <c r="AJ63" i="38"/>
  <c r="AK63" i="38"/>
  <c r="C67" i="38"/>
  <c r="D67" i="38"/>
  <c r="E67" i="38"/>
  <c r="F67" i="38"/>
  <c r="G67" i="38"/>
  <c r="H67" i="38"/>
  <c r="I67" i="38"/>
  <c r="J67" i="38"/>
  <c r="K67" i="38"/>
  <c r="L67" i="38"/>
  <c r="M67" i="38"/>
  <c r="N67" i="38"/>
  <c r="O67" i="38"/>
  <c r="P67" i="38"/>
  <c r="Q67" i="38"/>
  <c r="R67" i="38"/>
  <c r="S67" i="38"/>
  <c r="T67" i="38"/>
  <c r="U67" i="38"/>
  <c r="V67" i="38"/>
  <c r="W67" i="38"/>
  <c r="X67" i="38"/>
  <c r="Y67" i="38"/>
  <c r="Z67" i="38"/>
  <c r="AA67" i="38"/>
  <c r="AB67" i="38"/>
  <c r="AC67" i="38"/>
  <c r="AD67" i="38"/>
  <c r="AE67" i="38"/>
  <c r="AF67" i="38"/>
  <c r="AG67" i="38"/>
  <c r="AH67" i="38"/>
  <c r="AI67" i="38"/>
  <c r="AJ67" i="38"/>
  <c r="AK67" i="38"/>
  <c r="N48" i="37"/>
  <c r="N58" i="38" s="1"/>
  <c r="C50" i="37"/>
  <c r="D50" i="37"/>
  <c r="E50" i="37"/>
  <c r="F50" i="37"/>
  <c r="G50" i="37"/>
  <c r="H50" i="37"/>
  <c r="I50" i="37"/>
  <c r="J50" i="37"/>
  <c r="K50" i="37"/>
  <c r="L50" i="37"/>
  <c r="M50" i="37"/>
  <c r="N50" i="37"/>
  <c r="O50" i="37"/>
  <c r="P50" i="37"/>
  <c r="Q50" i="37"/>
  <c r="R50" i="37"/>
  <c r="S50" i="37"/>
  <c r="T50" i="37"/>
  <c r="U50" i="37"/>
  <c r="V50" i="37"/>
  <c r="W50" i="37"/>
  <c r="X50" i="37"/>
  <c r="Y50" i="37"/>
  <c r="Z50" i="37"/>
  <c r="AA50" i="37"/>
  <c r="AB50" i="37"/>
  <c r="AC50" i="37"/>
  <c r="AD50" i="37"/>
  <c r="AE50" i="37"/>
  <c r="AF50" i="37"/>
  <c r="AG50" i="37"/>
  <c r="AH50" i="37"/>
  <c r="AI50" i="37"/>
  <c r="AJ50" i="37"/>
  <c r="AK50" i="37"/>
  <c r="C53" i="37"/>
  <c r="D53" i="37"/>
  <c r="E53" i="37"/>
  <c r="F53" i="37"/>
  <c r="G53" i="37"/>
  <c r="H53" i="37"/>
  <c r="I53" i="37"/>
  <c r="J53" i="37"/>
  <c r="K53" i="37"/>
  <c r="L53" i="37"/>
  <c r="M53" i="37"/>
  <c r="N53" i="37"/>
  <c r="O53" i="37"/>
  <c r="P53" i="37"/>
  <c r="Q53" i="37"/>
  <c r="R53" i="37"/>
  <c r="S53" i="37"/>
  <c r="T53" i="37"/>
  <c r="U53" i="37"/>
  <c r="V53" i="37"/>
  <c r="W53" i="37"/>
  <c r="X53" i="37"/>
  <c r="Y53" i="37"/>
  <c r="Z53" i="37"/>
  <c r="AA53" i="37"/>
  <c r="AB53" i="37"/>
  <c r="AC53" i="37"/>
  <c r="AD53" i="37"/>
  <c r="AE53" i="37"/>
  <c r="AF53" i="37"/>
  <c r="AG53" i="37"/>
  <c r="AH53" i="37"/>
  <c r="AI53" i="37"/>
  <c r="AJ53" i="37"/>
  <c r="AK53" i="37"/>
  <c r="L54" i="37"/>
  <c r="L64" i="38" s="1"/>
  <c r="C95" i="34"/>
  <c r="D95" i="34"/>
  <c r="E95" i="34"/>
  <c r="F95" i="34"/>
  <c r="G95" i="34"/>
  <c r="H95" i="34"/>
  <c r="I95" i="34"/>
  <c r="J95" i="34"/>
  <c r="K95" i="34"/>
  <c r="L95" i="34"/>
  <c r="M95" i="34"/>
  <c r="N95" i="34"/>
  <c r="O95" i="34"/>
  <c r="P95" i="34"/>
  <c r="Q95" i="34"/>
  <c r="R95" i="34"/>
  <c r="S95" i="34"/>
  <c r="T95" i="34"/>
  <c r="U95" i="34"/>
  <c r="V95" i="34"/>
  <c r="W95" i="34"/>
  <c r="X95" i="34"/>
  <c r="Y95" i="34"/>
  <c r="Z95" i="34"/>
  <c r="AA95" i="34"/>
  <c r="AB95" i="34"/>
  <c r="AC95" i="34"/>
  <c r="AD95" i="34"/>
  <c r="AE95" i="34"/>
  <c r="AF95" i="34"/>
  <c r="AG95" i="34"/>
  <c r="AH95" i="34"/>
  <c r="AI95" i="34"/>
  <c r="AJ95" i="34"/>
  <c r="AK95" i="34"/>
  <c r="C75" i="34"/>
  <c r="D75" i="34"/>
  <c r="E75" i="34"/>
  <c r="F75" i="34"/>
  <c r="G75" i="34"/>
  <c r="H75" i="34"/>
  <c r="I75" i="34"/>
  <c r="J75" i="34"/>
  <c r="K75" i="34"/>
  <c r="L75" i="34"/>
  <c r="M75" i="34"/>
  <c r="N75" i="34"/>
  <c r="O75" i="34"/>
  <c r="P75" i="34"/>
  <c r="Q75" i="34"/>
  <c r="R75" i="34"/>
  <c r="S75" i="34"/>
  <c r="T75" i="34"/>
  <c r="U75" i="34"/>
  <c r="V75" i="34"/>
  <c r="W75" i="34"/>
  <c r="X75" i="34"/>
  <c r="Y75" i="34"/>
  <c r="Z75" i="34"/>
  <c r="AA75" i="34"/>
  <c r="AB75" i="34"/>
  <c r="AC75" i="34"/>
  <c r="AD75" i="34"/>
  <c r="AE75" i="34"/>
  <c r="AF75" i="34"/>
  <c r="AG75" i="34"/>
  <c r="AH75" i="34"/>
  <c r="AI75" i="34"/>
  <c r="AJ75" i="34"/>
  <c r="AK75" i="34"/>
  <c r="G47" i="31"/>
  <c r="G56" i="34" s="1"/>
  <c r="AD47" i="31"/>
  <c r="AD56" i="34" s="1"/>
  <c r="I48" i="31"/>
  <c r="I57" i="34" s="1"/>
  <c r="Q48" i="31"/>
  <c r="Q57" i="34" s="1"/>
  <c r="Y48" i="31"/>
  <c r="Y57" i="34" s="1"/>
  <c r="F50" i="31"/>
  <c r="F59" i="34" s="1"/>
  <c r="N50" i="31"/>
  <c r="N59" i="34" s="1"/>
  <c r="V50" i="31"/>
  <c r="V59" i="34" s="1"/>
  <c r="AD50" i="31"/>
  <c r="AD59" i="34" s="1"/>
  <c r="C51" i="31"/>
  <c r="C60" i="34" s="1"/>
  <c r="K51" i="31"/>
  <c r="K60" i="34" s="1"/>
  <c r="S51" i="31"/>
  <c r="S60" i="34" s="1"/>
  <c r="AA51" i="31"/>
  <c r="AA60" i="34" s="1"/>
  <c r="AI51" i="31"/>
  <c r="AI60" i="34" s="1"/>
  <c r="H53" i="31"/>
  <c r="H62" i="34" s="1"/>
  <c r="P53" i="31"/>
  <c r="P62" i="34" s="1"/>
  <c r="X53" i="31"/>
  <c r="X62" i="34" s="1"/>
  <c r="AF53" i="31"/>
  <c r="AF62" i="34" s="1"/>
  <c r="E54" i="31"/>
  <c r="E63" i="34" s="1"/>
  <c r="J57" i="30"/>
  <c r="R57" i="30"/>
  <c r="Z57" i="30"/>
  <c r="G58" i="30"/>
  <c r="O58" i="30"/>
  <c r="W58" i="30"/>
  <c r="AE58" i="30"/>
  <c r="C59" i="30"/>
  <c r="D59" i="30"/>
  <c r="E59" i="30"/>
  <c r="F59" i="30"/>
  <c r="G59" i="30"/>
  <c r="H59" i="30"/>
  <c r="I59" i="30"/>
  <c r="J59" i="30"/>
  <c r="K59" i="30"/>
  <c r="L59" i="30"/>
  <c r="M59" i="30"/>
  <c r="N59" i="30"/>
  <c r="O59" i="30"/>
  <c r="P59" i="30"/>
  <c r="Q59" i="30"/>
  <c r="R59" i="30"/>
  <c r="S59" i="30"/>
  <c r="T59" i="30"/>
  <c r="U59" i="30"/>
  <c r="V59" i="30"/>
  <c r="W59" i="30"/>
  <c r="X59" i="30"/>
  <c r="Y59" i="30"/>
  <c r="Z59" i="30"/>
  <c r="AA59" i="30"/>
  <c r="AB59" i="30"/>
  <c r="AC59" i="30"/>
  <c r="AD59" i="30"/>
  <c r="AE59" i="30"/>
  <c r="AF59" i="30"/>
  <c r="AG59" i="30"/>
  <c r="AH59" i="30"/>
  <c r="AI59" i="30"/>
  <c r="AJ59" i="30"/>
  <c r="AK59" i="30"/>
  <c r="I60" i="30"/>
  <c r="Q60" i="30"/>
  <c r="Y60" i="30"/>
  <c r="F61" i="30"/>
  <c r="N61" i="30"/>
  <c r="V61" i="30"/>
  <c r="AD61" i="30"/>
  <c r="C62" i="30"/>
  <c r="D62" i="30"/>
  <c r="E62" i="30"/>
  <c r="F62" i="30"/>
  <c r="G62" i="30"/>
  <c r="H62" i="30"/>
  <c r="I62" i="30"/>
  <c r="J62" i="30"/>
  <c r="K62" i="30"/>
  <c r="L62" i="30"/>
  <c r="M62" i="30"/>
  <c r="N62" i="30"/>
  <c r="O62" i="30"/>
  <c r="P62" i="30"/>
  <c r="Q62" i="30"/>
  <c r="R62" i="30"/>
  <c r="S62" i="30"/>
  <c r="T62" i="30"/>
  <c r="U62" i="30"/>
  <c r="V62" i="30"/>
  <c r="W62" i="30"/>
  <c r="X62" i="30"/>
  <c r="Y62" i="30"/>
  <c r="Z62" i="30"/>
  <c r="AA62" i="30"/>
  <c r="AB62" i="30"/>
  <c r="AC62" i="30"/>
  <c r="AD62" i="30"/>
  <c r="AE62" i="30"/>
  <c r="AF62" i="30"/>
  <c r="AG62" i="30"/>
  <c r="AH62" i="30"/>
  <c r="AI62" i="30"/>
  <c r="AJ62" i="30"/>
  <c r="AK62" i="30"/>
  <c r="G63" i="30"/>
  <c r="H63" i="30"/>
  <c r="O63" i="30"/>
  <c r="P63" i="30"/>
  <c r="W63" i="30"/>
  <c r="X63" i="30"/>
  <c r="AE63" i="30"/>
  <c r="AF63" i="30"/>
  <c r="D64" i="30"/>
  <c r="E64" i="30"/>
  <c r="C66" i="30"/>
  <c r="D66" i="30"/>
  <c r="E66" i="30"/>
  <c r="F66" i="30"/>
  <c r="G66" i="30"/>
  <c r="H66" i="30"/>
  <c r="I66" i="30"/>
  <c r="J66" i="30"/>
  <c r="K66" i="30"/>
  <c r="L66" i="30"/>
  <c r="M66" i="30"/>
  <c r="N66" i="30"/>
  <c r="O66" i="30"/>
  <c r="P66" i="30"/>
  <c r="Q66" i="30"/>
  <c r="R66" i="30"/>
  <c r="S66" i="30"/>
  <c r="T66" i="30"/>
  <c r="U66" i="30"/>
  <c r="V66" i="30"/>
  <c r="W66" i="30"/>
  <c r="X66" i="30"/>
  <c r="Y66" i="30"/>
  <c r="Z66" i="30"/>
  <c r="AA66" i="30"/>
  <c r="AB66" i="30"/>
  <c r="AC66" i="30"/>
  <c r="AD66" i="30"/>
  <c r="AE66" i="30"/>
  <c r="AF66" i="30"/>
  <c r="AG66" i="30"/>
  <c r="AH66" i="30"/>
  <c r="AI66" i="30"/>
  <c r="AJ66" i="30"/>
  <c r="AK66" i="30"/>
  <c r="D54" i="29"/>
  <c r="D55" i="37" s="1"/>
  <c r="D65" i="38" s="1"/>
  <c r="E54" i="29"/>
  <c r="E55" i="37" s="1"/>
  <c r="E65" i="38" s="1"/>
  <c r="F54" i="29"/>
  <c r="F55" i="37" s="1"/>
  <c r="F65" i="38" s="1"/>
  <c r="C54" i="29"/>
  <c r="C55" i="37" s="1"/>
  <c r="C65" i="38" s="1"/>
  <c r="D53" i="29"/>
  <c r="D53" i="31" s="1"/>
  <c r="D62" i="34" s="1"/>
  <c r="E53" i="29"/>
  <c r="E54" i="37" s="1"/>
  <c r="E64" i="38" s="1"/>
  <c r="F53" i="29"/>
  <c r="F54" i="37" s="1"/>
  <c r="F64" i="38" s="1"/>
  <c r="G53" i="29"/>
  <c r="G54" i="37" s="1"/>
  <c r="G64" i="38" s="1"/>
  <c r="H53" i="29"/>
  <c r="H54" i="37" s="1"/>
  <c r="H64" i="38" s="1"/>
  <c r="I53" i="29"/>
  <c r="I54" i="37" s="1"/>
  <c r="I64" i="38" s="1"/>
  <c r="J53" i="29"/>
  <c r="J54" i="37" s="1"/>
  <c r="J64" i="38" s="1"/>
  <c r="K53" i="29"/>
  <c r="K54" i="37" s="1"/>
  <c r="K64" i="38" s="1"/>
  <c r="L53" i="29"/>
  <c r="L53" i="31" s="1"/>
  <c r="L62" i="34" s="1"/>
  <c r="M53" i="29"/>
  <c r="M54" i="37" s="1"/>
  <c r="M64" i="38" s="1"/>
  <c r="N53" i="29"/>
  <c r="N54" i="37" s="1"/>
  <c r="N64" i="38" s="1"/>
  <c r="O53" i="29"/>
  <c r="O54" i="37" s="1"/>
  <c r="O64" i="38" s="1"/>
  <c r="P53" i="29"/>
  <c r="P54" i="37" s="1"/>
  <c r="P64" i="38" s="1"/>
  <c r="Q53" i="29"/>
  <c r="Q54" i="37" s="1"/>
  <c r="Q64" i="38" s="1"/>
  <c r="R53" i="29"/>
  <c r="R54" i="37" s="1"/>
  <c r="R64" i="38" s="1"/>
  <c r="S53" i="29"/>
  <c r="S54" i="37" s="1"/>
  <c r="S64" i="38" s="1"/>
  <c r="T53" i="29"/>
  <c r="T54" i="37" s="1"/>
  <c r="T64" i="38" s="1"/>
  <c r="U53" i="29"/>
  <c r="U54" i="37" s="1"/>
  <c r="U64" i="38" s="1"/>
  <c r="V53" i="29"/>
  <c r="V54" i="37" s="1"/>
  <c r="V64" i="38" s="1"/>
  <c r="W53" i="29"/>
  <c r="W54" i="37" s="1"/>
  <c r="W64" i="38" s="1"/>
  <c r="X53" i="29"/>
  <c r="X54" i="37" s="1"/>
  <c r="X64" i="38" s="1"/>
  <c r="Y53" i="29"/>
  <c r="Y54" i="37" s="1"/>
  <c r="Y64" i="38" s="1"/>
  <c r="Z53" i="29"/>
  <c r="Z54" i="37" s="1"/>
  <c r="Z64" i="38" s="1"/>
  <c r="AA53" i="29"/>
  <c r="AA54" i="37" s="1"/>
  <c r="AA64" i="38" s="1"/>
  <c r="AB53" i="29"/>
  <c r="AB54" i="37" s="1"/>
  <c r="AB64" i="38" s="1"/>
  <c r="AC53" i="29"/>
  <c r="AC54" i="37" s="1"/>
  <c r="AC64" i="38" s="1"/>
  <c r="AD53" i="29"/>
  <c r="AD54" i="37" s="1"/>
  <c r="AD64" i="38" s="1"/>
  <c r="AE53" i="29"/>
  <c r="AE54" i="37" s="1"/>
  <c r="AE64" i="38" s="1"/>
  <c r="AF53" i="29"/>
  <c r="AF54" i="37" s="1"/>
  <c r="AF64" i="38" s="1"/>
  <c r="AG53" i="29"/>
  <c r="AG54" i="37" s="1"/>
  <c r="AG64" i="38" s="1"/>
  <c r="AH53" i="29"/>
  <c r="AH54" i="37" s="1"/>
  <c r="AH64" i="38" s="1"/>
  <c r="AI53" i="29"/>
  <c r="AI54" i="37" s="1"/>
  <c r="AI64" i="38" s="1"/>
  <c r="AJ53" i="29"/>
  <c r="AJ54" i="37" s="1"/>
  <c r="AJ64" i="38" s="1"/>
  <c r="AK53" i="29"/>
  <c r="AK54" i="37" s="1"/>
  <c r="AK64" i="38" s="1"/>
  <c r="C53" i="29"/>
  <c r="C54" i="37" s="1"/>
  <c r="C64" i="38" s="1"/>
  <c r="D51" i="29"/>
  <c r="D52" i="37" s="1"/>
  <c r="D62" i="38" s="1"/>
  <c r="E51" i="29"/>
  <c r="E52" i="37" s="1"/>
  <c r="E62" i="38" s="1"/>
  <c r="F51" i="29"/>
  <c r="F52" i="37" s="1"/>
  <c r="F62" i="38" s="1"/>
  <c r="G51" i="29"/>
  <c r="G52" i="37" s="1"/>
  <c r="G62" i="38" s="1"/>
  <c r="H51" i="29"/>
  <c r="H52" i="37" s="1"/>
  <c r="H62" i="38" s="1"/>
  <c r="I51" i="29"/>
  <c r="I52" i="37" s="1"/>
  <c r="I62" i="38" s="1"/>
  <c r="J51" i="29"/>
  <c r="J52" i="37" s="1"/>
  <c r="J62" i="38" s="1"/>
  <c r="K51" i="29"/>
  <c r="K52" i="37" s="1"/>
  <c r="K62" i="38" s="1"/>
  <c r="L51" i="29"/>
  <c r="L52" i="37" s="1"/>
  <c r="L62" i="38" s="1"/>
  <c r="M51" i="29"/>
  <c r="M52" i="37" s="1"/>
  <c r="M62" i="38" s="1"/>
  <c r="N51" i="29"/>
  <c r="N52" i="37" s="1"/>
  <c r="N62" i="38" s="1"/>
  <c r="O51" i="29"/>
  <c r="O52" i="37" s="1"/>
  <c r="O62" i="38" s="1"/>
  <c r="P51" i="29"/>
  <c r="P52" i="37" s="1"/>
  <c r="P62" i="38" s="1"/>
  <c r="Q51" i="29"/>
  <c r="Q52" i="37" s="1"/>
  <c r="Q62" i="38" s="1"/>
  <c r="R51" i="29"/>
  <c r="R52" i="37" s="1"/>
  <c r="R62" i="38" s="1"/>
  <c r="S51" i="29"/>
  <c r="S52" i="37" s="1"/>
  <c r="S62" i="38" s="1"/>
  <c r="T51" i="29"/>
  <c r="T52" i="37" s="1"/>
  <c r="T62" i="38" s="1"/>
  <c r="U51" i="29"/>
  <c r="U52" i="37" s="1"/>
  <c r="U62" i="38" s="1"/>
  <c r="V51" i="29"/>
  <c r="V52" i="37" s="1"/>
  <c r="V62" i="38" s="1"/>
  <c r="W51" i="29"/>
  <c r="W52" i="37" s="1"/>
  <c r="W62" i="38" s="1"/>
  <c r="X51" i="29"/>
  <c r="X52" i="37" s="1"/>
  <c r="X62" i="38" s="1"/>
  <c r="Y51" i="29"/>
  <c r="Y52" i="37" s="1"/>
  <c r="Y62" i="38" s="1"/>
  <c r="Z51" i="29"/>
  <c r="Z52" i="37" s="1"/>
  <c r="Z62" i="38" s="1"/>
  <c r="AA51" i="29"/>
  <c r="AA52" i="37" s="1"/>
  <c r="AA62" i="38" s="1"/>
  <c r="AB51" i="29"/>
  <c r="AB52" i="37" s="1"/>
  <c r="AB62" i="38" s="1"/>
  <c r="AC51" i="29"/>
  <c r="AC52" i="37" s="1"/>
  <c r="AC62" i="38" s="1"/>
  <c r="AD51" i="29"/>
  <c r="AD52" i="37" s="1"/>
  <c r="AD62" i="38" s="1"/>
  <c r="AE51" i="29"/>
  <c r="AE52" i="37" s="1"/>
  <c r="AE62" i="38" s="1"/>
  <c r="AF51" i="29"/>
  <c r="AF52" i="37" s="1"/>
  <c r="AF62" i="38" s="1"/>
  <c r="AG51" i="29"/>
  <c r="AG52" i="37" s="1"/>
  <c r="AG62" i="38" s="1"/>
  <c r="AH51" i="29"/>
  <c r="AH52" i="37" s="1"/>
  <c r="AH62" i="38" s="1"/>
  <c r="AI51" i="29"/>
  <c r="AI52" i="37" s="1"/>
  <c r="AI62" i="38" s="1"/>
  <c r="AJ51" i="29"/>
  <c r="AJ52" i="37" s="1"/>
  <c r="AJ62" i="38" s="1"/>
  <c r="AK51" i="29"/>
  <c r="AK52" i="37" s="1"/>
  <c r="AK62" i="38" s="1"/>
  <c r="C51" i="29"/>
  <c r="C52" i="37" s="1"/>
  <c r="C62" i="38" s="1"/>
  <c r="D50" i="29"/>
  <c r="D51" i="37" s="1"/>
  <c r="D61" i="38" s="1"/>
  <c r="E50" i="29"/>
  <c r="E51" i="37" s="1"/>
  <c r="E61" i="38" s="1"/>
  <c r="F50" i="29"/>
  <c r="F51" i="37" s="1"/>
  <c r="F61" i="38" s="1"/>
  <c r="G50" i="29"/>
  <c r="G51" i="37" s="1"/>
  <c r="G61" i="38" s="1"/>
  <c r="H50" i="29"/>
  <c r="H51" i="37" s="1"/>
  <c r="H61" i="38" s="1"/>
  <c r="I50" i="29"/>
  <c r="I51" i="37" s="1"/>
  <c r="I61" i="38" s="1"/>
  <c r="J50" i="29"/>
  <c r="J51" i="37" s="1"/>
  <c r="J61" i="38" s="1"/>
  <c r="K50" i="29"/>
  <c r="K51" i="37" s="1"/>
  <c r="K61" i="38" s="1"/>
  <c r="L50" i="29"/>
  <c r="L51" i="37" s="1"/>
  <c r="L61" i="38" s="1"/>
  <c r="M50" i="29"/>
  <c r="M51" i="37" s="1"/>
  <c r="M61" i="38" s="1"/>
  <c r="N50" i="29"/>
  <c r="N51" i="37" s="1"/>
  <c r="N61" i="38" s="1"/>
  <c r="O50" i="29"/>
  <c r="O51" i="37" s="1"/>
  <c r="O61" i="38" s="1"/>
  <c r="P50" i="29"/>
  <c r="P51" i="37" s="1"/>
  <c r="Q50" i="29"/>
  <c r="Q51" i="37" s="1"/>
  <c r="Q61" i="38" s="1"/>
  <c r="R50" i="29"/>
  <c r="R51" i="37" s="1"/>
  <c r="R61" i="38" s="1"/>
  <c r="S50" i="29"/>
  <c r="S51" i="37" s="1"/>
  <c r="S61" i="38" s="1"/>
  <c r="T50" i="29"/>
  <c r="T51" i="37" s="1"/>
  <c r="T61" i="38" s="1"/>
  <c r="U50" i="29"/>
  <c r="U60" i="30" s="1"/>
  <c r="V50" i="29"/>
  <c r="V51" i="37" s="1"/>
  <c r="V61" i="38" s="1"/>
  <c r="W50" i="29"/>
  <c r="W51" i="37" s="1"/>
  <c r="W61" i="38" s="1"/>
  <c r="X50" i="29"/>
  <c r="X51" i="37" s="1"/>
  <c r="X61" i="38" s="1"/>
  <c r="Y50" i="29"/>
  <c r="Y51" i="37" s="1"/>
  <c r="Y61" i="38" s="1"/>
  <c r="Z50" i="29"/>
  <c r="Z51" i="37" s="1"/>
  <c r="Z61" i="38" s="1"/>
  <c r="AA50" i="29"/>
  <c r="AA51" i="37" s="1"/>
  <c r="AA61" i="38" s="1"/>
  <c r="AB50" i="29"/>
  <c r="AB51" i="37" s="1"/>
  <c r="AB61" i="38" s="1"/>
  <c r="AC50" i="29"/>
  <c r="AC60" i="30" s="1"/>
  <c r="AD50" i="29"/>
  <c r="AD51" i="37" s="1"/>
  <c r="AD61" i="38" s="1"/>
  <c r="AE50" i="29"/>
  <c r="AE51" i="37" s="1"/>
  <c r="AE61" i="38" s="1"/>
  <c r="AF50" i="29"/>
  <c r="AF51" i="37" s="1"/>
  <c r="AF61" i="38" s="1"/>
  <c r="AG50" i="29"/>
  <c r="AG51" i="37" s="1"/>
  <c r="AG61" i="38" s="1"/>
  <c r="AH50" i="29"/>
  <c r="AH51" i="37" s="1"/>
  <c r="AH61" i="38" s="1"/>
  <c r="AI50" i="29"/>
  <c r="AI51" i="37" s="1"/>
  <c r="AI61" i="38" s="1"/>
  <c r="AJ50" i="29"/>
  <c r="AJ51" i="37" s="1"/>
  <c r="AJ61" i="38" s="1"/>
  <c r="AK50" i="29"/>
  <c r="AK60" i="30" s="1"/>
  <c r="C50" i="29"/>
  <c r="C51" i="37" s="1"/>
  <c r="C61" i="38" s="1"/>
  <c r="D48" i="29"/>
  <c r="D49" i="37" s="1"/>
  <c r="D59" i="38" s="1"/>
  <c r="E48" i="29"/>
  <c r="E49" i="37" s="1"/>
  <c r="E59" i="38" s="1"/>
  <c r="F48" i="29"/>
  <c r="F58" i="30" s="1"/>
  <c r="G48" i="29"/>
  <c r="H48" i="29"/>
  <c r="H49" i="37" s="1"/>
  <c r="H59" i="38" s="1"/>
  <c r="I48" i="29"/>
  <c r="I49" i="37" s="1"/>
  <c r="I59" i="38" s="1"/>
  <c r="J48" i="29"/>
  <c r="J49" i="37" s="1"/>
  <c r="J59" i="38" s="1"/>
  <c r="K48" i="29"/>
  <c r="K48" i="31" s="1"/>
  <c r="K57" i="34" s="1"/>
  <c r="L48" i="29"/>
  <c r="L49" i="37" s="1"/>
  <c r="L59" i="38" s="1"/>
  <c r="M48" i="29"/>
  <c r="M49" i="37" s="1"/>
  <c r="M59" i="38" s="1"/>
  <c r="N48" i="29"/>
  <c r="N49" i="37" s="1"/>
  <c r="N59" i="38" s="1"/>
  <c r="O48" i="29"/>
  <c r="O49" i="37" s="1"/>
  <c r="O59" i="38" s="1"/>
  <c r="P48" i="29"/>
  <c r="P49" i="37" s="1"/>
  <c r="P59" i="38" s="1"/>
  <c r="Q48" i="29"/>
  <c r="Q49" i="37" s="1"/>
  <c r="Q59" i="38" s="1"/>
  <c r="R48" i="29"/>
  <c r="R49" i="37" s="1"/>
  <c r="R59" i="38" s="1"/>
  <c r="S48" i="29"/>
  <c r="S48" i="31" s="1"/>
  <c r="S57" i="34" s="1"/>
  <c r="T48" i="29"/>
  <c r="T49" i="37" s="1"/>
  <c r="T59" i="38" s="1"/>
  <c r="U48" i="29"/>
  <c r="U49" i="37" s="1"/>
  <c r="U59" i="38" s="1"/>
  <c r="V48" i="29"/>
  <c r="V49" i="37" s="1"/>
  <c r="V59" i="38" s="1"/>
  <c r="W48" i="29"/>
  <c r="W49" i="37" s="1"/>
  <c r="W59" i="38" s="1"/>
  <c r="X48" i="29"/>
  <c r="X49" i="37" s="1"/>
  <c r="X59" i="38" s="1"/>
  <c r="Y48" i="29"/>
  <c r="Y49" i="37" s="1"/>
  <c r="Y59" i="38" s="1"/>
  <c r="Z48" i="29"/>
  <c r="Z49" i="37" s="1"/>
  <c r="Z59" i="38" s="1"/>
  <c r="AA48" i="29"/>
  <c r="AA48" i="31" s="1"/>
  <c r="AA57" i="34" s="1"/>
  <c r="AB48" i="29"/>
  <c r="AB49" i="37" s="1"/>
  <c r="AB59" i="38" s="1"/>
  <c r="AC48" i="29"/>
  <c r="AC49" i="37" s="1"/>
  <c r="AC59" i="38" s="1"/>
  <c r="AD48" i="29"/>
  <c r="AD49" i="37" s="1"/>
  <c r="AD59" i="38" s="1"/>
  <c r="AE48" i="29"/>
  <c r="AE49" i="37" s="1"/>
  <c r="AE59" i="38" s="1"/>
  <c r="AF48" i="29"/>
  <c r="AF49" i="37" s="1"/>
  <c r="AF59" i="38" s="1"/>
  <c r="AG48" i="29"/>
  <c r="AG49" i="37" s="1"/>
  <c r="AG59" i="38" s="1"/>
  <c r="AH48" i="29"/>
  <c r="AH49" i="37" s="1"/>
  <c r="AH59" i="38" s="1"/>
  <c r="AI48" i="29"/>
  <c r="AI48" i="31" s="1"/>
  <c r="AI57" i="34" s="1"/>
  <c r="AJ48" i="29"/>
  <c r="AJ49" i="37" s="1"/>
  <c r="AJ59" i="38" s="1"/>
  <c r="AK48" i="29"/>
  <c r="AK49" i="37" s="1"/>
  <c r="AK59" i="38" s="1"/>
  <c r="C48" i="29"/>
  <c r="C49" i="37" s="1"/>
  <c r="C59" i="38" s="1"/>
  <c r="D47" i="29"/>
  <c r="E47" i="29"/>
  <c r="F47" i="29"/>
  <c r="F57" i="30" s="1"/>
  <c r="G47" i="29"/>
  <c r="G48" i="37" s="1"/>
  <c r="G58" i="38" s="1"/>
  <c r="H47" i="29"/>
  <c r="H57" i="30" s="1"/>
  <c r="I47" i="29"/>
  <c r="I57" i="30" s="1"/>
  <c r="J47" i="29"/>
  <c r="K47" i="29"/>
  <c r="K48" i="37" s="1"/>
  <c r="K58" i="38" s="1"/>
  <c r="L47" i="29"/>
  <c r="M47" i="29"/>
  <c r="N47" i="29"/>
  <c r="N47" i="31" s="1"/>
  <c r="N56" i="34" s="1"/>
  <c r="O47" i="29"/>
  <c r="O48" i="37" s="1"/>
  <c r="O58" i="38" s="1"/>
  <c r="P47" i="29"/>
  <c r="P57" i="30" s="1"/>
  <c r="Q47" i="29"/>
  <c r="Q57" i="30" s="1"/>
  <c r="R47" i="29"/>
  <c r="S47" i="29"/>
  <c r="S48" i="37" s="1"/>
  <c r="S58" i="38" s="1"/>
  <c r="T47" i="29"/>
  <c r="U47" i="29"/>
  <c r="V47" i="29"/>
  <c r="V48" i="37" s="1"/>
  <c r="V58" i="38" s="1"/>
  <c r="W47" i="29"/>
  <c r="W48" i="37" s="1"/>
  <c r="W58" i="38" s="1"/>
  <c r="X47" i="29"/>
  <c r="Y47" i="29"/>
  <c r="Y57" i="30" s="1"/>
  <c r="Z47" i="29"/>
  <c r="AA47" i="29"/>
  <c r="AA48" i="37" s="1"/>
  <c r="AA58" i="38" s="1"/>
  <c r="AB47" i="29"/>
  <c r="AC47" i="29"/>
  <c r="AD47" i="29"/>
  <c r="AD48" i="37" s="1"/>
  <c r="AD58" i="38" s="1"/>
  <c r="AE47" i="29"/>
  <c r="AE48" i="37" s="1"/>
  <c r="AE58" i="38" s="1"/>
  <c r="AF47" i="29"/>
  <c r="AF48" i="37" s="1"/>
  <c r="AF58" i="38" s="1"/>
  <c r="AG47" i="29"/>
  <c r="AG57" i="30" s="1"/>
  <c r="AH47" i="29"/>
  <c r="AH57" i="30" s="1"/>
  <c r="AI47" i="29"/>
  <c r="AI48" i="37" s="1"/>
  <c r="AI58" i="38" s="1"/>
  <c r="AJ47" i="29"/>
  <c r="AK47" i="29"/>
  <c r="C47" i="29"/>
  <c r="C48" i="37" s="1"/>
  <c r="C58" i="38" s="1"/>
  <c r="AG60" i="30" l="1"/>
  <c r="AG48" i="31"/>
  <c r="AG57" i="34" s="1"/>
  <c r="AK61" i="30"/>
  <c r="AC61" i="30"/>
  <c r="U61" i="30"/>
  <c r="M61" i="30"/>
  <c r="E61" i="30"/>
  <c r="AF60" i="30"/>
  <c r="X60" i="30"/>
  <c r="P60" i="30"/>
  <c r="H60" i="30"/>
  <c r="AD58" i="30"/>
  <c r="V58" i="30"/>
  <c r="N58" i="30"/>
  <c r="D54" i="31"/>
  <c r="D63" i="34" s="1"/>
  <c r="AE53" i="31"/>
  <c r="AE62" i="34" s="1"/>
  <c r="W53" i="31"/>
  <c r="W62" i="34" s="1"/>
  <c r="O53" i="31"/>
  <c r="O62" i="34" s="1"/>
  <c r="G53" i="31"/>
  <c r="G62" i="34" s="1"/>
  <c r="AH51" i="31"/>
  <c r="AH60" i="34" s="1"/>
  <c r="Z51" i="31"/>
  <c r="Z60" i="34" s="1"/>
  <c r="R51" i="31"/>
  <c r="R60" i="34" s="1"/>
  <c r="J51" i="31"/>
  <c r="J60" i="34" s="1"/>
  <c r="AK50" i="31"/>
  <c r="AK59" i="34" s="1"/>
  <c r="AC50" i="31"/>
  <c r="AC59" i="34" s="1"/>
  <c r="U50" i="31"/>
  <c r="U59" i="34" s="1"/>
  <c r="M50" i="31"/>
  <c r="M59" i="34" s="1"/>
  <c r="E50" i="31"/>
  <c r="E59" i="34" s="1"/>
  <c r="AF48" i="31"/>
  <c r="AF57" i="34" s="1"/>
  <c r="X48" i="31"/>
  <c r="X57" i="34" s="1"/>
  <c r="P48" i="31"/>
  <c r="P57" i="34" s="1"/>
  <c r="H48" i="31"/>
  <c r="H57" i="34" s="1"/>
  <c r="AA47" i="31"/>
  <c r="AA56" i="34" s="1"/>
  <c r="F47" i="31"/>
  <c r="F56" i="34" s="1"/>
  <c r="D54" i="37"/>
  <c r="D64" i="38" s="1"/>
  <c r="AK51" i="37"/>
  <c r="AK61" i="38" s="1"/>
  <c r="AI49" i="37"/>
  <c r="AI59" i="38" s="1"/>
  <c r="F48" i="37"/>
  <c r="F58" i="38" s="1"/>
  <c r="X48" i="37"/>
  <c r="X58" i="38" s="1"/>
  <c r="X47" i="31"/>
  <c r="X56" i="34" s="1"/>
  <c r="C64" i="30"/>
  <c r="AD63" i="30"/>
  <c r="V63" i="30"/>
  <c r="N63" i="30"/>
  <c r="F63" i="30"/>
  <c r="AJ61" i="30"/>
  <c r="AB61" i="30"/>
  <c r="T61" i="30"/>
  <c r="L61" i="30"/>
  <c r="D61" i="30"/>
  <c r="AE60" i="30"/>
  <c r="W60" i="30"/>
  <c r="O60" i="30"/>
  <c r="G60" i="30"/>
  <c r="AK58" i="30"/>
  <c r="AC58" i="30"/>
  <c r="U58" i="30"/>
  <c r="M58" i="30"/>
  <c r="E58" i="30"/>
  <c r="AF57" i="30"/>
  <c r="X57" i="30"/>
  <c r="C54" i="31"/>
  <c r="C63" i="34" s="1"/>
  <c r="AD53" i="31"/>
  <c r="AD62" i="34" s="1"/>
  <c r="V53" i="31"/>
  <c r="V62" i="34" s="1"/>
  <c r="N53" i="31"/>
  <c r="N62" i="34" s="1"/>
  <c r="F53" i="31"/>
  <c r="F62" i="34" s="1"/>
  <c r="AG51" i="31"/>
  <c r="AG60" i="34" s="1"/>
  <c r="Y51" i="31"/>
  <c r="Y60" i="34" s="1"/>
  <c r="Q51" i="31"/>
  <c r="Q60" i="34" s="1"/>
  <c r="I51" i="31"/>
  <c r="I60" i="34" s="1"/>
  <c r="AJ50" i="31"/>
  <c r="AJ59" i="34" s="1"/>
  <c r="AB50" i="31"/>
  <c r="AB59" i="34" s="1"/>
  <c r="T50" i="31"/>
  <c r="T59" i="34" s="1"/>
  <c r="L50" i="31"/>
  <c r="L59" i="34" s="1"/>
  <c r="D50" i="31"/>
  <c r="D59" i="34" s="1"/>
  <c r="AE48" i="31"/>
  <c r="AE57" i="34" s="1"/>
  <c r="W48" i="31"/>
  <c r="W57" i="34" s="1"/>
  <c r="O48" i="31"/>
  <c r="O57" i="34" s="1"/>
  <c r="E48" i="31"/>
  <c r="E57" i="34" s="1"/>
  <c r="W47" i="31"/>
  <c r="W56" i="34" s="1"/>
  <c r="C47" i="31"/>
  <c r="C56" i="34" s="1"/>
  <c r="AC51" i="37"/>
  <c r="AC61" i="38" s="1"/>
  <c r="AA49" i="37"/>
  <c r="AA59" i="38" s="1"/>
  <c r="AK63" i="30"/>
  <c r="AC63" i="30"/>
  <c r="U63" i="30"/>
  <c r="M63" i="30"/>
  <c r="E63" i="30"/>
  <c r="AI61" i="30"/>
  <c r="AA61" i="30"/>
  <c r="S61" i="30"/>
  <c r="K61" i="30"/>
  <c r="C61" i="30"/>
  <c r="AD60" i="30"/>
  <c r="V60" i="30"/>
  <c r="N60" i="30"/>
  <c r="F60" i="30"/>
  <c r="AJ58" i="30"/>
  <c r="AB58" i="30"/>
  <c r="T58" i="30"/>
  <c r="L58" i="30"/>
  <c r="D58" i="30"/>
  <c r="AE57" i="30"/>
  <c r="W57" i="30"/>
  <c r="O57" i="30"/>
  <c r="G57" i="30"/>
  <c r="AK53" i="31"/>
  <c r="AK62" i="34" s="1"/>
  <c r="AC53" i="31"/>
  <c r="AC62" i="34" s="1"/>
  <c r="U53" i="31"/>
  <c r="U62" i="34" s="1"/>
  <c r="M53" i="31"/>
  <c r="M62" i="34" s="1"/>
  <c r="E53" i="31"/>
  <c r="E62" i="34" s="1"/>
  <c r="AF51" i="31"/>
  <c r="AF60" i="34" s="1"/>
  <c r="X51" i="31"/>
  <c r="X60" i="34" s="1"/>
  <c r="P51" i="31"/>
  <c r="P60" i="34" s="1"/>
  <c r="H51" i="31"/>
  <c r="H60" i="34" s="1"/>
  <c r="AI50" i="31"/>
  <c r="AI59" i="34" s="1"/>
  <c r="AA50" i="31"/>
  <c r="AA59" i="34" s="1"/>
  <c r="S50" i="31"/>
  <c r="S59" i="34" s="1"/>
  <c r="K50" i="31"/>
  <c r="K59" i="34" s="1"/>
  <c r="C50" i="31"/>
  <c r="C59" i="34" s="1"/>
  <c r="AD48" i="31"/>
  <c r="AD57" i="34" s="1"/>
  <c r="V48" i="31"/>
  <c r="V57" i="34" s="1"/>
  <c r="N48" i="31"/>
  <c r="N57" i="34" s="1"/>
  <c r="D48" i="31"/>
  <c r="D57" i="34" s="1"/>
  <c r="V47" i="31"/>
  <c r="V56" i="34" s="1"/>
  <c r="U51" i="37"/>
  <c r="U61" i="38" s="1"/>
  <c r="S49" i="37"/>
  <c r="S59" i="38" s="1"/>
  <c r="Y48" i="37"/>
  <c r="Y58" i="38" s="1"/>
  <c r="Y47" i="31"/>
  <c r="Y56" i="34" s="1"/>
  <c r="I48" i="37"/>
  <c r="I58" i="38" s="1"/>
  <c r="I47" i="31"/>
  <c r="I56" i="34" s="1"/>
  <c r="AC48" i="37"/>
  <c r="AC58" i="38" s="1"/>
  <c r="AC47" i="31"/>
  <c r="AC56" i="34" s="1"/>
  <c r="E48" i="37"/>
  <c r="E58" i="38" s="1"/>
  <c r="E47" i="31"/>
  <c r="E56" i="34" s="1"/>
  <c r="AJ63" i="30"/>
  <c r="AB63" i="30"/>
  <c r="T63" i="30"/>
  <c r="L63" i="30"/>
  <c r="D63" i="30"/>
  <c r="AH61" i="30"/>
  <c r="Z61" i="30"/>
  <c r="R61" i="30"/>
  <c r="J61" i="30"/>
  <c r="M60" i="30"/>
  <c r="E60" i="30"/>
  <c r="AI58" i="30"/>
  <c r="AA58" i="30"/>
  <c r="S58" i="30"/>
  <c r="K58" i="30"/>
  <c r="C58" i="30"/>
  <c r="AD57" i="30"/>
  <c r="V57" i="30"/>
  <c r="N57" i="30"/>
  <c r="AJ53" i="31"/>
  <c r="AJ62" i="34" s="1"/>
  <c r="AB53" i="31"/>
  <c r="AB62" i="34" s="1"/>
  <c r="T53" i="31"/>
  <c r="T62" i="34" s="1"/>
  <c r="AE51" i="31"/>
  <c r="AE60" i="34" s="1"/>
  <c r="W51" i="31"/>
  <c r="W60" i="34" s="1"/>
  <c r="O51" i="31"/>
  <c r="O60" i="34" s="1"/>
  <c r="G51" i="31"/>
  <c r="G60" i="34" s="1"/>
  <c r="AH50" i="31"/>
  <c r="AH59" i="34" s="1"/>
  <c r="Z50" i="31"/>
  <c r="Z59" i="34" s="1"/>
  <c r="R50" i="31"/>
  <c r="R59" i="34" s="1"/>
  <c r="J50" i="31"/>
  <c r="J59" i="34" s="1"/>
  <c r="AK48" i="31"/>
  <c r="AK57" i="34" s="1"/>
  <c r="AC48" i="31"/>
  <c r="AC57" i="34" s="1"/>
  <c r="U48" i="31"/>
  <c r="U57" i="34" s="1"/>
  <c r="M48" i="31"/>
  <c r="M57" i="34" s="1"/>
  <c r="C48" i="31"/>
  <c r="C57" i="34" s="1"/>
  <c r="S47" i="31"/>
  <c r="S56" i="34" s="1"/>
  <c r="K49" i="37"/>
  <c r="K59" i="38" s="1"/>
  <c r="P48" i="37"/>
  <c r="P58" i="38" s="1"/>
  <c r="P47" i="31"/>
  <c r="P56" i="34" s="1"/>
  <c r="AK48" i="37"/>
  <c r="AK58" i="38" s="1"/>
  <c r="AK47" i="31"/>
  <c r="AK56" i="34" s="1"/>
  <c r="U48" i="37"/>
  <c r="U58" i="38" s="1"/>
  <c r="U47" i="31"/>
  <c r="U56" i="34" s="1"/>
  <c r="M48" i="37"/>
  <c r="M58" i="38" s="1"/>
  <c r="M47" i="31"/>
  <c r="M56" i="34" s="1"/>
  <c r="AJ48" i="37"/>
  <c r="AJ58" i="38" s="1"/>
  <c r="AJ47" i="31"/>
  <c r="AJ56" i="34" s="1"/>
  <c r="AB48" i="37"/>
  <c r="AB58" i="38" s="1"/>
  <c r="AB47" i="31"/>
  <c r="AB56" i="34" s="1"/>
  <c r="T48" i="37"/>
  <c r="T58" i="38" s="1"/>
  <c r="T47" i="31"/>
  <c r="T56" i="34" s="1"/>
  <c r="L48" i="37"/>
  <c r="L58" i="38" s="1"/>
  <c r="L47" i="31"/>
  <c r="L56" i="34" s="1"/>
  <c r="D48" i="37"/>
  <c r="D58" i="38" s="1"/>
  <c r="D47" i="31"/>
  <c r="D56" i="34" s="1"/>
  <c r="G49" i="37"/>
  <c r="G59" i="38" s="1"/>
  <c r="G48" i="31"/>
  <c r="G57" i="34" s="1"/>
  <c r="AI63" i="30"/>
  <c r="AA63" i="30"/>
  <c r="S63" i="30"/>
  <c r="K63" i="30"/>
  <c r="C63" i="30"/>
  <c r="AG61" i="30"/>
  <c r="Y61" i="30"/>
  <c r="Q61" i="30"/>
  <c r="I61" i="30"/>
  <c r="AJ60" i="30"/>
  <c r="AB60" i="30"/>
  <c r="T60" i="30"/>
  <c r="L60" i="30"/>
  <c r="D60" i="30"/>
  <c r="AH58" i="30"/>
  <c r="Z58" i="30"/>
  <c r="R58" i="30"/>
  <c r="J58" i="30"/>
  <c r="AK57" i="30"/>
  <c r="AC57" i="30"/>
  <c r="U57" i="30"/>
  <c r="M57" i="30"/>
  <c r="E57" i="30"/>
  <c r="AI53" i="31"/>
  <c r="AI62" i="34" s="1"/>
  <c r="AA53" i="31"/>
  <c r="AA62" i="34" s="1"/>
  <c r="S53" i="31"/>
  <c r="S62" i="34" s="1"/>
  <c r="K53" i="31"/>
  <c r="K62" i="34" s="1"/>
  <c r="C53" i="31"/>
  <c r="C62" i="34" s="1"/>
  <c r="AD51" i="31"/>
  <c r="AD60" i="34" s="1"/>
  <c r="V51" i="31"/>
  <c r="V60" i="34" s="1"/>
  <c r="N51" i="31"/>
  <c r="N60" i="34" s="1"/>
  <c r="F51" i="31"/>
  <c r="F60" i="34" s="1"/>
  <c r="AG50" i="31"/>
  <c r="AG59" i="34" s="1"/>
  <c r="Y50" i="31"/>
  <c r="Y59" i="34" s="1"/>
  <c r="Q50" i="31"/>
  <c r="Q59" i="34" s="1"/>
  <c r="I50" i="31"/>
  <c r="I59" i="34" s="1"/>
  <c r="AJ48" i="31"/>
  <c r="AJ57" i="34" s="1"/>
  <c r="AB48" i="31"/>
  <c r="AB57" i="34" s="1"/>
  <c r="T48" i="31"/>
  <c r="T57" i="34" s="1"/>
  <c r="L48" i="31"/>
  <c r="L57" i="34" s="1"/>
  <c r="AI47" i="31"/>
  <c r="AI56" i="34" s="1"/>
  <c r="O47" i="31"/>
  <c r="O56" i="34" s="1"/>
  <c r="AG48" i="37"/>
  <c r="AG58" i="38" s="1"/>
  <c r="AG47" i="31"/>
  <c r="AG56" i="34" s="1"/>
  <c r="Q48" i="37"/>
  <c r="Q58" i="38" s="1"/>
  <c r="Q47" i="31"/>
  <c r="Q56" i="34" s="1"/>
  <c r="F49" i="37"/>
  <c r="F59" i="38" s="1"/>
  <c r="F48" i="31"/>
  <c r="F57" i="34" s="1"/>
  <c r="AH63" i="30"/>
  <c r="Z63" i="30"/>
  <c r="R63" i="30"/>
  <c r="J63" i="30"/>
  <c r="AF61" i="30"/>
  <c r="X61" i="30"/>
  <c r="P61" i="30"/>
  <c r="H61" i="30"/>
  <c r="AI60" i="30"/>
  <c r="AA60" i="30"/>
  <c r="S60" i="30"/>
  <c r="K60" i="30"/>
  <c r="C60" i="30"/>
  <c r="AG58" i="30"/>
  <c r="Y58" i="30"/>
  <c r="Q58" i="30"/>
  <c r="I58" i="30"/>
  <c r="AJ57" i="30"/>
  <c r="AB57" i="30"/>
  <c r="T57" i="30"/>
  <c r="L57" i="30"/>
  <c r="D57" i="30"/>
  <c r="AH53" i="31"/>
  <c r="AH62" i="34" s="1"/>
  <c r="Z53" i="31"/>
  <c r="Z62" i="34" s="1"/>
  <c r="R53" i="31"/>
  <c r="R62" i="34" s="1"/>
  <c r="J53" i="31"/>
  <c r="J62" i="34" s="1"/>
  <c r="AK51" i="31"/>
  <c r="AK60" i="34" s="1"/>
  <c r="AC51" i="31"/>
  <c r="AC60" i="34" s="1"/>
  <c r="U51" i="31"/>
  <c r="U60" i="34" s="1"/>
  <c r="M51" i="31"/>
  <c r="M60" i="34" s="1"/>
  <c r="E51" i="31"/>
  <c r="E60" i="34" s="1"/>
  <c r="AF50" i="31"/>
  <c r="AF59" i="34" s="1"/>
  <c r="X50" i="31"/>
  <c r="X59" i="34" s="1"/>
  <c r="P50" i="31"/>
  <c r="P59" i="34" s="1"/>
  <c r="H50" i="31"/>
  <c r="H59" i="34" s="1"/>
  <c r="AF47" i="31"/>
  <c r="AF56" i="34" s="1"/>
  <c r="H48" i="37"/>
  <c r="H58" i="38" s="1"/>
  <c r="H47" i="31"/>
  <c r="H56" i="34" s="1"/>
  <c r="AH48" i="37"/>
  <c r="AH58" i="38" s="1"/>
  <c r="AH47" i="31"/>
  <c r="AH56" i="34" s="1"/>
  <c r="Z48" i="37"/>
  <c r="Z58" i="38" s="1"/>
  <c r="Z47" i="31"/>
  <c r="Z56" i="34" s="1"/>
  <c r="R48" i="37"/>
  <c r="R58" i="38" s="1"/>
  <c r="R47" i="31"/>
  <c r="R56" i="34" s="1"/>
  <c r="J48" i="37"/>
  <c r="J58" i="38" s="1"/>
  <c r="J47" i="31"/>
  <c r="J56" i="34" s="1"/>
  <c r="F64" i="30"/>
  <c r="AG63" i="30"/>
  <c r="Y63" i="30"/>
  <c r="Q63" i="30"/>
  <c r="I63" i="30"/>
  <c r="AE61" i="30"/>
  <c r="W61" i="30"/>
  <c r="O61" i="30"/>
  <c r="G61" i="30"/>
  <c r="AH60" i="30"/>
  <c r="Z60" i="30"/>
  <c r="R60" i="30"/>
  <c r="J60" i="30"/>
  <c r="AF58" i="30"/>
  <c r="X58" i="30"/>
  <c r="P58" i="30"/>
  <c r="H58" i="30"/>
  <c r="AI57" i="30"/>
  <c r="AA57" i="30"/>
  <c r="S57" i="30"/>
  <c r="K57" i="30"/>
  <c r="C57" i="30"/>
  <c r="F54" i="31"/>
  <c r="F63" i="34" s="1"/>
  <c r="AG53" i="31"/>
  <c r="AG62" i="34" s="1"/>
  <c r="Y53" i="31"/>
  <c r="Y62" i="34" s="1"/>
  <c r="Q53" i="31"/>
  <c r="Q62" i="34" s="1"/>
  <c r="I53" i="31"/>
  <c r="I62" i="34" s="1"/>
  <c r="AJ51" i="31"/>
  <c r="AJ60" i="34" s="1"/>
  <c r="AB51" i="31"/>
  <c r="AB60" i="34" s="1"/>
  <c r="T51" i="31"/>
  <c r="T60" i="34" s="1"/>
  <c r="L51" i="31"/>
  <c r="L60" i="34" s="1"/>
  <c r="D51" i="31"/>
  <c r="D60" i="34" s="1"/>
  <c r="AE50" i="31"/>
  <c r="AE59" i="34" s="1"/>
  <c r="W50" i="31"/>
  <c r="W59" i="34" s="1"/>
  <c r="O50" i="31"/>
  <c r="O59" i="34" s="1"/>
  <c r="G50" i="31"/>
  <c r="G59" i="34" s="1"/>
  <c r="AH48" i="31"/>
  <c r="AH57" i="34" s="1"/>
  <c r="Z48" i="31"/>
  <c r="Z57" i="34" s="1"/>
  <c r="R48" i="31"/>
  <c r="R57" i="34" s="1"/>
  <c r="J48" i="31"/>
  <c r="J57" i="34" s="1"/>
  <c r="AE47" i="31"/>
  <c r="AE56" i="34" s="1"/>
  <c r="K47" i="31"/>
  <c r="K56" i="34" s="1"/>
  <c r="E15" i="17"/>
  <c r="D43" i="38" l="1"/>
  <c r="E43" i="38"/>
  <c r="F43" i="38"/>
  <c r="G43" i="38"/>
  <c r="G8" i="38"/>
  <c r="F8" i="38"/>
  <c r="E8" i="38"/>
  <c r="D8" i="38"/>
  <c r="C8" i="38"/>
  <c r="D8" i="37" l="1"/>
  <c r="E8" i="37"/>
  <c r="F8" i="37"/>
  <c r="G8" i="37"/>
  <c r="C8" i="37"/>
  <c r="E41" i="36"/>
  <c r="E47" i="36"/>
  <c r="E8" i="36"/>
  <c r="E7" i="36" s="1"/>
  <c r="E6" i="36"/>
  <c r="E9" i="36" s="1"/>
  <c r="E4" i="36"/>
  <c r="E37" i="35"/>
  <c r="E8" i="35"/>
  <c r="C11" i="37" s="1"/>
  <c r="E6" i="35"/>
  <c r="E9" i="35" s="1"/>
  <c r="E4" i="35"/>
  <c r="G7" i="37" s="1"/>
  <c r="E7" i="35" l="1"/>
  <c r="E11" i="38"/>
  <c r="D11" i="38"/>
  <c r="G11" i="38"/>
  <c r="C11" i="38"/>
  <c r="F11" i="38"/>
  <c r="G11" i="37"/>
  <c r="F11" i="37"/>
  <c r="G7" i="38"/>
  <c r="G6" i="38" s="1"/>
  <c r="F7" i="38"/>
  <c r="F6" i="38" s="1"/>
  <c r="E7" i="38"/>
  <c r="E6" i="38" s="1"/>
  <c r="D7" i="38"/>
  <c r="D6" i="38" s="1"/>
  <c r="C7" i="38"/>
  <c r="C6" i="38" s="1"/>
  <c r="F7" i="37"/>
  <c r="F6" i="37" s="1"/>
  <c r="E11" i="37"/>
  <c r="E7" i="37"/>
  <c r="E6" i="37" s="1"/>
  <c r="D11" i="37"/>
  <c r="G6" i="37"/>
  <c r="C7" i="37"/>
  <c r="C6" i="37" s="1"/>
  <c r="D7" i="37"/>
  <c r="D6" i="37" s="1"/>
  <c r="E10" i="36"/>
  <c r="E11" i="36"/>
  <c r="E11" i="35"/>
  <c r="E10" i="35"/>
  <c r="G13" i="38" l="1"/>
  <c r="F13" i="38"/>
  <c r="E13" i="38"/>
  <c r="D13" i="38"/>
  <c r="C13" i="38"/>
  <c r="G13" i="37"/>
  <c r="C13" i="37"/>
  <c r="F13" i="37"/>
  <c r="D13" i="37"/>
  <c r="E13" i="37"/>
  <c r="D10" i="38"/>
  <c r="D9" i="38" s="1"/>
  <c r="C10" i="38"/>
  <c r="C9" i="38" s="1"/>
  <c r="G10" i="38"/>
  <c r="G9" i="38" s="1"/>
  <c r="F10" i="38"/>
  <c r="F9" i="38" s="1"/>
  <c r="E10" i="38"/>
  <c r="E9" i="38" s="1"/>
  <c r="E10" i="37"/>
  <c r="E9" i="37" s="1"/>
  <c r="F10" i="37"/>
  <c r="F9" i="37" s="1"/>
  <c r="D10" i="37"/>
  <c r="D9" i="37" s="1"/>
  <c r="G10" i="37"/>
  <c r="G9" i="37" s="1"/>
  <c r="C10" i="37"/>
  <c r="C9" i="37" s="1"/>
  <c r="D8" i="34"/>
  <c r="E8" i="34"/>
  <c r="F8" i="34"/>
  <c r="G8" i="34"/>
  <c r="C8" i="34"/>
  <c r="D8" i="31"/>
  <c r="E8" i="31"/>
  <c r="F8" i="31"/>
  <c r="G8" i="31"/>
  <c r="C8" i="31"/>
  <c r="D41" i="30"/>
  <c r="E41" i="30"/>
  <c r="F41" i="30"/>
  <c r="G41" i="30"/>
  <c r="E43" i="23"/>
  <c r="C132" i="3"/>
  <c r="C136" i="3"/>
  <c r="C95" i="3"/>
  <c r="C130" i="3"/>
  <c r="C131" i="3" s="1"/>
  <c r="C127" i="3" l="1"/>
  <c r="D8" i="30" l="1"/>
  <c r="E8" i="30"/>
  <c r="F8" i="30"/>
  <c r="G8" i="30"/>
  <c r="C8" i="30"/>
  <c r="D62" i="12" l="1"/>
  <c r="E62" i="12"/>
  <c r="F62" i="12"/>
  <c r="G62" i="12"/>
  <c r="H62" i="12"/>
  <c r="I62" i="12"/>
  <c r="J62" i="12"/>
  <c r="K62" i="12"/>
  <c r="L62" i="12"/>
  <c r="M62" i="12"/>
  <c r="N62" i="12"/>
  <c r="O62" i="12"/>
  <c r="P62" i="12"/>
  <c r="Q62" i="12"/>
  <c r="R62" i="12"/>
  <c r="S62" i="12"/>
  <c r="T62" i="12"/>
  <c r="U62" i="12"/>
  <c r="V62" i="12"/>
  <c r="W62" i="12"/>
  <c r="X62" i="12"/>
  <c r="Y62" i="12"/>
  <c r="Z62" i="12"/>
  <c r="AA62" i="12"/>
  <c r="AB62" i="12"/>
  <c r="AC62" i="12"/>
  <c r="AD62" i="12"/>
  <c r="AE62" i="12"/>
  <c r="AF62" i="12"/>
  <c r="AG62" i="12"/>
  <c r="AH62" i="12"/>
  <c r="AI62" i="12"/>
  <c r="AJ62" i="12"/>
  <c r="AK62" i="12"/>
  <c r="C62" i="12"/>
  <c r="D8" i="29" l="1"/>
  <c r="E8" i="29"/>
  <c r="F8" i="29"/>
  <c r="G8" i="29"/>
  <c r="C8" i="29"/>
  <c r="D32" i="12" l="1"/>
  <c r="E32" i="12"/>
  <c r="F32" i="12"/>
  <c r="G32" i="12"/>
  <c r="C32" i="12"/>
  <c r="E28" i="19"/>
  <c r="E25" i="19"/>
  <c r="E23" i="19"/>
  <c r="E21" i="19"/>
  <c r="D46" i="12" s="1"/>
  <c r="E20" i="19"/>
  <c r="G45" i="12" s="1"/>
  <c r="E19" i="19"/>
  <c r="D44" i="12" s="1"/>
  <c r="E14" i="19"/>
  <c r="E40" i="12" s="1"/>
  <c r="C48" i="12" l="1"/>
  <c r="C31" i="41" s="1"/>
  <c r="D78" i="12"/>
  <c r="L78" i="12"/>
  <c r="T78" i="12"/>
  <c r="AB78" i="12"/>
  <c r="AJ78" i="12"/>
  <c r="F78" i="12"/>
  <c r="N78" i="12"/>
  <c r="V78" i="12"/>
  <c r="AD78" i="12"/>
  <c r="C78" i="12"/>
  <c r="J78" i="12"/>
  <c r="U78" i="12"/>
  <c r="AF78" i="12"/>
  <c r="K78" i="12"/>
  <c r="W78" i="12"/>
  <c r="X78" i="12"/>
  <c r="M78" i="12"/>
  <c r="I78" i="12"/>
  <c r="AA78" i="12"/>
  <c r="O78" i="12"/>
  <c r="AC78" i="12"/>
  <c r="Q78" i="12"/>
  <c r="G78" i="12"/>
  <c r="H78" i="12"/>
  <c r="E78" i="12"/>
  <c r="P78" i="12"/>
  <c r="AE78" i="12"/>
  <c r="AI78" i="12"/>
  <c r="R78" i="12"/>
  <c r="AK78" i="12"/>
  <c r="S78" i="12"/>
  <c r="Y78" i="12"/>
  <c r="Z78" i="12"/>
  <c r="G50" i="12"/>
  <c r="G80" i="12"/>
  <c r="O80" i="12"/>
  <c r="W80" i="12"/>
  <c r="AE80" i="12"/>
  <c r="I80" i="12"/>
  <c r="Q80" i="12"/>
  <c r="Y80" i="12"/>
  <c r="AG80" i="12"/>
  <c r="M80" i="12"/>
  <c r="X80" i="12"/>
  <c r="AI80" i="12"/>
  <c r="D80" i="12"/>
  <c r="N80" i="12"/>
  <c r="Z80" i="12"/>
  <c r="AJ80" i="12"/>
  <c r="E80" i="12"/>
  <c r="AK80" i="12"/>
  <c r="AA80" i="12"/>
  <c r="P80" i="12"/>
  <c r="K80" i="12"/>
  <c r="AC80" i="12"/>
  <c r="L80" i="12"/>
  <c r="AD80" i="12"/>
  <c r="S80" i="12"/>
  <c r="C80" i="12"/>
  <c r="R80" i="12"/>
  <c r="AF80" i="12"/>
  <c r="AH80" i="12"/>
  <c r="U80" i="12"/>
  <c r="V80" i="12"/>
  <c r="J80" i="12"/>
  <c r="T80" i="12"/>
  <c r="F80" i="12"/>
  <c r="AB80" i="12"/>
  <c r="H80" i="12"/>
  <c r="D53" i="12"/>
  <c r="H83" i="12"/>
  <c r="P83" i="12"/>
  <c r="X83" i="12"/>
  <c r="AF83" i="12"/>
  <c r="J83" i="12"/>
  <c r="R83" i="12"/>
  <c r="Z83" i="12"/>
  <c r="AH83" i="12"/>
  <c r="C20" i="41" s="1"/>
  <c r="L83" i="12"/>
  <c r="V83" i="12"/>
  <c r="AG83" i="12"/>
  <c r="C7" i="41" s="1"/>
  <c r="M83" i="12"/>
  <c r="W83" i="12"/>
  <c r="AI83" i="12"/>
  <c r="D83" i="12"/>
  <c r="N83" i="12"/>
  <c r="Y83" i="12"/>
  <c r="AJ83" i="12"/>
  <c r="O83" i="12"/>
  <c r="AD83" i="12"/>
  <c r="Q83" i="12"/>
  <c r="AE83" i="12"/>
  <c r="E83" i="12"/>
  <c r="C83" i="12"/>
  <c r="G83" i="12"/>
  <c r="AB83" i="12"/>
  <c r="K83" i="12"/>
  <c r="S83" i="12"/>
  <c r="AK83" i="12"/>
  <c r="T83" i="12"/>
  <c r="U83" i="12"/>
  <c r="AA83" i="12"/>
  <c r="I83" i="12"/>
  <c r="F83" i="12"/>
  <c r="AC83" i="12"/>
  <c r="G48" i="12"/>
  <c r="E45" i="12"/>
  <c r="G40" i="12"/>
  <c r="F40" i="12"/>
  <c r="C44" i="12"/>
  <c r="F50" i="12"/>
  <c r="C40" i="12"/>
  <c r="G44" i="12"/>
  <c r="D45" i="12"/>
  <c r="F48" i="12"/>
  <c r="E50" i="12"/>
  <c r="F44" i="12"/>
  <c r="C46" i="12"/>
  <c r="E48" i="12"/>
  <c r="D50" i="12"/>
  <c r="E44" i="12"/>
  <c r="G46" i="12"/>
  <c r="D48" i="12"/>
  <c r="C53" i="12"/>
  <c r="C33" i="41" s="1"/>
  <c r="F46" i="12"/>
  <c r="G53" i="12"/>
  <c r="E70" i="12"/>
  <c r="M70" i="12"/>
  <c r="U70" i="12"/>
  <c r="AC70" i="12"/>
  <c r="AK70" i="12"/>
  <c r="F70" i="12"/>
  <c r="N70" i="12"/>
  <c r="V70" i="12"/>
  <c r="AD70" i="12"/>
  <c r="C70" i="12"/>
  <c r="D70" i="12"/>
  <c r="G70" i="12"/>
  <c r="O70" i="12"/>
  <c r="W70" i="12"/>
  <c r="AE70" i="12"/>
  <c r="T70" i="12"/>
  <c r="H70" i="12"/>
  <c r="P70" i="12"/>
  <c r="X70" i="12"/>
  <c r="AF70" i="12"/>
  <c r="L70" i="12"/>
  <c r="I70" i="12"/>
  <c r="Q70" i="12"/>
  <c r="Y70" i="12"/>
  <c r="J70" i="12"/>
  <c r="R70" i="12"/>
  <c r="Z70" i="12"/>
  <c r="AB70" i="12"/>
  <c r="K70" i="12"/>
  <c r="S70" i="12"/>
  <c r="AA70" i="12"/>
  <c r="AI70" i="12"/>
  <c r="AJ70" i="12"/>
  <c r="D40" i="12"/>
  <c r="C45" i="12"/>
  <c r="E46" i="12"/>
  <c r="F53" i="12"/>
  <c r="F74" i="12"/>
  <c r="N74" i="12"/>
  <c r="V74" i="12"/>
  <c r="AD74" i="12"/>
  <c r="C74" i="12"/>
  <c r="G74" i="12"/>
  <c r="O74" i="12"/>
  <c r="W74" i="12"/>
  <c r="AE74" i="12"/>
  <c r="M74" i="12"/>
  <c r="AC74" i="12"/>
  <c r="H74" i="12"/>
  <c r="P74" i="12"/>
  <c r="X74" i="12"/>
  <c r="AF74" i="12"/>
  <c r="I74" i="12"/>
  <c r="Q74" i="12"/>
  <c r="Y74" i="12"/>
  <c r="J74" i="12"/>
  <c r="R74" i="12"/>
  <c r="Z74" i="12"/>
  <c r="K74" i="12"/>
  <c r="S74" i="12"/>
  <c r="AA74" i="12"/>
  <c r="AI74" i="12"/>
  <c r="E74" i="12"/>
  <c r="U74" i="12"/>
  <c r="AK74" i="12"/>
  <c r="D74" i="12"/>
  <c r="L74" i="12"/>
  <c r="T74" i="12"/>
  <c r="AB74" i="12"/>
  <c r="AJ74" i="12"/>
  <c r="C50" i="12"/>
  <c r="E53" i="12"/>
  <c r="D76" i="12"/>
  <c r="L76" i="12"/>
  <c r="T76" i="12"/>
  <c r="AB76" i="12"/>
  <c r="AJ76" i="12"/>
  <c r="E76" i="12"/>
  <c r="M76" i="12"/>
  <c r="U76" i="12"/>
  <c r="AC76" i="12"/>
  <c r="AK76" i="12"/>
  <c r="F76" i="12"/>
  <c r="N76" i="12"/>
  <c r="V76" i="12"/>
  <c r="AD76" i="12"/>
  <c r="C76" i="12"/>
  <c r="AI76" i="12"/>
  <c r="G76" i="12"/>
  <c r="O76" i="12"/>
  <c r="W76" i="12"/>
  <c r="AE76" i="12"/>
  <c r="AA76" i="12"/>
  <c r="H76" i="12"/>
  <c r="P76" i="12"/>
  <c r="X76" i="12"/>
  <c r="AF76" i="12"/>
  <c r="I76" i="12"/>
  <c r="Q76" i="12"/>
  <c r="Y76" i="12"/>
  <c r="S76" i="12"/>
  <c r="J76" i="12"/>
  <c r="R76" i="12"/>
  <c r="Z76" i="12"/>
  <c r="K76" i="12"/>
  <c r="I75" i="12"/>
  <c r="Q75" i="12"/>
  <c r="Y75" i="12"/>
  <c r="X75" i="12"/>
  <c r="J75" i="12"/>
  <c r="R75" i="12"/>
  <c r="Z75" i="12"/>
  <c r="P75" i="12"/>
  <c r="AF75" i="12"/>
  <c r="K75" i="12"/>
  <c r="S75" i="12"/>
  <c r="AA75" i="12"/>
  <c r="AI75" i="12"/>
  <c r="D75" i="12"/>
  <c r="L75" i="12"/>
  <c r="T75" i="12"/>
  <c r="AB75" i="12"/>
  <c r="AJ75" i="12"/>
  <c r="E75" i="12"/>
  <c r="M75" i="12"/>
  <c r="U75" i="12"/>
  <c r="AC75" i="12"/>
  <c r="AK75" i="12"/>
  <c r="H75" i="12"/>
  <c r="F75" i="12"/>
  <c r="N75" i="12"/>
  <c r="V75" i="12"/>
  <c r="AD75" i="12"/>
  <c r="C75" i="12"/>
  <c r="G75" i="12"/>
  <c r="O75" i="12"/>
  <c r="W75" i="12"/>
  <c r="AE75" i="12"/>
  <c r="F45" i="12"/>
  <c r="E27" i="19" l="1"/>
  <c r="F82" i="12" l="1"/>
  <c r="N82" i="12"/>
  <c r="V82" i="12"/>
  <c r="AD82" i="12"/>
  <c r="D82" i="12"/>
  <c r="H82" i="12"/>
  <c r="P82" i="12"/>
  <c r="X82" i="12"/>
  <c r="AF82" i="12"/>
  <c r="J82" i="12"/>
  <c r="T82" i="12"/>
  <c r="AE82" i="12"/>
  <c r="K82" i="12"/>
  <c r="U82" i="12"/>
  <c r="W82" i="12"/>
  <c r="AG82" i="12"/>
  <c r="L82" i="12"/>
  <c r="AH82" i="12"/>
  <c r="O82" i="12"/>
  <c r="AC82" i="12"/>
  <c r="Q82" i="12"/>
  <c r="AI82" i="12"/>
  <c r="AK82" i="12"/>
  <c r="Y82" i="12"/>
  <c r="AA82" i="12"/>
  <c r="AB82" i="12"/>
  <c r="R82" i="12"/>
  <c r="AJ82" i="12"/>
  <c r="S82" i="12"/>
  <c r="C82" i="12"/>
  <c r="Z82" i="12"/>
  <c r="E82" i="12"/>
  <c r="G82" i="12"/>
  <c r="M82" i="12"/>
  <c r="I82" i="12"/>
  <c r="D52" i="12"/>
  <c r="E52" i="12"/>
  <c r="F52" i="12"/>
  <c r="G52" i="12"/>
  <c r="C52" i="12"/>
  <c r="E26" i="19" l="1"/>
  <c r="E22" i="19"/>
  <c r="D85" i="11"/>
  <c r="E85" i="11"/>
  <c r="F85" i="11"/>
  <c r="G85" i="11"/>
  <c r="C85" i="11"/>
  <c r="D84" i="11"/>
  <c r="E84" i="11"/>
  <c r="F84" i="11"/>
  <c r="G84" i="11"/>
  <c r="C84" i="11"/>
  <c r="D83" i="11"/>
  <c r="E83" i="11"/>
  <c r="F83" i="11"/>
  <c r="G83" i="11"/>
  <c r="C83" i="11"/>
  <c r="D82" i="11"/>
  <c r="D81" i="11" s="1"/>
  <c r="E82" i="11"/>
  <c r="E81" i="11" s="1"/>
  <c r="F82" i="11"/>
  <c r="F81" i="11" s="1"/>
  <c r="G82" i="11"/>
  <c r="G81" i="11" s="1"/>
  <c r="C82" i="11"/>
  <c r="D74" i="11"/>
  <c r="E74" i="11"/>
  <c r="F74" i="11"/>
  <c r="G74" i="11"/>
  <c r="C74" i="11"/>
  <c r="T65" i="11"/>
  <c r="N65" i="11"/>
  <c r="O65" i="11"/>
  <c r="P65" i="11"/>
  <c r="Q65" i="11"/>
  <c r="R65" i="11"/>
  <c r="S65" i="11"/>
  <c r="M65" i="11"/>
  <c r="D65" i="11"/>
  <c r="E65" i="11"/>
  <c r="F65" i="11"/>
  <c r="G65" i="11"/>
  <c r="H65" i="11"/>
  <c r="I65" i="11"/>
  <c r="J65" i="11"/>
  <c r="K65" i="11"/>
  <c r="L65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D63" i="11"/>
  <c r="D61" i="11" s="1"/>
  <c r="E63" i="11"/>
  <c r="F63" i="11"/>
  <c r="G63" i="11"/>
  <c r="H63" i="11"/>
  <c r="I63" i="11"/>
  <c r="J63" i="11"/>
  <c r="K63" i="11"/>
  <c r="K61" i="11" s="1"/>
  <c r="L63" i="11"/>
  <c r="L61" i="11" s="1"/>
  <c r="M63" i="11"/>
  <c r="N63" i="11"/>
  <c r="O63" i="11"/>
  <c r="P63" i="11"/>
  <c r="Q63" i="11"/>
  <c r="R63" i="11"/>
  <c r="S63" i="11"/>
  <c r="S61" i="11" s="1"/>
  <c r="T63" i="11"/>
  <c r="T61" i="11" s="1"/>
  <c r="I62" i="11"/>
  <c r="I61" i="11" s="1"/>
  <c r="J62" i="11"/>
  <c r="J61" i="11" s="1"/>
  <c r="K62" i="11"/>
  <c r="L62" i="11"/>
  <c r="M62" i="11"/>
  <c r="M61" i="11" s="1"/>
  <c r="N62" i="11"/>
  <c r="N61" i="11" s="1"/>
  <c r="O62" i="11"/>
  <c r="O61" i="11" s="1"/>
  <c r="P62" i="11"/>
  <c r="P61" i="11" s="1"/>
  <c r="Q62" i="11"/>
  <c r="Q61" i="11" s="1"/>
  <c r="R62" i="11"/>
  <c r="R61" i="11" s="1"/>
  <c r="S62" i="11"/>
  <c r="T62" i="11"/>
  <c r="D62" i="11"/>
  <c r="E62" i="11"/>
  <c r="E61" i="11" s="1"/>
  <c r="F62" i="11"/>
  <c r="F61" i="11" s="1"/>
  <c r="G62" i="11"/>
  <c r="G61" i="11" s="1"/>
  <c r="H62" i="11"/>
  <c r="H61" i="11" s="1"/>
  <c r="C65" i="11"/>
  <c r="C64" i="11"/>
  <c r="C63" i="11"/>
  <c r="C62" i="11"/>
  <c r="C61" i="11" s="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C54" i="11"/>
  <c r="L41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B7" i="41" s="1"/>
  <c r="AH45" i="11"/>
  <c r="B20" i="41" s="1"/>
  <c r="AI45" i="11"/>
  <c r="AJ45" i="11"/>
  <c r="AK45" i="11"/>
  <c r="C45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J44" i="11"/>
  <c r="AK44" i="11"/>
  <c r="C44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J43" i="11"/>
  <c r="AK43" i="11"/>
  <c r="C43" i="11"/>
  <c r="D42" i="11"/>
  <c r="D41" i="11" s="1"/>
  <c r="E42" i="11"/>
  <c r="E41" i="11" s="1"/>
  <c r="F42" i="11"/>
  <c r="F41" i="11" s="1"/>
  <c r="G42" i="11"/>
  <c r="H42" i="11"/>
  <c r="H41" i="11" s="1"/>
  <c r="I42" i="11"/>
  <c r="J42" i="11"/>
  <c r="J41" i="11" s="1"/>
  <c r="K42" i="11"/>
  <c r="L42" i="11"/>
  <c r="M42" i="11"/>
  <c r="M41" i="11" s="1"/>
  <c r="N42" i="11"/>
  <c r="O42" i="11"/>
  <c r="P42" i="11"/>
  <c r="P41" i="11" s="1"/>
  <c r="Q42" i="11"/>
  <c r="R42" i="11"/>
  <c r="R41" i="11" s="1"/>
  <c r="S42" i="11"/>
  <c r="T42" i="11"/>
  <c r="T41" i="11" s="1"/>
  <c r="U42" i="11"/>
  <c r="U41" i="11" s="1"/>
  <c r="V42" i="11"/>
  <c r="W42" i="11"/>
  <c r="W41" i="11" s="1"/>
  <c r="X42" i="11"/>
  <c r="X41" i="11" s="1"/>
  <c r="Y42" i="11"/>
  <c r="Y41" i="11" s="1"/>
  <c r="Z42" i="11"/>
  <c r="Z41" i="11" s="1"/>
  <c r="AA42" i="11"/>
  <c r="AB42" i="11"/>
  <c r="AB41" i="11" s="1"/>
  <c r="AC42" i="11"/>
  <c r="AC41" i="11" s="1"/>
  <c r="AD42" i="11"/>
  <c r="AD41" i="11" s="1"/>
  <c r="AE42" i="11"/>
  <c r="AE41" i="11" s="1"/>
  <c r="AF42" i="11"/>
  <c r="AF41" i="11" s="1"/>
  <c r="AG42" i="11"/>
  <c r="AH42" i="11"/>
  <c r="AI42" i="11"/>
  <c r="AJ42" i="11"/>
  <c r="AK42" i="11"/>
  <c r="C42" i="11"/>
  <c r="C41" i="11" s="1"/>
  <c r="AG78" i="12"/>
  <c r="C5" i="41" s="1"/>
  <c r="E13" i="17"/>
  <c r="D80" i="11" s="1"/>
  <c r="E12" i="17"/>
  <c r="G79" i="11" s="1"/>
  <c r="E11" i="17"/>
  <c r="K58" i="11" s="1"/>
  <c r="E10" i="17"/>
  <c r="E77" i="11" s="1"/>
  <c r="E9" i="17"/>
  <c r="C76" i="11" s="1"/>
  <c r="AH78" i="12" l="1"/>
  <c r="C18" i="41" s="1"/>
  <c r="O41" i="11"/>
  <c r="G41" i="11"/>
  <c r="V41" i="11"/>
  <c r="N41" i="11"/>
  <c r="AJ41" i="11"/>
  <c r="AI41" i="11"/>
  <c r="AH41" i="11"/>
  <c r="B19" i="41"/>
  <c r="AK41" i="11"/>
  <c r="AA41" i="11"/>
  <c r="S41" i="11"/>
  <c r="K41" i="11"/>
  <c r="AG41" i="11"/>
  <c r="B6" i="41"/>
  <c r="Q41" i="11"/>
  <c r="I41" i="11"/>
  <c r="J77" i="12"/>
  <c r="R77" i="12"/>
  <c r="Z77" i="12"/>
  <c r="AH77" i="12"/>
  <c r="L77" i="12"/>
  <c r="T77" i="12"/>
  <c r="AB77" i="12"/>
  <c r="AJ77" i="12"/>
  <c r="H77" i="12"/>
  <c r="S77" i="12"/>
  <c r="AD77" i="12"/>
  <c r="I77" i="12"/>
  <c r="AE77" i="12"/>
  <c r="V77" i="12"/>
  <c r="U77" i="12"/>
  <c r="AF77" i="12"/>
  <c r="K77" i="12"/>
  <c r="M77" i="12"/>
  <c r="AA77" i="12"/>
  <c r="N77" i="12"/>
  <c r="AC77" i="12"/>
  <c r="P77" i="12"/>
  <c r="AI77" i="12"/>
  <c r="Q77" i="12"/>
  <c r="E77" i="12"/>
  <c r="F77" i="12"/>
  <c r="C77" i="12"/>
  <c r="G77" i="12"/>
  <c r="O77" i="12"/>
  <c r="AG77" i="12"/>
  <c r="D77" i="12"/>
  <c r="AK77" i="12"/>
  <c r="W77" i="12"/>
  <c r="X77" i="12"/>
  <c r="Y77" i="12"/>
  <c r="J81" i="12"/>
  <c r="R81" i="12"/>
  <c r="Z81" i="12"/>
  <c r="AH81" i="12"/>
  <c r="D81" i="12"/>
  <c r="L81" i="12"/>
  <c r="T81" i="12"/>
  <c r="AB81" i="12"/>
  <c r="AJ81" i="12"/>
  <c r="F81" i="12"/>
  <c r="P81" i="12"/>
  <c r="AA81" i="12"/>
  <c r="C81" i="12"/>
  <c r="G81" i="12"/>
  <c r="Q81" i="12"/>
  <c r="AC81" i="12"/>
  <c r="H81" i="12"/>
  <c r="S81" i="12"/>
  <c r="AD81" i="12"/>
  <c r="M81" i="12"/>
  <c r="AE81" i="12"/>
  <c r="N81" i="12"/>
  <c r="AF81" i="12"/>
  <c r="AK81" i="12"/>
  <c r="E81" i="12"/>
  <c r="X81" i="12"/>
  <c r="K81" i="12"/>
  <c r="O81" i="12"/>
  <c r="AG81" i="12"/>
  <c r="AI81" i="12"/>
  <c r="U81" i="12"/>
  <c r="V81" i="12"/>
  <c r="W81" i="12"/>
  <c r="I81" i="12"/>
  <c r="Y81" i="12"/>
  <c r="N38" i="11"/>
  <c r="T60" i="11"/>
  <c r="D60" i="11"/>
  <c r="X36" i="11"/>
  <c r="AD38" i="11"/>
  <c r="AG40" i="11"/>
  <c r="B5" i="41" s="1"/>
  <c r="G76" i="11"/>
  <c r="P36" i="11"/>
  <c r="V38" i="11"/>
  <c r="C57" i="11"/>
  <c r="L60" i="11"/>
  <c r="D77" i="11"/>
  <c r="P56" i="11"/>
  <c r="AI37" i="11"/>
  <c r="F38" i="11"/>
  <c r="Y40" i="11"/>
  <c r="H56" i="11"/>
  <c r="AA37" i="11"/>
  <c r="Q40" i="11"/>
  <c r="Q57" i="11"/>
  <c r="H36" i="11"/>
  <c r="S37" i="11"/>
  <c r="I40" i="11"/>
  <c r="I57" i="11"/>
  <c r="K37" i="11"/>
  <c r="R58" i="11"/>
  <c r="AF36" i="11"/>
  <c r="C38" i="11"/>
  <c r="J58" i="11"/>
  <c r="AE36" i="11"/>
  <c r="W36" i="11"/>
  <c r="O36" i="11"/>
  <c r="G36" i="11"/>
  <c r="Z37" i="11"/>
  <c r="R37" i="11"/>
  <c r="J37" i="11"/>
  <c r="AK38" i="11"/>
  <c r="AC38" i="11"/>
  <c r="U38" i="11"/>
  <c r="M38" i="11"/>
  <c r="E38" i="11"/>
  <c r="AE39" i="11"/>
  <c r="W39" i="11"/>
  <c r="O39" i="11"/>
  <c r="G39" i="11"/>
  <c r="AF40" i="11"/>
  <c r="X40" i="11"/>
  <c r="P40" i="11"/>
  <c r="H40" i="11"/>
  <c r="C58" i="11"/>
  <c r="O56" i="11"/>
  <c r="G56" i="11"/>
  <c r="P57" i="11"/>
  <c r="H57" i="11"/>
  <c r="Q58" i="11"/>
  <c r="I58" i="11"/>
  <c r="R59" i="11"/>
  <c r="J59" i="11"/>
  <c r="S60" i="11"/>
  <c r="K60" i="11"/>
  <c r="F76" i="11"/>
  <c r="C78" i="11"/>
  <c r="E79" i="11"/>
  <c r="X39" i="11"/>
  <c r="H39" i="11"/>
  <c r="K59" i="11"/>
  <c r="C36" i="11"/>
  <c r="AD36" i="11"/>
  <c r="V36" i="11"/>
  <c r="N36" i="11"/>
  <c r="F36" i="11"/>
  <c r="Y37" i="11"/>
  <c r="Q37" i="11"/>
  <c r="I37" i="11"/>
  <c r="AJ38" i="11"/>
  <c r="AB38" i="11"/>
  <c r="T38" i="11"/>
  <c r="L38" i="11"/>
  <c r="D38" i="11"/>
  <c r="AD39" i="11"/>
  <c r="V39" i="11"/>
  <c r="N39" i="11"/>
  <c r="F39" i="11"/>
  <c r="AE40" i="11"/>
  <c r="W40" i="11"/>
  <c r="O40" i="11"/>
  <c r="G40" i="11"/>
  <c r="C59" i="11"/>
  <c r="N56" i="11"/>
  <c r="F56" i="11"/>
  <c r="O57" i="11"/>
  <c r="G57" i="11"/>
  <c r="P58" i="11"/>
  <c r="H58" i="11"/>
  <c r="Q59" i="11"/>
  <c r="I59" i="11"/>
  <c r="R60" i="11"/>
  <c r="J60" i="11"/>
  <c r="E76" i="11"/>
  <c r="G78" i="11"/>
  <c r="D79" i="11"/>
  <c r="AK36" i="11"/>
  <c r="AC36" i="11"/>
  <c r="U36" i="11"/>
  <c r="M36" i="11"/>
  <c r="E36" i="11"/>
  <c r="AF37" i="11"/>
  <c r="X37" i="11"/>
  <c r="P37" i="11"/>
  <c r="H37" i="11"/>
  <c r="AI38" i="11"/>
  <c r="AA38" i="11"/>
  <c r="S38" i="11"/>
  <c r="K38" i="11"/>
  <c r="C39" i="11"/>
  <c r="AC39" i="11"/>
  <c r="U39" i="11"/>
  <c r="M39" i="11"/>
  <c r="E39" i="11"/>
  <c r="C40" i="11"/>
  <c r="AD40" i="11"/>
  <c r="V40" i="11"/>
  <c r="N40" i="11"/>
  <c r="F40" i="11"/>
  <c r="C60" i="11"/>
  <c r="M56" i="11"/>
  <c r="E56" i="11"/>
  <c r="N57" i="11"/>
  <c r="F57" i="11"/>
  <c r="O58" i="11"/>
  <c r="G58" i="11"/>
  <c r="P59" i="11"/>
  <c r="H59" i="11"/>
  <c r="Q60" i="11"/>
  <c r="I60" i="11"/>
  <c r="D76" i="11"/>
  <c r="F78" i="11"/>
  <c r="C80" i="11"/>
  <c r="B31" i="41" s="1"/>
  <c r="P39" i="11"/>
  <c r="AJ36" i="11"/>
  <c r="AB36" i="11"/>
  <c r="T36" i="11"/>
  <c r="L36" i="11"/>
  <c r="D36" i="11"/>
  <c r="AE37" i="11"/>
  <c r="W37" i="11"/>
  <c r="O37" i="11"/>
  <c r="G37" i="11"/>
  <c r="AH38" i="11"/>
  <c r="Z38" i="11"/>
  <c r="R38" i="11"/>
  <c r="J38" i="11"/>
  <c r="AK39" i="11"/>
  <c r="AB39" i="11"/>
  <c r="T39" i="11"/>
  <c r="L39" i="11"/>
  <c r="D39" i="11"/>
  <c r="AK40" i="11"/>
  <c r="AC40" i="11"/>
  <c r="U40" i="11"/>
  <c r="M40" i="11"/>
  <c r="E40" i="11"/>
  <c r="T56" i="11"/>
  <c r="L56" i="11"/>
  <c r="D56" i="11"/>
  <c r="M57" i="11"/>
  <c r="E57" i="11"/>
  <c r="N58" i="11"/>
  <c r="F58" i="11"/>
  <c r="O59" i="11"/>
  <c r="G59" i="11"/>
  <c r="P60" i="11"/>
  <c r="H60" i="11"/>
  <c r="C77" i="11"/>
  <c r="E78" i="11"/>
  <c r="G80" i="11"/>
  <c r="AF39" i="11"/>
  <c r="S59" i="11"/>
  <c r="F79" i="11"/>
  <c r="AI36" i="11"/>
  <c r="AA36" i="11"/>
  <c r="S36" i="11"/>
  <c r="K36" i="11"/>
  <c r="C37" i="11"/>
  <c r="AD37" i="11"/>
  <c r="V37" i="11"/>
  <c r="N37" i="11"/>
  <c r="F37" i="11"/>
  <c r="AG38" i="11"/>
  <c r="Y38" i="11"/>
  <c r="Q38" i="11"/>
  <c r="I38" i="11"/>
  <c r="AJ39" i="11"/>
  <c r="AA39" i="11"/>
  <c r="S39" i="11"/>
  <c r="K39" i="11"/>
  <c r="AG39" i="11"/>
  <c r="AJ40" i="11"/>
  <c r="AB40" i="11"/>
  <c r="T40" i="11"/>
  <c r="L40" i="11"/>
  <c r="D40" i="11"/>
  <c r="S56" i="11"/>
  <c r="K56" i="11"/>
  <c r="T57" i="11"/>
  <c r="L57" i="11"/>
  <c r="D57" i="11"/>
  <c r="M58" i="11"/>
  <c r="E58" i="11"/>
  <c r="N59" i="11"/>
  <c r="F59" i="11"/>
  <c r="O60" i="11"/>
  <c r="G60" i="11"/>
  <c r="G77" i="11"/>
  <c r="D78" i="11"/>
  <c r="F80" i="11"/>
  <c r="Z36" i="11"/>
  <c r="R36" i="11"/>
  <c r="J36" i="11"/>
  <c r="AK37" i="11"/>
  <c r="AC37" i="11"/>
  <c r="U37" i="11"/>
  <c r="M37" i="11"/>
  <c r="E37" i="11"/>
  <c r="AF38" i="11"/>
  <c r="X38" i="11"/>
  <c r="P38" i="11"/>
  <c r="H38" i="11"/>
  <c r="AI39" i="11"/>
  <c r="Z39" i="11"/>
  <c r="R39" i="11"/>
  <c r="J39" i="11"/>
  <c r="AI40" i="11"/>
  <c r="AA40" i="11"/>
  <c r="S40" i="11"/>
  <c r="K40" i="11"/>
  <c r="R56" i="11"/>
  <c r="J56" i="11"/>
  <c r="S57" i="11"/>
  <c r="K57" i="11"/>
  <c r="T58" i="11"/>
  <c r="L58" i="11"/>
  <c r="D58" i="11"/>
  <c r="M59" i="11"/>
  <c r="E59" i="11"/>
  <c r="N60" i="11"/>
  <c r="F60" i="11"/>
  <c r="F77" i="11"/>
  <c r="C79" i="11"/>
  <c r="E80" i="11"/>
  <c r="Y36" i="11"/>
  <c r="Q36" i="11"/>
  <c r="I36" i="11"/>
  <c r="AJ37" i="11"/>
  <c r="AB37" i="11"/>
  <c r="T37" i="11"/>
  <c r="L37" i="11"/>
  <c r="D37" i="11"/>
  <c r="AE38" i="11"/>
  <c r="W38" i="11"/>
  <c r="O38" i="11"/>
  <c r="G38" i="11"/>
  <c r="AH39" i="11"/>
  <c r="Y39" i="11"/>
  <c r="Q39" i="11"/>
  <c r="I39" i="11"/>
  <c r="Z40" i="11"/>
  <c r="R40" i="11"/>
  <c r="J40" i="11"/>
  <c r="C56" i="11"/>
  <c r="Q56" i="11"/>
  <c r="I56" i="11"/>
  <c r="R57" i="11"/>
  <c r="J57" i="11"/>
  <c r="S58" i="11"/>
  <c r="T59" i="11"/>
  <c r="L59" i="11"/>
  <c r="D59" i="11"/>
  <c r="M60" i="11"/>
  <c r="E60" i="11"/>
  <c r="E47" i="12"/>
  <c r="E43" i="12" s="1"/>
  <c r="F47" i="12"/>
  <c r="F43" i="12" s="1"/>
  <c r="G47" i="12"/>
  <c r="G43" i="12" s="1"/>
  <c r="C47" i="12"/>
  <c r="D47" i="12"/>
  <c r="D43" i="12" s="1"/>
  <c r="F51" i="12"/>
  <c r="F49" i="12" s="1"/>
  <c r="C51" i="12"/>
  <c r="G51" i="12"/>
  <c r="G49" i="12" s="1"/>
  <c r="D51" i="12"/>
  <c r="D49" i="12" s="1"/>
  <c r="E51" i="12"/>
  <c r="E49" i="12" s="1"/>
  <c r="C81" i="11"/>
  <c r="E18" i="17"/>
  <c r="E17" i="17"/>
  <c r="E16" i="17"/>
  <c r="B30" i="41" l="1"/>
  <c r="AH40" i="11"/>
  <c r="B18" i="41" s="1"/>
  <c r="C49" i="12"/>
  <c r="C32" i="41"/>
  <c r="C43" i="12"/>
  <c r="C30" i="41"/>
  <c r="AH79" i="12"/>
  <c r="C19" i="41"/>
  <c r="AG79" i="12"/>
  <c r="C6" i="41"/>
  <c r="G75" i="11"/>
  <c r="C55" i="11"/>
  <c r="H55" i="11"/>
  <c r="I55" i="11"/>
  <c r="I35" i="11"/>
  <c r="C35" i="11"/>
  <c r="P55" i="11"/>
  <c r="Q55" i="11"/>
  <c r="C75" i="11"/>
  <c r="R55" i="11"/>
  <c r="F55" i="11"/>
  <c r="D35" i="11"/>
  <c r="M35" i="11"/>
  <c r="N55" i="11"/>
  <c r="Q35" i="11"/>
  <c r="J55" i="11"/>
  <c r="K35" i="11"/>
  <c r="L35" i="11"/>
  <c r="D75" i="11"/>
  <c r="U35" i="11"/>
  <c r="Y35" i="11"/>
  <c r="S35" i="11"/>
  <c r="T35" i="11"/>
  <c r="E55" i="11"/>
  <c r="AC35" i="11"/>
  <c r="G35" i="11"/>
  <c r="E35" i="11"/>
  <c r="AA35" i="11"/>
  <c r="D55" i="11"/>
  <c r="AB35" i="11"/>
  <c r="M55" i="11"/>
  <c r="H35" i="11"/>
  <c r="AK35" i="11"/>
  <c r="F35" i="11"/>
  <c r="O35" i="11"/>
  <c r="J35" i="11"/>
  <c r="K55" i="11"/>
  <c r="AI35" i="11"/>
  <c r="L55" i="11"/>
  <c r="AJ35" i="11"/>
  <c r="P35" i="11"/>
  <c r="N35" i="11"/>
  <c r="W35" i="11"/>
  <c r="O55" i="11"/>
  <c r="R35" i="11"/>
  <c r="S55" i="11"/>
  <c r="T55" i="11"/>
  <c r="X35" i="11"/>
  <c r="V35" i="11"/>
  <c r="F75" i="11"/>
  <c r="AE35" i="11"/>
  <c r="Z35" i="11"/>
  <c r="AF35" i="11"/>
  <c r="E75" i="11"/>
  <c r="AD35" i="11"/>
  <c r="G55" i="11"/>
  <c r="AG76" i="12"/>
  <c r="D39" i="26"/>
  <c r="E39" i="26"/>
  <c r="F39" i="26"/>
  <c r="G39" i="26"/>
  <c r="H39" i="26"/>
  <c r="I39" i="26"/>
  <c r="J39" i="26"/>
  <c r="K39" i="26"/>
  <c r="L39" i="26"/>
  <c r="M39" i="26"/>
  <c r="N39" i="26"/>
  <c r="O39" i="26"/>
  <c r="P39" i="26"/>
  <c r="Q39" i="26"/>
  <c r="R39" i="26"/>
  <c r="S39" i="26"/>
  <c r="T39" i="26"/>
  <c r="C39" i="26"/>
  <c r="C37" i="7"/>
  <c r="AH70" i="12" l="1"/>
  <c r="AH74" i="12"/>
  <c r="AH36" i="11"/>
  <c r="AG75" i="12"/>
  <c r="AG37" i="11"/>
  <c r="AH76" i="12"/>
  <c r="AG70" i="12"/>
  <c r="AG74" i="12"/>
  <c r="AG36" i="11"/>
  <c r="B4" i="41" l="1"/>
  <c r="AG35" i="11"/>
  <c r="C4" i="41"/>
  <c r="AG73" i="12"/>
  <c r="AH75" i="12"/>
  <c r="C17" i="41" s="1"/>
  <c r="AH37" i="11"/>
  <c r="AH35" i="11" s="1"/>
  <c r="E8" i="23"/>
  <c r="E6" i="23"/>
  <c r="E9" i="23" s="1"/>
  <c r="E4" i="23"/>
  <c r="E8" i="22"/>
  <c r="E6" i="22"/>
  <c r="E9" i="22" s="1"/>
  <c r="E11" i="22" s="1"/>
  <c r="E4" i="22"/>
  <c r="E8" i="21"/>
  <c r="E6" i="21"/>
  <c r="E4" i="21"/>
  <c r="B17" i="41" l="1"/>
  <c r="AH73" i="12"/>
  <c r="C11" i="31"/>
  <c r="E11" i="31"/>
  <c r="D11" i="31"/>
  <c r="G11" i="31"/>
  <c r="F11" i="31"/>
  <c r="E7" i="22"/>
  <c r="D11" i="34"/>
  <c r="E11" i="34"/>
  <c r="F11" i="34"/>
  <c r="E7" i="23"/>
  <c r="G11" i="34"/>
  <c r="C11" i="34"/>
  <c r="G7" i="34"/>
  <c r="G6" i="34" s="1"/>
  <c r="C7" i="34"/>
  <c r="C6" i="34" s="1"/>
  <c r="D7" i="34"/>
  <c r="D6" i="34" s="1"/>
  <c r="E7" i="34"/>
  <c r="E6" i="34" s="1"/>
  <c r="F7" i="34"/>
  <c r="F6" i="34" s="1"/>
  <c r="G7" i="31"/>
  <c r="G6" i="31" s="1"/>
  <c r="E7" i="31"/>
  <c r="E6" i="31" s="1"/>
  <c r="C7" i="31"/>
  <c r="C6" i="31" s="1"/>
  <c r="D7" i="31"/>
  <c r="D6" i="31" s="1"/>
  <c r="F7" i="31"/>
  <c r="F6" i="31" s="1"/>
  <c r="E9" i="21"/>
  <c r="E11" i="21" s="1"/>
  <c r="E11" i="30"/>
  <c r="F11" i="30"/>
  <c r="C11" i="30"/>
  <c r="D11" i="30"/>
  <c r="E7" i="21"/>
  <c r="G11" i="30"/>
  <c r="G7" i="30"/>
  <c r="G6" i="30" s="1"/>
  <c r="C7" i="30"/>
  <c r="C6" i="30" s="1"/>
  <c r="D7" i="30"/>
  <c r="D6" i="30" s="1"/>
  <c r="E7" i="30"/>
  <c r="E6" i="30" s="1"/>
  <c r="F7" i="30"/>
  <c r="F6" i="30" s="1"/>
  <c r="E10" i="22"/>
  <c r="E10" i="23"/>
  <c r="E11" i="23"/>
  <c r="E8" i="20"/>
  <c r="E7" i="20" s="1"/>
  <c r="E6" i="20"/>
  <c r="E4" i="20"/>
  <c r="E16" i="19"/>
  <c r="E15" i="19"/>
  <c r="E13" i="19"/>
  <c r="E18" i="19"/>
  <c r="E17" i="19"/>
  <c r="E7" i="19"/>
  <c r="E6" i="19"/>
  <c r="E9" i="19" s="1"/>
  <c r="E4" i="19"/>
  <c r="E7" i="17"/>
  <c r="E6" i="17"/>
  <c r="E5" i="17"/>
  <c r="E4" i="17"/>
  <c r="G10" i="34" l="1"/>
  <c r="G9" i="34" s="1"/>
  <c r="F10" i="34"/>
  <c r="F9" i="34" s="1"/>
  <c r="C10" i="34"/>
  <c r="C9" i="34" s="1"/>
  <c r="D10" i="34"/>
  <c r="D9" i="34" s="1"/>
  <c r="E10" i="34"/>
  <c r="E9" i="34" s="1"/>
  <c r="D10" i="31"/>
  <c r="D9" i="31" s="1"/>
  <c r="E10" i="31"/>
  <c r="E9" i="31" s="1"/>
  <c r="C10" i="31"/>
  <c r="C9" i="31" s="1"/>
  <c r="F10" i="31"/>
  <c r="F9" i="31" s="1"/>
  <c r="G10" i="31"/>
  <c r="G9" i="31" s="1"/>
  <c r="D13" i="34"/>
  <c r="C13" i="34"/>
  <c r="E13" i="34"/>
  <c r="F13" i="34"/>
  <c r="G13" i="34"/>
  <c r="F13" i="31"/>
  <c r="G13" i="31"/>
  <c r="C13" i="31"/>
  <c r="D13" i="31"/>
  <c r="E13" i="31"/>
  <c r="E10" i="21"/>
  <c r="D13" i="30" s="1"/>
  <c r="E9" i="20"/>
  <c r="E11" i="20" s="1"/>
  <c r="F65" i="12"/>
  <c r="N65" i="12"/>
  <c r="V65" i="12"/>
  <c r="AD65" i="12"/>
  <c r="C65" i="12"/>
  <c r="H65" i="12"/>
  <c r="X65" i="12"/>
  <c r="L65" i="12"/>
  <c r="M65" i="12"/>
  <c r="AC65" i="12"/>
  <c r="G65" i="12"/>
  <c r="O65" i="12"/>
  <c r="W65" i="12"/>
  <c r="AE65" i="12"/>
  <c r="P65" i="12"/>
  <c r="AF65" i="12"/>
  <c r="D65" i="12"/>
  <c r="AJ65" i="12"/>
  <c r="E65" i="12"/>
  <c r="I65" i="12"/>
  <c r="Q65" i="12"/>
  <c r="Y65" i="12"/>
  <c r="AG65" i="12"/>
  <c r="AB65" i="12"/>
  <c r="U65" i="12"/>
  <c r="J65" i="12"/>
  <c r="R65" i="12"/>
  <c r="Z65" i="12"/>
  <c r="AH65" i="12"/>
  <c r="K65" i="12"/>
  <c r="S65" i="12"/>
  <c r="AA65" i="12"/>
  <c r="AI65" i="12"/>
  <c r="T65" i="12"/>
  <c r="AK65" i="12"/>
  <c r="E35" i="12"/>
  <c r="G35" i="12"/>
  <c r="D35" i="12"/>
  <c r="F35" i="12"/>
  <c r="E8" i="19"/>
  <c r="C35" i="12"/>
  <c r="D10" i="30"/>
  <c r="D9" i="30" s="1"/>
  <c r="E10" i="30"/>
  <c r="E9" i="30" s="1"/>
  <c r="G10" i="30"/>
  <c r="G9" i="30" s="1"/>
  <c r="C10" i="30"/>
  <c r="C9" i="30" s="1"/>
  <c r="F10" i="30"/>
  <c r="F9" i="30" s="1"/>
  <c r="E61" i="12"/>
  <c r="M61" i="12"/>
  <c r="U61" i="12"/>
  <c r="AC61" i="12"/>
  <c r="AK61" i="12"/>
  <c r="N61" i="12"/>
  <c r="AD61" i="12"/>
  <c r="G61" i="12"/>
  <c r="AE61" i="12"/>
  <c r="AI61" i="12"/>
  <c r="AB61" i="12"/>
  <c r="F61" i="12"/>
  <c r="V61" i="12"/>
  <c r="C61" i="12"/>
  <c r="O61" i="12"/>
  <c r="W61" i="12"/>
  <c r="AA61" i="12"/>
  <c r="D61" i="12"/>
  <c r="AJ61" i="12"/>
  <c r="H61" i="12"/>
  <c r="P61" i="12"/>
  <c r="X61" i="12"/>
  <c r="AF61" i="12"/>
  <c r="Z61" i="12"/>
  <c r="S61" i="12"/>
  <c r="T61" i="12"/>
  <c r="I61" i="12"/>
  <c r="Q61" i="12"/>
  <c r="Y61" i="12"/>
  <c r="AG61" i="12"/>
  <c r="J61" i="12"/>
  <c r="R61" i="12"/>
  <c r="AH61" i="12"/>
  <c r="K61" i="12"/>
  <c r="L61" i="12"/>
  <c r="D31" i="12"/>
  <c r="D30" i="12" s="1"/>
  <c r="E31" i="12"/>
  <c r="E30" i="12" s="1"/>
  <c r="F31" i="12"/>
  <c r="F30" i="12" s="1"/>
  <c r="G31" i="12"/>
  <c r="G30" i="12" s="1"/>
  <c r="C31" i="12"/>
  <c r="C30" i="12" s="1"/>
  <c r="K72" i="12"/>
  <c r="S72" i="12"/>
  <c r="AA72" i="12"/>
  <c r="AI72" i="12"/>
  <c r="D72" i="12"/>
  <c r="L72" i="12"/>
  <c r="T72" i="12"/>
  <c r="AB72" i="12"/>
  <c r="AJ72" i="12"/>
  <c r="J72" i="12"/>
  <c r="Z72" i="12"/>
  <c r="E72" i="12"/>
  <c r="M72" i="12"/>
  <c r="U72" i="12"/>
  <c r="AC72" i="12"/>
  <c r="AK72" i="12"/>
  <c r="F72" i="12"/>
  <c r="N72" i="12"/>
  <c r="V72" i="12"/>
  <c r="AD72" i="12"/>
  <c r="C72" i="12"/>
  <c r="G72" i="12"/>
  <c r="O72" i="12"/>
  <c r="W72" i="12"/>
  <c r="AE72" i="12"/>
  <c r="H72" i="12"/>
  <c r="P72" i="12"/>
  <c r="X72" i="12"/>
  <c r="AF72" i="12"/>
  <c r="R72" i="12"/>
  <c r="AH72" i="12"/>
  <c r="I72" i="12"/>
  <c r="Q72" i="12"/>
  <c r="Y72" i="12"/>
  <c r="AG72" i="12"/>
  <c r="D42" i="12"/>
  <c r="E42" i="12"/>
  <c r="F42" i="12"/>
  <c r="G42" i="12"/>
  <c r="C42" i="12"/>
  <c r="G71" i="11"/>
  <c r="F51" i="11"/>
  <c r="N51" i="11"/>
  <c r="C51" i="11"/>
  <c r="E51" i="11"/>
  <c r="G51" i="11"/>
  <c r="O51" i="11"/>
  <c r="M51" i="11"/>
  <c r="H51" i="11"/>
  <c r="P51" i="11"/>
  <c r="I51" i="11"/>
  <c r="Q51" i="11"/>
  <c r="C71" i="11"/>
  <c r="J51" i="11"/>
  <c r="R51" i="11"/>
  <c r="D71" i="11"/>
  <c r="K51" i="11"/>
  <c r="S51" i="11"/>
  <c r="F71" i="11"/>
  <c r="E71" i="11"/>
  <c r="D51" i="11"/>
  <c r="L51" i="11"/>
  <c r="T51" i="11"/>
  <c r="J69" i="12"/>
  <c r="R69" i="12"/>
  <c r="Z69" i="12"/>
  <c r="AH69" i="12"/>
  <c r="Y69" i="12"/>
  <c r="K69" i="12"/>
  <c r="S69" i="12"/>
  <c r="AA69" i="12"/>
  <c r="AI69" i="12"/>
  <c r="I69" i="12"/>
  <c r="D69" i="12"/>
  <c r="L69" i="12"/>
  <c r="T69" i="12"/>
  <c r="AB69" i="12"/>
  <c r="AJ69" i="12"/>
  <c r="E69" i="12"/>
  <c r="M69" i="12"/>
  <c r="U69" i="12"/>
  <c r="AC69" i="12"/>
  <c r="AK69" i="12"/>
  <c r="F69" i="12"/>
  <c r="N69" i="12"/>
  <c r="V69" i="12"/>
  <c r="AD69" i="12"/>
  <c r="C69" i="12"/>
  <c r="AG69" i="12"/>
  <c r="G69" i="12"/>
  <c r="O69" i="12"/>
  <c r="W69" i="12"/>
  <c r="AE69" i="12"/>
  <c r="Q69" i="12"/>
  <c r="H69" i="12"/>
  <c r="P69" i="12"/>
  <c r="X69" i="12"/>
  <c r="AF69" i="12"/>
  <c r="E39" i="12"/>
  <c r="F39" i="12"/>
  <c r="G39" i="12"/>
  <c r="C39" i="12"/>
  <c r="D39" i="12"/>
  <c r="G73" i="11"/>
  <c r="J53" i="11"/>
  <c r="R53" i="11"/>
  <c r="I53" i="11"/>
  <c r="K53" i="11"/>
  <c r="S53" i="11"/>
  <c r="Q53" i="11"/>
  <c r="C73" i="11"/>
  <c r="D53" i="11"/>
  <c r="L53" i="11"/>
  <c r="T53" i="11"/>
  <c r="E53" i="11"/>
  <c r="M53" i="11"/>
  <c r="C53" i="11"/>
  <c r="F53" i="11"/>
  <c r="N53" i="11"/>
  <c r="D73" i="11"/>
  <c r="G53" i="11"/>
  <c r="O53" i="11"/>
  <c r="E73" i="11"/>
  <c r="H53" i="11"/>
  <c r="P53" i="11"/>
  <c r="F73" i="11"/>
  <c r="H52" i="11"/>
  <c r="P52" i="11"/>
  <c r="D72" i="11"/>
  <c r="I52" i="11"/>
  <c r="Q52" i="11"/>
  <c r="E72" i="11"/>
  <c r="J52" i="11"/>
  <c r="R52" i="11"/>
  <c r="G52" i="11"/>
  <c r="F72" i="11"/>
  <c r="C72" i="11"/>
  <c r="K52" i="11"/>
  <c r="S52" i="11"/>
  <c r="G72" i="11"/>
  <c r="D52" i="11"/>
  <c r="L52" i="11"/>
  <c r="T52" i="11"/>
  <c r="E52" i="11"/>
  <c r="M52" i="11"/>
  <c r="C52" i="11"/>
  <c r="O52" i="11"/>
  <c r="F52" i="11"/>
  <c r="N52" i="11"/>
  <c r="H71" i="12"/>
  <c r="P71" i="12"/>
  <c r="X71" i="12"/>
  <c r="AF71" i="12"/>
  <c r="O71" i="12"/>
  <c r="I71" i="12"/>
  <c r="Q71" i="12"/>
  <c r="Y71" i="12"/>
  <c r="AG71" i="12"/>
  <c r="G71" i="12"/>
  <c r="J71" i="12"/>
  <c r="R71" i="12"/>
  <c r="Z71" i="12"/>
  <c r="AH71" i="12"/>
  <c r="K71" i="12"/>
  <c r="S71" i="12"/>
  <c r="AA71" i="12"/>
  <c r="AI71" i="12"/>
  <c r="D71" i="12"/>
  <c r="L71" i="12"/>
  <c r="T71" i="12"/>
  <c r="AB71" i="12"/>
  <c r="AJ71" i="12"/>
  <c r="AE71" i="12"/>
  <c r="E71" i="12"/>
  <c r="M71" i="12"/>
  <c r="U71" i="12"/>
  <c r="AC71" i="12"/>
  <c r="AK71" i="12"/>
  <c r="W71" i="12"/>
  <c r="F71" i="12"/>
  <c r="N71" i="12"/>
  <c r="V71" i="12"/>
  <c r="AD71" i="12"/>
  <c r="C71" i="12"/>
  <c r="G41" i="12"/>
  <c r="F41" i="12"/>
  <c r="C41" i="12"/>
  <c r="D41" i="12"/>
  <c r="E41" i="12"/>
  <c r="D11" i="29"/>
  <c r="E11" i="29"/>
  <c r="G11" i="29"/>
  <c r="F11" i="29"/>
  <c r="C11" i="29"/>
  <c r="G7" i="29"/>
  <c r="G6" i="29" s="1"/>
  <c r="D7" i="29"/>
  <c r="D6" i="29" s="1"/>
  <c r="C7" i="29"/>
  <c r="C6" i="29" s="1"/>
  <c r="F7" i="29"/>
  <c r="F6" i="29" s="1"/>
  <c r="E7" i="29"/>
  <c r="E6" i="29" s="1"/>
  <c r="K34" i="11"/>
  <c r="S34" i="11"/>
  <c r="AA34" i="11"/>
  <c r="AI34" i="11"/>
  <c r="AH34" i="11"/>
  <c r="L34" i="11"/>
  <c r="T34" i="11"/>
  <c r="AB34" i="11"/>
  <c r="AJ34" i="11"/>
  <c r="E34" i="11"/>
  <c r="M34" i="11"/>
  <c r="U34" i="11"/>
  <c r="AC34" i="11"/>
  <c r="AK34" i="11"/>
  <c r="F34" i="11"/>
  <c r="N34" i="11"/>
  <c r="V34" i="11"/>
  <c r="AD34" i="11"/>
  <c r="D34" i="11"/>
  <c r="Z34" i="11"/>
  <c r="G34" i="11"/>
  <c r="O34" i="11"/>
  <c r="W34" i="11"/>
  <c r="AE34" i="11"/>
  <c r="C34" i="11"/>
  <c r="H34" i="11"/>
  <c r="P34" i="11"/>
  <c r="X34" i="11"/>
  <c r="AF34" i="11"/>
  <c r="R34" i="11"/>
  <c r="I34" i="11"/>
  <c r="Q34" i="11"/>
  <c r="Y34" i="11"/>
  <c r="AG34" i="11"/>
  <c r="J34" i="11"/>
  <c r="G19" i="11"/>
  <c r="O19" i="11"/>
  <c r="W19" i="11"/>
  <c r="F8" i="11"/>
  <c r="N8" i="11"/>
  <c r="J8" i="11"/>
  <c r="T8" i="11"/>
  <c r="N19" i="11"/>
  <c r="H19" i="11"/>
  <c r="P19" i="11"/>
  <c r="X19" i="11"/>
  <c r="G8" i="11"/>
  <c r="O8" i="11"/>
  <c r="AA19" i="11"/>
  <c r="C19" i="11"/>
  <c r="F19" i="11"/>
  <c r="I19" i="11"/>
  <c r="Q19" i="11"/>
  <c r="Y19" i="11"/>
  <c r="H8" i="11"/>
  <c r="P8" i="11"/>
  <c r="I8" i="11"/>
  <c r="T19" i="11"/>
  <c r="M8" i="11"/>
  <c r="J19" i="11"/>
  <c r="R19" i="11"/>
  <c r="Z19" i="11"/>
  <c r="Q8" i="11"/>
  <c r="L19" i="11"/>
  <c r="E8" i="11"/>
  <c r="K19" i="11"/>
  <c r="S19" i="11"/>
  <c r="R8" i="11"/>
  <c r="K8" i="11"/>
  <c r="C8" i="11"/>
  <c r="D19" i="11"/>
  <c r="S8" i="11"/>
  <c r="V19" i="11"/>
  <c r="E19" i="11"/>
  <c r="M19" i="11"/>
  <c r="U19" i="11"/>
  <c r="D8" i="11"/>
  <c r="L8" i="11"/>
  <c r="I31" i="11"/>
  <c r="Y31" i="11"/>
  <c r="Z31" i="11"/>
  <c r="C31" i="11"/>
  <c r="AA31" i="11"/>
  <c r="AI31" i="11"/>
  <c r="L31" i="11"/>
  <c r="AB31" i="11"/>
  <c r="E31" i="11"/>
  <c r="M31" i="11"/>
  <c r="U31" i="11"/>
  <c r="AC31" i="11"/>
  <c r="AK31" i="11"/>
  <c r="F31" i="11"/>
  <c r="N31" i="11"/>
  <c r="V31" i="11"/>
  <c r="AD31" i="11"/>
  <c r="C16" i="11"/>
  <c r="G31" i="11"/>
  <c r="O31" i="11"/>
  <c r="W31" i="11"/>
  <c r="AE31" i="11"/>
  <c r="H31" i="11"/>
  <c r="P31" i="11"/>
  <c r="X31" i="11"/>
  <c r="AF31" i="11"/>
  <c r="Q31" i="11"/>
  <c r="AG31" i="11"/>
  <c r="J31" i="11"/>
  <c r="R31" i="11"/>
  <c r="AH31" i="11"/>
  <c r="K31" i="11"/>
  <c r="S31" i="11"/>
  <c r="D31" i="11"/>
  <c r="T31" i="11"/>
  <c r="AJ31" i="11"/>
  <c r="K16" i="11"/>
  <c r="S16" i="11"/>
  <c r="AA16" i="11"/>
  <c r="O16" i="11"/>
  <c r="L16" i="11"/>
  <c r="T16" i="11"/>
  <c r="D16" i="11"/>
  <c r="M16" i="11"/>
  <c r="U16" i="11"/>
  <c r="E16" i="11"/>
  <c r="G16" i="11"/>
  <c r="F16" i="11"/>
  <c r="N16" i="11"/>
  <c r="V16" i="11"/>
  <c r="W16" i="11"/>
  <c r="H16" i="11"/>
  <c r="P16" i="11"/>
  <c r="X16" i="11"/>
  <c r="Z16" i="11"/>
  <c r="I16" i="11"/>
  <c r="Q16" i="11"/>
  <c r="Y16" i="11"/>
  <c r="J16" i="11"/>
  <c r="R16" i="11"/>
  <c r="E5" i="11"/>
  <c r="M5" i="11"/>
  <c r="D5" i="11"/>
  <c r="C5" i="11"/>
  <c r="O5" i="11"/>
  <c r="H5" i="11"/>
  <c r="I5" i="11"/>
  <c r="S5" i="11"/>
  <c r="F5" i="11"/>
  <c r="N5" i="11"/>
  <c r="G5" i="11"/>
  <c r="P5" i="11"/>
  <c r="Q5" i="11"/>
  <c r="R5" i="11"/>
  <c r="L5" i="11"/>
  <c r="J5" i="11"/>
  <c r="T5" i="11"/>
  <c r="K5" i="11"/>
  <c r="G33" i="11"/>
  <c r="H33" i="11"/>
  <c r="I33" i="11"/>
  <c r="Q33" i="11"/>
  <c r="Y33" i="11"/>
  <c r="AG33" i="11"/>
  <c r="Z33" i="11"/>
  <c r="S33" i="11"/>
  <c r="T33" i="11"/>
  <c r="AB33" i="11"/>
  <c r="J33" i="11"/>
  <c r="K33" i="11"/>
  <c r="D33" i="11"/>
  <c r="E33" i="11"/>
  <c r="M33" i="11"/>
  <c r="U33" i="11"/>
  <c r="AC33" i="11"/>
  <c r="AK33" i="11"/>
  <c r="F33" i="11"/>
  <c r="N33" i="11"/>
  <c r="V33" i="11"/>
  <c r="AD33" i="11"/>
  <c r="C33" i="11"/>
  <c r="O33" i="11"/>
  <c r="W33" i="11"/>
  <c r="AE33" i="11"/>
  <c r="C18" i="11"/>
  <c r="P33" i="11"/>
  <c r="X33" i="11"/>
  <c r="AF33" i="11"/>
  <c r="R33" i="11"/>
  <c r="AH33" i="11"/>
  <c r="AA33" i="11"/>
  <c r="AI33" i="11"/>
  <c r="L33" i="11"/>
  <c r="AJ33" i="11"/>
  <c r="V18" i="11"/>
  <c r="F18" i="11"/>
  <c r="N18" i="11"/>
  <c r="G7" i="11"/>
  <c r="O7" i="11"/>
  <c r="Z18" i="11"/>
  <c r="W18" i="11"/>
  <c r="G18" i="11"/>
  <c r="O18" i="11"/>
  <c r="H7" i="11"/>
  <c r="P7" i="11"/>
  <c r="R18" i="11"/>
  <c r="K7" i="11"/>
  <c r="P18" i="11"/>
  <c r="X18" i="11"/>
  <c r="H18" i="11"/>
  <c r="I7" i="11"/>
  <c r="Q7" i="11"/>
  <c r="Q18" i="11"/>
  <c r="Y18" i="11"/>
  <c r="I18" i="11"/>
  <c r="J7" i="11"/>
  <c r="R7" i="11"/>
  <c r="J18" i="11"/>
  <c r="S7" i="11"/>
  <c r="S18" i="11"/>
  <c r="AA18" i="11"/>
  <c r="K18" i="11"/>
  <c r="D7" i="11"/>
  <c r="L7" i="11"/>
  <c r="T7" i="11"/>
  <c r="E18" i="11"/>
  <c r="N7" i="11"/>
  <c r="T18" i="11"/>
  <c r="D18" i="11"/>
  <c r="L18" i="11"/>
  <c r="E7" i="11"/>
  <c r="M7" i="11"/>
  <c r="C7" i="11"/>
  <c r="U18" i="11"/>
  <c r="M18" i="11"/>
  <c r="F7" i="11"/>
  <c r="E32" i="11"/>
  <c r="M32" i="11"/>
  <c r="U32" i="11"/>
  <c r="AC32" i="11"/>
  <c r="AK32" i="11"/>
  <c r="F32" i="11"/>
  <c r="V32" i="11"/>
  <c r="C32" i="11"/>
  <c r="G32" i="11"/>
  <c r="W32" i="11"/>
  <c r="H32" i="11"/>
  <c r="X32" i="11"/>
  <c r="I32" i="11"/>
  <c r="Q32" i="11"/>
  <c r="Y32" i="11"/>
  <c r="AG32" i="11"/>
  <c r="J32" i="11"/>
  <c r="R32" i="11"/>
  <c r="Z32" i="11"/>
  <c r="AH32" i="11"/>
  <c r="K32" i="11"/>
  <c r="S32" i="11"/>
  <c r="AA32" i="11"/>
  <c r="AI32" i="11"/>
  <c r="D32" i="11"/>
  <c r="T32" i="11"/>
  <c r="AB32" i="11"/>
  <c r="AJ32" i="11"/>
  <c r="N32" i="11"/>
  <c r="AD32" i="11"/>
  <c r="O32" i="11"/>
  <c r="AE32" i="11"/>
  <c r="P32" i="11"/>
  <c r="AF32" i="11"/>
  <c r="L32" i="11"/>
  <c r="J17" i="11"/>
  <c r="R17" i="11"/>
  <c r="Z17" i="11"/>
  <c r="E6" i="11"/>
  <c r="M6" i="11"/>
  <c r="C6" i="11"/>
  <c r="Q6" i="11"/>
  <c r="K17" i="11"/>
  <c r="S17" i="11"/>
  <c r="AA17" i="11"/>
  <c r="F6" i="11"/>
  <c r="N6" i="11"/>
  <c r="N17" i="11"/>
  <c r="D17" i="11"/>
  <c r="L17" i="11"/>
  <c r="T17" i="11"/>
  <c r="C17" i="11"/>
  <c r="G6" i="11"/>
  <c r="O6" i="11"/>
  <c r="F17" i="11"/>
  <c r="I6" i="11"/>
  <c r="T6" i="11"/>
  <c r="E17" i="11"/>
  <c r="M17" i="11"/>
  <c r="U17" i="11"/>
  <c r="H6" i="11"/>
  <c r="P6" i="11"/>
  <c r="V17" i="11"/>
  <c r="G17" i="11"/>
  <c r="O17" i="11"/>
  <c r="W17" i="11"/>
  <c r="J6" i="11"/>
  <c r="R6" i="11"/>
  <c r="I17" i="11"/>
  <c r="Y17" i="11"/>
  <c r="L6" i="11"/>
  <c r="H17" i="11"/>
  <c r="P17" i="11"/>
  <c r="X17" i="11"/>
  <c r="K6" i="11"/>
  <c r="S6" i="11"/>
  <c r="Q17" i="11"/>
  <c r="D6" i="11"/>
  <c r="E10" i="19"/>
  <c r="B11" i="6"/>
  <c r="B10" i="6"/>
  <c r="B15" i="6" s="1"/>
  <c r="C86" i="3" s="1"/>
  <c r="B9" i="6"/>
  <c r="B14" i="6" s="1"/>
  <c r="B8" i="6"/>
  <c r="B5" i="6"/>
  <c r="B4" i="6"/>
  <c r="E32" i="21" l="1"/>
  <c r="C67" i="3"/>
  <c r="E37" i="20"/>
  <c r="C113" i="3"/>
  <c r="E47" i="21" s="1"/>
  <c r="F13" i="30"/>
  <c r="E13" i="30"/>
  <c r="C13" i="30"/>
  <c r="G13" i="30"/>
  <c r="K30" i="11"/>
  <c r="P30" i="11"/>
  <c r="V30" i="11"/>
  <c r="B13" i="6"/>
  <c r="B16" i="6"/>
  <c r="M50" i="11"/>
  <c r="E10" i="20"/>
  <c r="F13" i="29" s="1"/>
  <c r="K64" i="12"/>
  <c r="S64" i="12"/>
  <c r="AA64" i="12"/>
  <c r="AI64" i="12"/>
  <c r="E64" i="12"/>
  <c r="U64" i="12"/>
  <c r="AK64" i="12"/>
  <c r="Q64" i="12"/>
  <c r="Z64" i="12"/>
  <c r="D64" i="12"/>
  <c r="L64" i="12"/>
  <c r="T64" i="12"/>
  <c r="AB64" i="12"/>
  <c r="AJ64" i="12"/>
  <c r="M64" i="12"/>
  <c r="AC64" i="12"/>
  <c r="AG64" i="12"/>
  <c r="J64" i="12"/>
  <c r="F64" i="12"/>
  <c r="N64" i="12"/>
  <c r="V64" i="12"/>
  <c r="AD64" i="12"/>
  <c r="C64" i="12"/>
  <c r="P64" i="12"/>
  <c r="R64" i="12"/>
  <c r="G64" i="12"/>
  <c r="O64" i="12"/>
  <c r="W64" i="12"/>
  <c r="AE64" i="12"/>
  <c r="H64" i="12"/>
  <c r="X64" i="12"/>
  <c r="AF64" i="12"/>
  <c r="I64" i="12"/>
  <c r="Y64" i="12"/>
  <c r="AH64" i="12"/>
  <c r="C34" i="12"/>
  <c r="C33" i="12" s="1"/>
  <c r="E34" i="12"/>
  <c r="E33" i="12" s="1"/>
  <c r="F34" i="12"/>
  <c r="F33" i="12" s="1"/>
  <c r="G34" i="12"/>
  <c r="G33" i="12" s="1"/>
  <c r="D34" i="12"/>
  <c r="D33" i="12" s="1"/>
  <c r="E11" i="19"/>
  <c r="E12" i="19" s="1"/>
  <c r="I67" i="12"/>
  <c r="Q67" i="12"/>
  <c r="Y67" i="12"/>
  <c r="AG67" i="12"/>
  <c r="K67" i="12"/>
  <c r="S67" i="12"/>
  <c r="AI67" i="12"/>
  <c r="H67" i="12"/>
  <c r="X67" i="12"/>
  <c r="J67" i="12"/>
  <c r="R67" i="12"/>
  <c r="Z67" i="12"/>
  <c r="AH67" i="12"/>
  <c r="AA67" i="12"/>
  <c r="D67" i="12"/>
  <c r="L67" i="12"/>
  <c r="T67" i="12"/>
  <c r="AB67" i="12"/>
  <c r="AJ67" i="12"/>
  <c r="P67" i="12"/>
  <c r="E67" i="12"/>
  <c r="M67" i="12"/>
  <c r="U67" i="12"/>
  <c r="AC67" i="12"/>
  <c r="AK67" i="12"/>
  <c r="F67" i="12"/>
  <c r="N67" i="12"/>
  <c r="V67" i="12"/>
  <c r="AD67" i="12"/>
  <c r="C67" i="12"/>
  <c r="G67" i="12"/>
  <c r="O67" i="12"/>
  <c r="W67" i="12"/>
  <c r="AE67" i="12"/>
  <c r="AF67" i="12"/>
  <c r="G37" i="12"/>
  <c r="G36" i="12" s="1"/>
  <c r="C37" i="12"/>
  <c r="C36" i="12" s="1"/>
  <c r="D37" i="12"/>
  <c r="D36" i="12" s="1"/>
  <c r="E37" i="12"/>
  <c r="E36" i="12" s="1"/>
  <c r="F37" i="12"/>
  <c r="F36" i="12" s="1"/>
  <c r="D38" i="12"/>
  <c r="T50" i="11"/>
  <c r="R50" i="11"/>
  <c r="O50" i="11"/>
  <c r="F30" i="11"/>
  <c r="C38" i="12"/>
  <c r="L50" i="11"/>
  <c r="J50" i="11"/>
  <c r="G50" i="11"/>
  <c r="D70" i="11"/>
  <c r="D87" i="11" s="1"/>
  <c r="G38" i="12"/>
  <c r="D50" i="11"/>
  <c r="C70" i="11"/>
  <c r="E50" i="11"/>
  <c r="F38" i="12"/>
  <c r="E70" i="11"/>
  <c r="E87" i="11" s="1"/>
  <c r="Q50" i="11"/>
  <c r="C50" i="11"/>
  <c r="E38" i="12"/>
  <c r="F70" i="11"/>
  <c r="F87" i="11" s="1"/>
  <c r="I50" i="11"/>
  <c r="N50" i="11"/>
  <c r="S50" i="11"/>
  <c r="P50" i="11"/>
  <c r="F50" i="11"/>
  <c r="K50" i="11"/>
  <c r="H50" i="11"/>
  <c r="G70" i="11"/>
  <c r="G87" i="11" s="1"/>
  <c r="G10" i="29"/>
  <c r="G9" i="29" s="1"/>
  <c r="C10" i="29"/>
  <c r="C9" i="29" s="1"/>
  <c r="F10" i="29"/>
  <c r="F9" i="29" s="1"/>
  <c r="D10" i="29"/>
  <c r="D9" i="29" s="1"/>
  <c r="E10" i="29"/>
  <c r="E9" i="29" s="1"/>
  <c r="AB30" i="11"/>
  <c r="AH30" i="11"/>
  <c r="H30" i="11"/>
  <c r="N30" i="11"/>
  <c r="L30" i="11"/>
  <c r="R30" i="11"/>
  <c r="J30" i="11"/>
  <c r="W30" i="11"/>
  <c r="AK30" i="11"/>
  <c r="AA30" i="11"/>
  <c r="AI30" i="11"/>
  <c r="AJ30" i="11"/>
  <c r="AG30" i="11"/>
  <c r="O30" i="11"/>
  <c r="AC30" i="11"/>
  <c r="C30" i="11"/>
  <c r="T30" i="11"/>
  <c r="Q30" i="11"/>
  <c r="G30" i="11"/>
  <c r="U30" i="11"/>
  <c r="Z30" i="11"/>
  <c r="D30" i="11"/>
  <c r="AF30" i="11"/>
  <c r="M30" i="11"/>
  <c r="Y30" i="11"/>
  <c r="AE30" i="11"/>
  <c r="S30" i="11"/>
  <c r="X30" i="11"/>
  <c r="AD30" i="11"/>
  <c r="E30" i="11"/>
  <c r="I30" i="11"/>
  <c r="F4" i="11"/>
  <c r="E4" i="11"/>
  <c r="J4" i="11"/>
  <c r="S4" i="11"/>
  <c r="T4" i="11"/>
  <c r="C4" i="11"/>
  <c r="G4" i="11"/>
  <c r="D4" i="11"/>
  <c r="P4" i="11"/>
  <c r="K4" i="11"/>
  <c r="N4" i="11"/>
  <c r="M4" i="11"/>
  <c r="L4" i="11"/>
  <c r="I4" i="11"/>
  <c r="R4" i="11"/>
  <c r="H4" i="11"/>
  <c r="Q4" i="11"/>
  <c r="O4" i="11"/>
  <c r="E68" i="1"/>
  <c r="E67" i="1"/>
  <c r="E31" i="23"/>
  <c r="E30" i="23"/>
  <c r="E69" i="1"/>
  <c r="E33" i="21"/>
  <c r="D37" i="7"/>
  <c r="E37" i="7"/>
  <c r="F37" i="7"/>
  <c r="G37" i="7"/>
  <c r="H37" i="7"/>
  <c r="I37" i="7"/>
  <c r="J37" i="7"/>
  <c r="K37" i="7"/>
  <c r="L37" i="7"/>
  <c r="M37" i="7"/>
  <c r="N37" i="7"/>
  <c r="O37" i="7"/>
  <c r="P37" i="7"/>
  <c r="Q37" i="7"/>
  <c r="R37" i="7"/>
  <c r="S37" i="7"/>
  <c r="T37" i="7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D37" i="8"/>
  <c r="C37" i="8"/>
  <c r="AH59" i="12" l="1"/>
  <c r="AG59" i="12"/>
  <c r="AG84" i="12" s="1"/>
  <c r="C87" i="11"/>
  <c r="B29" i="41"/>
  <c r="B38" i="41" s="1"/>
  <c r="AH84" i="12"/>
  <c r="C16" i="41"/>
  <c r="C25" i="41" s="1"/>
  <c r="AG46" i="11"/>
  <c r="B3" i="41"/>
  <c r="B12" i="41" s="1"/>
  <c r="B16" i="41"/>
  <c r="B25" i="41" s="1"/>
  <c r="AH46" i="11"/>
  <c r="E75" i="29"/>
  <c r="M75" i="29"/>
  <c r="U75" i="29"/>
  <c r="AC75" i="29"/>
  <c r="AK75" i="29"/>
  <c r="G75" i="29"/>
  <c r="O75" i="29"/>
  <c r="W75" i="29"/>
  <c r="AE75" i="29"/>
  <c r="L75" i="29"/>
  <c r="X75" i="29"/>
  <c r="AH75" i="29"/>
  <c r="N75" i="29"/>
  <c r="Y75" i="29"/>
  <c r="AI75" i="29"/>
  <c r="D75" i="29"/>
  <c r="P75" i="29"/>
  <c r="Z75" i="29"/>
  <c r="AJ75" i="29"/>
  <c r="S75" i="29"/>
  <c r="C75" i="29"/>
  <c r="F75" i="29"/>
  <c r="T75" i="29"/>
  <c r="AF75" i="29"/>
  <c r="AG75" i="29"/>
  <c r="K75" i="29"/>
  <c r="H75" i="29"/>
  <c r="V75" i="29"/>
  <c r="I75" i="29"/>
  <c r="AA75" i="29"/>
  <c r="J75" i="29"/>
  <c r="AB75" i="29"/>
  <c r="AD75" i="29"/>
  <c r="Q75" i="29"/>
  <c r="R75" i="29"/>
  <c r="J94" i="30"/>
  <c r="R94" i="30"/>
  <c r="Z94" i="30"/>
  <c r="AH94" i="30"/>
  <c r="K94" i="30"/>
  <c r="S94" i="30"/>
  <c r="AA94" i="30"/>
  <c r="AI94" i="30"/>
  <c r="M94" i="30"/>
  <c r="W94" i="30"/>
  <c r="AG94" i="30"/>
  <c r="G94" i="30"/>
  <c r="Q94" i="30"/>
  <c r="AC94" i="30"/>
  <c r="I94" i="30"/>
  <c r="X94" i="30"/>
  <c r="C94" i="30"/>
  <c r="N94" i="30"/>
  <c r="AB94" i="30"/>
  <c r="O94" i="30"/>
  <c r="AD94" i="30"/>
  <c r="H94" i="30"/>
  <c r="V94" i="30"/>
  <c r="AK94" i="30"/>
  <c r="U94" i="30"/>
  <c r="Y94" i="30"/>
  <c r="D94" i="30"/>
  <c r="AE94" i="30"/>
  <c r="E94" i="30"/>
  <c r="AF94" i="30"/>
  <c r="F94" i="30"/>
  <c r="AJ94" i="30"/>
  <c r="L94" i="30"/>
  <c r="T94" i="30"/>
  <c r="P94" i="30"/>
  <c r="D80" i="30"/>
  <c r="L80" i="30"/>
  <c r="T80" i="30"/>
  <c r="AB80" i="30"/>
  <c r="AJ80" i="30"/>
  <c r="H80" i="30"/>
  <c r="P80" i="30"/>
  <c r="G80" i="30"/>
  <c r="R80" i="30"/>
  <c r="AA80" i="30"/>
  <c r="AK80" i="30"/>
  <c r="J80" i="30"/>
  <c r="U80" i="30"/>
  <c r="AD80" i="30"/>
  <c r="Q80" i="30"/>
  <c r="AE80" i="30"/>
  <c r="E80" i="30"/>
  <c r="S80" i="30"/>
  <c r="AF80" i="30"/>
  <c r="F80" i="30"/>
  <c r="V80" i="30"/>
  <c r="AG80" i="30"/>
  <c r="I80" i="30"/>
  <c r="W80" i="30"/>
  <c r="AH80" i="30"/>
  <c r="O80" i="30"/>
  <c r="AC80" i="30"/>
  <c r="AI80" i="30"/>
  <c r="C80" i="30"/>
  <c r="K80" i="30"/>
  <c r="M80" i="30"/>
  <c r="Y80" i="30"/>
  <c r="N80" i="30"/>
  <c r="X80" i="30"/>
  <c r="Z80" i="30"/>
  <c r="G81" i="30"/>
  <c r="O81" i="30"/>
  <c r="W81" i="30"/>
  <c r="AE81" i="30"/>
  <c r="K81" i="30"/>
  <c r="S81" i="30"/>
  <c r="AA81" i="30"/>
  <c r="AI81" i="30"/>
  <c r="J81" i="30"/>
  <c r="U81" i="30"/>
  <c r="AF81" i="30"/>
  <c r="M81" i="30"/>
  <c r="X81" i="30"/>
  <c r="AH81" i="30"/>
  <c r="I81" i="30"/>
  <c r="Y81" i="30"/>
  <c r="C81" i="30"/>
  <c r="L81" i="30"/>
  <c r="Z81" i="30"/>
  <c r="N81" i="30"/>
  <c r="AB81" i="30"/>
  <c r="P81" i="30"/>
  <c r="AC81" i="30"/>
  <c r="H81" i="30"/>
  <c r="V81" i="30"/>
  <c r="AK81" i="30"/>
  <c r="AG81" i="30"/>
  <c r="D81" i="30"/>
  <c r="AJ81" i="30"/>
  <c r="AD81" i="30"/>
  <c r="E81" i="30"/>
  <c r="F81" i="30"/>
  <c r="Q81" i="30"/>
  <c r="R81" i="30"/>
  <c r="T81" i="30"/>
  <c r="E34" i="36"/>
  <c r="E28" i="34"/>
  <c r="F28" i="34"/>
  <c r="C28" i="34"/>
  <c r="G28" i="34"/>
  <c r="D28" i="34"/>
  <c r="C82" i="3"/>
  <c r="C83" i="3"/>
  <c r="E36" i="20" s="1"/>
  <c r="C107" i="3"/>
  <c r="E35" i="36"/>
  <c r="D29" i="34"/>
  <c r="C29" i="34"/>
  <c r="E29" i="34"/>
  <c r="F29" i="34"/>
  <c r="G29" i="34"/>
  <c r="E44" i="30"/>
  <c r="E46" i="38" s="1"/>
  <c r="C44" i="30"/>
  <c r="C46" i="38" s="1"/>
  <c r="D44" i="30"/>
  <c r="D46" i="38" s="1"/>
  <c r="G44" i="30"/>
  <c r="G46" i="38" s="1"/>
  <c r="E43" i="21"/>
  <c r="P90" i="30" s="1"/>
  <c r="E45" i="23"/>
  <c r="F44" i="30"/>
  <c r="F46" i="38" s="1"/>
  <c r="D31" i="34"/>
  <c r="E31" i="34"/>
  <c r="F31" i="34"/>
  <c r="G31" i="34"/>
  <c r="C31" i="34"/>
  <c r="C85" i="3"/>
  <c r="E33" i="20"/>
  <c r="E37" i="37"/>
  <c r="D37" i="37"/>
  <c r="F37" i="37"/>
  <c r="C37" i="37"/>
  <c r="E39" i="35"/>
  <c r="E35" i="22"/>
  <c r="G37" i="37"/>
  <c r="D13" i="29"/>
  <c r="C31" i="29"/>
  <c r="E13" i="29"/>
  <c r="G35" i="29"/>
  <c r="G13" i="29"/>
  <c r="C13" i="29"/>
  <c r="D35" i="29"/>
  <c r="E35" i="29"/>
  <c r="C35" i="29"/>
  <c r="F35" i="29"/>
  <c r="G29" i="12"/>
  <c r="G55" i="12" s="1"/>
  <c r="E29" i="12"/>
  <c r="E55" i="12" s="1"/>
  <c r="F31" i="30"/>
  <c r="F33" i="38" s="1"/>
  <c r="G31" i="30"/>
  <c r="G33" i="38" s="1"/>
  <c r="E31" i="30"/>
  <c r="E33" i="38" s="1"/>
  <c r="C31" i="30"/>
  <c r="C33" i="38" s="1"/>
  <c r="D31" i="30"/>
  <c r="D33" i="38" s="1"/>
  <c r="D30" i="30"/>
  <c r="D32" i="38" s="1"/>
  <c r="C30" i="30"/>
  <c r="C32" i="38" s="1"/>
  <c r="G30" i="30"/>
  <c r="G32" i="38" s="1"/>
  <c r="E30" i="30"/>
  <c r="E32" i="38" s="1"/>
  <c r="F30" i="30"/>
  <c r="F32" i="38" s="1"/>
  <c r="F29" i="12"/>
  <c r="F55" i="12" s="1"/>
  <c r="D29" i="12"/>
  <c r="D55" i="12" s="1"/>
  <c r="C29" i="12"/>
  <c r="D4" i="13"/>
  <c r="E4" i="13"/>
  <c r="F4" i="13"/>
  <c r="G4" i="13"/>
  <c r="H4" i="13"/>
  <c r="I4" i="13"/>
  <c r="J4" i="13"/>
  <c r="K4" i="13"/>
  <c r="L4" i="13"/>
  <c r="M4" i="13"/>
  <c r="N4" i="13"/>
  <c r="O4" i="13"/>
  <c r="P4" i="13"/>
  <c r="Q4" i="13"/>
  <c r="R4" i="13"/>
  <c r="S4" i="13"/>
  <c r="T4" i="13"/>
  <c r="U4" i="13"/>
  <c r="V4" i="13"/>
  <c r="W4" i="13"/>
  <c r="X4" i="13"/>
  <c r="Y4" i="13"/>
  <c r="Z4" i="13"/>
  <c r="AA4" i="13"/>
  <c r="C4" i="13"/>
  <c r="E98" i="1"/>
  <c r="D4" i="12"/>
  <c r="E4" i="12"/>
  <c r="F4" i="12"/>
  <c r="G4" i="12"/>
  <c r="H4" i="12"/>
  <c r="I4" i="12"/>
  <c r="J4" i="12"/>
  <c r="K4" i="12"/>
  <c r="L4" i="12"/>
  <c r="M4" i="12"/>
  <c r="N4" i="12"/>
  <c r="O4" i="12"/>
  <c r="P4" i="12"/>
  <c r="Q4" i="12"/>
  <c r="R4" i="12"/>
  <c r="S4" i="12"/>
  <c r="T4" i="12"/>
  <c r="C4" i="12"/>
  <c r="E117" i="1"/>
  <c r="E116" i="1"/>
  <c r="I13" i="13" s="1"/>
  <c r="E115" i="1"/>
  <c r="E114" i="1"/>
  <c r="I12" i="13" s="1"/>
  <c r="E113" i="1"/>
  <c r="I11" i="13" s="1"/>
  <c r="E112" i="1"/>
  <c r="I10" i="13" s="1"/>
  <c r="C3" i="41" l="1"/>
  <c r="C12" i="41" s="1"/>
  <c r="E31" i="20"/>
  <c r="C55" i="12"/>
  <c r="C29" i="41"/>
  <c r="C38" i="41" s="1"/>
  <c r="K84" i="38"/>
  <c r="K78" i="34"/>
  <c r="P97" i="38"/>
  <c r="P91" i="34"/>
  <c r="AG97" i="38"/>
  <c r="AG91" i="34"/>
  <c r="Y78" i="37"/>
  <c r="Y73" i="31"/>
  <c r="I90" i="30"/>
  <c r="Q90" i="30"/>
  <c r="Y90" i="30"/>
  <c r="AG90" i="30"/>
  <c r="J90" i="30"/>
  <c r="R90" i="30"/>
  <c r="Z90" i="30"/>
  <c r="AH90" i="30"/>
  <c r="D90" i="30"/>
  <c r="N90" i="30"/>
  <c r="X90" i="30"/>
  <c r="AJ90" i="30"/>
  <c r="H90" i="30"/>
  <c r="T90" i="30"/>
  <c r="AD90" i="30"/>
  <c r="E90" i="30"/>
  <c r="S90" i="30"/>
  <c r="AF90" i="30"/>
  <c r="G90" i="30"/>
  <c r="V90" i="30"/>
  <c r="AK90" i="30"/>
  <c r="K90" i="30"/>
  <c r="W90" i="30"/>
  <c r="C90" i="30"/>
  <c r="M90" i="30"/>
  <c r="AI90" i="30"/>
  <c r="O90" i="30"/>
  <c r="U90" i="30"/>
  <c r="AA90" i="30"/>
  <c r="AB90" i="30"/>
  <c r="L90" i="30"/>
  <c r="AE90" i="30"/>
  <c r="F90" i="30"/>
  <c r="AC90" i="30"/>
  <c r="E84" i="38"/>
  <c r="E78" i="34"/>
  <c r="AC84" i="38"/>
  <c r="AC78" i="34"/>
  <c r="I84" i="38"/>
  <c r="I78" i="34"/>
  <c r="AA84" i="38"/>
  <c r="AA78" i="34"/>
  <c r="X83" i="38"/>
  <c r="X77" i="34"/>
  <c r="O83" i="38"/>
  <c r="O77" i="34"/>
  <c r="S83" i="38"/>
  <c r="S77" i="34"/>
  <c r="AA83" i="38"/>
  <c r="AA77" i="34"/>
  <c r="L83" i="38"/>
  <c r="L77" i="34"/>
  <c r="E97" i="38"/>
  <c r="E91" i="34"/>
  <c r="AD97" i="38"/>
  <c r="AD91" i="34"/>
  <c r="Q97" i="38"/>
  <c r="Q91" i="34"/>
  <c r="K97" i="38"/>
  <c r="K91" i="34"/>
  <c r="AB78" i="37"/>
  <c r="AB73" i="31"/>
  <c r="AF78" i="37"/>
  <c r="AF73" i="31"/>
  <c r="D78" i="37"/>
  <c r="D73" i="31"/>
  <c r="W78" i="37"/>
  <c r="W73" i="31"/>
  <c r="AD84" i="38"/>
  <c r="AD78" i="34"/>
  <c r="P84" i="38"/>
  <c r="P78" i="34"/>
  <c r="AH84" i="38"/>
  <c r="AH78" i="34"/>
  <c r="S84" i="38"/>
  <c r="S78" i="34"/>
  <c r="N83" i="38"/>
  <c r="N77" i="34"/>
  <c r="AH83" i="38"/>
  <c r="AH77" i="34"/>
  <c r="E83" i="38"/>
  <c r="E77" i="34"/>
  <c r="R83" i="38"/>
  <c r="R77" i="34"/>
  <c r="D83" i="38"/>
  <c r="D77" i="34"/>
  <c r="AE97" i="38"/>
  <c r="AE91" i="34"/>
  <c r="O97" i="38"/>
  <c r="O91" i="34"/>
  <c r="G97" i="38"/>
  <c r="G91" i="34"/>
  <c r="AH97" i="38"/>
  <c r="AH91" i="34"/>
  <c r="J78" i="37"/>
  <c r="J73" i="31"/>
  <c r="T78" i="37"/>
  <c r="T73" i="31"/>
  <c r="AI78" i="37"/>
  <c r="AI73" i="31"/>
  <c r="O73" i="31"/>
  <c r="O78" i="37"/>
  <c r="AB84" i="38"/>
  <c r="AB78" i="34"/>
  <c r="W83" i="38"/>
  <c r="W77" i="34"/>
  <c r="D97" i="38"/>
  <c r="D91" i="34"/>
  <c r="AA78" i="37"/>
  <c r="AA73" i="31"/>
  <c r="J74" i="29"/>
  <c r="R74" i="29"/>
  <c r="Z74" i="29"/>
  <c r="AH74" i="29"/>
  <c r="D74" i="29"/>
  <c r="L74" i="29"/>
  <c r="T74" i="29"/>
  <c r="AB74" i="29"/>
  <c r="AJ74" i="29"/>
  <c r="I74" i="29"/>
  <c r="U74" i="29"/>
  <c r="AE74" i="29"/>
  <c r="K74" i="29"/>
  <c r="V74" i="29"/>
  <c r="AF74" i="29"/>
  <c r="M74" i="29"/>
  <c r="W74" i="29"/>
  <c r="AG74" i="29"/>
  <c r="Q74" i="29"/>
  <c r="AK74" i="29"/>
  <c r="E74" i="29"/>
  <c r="S74" i="29"/>
  <c r="C74" i="29"/>
  <c r="G74" i="29"/>
  <c r="AD74" i="29"/>
  <c r="AI74" i="29"/>
  <c r="F74" i="29"/>
  <c r="X74" i="29"/>
  <c r="Y74" i="29"/>
  <c r="H74" i="29"/>
  <c r="AA74" i="29"/>
  <c r="N74" i="29"/>
  <c r="AC74" i="29"/>
  <c r="O74" i="29"/>
  <c r="P74" i="29"/>
  <c r="Z84" i="38"/>
  <c r="Z78" i="34"/>
  <c r="K83" i="38"/>
  <c r="K77" i="34"/>
  <c r="H83" i="38"/>
  <c r="H77" i="34"/>
  <c r="U97" i="38"/>
  <c r="U91" i="34"/>
  <c r="C97" i="38"/>
  <c r="C91" i="34"/>
  <c r="J97" i="38"/>
  <c r="J91" i="34"/>
  <c r="AC73" i="31"/>
  <c r="AC78" i="37"/>
  <c r="R84" i="38"/>
  <c r="R78" i="34"/>
  <c r="AK84" i="38"/>
  <c r="AK78" i="34"/>
  <c r="L84" i="38"/>
  <c r="L78" i="34"/>
  <c r="U84" i="38"/>
  <c r="U78" i="34"/>
  <c r="O84" i="38"/>
  <c r="O78" i="34"/>
  <c r="C83" i="38"/>
  <c r="C77" i="34"/>
  <c r="V83" i="38"/>
  <c r="V77" i="34"/>
  <c r="U83" i="38"/>
  <c r="U77" i="34"/>
  <c r="AJ83" i="38"/>
  <c r="AJ77" i="34"/>
  <c r="AJ97" i="38"/>
  <c r="AJ91" i="34"/>
  <c r="AK97" i="38"/>
  <c r="AK91" i="34"/>
  <c r="X97" i="38"/>
  <c r="X91" i="34"/>
  <c r="AI97" i="38"/>
  <c r="AI91" i="34"/>
  <c r="R78" i="37"/>
  <c r="R73" i="31"/>
  <c r="H78" i="37"/>
  <c r="H73" i="31"/>
  <c r="AJ78" i="37"/>
  <c r="AJ73" i="31"/>
  <c r="X78" i="37"/>
  <c r="X73" i="31"/>
  <c r="U78" i="37"/>
  <c r="U73" i="31"/>
  <c r="AJ84" i="38"/>
  <c r="AJ78" i="34"/>
  <c r="Y83" i="38"/>
  <c r="Y77" i="34"/>
  <c r="G83" i="38"/>
  <c r="G77" i="34"/>
  <c r="F78" i="37"/>
  <c r="F73" i="31"/>
  <c r="N84" i="38"/>
  <c r="N78" i="34"/>
  <c r="M84" i="38"/>
  <c r="M78" i="34"/>
  <c r="M83" i="38"/>
  <c r="M77" i="34"/>
  <c r="Q83" i="38"/>
  <c r="Q77" i="34"/>
  <c r="T97" i="38"/>
  <c r="T91" i="34"/>
  <c r="Y97" i="38"/>
  <c r="Y91" i="34"/>
  <c r="W97" i="38"/>
  <c r="W91" i="34"/>
  <c r="I78" i="37"/>
  <c r="I73" i="31"/>
  <c r="AK78" i="37"/>
  <c r="AK73" i="31"/>
  <c r="T84" i="38"/>
  <c r="T78" i="34"/>
  <c r="AF84" i="38"/>
  <c r="AF78" i="34"/>
  <c r="W84" i="38"/>
  <c r="W78" i="34"/>
  <c r="AD83" i="38"/>
  <c r="AD77" i="34"/>
  <c r="L97" i="38"/>
  <c r="L91" i="34"/>
  <c r="M97" i="38"/>
  <c r="M91" i="34"/>
  <c r="V73" i="31"/>
  <c r="V78" i="37"/>
  <c r="AH78" i="37"/>
  <c r="AH73" i="31"/>
  <c r="Q84" i="38"/>
  <c r="Q78" i="34"/>
  <c r="V84" i="38"/>
  <c r="V78" i="34"/>
  <c r="C84" i="38"/>
  <c r="C78" i="34"/>
  <c r="J84" i="38"/>
  <c r="J78" i="34"/>
  <c r="G84" i="38"/>
  <c r="G78" i="34"/>
  <c r="AI77" i="34"/>
  <c r="AI83" i="38"/>
  <c r="F83" i="38"/>
  <c r="F77" i="34"/>
  <c r="J83" i="38"/>
  <c r="J77" i="34"/>
  <c r="AB83" i="38"/>
  <c r="AB77" i="34"/>
  <c r="F97" i="38"/>
  <c r="F91" i="34"/>
  <c r="V97" i="38"/>
  <c r="V91" i="34"/>
  <c r="I97" i="38"/>
  <c r="I91" i="34"/>
  <c r="AA97" i="38"/>
  <c r="AA91" i="34"/>
  <c r="Q78" i="37"/>
  <c r="Q73" i="31"/>
  <c r="K78" i="37"/>
  <c r="K73" i="31"/>
  <c r="Z78" i="37"/>
  <c r="Z73" i="31"/>
  <c r="L78" i="37"/>
  <c r="L73" i="31"/>
  <c r="M73" i="31"/>
  <c r="M78" i="37"/>
  <c r="X84" i="38"/>
  <c r="X78" i="34"/>
  <c r="AE83" i="38"/>
  <c r="AE77" i="34"/>
  <c r="AB97" i="38"/>
  <c r="AB91" i="34"/>
  <c r="Z97" i="38"/>
  <c r="Z91" i="34"/>
  <c r="G73" i="31"/>
  <c r="G78" i="37"/>
  <c r="D84" i="38"/>
  <c r="D78" i="34"/>
  <c r="AE84" i="38"/>
  <c r="AE78" i="34"/>
  <c r="I83" i="38"/>
  <c r="I77" i="34"/>
  <c r="P83" i="38"/>
  <c r="P77" i="34"/>
  <c r="N97" i="38"/>
  <c r="N91" i="34"/>
  <c r="R97" i="38"/>
  <c r="R91" i="34"/>
  <c r="C78" i="37"/>
  <c r="C73" i="31"/>
  <c r="N78" i="37"/>
  <c r="N73" i="31"/>
  <c r="AG84" i="38"/>
  <c r="AG78" i="34"/>
  <c r="AG83" i="38"/>
  <c r="AG77" i="34"/>
  <c r="S78" i="37"/>
  <c r="S73" i="31"/>
  <c r="D71" i="29"/>
  <c r="L71" i="29"/>
  <c r="T71" i="29"/>
  <c r="AB71" i="29"/>
  <c r="AJ71" i="29"/>
  <c r="F71" i="29"/>
  <c r="N71" i="29"/>
  <c r="V71" i="29"/>
  <c r="AD71" i="29"/>
  <c r="C71" i="29"/>
  <c r="O71" i="29"/>
  <c r="Y71" i="29"/>
  <c r="AI71" i="29"/>
  <c r="E71" i="29"/>
  <c r="P71" i="29"/>
  <c r="Z71" i="29"/>
  <c r="AK71" i="29"/>
  <c r="G71" i="29"/>
  <c r="Q71" i="29"/>
  <c r="AA71" i="29"/>
  <c r="R71" i="29"/>
  <c r="AG71" i="29"/>
  <c r="S71" i="29"/>
  <c r="AH71" i="29"/>
  <c r="W71" i="29"/>
  <c r="K71" i="29"/>
  <c r="AE71" i="29"/>
  <c r="AF71" i="29"/>
  <c r="U71" i="29"/>
  <c r="H71" i="29"/>
  <c r="I71" i="29"/>
  <c r="X71" i="29"/>
  <c r="J71" i="29"/>
  <c r="AC71" i="29"/>
  <c r="M71" i="29"/>
  <c r="F84" i="38"/>
  <c r="F78" i="34"/>
  <c r="H84" i="38"/>
  <c r="H78" i="34"/>
  <c r="Y84" i="38"/>
  <c r="Y78" i="34"/>
  <c r="AI84" i="38"/>
  <c r="AI78" i="34"/>
  <c r="Z83" i="38"/>
  <c r="Z77" i="34"/>
  <c r="AC83" i="38"/>
  <c r="AC77" i="34"/>
  <c r="AF83" i="38"/>
  <c r="AF77" i="34"/>
  <c r="AK83" i="38"/>
  <c r="AK77" i="34"/>
  <c r="T83" i="38"/>
  <c r="T77" i="34"/>
  <c r="AF97" i="38"/>
  <c r="AF91" i="34"/>
  <c r="H97" i="38"/>
  <c r="H91" i="34"/>
  <c r="AC97" i="38"/>
  <c r="AC91" i="34"/>
  <c r="S91" i="34"/>
  <c r="S97" i="38"/>
  <c r="AD78" i="37"/>
  <c r="AD73" i="31"/>
  <c r="AG78" i="37"/>
  <c r="AG73" i="31"/>
  <c r="P78" i="37"/>
  <c r="P73" i="31"/>
  <c r="AE73" i="31"/>
  <c r="AE78" i="37"/>
  <c r="E78" i="37"/>
  <c r="E73" i="31"/>
  <c r="E38" i="20"/>
  <c r="C38" i="37" s="1"/>
  <c r="C114" i="3"/>
  <c r="E48" i="21" s="1"/>
  <c r="E45" i="30" s="1"/>
  <c r="E47" i="38" s="1"/>
  <c r="C33" i="31"/>
  <c r="F33" i="31"/>
  <c r="G33" i="31"/>
  <c r="D33" i="31"/>
  <c r="E33" i="31"/>
  <c r="E49" i="36"/>
  <c r="D42" i="34"/>
  <c r="E42" i="34"/>
  <c r="C42" i="34"/>
  <c r="F42" i="34"/>
  <c r="G42" i="34"/>
  <c r="G40" i="30"/>
  <c r="G42" i="38" s="1"/>
  <c r="E40" i="30"/>
  <c r="E42" i="38" s="1"/>
  <c r="C40" i="30"/>
  <c r="C42" i="38" s="1"/>
  <c r="D40" i="30"/>
  <c r="D42" i="38" s="1"/>
  <c r="F40" i="30"/>
  <c r="F42" i="38" s="1"/>
  <c r="E41" i="23"/>
  <c r="E35" i="35"/>
  <c r="F33" i="37"/>
  <c r="E33" i="37"/>
  <c r="G33" i="37"/>
  <c r="C33" i="37"/>
  <c r="E31" i="22"/>
  <c r="D33" i="37"/>
  <c r="E30" i="20"/>
  <c r="E32" i="20"/>
  <c r="C36" i="37"/>
  <c r="D36" i="37"/>
  <c r="E36" i="37"/>
  <c r="G36" i="37"/>
  <c r="E38" i="35"/>
  <c r="E34" i="22"/>
  <c r="F36" i="37"/>
  <c r="D34" i="29"/>
  <c r="C34" i="29"/>
  <c r="G34" i="29"/>
  <c r="F34" i="29"/>
  <c r="E34" i="29"/>
  <c r="C111" i="3"/>
  <c r="E31" i="29"/>
  <c r="G31" i="29"/>
  <c r="F31" i="29"/>
  <c r="D31" i="29"/>
  <c r="Q13" i="12"/>
  <c r="I13" i="12"/>
  <c r="P11" i="13"/>
  <c r="C11" i="12"/>
  <c r="O11" i="12"/>
  <c r="S11" i="12"/>
  <c r="K13" i="12"/>
  <c r="N11" i="13"/>
  <c r="M11" i="12"/>
  <c r="F11" i="13"/>
  <c r="K11" i="12"/>
  <c r="N13" i="13"/>
  <c r="G11" i="12"/>
  <c r="C11" i="13"/>
  <c r="E11" i="12"/>
  <c r="X11" i="13"/>
  <c r="H11" i="13"/>
  <c r="S13" i="12"/>
  <c r="V11" i="13"/>
  <c r="X10" i="13"/>
  <c r="P10" i="13"/>
  <c r="H10" i="13"/>
  <c r="X12" i="13"/>
  <c r="P12" i="13"/>
  <c r="H12" i="13"/>
  <c r="X13" i="13"/>
  <c r="P13" i="13"/>
  <c r="H13" i="13"/>
  <c r="T10" i="12"/>
  <c r="L10" i="12"/>
  <c r="D10" i="12"/>
  <c r="N11" i="12"/>
  <c r="F11" i="12"/>
  <c r="P12" i="12"/>
  <c r="H12" i="12"/>
  <c r="R13" i="12"/>
  <c r="J13" i="12"/>
  <c r="C10" i="13"/>
  <c r="W10" i="13"/>
  <c r="O10" i="13"/>
  <c r="G10" i="13"/>
  <c r="W11" i="13"/>
  <c r="O11" i="13"/>
  <c r="G11" i="13"/>
  <c r="W12" i="13"/>
  <c r="O12" i="13"/>
  <c r="G12" i="13"/>
  <c r="W13" i="13"/>
  <c r="O13" i="13"/>
  <c r="G13" i="13"/>
  <c r="M10" i="12"/>
  <c r="Q12" i="12"/>
  <c r="N10" i="13"/>
  <c r="V12" i="13"/>
  <c r="N12" i="13"/>
  <c r="V13" i="13"/>
  <c r="F13" i="13"/>
  <c r="R10" i="12"/>
  <c r="J10" i="12"/>
  <c r="T11" i="12"/>
  <c r="L11" i="12"/>
  <c r="D11" i="12"/>
  <c r="N12" i="12"/>
  <c r="F12" i="12"/>
  <c r="P13" i="12"/>
  <c r="H13" i="12"/>
  <c r="C12" i="13"/>
  <c r="U10" i="13"/>
  <c r="M10" i="13"/>
  <c r="E10" i="13"/>
  <c r="U11" i="13"/>
  <c r="M11" i="13"/>
  <c r="E11" i="13"/>
  <c r="U12" i="13"/>
  <c r="M12" i="13"/>
  <c r="E12" i="13"/>
  <c r="U13" i="13"/>
  <c r="M13" i="13"/>
  <c r="E13" i="13"/>
  <c r="D13" i="13"/>
  <c r="E10" i="12"/>
  <c r="I12" i="12"/>
  <c r="S10" i="12"/>
  <c r="O12" i="12"/>
  <c r="Q10" i="12"/>
  <c r="I10" i="12"/>
  <c r="C12" i="12"/>
  <c r="O13" i="12"/>
  <c r="P10" i="12"/>
  <c r="H10" i="12"/>
  <c r="R11" i="12"/>
  <c r="J11" i="12"/>
  <c r="T12" i="12"/>
  <c r="L12" i="12"/>
  <c r="D12" i="12"/>
  <c r="N13" i="12"/>
  <c r="F13" i="12"/>
  <c r="AA10" i="13"/>
  <c r="S10" i="13"/>
  <c r="K10" i="13"/>
  <c r="AA11" i="13"/>
  <c r="S11" i="13"/>
  <c r="K11" i="13"/>
  <c r="AA12" i="13"/>
  <c r="S12" i="13"/>
  <c r="K12" i="13"/>
  <c r="AA13" i="13"/>
  <c r="S13" i="13"/>
  <c r="K13" i="13"/>
  <c r="C10" i="12"/>
  <c r="G12" i="12"/>
  <c r="V10" i="13"/>
  <c r="F10" i="13"/>
  <c r="F12" i="13"/>
  <c r="G13" i="12"/>
  <c r="C13" i="13"/>
  <c r="T10" i="13"/>
  <c r="L10" i="13"/>
  <c r="T11" i="13"/>
  <c r="L11" i="13"/>
  <c r="T12" i="13"/>
  <c r="L12" i="13"/>
  <c r="T13" i="13"/>
  <c r="O10" i="12"/>
  <c r="G10" i="12"/>
  <c r="Q11" i="12"/>
  <c r="I11" i="12"/>
  <c r="S12" i="12"/>
  <c r="K12" i="12"/>
  <c r="C13" i="12"/>
  <c r="M13" i="12"/>
  <c r="E13" i="12"/>
  <c r="Z10" i="13"/>
  <c r="R10" i="13"/>
  <c r="J10" i="13"/>
  <c r="Z11" i="13"/>
  <c r="R11" i="13"/>
  <c r="J11" i="13"/>
  <c r="Z12" i="13"/>
  <c r="R12" i="13"/>
  <c r="J12" i="13"/>
  <c r="Z13" i="13"/>
  <c r="R13" i="13"/>
  <c r="J13" i="13"/>
  <c r="K10" i="12"/>
  <c r="M12" i="12"/>
  <c r="E12" i="12"/>
  <c r="D10" i="13"/>
  <c r="D11" i="13"/>
  <c r="D12" i="13"/>
  <c r="L13" i="13"/>
  <c r="N10" i="12"/>
  <c r="F10" i="12"/>
  <c r="P11" i="12"/>
  <c r="H11" i="12"/>
  <c r="R12" i="12"/>
  <c r="J12" i="12"/>
  <c r="T13" i="12"/>
  <c r="L13" i="12"/>
  <c r="D13" i="12"/>
  <c r="Y10" i="13"/>
  <c r="Q10" i="13"/>
  <c r="Y11" i="13"/>
  <c r="Q11" i="13"/>
  <c r="Y12" i="13"/>
  <c r="Q12" i="13"/>
  <c r="Y13" i="13"/>
  <c r="Q13" i="13"/>
  <c r="E46" i="23" l="1"/>
  <c r="E40" i="35"/>
  <c r="D36" i="29"/>
  <c r="D38" i="37"/>
  <c r="G36" i="29"/>
  <c r="E36" i="29"/>
  <c r="C45" i="30"/>
  <c r="C47" i="38" s="1"/>
  <c r="F36" i="29"/>
  <c r="E38" i="37"/>
  <c r="G38" i="37"/>
  <c r="F45" i="30"/>
  <c r="F47" i="38" s="1"/>
  <c r="E36" i="22"/>
  <c r="C34" i="31" s="1"/>
  <c r="C36" i="29"/>
  <c r="D32" i="41" s="1"/>
  <c r="F32" i="41" s="1"/>
  <c r="H32" i="41" s="1"/>
  <c r="F38" i="37"/>
  <c r="H74" i="37"/>
  <c r="H69" i="31"/>
  <c r="AG74" i="37"/>
  <c r="AG69" i="31"/>
  <c r="E74" i="37"/>
  <c r="E69" i="31"/>
  <c r="F74" i="37"/>
  <c r="F69" i="31"/>
  <c r="AC77" i="37"/>
  <c r="AC72" i="31"/>
  <c r="AD77" i="37"/>
  <c r="AD72" i="31"/>
  <c r="W77" i="37"/>
  <c r="W72" i="31"/>
  <c r="AJ77" i="37"/>
  <c r="AJ72" i="31"/>
  <c r="J77" i="37"/>
  <c r="J72" i="31"/>
  <c r="L93" i="38"/>
  <c r="L87" i="34"/>
  <c r="C93" i="38"/>
  <c r="C87" i="34"/>
  <c r="E93" i="38"/>
  <c r="E87" i="34"/>
  <c r="AH93" i="38"/>
  <c r="AH87" i="34"/>
  <c r="U74" i="37"/>
  <c r="U69" i="31"/>
  <c r="R74" i="37"/>
  <c r="R69" i="31"/>
  <c r="AI74" i="37"/>
  <c r="AI69" i="31"/>
  <c r="AJ74" i="37"/>
  <c r="AJ69" i="31"/>
  <c r="N77" i="37"/>
  <c r="N72" i="31"/>
  <c r="G77" i="37"/>
  <c r="G72" i="31"/>
  <c r="M77" i="37"/>
  <c r="M72" i="31"/>
  <c r="AB77" i="37"/>
  <c r="AB72" i="31"/>
  <c r="AB93" i="38"/>
  <c r="AB87" i="34"/>
  <c r="W93" i="38"/>
  <c r="W87" i="34"/>
  <c r="AD93" i="38"/>
  <c r="AD87" i="34"/>
  <c r="Z93" i="38"/>
  <c r="Z87" i="34"/>
  <c r="AF74" i="37"/>
  <c r="AF69" i="31"/>
  <c r="AA74" i="37"/>
  <c r="AA69" i="31"/>
  <c r="Y74" i="37"/>
  <c r="Y69" i="31"/>
  <c r="AB74" i="37"/>
  <c r="AB69" i="31"/>
  <c r="AA77" i="37"/>
  <c r="AA72" i="31"/>
  <c r="C77" i="37"/>
  <c r="C72" i="31"/>
  <c r="AF77" i="37"/>
  <c r="AF72" i="31"/>
  <c r="T77" i="37"/>
  <c r="T72" i="31"/>
  <c r="AA93" i="38"/>
  <c r="AA87" i="34"/>
  <c r="K93" i="38"/>
  <c r="K87" i="34"/>
  <c r="T93" i="38"/>
  <c r="T87" i="34"/>
  <c r="R93" i="38"/>
  <c r="R87" i="34"/>
  <c r="O74" i="37"/>
  <c r="O69" i="31"/>
  <c r="L77" i="37"/>
  <c r="L72" i="31"/>
  <c r="U93" i="38"/>
  <c r="U87" i="34"/>
  <c r="AK93" i="38"/>
  <c r="AK87" i="34"/>
  <c r="H93" i="38"/>
  <c r="H87" i="34"/>
  <c r="J93" i="38"/>
  <c r="J87" i="34"/>
  <c r="M74" i="37"/>
  <c r="M69" i="31"/>
  <c r="T74" i="37"/>
  <c r="T69" i="31"/>
  <c r="S77" i="37"/>
  <c r="S72" i="31"/>
  <c r="C74" i="37"/>
  <c r="C69" i="31"/>
  <c r="Y77" i="37"/>
  <c r="Y72" i="31"/>
  <c r="K77" i="37"/>
  <c r="K72" i="31"/>
  <c r="P93" i="38"/>
  <c r="P87" i="34"/>
  <c r="G45" i="30"/>
  <c r="G47" i="38" s="1"/>
  <c r="E95" i="30"/>
  <c r="M95" i="30"/>
  <c r="U95" i="30"/>
  <c r="AC95" i="30"/>
  <c r="AK95" i="30"/>
  <c r="F95" i="30"/>
  <c r="N95" i="30"/>
  <c r="V95" i="30"/>
  <c r="AD95" i="30"/>
  <c r="C95" i="30"/>
  <c r="D95" i="30"/>
  <c r="P95" i="30"/>
  <c r="Z95" i="30"/>
  <c r="AJ95" i="30"/>
  <c r="J95" i="30"/>
  <c r="T95" i="30"/>
  <c r="AF95" i="30"/>
  <c r="Q95" i="30"/>
  <c r="AE95" i="30"/>
  <c r="G95" i="30"/>
  <c r="S95" i="30"/>
  <c r="AH95" i="30"/>
  <c r="H95" i="30"/>
  <c r="W95" i="30"/>
  <c r="AI95" i="30"/>
  <c r="O95" i="30"/>
  <c r="AB95" i="30"/>
  <c r="AA95" i="30"/>
  <c r="AG95" i="30"/>
  <c r="I95" i="30"/>
  <c r="K95" i="30"/>
  <c r="L95" i="30"/>
  <c r="R95" i="30"/>
  <c r="Y95" i="30"/>
  <c r="X95" i="30"/>
  <c r="J69" i="31"/>
  <c r="J74" i="37"/>
  <c r="W69" i="31"/>
  <c r="W74" i="37"/>
  <c r="AK74" i="37"/>
  <c r="AK69" i="31"/>
  <c r="AD69" i="31"/>
  <c r="AD74" i="37"/>
  <c r="D74" i="37"/>
  <c r="D69" i="31"/>
  <c r="X77" i="37"/>
  <c r="X72" i="31"/>
  <c r="AK77" i="37"/>
  <c r="AK72" i="31"/>
  <c r="AE77" i="37"/>
  <c r="AE72" i="31"/>
  <c r="AH72" i="31"/>
  <c r="AH77" i="37"/>
  <c r="AC93" i="38"/>
  <c r="AC87" i="34"/>
  <c r="O93" i="38"/>
  <c r="O87" i="34"/>
  <c r="G93" i="38"/>
  <c r="G87" i="34"/>
  <c r="X93" i="38"/>
  <c r="X87" i="34"/>
  <c r="Y93" i="38"/>
  <c r="Y87" i="34"/>
  <c r="I70" i="29"/>
  <c r="Q70" i="29"/>
  <c r="Y70" i="29"/>
  <c r="AG70" i="29"/>
  <c r="K70" i="29"/>
  <c r="S70" i="29"/>
  <c r="AA70" i="29"/>
  <c r="AI70" i="29"/>
  <c r="L70" i="29"/>
  <c r="V70" i="29"/>
  <c r="AF70" i="29"/>
  <c r="M70" i="29"/>
  <c r="W70" i="29"/>
  <c r="AH70" i="29"/>
  <c r="D70" i="29"/>
  <c r="N70" i="29"/>
  <c r="X70" i="29"/>
  <c r="AJ70" i="29"/>
  <c r="P70" i="29"/>
  <c r="AE70" i="29"/>
  <c r="R70" i="29"/>
  <c r="AK70" i="29"/>
  <c r="H70" i="29"/>
  <c r="AC70" i="29"/>
  <c r="AD70" i="29"/>
  <c r="E70" i="29"/>
  <c r="T70" i="29"/>
  <c r="C70" i="29"/>
  <c r="F70" i="29"/>
  <c r="U70" i="29"/>
  <c r="AB70" i="29"/>
  <c r="G70" i="29"/>
  <c r="Z70" i="29"/>
  <c r="J70" i="29"/>
  <c r="O70" i="29"/>
  <c r="F69" i="29"/>
  <c r="N69" i="29"/>
  <c r="V69" i="29"/>
  <c r="AD69" i="29"/>
  <c r="C69" i="29"/>
  <c r="H69" i="29"/>
  <c r="P69" i="29"/>
  <c r="X69" i="29"/>
  <c r="AF69" i="29"/>
  <c r="I69" i="29"/>
  <c r="S69" i="29"/>
  <c r="AC69" i="29"/>
  <c r="J69" i="29"/>
  <c r="T69" i="29"/>
  <c r="AE69" i="29"/>
  <c r="K69" i="29"/>
  <c r="U69" i="29"/>
  <c r="AG69" i="29"/>
  <c r="O69" i="29"/>
  <c r="AH69" i="29"/>
  <c r="Q69" i="29"/>
  <c r="AI69" i="29"/>
  <c r="D69" i="29"/>
  <c r="AA69" i="29"/>
  <c r="R69" i="29"/>
  <c r="AJ69" i="29"/>
  <c r="W69" i="29"/>
  <c r="G69" i="29"/>
  <c r="L69" i="29"/>
  <c r="AK69" i="29"/>
  <c r="E69" i="29"/>
  <c r="Y69" i="29"/>
  <c r="Z69" i="29"/>
  <c r="M69" i="29"/>
  <c r="AB69" i="29"/>
  <c r="AE74" i="37"/>
  <c r="AE69" i="31"/>
  <c r="V77" i="37"/>
  <c r="V72" i="31"/>
  <c r="K74" i="37"/>
  <c r="K69" i="31"/>
  <c r="L74" i="37"/>
  <c r="L69" i="31"/>
  <c r="D77" i="37"/>
  <c r="D72" i="31"/>
  <c r="AG93" i="38"/>
  <c r="AG87" i="34"/>
  <c r="H76" i="29"/>
  <c r="P76" i="29"/>
  <c r="X76" i="29"/>
  <c r="AF76" i="29"/>
  <c r="J76" i="29"/>
  <c r="R76" i="29"/>
  <c r="Z76" i="29"/>
  <c r="AH76" i="29"/>
  <c r="D19" i="41" s="1"/>
  <c r="F19" i="41" s="1"/>
  <c r="H19" i="41" s="1"/>
  <c r="E76" i="29"/>
  <c r="O76" i="29"/>
  <c r="AA76" i="29"/>
  <c r="AK76" i="29"/>
  <c r="F76" i="29"/>
  <c r="Q76" i="29"/>
  <c r="AB76" i="29"/>
  <c r="C76" i="29"/>
  <c r="G76" i="29"/>
  <c r="S76" i="29"/>
  <c r="AC76" i="29"/>
  <c r="U76" i="29"/>
  <c r="AJ76" i="29"/>
  <c r="D76" i="29"/>
  <c r="V76" i="29"/>
  <c r="AG76" i="29"/>
  <c r="D6" i="41" s="1"/>
  <c r="F6" i="41" s="1"/>
  <c r="H6" i="41" s="1"/>
  <c r="AI76" i="29"/>
  <c r="I76" i="29"/>
  <c r="W76" i="29"/>
  <c r="K76" i="29"/>
  <c r="Y76" i="29"/>
  <c r="L76" i="29"/>
  <c r="AD76" i="29"/>
  <c r="AE76" i="29"/>
  <c r="M76" i="29"/>
  <c r="N76" i="29"/>
  <c r="T76" i="29"/>
  <c r="X74" i="37"/>
  <c r="X69" i="31"/>
  <c r="AH74" i="37"/>
  <c r="AH69" i="31"/>
  <c r="Z74" i="37"/>
  <c r="Z69" i="31"/>
  <c r="V74" i="37"/>
  <c r="V69" i="31"/>
  <c r="P72" i="31"/>
  <c r="P77" i="37"/>
  <c r="F77" i="37"/>
  <c r="F72" i="31"/>
  <c r="Q77" i="37"/>
  <c r="Q72" i="31"/>
  <c r="U77" i="37"/>
  <c r="U72" i="31"/>
  <c r="Z77" i="37"/>
  <c r="Z72" i="31"/>
  <c r="F93" i="38"/>
  <c r="F87" i="34"/>
  <c r="AI93" i="38"/>
  <c r="AI87" i="34"/>
  <c r="AF93" i="38"/>
  <c r="AF87" i="34"/>
  <c r="N93" i="38"/>
  <c r="N87" i="34"/>
  <c r="Q93" i="38"/>
  <c r="Q87" i="34"/>
  <c r="Q74" i="37"/>
  <c r="Q69" i="31"/>
  <c r="H77" i="37"/>
  <c r="H72" i="31"/>
  <c r="K68" i="29"/>
  <c r="S68" i="29"/>
  <c r="AA68" i="29"/>
  <c r="AI68" i="29"/>
  <c r="E68" i="29"/>
  <c r="M68" i="29"/>
  <c r="U68" i="29"/>
  <c r="AC68" i="29"/>
  <c r="AK68" i="29"/>
  <c r="F68" i="29"/>
  <c r="P68" i="29"/>
  <c r="Z68" i="29"/>
  <c r="C68" i="29"/>
  <c r="AB68" i="29"/>
  <c r="G68" i="29"/>
  <c r="Q68" i="29"/>
  <c r="H68" i="29"/>
  <c r="R68" i="29"/>
  <c r="AD68" i="29"/>
  <c r="N68" i="29"/>
  <c r="AF68" i="29"/>
  <c r="O68" i="29"/>
  <c r="AG68" i="29"/>
  <c r="V68" i="29"/>
  <c r="X68" i="29"/>
  <c r="Y68" i="29"/>
  <c r="L68" i="29"/>
  <c r="T68" i="29"/>
  <c r="AH68" i="29"/>
  <c r="AJ68" i="29"/>
  <c r="AE68" i="29"/>
  <c r="D68" i="29"/>
  <c r="W68" i="29"/>
  <c r="I68" i="29"/>
  <c r="J68" i="29"/>
  <c r="AC74" i="37"/>
  <c r="AC69" i="31"/>
  <c r="G74" i="37"/>
  <c r="G69" i="31"/>
  <c r="E77" i="37"/>
  <c r="E72" i="31"/>
  <c r="V93" i="38"/>
  <c r="V87" i="34"/>
  <c r="AJ93" i="38"/>
  <c r="AJ87" i="34"/>
  <c r="I74" i="37"/>
  <c r="I69" i="31"/>
  <c r="S69" i="31"/>
  <c r="S74" i="37"/>
  <c r="P74" i="37"/>
  <c r="P69" i="31"/>
  <c r="N74" i="37"/>
  <c r="N69" i="31"/>
  <c r="O77" i="37"/>
  <c r="O72" i="31"/>
  <c r="AI77" i="37"/>
  <c r="AI72" i="31"/>
  <c r="AG77" i="37"/>
  <c r="AG72" i="31"/>
  <c r="I72" i="31"/>
  <c r="I77" i="37"/>
  <c r="R72" i="31"/>
  <c r="R77" i="37"/>
  <c r="AE93" i="38"/>
  <c r="AE87" i="34"/>
  <c r="M93" i="38"/>
  <c r="M87" i="34"/>
  <c r="S93" i="38"/>
  <c r="S87" i="34"/>
  <c r="D93" i="38"/>
  <c r="D87" i="34"/>
  <c r="I93" i="38"/>
  <c r="I87" i="34"/>
  <c r="D45" i="30"/>
  <c r="D47" i="38" s="1"/>
  <c r="E46" i="21"/>
  <c r="E41" i="21" s="1"/>
  <c r="E45" i="36"/>
  <c r="G38" i="34"/>
  <c r="C38" i="34"/>
  <c r="D38" i="34"/>
  <c r="E38" i="34"/>
  <c r="F38" i="34"/>
  <c r="E31" i="37"/>
  <c r="F31" i="37"/>
  <c r="D31" i="37"/>
  <c r="C31" i="37"/>
  <c r="E29" i="22"/>
  <c r="E33" i="35"/>
  <c r="G31" i="37"/>
  <c r="D29" i="29"/>
  <c r="E29" i="29"/>
  <c r="F29" i="29"/>
  <c r="C29" i="29"/>
  <c r="G29" i="29"/>
  <c r="G30" i="37"/>
  <c r="E32" i="35"/>
  <c r="E28" i="22"/>
  <c r="F30" i="37"/>
  <c r="E30" i="37"/>
  <c r="D30" i="37"/>
  <c r="C30" i="37"/>
  <c r="F28" i="29"/>
  <c r="C28" i="29"/>
  <c r="D28" i="29"/>
  <c r="G28" i="29"/>
  <c r="E28" i="29"/>
  <c r="E32" i="31"/>
  <c r="D32" i="31"/>
  <c r="F32" i="31"/>
  <c r="C32" i="31"/>
  <c r="G32" i="31"/>
  <c r="C32" i="37"/>
  <c r="G32" i="37"/>
  <c r="F32" i="37"/>
  <c r="E32" i="37"/>
  <c r="E34" i="35"/>
  <c r="D32" i="37"/>
  <c r="E30" i="22"/>
  <c r="D30" i="29"/>
  <c r="G30" i="29"/>
  <c r="E30" i="29"/>
  <c r="F30" i="29"/>
  <c r="C30" i="29"/>
  <c r="F29" i="31"/>
  <c r="G29" i="31"/>
  <c r="D29" i="31"/>
  <c r="C29" i="31"/>
  <c r="E29" i="31"/>
  <c r="E50" i="36"/>
  <c r="F43" i="34"/>
  <c r="E43" i="34"/>
  <c r="C43" i="34"/>
  <c r="D43" i="34"/>
  <c r="G43" i="34"/>
  <c r="G34" i="31"/>
  <c r="E105" i="1"/>
  <c r="E104" i="1"/>
  <c r="E107" i="1" s="1"/>
  <c r="E102" i="1"/>
  <c r="E34" i="31" l="1"/>
  <c r="F34" i="31"/>
  <c r="D34" i="31"/>
  <c r="D17" i="41"/>
  <c r="F17" i="41" s="1"/>
  <c r="D30" i="41"/>
  <c r="D4" i="41"/>
  <c r="V71" i="37"/>
  <c r="V66" i="31"/>
  <c r="E79" i="37"/>
  <c r="E74" i="31"/>
  <c r="R73" i="37"/>
  <c r="R68" i="31"/>
  <c r="AE71" i="37"/>
  <c r="AE66" i="31"/>
  <c r="AE79" i="37"/>
  <c r="AE74" i="31"/>
  <c r="AF72" i="37"/>
  <c r="AF67" i="31"/>
  <c r="M73" i="37"/>
  <c r="M68" i="31"/>
  <c r="H98" i="38"/>
  <c r="H92" i="34"/>
  <c r="O71" i="37"/>
  <c r="O66" i="31"/>
  <c r="V79" i="37"/>
  <c r="V74" i="31"/>
  <c r="K72" i="37"/>
  <c r="K67" i="31"/>
  <c r="Y73" i="37"/>
  <c r="Y68" i="31"/>
  <c r="I98" i="38"/>
  <c r="I92" i="34"/>
  <c r="AH71" i="37"/>
  <c r="AH66" i="31"/>
  <c r="I71" i="37"/>
  <c r="I66" i="31"/>
  <c r="Y71" i="37"/>
  <c r="Y66" i="31"/>
  <c r="R71" i="37"/>
  <c r="R66" i="31"/>
  <c r="F71" i="37"/>
  <c r="F66" i="31"/>
  <c r="S71" i="37"/>
  <c r="S66" i="31"/>
  <c r="T79" i="37"/>
  <c r="T74" i="31"/>
  <c r="W79" i="37"/>
  <c r="W74" i="31"/>
  <c r="AC79" i="37"/>
  <c r="AC74" i="31"/>
  <c r="AA79" i="37"/>
  <c r="AA74" i="31"/>
  <c r="X79" i="37"/>
  <c r="X74" i="31"/>
  <c r="G67" i="31"/>
  <c r="G72" i="37"/>
  <c r="AH72" i="37"/>
  <c r="AH67" i="31"/>
  <c r="AC67" i="31"/>
  <c r="AC72" i="37"/>
  <c r="AD72" i="37"/>
  <c r="AD67" i="31"/>
  <c r="AB73" i="37"/>
  <c r="AB68" i="31"/>
  <c r="H73" i="37"/>
  <c r="H68" i="31"/>
  <c r="D68" i="31"/>
  <c r="D73" i="37"/>
  <c r="AA73" i="37"/>
  <c r="AA68" i="31"/>
  <c r="Y98" i="38"/>
  <c r="Y92" i="34"/>
  <c r="O98" i="38"/>
  <c r="O92" i="34"/>
  <c r="Q98" i="38"/>
  <c r="Q92" i="34"/>
  <c r="C98" i="38"/>
  <c r="C92" i="34"/>
  <c r="M98" i="38"/>
  <c r="M92" i="34"/>
  <c r="AK71" i="37"/>
  <c r="AK66" i="31"/>
  <c r="I79" i="37"/>
  <c r="I74" i="31"/>
  <c r="S74" i="31"/>
  <c r="S79" i="37"/>
  <c r="O79" i="37"/>
  <c r="O74" i="31"/>
  <c r="P79" i="37"/>
  <c r="P74" i="31"/>
  <c r="AB72" i="37"/>
  <c r="AB67" i="31"/>
  <c r="W72" i="37"/>
  <c r="W67" i="31"/>
  <c r="O72" i="37"/>
  <c r="O67" i="31"/>
  <c r="S72" i="37"/>
  <c r="S67" i="31"/>
  <c r="V72" i="37"/>
  <c r="V67" i="31"/>
  <c r="U73" i="37"/>
  <c r="U68" i="31"/>
  <c r="AK73" i="37"/>
  <c r="AK68" i="31"/>
  <c r="AH68" i="31"/>
  <c r="AH73" i="37"/>
  <c r="S73" i="37"/>
  <c r="S68" i="31"/>
  <c r="R98" i="38"/>
  <c r="R92" i="34"/>
  <c r="AI98" i="38"/>
  <c r="AI92" i="34"/>
  <c r="AF92" i="34"/>
  <c r="AF98" i="38"/>
  <c r="AD98" i="38"/>
  <c r="AD92" i="34"/>
  <c r="E98" i="38"/>
  <c r="E92" i="34"/>
  <c r="N79" i="37"/>
  <c r="N74" i="31"/>
  <c r="Q71" i="37"/>
  <c r="Q66" i="31"/>
  <c r="G79" i="37"/>
  <c r="G74" i="31"/>
  <c r="AG72" i="37"/>
  <c r="AG67" i="31"/>
  <c r="N72" i="37"/>
  <c r="N67" i="31"/>
  <c r="L98" i="38"/>
  <c r="L92" i="34"/>
  <c r="W98" i="38"/>
  <c r="W92" i="34"/>
  <c r="T98" i="38"/>
  <c r="T92" i="34"/>
  <c r="V98" i="38"/>
  <c r="V92" i="34"/>
  <c r="AC71" i="37"/>
  <c r="AC66" i="31"/>
  <c r="M72" i="37"/>
  <c r="M67" i="31"/>
  <c r="R72" i="37"/>
  <c r="R67" i="31"/>
  <c r="N98" i="38"/>
  <c r="N92" i="34"/>
  <c r="K71" i="37"/>
  <c r="K66" i="31"/>
  <c r="M79" i="37"/>
  <c r="M74" i="31"/>
  <c r="I72" i="37"/>
  <c r="I67" i="31"/>
  <c r="U71" i="37"/>
  <c r="U66" i="31"/>
  <c r="M71" i="37"/>
  <c r="M66" i="31"/>
  <c r="P73" i="37"/>
  <c r="P68" i="31"/>
  <c r="H71" i="37"/>
  <c r="H66" i="31"/>
  <c r="D71" i="37"/>
  <c r="D66" i="31"/>
  <c r="AI79" i="37"/>
  <c r="AI74" i="31"/>
  <c r="AJ72" i="37"/>
  <c r="AJ67" i="31"/>
  <c r="W73" i="37"/>
  <c r="W68" i="31"/>
  <c r="AG71" i="37"/>
  <c r="AG66" i="31"/>
  <c r="C79" i="37"/>
  <c r="C74" i="31"/>
  <c r="C68" i="31"/>
  <c r="C73" i="37"/>
  <c r="J98" i="38"/>
  <c r="J92" i="34"/>
  <c r="AJ71" i="37"/>
  <c r="AJ66" i="31"/>
  <c r="AB79" i="37"/>
  <c r="AB74" i="31"/>
  <c r="Y72" i="37"/>
  <c r="Y67" i="31"/>
  <c r="T73" i="37"/>
  <c r="T68" i="31"/>
  <c r="AH98" i="38"/>
  <c r="AH92" i="34"/>
  <c r="AF71" i="37"/>
  <c r="AF66" i="31"/>
  <c r="E71" i="37"/>
  <c r="E66" i="31"/>
  <c r="L74" i="31"/>
  <c r="L79" i="37"/>
  <c r="D79" i="37"/>
  <c r="D74" i="31"/>
  <c r="Q79" i="37"/>
  <c r="Q74" i="31"/>
  <c r="R79" i="37"/>
  <c r="R74" i="31"/>
  <c r="E67" i="31"/>
  <c r="E72" i="37"/>
  <c r="D72" i="37"/>
  <c r="D67" i="31"/>
  <c r="AE72" i="37"/>
  <c r="AE67" i="31"/>
  <c r="P72" i="37"/>
  <c r="P67" i="31"/>
  <c r="J73" i="37"/>
  <c r="J68" i="31"/>
  <c r="E73" i="37"/>
  <c r="E68" i="31"/>
  <c r="AJ68" i="31"/>
  <c r="AJ73" i="37"/>
  <c r="V73" i="37"/>
  <c r="V68" i="31"/>
  <c r="Q73" i="37"/>
  <c r="Q68" i="31"/>
  <c r="AG98" i="38"/>
  <c r="AG92" i="34"/>
  <c r="S98" i="38"/>
  <c r="S92" i="34"/>
  <c r="Z98" i="38"/>
  <c r="Z92" i="34"/>
  <c r="AK98" i="38"/>
  <c r="AK92" i="34"/>
  <c r="W71" i="37"/>
  <c r="W66" i="31"/>
  <c r="K73" i="37"/>
  <c r="K68" i="31"/>
  <c r="G71" i="37"/>
  <c r="G66" i="31"/>
  <c r="AG79" i="37"/>
  <c r="AG74" i="31"/>
  <c r="Z72" i="37"/>
  <c r="Z67" i="31"/>
  <c r="F72" i="37"/>
  <c r="F67" i="31"/>
  <c r="AG73" i="37"/>
  <c r="AG68" i="31"/>
  <c r="AB71" i="37"/>
  <c r="AB66" i="31"/>
  <c r="Z79" i="37"/>
  <c r="Z74" i="31"/>
  <c r="AA72" i="37"/>
  <c r="AA67" i="31"/>
  <c r="O73" i="37"/>
  <c r="O68" i="31"/>
  <c r="AJ98" i="38"/>
  <c r="AJ92" i="34"/>
  <c r="T71" i="37"/>
  <c r="T66" i="31"/>
  <c r="N71" i="37"/>
  <c r="N66" i="31"/>
  <c r="Z71" i="37"/>
  <c r="Z66" i="31"/>
  <c r="AI71" i="37"/>
  <c r="AI66" i="31"/>
  <c r="Y79" i="37"/>
  <c r="Y74" i="31"/>
  <c r="AJ74" i="31"/>
  <c r="AJ79" i="37"/>
  <c r="F79" i="37"/>
  <c r="F74" i="31"/>
  <c r="J79" i="37"/>
  <c r="J74" i="31"/>
  <c r="AK72" i="37"/>
  <c r="AK67" i="31"/>
  <c r="AI72" i="37"/>
  <c r="AI67" i="31"/>
  <c r="T72" i="37"/>
  <c r="T67" i="31"/>
  <c r="H72" i="37"/>
  <c r="H67" i="31"/>
  <c r="Z73" i="37"/>
  <c r="Z68" i="31"/>
  <c r="AD73" i="37"/>
  <c r="AD68" i="31"/>
  <c r="X73" i="37"/>
  <c r="X68" i="31"/>
  <c r="L68" i="31"/>
  <c r="L73" i="37"/>
  <c r="I73" i="37"/>
  <c r="I68" i="31"/>
  <c r="AA98" i="38"/>
  <c r="AA92" i="34"/>
  <c r="G98" i="38"/>
  <c r="G92" i="34"/>
  <c r="P98" i="38"/>
  <c r="P92" i="34"/>
  <c r="AC98" i="38"/>
  <c r="AC92" i="34"/>
  <c r="G93" i="30"/>
  <c r="O93" i="30"/>
  <c r="W93" i="30"/>
  <c r="AE93" i="30"/>
  <c r="H93" i="30"/>
  <c r="P93" i="30"/>
  <c r="X93" i="30"/>
  <c r="AF93" i="30"/>
  <c r="J93" i="30"/>
  <c r="T93" i="30"/>
  <c r="AD93" i="30"/>
  <c r="D93" i="30"/>
  <c r="N93" i="30"/>
  <c r="Z93" i="30"/>
  <c r="AJ93" i="30"/>
  <c r="R93" i="30"/>
  <c r="AG93" i="30"/>
  <c r="E6" i="41" s="1"/>
  <c r="G6" i="41" s="1"/>
  <c r="I6" i="41" s="1"/>
  <c r="F93" i="30"/>
  <c r="U93" i="30"/>
  <c r="AI93" i="30"/>
  <c r="V93" i="30"/>
  <c r="AK93" i="30"/>
  <c r="I93" i="30"/>
  <c r="M93" i="30"/>
  <c r="C93" i="30"/>
  <c r="Q93" i="30"/>
  <c r="S93" i="30"/>
  <c r="Y93" i="30"/>
  <c r="AA93" i="30"/>
  <c r="E93" i="30"/>
  <c r="AB93" i="30"/>
  <c r="L93" i="30"/>
  <c r="AH93" i="30"/>
  <c r="E19" i="41" s="1"/>
  <c r="G19" i="41" s="1"/>
  <c r="I19" i="41" s="1"/>
  <c r="K93" i="30"/>
  <c r="AC93" i="30"/>
  <c r="X71" i="37"/>
  <c r="X66" i="31"/>
  <c r="H79" i="37"/>
  <c r="H74" i="31"/>
  <c r="F73" i="37"/>
  <c r="F68" i="31"/>
  <c r="AH79" i="37"/>
  <c r="AH74" i="31"/>
  <c r="U72" i="37"/>
  <c r="U67" i="31"/>
  <c r="AE73" i="37"/>
  <c r="AE68" i="31"/>
  <c r="K98" i="38"/>
  <c r="K92" i="34"/>
  <c r="AD79" i="37"/>
  <c r="AD74" i="31"/>
  <c r="X72" i="37"/>
  <c r="X67" i="31"/>
  <c r="AF73" i="37"/>
  <c r="AF68" i="31"/>
  <c r="F98" i="38"/>
  <c r="F92" i="34"/>
  <c r="C71" i="37"/>
  <c r="C66" i="31"/>
  <c r="J71" i="37"/>
  <c r="J66" i="31"/>
  <c r="L71" i="37"/>
  <c r="L66" i="31"/>
  <c r="AD71" i="37"/>
  <c r="AD66" i="31"/>
  <c r="P71" i="37"/>
  <c r="P66" i="31"/>
  <c r="AA71" i="37"/>
  <c r="AA66" i="31"/>
  <c r="K79" i="37"/>
  <c r="K74" i="31"/>
  <c r="U79" i="37"/>
  <c r="U74" i="31"/>
  <c r="AK79" i="37"/>
  <c r="AK74" i="31"/>
  <c r="AF79" i="37"/>
  <c r="AF74" i="31"/>
  <c r="L72" i="37"/>
  <c r="L67" i="31"/>
  <c r="Q72" i="37"/>
  <c r="Q67" i="31"/>
  <c r="J72" i="37"/>
  <c r="J67" i="31"/>
  <c r="C72" i="37"/>
  <c r="C67" i="31"/>
  <c r="G73" i="37"/>
  <c r="G68" i="31"/>
  <c r="AC73" i="37"/>
  <c r="AC68" i="31"/>
  <c r="N68" i="31"/>
  <c r="N73" i="37"/>
  <c r="AI68" i="31"/>
  <c r="AI73" i="37"/>
  <c r="X98" i="38"/>
  <c r="X92" i="34"/>
  <c r="AB98" i="38"/>
  <c r="AB92" i="34"/>
  <c r="AE98" i="38"/>
  <c r="AE92" i="34"/>
  <c r="D98" i="38"/>
  <c r="D92" i="34"/>
  <c r="U98" i="38"/>
  <c r="U92" i="34"/>
  <c r="E44" i="23"/>
  <c r="F41" i="34" s="1"/>
  <c r="F43" i="30"/>
  <c r="F45" i="38" s="1"/>
  <c r="C43" i="30"/>
  <c r="E38" i="30"/>
  <c r="E40" i="38" s="1"/>
  <c r="D38" i="30"/>
  <c r="D40" i="38" s="1"/>
  <c r="E43" i="30"/>
  <c r="E45" i="38" s="1"/>
  <c r="D43" i="30"/>
  <c r="D45" i="38" s="1"/>
  <c r="E42" i="21"/>
  <c r="E40" i="21"/>
  <c r="G43" i="30"/>
  <c r="G45" i="38" s="1"/>
  <c r="D28" i="31"/>
  <c r="C28" i="31"/>
  <c r="G28" i="31"/>
  <c r="F28" i="31"/>
  <c r="E28" i="31"/>
  <c r="D27" i="31"/>
  <c r="E27" i="31"/>
  <c r="F27" i="31"/>
  <c r="G27" i="31"/>
  <c r="C27" i="31"/>
  <c r="E26" i="31"/>
  <c r="F26" i="31"/>
  <c r="C26" i="31"/>
  <c r="G26" i="31"/>
  <c r="D26" i="31"/>
  <c r="I6" i="13"/>
  <c r="Q6" i="13"/>
  <c r="Y6" i="13"/>
  <c r="C6" i="13"/>
  <c r="L6" i="13"/>
  <c r="F6" i="13"/>
  <c r="J6" i="13"/>
  <c r="R6" i="13"/>
  <c r="Z6" i="13"/>
  <c r="D6" i="13"/>
  <c r="T6" i="13"/>
  <c r="V6" i="13"/>
  <c r="K6" i="13"/>
  <c r="S6" i="13"/>
  <c r="AA6" i="13"/>
  <c r="N6" i="13"/>
  <c r="E6" i="13"/>
  <c r="M6" i="13"/>
  <c r="U6" i="13"/>
  <c r="G6" i="13"/>
  <c r="O6" i="13"/>
  <c r="W6" i="13"/>
  <c r="H6" i="13"/>
  <c r="P6" i="13"/>
  <c r="X6" i="13"/>
  <c r="E108" i="1"/>
  <c r="E109" i="1" s="1"/>
  <c r="E111" i="1" s="1"/>
  <c r="I3" i="13"/>
  <c r="Q3" i="13"/>
  <c r="Y3" i="13"/>
  <c r="D3" i="13"/>
  <c r="V3" i="13"/>
  <c r="J3" i="13"/>
  <c r="R3" i="13"/>
  <c r="Z3" i="13"/>
  <c r="L3" i="13"/>
  <c r="N3" i="13"/>
  <c r="K3" i="13"/>
  <c r="S3" i="13"/>
  <c r="AA3" i="13"/>
  <c r="C3" i="13"/>
  <c r="T3" i="13"/>
  <c r="E3" i="13"/>
  <c r="M3" i="13"/>
  <c r="U3" i="13"/>
  <c r="F3" i="13"/>
  <c r="G3" i="13"/>
  <c r="O3" i="13"/>
  <c r="W3" i="13"/>
  <c r="H3" i="13"/>
  <c r="P3" i="13"/>
  <c r="X3" i="13"/>
  <c r="D6" i="12"/>
  <c r="L6" i="12"/>
  <c r="T6" i="12"/>
  <c r="E6" i="12"/>
  <c r="M6" i="12"/>
  <c r="C6" i="12"/>
  <c r="F6" i="12"/>
  <c r="N6" i="12"/>
  <c r="S6" i="12"/>
  <c r="G6" i="12"/>
  <c r="O6" i="12"/>
  <c r="H6" i="12"/>
  <c r="P6" i="12"/>
  <c r="I6" i="12"/>
  <c r="Q6" i="12"/>
  <c r="J6" i="12"/>
  <c r="R6" i="12"/>
  <c r="K6" i="12"/>
  <c r="H3" i="12"/>
  <c r="P3" i="12"/>
  <c r="I3" i="12"/>
  <c r="Q3" i="12"/>
  <c r="G3" i="12"/>
  <c r="J3" i="12"/>
  <c r="R3" i="12"/>
  <c r="K3" i="12"/>
  <c r="S3" i="12"/>
  <c r="C3" i="12"/>
  <c r="O3" i="12"/>
  <c r="D3" i="12"/>
  <c r="L3" i="12"/>
  <c r="T3" i="12"/>
  <c r="E3" i="12"/>
  <c r="M3" i="12"/>
  <c r="F3" i="12"/>
  <c r="N3" i="12"/>
  <c r="F4" i="41" l="1"/>
  <c r="G41" i="34"/>
  <c r="C45" i="38"/>
  <c r="E32" i="41"/>
  <c r="G32" i="41" s="1"/>
  <c r="I32" i="41" s="1"/>
  <c r="F30" i="41"/>
  <c r="H4" i="41"/>
  <c r="H17" i="41"/>
  <c r="P96" i="38"/>
  <c r="P90" i="34"/>
  <c r="M96" i="38"/>
  <c r="M90" i="34"/>
  <c r="V96" i="38"/>
  <c r="V90" i="34"/>
  <c r="F87" i="30"/>
  <c r="N87" i="30"/>
  <c r="V87" i="30"/>
  <c r="AD87" i="30"/>
  <c r="C87" i="30"/>
  <c r="J87" i="30"/>
  <c r="R87" i="30"/>
  <c r="Z87" i="30"/>
  <c r="AH87" i="30"/>
  <c r="D87" i="30"/>
  <c r="O87" i="30"/>
  <c r="Y87" i="30"/>
  <c r="AJ87" i="30"/>
  <c r="G87" i="30"/>
  <c r="Q87" i="30"/>
  <c r="AB87" i="30"/>
  <c r="H87" i="30"/>
  <c r="S87" i="30"/>
  <c r="AC87" i="30"/>
  <c r="K87" i="30"/>
  <c r="AA87" i="30"/>
  <c r="L87" i="30"/>
  <c r="AE87" i="30"/>
  <c r="M87" i="30"/>
  <c r="AF87" i="30"/>
  <c r="P87" i="30"/>
  <c r="AG87" i="30"/>
  <c r="T87" i="30"/>
  <c r="AI87" i="30"/>
  <c r="U87" i="30"/>
  <c r="AK87" i="30"/>
  <c r="I87" i="30"/>
  <c r="X87" i="30"/>
  <c r="E87" i="30"/>
  <c r="W87" i="30"/>
  <c r="L96" i="38"/>
  <c r="L90" i="34"/>
  <c r="R96" i="38"/>
  <c r="R90" i="34"/>
  <c r="AF96" i="38"/>
  <c r="AF90" i="34"/>
  <c r="K88" i="30"/>
  <c r="D88" i="30"/>
  <c r="H88" i="30"/>
  <c r="Q88" i="30"/>
  <c r="Y88" i="30"/>
  <c r="AG88" i="30"/>
  <c r="M88" i="30"/>
  <c r="U88" i="30"/>
  <c r="AC88" i="30"/>
  <c r="AK88" i="30"/>
  <c r="F88" i="30"/>
  <c r="R88" i="30"/>
  <c r="AB88" i="30"/>
  <c r="I88" i="30"/>
  <c r="T88" i="30"/>
  <c r="AE88" i="30"/>
  <c r="J88" i="30"/>
  <c r="AF88" i="30"/>
  <c r="V88" i="30"/>
  <c r="L88" i="30"/>
  <c r="AA88" i="30"/>
  <c r="N88" i="30"/>
  <c r="AD88" i="30"/>
  <c r="O88" i="30"/>
  <c r="AH88" i="30"/>
  <c r="P88" i="30"/>
  <c r="AI88" i="30"/>
  <c r="S88" i="30"/>
  <c r="AJ88" i="30"/>
  <c r="W88" i="30"/>
  <c r="C88" i="30"/>
  <c r="G88" i="30"/>
  <c r="Z88" i="30"/>
  <c r="E88" i="30"/>
  <c r="X88" i="30"/>
  <c r="F89" i="30"/>
  <c r="N89" i="30"/>
  <c r="V89" i="30"/>
  <c r="AD89" i="30"/>
  <c r="C89" i="30"/>
  <c r="G89" i="30"/>
  <c r="O89" i="30"/>
  <c r="W89" i="30"/>
  <c r="AE89" i="30"/>
  <c r="K89" i="30"/>
  <c r="U89" i="30"/>
  <c r="AG89" i="30"/>
  <c r="E89" i="30"/>
  <c r="Q89" i="30"/>
  <c r="AA89" i="30"/>
  <c r="AK89" i="30"/>
  <c r="L89" i="30"/>
  <c r="Z89" i="30"/>
  <c r="P89" i="30"/>
  <c r="AC89" i="30"/>
  <c r="R89" i="30"/>
  <c r="AF89" i="30"/>
  <c r="X89" i="30"/>
  <c r="D89" i="30"/>
  <c r="Y89" i="30"/>
  <c r="H89" i="30"/>
  <c r="AB89" i="30"/>
  <c r="I89" i="30"/>
  <c r="AH89" i="30"/>
  <c r="J89" i="30"/>
  <c r="AI89" i="30"/>
  <c r="M89" i="30"/>
  <c r="AJ89" i="30"/>
  <c r="T89" i="30"/>
  <c r="S89" i="30"/>
  <c r="F38" i="30"/>
  <c r="F40" i="38" s="1"/>
  <c r="AB96" i="38"/>
  <c r="AB90" i="34"/>
  <c r="I96" i="38"/>
  <c r="I90" i="34"/>
  <c r="AJ96" i="38"/>
  <c r="AJ90" i="34"/>
  <c r="X96" i="38"/>
  <c r="X90" i="34"/>
  <c r="E96" i="38"/>
  <c r="E90" i="34"/>
  <c r="N96" i="38"/>
  <c r="N90" i="34"/>
  <c r="AI96" i="38"/>
  <c r="AI90" i="34"/>
  <c r="E39" i="23"/>
  <c r="D36" i="34" s="1"/>
  <c r="AC96" i="38"/>
  <c r="AC90" i="34"/>
  <c r="S96" i="38"/>
  <c r="S90" i="34"/>
  <c r="U96" i="38"/>
  <c r="U90" i="34"/>
  <c r="AD96" i="38"/>
  <c r="AD90" i="34"/>
  <c r="W96" i="38"/>
  <c r="W90" i="34"/>
  <c r="AK96" i="38"/>
  <c r="AK90" i="34"/>
  <c r="AA96" i="38"/>
  <c r="AA90" i="34"/>
  <c r="Y96" i="38"/>
  <c r="Y90" i="34"/>
  <c r="AE96" i="38"/>
  <c r="AE90" i="34"/>
  <c r="E41" i="34"/>
  <c r="C41" i="34"/>
  <c r="K96" i="38"/>
  <c r="K90" i="34"/>
  <c r="Q96" i="38"/>
  <c r="Q90" i="34"/>
  <c r="F96" i="38"/>
  <c r="F90" i="34"/>
  <c r="O96" i="38"/>
  <c r="O90" i="34"/>
  <c r="Z96" i="38"/>
  <c r="Z90" i="34"/>
  <c r="H96" i="38"/>
  <c r="H90" i="34"/>
  <c r="D90" i="34"/>
  <c r="D96" i="38"/>
  <c r="G38" i="30"/>
  <c r="G40" i="38" s="1"/>
  <c r="T96" i="38"/>
  <c r="T90" i="34"/>
  <c r="C38" i="30"/>
  <c r="C40" i="38" s="1"/>
  <c r="AH96" i="38"/>
  <c r="AH90" i="34"/>
  <c r="C96" i="38"/>
  <c r="C90" i="34"/>
  <c r="AG96" i="38"/>
  <c r="AG90" i="34"/>
  <c r="J96" i="38"/>
  <c r="J90" i="34"/>
  <c r="G96" i="38"/>
  <c r="G90" i="34"/>
  <c r="C36" i="34"/>
  <c r="E48" i="36"/>
  <c r="D41" i="34"/>
  <c r="F37" i="30"/>
  <c r="G37" i="30"/>
  <c r="C37" i="30"/>
  <c r="D37" i="30"/>
  <c r="E37" i="30"/>
  <c r="E38" i="23"/>
  <c r="E40" i="23"/>
  <c r="D39" i="30"/>
  <c r="D41" i="38" s="1"/>
  <c r="F39" i="30"/>
  <c r="F41" i="38" s="1"/>
  <c r="C39" i="30"/>
  <c r="C41" i="38" s="1"/>
  <c r="G39" i="30"/>
  <c r="G41" i="38" s="1"/>
  <c r="E39" i="30"/>
  <c r="E41" i="38" s="1"/>
  <c r="I8" i="13"/>
  <c r="Q8" i="13"/>
  <c r="Y8" i="13"/>
  <c r="I8" i="12"/>
  <c r="Q8" i="12"/>
  <c r="L8" i="13"/>
  <c r="D8" i="12"/>
  <c r="T8" i="12"/>
  <c r="C8" i="13"/>
  <c r="J8" i="13"/>
  <c r="R8" i="13"/>
  <c r="Z8" i="13"/>
  <c r="J8" i="12"/>
  <c r="R8" i="12"/>
  <c r="T8" i="13"/>
  <c r="N8" i="13"/>
  <c r="N8" i="12"/>
  <c r="K8" i="13"/>
  <c r="S8" i="13"/>
  <c r="AA8" i="13"/>
  <c r="K8" i="12"/>
  <c r="S8" i="12"/>
  <c r="D8" i="13"/>
  <c r="L8" i="12"/>
  <c r="F8" i="13"/>
  <c r="F8" i="12"/>
  <c r="P8" i="12"/>
  <c r="E8" i="13"/>
  <c r="M8" i="13"/>
  <c r="U8" i="13"/>
  <c r="E8" i="12"/>
  <c r="M8" i="12"/>
  <c r="C8" i="12"/>
  <c r="V8" i="13"/>
  <c r="G8" i="13"/>
  <c r="O8" i="13"/>
  <c r="W8" i="13"/>
  <c r="G8" i="12"/>
  <c r="O8" i="12"/>
  <c r="H8" i="13"/>
  <c r="P8" i="13"/>
  <c r="X8" i="13"/>
  <c r="H8" i="12"/>
  <c r="E17" i="41" l="1"/>
  <c r="G17" i="41" s="1"/>
  <c r="C39" i="38"/>
  <c r="E30" i="41"/>
  <c r="H30" i="41"/>
  <c r="E4" i="41"/>
  <c r="AH92" i="38"/>
  <c r="AH86" i="34"/>
  <c r="P91" i="38"/>
  <c r="P85" i="34"/>
  <c r="J90" i="38"/>
  <c r="J84" i="34"/>
  <c r="AC92" i="38"/>
  <c r="AC86" i="34"/>
  <c r="AH91" i="38"/>
  <c r="AH85" i="34"/>
  <c r="C90" i="38"/>
  <c r="C84" i="34"/>
  <c r="E43" i="36"/>
  <c r="AI92" i="38"/>
  <c r="AI86" i="34"/>
  <c r="X92" i="38"/>
  <c r="X86" i="34"/>
  <c r="AA92" i="38"/>
  <c r="AA86" i="34"/>
  <c r="O92" i="38"/>
  <c r="O86" i="34"/>
  <c r="S91" i="38"/>
  <c r="S85" i="34"/>
  <c r="L91" i="38"/>
  <c r="L85" i="34"/>
  <c r="R91" i="38"/>
  <c r="R85" i="34"/>
  <c r="Q91" i="38"/>
  <c r="Q85" i="34"/>
  <c r="I90" i="38"/>
  <c r="I84" i="34"/>
  <c r="M90" i="38"/>
  <c r="M84" i="34"/>
  <c r="AB90" i="38"/>
  <c r="AB84" i="34"/>
  <c r="Z90" i="38"/>
  <c r="Z84" i="34"/>
  <c r="J92" i="38"/>
  <c r="J86" i="34"/>
  <c r="AF92" i="38"/>
  <c r="AF86" i="34"/>
  <c r="Q92" i="38"/>
  <c r="Q86" i="34"/>
  <c r="G92" i="38"/>
  <c r="G86" i="34"/>
  <c r="X91" i="38"/>
  <c r="X85" i="34"/>
  <c r="AI91" i="38"/>
  <c r="AI85" i="34"/>
  <c r="V91" i="38"/>
  <c r="V85" i="34"/>
  <c r="F91" i="38"/>
  <c r="F85" i="34"/>
  <c r="H91" i="38"/>
  <c r="H85" i="34"/>
  <c r="AK90" i="38"/>
  <c r="AK84" i="34"/>
  <c r="AE84" i="34"/>
  <c r="AE90" i="38"/>
  <c r="Q90" i="38"/>
  <c r="Q84" i="34"/>
  <c r="R90" i="38"/>
  <c r="R84" i="34"/>
  <c r="C92" i="38"/>
  <c r="C86" i="34"/>
  <c r="D91" i="38"/>
  <c r="D85" i="34"/>
  <c r="G90" i="38"/>
  <c r="G84" i="34"/>
  <c r="AG92" i="38"/>
  <c r="AG86" i="34"/>
  <c r="J91" i="38"/>
  <c r="J85" i="34"/>
  <c r="AA90" i="38"/>
  <c r="AA84" i="34"/>
  <c r="AD90" i="38"/>
  <c r="AD84" i="34"/>
  <c r="K92" i="38"/>
  <c r="K86" i="34"/>
  <c r="AD91" i="38"/>
  <c r="AD85" i="34"/>
  <c r="M91" i="38"/>
  <c r="M85" i="34"/>
  <c r="W90" i="38"/>
  <c r="W84" i="34"/>
  <c r="AG90" i="38"/>
  <c r="AG84" i="34"/>
  <c r="AC90" i="38"/>
  <c r="AC84" i="34"/>
  <c r="O90" i="38"/>
  <c r="O84" i="34"/>
  <c r="V90" i="38"/>
  <c r="V84" i="34"/>
  <c r="E92" i="38"/>
  <c r="E86" i="34"/>
  <c r="AF91" i="38"/>
  <c r="AF85" i="34"/>
  <c r="L90" i="38"/>
  <c r="L84" i="34"/>
  <c r="E36" i="34"/>
  <c r="I92" i="38"/>
  <c r="I86" i="34"/>
  <c r="Z91" i="38"/>
  <c r="Z85" i="34"/>
  <c r="K91" i="38"/>
  <c r="K85" i="34"/>
  <c r="AJ90" i="38"/>
  <c r="AJ84" i="34"/>
  <c r="F36" i="34"/>
  <c r="S92" i="38"/>
  <c r="S86" i="34"/>
  <c r="AB92" i="38"/>
  <c r="AB86" i="34"/>
  <c r="P92" i="38"/>
  <c r="P86" i="34"/>
  <c r="U86" i="34"/>
  <c r="U92" i="38"/>
  <c r="V92" i="38"/>
  <c r="V86" i="34"/>
  <c r="G91" i="38"/>
  <c r="G85" i="34"/>
  <c r="O91" i="38"/>
  <c r="O85" i="34"/>
  <c r="AE91" i="38"/>
  <c r="AE85" i="34"/>
  <c r="U91" i="38"/>
  <c r="U85" i="34"/>
  <c r="T90" i="38"/>
  <c r="T84" i="34"/>
  <c r="K90" i="38"/>
  <c r="K84" i="34"/>
  <c r="Y90" i="38"/>
  <c r="Y84" i="34"/>
  <c r="G36" i="34"/>
  <c r="T92" i="38"/>
  <c r="T86" i="34"/>
  <c r="H92" i="38"/>
  <c r="H86" i="34"/>
  <c r="Z92" i="38"/>
  <c r="Z86" i="34"/>
  <c r="N92" i="38"/>
  <c r="N86" i="34"/>
  <c r="C91" i="38"/>
  <c r="C85" i="34"/>
  <c r="T91" i="38"/>
  <c r="T85" i="34"/>
  <c r="AJ92" i="38"/>
  <c r="AJ86" i="34"/>
  <c r="Y92" i="38"/>
  <c r="Y86" i="34"/>
  <c r="L92" i="38"/>
  <c r="L86" i="34"/>
  <c r="AE92" i="38"/>
  <c r="AE86" i="34"/>
  <c r="F92" i="38"/>
  <c r="F86" i="34"/>
  <c r="W91" i="38"/>
  <c r="W85" i="34"/>
  <c r="N91" i="38"/>
  <c r="N85" i="34"/>
  <c r="I91" i="38"/>
  <c r="I85" i="34"/>
  <c r="AG91" i="38"/>
  <c r="AG85" i="34"/>
  <c r="E90" i="38"/>
  <c r="E84" i="34"/>
  <c r="P90" i="38"/>
  <c r="P84" i="34"/>
  <c r="S90" i="38"/>
  <c r="S84" i="34"/>
  <c r="D90" i="38"/>
  <c r="D84" i="34"/>
  <c r="N90" i="38"/>
  <c r="N84" i="34"/>
  <c r="R92" i="38"/>
  <c r="R86" i="34"/>
  <c r="E91" i="38"/>
  <c r="E85" i="34"/>
  <c r="AK91" i="38"/>
  <c r="AK85" i="34"/>
  <c r="U90" i="38"/>
  <c r="U84" i="34"/>
  <c r="AD92" i="38"/>
  <c r="AD86" i="34"/>
  <c r="AC91" i="38"/>
  <c r="AC85" i="34"/>
  <c r="AI90" i="38"/>
  <c r="AI84" i="34"/>
  <c r="M92" i="38"/>
  <c r="M86" i="34"/>
  <c r="D92" i="38"/>
  <c r="D86" i="34"/>
  <c r="AK92" i="38"/>
  <c r="AK86" i="34"/>
  <c r="W92" i="38"/>
  <c r="W86" i="34"/>
  <c r="AJ91" i="38"/>
  <c r="AJ85" i="34"/>
  <c r="AA91" i="38"/>
  <c r="AA85" i="34"/>
  <c r="AB91" i="38"/>
  <c r="AB85" i="34"/>
  <c r="Y91" i="38"/>
  <c r="Y85" i="34"/>
  <c r="X90" i="38"/>
  <c r="X84" i="34"/>
  <c r="AF90" i="38"/>
  <c r="AF84" i="34"/>
  <c r="H90" i="38"/>
  <c r="H84" i="34"/>
  <c r="AH90" i="38"/>
  <c r="AH84" i="34"/>
  <c r="F90" i="38"/>
  <c r="F84" i="34"/>
  <c r="D37" i="34"/>
  <c r="E37" i="34"/>
  <c r="F37" i="34"/>
  <c r="E44" i="36"/>
  <c r="C37" i="34"/>
  <c r="G37" i="34"/>
  <c r="E36" i="30"/>
  <c r="E38" i="38" s="1"/>
  <c r="E39" i="38"/>
  <c r="D39" i="38"/>
  <c r="D36" i="30"/>
  <c r="D38" i="38" s="1"/>
  <c r="E42" i="36"/>
  <c r="E35" i="34"/>
  <c r="F35" i="34"/>
  <c r="D35" i="34"/>
  <c r="G35" i="34"/>
  <c r="C35" i="34"/>
  <c r="G39" i="38"/>
  <c r="G36" i="30"/>
  <c r="G38" i="38" s="1"/>
  <c r="F36" i="30"/>
  <c r="F38" i="38" s="1"/>
  <c r="F39" i="38"/>
  <c r="E97" i="1"/>
  <c r="E96" i="1"/>
  <c r="E95" i="1"/>
  <c r="G4" i="41" l="1"/>
  <c r="I4" i="41" s="1"/>
  <c r="G30" i="41"/>
  <c r="I17" i="41"/>
  <c r="E6" i="1"/>
  <c r="H67" i="3"/>
  <c r="C70" i="3" s="1"/>
  <c r="I30" i="41" l="1"/>
  <c r="E85" i="1"/>
  <c r="K71" i="2" s="1"/>
  <c r="E84" i="1"/>
  <c r="U71" i="9" l="1"/>
  <c r="J71" i="2"/>
  <c r="Q71" i="2"/>
  <c r="Z71" i="9"/>
  <c r="C71" i="9"/>
  <c r="S71" i="9"/>
  <c r="M71" i="9"/>
  <c r="N71" i="2"/>
  <c r="L71" i="9"/>
  <c r="F71" i="2"/>
  <c r="P71" i="9"/>
  <c r="T71" i="2"/>
  <c r="T71" i="9"/>
  <c r="V71" i="9"/>
  <c r="O71" i="2"/>
  <c r="D71" i="2"/>
  <c r="J71" i="9"/>
  <c r="Y71" i="9"/>
  <c r="G71" i="9"/>
  <c r="D71" i="9"/>
  <c r="Q71" i="9"/>
  <c r="C71" i="2"/>
  <c r="O71" i="9"/>
  <c r="E71" i="9"/>
  <c r="H71" i="2"/>
  <c r="I71" i="9"/>
  <c r="M71" i="2"/>
  <c r="L71" i="2"/>
  <c r="P71" i="2"/>
  <c r="E71" i="2"/>
  <c r="W71" i="9"/>
  <c r="N71" i="9"/>
  <c r="R71" i="2"/>
  <c r="G71" i="2"/>
  <c r="AA71" i="9"/>
  <c r="X71" i="9"/>
  <c r="F71" i="9"/>
  <c r="I71" i="2"/>
  <c r="R71" i="9"/>
  <c r="K71" i="9"/>
  <c r="H71" i="9"/>
  <c r="S71" i="2"/>
  <c r="G70" i="9"/>
  <c r="O70" i="9"/>
  <c r="W70" i="9"/>
  <c r="K70" i="2"/>
  <c r="S70" i="2"/>
  <c r="D70" i="2"/>
  <c r="L70" i="2"/>
  <c r="T70" i="2"/>
  <c r="R70" i="9"/>
  <c r="N70" i="2"/>
  <c r="K70" i="9"/>
  <c r="H70" i="9"/>
  <c r="P70" i="9"/>
  <c r="X70" i="9"/>
  <c r="I70" i="9"/>
  <c r="Q70" i="9"/>
  <c r="Y70" i="9"/>
  <c r="E70" i="2"/>
  <c r="M70" i="2"/>
  <c r="C70" i="2"/>
  <c r="J70" i="9"/>
  <c r="Z70" i="9"/>
  <c r="F70" i="2"/>
  <c r="S70" i="9"/>
  <c r="G70" i="2"/>
  <c r="O70" i="2"/>
  <c r="AA70" i="9"/>
  <c r="D70" i="9"/>
  <c r="L70" i="9"/>
  <c r="T70" i="9"/>
  <c r="C70" i="9"/>
  <c r="H70" i="2"/>
  <c r="U70" i="9"/>
  <c r="P70" i="2"/>
  <c r="E70" i="9"/>
  <c r="F70" i="9"/>
  <c r="I70" i="2"/>
  <c r="V70" i="9"/>
  <c r="M70" i="9"/>
  <c r="J70" i="2"/>
  <c r="Q70" i="2"/>
  <c r="N70" i="9"/>
  <c r="R70" i="2"/>
  <c r="H58" i="9"/>
  <c r="P58" i="9"/>
  <c r="X58" i="9"/>
  <c r="D58" i="2"/>
  <c r="L58" i="2"/>
  <c r="T58" i="2"/>
  <c r="I58" i="9"/>
  <c r="Q58" i="9"/>
  <c r="E58" i="2"/>
  <c r="Z58" i="9"/>
  <c r="K58" i="9"/>
  <c r="S58" i="9"/>
  <c r="AA58" i="9"/>
  <c r="G58" i="2"/>
  <c r="O58" i="2"/>
  <c r="G58" i="9"/>
  <c r="M58" i="2"/>
  <c r="D58" i="9"/>
  <c r="L58" i="9"/>
  <c r="T58" i="9"/>
  <c r="C58" i="9"/>
  <c r="H58" i="2"/>
  <c r="P58" i="2"/>
  <c r="N58" i="2"/>
  <c r="E58" i="9"/>
  <c r="M58" i="9"/>
  <c r="U58" i="9"/>
  <c r="I58" i="2"/>
  <c r="Q58" i="2"/>
  <c r="O58" i="9"/>
  <c r="K58" i="2"/>
  <c r="C58" i="2"/>
  <c r="J58" i="9"/>
  <c r="F58" i="2"/>
  <c r="F58" i="9"/>
  <c r="N58" i="9"/>
  <c r="V58" i="9"/>
  <c r="J58" i="2"/>
  <c r="R58" i="2"/>
  <c r="W58" i="9"/>
  <c r="S58" i="2"/>
  <c r="Y58" i="9"/>
  <c r="R58" i="9"/>
  <c r="G57" i="9"/>
  <c r="O57" i="9"/>
  <c r="W57" i="9"/>
  <c r="K57" i="2"/>
  <c r="S57" i="2"/>
  <c r="P57" i="9"/>
  <c r="J57" i="9"/>
  <c r="R57" i="9"/>
  <c r="Z57" i="9"/>
  <c r="F57" i="2"/>
  <c r="N57" i="2"/>
  <c r="C57" i="2"/>
  <c r="F57" i="9"/>
  <c r="J57" i="2"/>
  <c r="H57" i="9"/>
  <c r="Y57" i="9"/>
  <c r="E57" i="2"/>
  <c r="K57" i="9"/>
  <c r="S57" i="9"/>
  <c r="AA57" i="9"/>
  <c r="G57" i="2"/>
  <c r="O57" i="2"/>
  <c r="N57" i="9"/>
  <c r="R57" i="2"/>
  <c r="L57" i="2"/>
  <c r="I57" i="9"/>
  <c r="D57" i="9"/>
  <c r="L57" i="9"/>
  <c r="T57" i="9"/>
  <c r="C57" i="9"/>
  <c r="H57" i="2"/>
  <c r="P57" i="2"/>
  <c r="V57" i="9"/>
  <c r="X57" i="9"/>
  <c r="Q57" i="9"/>
  <c r="D57" i="2"/>
  <c r="E57" i="9"/>
  <c r="M57" i="9"/>
  <c r="U57" i="9"/>
  <c r="I57" i="2"/>
  <c r="Q57" i="2"/>
  <c r="T57" i="2"/>
  <c r="M57" i="2"/>
  <c r="I59" i="9"/>
  <c r="Q59" i="9"/>
  <c r="Y59" i="9"/>
  <c r="F59" i="2"/>
  <c r="N59" i="2"/>
  <c r="J59" i="9"/>
  <c r="R59" i="9"/>
  <c r="Z59" i="9"/>
  <c r="P59" i="2"/>
  <c r="D59" i="9"/>
  <c r="L59" i="9"/>
  <c r="T59" i="9"/>
  <c r="C59" i="9"/>
  <c r="I59" i="2"/>
  <c r="Q59" i="2"/>
  <c r="E59" i="2"/>
  <c r="K59" i="9"/>
  <c r="E59" i="9"/>
  <c r="M59" i="9"/>
  <c r="U59" i="9"/>
  <c r="J59" i="2"/>
  <c r="R59" i="2"/>
  <c r="X59" i="9"/>
  <c r="C59" i="2"/>
  <c r="G59" i="2"/>
  <c r="F59" i="9"/>
  <c r="N59" i="9"/>
  <c r="V59" i="9"/>
  <c r="K59" i="2"/>
  <c r="S59" i="2"/>
  <c r="P59" i="9"/>
  <c r="S59" i="9"/>
  <c r="G59" i="9"/>
  <c r="O59" i="9"/>
  <c r="W59" i="9"/>
  <c r="D59" i="2"/>
  <c r="L59" i="2"/>
  <c r="T59" i="2"/>
  <c r="H59" i="9"/>
  <c r="M59" i="2"/>
  <c r="O59" i="2"/>
  <c r="AA59" i="9"/>
  <c r="H59" i="2"/>
  <c r="D4" i="9" l="1"/>
  <c r="E4" i="9"/>
  <c r="F4" i="9"/>
  <c r="G4" i="9"/>
  <c r="H4" i="9"/>
  <c r="I4" i="9"/>
  <c r="J4" i="9"/>
  <c r="K4" i="9"/>
  <c r="L4" i="9"/>
  <c r="M4" i="9"/>
  <c r="N4" i="9"/>
  <c r="O4" i="9"/>
  <c r="P4" i="9"/>
  <c r="Q4" i="9"/>
  <c r="R4" i="9"/>
  <c r="S4" i="9"/>
  <c r="T4" i="9"/>
  <c r="U4" i="9"/>
  <c r="V4" i="9"/>
  <c r="W4" i="9"/>
  <c r="X4" i="9"/>
  <c r="Y4" i="9"/>
  <c r="Z4" i="9"/>
  <c r="AA4" i="9"/>
  <c r="C4" i="9"/>
  <c r="C116" i="3" l="1"/>
  <c r="C117" i="3"/>
  <c r="G10" i="7" s="1"/>
  <c r="P10" i="7" l="1"/>
  <c r="L10" i="7"/>
  <c r="I10" i="7"/>
  <c r="K10" i="7"/>
  <c r="H10" i="7"/>
  <c r="J10" i="7"/>
  <c r="S10" i="7"/>
  <c r="R10" i="7"/>
  <c r="T10" i="7"/>
  <c r="Q10" i="7"/>
  <c r="O10" i="7"/>
  <c r="H11" i="27"/>
  <c r="L54" i="29" s="1"/>
  <c r="P11" i="27"/>
  <c r="T54" i="29" s="1"/>
  <c r="X11" i="27"/>
  <c r="AB54" i="29" s="1"/>
  <c r="AF11" i="27"/>
  <c r="AJ54" i="29" s="1"/>
  <c r="I11" i="26"/>
  <c r="Q11" i="26"/>
  <c r="G11" i="28"/>
  <c r="P11" i="26"/>
  <c r="I11" i="27"/>
  <c r="M54" i="29" s="1"/>
  <c r="Q11" i="27"/>
  <c r="U54" i="29" s="1"/>
  <c r="Y11" i="27"/>
  <c r="AC54" i="29" s="1"/>
  <c r="AG11" i="27"/>
  <c r="AK54" i="29" s="1"/>
  <c r="J11" i="26"/>
  <c r="R11" i="26"/>
  <c r="C11" i="28"/>
  <c r="F11" i="28"/>
  <c r="J11" i="27"/>
  <c r="N54" i="29" s="1"/>
  <c r="R11" i="27"/>
  <c r="V54" i="29" s="1"/>
  <c r="Z11" i="27"/>
  <c r="AD54" i="29" s="1"/>
  <c r="K11" i="26"/>
  <c r="S11" i="26"/>
  <c r="C10" i="8"/>
  <c r="C11" i="27"/>
  <c r="G54" i="29" s="1"/>
  <c r="K11" i="27"/>
  <c r="O54" i="29" s="1"/>
  <c r="S11" i="27"/>
  <c r="W54" i="29" s="1"/>
  <c r="AA11" i="27"/>
  <c r="AE54" i="29" s="1"/>
  <c r="D11" i="26"/>
  <c r="L11" i="26"/>
  <c r="T11" i="26"/>
  <c r="O11" i="27"/>
  <c r="S54" i="29" s="1"/>
  <c r="AE11" i="27"/>
  <c r="AI54" i="29" s="1"/>
  <c r="D11" i="27"/>
  <c r="H54" i="29" s="1"/>
  <c r="L11" i="27"/>
  <c r="P54" i="29" s="1"/>
  <c r="T11" i="27"/>
  <c r="X54" i="29" s="1"/>
  <c r="AB11" i="27"/>
  <c r="AF54" i="29" s="1"/>
  <c r="E11" i="26"/>
  <c r="M11" i="26"/>
  <c r="C11" i="26"/>
  <c r="G11" i="27"/>
  <c r="K54" i="29" s="1"/>
  <c r="E11" i="27"/>
  <c r="I54" i="29" s="1"/>
  <c r="M11" i="27"/>
  <c r="Q54" i="29" s="1"/>
  <c r="U11" i="27"/>
  <c r="Y54" i="29" s="1"/>
  <c r="AG54" i="29"/>
  <c r="F11" i="26"/>
  <c r="N11" i="26"/>
  <c r="D11" i="28"/>
  <c r="H11" i="26"/>
  <c r="F11" i="27"/>
  <c r="J54" i="29" s="1"/>
  <c r="N11" i="27"/>
  <c r="R54" i="29" s="1"/>
  <c r="V11" i="27"/>
  <c r="Z54" i="29" s="1"/>
  <c r="AD11" i="27"/>
  <c r="AH54" i="29" s="1"/>
  <c r="G11" i="26"/>
  <c r="O11" i="26"/>
  <c r="E11" i="28"/>
  <c r="W11" i="27"/>
  <c r="AA54" i="29" s="1"/>
  <c r="D10" i="8"/>
  <c r="L10" i="8"/>
  <c r="T10" i="8"/>
  <c r="C10" i="7"/>
  <c r="E10" i="8"/>
  <c r="M10" i="8"/>
  <c r="U10" i="8"/>
  <c r="V10" i="8"/>
  <c r="Y10" i="8"/>
  <c r="F10" i="8"/>
  <c r="N10" i="8"/>
  <c r="G10" i="8"/>
  <c r="O10" i="8"/>
  <c r="W10" i="8"/>
  <c r="P10" i="8"/>
  <c r="AA10" i="8"/>
  <c r="H10" i="8"/>
  <c r="X10" i="8"/>
  <c r="K10" i="8"/>
  <c r="I10" i="8"/>
  <c r="Q10" i="8"/>
  <c r="S10" i="8"/>
  <c r="J10" i="8"/>
  <c r="R10" i="8"/>
  <c r="Z10" i="8"/>
  <c r="N10" i="7"/>
  <c r="F10" i="7"/>
  <c r="D10" i="7"/>
  <c r="M10" i="7"/>
  <c r="E10" i="7"/>
  <c r="E7" i="1"/>
  <c r="D4" i="2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C4" i="2"/>
  <c r="AB55" i="37" l="1"/>
  <c r="AB65" i="38" s="1"/>
  <c r="AB54" i="31"/>
  <c r="AB63" i="34" s="1"/>
  <c r="AB64" i="30"/>
  <c r="K55" i="37"/>
  <c r="K65" i="38" s="1"/>
  <c r="K54" i="31"/>
  <c r="K63" i="34" s="1"/>
  <c r="K64" i="30"/>
  <c r="G55" i="37"/>
  <c r="G65" i="38" s="1"/>
  <c r="G54" i="31"/>
  <c r="G63" i="34" s="1"/>
  <c r="G64" i="30"/>
  <c r="AF55" i="37"/>
  <c r="AF65" i="38" s="1"/>
  <c r="AF54" i="31"/>
  <c r="AF63" i="34" s="1"/>
  <c r="AF64" i="30"/>
  <c r="AA55" i="37"/>
  <c r="AA65" i="38" s="1"/>
  <c r="AA54" i="31"/>
  <c r="AA63" i="34" s="1"/>
  <c r="AA64" i="30"/>
  <c r="AK55" i="37"/>
  <c r="AK65" i="38" s="1"/>
  <c r="AK64" i="30"/>
  <c r="AK54" i="31"/>
  <c r="AK63" i="34" s="1"/>
  <c r="AJ55" i="37"/>
  <c r="AJ65" i="38" s="1"/>
  <c r="AJ54" i="31"/>
  <c r="AJ63" i="34" s="1"/>
  <c r="AJ64" i="30"/>
  <c r="AG54" i="31"/>
  <c r="AG63" i="34" s="1"/>
  <c r="AG64" i="30"/>
  <c r="AG55" i="37"/>
  <c r="AG65" i="38" s="1"/>
  <c r="Z55" i="37"/>
  <c r="Z65" i="38" s="1"/>
  <c r="Z54" i="31"/>
  <c r="Z63" i="34" s="1"/>
  <c r="Z64" i="30"/>
  <c r="X55" i="37"/>
  <c r="X65" i="38" s="1"/>
  <c r="X54" i="31"/>
  <c r="X63" i="34" s="1"/>
  <c r="X64" i="30"/>
  <c r="AE55" i="37"/>
  <c r="AE65" i="38" s="1"/>
  <c r="AE54" i="31"/>
  <c r="AE63" i="34" s="1"/>
  <c r="AE64" i="30"/>
  <c r="V55" i="37"/>
  <c r="V65" i="38" s="1"/>
  <c r="V54" i="31"/>
  <c r="V63" i="34" s="1"/>
  <c r="V64" i="30"/>
  <c r="U55" i="37"/>
  <c r="U65" i="38" s="1"/>
  <c r="U64" i="30"/>
  <c r="U54" i="31"/>
  <c r="U63" i="34" s="1"/>
  <c r="T55" i="37"/>
  <c r="T65" i="38" s="1"/>
  <c r="T54" i="31"/>
  <c r="T63" i="34" s="1"/>
  <c r="T64" i="30"/>
  <c r="AC55" i="37"/>
  <c r="AC65" i="38" s="1"/>
  <c r="AC54" i="31"/>
  <c r="AC63" i="34" s="1"/>
  <c r="AC64" i="30"/>
  <c r="P55" i="37"/>
  <c r="P65" i="38" s="1"/>
  <c r="P54" i="31"/>
  <c r="P63" i="34" s="1"/>
  <c r="P64" i="30"/>
  <c r="W55" i="37"/>
  <c r="W65" i="38" s="1"/>
  <c r="W54" i="31"/>
  <c r="W63" i="34" s="1"/>
  <c r="W64" i="30"/>
  <c r="N55" i="37"/>
  <c r="N65" i="38" s="1"/>
  <c r="N54" i="31"/>
  <c r="N63" i="34" s="1"/>
  <c r="N64" i="30"/>
  <c r="M55" i="37"/>
  <c r="M65" i="38" s="1"/>
  <c r="M64" i="30"/>
  <c r="M54" i="31"/>
  <c r="M63" i="34" s="1"/>
  <c r="L55" i="37"/>
  <c r="L65" i="38" s="1"/>
  <c r="L54" i="31"/>
  <c r="L63" i="34" s="1"/>
  <c r="L64" i="30"/>
  <c r="AD55" i="37"/>
  <c r="AD65" i="38" s="1"/>
  <c r="AD54" i="31"/>
  <c r="AD63" i="34" s="1"/>
  <c r="AD64" i="30"/>
  <c r="R55" i="37"/>
  <c r="R65" i="38" s="1"/>
  <c r="R54" i="31"/>
  <c r="R63" i="34" s="1"/>
  <c r="R64" i="30"/>
  <c r="Q54" i="31"/>
  <c r="Q63" i="34" s="1"/>
  <c r="Q64" i="30"/>
  <c r="Q55" i="37"/>
  <c r="Q65" i="38" s="1"/>
  <c r="J55" i="37"/>
  <c r="J65" i="38" s="1"/>
  <c r="J54" i="31"/>
  <c r="J63" i="34" s="1"/>
  <c r="J64" i="30"/>
  <c r="I55" i="37"/>
  <c r="I65" i="38" s="1"/>
  <c r="I54" i="31"/>
  <c r="I63" i="34" s="1"/>
  <c r="I64" i="30"/>
  <c r="H55" i="37"/>
  <c r="H65" i="38" s="1"/>
  <c r="H54" i="31"/>
  <c r="H63" i="34" s="1"/>
  <c r="H64" i="30"/>
  <c r="O55" i="37"/>
  <c r="O65" i="38" s="1"/>
  <c r="O54" i="31"/>
  <c r="O63" i="34" s="1"/>
  <c r="O64" i="30"/>
  <c r="AH55" i="37"/>
  <c r="AH65" i="38" s="1"/>
  <c r="AH54" i="31"/>
  <c r="AH63" i="34" s="1"/>
  <c r="AH64" i="30"/>
  <c r="Y54" i="31"/>
  <c r="Y63" i="34" s="1"/>
  <c r="Y64" i="30"/>
  <c r="Y55" i="37"/>
  <c r="Y65" i="38" s="1"/>
  <c r="AI55" i="37"/>
  <c r="AI65" i="38" s="1"/>
  <c r="AI54" i="31"/>
  <c r="AI63" i="34" s="1"/>
  <c r="AI64" i="30"/>
  <c r="S55" i="37"/>
  <c r="S65" i="38" s="1"/>
  <c r="S54" i="31"/>
  <c r="S63" i="34" s="1"/>
  <c r="S64" i="30"/>
  <c r="E14" i="37"/>
  <c r="E14" i="38"/>
  <c r="E14" i="31"/>
  <c r="E14" i="34"/>
  <c r="D14" i="38"/>
  <c r="D14" i="37"/>
  <c r="D14" i="31"/>
  <c r="D14" i="34"/>
  <c r="F14" i="37"/>
  <c r="F14" i="38"/>
  <c r="F14" i="31"/>
  <c r="F14" i="34"/>
  <c r="C14" i="38"/>
  <c r="C14" i="37"/>
  <c r="C14" i="31"/>
  <c r="C14" i="34"/>
  <c r="G14" i="37"/>
  <c r="G14" i="38"/>
  <c r="G14" i="31"/>
  <c r="G14" i="34"/>
  <c r="D14" i="30"/>
  <c r="D14" i="29"/>
  <c r="F14" i="30"/>
  <c r="F14" i="29"/>
  <c r="C14" i="30"/>
  <c r="C14" i="29"/>
  <c r="G14" i="30"/>
  <c r="G14" i="29"/>
  <c r="E14" i="30"/>
  <c r="E14" i="29"/>
  <c r="I6" i="2"/>
  <c r="D6" i="9"/>
  <c r="L6" i="9"/>
  <c r="T6" i="9"/>
  <c r="C6" i="9"/>
  <c r="E6" i="9"/>
  <c r="M6" i="9"/>
  <c r="U6" i="9"/>
  <c r="F6" i="9"/>
  <c r="N6" i="9"/>
  <c r="V6" i="9"/>
  <c r="G6" i="9"/>
  <c r="O6" i="9"/>
  <c r="W6" i="9"/>
  <c r="H6" i="9"/>
  <c r="P6" i="9"/>
  <c r="X6" i="9"/>
  <c r="I6" i="9"/>
  <c r="Q6" i="9"/>
  <c r="Y6" i="9"/>
  <c r="J6" i="9"/>
  <c r="R6" i="9"/>
  <c r="Z6" i="9"/>
  <c r="K6" i="9"/>
  <c r="S6" i="9"/>
  <c r="AA6" i="9"/>
  <c r="O6" i="2"/>
  <c r="H6" i="2"/>
  <c r="G6" i="2"/>
  <c r="P6" i="2"/>
  <c r="N6" i="2"/>
  <c r="C6" i="2"/>
  <c r="M6" i="2"/>
  <c r="E6" i="2"/>
  <c r="T6" i="2"/>
  <c r="L6" i="2"/>
  <c r="D6" i="2"/>
  <c r="S6" i="2"/>
  <c r="K6" i="2"/>
  <c r="R6" i="2"/>
  <c r="J6" i="2"/>
  <c r="F6" i="2"/>
  <c r="Q6" i="2"/>
  <c r="C7" i="3" l="1"/>
  <c r="C66" i="3" s="1"/>
  <c r="E9" i="1"/>
  <c r="E14" i="36" l="1"/>
  <c r="E14" i="35"/>
  <c r="E14" i="21"/>
  <c r="E14" i="20"/>
  <c r="E14" i="23"/>
  <c r="E14" i="22"/>
  <c r="C71" i="3"/>
  <c r="E12" i="36"/>
  <c r="E13" i="36" s="1"/>
  <c r="E15" i="36" s="1"/>
  <c r="E12" i="35"/>
  <c r="E13" i="35" s="1"/>
  <c r="E15" i="35" s="1"/>
  <c r="E12" i="20"/>
  <c r="E12" i="22"/>
  <c r="E12" i="21"/>
  <c r="E12" i="23"/>
  <c r="E11" i="1"/>
  <c r="E12" i="1"/>
  <c r="E10" i="1"/>
  <c r="Z22" i="8"/>
  <c r="Y22" i="8"/>
  <c r="Z13" i="8"/>
  <c r="Z14" i="8"/>
  <c r="Z15" i="8"/>
  <c r="Z16" i="8"/>
  <c r="Z17" i="8"/>
  <c r="Z18" i="8"/>
  <c r="Z19" i="8"/>
  <c r="Z20" i="8"/>
  <c r="Z21" i="8"/>
  <c r="Y13" i="8"/>
  <c r="Y14" i="8"/>
  <c r="Y15" i="8"/>
  <c r="Y16" i="8"/>
  <c r="Y17" i="8"/>
  <c r="Y18" i="8"/>
  <c r="Y19" i="8"/>
  <c r="Y20" i="8"/>
  <c r="Y21" i="8"/>
  <c r="Z12" i="8"/>
  <c r="Y12" i="8"/>
  <c r="Y11" i="8"/>
  <c r="E55" i="29" l="1"/>
  <c r="M55" i="29"/>
  <c r="U55" i="29"/>
  <c r="AC55" i="29"/>
  <c r="AK55" i="29"/>
  <c r="G55" i="29"/>
  <c r="O55" i="29"/>
  <c r="W55" i="29"/>
  <c r="AE55" i="29"/>
  <c r="H55" i="29"/>
  <c r="R55" i="29"/>
  <c r="AB55" i="29"/>
  <c r="S55" i="29"/>
  <c r="AD55" i="29"/>
  <c r="I55" i="29"/>
  <c r="J55" i="29"/>
  <c r="T55" i="29"/>
  <c r="AF55" i="29"/>
  <c r="D55" i="29"/>
  <c r="X55" i="29"/>
  <c r="C55" i="29"/>
  <c r="F55" i="29"/>
  <c r="Y55" i="29"/>
  <c r="L55" i="29"/>
  <c r="Q55" i="29"/>
  <c r="V55" i="29"/>
  <c r="K55" i="29"/>
  <c r="Z55" i="29"/>
  <c r="N55" i="29"/>
  <c r="P55" i="29"/>
  <c r="AA55" i="29"/>
  <c r="AG55" i="29"/>
  <c r="AH55" i="29"/>
  <c r="AI55" i="29"/>
  <c r="AJ55" i="29"/>
  <c r="E26" i="35"/>
  <c r="E27" i="35"/>
  <c r="D15" i="38"/>
  <c r="D12" i="38" s="1"/>
  <c r="C15" i="37"/>
  <c r="C12" i="37" s="1"/>
  <c r="C15" i="38"/>
  <c r="C12" i="38" s="1"/>
  <c r="F15" i="38"/>
  <c r="F12" i="38" s="1"/>
  <c r="G15" i="38"/>
  <c r="G12" i="38" s="1"/>
  <c r="D15" i="37"/>
  <c r="D12" i="37" s="1"/>
  <c r="E15" i="38"/>
  <c r="E12" i="38" s="1"/>
  <c r="E15" i="37"/>
  <c r="E12" i="37" s="1"/>
  <c r="G15" i="37"/>
  <c r="G12" i="37" s="1"/>
  <c r="F15" i="37"/>
  <c r="F12" i="37" s="1"/>
  <c r="E27" i="36"/>
  <c r="E52" i="36" s="1"/>
  <c r="E26" i="36"/>
  <c r="E13" i="23"/>
  <c r="E29" i="23" s="1"/>
  <c r="C15" i="34"/>
  <c r="C12" i="34" s="1"/>
  <c r="G15" i="34"/>
  <c r="G12" i="34" s="1"/>
  <c r="D15" i="34"/>
  <c r="D12" i="34" s="1"/>
  <c r="F15" i="34"/>
  <c r="F12" i="34" s="1"/>
  <c r="E15" i="34"/>
  <c r="E12" i="34" s="1"/>
  <c r="E13" i="22"/>
  <c r="E15" i="22" s="1"/>
  <c r="E18" i="22" s="1"/>
  <c r="F15" i="31"/>
  <c r="F12" i="31" s="1"/>
  <c r="G15" i="31"/>
  <c r="G12" i="31" s="1"/>
  <c r="C15" i="31"/>
  <c r="C12" i="31" s="1"/>
  <c r="D15" i="31"/>
  <c r="D12" i="31" s="1"/>
  <c r="E15" i="31"/>
  <c r="E12" i="31" s="1"/>
  <c r="E13" i="21"/>
  <c r="E31" i="21" s="1"/>
  <c r="C15" i="30"/>
  <c r="C12" i="30" s="1"/>
  <c r="D15" i="30"/>
  <c r="D12" i="30" s="1"/>
  <c r="E15" i="30"/>
  <c r="E12" i="30" s="1"/>
  <c r="F15" i="30"/>
  <c r="F12" i="30" s="1"/>
  <c r="G15" i="30"/>
  <c r="G12" i="30" s="1"/>
  <c r="E13" i="20"/>
  <c r="E15" i="20" s="1"/>
  <c r="E16" i="20" s="1"/>
  <c r="C15" i="29"/>
  <c r="C12" i="29" s="1"/>
  <c r="E15" i="29"/>
  <c r="E12" i="29" s="1"/>
  <c r="D15" i="29"/>
  <c r="D12" i="29" s="1"/>
  <c r="F15" i="29"/>
  <c r="F12" i="29" s="1"/>
  <c r="G15" i="29"/>
  <c r="G12" i="29" s="1"/>
  <c r="E26" i="20"/>
  <c r="C68" i="3"/>
  <c r="E62" i="1"/>
  <c r="E72" i="1"/>
  <c r="V9" i="9"/>
  <c r="T9" i="9"/>
  <c r="J9" i="9"/>
  <c r="O9" i="9"/>
  <c r="X9" i="9"/>
  <c r="M9" i="9"/>
  <c r="H9" i="9"/>
  <c r="N9" i="9"/>
  <c r="L9" i="9"/>
  <c r="Y9" i="9"/>
  <c r="G9" i="9"/>
  <c r="E9" i="9"/>
  <c r="F9" i="9"/>
  <c r="D9" i="9"/>
  <c r="Q9" i="9"/>
  <c r="Z9" i="9"/>
  <c r="C9" i="2"/>
  <c r="AA9" i="9"/>
  <c r="I9" i="9"/>
  <c r="S9" i="9"/>
  <c r="P9" i="9"/>
  <c r="U9" i="9"/>
  <c r="K9" i="9"/>
  <c r="C9" i="9"/>
  <c r="R9" i="9"/>
  <c r="W9" i="9"/>
  <c r="J9" i="2"/>
  <c r="D9" i="2"/>
  <c r="K9" i="2"/>
  <c r="F9" i="2"/>
  <c r="I9" i="2"/>
  <c r="M9" i="2"/>
  <c r="T9" i="2"/>
  <c r="H9" i="2"/>
  <c r="E9" i="2"/>
  <c r="L9" i="2"/>
  <c r="P9" i="2"/>
  <c r="G9" i="2"/>
  <c r="O9" i="2"/>
  <c r="N9" i="2"/>
  <c r="S9" i="2"/>
  <c r="R9" i="2"/>
  <c r="Q9" i="2"/>
  <c r="E8" i="9"/>
  <c r="M8" i="9"/>
  <c r="U8" i="9"/>
  <c r="F8" i="9"/>
  <c r="N8" i="9"/>
  <c r="V8" i="9"/>
  <c r="G8" i="9"/>
  <c r="O8" i="9"/>
  <c r="W8" i="9"/>
  <c r="H8" i="9"/>
  <c r="P8" i="9"/>
  <c r="X8" i="9"/>
  <c r="I8" i="9"/>
  <c r="Q8" i="9"/>
  <c r="Y8" i="9"/>
  <c r="J8" i="9"/>
  <c r="R8" i="9"/>
  <c r="Z8" i="9"/>
  <c r="K8" i="9"/>
  <c r="S8" i="9"/>
  <c r="AA8" i="9"/>
  <c r="D8" i="9"/>
  <c r="L8" i="9"/>
  <c r="T8" i="9"/>
  <c r="C8" i="9"/>
  <c r="I10" i="9"/>
  <c r="Q10" i="9"/>
  <c r="Z10" i="9"/>
  <c r="J10" i="9"/>
  <c r="R10" i="9"/>
  <c r="AA10" i="9"/>
  <c r="K10" i="9"/>
  <c r="S10" i="9"/>
  <c r="E10" i="9"/>
  <c r="L10" i="9"/>
  <c r="T10" i="9"/>
  <c r="D10" i="9"/>
  <c r="M10" i="9"/>
  <c r="U10" i="9"/>
  <c r="C10" i="9"/>
  <c r="E13" i="1"/>
  <c r="F10" i="9"/>
  <c r="N10" i="9"/>
  <c r="V10" i="9"/>
  <c r="G10" i="9"/>
  <c r="O10" i="9"/>
  <c r="W10" i="9"/>
  <c r="H10" i="9"/>
  <c r="P10" i="9"/>
  <c r="X10" i="9"/>
  <c r="E10" i="2"/>
  <c r="M10" i="2"/>
  <c r="D10" i="2"/>
  <c r="F10" i="2"/>
  <c r="N10" i="2"/>
  <c r="C10" i="2"/>
  <c r="G10" i="2"/>
  <c r="O10" i="2"/>
  <c r="H10" i="2"/>
  <c r="P10" i="2"/>
  <c r="S10" i="2"/>
  <c r="I10" i="2"/>
  <c r="Q10" i="2"/>
  <c r="J10" i="2"/>
  <c r="R10" i="2"/>
  <c r="K10" i="2"/>
  <c r="L10" i="2"/>
  <c r="T10" i="2"/>
  <c r="Y10" i="9"/>
  <c r="K8" i="2"/>
  <c r="S8" i="2"/>
  <c r="Q8" i="2"/>
  <c r="R8" i="2"/>
  <c r="D8" i="2"/>
  <c r="L8" i="2"/>
  <c r="T8" i="2"/>
  <c r="M8" i="2"/>
  <c r="C8" i="2"/>
  <c r="N8" i="2"/>
  <c r="O8" i="2"/>
  <c r="E8" i="2"/>
  <c r="F8" i="2"/>
  <c r="G8" i="2"/>
  <c r="H8" i="2"/>
  <c r="P8" i="2"/>
  <c r="J8" i="2"/>
  <c r="I8" i="2"/>
  <c r="L37" i="3"/>
  <c r="L48" i="3"/>
  <c r="C39" i="3" s="1"/>
  <c r="E21" i="35" s="1"/>
  <c r="E4" i="1"/>
  <c r="V56" i="37" l="1"/>
  <c r="V65" i="30"/>
  <c r="V55" i="31"/>
  <c r="AE56" i="37"/>
  <c r="AE55" i="31"/>
  <c r="AE65" i="30"/>
  <c r="I58" i="31"/>
  <c r="I67" i="34" s="1"/>
  <c r="Q58" i="31"/>
  <c r="Q67" i="34" s="1"/>
  <c r="Y58" i="31"/>
  <c r="Y67" i="34" s="1"/>
  <c r="AG58" i="31"/>
  <c r="AG67" i="34" s="1"/>
  <c r="J58" i="31"/>
  <c r="J67" i="34" s="1"/>
  <c r="R58" i="31"/>
  <c r="R67" i="34" s="1"/>
  <c r="Z58" i="31"/>
  <c r="Z67" i="34" s="1"/>
  <c r="AH58" i="31"/>
  <c r="AH67" i="34" s="1"/>
  <c r="K58" i="31"/>
  <c r="K67" i="34" s="1"/>
  <c r="S58" i="31"/>
  <c r="S67" i="34" s="1"/>
  <c r="AA58" i="31"/>
  <c r="AA67" i="34" s="1"/>
  <c r="AI58" i="31"/>
  <c r="AI67" i="34" s="1"/>
  <c r="E58" i="31"/>
  <c r="E67" i="34" s="1"/>
  <c r="P58" i="31"/>
  <c r="P67" i="34" s="1"/>
  <c r="AD58" i="31"/>
  <c r="AD67" i="34" s="1"/>
  <c r="G58" i="31"/>
  <c r="G67" i="34" s="1"/>
  <c r="U58" i="31"/>
  <c r="U67" i="34" s="1"/>
  <c r="AF58" i="31"/>
  <c r="AF67" i="34" s="1"/>
  <c r="N58" i="31"/>
  <c r="N67" i="34" s="1"/>
  <c r="AB58" i="31"/>
  <c r="AB67" i="34" s="1"/>
  <c r="V58" i="31"/>
  <c r="V67" i="34" s="1"/>
  <c r="F58" i="31"/>
  <c r="F67" i="34" s="1"/>
  <c r="X58" i="31"/>
  <c r="X67" i="34" s="1"/>
  <c r="H58" i="31"/>
  <c r="H67" i="34" s="1"/>
  <c r="AC58" i="31"/>
  <c r="AC67" i="34" s="1"/>
  <c r="T58" i="31"/>
  <c r="T67" i="34" s="1"/>
  <c r="C58" i="31"/>
  <c r="C67" i="34" s="1"/>
  <c r="D58" i="31"/>
  <c r="D67" i="34" s="1"/>
  <c r="L58" i="31"/>
  <c r="L67" i="34" s="1"/>
  <c r="M58" i="31"/>
  <c r="M67" i="34" s="1"/>
  <c r="O58" i="31"/>
  <c r="O67" i="34" s="1"/>
  <c r="W58" i="31"/>
  <c r="W67" i="34" s="1"/>
  <c r="AE58" i="31"/>
  <c r="AE67" i="34" s="1"/>
  <c r="AK58" i="31"/>
  <c r="AK67" i="34" s="1"/>
  <c r="AJ58" i="31"/>
  <c r="AJ67" i="34" s="1"/>
  <c r="G100" i="38"/>
  <c r="O100" i="38"/>
  <c r="W100" i="38"/>
  <c r="AE100" i="38"/>
  <c r="H100" i="38"/>
  <c r="P100" i="38"/>
  <c r="X100" i="38"/>
  <c r="AF100" i="38"/>
  <c r="I100" i="38"/>
  <c r="Q100" i="38"/>
  <c r="Y100" i="38"/>
  <c r="AG100" i="38"/>
  <c r="E100" i="38"/>
  <c r="S100" i="38"/>
  <c r="AD100" i="38"/>
  <c r="F100" i="38"/>
  <c r="T100" i="38"/>
  <c r="AH100" i="38"/>
  <c r="J100" i="38"/>
  <c r="U100" i="38"/>
  <c r="AI100" i="38"/>
  <c r="N100" i="38"/>
  <c r="AK100" i="38"/>
  <c r="R100" i="38"/>
  <c r="C100" i="38"/>
  <c r="V100" i="38"/>
  <c r="L100" i="38"/>
  <c r="M100" i="38"/>
  <c r="Z100" i="38"/>
  <c r="AA100" i="38"/>
  <c r="AB100" i="38"/>
  <c r="AC100" i="38"/>
  <c r="AJ100" i="38"/>
  <c r="D100" i="38"/>
  <c r="K100" i="38"/>
  <c r="AG56" i="37"/>
  <c r="AG55" i="31"/>
  <c r="AG65" i="30"/>
  <c r="L56" i="37"/>
  <c r="L55" i="31"/>
  <c r="L65" i="30"/>
  <c r="J56" i="37"/>
  <c r="J55" i="31"/>
  <c r="J65" i="30"/>
  <c r="W56" i="37"/>
  <c r="W55" i="31"/>
  <c r="W65" i="30"/>
  <c r="H62" i="37"/>
  <c r="H72" i="38" s="1"/>
  <c r="P62" i="37"/>
  <c r="P72" i="38" s="1"/>
  <c r="X62" i="37"/>
  <c r="X72" i="38" s="1"/>
  <c r="AF62" i="37"/>
  <c r="AF72" i="38" s="1"/>
  <c r="I62" i="37"/>
  <c r="I72" i="38" s="1"/>
  <c r="Q62" i="37"/>
  <c r="Q72" i="38" s="1"/>
  <c r="Y62" i="37"/>
  <c r="Y72" i="38" s="1"/>
  <c r="AG62" i="37"/>
  <c r="AG72" i="38" s="1"/>
  <c r="J62" i="37"/>
  <c r="J72" i="38" s="1"/>
  <c r="T62" i="37"/>
  <c r="T72" i="38" s="1"/>
  <c r="AD62" i="37"/>
  <c r="AD72" i="38" s="1"/>
  <c r="F62" i="37"/>
  <c r="F72" i="38" s="1"/>
  <c r="S62" i="37"/>
  <c r="S72" i="38" s="1"/>
  <c r="AE62" i="37"/>
  <c r="AE72" i="38" s="1"/>
  <c r="G62" i="37"/>
  <c r="G72" i="38" s="1"/>
  <c r="U62" i="37"/>
  <c r="U72" i="38" s="1"/>
  <c r="AH62" i="37"/>
  <c r="AH72" i="38" s="1"/>
  <c r="K62" i="37"/>
  <c r="K72" i="38" s="1"/>
  <c r="V62" i="37"/>
  <c r="V72" i="38" s="1"/>
  <c r="AI62" i="37"/>
  <c r="AI72" i="38" s="1"/>
  <c r="L62" i="37"/>
  <c r="L72" i="38" s="1"/>
  <c r="W62" i="37"/>
  <c r="W72" i="38" s="1"/>
  <c r="AJ62" i="37"/>
  <c r="AJ72" i="38" s="1"/>
  <c r="M62" i="37"/>
  <c r="M72" i="38" s="1"/>
  <c r="Z62" i="37"/>
  <c r="Z72" i="38" s="1"/>
  <c r="AK62" i="37"/>
  <c r="AK72" i="38" s="1"/>
  <c r="O62" i="37"/>
  <c r="O72" i="38" s="1"/>
  <c r="AA62" i="37"/>
  <c r="AA72" i="38" s="1"/>
  <c r="AC62" i="37"/>
  <c r="AC72" i="38" s="1"/>
  <c r="E62" i="37"/>
  <c r="E72" i="38" s="1"/>
  <c r="N62" i="37"/>
  <c r="N72" i="38" s="1"/>
  <c r="R62" i="37"/>
  <c r="R72" i="38" s="1"/>
  <c r="D62" i="37"/>
  <c r="D72" i="38" s="1"/>
  <c r="AB62" i="37"/>
  <c r="AB72" i="38" s="1"/>
  <c r="C62" i="37"/>
  <c r="C72" i="38" s="1"/>
  <c r="E55" i="31"/>
  <c r="E56" i="37"/>
  <c r="E65" i="30"/>
  <c r="AA56" i="37"/>
  <c r="AA55" i="31"/>
  <c r="AA65" i="30"/>
  <c r="Y55" i="31"/>
  <c r="Y65" i="30"/>
  <c r="Y56" i="37"/>
  <c r="I55" i="31"/>
  <c r="I56" i="37"/>
  <c r="I65" i="30"/>
  <c r="O56" i="37"/>
  <c r="O55" i="31"/>
  <c r="O65" i="30"/>
  <c r="AI56" i="37"/>
  <c r="AI65" i="30"/>
  <c r="AI55" i="31"/>
  <c r="T56" i="37"/>
  <c r="T65" i="30"/>
  <c r="T55" i="31"/>
  <c r="I79" i="30"/>
  <c r="Q79" i="30"/>
  <c r="Y79" i="30"/>
  <c r="AG79" i="30"/>
  <c r="K79" i="30"/>
  <c r="T79" i="30"/>
  <c r="AC79" i="30"/>
  <c r="C79" i="30"/>
  <c r="D79" i="30"/>
  <c r="M79" i="30"/>
  <c r="V79" i="30"/>
  <c r="AE79" i="30"/>
  <c r="G79" i="30"/>
  <c r="S79" i="30"/>
  <c r="AF79" i="30"/>
  <c r="H79" i="30"/>
  <c r="U79" i="30"/>
  <c r="AH79" i="30"/>
  <c r="AJ79" i="30"/>
  <c r="J79" i="30"/>
  <c r="W79" i="30"/>
  <c r="AI79" i="30"/>
  <c r="L79" i="30"/>
  <c r="X79" i="30"/>
  <c r="F79" i="30"/>
  <c r="R79" i="30"/>
  <c r="AD79" i="30"/>
  <c r="AB79" i="30"/>
  <c r="AK79" i="30"/>
  <c r="AA79" i="30"/>
  <c r="E79" i="30"/>
  <c r="N79" i="30"/>
  <c r="O79" i="30"/>
  <c r="P79" i="30"/>
  <c r="Z79" i="30"/>
  <c r="P56" i="37"/>
  <c r="P55" i="31"/>
  <c r="P65" i="30"/>
  <c r="F56" i="37"/>
  <c r="F65" i="30"/>
  <c r="F55" i="31"/>
  <c r="AD56" i="37"/>
  <c r="AD65" i="30"/>
  <c r="AD55" i="31"/>
  <c r="G56" i="37"/>
  <c r="G55" i="31"/>
  <c r="G65" i="30"/>
  <c r="M56" i="37"/>
  <c r="M55" i="31"/>
  <c r="M65" i="30"/>
  <c r="J81" i="37"/>
  <c r="R81" i="37"/>
  <c r="Z81" i="37"/>
  <c r="AH81" i="37"/>
  <c r="H22" i="41" s="1"/>
  <c r="I22" i="41" s="1"/>
  <c r="K81" i="37"/>
  <c r="S81" i="37"/>
  <c r="AA81" i="37"/>
  <c r="AI81" i="37"/>
  <c r="F81" i="37"/>
  <c r="P81" i="37"/>
  <c r="AB81" i="37"/>
  <c r="C81" i="37"/>
  <c r="G81" i="37"/>
  <c r="Q81" i="37"/>
  <c r="AC81" i="37"/>
  <c r="H81" i="37"/>
  <c r="T81" i="37"/>
  <c r="AD81" i="37"/>
  <c r="L81" i="37"/>
  <c r="M81" i="37"/>
  <c r="AE81" i="37"/>
  <c r="N81" i="37"/>
  <c r="AF81" i="37"/>
  <c r="O81" i="37"/>
  <c r="AG81" i="37"/>
  <c r="H9" i="41" s="1"/>
  <c r="I9" i="41" s="1"/>
  <c r="U81" i="37"/>
  <c r="AJ81" i="37"/>
  <c r="V81" i="37"/>
  <c r="AK81" i="37"/>
  <c r="D81" i="37"/>
  <c r="I81" i="37"/>
  <c r="Y81" i="37"/>
  <c r="E81" i="37"/>
  <c r="W81" i="37"/>
  <c r="X81" i="37"/>
  <c r="N56" i="37"/>
  <c r="N65" i="30"/>
  <c r="N55" i="31"/>
  <c r="C56" i="37"/>
  <c r="C55" i="31"/>
  <c r="C65" i="30"/>
  <c r="S56" i="37"/>
  <c r="S55" i="31"/>
  <c r="S65" i="30"/>
  <c r="AK56" i="37"/>
  <c r="AK55" i="31"/>
  <c r="AK65" i="30"/>
  <c r="AF56" i="37"/>
  <c r="AF55" i="31"/>
  <c r="AF65" i="30"/>
  <c r="Q56" i="37"/>
  <c r="Q55" i="31"/>
  <c r="Q65" i="30"/>
  <c r="H57" i="29"/>
  <c r="H67" i="30" s="1"/>
  <c r="P57" i="29"/>
  <c r="P67" i="30" s="1"/>
  <c r="X57" i="29"/>
  <c r="X67" i="30" s="1"/>
  <c r="AF57" i="29"/>
  <c r="AF67" i="30" s="1"/>
  <c r="J57" i="29"/>
  <c r="J67" i="30" s="1"/>
  <c r="R57" i="29"/>
  <c r="R67" i="30" s="1"/>
  <c r="Z57" i="29"/>
  <c r="Z67" i="30" s="1"/>
  <c r="AH57" i="29"/>
  <c r="AH67" i="30" s="1"/>
  <c r="K57" i="29"/>
  <c r="K67" i="30" s="1"/>
  <c r="U57" i="29"/>
  <c r="U67" i="30" s="1"/>
  <c r="AE57" i="29"/>
  <c r="AE67" i="30" s="1"/>
  <c r="L57" i="29"/>
  <c r="L67" i="30" s="1"/>
  <c r="V57" i="29"/>
  <c r="V67" i="30" s="1"/>
  <c r="AG57" i="29"/>
  <c r="AG67" i="30" s="1"/>
  <c r="M57" i="29"/>
  <c r="M67" i="30" s="1"/>
  <c r="W57" i="29"/>
  <c r="W67" i="30" s="1"/>
  <c r="AI57" i="29"/>
  <c r="AI67" i="30" s="1"/>
  <c r="F57" i="29"/>
  <c r="F67" i="30" s="1"/>
  <c r="Y57" i="29"/>
  <c r="Y67" i="30" s="1"/>
  <c r="G57" i="29"/>
  <c r="G67" i="30" s="1"/>
  <c r="AA57" i="29"/>
  <c r="AA67" i="30" s="1"/>
  <c r="N57" i="29"/>
  <c r="N67" i="30" s="1"/>
  <c r="O57" i="29"/>
  <c r="O67" i="30" s="1"/>
  <c r="S57" i="29"/>
  <c r="S67" i="30" s="1"/>
  <c r="T57" i="29"/>
  <c r="T67" i="30" s="1"/>
  <c r="I57" i="29"/>
  <c r="I67" i="30" s="1"/>
  <c r="AB57" i="29"/>
  <c r="AB67" i="30" s="1"/>
  <c r="AC57" i="29"/>
  <c r="AC67" i="30" s="1"/>
  <c r="Q57" i="29"/>
  <c r="Q67" i="30" s="1"/>
  <c r="AD57" i="29"/>
  <c r="AD67" i="30" s="1"/>
  <c r="AJ57" i="29"/>
  <c r="AJ67" i="30" s="1"/>
  <c r="D57" i="29"/>
  <c r="D67" i="30" s="1"/>
  <c r="AK57" i="29"/>
  <c r="AK67" i="30" s="1"/>
  <c r="E57" i="29"/>
  <c r="E67" i="30" s="1"/>
  <c r="C57" i="29"/>
  <c r="C67" i="30" s="1"/>
  <c r="G67" i="37"/>
  <c r="G77" i="38" s="1"/>
  <c r="O67" i="37"/>
  <c r="O77" i="38" s="1"/>
  <c r="W67" i="37"/>
  <c r="W77" i="38" s="1"/>
  <c r="AE67" i="37"/>
  <c r="AE77" i="38" s="1"/>
  <c r="H67" i="37"/>
  <c r="H77" i="38" s="1"/>
  <c r="P67" i="37"/>
  <c r="P77" i="38" s="1"/>
  <c r="X67" i="37"/>
  <c r="X77" i="38" s="1"/>
  <c r="AF67" i="37"/>
  <c r="AF77" i="38" s="1"/>
  <c r="M67" i="37"/>
  <c r="M77" i="38" s="1"/>
  <c r="Y67" i="37"/>
  <c r="Y77" i="38" s="1"/>
  <c r="AI67" i="37"/>
  <c r="AI77" i="38" s="1"/>
  <c r="D67" i="37"/>
  <c r="D77" i="38" s="1"/>
  <c r="N67" i="37"/>
  <c r="N77" i="38" s="1"/>
  <c r="Z67" i="37"/>
  <c r="Z77" i="38" s="1"/>
  <c r="AJ67" i="37"/>
  <c r="AJ77" i="38" s="1"/>
  <c r="E67" i="37"/>
  <c r="E77" i="38" s="1"/>
  <c r="Q67" i="37"/>
  <c r="Q77" i="38" s="1"/>
  <c r="AA67" i="37"/>
  <c r="AA77" i="38" s="1"/>
  <c r="AK67" i="37"/>
  <c r="AK77" i="38" s="1"/>
  <c r="K67" i="37"/>
  <c r="K77" i="38" s="1"/>
  <c r="AC67" i="37"/>
  <c r="AC77" i="38" s="1"/>
  <c r="L67" i="37"/>
  <c r="L77" i="38" s="1"/>
  <c r="AD67" i="37"/>
  <c r="AD77" i="38" s="1"/>
  <c r="R67" i="37"/>
  <c r="R77" i="38" s="1"/>
  <c r="AG67" i="37"/>
  <c r="AG77" i="38" s="1"/>
  <c r="S67" i="37"/>
  <c r="S77" i="38" s="1"/>
  <c r="AH67" i="37"/>
  <c r="AH77" i="38" s="1"/>
  <c r="T67" i="37"/>
  <c r="T77" i="38" s="1"/>
  <c r="C67" i="37"/>
  <c r="C77" i="38" s="1"/>
  <c r="F67" i="37"/>
  <c r="F77" i="38" s="1"/>
  <c r="J67" i="37"/>
  <c r="J77" i="38" s="1"/>
  <c r="V67" i="37"/>
  <c r="V77" i="38" s="1"/>
  <c r="I67" i="37"/>
  <c r="I77" i="38" s="1"/>
  <c r="U67" i="37"/>
  <c r="U77" i="38" s="1"/>
  <c r="AB67" i="37"/>
  <c r="AB77" i="38" s="1"/>
  <c r="Z56" i="37"/>
  <c r="Z55" i="31"/>
  <c r="Z65" i="30"/>
  <c r="X56" i="37"/>
  <c r="X55" i="31"/>
  <c r="X65" i="30"/>
  <c r="AB55" i="31"/>
  <c r="AB56" i="37"/>
  <c r="AB65" i="30"/>
  <c r="AC56" i="37"/>
  <c r="AC55" i="31"/>
  <c r="AC65" i="30"/>
  <c r="H56" i="37"/>
  <c r="H55" i="31"/>
  <c r="H65" i="30"/>
  <c r="AH56" i="37"/>
  <c r="AH55" i="31"/>
  <c r="AH65" i="30"/>
  <c r="AJ56" i="37"/>
  <c r="AJ65" i="30"/>
  <c r="AJ55" i="31"/>
  <c r="K56" i="37"/>
  <c r="K55" i="31"/>
  <c r="K65" i="30"/>
  <c r="D56" i="37"/>
  <c r="D55" i="31"/>
  <c r="D65" i="30"/>
  <c r="R55" i="31"/>
  <c r="R56" i="37"/>
  <c r="R65" i="30"/>
  <c r="U56" i="37"/>
  <c r="U55" i="31"/>
  <c r="U65" i="30"/>
  <c r="E15" i="23"/>
  <c r="E20" i="23" s="1"/>
  <c r="E26" i="23"/>
  <c r="E28" i="21"/>
  <c r="E30" i="21" s="1"/>
  <c r="C21" i="38"/>
  <c r="C21" i="37"/>
  <c r="G21" i="38"/>
  <c r="F21" i="37"/>
  <c r="D21" i="37"/>
  <c r="E21" i="37"/>
  <c r="E21" i="38"/>
  <c r="D21" i="38"/>
  <c r="F21" i="38"/>
  <c r="G21" i="37"/>
  <c r="C49" i="38"/>
  <c r="D49" i="38"/>
  <c r="F49" i="38"/>
  <c r="E49" i="38"/>
  <c r="G49" i="38"/>
  <c r="E21" i="36"/>
  <c r="C26" i="38"/>
  <c r="F26" i="37"/>
  <c r="E26" i="38"/>
  <c r="C26" i="37"/>
  <c r="D26" i="38"/>
  <c r="F26" i="38"/>
  <c r="E26" i="37"/>
  <c r="G26" i="38"/>
  <c r="D26" i="37"/>
  <c r="G26" i="37"/>
  <c r="E40" i="37"/>
  <c r="F40" i="37"/>
  <c r="G40" i="37"/>
  <c r="C40" i="37"/>
  <c r="H35" i="41" s="1"/>
  <c r="I35" i="41" s="1"/>
  <c r="D40" i="37"/>
  <c r="E42" i="35"/>
  <c r="E17" i="22"/>
  <c r="E20" i="22"/>
  <c r="E21" i="22"/>
  <c r="E22" i="22"/>
  <c r="E15" i="21"/>
  <c r="E17" i="21" s="1"/>
  <c r="E18" i="31"/>
  <c r="F18" i="31"/>
  <c r="G18" i="31"/>
  <c r="D18" i="31"/>
  <c r="C18" i="31"/>
  <c r="E19" i="22"/>
  <c r="F20" i="31"/>
  <c r="E16" i="22"/>
  <c r="E28" i="35"/>
  <c r="E24" i="22"/>
  <c r="E23" i="22"/>
  <c r="E38" i="22" s="1"/>
  <c r="F21" i="31"/>
  <c r="E33" i="36"/>
  <c r="G27" i="34"/>
  <c r="C27" i="34"/>
  <c r="D27" i="34"/>
  <c r="E27" i="34"/>
  <c r="F27" i="34"/>
  <c r="E22" i="20"/>
  <c r="E17" i="20"/>
  <c r="D29" i="30"/>
  <c r="D31" i="38" s="1"/>
  <c r="E29" i="30"/>
  <c r="E31" i="38" s="1"/>
  <c r="F29" i="30"/>
  <c r="F31" i="38" s="1"/>
  <c r="G29" i="30"/>
  <c r="G31" i="38" s="1"/>
  <c r="C29" i="30"/>
  <c r="C31" i="38" s="1"/>
  <c r="E25" i="20"/>
  <c r="E40" i="20" s="1"/>
  <c r="E20" i="20"/>
  <c r="E24" i="20"/>
  <c r="E41" i="20" s="1"/>
  <c r="E21" i="20"/>
  <c r="E18" i="20"/>
  <c r="E17" i="29"/>
  <c r="G17" i="29"/>
  <c r="F17" i="29"/>
  <c r="C17" i="29"/>
  <c r="D17" i="29"/>
  <c r="C34" i="3"/>
  <c r="E73" i="1"/>
  <c r="C35" i="3"/>
  <c r="E74" i="1"/>
  <c r="E82" i="1" s="1"/>
  <c r="E26" i="21"/>
  <c r="E35" i="21"/>
  <c r="E16" i="23"/>
  <c r="E24" i="23"/>
  <c r="E28" i="36" s="1"/>
  <c r="E33" i="23"/>
  <c r="E37" i="36" s="1"/>
  <c r="E83" i="1"/>
  <c r="E87" i="1"/>
  <c r="E27" i="1"/>
  <c r="E39" i="1" s="1"/>
  <c r="E52" i="1"/>
  <c r="E42" i="1"/>
  <c r="E14" i="1"/>
  <c r="I3" i="9"/>
  <c r="Q3" i="9"/>
  <c r="Y3" i="9"/>
  <c r="J3" i="9"/>
  <c r="R3" i="9"/>
  <c r="Z3" i="9"/>
  <c r="AA3" i="9"/>
  <c r="K3" i="9"/>
  <c r="S3" i="9"/>
  <c r="C3" i="9"/>
  <c r="D3" i="9"/>
  <c r="L3" i="9"/>
  <c r="T3" i="9"/>
  <c r="E3" i="9"/>
  <c r="M3" i="9"/>
  <c r="U3" i="9"/>
  <c r="F3" i="9"/>
  <c r="N3" i="9"/>
  <c r="V3" i="9"/>
  <c r="G3" i="9"/>
  <c r="O3" i="9"/>
  <c r="W3" i="9"/>
  <c r="H3" i="9"/>
  <c r="P3" i="9"/>
  <c r="X3" i="9"/>
  <c r="E3" i="2"/>
  <c r="M3" i="2"/>
  <c r="D3" i="2"/>
  <c r="I3" i="2"/>
  <c r="K3" i="2"/>
  <c r="F3" i="2"/>
  <c r="N3" i="2"/>
  <c r="C3" i="2"/>
  <c r="G3" i="2"/>
  <c r="O3" i="2"/>
  <c r="H3" i="2"/>
  <c r="P3" i="2"/>
  <c r="Q3" i="2"/>
  <c r="T3" i="2"/>
  <c r="J3" i="2"/>
  <c r="R3" i="2"/>
  <c r="S3" i="2"/>
  <c r="L3" i="2"/>
  <c r="C43" i="3"/>
  <c r="C42" i="3"/>
  <c r="C41" i="3"/>
  <c r="C40" i="3"/>
  <c r="C38" i="3"/>
  <c r="C37" i="3"/>
  <c r="C36" i="3"/>
  <c r="C13" i="3"/>
  <c r="B3" i="6"/>
  <c r="AD66" i="38" l="1"/>
  <c r="AB82" i="38"/>
  <c r="AB76" i="34"/>
  <c r="AI64" i="34"/>
  <c r="AG64" i="34"/>
  <c r="E19" i="23"/>
  <c r="F19" i="34" s="1"/>
  <c r="C22" i="31"/>
  <c r="H62" i="31"/>
  <c r="H71" i="34" s="1"/>
  <c r="P62" i="31"/>
  <c r="P71" i="34" s="1"/>
  <c r="X62" i="31"/>
  <c r="X71" i="34" s="1"/>
  <c r="AF62" i="31"/>
  <c r="AF71" i="34" s="1"/>
  <c r="D62" i="31"/>
  <c r="D71" i="34" s="1"/>
  <c r="L62" i="31"/>
  <c r="L71" i="34" s="1"/>
  <c r="T62" i="31"/>
  <c r="T71" i="34" s="1"/>
  <c r="AB62" i="31"/>
  <c r="AB71" i="34" s="1"/>
  <c r="AJ62" i="31"/>
  <c r="AJ71" i="34" s="1"/>
  <c r="G62" i="31"/>
  <c r="G71" i="34" s="1"/>
  <c r="R62" i="31"/>
  <c r="R71" i="34" s="1"/>
  <c r="AC62" i="31"/>
  <c r="AC71" i="34" s="1"/>
  <c r="I62" i="31"/>
  <c r="I71" i="34" s="1"/>
  <c r="S62" i="31"/>
  <c r="S71" i="34" s="1"/>
  <c r="AD62" i="31"/>
  <c r="AD71" i="34" s="1"/>
  <c r="J62" i="31"/>
  <c r="J71" i="34" s="1"/>
  <c r="U62" i="31"/>
  <c r="U71" i="34" s="1"/>
  <c r="AE62" i="31"/>
  <c r="AE71" i="34" s="1"/>
  <c r="N62" i="31"/>
  <c r="N71" i="34" s="1"/>
  <c r="AG62" i="31"/>
  <c r="AG71" i="34" s="1"/>
  <c r="Q62" i="31"/>
  <c r="Q71" i="34" s="1"/>
  <c r="AI62" i="31"/>
  <c r="AI71" i="34" s="1"/>
  <c r="K62" i="31"/>
  <c r="K71" i="34" s="1"/>
  <c r="Z62" i="31"/>
  <c r="Z71" i="34" s="1"/>
  <c r="F62" i="31"/>
  <c r="F71" i="34" s="1"/>
  <c r="AK62" i="31"/>
  <c r="AK71" i="34" s="1"/>
  <c r="O62" i="31"/>
  <c r="O71" i="34" s="1"/>
  <c r="V62" i="31"/>
  <c r="V71" i="34" s="1"/>
  <c r="W62" i="31"/>
  <c r="W71" i="34" s="1"/>
  <c r="Y62" i="31"/>
  <c r="Y71" i="34" s="1"/>
  <c r="E62" i="31"/>
  <c r="E71" i="34" s="1"/>
  <c r="AH62" i="31"/>
  <c r="AH71" i="34" s="1"/>
  <c r="M62" i="31"/>
  <c r="M71" i="34" s="1"/>
  <c r="AA62" i="31"/>
  <c r="AA71" i="34" s="1"/>
  <c r="C62" i="31"/>
  <c r="C71" i="34" s="1"/>
  <c r="U64" i="34"/>
  <c r="D64" i="34"/>
  <c r="H64" i="34"/>
  <c r="AB66" i="38"/>
  <c r="Z64" i="34"/>
  <c r="F64" i="34"/>
  <c r="Z82" i="38"/>
  <c r="Z76" i="34"/>
  <c r="AD82" i="38"/>
  <c r="AD76" i="34"/>
  <c r="AJ82" i="38"/>
  <c r="AJ76" i="34"/>
  <c r="V82" i="38"/>
  <c r="V76" i="34"/>
  <c r="Y82" i="38"/>
  <c r="Y76" i="34"/>
  <c r="I66" i="38"/>
  <c r="AA64" i="34"/>
  <c r="J66" i="38"/>
  <c r="AG66" i="38"/>
  <c r="P66" i="38"/>
  <c r="S66" i="38"/>
  <c r="AG82" i="38"/>
  <c r="AG76" i="34"/>
  <c r="E17" i="23"/>
  <c r="F19" i="29"/>
  <c r="F59" i="29"/>
  <c r="F69" i="30" s="1"/>
  <c r="N59" i="29"/>
  <c r="N69" i="30" s="1"/>
  <c r="V59" i="29"/>
  <c r="V69" i="30" s="1"/>
  <c r="AD59" i="29"/>
  <c r="AD69" i="30" s="1"/>
  <c r="C59" i="29"/>
  <c r="C69" i="30" s="1"/>
  <c r="H59" i="29"/>
  <c r="H69" i="30" s="1"/>
  <c r="P59" i="29"/>
  <c r="P69" i="30" s="1"/>
  <c r="X59" i="29"/>
  <c r="X69" i="30" s="1"/>
  <c r="AF59" i="29"/>
  <c r="AF69" i="30" s="1"/>
  <c r="E59" i="29"/>
  <c r="E69" i="30" s="1"/>
  <c r="Q59" i="29"/>
  <c r="Q69" i="30" s="1"/>
  <c r="AA59" i="29"/>
  <c r="AA69" i="30" s="1"/>
  <c r="AK59" i="29"/>
  <c r="AK69" i="30" s="1"/>
  <c r="G59" i="29"/>
  <c r="G69" i="30" s="1"/>
  <c r="R59" i="29"/>
  <c r="R69" i="30" s="1"/>
  <c r="AB59" i="29"/>
  <c r="AB69" i="30" s="1"/>
  <c r="I59" i="29"/>
  <c r="I69" i="30" s="1"/>
  <c r="S59" i="29"/>
  <c r="S69" i="30" s="1"/>
  <c r="AC59" i="29"/>
  <c r="AC69" i="30" s="1"/>
  <c r="J59" i="29"/>
  <c r="J69" i="30" s="1"/>
  <c r="Y59" i="29"/>
  <c r="Y69" i="30" s="1"/>
  <c r="K59" i="29"/>
  <c r="K69" i="30" s="1"/>
  <c r="Z59" i="29"/>
  <c r="Z69" i="30" s="1"/>
  <c r="AG59" i="29"/>
  <c r="AG69" i="30" s="1"/>
  <c r="U59" i="29"/>
  <c r="U69" i="30" s="1"/>
  <c r="W59" i="29"/>
  <c r="W69" i="30" s="1"/>
  <c r="L59" i="29"/>
  <c r="L69" i="30" s="1"/>
  <c r="AE59" i="29"/>
  <c r="AE69" i="30" s="1"/>
  <c r="AI59" i="29"/>
  <c r="AI69" i="30" s="1"/>
  <c r="M59" i="29"/>
  <c r="M69" i="30" s="1"/>
  <c r="AH59" i="29"/>
  <c r="AH69" i="30" s="1"/>
  <c r="O59" i="29"/>
  <c r="O69" i="30" s="1"/>
  <c r="T59" i="29"/>
  <c r="T69" i="30" s="1"/>
  <c r="AJ59" i="29"/>
  <c r="AJ69" i="30" s="1"/>
  <c r="D59" i="29"/>
  <c r="D69" i="30" s="1"/>
  <c r="G59" i="31"/>
  <c r="G68" i="34" s="1"/>
  <c r="O59" i="31"/>
  <c r="O68" i="34" s="1"/>
  <c r="K59" i="31"/>
  <c r="K68" i="34" s="1"/>
  <c r="S59" i="31"/>
  <c r="S68" i="34" s="1"/>
  <c r="I59" i="31"/>
  <c r="I68" i="34" s="1"/>
  <c r="T59" i="31"/>
  <c r="T68" i="34" s="1"/>
  <c r="AB59" i="31"/>
  <c r="AB68" i="34" s="1"/>
  <c r="AJ59" i="31"/>
  <c r="AJ68" i="34" s="1"/>
  <c r="J59" i="31"/>
  <c r="J68" i="34" s="1"/>
  <c r="U59" i="31"/>
  <c r="U68" i="34" s="1"/>
  <c r="AC59" i="31"/>
  <c r="AC68" i="34" s="1"/>
  <c r="AK59" i="31"/>
  <c r="AK68" i="34" s="1"/>
  <c r="L59" i="31"/>
  <c r="L68" i="34" s="1"/>
  <c r="V59" i="31"/>
  <c r="V68" i="34" s="1"/>
  <c r="AD59" i="31"/>
  <c r="AD68" i="34" s="1"/>
  <c r="C59" i="31"/>
  <c r="C68" i="34" s="1"/>
  <c r="M59" i="31"/>
  <c r="M68" i="34" s="1"/>
  <c r="Z59" i="31"/>
  <c r="Z68" i="34" s="1"/>
  <c r="P59" i="31"/>
  <c r="P68" i="34" s="1"/>
  <c r="AE59" i="31"/>
  <c r="AE68" i="34" s="1"/>
  <c r="F59" i="31"/>
  <c r="F68" i="34" s="1"/>
  <c r="X59" i="31"/>
  <c r="X68" i="34" s="1"/>
  <c r="AI59" i="31"/>
  <c r="AI68" i="34" s="1"/>
  <c r="N59" i="31"/>
  <c r="N68" i="34" s="1"/>
  <c r="AH59" i="31"/>
  <c r="AH68" i="34" s="1"/>
  <c r="R59" i="31"/>
  <c r="R68" i="34" s="1"/>
  <c r="W59" i="31"/>
  <c r="W68" i="34" s="1"/>
  <c r="H59" i="31"/>
  <c r="H68" i="34" s="1"/>
  <c r="AG59" i="31"/>
  <c r="AG68" i="34" s="1"/>
  <c r="D59" i="31"/>
  <c r="D68" i="34" s="1"/>
  <c r="E59" i="31"/>
  <c r="E68" i="34" s="1"/>
  <c r="Q59" i="31"/>
  <c r="Q68" i="34" s="1"/>
  <c r="Y59" i="31"/>
  <c r="Y68" i="34" s="1"/>
  <c r="AF59" i="31"/>
  <c r="AF68" i="34" s="1"/>
  <c r="AA59" i="31"/>
  <c r="AA68" i="34" s="1"/>
  <c r="D21" i="31"/>
  <c r="E61" i="31"/>
  <c r="E70" i="34" s="1"/>
  <c r="M61" i="31"/>
  <c r="M70" i="34" s="1"/>
  <c r="U61" i="31"/>
  <c r="U70" i="34" s="1"/>
  <c r="AC61" i="31"/>
  <c r="AC70" i="34" s="1"/>
  <c r="AK61" i="31"/>
  <c r="AK70" i="34" s="1"/>
  <c r="I61" i="31"/>
  <c r="I70" i="34" s="1"/>
  <c r="Q61" i="31"/>
  <c r="Q70" i="34" s="1"/>
  <c r="Y61" i="31"/>
  <c r="Y70" i="34" s="1"/>
  <c r="AG61" i="31"/>
  <c r="AG70" i="34" s="1"/>
  <c r="D61" i="31"/>
  <c r="D70" i="34" s="1"/>
  <c r="O61" i="31"/>
  <c r="O70" i="34" s="1"/>
  <c r="Z61" i="31"/>
  <c r="Z70" i="34" s="1"/>
  <c r="AJ61" i="31"/>
  <c r="AJ70" i="34" s="1"/>
  <c r="F61" i="31"/>
  <c r="F70" i="34" s="1"/>
  <c r="P61" i="31"/>
  <c r="P70" i="34" s="1"/>
  <c r="AA61" i="31"/>
  <c r="AA70" i="34" s="1"/>
  <c r="C61" i="31"/>
  <c r="C70" i="34" s="1"/>
  <c r="G61" i="31"/>
  <c r="G70" i="34" s="1"/>
  <c r="R61" i="31"/>
  <c r="R70" i="34" s="1"/>
  <c r="AB61" i="31"/>
  <c r="AB70" i="34" s="1"/>
  <c r="L61" i="31"/>
  <c r="L70" i="34" s="1"/>
  <c r="AE61" i="31"/>
  <c r="AE70" i="34" s="1"/>
  <c r="S61" i="31"/>
  <c r="S70" i="34" s="1"/>
  <c r="AH61" i="31"/>
  <c r="AH70" i="34" s="1"/>
  <c r="J61" i="31"/>
  <c r="J70" i="34" s="1"/>
  <c r="X61" i="31"/>
  <c r="X70" i="34" s="1"/>
  <c r="AD61" i="31"/>
  <c r="AD70" i="34" s="1"/>
  <c r="H61" i="31"/>
  <c r="H70" i="34" s="1"/>
  <c r="AI61" i="31"/>
  <c r="AI70" i="34" s="1"/>
  <c r="K61" i="31"/>
  <c r="K70" i="34" s="1"/>
  <c r="N61" i="31"/>
  <c r="N70" i="34" s="1"/>
  <c r="T61" i="31"/>
  <c r="T70" i="34" s="1"/>
  <c r="W61" i="31"/>
  <c r="W70" i="34" s="1"/>
  <c r="V61" i="31"/>
  <c r="V70" i="34" s="1"/>
  <c r="AF61" i="31"/>
  <c r="AF70" i="34" s="1"/>
  <c r="U66" i="38"/>
  <c r="D66" i="38"/>
  <c r="AJ66" i="38"/>
  <c r="H66" i="38"/>
  <c r="AB64" i="34"/>
  <c r="Z66" i="38"/>
  <c r="G64" i="34"/>
  <c r="P82" i="38"/>
  <c r="P76" i="34"/>
  <c r="R82" i="38"/>
  <c r="R76" i="34"/>
  <c r="AH82" i="38"/>
  <c r="AH76" i="34"/>
  <c r="M82" i="38"/>
  <c r="M76" i="34"/>
  <c r="Q82" i="38"/>
  <c r="Q76" i="34"/>
  <c r="AI66" i="38"/>
  <c r="I64" i="34"/>
  <c r="AA66" i="38"/>
  <c r="AE64" i="34"/>
  <c r="E23" i="23"/>
  <c r="E48" i="23" s="1"/>
  <c r="N66" i="38"/>
  <c r="E21" i="23"/>
  <c r="G21" i="34" s="1"/>
  <c r="F22" i="29"/>
  <c r="G62" i="29"/>
  <c r="G72" i="30" s="1"/>
  <c r="O62" i="29"/>
  <c r="O72" i="30" s="1"/>
  <c r="W62" i="29"/>
  <c r="W72" i="30" s="1"/>
  <c r="AE62" i="29"/>
  <c r="AE72" i="30" s="1"/>
  <c r="I62" i="29"/>
  <c r="I72" i="30" s="1"/>
  <c r="Q62" i="29"/>
  <c r="Q72" i="30" s="1"/>
  <c r="Y62" i="29"/>
  <c r="Y72" i="30" s="1"/>
  <c r="AG62" i="29"/>
  <c r="AG72" i="30" s="1"/>
  <c r="D62" i="29"/>
  <c r="D72" i="30" s="1"/>
  <c r="N62" i="29"/>
  <c r="N72" i="30" s="1"/>
  <c r="Z62" i="29"/>
  <c r="Z72" i="30" s="1"/>
  <c r="AJ62" i="29"/>
  <c r="AJ72" i="30" s="1"/>
  <c r="AA62" i="29"/>
  <c r="AA72" i="30" s="1"/>
  <c r="E62" i="29"/>
  <c r="E72" i="30" s="1"/>
  <c r="P62" i="29"/>
  <c r="P72" i="30" s="1"/>
  <c r="AK62" i="29"/>
  <c r="AK72" i="30" s="1"/>
  <c r="F62" i="29"/>
  <c r="F72" i="30" s="1"/>
  <c r="R62" i="29"/>
  <c r="R72" i="30" s="1"/>
  <c r="AB62" i="29"/>
  <c r="AB72" i="30" s="1"/>
  <c r="C62" i="29"/>
  <c r="C72" i="30" s="1"/>
  <c r="K62" i="29"/>
  <c r="K72" i="30" s="1"/>
  <c r="AC62" i="29"/>
  <c r="AC72" i="30" s="1"/>
  <c r="AD62" i="29"/>
  <c r="AD72" i="30" s="1"/>
  <c r="AH62" i="29"/>
  <c r="AH72" i="30" s="1"/>
  <c r="V62" i="29"/>
  <c r="V72" i="30" s="1"/>
  <c r="X62" i="29"/>
  <c r="X72" i="30" s="1"/>
  <c r="L62" i="29"/>
  <c r="L72" i="30" s="1"/>
  <c r="M62" i="29"/>
  <c r="M72" i="30" s="1"/>
  <c r="AF62" i="29"/>
  <c r="AF72" i="30" s="1"/>
  <c r="S62" i="29"/>
  <c r="S72" i="30" s="1"/>
  <c r="T62" i="29"/>
  <c r="T72" i="30" s="1"/>
  <c r="AI62" i="29"/>
  <c r="AI72" i="30" s="1"/>
  <c r="U62" i="29"/>
  <c r="U72" i="30" s="1"/>
  <c r="H62" i="29"/>
  <c r="H72" i="30" s="1"/>
  <c r="J62" i="29"/>
  <c r="J72" i="30" s="1"/>
  <c r="C20" i="31"/>
  <c r="J60" i="31"/>
  <c r="J69" i="34" s="1"/>
  <c r="R60" i="31"/>
  <c r="R69" i="34" s="1"/>
  <c r="Z60" i="31"/>
  <c r="Z69" i="34" s="1"/>
  <c r="AH60" i="31"/>
  <c r="AH69" i="34" s="1"/>
  <c r="F60" i="31"/>
  <c r="F69" i="34" s="1"/>
  <c r="N60" i="31"/>
  <c r="N69" i="34" s="1"/>
  <c r="V60" i="31"/>
  <c r="V69" i="34" s="1"/>
  <c r="AD60" i="31"/>
  <c r="AD69" i="34" s="1"/>
  <c r="C60" i="31"/>
  <c r="C69" i="34" s="1"/>
  <c r="L60" i="31"/>
  <c r="L69" i="34" s="1"/>
  <c r="W60" i="31"/>
  <c r="W69" i="34" s="1"/>
  <c r="AG60" i="31"/>
  <c r="AG69" i="34" s="1"/>
  <c r="M60" i="31"/>
  <c r="M69" i="34" s="1"/>
  <c r="X60" i="31"/>
  <c r="X69" i="34" s="1"/>
  <c r="AI60" i="31"/>
  <c r="AI69" i="34" s="1"/>
  <c r="D60" i="31"/>
  <c r="D69" i="34" s="1"/>
  <c r="O60" i="31"/>
  <c r="O69" i="34" s="1"/>
  <c r="Y60" i="31"/>
  <c r="Y69" i="34" s="1"/>
  <c r="AJ60" i="31"/>
  <c r="AJ69" i="34" s="1"/>
  <c r="K60" i="31"/>
  <c r="K69" i="34" s="1"/>
  <c r="AC60" i="31"/>
  <c r="AC69" i="34" s="1"/>
  <c r="Q60" i="31"/>
  <c r="Q69" i="34" s="1"/>
  <c r="AF60" i="31"/>
  <c r="AF69" i="34" s="1"/>
  <c r="H60" i="31"/>
  <c r="H69" i="34" s="1"/>
  <c r="AA60" i="31"/>
  <c r="AA69" i="34" s="1"/>
  <c r="T60" i="31"/>
  <c r="T69" i="34" s="1"/>
  <c r="AB60" i="31"/>
  <c r="AB69" i="34" s="1"/>
  <c r="E60" i="31"/>
  <c r="E69" i="34" s="1"/>
  <c r="AE60" i="31"/>
  <c r="AE69" i="34" s="1"/>
  <c r="G60" i="31"/>
  <c r="G69" i="34" s="1"/>
  <c r="I60" i="31"/>
  <c r="I69" i="34" s="1"/>
  <c r="S60" i="31"/>
  <c r="S69" i="34" s="1"/>
  <c r="U60" i="31"/>
  <c r="U69" i="34" s="1"/>
  <c r="AK60" i="31"/>
  <c r="AK69" i="34" s="1"/>
  <c r="P60" i="31"/>
  <c r="P69" i="34" s="1"/>
  <c r="Q64" i="34"/>
  <c r="AK64" i="34"/>
  <c r="C64" i="34"/>
  <c r="G66" i="38"/>
  <c r="F66" i="38"/>
  <c r="O82" i="38"/>
  <c r="O76" i="34"/>
  <c r="F82" i="38"/>
  <c r="F76" i="34"/>
  <c r="U82" i="38"/>
  <c r="U76" i="34"/>
  <c r="D82" i="38"/>
  <c r="D76" i="34"/>
  <c r="I82" i="38"/>
  <c r="I76" i="34"/>
  <c r="AE66" i="38"/>
  <c r="K82" i="38"/>
  <c r="K76" i="34"/>
  <c r="AE82" i="38"/>
  <c r="AE76" i="34"/>
  <c r="E22" i="23"/>
  <c r="I79" i="29"/>
  <c r="I98" i="30" s="1"/>
  <c r="Q79" i="29"/>
  <c r="Q98" i="30" s="1"/>
  <c r="Y79" i="29"/>
  <c r="Y98" i="30" s="1"/>
  <c r="AG79" i="29"/>
  <c r="K79" i="29"/>
  <c r="K98" i="30" s="1"/>
  <c r="S79" i="29"/>
  <c r="S98" i="30" s="1"/>
  <c r="AA79" i="29"/>
  <c r="AA98" i="30" s="1"/>
  <c r="AI79" i="29"/>
  <c r="AI98" i="30" s="1"/>
  <c r="D79" i="29"/>
  <c r="D98" i="30" s="1"/>
  <c r="N79" i="29"/>
  <c r="N98" i="30" s="1"/>
  <c r="X79" i="29"/>
  <c r="X98" i="30" s="1"/>
  <c r="AJ79" i="29"/>
  <c r="AJ98" i="30" s="1"/>
  <c r="E79" i="29"/>
  <c r="E98" i="30" s="1"/>
  <c r="O79" i="29"/>
  <c r="O98" i="30" s="1"/>
  <c r="Z79" i="29"/>
  <c r="Z98" i="30" s="1"/>
  <c r="AK79" i="29"/>
  <c r="AK98" i="30" s="1"/>
  <c r="F79" i="29"/>
  <c r="F98" i="30" s="1"/>
  <c r="P79" i="29"/>
  <c r="P98" i="30" s="1"/>
  <c r="AB79" i="29"/>
  <c r="AB98" i="30" s="1"/>
  <c r="C79" i="29"/>
  <c r="C98" i="30" s="1"/>
  <c r="G79" i="29"/>
  <c r="G98" i="30" s="1"/>
  <c r="V79" i="29"/>
  <c r="V98" i="30" s="1"/>
  <c r="H79" i="29"/>
  <c r="H98" i="30" s="1"/>
  <c r="W79" i="29"/>
  <c r="W98" i="30" s="1"/>
  <c r="AH79" i="29"/>
  <c r="J79" i="29"/>
  <c r="J98" i="30" s="1"/>
  <c r="AC79" i="29"/>
  <c r="AC98" i="30" s="1"/>
  <c r="L79" i="29"/>
  <c r="L98" i="30" s="1"/>
  <c r="AD79" i="29"/>
  <c r="AD98" i="30" s="1"/>
  <c r="M79" i="29"/>
  <c r="M98" i="30" s="1"/>
  <c r="AE79" i="29"/>
  <c r="AE98" i="30" s="1"/>
  <c r="R79" i="29"/>
  <c r="R98" i="30" s="1"/>
  <c r="AF79" i="29"/>
  <c r="AF98" i="30" s="1"/>
  <c r="T79" i="29"/>
  <c r="T98" i="30" s="1"/>
  <c r="U79" i="29"/>
  <c r="U98" i="30" s="1"/>
  <c r="F18" i="29"/>
  <c r="K58" i="29"/>
  <c r="S58" i="29"/>
  <c r="AA58" i="29"/>
  <c r="AA68" i="30" s="1"/>
  <c r="AI58" i="29"/>
  <c r="AI68" i="30" s="1"/>
  <c r="E58" i="29"/>
  <c r="M58" i="29"/>
  <c r="U58" i="29"/>
  <c r="U68" i="30" s="1"/>
  <c r="AC58" i="29"/>
  <c r="AK58" i="29"/>
  <c r="AK68" i="30" s="1"/>
  <c r="N58" i="29"/>
  <c r="N68" i="30" s="1"/>
  <c r="X58" i="29"/>
  <c r="AH58" i="29"/>
  <c r="D58" i="29"/>
  <c r="Y58" i="29"/>
  <c r="Y68" i="30" s="1"/>
  <c r="AJ58" i="29"/>
  <c r="O58" i="29"/>
  <c r="F58" i="29"/>
  <c r="F68" i="30" s="1"/>
  <c r="P58" i="29"/>
  <c r="P68" i="30" s="1"/>
  <c r="Z58" i="29"/>
  <c r="C58" i="29"/>
  <c r="C68" i="30" s="1"/>
  <c r="H58" i="29"/>
  <c r="W58" i="29"/>
  <c r="W68" i="30" s="1"/>
  <c r="I58" i="29"/>
  <c r="I68" i="30" s="1"/>
  <c r="AB58" i="29"/>
  <c r="AB68" i="30" s="1"/>
  <c r="AE58" i="29"/>
  <c r="AE68" i="30" s="1"/>
  <c r="AG58" i="29"/>
  <c r="AG68" i="30" s="1"/>
  <c r="T58" i="29"/>
  <c r="V58" i="29"/>
  <c r="R58" i="29"/>
  <c r="J58" i="29"/>
  <c r="J68" i="30" s="1"/>
  <c r="AD58" i="29"/>
  <c r="L58" i="29"/>
  <c r="L68" i="30" s="1"/>
  <c r="Q58" i="29"/>
  <c r="Q68" i="30" s="1"/>
  <c r="AF58" i="29"/>
  <c r="G58" i="29"/>
  <c r="G68" i="30" s="1"/>
  <c r="G17" i="31"/>
  <c r="F57" i="31"/>
  <c r="F66" i="34" s="1"/>
  <c r="N57" i="31"/>
  <c r="N66" i="34" s="1"/>
  <c r="V57" i="31"/>
  <c r="V66" i="34" s="1"/>
  <c r="AD57" i="31"/>
  <c r="AD66" i="34" s="1"/>
  <c r="C57" i="31"/>
  <c r="C66" i="34" s="1"/>
  <c r="G57" i="31"/>
  <c r="G66" i="34" s="1"/>
  <c r="O57" i="31"/>
  <c r="O66" i="34" s="1"/>
  <c r="W57" i="31"/>
  <c r="W66" i="34" s="1"/>
  <c r="AE57" i="31"/>
  <c r="AE66" i="34" s="1"/>
  <c r="H57" i="31"/>
  <c r="H66" i="34" s="1"/>
  <c r="P57" i="31"/>
  <c r="P66" i="34" s="1"/>
  <c r="X57" i="31"/>
  <c r="X66" i="34" s="1"/>
  <c r="AF57" i="31"/>
  <c r="AF66" i="34" s="1"/>
  <c r="I57" i="31"/>
  <c r="I66" i="34" s="1"/>
  <c r="T57" i="31"/>
  <c r="T66" i="34" s="1"/>
  <c r="AH57" i="31"/>
  <c r="AH66" i="34" s="1"/>
  <c r="K57" i="31"/>
  <c r="K66" i="34" s="1"/>
  <c r="Y57" i="31"/>
  <c r="Y66" i="34" s="1"/>
  <c r="AJ57" i="31"/>
  <c r="AJ66" i="34" s="1"/>
  <c r="D57" i="31"/>
  <c r="D66" i="34" s="1"/>
  <c r="R57" i="31"/>
  <c r="R66" i="34" s="1"/>
  <c r="AC57" i="31"/>
  <c r="AC66" i="34" s="1"/>
  <c r="E57" i="31"/>
  <c r="E66" i="34" s="1"/>
  <c r="AA57" i="31"/>
  <c r="AA66" i="34" s="1"/>
  <c r="L57" i="31"/>
  <c r="L66" i="34" s="1"/>
  <c r="AG57" i="31"/>
  <c r="AG66" i="34" s="1"/>
  <c r="AI57" i="31"/>
  <c r="AI66" i="34" s="1"/>
  <c r="M57" i="31"/>
  <c r="M66" i="34" s="1"/>
  <c r="Z57" i="31"/>
  <c r="Z66" i="34" s="1"/>
  <c r="J57" i="31"/>
  <c r="J66" i="34" s="1"/>
  <c r="Q57" i="31"/>
  <c r="Q66" i="34" s="1"/>
  <c r="S57" i="31"/>
  <c r="S66" i="34" s="1"/>
  <c r="U57" i="31"/>
  <c r="U66" i="34" s="1"/>
  <c r="AB57" i="31"/>
  <c r="AB66" i="34" s="1"/>
  <c r="AK57" i="31"/>
  <c r="AK66" i="34" s="1"/>
  <c r="Q66" i="38"/>
  <c r="AK66" i="38"/>
  <c r="C66" i="38"/>
  <c r="N82" i="38"/>
  <c r="N76" i="34"/>
  <c r="X82" i="38"/>
  <c r="X76" i="34"/>
  <c r="H82" i="38"/>
  <c r="H76" i="34"/>
  <c r="C82" i="38"/>
  <c r="C76" i="34"/>
  <c r="T64" i="34"/>
  <c r="Y66" i="38"/>
  <c r="W64" i="34"/>
  <c r="L64" i="34"/>
  <c r="AJ64" i="34"/>
  <c r="AF66" i="38"/>
  <c r="J82" i="38"/>
  <c r="J76" i="34"/>
  <c r="E18" i="23"/>
  <c r="F18" i="34" s="1"/>
  <c r="F21" i="29"/>
  <c r="D61" i="29"/>
  <c r="D71" i="30" s="1"/>
  <c r="L61" i="29"/>
  <c r="L71" i="30" s="1"/>
  <c r="T61" i="29"/>
  <c r="T71" i="30" s="1"/>
  <c r="AB61" i="29"/>
  <c r="AB71" i="30" s="1"/>
  <c r="AJ61" i="29"/>
  <c r="AJ71" i="30" s="1"/>
  <c r="F61" i="29"/>
  <c r="F71" i="30" s="1"/>
  <c r="N61" i="29"/>
  <c r="N71" i="30" s="1"/>
  <c r="V61" i="29"/>
  <c r="V71" i="30" s="1"/>
  <c r="AD61" i="29"/>
  <c r="AD71" i="30" s="1"/>
  <c r="C61" i="29"/>
  <c r="C71" i="30" s="1"/>
  <c r="K61" i="29"/>
  <c r="K71" i="30" s="1"/>
  <c r="W61" i="29"/>
  <c r="W71" i="30" s="1"/>
  <c r="AG61" i="29"/>
  <c r="AG71" i="30" s="1"/>
  <c r="AH61" i="29"/>
  <c r="AH71" i="30" s="1"/>
  <c r="M61" i="29"/>
  <c r="M71" i="30" s="1"/>
  <c r="X61" i="29"/>
  <c r="X71" i="30" s="1"/>
  <c r="O61" i="29"/>
  <c r="O71" i="30" s="1"/>
  <c r="Y61" i="29"/>
  <c r="Y71" i="30" s="1"/>
  <c r="AI61" i="29"/>
  <c r="AI71" i="30" s="1"/>
  <c r="I61" i="29"/>
  <c r="I71" i="30" s="1"/>
  <c r="AA61" i="29"/>
  <c r="AA71" i="30" s="1"/>
  <c r="J61" i="29"/>
  <c r="J71" i="30" s="1"/>
  <c r="AC61" i="29"/>
  <c r="AC71" i="30" s="1"/>
  <c r="AF61" i="29"/>
  <c r="AF71" i="30" s="1"/>
  <c r="U61" i="29"/>
  <c r="U71" i="30" s="1"/>
  <c r="Z61" i="29"/>
  <c r="Z71" i="30" s="1"/>
  <c r="P61" i="29"/>
  <c r="P71" i="30" s="1"/>
  <c r="AE61" i="29"/>
  <c r="AE71" i="30" s="1"/>
  <c r="Q61" i="29"/>
  <c r="Q71" i="30" s="1"/>
  <c r="E61" i="29"/>
  <c r="E71" i="30" s="1"/>
  <c r="R61" i="29"/>
  <c r="R71" i="30" s="1"/>
  <c r="AK61" i="29"/>
  <c r="AK71" i="30" s="1"/>
  <c r="S61" i="29"/>
  <c r="S71" i="30" s="1"/>
  <c r="G61" i="29"/>
  <c r="G71" i="30" s="1"/>
  <c r="H61" i="29"/>
  <c r="H71" i="30" s="1"/>
  <c r="G38" i="22"/>
  <c r="E43" i="22" s="1"/>
  <c r="E53" i="23" s="1"/>
  <c r="K76" i="31"/>
  <c r="K94" i="34" s="1"/>
  <c r="S76" i="31"/>
  <c r="S94" i="34" s="1"/>
  <c r="AA76" i="31"/>
  <c r="AA94" i="34" s="1"/>
  <c r="AI76" i="31"/>
  <c r="AI94" i="34" s="1"/>
  <c r="G76" i="31"/>
  <c r="G94" i="34" s="1"/>
  <c r="O76" i="31"/>
  <c r="O94" i="34" s="1"/>
  <c r="W76" i="31"/>
  <c r="W94" i="34" s="1"/>
  <c r="AE76" i="31"/>
  <c r="AE94" i="34" s="1"/>
  <c r="J76" i="31"/>
  <c r="J94" i="34" s="1"/>
  <c r="U76" i="31"/>
  <c r="U94" i="34" s="1"/>
  <c r="AF76" i="31"/>
  <c r="AF94" i="34" s="1"/>
  <c r="L76" i="31"/>
  <c r="L94" i="34" s="1"/>
  <c r="V76" i="31"/>
  <c r="V94" i="34" s="1"/>
  <c r="AG76" i="31"/>
  <c r="M76" i="31"/>
  <c r="M94" i="34" s="1"/>
  <c r="X76" i="31"/>
  <c r="X94" i="34" s="1"/>
  <c r="AH76" i="31"/>
  <c r="P76" i="31"/>
  <c r="P94" i="34" s="1"/>
  <c r="AD76" i="31"/>
  <c r="AD94" i="34" s="1"/>
  <c r="D76" i="31"/>
  <c r="D94" i="34" s="1"/>
  <c r="R76" i="31"/>
  <c r="R94" i="34" s="1"/>
  <c r="AK76" i="31"/>
  <c r="AK94" i="34" s="1"/>
  <c r="I76" i="31"/>
  <c r="I94" i="34" s="1"/>
  <c r="AB76" i="31"/>
  <c r="AB94" i="34" s="1"/>
  <c r="Q76" i="31"/>
  <c r="Q94" i="34" s="1"/>
  <c r="Y76" i="31"/>
  <c r="Y94" i="34" s="1"/>
  <c r="Z76" i="31"/>
  <c r="Z94" i="34" s="1"/>
  <c r="E76" i="31"/>
  <c r="E94" i="34" s="1"/>
  <c r="AC76" i="31"/>
  <c r="AC94" i="34" s="1"/>
  <c r="F76" i="31"/>
  <c r="F94" i="34" s="1"/>
  <c r="AJ76" i="31"/>
  <c r="AJ94" i="34" s="1"/>
  <c r="N76" i="31"/>
  <c r="N94" i="34" s="1"/>
  <c r="T76" i="31"/>
  <c r="T94" i="34" s="1"/>
  <c r="C76" i="31"/>
  <c r="C94" i="34" s="1"/>
  <c r="H76" i="31"/>
  <c r="H94" i="34" s="1"/>
  <c r="R66" i="38"/>
  <c r="K64" i="34"/>
  <c r="AH64" i="34"/>
  <c r="AC64" i="34"/>
  <c r="X64" i="34"/>
  <c r="AD64" i="34"/>
  <c r="E82" i="38"/>
  <c r="E76" i="34"/>
  <c r="L82" i="38"/>
  <c r="L76" i="34"/>
  <c r="AF82" i="38"/>
  <c r="AF76" i="34"/>
  <c r="AC82" i="38"/>
  <c r="AC76" i="34"/>
  <c r="O64" i="34"/>
  <c r="E66" i="38"/>
  <c r="W66" i="38"/>
  <c r="L66" i="38"/>
  <c r="V64" i="34"/>
  <c r="S64" i="34"/>
  <c r="AK82" i="38"/>
  <c r="AK76" i="34"/>
  <c r="E23" i="29"/>
  <c r="J63" i="29"/>
  <c r="J73" i="30" s="1"/>
  <c r="R63" i="29"/>
  <c r="R73" i="30" s="1"/>
  <c r="Z63" i="29"/>
  <c r="Z73" i="30" s="1"/>
  <c r="AH63" i="29"/>
  <c r="AH73" i="30" s="1"/>
  <c r="D63" i="29"/>
  <c r="D73" i="30" s="1"/>
  <c r="L63" i="29"/>
  <c r="L73" i="30" s="1"/>
  <c r="T63" i="29"/>
  <c r="T73" i="30" s="1"/>
  <c r="AB63" i="29"/>
  <c r="AB73" i="30" s="1"/>
  <c r="AJ63" i="29"/>
  <c r="AJ73" i="30" s="1"/>
  <c r="G63" i="29"/>
  <c r="G73" i="30" s="1"/>
  <c r="Q63" i="29"/>
  <c r="Q73" i="30" s="1"/>
  <c r="AC63" i="29"/>
  <c r="AC73" i="30" s="1"/>
  <c r="H63" i="29"/>
  <c r="H73" i="30" s="1"/>
  <c r="S63" i="29"/>
  <c r="S73" i="30" s="1"/>
  <c r="AD63" i="29"/>
  <c r="AD73" i="30" s="1"/>
  <c r="I63" i="29"/>
  <c r="I73" i="30" s="1"/>
  <c r="U63" i="29"/>
  <c r="U73" i="30" s="1"/>
  <c r="AE63" i="29"/>
  <c r="AE73" i="30" s="1"/>
  <c r="M63" i="29"/>
  <c r="M73" i="30" s="1"/>
  <c r="AA63" i="29"/>
  <c r="AA73" i="30" s="1"/>
  <c r="N63" i="29"/>
  <c r="N73" i="30" s="1"/>
  <c r="AF63" i="29"/>
  <c r="AF73" i="30" s="1"/>
  <c r="AI63" i="29"/>
  <c r="AI73" i="30" s="1"/>
  <c r="C63" i="29"/>
  <c r="C73" i="30" s="1"/>
  <c r="X63" i="29"/>
  <c r="X73" i="30" s="1"/>
  <c r="Y63" i="29"/>
  <c r="Y73" i="30" s="1"/>
  <c r="O63" i="29"/>
  <c r="O73" i="30" s="1"/>
  <c r="AG63" i="29"/>
  <c r="AG73" i="30" s="1"/>
  <c r="W63" i="29"/>
  <c r="W73" i="30" s="1"/>
  <c r="P63" i="29"/>
  <c r="P73" i="30" s="1"/>
  <c r="E63" i="29"/>
  <c r="E73" i="30" s="1"/>
  <c r="V63" i="29"/>
  <c r="V73" i="30" s="1"/>
  <c r="AK63" i="29"/>
  <c r="AK73" i="30" s="1"/>
  <c r="F63" i="29"/>
  <c r="F73" i="30" s="1"/>
  <c r="K63" i="29"/>
  <c r="K73" i="30" s="1"/>
  <c r="E83" i="30"/>
  <c r="M83" i="30"/>
  <c r="U83" i="30"/>
  <c r="AC83" i="30"/>
  <c r="AK83" i="30"/>
  <c r="I83" i="30"/>
  <c r="Q83" i="30"/>
  <c r="Y83" i="30"/>
  <c r="AG83" i="30"/>
  <c r="F83" i="30"/>
  <c r="P83" i="30"/>
  <c r="AA83" i="30"/>
  <c r="C83" i="30"/>
  <c r="H83" i="30"/>
  <c r="S83" i="30"/>
  <c r="AD83" i="30"/>
  <c r="J83" i="30"/>
  <c r="T83" i="30"/>
  <c r="D83" i="30"/>
  <c r="W83" i="30"/>
  <c r="AJ83" i="30"/>
  <c r="G83" i="30"/>
  <c r="X83" i="30"/>
  <c r="K83" i="30"/>
  <c r="Z83" i="30"/>
  <c r="L83" i="30"/>
  <c r="AB83" i="30"/>
  <c r="N83" i="30"/>
  <c r="AE83" i="30"/>
  <c r="O83" i="30"/>
  <c r="AF83" i="30"/>
  <c r="V83" i="30"/>
  <c r="AI83" i="30"/>
  <c r="R83" i="30"/>
  <c r="AH83" i="30"/>
  <c r="F78" i="29"/>
  <c r="F97" i="30" s="1"/>
  <c r="N78" i="29"/>
  <c r="N97" i="30" s="1"/>
  <c r="V78" i="29"/>
  <c r="V97" i="30" s="1"/>
  <c r="AD78" i="29"/>
  <c r="AD97" i="30" s="1"/>
  <c r="C78" i="29"/>
  <c r="C97" i="30" s="1"/>
  <c r="H78" i="29"/>
  <c r="H97" i="30" s="1"/>
  <c r="P78" i="29"/>
  <c r="P97" i="30" s="1"/>
  <c r="X78" i="29"/>
  <c r="X97" i="30" s="1"/>
  <c r="AF78" i="29"/>
  <c r="AF97" i="30" s="1"/>
  <c r="K78" i="29"/>
  <c r="K97" i="30" s="1"/>
  <c r="U78" i="29"/>
  <c r="U97" i="30" s="1"/>
  <c r="AG78" i="29"/>
  <c r="L78" i="29"/>
  <c r="L97" i="30" s="1"/>
  <c r="W78" i="29"/>
  <c r="W97" i="30" s="1"/>
  <c r="AH78" i="29"/>
  <c r="M78" i="29"/>
  <c r="M97" i="30" s="1"/>
  <c r="Y78" i="29"/>
  <c r="Y97" i="30" s="1"/>
  <c r="AI78" i="29"/>
  <c r="AI97" i="30" s="1"/>
  <c r="E78" i="29"/>
  <c r="E97" i="30" s="1"/>
  <c r="T78" i="29"/>
  <c r="T97" i="30" s="1"/>
  <c r="G78" i="29"/>
  <c r="G97" i="30" s="1"/>
  <c r="Z78" i="29"/>
  <c r="Z97" i="30" s="1"/>
  <c r="J78" i="29"/>
  <c r="J97" i="30" s="1"/>
  <c r="AE78" i="29"/>
  <c r="AE97" i="30" s="1"/>
  <c r="AJ78" i="29"/>
  <c r="AJ97" i="30" s="1"/>
  <c r="D78" i="29"/>
  <c r="D97" i="30" s="1"/>
  <c r="S78" i="29"/>
  <c r="S97" i="30" s="1"/>
  <c r="I78" i="29"/>
  <c r="I97" i="30" s="1"/>
  <c r="AA78" i="29"/>
  <c r="AA97" i="30" s="1"/>
  <c r="AB78" i="29"/>
  <c r="AB97" i="30" s="1"/>
  <c r="AK78" i="29"/>
  <c r="AK97" i="30" s="1"/>
  <c r="O78" i="29"/>
  <c r="O97" i="30" s="1"/>
  <c r="AC78" i="29"/>
  <c r="AC97" i="30" s="1"/>
  <c r="Q78" i="29"/>
  <c r="Q97" i="30" s="1"/>
  <c r="R78" i="29"/>
  <c r="R97" i="30" s="1"/>
  <c r="R64" i="34"/>
  <c r="K66" i="38"/>
  <c r="AH66" i="38"/>
  <c r="AC66" i="38"/>
  <c r="X66" i="38"/>
  <c r="N64" i="34"/>
  <c r="M64" i="34"/>
  <c r="P64" i="34"/>
  <c r="AA82" i="38"/>
  <c r="AA76" i="34"/>
  <c r="AI82" i="38"/>
  <c r="AI76" i="34"/>
  <c r="S82" i="38"/>
  <c r="S76" i="34"/>
  <c r="T82" i="38"/>
  <c r="T76" i="34"/>
  <c r="T66" i="38"/>
  <c r="O66" i="38"/>
  <c r="Y64" i="34"/>
  <c r="E64" i="34"/>
  <c r="AF64" i="34"/>
  <c r="M66" i="38"/>
  <c r="G82" i="38"/>
  <c r="G76" i="34"/>
  <c r="V66" i="38"/>
  <c r="W82" i="38"/>
  <c r="W76" i="34"/>
  <c r="J64" i="34"/>
  <c r="G20" i="31"/>
  <c r="D20" i="31"/>
  <c r="E20" i="31"/>
  <c r="E21" i="21"/>
  <c r="G22" i="30" s="1"/>
  <c r="E20" i="21"/>
  <c r="G21" i="30" s="1"/>
  <c r="E22" i="21"/>
  <c r="F23" i="30" s="1"/>
  <c r="C21" i="31"/>
  <c r="G22" i="31"/>
  <c r="G21" i="31"/>
  <c r="E21" i="31"/>
  <c r="D22" i="31"/>
  <c r="F17" i="31"/>
  <c r="E17" i="31"/>
  <c r="D17" i="31"/>
  <c r="F22" i="31"/>
  <c r="C17" i="31"/>
  <c r="G23" i="29"/>
  <c r="E22" i="31"/>
  <c r="E24" i="21"/>
  <c r="E51" i="21" s="1"/>
  <c r="F48" i="30" s="1"/>
  <c r="E18" i="21"/>
  <c r="G19" i="30" s="1"/>
  <c r="E16" i="21"/>
  <c r="E17" i="30" s="1"/>
  <c r="E25" i="21"/>
  <c r="E50" i="21" s="1"/>
  <c r="G47" i="30" s="1"/>
  <c r="E24" i="36"/>
  <c r="E24" i="35"/>
  <c r="E25" i="36"/>
  <c r="E25" i="35"/>
  <c r="E17" i="35"/>
  <c r="E17" i="36"/>
  <c r="E18" i="35"/>
  <c r="E18" i="36"/>
  <c r="E19" i="36"/>
  <c r="E19" i="35"/>
  <c r="E16" i="36"/>
  <c r="E16" i="35"/>
  <c r="E23" i="35"/>
  <c r="E23" i="36"/>
  <c r="E20" i="36"/>
  <c r="E20" i="35"/>
  <c r="E22" i="35"/>
  <c r="E22" i="36"/>
  <c r="D23" i="29"/>
  <c r="E17" i="34"/>
  <c r="F17" i="34"/>
  <c r="G17" i="34"/>
  <c r="D17" i="34"/>
  <c r="C17" i="34"/>
  <c r="C23" i="29"/>
  <c r="D45" i="34"/>
  <c r="E45" i="34"/>
  <c r="F45" i="34"/>
  <c r="G45" i="34"/>
  <c r="C45" i="34"/>
  <c r="E28" i="23"/>
  <c r="E32" i="36" s="1"/>
  <c r="E30" i="36"/>
  <c r="F23" i="29"/>
  <c r="D20" i="34"/>
  <c r="E20" i="34"/>
  <c r="F20" i="34"/>
  <c r="G20" i="34"/>
  <c r="C20" i="34"/>
  <c r="E36" i="31"/>
  <c r="F36" i="31"/>
  <c r="G36" i="31"/>
  <c r="C36" i="31"/>
  <c r="D36" i="31"/>
  <c r="C19" i="31"/>
  <c r="D19" i="31"/>
  <c r="E19" i="31"/>
  <c r="F19" i="31"/>
  <c r="G19" i="31"/>
  <c r="F22" i="34"/>
  <c r="G22" i="34"/>
  <c r="C22" i="34"/>
  <c r="D22" i="34"/>
  <c r="E22" i="34"/>
  <c r="E18" i="34"/>
  <c r="E18" i="29"/>
  <c r="G18" i="29"/>
  <c r="D18" i="29"/>
  <c r="C18" i="29"/>
  <c r="E22" i="29"/>
  <c r="D19" i="29"/>
  <c r="G22" i="29"/>
  <c r="D21" i="29"/>
  <c r="D22" i="29"/>
  <c r="F22" i="30"/>
  <c r="C33" i="30"/>
  <c r="C35" i="38" s="1"/>
  <c r="F33" i="30"/>
  <c r="F35" i="38" s="1"/>
  <c r="D33" i="30"/>
  <c r="D35" i="38" s="1"/>
  <c r="E33" i="30"/>
  <c r="E35" i="38" s="1"/>
  <c r="G33" i="30"/>
  <c r="G35" i="38" s="1"/>
  <c r="C22" i="29"/>
  <c r="E21" i="29"/>
  <c r="E18" i="30"/>
  <c r="D18" i="30"/>
  <c r="F18" i="30"/>
  <c r="G18" i="30"/>
  <c r="C18" i="30"/>
  <c r="G21" i="29"/>
  <c r="D38" i="29"/>
  <c r="E38" i="29"/>
  <c r="F38" i="29"/>
  <c r="G38" i="29"/>
  <c r="C38" i="29"/>
  <c r="D35" i="41" s="1"/>
  <c r="E35" i="41" s="1"/>
  <c r="C39" i="29"/>
  <c r="D37" i="41" s="1"/>
  <c r="E37" i="41" s="1"/>
  <c r="D39" i="29"/>
  <c r="E39" i="29"/>
  <c r="F39" i="29"/>
  <c r="G39" i="29"/>
  <c r="C21" i="29"/>
  <c r="G19" i="29"/>
  <c r="E19" i="29"/>
  <c r="C19" i="29"/>
  <c r="E27" i="21"/>
  <c r="E29" i="21"/>
  <c r="E88" i="1"/>
  <c r="E89" i="1"/>
  <c r="E90" i="1"/>
  <c r="E86" i="1"/>
  <c r="E38" i="21"/>
  <c r="E37" i="21"/>
  <c r="E36" i="21"/>
  <c r="E34" i="21"/>
  <c r="E75" i="1"/>
  <c r="E78" i="1" s="1"/>
  <c r="E25" i="23"/>
  <c r="E27" i="23"/>
  <c r="I62" i="9"/>
  <c r="Z62" i="9"/>
  <c r="D62" i="9"/>
  <c r="U62" i="9"/>
  <c r="E62" i="2"/>
  <c r="I62" i="2"/>
  <c r="D62" i="2"/>
  <c r="C62" i="2"/>
  <c r="Q62" i="9"/>
  <c r="L62" i="9"/>
  <c r="M62" i="2"/>
  <c r="R62" i="2"/>
  <c r="H62" i="9"/>
  <c r="Y62" i="9"/>
  <c r="Q62" i="2"/>
  <c r="T62" i="9"/>
  <c r="L62" i="2"/>
  <c r="W62" i="9"/>
  <c r="P62" i="9"/>
  <c r="H62" i="2"/>
  <c r="K62" i="9"/>
  <c r="C62" i="9"/>
  <c r="T62" i="2"/>
  <c r="G62" i="9"/>
  <c r="P62" i="2"/>
  <c r="S62" i="9"/>
  <c r="O62" i="9"/>
  <c r="X62" i="9"/>
  <c r="K62" i="2"/>
  <c r="N62" i="2"/>
  <c r="M62" i="9"/>
  <c r="G62" i="2"/>
  <c r="F62" i="2"/>
  <c r="AA62" i="9"/>
  <c r="S62" i="2"/>
  <c r="F62" i="9"/>
  <c r="V62" i="9"/>
  <c r="O62" i="2"/>
  <c r="J62" i="9"/>
  <c r="J62" i="2"/>
  <c r="E62" i="9"/>
  <c r="N62" i="9"/>
  <c r="R62" i="9"/>
  <c r="E44" i="1"/>
  <c r="E43" i="1"/>
  <c r="E45" i="1"/>
  <c r="E50" i="1"/>
  <c r="E46" i="1"/>
  <c r="E23" i="21"/>
  <c r="E19" i="21"/>
  <c r="E23" i="20"/>
  <c r="E19" i="20"/>
  <c r="J73" i="9"/>
  <c r="R73" i="9"/>
  <c r="Z73" i="9"/>
  <c r="I73" i="2"/>
  <c r="Q73" i="2"/>
  <c r="E73" i="9"/>
  <c r="M73" i="9"/>
  <c r="U73" i="9"/>
  <c r="D73" i="2"/>
  <c r="T73" i="2"/>
  <c r="K73" i="9"/>
  <c r="S73" i="9"/>
  <c r="AA73" i="9"/>
  <c r="J73" i="2"/>
  <c r="R73" i="2"/>
  <c r="D73" i="9"/>
  <c r="L73" i="9"/>
  <c r="T73" i="9"/>
  <c r="C73" i="9"/>
  <c r="K73" i="2"/>
  <c r="S73" i="2"/>
  <c r="L73" i="2"/>
  <c r="E73" i="2"/>
  <c r="M73" i="2"/>
  <c r="C73" i="2"/>
  <c r="G73" i="9"/>
  <c r="W73" i="9"/>
  <c r="F73" i="9"/>
  <c r="N73" i="9"/>
  <c r="V73" i="9"/>
  <c r="F73" i="2"/>
  <c r="N73" i="2"/>
  <c r="H73" i="9"/>
  <c r="P73" i="9"/>
  <c r="O73" i="9"/>
  <c r="X73" i="9"/>
  <c r="Q73" i="9"/>
  <c r="Y73" i="9"/>
  <c r="G73" i="2"/>
  <c r="P73" i="2"/>
  <c r="H73" i="2"/>
  <c r="O73" i="2"/>
  <c r="I73" i="9"/>
  <c r="H69" i="9"/>
  <c r="P69" i="9"/>
  <c r="X69" i="9"/>
  <c r="I69" i="2"/>
  <c r="Q69" i="2"/>
  <c r="R69" i="2"/>
  <c r="K69" i="9"/>
  <c r="AA69" i="9"/>
  <c r="L69" i="2"/>
  <c r="D69" i="9"/>
  <c r="I69" i="9"/>
  <c r="Q69" i="9"/>
  <c r="Y69" i="9"/>
  <c r="J69" i="2"/>
  <c r="J69" i="9"/>
  <c r="R69" i="9"/>
  <c r="Z69" i="9"/>
  <c r="K69" i="2"/>
  <c r="S69" i="2"/>
  <c r="S69" i="9"/>
  <c r="D69" i="2"/>
  <c r="T69" i="2"/>
  <c r="L69" i="9"/>
  <c r="T69" i="9"/>
  <c r="E69" i="2"/>
  <c r="M69" i="2"/>
  <c r="C69" i="2"/>
  <c r="M69" i="9"/>
  <c r="U69" i="9"/>
  <c r="E69" i="9"/>
  <c r="F69" i="2"/>
  <c r="N69" i="2"/>
  <c r="F69" i="9"/>
  <c r="W69" i="9"/>
  <c r="P69" i="2"/>
  <c r="C69" i="9"/>
  <c r="V69" i="9"/>
  <c r="O69" i="2"/>
  <c r="O69" i="9"/>
  <c r="H69" i="2"/>
  <c r="G69" i="9"/>
  <c r="N69" i="9"/>
  <c r="G69" i="2"/>
  <c r="E24" i="1"/>
  <c r="E21" i="1"/>
  <c r="E20" i="1"/>
  <c r="E22" i="1"/>
  <c r="E17" i="1"/>
  <c r="E16" i="1"/>
  <c r="E15" i="1"/>
  <c r="E23" i="1"/>
  <c r="E19" i="1"/>
  <c r="E18" i="1"/>
  <c r="E48" i="1"/>
  <c r="E47" i="1"/>
  <c r="E49" i="1"/>
  <c r="E54" i="1"/>
  <c r="E53" i="1"/>
  <c r="E59" i="1"/>
  <c r="E58" i="1"/>
  <c r="E57" i="1"/>
  <c r="E56" i="1"/>
  <c r="E55" i="1"/>
  <c r="E38" i="1"/>
  <c r="E37" i="1"/>
  <c r="E28" i="1"/>
  <c r="E31" i="1"/>
  <c r="E30" i="1"/>
  <c r="E32" i="1"/>
  <c r="E33" i="1"/>
  <c r="E36" i="1"/>
  <c r="E34" i="1"/>
  <c r="E35" i="1"/>
  <c r="E29" i="1"/>
  <c r="B6" i="6"/>
  <c r="O51" i="3"/>
  <c r="O57" i="3"/>
  <c r="C21" i="34" l="1"/>
  <c r="E40" i="22"/>
  <c r="E41" i="22"/>
  <c r="E51" i="23" s="1"/>
  <c r="E42" i="22"/>
  <c r="E52" i="23" s="1"/>
  <c r="E22" i="30"/>
  <c r="C22" i="30"/>
  <c r="G18" i="34"/>
  <c r="C19" i="34"/>
  <c r="C16" i="34" s="1"/>
  <c r="D18" i="34"/>
  <c r="E19" i="34"/>
  <c r="D22" i="30"/>
  <c r="F21" i="34"/>
  <c r="G19" i="34"/>
  <c r="E21" i="34"/>
  <c r="E16" i="34" s="1"/>
  <c r="C18" i="34"/>
  <c r="D21" i="34"/>
  <c r="D19" i="34"/>
  <c r="AH94" i="34"/>
  <c r="AG98" i="30"/>
  <c r="D11" i="41"/>
  <c r="E11" i="41" s="1"/>
  <c r="AH97" i="30"/>
  <c r="D22" i="41"/>
  <c r="E22" i="41" s="1"/>
  <c r="AG94" i="34"/>
  <c r="AH98" i="30"/>
  <c r="D24" i="41"/>
  <c r="E24" i="41" s="1"/>
  <c r="AG97" i="30"/>
  <c r="D9" i="41"/>
  <c r="E9" i="41" s="1"/>
  <c r="G59" i="37"/>
  <c r="G69" i="38" s="1"/>
  <c r="O59" i="37"/>
  <c r="O69" i="38" s="1"/>
  <c r="W59" i="37"/>
  <c r="W69" i="38" s="1"/>
  <c r="AE59" i="37"/>
  <c r="AE69" i="38" s="1"/>
  <c r="H59" i="37"/>
  <c r="H69" i="38" s="1"/>
  <c r="P59" i="37"/>
  <c r="P69" i="38" s="1"/>
  <c r="X59" i="37"/>
  <c r="X69" i="38" s="1"/>
  <c r="AF59" i="37"/>
  <c r="AF69" i="38" s="1"/>
  <c r="K59" i="37"/>
  <c r="K69" i="38" s="1"/>
  <c r="U59" i="37"/>
  <c r="U69" i="38" s="1"/>
  <c r="AG59" i="37"/>
  <c r="AG69" i="38" s="1"/>
  <c r="L59" i="37"/>
  <c r="L69" i="38" s="1"/>
  <c r="Y59" i="37"/>
  <c r="Y69" i="38" s="1"/>
  <c r="AJ59" i="37"/>
  <c r="AJ69" i="38" s="1"/>
  <c r="M59" i="37"/>
  <c r="M69" i="38" s="1"/>
  <c r="Z59" i="37"/>
  <c r="Z69" i="38" s="1"/>
  <c r="AK59" i="37"/>
  <c r="AK69" i="38" s="1"/>
  <c r="N59" i="37"/>
  <c r="N69" i="38" s="1"/>
  <c r="AA59" i="37"/>
  <c r="AA69" i="38" s="1"/>
  <c r="C59" i="37"/>
  <c r="C69" i="38" s="1"/>
  <c r="D59" i="37"/>
  <c r="D69" i="38" s="1"/>
  <c r="Q59" i="37"/>
  <c r="Q69" i="38" s="1"/>
  <c r="AB59" i="37"/>
  <c r="AB69" i="38" s="1"/>
  <c r="E59" i="37"/>
  <c r="E69" i="38" s="1"/>
  <c r="R59" i="37"/>
  <c r="R69" i="38" s="1"/>
  <c r="AC59" i="37"/>
  <c r="AC69" i="38" s="1"/>
  <c r="I59" i="37"/>
  <c r="I69" i="38" s="1"/>
  <c r="S59" i="37"/>
  <c r="S69" i="38" s="1"/>
  <c r="V59" i="37"/>
  <c r="V69" i="38" s="1"/>
  <c r="F59" i="37"/>
  <c r="F69" i="38" s="1"/>
  <c r="J59" i="37"/>
  <c r="J69" i="38" s="1"/>
  <c r="T59" i="37"/>
  <c r="T69" i="38" s="1"/>
  <c r="AI59" i="37"/>
  <c r="AI69" i="38" s="1"/>
  <c r="AD59" i="37"/>
  <c r="AD69" i="38" s="1"/>
  <c r="AH59" i="37"/>
  <c r="AH69" i="38" s="1"/>
  <c r="J82" i="30"/>
  <c r="R82" i="30"/>
  <c r="Z82" i="30"/>
  <c r="AH82" i="30"/>
  <c r="F82" i="30"/>
  <c r="N82" i="30"/>
  <c r="V82" i="30"/>
  <c r="AD82" i="30"/>
  <c r="C82" i="30"/>
  <c r="M82" i="30"/>
  <c r="X82" i="30"/>
  <c r="AI82" i="30"/>
  <c r="E82" i="30"/>
  <c r="P82" i="30"/>
  <c r="AA82" i="30"/>
  <c r="AK82" i="30"/>
  <c r="Q82" i="30"/>
  <c r="AE82" i="30"/>
  <c r="D82" i="30"/>
  <c r="S82" i="30"/>
  <c r="AF82" i="30"/>
  <c r="G82" i="30"/>
  <c r="T82" i="30"/>
  <c r="AG82" i="30"/>
  <c r="H82" i="30"/>
  <c r="U82" i="30"/>
  <c r="AJ82" i="30"/>
  <c r="O82" i="30"/>
  <c r="AC82" i="30"/>
  <c r="AB82" i="30"/>
  <c r="I82" i="30"/>
  <c r="K82" i="30"/>
  <c r="L82" i="30"/>
  <c r="W82" i="30"/>
  <c r="Y82" i="30"/>
  <c r="F64" i="37"/>
  <c r="F74" i="38" s="1"/>
  <c r="N64" i="37"/>
  <c r="N74" i="38" s="1"/>
  <c r="V64" i="37"/>
  <c r="V74" i="38" s="1"/>
  <c r="AD64" i="37"/>
  <c r="AD74" i="38" s="1"/>
  <c r="C64" i="37"/>
  <c r="C74" i="38" s="1"/>
  <c r="G64" i="37"/>
  <c r="G74" i="38" s="1"/>
  <c r="O64" i="37"/>
  <c r="O74" i="38" s="1"/>
  <c r="W64" i="37"/>
  <c r="W74" i="38" s="1"/>
  <c r="AE64" i="37"/>
  <c r="AE74" i="38" s="1"/>
  <c r="D64" i="37"/>
  <c r="D74" i="38" s="1"/>
  <c r="P64" i="37"/>
  <c r="P74" i="38" s="1"/>
  <c r="Z64" i="37"/>
  <c r="Z74" i="38" s="1"/>
  <c r="AJ64" i="37"/>
  <c r="AJ74" i="38" s="1"/>
  <c r="Q64" i="37"/>
  <c r="Q74" i="38" s="1"/>
  <c r="AB64" i="37"/>
  <c r="AB74" i="38" s="1"/>
  <c r="E64" i="37"/>
  <c r="E74" i="38" s="1"/>
  <c r="R64" i="37"/>
  <c r="R74" i="38" s="1"/>
  <c r="AC64" i="37"/>
  <c r="AC74" i="38" s="1"/>
  <c r="H64" i="37"/>
  <c r="H74" i="38" s="1"/>
  <c r="S64" i="37"/>
  <c r="S74" i="38" s="1"/>
  <c r="AF64" i="37"/>
  <c r="AF74" i="38" s="1"/>
  <c r="I64" i="37"/>
  <c r="I74" i="38" s="1"/>
  <c r="T64" i="37"/>
  <c r="T74" i="38" s="1"/>
  <c r="AG64" i="37"/>
  <c r="AG74" i="38" s="1"/>
  <c r="J64" i="37"/>
  <c r="J74" i="38" s="1"/>
  <c r="U64" i="37"/>
  <c r="U74" i="38" s="1"/>
  <c r="AH64" i="37"/>
  <c r="AH74" i="38" s="1"/>
  <c r="X64" i="37"/>
  <c r="X74" i="38" s="1"/>
  <c r="AA64" i="37"/>
  <c r="AA74" i="38" s="1"/>
  <c r="AK64" i="37"/>
  <c r="AK74" i="38" s="1"/>
  <c r="Y64" i="37"/>
  <c r="Y74" i="38" s="1"/>
  <c r="AI64" i="37"/>
  <c r="AI74" i="38" s="1"/>
  <c r="M64" i="37"/>
  <c r="M74" i="38" s="1"/>
  <c r="L64" i="37"/>
  <c r="L74" i="38" s="1"/>
  <c r="K64" i="37"/>
  <c r="K74" i="38" s="1"/>
  <c r="D58" i="37"/>
  <c r="L58" i="37"/>
  <c r="T58" i="37"/>
  <c r="AB58" i="37"/>
  <c r="AJ58" i="37"/>
  <c r="E58" i="37"/>
  <c r="M58" i="37"/>
  <c r="U58" i="37"/>
  <c r="AC58" i="37"/>
  <c r="AK58" i="37"/>
  <c r="H58" i="37"/>
  <c r="R58" i="37"/>
  <c r="AD58" i="37"/>
  <c r="N58" i="37"/>
  <c r="Y58" i="37"/>
  <c r="C58" i="37"/>
  <c r="O58" i="37"/>
  <c r="Z58" i="37"/>
  <c r="P58" i="37"/>
  <c r="AA58" i="37"/>
  <c r="F58" i="37"/>
  <c r="Q58" i="37"/>
  <c r="AE58" i="37"/>
  <c r="G58" i="37"/>
  <c r="S58" i="37"/>
  <c r="AF58" i="37"/>
  <c r="I58" i="37"/>
  <c r="AI58" i="37"/>
  <c r="K58" i="37"/>
  <c r="W58" i="37"/>
  <c r="X58" i="37"/>
  <c r="AG58" i="37"/>
  <c r="AH58" i="37"/>
  <c r="V58" i="37"/>
  <c r="J58" i="37"/>
  <c r="AI86" i="38"/>
  <c r="AI80" i="34"/>
  <c r="Z86" i="38"/>
  <c r="Z80" i="34"/>
  <c r="J86" i="38"/>
  <c r="J80" i="34"/>
  <c r="AG86" i="38"/>
  <c r="AG80" i="34"/>
  <c r="E86" i="38"/>
  <c r="E80" i="34"/>
  <c r="O68" i="30"/>
  <c r="AC68" i="30"/>
  <c r="F77" i="30"/>
  <c r="N77" i="30"/>
  <c r="L77" i="30"/>
  <c r="U77" i="30"/>
  <c r="AC77" i="30"/>
  <c r="AK77" i="30"/>
  <c r="E77" i="30"/>
  <c r="O77" i="30"/>
  <c r="W77" i="30"/>
  <c r="AE77" i="30"/>
  <c r="I77" i="30"/>
  <c r="T77" i="30"/>
  <c r="AF77" i="30"/>
  <c r="Y77" i="30"/>
  <c r="J77" i="30"/>
  <c r="V77" i="30"/>
  <c r="AG77" i="30"/>
  <c r="K77" i="30"/>
  <c r="X77" i="30"/>
  <c r="AH77" i="30"/>
  <c r="M77" i="30"/>
  <c r="AI77" i="30"/>
  <c r="H77" i="30"/>
  <c r="S77" i="30"/>
  <c r="AD77" i="30"/>
  <c r="AA77" i="30"/>
  <c r="AB77" i="30"/>
  <c r="D77" i="30"/>
  <c r="AJ77" i="30"/>
  <c r="G77" i="30"/>
  <c r="C77" i="30"/>
  <c r="P77" i="30"/>
  <c r="Q77" i="30"/>
  <c r="R77" i="30"/>
  <c r="Z77" i="30"/>
  <c r="F21" i="30"/>
  <c r="I60" i="29"/>
  <c r="I70" i="30" s="1"/>
  <c r="Q60" i="29"/>
  <c r="Y60" i="29"/>
  <c r="AG60" i="29"/>
  <c r="AG70" i="30" s="1"/>
  <c r="K60" i="29"/>
  <c r="K70" i="30" s="1"/>
  <c r="S60" i="29"/>
  <c r="S70" i="30" s="1"/>
  <c r="AA60" i="29"/>
  <c r="AA70" i="30" s="1"/>
  <c r="AI60" i="29"/>
  <c r="AI70" i="30" s="1"/>
  <c r="H60" i="29"/>
  <c r="H70" i="30" s="1"/>
  <c r="T60" i="29"/>
  <c r="T70" i="30" s="1"/>
  <c r="AD60" i="29"/>
  <c r="AD70" i="30" s="1"/>
  <c r="U60" i="29"/>
  <c r="U70" i="30" s="1"/>
  <c r="J60" i="29"/>
  <c r="J70" i="30" s="1"/>
  <c r="AE60" i="29"/>
  <c r="L60" i="29"/>
  <c r="V60" i="29"/>
  <c r="V70" i="30" s="1"/>
  <c r="AF60" i="29"/>
  <c r="AF70" i="30" s="1"/>
  <c r="G60" i="29"/>
  <c r="Z60" i="29"/>
  <c r="Z70" i="30" s="1"/>
  <c r="M60" i="29"/>
  <c r="M70" i="30" s="1"/>
  <c r="AB60" i="29"/>
  <c r="AB70" i="30" s="1"/>
  <c r="AH60" i="29"/>
  <c r="AH70" i="30" s="1"/>
  <c r="AJ60" i="29"/>
  <c r="AJ70" i="30" s="1"/>
  <c r="R60" i="29"/>
  <c r="R70" i="30" s="1"/>
  <c r="W60" i="29"/>
  <c r="X60" i="29"/>
  <c r="X70" i="30" s="1"/>
  <c r="N60" i="29"/>
  <c r="N70" i="30" s="1"/>
  <c r="AC60" i="29"/>
  <c r="AC70" i="30" s="1"/>
  <c r="O60" i="29"/>
  <c r="O70" i="30" s="1"/>
  <c r="P60" i="29"/>
  <c r="P70" i="30" s="1"/>
  <c r="D60" i="29"/>
  <c r="D70" i="30" s="1"/>
  <c r="AK60" i="29"/>
  <c r="E60" i="29"/>
  <c r="E70" i="30" s="1"/>
  <c r="C60" i="29"/>
  <c r="F60" i="29"/>
  <c r="J76" i="30"/>
  <c r="R76" i="30"/>
  <c r="Z76" i="30"/>
  <c r="AH76" i="30"/>
  <c r="D76" i="30"/>
  <c r="L76" i="30"/>
  <c r="T76" i="30"/>
  <c r="AB76" i="30"/>
  <c r="AJ76" i="30"/>
  <c r="G76" i="30"/>
  <c r="Q76" i="30"/>
  <c r="AC76" i="30"/>
  <c r="H76" i="30"/>
  <c r="S76" i="30"/>
  <c r="AD76" i="30"/>
  <c r="I76" i="30"/>
  <c r="U76" i="30"/>
  <c r="AE76" i="30"/>
  <c r="K76" i="30"/>
  <c r="V76" i="30"/>
  <c r="AF76" i="30"/>
  <c r="F76" i="30"/>
  <c r="P76" i="30"/>
  <c r="AA76" i="30"/>
  <c r="C76" i="30"/>
  <c r="W76" i="30"/>
  <c r="X76" i="30"/>
  <c r="O76" i="30"/>
  <c r="Y76" i="30"/>
  <c r="AG76" i="30"/>
  <c r="E76" i="30"/>
  <c r="AI76" i="30"/>
  <c r="M76" i="30"/>
  <c r="AK76" i="30"/>
  <c r="N76" i="30"/>
  <c r="E21" i="30"/>
  <c r="F17" i="30"/>
  <c r="D66" i="37"/>
  <c r="D76" i="38" s="1"/>
  <c r="L66" i="37"/>
  <c r="L76" i="38" s="1"/>
  <c r="T66" i="37"/>
  <c r="T76" i="38" s="1"/>
  <c r="AB66" i="37"/>
  <c r="AB76" i="38" s="1"/>
  <c r="AJ66" i="37"/>
  <c r="AJ76" i="38" s="1"/>
  <c r="E66" i="37"/>
  <c r="E76" i="38" s="1"/>
  <c r="M66" i="37"/>
  <c r="M76" i="38" s="1"/>
  <c r="U66" i="37"/>
  <c r="U76" i="38" s="1"/>
  <c r="AC66" i="37"/>
  <c r="AC76" i="38" s="1"/>
  <c r="AK66" i="37"/>
  <c r="AK76" i="38" s="1"/>
  <c r="J66" i="37"/>
  <c r="J76" i="38" s="1"/>
  <c r="V66" i="37"/>
  <c r="V76" i="38" s="1"/>
  <c r="AF66" i="37"/>
  <c r="AF76" i="38" s="1"/>
  <c r="K66" i="37"/>
  <c r="K76" i="38" s="1"/>
  <c r="W66" i="37"/>
  <c r="W76" i="38" s="1"/>
  <c r="AG66" i="37"/>
  <c r="AG76" i="38" s="1"/>
  <c r="N66" i="37"/>
  <c r="N76" i="38" s="1"/>
  <c r="X66" i="37"/>
  <c r="X76" i="38" s="1"/>
  <c r="AH66" i="37"/>
  <c r="AH76" i="38" s="1"/>
  <c r="I66" i="37"/>
  <c r="I76" i="38" s="1"/>
  <c r="AA66" i="37"/>
  <c r="AA76" i="38" s="1"/>
  <c r="O66" i="37"/>
  <c r="O76" i="38" s="1"/>
  <c r="AD66" i="37"/>
  <c r="AD76" i="38" s="1"/>
  <c r="P66" i="37"/>
  <c r="P76" i="38" s="1"/>
  <c r="AE66" i="37"/>
  <c r="AE76" i="38" s="1"/>
  <c r="Q66" i="37"/>
  <c r="Q76" i="38" s="1"/>
  <c r="AI66" i="37"/>
  <c r="AI76" i="38" s="1"/>
  <c r="R66" i="37"/>
  <c r="R76" i="38" s="1"/>
  <c r="C66" i="37"/>
  <c r="C76" i="38" s="1"/>
  <c r="H66" i="37"/>
  <c r="H76" i="38" s="1"/>
  <c r="Y66" i="37"/>
  <c r="Y76" i="38" s="1"/>
  <c r="S66" i="37"/>
  <c r="S76" i="38" s="1"/>
  <c r="F66" i="37"/>
  <c r="F76" i="38" s="1"/>
  <c r="G66" i="37"/>
  <c r="G76" i="38" s="1"/>
  <c r="Z66" i="37"/>
  <c r="Z76" i="38" s="1"/>
  <c r="V86" i="38"/>
  <c r="V80" i="34"/>
  <c r="K86" i="38"/>
  <c r="K80" i="34"/>
  <c r="AD86" i="38"/>
  <c r="AD80" i="34"/>
  <c r="Y86" i="38"/>
  <c r="Y80" i="34"/>
  <c r="AD68" i="30"/>
  <c r="AJ68" i="30"/>
  <c r="E64" i="29"/>
  <c r="E74" i="30" s="1"/>
  <c r="M64" i="29"/>
  <c r="M74" i="30" s="1"/>
  <c r="U64" i="29"/>
  <c r="U74" i="30" s="1"/>
  <c r="AC64" i="29"/>
  <c r="AC74" i="30" s="1"/>
  <c r="AK64" i="29"/>
  <c r="AK74" i="30" s="1"/>
  <c r="G64" i="29"/>
  <c r="G74" i="30" s="1"/>
  <c r="O64" i="29"/>
  <c r="O74" i="30" s="1"/>
  <c r="W64" i="29"/>
  <c r="W74" i="30" s="1"/>
  <c r="AE64" i="29"/>
  <c r="AE74" i="30" s="1"/>
  <c r="J64" i="29"/>
  <c r="J74" i="30" s="1"/>
  <c r="T64" i="29"/>
  <c r="T74" i="30" s="1"/>
  <c r="AF64" i="29"/>
  <c r="AF74" i="30" s="1"/>
  <c r="K64" i="29"/>
  <c r="K74" i="30" s="1"/>
  <c r="V64" i="29"/>
  <c r="V74" i="30" s="1"/>
  <c r="AG64" i="29"/>
  <c r="AG74" i="30" s="1"/>
  <c r="L64" i="29"/>
  <c r="L74" i="30" s="1"/>
  <c r="X64" i="29"/>
  <c r="X74" i="30" s="1"/>
  <c r="AH64" i="29"/>
  <c r="AH74" i="30" s="1"/>
  <c r="N64" i="29"/>
  <c r="N74" i="30" s="1"/>
  <c r="AB64" i="29"/>
  <c r="AB74" i="30" s="1"/>
  <c r="P64" i="29"/>
  <c r="P74" i="30" s="1"/>
  <c r="AD64" i="29"/>
  <c r="AD74" i="30" s="1"/>
  <c r="R64" i="29"/>
  <c r="R74" i="30" s="1"/>
  <c r="Y64" i="29"/>
  <c r="Y74" i="30" s="1"/>
  <c r="Z64" i="29"/>
  <c r="Z74" i="30" s="1"/>
  <c r="AA64" i="29"/>
  <c r="AA74" i="30" s="1"/>
  <c r="Q64" i="29"/>
  <c r="Q74" i="30" s="1"/>
  <c r="AI64" i="29"/>
  <c r="AI74" i="30" s="1"/>
  <c r="AJ64" i="29"/>
  <c r="AJ74" i="30" s="1"/>
  <c r="D64" i="29"/>
  <c r="D74" i="30" s="1"/>
  <c r="C64" i="29"/>
  <c r="C74" i="30" s="1"/>
  <c r="S64" i="29"/>
  <c r="S74" i="30" s="1"/>
  <c r="F64" i="29"/>
  <c r="F74" i="30" s="1"/>
  <c r="H64" i="29"/>
  <c r="H74" i="30" s="1"/>
  <c r="I64" i="29"/>
  <c r="I74" i="30" s="1"/>
  <c r="H84" i="30"/>
  <c r="P84" i="30"/>
  <c r="X84" i="30"/>
  <c r="AF84" i="30"/>
  <c r="D84" i="30"/>
  <c r="L84" i="30"/>
  <c r="T84" i="30"/>
  <c r="AB84" i="30"/>
  <c r="AJ84" i="30"/>
  <c r="I84" i="30"/>
  <c r="S84" i="30"/>
  <c r="AD84" i="30"/>
  <c r="K84" i="30"/>
  <c r="V84" i="30"/>
  <c r="AG84" i="30"/>
  <c r="M84" i="30"/>
  <c r="AH84" i="30"/>
  <c r="G84" i="30"/>
  <c r="Y84" i="30"/>
  <c r="J84" i="30"/>
  <c r="Z84" i="30"/>
  <c r="N84" i="30"/>
  <c r="AA84" i="30"/>
  <c r="O84" i="30"/>
  <c r="AC84" i="30"/>
  <c r="Q84" i="30"/>
  <c r="AE84" i="30"/>
  <c r="R84" i="30"/>
  <c r="AI84" i="30"/>
  <c r="F84" i="30"/>
  <c r="W84" i="30"/>
  <c r="C84" i="30"/>
  <c r="AK84" i="30"/>
  <c r="U84" i="30"/>
  <c r="E84" i="30"/>
  <c r="D21" i="30"/>
  <c r="AF86" i="38"/>
  <c r="AF80" i="34"/>
  <c r="X86" i="38"/>
  <c r="X80" i="34"/>
  <c r="S86" i="38"/>
  <c r="S80" i="34"/>
  <c r="Q86" i="38"/>
  <c r="Q80" i="34"/>
  <c r="M68" i="30"/>
  <c r="K85" i="30"/>
  <c r="S85" i="30"/>
  <c r="AA85" i="30"/>
  <c r="AI85" i="30"/>
  <c r="G85" i="30"/>
  <c r="O85" i="30"/>
  <c r="W85" i="30"/>
  <c r="AE85" i="30"/>
  <c r="L85" i="30"/>
  <c r="V85" i="30"/>
  <c r="AG85" i="30"/>
  <c r="D85" i="30"/>
  <c r="N85" i="30"/>
  <c r="Y85" i="30"/>
  <c r="AJ85" i="30"/>
  <c r="E85" i="30"/>
  <c r="P85" i="30"/>
  <c r="Z85" i="30"/>
  <c r="AK85" i="30"/>
  <c r="I85" i="30"/>
  <c r="AB85" i="30"/>
  <c r="J85" i="30"/>
  <c r="AC85" i="30"/>
  <c r="M85" i="30"/>
  <c r="AD85" i="30"/>
  <c r="Q85" i="30"/>
  <c r="AF85" i="30"/>
  <c r="R85" i="30"/>
  <c r="AH85" i="30"/>
  <c r="T85" i="30"/>
  <c r="C85" i="30"/>
  <c r="H85" i="30"/>
  <c r="X85" i="30"/>
  <c r="F85" i="30"/>
  <c r="U85" i="30"/>
  <c r="C21" i="30"/>
  <c r="J60" i="37"/>
  <c r="J70" i="38" s="1"/>
  <c r="R60" i="37"/>
  <c r="R70" i="38" s="1"/>
  <c r="Z60" i="37"/>
  <c r="Z70" i="38" s="1"/>
  <c r="AH60" i="37"/>
  <c r="AH70" i="38" s="1"/>
  <c r="K60" i="37"/>
  <c r="K70" i="38" s="1"/>
  <c r="S60" i="37"/>
  <c r="S70" i="38" s="1"/>
  <c r="AA60" i="37"/>
  <c r="AA70" i="38" s="1"/>
  <c r="AI60" i="37"/>
  <c r="AI70" i="38" s="1"/>
  <c r="D60" i="37"/>
  <c r="D70" i="38" s="1"/>
  <c r="N60" i="37"/>
  <c r="N70" i="38" s="1"/>
  <c r="X60" i="37"/>
  <c r="X70" i="38" s="1"/>
  <c r="AJ60" i="37"/>
  <c r="AJ70" i="38" s="1"/>
  <c r="I60" i="37"/>
  <c r="I70" i="38" s="1"/>
  <c r="V60" i="37"/>
  <c r="V70" i="38" s="1"/>
  <c r="AG60" i="37"/>
  <c r="AG70" i="38" s="1"/>
  <c r="L60" i="37"/>
  <c r="L70" i="38" s="1"/>
  <c r="W60" i="37"/>
  <c r="W70" i="38" s="1"/>
  <c r="AK60" i="37"/>
  <c r="AK70" i="38" s="1"/>
  <c r="M60" i="37"/>
  <c r="M70" i="38" s="1"/>
  <c r="Y60" i="37"/>
  <c r="Y70" i="38" s="1"/>
  <c r="C60" i="37"/>
  <c r="C70" i="38" s="1"/>
  <c r="O60" i="37"/>
  <c r="O70" i="38" s="1"/>
  <c r="AB60" i="37"/>
  <c r="AB70" i="38" s="1"/>
  <c r="E60" i="37"/>
  <c r="E70" i="38" s="1"/>
  <c r="P60" i="37"/>
  <c r="P70" i="38" s="1"/>
  <c r="AC60" i="37"/>
  <c r="AC70" i="38" s="1"/>
  <c r="H60" i="37"/>
  <c r="H70" i="38" s="1"/>
  <c r="T60" i="37"/>
  <c r="T70" i="38" s="1"/>
  <c r="AD60" i="37"/>
  <c r="AD70" i="38" s="1"/>
  <c r="F60" i="37"/>
  <c r="F70" i="38" s="1"/>
  <c r="Q60" i="37"/>
  <c r="Q70" i="38" s="1"/>
  <c r="U60" i="37"/>
  <c r="U70" i="38" s="1"/>
  <c r="AE60" i="37"/>
  <c r="AE70" i="38" s="1"/>
  <c r="AF60" i="37"/>
  <c r="AF70" i="38" s="1"/>
  <c r="G60" i="37"/>
  <c r="G70" i="38" s="1"/>
  <c r="I65" i="37"/>
  <c r="I75" i="38" s="1"/>
  <c r="Q65" i="37"/>
  <c r="Q75" i="38" s="1"/>
  <c r="Y65" i="37"/>
  <c r="Y75" i="38" s="1"/>
  <c r="AG65" i="37"/>
  <c r="AG75" i="38" s="1"/>
  <c r="J65" i="37"/>
  <c r="J75" i="38" s="1"/>
  <c r="R65" i="37"/>
  <c r="R75" i="38" s="1"/>
  <c r="Z65" i="37"/>
  <c r="Z75" i="38" s="1"/>
  <c r="AH65" i="37"/>
  <c r="AH75" i="38" s="1"/>
  <c r="G65" i="37"/>
  <c r="G75" i="38" s="1"/>
  <c r="S65" i="37"/>
  <c r="S75" i="38" s="1"/>
  <c r="AC65" i="37"/>
  <c r="AC75" i="38" s="1"/>
  <c r="H65" i="37"/>
  <c r="H75" i="38" s="1"/>
  <c r="T65" i="37"/>
  <c r="T75" i="38" s="1"/>
  <c r="K65" i="37"/>
  <c r="K75" i="38" s="1"/>
  <c r="U65" i="37"/>
  <c r="U75" i="38" s="1"/>
  <c r="L65" i="37"/>
  <c r="L75" i="38" s="1"/>
  <c r="AA65" i="37"/>
  <c r="AA75" i="38" s="1"/>
  <c r="C65" i="37"/>
  <c r="C75" i="38" s="1"/>
  <c r="M65" i="37"/>
  <c r="M75" i="38" s="1"/>
  <c r="AB65" i="37"/>
  <c r="AB75" i="38" s="1"/>
  <c r="N65" i="37"/>
  <c r="N75" i="38" s="1"/>
  <c r="AD65" i="37"/>
  <c r="AD75" i="38" s="1"/>
  <c r="O65" i="37"/>
  <c r="O75" i="38" s="1"/>
  <c r="AE65" i="37"/>
  <c r="AE75" i="38" s="1"/>
  <c r="P65" i="37"/>
  <c r="P75" i="38" s="1"/>
  <c r="AF65" i="37"/>
  <c r="AF75" i="38" s="1"/>
  <c r="W65" i="37"/>
  <c r="W75" i="38" s="1"/>
  <c r="AI65" i="37"/>
  <c r="AI75" i="38" s="1"/>
  <c r="D65" i="37"/>
  <c r="D75" i="38" s="1"/>
  <c r="AK65" i="37"/>
  <c r="AK75" i="38" s="1"/>
  <c r="E65" i="37"/>
  <c r="E75" i="38" s="1"/>
  <c r="F65" i="37"/>
  <c r="F75" i="38" s="1"/>
  <c r="V65" i="37"/>
  <c r="V75" i="38" s="1"/>
  <c r="X65" i="37"/>
  <c r="X75" i="38" s="1"/>
  <c r="AJ65" i="37"/>
  <c r="AJ75" i="38" s="1"/>
  <c r="O86" i="38"/>
  <c r="O80" i="34"/>
  <c r="G86" i="38"/>
  <c r="G80" i="34"/>
  <c r="H86" i="38"/>
  <c r="H80" i="34"/>
  <c r="I86" i="38"/>
  <c r="I80" i="34"/>
  <c r="R68" i="30"/>
  <c r="H68" i="30"/>
  <c r="D68" i="30"/>
  <c r="E68" i="30"/>
  <c r="E55" i="30" s="1"/>
  <c r="K63" i="37"/>
  <c r="K73" i="38" s="1"/>
  <c r="S63" i="37"/>
  <c r="S73" i="38" s="1"/>
  <c r="AA63" i="37"/>
  <c r="AA73" i="38" s="1"/>
  <c r="AI63" i="37"/>
  <c r="AI73" i="38" s="1"/>
  <c r="D63" i="37"/>
  <c r="D73" i="38" s="1"/>
  <c r="L63" i="37"/>
  <c r="L73" i="38" s="1"/>
  <c r="T63" i="37"/>
  <c r="T73" i="38" s="1"/>
  <c r="AB63" i="37"/>
  <c r="AB73" i="38" s="1"/>
  <c r="AJ63" i="37"/>
  <c r="AJ73" i="38" s="1"/>
  <c r="M63" i="37"/>
  <c r="M73" i="38" s="1"/>
  <c r="W63" i="37"/>
  <c r="W73" i="38" s="1"/>
  <c r="AG63" i="37"/>
  <c r="AG73" i="38" s="1"/>
  <c r="F63" i="37"/>
  <c r="F73" i="38" s="1"/>
  <c r="Q63" i="37"/>
  <c r="Q73" i="38" s="1"/>
  <c r="AD63" i="37"/>
  <c r="AD73" i="38" s="1"/>
  <c r="G63" i="37"/>
  <c r="G73" i="38" s="1"/>
  <c r="R63" i="37"/>
  <c r="R73" i="38" s="1"/>
  <c r="AE63" i="37"/>
  <c r="AE73" i="38" s="1"/>
  <c r="H63" i="37"/>
  <c r="H73" i="38" s="1"/>
  <c r="U63" i="37"/>
  <c r="U73" i="38" s="1"/>
  <c r="AF63" i="37"/>
  <c r="AF73" i="38" s="1"/>
  <c r="I63" i="37"/>
  <c r="I73" i="38" s="1"/>
  <c r="V63" i="37"/>
  <c r="V73" i="38" s="1"/>
  <c r="AH63" i="37"/>
  <c r="AH73" i="38" s="1"/>
  <c r="J63" i="37"/>
  <c r="J73" i="38" s="1"/>
  <c r="X63" i="37"/>
  <c r="X73" i="38" s="1"/>
  <c r="AK63" i="37"/>
  <c r="AK73" i="38" s="1"/>
  <c r="P63" i="37"/>
  <c r="P73" i="38" s="1"/>
  <c r="Z63" i="37"/>
  <c r="Z73" i="38" s="1"/>
  <c r="C63" i="37"/>
  <c r="C73" i="38" s="1"/>
  <c r="E63" i="37"/>
  <c r="E73" i="38" s="1"/>
  <c r="O63" i="37"/>
  <c r="O73" i="38" s="1"/>
  <c r="AC63" i="37"/>
  <c r="AC73" i="38" s="1"/>
  <c r="N63" i="37"/>
  <c r="N73" i="38" s="1"/>
  <c r="Y63" i="37"/>
  <c r="Y73" i="38" s="1"/>
  <c r="AE86" i="38"/>
  <c r="AE80" i="34"/>
  <c r="AJ86" i="38"/>
  <c r="AJ80" i="34"/>
  <c r="C86" i="38"/>
  <c r="C80" i="34"/>
  <c r="AK86" i="38"/>
  <c r="AK80" i="34"/>
  <c r="V68" i="30"/>
  <c r="AH68" i="30"/>
  <c r="E61" i="37"/>
  <c r="E71" i="38" s="1"/>
  <c r="M61" i="37"/>
  <c r="M71" i="38" s="1"/>
  <c r="U61" i="37"/>
  <c r="U71" i="38" s="1"/>
  <c r="AC61" i="37"/>
  <c r="AC71" i="38" s="1"/>
  <c r="AK61" i="37"/>
  <c r="AK71" i="38" s="1"/>
  <c r="F61" i="37"/>
  <c r="F71" i="38" s="1"/>
  <c r="N61" i="37"/>
  <c r="N71" i="38" s="1"/>
  <c r="V61" i="37"/>
  <c r="V71" i="38" s="1"/>
  <c r="AD61" i="37"/>
  <c r="AD71" i="38" s="1"/>
  <c r="C61" i="37"/>
  <c r="C71" i="38" s="1"/>
  <c r="G61" i="37"/>
  <c r="G71" i="38" s="1"/>
  <c r="Q61" i="37"/>
  <c r="Q71" i="38" s="1"/>
  <c r="AA61" i="37"/>
  <c r="AA71" i="38" s="1"/>
  <c r="I61" i="37"/>
  <c r="I71" i="38" s="1"/>
  <c r="T61" i="37"/>
  <c r="T71" i="38" s="1"/>
  <c r="AG61" i="37"/>
  <c r="AG71" i="38" s="1"/>
  <c r="J61" i="37"/>
  <c r="J71" i="38" s="1"/>
  <c r="W61" i="37"/>
  <c r="W71" i="38" s="1"/>
  <c r="AH61" i="37"/>
  <c r="AH71" i="38" s="1"/>
  <c r="K61" i="37"/>
  <c r="K71" i="38" s="1"/>
  <c r="X61" i="37"/>
  <c r="X71" i="38" s="1"/>
  <c r="AI61" i="37"/>
  <c r="AI71" i="38" s="1"/>
  <c r="L61" i="37"/>
  <c r="L71" i="38" s="1"/>
  <c r="Y61" i="37"/>
  <c r="Y71" i="38" s="1"/>
  <c r="AJ61" i="37"/>
  <c r="AJ71" i="38" s="1"/>
  <c r="O61" i="37"/>
  <c r="O71" i="38" s="1"/>
  <c r="Z61" i="37"/>
  <c r="Z71" i="38" s="1"/>
  <c r="P61" i="37"/>
  <c r="P71" i="38" s="1"/>
  <c r="S61" i="37"/>
  <c r="S71" i="38" s="1"/>
  <c r="AE61" i="37"/>
  <c r="AE71" i="38" s="1"/>
  <c r="AB61" i="37"/>
  <c r="AB71" i="38" s="1"/>
  <c r="AF61" i="37"/>
  <c r="AF71" i="38" s="1"/>
  <c r="R61" i="37"/>
  <c r="R71" i="38" s="1"/>
  <c r="D61" i="37"/>
  <c r="D71" i="38" s="1"/>
  <c r="H61" i="37"/>
  <c r="H71" i="38" s="1"/>
  <c r="N86" i="38"/>
  <c r="N80" i="34"/>
  <c r="W86" i="38"/>
  <c r="W80" i="34"/>
  <c r="AA86" i="38"/>
  <c r="AA80" i="34"/>
  <c r="AC86" i="38"/>
  <c r="AC80" i="34"/>
  <c r="T68" i="30"/>
  <c r="Z68" i="30"/>
  <c r="X68" i="30"/>
  <c r="AH86" i="38"/>
  <c r="AH80" i="34"/>
  <c r="AB86" i="38"/>
  <c r="AB80" i="34"/>
  <c r="D86" i="38"/>
  <c r="D80" i="34"/>
  <c r="P86" i="38"/>
  <c r="P80" i="34"/>
  <c r="U86" i="38"/>
  <c r="U80" i="34"/>
  <c r="AF68" i="30"/>
  <c r="S68" i="30"/>
  <c r="F78" i="31"/>
  <c r="F96" i="34" s="1"/>
  <c r="N78" i="31"/>
  <c r="N96" i="34" s="1"/>
  <c r="V78" i="31"/>
  <c r="V96" i="34" s="1"/>
  <c r="AD78" i="31"/>
  <c r="AD96" i="34" s="1"/>
  <c r="C78" i="31"/>
  <c r="C96" i="34" s="1"/>
  <c r="J78" i="31"/>
  <c r="J96" i="34" s="1"/>
  <c r="R78" i="31"/>
  <c r="R96" i="34" s="1"/>
  <c r="Z78" i="31"/>
  <c r="Z96" i="34" s="1"/>
  <c r="AH78" i="31"/>
  <c r="AH96" i="34" s="1"/>
  <c r="M78" i="31"/>
  <c r="M96" i="34" s="1"/>
  <c r="X78" i="31"/>
  <c r="X96" i="34" s="1"/>
  <c r="AI78" i="31"/>
  <c r="AI96" i="34" s="1"/>
  <c r="D78" i="31"/>
  <c r="D96" i="34" s="1"/>
  <c r="O78" i="31"/>
  <c r="O96" i="34" s="1"/>
  <c r="Y78" i="31"/>
  <c r="Y96" i="34" s="1"/>
  <c r="AJ78" i="31"/>
  <c r="AJ96" i="34" s="1"/>
  <c r="E78" i="31"/>
  <c r="E96" i="34" s="1"/>
  <c r="P78" i="31"/>
  <c r="P96" i="34" s="1"/>
  <c r="AA78" i="31"/>
  <c r="AA96" i="34" s="1"/>
  <c r="AK78" i="31"/>
  <c r="AK96" i="34" s="1"/>
  <c r="Q78" i="31"/>
  <c r="Q96" i="34" s="1"/>
  <c r="AF78" i="31"/>
  <c r="AF96" i="34" s="1"/>
  <c r="T78" i="31"/>
  <c r="T96" i="34" s="1"/>
  <c r="K78" i="31"/>
  <c r="K96" i="34" s="1"/>
  <c r="AC78" i="31"/>
  <c r="AC96" i="34" s="1"/>
  <c r="W78" i="31"/>
  <c r="W96" i="34" s="1"/>
  <c r="G78" i="31"/>
  <c r="G96" i="34" s="1"/>
  <c r="AE78" i="31"/>
  <c r="AE96" i="34" s="1"/>
  <c r="H78" i="31"/>
  <c r="H96" i="34" s="1"/>
  <c r="AG78" i="31"/>
  <c r="AG96" i="34" s="1"/>
  <c r="I78" i="31"/>
  <c r="I96" i="34" s="1"/>
  <c r="L78" i="31"/>
  <c r="L96" i="34" s="1"/>
  <c r="U78" i="31"/>
  <c r="U96" i="34" s="1"/>
  <c r="S78" i="31"/>
  <c r="S96" i="34" s="1"/>
  <c r="AB78" i="31"/>
  <c r="AB96" i="34" s="1"/>
  <c r="R86" i="38"/>
  <c r="R80" i="34"/>
  <c r="L86" i="38"/>
  <c r="L80" i="34"/>
  <c r="T86" i="38"/>
  <c r="T80" i="34"/>
  <c r="F86" i="38"/>
  <c r="F80" i="34"/>
  <c r="M86" i="38"/>
  <c r="M80" i="34"/>
  <c r="K68" i="30"/>
  <c r="E19" i="30"/>
  <c r="C19" i="30"/>
  <c r="F16" i="31"/>
  <c r="C23" i="30"/>
  <c r="E23" i="30"/>
  <c r="C16" i="31"/>
  <c r="D23" i="30"/>
  <c r="C38" i="31"/>
  <c r="F36" i="41" s="1"/>
  <c r="G36" i="41" s="1"/>
  <c r="E50" i="23"/>
  <c r="C47" i="34" s="1"/>
  <c r="G23" i="30"/>
  <c r="G16" i="31"/>
  <c r="D16" i="31"/>
  <c r="D19" i="30"/>
  <c r="D17" i="30"/>
  <c r="F19" i="30"/>
  <c r="G17" i="30"/>
  <c r="C17" i="30"/>
  <c r="E16" i="31"/>
  <c r="F47" i="30"/>
  <c r="D47" i="30"/>
  <c r="E48" i="30"/>
  <c r="E47" i="30"/>
  <c r="C47" i="30"/>
  <c r="D48" i="30"/>
  <c r="C48" i="30"/>
  <c r="G48" i="30"/>
  <c r="D20" i="38"/>
  <c r="C20" i="37"/>
  <c r="G20" i="38"/>
  <c r="D20" i="37"/>
  <c r="C20" i="38"/>
  <c r="F20" i="38"/>
  <c r="E20" i="37"/>
  <c r="E20" i="38"/>
  <c r="F20" i="37"/>
  <c r="G20" i="37"/>
  <c r="D18" i="37"/>
  <c r="F18" i="38"/>
  <c r="E18" i="38"/>
  <c r="F18" i="37"/>
  <c r="C18" i="38"/>
  <c r="D18" i="38"/>
  <c r="C18" i="37"/>
  <c r="G18" i="37"/>
  <c r="E18" i="37"/>
  <c r="G18" i="38"/>
  <c r="F23" i="38"/>
  <c r="C23" i="37"/>
  <c r="E23" i="37"/>
  <c r="F23" i="37"/>
  <c r="D23" i="38"/>
  <c r="C23" i="38"/>
  <c r="G23" i="37"/>
  <c r="G23" i="38"/>
  <c r="D23" i="37"/>
  <c r="E23" i="38"/>
  <c r="E17" i="38"/>
  <c r="E17" i="37"/>
  <c r="F17" i="37"/>
  <c r="C17" i="38"/>
  <c r="C17" i="37"/>
  <c r="D17" i="38"/>
  <c r="G17" i="38"/>
  <c r="G17" i="37"/>
  <c r="D17" i="37"/>
  <c r="F17" i="38"/>
  <c r="C25" i="37"/>
  <c r="E25" i="38"/>
  <c r="F25" i="37"/>
  <c r="D25" i="38"/>
  <c r="E25" i="37"/>
  <c r="G25" i="38"/>
  <c r="G25" i="37"/>
  <c r="D25" i="37"/>
  <c r="C25" i="38"/>
  <c r="F25" i="38"/>
  <c r="E19" i="37"/>
  <c r="D19" i="37"/>
  <c r="E19" i="38"/>
  <c r="F19" i="37"/>
  <c r="G19" i="38"/>
  <c r="C19" i="37"/>
  <c r="D19" i="38"/>
  <c r="G19" i="37"/>
  <c r="C19" i="38"/>
  <c r="F19" i="38"/>
  <c r="C24" i="38"/>
  <c r="C24" i="37"/>
  <c r="E24" i="38"/>
  <c r="G24" i="38"/>
  <c r="F24" i="37"/>
  <c r="D24" i="37"/>
  <c r="F24" i="38"/>
  <c r="D24" i="38"/>
  <c r="E24" i="37"/>
  <c r="G24" i="37"/>
  <c r="G22" i="37"/>
  <c r="G22" i="38"/>
  <c r="C22" i="38"/>
  <c r="D22" i="37"/>
  <c r="C22" i="37"/>
  <c r="F22" i="38"/>
  <c r="E22" i="37"/>
  <c r="D22" i="38"/>
  <c r="E22" i="38"/>
  <c r="F22" i="37"/>
  <c r="E36" i="23"/>
  <c r="E34" i="23"/>
  <c r="E38" i="36" s="1"/>
  <c r="E31" i="36"/>
  <c r="E25" i="34"/>
  <c r="F25" i="34"/>
  <c r="G25" i="34"/>
  <c r="C25" i="34"/>
  <c r="D25" i="34"/>
  <c r="E35" i="23"/>
  <c r="E32" i="23"/>
  <c r="E29" i="36"/>
  <c r="G24" i="34"/>
  <c r="D24" i="34"/>
  <c r="E24" i="34"/>
  <c r="C24" i="34"/>
  <c r="F24" i="34"/>
  <c r="F16" i="34"/>
  <c r="D35" i="30"/>
  <c r="D37" i="38" s="1"/>
  <c r="E35" i="30"/>
  <c r="E37" i="38" s="1"/>
  <c r="F35" i="30"/>
  <c r="F37" i="38" s="1"/>
  <c r="G35" i="30"/>
  <c r="G37" i="38" s="1"/>
  <c r="C35" i="30"/>
  <c r="C37" i="38" s="1"/>
  <c r="C24" i="30"/>
  <c r="D24" i="30"/>
  <c r="E24" i="30"/>
  <c r="F24" i="30"/>
  <c r="G24" i="30"/>
  <c r="D32" i="30"/>
  <c r="D34" i="38" s="1"/>
  <c r="E32" i="30"/>
  <c r="E34" i="38" s="1"/>
  <c r="F32" i="30"/>
  <c r="F34" i="38" s="1"/>
  <c r="G32" i="30"/>
  <c r="G34" i="38" s="1"/>
  <c r="C32" i="30"/>
  <c r="C34" i="38" s="1"/>
  <c r="E27" i="30"/>
  <c r="E29" i="38" s="1"/>
  <c r="C27" i="30"/>
  <c r="C29" i="38" s="1"/>
  <c r="D27" i="30"/>
  <c r="D29" i="38" s="1"/>
  <c r="F27" i="30"/>
  <c r="F29" i="38" s="1"/>
  <c r="G27" i="30"/>
  <c r="G29" i="38" s="1"/>
  <c r="D20" i="30"/>
  <c r="G20" i="30"/>
  <c r="E20" i="30"/>
  <c r="C20" i="30"/>
  <c r="F20" i="30"/>
  <c r="E26" i="30"/>
  <c r="E28" i="38" s="1"/>
  <c r="D26" i="30"/>
  <c r="D28" i="38" s="1"/>
  <c r="F26" i="30"/>
  <c r="F28" i="38" s="1"/>
  <c r="G26" i="30"/>
  <c r="G28" i="38" s="1"/>
  <c r="C26" i="30"/>
  <c r="C28" i="38" s="1"/>
  <c r="E34" i="30"/>
  <c r="E36" i="38" s="1"/>
  <c r="C34" i="30"/>
  <c r="C36" i="38" s="1"/>
  <c r="D34" i="30"/>
  <c r="D36" i="38" s="1"/>
  <c r="F34" i="30"/>
  <c r="F36" i="38" s="1"/>
  <c r="G34" i="30"/>
  <c r="G36" i="38" s="1"/>
  <c r="D20" i="29"/>
  <c r="F20" i="29"/>
  <c r="G20" i="29"/>
  <c r="C20" i="29"/>
  <c r="E20" i="29"/>
  <c r="C24" i="29"/>
  <c r="D24" i="29"/>
  <c r="E24" i="29"/>
  <c r="G24" i="29"/>
  <c r="F24" i="29"/>
  <c r="L74" i="9"/>
  <c r="L74" i="2"/>
  <c r="C74" i="2"/>
  <c r="U74" i="9"/>
  <c r="Q74" i="2"/>
  <c r="D74" i="2"/>
  <c r="T74" i="9"/>
  <c r="T74" i="2"/>
  <c r="F74" i="2"/>
  <c r="E74" i="9"/>
  <c r="H74" i="9"/>
  <c r="D74" i="9"/>
  <c r="N74" i="2"/>
  <c r="G74" i="2"/>
  <c r="N74" i="9"/>
  <c r="R74" i="2"/>
  <c r="M74" i="9"/>
  <c r="Q74" i="9"/>
  <c r="J74" i="9"/>
  <c r="K74" i="9"/>
  <c r="O74" i="2"/>
  <c r="H74" i="2"/>
  <c r="P74" i="9"/>
  <c r="Y74" i="9"/>
  <c r="R74" i="9"/>
  <c r="S74" i="9"/>
  <c r="V74" i="9"/>
  <c r="W74" i="9"/>
  <c r="X74" i="9"/>
  <c r="S74" i="2"/>
  <c r="J74" i="2"/>
  <c r="I74" i="9"/>
  <c r="Z74" i="9"/>
  <c r="AA74" i="9"/>
  <c r="F74" i="9"/>
  <c r="G74" i="9"/>
  <c r="I74" i="2"/>
  <c r="M74" i="2"/>
  <c r="K74" i="2"/>
  <c r="C74" i="9"/>
  <c r="E74" i="2"/>
  <c r="P74" i="2"/>
  <c r="O74" i="9"/>
  <c r="L66" i="9"/>
  <c r="U66" i="9"/>
  <c r="V66" i="9"/>
  <c r="N66" i="2"/>
  <c r="Y66" i="9"/>
  <c r="Q66" i="2"/>
  <c r="Q66" i="9"/>
  <c r="T66" i="9"/>
  <c r="D66" i="2"/>
  <c r="E66" i="2"/>
  <c r="H66" i="9"/>
  <c r="H66" i="2"/>
  <c r="S66" i="9"/>
  <c r="C66" i="9"/>
  <c r="L66" i="2"/>
  <c r="M66" i="2"/>
  <c r="P66" i="9"/>
  <c r="P66" i="2"/>
  <c r="K66" i="2"/>
  <c r="T66" i="2"/>
  <c r="C66" i="2"/>
  <c r="X66" i="9"/>
  <c r="K66" i="9"/>
  <c r="D66" i="9"/>
  <c r="I66" i="2"/>
  <c r="S66" i="2"/>
  <c r="J66" i="2"/>
  <c r="G66" i="9"/>
  <c r="G66" i="2"/>
  <c r="J66" i="9"/>
  <c r="N66" i="9"/>
  <c r="AA66" i="9"/>
  <c r="R66" i="2"/>
  <c r="O66" i="9"/>
  <c r="O66" i="2"/>
  <c r="R66" i="9"/>
  <c r="F66" i="2"/>
  <c r="E66" i="9"/>
  <c r="F66" i="9"/>
  <c r="W66" i="9"/>
  <c r="I66" i="9"/>
  <c r="Z66" i="9"/>
  <c r="M66" i="9"/>
  <c r="I72" i="9"/>
  <c r="D72" i="9"/>
  <c r="W72" i="9"/>
  <c r="G72" i="9"/>
  <c r="E72" i="2"/>
  <c r="L72" i="9"/>
  <c r="M72" i="9"/>
  <c r="D72" i="2"/>
  <c r="H72" i="9"/>
  <c r="C72" i="2"/>
  <c r="R72" i="9"/>
  <c r="U72" i="9"/>
  <c r="O72" i="9"/>
  <c r="X72" i="9"/>
  <c r="H72" i="2"/>
  <c r="F72" i="9"/>
  <c r="F72" i="2"/>
  <c r="T72" i="2"/>
  <c r="K72" i="9"/>
  <c r="N72" i="9"/>
  <c r="M72" i="2"/>
  <c r="S72" i="9"/>
  <c r="V72" i="9"/>
  <c r="N72" i="2"/>
  <c r="S72" i="2"/>
  <c r="K72" i="2"/>
  <c r="L72" i="2"/>
  <c r="P72" i="9"/>
  <c r="J72" i="2"/>
  <c r="Y72" i="9"/>
  <c r="P72" i="2"/>
  <c r="I72" i="2"/>
  <c r="C72" i="9"/>
  <c r="R72" i="2"/>
  <c r="G72" i="2"/>
  <c r="Q72" i="9"/>
  <c r="Z72" i="9"/>
  <c r="E72" i="9"/>
  <c r="O72" i="2"/>
  <c r="AA72" i="9"/>
  <c r="Q72" i="2"/>
  <c r="T72" i="9"/>
  <c r="J72" i="9"/>
  <c r="T75" i="9"/>
  <c r="M75" i="9"/>
  <c r="G75" i="2"/>
  <c r="Z75" i="9"/>
  <c r="I75" i="9"/>
  <c r="T75" i="2"/>
  <c r="C75" i="9"/>
  <c r="U75" i="9"/>
  <c r="O75" i="2"/>
  <c r="H75" i="9"/>
  <c r="K75" i="2"/>
  <c r="E75" i="9"/>
  <c r="E75" i="2"/>
  <c r="F75" i="2"/>
  <c r="W75" i="9"/>
  <c r="P75" i="9"/>
  <c r="K75" i="9"/>
  <c r="R75" i="9"/>
  <c r="M75" i="2"/>
  <c r="N75" i="2"/>
  <c r="H75" i="2"/>
  <c r="X75" i="9"/>
  <c r="AA75" i="9"/>
  <c r="S75" i="2"/>
  <c r="L75" i="2"/>
  <c r="C75" i="2"/>
  <c r="O75" i="9"/>
  <c r="I75" i="2"/>
  <c r="J75" i="2"/>
  <c r="V75" i="9"/>
  <c r="G75" i="9"/>
  <c r="F75" i="9"/>
  <c r="Q75" i="2"/>
  <c r="R75" i="2"/>
  <c r="S75" i="9"/>
  <c r="Y75" i="9"/>
  <c r="D75" i="9"/>
  <c r="P75" i="2"/>
  <c r="N75" i="9"/>
  <c r="Q75" i="9"/>
  <c r="J75" i="9"/>
  <c r="D75" i="2"/>
  <c r="L75" i="9"/>
  <c r="C69" i="3"/>
  <c r="C74" i="3"/>
  <c r="C75" i="3" s="1"/>
  <c r="C84" i="3" s="1"/>
  <c r="E39" i="20" s="1"/>
  <c r="AA46" i="9"/>
  <c r="K46" i="9"/>
  <c r="S46" i="9"/>
  <c r="C46" i="9"/>
  <c r="K46" i="2"/>
  <c r="S46" i="2"/>
  <c r="P46" i="2"/>
  <c r="D46" i="9"/>
  <c r="L46" i="9"/>
  <c r="T46" i="9"/>
  <c r="D46" i="2"/>
  <c r="L46" i="2"/>
  <c r="T46" i="2"/>
  <c r="X46" i="9"/>
  <c r="E46" i="9"/>
  <c r="M46" i="9"/>
  <c r="U46" i="9"/>
  <c r="E46" i="2"/>
  <c r="M46" i="2"/>
  <c r="F46" i="9"/>
  <c r="N46" i="9"/>
  <c r="V46" i="9"/>
  <c r="F46" i="2"/>
  <c r="N46" i="2"/>
  <c r="P46" i="9"/>
  <c r="G46" i="9"/>
  <c r="O46" i="9"/>
  <c r="W46" i="9"/>
  <c r="G46" i="2"/>
  <c r="O46" i="2"/>
  <c r="I46" i="9"/>
  <c r="Q46" i="9"/>
  <c r="Y46" i="9"/>
  <c r="I46" i="2"/>
  <c r="Q46" i="2"/>
  <c r="H46" i="2"/>
  <c r="J46" i="9"/>
  <c r="R46" i="9"/>
  <c r="Z46" i="9"/>
  <c r="J46" i="2"/>
  <c r="R46" i="2"/>
  <c r="H46" i="9"/>
  <c r="C46" i="2"/>
  <c r="G12" i="9"/>
  <c r="O12" i="9"/>
  <c r="W12" i="9"/>
  <c r="H12" i="9"/>
  <c r="P12" i="9"/>
  <c r="X12" i="9"/>
  <c r="I12" i="9"/>
  <c r="Q12" i="9"/>
  <c r="AA12" i="9"/>
  <c r="J12" i="9"/>
  <c r="R12" i="9"/>
  <c r="D12" i="9"/>
  <c r="K12" i="9"/>
  <c r="S12" i="9"/>
  <c r="C12" i="9"/>
  <c r="L12" i="9"/>
  <c r="T12" i="9"/>
  <c r="E12" i="9"/>
  <c r="M12" i="9"/>
  <c r="U12" i="9"/>
  <c r="F12" i="9"/>
  <c r="N12" i="9"/>
  <c r="V12" i="9"/>
  <c r="M12" i="2"/>
  <c r="K12" i="2"/>
  <c r="I12" i="2"/>
  <c r="S12" i="2"/>
  <c r="Q12" i="2"/>
  <c r="N12" i="2"/>
  <c r="F12" i="2"/>
  <c r="L12" i="2"/>
  <c r="G12" i="2"/>
  <c r="T12" i="2"/>
  <c r="J12" i="2"/>
  <c r="D12" i="2"/>
  <c r="H12" i="2"/>
  <c r="R12" i="2"/>
  <c r="C12" i="2"/>
  <c r="P12" i="2"/>
  <c r="E12" i="2"/>
  <c r="O12" i="2"/>
  <c r="Z12" i="9"/>
  <c r="Y12" i="9"/>
  <c r="K27" i="9"/>
  <c r="S27" i="9"/>
  <c r="AA27" i="9"/>
  <c r="D27" i="2"/>
  <c r="L27" i="2"/>
  <c r="T27" i="2"/>
  <c r="D27" i="9"/>
  <c r="L27" i="9"/>
  <c r="T27" i="9"/>
  <c r="C27" i="9"/>
  <c r="E27" i="2"/>
  <c r="M27" i="2"/>
  <c r="C27" i="2"/>
  <c r="E27" i="9"/>
  <c r="M27" i="9"/>
  <c r="U27" i="9"/>
  <c r="F27" i="2"/>
  <c r="N27" i="2"/>
  <c r="F27" i="9"/>
  <c r="N27" i="9"/>
  <c r="V27" i="9"/>
  <c r="G27" i="2"/>
  <c r="O27" i="2"/>
  <c r="G27" i="9"/>
  <c r="O27" i="9"/>
  <c r="W27" i="9"/>
  <c r="H27" i="2"/>
  <c r="P27" i="2"/>
  <c r="H27" i="9"/>
  <c r="P27" i="9"/>
  <c r="X27" i="9"/>
  <c r="I27" i="2"/>
  <c r="Q27" i="2"/>
  <c r="I27" i="9"/>
  <c r="Q27" i="9"/>
  <c r="Y27" i="9"/>
  <c r="J27" i="2"/>
  <c r="R27" i="2"/>
  <c r="J27" i="9"/>
  <c r="R27" i="9"/>
  <c r="Z27" i="9"/>
  <c r="K27" i="2"/>
  <c r="S27" i="2"/>
  <c r="D38" i="9"/>
  <c r="L38" i="9"/>
  <c r="T38" i="9"/>
  <c r="K38" i="2"/>
  <c r="S38" i="2"/>
  <c r="E38" i="9"/>
  <c r="M38" i="9"/>
  <c r="U38" i="9"/>
  <c r="L38" i="2"/>
  <c r="T38" i="2"/>
  <c r="F38" i="9"/>
  <c r="N38" i="9"/>
  <c r="V38" i="9"/>
  <c r="E38" i="2"/>
  <c r="M38" i="2"/>
  <c r="D38" i="2"/>
  <c r="G38" i="9"/>
  <c r="O38" i="9"/>
  <c r="W38" i="9"/>
  <c r="C38" i="9"/>
  <c r="F38" i="2"/>
  <c r="N38" i="2"/>
  <c r="C38" i="2"/>
  <c r="H38" i="9"/>
  <c r="P38" i="9"/>
  <c r="X38" i="9"/>
  <c r="G38" i="2"/>
  <c r="O38" i="2"/>
  <c r="I38" i="9"/>
  <c r="Q38" i="9"/>
  <c r="Y38" i="9"/>
  <c r="H38" i="2"/>
  <c r="P38" i="2"/>
  <c r="J38" i="9"/>
  <c r="R38" i="9"/>
  <c r="Z38" i="9"/>
  <c r="I38" i="2"/>
  <c r="Q38" i="2"/>
  <c r="K38" i="9"/>
  <c r="S38" i="9"/>
  <c r="AA38" i="9"/>
  <c r="J38" i="2"/>
  <c r="R38" i="2"/>
  <c r="E13" i="9"/>
  <c r="M13" i="9"/>
  <c r="U13" i="9"/>
  <c r="F13" i="9"/>
  <c r="N13" i="9"/>
  <c r="V13" i="9"/>
  <c r="G13" i="9"/>
  <c r="O13" i="9"/>
  <c r="W13" i="9"/>
  <c r="H13" i="9"/>
  <c r="P13" i="9"/>
  <c r="X13" i="9"/>
  <c r="I13" i="9"/>
  <c r="Q13" i="9"/>
  <c r="AA13" i="9"/>
  <c r="J13" i="9"/>
  <c r="R13" i="9"/>
  <c r="C13" i="9"/>
  <c r="K13" i="9"/>
  <c r="S13" i="9"/>
  <c r="D13" i="9"/>
  <c r="L13" i="9"/>
  <c r="T13" i="9"/>
  <c r="I13" i="2"/>
  <c r="S13" i="2"/>
  <c r="C13" i="2"/>
  <c r="Q13" i="2"/>
  <c r="D13" i="2"/>
  <c r="G13" i="2"/>
  <c r="O13" i="2"/>
  <c r="L13" i="2"/>
  <c r="H13" i="2"/>
  <c r="T13" i="2"/>
  <c r="J13" i="2"/>
  <c r="N13" i="2"/>
  <c r="R13" i="2"/>
  <c r="P13" i="2"/>
  <c r="F13" i="2"/>
  <c r="E13" i="2"/>
  <c r="K13" i="2"/>
  <c r="M13" i="2"/>
  <c r="Z13" i="9"/>
  <c r="Y13" i="9"/>
  <c r="I25" i="9"/>
  <c r="Q25" i="9"/>
  <c r="Y25" i="9"/>
  <c r="J25" i="2"/>
  <c r="R25" i="2"/>
  <c r="J25" i="9"/>
  <c r="R25" i="9"/>
  <c r="Z25" i="9"/>
  <c r="K25" i="2"/>
  <c r="S25" i="2"/>
  <c r="K25" i="9"/>
  <c r="S25" i="9"/>
  <c r="AA25" i="9"/>
  <c r="L25" i="2"/>
  <c r="T25" i="2"/>
  <c r="D25" i="9"/>
  <c r="L25" i="9"/>
  <c r="T25" i="9"/>
  <c r="C25" i="9"/>
  <c r="M25" i="2"/>
  <c r="E25" i="2"/>
  <c r="E25" i="9"/>
  <c r="M25" i="9"/>
  <c r="U25" i="9"/>
  <c r="F25" i="2"/>
  <c r="N25" i="2"/>
  <c r="D25" i="2"/>
  <c r="F25" i="9"/>
  <c r="N25" i="9"/>
  <c r="V25" i="9"/>
  <c r="G25" i="2"/>
  <c r="O25" i="2"/>
  <c r="C25" i="2"/>
  <c r="G25" i="9"/>
  <c r="O25" i="9"/>
  <c r="W25" i="9"/>
  <c r="H25" i="2"/>
  <c r="P25" i="2"/>
  <c r="H25" i="9"/>
  <c r="P25" i="9"/>
  <c r="X25" i="9"/>
  <c r="I25" i="2"/>
  <c r="Q25" i="2"/>
  <c r="T40" i="9"/>
  <c r="F40" i="9"/>
  <c r="N40" i="9"/>
  <c r="F40" i="2"/>
  <c r="N40" i="2"/>
  <c r="U40" i="9"/>
  <c r="G40" i="9"/>
  <c r="O40" i="9"/>
  <c r="C40" i="9"/>
  <c r="G40" i="2"/>
  <c r="O40" i="2"/>
  <c r="V40" i="9"/>
  <c r="H40" i="9"/>
  <c r="P40" i="9"/>
  <c r="H40" i="2"/>
  <c r="P40" i="2"/>
  <c r="W40" i="9"/>
  <c r="I40" i="9"/>
  <c r="Q40" i="9"/>
  <c r="I40" i="2"/>
  <c r="Q40" i="2"/>
  <c r="X40" i="9"/>
  <c r="J40" i="9"/>
  <c r="R40" i="9"/>
  <c r="J40" i="2"/>
  <c r="R40" i="2"/>
  <c r="Y40" i="9"/>
  <c r="K40" i="9"/>
  <c r="S40" i="9"/>
  <c r="K40" i="2"/>
  <c r="S40" i="2"/>
  <c r="Z40" i="9"/>
  <c r="D40" i="9"/>
  <c r="L40" i="9"/>
  <c r="D40" i="2"/>
  <c r="L40" i="2"/>
  <c r="T40" i="2"/>
  <c r="AA40" i="9"/>
  <c r="E40" i="9"/>
  <c r="M40" i="9"/>
  <c r="E40" i="2"/>
  <c r="M40" i="2"/>
  <c r="C40" i="2"/>
  <c r="D14" i="9"/>
  <c r="L14" i="9"/>
  <c r="T14" i="9"/>
  <c r="E14" i="9"/>
  <c r="M14" i="9"/>
  <c r="U14" i="9"/>
  <c r="F14" i="9"/>
  <c r="N14" i="9"/>
  <c r="V14" i="9"/>
  <c r="G14" i="9"/>
  <c r="O14" i="9"/>
  <c r="W14" i="9"/>
  <c r="H14" i="9"/>
  <c r="P14" i="9"/>
  <c r="X14" i="9"/>
  <c r="I14" i="9"/>
  <c r="Q14" i="9"/>
  <c r="AA14" i="9"/>
  <c r="J14" i="9"/>
  <c r="R14" i="9"/>
  <c r="C14" i="9"/>
  <c r="K14" i="9"/>
  <c r="S14" i="9"/>
  <c r="K14" i="2"/>
  <c r="M14" i="2"/>
  <c r="O14" i="2"/>
  <c r="S14" i="2"/>
  <c r="C14" i="2"/>
  <c r="R14" i="2"/>
  <c r="H14" i="2"/>
  <c r="P14" i="2"/>
  <c r="I14" i="2"/>
  <c r="J14" i="2"/>
  <c r="D14" i="2"/>
  <c r="F14" i="2"/>
  <c r="L14" i="2"/>
  <c r="N14" i="2"/>
  <c r="T14" i="2"/>
  <c r="Q14" i="2"/>
  <c r="E14" i="2"/>
  <c r="G14" i="2"/>
  <c r="Y14" i="9"/>
  <c r="Z14" i="9"/>
  <c r="I33" i="9"/>
  <c r="Q33" i="9"/>
  <c r="Y33" i="9"/>
  <c r="H33" i="2"/>
  <c r="P33" i="2"/>
  <c r="J33" i="9"/>
  <c r="R33" i="9"/>
  <c r="Z33" i="9"/>
  <c r="I33" i="2"/>
  <c r="Q33" i="2"/>
  <c r="K33" i="9"/>
  <c r="S33" i="9"/>
  <c r="AA33" i="9"/>
  <c r="J33" i="2"/>
  <c r="R33" i="2"/>
  <c r="D33" i="9"/>
  <c r="L33" i="9"/>
  <c r="T33" i="9"/>
  <c r="C33" i="9"/>
  <c r="K33" i="2"/>
  <c r="S33" i="2"/>
  <c r="E33" i="9"/>
  <c r="M33" i="9"/>
  <c r="U33" i="9"/>
  <c r="D33" i="2"/>
  <c r="L33" i="2"/>
  <c r="T33" i="2"/>
  <c r="F33" i="9"/>
  <c r="N33" i="9"/>
  <c r="V33" i="9"/>
  <c r="E33" i="2"/>
  <c r="M33" i="2"/>
  <c r="C33" i="2"/>
  <c r="G33" i="9"/>
  <c r="O33" i="9"/>
  <c r="W33" i="9"/>
  <c r="F33" i="2"/>
  <c r="N33" i="2"/>
  <c r="H33" i="9"/>
  <c r="P33" i="9"/>
  <c r="X33" i="9"/>
  <c r="G33" i="2"/>
  <c r="O33" i="2"/>
  <c r="J48" i="9"/>
  <c r="R48" i="9"/>
  <c r="Z48" i="9"/>
  <c r="I48" i="2"/>
  <c r="Q48" i="2"/>
  <c r="N48" i="2"/>
  <c r="K48" i="9"/>
  <c r="S48" i="9"/>
  <c r="AA48" i="9"/>
  <c r="J48" i="2"/>
  <c r="R48" i="2"/>
  <c r="W48" i="9"/>
  <c r="D48" i="9"/>
  <c r="L48" i="9"/>
  <c r="T48" i="9"/>
  <c r="C48" i="9"/>
  <c r="K48" i="2"/>
  <c r="S48" i="2"/>
  <c r="E48" i="9"/>
  <c r="M48" i="9"/>
  <c r="U48" i="9"/>
  <c r="D48" i="2"/>
  <c r="L48" i="2"/>
  <c r="T48" i="2"/>
  <c r="G48" i="9"/>
  <c r="F48" i="9"/>
  <c r="N48" i="9"/>
  <c r="V48" i="9"/>
  <c r="E48" i="2"/>
  <c r="M48" i="2"/>
  <c r="C48" i="2"/>
  <c r="F48" i="2"/>
  <c r="H48" i="9"/>
  <c r="P48" i="9"/>
  <c r="X48" i="9"/>
  <c r="G48" i="2"/>
  <c r="O48" i="2"/>
  <c r="O48" i="9"/>
  <c r="I48" i="9"/>
  <c r="Q48" i="9"/>
  <c r="Y48" i="9"/>
  <c r="H48" i="2"/>
  <c r="P48" i="2"/>
  <c r="H43" i="9"/>
  <c r="P43" i="9"/>
  <c r="X43" i="9"/>
  <c r="F43" i="2"/>
  <c r="N43" i="2"/>
  <c r="I43" i="9"/>
  <c r="Q43" i="9"/>
  <c r="Y43" i="9"/>
  <c r="G43" i="2"/>
  <c r="O43" i="2"/>
  <c r="J43" i="9"/>
  <c r="R43" i="9"/>
  <c r="Z43" i="9"/>
  <c r="H43" i="2"/>
  <c r="P43" i="2"/>
  <c r="K43" i="9"/>
  <c r="S43" i="9"/>
  <c r="AA43" i="9"/>
  <c r="I43" i="2"/>
  <c r="Q43" i="2"/>
  <c r="D43" i="9"/>
  <c r="L43" i="9"/>
  <c r="T43" i="9"/>
  <c r="C43" i="9"/>
  <c r="J43" i="2"/>
  <c r="R43" i="2"/>
  <c r="E43" i="9"/>
  <c r="M43" i="9"/>
  <c r="U43" i="9"/>
  <c r="K43" i="2"/>
  <c r="S43" i="2"/>
  <c r="F43" i="9"/>
  <c r="N43" i="9"/>
  <c r="V43" i="9"/>
  <c r="D43" i="2"/>
  <c r="L43" i="2"/>
  <c r="T43" i="2"/>
  <c r="G43" i="9"/>
  <c r="O43" i="9"/>
  <c r="W43" i="9"/>
  <c r="E43" i="2"/>
  <c r="M43" i="2"/>
  <c r="C43" i="2"/>
  <c r="D19" i="9"/>
  <c r="L19" i="9"/>
  <c r="T19" i="9"/>
  <c r="C19" i="9"/>
  <c r="K19" i="2"/>
  <c r="S19" i="2"/>
  <c r="E19" i="9"/>
  <c r="M19" i="9"/>
  <c r="U19" i="9"/>
  <c r="D19" i="2"/>
  <c r="L19" i="2"/>
  <c r="T19" i="2"/>
  <c r="F19" i="9"/>
  <c r="N19" i="9"/>
  <c r="V19" i="9"/>
  <c r="E19" i="2"/>
  <c r="M19" i="2"/>
  <c r="C19" i="2"/>
  <c r="G19" i="9"/>
  <c r="O19" i="9"/>
  <c r="W19" i="9"/>
  <c r="F19" i="2"/>
  <c r="N19" i="2"/>
  <c r="H19" i="9"/>
  <c r="P19" i="9"/>
  <c r="X19" i="9"/>
  <c r="G19" i="2"/>
  <c r="O19" i="2"/>
  <c r="I19" i="9"/>
  <c r="Q19" i="9"/>
  <c r="Y19" i="9"/>
  <c r="H19" i="2"/>
  <c r="P19" i="2"/>
  <c r="J19" i="9"/>
  <c r="R19" i="9"/>
  <c r="Z19" i="9"/>
  <c r="I19" i="2"/>
  <c r="Q19" i="2"/>
  <c r="K19" i="9"/>
  <c r="S19" i="9"/>
  <c r="AA19" i="9"/>
  <c r="J19" i="2"/>
  <c r="R19" i="2"/>
  <c r="H32" i="9"/>
  <c r="P32" i="9"/>
  <c r="X32" i="9"/>
  <c r="F32" i="2"/>
  <c r="N32" i="2"/>
  <c r="I32" i="9"/>
  <c r="Q32" i="9"/>
  <c r="Y32" i="9"/>
  <c r="G32" i="2"/>
  <c r="O32" i="2"/>
  <c r="J32" i="9"/>
  <c r="R32" i="9"/>
  <c r="Z32" i="9"/>
  <c r="H32" i="2"/>
  <c r="P32" i="2"/>
  <c r="K32" i="9"/>
  <c r="S32" i="9"/>
  <c r="AA32" i="9"/>
  <c r="I32" i="2"/>
  <c r="Q32" i="2"/>
  <c r="D32" i="9"/>
  <c r="L32" i="9"/>
  <c r="T32" i="9"/>
  <c r="C32" i="9"/>
  <c r="J32" i="2"/>
  <c r="R32" i="2"/>
  <c r="E32" i="9"/>
  <c r="M32" i="9"/>
  <c r="U32" i="9"/>
  <c r="K32" i="2"/>
  <c r="S32" i="2"/>
  <c r="F32" i="9"/>
  <c r="N32" i="9"/>
  <c r="V32" i="9"/>
  <c r="D32" i="2"/>
  <c r="L32" i="2"/>
  <c r="T32" i="2"/>
  <c r="G32" i="9"/>
  <c r="O32" i="9"/>
  <c r="W32" i="9"/>
  <c r="E32" i="2"/>
  <c r="M32" i="2"/>
  <c r="C32" i="2"/>
  <c r="D34" i="2"/>
  <c r="L34" i="2"/>
  <c r="T34" i="2"/>
  <c r="J34" i="9"/>
  <c r="R34" i="9"/>
  <c r="Z34" i="9"/>
  <c r="E34" i="2"/>
  <c r="M34" i="2"/>
  <c r="C34" i="2"/>
  <c r="K34" i="9"/>
  <c r="S34" i="9"/>
  <c r="AA34" i="9"/>
  <c r="F34" i="2"/>
  <c r="N34" i="2"/>
  <c r="D34" i="9"/>
  <c r="L34" i="9"/>
  <c r="T34" i="9"/>
  <c r="C34" i="9"/>
  <c r="G34" i="2"/>
  <c r="O34" i="2"/>
  <c r="E34" i="9"/>
  <c r="M34" i="9"/>
  <c r="U34" i="9"/>
  <c r="H34" i="2"/>
  <c r="P34" i="2"/>
  <c r="F34" i="9"/>
  <c r="N34" i="9"/>
  <c r="V34" i="9"/>
  <c r="I34" i="2"/>
  <c r="Q34" i="2"/>
  <c r="G34" i="9"/>
  <c r="O34" i="9"/>
  <c r="W34" i="9"/>
  <c r="J34" i="2"/>
  <c r="R34" i="2"/>
  <c r="H34" i="9"/>
  <c r="P34" i="9"/>
  <c r="X34" i="9"/>
  <c r="K34" i="2"/>
  <c r="S34" i="2"/>
  <c r="I34" i="9"/>
  <c r="Q34" i="9"/>
  <c r="Y34" i="9"/>
  <c r="E49" i="9"/>
  <c r="M49" i="9"/>
  <c r="U49" i="9"/>
  <c r="D49" i="2"/>
  <c r="L49" i="2"/>
  <c r="T49" i="2"/>
  <c r="I49" i="2"/>
  <c r="F49" i="9"/>
  <c r="N49" i="9"/>
  <c r="V49" i="9"/>
  <c r="E49" i="2"/>
  <c r="M49" i="2"/>
  <c r="C49" i="2"/>
  <c r="J49" i="9"/>
  <c r="G49" i="9"/>
  <c r="O49" i="9"/>
  <c r="W49" i="9"/>
  <c r="F49" i="2"/>
  <c r="N49" i="2"/>
  <c r="Q49" i="2"/>
  <c r="H49" i="9"/>
  <c r="P49" i="9"/>
  <c r="X49" i="9"/>
  <c r="G49" i="2"/>
  <c r="O49" i="2"/>
  <c r="I49" i="9"/>
  <c r="Q49" i="9"/>
  <c r="Y49" i="9"/>
  <c r="H49" i="2"/>
  <c r="P49" i="2"/>
  <c r="K49" i="9"/>
  <c r="S49" i="9"/>
  <c r="AA49" i="9"/>
  <c r="J49" i="2"/>
  <c r="R49" i="2"/>
  <c r="R49" i="9"/>
  <c r="D49" i="9"/>
  <c r="L49" i="9"/>
  <c r="T49" i="9"/>
  <c r="C49" i="9"/>
  <c r="K49" i="2"/>
  <c r="S49" i="2"/>
  <c r="Z49" i="9"/>
  <c r="V39" i="9"/>
  <c r="F39" i="9"/>
  <c r="N39" i="9"/>
  <c r="D39" i="2"/>
  <c r="L39" i="2"/>
  <c r="T39" i="2"/>
  <c r="W39" i="9"/>
  <c r="G39" i="9"/>
  <c r="O39" i="9"/>
  <c r="E39" i="2"/>
  <c r="M39" i="2"/>
  <c r="C39" i="2"/>
  <c r="X39" i="9"/>
  <c r="H39" i="9"/>
  <c r="P39" i="9"/>
  <c r="C39" i="9"/>
  <c r="F39" i="2"/>
  <c r="N39" i="2"/>
  <c r="Y39" i="9"/>
  <c r="I39" i="9"/>
  <c r="Q39" i="9"/>
  <c r="G39" i="2"/>
  <c r="O39" i="2"/>
  <c r="Z39" i="9"/>
  <c r="J39" i="9"/>
  <c r="R39" i="9"/>
  <c r="H39" i="2"/>
  <c r="P39" i="2"/>
  <c r="AA39" i="9"/>
  <c r="K39" i="9"/>
  <c r="S39" i="9"/>
  <c r="I39" i="2"/>
  <c r="Q39" i="2"/>
  <c r="D39" i="9"/>
  <c r="L39" i="9"/>
  <c r="T39" i="9"/>
  <c r="J39" i="2"/>
  <c r="R39" i="2"/>
  <c r="E39" i="9"/>
  <c r="M39" i="9"/>
  <c r="U39" i="9"/>
  <c r="K39" i="2"/>
  <c r="S39" i="2"/>
  <c r="I17" i="9"/>
  <c r="Q17" i="9"/>
  <c r="AA17" i="9"/>
  <c r="J17" i="9"/>
  <c r="R17" i="9"/>
  <c r="C17" i="9"/>
  <c r="K17" i="9"/>
  <c r="S17" i="9"/>
  <c r="D17" i="9"/>
  <c r="L17" i="9"/>
  <c r="T17" i="9"/>
  <c r="E17" i="9"/>
  <c r="M17" i="9"/>
  <c r="U17" i="9"/>
  <c r="F17" i="9"/>
  <c r="N17" i="9"/>
  <c r="V17" i="9"/>
  <c r="G17" i="9"/>
  <c r="O17" i="9"/>
  <c r="W17" i="9"/>
  <c r="H17" i="9"/>
  <c r="P17" i="9"/>
  <c r="X17" i="9"/>
  <c r="K17" i="2"/>
  <c r="M17" i="2"/>
  <c r="S17" i="2"/>
  <c r="C17" i="2"/>
  <c r="I17" i="2"/>
  <c r="F17" i="2"/>
  <c r="O17" i="2"/>
  <c r="Q17" i="2"/>
  <c r="D17" i="2"/>
  <c r="H17" i="2"/>
  <c r="N17" i="2"/>
  <c r="L17" i="2"/>
  <c r="J17" i="2"/>
  <c r="T17" i="2"/>
  <c r="R17" i="2"/>
  <c r="G17" i="2"/>
  <c r="P17" i="2"/>
  <c r="E17" i="2"/>
  <c r="Z17" i="9"/>
  <c r="Y17" i="9"/>
  <c r="F30" i="9"/>
  <c r="N30" i="9"/>
  <c r="V30" i="9"/>
  <c r="M30" i="2"/>
  <c r="D30" i="2"/>
  <c r="G30" i="9"/>
  <c r="O30" i="9"/>
  <c r="W30" i="9"/>
  <c r="N30" i="2"/>
  <c r="E30" i="2"/>
  <c r="H30" i="9"/>
  <c r="P30" i="9"/>
  <c r="X30" i="9"/>
  <c r="G30" i="2"/>
  <c r="O30" i="2"/>
  <c r="F30" i="2"/>
  <c r="I30" i="9"/>
  <c r="Q30" i="9"/>
  <c r="Y30" i="9"/>
  <c r="H30" i="2"/>
  <c r="P30" i="2"/>
  <c r="C30" i="2"/>
  <c r="J30" i="9"/>
  <c r="R30" i="9"/>
  <c r="Z30" i="9"/>
  <c r="I30" i="2"/>
  <c r="Q30" i="2"/>
  <c r="K30" i="9"/>
  <c r="S30" i="9"/>
  <c r="AA30" i="9"/>
  <c r="J30" i="2"/>
  <c r="R30" i="2"/>
  <c r="D30" i="9"/>
  <c r="L30" i="9"/>
  <c r="T30" i="9"/>
  <c r="C30" i="9"/>
  <c r="K30" i="2"/>
  <c r="S30" i="2"/>
  <c r="E30" i="9"/>
  <c r="M30" i="9"/>
  <c r="U30" i="9"/>
  <c r="L30" i="2"/>
  <c r="T30" i="2"/>
  <c r="E29" i="9"/>
  <c r="M29" i="9"/>
  <c r="U29" i="9"/>
  <c r="H29" i="2"/>
  <c r="P29" i="2"/>
  <c r="F29" i="9"/>
  <c r="N29" i="9"/>
  <c r="V29" i="9"/>
  <c r="I29" i="2"/>
  <c r="Q29" i="2"/>
  <c r="G29" i="9"/>
  <c r="O29" i="9"/>
  <c r="W29" i="9"/>
  <c r="J29" i="2"/>
  <c r="R29" i="2"/>
  <c r="H29" i="9"/>
  <c r="P29" i="9"/>
  <c r="X29" i="9"/>
  <c r="K29" i="2"/>
  <c r="S29" i="2"/>
  <c r="I29" i="9"/>
  <c r="Q29" i="9"/>
  <c r="Y29" i="9"/>
  <c r="D29" i="2"/>
  <c r="L29" i="2"/>
  <c r="T29" i="2"/>
  <c r="J29" i="9"/>
  <c r="R29" i="9"/>
  <c r="Z29" i="9"/>
  <c r="E29" i="2"/>
  <c r="M29" i="2"/>
  <c r="C29" i="2"/>
  <c r="K29" i="9"/>
  <c r="S29" i="9"/>
  <c r="AA29" i="9"/>
  <c r="F29" i="2"/>
  <c r="N29" i="2"/>
  <c r="D29" i="9"/>
  <c r="L29" i="9"/>
  <c r="T29" i="9"/>
  <c r="C29" i="9"/>
  <c r="G29" i="2"/>
  <c r="O29" i="2"/>
  <c r="H50" i="9"/>
  <c r="P50" i="9"/>
  <c r="X50" i="9"/>
  <c r="G50" i="2"/>
  <c r="O50" i="2"/>
  <c r="L50" i="2"/>
  <c r="I50" i="9"/>
  <c r="Q50" i="9"/>
  <c r="Y50" i="9"/>
  <c r="H50" i="2"/>
  <c r="P50" i="2"/>
  <c r="M50" i="9"/>
  <c r="J50" i="9"/>
  <c r="R50" i="9"/>
  <c r="Z50" i="9"/>
  <c r="I50" i="2"/>
  <c r="Q50" i="2"/>
  <c r="U50" i="9"/>
  <c r="K50" i="9"/>
  <c r="S50" i="9"/>
  <c r="AA50" i="9"/>
  <c r="J50" i="2"/>
  <c r="R50" i="2"/>
  <c r="D50" i="9"/>
  <c r="L50" i="9"/>
  <c r="T50" i="9"/>
  <c r="C50" i="9"/>
  <c r="K50" i="2"/>
  <c r="S50" i="2"/>
  <c r="T50" i="2"/>
  <c r="F50" i="9"/>
  <c r="N50" i="9"/>
  <c r="V50" i="9"/>
  <c r="E50" i="2"/>
  <c r="M50" i="2"/>
  <c r="C50" i="2"/>
  <c r="E50" i="9"/>
  <c r="G50" i="9"/>
  <c r="O50" i="9"/>
  <c r="W50" i="9"/>
  <c r="F50" i="2"/>
  <c r="N50" i="2"/>
  <c r="D50" i="2"/>
  <c r="Z41" i="9"/>
  <c r="J41" i="9"/>
  <c r="R41" i="9"/>
  <c r="C41" i="9"/>
  <c r="I41" i="2"/>
  <c r="Q41" i="2"/>
  <c r="AA41" i="9"/>
  <c r="K41" i="9"/>
  <c r="S41" i="9"/>
  <c r="J41" i="2"/>
  <c r="R41" i="2"/>
  <c r="D41" i="9"/>
  <c r="L41" i="9"/>
  <c r="T41" i="9"/>
  <c r="K41" i="2"/>
  <c r="S41" i="2"/>
  <c r="E41" i="9"/>
  <c r="M41" i="9"/>
  <c r="U41" i="9"/>
  <c r="L41" i="2"/>
  <c r="T41" i="2"/>
  <c r="F41" i="9"/>
  <c r="N41" i="9"/>
  <c r="V41" i="9"/>
  <c r="E41" i="2"/>
  <c r="M41" i="2"/>
  <c r="D41" i="2"/>
  <c r="G41" i="9"/>
  <c r="O41" i="9"/>
  <c r="W41" i="9"/>
  <c r="F41" i="2"/>
  <c r="N41" i="2"/>
  <c r="C41" i="2"/>
  <c r="X41" i="9"/>
  <c r="H41" i="9"/>
  <c r="P41" i="9"/>
  <c r="G41" i="2"/>
  <c r="O41" i="2"/>
  <c r="Y41" i="9"/>
  <c r="I41" i="9"/>
  <c r="Q41" i="9"/>
  <c r="H41" i="2"/>
  <c r="P41" i="2"/>
  <c r="K15" i="9"/>
  <c r="S15" i="9"/>
  <c r="D15" i="9"/>
  <c r="L15" i="9"/>
  <c r="T15" i="9"/>
  <c r="E15" i="9"/>
  <c r="M15" i="9"/>
  <c r="U15" i="9"/>
  <c r="F15" i="9"/>
  <c r="N15" i="9"/>
  <c r="V15" i="9"/>
  <c r="G15" i="9"/>
  <c r="O15" i="9"/>
  <c r="W15" i="9"/>
  <c r="H15" i="9"/>
  <c r="P15" i="9"/>
  <c r="X15" i="9"/>
  <c r="I15" i="9"/>
  <c r="Q15" i="9"/>
  <c r="AA15" i="9"/>
  <c r="J15" i="9"/>
  <c r="R15" i="9"/>
  <c r="C15" i="9"/>
  <c r="N15" i="2"/>
  <c r="D15" i="2"/>
  <c r="J15" i="2"/>
  <c r="I15" i="2"/>
  <c r="T15" i="2"/>
  <c r="Q15" i="2"/>
  <c r="G15" i="2"/>
  <c r="R15" i="2"/>
  <c r="E15" i="2"/>
  <c r="O15" i="2"/>
  <c r="S15" i="2"/>
  <c r="M15" i="2"/>
  <c r="H15" i="2"/>
  <c r="L15" i="2"/>
  <c r="C15" i="2"/>
  <c r="P15" i="2"/>
  <c r="F15" i="2"/>
  <c r="K15" i="2"/>
  <c r="Y15" i="9"/>
  <c r="Z15" i="9"/>
  <c r="J18" i="9"/>
  <c r="R18" i="9"/>
  <c r="AA18" i="9"/>
  <c r="K18" i="9"/>
  <c r="S18" i="9"/>
  <c r="D18" i="9"/>
  <c r="L18" i="9"/>
  <c r="T18" i="9"/>
  <c r="C18" i="9"/>
  <c r="E18" i="9"/>
  <c r="M18" i="9"/>
  <c r="U18" i="9"/>
  <c r="F18" i="9"/>
  <c r="N18" i="9"/>
  <c r="V18" i="9"/>
  <c r="G18" i="9"/>
  <c r="O18" i="9"/>
  <c r="W18" i="9"/>
  <c r="H18" i="9"/>
  <c r="P18" i="9"/>
  <c r="X18" i="9"/>
  <c r="I18" i="9"/>
  <c r="Q18" i="9"/>
  <c r="Z18" i="9"/>
  <c r="L18" i="2"/>
  <c r="R18" i="2"/>
  <c r="T18" i="2"/>
  <c r="F18" i="2"/>
  <c r="H18" i="2"/>
  <c r="N18" i="2"/>
  <c r="J18" i="2"/>
  <c r="I18" i="2"/>
  <c r="K18" i="2"/>
  <c r="E18" i="2"/>
  <c r="G18" i="2"/>
  <c r="S18" i="2"/>
  <c r="M18" i="2"/>
  <c r="O18" i="2"/>
  <c r="P18" i="2"/>
  <c r="C18" i="2"/>
  <c r="D18" i="2"/>
  <c r="Q18" i="2"/>
  <c r="Y18" i="9"/>
  <c r="G31" i="9"/>
  <c r="O31" i="9"/>
  <c r="W31" i="9"/>
  <c r="D31" i="2"/>
  <c r="L31" i="2"/>
  <c r="T31" i="2"/>
  <c r="H31" i="9"/>
  <c r="P31" i="9"/>
  <c r="X31" i="9"/>
  <c r="E31" i="2"/>
  <c r="M31" i="2"/>
  <c r="C31" i="2"/>
  <c r="I31" i="9"/>
  <c r="Q31" i="9"/>
  <c r="Y31" i="9"/>
  <c r="F31" i="2"/>
  <c r="N31" i="2"/>
  <c r="J31" i="9"/>
  <c r="R31" i="9"/>
  <c r="Z31" i="9"/>
  <c r="G31" i="2"/>
  <c r="O31" i="2"/>
  <c r="K31" i="9"/>
  <c r="S31" i="9"/>
  <c r="AA31" i="9"/>
  <c r="H31" i="2"/>
  <c r="P31" i="2"/>
  <c r="D31" i="9"/>
  <c r="L31" i="9"/>
  <c r="T31" i="9"/>
  <c r="C31" i="9"/>
  <c r="I31" i="2"/>
  <c r="Q31" i="2"/>
  <c r="E31" i="9"/>
  <c r="M31" i="9"/>
  <c r="U31" i="9"/>
  <c r="J31" i="2"/>
  <c r="R31" i="2"/>
  <c r="F31" i="9"/>
  <c r="N31" i="9"/>
  <c r="V31" i="9"/>
  <c r="K31" i="2"/>
  <c r="S31" i="2"/>
  <c r="D28" i="9"/>
  <c r="L28" i="9"/>
  <c r="T28" i="9"/>
  <c r="C28" i="9"/>
  <c r="F28" i="2"/>
  <c r="N28" i="2"/>
  <c r="E28" i="9"/>
  <c r="M28" i="9"/>
  <c r="U28" i="9"/>
  <c r="G28" i="2"/>
  <c r="O28" i="2"/>
  <c r="F28" i="9"/>
  <c r="N28" i="9"/>
  <c r="V28" i="9"/>
  <c r="H28" i="2"/>
  <c r="P28" i="2"/>
  <c r="G28" i="9"/>
  <c r="O28" i="9"/>
  <c r="W28" i="9"/>
  <c r="I28" i="2"/>
  <c r="Q28" i="2"/>
  <c r="H28" i="9"/>
  <c r="P28" i="9"/>
  <c r="X28" i="9"/>
  <c r="J28" i="2"/>
  <c r="R28" i="2"/>
  <c r="I28" i="9"/>
  <c r="Q28" i="9"/>
  <c r="Y28" i="9"/>
  <c r="K28" i="2"/>
  <c r="S28" i="2"/>
  <c r="J28" i="9"/>
  <c r="R28" i="9"/>
  <c r="Z28" i="9"/>
  <c r="D28" i="2"/>
  <c r="L28" i="2"/>
  <c r="T28" i="2"/>
  <c r="K28" i="9"/>
  <c r="S28" i="9"/>
  <c r="AA28" i="9"/>
  <c r="E28" i="2"/>
  <c r="M28" i="2"/>
  <c r="C28" i="2"/>
  <c r="K51" i="9"/>
  <c r="S51" i="9"/>
  <c r="AA51" i="9"/>
  <c r="J51" i="2"/>
  <c r="R51" i="2"/>
  <c r="O51" i="2"/>
  <c r="D51" i="9"/>
  <c r="L51" i="9"/>
  <c r="T51" i="9"/>
  <c r="C51" i="9"/>
  <c r="K51" i="2"/>
  <c r="S51" i="2"/>
  <c r="E51" i="9"/>
  <c r="M51" i="9"/>
  <c r="U51" i="9"/>
  <c r="D51" i="2"/>
  <c r="L51" i="2"/>
  <c r="T51" i="2"/>
  <c r="X51" i="9"/>
  <c r="F51" i="9"/>
  <c r="N51" i="9"/>
  <c r="V51" i="9"/>
  <c r="E51" i="2"/>
  <c r="M51" i="2"/>
  <c r="C51" i="2"/>
  <c r="P51" i="9"/>
  <c r="G51" i="9"/>
  <c r="O51" i="9"/>
  <c r="W51" i="9"/>
  <c r="F51" i="2"/>
  <c r="N51" i="2"/>
  <c r="H51" i="9"/>
  <c r="I51" i="9"/>
  <c r="Q51" i="9"/>
  <c r="Y51" i="9"/>
  <c r="H51" i="2"/>
  <c r="P51" i="2"/>
  <c r="J51" i="9"/>
  <c r="R51" i="9"/>
  <c r="Z51" i="9"/>
  <c r="I51" i="2"/>
  <c r="Q51" i="2"/>
  <c r="G51" i="2"/>
  <c r="G42" i="9"/>
  <c r="O42" i="9"/>
  <c r="W42" i="9"/>
  <c r="E42" i="2"/>
  <c r="M42" i="2"/>
  <c r="D42" i="2"/>
  <c r="H42" i="9"/>
  <c r="P42" i="9"/>
  <c r="X42" i="9"/>
  <c r="F42" i="2"/>
  <c r="N42" i="2"/>
  <c r="C42" i="2"/>
  <c r="I42" i="9"/>
  <c r="Q42" i="9"/>
  <c r="Y42" i="9"/>
  <c r="G42" i="2"/>
  <c r="O42" i="2"/>
  <c r="J42" i="9"/>
  <c r="R42" i="9"/>
  <c r="Z42" i="9"/>
  <c r="H42" i="2"/>
  <c r="P42" i="2"/>
  <c r="K42" i="9"/>
  <c r="S42" i="9"/>
  <c r="AA42" i="9"/>
  <c r="I42" i="2"/>
  <c r="Q42" i="2"/>
  <c r="D42" i="9"/>
  <c r="L42" i="9"/>
  <c r="T42" i="9"/>
  <c r="C42" i="9"/>
  <c r="J42" i="2"/>
  <c r="R42" i="2"/>
  <c r="E42" i="9"/>
  <c r="M42" i="9"/>
  <c r="U42" i="9"/>
  <c r="K42" i="2"/>
  <c r="S42" i="2"/>
  <c r="F42" i="9"/>
  <c r="N42" i="9"/>
  <c r="V42" i="9"/>
  <c r="L42" i="2"/>
  <c r="T42" i="2"/>
  <c r="J16" i="9"/>
  <c r="R16" i="9"/>
  <c r="C16" i="9"/>
  <c r="K16" i="9"/>
  <c r="S16" i="9"/>
  <c r="D16" i="9"/>
  <c r="L16" i="9"/>
  <c r="T16" i="9"/>
  <c r="E16" i="9"/>
  <c r="M16" i="9"/>
  <c r="U16" i="9"/>
  <c r="F16" i="9"/>
  <c r="N16" i="9"/>
  <c r="V16" i="9"/>
  <c r="G16" i="9"/>
  <c r="O16" i="9"/>
  <c r="W16" i="9"/>
  <c r="H16" i="9"/>
  <c r="P16" i="9"/>
  <c r="X16" i="9"/>
  <c r="I16" i="9"/>
  <c r="Q16" i="9"/>
  <c r="AA16" i="9"/>
  <c r="M16" i="2"/>
  <c r="R16" i="2"/>
  <c r="F16" i="2"/>
  <c r="L16" i="2"/>
  <c r="G16" i="2"/>
  <c r="I16" i="2"/>
  <c r="K16" i="2"/>
  <c r="O16" i="2"/>
  <c r="Q16" i="2"/>
  <c r="S16" i="2"/>
  <c r="E16" i="2"/>
  <c r="T16" i="2"/>
  <c r="H16" i="2"/>
  <c r="C16" i="2"/>
  <c r="P16" i="2"/>
  <c r="N16" i="2"/>
  <c r="D16" i="2"/>
  <c r="J16" i="2"/>
  <c r="Y16" i="9"/>
  <c r="Z16" i="9"/>
  <c r="G47" i="9"/>
  <c r="O47" i="9"/>
  <c r="W47" i="9"/>
  <c r="F47" i="2"/>
  <c r="N47" i="2"/>
  <c r="K47" i="2"/>
  <c r="H47" i="9"/>
  <c r="P47" i="9"/>
  <c r="X47" i="9"/>
  <c r="G47" i="2"/>
  <c r="O47" i="2"/>
  <c r="T47" i="9"/>
  <c r="I47" i="9"/>
  <c r="Q47" i="9"/>
  <c r="Y47" i="9"/>
  <c r="H47" i="2"/>
  <c r="P47" i="2"/>
  <c r="S47" i="2"/>
  <c r="J47" i="9"/>
  <c r="R47" i="9"/>
  <c r="Z47" i="9"/>
  <c r="I47" i="2"/>
  <c r="Q47" i="2"/>
  <c r="K47" i="9"/>
  <c r="S47" i="9"/>
  <c r="AA47" i="9"/>
  <c r="J47" i="2"/>
  <c r="R47" i="2"/>
  <c r="C47" i="9"/>
  <c r="E47" i="9"/>
  <c r="M47" i="9"/>
  <c r="U47" i="9"/>
  <c r="D47" i="2"/>
  <c r="L47" i="2"/>
  <c r="T47" i="2"/>
  <c r="L47" i="9"/>
  <c r="F47" i="9"/>
  <c r="N47" i="9"/>
  <c r="V47" i="9"/>
  <c r="E47" i="2"/>
  <c r="M47" i="2"/>
  <c r="C47" i="2"/>
  <c r="D47" i="9"/>
  <c r="J26" i="9"/>
  <c r="R26" i="9"/>
  <c r="Z26" i="9"/>
  <c r="K26" i="2"/>
  <c r="S26" i="2"/>
  <c r="K26" i="9"/>
  <c r="S26" i="9"/>
  <c r="AA26" i="9"/>
  <c r="L26" i="2"/>
  <c r="T26" i="2"/>
  <c r="D26" i="9"/>
  <c r="L26" i="9"/>
  <c r="T26" i="9"/>
  <c r="C26" i="9"/>
  <c r="E26" i="2"/>
  <c r="M26" i="2"/>
  <c r="D26" i="2"/>
  <c r="E26" i="9"/>
  <c r="M26" i="9"/>
  <c r="U26" i="9"/>
  <c r="F26" i="2"/>
  <c r="N26" i="2"/>
  <c r="C26" i="2"/>
  <c r="F26" i="9"/>
  <c r="N26" i="9"/>
  <c r="V26" i="9"/>
  <c r="G26" i="2"/>
  <c r="O26" i="2"/>
  <c r="G26" i="9"/>
  <c r="O26" i="9"/>
  <c r="W26" i="9"/>
  <c r="H26" i="2"/>
  <c r="P26" i="2"/>
  <c r="H26" i="9"/>
  <c r="P26" i="9"/>
  <c r="X26" i="9"/>
  <c r="I26" i="2"/>
  <c r="Q26" i="2"/>
  <c r="I26" i="9"/>
  <c r="Q26" i="9"/>
  <c r="Y26" i="9"/>
  <c r="J26" i="2"/>
  <c r="R26" i="2"/>
  <c r="O58" i="3"/>
  <c r="O59" i="3" s="1"/>
  <c r="D16" i="34" l="1"/>
  <c r="G23" i="34"/>
  <c r="G16" i="34"/>
  <c r="Z55" i="30"/>
  <c r="K55" i="30"/>
  <c r="AI55" i="30"/>
  <c r="F10" i="41"/>
  <c r="G10" i="41" s="1"/>
  <c r="AA55" i="30"/>
  <c r="AB55" i="30"/>
  <c r="N55" i="30"/>
  <c r="O55" i="30"/>
  <c r="F23" i="41"/>
  <c r="G23" i="41" s="1"/>
  <c r="C88" i="38"/>
  <c r="C82" i="34"/>
  <c r="AC88" i="38"/>
  <c r="AC82" i="34"/>
  <c r="AJ88" i="38"/>
  <c r="AJ82" i="34"/>
  <c r="W88" i="38"/>
  <c r="W82" i="34"/>
  <c r="E87" i="38"/>
  <c r="E81" i="34"/>
  <c r="AE87" i="38"/>
  <c r="AE81" i="34"/>
  <c r="Y87" i="38"/>
  <c r="Y81" i="34"/>
  <c r="S87" i="38"/>
  <c r="S81" i="34"/>
  <c r="X87" i="38"/>
  <c r="X81" i="34"/>
  <c r="Y79" i="38"/>
  <c r="Y73" i="34"/>
  <c r="AF79" i="38"/>
  <c r="AF73" i="34"/>
  <c r="H79" i="38"/>
  <c r="H73" i="34"/>
  <c r="D79" i="38"/>
  <c r="D73" i="34"/>
  <c r="AK70" i="30"/>
  <c r="AK55" i="30" s="1"/>
  <c r="D80" i="38"/>
  <c r="D74" i="34"/>
  <c r="AH80" i="38"/>
  <c r="AH74" i="34"/>
  <c r="T80" i="38"/>
  <c r="T74" i="34"/>
  <c r="U80" i="38"/>
  <c r="U74" i="34"/>
  <c r="J68" i="38"/>
  <c r="I68" i="38"/>
  <c r="P68" i="38"/>
  <c r="H68" i="38"/>
  <c r="T68" i="38"/>
  <c r="L85" i="38"/>
  <c r="L79" i="34"/>
  <c r="H85" i="38"/>
  <c r="H79" i="34"/>
  <c r="Q85" i="38"/>
  <c r="Q79" i="34"/>
  <c r="C79" i="34"/>
  <c r="C85" i="38"/>
  <c r="J85" i="38"/>
  <c r="J79" i="34"/>
  <c r="V55" i="30"/>
  <c r="T88" i="38"/>
  <c r="T82" i="34"/>
  <c r="J88" i="38"/>
  <c r="J82" i="34"/>
  <c r="Y88" i="38"/>
  <c r="Y82" i="34"/>
  <c r="O88" i="38"/>
  <c r="O82" i="34"/>
  <c r="M55" i="30"/>
  <c r="U87" i="38"/>
  <c r="U81" i="34"/>
  <c r="Q87" i="38"/>
  <c r="Q81" i="34"/>
  <c r="G87" i="38"/>
  <c r="G81" i="34"/>
  <c r="I87" i="38"/>
  <c r="I81" i="34"/>
  <c r="P87" i="38"/>
  <c r="P81" i="34"/>
  <c r="O79" i="38"/>
  <c r="O73" i="34"/>
  <c r="V79" i="38"/>
  <c r="V73" i="34"/>
  <c r="AC79" i="38"/>
  <c r="AC73" i="34"/>
  <c r="AH79" i="38"/>
  <c r="AH73" i="34"/>
  <c r="L70" i="30"/>
  <c r="L55" i="30" s="1"/>
  <c r="Z80" i="38"/>
  <c r="Z74" i="34"/>
  <c r="AB80" i="38"/>
  <c r="AB74" i="34"/>
  <c r="X80" i="38"/>
  <c r="X74" i="34"/>
  <c r="I80" i="38"/>
  <c r="I74" i="34"/>
  <c r="L80" i="38"/>
  <c r="L74" i="34"/>
  <c r="V68" i="38"/>
  <c r="AF68" i="38"/>
  <c r="Z68" i="38"/>
  <c r="AK68" i="38"/>
  <c r="L68" i="38"/>
  <c r="K85" i="38"/>
  <c r="K79" i="34"/>
  <c r="AG85" i="38"/>
  <c r="AG79" i="34"/>
  <c r="AK85" i="38"/>
  <c r="AK79" i="34"/>
  <c r="AD85" i="38"/>
  <c r="AD79" i="34"/>
  <c r="D55" i="30"/>
  <c r="AH88" i="38"/>
  <c r="AH82" i="34"/>
  <c r="AB88" i="38"/>
  <c r="AB82" i="34"/>
  <c r="N88" i="38"/>
  <c r="N82" i="34"/>
  <c r="G88" i="38"/>
  <c r="G82" i="34"/>
  <c r="AK81" i="34"/>
  <c r="AK87" i="38"/>
  <c r="AC87" i="38"/>
  <c r="AC81" i="34"/>
  <c r="AH87" i="38"/>
  <c r="AH81" i="34"/>
  <c r="AJ87" i="38"/>
  <c r="AJ81" i="34"/>
  <c r="H87" i="38"/>
  <c r="H81" i="34"/>
  <c r="N79" i="38"/>
  <c r="N73" i="34"/>
  <c r="X79" i="38"/>
  <c r="X73" i="34"/>
  <c r="K79" i="38"/>
  <c r="K73" i="34"/>
  <c r="Q79" i="38"/>
  <c r="Q73" i="34"/>
  <c r="Z79" i="38"/>
  <c r="Z73" i="34"/>
  <c r="P55" i="30"/>
  <c r="AE70" i="30"/>
  <c r="AE55" i="30" s="1"/>
  <c r="R80" i="38"/>
  <c r="R74" i="34"/>
  <c r="AA80" i="38"/>
  <c r="AA74" i="34"/>
  <c r="K80" i="38"/>
  <c r="K74" i="34"/>
  <c r="AE80" i="38"/>
  <c r="AE74" i="34"/>
  <c r="N80" i="38"/>
  <c r="N74" i="34"/>
  <c r="AH68" i="38"/>
  <c r="S68" i="38"/>
  <c r="O68" i="38"/>
  <c r="AC68" i="38"/>
  <c r="D68" i="38"/>
  <c r="I85" i="38"/>
  <c r="I79" i="34"/>
  <c r="T85" i="38"/>
  <c r="T79" i="34"/>
  <c r="AA85" i="38"/>
  <c r="AA79" i="34"/>
  <c r="V85" i="38"/>
  <c r="V79" i="34"/>
  <c r="S55" i="30"/>
  <c r="X55" i="30"/>
  <c r="R88" i="38"/>
  <c r="R82" i="34"/>
  <c r="I88" i="38"/>
  <c r="I82" i="34"/>
  <c r="D88" i="38"/>
  <c r="D82" i="34"/>
  <c r="AI88" i="38"/>
  <c r="AI82" i="34"/>
  <c r="C87" i="38"/>
  <c r="C81" i="34"/>
  <c r="O87" i="38"/>
  <c r="O81" i="34"/>
  <c r="M87" i="38"/>
  <c r="M81" i="34"/>
  <c r="AB87" i="38"/>
  <c r="AB81" i="34"/>
  <c r="AK79" i="38"/>
  <c r="AK73" i="34"/>
  <c r="W79" i="38"/>
  <c r="W73" i="34"/>
  <c r="AE79" i="38"/>
  <c r="AE73" i="34"/>
  <c r="G79" i="38"/>
  <c r="G73" i="34"/>
  <c r="R79" i="38"/>
  <c r="R73" i="34"/>
  <c r="J55" i="30"/>
  <c r="Q80" i="38"/>
  <c r="Q74" i="34"/>
  <c r="AD80" i="38"/>
  <c r="AD74" i="34"/>
  <c r="AG80" i="38"/>
  <c r="AG74" i="34"/>
  <c r="W80" i="38"/>
  <c r="W74" i="34"/>
  <c r="F80" i="38"/>
  <c r="F74" i="34"/>
  <c r="AG68" i="38"/>
  <c r="G68" i="38"/>
  <c r="C68" i="38"/>
  <c r="U68" i="38"/>
  <c r="AB85" i="38"/>
  <c r="AB79" i="34"/>
  <c r="G85" i="38"/>
  <c r="G79" i="34"/>
  <c r="P85" i="38"/>
  <c r="P79" i="34"/>
  <c r="N85" i="38"/>
  <c r="N79" i="34"/>
  <c r="H55" i="30"/>
  <c r="U88" i="38"/>
  <c r="U82" i="34"/>
  <c r="AF88" i="38"/>
  <c r="AF82" i="34"/>
  <c r="AK88" i="38"/>
  <c r="AK82" i="34"/>
  <c r="AG88" i="38"/>
  <c r="AG82" i="34"/>
  <c r="AA88" i="38"/>
  <c r="AA82" i="34"/>
  <c r="W87" i="38"/>
  <c r="W81" i="34"/>
  <c r="AA87" i="38"/>
  <c r="AA81" i="34"/>
  <c r="AG87" i="38"/>
  <c r="AG81" i="34"/>
  <c r="T87" i="38"/>
  <c r="T81" i="34"/>
  <c r="M79" i="38"/>
  <c r="M73" i="34"/>
  <c r="C79" i="38"/>
  <c r="C73" i="34"/>
  <c r="U79" i="38"/>
  <c r="U73" i="34"/>
  <c r="AJ79" i="38"/>
  <c r="AJ73" i="34"/>
  <c r="J79" i="38"/>
  <c r="J73" i="34"/>
  <c r="U55" i="30"/>
  <c r="AG55" i="30"/>
  <c r="E8" i="41" s="1"/>
  <c r="P80" i="38"/>
  <c r="P74" i="34"/>
  <c r="S80" i="38"/>
  <c r="S74" i="34"/>
  <c r="V80" i="38"/>
  <c r="V74" i="34"/>
  <c r="O80" i="38"/>
  <c r="O74" i="34"/>
  <c r="X68" i="38"/>
  <c r="AE68" i="38"/>
  <c r="Y68" i="38"/>
  <c r="M68" i="38"/>
  <c r="AC79" i="34"/>
  <c r="AC85" i="38"/>
  <c r="AF85" i="38"/>
  <c r="AF79" i="34"/>
  <c r="E85" i="38"/>
  <c r="E79" i="34"/>
  <c r="F85" i="38"/>
  <c r="F79" i="34"/>
  <c r="AF55" i="30"/>
  <c r="F88" i="38"/>
  <c r="F82" i="34"/>
  <c r="Q88" i="38"/>
  <c r="Q82" i="34"/>
  <c r="Z88" i="38"/>
  <c r="Z82" i="34"/>
  <c r="V88" i="38"/>
  <c r="V82" i="34"/>
  <c r="S88" i="38"/>
  <c r="S82" i="34"/>
  <c r="F87" i="38"/>
  <c r="F81" i="34"/>
  <c r="N87" i="38"/>
  <c r="N81" i="34"/>
  <c r="V87" i="38"/>
  <c r="V81" i="34"/>
  <c r="L87" i="38"/>
  <c r="L81" i="34"/>
  <c r="AJ55" i="30"/>
  <c r="AI79" i="38"/>
  <c r="AI73" i="34"/>
  <c r="AA79" i="38"/>
  <c r="AA73" i="34"/>
  <c r="I79" i="38"/>
  <c r="I73" i="34"/>
  <c r="AB79" i="38"/>
  <c r="AB73" i="34"/>
  <c r="F70" i="30"/>
  <c r="F55" i="30" s="1"/>
  <c r="Y70" i="30"/>
  <c r="Y55" i="30" s="1"/>
  <c r="C80" i="38"/>
  <c r="C74" i="34"/>
  <c r="H80" i="38"/>
  <c r="H74" i="34"/>
  <c r="J80" i="38"/>
  <c r="J74" i="34"/>
  <c r="E80" i="38"/>
  <c r="E74" i="34"/>
  <c r="W68" i="38"/>
  <c r="Q68" i="38"/>
  <c r="N68" i="38"/>
  <c r="E68" i="38"/>
  <c r="E56" i="38" s="1"/>
  <c r="O85" i="38"/>
  <c r="O79" i="34"/>
  <c r="S85" i="38"/>
  <c r="S79" i="34"/>
  <c r="AI85" i="38"/>
  <c r="AI79" i="34"/>
  <c r="AH85" i="38"/>
  <c r="AH79" i="34"/>
  <c r="K77" i="29"/>
  <c r="S77" i="29"/>
  <c r="AA77" i="29"/>
  <c r="AI77" i="29"/>
  <c r="E77" i="29"/>
  <c r="M77" i="29"/>
  <c r="U77" i="29"/>
  <c r="AC77" i="29"/>
  <c r="AK77" i="29"/>
  <c r="H77" i="29"/>
  <c r="R77" i="29"/>
  <c r="AD77" i="29"/>
  <c r="I77" i="29"/>
  <c r="T77" i="29"/>
  <c r="AE77" i="29"/>
  <c r="J77" i="29"/>
  <c r="V77" i="29"/>
  <c r="AF77" i="29"/>
  <c r="D77" i="29"/>
  <c r="W77" i="29"/>
  <c r="C77" i="29"/>
  <c r="F77" i="29"/>
  <c r="X77" i="29"/>
  <c r="AH77" i="29"/>
  <c r="D20" i="41" s="1"/>
  <c r="F20" i="41" s="1"/>
  <c r="H20" i="41" s="1"/>
  <c r="AJ77" i="29"/>
  <c r="G77" i="29"/>
  <c r="Y77" i="29"/>
  <c r="L77" i="29"/>
  <c r="Z77" i="29"/>
  <c r="O77" i="29"/>
  <c r="AG77" i="29"/>
  <c r="D7" i="41" s="1"/>
  <c r="F7" i="41" s="1"/>
  <c r="H7" i="41" s="1"/>
  <c r="N77" i="29"/>
  <c r="AB77" i="29"/>
  <c r="P77" i="29"/>
  <c r="Q77" i="29"/>
  <c r="R55" i="30"/>
  <c r="X88" i="38"/>
  <c r="X82" i="34"/>
  <c r="AD88" i="38"/>
  <c r="AD82" i="34"/>
  <c r="P88" i="38"/>
  <c r="P82" i="34"/>
  <c r="L88" i="38"/>
  <c r="L82" i="34"/>
  <c r="K88" i="38"/>
  <c r="K82" i="34"/>
  <c r="AI87" i="38"/>
  <c r="AI81" i="34"/>
  <c r="Z87" i="38"/>
  <c r="Z81" i="34"/>
  <c r="K87" i="38"/>
  <c r="K81" i="34"/>
  <c r="D87" i="38"/>
  <c r="D81" i="34"/>
  <c r="E79" i="38"/>
  <c r="E73" i="34"/>
  <c r="P79" i="38"/>
  <c r="P73" i="34"/>
  <c r="AD79" i="38"/>
  <c r="AD73" i="34"/>
  <c r="T79" i="38"/>
  <c r="T73" i="34"/>
  <c r="C70" i="30"/>
  <c r="C55" i="30" s="1"/>
  <c r="G70" i="30"/>
  <c r="G55" i="30" s="1"/>
  <c r="Q70" i="30"/>
  <c r="Q55" i="30" s="1"/>
  <c r="G80" i="38"/>
  <c r="G74" i="34"/>
  <c r="AI80" i="38"/>
  <c r="AI74" i="34"/>
  <c r="Y80" i="38"/>
  <c r="Y74" i="34"/>
  <c r="AK80" i="38"/>
  <c r="AK74" i="34"/>
  <c r="AC55" i="30"/>
  <c r="K68" i="38"/>
  <c r="F68" i="38"/>
  <c r="AD68" i="38"/>
  <c r="AJ68" i="38"/>
  <c r="Y85" i="38"/>
  <c r="Y79" i="34"/>
  <c r="AJ85" i="38"/>
  <c r="AJ79" i="34"/>
  <c r="D85" i="38"/>
  <c r="D79" i="34"/>
  <c r="X85" i="38"/>
  <c r="X79" i="34"/>
  <c r="Z85" i="38"/>
  <c r="Z79" i="34"/>
  <c r="T55" i="30"/>
  <c r="AH55" i="30"/>
  <c r="E21" i="41" s="1"/>
  <c r="H88" i="38"/>
  <c r="H82" i="34"/>
  <c r="M88" i="38"/>
  <c r="M82" i="34"/>
  <c r="E88" i="38"/>
  <c r="E82" i="34"/>
  <c r="AE88" i="38"/>
  <c r="AE82" i="34"/>
  <c r="R87" i="38"/>
  <c r="R81" i="34"/>
  <c r="J87" i="38"/>
  <c r="J81" i="34"/>
  <c r="AD87" i="38"/>
  <c r="AD81" i="34"/>
  <c r="AF81" i="34"/>
  <c r="AF87" i="38"/>
  <c r="AD55" i="30"/>
  <c r="AG79" i="38"/>
  <c r="AG73" i="34"/>
  <c r="F79" i="38"/>
  <c r="F73" i="34"/>
  <c r="F54" i="34" s="1"/>
  <c r="S79" i="38"/>
  <c r="S73" i="34"/>
  <c r="L79" i="38"/>
  <c r="L73" i="34"/>
  <c r="W70" i="30"/>
  <c r="W55" i="30" s="1"/>
  <c r="I55" i="30"/>
  <c r="AJ80" i="38"/>
  <c r="AJ74" i="34"/>
  <c r="M80" i="38"/>
  <c r="M74" i="34"/>
  <c r="AF80" i="38"/>
  <c r="AF74" i="34"/>
  <c r="AC80" i="38"/>
  <c r="AC74" i="34"/>
  <c r="AI68" i="38"/>
  <c r="AA68" i="38"/>
  <c r="R68" i="38"/>
  <c r="AB68" i="38"/>
  <c r="W85" i="38"/>
  <c r="W79" i="34"/>
  <c r="U85" i="38"/>
  <c r="U79" i="34"/>
  <c r="AE85" i="38"/>
  <c r="AE79" i="34"/>
  <c r="M85" i="38"/>
  <c r="M79" i="34"/>
  <c r="R85" i="38"/>
  <c r="R79" i="34"/>
  <c r="D23" i="34"/>
  <c r="F16" i="38"/>
  <c r="E16" i="37"/>
  <c r="G16" i="29"/>
  <c r="D16" i="37"/>
  <c r="E16" i="38"/>
  <c r="G16" i="37"/>
  <c r="G16" i="38"/>
  <c r="D16" i="38"/>
  <c r="C16" i="37"/>
  <c r="C16" i="38"/>
  <c r="F16" i="37"/>
  <c r="F23" i="34"/>
  <c r="C23" i="34"/>
  <c r="E36" i="36"/>
  <c r="G30" i="34"/>
  <c r="F30" i="34"/>
  <c r="C30" i="34"/>
  <c r="E30" i="34"/>
  <c r="D30" i="34"/>
  <c r="E23" i="34"/>
  <c r="E40" i="36"/>
  <c r="D33" i="34"/>
  <c r="C33" i="34"/>
  <c r="E33" i="34"/>
  <c r="F33" i="34"/>
  <c r="G33" i="34"/>
  <c r="E39" i="36"/>
  <c r="G32" i="34"/>
  <c r="C32" i="34"/>
  <c r="E32" i="34"/>
  <c r="F32" i="34"/>
  <c r="D32" i="34"/>
  <c r="G39" i="37"/>
  <c r="G35" i="37" s="1"/>
  <c r="E39" i="37"/>
  <c r="E35" i="37" s="1"/>
  <c r="D39" i="37"/>
  <c r="D35" i="37" s="1"/>
  <c r="C39" i="37"/>
  <c r="C35" i="37" s="1"/>
  <c r="F39" i="37"/>
  <c r="F35" i="37" s="1"/>
  <c r="E41" i="35"/>
  <c r="E34" i="20"/>
  <c r="E37" i="22"/>
  <c r="C112" i="3"/>
  <c r="E49" i="21" s="1"/>
  <c r="E25" i="30"/>
  <c r="E27" i="38" s="1"/>
  <c r="F16" i="30"/>
  <c r="F25" i="30"/>
  <c r="F27" i="38" s="1"/>
  <c r="D25" i="30"/>
  <c r="D27" i="38" s="1"/>
  <c r="E27" i="20"/>
  <c r="C25" i="30"/>
  <c r="C27" i="38" s="1"/>
  <c r="G16" i="30"/>
  <c r="D16" i="29"/>
  <c r="G25" i="30"/>
  <c r="G27" i="38" s="1"/>
  <c r="D16" i="30"/>
  <c r="C28" i="30"/>
  <c r="C30" i="38" s="1"/>
  <c r="E16" i="30"/>
  <c r="C16" i="30"/>
  <c r="E28" i="30"/>
  <c r="E30" i="38" s="1"/>
  <c r="G28" i="30"/>
  <c r="G30" i="38" s="1"/>
  <c r="D28" i="30"/>
  <c r="D30" i="38" s="1"/>
  <c r="F28" i="30"/>
  <c r="F30" i="38" s="1"/>
  <c r="E16" i="29"/>
  <c r="C16" i="29"/>
  <c r="F16" i="29"/>
  <c r="C78" i="3"/>
  <c r="E63" i="1"/>
  <c r="O54" i="2" s="1"/>
  <c r="R21" i="2"/>
  <c r="N21" i="2"/>
  <c r="F21" i="9"/>
  <c r="K21" i="9"/>
  <c r="P21" i="9"/>
  <c r="H21" i="2"/>
  <c r="Q21" i="2"/>
  <c r="U21" i="9"/>
  <c r="D21" i="9"/>
  <c r="H21" i="9"/>
  <c r="Y21" i="9"/>
  <c r="D21" i="2"/>
  <c r="S21" i="2"/>
  <c r="M21" i="9"/>
  <c r="R21" i="9"/>
  <c r="W21" i="9"/>
  <c r="Z21" i="9"/>
  <c r="J21" i="2"/>
  <c r="I21" i="2"/>
  <c r="E21" i="9"/>
  <c r="J21" i="9"/>
  <c r="O21" i="9"/>
  <c r="O21" i="2"/>
  <c r="T21" i="2"/>
  <c r="K21" i="2"/>
  <c r="T21" i="9"/>
  <c r="AA21" i="9"/>
  <c r="G21" i="9"/>
  <c r="E21" i="2"/>
  <c r="G21" i="2"/>
  <c r="M21" i="2"/>
  <c r="L21" i="9"/>
  <c r="Q21" i="9"/>
  <c r="P21" i="2"/>
  <c r="L21" i="2"/>
  <c r="V21" i="9"/>
  <c r="C21" i="9"/>
  <c r="I21" i="9"/>
  <c r="C21" i="2"/>
  <c r="F21" i="2"/>
  <c r="N21" i="9"/>
  <c r="S21" i="9"/>
  <c r="X21" i="9"/>
  <c r="AB56" i="38" l="1"/>
  <c r="S54" i="34"/>
  <c r="AA54" i="34"/>
  <c r="K56" i="38"/>
  <c r="P54" i="34"/>
  <c r="I54" i="34"/>
  <c r="E5" i="38"/>
  <c r="T54" i="34"/>
  <c r="Q56" i="38"/>
  <c r="AG54" i="34"/>
  <c r="G8" i="41" s="1"/>
  <c r="V54" i="34"/>
  <c r="X80" i="37"/>
  <c r="X76" i="37" s="1"/>
  <c r="X75" i="31"/>
  <c r="X71" i="31" s="1"/>
  <c r="X73" i="29"/>
  <c r="O80" i="37"/>
  <c r="O76" i="37" s="1"/>
  <c r="O75" i="31"/>
  <c r="O71" i="31" s="1"/>
  <c r="O73" i="29"/>
  <c r="F80" i="37"/>
  <c r="F76" i="37" s="1"/>
  <c r="F75" i="31"/>
  <c r="F71" i="31" s="1"/>
  <c r="F73" i="29"/>
  <c r="T80" i="37"/>
  <c r="T76" i="37" s="1"/>
  <c r="T75" i="31"/>
  <c r="T71" i="31" s="1"/>
  <c r="T73" i="29"/>
  <c r="M80" i="37"/>
  <c r="M76" i="37" s="1"/>
  <c r="M75" i="31"/>
  <c r="M71" i="31" s="1"/>
  <c r="M73" i="29"/>
  <c r="X56" i="38"/>
  <c r="U54" i="34"/>
  <c r="AG56" i="38"/>
  <c r="I8" i="41" s="1"/>
  <c r="AE54" i="34"/>
  <c r="Z54" i="34"/>
  <c r="N54" i="34"/>
  <c r="AK56" i="38"/>
  <c r="P56" i="38"/>
  <c r="D54" i="34"/>
  <c r="S56" i="38"/>
  <c r="R56" i="38"/>
  <c r="AJ56" i="38"/>
  <c r="AD54" i="34"/>
  <c r="Z80" i="37"/>
  <c r="Z76" i="37" s="1"/>
  <c r="Z75" i="31"/>
  <c r="Z71" i="31" s="1"/>
  <c r="Z73" i="29"/>
  <c r="C80" i="37"/>
  <c r="C76" i="37" s="1"/>
  <c r="C75" i="31"/>
  <c r="C71" i="31" s="1"/>
  <c r="C73" i="29"/>
  <c r="I80" i="37"/>
  <c r="I76" i="37" s="1"/>
  <c r="I75" i="31"/>
  <c r="I71" i="31" s="1"/>
  <c r="I73" i="29"/>
  <c r="E75" i="31"/>
  <c r="E71" i="31" s="1"/>
  <c r="E80" i="37"/>
  <c r="E76" i="37" s="1"/>
  <c r="E73" i="29"/>
  <c r="N56" i="38"/>
  <c r="AI54" i="34"/>
  <c r="D56" i="38"/>
  <c r="AH56" i="38"/>
  <c r="I21" i="41" s="1"/>
  <c r="O54" i="34"/>
  <c r="AE80" i="37"/>
  <c r="AE76" i="37" s="1"/>
  <c r="AE75" i="31"/>
  <c r="AE71" i="31" s="1"/>
  <c r="AE73" i="29"/>
  <c r="H96" i="30"/>
  <c r="P96" i="30"/>
  <c r="X96" i="30"/>
  <c r="AF96" i="30"/>
  <c r="I96" i="30"/>
  <c r="Q96" i="30"/>
  <c r="Y96" i="30"/>
  <c r="AG96" i="30"/>
  <c r="E7" i="41" s="1"/>
  <c r="G7" i="41" s="1"/>
  <c r="I7" i="41" s="1"/>
  <c r="G96" i="30"/>
  <c r="S96" i="30"/>
  <c r="AC96" i="30"/>
  <c r="M96" i="30"/>
  <c r="W96" i="30"/>
  <c r="AI96" i="30"/>
  <c r="J96" i="30"/>
  <c r="V96" i="30"/>
  <c r="AK96" i="30"/>
  <c r="L96" i="30"/>
  <c r="AA96" i="30"/>
  <c r="N96" i="30"/>
  <c r="AB96" i="30"/>
  <c r="F96" i="30"/>
  <c r="U96" i="30"/>
  <c r="AJ96" i="30"/>
  <c r="E96" i="30"/>
  <c r="AH96" i="30"/>
  <c r="E20" i="41" s="1"/>
  <c r="G20" i="41" s="1"/>
  <c r="I20" i="41" s="1"/>
  <c r="K96" i="30"/>
  <c r="C96" i="30"/>
  <c r="O96" i="30"/>
  <c r="R96" i="30"/>
  <c r="T96" i="30"/>
  <c r="Z96" i="30"/>
  <c r="D96" i="30"/>
  <c r="AE96" i="30"/>
  <c r="AD96" i="30"/>
  <c r="L54" i="34"/>
  <c r="L80" i="37"/>
  <c r="L76" i="37" s="1"/>
  <c r="L75" i="31"/>
  <c r="L71" i="31" s="1"/>
  <c r="L73" i="29"/>
  <c r="W80" i="37"/>
  <c r="W76" i="37" s="1"/>
  <c r="W75" i="31"/>
  <c r="W71" i="31" s="1"/>
  <c r="W73" i="29"/>
  <c r="AD80" i="37"/>
  <c r="AD76" i="37" s="1"/>
  <c r="AD75" i="31"/>
  <c r="AD71" i="31" s="1"/>
  <c r="AD73" i="29"/>
  <c r="AI80" i="37"/>
  <c r="AI76" i="37" s="1"/>
  <c r="AI75" i="31"/>
  <c r="AI71" i="31" s="1"/>
  <c r="AI73" i="29"/>
  <c r="M56" i="38"/>
  <c r="C54" i="34"/>
  <c r="U56" i="38"/>
  <c r="W54" i="34"/>
  <c r="Q54" i="34"/>
  <c r="Z56" i="38"/>
  <c r="I56" i="38"/>
  <c r="H54" i="34"/>
  <c r="AA56" i="38"/>
  <c r="AD56" i="38"/>
  <c r="Q75" i="31"/>
  <c r="Q71" i="31" s="1"/>
  <c r="Q80" i="37"/>
  <c r="Q76" i="37" s="1"/>
  <c r="Q73" i="29"/>
  <c r="Y80" i="37"/>
  <c r="Y76" i="37" s="1"/>
  <c r="Y75" i="31"/>
  <c r="Y71" i="31" s="1"/>
  <c r="Y73" i="29"/>
  <c r="D80" i="37"/>
  <c r="D76" i="37" s="1"/>
  <c r="D75" i="31"/>
  <c r="D71" i="31" s="1"/>
  <c r="D73" i="29"/>
  <c r="R80" i="37"/>
  <c r="R76" i="37" s="1"/>
  <c r="R75" i="31"/>
  <c r="R71" i="31" s="1"/>
  <c r="R73" i="29"/>
  <c r="AA80" i="37"/>
  <c r="AA76" i="37" s="1"/>
  <c r="AA75" i="31"/>
  <c r="AA71" i="31" s="1"/>
  <c r="AA73" i="29"/>
  <c r="AB54" i="34"/>
  <c r="AC56" i="38"/>
  <c r="AH54" i="34"/>
  <c r="G21" i="41" s="1"/>
  <c r="G72" i="29"/>
  <c r="O72" i="29"/>
  <c r="W72" i="29"/>
  <c r="AE72" i="29"/>
  <c r="I72" i="29"/>
  <c r="Q72" i="29"/>
  <c r="Y72" i="29"/>
  <c r="AG72" i="29"/>
  <c r="D5" i="41" s="1"/>
  <c r="F72" i="29"/>
  <c r="R72" i="29"/>
  <c r="AB72" i="29"/>
  <c r="C72" i="29"/>
  <c r="H72" i="29"/>
  <c r="S72" i="29"/>
  <c r="AC72" i="29"/>
  <c r="J72" i="29"/>
  <c r="T72" i="29"/>
  <c r="AD72" i="29"/>
  <c r="P72" i="29"/>
  <c r="AI72" i="29"/>
  <c r="U72" i="29"/>
  <c r="AJ72" i="29"/>
  <c r="AH72" i="29"/>
  <c r="D18" i="41" s="1"/>
  <c r="D72" i="29"/>
  <c r="V72" i="29"/>
  <c r="AK72" i="29"/>
  <c r="X72" i="29"/>
  <c r="E72" i="29"/>
  <c r="M72" i="29"/>
  <c r="K72" i="29"/>
  <c r="Z72" i="29"/>
  <c r="AF72" i="29"/>
  <c r="L72" i="29"/>
  <c r="AA72" i="29"/>
  <c r="N72" i="29"/>
  <c r="P80" i="37"/>
  <c r="P76" i="37" s="1"/>
  <c r="P75" i="31"/>
  <c r="P71" i="31" s="1"/>
  <c r="P73" i="29"/>
  <c r="G80" i="37"/>
  <c r="G76" i="37" s="1"/>
  <c r="G75" i="31"/>
  <c r="G71" i="31" s="1"/>
  <c r="G73" i="29"/>
  <c r="AF80" i="37"/>
  <c r="AF76" i="37" s="1"/>
  <c r="AF75" i="31"/>
  <c r="AF71" i="31" s="1"/>
  <c r="AF73" i="29"/>
  <c r="H75" i="31"/>
  <c r="H71" i="31" s="1"/>
  <c r="H80" i="37"/>
  <c r="H76" i="37" s="1"/>
  <c r="H73" i="29"/>
  <c r="S80" i="37"/>
  <c r="S76" i="37" s="1"/>
  <c r="S75" i="31"/>
  <c r="S71" i="31" s="1"/>
  <c r="S73" i="29"/>
  <c r="Y56" i="38"/>
  <c r="J54" i="34"/>
  <c r="M54" i="34"/>
  <c r="C56" i="38"/>
  <c r="R54" i="34"/>
  <c r="AK54" i="34"/>
  <c r="K54" i="34"/>
  <c r="AF56" i="38"/>
  <c r="T56" i="38"/>
  <c r="J56" i="38"/>
  <c r="AF54" i="34"/>
  <c r="U80" i="37"/>
  <c r="U76" i="37" s="1"/>
  <c r="U75" i="31"/>
  <c r="U71" i="31" s="1"/>
  <c r="U73" i="29"/>
  <c r="H66" i="29"/>
  <c r="P66" i="29"/>
  <c r="X66" i="29"/>
  <c r="AF66" i="29"/>
  <c r="J66" i="29"/>
  <c r="R66" i="29"/>
  <c r="Z66" i="29"/>
  <c r="AH66" i="29"/>
  <c r="M66" i="29"/>
  <c r="W66" i="29"/>
  <c r="AI66" i="29"/>
  <c r="D66" i="29"/>
  <c r="N66" i="29"/>
  <c r="Y66" i="29"/>
  <c r="AJ66" i="29"/>
  <c r="E66" i="29"/>
  <c r="O66" i="29"/>
  <c r="AA66" i="29"/>
  <c r="AK66" i="29"/>
  <c r="L66" i="29"/>
  <c r="AD66" i="29"/>
  <c r="Q66" i="29"/>
  <c r="AE66" i="29"/>
  <c r="T66" i="29"/>
  <c r="F66" i="29"/>
  <c r="AB66" i="29"/>
  <c r="AC66" i="29"/>
  <c r="S66" i="29"/>
  <c r="AG66" i="29"/>
  <c r="C66" i="29"/>
  <c r="V66" i="29"/>
  <c r="G66" i="29"/>
  <c r="U66" i="29"/>
  <c r="I66" i="29"/>
  <c r="K66" i="29"/>
  <c r="AI56" i="38"/>
  <c r="F56" i="38"/>
  <c r="E54" i="34"/>
  <c r="AB80" i="37"/>
  <c r="AB76" i="37" s="1"/>
  <c r="AB75" i="31"/>
  <c r="AB71" i="31" s="1"/>
  <c r="AB73" i="29"/>
  <c r="AJ80" i="37"/>
  <c r="AJ76" i="37" s="1"/>
  <c r="AJ75" i="31"/>
  <c r="AJ71" i="31" s="1"/>
  <c r="AJ73" i="29"/>
  <c r="V80" i="37"/>
  <c r="V76" i="37" s="1"/>
  <c r="V75" i="31"/>
  <c r="V71" i="31" s="1"/>
  <c r="V73" i="29"/>
  <c r="AK80" i="37"/>
  <c r="AK76" i="37" s="1"/>
  <c r="AK75" i="31"/>
  <c r="AK71" i="31" s="1"/>
  <c r="AK73" i="29"/>
  <c r="K80" i="37"/>
  <c r="K76" i="37" s="1"/>
  <c r="K75" i="31"/>
  <c r="K71" i="31" s="1"/>
  <c r="K73" i="29"/>
  <c r="W56" i="38"/>
  <c r="O56" i="38"/>
  <c r="AC54" i="34"/>
  <c r="AG75" i="31"/>
  <c r="AG71" i="31" s="1"/>
  <c r="AG80" i="37"/>
  <c r="AG76" i="37" s="1"/>
  <c r="AG73" i="29"/>
  <c r="N80" i="37"/>
  <c r="N76" i="37" s="1"/>
  <c r="N75" i="31"/>
  <c r="N71" i="31" s="1"/>
  <c r="N73" i="29"/>
  <c r="AH80" i="37"/>
  <c r="AH76" i="37" s="1"/>
  <c r="AH75" i="31"/>
  <c r="AH71" i="31" s="1"/>
  <c r="AH73" i="29"/>
  <c r="J80" i="37"/>
  <c r="J76" i="37" s="1"/>
  <c r="J75" i="31"/>
  <c r="J71" i="31" s="1"/>
  <c r="J73" i="29"/>
  <c r="AC80" i="37"/>
  <c r="AC76" i="37" s="1"/>
  <c r="AC75" i="31"/>
  <c r="AC71" i="31" s="1"/>
  <c r="AC73" i="29"/>
  <c r="AE56" i="38"/>
  <c r="AJ54" i="34"/>
  <c r="G56" i="38"/>
  <c r="G54" i="34"/>
  <c r="X54" i="34"/>
  <c r="L56" i="38"/>
  <c r="V56" i="38"/>
  <c r="H56" i="38"/>
  <c r="Y54" i="34"/>
  <c r="F5" i="38"/>
  <c r="G5" i="38"/>
  <c r="C5" i="38"/>
  <c r="I34" i="41" s="1"/>
  <c r="D5" i="38"/>
  <c r="F26" i="34"/>
  <c r="F5" i="34" s="1"/>
  <c r="G26" i="34"/>
  <c r="G5" i="34" s="1"/>
  <c r="E26" i="34"/>
  <c r="E5" i="34" s="1"/>
  <c r="C26" i="34"/>
  <c r="C5" i="34" s="1"/>
  <c r="G34" i="41" s="1"/>
  <c r="E29" i="35"/>
  <c r="G28" i="37"/>
  <c r="G27" i="37" s="1"/>
  <c r="G5" i="37" s="1"/>
  <c r="F28" i="37"/>
  <c r="F27" i="37" s="1"/>
  <c r="F5" i="37" s="1"/>
  <c r="E28" i="37"/>
  <c r="E27" i="37" s="1"/>
  <c r="E5" i="37" s="1"/>
  <c r="C28" i="37"/>
  <c r="C27" i="37" s="1"/>
  <c r="C5" i="37" s="1"/>
  <c r="H34" i="41" s="1"/>
  <c r="D28" i="37"/>
  <c r="D27" i="37" s="1"/>
  <c r="D5" i="37" s="1"/>
  <c r="E25" i="22"/>
  <c r="D26" i="34"/>
  <c r="D5" i="34" s="1"/>
  <c r="E34" i="37"/>
  <c r="E29" i="37" s="1"/>
  <c r="G34" i="37"/>
  <c r="G29" i="37" s="1"/>
  <c r="F34" i="37"/>
  <c r="F29" i="37" s="1"/>
  <c r="D34" i="37"/>
  <c r="D29" i="37" s="1"/>
  <c r="C34" i="37"/>
  <c r="C29" i="37" s="1"/>
  <c r="E36" i="35"/>
  <c r="D46" i="30"/>
  <c r="E46" i="30"/>
  <c r="G46" i="30"/>
  <c r="F46" i="30"/>
  <c r="C46" i="30"/>
  <c r="E33" i="41" s="1"/>
  <c r="G33" i="41" s="1"/>
  <c r="I33" i="41" s="1"/>
  <c r="E47" i="23"/>
  <c r="E51" i="36" s="1"/>
  <c r="E44" i="21"/>
  <c r="E35" i="31"/>
  <c r="E31" i="31" s="1"/>
  <c r="G35" i="31"/>
  <c r="G31" i="31" s="1"/>
  <c r="C35" i="31"/>
  <c r="C31" i="31" s="1"/>
  <c r="D35" i="31"/>
  <c r="D31" i="31" s="1"/>
  <c r="F35" i="31"/>
  <c r="F31" i="31" s="1"/>
  <c r="E32" i="22"/>
  <c r="D32" i="29"/>
  <c r="D27" i="29" s="1"/>
  <c r="G32" i="29"/>
  <c r="G27" i="29" s="1"/>
  <c r="F32" i="29"/>
  <c r="F27" i="29" s="1"/>
  <c r="E32" i="29"/>
  <c r="E27" i="29" s="1"/>
  <c r="C32" i="29"/>
  <c r="D37" i="29"/>
  <c r="D33" i="29" s="1"/>
  <c r="F37" i="29"/>
  <c r="F33" i="29" s="1"/>
  <c r="G37" i="29"/>
  <c r="G33" i="29" s="1"/>
  <c r="C37" i="29"/>
  <c r="E37" i="29"/>
  <c r="E33" i="29" s="1"/>
  <c r="F5" i="30"/>
  <c r="Q54" i="2"/>
  <c r="D5" i="30"/>
  <c r="G5" i="30"/>
  <c r="V54" i="9"/>
  <c r="C5" i="30"/>
  <c r="E34" i="41" s="1"/>
  <c r="F54" i="2"/>
  <c r="E5" i="30"/>
  <c r="W54" i="9"/>
  <c r="G54" i="9"/>
  <c r="T54" i="2"/>
  <c r="M54" i="9"/>
  <c r="E54" i="9"/>
  <c r="S54" i="9"/>
  <c r="E66" i="1"/>
  <c r="F54" i="9"/>
  <c r="J54" i="2"/>
  <c r="O54" i="9"/>
  <c r="S54" i="2"/>
  <c r="G54" i="2"/>
  <c r="C54" i="9"/>
  <c r="X54" i="9"/>
  <c r="C54" i="2"/>
  <c r="L54" i="9"/>
  <c r="P54" i="9"/>
  <c r="M54" i="2"/>
  <c r="L54" i="2"/>
  <c r="H54" i="9"/>
  <c r="E28" i="20"/>
  <c r="E26" i="29"/>
  <c r="E25" i="29" s="1"/>
  <c r="E5" i="29" s="1"/>
  <c r="F26" i="29"/>
  <c r="F25" i="29" s="1"/>
  <c r="F5" i="29" s="1"/>
  <c r="G26" i="29"/>
  <c r="G25" i="29" s="1"/>
  <c r="G5" i="29" s="1"/>
  <c r="C26" i="29"/>
  <c r="C25" i="29" s="1"/>
  <c r="C5" i="29" s="1"/>
  <c r="D34" i="41" s="1"/>
  <c r="D26" i="29"/>
  <c r="D25" i="29" s="1"/>
  <c r="D5" i="29" s="1"/>
  <c r="K54" i="9"/>
  <c r="T54" i="9"/>
  <c r="I54" i="2"/>
  <c r="N54" i="2"/>
  <c r="N54" i="9"/>
  <c r="D54" i="9"/>
  <c r="Z54" i="9"/>
  <c r="D54" i="2"/>
  <c r="U54" i="9"/>
  <c r="P54" i="2"/>
  <c r="E54" i="2"/>
  <c r="K54" i="2"/>
  <c r="R54" i="2"/>
  <c r="R54" i="9"/>
  <c r="AA54" i="9"/>
  <c r="H54" i="2"/>
  <c r="J54" i="9"/>
  <c r="Y54" i="9"/>
  <c r="Q54" i="9"/>
  <c r="I54" i="9"/>
  <c r="G41" i="29" l="1"/>
  <c r="E42" i="37"/>
  <c r="F5" i="41"/>
  <c r="F18" i="41"/>
  <c r="C27" i="29"/>
  <c r="D31" i="41"/>
  <c r="C33" i="29"/>
  <c r="D33" i="41"/>
  <c r="F33" i="41" s="1"/>
  <c r="H33" i="41" s="1"/>
  <c r="D41" i="29"/>
  <c r="D75" i="37"/>
  <c r="D70" i="37" s="1"/>
  <c r="D70" i="31"/>
  <c r="D67" i="29"/>
  <c r="D65" i="31" s="1"/>
  <c r="N99" i="38"/>
  <c r="N95" i="38" s="1"/>
  <c r="N93" i="34"/>
  <c r="N89" i="34" s="1"/>
  <c r="N92" i="30"/>
  <c r="I69" i="37"/>
  <c r="I46" i="37" s="1"/>
  <c r="I64" i="31"/>
  <c r="I45" i="31" s="1"/>
  <c r="I45" i="29"/>
  <c r="AB69" i="37"/>
  <c r="AB46" i="37" s="1"/>
  <c r="AB64" i="31"/>
  <c r="AB45" i="31" s="1"/>
  <c r="AB45" i="29"/>
  <c r="AA69" i="37"/>
  <c r="AA46" i="37" s="1"/>
  <c r="AA64" i="31"/>
  <c r="AA45" i="31" s="1"/>
  <c r="AA45" i="29"/>
  <c r="W64" i="31"/>
  <c r="W45" i="31" s="1"/>
  <c r="W69" i="37"/>
  <c r="W46" i="37" s="1"/>
  <c r="W45" i="29"/>
  <c r="P69" i="37"/>
  <c r="P46" i="37" s="1"/>
  <c r="P64" i="31"/>
  <c r="P45" i="31" s="1"/>
  <c r="P45" i="29"/>
  <c r="Z75" i="37"/>
  <c r="Z70" i="37" s="1"/>
  <c r="Z70" i="31"/>
  <c r="Z67" i="29"/>
  <c r="Z65" i="31" s="1"/>
  <c r="AH75" i="37"/>
  <c r="AH70" i="37" s="1"/>
  <c r="AH70" i="31"/>
  <c r="AH67" i="29"/>
  <c r="AH65" i="31" s="1"/>
  <c r="AC75" i="37"/>
  <c r="AC70" i="37" s="1"/>
  <c r="AC70" i="31"/>
  <c r="AC67" i="29"/>
  <c r="AC65" i="31" s="1"/>
  <c r="Y75" i="37"/>
  <c r="Y70" i="37" s="1"/>
  <c r="Y70" i="31"/>
  <c r="Y67" i="29"/>
  <c r="Y65" i="31" s="1"/>
  <c r="AD99" i="38"/>
  <c r="AD95" i="38" s="1"/>
  <c r="AD93" i="34"/>
  <c r="AD89" i="34" s="1"/>
  <c r="AD92" i="30"/>
  <c r="K99" i="38"/>
  <c r="K95" i="38" s="1"/>
  <c r="K93" i="34"/>
  <c r="K89" i="34" s="1"/>
  <c r="K92" i="30"/>
  <c r="AA99" i="38"/>
  <c r="AA95" i="38" s="1"/>
  <c r="AA93" i="34"/>
  <c r="AA89" i="34" s="1"/>
  <c r="AA92" i="30"/>
  <c r="AC99" i="38"/>
  <c r="AC95" i="38" s="1"/>
  <c r="AC93" i="34"/>
  <c r="AC89" i="34" s="1"/>
  <c r="AC92" i="30"/>
  <c r="X99" i="38"/>
  <c r="X95" i="38" s="1"/>
  <c r="X93" i="34"/>
  <c r="X89" i="34" s="1"/>
  <c r="X92" i="30"/>
  <c r="K69" i="37"/>
  <c r="K46" i="37" s="1"/>
  <c r="K64" i="31"/>
  <c r="K45" i="31" s="1"/>
  <c r="K45" i="29"/>
  <c r="X69" i="37"/>
  <c r="X46" i="37" s="1"/>
  <c r="X64" i="31"/>
  <c r="X45" i="31" s="1"/>
  <c r="X45" i="29"/>
  <c r="U69" i="37"/>
  <c r="U46" i="37" s="1"/>
  <c r="U64" i="31"/>
  <c r="U45" i="31" s="1"/>
  <c r="U45" i="29"/>
  <c r="F69" i="37"/>
  <c r="F46" i="37" s="1"/>
  <c r="F64" i="31"/>
  <c r="F45" i="31" s="1"/>
  <c r="F45" i="29"/>
  <c r="O69" i="37"/>
  <c r="O46" i="37" s="1"/>
  <c r="O64" i="31"/>
  <c r="O45" i="31" s="1"/>
  <c r="O45" i="29"/>
  <c r="M69" i="37"/>
  <c r="M46" i="37" s="1"/>
  <c r="M64" i="31"/>
  <c r="M45" i="31" s="1"/>
  <c r="M45" i="29"/>
  <c r="H69" i="37"/>
  <c r="H46" i="37" s="1"/>
  <c r="H64" i="31"/>
  <c r="H45" i="31" s="1"/>
  <c r="H45" i="29"/>
  <c r="K75" i="37"/>
  <c r="K70" i="37" s="1"/>
  <c r="K70" i="31"/>
  <c r="K67" i="29"/>
  <c r="K65" i="31" s="1"/>
  <c r="AJ75" i="37"/>
  <c r="AJ70" i="37" s="1"/>
  <c r="AJ70" i="31"/>
  <c r="AJ67" i="29"/>
  <c r="AJ65" i="31" s="1"/>
  <c r="S75" i="37"/>
  <c r="S70" i="37" s="1"/>
  <c r="S70" i="31"/>
  <c r="S67" i="29"/>
  <c r="S65" i="31" s="1"/>
  <c r="Q75" i="37"/>
  <c r="Q70" i="37" s="1"/>
  <c r="Q70" i="31"/>
  <c r="Q67" i="29"/>
  <c r="Q65" i="31" s="1"/>
  <c r="AE99" i="38"/>
  <c r="AE95" i="38" s="1"/>
  <c r="AE93" i="34"/>
  <c r="AE89" i="34" s="1"/>
  <c r="AE92" i="30"/>
  <c r="AH99" i="38"/>
  <c r="AH95" i="38" s="1"/>
  <c r="AH93" i="34"/>
  <c r="AH89" i="34" s="1"/>
  <c r="AH92" i="30"/>
  <c r="L99" i="38"/>
  <c r="L95" i="38" s="1"/>
  <c r="L93" i="34"/>
  <c r="L89" i="34" s="1"/>
  <c r="L92" i="30"/>
  <c r="S99" i="38"/>
  <c r="S95" i="38" s="1"/>
  <c r="S93" i="34"/>
  <c r="S89" i="34" s="1"/>
  <c r="S92" i="30"/>
  <c r="P99" i="38"/>
  <c r="P95" i="38" s="1"/>
  <c r="P93" i="34"/>
  <c r="P89" i="34" s="1"/>
  <c r="P92" i="30"/>
  <c r="C99" i="38"/>
  <c r="C95" i="38" s="1"/>
  <c r="C93" i="34"/>
  <c r="C89" i="34" s="1"/>
  <c r="C92" i="30"/>
  <c r="AF99" i="38"/>
  <c r="AF95" i="38" s="1"/>
  <c r="AF93" i="34"/>
  <c r="AF89" i="34" s="1"/>
  <c r="AF92" i="30"/>
  <c r="G69" i="37"/>
  <c r="G46" i="37" s="1"/>
  <c r="G64" i="31"/>
  <c r="G45" i="31" s="1"/>
  <c r="G45" i="29"/>
  <c r="T69" i="37"/>
  <c r="T46" i="37" s="1"/>
  <c r="T64" i="31"/>
  <c r="T45" i="31" s="1"/>
  <c r="T45" i="29"/>
  <c r="E69" i="37"/>
  <c r="E46" i="37" s="1"/>
  <c r="E64" i="31"/>
  <c r="E45" i="31" s="1"/>
  <c r="E45" i="29"/>
  <c r="AH69" i="37"/>
  <c r="AH46" i="37" s="1"/>
  <c r="AH64" i="31"/>
  <c r="AH45" i="31" s="1"/>
  <c r="F21" i="41" s="1"/>
  <c r="AH45" i="29"/>
  <c r="D21" i="41" s="1"/>
  <c r="D25" i="41" s="1"/>
  <c r="M70" i="31"/>
  <c r="M75" i="37"/>
  <c r="M70" i="37" s="1"/>
  <c r="M67" i="29"/>
  <c r="M65" i="31" s="1"/>
  <c r="U70" i="31"/>
  <c r="U75" i="37"/>
  <c r="U70" i="37" s="1"/>
  <c r="U67" i="29"/>
  <c r="U65" i="31" s="1"/>
  <c r="H75" i="37"/>
  <c r="H70" i="37" s="1"/>
  <c r="H70" i="31"/>
  <c r="H67" i="29"/>
  <c r="H65" i="31" s="1"/>
  <c r="I75" i="37"/>
  <c r="I70" i="37" s="1"/>
  <c r="I70" i="31"/>
  <c r="I67" i="29"/>
  <c r="I65" i="31" s="1"/>
  <c r="D99" i="38"/>
  <c r="D95" i="38" s="1"/>
  <c r="D93" i="34"/>
  <c r="D89" i="34" s="1"/>
  <c r="D92" i="30"/>
  <c r="E99" i="38"/>
  <c r="E95" i="38" s="1"/>
  <c r="E93" i="34"/>
  <c r="E89" i="34" s="1"/>
  <c r="E92" i="30"/>
  <c r="AK99" i="38"/>
  <c r="AK95" i="38" s="1"/>
  <c r="AK93" i="34"/>
  <c r="AK89" i="34" s="1"/>
  <c r="AK92" i="30"/>
  <c r="G99" i="38"/>
  <c r="G95" i="38" s="1"/>
  <c r="G93" i="34"/>
  <c r="G89" i="34" s="1"/>
  <c r="G92" i="30"/>
  <c r="H99" i="38"/>
  <c r="H95" i="38" s="1"/>
  <c r="H93" i="34"/>
  <c r="H89" i="34" s="1"/>
  <c r="H92" i="30"/>
  <c r="AC69" i="37"/>
  <c r="AC46" i="37" s="1"/>
  <c r="AC64" i="31"/>
  <c r="AC45" i="31" s="1"/>
  <c r="AC45" i="29"/>
  <c r="AG75" i="37"/>
  <c r="AG70" i="37" s="1"/>
  <c r="AG70" i="31"/>
  <c r="AG67" i="29"/>
  <c r="AG65" i="31" s="1"/>
  <c r="V64" i="31"/>
  <c r="V45" i="31" s="1"/>
  <c r="V69" i="37"/>
  <c r="V46" i="37" s="1"/>
  <c r="V45" i="29"/>
  <c r="AE64" i="31"/>
  <c r="AE45" i="31" s="1"/>
  <c r="AE69" i="37"/>
  <c r="AE46" i="37" s="1"/>
  <c r="AE45" i="29"/>
  <c r="AJ69" i="37"/>
  <c r="AJ46" i="37" s="1"/>
  <c r="AJ83" i="37" s="1"/>
  <c r="AJ64" i="31"/>
  <c r="AJ45" i="31" s="1"/>
  <c r="AJ80" i="31" s="1"/>
  <c r="AJ45" i="29"/>
  <c r="AJ81" i="29" s="1"/>
  <c r="Z69" i="37"/>
  <c r="Z46" i="37" s="1"/>
  <c r="Z64" i="31"/>
  <c r="Z45" i="31" s="1"/>
  <c r="Z80" i="31" s="1"/>
  <c r="Z45" i="29"/>
  <c r="Z81" i="29" s="1"/>
  <c r="E70" i="31"/>
  <c r="E75" i="37"/>
  <c r="E70" i="37" s="1"/>
  <c r="E67" i="29"/>
  <c r="E65" i="31" s="1"/>
  <c r="AI75" i="37"/>
  <c r="AI70" i="37" s="1"/>
  <c r="AI70" i="31"/>
  <c r="AI67" i="29"/>
  <c r="AI65" i="31" s="1"/>
  <c r="C75" i="37"/>
  <c r="C70" i="37" s="1"/>
  <c r="C70" i="31"/>
  <c r="C67" i="29"/>
  <c r="C65" i="31" s="1"/>
  <c r="AE75" i="37"/>
  <c r="AE70" i="37" s="1"/>
  <c r="AE70" i="31"/>
  <c r="AE67" i="29"/>
  <c r="AE65" i="31" s="1"/>
  <c r="Z99" i="38"/>
  <c r="Z95" i="38" s="1"/>
  <c r="Z93" i="34"/>
  <c r="Z89" i="34" s="1"/>
  <c r="Z92" i="30"/>
  <c r="AJ99" i="38"/>
  <c r="AJ95" i="38" s="1"/>
  <c r="AJ93" i="34"/>
  <c r="AJ89" i="34" s="1"/>
  <c r="AJ92" i="30"/>
  <c r="V99" i="38"/>
  <c r="V95" i="38" s="1"/>
  <c r="V93" i="34"/>
  <c r="V89" i="34" s="1"/>
  <c r="V92" i="30"/>
  <c r="AG99" i="38"/>
  <c r="AG95" i="38" s="1"/>
  <c r="AG93" i="34"/>
  <c r="AG89" i="34" s="1"/>
  <c r="AG92" i="30"/>
  <c r="C69" i="37"/>
  <c r="C46" i="37" s="1"/>
  <c r="C64" i="31"/>
  <c r="C45" i="31" s="1"/>
  <c r="C45" i="29"/>
  <c r="Q69" i="37"/>
  <c r="Q46" i="37" s="1"/>
  <c r="Q64" i="31"/>
  <c r="Q45" i="31" s="1"/>
  <c r="Q80" i="31" s="1"/>
  <c r="Q45" i="29"/>
  <c r="Q81" i="29" s="1"/>
  <c r="Y69" i="37"/>
  <c r="Y46" i="37" s="1"/>
  <c r="Y64" i="31"/>
  <c r="Y45" i="31" s="1"/>
  <c r="Y80" i="31" s="1"/>
  <c r="Y45" i="29"/>
  <c r="Y81" i="29" s="1"/>
  <c r="R69" i="37"/>
  <c r="R46" i="37" s="1"/>
  <c r="R64" i="31"/>
  <c r="R45" i="31" s="1"/>
  <c r="R45" i="29"/>
  <c r="N75" i="37"/>
  <c r="N70" i="37" s="1"/>
  <c r="N70" i="31"/>
  <c r="N67" i="29"/>
  <c r="N65" i="31" s="1"/>
  <c r="X75" i="37"/>
  <c r="X70" i="37" s="1"/>
  <c r="X70" i="31"/>
  <c r="X67" i="29"/>
  <c r="X65" i="31" s="1"/>
  <c r="P75" i="37"/>
  <c r="P70" i="37" s="1"/>
  <c r="P70" i="31"/>
  <c r="P67" i="29"/>
  <c r="P65" i="31" s="1"/>
  <c r="AB70" i="31"/>
  <c r="AB75" i="37"/>
  <c r="AB70" i="37" s="1"/>
  <c r="AB67" i="29"/>
  <c r="AB65" i="31" s="1"/>
  <c r="W75" i="37"/>
  <c r="W70" i="37" s="1"/>
  <c r="W70" i="31"/>
  <c r="W67" i="29"/>
  <c r="W65" i="31" s="1"/>
  <c r="T99" i="38"/>
  <c r="T95" i="38" s="1"/>
  <c r="T93" i="34"/>
  <c r="T89" i="34" s="1"/>
  <c r="T92" i="30"/>
  <c r="U99" i="38"/>
  <c r="U95" i="38" s="1"/>
  <c r="U93" i="34"/>
  <c r="U89" i="34" s="1"/>
  <c r="U92" i="30"/>
  <c r="J99" i="38"/>
  <c r="J95" i="38" s="1"/>
  <c r="J93" i="34"/>
  <c r="J89" i="34" s="1"/>
  <c r="J92" i="30"/>
  <c r="Y99" i="38"/>
  <c r="Y95" i="38" s="1"/>
  <c r="Y93" i="34"/>
  <c r="Y89" i="34" s="1"/>
  <c r="Y92" i="30"/>
  <c r="AK69" i="37"/>
  <c r="AK46" i="37" s="1"/>
  <c r="AK64" i="31"/>
  <c r="AK45" i="31" s="1"/>
  <c r="AK45" i="29"/>
  <c r="J75" i="37"/>
  <c r="J70" i="37" s="1"/>
  <c r="J70" i="31"/>
  <c r="J67" i="29"/>
  <c r="J65" i="31" s="1"/>
  <c r="M99" i="38"/>
  <c r="M95" i="38" s="1"/>
  <c r="M93" i="34"/>
  <c r="M89" i="34" s="1"/>
  <c r="M92" i="30"/>
  <c r="AG69" i="37"/>
  <c r="AG46" i="37" s="1"/>
  <c r="AG64" i="31"/>
  <c r="AG45" i="31" s="1"/>
  <c r="F8" i="41" s="1"/>
  <c r="AG45" i="29"/>
  <c r="D8" i="41" s="1"/>
  <c r="D12" i="41" s="1"/>
  <c r="AD69" i="37"/>
  <c r="AD46" i="37" s="1"/>
  <c r="AD64" i="31"/>
  <c r="AD45" i="31" s="1"/>
  <c r="AD45" i="29"/>
  <c r="N69" i="37"/>
  <c r="N46" i="37" s="1"/>
  <c r="N64" i="31"/>
  <c r="N45" i="31" s="1"/>
  <c r="N45" i="29"/>
  <c r="J69" i="37"/>
  <c r="J46" i="37" s="1"/>
  <c r="J64" i="31"/>
  <c r="J45" i="31" s="1"/>
  <c r="J45" i="29"/>
  <c r="AA75" i="37"/>
  <c r="AA70" i="37" s="1"/>
  <c r="AA70" i="31"/>
  <c r="AA67" i="29"/>
  <c r="AA65" i="31" s="1"/>
  <c r="AK70" i="31"/>
  <c r="AK75" i="37"/>
  <c r="AK70" i="37" s="1"/>
  <c r="AK67" i="29"/>
  <c r="AK65" i="31" s="1"/>
  <c r="AD75" i="37"/>
  <c r="AD70" i="37" s="1"/>
  <c r="AD70" i="31"/>
  <c r="AD67" i="29"/>
  <c r="AD65" i="31" s="1"/>
  <c r="R75" i="37"/>
  <c r="R70" i="37" s="1"/>
  <c r="R70" i="31"/>
  <c r="R67" i="29"/>
  <c r="R65" i="31" s="1"/>
  <c r="O75" i="37"/>
  <c r="O70" i="37" s="1"/>
  <c r="O70" i="31"/>
  <c r="O67" i="29"/>
  <c r="O65" i="31" s="1"/>
  <c r="R99" i="38"/>
  <c r="R95" i="38" s="1"/>
  <c r="R93" i="34"/>
  <c r="R89" i="34" s="1"/>
  <c r="R92" i="30"/>
  <c r="F99" i="38"/>
  <c r="F95" i="38" s="1"/>
  <c r="F93" i="34"/>
  <c r="F89" i="34" s="1"/>
  <c r="F92" i="30"/>
  <c r="AI99" i="38"/>
  <c r="AI95" i="38" s="1"/>
  <c r="AI93" i="34"/>
  <c r="AI89" i="34" s="1"/>
  <c r="AI92" i="30"/>
  <c r="Q99" i="38"/>
  <c r="Q95" i="38" s="1"/>
  <c r="Q93" i="34"/>
  <c r="Q89" i="34" s="1"/>
  <c r="Q92" i="30"/>
  <c r="D91" i="30"/>
  <c r="L91" i="30"/>
  <c r="T91" i="30"/>
  <c r="AB91" i="30"/>
  <c r="AJ91" i="30"/>
  <c r="E91" i="30"/>
  <c r="M91" i="30"/>
  <c r="U91" i="30"/>
  <c r="AC91" i="30"/>
  <c r="AK91" i="30"/>
  <c r="G91" i="30"/>
  <c r="Q91" i="30"/>
  <c r="AA91" i="30"/>
  <c r="K91" i="30"/>
  <c r="W91" i="30"/>
  <c r="AG91" i="30"/>
  <c r="E5" i="41" s="1"/>
  <c r="J91" i="30"/>
  <c r="Y91" i="30"/>
  <c r="O91" i="30"/>
  <c r="AD91" i="30"/>
  <c r="P91" i="30"/>
  <c r="AE91" i="30"/>
  <c r="X91" i="30"/>
  <c r="F91" i="30"/>
  <c r="Z91" i="30"/>
  <c r="H91" i="30"/>
  <c r="AF91" i="30"/>
  <c r="I91" i="30"/>
  <c r="AH91" i="30"/>
  <c r="E18" i="41" s="1"/>
  <c r="N91" i="30"/>
  <c r="AI91" i="30"/>
  <c r="R91" i="30"/>
  <c r="C91" i="30"/>
  <c r="V91" i="30"/>
  <c r="S91" i="30"/>
  <c r="AI69" i="37"/>
  <c r="AI46" i="37" s="1"/>
  <c r="AI64" i="31"/>
  <c r="AI45" i="31" s="1"/>
  <c r="AI45" i="29"/>
  <c r="AF75" i="37"/>
  <c r="AF70" i="37" s="1"/>
  <c r="AF70" i="31"/>
  <c r="AF67" i="29"/>
  <c r="AF65" i="31" s="1"/>
  <c r="S69" i="37"/>
  <c r="S46" i="37" s="1"/>
  <c r="S64" i="31"/>
  <c r="S45" i="31" s="1"/>
  <c r="S45" i="29"/>
  <c r="L64" i="31"/>
  <c r="L45" i="31" s="1"/>
  <c r="L69" i="37"/>
  <c r="L46" i="37" s="1"/>
  <c r="L45" i="29"/>
  <c r="D69" i="37"/>
  <c r="D46" i="37" s="1"/>
  <c r="D83" i="37" s="1"/>
  <c r="D64" i="31"/>
  <c r="D45" i="31" s="1"/>
  <c r="D80" i="31" s="1"/>
  <c r="D45" i="29"/>
  <c r="AF69" i="37"/>
  <c r="AF46" i="37" s="1"/>
  <c r="AF64" i="31"/>
  <c r="AF45" i="31" s="1"/>
  <c r="AF45" i="29"/>
  <c r="L70" i="31"/>
  <c r="L75" i="37"/>
  <c r="L70" i="37" s="1"/>
  <c r="L67" i="29"/>
  <c r="L65" i="31" s="1"/>
  <c r="V75" i="37"/>
  <c r="V70" i="37" s="1"/>
  <c r="V70" i="31"/>
  <c r="V67" i="29"/>
  <c r="V65" i="31" s="1"/>
  <c r="T75" i="37"/>
  <c r="T70" i="37" s="1"/>
  <c r="T70" i="31"/>
  <c r="T67" i="29"/>
  <c r="T65" i="31" s="1"/>
  <c r="F75" i="37"/>
  <c r="F70" i="37" s="1"/>
  <c r="F70" i="31"/>
  <c r="F67" i="29"/>
  <c r="F65" i="31" s="1"/>
  <c r="G75" i="37"/>
  <c r="G70" i="37" s="1"/>
  <c r="G70" i="31"/>
  <c r="G67" i="29"/>
  <c r="G65" i="31" s="1"/>
  <c r="O99" i="38"/>
  <c r="O95" i="38" s="1"/>
  <c r="O93" i="34"/>
  <c r="O89" i="34" s="1"/>
  <c r="O92" i="30"/>
  <c r="AB99" i="38"/>
  <c r="AB95" i="38" s="1"/>
  <c r="AB93" i="34"/>
  <c r="AB89" i="34" s="1"/>
  <c r="AB92" i="30"/>
  <c r="W99" i="38"/>
  <c r="W95" i="38" s="1"/>
  <c r="W93" i="34"/>
  <c r="W89" i="34" s="1"/>
  <c r="W92" i="30"/>
  <c r="I99" i="38"/>
  <c r="I95" i="38" s="1"/>
  <c r="I93" i="34"/>
  <c r="I89" i="34" s="1"/>
  <c r="I92" i="30"/>
  <c r="F41" i="29"/>
  <c r="D42" i="37"/>
  <c r="C42" i="37"/>
  <c r="F42" i="37"/>
  <c r="G42" i="37"/>
  <c r="E41" i="29"/>
  <c r="C42" i="30"/>
  <c r="C48" i="38"/>
  <c r="C44" i="38" s="1"/>
  <c r="G42" i="30"/>
  <c r="G50" i="30" s="1"/>
  <c r="G48" i="38"/>
  <c r="G44" i="38" s="1"/>
  <c r="G51" i="38" s="1"/>
  <c r="E42" i="30"/>
  <c r="E50" i="30" s="1"/>
  <c r="E48" i="38"/>
  <c r="E44" i="38" s="1"/>
  <c r="E51" i="38" s="1"/>
  <c r="D42" i="30"/>
  <c r="D50" i="30" s="1"/>
  <c r="D48" i="38"/>
  <c r="D44" i="38" s="1"/>
  <c r="D51" i="38" s="1"/>
  <c r="D24" i="31"/>
  <c r="D23" i="31" s="1"/>
  <c r="E24" i="31"/>
  <c r="E23" i="31" s="1"/>
  <c r="F24" i="31"/>
  <c r="F23" i="31" s="1"/>
  <c r="G24" i="31"/>
  <c r="G23" i="31" s="1"/>
  <c r="C24" i="31"/>
  <c r="C23" i="31" s="1"/>
  <c r="C5" i="31" s="1"/>
  <c r="F34" i="41" s="1"/>
  <c r="E29" i="20"/>
  <c r="E30" i="35"/>
  <c r="E26" i="22"/>
  <c r="F42" i="30"/>
  <c r="F50" i="30" s="1"/>
  <c r="F48" i="38"/>
  <c r="F44" i="38" s="1"/>
  <c r="F51" i="38" s="1"/>
  <c r="F44" i="34"/>
  <c r="F40" i="34" s="1"/>
  <c r="G44" i="34"/>
  <c r="G40" i="34" s="1"/>
  <c r="C44" i="34"/>
  <c r="C40" i="34" s="1"/>
  <c r="D44" i="34"/>
  <c r="D40" i="34" s="1"/>
  <c r="E44" i="34"/>
  <c r="E40" i="34" s="1"/>
  <c r="D30" i="31"/>
  <c r="D25" i="31" s="1"/>
  <c r="D5" i="31" s="1"/>
  <c r="D40" i="31" s="1"/>
  <c r="E30" i="31"/>
  <c r="E25" i="31" s="1"/>
  <c r="E5" i="31" s="1"/>
  <c r="E40" i="31" s="1"/>
  <c r="F30" i="31"/>
  <c r="F25" i="31" s="1"/>
  <c r="F5" i="31" s="1"/>
  <c r="F40" i="31" s="1"/>
  <c r="C30" i="31"/>
  <c r="C25" i="31" s="1"/>
  <c r="G30" i="31"/>
  <c r="G25" i="31" s="1"/>
  <c r="G5" i="31" s="1"/>
  <c r="G40" i="31" s="1"/>
  <c r="C41" i="30"/>
  <c r="E31" i="41" s="1"/>
  <c r="E42" i="23"/>
  <c r="E46" i="36" s="1"/>
  <c r="J83" i="37" l="1"/>
  <c r="N83" i="37"/>
  <c r="AC83" i="37"/>
  <c r="C41" i="29"/>
  <c r="AC80" i="31"/>
  <c r="G5" i="41"/>
  <c r="E12" i="41"/>
  <c r="G18" i="41"/>
  <c r="E25" i="41"/>
  <c r="H18" i="41"/>
  <c r="F25" i="41"/>
  <c r="H5" i="41"/>
  <c r="F12" i="41"/>
  <c r="G31" i="41"/>
  <c r="E38" i="41"/>
  <c r="F31" i="41"/>
  <c r="D38" i="41"/>
  <c r="AK83" i="37"/>
  <c r="AE80" i="31"/>
  <c r="AG83" i="37"/>
  <c r="H8" i="41"/>
  <c r="AH83" i="37"/>
  <c r="H21" i="41"/>
  <c r="AI81" i="29"/>
  <c r="J81" i="29"/>
  <c r="Q83" i="37"/>
  <c r="S81" i="29"/>
  <c r="AI83" i="37"/>
  <c r="AG81" i="29"/>
  <c r="C81" i="29"/>
  <c r="AH81" i="29"/>
  <c r="K80" i="31"/>
  <c r="Y83" i="37"/>
  <c r="L81" i="29"/>
  <c r="Z83" i="37"/>
  <c r="AF83" i="37"/>
  <c r="S80" i="31"/>
  <c r="AG80" i="31"/>
  <c r="AK81" i="29"/>
  <c r="C80" i="31"/>
  <c r="AH80" i="31"/>
  <c r="AI80" i="31"/>
  <c r="D81" i="29"/>
  <c r="S83" i="37"/>
  <c r="N81" i="29"/>
  <c r="AK80" i="31"/>
  <c r="AC81" i="29"/>
  <c r="M83" i="37"/>
  <c r="L83" i="37"/>
  <c r="R94" i="38"/>
  <c r="R89" i="38" s="1"/>
  <c r="R102" i="38" s="1"/>
  <c r="R88" i="34"/>
  <c r="R86" i="30"/>
  <c r="F94" i="38"/>
  <c r="F89" i="38" s="1"/>
  <c r="F102" i="38" s="1"/>
  <c r="F88" i="34"/>
  <c r="F86" i="30"/>
  <c r="AG94" i="38"/>
  <c r="AG89" i="38" s="1"/>
  <c r="AG102" i="38" s="1"/>
  <c r="AG88" i="34"/>
  <c r="AG86" i="30"/>
  <c r="U94" i="38"/>
  <c r="U89" i="38" s="1"/>
  <c r="U102" i="38" s="1"/>
  <c r="U88" i="34"/>
  <c r="U86" i="30"/>
  <c r="J80" i="31"/>
  <c r="V83" i="37"/>
  <c r="G81" i="29"/>
  <c r="O80" i="31"/>
  <c r="AA80" i="31"/>
  <c r="C94" i="38"/>
  <c r="C89" i="38" s="1"/>
  <c r="C102" i="38" s="1"/>
  <c r="C88" i="34"/>
  <c r="C86" i="30"/>
  <c r="Z94" i="38"/>
  <c r="Z89" i="38" s="1"/>
  <c r="Z102" i="38" s="1"/>
  <c r="Z88" i="34"/>
  <c r="Z86" i="30"/>
  <c r="J94" i="38"/>
  <c r="J89" i="38" s="1"/>
  <c r="J102" i="38" s="1"/>
  <c r="J88" i="34"/>
  <c r="J86" i="30"/>
  <c r="D94" i="38"/>
  <c r="D89" i="38" s="1"/>
  <c r="D102" i="38" s="1"/>
  <c r="D88" i="34"/>
  <c r="D86" i="30"/>
  <c r="AF81" i="29"/>
  <c r="L80" i="31"/>
  <c r="AI94" i="38"/>
  <c r="AI89" i="38" s="1"/>
  <c r="AI102" i="38" s="1"/>
  <c r="AI88" i="34"/>
  <c r="AI86" i="30"/>
  <c r="X94" i="38"/>
  <c r="X89" i="38" s="1"/>
  <c r="X102" i="38" s="1"/>
  <c r="X88" i="34"/>
  <c r="X86" i="30"/>
  <c r="W94" i="38"/>
  <c r="W89" i="38" s="1"/>
  <c r="W102" i="38" s="1"/>
  <c r="W88" i="34"/>
  <c r="W86" i="30"/>
  <c r="M94" i="38"/>
  <c r="M89" i="38" s="1"/>
  <c r="M102" i="38" s="1"/>
  <c r="M88" i="34"/>
  <c r="M86" i="30"/>
  <c r="R81" i="29"/>
  <c r="V80" i="31"/>
  <c r="G80" i="31"/>
  <c r="H81" i="29"/>
  <c r="O83" i="37"/>
  <c r="P81" i="29"/>
  <c r="AA83" i="37"/>
  <c r="S94" i="38"/>
  <c r="S89" i="38" s="1"/>
  <c r="S102" i="38" s="1"/>
  <c r="S88" i="34"/>
  <c r="S86" i="30"/>
  <c r="AF80" i="31"/>
  <c r="N94" i="38"/>
  <c r="N89" i="38" s="1"/>
  <c r="N102" i="38" s="1"/>
  <c r="N88" i="34"/>
  <c r="N86" i="30"/>
  <c r="AE94" i="38"/>
  <c r="AE89" i="38" s="1"/>
  <c r="AE102" i="38" s="1"/>
  <c r="AE88" i="34"/>
  <c r="AE86" i="30"/>
  <c r="K94" i="38"/>
  <c r="K89" i="38" s="1"/>
  <c r="K102" i="38" s="1"/>
  <c r="K88" i="34"/>
  <c r="K86" i="30"/>
  <c r="E94" i="38"/>
  <c r="E89" i="38" s="1"/>
  <c r="E102" i="38" s="1"/>
  <c r="E88" i="34"/>
  <c r="E86" i="30"/>
  <c r="R80" i="31"/>
  <c r="E81" i="29"/>
  <c r="G83" i="37"/>
  <c r="H80" i="31"/>
  <c r="F81" i="29"/>
  <c r="X81" i="29"/>
  <c r="P80" i="31"/>
  <c r="AB81" i="29"/>
  <c r="O94" i="38"/>
  <c r="O89" i="38" s="1"/>
  <c r="O102" i="38" s="1"/>
  <c r="O88" i="34"/>
  <c r="O86" i="30"/>
  <c r="C40" i="31"/>
  <c r="AH94" i="38"/>
  <c r="AH89" i="38" s="1"/>
  <c r="AH102" i="38" s="1"/>
  <c r="AH88" i="34"/>
  <c r="AH86" i="30"/>
  <c r="P94" i="38"/>
  <c r="P89" i="38" s="1"/>
  <c r="P102" i="38" s="1"/>
  <c r="P88" i="34"/>
  <c r="P86" i="30"/>
  <c r="AA94" i="38"/>
  <c r="AA89" i="38" s="1"/>
  <c r="AA102" i="38" s="1"/>
  <c r="AA88" i="34"/>
  <c r="AA86" i="30"/>
  <c r="AJ94" i="38"/>
  <c r="AJ89" i="38" s="1"/>
  <c r="AJ102" i="38" s="1"/>
  <c r="AJ88" i="34"/>
  <c r="AJ86" i="30"/>
  <c r="N80" i="31"/>
  <c r="R83" i="37"/>
  <c r="E80" i="31"/>
  <c r="H83" i="37"/>
  <c r="F80" i="31"/>
  <c r="X80" i="31"/>
  <c r="P83" i="37"/>
  <c r="AB80" i="31"/>
  <c r="AF94" i="38"/>
  <c r="AF89" i="38" s="1"/>
  <c r="AF102" i="38" s="1"/>
  <c r="AF88" i="34"/>
  <c r="AF86" i="30"/>
  <c r="I94" i="38"/>
  <c r="I89" i="38" s="1"/>
  <c r="I102" i="38" s="1"/>
  <c r="I88" i="34"/>
  <c r="I86" i="30"/>
  <c r="AD94" i="38"/>
  <c r="AD89" i="38" s="1"/>
  <c r="AD102" i="38" s="1"/>
  <c r="AD88" i="34"/>
  <c r="AD86" i="30"/>
  <c r="Q94" i="38"/>
  <c r="Q89" i="38" s="1"/>
  <c r="Q102" i="38" s="1"/>
  <c r="Q88" i="34"/>
  <c r="Q86" i="30"/>
  <c r="AB94" i="38"/>
  <c r="AB89" i="38" s="1"/>
  <c r="AB102" i="38" s="1"/>
  <c r="AB88" i="34"/>
  <c r="AB86" i="30"/>
  <c r="C83" i="37"/>
  <c r="AE81" i="29"/>
  <c r="E83" i="37"/>
  <c r="M81" i="29"/>
  <c r="F83" i="37"/>
  <c r="X83" i="37"/>
  <c r="W81" i="29"/>
  <c r="AB83" i="37"/>
  <c r="G94" i="38"/>
  <c r="G89" i="38" s="1"/>
  <c r="G102" i="38" s="1"/>
  <c r="G88" i="34"/>
  <c r="G86" i="30"/>
  <c r="T94" i="38"/>
  <c r="T89" i="38" s="1"/>
  <c r="T102" i="38" s="1"/>
  <c r="T88" i="34"/>
  <c r="T86" i="30"/>
  <c r="AD81" i="29"/>
  <c r="AE83" i="37"/>
  <c r="T81" i="29"/>
  <c r="M80" i="31"/>
  <c r="U81" i="29"/>
  <c r="K81" i="29"/>
  <c r="W83" i="37"/>
  <c r="I81" i="29"/>
  <c r="V94" i="38"/>
  <c r="V89" i="38" s="1"/>
  <c r="V102" i="38" s="1"/>
  <c r="V88" i="34"/>
  <c r="V86" i="30"/>
  <c r="H94" i="38"/>
  <c r="H89" i="38" s="1"/>
  <c r="H102" i="38" s="1"/>
  <c r="H88" i="34"/>
  <c r="H86" i="30"/>
  <c r="Y94" i="38"/>
  <c r="Y89" i="38" s="1"/>
  <c r="Y102" i="38" s="1"/>
  <c r="Y88" i="34"/>
  <c r="Y86" i="30"/>
  <c r="AK94" i="38"/>
  <c r="AK89" i="38" s="1"/>
  <c r="AK102" i="38" s="1"/>
  <c r="AK88" i="34"/>
  <c r="AK86" i="30"/>
  <c r="L94" i="38"/>
  <c r="L89" i="38" s="1"/>
  <c r="L102" i="38" s="1"/>
  <c r="L88" i="34"/>
  <c r="L86" i="30"/>
  <c r="AD80" i="31"/>
  <c r="T80" i="31"/>
  <c r="U80" i="31"/>
  <c r="W80" i="31"/>
  <c r="I80" i="31"/>
  <c r="AC94" i="38"/>
  <c r="AC89" i="38" s="1"/>
  <c r="AC102" i="38" s="1"/>
  <c r="AC88" i="34"/>
  <c r="AC86" i="30"/>
  <c r="AD83" i="37"/>
  <c r="V81" i="29"/>
  <c r="T83" i="37"/>
  <c r="O81" i="29"/>
  <c r="U83" i="37"/>
  <c r="K83" i="37"/>
  <c r="AA81" i="29"/>
  <c r="I83" i="37"/>
  <c r="E31" i="35"/>
  <c r="E27" i="22"/>
  <c r="C36" i="30"/>
  <c r="C43" i="38"/>
  <c r="G39" i="34"/>
  <c r="G34" i="34" s="1"/>
  <c r="G49" i="34" s="1"/>
  <c r="E39" i="34"/>
  <c r="E34" i="34" s="1"/>
  <c r="E49" i="34" s="1"/>
  <c r="F39" i="34"/>
  <c r="F34" i="34" s="1"/>
  <c r="F49" i="34" s="1"/>
  <c r="C39" i="34"/>
  <c r="C34" i="34" s="1"/>
  <c r="C49" i="34" s="1"/>
  <c r="D39" i="34"/>
  <c r="D34" i="34" s="1"/>
  <c r="D49" i="34" s="1"/>
  <c r="H25" i="41" l="1"/>
  <c r="H12" i="41"/>
  <c r="I18" i="41"/>
  <c r="I25" i="41" s="1"/>
  <c r="G25" i="41"/>
  <c r="I5" i="41"/>
  <c r="I12" i="41" s="1"/>
  <c r="G12" i="41"/>
  <c r="H31" i="41"/>
  <c r="H38" i="41" s="1"/>
  <c r="F38" i="41"/>
  <c r="I31" i="41"/>
  <c r="I38" i="41" s="1"/>
  <c r="G38" i="41"/>
  <c r="H83" i="34"/>
  <c r="H98" i="34" s="1"/>
  <c r="H99" i="30"/>
  <c r="P83" i="34"/>
  <c r="P98" i="34" s="1"/>
  <c r="P99" i="30"/>
  <c r="AE83" i="34"/>
  <c r="AE98" i="34" s="1"/>
  <c r="AE99" i="30"/>
  <c r="C83" i="34"/>
  <c r="C98" i="34" s="1"/>
  <c r="C99" i="30"/>
  <c r="U83" i="34"/>
  <c r="U98" i="34" s="1"/>
  <c r="U99" i="30"/>
  <c r="AA83" i="34"/>
  <c r="AA98" i="34" s="1"/>
  <c r="AA99" i="30"/>
  <c r="D83" i="34"/>
  <c r="D98" i="34" s="1"/>
  <c r="D99" i="30"/>
  <c r="R83" i="34"/>
  <c r="R98" i="34" s="1"/>
  <c r="R99" i="30"/>
  <c r="T83" i="34"/>
  <c r="T98" i="34" s="1"/>
  <c r="T99" i="30"/>
  <c r="K83" i="34"/>
  <c r="K98" i="34" s="1"/>
  <c r="K99" i="30"/>
  <c r="Z83" i="34"/>
  <c r="Z98" i="34" s="1"/>
  <c r="Z99" i="30"/>
  <c r="L83" i="34"/>
  <c r="L98" i="34" s="1"/>
  <c r="L99" i="30"/>
  <c r="Q83" i="34"/>
  <c r="Q98" i="34" s="1"/>
  <c r="Q99" i="30"/>
  <c r="G83" i="34"/>
  <c r="G98" i="34" s="1"/>
  <c r="G99" i="30"/>
  <c r="AK83" i="34"/>
  <c r="AK98" i="34" s="1"/>
  <c r="AK99" i="30"/>
  <c r="AD83" i="34"/>
  <c r="AD98" i="34" s="1"/>
  <c r="AD99" i="30"/>
  <c r="M83" i="34"/>
  <c r="M98" i="34" s="1"/>
  <c r="M99" i="30"/>
  <c r="V83" i="34"/>
  <c r="V98" i="34" s="1"/>
  <c r="V99" i="30"/>
  <c r="AJ83" i="34"/>
  <c r="AJ98" i="34" s="1"/>
  <c r="AJ99" i="30"/>
  <c r="E83" i="34"/>
  <c r="E98" i="34" s="1"/>
  <c r="E99" i="30"/>
  <c r="AI83" i="34"/>
  <c r="AI98" i="34" s="1"/>
  <c r="AI99" i="30"/>
  <c r="J83" i="34"/>
  <c r="J98" i="34" s="1"/>
  <c r="J99" i="30"/>
  <c r="AB83" i="34"/>
  <c r="AB98" i="34" s="1"/>
  <c r="AB99" i="30"/>
  <c r="N83" i="34"/>
  <c r="N98" i="34" s="1"/>
  <c r="N99" i="30"/>
  <c r="AG83" i="34"/>
  <c r="AG98" i="34" s="1"/>
  <c r="AG99" i="30"/>
  <c r="AC83" i="34"/>
  <c r="AC98" i="34" s="1"/>
  <c r="AC99" i="30"/>
  <c r="F83" i="34"/>
  <c r="F98" i="34" s="1"/>
  <c r="F99" i="30"/>
  <c r="AF83" i="34"/>
  <c r="AF98" i="34" s="1"/>
  <c r="AF99" i="30"/>
  <c r="O83" i="34"/>
  <c r="O98" i="34" s="1"/>
  <c r="O99" i="30"/>
  <c r="S83" i="34"/>
  <c r="S98" i="34" s="1"/>
  <c r="S99" i="30"/>
  <c r="X83" i="34"/>
  <c r="X98" i="34" s="1"/>
  <c r="X99" i="30"/>
  <c r="AH83" i="34"/>
  <c r="AH98" i="34" s="1"/>
  <c r="AH99" i="30"/>
  <c r="Y83" i="34"/>
  <c r="Y98" i="34" s="1"/>
  <c r="Y99" i="30"/>
  <c r="I83" i="34"/>
  <c r="I98" i="34" s="1"/>
  <c r="I99" i="30"/>
  <c r="W83" i="34"/>
  <c r="W98" i="34" s="1"/>
  <c r="W99" i="30"/>
  <c r="C38" i="38"/>
  <c r="C51" i="38" s="1"/>
  <c r="C50" i="30"/>
</calcChain>
</file>

<file path=xl/sharedStrings.xml><?xml version="1.0" encoding="utf-8"?>
<sst xmlns="http://schemas.openxmlformats.org/spreadsheetml/2006/main" count="3919" uniqueCount="516">
  <si>
    <t>Process</t>
  </si>
  <si>
    <t>Value</t>
  </si>
  <si>
    <t>Unit</t>
  </si>
  <si>
    <t>input</t>
  </si>
  <si>
    <t>output</t>
  </si>
  <si>
    <t>Pretreatment</t>
  </si>
  <si>
    <t>AD</t>
  </si>
  <si>
    <t>CHP</t>
  </si>
  <si>
    <t>Electricity</t>
  </si>
  <si>
    <t>Water</t>
  </si>
  <si>
    <t>Flow direction</t>
  </si>
  <si>
    <t>Flow type</t>
  </si>
  <si>
    <t>Flow name</t>
  </si>
  <si>
    <t>Waste</t>
  </si>
  <si>
    <t>t</t>
  </si>
  <si>
    <t>Technosphere flow</t>
  </si>
  <si>
    <t>Pretreated waste</t>
  </si>
  <si>
    <t>Intermediate flow</t>
  </si>
  <si>
    <t>Heat</t>
  </si>
  <si>
    <t>Methane</t>
  </si>
  <si>
    <t>Elementary flow</t>
  </si>
  <si>
    <t>Biogas</t>
  </si>
  <si>
    <t>Electricity production</t>
  </si>
  <si>
    <t>Water production</t>
  </si>
  <si>
    <t>Fugitive methane</t>
  </si>
  <si>
    <t>Nitrogen oxides</t>
  </si>
  <si>
    <t>Volatile organic compounds</t>
  </si>
  <si>
    <t>Sulfur dioxide</t>
  </si>
  <si>
    <t>Particulate matter</t>
  </si>
  <si>
    <t>Carbon monoxide</t>
  </si>
  <si>
    <t>Ammonia</t>
  </si>
  <si>
    <t>Nitrous oxide</t>
  </si>
  <si>
    <t>acidification: terrestrial - terrestrial acidification potential (TAP)</t>
  </si>
  <si>
    <t>climate change - global warming potential (GWP100)</t>
  </si>
  <si>
    <t>ecotoxicity: freshwater - freshwater ecotoxicity potential (FETP)</t>
  </si>
  <si>
    <t>ecotoxicity: marine - marine ecotoxicity potential (METP)</t>
  </si>
  <si>
    <t>ecotoxicity: terrestrial - terrestrial ecotoxicity potential (TETP)</t>
  </si>
  <si>
    <t>energy resources: non-renewable, fossil - fossil fuel potential (FFP)</t>
  </si>
  <si>
    <t>eutrophication: freshwater - freshwater eutrophication potential (FEP)</t>
  </si>
  <si>
    <t>eutrophication: marine - marine eutrophication potential (MEP)</t>
  </si>
  <si>
    <t>human toxicity: carcinogenic - human toxicity potential (HTPc)</t>
  </si>
  <si>
    <t>human toxicity: non-carcinogenic - human toxicity potential (HTPnc)</t>
  </si>
  <si>
    <t>ionising radiation - ionising radiation potential (IRP)</t>
  </si>
  <si>
    <t>land use - agricultural land occupation (LOP)</t>
  </si>
  <si>
    <t>material resources: metals/minerals - surplus ore potential (SOP)</t>
  </si>
  <si>
    <t>ozone depletion - ozone depletion potential (ODPinfinite)</t>
  </si>
  <si>
    <t>particulate matter formation - particulate matter formation potential (PMFP)</t>
  </si>
  <si>
    <t>photochemical oxidant formation: human health - photochemical oxidant formation potential: humans (HOFP)</t>
  </si>
  <si>
    <t>photochemical oxidant formation: terrestrial ecosystems - photochemical oxidant formation potential: ecosystems (EOFP)</t>
  </si>
  <si>
    <t>water use - water consumption potential (WCP)</t>
  </si>
  <si>
    <t>Nitrogen Oxides (NOx)</t>
  </si>
  <si>
    <t>Volatile Organic Compounds (VOCs)</t>
  </si>
  <si>
    <t>Sulfur Dioxide (SO2)</t>
  </si>
  <si>
    <t>Particulate Matter (PM)</t>
  </si>
  <si>
    <t>Carbon Monoxide (CO)</t>
  </si>
  <si>
    <t>Ammonia (NH3)</t>
  </si>
  <si>
    <t>Parameter</t>
  </si>
  <si>
    <t>kg/m3 biogas combusted</t>
  </si>
  <si>
    <t>Methane (CH4)</t>
  </si>
  <si>
    <t>Nitrous Oxide (N2O)</t>
  </si>
  <si>
    <t>Source</t>
  </si>
  <si>
    <t>https://catalog.data.gov/dataset/food-waste-management-life-cycle-inventory-tool-v1-0-0</t>
  </si>
  <si>
    <t>https://catalog.data.gov/dataset/food-waste-management-life-cycle-inventory-tool-v1-0-1</t>
  </si>
  <si>
    <t>https://catalog.data.gov/dataset/food-waste-management-life-cycle-inventory-tool-v1-0-2</t>
  </si>
  <si>
    <t>https://catalog.data.gov/dataset/food-waste-management-life-cycle-inventory-tool-v1-0-3</t>
  </si>
  <si>
    <t>https://catalog.data.gov/dataset/food-waste-management-life-cycle-inventory-tool-v1-0-4</t>
  </si>
  <si>
    <t>https://catalog.data.gov/dataset/food-waste-management-life-cycle-inventory-tool-v1-0-5</t>
  </si>
  <si>
    <t>https://catalog.data.gov/dataset/food-waste-management-life-cycle-inventory-tool-v1-0-6</t>
  </si>
  <si>
    <t>https://catalog.data.gov/dataset/food-waste-management-life-cycle-inventory-tool-v1-0-7</t>
  </si>
  <si>
    <t>Emissions</t>
  </si>
  <si>
    <t>Efficiency</t>
  </si>
  <si>
    <t>Thermal</t>
  </si>
  <si>
    <t>Electric</t>
  </si>
  <si>
    <t>Fugitive methane loss</t>
  </si>
  <si>
    <t>Methane_lhv</t>
  </si>
  <si>
    <t>MJ/m3</t>
  </si>
  <si>
    <t>Methane volume share in biogas</t>
  </si>
  <si>
    <t>Methane density</t>
  </si>
  <si>
    <t>kg/m3</t>
  </si>
  <si>
    <t>Electricity requirement</t>
  </si>
  <si>
    <t>kWh/t</t>
  </si>
  <si>
    <t>Heat requirement</t>
  </si>
  <si>
    <t>https://catalog.data.gov/dataset/food-waste-management-life-cycle-inventory-tool-v1-0-8</t>
  </si>
  <si>
    <t>https://catalog.data.gov/dataset/food-waste-management-life-cycle-inventory-tool-v1-0-9</t>
  </si>
  <si>
    <t>Production of digestate</t>
  </si>
  <si>
    <t>Water requriement</t>
  </si>
  <si>
    <t>Mass</t>
  </si>
  <si>
    <t>%TS</t>
  </si>
  <si>
    <t>kg</t>
  </si>
  <si>
    <t>Mass of digestate</t>
  </si>
  <si>
    <t>CO2 density</t>
  </si>
  <si>
    <t>impurities</t>
  </si>
  <si>
    <t>Moisture content, FW</t>
  </si>
  <si>
    <t>VS, FW</t>
  </si>
  <si>
    <t>% of impurities sorted</t>
  </si>
  <si>
    <t>FW</t>
  </si>
  <si>
    <t>CH4</t>
  </si>
  <si>
    <t>CO2</t>
  </si>
  <si>
    <t>biogaz</t>
  </si>
  <si>
    <t>digestat</t>
  </si>
  <si>
    <t>Storage</t>
  </si>
  <si>
    <t>Volatile Solids Destruction, Storage</t>
  </si>
  <si>
    <t>%of VS in digestate</t>
  </si>
  <si>
    <t>Methane production</t>
  </si>
  <si>
    <t>VS conversion</t>
  </si>
  <si>
    <t>%VS initial</t>
  </si>
  <si>
    <t>Methane emitted</t>
  </si>
  <si>
    <t>biogas density</t>
  </si>
  <si>
    <t>Land application of digestate</t>
  </si>
  <si>
    <t>Mass of digestate after storage</t>
  </si>
  <si>
    <t>NH3</t>
  </si>
  <si>
    <t>N2O</t>
  </si>
  <si>
    <t>https://www.sciencedirect.com/science/article/pii/S0964830514002029?casa_token=CuYe3ZTSPycAAAAA:rRl8EoKYwznoEuX0VuPF32xCFrhHD9S8o6J9Rem4dyM93P7UKc0KSdNufZkaSkLN-jqlbWcV0A</t>
  </si>
  <si>
    <t>https://www.sciencedirect.com/science/article/pii/S0269749116318681?casa_token=rEHlW1O-mdgAAAAA:ajVYtblqpRrvAmnneRiCuHYjbAf28QtOFIZvNqxyyT-5bQeD04vvZbKV7yYKKyCFgeWfW8dgUQ#sec3</t>
  </si>
  <si>
    <t>NO3</t>
  </si>
  <si>
    <t>kgN-N2O/kgN applied</t>
  </si>
  <si>
    <t>kgN-NH3/kgN applied</t>
  </si>
  <si>
    <t>kgN-NO3-/kgN applied</t>
  </si>
  <si>
    <t>kWh/m3 of biogas</t>
  </si>
  <si>
    <t>https://www.sciencedirect.com/science/article/pii/S0013935122009598?casa_token=b-5UAciDODcAAAAA:iPTgJGz224xsnoQdrEctjVyXjbgpRksrTp6NPBa96VQZoPJqxyo5SRxUSGA4QFvLo7qp_-bQrQ</t>
  </si>
  <si>
    <t>Lubricating oil</t>
  </si>
  <si>
    <t>g/m3 of biogas</t>
  </si>
  <si>
    <t>Biogas boiler</t>
  </si>
  <si>
    <t>CO</t>
  </si>
  <si>
    <t>Nox</t>
  </si>
  <si>
    <t>kg/m3 of biogas</t>
  </si>
  <si>
    <t>Biogas upgrading</t>
  </si>
  <si>
    <t>Activated carbon</t>
  </si>
  <si>
    <t>kWh</t>
  </si>
  <si>
    <t>Electric engine</t>
  </si>
  <si>
    <t>% of fuel combusted</t>
  </si>
  <si>
    <t>Digestate dewatering</t>
  </si>
  <si>
    <t>https://www.sciencedirect.com/science/article/pii/S1364032120308728?via%3Dihub#sec2</t>
  </si>
  <si>
    <t>Ardolino, 2021</t>
  </si>
  <si>
    <t xml:space="preserve">Zeolite </t>
  </si>
  <si>
    <t>CH4 fugitive</t>
  </si>
  <si>
    <t>CO2 removal rate</t>
  </si>
  <si>
    <t>:Using Pressure Swing Adsorption technology</t>
  </si>
  <si>
    <t>electricty for upgrading + injection</t>
  </si>
  <si>
    <t>% volume of methane</t>
  </si>
  <si>
    <t>% volume of CO2</t>
  </si>
  <si>
    <t>H2S</t>
  </si>
  <si>
    <t>Sox</t>
  </si>
  <si>
    <t>PM10</t>
  </si>
  <si>
    <t>PM2.5</t>
  </si>
  <si>
    <t>VOC</t>
  </si>
  <si>
    <t>1 lb/MCF</t>
  </si>
  <si>
    <t>Labutong, 2012</t>
  </si>
  <si>
    <t>https://pureadmin.qub.ac.uk/ws/files/135497181/Document2.pdf</t>
  </si>
  <si>
    <t>Electricity requirement (low voltage)</t>
  </si>
  <si>
    <t>Ecoinvent</t>
  </si>
  <si>
    <t>heat production, biomethane, at boiler condensing modulating &lt;100kW | heat, central or small-scale, biomethane | Cutoff, U</t>
  </si>
  <si>
    <t>Dewatering, solids capture</t>
  </si>
  <si>
    <t>Dewatering, solids concentration</t>
  </si>
  <si>
    <t>Electricity, Digestate Dewatering</t>
  </si>
  <si>
    <t>Nitrogen, partitioning to water</t>
  </si>
  <si>
    <t>Phosphorus, partitioning to water</t>
  </si>
  <si>
    <t>Potassium, partitioning to water</t>
  </si>
  <si>
    <t>Carbon, partitioning to water</t>
  </si>
  <si>
    <t>% of TS</t>
  </si>
  <si>
    <t>% of wet mass</t>
  </si>
  <si>
    <t>kWh/kg digestate</t>
  </si>
  <si>
    <t>% of N</t>
  </si>
  <si>
    <t>% of P</t>
  </si>
  <si>
    <t>% of K</t>
  </si>
  <si>
    <t>% of C</t>
  </si>
  <si>
    <t>Digestate composting</t>
  </si>
  <si>
    <t>Carbon degraded during composting</t>
  </si>
  <si>
    <t>% of feedstock carbon</t>
  </si>
  <si>
    <t>Compost emission, methane</t>
  </si>
  <si>
    <t>% of incoming C</t>
  </si>
  <si>
    <t>Compost emission, nitrous oxide</t>
  </si>
  <si>
    <t>% of incoming N</t>
  </si>
  <si>
    <t>Compost emission, ammonia</t>
  </si>
  <si>
    <t>Compost emission, NMVOC</t>
  </si>
  <si>
    <t>kg NMVOC/Mg FW</t>
  </si>
  <si>
    <t>Compost emission, carbon monoxide</t>
  </si>
  <si>
    <t>Mass loss</t>
  </si>
  <si>
    <t>% of incoming feedstock mass</t>
  </si>
  <si>
    <t>Electricity, windrow</t>
  </si>
  <si>
    <t>Diesel, windrow</t>
  </si>
  <si>
    <t>kWh/Mg digestate</t>
  </si>
  <si>
    <t>liters/Mg digestate</t>
  </si>
  <si>
    <t>Land application of compost from digestate</t>
  </si>
  <si>
    <t>Reference unit</t>
  </si>
  <si>
    <t>Information</t>
  </si>
  <si>
    <t>ecosystem quality - acidification: terrestrial</t>
  </si>
  <si>
    <t>ecosystem quality - climate change: freshwater ecosystems</t>
  </si>
  <si>
    <t>ecosystem quality - climate change: terrestrial ecosystems</t>
  </si>
  <si>
    <t>ecosystem quality - ecotoxicity: freshwater</t>
  </si>
  <si>
    <t>ecosystem quality - ecotoxicity: marine</t>
  </si>
  <si>
    <t>ecosystem quality - ecotoxicity: terrestrial</t>
  </si>
  <si>
    <t>ecosystem quality - eutrophication: freshwater</t>
  </si>
  <si>
    <t>ecosystem quality - eutrophication: marine</t>
  </si>
  <si>
    <t>ecosystem quality - land use</t>
  </si>
  <si>
    <t>ecosystem quality - photochemical oxidant formation: terrestrial ecosystems</t>
  </si>
  <si>
    <t>ecosystem quality - water use: aquatic ecosystems</t>
  </si>
  <si>
    <t>ecosystem quality - water use: terrestrial ecosystems</t>
  </si>
  <si>
    <t>human health - climate change: human health</t>
  </si>
  <si>
    <t>human health - human toxicity: carcinogenic</t>
  </si>
  <si>
    <t>human health - human toxicity: non-carcinogenic</t>
  </si>
  <si>
    <t>human health - ionising radiation</t>
  </si>
  <si>
    <t>human health - ozone depletion</t>
  </si>
  <si>
    <t>human health - particulate matter formation</t>
  </si>
  <si>
    <t>human health - photochemical oxidant formation: human health</t>
  </si>
  <si>
    <t>human health - water use: human health</t>
  </si>
  <si>
    <t>natural resources - energy resources: non-renewable, fossil</t>
  </si>
  <si>
    <t>natural resources - material resources: metals/minerals</t>
  </si>
  <si>
    <t>total: ecosystem quality - ecosystem quality</t>
  </si>
  <si>
    <t>total: human health - human health</t>
  </si>
  <si>
    <t>total: natural resources - natural resources</t>
  </si>
  <si>
    <t xml:space="preserve"> kWh</t>
  </si>
  <si>
    <t>market for electricity, medium voltage | electricity, medium voltage | Cutoff, U</t>
  </si>
  <si>
    <t>Geography</t>
  </si>
  <si>
    <t>FR</t>
  </si>
  <si>
    <t>market for tap water | tap water | Cutoff, U</t>
  </si>
  <si>
    <t>Europe without Switzerland</t>
  </si>
  <si>
    <t>MJ/t</t>
  </si>
  <si>
    <t>Heat, natural gas</t>
  </si>
  <si>
    <t>MJ</t>
  </si>
  <si>
    <t>Heat, fuel</t>
  </si>
  <si>
    <t>Heat, coal</t>
  </si>
  <si>
    <t>Heat, wood chips</t>
  </si>
  <si>
    <t>sulfure oxides</t>
  </si>
  <si>
    <t>dinitrogen monoxide</t>
  </si>
  <si>
    <t>Nitrate</t>
  </si>
  <si>
    <t>NMOVC</t>
  </si>
  <si>
    <t>Diesel</t>
  </si>
  <si>
    <t>N-fertilizer</t>
  </si>
  <si>
    <t>K-fertilizer</t>
  </si>
  <si>
    <t>P-fertilizer</t>
  </si>
  <si>
    <t>Peat</t>
  </si>
  <si>
    <t>Sorting efficiency for impurities</t>
  </si>
  <si>
    <t>Sorting efficiency for biowaste</t>
  </si>
  <si>
    <t xml:space="preserve">% of biowaste retained </t>
  </si>
  <si>
    <t>Incineration</t>
  </si>
  <si>
    <t>Pretreated biowaste</t>
  </si>
  <si>
    <t xml:space="preserve">discarded biowaste </t>
  </si>
  <si>
    <t>L/dry-t</t>
  </si>
  <si>
    <t>m3</t>
  </si>
  <si>
    <t>Heat mix</t>
  </si>
  <si>
    <t>Mix of heat</t>
  </si>
  <si>
    <t xml:space="preserve">  - Gaz naturel</t>
  </si>
  <si>
    <t xml:space="preserve">  - Biomasse (solide, liquide, gazeuse)</t>
  </si>
  <si>
    <t xml:space="preserve">  - Déchets (industriels et urbains)</t>
  </si>
  <si>
    <t xml:space="preserve">  - Charbon</t>
  </si>
  <si>
    <t>Petrole</t>
  </si>
  <si>
    <t>Heat, waste</t>
  </si>
  <si>
    <t>https://www.statistiques.developpement-durable.gouv.fr/edition-numerique/chiffres-cles-energie/17-reseaux-de-chaleur</t>
  </si>
  <si>
    <t>Electricity consumption</t>
  </si>
  <si>
    <t>Water consumption</t>
  </si>
  <si>
    <t>Heat consumption</t>
  </si>
  <si>
    <t>Particulate Matter (PM2.5)</t>
  </si>
  <si>
    <t>Zeolite</t>
  </si>
  <si>
    <t>Biomethane</t>
  </si>
  <si>
    <t>Heat,waste</t>
  </si>
  <si>
    <t>Heat, mix</t>
  </si>
  <si>
    <t>Total AD-a</t>
  </si>
  <si>
    <t>Upgrading</t>
  </si>
  <si>
    <t>digestate</t>
  </si>
  <si>
    <t>calculated (mass balance)</t>
  </si>
  <si>
    <t>%FW</t>
  </si>
  <si>
    <t>mass of biogas produced during storage</t>
  </si>
  <si>
    <t>Nitrogen content, FW</t>
  </si>
  <si>
    <t>Carbon content, FW</t>
  </si>
  <si>
    <t>% of dry mass of FW</t>
  </si>
  <si>
    <t>digestate after storage</t>
  </si>
  <si>
    <t>https://pure.bangor.ac.uk/ws/portalfiles/portal/18797936/Nicholson_et_al_2017_pre_print.pdf</t>
  </si>
  <si>
    <t>Fiona, 2017</t>
  </si>
  <si>
    <t>Land application of digestate after storage</t>
  </si>
  <si>
    <t>Phosphorus content, FW</t>
  </si>
  <si>
    <t>Potassium content, FW</t>
  </si>
  <si>
    <t>Dewatering</t>
  </si>
  <si>
    <t>electricity</t>
  </si>
  <si>
    <t>wastewater</t>
  </si>
  <si>
    <t>dewatered digestate</t>
  </si>
  <si>
    <t>Moisture content of digestate</t>
  </si>
  <si>
    <t>Total solid of digestate</t>
  </si>
  <si>
    <t>VS in digestate</t>
  </si>
  <si>
    <t>C(T)</t>
  </si>
  <si>
    <t>Density of liquid digestate</t>
  </si>
  <si>
    <t>treatment of wastewater</t>
  </si>
  <si>
    <t>Wastewater treatment</t>
  </si>
  <si>
    <t>transport</t>
  </si>
  <si>
    <t>tkm</t>
  </si>
  <si>
    <t>Treatment of wastewater</t>
  </si>
  <si>
    <t>Transport</t>
  </si>
  <si>
    <t>Composting of digestate</t>
  </si>
  <si>
    <t>NMVOC</t>
  </si>
  <si>
    <t>diesel</t>
  </si>
  <si>
    <t>Cinit - C(CO2,CH4 in biogas) - C lost in water fraction of digestate</t>
  </si>
  <si>
    <t>Density of diesel</t>
  </si>
  <si>
    <t>kg/l</t>
  </si>
  <si>
    <t>https://journals.sagepub.com/doi/full/10.1177/0734242X14545374#bibr26-0734242X14545374</t>
  </si>
  <si>
    <t>Composting</t>
  </si>
  <si>
    <r>
      <t>CH</t>
    </r>
    <r>
      <rPr>
        <vertAlign val="subscript"/>
        <sz val="11"/>
        <color theme="1"/>
        <rFont val="Calibri"/>
        <family val="2"/>
        <scheme val="minor"/>
      </rPr>
      <t>4</t>
    </r>
  </si>
  <si>
    <r>
      <t>NH</t>
    </r>
    <r>
      <rPr>
        <vertAlign val="subscript"/>
        <sz val="11"/>
        <color theme="1"/>
        <rFont val="Calibri"/>
        <family val="2"/>
        <scheme val="minor"/>
      </rPr>
      <t>3</t>
    </r>
  </si>
  <si>
    <r>
      <t>N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</t>
    </r>
  </si>
  <si>
    <r>
      <t>CO</t>
    </r>
    <r>
      <rPr>
        <vertAlign val="subscript"/>
        <sz val="11"/>
        <color theme="1"/>
        <rFont val="Calibri"/>
        <family val="2"/>
        <scheme val="minor"/>
      </rPr>
      <t>2</t>
    </r>
  </si>
  <si>
    <t>Home Composting</t>
  </si>
  <si>
    <t>C/N correction</t>
  </si>
  <si>
    <t>Wood chips consumption</t>
  </si>
  <si>
    <t>Active composting</t>
  </si>
  <si>
    <t>CH4direct</t>
  </si>
  <si>
    <t>NH3direct</t>
  </si>
  <si>
    <t>N2Odirect</t>
  </si>
  <si>
    <t>Substitution</t>
  </si>
  <si>
    <t>Market of peat</t>
  </si>
  <si>
    <t>Market of Nfertilizer</t>
  </si>
  <si>
    <t>Market of Pfertilizer</t>
  </si>
  <si>
    <t>Market of Kfertilizer</t>
  </si>
  <si>
    <t>N2Onet from use-on-land</t>
  </si>
  <si>
    <t>NO3net from use-on-land</t>
  </si>
  <si>
    <t>NH3net from use on-land</t>
  </si>
  <si>
    <t>(PO4)3-net from use-on-land</t>
  </si>
  <si>
    <t>CO2net from use-on-land</t>
  </si>
  <si>
    <t>Use-on-land</t>
  </si>
  <si>
    <t>Industrial composting</t>
  </si>
  <si>
    <t>Technology</t>
  </si>
  <si>
    <t>Pretratment technology</t>
  </si>
  <si>
    <t>Pretreatement technology</t>
  </si>
  <si>
    <t>(don't select if home composting)</t>
  </si>
  <si>
    <t>None</t>
  </si>
  <si>
    <t>Ratio Biowaste/WC</t>
  </si>
  <si>
    <t>8_1</t>
  </si>
  <si>
    <t>Drum-screen + Shredder + Piston press</t>
  </si>
  <si>
    <t>Aeration mode for industrial composting</t>
  </si>
  <si>
    <t>Active</t>
  </si>
  <si>
    <t>Shredder + Piston press + Screw press</t>
  </si>
  <si>
    <t>Distance of biowaste collection</t>
  </si>
  <si>
    <t>km</t>
  </si>
  <si>
    <t>Separation-mill</t>
  </si>
  <si>
    <t>Distance of compost transport from composting site to land</t>
  </si>
  <si>
    <t>Pulp + Drum-screen</t>
  </si>
  <si>
    <t>Biowaste+WC</t>
  </si>
  <si>
    <t>UF</t>
  </si>
  <si>
    <t>Treatment of 1t of biowaste</t>
  </si>
  <si>
    <t xml:space="preserve">data from PaCTEA </t>
  </si>
  <si>
    <t>Electricity (aeration)</t>
  </si>
  <si>
    <t>l</t>
  </si>
  <si>
    <t>Wood chips</t>
  </si>
  <si>
    <t>Mix marginal electricity</t>
  </si>
  <si>
    <t>market for electricity, medium voltage | electricity, medium voltage | Consequential, S</t>
  </si>
  <si>
    <t>natural gas</t>
  </si>
  <si>
    <t>market for natural gas, low pressure | natural gas, low pressure | Consequential, S</t>
  </si>
  <si>
    <t>Mix marginal heat</t>
  </si>
  <si>
    <t>compost</t>
  </si>
  <si>
    <t>Home composting</t>
  </si>
  <si>
    <t>AD+CHP+Digestate</t>
  </si>
  <si>
    <t>Digestate</t>
  </si>
  <si>
    <t>Digestate after storage</t>
  </si>
  <si>
    <t>Land application</t>
  </si>
  <si>
    <t>AD+CHP+Composting</t>
  </si>
  <si>
    <t>Land application of compost</t>
  </si>
  <si>
    <t>AD+injection+Digestate</t>
  </si>
  <si>
    <t>AD+injection+Composting of digestate</t>
  </si>
  <si>
    <t>RECIPE - MIDPOINT</t>
  </si>
  <si>
    <t>RECIPE - ENDPOINT</t>
  </si>
  <si>
    <t>Climate change, long term</t>
  </si>
  <si>
    <t>Climate change, short term</t>
  </si>
  <si>
    <t>Fossil and nuclear energy use</t>
  </si>
  <si>
    <t>Freshwater acidification</t>
  </si>
  <si>
    <t>Freshwater ecotoxicity</t>
  </si>
  <si>
    <t>Freshwater eutrophication</t>
  </si>
  <si>
    <t>Human toxicity cancer</t>
  </si>
  <si>
    <t>Human toxicity non-cancer</t>
  </si>
  <si>
    <t>Ionizing radiations</t>
  </si>
  <si>
    <t>Land occupation, biodiversity</t>
  </si>
  <si>
    <t>Land transformation, biodiversity</t>
  </si>
  <si>
    <t>Marine eutrophication</t>
  </si>
  <si>
    <t>Mineral resources use</t>
  </si>
  <si>
    <t>Ozone layer depletion</t>
  </si>
  <si>
    <t>Particulate matter formation</t>
  </si>
  <si>
    <t>Photochemical ozone formation</t>
  </si>
  <si>
    <t>Terrestrial acidification</t>
  </si>
  <si>
    <t>Water scarcity</t>
  </si>
  <si>
    <t>Climate change, ecosystem quality, long term</t>
  </si>
  <si>
    <t>Climate change, ecosystem quality, short term</t>
  </si>
  <si>
    <t>Climate change, human health, long term</t>
  </si>
  <si>
    <t>Climate change, human health, short term</t>
  </si>
  <si>
    <t>Fisheries impact</t>
  </si>
  <si>
    <t>Freshwater ecotoxicity, long term</t>
  </si>
  <si>
    <t>Freshwater ecotoxicity, short term</t>
  </si>
  <si>
    <t>Human toxicity cancer, long term</t>
  </si>
  <si>
    <t>Human toxicity cancer, short term</t>
  </si>
  <si>
    <t>Human toxicity non-cancer, long term</t>
  </si>
  <si>
    <t>Human toxicity non-cancer, short term</t>
  </si>
  <si>
    <t>Ionizing radiations, ecosystem quality</t>
  </si>
  <si>
    <t>Ionizing radiations, human health</t>
  </si>
  <si>
    <t>Marine acidification, long term</t>
  </si>
  <si>
    <t>Marine acidification, short term</t>
  </si>
  <si>
    <t>Marine ecotoxicity, long term</t>
  </si>
  <si>
    <t>Marine ecotoxicity, short term</t>
  </si>
  <si>
    <t>Photochemical ozone formation, ecosystem quality</t>
  </si>
  <si>
    <t>Photochemical ozone formation, human health</t>
  </si>
  <si>
    <t>Terrestrial ecotoxicity, long term</t>
  </si>
  <si>
    <t>Terrestrial ecotoxicity, short term</t>
  </si>
  <si>
    <t>Thermally polluted water</t>
  </si>
  <si>
    <t>Total ecosystem quality</t>
  </si>
  <si>
    <t>Total human health</t>
  </si>
  <si>
    <t>Water availability, freshwater ecosystem</t>
  </si>
  <si>
    <t>Water availability, human health</t>
  </si>
  <si>
    <t>Water availability, terrestrial ecosystem</t>
  </si>
  <si>
    <t>Carbon footprint</t>
  </si>
  <si>
    <t>Ecosystem quality (residual)</t>
  </si>
  <si>
    <t>Energetic resource depletion</t>
  </si>
  <si>
    <t>Human health (residual)</t>
  </si>
  <si>
    <t>Water footprint - Scarcity</t>
  </si>
  <si>
    <t xml:space="preserve">kg </t>
  </si>
  <si>
    <t>Carbon monoxide (non-fossil)</t>
  </si>
  <si>
    <t>Ecoinvent process</t>
  </si>
  <si>
    <t>Region</t>
  </si>
  <si>
    <t>IMPACT WORLD +  ENDPOINT</t>
  </si>
  <si>
    <t>Substitued products</t>
  </si>
  <si>
    <t>(PO4)3-</t>
  </si>
  <si>
    <t>CO2 fossil</t>
  </si>
  <si>
    <t>IMPACT WORLD + MIDPOINT</t>
  </si>
  <si>
    <t>IMPACT WORLD + FOOTPRINT</t>
  </si>
  <si>
    <t>Transprted discarded biowaste</t>
  </si>
  <si>
    <t>Distance between the industrial plant and the incineration plan</t>
  </si>
  <si>
    <t xml:space="preserve">                                                                           IMPACT WORLD + FOOTPRINT</t>
  </si>
  <si>
    <t>Substituted products</t>
  </si>
  <si>
    <t>transported discarded biowaste</t>
  </si>
  <si>
    <t>Marginal heat</t>
  </si>
  <si>
    <t>Marginal electricity</t>
  </si>
  <si>
    <t>NET EMISSION TO BE calculated</t>
  </si>
  <si>
    <t>IMPACT WORLD + ENDPOINT</t>
  </si>
  <si>
    <t>wastewater treatment</t>
  </si>
  <si>
    <t>N-NO3</t>
  </si>
  <si>
    <t>of N-applied</t>
  </si>
  <si>
    <t>N-N2O</t>
  </si>
  <si>
    <t>Arosemena Polo et al., 2024; Brentrup et al., 2000</t>
  </si>
  <si>
    <t xml:space="preserve"> Brentrup et al., 2000</t>
  </si>
  <si>
    <t>N content of compost</t>
  </si>
  <si>
    <t>t/t of FW</t>
  </si>
  <si>
    <t>t/t</t>
  </si>
  <si>
    <t>Calculated</t>
  </si>
  <si>
    <t>Land application of fertilizer</t>
  </si>
  <si>
    <t>N-NH3</t>
  </si>
  <si>
    <t>kg/t of P</t>
  </si>
  <si>
    <t>Land application of peat</t>
  </si>
  <si>
    <t>kg/kg of DM</t>
  </si>
  <si>
    <t>of C content</t>
  </si>
  <si>
    <t xml:space="preserve">N-available </t>
  </si>
  <si>
    <t>N-available for plant</t>
  </si>
  <si>
    <t>t-N/t FW</t>
  </si>
  <si>
    <t>N-available</t>
  </si>
  <si>
    <t>N-content</t>
  </si>
  <si>
    <t>of total mass (NH4NO3)</t>
  </si>
  <si>
    <t>NH4NO3</t>
  </si>
  <si>
    <t>N content of digestate</t>
  </si>
  <si>
    <t>P-((PO4)3-)</t>
  </si>
  <si>
    <t>kgP/t of P applied</t>
  </si>
  <si>
    <t>P-available</t>
  </si>
  <si>
    <t>%P applied</t>
  </si>
  <si>
    <t>P-content</t>
  </si>
  <si>
    <t>of total mass (single superphospahte)</t>
  </si>
  <si>
    <t>ecoinvent</t>
  </si>
  <si>
    <t>C content of digestate</t>
  </si>
  <si>
    <t>t VS/t</t>
  </si>
  <si>
    <t>tC/t of FW</t>
  </si>
  <si>
    <t>C content of compost</t>
  </si>
  <si>
    <t>C content of raw digestate</t>
  </si>
  <si>
    <t>t/t FW</t>
  </si>
  <si>
    <t xml:space="preserve">Carbon, in solid phase </t>
  </si>
  <si>
    <t>single superphosphate</t>
  </si>
  <si>
    <t>dry fraction of peat</t>
  </si>
  <si>
    <t>kgDM/kgpeat</t>
  </si>
  <si>
    <t>C content of peat</t>
  </si>
  <si>
    <t>Carbon content in DM</t>
  </si>
  <si>
    <t>kgC/kgpeat</t>
  </si>
  <si>
    <t>K content of digestate</t>
  </si>
  <si>
    <t>K-content</t>
  </si>
  <si>
    <t>of total mass (potassium chloride)</t>
  </si>
  <si>
    <t>Gas</t>
  </si>
  <si>
    <t xml:space="preserve">gas </t>
  </si>
  <si>
    <t>Combustion of biogas</t>
  </si>
  <si>
    <t>AD+combustion+digestate</t>
  </si>
  <si>
    <t>AD+combustion+composting</t>
  </si>
  <si>
    <t>P content of compost</t>
  </si>
  <si>
    <t>K content of compost</t>
  </si>
  <si>
    <t>P content of digestate</t>
  </si>
  <si>
    <t>lb/MCF</t>
  </si>
  <si>
    <t>1 ton of waste passing through AD</t>
  </si>
  <si>
    <t>%of Biowaste</t>
  </si>
  <si>
    <t>Use of products from biogas</t>
  </si>
  <si>
    <t xml:space="preserve">marginal heat (natural </t>
  </si>
  <si>
    <t>heat production, natural gas, at boiler condensing modulating &gt;100kW | heat, district or industrial, natural gas</t>
  </si>
  <si>
    <t>Use of biomethane</t>
  </si>
  <si>
    <t>CO2 non-fossil</t>
  </si>
  <si>
    <t>CH4 fossil</t>
  </si>
  <si>
    <t>CH4 non-fossil</t>
  </si>
  <si>
    <t>1 MJ</t>
  </si>
  <si>
    <t>kg/MJ</t>
  </si>
  <si>
    <t>Total impact</t>
  </si>
  <si>
    <t>(already included in heat production processus)</t>
  </si>
  <si>
    <t>biomethane and natural gas are converted into heat</t>
  </si>
  <si>
    <t>(already included in heat and electricity production processus)</t>
  </si>
  <si>
    <t>IMPACT WORLD+ ENDPOINT</t>
  </si>
  <si>
    <t>total</t>
  </si>
  <si>
    <t>Total</t>
  </si>
  <si>
    <t>HC</t>
  </si>
  <si>
    <t>IC</t>
  </si>
  <si>
    <t>AD-a</t>
  </si>
  <si>
    <t>AD-b</t>
  </si>
  <si>
    <t>AD-c</t>
  </si>
  <si>
    <t>AD-d</t>
  </si>
  <si>
    <t>AD-e</t>
  </si>
  <si>
    <t>AD-f</t>
  </si>
  <si>
    <t>Substitution of fertilizers</t>
  </si>
  <si>
    <t>Substitution of peat</t>
  </si>
  <si>
    <t>Substitution of heat</t>
  </si>
  <si>
    <t>Substitution of electricity</t>
  </si>
  <si>
    <t>Substitution of natural gas combustion</t>
  </si>
  <si>
    <t>On-land emissions from replacement of fertilizers</t>
  </si>
  <si>
    <t>On-land emissions from replacement of peat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</si>
</sst>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\ _€_-;\-* #,##0.00\ _€_-;_-* &quot;-&quot;??\ _€_-;_-@_-"/>
    <numFmt numFmtId="164" formatCode="_-* #,##0.00000\ _€_-;\-* #,##0.00000\ _€_-;_-* &quot;-&quot;??\ _€_-;_-@_-"/>
    <numFmt numFmtId="165" formatCode="0.00000"/>
    <numFmt numFmtId="166" formatCode="0.000000"/>
    <numFmt numFmtId="167" formatCode="0.000000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9"/>
      <name val="Arial"/>
      <family val="2"/>
    </font>
    <font>
      <b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Arial"/>
      <family val="2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72">
    <xf numFmtId="0" fontId="0" fillId="0" borderId="0" xfId="0"/>
    <xf numFmtId="9" fontId="0" fillId="0" borderId="0" xfId="0" applyNumberFormat="1"/>
    <xf numFmtId="2" fontId="0" fillId="0" borderId="0" xfId="0" applyNumberFormat="1"/>
    <xf numFmtId="2" fontId="3" fillId="0" borderId="0" xfId="0" applyNumberFormat="1" applyFont="1"/>
    <xf numFmtId="0" fontId="0" fillId="0" borderId="0" xfId="0" applyNumberFormat="1"/>
    <xf numFmtId="11" fontId="0" fillId="0" borderId="0" xfId="0" applyNumberFormat="1"/>
    <xf numFmtId="9" fontId="0" fillId="0" borderId="0" xfId="2" applyFont="1"/>
    <xf numFmtId="0" fontId="0" fillId="0" borderId="1" xfId="0" applyBorder="1" applyAlignment="1">
      <alignment horizontal="right"/>
    </xf>
    <xf numFmtId="0" fontId="4" fillId="0" borderId="0" xfId="3"/>
    <xf numFmtId="2" fontId="2" fillId="0" borderId="0" xfId="0" applyNumberFormat="1" applyFont="1"/>
    <xf numFmtId="10" fontId="0" fillId="0" borderId="0" xfId="0" applyNumberFormat="1"/>
    <xf numFmtId="11" fontId="2" fillId="0" borderId="0" xfId="0" applyNumberFormat="1" applyFont="1"/>
    <xf numFmtId="164" fontId="0" fillId="0" borderId="0" xfId="1" applyNumberFormat="1" applyFont="1"/>
    <xf numFmtId="11" fontId="5" fillId="0" borderId="0" xfId="0" applyNumberFormat="1" applyFont="1"/>
    <xf numFmtId="2" fontId="5" fillId="0" borderId="0" xfId="0" applyNumberFormat="1" applyFont="1"/>
    <xf numFmtId="10" fontId="2" fillId="0" borderId="0" xfId="0" applyNumberFormat="1" applyFont="1"/>
    <xf numFmtId="10" fontId="0" fillId="0" borderId="0" xfId="2" applyNumberFormat="1" applyFont="1"/>
    <xf numFmtId="0" fontId="2" fillId="0" borderId="0" xfId="0" applyFont="1"/>
    <xf numFmtId="2" fontId="4" fillId="0" borderId="0" xfId="3" applyNumberFormat="1"/>
    <xf numFmtId="49" fontId="6" fillId="0" borderId="0" xfId="0" applyNumberFormat="1" applyFont="1" applyAlignment="1">
      <alignment horizontal="left" vertical="center" wrapText="1"/>
    </xf>
    <xf numFmtId="0" fontId="0" fillId="2" borderId="0" xfId="0" applyFill="1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  <xf numFmtId="11" fontId="0" fillId="2" borderId="0" xfId="0" applyNumberFormat="1" applyFill="1" applyAlignment="1">
      <alignment horizontal="center"/>
    </xf>
    <xf numFmtId="9" fontId="0" fillId="2" borderId="0" xfId="0" applyNumberFormat="1" applyFill="1"/>
    <xf numFmtId="43" fontId="0" fillId="0" borderId="0" xfId="1" applyFon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11" fontId="0" fillId="0" borderId="0" xfId="0" applyNumberFormat="1" applyAlignment="1">
      <alignment vertical="top"/>
    </xf>
    <xf numFmtId="0" fontId="3" fillId="0" borderId="0" xfId="0" applyFont="1"/>
    <xf numFmtId="0" fontId="0" fillId="0" borderId="0" xfId="0" applyFont="1"/>
    <xf numFmtId="0" fontId="9" fillId="0" borderId="0" xfId="0" applyFont="1"/>
    <xf numFmtId="0" fontId="5" fillId="0" borderId="0" xfId="0" applyFont="1"/>
    <xf numFmtId="0" fontId="7" fillId="0" borderId="0" xfId="0" applyFont="1"/>
    <xf numFmtId="0" fontId="10" fillId="0" borderId="0" xfId="0" applyFont="1"/>
    <xf numFmtId="0" fontId="10" fillId="0" borderId="2" xfId="0" applyFont="1" applyBorder="1"/>
    <xf numFmtId="0" fontId="0" fillId="0" borderId="3" xfId="0" applyBorder="1"/>
    <xf numFmtId="0" fontId="0" fillId="0" borderId="4" xfId="0" applyBorder="1"/>
    <xf numFmtId="0" fontId="10" fillId="0" borderId="5" xfId="0" applyFont="1" applyBorder="1"/>
    <xf numFmtId="0" fontId="0" fillId="0" borderId="0" xfId="0" applyBorder="1"/>
    <xf numFmtId="0" fontId="0" fillId="0" borderId="6" xfId="0" applyBorder="1"/>
    <xf numFmtId="0" fontId="10" fillId="0" borderId="7" xfId="0" applyFont="1" applyBorder="1"/>
    <xf numFmtId="0" fontId="0" fillId="0" borderId="8" xfId="0" applyBorder="1"/>
    <xf numFmtId="0" fontId="0" fillId="0" borderId="9" xfId="0" applyBorder="1"/>
    <xf numFmtId="0" fontId="10" fillId="0" borderId="10" xfId="0" applyFont="1" applyBorder="1"/>
    <xf numFmtId="0" fontId="0" fillId="0" borderId="11" xfId="0" applyBorder="1"/>
    <xf numFmtId="0" fontId="0" fillId="0" borderId="12" xfId="0" applyBorder="1"/>
    <xf numFmtId="0" fontId="0" fillId="0" borderId="5" xfId="0" applyBorder="1"/>
    <xf numFmtId="0" fontId="0" fillId="0" borderId="7" xfId="0" applyBorder="1"/>
    <xf numFmtId="0" fontId="7" fillId="0" borderId="2" xfId="0" applyFont="1" applyBorder="1"/>
    <xf numFmtId="0" fontId="0" fillId="0" borderId="0" xfId="0" applyFill="1" applyBorder="1"/>
    <xf numFmtId="0" fontId="0" fillId="0" borderId="6" xfId="0" applyFill="1" applyBorder="1"/>
    <xf numFmtId="0" fontId="0" fillId="0" borderId="8" xfId="0" applyFill="1" applyBorder="1"/>
    <xf numFmtId="0" fontId="0" fillId="0" borderId="9" xfId="0" applyFill="1" applyBorder="1"/>
    <xf numFmtId="0" fontId="7" fillId="0" borderId="10" xfId="0" applyFont="1" applyBorder="1"/>
    <xf numFmtId="0" fontId="7" fillId="0" borderId="11" xfId="0" applyFont="1" applyBorder="1"/>
    <xf numFmtId="0" fontId="7" fillId="0" borderId="12" xfId="0" applyFont="1" applyBorder="1"/>
    <xf numFmtId="0" fontId="0" fillId="0" borderId="4" xfId="0" applyFill="1" applyBorder="1"/>
    <xf numFmtId="43" fontId="0" fillId="0" borderId="8" xfId="0" applyNumberFormat="1" applyBorder="1"/>
    <xf numFmtId="2" fontId="0" fillId="0" borderId="0" xfId="0" applyNumberFormat="1" applyBorder="1"/>
    <xf numFmtId="11" fontId="0" fillId="0" borderId="0" xfId="0" applyNumberFormat="1" applyBorder="1"/>
    <xf numFmtId="2" fontId="0" fillId="0" borderId="8" xfId="0" applyNumberFormat="1" applyBorder="1"/>
    <xf numFmtId="0" fontId="0" fillId="0" borderId="11" xfId="0" applyFont="1" applyBorder="1"/>
    <xf numFmtId="0" fontId="0" fillId="0" borderId="12" xfId="0" applyFont="1" applyBorder="1"/>
    <xf numFmtId="0" fontId="0" fillId="0" borderId="0" xfId="0" applyBorder="1" applyAlignment="1">
      <alignment vertical="top"/>
    </xf>
    <xf numFmtId="0" fontId="7" fillId="3" borderId="1" xfId="0" applyFont="1" applyFill="1" applyBorder="1" applyAlignment="1">
      <alignment vertical="top" wrapText="1"/>
    </xf>
    <xf numFmtId="0" fontId="7" fillId="3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horizontal="center" vertical="top" wrapText="1"/>
    </xf>
    <xf numFmtId="0" fontId="0" fillId="3" borderId="1" xfId="0" applyFill="1" applyBorder="1"/>
    <xf numFmtId="0" fontId="0" fillId="3" borderId="1" xfId="0" applyFill="1" applyBorder="1" applyAlignment="1">
      <alignment vertical="top"/>
    </xf>
    <xf numFmtId="11" fontId="0" fillId="3" borderId="1" xfId="0" applyNumberFormat="1" applyFill="1" applyBorder="1" applyAlignment="1">
      <alignment vertical="top"/>
    </xf>
    <xf numFmtId="0" fontId="7" fillId="3" borderId="1" xfId="0" applyFont="1" applyFill="1" applyBorder="1"/>
    <xf numFmtId="0" fontId="10" fillId="3" borderId="1" xfId="0" applyFont="1" applyFill="1" applyBorder="1"/>
    <xf numFmtId="0" fontId="7" fillId="0" borderId="0" xfId="0" applyFont="1" applyAlignment="1">
      <alignment vertical="top"/>
    </xf>
    <xf numFmtId="0" fontId="7" fillId="4" borderId="1" xfId="0" applyFont="1" applyFill="1" applyBorder="1" applyAlignment="1">
      <alignment vertical="top" wrapText="1"/>
    </xf>
    <xf numFmtId="0" fontId="7" fillId="4" borderId="1" xfId="0" applyFont="1" applyFill="1" applyBorder="1" applyAlignment="1">
      <alignment horizontal="center" vertical="top" wrapText="1"/>
    </xf>
    <xf numFmtId="0" fontId="0" fillId="4" borderId="1" xfId="0" applyFill="1" applyBorder="1"/>
    <xf numFmtId="0" fontId="0" fillId="4" borderId="1" xfId="0" applyFill="1" applyBorder="1" applyAlignment="1">
      <alignment vertical="top"/>
    </xf>
    <xf numFmtId="0" fontId="7" fillId="4" borderId="1" xfId="0" applyFont="1" applyFill="1" applyBorder="1"/>
    <xf numFmtId="11" fontId="0" fillId="4" borderId="1" xfId="0" applyNumberFormat="1" applyFill="1" applyBorder="1" applyAlignment="1">
      <alignment vertical="top"/>
    </xf>
    <xf numFmtId="11" fontId="7" fillId="3" borderId="1" xfId="0" applyNumberFormat="1" applyFont="1" applyFill="1" applyBorder="1" applyAlignment="1">
      <alignment vertical="top"/>
    </xf>
    <xf numFmtId="0" fontId="7" fillId="0" borderId="0" xfId="0" applyFont="1" applyAlignment="1">
      <alignment wrapText="1"/>
    </xf>
    <xf numFmtId="0" fontId="7" fillId="5" borderId="1" xfId="0" applyFont="1" applyFill="1" applyBorder="1" applyAlignment="1">
      <alignment vertical="center"/>
    </xf>
    <xf numFmtId="0" fontId="7" fillId="5" borderId="1" xfId="0" applyFont="1" applyFill="1" applyBorder="1"/>
    <xf numFmtId="0" fontId="7" fillId="5" borderId="1" xfId="0" applyFont="1" applyFill="1" applyBorder="1" applyAlignment="1">
      <alignment vertical="center" wrapText="1"/>
    </xf>
    <xf numFmtId="0" fontId="0" fillId="5" borderId="1" xfId="0" applyFill="1" applyBorder="1" applyAlignment="1">
      <alignment vertical="top"/>
    </xf>
    <xf numFmtId="0" fontId="0" fillId="5" borderId="1" xfId="0" applyFill="1" applyBorder="1"/>
    <xf numFmtId="11" fontId="0" fillId="5" borderId="1" xfId="0" applyNumberFormat="1" applyFill="1" applyBorder="1" applyAlignment="1">
      <alignment vertical="top"/>
    </xf>
    <xf numFmtId="11" fontId="0" fillId="0" borderId="8" xfId="0" applyNumberFormat="1" applyBorder="1"/>
    <xf numFmtId="0" fontId="10" fillId="5" borderId="1" xfId="0" applyFont="1" applyFill="1" applyBorder="1"/>
    <xf numFmtId="0" fontId="7" fillId="5" borderId="1" xfId="0" applyFont="1" applyFill="1" applyBorder="1" applyAlignment="1">
      <alignment vertical="top"/>
    </xf>
    <xf numFmtId="0" fontId="0" fillId="5" borderId="1" xfId="0" applyFont="1" applyFill="1" applyBorder="1"/>
    <xf numFmtId="11" fontId="7" fillId="5" borderId="1" xfId="0" applyNumberFormat="1" applyFont="1" applyFill="1" applyBorder="1" applyAlignment="1">
      <alignment vertical="top"/>
    </xf>
    <xf numFmtId="0" fontId="10" fillId="4" borderId="1" xfId="0" applyFont="1" applyFill="1" applyBorder="1"/>
    <xf numFmtId="0" fontId="7" fillId="4" borderId="1" xfId="0" applyFont="1" applyFill="1" applyBorder="1" applyAlignment="1">
      <alignment wrapText="1"/>
    </xf>
    <xf numFmtId="0" fontId="7" fillId="4" borderId="1" xfId="0" applyFont="1" applyFill="1" applyBorder="1" applyAlignment="1">
      <alignment vertical="top"/>
    </xf>
    <xf numFmtId="0" fontId="0" fillId="4" borderId="10" xfId="0" applyFill="1" applyBorder="1" applyAlignment="1">
      <alignment vertical="top"/>
    </xf>
    <xf numFmtId="11" fontId="7" fillId="4" borderId="1" xfId="0" applyNumberFormat="1" applyFont="1" applyFill="1" applyBorder="1" applyAlignment="1">
      <alignment vertical="top"/>
    </xf>
    <xf numFmtId="0" fontId="7" fillId="3" borderId="1" xfId="0" applyFont="1" applyFill="1" applyBorder="1" applyAlignment="1">
      <alignment wrapText="1"/>
    </xf>
    <xf numFmtId="0" fontId="7" fillId="3" borderId="1" xfId="0" applyFont="1" applyFill="1" applyBorder="1" applyAlignment="1">
      <alignment vertical="top"/>
    </xf>
    <xf numFmtId="11" fontId="0" fillId="0" borderId="3" xfId="0" applyNumberFormat="1" applyBorder="1"/>
    <xf numFmtId="0" fontId="7" fillId="6" borderId="1" xfId="0" applyFont="1" applyFill="1" applyBorder="1" applyAlignment="1">
      <alignment vertical="center" wrapText="1"/>
    </xf>
    <xf numFmtId="0" fontId="10" fillId="6" borderId="1" xfId="0" applyFont="1" applyFill="1" applyBorder="1" applyAlignment="1">
      <alignment vertical="top" wrapText="1"/>
    </xf>
    <xf numFmtId="0" fontId="0" fillId="6" borderId="1" xfId="0" applyFill="1" applyBorder="1" applyAlignment="1">
      <alignment vertical="center" wrapText="1"/>
    </xf>
    <xf numFmtId="43" fontId="7" fillId="6" borderId="1" xfId="0" applyNumberFormat="1" applyFont="1" applyFill="1" applyBorder="1"/>
    <xf numFmtId="0" fontId="10" fillId="6" borderId="1" xfId="0" applyFont="1" applyFill="1" applyBorder="1"/>
    <xf numFmtId="0" fontId="0" fillId="6" borderId="1" xfId="0" applyFill="1" applyBorder="1"/>
    <xf numFmtId="0" fontId="7" fillId="6" borderId="1" xfId="0" applyFont="1" applyFill="1" applyBorder="1"/>
    <xf numFmtId="43" fontId="0" fillId="6" borderId="1" xfId="0" applyNumberFormat="1" applyFill="1" applyBorder="1"/>
    <xf numFmtId="11" fontId="0" fillId="6" borderId="1" xfId="0" applyNumberFormat="1" applyFill="1" applyBorder="1"/>
    <xf numFmtId="11" fontId="7" fillId="6" borderId="1" xfId="0" applyNumberFormat="1" applyFont="1" applyFill="1" applyBorder="1"/>
    <xf numFmtId="0" fontId="2" fillId="6" borderId="1" xfId="0" applyFont="1" applyFill="1" applyBorder="1"/>
    <xf numFmtId="11" fontId="2" fillId="6" borderId="1" xfId="0" applyNumberFormat="1" applyFont="1" applyFill="1" applyBorder="1"/>
    <xf numFmtId="43" fontId="0" fillId="0" borderId="3" xfId="0" applyNumberFormat="1" applyBorder="1"/>
    <xf numFmtId="0" fontId="7" fillId="7" borderId="1" xfId="0" applyFont="1" applyFill="1" applyBorder="1"/>
    <xf numFmtId="0" fontId="0" fillId="7" borderId="1" xfId="0" applyFill="1" applyBorder="1"/>
    <xf numFmtId="43" fontId="7" fillId="7" borderId="1" xfId="0" applyNumberFormat="1" applyFont="1" applyFill="1" applyBorder="1"/>
    <xf numFmtId="9" fontId="2" fillId="0" borderId="0" xfId="0" applyNumberFormat="1" applyFont="1"/>
    <xf numFmtId="0" fontId="12" fillId="0" borderId="0" xfId="0" applyFont="1"/>
    <xf numFmtId="0" fontId="5" fillId="0" borderId="0" xfId="0" applyFont="1" applyBorder="1"/>
    <xf numFmtId="11" fontId="5" fillId="0" borderId="0" xfId="0" applyNumberFormat="1" applyFont="1" applyBorder="1"/>
    <xf numFmtId="0" fontId="5" fillId="0" borderId="8" xfId="0" applyFont="1" applyBorder="1"/>
    <xf numFmtId="11" fontId="5" fillId="0" borderId="8" xfId="0" applyNumberFormat="1" applyFont="1" applyBorder="1"/>
    <xf numFmtId="0" fontId="0" fillId="6" borderId="1" xfId="0" applyFont="1" applyFill="1" applyBorder="1"/>
    <xf numFmtId="2" fontId="0" fillId="6" borderId="1" xfId="0" applyNumberFormat="1" applyFill="1" applyBorder="1"/>
    <xf numFmtId="0" fontId="0" fillId="0" borderId="3" xfId="0" applyFill="1" applyBorder="1"/>
    <xf numFmtId="0" fontId="5" fillId="6" borderId="1" xfId="0" applyFont="1" applyFill="1" applyBorder="1"/>
    <xf numFmtId="11" fontId="5" fillId="6" borderId="1" xfId="0" applyNumberFormat="1" applyFont="1" applyFill="1" applyBorder="1"/>
    <xf numFmtId="0" fontId="13" fillId="6" borderId="1" xfId="0" applyFont="1" applyFill="1" applyBorder="1"/>
    <xf numFmtId="0" fontId="0" fillId="8" borderId="1" xfId="0" applyFill="1" applyBorder="1"/>
    <xf numFmtId="0" fontId="7" fillId="8" borderId="1" xfId="0" applyFont="1" applyFill="1" applyBorder="1" applyAlignment="1">
      <alignment wrapText="1"/>
    </xf>
    <xf numFmtId="11" fontId="0" fillId="8" borderId="1" xfId="0" applyNumberFormat="1" applyFill="1" applyBorder="1"/>
    <xf numFmtId="11" fontId="0" fillId="0" borderId="0" xfId="1" applyNumberFormat="1" applyFont="1"/>
    <xf numFmtId="0" fontId="7" fillId="8" borderId="1" xfId="0" applyFont="1" applyFill="1" applyBorder="1" applyAlignment="1">
      <alignment vertical="center" wrapText="1"/>
    </xf>
    <xf numFmtId="0" fontId="7" fillId="8" borderId="1" xfId="0" applyFont="1" applyFill="1" applyBorder="1"/>
    <xf numFmtId="0" fontId="10" fillId="8" borderId="1" xfId="0" applyFont="1" applyFill="1" applyBorder="1"/>
    <xf numFmtId="0" fontId="2" fillId="8" borderId="1" xfId="0" applyFont="1" applyFill="1" applyBorder="1"/>
    <xf numFmtId="11" fontId="0" fillId="8" borderId="1" xfId="1" applyNumberFormat="1" applyFont="1" applyFill="1" applyBorder="1"/>
    <xf numFmtId="0" fontId="0" fillId="8" borderId="1" xfId="0" applyFont="1" applyFill="1" applyBorder="1" applyAlignment="1">
      <alignment vertical="center" wrapText="1"/>
    </xf>
    <xf numFmtId="11" fontId="7" fillId="8" borderId="1" xfId="0" applyNumberFormat="1" applyFont="1" applyFill="1" applyBorder="1"/>
    <xf numFmtId="11" fontId="7" fillId="9" borderId="1" xfId="0" applyNumberFormat="1" applyFont="1" applyFill="1" applyBorder="1"/>
    <xf numFmtId="11" fontId="0" fillId="9" borderId="1" xfId="0" applyNumberFormat="1" applyFill="1" applyBorder="1"/>
    <xf numFmtId="0" fontId="0" fillId="0" borderId="1" xfId="0" applyBorder="1"/>
    <xf numFmtId="11" fontId="0" fillId="0" borderId="1" xfId="0" applyNumberFormat="1" applyBorder="1"/>
    <xf numFmtId="43" fontId="0" fillId="0" borderId="1" xfId="0" applyNumberFormat="1" applyBorder="1"/>
    <xf numFmtId="0" fontId="7" fillId="10" borderId="0" xfId="0" applyFont="1" applyFill="1" applyAlignment="1">
      <alignment wrapText="1"/>
    </xf>
    <xf numFmtId="0" fontId="7" fillId="11" borderId="0" xfId="0" applyFont="1" applyFill="1" applyAlignment="1">
      <alignment wrapText="1"/>
    </xf>
    <xf numFmtId="0" fontId="7" fillId="6" borderId="10" xfId="0" applyFont="1" applyFill="1" applyBorder="1" applyAlignment="1"/>
    <xf numFmtId="0" fontId="7" fillId="6" borderId="11" xfId="0" applyFont="1" applyFill="1" applyBorder="1" applyAlignment="1"/>
    <xf numFmtId="0" fontId="7" fillId="6" borderId="12" xfId="0" applyFont="1" applyFill="1" applyBorder="1" applyAlignment="1"/>
    <xf numFmtId="0" fontId="0" fillId="0" borderId="0" xfId="0" applyAlignment="1">
      <alignment horizontal="center"/>
    </xf>
    <xf numFmtId="0" fontId="7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0" fontId="11" fillId="5" borderId="10" xfId="0" applyFont="1" applyFill="1" applyBorder="1" applyAlignment="1">
      <alignment horizontal="center"/>
    </xf>
    <xf numFmtId="0" fontId="11" fillId="5" borderId="11" xfId="0" applyFont="1" applyFill="1" applyBorder="1" applyAlignment="1">
      <alignment horizontal="center"/>
    </xf>
    <xf numFmtId="0" fontId="11" fillId="5" borderId="12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14" fillId="8" borderId="8" xfId="0" applyFont="1" applyFill="1" applyBorder="1" applyAlignment="1">
      <alignment horizontal="center"/>
    </xf>
    <xf numFmtId="0" fontId="11" fillId="8" borderId="10" xfId="0" applyFont="1" applyFill="1" applyBorder="1" applyAlignment="1">
      <alignment horizontal="center"/>
    </xf>
    <xf numFmtId="0" fontId="11" fillId="8" borderId="11" xfId="0" applyFont="1" applyFill="1" applyBorder="1" applyAlignment="1">
      <alignment horizontal="center"/>
    </xf>
    <xf numFmtId="0" fontId="11" fillId="8" borderId="12" xfId="0" applyFont="1" applyFill="1" applyBorder="1" applyAlignment="1">
      <alignment horizontal="center"/>
    </xf>
  </cellXfs>
  <cellStyles count="4">
    <cellStyle name="Lien hypertexte" xfId="3" builtinId="8"/>
    <cellStyle name="Milliers" xfId="1" builtinId="3"/>
    <cellStyle name="Normal" xfId="0" builtinId="0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3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1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Total ecosystem quality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Figures!$A$3</c:f>
              <c:strCache>
                <c:ptCount val="1"/>
                <c:pt idx="0">
                  <c:v>Composting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Figures!$B$2:$I$2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Figures!$B$3:$I$3</c:f>
              <c:numCache>
                <c:formatCode>General</c:formatCode>
                <c:ptCount val="8"/>
                <c:pt idx="0">
                  <c:v>35.50152298199334</c:v>
                </c:pt>
                <c:pt idx="1">
                  <c:v>35.594256285885407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88-41B4-A4E5-D98FB6A7670C}"/>
            </c:ext>
          </c:extLst>
        </c:ser>
        <c:ser>
          <c:idx val="1"/>
          <c:order val="1"/>
          <c:tx>
            <c:strRef>
              <c:f>Figures!$A$4</c:f>
              <c:strCache>
                <c:ptCount val="1"/>
                <c:pt idx="0">
                  <c:v>On-land emissions from replacement of fertilizers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Figures!$B$2:$I$2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Figures!$B$4:$I$4</c:f>
              <c:numCache>
                <c:formatCode>0.00E+00</c:formatCode>
                <c:ptCount val="8"/>
                <c:pt idx="0">
                  <c:v>9.365257094374547</c:v>
                </c:pt>
                <c:pt idx="1">
                  <c:v>27.72184138909309</c:v>
                </c:pt>
                <c:pt idx="2" formatCode="General">
                  <c:v>110.20621816905712</c:v>
                </c:pt>
                <c:pt idx="3" formatCode="General">
                  <c:v>7.1951540722679086</c:v>
                </c:pt>
                <c:pt idx="4" formatCode="General">
                  <c:v>110.20621816905712</c:v>
                </c:pt>
                <c:pt idx="5" formatCode="General">
                  <c:v>7.1951540722679086</c:v>
                </c:pt>
                <c:pt idx="6" formatCode="General">
                  <c:v>110.20621816905712</c:v>
                </c:pt>
                <c:pt idx="7" formatCode="General">
                  <c:v>7.1951540722679086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88-41B4-A4E5-D98FB6A7670C}"/>
            </c:ext>
          </c:extLst>
        </c:ser>
        <c:ser>
          <c:idx val="2"/>
          <c:order val="2"/>
          <c:tx>
            <c:strRef>
              <c:f>Figures!$A$5</c:f>
              <c:strCache>
                <c:ptCount val="1"/>
                <c:pt idx="0">
                  <c:v>On-land emissions from replacement of peat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Figures!$B$2:$I$2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Figures!$B$5:$I$5</c:f>
              <c:numCache>
                <c:formatCode>0.00E+00</c:formatCode>
                <c:ptCount val="8"/>
                <c:pt idx="0">
                  <c:v>-60.053399999999982</c:v>
                </c:pt>
                <c:pt idx="1">
                  <c:v>-49.047934833333329</c:v>
                </c:pt>
                <c:pt idx="2">
                  <c:v>-19.436798742994313</c:v>
                </c:pt>
                <c:pt idx="3" formatCode="General">
                  <c:v>-5.1925501138543284</c:v>
                </c:pt>
                <c:pt idx="4">
                  <c:v>-19.436798742994313</c:v>
                </c:pt>
                <c:pt idx="5" formatCode="General">
                  <c:v>-5.1925501138543284</c:v>
                </c:pt>
                <c:pt idx="6" formatCode="General">
                  <c:v>-19.436798742994313</c:v>
                </c:pt>
                <c:pt idx="7" formatCode="General">
                  <c:v>-5.1925501138543284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888-41B4-A4E5-D98FB6A7670C}"/>
            </c:ext>
          </c:extLst>
        </c:ser>
        <c:ser>
          <c:idx val="3"/>
          <c:order val="3"/>
          <c:tx>
            <c:strRef>
              <c:f>Figures!$A$6</c:f>
              <c:strCache>
                <c:ptCount val="1"/>
                <c:pt idx="0">
                  <c:v>Substitution of fertilizers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Figures!$B$2:$I$2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Figures!$B$6:$I$6</c:f>
              <c:numCache>
                <c:formatCode>0.00E+00</c:formatCode>
                <c:ptCount val="8"/>
                <c:pt idx="0" formatCode="General">
                  <c:v>-8.8251029090262119</c:v>
                </c:pt>
                <c:pt idx="1">
                  <c:v>-6.907393065976696</c:v>
                </c:pt>
                <c:pt idx="2" formatCode="General">
                  <c:v>-32.190276132060916</c:v>
                </c:pt>
                <c:pt idx="3" formatCode="General">
                  <c:v>-16.154098183702171</c:v>
                </c:pt>
                <c:pt idx="4" formatCode="General">
                  <c:v>-32.190276132060916</c:v>
                </c:pt>
                <c:pt idx="5" formatCode="General">
                  <c:v>-16.154098183702171</c:v>
                </c:pt>
                <c:pt idx="6" formatCode="General">
                  <c:v>-32.190276132060916</c:v>
                </c:pt>
                <c:pt idx="7" formatCode="General">
                  <c:v>-16.154098183702171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888-41B4-A4E5-D98FB6A7670C}"/>
            </c:ext>
          </c:extLst>
        </c:ser>
        <c:ser>
          <c:idx val="4"/>
          <c:order val="4"/>
          <c:tx>
            <c:strRef>
              <c:f>Figures!$A$7</c:f>
              <c:strCache>
                <c:ptCount val="1"/>
                <c:pt idx="0">
                  <c:v>Substitution of peat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Figures!$B$2:$I$2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Figures!$B$7:$I$7</c:f>
              <c:numCache>
                <c:formatCode>0.00E+00</c:formatCode>
                <c:ptCount val="8"/>
                <c:pt idx="0" formatCode="General">
                  <c:v>-3.6266209256673383</c:v>
                </c:pt>
                <c:pt idx="1">
                  <c:v>-2.9620015990324409</c:v>
                </c:pt>
                <c:pt idx="2">
                  <c:v>-1.3042077930147324</c:v>
                </c:pt>
                <c:pt idx="3" formatCode="General">
                  <c:v>-0.34841973792362657</c:v>
                </c:pt>
                <c:pt idx="4">
                  <c:v>-1.3042077930147324</c:v>
                </c:pt>
                <c:pt idx="5" formatCode="General">
                  <c:v>-0.34841973792362657</c:v>
                </c:pt>
                <c:pt idx="6" formatCode="General">
                  <c:v>-1.3042077930147324</c:v>
                </c:pt>
                <c:pt idx="7" formatCode="General">
                  <c:v>-0.34841973792362657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888-41B4-A4E5-D98FB6A7670C}"/>
            </c:ext>
          </c:extLst>
        </c:ser>
        <c:ser>
          <c:idx val="5"/>
          <c:order val="5"/>
          <c:tx>
            <c:strRef>
              <c:f>Figures!$A$8</c:f>
              <c:strCache>
                <c:ptCount val="1"/>
                <c:pt idx="0">
                  <c:v>AD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Figures!$B$2:$I$2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Figures!$B$8:$I$8</c:f>
              <c:numCache>
                <c:formatCode>General</c:formatCode>
                <c:ptCount val="8"/>
                <c:pt idx="2">
                  <c:v>11.40231817670508</c:v>
                </c:pt>
                <c:pt idx="3">
                  <c:v>18.435485578976291</c:v>
                </c:pt>
                <c:pt idx="4">
                  <c:v>42.91120885929692</c:v>
                </c:pt>
                <c:pt idx="5">
                  <c:v>49.944376261568145</c:v>
                </c:pt>
                <c:pt idx="6">
                  <c:v>17.646144531958043</c:v>
                </c:pt>
                <c:pt idx="7">
                  <c:v>24.679311934229254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888-41B4-A4E5-D98FB6A7670C}"/>
            </c:ext>
          </c:extLst>
        </c:ser>
        <c:ser>
          <c:idx val="6"/>
          <c:order val="6"/>
          <c:tx>
            <c:strRef>
              <c:f>Figures!$A$9</c:f>
              <c:strCache>
                <c:ptCount val="1"/>
                <c:pt idx="0">
                  <c:v>Substitution of heat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Figures!$B$9:$I$9</c:f>
              <c:numCache>
                <c:formatCode>General</c:formatCode>
                <c:ptCount val="8"/>
                <c:pt idx="2">
                  <c:v>-47.429851259571443</c:v>
                </c:pt>
                <c:pt idx="3">
                  <c:v>-47.429851259571443</c:v>
                </c:pt>
                <c:pt idx="6">
                  <c:v>-85.064407150318331</c:v>
                </c:pt>
                <c:pt idx="7">
                  <c:v>-85.064407150318331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888-41B4-A4E5-D98FB6A7670C}"/>
            </c:ext>
          </c:extLst>
        </c:ser>
        <c:ser>
          <c:idx val="7"/>
          <c:order val="7"/>
          <c:tx>
            <c:strRef>
              <c:f>Figures!$A$10</c:f>
              <c:strCache>
                <c:ptCount val="1"/>
                <c:pt idx="0">
                  <c:v>Substitution of natural gas combustion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Figures!$B$10:$I$10</c:f>
              <c:numCache>
                <c:formatCode>General</c:formatCode>
                <c:ptCount val="8"/>
                <c:pt idx="4">
                  <c:v>-69.30826255895235</c:v>
                </c:pt>
                <c:pt idx="5">
                  <c:v>-69.30826255895235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888-41B4-A4E5-D98FB6A7670C}"/>
            </c:ext>
          </c:extLst>
        </c:ser>
        <c:ser>
          <c:idx val="8"/>
          <c:order val="8"/>
          <c:tx>
            <c:strRef>
              <c:f>Figures!$A$11</c:f>
              <c:strCache>
                <c:ptCount val="1"/>
                <c:pt idx="0">
                  <c:v>Substitution of electricity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Figures!$B$2:$I$2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Figures!$B$11:$I$11</c:f>
              <c:numCache>
                <c:formatCode>General</c:formatCode>
                <c:ptCount val="8"/>
                <c:pt idx="2">
                  <c:v>-41.679429531039659</c:v>
                </c:pt>
                <c:pt idx="3">
                  <c:v>-41.679429531039659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888-41B4-A4E5-D98FB6A767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5599839"/>
        <c:axId val="1890894031"/>
      </c:barChart>
      <c:catAx>
        <c:axId val="1705599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90894031"/>
        <c:crosses val="autoZero"/>
        <c:auto val="1"/>
        <c:lblAlgn val="ctr"/>
        <c:lblOffset val="100"/>
        <c:noMultiLvlLbl val="0"/>
      </c:catAx>
      <c:valAx>
        <c:axId val="1890894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05599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Figures!$A$16</c:f>
              <c:strCache>
                <c:ptCount val="1"/>
                <c:pt idx="0">
                  <c:v>Composting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Figures!$B$15:$I$15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Figures!$B$16:$I$16</c:f>
              <c:numCache>
                <c:formatCode>General</c:formatCode>
                <c:ptCount val="8"/>
                <c:pt idx="0">
                  <c:v>1.8232373668847659E-5</c:v>
                </c:pt>
                <c:pt idx="1">
                  <c:v>9.4362939915935531E-5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8A-4473-ADF3-1C8D73D3CC7E}"/>
            </c:ext>
          </c:extLst>
        </c:ser>
        <c:ser>
          <c:idx val="1"/>
          <c:order val="1"/>
          <c:tx>
            <c:strRef>
              <c:f>Figures!$A$17</c:f>
              <c:strCache>
                <c:ptCount val="1"/>
                <c:pt idx="0">
                  <c:v>On-land emissions from replacement of fertilizers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Figures!$B$15:$I$15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Figures!$B$17:$I$17</c:f>
              <c:numCache>
                <c:formatCode>0.00E+00</c:formatCode>
                <c:ptCount val="8"/>
                <c:pt idx="0">
                  <c:v>6.4724516847563201E-5</c:v>
                </c:pt>
                <c:pt idx="1">
                  <c:v>5.0112026067618947E-5</c:v>
                </c:pt>
                <c:pt idx="2" formatCode="General">
                  <c:v>7.6801640589139021E-4</c:v>
                </c:pt>
                <c:pt idx="3" formatCode="General">
                  <c:v>1.4004955712866033E-5</c:v>
                </c:pt>
                <c:pt idx="4" formatCode="General">
                  <c:v>7.6801640589139021E-4</c:v>
                </c:pt>
                <c:pt idx="5" formatCode="General">
                  <c:v>1.4004955712866033E-5</c:v>
                </c:pt>
                <c:pt idx="6" formatCode="General">
                  <c:v>7.6801640589139021E-4</c:v>
                </c:pt>
                <c:pt idx="7" formatCode="General">
                  <c:v>1.4004955712866033E-5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8A-4473-ADF3-1C8D73D3CC7E}"/>
            </c:ext>
          </c:extLst>
        </c:ser>
        <c:ser>
          <c:idx val="2"/>
          <c:order val="2"/>
          <c:tx>
            <c:strRef>
              <c:f>Figures!$A$18</c:f>
              <c:strCache>
                <c:ptCount val="1"/>
                <c:pt idx="0">
                  <c:v>On-land emissions from replacement of peat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Figures!$B$15:$I$15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Figures!$B$18:$I$18</c:f>
              <c:numCache>
                <c:formatCode>0.00E+00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 formatCode="General">
                  <c:v>0</c:v>
                </c:pt>
                <c:pt idx="4">
                  <c:v>0</c:v>
                </c:pt>
                <c:pt idx="5" formatCode="General">
                  <c:v>0</c:v>
                </c:pt>
                <c:pt idx="6" formatCode="General">
                  <c:v>0</c:v>
                </c:pt>
                <c:pt idx="7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8A-4473-ADF3-1C8D73D3CC7E}"/>
            </c:ext>
          </c:extLst>
        </c:ser>
        <c:ser>
          <c:idx val="3"/>
          <c:order val="3"/>
          <c:tx>
            <c:strRef>
              <c:f>Figures!$A$19</c:f>
              <c:strCache>
                <c:ptCount val="1"/>
                <c:pt idx="0">
                  <c:v>Substitution of fertilizers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Figures!$B$15:$I$15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Figures!$B$19:$I$19</c:f>
              <c:numCache>
                <c:formatCode>0.00E+00</c:formatCode>
                <c:ptCount val="8"/>
                <c:pt idx="0" formatCode="General">
                  <c:v>-5.7171280295272471E-5</c:v>
                </c:pt>
                <c:pt idx="1">
                  <c:v>-4.4850264745965262E-5</c:v>
                </c:pt>
                <c:pt idx="2" formatCode="General">
                  <c:v>-2.1520812358147686E-4</c:v>
                </c:pt>
                <c:pt idx="3" formatCode="General">
                  <c:v>-1.2040685583830983E-4</c:v>
                </c:pt>
                <c:pt idx="4" formatCode="General">
                  <c:v>-2.1520812358147686E-4</c:v>
                </c:pt>
                <c:pt idx="5" formatCode="General">
                  <c:v>-1.2040685583830983E-4</c:v>
                </c:pt>
                <c:pt idx="6" formatCode="General">
                  <c:v>-2.1520812358147686E-4</c:v>
                </c:pt>
                <c:pt idx="7" formatCode="General">
                  <c:v>-1.2040685583830983E-4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B8A-4473-ADF3-1C8D73D3CC7E}"/>
            </c:ext>
          </c:extLst>
        </c:ser>
        <c:ser>
          <c:idx val="4"/>
          <c:order val="4"/>
          <c:tx>
            <c:strRef>
              <c:f>Figures!$A$20</c:f>
              <c:strCache>
                <c:ptCount val="1"/>
                <c:pt idx="0">
                  <c:v>Substitution of peat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Figures!$B$15:$I$15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Figures!$B$20:$I$20</c:f>
              <c:numCache>
                <c:formatCode>0.00E+00</c:formatCode>
                <c:ptCount val="8"/>
                <c:pt idx="0" formatCode="General">
                  <c:v>-1.937744647096251E-5</c:v>
                </c:pt>
                <c:pt idx="1">
                  <c:v>-1.5826310113068953E-5</c:v>
                </c:pt>
                <c:pt idx="2">
                  <c:v>-6.9685299936620097E-6</c:v>
                </c:pt>
                <c:pt idx="3" formatCode="General">
                  <c:v>-1.8616461327012037E-6</c:v>
                </c:pt>
                <c:pt idx="4">
                  <c:v>-6.9685299936620097E-6</c:v>
                </c:pt>
                <c:pt idx="5" formatCode="General">
                  <c:v>-1.8616461327012037E-6</c:v>
                </c:pt>
                <c:pt idx="6" formatCode="General">
                  <c:v>-6.9685299936620097E-6</c:v>
                </c:pt>
                <c:pt idx="7" formatCode="General">
                  <c:v>-1.8616461327012037E-6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B8A-4473-ADF3-1C8D73D3CC7E}"/>
            </c:ext>
          </c:extLst>
        </c:ser>
        <c:ser>
          <c:idx val="5"/>
          <c:order val="5"/>
          <c:tx>
            <c:strRef>
              <c:f>Figures!$A$21</c:f>
              <c:strCache>
                <c:ptCount val="1"/>
                <c:pt idx="0">
                  <c:v>AD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Figures!$B$15:$I$15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Figures!$B$21:$I$21</c:f>
              <c:numCache>
                <c:formatCode>General</c:formatCode>
                <c:ptCount val="8"/>
                <c:pt idx="2">
                  <c:v>1.1861315684273834E-4</c:v>
                </c:pt>
                <c:pt idx="3">
                  <c:v>1.5651162208655593E-4</c:v>
                </c:pt>
                <c:pt idx="4">
                  <c:v>1.7446025582686697E-4</c:v>
                </c:pt>
                <c:pt idx="5">
                  <c:v>2.1235872107068458E-4</c:v>
                </c:pt>
                <c:pt idx="6">
                  <c:v>1.5794659287719716E-4</c:v>
                </c:pt>
                <c:pt idx="7">
                  <c:v>1.9584505812101478E-4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B8A-4473-ADF3-1C8D73D3CC7E}"/>
            </c:ext>
          </c:extLst>
        </c:ser>
        <c:ser>
          <c:idx val="6"/>
          <c:order val="6"/>
          <c:tx>
            <c:strRef>
              <c:f>Figures!$A$22</c:f>
              <c:strCache>
                <c:ptCount val="1"/>
                <c:pt idx="0">
                  <c:v>Substitution of heat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Figures!$B$15:$I$15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Figures!$B$22:$I$22</c:f>
              <c:numCache>
                <c:formatCode>General</c:formatCode>
                <c:ptCount val="8"/>
                <c:pt idx="2">
                  <c:v>-6.4404849186924177E-5</c:v>
                </c:pt>
                <c:pt idx="3">
                  <c:v>-6.4404849186924177E-5</c:v>
                </c:pt>
                <c:pt idx="6">
                  <c:v>-1.1550869691133138E-4</c:v>
                </c:pt>
                <c:pt idx="7">
                  <c:v>-1.1550869691133138E-4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B8A-4473-ADF3-1C8D73D3CC7E}"/>
            </c:ext>
          </c:extLst>
        </c:ser>
        <c:ser>
          <c:idx val="7"/>
          <c:order val="7"/>
          <c:tx>
            <c:strRef>
              <c:f>Figures!$A$23</c:f>
              <c:strCache>
                <c:ptCount val="1"/>
                <c:pt idx="0">
                  <c:v>Substitution of natural gas combustion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Figures!$B$15:$I$15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Figures!$B$23:$I$23</c:f>
              <c:numCache>
                <c:formatCode>General</c:formatCode>
                <c:ptCount val="8"/>
                <c:pt idx="4">
                  <c:v>-4.56500963854895E-5</c:v>
                </c:pt>
                <c:pt idx="5">
                  <c:v>-4.56500963854895E-5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B8A-4473-ADF3-1C8D73D3CC7E}"/>
            </c:ext>
          </c:extLst>
        </c:ser>
        <c:ser>
          <c:idx val="8"/>
          <c:order val="8"/>
          <c:tx>
            <c:strRef>
              <c:f>Figures!$A$24</c:f>
              <c:strCache>
                <c:ptCount val="1"/>
                <c:pt idx="0">
                  <c:v>Substitution of electricity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Figures!$B$15:$I$15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Figures!$B$24:$I$24</c:f>
              <c:numCache>
                <c:formatCode>General</c:formatCode>
                <c:ptCount val="8"/>
                <c:pt idx="2">
                  <c:v>-9.56915437883427E-5</c:v>
                </c:pt>
                <c:pt idx="3">
                  <c:v>-9.56915437883427E-5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B8A-4473-ADF3-1C8D73D3CC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03134815"/>
        <c:axId val="1900882271"/>
      </c:barChart>
      <c:catAx>
        <c:axId val="1903134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00882271"/>
        <c:crosses val="autoZero"/>
        <c:auto val="1"/>
        <c:lblAlgn val="ctr"/>
        <c:lblOffset val="100"/>
        <c:noMultiLvlLbl val="0"/>
      </c:catAx>
      <c:valAx>
        <c:axId val="1900882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03134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Figures!$A$29</c:f>
              <c:strCache>
                <c:ptCount val="1"/>
                <c:pt idx="0">
                  <c:v>Composting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Figures!$B$28:$I$28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Figures!$B$29:$I$29</c:f>
              <c:numCache>
                <c:formatCode>_(* #,##0.00_);_(* \(#,##0.00\);_(* "-"??_);_(@_)</c:formatCode>
                <c:ptCount val="8"/>
                <c:pt idx="0" formatCode="General">
                  <c:v>34.264521044421535</c:v>
                </c:pt>
                <c:pt idx="1">
                  <c:v>35.421319139716672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72-4D53-B5AA-7AB31B8E99BA}"/>
            </c:ext>
          </c:extLst>
        </c:ser>
        <c:ser>
          <c:idx val="1"/>
          <c:order val="1"/>
          <c:tx>
            <c:strRef>
              <c:f>Figures!$A$30</c:f>
              <c:strCache>
                <c:ptCount val="1"/>
                <c:pt idx="0">
                  <c:v>On-land emissions from replacement of fertilizers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Figures!$B$28:$I$28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Figures!$B$30:$I$30</c:f>
              <c:numCache>
                <c:formatCode>0.00E+00</c:formatCode>
                <c:ptCount val="8"/>
                <c:pt idx="0">
                  <c:v>35.750237253277092</c:v>
                </c:pt>
                <c:pt idx="1">
                  <c:v>27.051024108006885</c:v>
                </c:pt>
                <c:pt idx="2" formatCode="General">
                  <c:v>19.040938704967669</c:v>
                </c:pt>
                <c:pt idx="3" formatCode="General">
                  <c:v>3.6020203114535199</c:v>
                </c:pt>
                <c:pt idx="4" formatCode="General">
                  <c:v>19.040938704967669</c:v>
                </c:pt>
                <c:pt idx="5" formatCode="General">
                  <c:v>3.6020203114535199</c:v>
                </c:pt>
                <c:pt idx="6" formatCode="General">
                  <c:v>19.040938704967669</c:v>
                </c:pt>
                <c:pt idx="7" formatCode="General">
                  <c:v>3.6020203114535199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72-4D53-B5AA-7AB31B8E99BA}"/>
            </c:ext>
          </c:extLst>
        </c:ser>
        <c:ser>
          <c:idx val="2"/>
          <c:order val="2"/>
          <c:tx>
            <c:strRef>
              <c:f>Figures!$A$31</c:f>
              <c:strCache>
                <c:ptCount val="1"/>
                <c:pt idx="0">
                  <c:v>On-land emissions from replacement of peat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Figures!$B$28:$I$28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Figures!$B$31:$I$31</c:f>
              <c:numCache>
                <c:formatCode>0.00E+00</c:formatCode>
                <c:ptCount val="8"/>
                <c:pt idx="0">
                  <c:v>-356.39999999999992</c:v>
                </c:pt>
                <c:pt idx="1">
                  <c:v>-291.08566666666667</c:v>
                </c:pt>
                <c:pt idx="2">
                  <c:v>-115.3519213234084</c:v>
                </c:pt>
                <c:pt idx="3" formatCode="General">
                  <c:v>-30.816321150470795</c:v>
                </c:pt>
                <c:pt idx="4">
                  <c:v>-115.3519213234084</c:v>
                </c:pt>
                <c:pt idx="5" formatCode="General">
                  <c:v>-30.816321150470795</c:v>
                </c:pt>
                <c:pt idx="6" formatCode="General">
                  <c:v>-115.3519213234084</c:v>
                </c:pt>
                <c:pt idx="7" formatCode="General">
                  <c:v>-30.816321150470795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572-4D53-B5AA-7AB31B8E99BA}"/>
            </c:ext>
          </c:extLst>
        </c:ser>
        <c:ser>
          <c:idx val="3"/>
          <c:order val="3"/>
          <c:tx>
            <c:strRef>
              <c:f>Figures!$A$32</c:f>
              <c:strCache>
                <c:ptCount val="1"/>
                <c:pt idx="0">
                  <c:v>Substitution of fertilizers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Figures!$B$28:$I$28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Figures!$B$32:$I$32</c:f>
              <c:numCache>
                <c:formatCode>0.00E+00</c:formatCode>
                <c:ptCount val="8"/>
                <c:pt idx="0" formatCode="General">
                  <c:v>-22.992325521765316</c:v>
                </c:pt>
                <c:pt idx="1">
                  <c:v>-18.060377937268509</c:v>
                </c:pt>
                <c:pt idx="2" formatCode="General">
                  <c:v>-60.338310785025655</c:v>
                </c:pt>
                <c:pt idx="3" formatCode="General">
                  <c:v>-29.873713727434399</c:v>
                </c:pt>
                <c:pt idx="4" formatCode="General">
                  <c:v>-60.338310785025655</c:v>
                </c:pt>
                <c:pt idx="5" formatCode="General">
                  <c:v>-29.873713727434399</c:v>
                </c:pt>
                <c:pt idx="6" formatCode="General">
                  <c:v>-60.338310785025655</c:v>
                </c:pt>
                <c:pt idx="7" formatCode="General">
                  <c:v>-29.873713727434399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572-4D53-B5AA-7AB31B8E99BA}"/>
            </c:ext>
          </c:extLst>
        </c:ser>
        <c:ser>
          <c:idx val="4"/>
          <c:order val="4"/>
          <c:tx>
            <c:strRef>
              <c:f>Figures!$A$33</c:f>
              <c:strCache>
                <c:ptCount val="1"/>
                <c:pt idx="0">
                  <c:v>Substitution of peat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Figures!$B$28:$I$28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Figures!$B$33:$I$33</c:f>
              <c:numCache>
                <c:formatCode>0.00E+00</c:formatCode>
                <c:ptCount val="8"/>
                <c:pt idx="0" formatCode="General">
                  <c:v>-6.2610701545778342</c:v>
                </c:pt>
                <c:pt idx="1">
                  <c:v>-5.1136581930192486</c:v>
                </c:pt>
                <c:pt idx="2">
                  <c:v>-2.2516101504900958</c:v>
                </c:pt>
                <c:pt idx="3" formatCode="General">
                  <c:v>-0.60151873247630161</c:v>
                </c:pt>
                <c:pt idx="4">
                  <c:v>-2.2516101504900958</c:v>
                </c:pt>
                <c:pt idx="5" formatCode="General">
                  <c:v>-0.60151873247630161</c:v>
                </c:pt>
                <c:pt idx="6" formatCode="General">
                  <c:v>-2.2516101504900958</c:v>
                </c:pt>
                <c:pt idx="7" formatCode="General">
                  <c:v>-0.60151873247630161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572-4D53-B5AA-7AB31B8E99BA}"/>
            </c:ext>
          </c:extLst>
        </c:ser>
        <c:ser>
          <c:idx val="5"/>
          <c:order val="5"/>
          <c:tx>
            <c:strRef>
              <c:f>Figures!$A$34</c:f>
              <c:strCache>
                <c:ptCount val="1"/>
                <c:pt idx="0">
                  <c:v>AD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Figures!$B$28:$I$28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Figures!$B$34:$I$34</c:f>
              <c:numCache>
                <c:formatCode>General</c:formatCode>
                <c:ptCount val="8"/>
                <c:pt idx="2" formatCode="_(* #,##0.00_);_(* \(#,##0.00\);_(* &quot;-&quot;??_);_(@_)">
                  <c:v>130.89983518703079</c:v>
                </c:pt>
                <c:pt idx="3" formatCode="_(* #,##0.00_);_(* \(#,##0.00\);_(* &quot;-&quot;??_);_(@_)">
                  <c:v>115.03586225244955</c:v>
                </c:pt>
                <c:pt idx="4" formatCode="_(* #,##0.00_);_(* \(#,##0.00\);_(* &quot;-&quot;??_);_(@_)">
                  <c:v>166.06528020235362</c:v>
                </c:pt>
                <c:pt idx="5" formatCode="_(* #,##0.00_);_(* \(#,##0.00\);_(* &quot;-&quot;??_);_(@_)">
                  <c:v>150.20130726777239</c:v>
                </c:pt>
                <c:pt idx="6" formatCode="_(* #,##0.00_);_(* \(#,##0.00\);_(* &quot;-&quot;??_);_(@_)">
                  <c:v>100.41025697281384</c:v>
                </c:pt>
                <c:pt idx="7" formatCode="_(* #,##0.00_);_(* \(#,##0.00\);_(* &quot;-&quot;??_);_(@_)">
                  <c:v>64.523122487452923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572-4D53-B5AA-7AB31B8E99BA}"/>
            </c:ext>
          </c:extLst>
        </c:ser>
        <c:ser>
          <c:idx val="6"/>
          <c:order val="6"/>
          <c:tx>
            <c:strRef>
              <c:f>Figures!$A$35</c:f>
              <c:strCache>
                <c:ptCount val="1"/>
                <c:pt idx="0">
                  <c:v>Substitution of heat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Figures!$B$28:$I$28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Figures!$B$35:$I$35</c:f>
              <c:numCache>
                <c:formatCode>General</c:formatCode>
                <c:ptCount val="8"/>
                <c:pt idx="2">
                  <c:v>-152.84659670820477</c:v>
                </c:pt>
                <c:pt idx="3">
                  <c:v>-152.84659670820477</c:v>
                </c:pt>
                <c:pt idx="6">
                  <c:v>-274.12704844406284</c:v>
                </c:pt>
                <c:pt idx="7">
                  <c:v>-274.12704844406284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72-4D53-B5AA-7AB31B8E99BA}"/>
            </c:ext>
          </c:extLst>
        </c:ser>
        <c:ser>
          <c:idx val="7"/>
          <c:order val="7"/>
          <c:tx>
            <c:strRef>
              <c:f>Figures!$A$36</c:f>
              <c:strCache>
                <c:ptCount val="1"/>
                <c:pt idx="0">
                  <c:v>Substitution of natural gas combustion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Figures!$B$28:$I$28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Figures!$B$36:$I$36</c:f>
              <c:numCache>
                <c:formatCode>General</c:formatCode>
                <c:ptCount val="8"/>
                <c:pt idx="4">
                  <c:v>-357.84584617827744</c:v>
                </c:pt>
                <c:pt idx="5">
                  <c:v>-357.84584617827744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572-4D53-B5AA-7AB31B8E99BA}"/>
            </c:ext>
          </c:extLst>
        </c:ser>
        <c:ser>
          <c:idx val="8"/>
          <c:order val="8"/>
          <c:tx>
            <c:strRef>
              <c:f>Figures!$A$37</c:f>
              <c:strCache>
                <c:ptCount val="1"/>
                <c:pt idx="0">
                  <c:v>Substitution of electricity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Figures!$B$28:$I$28</c:f>
              <c:strCache>
                <c:ptCount val="8"/>
                <c:pt idx="0">
                  <c:v>HC</c:v>
                </c:pt>
                <c:pt idx="1">
                  <c:v>IC</c:v>
                </c:pt>
                <c:pt idx="2">
                  <c:v>AD-a</c:v>
                </c:pt>
                <c:pt idx="3">
                  <c:v>AD-b</c:v>
                </c:pt>
                <c:pt idx="4">
                  <c:v>AD-c</c:v>
                </c:pt>
                <c:pt idx="5">
                  <c:v>AD-d</c:v>
                </c:pt>
                <c:pt idx="6">
                  <c:v>AD-e</c:v>
                </c:pt>
                <c:pt idx="7">
                  <c:v>AD-f</c:v>
                </c:pt>
              </c:strCache>
            </c:strRef>
          </c:cat>
          <c:val>
            <c:numRef>
              <c:f>Figures!$B$37:$I$37</c:f>
              <c:numCache>
                <c:formatCode>General</c:formatCode>
                <c:ptCount val="8"/>
                <c:pt idx="2">
                  <c:v>-19.064442565614353</c:v>
                </c:pt>
                <c:pt idx="3">
                  <c:v>-19.064442565614353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572-4D53-B5AA-7AB31B8E99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2920879"/>
        <c:axId val="1900889759"/>
      </c:barChart>
      <c:catAx>
        <c:axId val="1702920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00889759"/>
        <c:crosses val="autoZero"/>
        <c:auto val="1"/>
        <c:lblAlgn val="ctr"/>
        <c:lblOffset val="100"/>
        <c:noMultiLvlLbl val="0"/>
      </c:catAx>
      <c:valAx>
        <c:axId val="1900889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02920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57150</xdr:colOff>
      <xdr:row>0</xdr:row>
      <xdr:rowOff>171450</xdr:rowOff>
    </xdr:from>
    <xdr:to>
      <xdr:col>16</xdr:col>
      <xdr:colOff>78420</xdr:colOff>
      <xdr:row>32</xdr:row>
      <xdr:rowOff>110409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E760F93A-A2D5-444E-B311-EE3BC31CAF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49900" y="171450"/>
          <a:ext cx="7641270" cy="583175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2340318</xdr:colOff>
      <xdr:row>74</xdr:row>
      <xdr:rowOff>44450</xdr:rowOff>
    </xdr:from>
    <xdr:to>
      <xdr:col>5</xdr:col>
      <xdr:colOff>6289052</xdr:colOff>
      <xdr:row>77</xdr:row>
      <xdr:rowOff>47537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A484F2C8-A260-48F3-87BC-2073C257DC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04918" y="13119100"/>
          <a:ext cx="3948734" cy="558712"/>
        </a:xfrm>
        <a:prstGeom prst="rect">
          <a:avLst/>
        </a:prstGeom>
      </xdr:spPr>
    </xdr:pic>
    <xdr:clientData/>
  </xdr:twoCellAnchor>
  <xdr:twoCellAnchor editAs="oneCell">
    <xdr:from>
      <xdr:col>6</xdr:col>
      <xdr:colOff>57150</xdr:colOff>
      <xdr:row>62</xdr:row>
      <xdr:rowOff>118413</xdr:rowOff>
    </xdr:from>
    <xdr:to>
      <xdr:col>9</xdr:col>
      <xdr:colOff>393115</xdr:colOff>
      <xdr:row>65</xdr:row>
      <xdr:rowOff>60219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9C6329D3-44C4-4CA9-8DBC-4484F3D3C8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228050" y="11351563"/>
          <a:ext cx="2726740" cy="49425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508000</xdr:colOff>
      <xdr:row>2</xdr:row>
      <xdr:rowOff>3176</xdr:rowOff>
    </xdr:from>
    <xdr:to>
      <xdr:col>20</xdr:col>
      <xdr:colOff>650876</xdr:colOff>
      <xdr:row>20</xdr:row>
      <xdr:rowOff>52918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C99EEEDE-BCDA-466A-B6A4-42E4E8C60D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629708</xdr:colOff>
      <xdr:row>20</xdr:row>
      <xdr:rowOff>20108</xdr:rowOff>
    </xdr:from>
    <xdr:to>
      <xdr:col>18</xdr:col>
      <xdr:colOff>677333</xdr:colOff>
      <xdr:row>40</xdr:row>
      <xdr:rowOff>63499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11DE5459-11BC-4A8F-BE26-73675C1527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253999</xdr:colOff>
      <xdr:row>22</xdr:row>
      <xdr:rowOff>10584</xdr:rowOff>
    </xdr:from>
    <xdr:to>
      <xdr:col>20</xdr:col>
      <xdr:colOff>687916</xdr:colOff>
      <xdr:row>47</xdr:row>
      <xdr:rowOff>105834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AC7F65EF-4A9F-4053-BCBF-C50F90C6A2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ravoaha\AppData\Local\Temp\4945377e-eac1-4fbe-af18-9d2f5fccf853_Food%20Waste%20LCI%20Tool%20v1.0.0%20(1).zip.853\Food%20Waste%20LCI%20Tool%20v1.0.0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esktop/Th&#232;se/Th&#232;se%202023/Objectif%202/biowaste_optim/PaCTEA_for_study_case/waste_characterization_FR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esktop/Th&#232;se/Th&#232;se%202023/Objectif%202/biowaste_optim/PaCTEA_for_study_case/Assessment_HC_FR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esktop/Th&#232;se/Th&#232;se%202023/Objectif%202/biowaste_optim/PaCTEA_for_study_case/IC_FR/AssessmentI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 Sheet"/>
      <sheetName val="User selections"/>
      <sheetName val="LCI"/>
      <sheetName val="AD"/>
      <sheetName val="Compost - Windrow"/>
      <sheetName val="Compost - ASP"/>
      <sheetName val="Landfill"/>
      <sheetName val="Incineration"/>
      <sheetName val="Global params"/>
      <sheetName val="AD params"/>
      <sheetName val="Food params"/>
      <sheetName val="Compost params"/>
      <sheetName val="Landfill params"/>
      <sheetName val="Incineration params"/>
      <sheetName val="Parameter Definition"/>
      <sheetName val="LCI Key"/>
      <sheetName val="Sourc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1">
          <cell r="E21">
            <v>35.799999999999997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  <sheetName val="raw_data"/>
      <sheetName val="mass_composition"/>
      <sheetName val="Variables"/>
    </sheetNames>
    <sheetDataSet>
      <sheetData sheetId="0"/>
      <sheetData sheetId="1"/>
      <sheetData sheetId="2">
        <row r="99">
          <cell r="C99">
            <v>100.00000000000001</v>
          </cell>
          <cell r="D99">
            <v>63.54286297281822</v>
          </cell>
          <cell r="E99">
            <v>36.460108583203159</v>
          </cell>
          <cell r="F99">
            <v>35.170813722096803</v>
          </cell>
          <cell r="J99">
            <v>17.029701033116709</v>
          </cell>
          <cell r="Q99">
            <v>0.30131368964323607</v>
          </cell>
          <cell r="R99">
            <v>1.1968673713575604</v>
          </cell>
          <cell r="U99">
            <v>0.14672942792229682</v>
          </cell>
        </row>
      </sheetData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rization"/>
      <sheetName val="LCI"/>
    </sheetNames>
    <sheetDataSet>
      <sheetData sheetId="0"/>
      <sheetData sheetId="1">
        <row r="4">
          <cell r="B4">
            <v>3.4804999999999998E-4</v>
          </cell>
        </row>
        <row r="5">
          <cell r="B5">
            <v>6.4732000000000003E-5</v>
          </cell>
        </row>
        <row r="6">
          <cell r="B6">
            <v>7.0148999999999995E-5</v>
          </cell>
        </row>
        <row r="18">
          <cell r="C18">
            <v>3.6486015466419199E-4</v>
          </cell>
        </row>
        <row r="19">
          <cell r="C19">
            <v>1.30953250012004E-4</v>
          </cell>
        </row>
        <row r="20">
          <cell r="C20">
            <v>1.36083287743184E-2</v>
          </cell>
        </row>
        <row r="22">
          <cell r="C22">
            <v>-8.1278569907775841E-5</v>
          </cell>
        </row>
        <row r="26">
          <cell r="C26">
            <v>-0.35639999999999994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rization"/>
      <sheetName val="LCI"/>
    </sheetNames>
    <sheetDataSet>
      <sheetData sheetId="0"/>
      <sheetData sheetId="1">
        <row r="4">
          <cell r="C4">
            <v>1.4101780000000001E-4</v>
          </cell>
        </row>
        <row r="5">
          <cell r="C5">
            <v>1.932546E-4</v>
          </cell>
        </row>
        <row r="6">
          <cell r="C6">
            <v>6.0094650000000002E-5</v>
          </cell>
        </row>
        <row r="7">
          <cell r="C7">
            <v>0.31400600000000001</v>
          </cell>
        </row>
        <row r="17">
          <cell r="C17">
            <v>9.1614439984537468E-3</v>
          </cell>
        </row>
        <row r="18">
          <cell r="C18">
            <v>2.8248772601314267E-4</v>
          </cell>
        </row>
        <row r="19">
          <cell r="C19">
            <v>9.9088000395629625E-5</v>
          </cell>
        </row>
        <row r="20">
          <cell r="C20">
            <v>1.0355959855438968E-2</v>
          </cell>
        </row>
        <row r="21">
          <cell r="C21">
            <v>2.6344181375921798E-3</v>
          </cell>
        </row>
        <row r="22">
          <cell r="C22">
            <v>-6.2584498828987403E-5</v>
          </cell>
        </row>
        <row r="23">
          <cell r="C23">
            <v>3.8668590170881957E-3</v>
          </cell>
        </row>
        <row r="24">
          <cell r="C24">
            <v>0.35798611111111117</v>
          </cell>
        </row>
        <row r="26">
          <cell r="C26">
            <v>-0.29108566666666669</v>
          </cell>
        </row>
        <row r="31">
          <cell r="C31">
            <v>6.9299999999999995E-3</v>
          </cell>
        </row>
        <row r="34">
          <cell r="C34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journals.sagepub.com/doi/full/10.1177/0734242X14545374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pureadmin.qub.ac.uk/ws/files/135497181/Document2.pdf" TargetMode="External"/><Relationship Id="rId7" Type="http://schemas.openxmlformats.org/officeDocument/2006/relationships/drawing" Target="../drawings/drawing2.xml"/><Relationship Id="rId2" Type="http://schemas.openxmlformats.org/officeDocument/2006/relationships/hyperlink" Target="https://www.sciencedirect.com/science/article/pii/S0013935122009598?casa_token=b-5UAciDODcAAAAA:iPTgJGz224xsnoQdrEctjVyXjbgpRksrTp6NPBa96VQZoPJqxyo5SRxUSGA4QFvLo7qp_-bQrQ" TargetMode="External"/><Relationship Id="rId1" Type="http://schemas.openxmlformats.org/officeDocument/2006/relationships/hyperlink" Target="https://www.sciencedirect.com/science/article/pii/S0964830514002029?casa_token=CuYe3ZTSPycAAAAA:rRl8EoKYwznoEuX0VuPF32xCFrhHD9S8o6J9Rem4dyM93P7UKc0KSdNufZkaSkLN-jqlbWcV0A" TargetMode="External"/><Relationship Id="rId6" Type="http://schemas.openxmlformats.org/officeDocument/2006/relationships/printerSettings" Target="../printerSettings/printerSettings2.bin"/><Relationship Id="rId5" Type="http://schemas.openxmlformats.org/officeDocument/2006/relationships/hyperlink" Target="https://pure.bangor.ac.uk/ws/portalfiles/portal/18797936/Nicholson_et_al_2017_pre_print.pdf" TargetMode="External"/><Relationship Id="rId4" Type="http://schemas.openxmlformats.org/officeDocument/2006/relationships/hyperlink" Target="https://www.sciencedirect.com/science/article/pii/S0269749116318681?casa_token=rEHlW1O-mdgAAAAA:ajVYtblqpRrvAmnneRiCuHYjbAf28QtOFIZvNqxyyT-5bQeD04vvZbKV7yYKKyCFgeWfW8dgUQ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04CB3-E1B4-44F6-88A3-A80D5CB90072}">
  <dimension ref="A3:AK102"/>
  <sheetViews>
    <sheetView topLeftCell="AA70" zoomScaleNormal="100" workbookViewId="0">
      <selection activeCell="C102" sqref="C102"/>
    </sheetView>
  </sheetViews>
  <sheetFormatPr baseColWidth="10" defaultRowHeight="14.5" x14ac:dyDescent="0.35"/>
  <cols>
    <col min="1" max="1" width="26.54296875" bestFit="1" customWidth="1"/>
    <col min="2" max="2" width="31.7265625" bestFit="1" customWidth="1"/>
    <col min="3" max="5" width="11" bestFit="1" customWidth="1"/>
    <col min="6" max="6" width="11.81640625" bestFit="1" customWidth="1"/>
    <col min="7" max="7" width="11" bestFit="1" customWidth="1"/>
  </cols>
  <sheetData>
    <row r="3" spans="1:7" x14ac:dyDescent="0.35">
      <c r="A3" s="154" t="s">
        <v>420</v>
      </c>
      <c r="B3" s="155"/>
      <c r="C3" s="155"/>
      <c r="D3" s="155"/>
      <c r="E3" s="155"/>
      <c r="F3" s="155"/>
      <c r="G3" s="156"/>
    </row>
    <row r="4" spans="1:7" ht="43.5" x14ac:dyDescent="0.35">
      <c r="A4" s="108" t="s">
        <v>0</v>
      </c>
      <c r="B4" s="108"/>
      <c r="C4" s="108" t="s">
        <v>403</v>
      </c>
      <c r="D4" s="108" t="s">
        <v>404</v>
      </c>
      <c r="E4" s="108" t="s">
        <v>405</v>
      </c>
      <c r="F4" s="108" t="s">
        <v>406</v>
      </c>
      <c r="G4" s="108" t="s">
        <v>407</v>
      </c>
    </row>
    <row r="5" spans="1:7" x14ac:dyDescent="0.35">
      <c r="A5" s="114" t="s">
        <v>6</v>
      </c>
      <c r="B5" s="113"/>
      <c r="C5" s="111">
        <f>SUM(C6,C9,C12,C16,C27)</f>
        <v>64.523122487452923</v>
      </c>
      <c r="D5" s="111">
        <f t="shared" ref="D5:G5" si="0">SUM(D6,D9,D12,D16,D27)</f>
        <v>12.136919211846868</v>
      </c>
      <c r="E5" s="111">
        <f t="shared" si="0"/>
        <v>635.68926661540377</v>
      </c>
      <c r="F5" s="111">
        <f t="shared" si="0"/>
        <v>1.3928493842029554E-4</v>
      </c>
      <c r="G5" s="111">
        <f t="shared" si="0"/>
        <v>15.914782175900458</v>
      </c>
    </row>
    <row r="6" spans="1:7" x14ac:dyDescent="0.35">
      <c r="A6" s="114" t="s">
        <v>5</v>
      </c>
      <c r="B6" s="113"/>
      <c r="C6" s="114">
        <f>SUM(C7:C8)</f>
        <v>0.77610650091942801</v>
      </c>
      <c r="D6" s="114">
        <f t="shared" ref="D6:G6" si="1">SUM(D7:D8)</f>
        <v>0.11916920601637257</v>
      </c>
      <c r="E6" s="114">
        <f t="shared" si="1"/>
        <v>116.96082759610819</v>
      </c>
      <c r="F6" s="114">
        <f t="shared" si="1"/>
        <v>7.7420482538410759E-7</v>
      </c>
      <c r="G6" s="114">
        <f t="shared" si="1"/>
        <v>1.2592266934323948</v>
      </c>
    </row>
    <row r="7" spans="1:7" x14ac:dyDescent="0.35">
      <c r="A7" s="113"/>
      <c r="B7" s="113" t="s">
        <v>249</v>
      </c>
      <c r="C7" s="113">
        <f>'LCI_AD-e'!$E4*'IW+f'!C2</f>
        <v>0.77610650091942801</v>
      </c>
      <c r="D7" s="113">
        <f>'LCI_AD-e'!$E4*'IW+f'!D2</f>
        <v>0.11916920601637257</v>
      </c>
      <c r="E7" s="113">
        <f>'LCI_AD-e'!$E4*'IW+f'!E2</f>
        <v>116.96082759610819</v>
      </c>
      <c r="F7" s="113">
        <f>'LCI_AD-e'!$E4*'IW+f'!F2</f>
        <v>7.7420482538410759E-7</v>
      </c>
      <c r="G7" s="113">
        <f>'LCI_AD-e'!$E4*'IW+f'!G2</f>
        <v>1.2592266934323948</v>
      </c>
    </row>
    <row r="8" spans="1:7" x14ac:dyDescent="0.35">
      <c r="A8" s="113"/>
      <c r="B8" s="113" t="s">
        <v>250</v>
      </c>
      <c r="C8" s="113">
        <f>'LCI_AD-e'!$E5*'IW+f'!C3</f>
        <v>0</v>
      </c>
      <c r="D8" s="113">
        <f>'LCI_AD-e'!$E5*'IW+f'!D3</f>
        <v>0</v>
      </c>
      <c r="E8" s="113">
        <f>'LCI_AD-e'!$E5*'IW+f'!E3</f>
        <v>0</v>
      </c>
      <c r="F8" s="113">
        <f>'LCI_AD-e'!$E5*'IW+f'!F3</f>
        <v>0</v>
      </c>
      <c r="G8" s="113">
        <f>'LCI_AD-e'!$E5*'IW+f'!G3</f>
        <v>0</v>
      </c>
    </row>
    <row r="9" spans="1:7" x14ac:dyDescent="0.35">
      <c r="A9" s="112" t="s">
        <v>235</v>
      </c>
      <c r="B9" s="113"/>
      <c r="C9" s="111">
        <f>SUM(C10:C11)</f>
        <v>9.4912725301666416</v>
      </c>
      <c r="D9" s="111">
        <f t="shared" ref="D9:G9" si="2">SUM(D10:D11)</f>
        <v>1.776054546690981</v>
      </c>
      <c r="E9" s="111">
        <f t="shared" si="2"/>
        <v>70.109593887244714</v>
      </c>
      <c r="F9" s="111">
        <f t="shared" si="2"/>
        <v>3.9183035816743554E-5</v>
      </c>
      <c r="G9" s="111">
        <f t="shared" si="2"/>
        <v>10.018540305643455</v>
      </c>
    </row>
    <row r="10" spans="1:7" x14ac:dyDescent="0.35">
      <c r="A10" s="113"/>
      <c r="B10" s="113" t="s">
        <v>286</v>
      </c>
      <c r="C10" s="115">
        <f>'LCI_AD-e'!$E7*'IW+f'!C4</f>
        <v>0.43472978582596905</v>
      </c>
      <c r="D10" s="115">
        <f>'LCI_AD-e'!$E7*'IW+f'!D4</f>
        <v>6.359420180299287E-2</v>
      </c>
      <c r="E10" s="115">
        <f>'LCI_AD-e'!$E7*'IW+f'!E4</f>
        <v>6.5761119524385903</v>
      </c>
      <c r="F10" s="115">
        <f>'LCI_AD-e'!$E7*'IW+f'!F4</f>
        <v>3.4579966311397133E-7</v>
      </c>
      <c r="G10" s="115">
        <f>'LCI_AD-e'!$E7*'IW+f'!G4</f>
        <v>3.9223403259142219E-2</v>
      </c>
    </row>
    <row r="11" spans="1:7" x14ac:dyDescent="0.35">
      <c r="A11" s="113"/>
      <c r="B11" s="113" t="s">
        <v>235</v>
      </c>
      <c r="C11" s="113">
        <f>'LCI_AD-e'!$E8*'IW+f'!C5</f>
        <v>9.056542744340673</v>
      </c>
      <c r="D11" s="113">
        <f>'LCI_AD-e'!$E8*'IW+f'!D5</f>
        <v>1.712460344887988</v>
      </c>
      <c r="E11" s="113">
        <f>'LCI_AD-e'!$E8*'IW+f'!E5</f>
        <v>63.533481934806119</v>
      </c>
      <c r="F11" s="113">
        <f>'LCI_AD-e'!$E8*'IW+f'!F5</f>
        <v>3.8837236153629584E-5</v>
      </c>
      <c r="G11" s="113">
        <f>'LCI_AD-e'!$E8*'IW+f'!G5</f>
        <v>9.9793169023843138</v>
      </c>
    </row>
    <row r="12" spans="1:7" x14ac:dyDescent="0.35">
      <c r="A12" s="112" t="s">
        <v>6</v>
      </c>
      <c r="B12" s="113"/>
      <c r="C12" s="114">
        <f>SUM(C13:C15)</f>
        <v>52.2487117086675</v>
      </c>
      <c r="D12" s="114">
        <f t="shared" ref="D12:G12" si="3">SUM(D13:D15)</f>
        <v>2.7873234481033835</v>
      </c>
      <c r="E12" s="114">
        <f t="shared" si="3"/>
        <v>416.86802336275355</v>
      </c>
      <c r="F12" s="114">
        <f t="shared" si="3"/>
        <v>4.5598347798669536E-5</v>
      </c>
      <c r="G12" s="114">
        <f t="shared" si="3"/>
        <v>4.3060093715788508</v>
      </c>
    </row>
    <row r="13" spans="1:7" x14ac:dyDescent="0.35">
      <c r="A13" s="113"/>
      <c r="B13" s="113" t="s">
        <v>8</v>
      </c>
      <c r="C13" s="113">
        <f>'LCI_AD-e'!$E10*'IW+f'!C2</f>
        <v>1.7365188542616061</v>
      </c>
      <c r="D13" s="113">
        <f>'LCI_AD-e'!$E10*'IW+f'!D2</f>
        <v>0.26663811326108211</v>
      </c>
      <c r="E13" s="113">
        <f>'LCI_AD-e'!$E10*'IW+f'!E2</f>
        <v>261.69692186584126</v>
      </c>
      <c r="F13" s="113">
        <f>'LCI_AD-e'!$E10*'IW+f'!F2</f>
        <v>1.7322639028884893E-6</v>
      </c>
      <c r="G13" s="113">
        <f>'LCI_AD-e'!$E10*'IW+f'!G2</f>
        <v>2.8174881828001381</v>
      </c>
    </row>
    <row r="14" spans="1:7" x14ac:dyDescent="0.35">
      <c r="A14" s="113"/>
      <c r="B14" s="113" t="s">
        <v>18</v>
      </c>
      <c r="C14" s="113">
        <f>'LCI_AD-e'!$E11*'IW+f'!C11</f>
        <v>9.6923673180164887</v>
      </c>
      <c r="D14" s="113">
        <f>'LCI_AD-e'!$E11*'IW+f'!D11</f>
        <v>2.5206853348423013</v>
      </c>
      <c r="E14" s="113">
        <f>'LCI_AD-e'!$E11*'IW+f'!E11</f>
        <v>155.17110149691229</v>
      </c>
      <c r="F14" s="113">
        <f>'LCI_AD-e'!$E11*'IW+f'!F11</f>
        <v>4.3866083895781045E-5</v>
      </c>
      <c r="G14" s="113">
        <f>'LCI_AD-e'!$E11*'IW+f'!G11</f>
        <v>1.4885211887787131</v>
      </c>
    </row>
    <row r="15" spans="1:7" x14ac:dyDescent="0.35">
      <c r="A15" s="113"/>
      <c r="B15" s="113" t="s">
        <v>96</v>
      </c>
      <c r="C15" s="113">
        <f>'LCI_AD-e'!$E12*'IW+f'!C12</f>
        <v>40.819825536389409</v>
      </c>
      <c r="D15" s="113">
        <f>'LCI_AD-e'!$E12*'IW+f'!D12</f>
        <v>0</v>
      </c>
      <c r="E15" s="113">
        <f>'LCI_AD-e'!$E12*'IW+f'!E12</f>
        <v>0</v>
      </c>
      <c r="F15" s="113">
        <f>'LCI_AD-e'!$E12*'IW+f'!F12</f>
        <v>0</v>
      </c>
      <c r="G15" s="113">
        <f>'LCI_AD-e'!$E12*'IW+f'!G12</f>
        <v>0</v>
      </c>
    </row>
    <row r="16" spans="1:7" x14ac:dyDescent="0.35">
      <c r="A16" s="112" t="s">
        <v>476</v>
      </c>
      <c r="B16" s="113"/>
      <c r="C16" s="117">
        <f>SUM(C17:C26)</f>
        <v>1.7671683790158839</v>
      </c>
      <c r="D16" s="117">
        <f t="shared" ref="D16:G16" si="4">SUM(D17:D26)</f>
        <v>7.2504014430452663</v>
      </c>
      <c r="E16" s="117">
        <f t="shared" si="4"/>
        <v>7.1324960400400128</v>
      </c>
      <c r="F16" s="117">
        <f t="shared" si="4"/>
        <v>5.3325991838941126E-5</v>
      </c>
      <c r="G16" s="117">
        <f t="shared" si="4"/>
        <v>7.6790063724874735E-2</v>
      </c>
    </row>
    <row r="17" spans="1:7" x14ac:dyDescent="0.35">
      <c r="A17" s="113"/>
      <c r="B17" s="113" t="s">
        <v>96</v>
      </c>
      <c r="C17" s="116">
        <f>'LCI_AD-e'!$E17*'IW+f'!C12</f>
        <v>0.15478559217739857</v>
      </c>
      <c r="D17" s="116">
        <f>'LCI_AD-e'!$E17*'IW+f'!D12</f>
        <v>0</v>
      </c>
      <c r="E17" s="116">
        <f>'LCI_AD-e'!$E17*'IW+f'!E12</f>
        <v>0</v>
      </c>
      <c r="F17" s="116">
        <f>'LCI_AD-e'!$E17*'IW+f'!F12</f>
        <v>0</v>
      </c>
      <c r="G17" s="116">
        <f>'LCI_AD-e'!$E17*'IW+f'!G12</f>
        <v>0</v>
      </c>
    </row>
    <row r="18" spans="1:7" x14ac:dyDescent="0.35">
      <c r="A18" s="113"/>
      <c r="B18" s="113" t="s">
        <v>111</v>
      </c>
      <c r="C18" s="116">
        <f>'LCI_AD-e'!$E18*'IW+f'!C20</f>
        <v>1.5650543209048078</v>
      </c>
      <c r="D18" s="116">
        <f>'LCI_AD-e'!$E18*'IW+f'!D20</f>
        <v>0</v>
      </c>
      <c r="E18" s="116">
        <f>'LCI_AD-e'!$E18*'IW+f'!E20</f>
        <v>0</v>
      </c>
      <c r="F18" s="116">
        <f>'LCI_AD-e'!$E18*'IW+f'!F20</f>
        <v>0</v>
      </c>
      <c r="G18" s="116">
        <f>'LCI_AD-e'!$E18*'IW+f'!G20</f>
        <v>0</v>
      </c>
    </row>
    <row r="19" spans="1:7" x14ac:dyDescent="0.35">
      <c r="A19" s="113"/>
      <c r="B19" s="113" t="s">
        <v>142</v>
      </c>
      <c r="C19" s="116">
        <f>'LCI_AD-e'!$E19*'IW+f'!C19</f>
        <v>0</v>
      </c>
      <c r="D19" s="116">
        <f>'LCI_AD-e'!$E19*'IW+f'!D19</f>
        <v>0.6621654320626007</v>
      </c>
      <c r="E19" s="116">
        <f>'LCI_AD-e'!$E19*'IW+f'!E19</f>
        <v>0</v>
      </c>
      <c r="F19" s="116">
        <f>'LCI_AD-e'!$E19*'IW+f'!F19</f>
        <v>3.693628644820743E-6</v>
      </c>
      <c r="G19" s="116">
        <f>'LCI_AD-e'!$E19*'IW+f'!G19</f>
        <v>0</v>
      </c>
    </row>
    <row r="20" spans="1:7" x14ac:dyDescent="0.35">
      <c r="A20" s="113"/>
      <c r="B20" s="113" t="s">
        <v>143</v>
      </c>
      <c r="C20" s="116">
        <f>'LCI_AD-e'!$E20*'IW+f'!C16</f>
        <v>0</v>
      </c>
      <c r="D20" s="116">
        <f>'LCI_AD-e'!$E20*'IW+f'!D16</f>
        <v>0</v>
      </c>
      <c r="E20" s="116">
        <f>'LCI_AD-e'!$E20*'IW+f'!E16</f>
        <v>0</v>
      </c>
      <c r="F20" s="116">
        <f>'LCI_AD-e'!$E20*'IW+f'!F16</f>
        <v>0</v>
      </c>
      <c r="G20" s="116">
        <f>'LCI_AD-e'!$E20*'IW+f'!G16</f>
        <v>0</v>
      </c>
    </row>
    <row r="21" spans="1:7" x14ac:dyDescent="0.35">
      <c r="A21" s="113"/>
      <c r="B21" s="113" t="s">
        <v>144</v>
      </c>
      <c r="C21" s="116">
        <f>'LCI_AD-e'!$E21*'IW+f'!C22</f>
        <v>0</v>
      </c>
      <c r="D21" s="116">
        <f>'LCI_AD-e'!$E21*'IW+f'!D22</f>
        <v>0</v>
      </c>
      <c r="E21" s="116">
        <f>'LCI_AD-e'!$E21*'IW+f'!E22</f>
        <v>0</v>
      </c>
      <c r="F21" s="116">
        <f>'LCI_AD-e'!$E21*'IW+f'!F22</f>
        <v>3.9886858284203065E-5</v>
      </c>
      <c r="G21" s="116">
        <f>'LCI_AD-e'!$E21*'IW+f'!G22</f>
        <v>0</v>
      </c>
    </row>
    <row r="22" spans="1:7" x14ac:dyDescent="0.35">
      <c r="A22" s="113"/>
      <c r="B22" s="113" t="s">
        <v>124</v>
      </c>
      <c r="C22" s="116">
        <f>'LCI_AD-e'!$E22*'IW+f'!C13</f>
        <v>0</v>
      </c>
      <c r="D22" s="116">
        <f>'LCI_AD-e'!$E22*'IW+f'!D13</f>
        <v>6.2616774218670344</v>
      </c>
      <c r="E22" s="116">
        <f>'LCI_AD-e'!$E22*'IW+f'!E13</f>
        <v>0</v>
      </c>
      <c r="F22" s="116">
        <f>'LCI_AD-e'!$E22*'IW+f'!F13</f>
        <v>7.5499383078403258E-6</v>
      </c>
      <c r="G22" s="116">
        <f>'LCI_AD-e'!$E22*'IW+f'!G13</f>
        <v>0</v>
      </c>
    </row>
    <row r="23" spans="1:7" x14ac:dyDescent="0.35">
      <c r="A23" s="113"/>
      <c r="B23" s="113" t="s">
        <v>110</v>
      </c>
      <c r="C23" s="116">
        <f>'LCI_AD-e'!$E23*'IW+f'!C18</f>
        <v>0</v>
      </c>
      <c r="D23" s="116">
        <f>'LCI_AD-e'!$E23*'IW+f'!D18</f>
        <v>0.31929142191550114</v>
      </c>
      <c r="E23" s="116">
        <f>'LCI_AD-e'!$E23*'IW+f'!E18</f>
        <v>0</v>
      </c>
      <c r="F23" s="116">
        <f>'LCI_AD-e'!$E23*'IW+f'!F18</f>
        <v>2.1483541039720615E-6</v>
      </c>
      <c r="G23" s="116">
        <f>'LCI_AD-e'!$E23*'IW+f'!G18</f>
        <v>0</v>
      </c>
    </row>
    <row r="24" spans="1:7" x14ac:dyDescent="0.35">
      <c r="A24" s="113"/>
      <c r="B24" s="113" t="s">
        <v>123</v>
      </c>
      <c r="C24" s="116">
        <f>'LCI_AD-e'!$E24*'IW+f'!C17</f>
        <v>0</v>
      </c>
      <c r="D24" s="116">
        <f>'LCI_AD-e'!$E24*'IW+f'!D17</f>
        <v>0</v>
      </c>
      <c r="E24" s="116">
        <f>'LCI_AD-e'!$E24*'IW+f'!E17</f>
        <v>0</v>
      </c>
      <c r="F24" s="116">
        <f>'LCI_AD-e'!$E24*'IW+f'!F17</f>
        <v>0</v>
      </c>
      <c r="G24" s="116">
        <f>'LCI_AD-e'!$E24*'IW+f'!G17</f>
        <v>0</v>
      </c>
    </row>
    <row r="25" spans="1:7" x14ac:dyDescent="0.35">
      <c r="A25" s="113"/>
      <c r="B25" s="113" t="s">
        <v>145</v>
      </c>
      <c r="C25" s="116">
        <f>'LCI_AD-e'!$E25*'IW+f'!C14</f>
        <v>0</v>
      </c>
      <c r="D25" s="116">
        <f>'LCI_AD-e'!$E25*'IW+f'!D14</f>
        <v>0</v>
      </c>
      <c r="E25" s="116">
        <f>'LCI_AD-e'!$E25*'IW+f'!E14</f>
        <v>0</v>
      </c>
      <c r="F25" s="116">
        <f>'LCI_AD-e'!$E25*'IW+f'!F14</f>
        <v>0</v>
      </c>
      <c r="G25" s="116">
        <f>'LCI_AD-e'!$E25*'IW+f'!G14</f>
        <v>0</v>
      </c>
    </row>
    <row r="26" spans="1:7" x14ac:dyDescent="0.35">
      <c r="A26" s="113"/>
      <c r="B26" s="113" t="s">
        <v>8</v>
      </c>
      <c r="C26" s="116">
        <f>'LCI_AD-e'!$E26*'IW+f'!C2</f>
        <v>4.7328465933677483E-2</v>
      </c>
      <c r="D26" s="116">
        <f>'LCI_AD-e'!$E26*'IW+f'!D2</f>
        <v>7.2671672001299375E-3</v>
      </c>
      <c r="E26" s="116">
        <f>'LCI_AD-e'!$E26*'IW+f'!E2</f>
        <v>7.1324960400400128</v>
      </c>
      <c r="F26" s="116">
        <f>'LCI_AD-e'!$E26*'IW+f'!F2</f>
        <v>4.7212498104927562E-8</v>
      </c>
      <c r="G26" s="116">
        <f>'LCI_AD-e'!$E26*'IW+f'!G2</f>
        <v>7.6790063724874735E-2</v>
      </c>
    </row>
    <row r="27" spans="1:7" x14ac:dyDescent="0.35">
      <c r="A27" s="114" t="s">
        <v>272</v>
      </c>
      <c r="B27" s="113"/>
      <c r="C27" s="114">
        <f>'LCIA_AD-b'!C25</f>
        <v>0.23986336868347383</v>
      </c>
      <c r="D27" s="114">
        <f>'LCIA_AD-b'!D25</f>
        <v>0.2039705679908648</v>
      </c>
      <c r="E27" s="114">
        <f>'LCIA_AD-b'!E25</f>
        <v>24.618325729257286</v>
      </c>
      <c r="F27" s="114">
        <f>'LCIA_AD-b'!F25</f>
        <v>4.0335814055722942E-7</v>
      </c>
      <c r="G27" s="114">
        <f>'LCIA_AD-b'!G25</f>
        <v>0.2542157415208825</v>
      </c>
    </row>
    <row r="28" spans="1:7" x14ac:dyDescent="0.35">
      <c r="A28" s="113"/>
      <c r="B28" s="113" t="s">
        <v>273</v>
      </c>
      <c r="C28" s="113">
        <f>'LCIA_AD-b'!C26</f>
        <v>0.15696910819275928</v>
      </c>
      <c r="D28" s="113">
        <f>'LCIA_AD-b'!D26</f>
        <v>2.4102212737902536E-2</v>
      </c>
      <c r="E28" s="113">
        <f>'LCIA_AD-b'!E26</f>
        <v>23.655563739639575</v>
      </c>
      <c r="F28" s="113">
        <f>'LCIA_AD-b'!F26</f>
        <v>1.565844904727716E-7</v>
      </c>
      <c r="G28" s="113">
        <f>'LCIA_AD-b'!G26</f>
        <v>0.25468114343384457</v>
      </c>
    </row>
    <row r="29" spans="1:7" x14ac:dyDescent="0.35">
      <c r="A29" s="113"/>
      <c r="B29" s="113" t="s">
        <v>427</v>
      </c>
      <c r="C29" s="130">
        <f>'LCIA_AD-b'!C27</f>
        <v>8.289426049071455E-2</v>
      </c>
      <c r="D29" s="130">
        <f>'LCIA_AD-b'!D27</f>
        <v>0.17986835525296227</v>
      </c>
      <c r="E29" s="130">
        <f>'LCIA_AD-b'!E27</f>
        <v>0.96276198961770965</v>
      </c>
      <c r="F29" s="130">
        <f>'LCIA_AD-b'!F27</f>
        <v>2.4677365008445785E-7</v>
      </c>
      <c r="G29" s="130">
        <f>'LCIA_AD-b'!G27</f>
        <v>-4.6540191296209324E-4</v>
      </c>
    </row>
    <row r="30" spans="1:7" x14ac:dyDescent="0.35">
      <c r="A30" s="112" t="s">
        <v>287</v>
      </c>
      <c r="B30" s="113"/>
      <c r="C30" s="135">
        <f>'LCIA_AD-b'!C28</f>
        <v>20.023161550779676</v>
      </c>
      <c r="D30" s="135">
        <f>'LCIA_AD-b'!D28</f>
        <v>5.5377949616824766</v>
      </c>
      <c r="E30" s="135">
        <f>'LCIA_AD-b'!E28</f>
        <v>61.671424253960097</v>
      </c>
      <c r="F30" s="135">
        <f>'LCIA_AD-b'!F28</f>
        <v>3.6457711739845012E-5</v>
      </c>
      <c r="G30" s="135">
        <f>'LCIA_AD-b'!G28</f>
        <v>0.42904899156069698</v>
      </c>
    </row>
    <row r="31" spans="1:7" x14ac:dyDescent="0.35">
      <c r="A31" s="113"/>
      <c r="B31" s="113" t="s">
        <v>96</v>
      </c>
      <c r="C31" s="133">
        <f>'LCIA_AD-b'!C29</f>
        <v>2.3821711546319135</v>
      </c>
      <c r="D31" s="133">
        <f>'LCIA_AD-b'!D29</f>
        <v>0</v>
      </c>
      <c r="E31" s="133">
        <f>'LCIA_AD-b'!E29</f>
        <v>0</v>
      </c>
      <c r="F31" s="133">
        <f>'LCIA_AD-b'!F29</f>
        <v>0</v>
      </c>
      <c r="G31" s="133">
        <f>'LCIA_AD-b'!G29</f>
        <v>0</v>
      </c>
    </row>
    <row r="32" spans="1:7" x14ac:dyDescent="0.35">
      <c r="A32" s="113"/>
      <c r="B32" s="113" t="s">
        <v>111</v>
      </c>
      <c r="C32" s="133">
        <f>'LCIA_AD-b'!C30</f>
        <v>17.012982491752076</v>
      </c>
      <c r="D32" s="133">
        <f>'LCIA_AD-b'!D30</f>
        <v>0</v>
      </c>
      <c r="E32" s="133">
        <f>'LCIA_AD-b'!E30</f>
        <v>0</v>
      </c>
      <c r="F32" s="133">
        <f>'LCIA_AD-b'!F30</f>
        <v>0</v>
      </c>
      <c r="G32" s="133">
        <f>'LCIA_AD-b'!G30</f>
        <v>0</v>
      </c>
    </row>
    <row r="33" spans="1:7" x14ac:dyDescent="0.35">
      <c r="A33" s="113"/>
      <c r="B33" s="113" t="s">
        <v>110</v>
      </c>
      <c r="C33" s="134">
        <f>'LCIA_AD-b'!C31</f>
        <v>0</v>
      </c>
      <c r="D33" s="134">
        <f>'LCIA_AD-b'!D31</f>
        <v>5.3456952796906902</v>
      </c>
      <c r="E33" s="134">
        <f>'LCIA_AD-b'!E31</f>
        <v>0</v>
      </c>
      <c r="F33" s="134">
        <f>'LCIA_AD-b'!F31</f>
        <v>3.5968540350410269E-5</v>
      </c>
      <c r="G33" s="134">
        <f>'LCIA_AD-b'!G31</f>
        <v>0</v>
      </c>
    </row>
    <row r="34" spans="1:7" x14ac:dyDescent="0.35">
      <c r="A34" s="113"/>
      <c r="B34" s="113" t="s">
        <v>288</v>
      </c>
      <c r="C34" s="134">
        <f>'LCIA_AD-b'!C32</f>
        <v>0</v>
      </c>
      <c r="D34" s="134">
        <f>'LCIA_AD-b'!D32</f>
        <v>7.8076707234924367E-2</v>
      </c>
      <c r="E34" s="134">
        <f>'LCIA_AD-b'!E32</f>
        <v>0</v>
      </c>
      <c r="F34" s="134">
        <f>'LCIA_AD-b'!F32</f>
        <v>5.059520896744001E-9</v>
      </c>
      <c r="G34" s="134">
        <f>'LCIA_AD-b'!G32</f>
        <v>0</v>
      </c>
    </row>
    <row r="35" spans="1:7" x14ac:dyDescent="0.35">
      <c r="A35" s="113"/>
      <c r="B35" s="113" t="s">
        <v>123</v>
      </c>
      <c r="C35" s="114">
        <f>'LCIA_AD-b'!C33</f>
        <v>0</v>
      </c>
      <c r="D35" s="114">
        <f>'LCIA_AD-b'!D33</f>
        <v>0</v>
      </c>
      <c r="E35" s="114">
        <f>'LCIA_AD-b'!E33</f>
        <v>0</v>
      </c>
      <c r="F35" s="114">
        <f>'LCIA_AD-b'!F33</f>
        <v>0</v>
      </c>
      <c r="G35" s="114">
        <f>'LCIA_AD-b'!G33</f>
        <v>0</v>
      </c>
    </row>
    <row r="36" spans="1:7" x14ac:dyDescent="0.35">
      <c r="A36" s="113"/>
      <c r="B36" s="113" t="s">
        <v>273</v>
      </c>
      <c r="C36" s="113">
        <f>'LCIA_AD-b'!C34</f>
        <v>0.24305617699473206</v>
      </c>
      <c r="D36" s="113">
        <f>'LCIA_AD-b'!D34</f>
        <v>3.7320666165691789E-2</v>
      </c>
      <c r="E36" s="113">
        <f>'LCIA_AD-b'!E34</f>
        <v>36.629060032318023</v>
      </c>
      <c r="F36" s="113">
        <f>'LCIA_AD-b'!F34</f>
        <v>2.4246062215148331E-7</v>
      </c>
      <c r="G36" s="113">
        <f>'LCIA_AD-b'!G34</f>
        <v>0.39435673546454347</v>
      </c>
    </row>
    <row r="37" spans="1:7" x14ac:dyDescent="0.35">
      <c r="A37" s="113"/>
      <c r="B37" s="113" t="s">
        <v>289</v>
      </c>
      <c r="C37" s="113">
        <f>'LCIA_AD-b'!C35</f>
        <v>0.38495172740095668</v>
      </c>
      <c r="D37" s="113">
        <f>'LCIA_AD-b'!D35</f>
        <v>7.6702308591170859E-2</v>
      </c>
      <c r="E37" s="113">
        <f>'LCIA_AD-b'!E35</f>
        <v>25.042364221642071</v>
      </c>
      <c r="F37" s="113">
        <f>'LCIA_AD-b'!F35</f>
        <v>2.416512463865165E-7</v>
      </c>
      <c r="G37" s="113">
        <f>'LCIA_AD-b'!G35</f>
        <v>3.4692256096153506E-2</v>
      </c>
    </row>
    <row r="38" spans="1:7" x14ac:dyDescent="0.35">
      <c r="A38" s="112" t="s">
        <v>353</v>
      </c>
      <c r="B38" s="113"/>
      <c r="C38" s="113">
        <f>'LCIA_AD-b'!C36</f>
        <v>-27.214300839017277</v>
      </c>
      <c r="D38" s="113">
        <f>'LCIA_AD-b'!D36</f>
        <v>7.1951540722679077</v>
      </c>
      <c r="E38" s="113">
        <f>'LCIA_AD-b'!E36</f>
        <v>0</v>
      </c>
      <c r="F38" s="113">
        <f>'LCIA_AD-b'!F36</f>
        <v>1.4004955712866033E-5</v>
      </c>
      <c r="G38" s="113">
        <f>'LCIA_AD-b'!G36</f>
        <v>0</v>
      </c>
    </row>
    <row r="39" spans="1:7" x14ac:dyDescent="0.35">
      <c r="A39" s="113"/>
      <c r="B39" s="113" t="s">
        <v>111</v>
      </c>
      <c r="C39" s="116">
        <f>'LCIA_AD-b'!C37</f>
        <v>3.6020203114535199</v>
      </c>
      <c r="D39" s="116">
        <f>'LCIA_AD-b'!D37</f>
        <v>0</v>
      </c>
      <c r="E39" s="116">
        <f>'LCIA_AD-b'!E37</f>
        <v>0</v>
      </c>
      <c r="F39" s="116">
        <f>'LCIA_AD-b'!F37</f>
        <v>0</v>
      </c>
      <c r="G39" s="116">
        <f>'LCIA_AD-b'!G37</f>
        <v>0</v>
      </c>
    </row>
    <row r="40" spans="1:7" x14ac:dyDescent="0.35">
      <c r="A40" s="113"/>
      <c r="B40" s="113" t="s">
        <v>110</v>
      </c>
      <c r="C40" s="113">
        <f>'LCIA_AD-b'!C38</f>
        <v>0</v>
      </c>
      <c r="D40" s="113">
        <f>'LCIA_AD-b'!D38</f>
        <v>2.0814363028687977</v>
      </c>
      <c r="E40" s="113">
        <f>'LCIA_AD-b'!E38</f>
        <v>0</v>
      </c>
      <c r="F40" s="113">
        <f>'LCIA_AD-b'!F38</f>
        <v>1.4004955712866033E-5</v>
      </c>
      <c r="G40" s="113">
        <f>'LCIA_AD-b'!G38</f>
        <v>0</v>
      </c>
    </row>
    <row r="41" spans="1:7" x14ac:dyDescent="0.35">
      <c r="A41" s="113"/>
      <c r="B41" s="113" t="s">
        <v>114</v>
      </c>
      <c r="C41" s="113">
        <f>'LCIA_AD-b'!C39</f>
        <v>0</v>
      </c>
      <c r="D41" s="113">
        <f>'LCIA_AD-b'!D39</f>
        <v>5.2372357739406041</v>
      </c>
      <c r="E41" s="113">
        <f>'LCIA_AD-b'!E39</f>
        <v>0</v>
      </c>
      <c r="F41" s="113">
        <f>'LCIA_AD-b'!F39</f>
        <v>0</v>
      </c>
      <c r="G41" s="113">
        <f>'LCIA_AD-b'!G39</f>
        <v>0</v>
      </c>
    </row>
    <row r="42" spans="1:7" x14ac:dyDescent="0.35">
      <c r="A42" s="113"/>
      <c r="B42" s="113" t="s">
        <v>414</v>
      </c>
      <c r="C42" s="113">
        <f>'LCIA_AD-b'!C40</f>
        <v>0</v>
      </c>
      <c r="D42" s="113">
        <f>'LCIA_AD-b'!D40</f>
        <v>-0.12351800454149389</v>
      </c>
      <c r="E42" s="113">
        <f>'LCIA_AD-b'!E40</f>
        <v>0</v>
      </c>
      <c r="F42" s="113">
        <f>'LCIA_AD-b'!F40</f>
        <v>0</v>
      </c>
      <c r="G42" s="113">
        <f>'LCIA_AD-b'!G40</f>
        <v>0</v>
      </c>
    </row>
    <row r="43" spans="1:7" x14ac:dyDescent="0.35">
      <c r="A43" s="113"/>
      <c r="B43" s="113" t="s">
        <v>415</v>
      </c>
      <c r="C43" s="113">
        <f>'LCIA_AD-b'!C41</f>
        <v>-30.816321150470795</v>
      </c>
      <c r="D43" s="113">
        <f>'LCIA_AD-b'!D41</f>
        <v>0</v>
      </c>
      <c r="E43" s="113">
        <f>'LCIA_AD-b'!E41</f>
        <v>0</v>
      </c>
      <c r="F43" s="113">
        <f>'LCIA_AD-b'!F41</f>
        <v>0</v>
      </c>
      <c r="G43" s="113">
        <f>'LCIA_AD-b'!G41</f>
        <v>0</v>
      </c>
    </row>
    <row r="44" spans="1:7" x14ac:dyDescent="0.35">
      <c r="A44" s="112" t="s">
        <v>421</v>
      </c>
      <c r="B44" s="113"/>
      <c r="C44" s="114">
        <f>SUM(C45:C49)</f>
        <v>304.60228090397356</v>
      </c>
      <c r="D44" s="114">
        <f t="shared" ref="D44:G44" si="5">SUM(D45:D49)</f>
        <v>21.484152098230851</v>
      </c>
      <c r="E44" s="114">
        <f t="shared" si="5"/>
        <v>5462.6153893986711</v>
      </c>
      <c r="F44" s="114">
        <f t="shared" si="5"/>
        <v>8.1963163041322753E-5</v>
      </c>
      <c r="G44" s="114">
        <f t="shared" si="5"/>
        <v>60.66885532438814</v>
      </c>
    </row>
    <row r="45" spans="1:7" x14ac:dyDescent="0.35">
      <c r="A45" s="113"/>
      <c r="B45" s="113" t="s">
        <v>228</v>
      </c>
      <c r="C45" s="113">
        <f>'LCIA_AD-b'!C43</f>
        <v>15.522698672412098</v>
      </c>
      <c r="D45" s="113">
        <f>'LCIA_AD-b'!D43</f>
        <v>2.059694637999725</v>
      </c>
      <c r="E45" s="113">
        <f>'LCIA_AD-b'!E43</f>
        <v>228.26827147082756</v>
      </c>
      <c r="F45" s="113">
        <f>'LCIA_AD-b'!F43</f>
        <v>1.1387281963638193E-5</v>
      </c>
      <c r="G45" s="113">
        <f>'LCIA_AD-b'!G43</f>
        <v>23.373765692874599</v>
      </c>
    </row>
    <row r="46" spans="1:7" x14ac:dyDescent="0.35">
      <c r="A46" s="113"/>
      <c r="B46" s="113" t="s">
        <v>230</v>
      </c>
      <c r="C46" s="113">
        <f>'LCIA_AD-b'!C44</f>
        <v>12.451853839570528</v>
      </c>
      <c r="D46" s="113">
        <f>'LCIA_AD-b'!D44</f>
        <v>5.8033748135817964</v>
      </c>
      <c r="E46" s="113">
        <f>'LCIA_AD-b'!E44</f>
        <v>218.31950486780622</v>
      </c>
      <c r="F46" s="113">
        <f>'LCIA_AD-b'!F44</f>
        <v>4.7898740522255537E-5</v>
      </c>
      <c r="G46" s="113">
        <f>'LCIA_AD-b'!G44</f>
        <v>29.538178374805231</v>
      </c>
    </row>
    <row r="47" spans="1:7" x14ac:dyDescent="0.35">
      <c r="A47" s="113"/>
      <c r="B47" s="113" t="s">
        <v>229</v>
      </c>
      <c r="C47" s="113">
        <f>'LCIA_AD-b'!C45</f>
        <v>1.8991612154517739</v>
      </c>
      <c r="D47" s="113">
        <f>'LCIA_AD-b'!D45</f>
        <v>0.46221699116395226</v>
      </c>
      <c r="E47" s="113">
        <f>'LCIA_AD-b'!E45</f>
        <v>30.790657167218129</v>
      </c>
      <c r="F47" s="113">
        <f>'LCIA_AD-b'!F45</f>
        <v>2.1302278009307427E-6</v>
      </c>
      <c r="G47" s="113">
        <f>'LCIA_AD-b'!G45</f>
        <v>0.89360271143972314</v>
      </c>
    </row>
    <row r="48" spans="1:7" x14ac:dyDescent="0.35">
      <c r="A48" s="113"/>
      <c r="B48" s="113" t="s">
        <v>231</v>
      </c>
      <c r="C48" s="113">
        <f>'LCIA_AD-b'!C46</f>
        <v>0.60151873247630161</v>
      </c>
      <c r="D48" s="113">
        <f>'LCIA_AD-b'!D46</f>
        <v>0.26016692421759646</v>
      </c>
      <c r="E48" s="113">
        <f>'LCIA_AD-b'!E46</f>
        <v>424.13181213239164</v>
      </c>
      <c r="F48" s="113">
        <f>'LCIA_AD-b'!F46</f>
        <v>4.8284247774503164E-7</v>
      </c>
      <c r="G48" s="113">
        <f>'LCIA_AD-b'!G46</f>
        <v>1.3478750962911963</v>
      </c>
    </row>
    <row r="49" spans="1:37" x14ac:dyDescent="0.35">
      <c r="A49" s="113"/>
      <c r="B49" s="113" t="s">
        <v>423</v>
      </c>
      <c r="C49" s="113">
        <f>'LCI_AD-f'!$E52*'IW+f'!C39</f>
        <v>274.12704844406284</v>
      </c>
      <c r="D49" s="113">
        <f>'LCI_AD-f'!$E52*'IW+f'!D39</f>
        <v>12.898698731267778</v>
      </c>
      <c r="E49" s="113">
        <f>'LCI_AD-f'!$E52*'IW+f'!E39</f>
        <v>4561.1051437604274</v>
      </c>
      <c r="F49" s="113">
        <f>'LCI_AD-f'!$E52*'IW+f'!F39</f>
        <v>2.0064070276753234E-5</v>
      </c>
      <c r="G49" s="113">
        <f>'LCI_AD-f'!$E52*'IW+f'!G39</f>
        <v>5.5154334489773911</v>
      </c>
    </row>
    <row r="50" spans="1:37" x14ac:dyDescent="0.35">
      <c r="A50" s="113"/>
      <c r="B50" s="113"/>
      <c r="C50" s="113"/>
      <c r="D50" s="113"/>
      <c r="E50" s="113"/>
      <c r="F50" s="113"/>
      <c r="G50" s="113"/>
    </row>
    <row r="51" spans="1:37" x14ac:dyDescent="0.35">
      <c r="A51" s="112" t="s">
        <v>494</v>
      </c>
      <c r="B51" s="113"/>
      <c r="C51" s="114">
        <f>C5+C38-C44</f>
        <v>-267.29345925553793</v>
      </c>
      <c r="D51" s="114">
        <f t="shared" ref="D51:G51" si="6">D5+D38-D44</f>
        <v>-2.1520788141160736</v>
      </c>
      <c r="E51" s="114">
        <f t="shared" si="6"/>
        <v>-4826.9261227832676</v>
      </c>
      <c r="F51" s="114">
        <f t="shared" si="6"/>
        <v>7.1326731091838803E-5</v>
      </c>
      <c r="G51" s="114">
        <f t="shared" si="6"/>
        <v>-44.754073148487684</v>
      </c>
    </row>
    <row r="55" spans="1:37" ht="72.5" x14ac:dyDescent="0.35">
      <c r="A55" s="140" t="s">
        <v>0</v>
      </c>
      <c r="B55" s="140"/>
      <c r="C55" s="137" t="s">
        <v>376</v>
      </c>
      <c r="D55" s="137" t="s">
        <v>377</v>
      </c>
      <c r="E55" s="137" t="s">
        <v>378</v>
      </c>
      <c r="F55" s="137" t="s">
        <v>379</v>
      </c>
      <c r="G55" s="137" t="s">
        <v>380</v>
      </c>
      <c r="H55" s="137" t="s">
        <v>361</v>
      </c>
      <c r="I55" s="137" t="s">
        <v>381</v>
      </c>
      <c r="J55" s="137" t="s">
        <v>382</v>
      </c>
      <c r="K55" s="137" t="s">
        <v>363</v>
      </c>
      <c r="L55" s="137" t="s">
        <v>383</v>
      </c>
      <c r="M55" s="137" t="s">
        <v>384</v>
      </c>
      <c r="N55" s="137" t="s">
        <v>385</v>
      </c>
      <c r="O55" s="137" t="s">
        <v>386</v>
      </c>
      <c r="P55" s="137" t="s">
        <v>387</v>
      </c>
      <c r="Q55" s="137" t="s">
        <v>388</v>
      </c>
      <c r="R55" s="137" t="s">
        <v>367</v>
      </c>
      <c r="S55" s="137" t="s">
        <v>368</v>
      </c>
      <c r="T55" s="137" t="s">
        <v>389</v>
      </c>
      <c r="U55" s="137" t="s">
        <v>390</v>
      </c>
      <c r="V55" s="137" t="s">
        <v>391</v>
      </c>
      <c r="W55" s="137" t="s">
        <v>392</v>
      </c>
      <c r="X55" s="137" t="s">
        <v>369</v>
      </c>
      <c r="Y55" s="137" t="s">
        <v>371</v>
      </c>
      <c r="Z55" s="137" t="s">
        <v>372</v>
      </c>
      <c r="AA55" s="137" t="s">
        <v>393</v>
      </c>
      <c r="AB55" s="137" t="s">
        <v>394</v>
      </c>
      <c r="AC55" s="137" t="s">
        <v>374</v>
      </c>
      <c r="AD55" s="137" t="s">
        <v>395</v>
      </c>
      <c r="AE55" s="137" t="s">
        <v>396</v>
      </c>
      <c r="AF55" s="137" t="s">
        <v>397</v>
      </c>
      <c r="AG55" s="137" t="s">
        <v>398</v>
      </c>
      <c r="AH55" s="137" t="s">
        <v>399</v>
      </c>
      <c r="AI55" s="137" t="s">
        <v>400</v>
      </c>
      <c r="AJ55" s="137" t="s">
        <v>401</v>
      </c>
      <c r="AK55" s="137" t="s">
        <v>402</v>
      </c>
    </row>
    <row r="56" spans="1:37" x14ac:dyDescent="0.35">
      <c r="A56" s="141" t="s">
        <v>6</v>
      </c>
      <c r="B56" s="136"/>
      <c r="C56" s="141" t="e">
        <f>SUM(C58:C88)</f>
        <v>#REF!</v>
      </c>
      <c r="D56" s="141" t="e">
        <f t="shared" ref="D56:AK56" si="7">SUM(D58:D88)</f>
        <v>#REF!</v>
      </c>
      <c r="E56" s="141" t="e">
        <f t="shared" si="7"/>
        <v>#REF!</v>
      </c>
      <c r="F56" s="141" t="e">
        <f t="shared" si="7"/>
        <v>#REF!</v>
      </c>
      <c r="G56" s="141">
        <f t="shared" si="7"/>
        <v>2.9237341960524829E-17</v>
      </c>
      <c r="H56" s="141">
        <f t="shared" si="7"/>
        <v>0.93334933780264773</v>
      </c>
      <c r="I56" s="141">
        <f t="shared" si="7"/>
        <v>3.8151579070454211</v>
      </c>
      <c r="J56" s="141">
        <f t="shared" si="7"/>
        <v>0.33835236897584886</v>
      </c>
      <c r="K56" s="141">
        <f t="shared" si="7"/>
        <v>9.8447875327818679E-3</v>
      </c>
      <c r="L56" s="141">
        <f t="shared" si="7"/>
        <v>1.4080593815176949E-7</v>
      </c>
      <c r="M56" s="141">
        <f t="shared" si="7"/>
        <v>1.0980085479788829E-5</v>
      </c>
      <c r="N56" s="141">
        <f t="shared" si="7"/>
        <v>3.960050042017411E-6</v>
      </c>
      <c r="O56" s="141">
        <f t="shared" si="7"/>
        <v>2.2001474315386072E-5</v>
      </c>
      <c r="P56" s="141">
        <f t="shared" si="7"/>
        <v>1.6344255621173077E-8</v>
      </c>
      <c r="Q56" s="141">
        <f t="shared" si="7"/>
        <v>4.957867381830175E-7</v>
      </c>
      <c r="R56" s="141">
        <f t="shared" si="7"/>
        <v>1.4312941237064016</v>
      </c>
      <c r="S56" s="141">
        <f t="shared" si="7"/>
        <v>0.50126037551560787</v>
      </c>
      <c r="T56" s="141">
        <f t="shared" si="7"/>
        <v>2.6072390960869454</v>
      </c>
      <c r="U56" s="141">
        <f t="shared" si="7"/>
        <v>0.28302148269353233</v>
      </c>
      <c r="V56" s="141">
        <f t="shared" si="7"/>
        <v>1.5934744545484263E-5</v>
      </c>
      <c r="W56" s="141">
        <f t="shared" si="7"/>
        <v>8.4914164356987693E-6</v>
      </c>
      <c r="X56" s="141">
        <f t="shared" si="7"/>
        <v>0.34337479901318291</v>
      </c>
      <c r="Y56" s="141">
        <f t="shared" si="7"/>
        <v>1.146684479185386E-9</v>
      </c>
      <c r="Z56" s="141">
        <f t="shared" si="7"/>
        <v>1.4181752543044788E-4</v>
      </c>
      <c r="AA56" s="141">
        <f t="shared" si="7"/>
        <v>4.330946287371467</v>
      </c>
      <c r="AB56" s="141">
        <f t="shared" si="7"/>
        <v>4.4663151185554859E-7</v>
      </c>
      <c r="AC56" s="141">
        <f t="shared" si="7"/>
        <v>9.18521917701114</v>
      </c>
      <c r="AD56" s="141">
        <f t="shared" si="7"/>
        <v>0.58163372065181607</v>
      </c>
      <c r="AE56" s="141">
        <f t="shared" si="7"/>
        <v>0.30993669990300504</v>
      </c>
      <c r="AF56" s="141">
        <f t="shared" si="7"/>
        <v>8.1062262430383752E-3</v>
      </c>
      <c r="AG56" s="141">
        <f t="shared" si="7"/>
        <v>24.679311934229254</v>
      </c>
      <c r="AH56" s="141">
        <f t="shared" si="7"/>
        <v>1.9584505812101478E-4</v>
      </c>
      <c r="AI56" s="141">
        <f t="shared" si="7"/>
        <v>1.3100735872974184E-4</v>
      </c>
      <c r="AJ56" s="141">
        <f t="shared" si="7"/>
        <v>1.6001551980705001E-5</v>
      </c>
      <c r="AK56" s="141">
        <f t="shared" si="7"/>
        <v>4.2009481245155919E-4</v>
      </c>
    </row>
    <row r="57" spans="1:37" x14ac:dyDescent="0.35">
      <c r="A57" s="141" t="s">
        <v>5</v>
      </c>
      <c r="B57" s="136"/>
      <c r="C57" s="136"/>
      <c r="D57" s="136"/>
      <c r="E57" s="136"/>
      <c r="F57" s="136"/>
      <c r="G57" s="136"/>
      <c r="H57" s="136"/>
      <c r="I57" s="136"/>
      <c r="J57" s="136"/>
      <c r="K57" s="136"/>
      <c r="L57" s="136"/>
      <c r="M57" s="136"/>
      <c r="N57" s="136"/>
      <c r="O57" s="136"/>
      <c r="P57" s="136"/>
      <c r="Q57" s="136"/>
      <c r="R57" s="136"/>
      <c r="S57" s="136"/>
      <c r="T57" s="136"/>
      <c r="U57" s="136"/>
      <c r="V57" s="136"/>
      <c r="W57" s="136"/>
      <c r="X57" s="136"/>
      <c r="Y57" s="136"/>
      <c r="Z57" s="136"/>
      <c r="AA57" s="136"/>
      <c r="AB57" s="136"/>
      <c r="AC57" s="136"/>
      <c r="AD57" s="136"/>
      <c r="AE57" s="136"/>
      <c r="AF57" s="136"/>
      <c r="AG57" s="136"/>
      <c r="AH57" s="136"/>
      <c r="AI57" s="136"/>
      <c r="AJ57" s="136"/>
      <c r="AK57" s="136"/>
    </row>
    <row r="58" spans="1:37" x14ac:dyDescent="0.35">
      <c r="A58" s="136"/>
      <c r="B58" s="136" t="s">
        <v>249</v>
      </c>
      <c r="C58" s="136" t="e">
        <f>'LCIA_AD-e'!C48</f>
        <v>#REF!</v>
      </c>
      <c r="D58" s="136" t="e">
        <f>'LCIA_AD-e'!D48</f>
        <v>#REF!</v>
      </c>
      <c r="E58" s="136" t="e">
        <f>'LCIA_AD-e'!E48</f>
        <v>#REF!</v>
      </c>
      <c r="F58" s="136" t="e">
        <f>'LCIA_AD-e'!F48</f>
        <v>#REF!</v>
      </c>
      <c r="G58" s="136">
        <f>'LCIA_AD-e'!G48</f>
        <v>9.0040097542142219E-20</v>
      </c>
      <c r="H58" s="136">
        <f>'LCIA_AD-e'!H48</f>
        <v>5.1931114803604956E-3</v>
      </c>
      <c r="I58" s="136">
        <f>'LCIA_AD-e'!I48</f>
        <v>0.24839018720173295</v>
      </c>
      <c r="J58" s="136">
        <f>'LCIA_AD-e'!J48</f>
        <v>1.234083364332369E-2</v>
      </c>
      <c r="K58" s="136">
        <f>'LCIA_AD-e'!K48</f>
        <v>2.1439753416220663E-5</v>
      </c>
      <c r="L58" s="136">
        <f>'LCIA_AD-e'!L48</f>
        <v>8.7015032149142414E-9</v>
      </c>
      <c r="M58" s="136">
        <f>'LCIA_AD-e'!M48</f>
        <v>1.6596905236710246E-7</v>
      </c>
      <c r="N58" s="136">
        <f>'LCIA_AD-e'!N48</f>
        <v>1.9676602640470916E-7</v>
      </c>
      <c r="O58" s="136">
        <f>'LCIA_AD-e'!O48</f>
        <v>1.0474046667854858E-7</v>
      </c>
      <c r="P58" s="136">
        <f>'LCIA_AD-e'!P48</f>
        <v>4.1389310905179983E-9</v>
      </c>
      <c r="Q58" s="136">
        <f>'LCIA_AD-e'!Q48</f>
        <v>1.2763337153218512E-7</v>
      </c>
      <c r="R58" s="136">
        <f>'LCIA_AD-e'!R48</f>
        <v>1.6534106080479432E-2</v>
      </c>
      <c r="S58" s="136">
        <f>'LCIA_AD-e'!S48</f>
        <v>1.1656841267618703E-2</v>
      </c>
      <c r="T58" s="136">
        <f>'LCIA_AD-e'!T48</f>
        <v>0.10249049260823448</v>
      </c>
      <c r="U58" s="136">
        <f>'LCIA_AD-e'!U48</f>
        <v>1.1125576504552512E-2</v>
      </c>
      <c r="V58" s="136">
        <f>'LCIA_AD-e'!V48</f>
        <v>9.6489525909131685E-7</v>
      </c>
      <c r="W58" s="136">
        <f>'LCIA_AD-e'!W48</f>
        <v>2.6554776215088471E-7</v>
      </c>
      <c r="X58" s="136">
        <f>'LCIA_AD-e'!X48</f>
        <v>6.7963986332143073E-4</v>
      </c>
      <c r="Y58" s="136">
        <f>'LCIA_AD-e'!Y48</f>
        <v>4.6233568878889853E-11</v>
      </c>
      <c r="Z58" s="136">
        <f>'LCIA_AD-e'!Z48</f>
        <v>3.7424948947123667E-7</v>
      </c>
      <c r="AA58" s="136">
        <f>'LCIA_AD-e'!AA48</f>
        <v>1.5755418847462184E-2</v>
      </c>
      <c r="AB58" s="136">
        <f>'LCIA_AD-e'!AB48</f>
        <v>1.5662117661554336E-9</v>
      </c>
      <c r="AC58" s="136">
        <f>'LCIA_AD-e'!AC48</f>
        <v>3.4269056902659287E-2</v>
      </c>
      <c r="AD58" s="136">
        <f>'LCIA_AD-e'!AD48</f>
        <v>3.5220034139757453E-2</v>
      </c>
      <c r="AE58" s="136">
        <f>'LCIA_AD-e'!AE48</f>
        <v>9.6924933185072934E-3</v>
      </c>
      <c r="AF58" s="136">
        <f>'LCIA_AD-e'!AF48</f>
        <v>1.9004186679781043E-3</v>
      </c>
      <c r="AG58" s="136">
        <f>'LCIA_AD-e'!AG48</f>
        <v>0.5052956935927394</v>
      </c>
      <c r="AH58" s="136">
        <f>'LCIA_AD-e'!AH48</f>
        <v>2.2125278087823061E-6</v>
      </c>
      <c r="AI58" s="136">
        <f>'LCIA_AD-e'!AI48</f>
        <v>1.0093591977195651E-5</v>
      </c>
      <c r="AJ58" s="136">
        <f>'LCIA_AD-e'!AJ48</f>
        <v>1.2328554537785757E-6</v>
      </c>
      <c r="AK58" s="136">
        <f>'LCIA_AD-e'!AK48</f>
        <v>1.4715139405635514E-5</v>
      </c>
    </row>
    <row r="59" spans="1:37" x14ac:dyDescent="0.35">
      <c r="A59" s="136"/>
      <c r="B59" s="136" t="s">
        <v>250</v>
      </c>
      <c r="C59" s="136" t="e">
        <f>'LCIA_AD-e'!C49</f>
        <v>#REF!</v>
      </c>
      <c r="D59" s="136" t="e">
        <f>'LCIA_AD-e'!D49</f>
        <v>#REF!</v>
      </c>
      <c r="E59" s="136" t="e">
        <f>'LCIA_AD-e'!E49</f>
        <v>#REF!</v>
      </c>
      <c r="F59" s="136" t="e">
        <f>'LCIA_AD-e'!F49</f>
        <v>#REF!</v>
      </c>
      <c r="G59" s="136">
        <f>'LCIA_AD-e'!G49</f>
        <v>0</v>
      </c>
      <c r="H59" s="136">
        <f>'LCIA_AD-e'!H49</f>
        <v>0</v>
      </c>
      <c r="I59" s="136">
        <f>'LCIA_AD-e'!I49</f>
        <v>0</v>
      </c>
      <c r="J59" s="136">
        <f>'LCIA_AD-e'!J49</f>
        <v>0</v>
      </c>
      <c r="K59" s="136">
        <f>'LCIA_AD-e'!K49</f>
        <v>0</v>
      </c>
      <c r="L59" s="136">
        <f>'LCIA_AD-e'!L49</f>
        <v>0</v>
      </c>
      <c r="M59" s="136">
        <f>'LCIA_AD-e'!M49</f>
        <v>0</v>
      </c>
      <c r="N59" s="136">
        <f>'LCIA_AD-e'!N49</f>
        <v>0</v>
      </c>
      <c r="O59" s="136">
        <f>'LCIA_AD-e'!O49</f>
        <v>0</v>
      </c>
      <c r="P59" s="136">
        <f>'LCIA_AD-e'!P49</f>
        <v>0</v>
      </c>
      <c r="Q59" s="136">
        <f>'LCIA_AD-e'!Q49</f>
        <v>0</v>
      </c>
      <c r="R59" s="136">
        <f>'LCIA_AD-e'!R49</f>
        <v>0</v>
      </c>
      <c r="S59" s="136">
        <f>'LCIA_AD-e'!S49</f>
        <v>0</v>
      </c>
      <c r="T59" s="136">
        <f>'LCIA_AD-e'!T49</f>
        <v>0</v>
      </c>
      <c r="U59" s="136">
        <f>'LCIA_AD-e'!U49</f>
        <v>0</v>
      </c>
      <c r="V59" s="136">
        <f>'LCIA_AD-e'!V49</f>
        <v>0</v>
      </c>
      <c r="W59" s="136">
        <f>'LCIA_AD-e'!W49</f>
        <v>0</v>
      </c>
      <c r="X59" s="136">
        <f>'LCIA_AD-e'!X49</f>
        <v>0</v>
      </c>
      <c r="Y59" s="136">
        <f>'LCIA_AD-e'!Y49</f>
        <v>0</v>
      </c>
      <c r="Z59" s="136">
        <f>'LCIA_AD-e'!Z49</f>
        <v>0</v>
      </c>
      <c r="AA59" s="136">
        <f>'LCIA_AD-e'!AA49</f>
        <v>0</v>
      </c>
      <c r="AB59" s="136">
        <f>'LCIA_AD-e'!AB49</f>
        <v>0</v>
      </c>
      <c r="AC59" s="136">
        <f>'LCIA_AD-e'!AC49</f>
        <v>0</v>
      </c>
      <c r="AD59" s="136">
        <f>'LCIA_AD-e'!AD49</f>
        <v>0</v>
      </c>
      <c r="AE59" s="136">
        <f>'LCIA_AD-e'!AE49</f>
        <v>0</v>
      </c>
      <c r="AF59" s="136">
        <f>'LCIA_AD-e'!AF49</f>
        <v>0</v>
      </c>
      <c r="AG59" s="136">
        <f>'LCIA_AD-e'!AG49</f>
        <v>0</v>
      </c>
      <c r="AH59" s="136">
        <f>'LCIA_AD-e'!AH49</f>
        <v>0</v>
      </c>
      <c r="AI59" s="136">
        <f>'LCIA_AD-e'!AI49</f>
        <v>0</v>
      </c>
      <c r="AJ59" s="136">
        <f>'LCIA_AD-e'!AJ49</f>
        <v>0</v>
      </c>
      <c r="AK59" s="136">
        <f>'LCIA_AD-e'!AK49</f>
        <v>0</v>
      </c>
    </row>
    <row r="60" spans="1:37" x14ac:dyDescent="0.35">
      <c r="A60" s="142" t="s">
        <v>235</v>
      </c>
      <c r="B60" s="136"/>
      <c r="C60" s="136">
        <f>'LCIA_AD-e'!C50</f>
        <v>0</v>
      </c>
      <c r="D60" s="136">
        <f>'LCIA_AD-e'!D50</f>
        <v>0</v>
      </c>
      <c r="E60" s="136">
        <f>'LCIA_AD-e'!E50</f>
        <v>0</v>
      </c>
      <c r="F60" s="136">
        <f>'LCIA_AD-e'!F50</f>
        <v>0</v>
      </c>
      <c r="G60" s="136">
        <f>'LCIA_AD-e'!G50</f>
        <v>0</v>
      </c>
      <c r="H60" s="136">
        <f>'LCIA_AD-e'!H50</f>
        <v>0</v>
      </c>
      <c r="I60" s="136">
        <f>'LCIA_AD-e'!I50</f>
        <v>0</v>
      </c>
      <c r="J60" s="136">
        <f>'LCIA_AD-e'!J50</f>
        <v>0</v>
      </c>
      <c r="K60" s="136">
        <f>'LCIA_AD-e'!K50</f>
        <v>0</v>
      </c>
      <c r="L60" s="136">
        <f>'LCIA_AD-e'!L50</f>
        <v>0</v>
      </c>
      <c r="M60" s="136">
        <f>'LCIA_AD-e'!M50</f>
        <v>0</v>
      </c>
      <c r="N60" s="136">
        <f>'LCIA_AD-e'!N50</f>
        <v>0</v>
      </c>
      <c r="O60" s="136">
        <f>'LCIA_AD-e'!O50</f>
        <v>0</v>
      </c>
      <c r="P60" s="136">
        <f>'LCIA_AD-e'!P50</f>
        <v>0</v>
      </c>
      <c r="Q60" s="136">
        <f>'LCIA_AD-e'!Q50</f>
        <v>0</v>
      </c>
      <c r="R60" s="136">
        <f>'LCIA_AD-e'!R50</f>
        <v>0</v>
      </c>
      <c r="S60" s="136">
        <f>'LCIA_AD-e'!S50</f>
        <v>0</v>
      </c>
      <c r="T60" s="136">
        <f>'LCIA_AD-e'!T50</f>
        <v>0</v>
      </c>
      <c r="U60" s="136">
        <f>'LCIA_AD-e'!U50</f>
        <v>0</v>
      </c>
      <c r="V60" s="136">
        <f>'LCIA_AD-e'!V50</f>
        <v>0</v>
      </c>
      <c r="W60" s="136">
        <f>'LCIA_AD-e'!W50</f>
        <v>0</v>
      </c>
      <c r="X60" s="136">
        <f>'LCIA_AD-e'!X50</f>
        <v>0</v>
      </c>
      <c r="Y60" s="136">
        <f>'LCIA_AD-e'!Y50</f>
        <v>0</v>
      </c>
      <c r="Z60" s="136">
        <f>'LCIA_AD-e'!Z50</f>
        <v>0</v>
      </c>
      <c r="AA60" s="136">
        <f>'LCIA_AD-e'!AA50</f>
        <v>0</v>
      </c>
      <c r="AB60" s="136">
        <f>'LCIA_AD-e'!AB50</f>
        <v>0</v>
      </c>
      <c r="AC60" s="136">
        <f>'LCIA_AD-e'!AC50</f>
        <v>0</v>
      </c>
      <c r="AD60" s="136">
        <f>'LCIA_AD-e'!AD50</f>
        <v>0</v>
      </c>
      <c r="AE60" s="136">
        <f>'LCIA_AD-e'!AE50</f>
        <v>0</v>
      </c>
      <c r="AF60" s="136">
        <f>'LCIA_AD-e'!AF50</f>
        <v>0</v>
      </c>
      <c r="AG60" s="136">
        <f>'LCIA_AD-e'!AG50</f>
        <v>0</v>
      </c>
      <c r="AH60" s="136">
        <f>'LCIA_AD-e'!AH50</f>
        <v>0</v>
      </c>
      <c r="AI60" s="136">
        <f>'LCIA_AD-e'!AI50</f>
        <v>0</v>
      </c>
      <c r="AJ60" s="136">
        <f>'LCIA_AD-e'!AJ50</f>
        <v>0</v>
      </c>
      <c r="AK60" s="136">
        <f>'LCIA_AD-e'!AK50</f>
        <v>0</v>
      </c>
    </row>
    <row r="61" spans="1:37" x14ac:dyDescent="0.35">
      <c r="A61" s="136"/>
      <c r="B61" s="136" t="s">
        <v>286</v>
      </c>
      <c r="C61" s="136" t="e">
        <f>'LCIA_AD-e'!C51</f>
        <v>#REF!</v>
      </c>
      <c r="D61" s="136" t="e">
        <f>'LCIA_AD-e'!D51</f>
        <v>#REF!</v>
      </c>
      <c r="E61" s="136" t="e">
        <f>'LCIA_AD-e'!E51</f>
        <v>#REF!</v>
      </c>
      <c r="F61" s="136" t="e">
        <f>'LCIA_AD-e'!F51</f>
        <v>#REF!</v>
      </c>
      <c r="G61" s="136">
        <f>'LCIA_AD-e'!G51</f>
        <v>3.4259653114390555E-19</v>
      </c>
      <c r="H61" s="136">
        <f>'LCIA_AD-e'!H51</f>
        <v>1.9088748614477355E-3</v>
      </c>
      <c r="I61" s="136">
        <f>'LCIA_AD-e'!I51</f>
        <v>2.1165975185515697E-2</v>
      </c>
      <c r="J61" s="136">
        <f>'LCIA_AD-e'!J51</f>
        <v>7.7842440064621963E-3</v>
      </c>
      <c r="K61" s="136">
        <f>'LCIA_AD-e'!K51</f>
        <v>1.2090234903629117E-5</v>
      </c>
      <c r="L61" s="136">
        <f>'LCIA_AD-e'!L51</f>
        <v>1.3807900143766815E-9</v>
      </c>
      <c r="M61" s="136">
        <f>'LCIA_AD-e'!M51</f>
        <v>7.8521018154124293E-8</v>
      </c>
      <c r="N61" s="136">
        <f>'LCIA_AD-e'!N51</f>
        <v>5.1916740498462542E-8</v>
      </c>
      <c r="O61" s="136">
        <f>'LCIA_AD-e'!O51</f>
        <v>3.4957298081958831E-8</v>
      </c>
      <c r="P61" s="136">
        <f>'LCIA_AD-e'!P51</f>
        <v>1.6087202212299374E-11</v>
      </c>
      <c r="Q61" s="136">
        <f>'LCIA_AD-e'!Q51</f>
        <v>1.9821700798180701E-10</v>
      </c>
      <c r="R61" s="136">
        <f>'LCIA_AD-e'!R51</f>
        <v>9.3882236600461508E-3</v>
      </c>
      <c r="S61" s="136">
        <f>'LCIA_AD-e'!S51</f>
        <v>1.0847515163367839E-2</v>
      </c>
      <c r="T61" s="136">
        <f>'LCIA_AD-e'!T51</f>
        <v>5.9340583237830792E-2</v>
      </c>
      <c r="U61" s="136">
        <f>'LCIA_AD-e'!U51</f>
        <v>6.4415394809225063E-3</v>
      </c>
      <c r="V61" s="136">
        <f>'LCIA_AD-e'!V51</f>
        <v>2.2361093064658549E-8</v>
      </c>
      <c r="W61" s="136">
        <f>'LCIA_AD-e'!W51</f>
        <v>1.8378519819012135E-8</v>
      </c>
      <c r="X61" s="136">
        <f>'LCIA_AD-e'!X51</f>
        <v>4.9087972213900696E-4</v>
      </c>
      <c r="Y61" s="136">
        <f>'LCIA_AD-e'!Y51</f>
        <v>1.4130656214684504E-11</v>
      </c>
      <c r="Z61" s="136">
        <f>'LCIA_AD-e'!Z51</f>
        <v>2.3089230034193365E-7</v>
      </c>
      <c r="AA61" s="136">
        <f>'LCIA_AD-e'!AA51</f>
        <v>1.24610140420619E-2</v>
      </c>
      <c r="AB61" s="136">
        <f>'LCIA_AD-e'!AB51</f>
        <v>1.2166988717580699E-9</v>
      </c>
      <c r="AC61" s="136">
        <f>'LCIA_AD-e'!AC51</f>
        <v>1.357355809150523E-2</v>
      </c>
      <c r="AD61" s="136">
        <f>'LCIA_AD-e'!AD51</f>
        <v>8.1619861313748173E-4</v>
      </c>
      <c r="AE61" s="136">
        <f>'LCIA_AD-e'!AE51</f>
        <v>6.7081597339394266E-4</v>
      </c>
      <c r="AF61" s="136">
        <f>'LCIA_AD-e'!AF51</f>
        <v>1.5428172135718716E-5</v>
      </c>
      <c r="AG61" s="136">
        <f>'LCIA_AD-e'!AG51</f>
        <v>0.1449237168411589</v>
      </c>
      <c r="AH61" s="136">
        <f>'LCIA_AD-e'!AH51</f>
        <v>4.374991643569647E-7</v>
      </c>
      <c r="AI61" s="136">
        <f>'LCIA_AD-e'!AI51</f>
        <v>3.14403300469906E-7</v>
      </c>
      <c r="AJ61" s="136">
        <f>'LCIA_AD-e'!AJ51</f>
        <v>3.8401970730154165E-8</v>
      </c>
      <c r="AK61" s="136">
        <f>'LCIA_AD-e'!AK51</f>
        <v>6.4212372885133327E-6</v>
      </c>
    </row>
    <row r="62" spans="1:37" x14ac:dyDescent="0.35">
      <c r="A62" s="136"/>
      <c r="B62" s="136" t="s">
        <v>235</v>
      </c>
      <c r="C62" s="136" t="e">
        <f>'LCIA_AD-e'!C52</f>
        <v>#REF!</v>
      </c>
      <c r="D62" s="136" t="e">
        <f>'LCIA_AD-e'!D52</f>
        <v>#REF!</v>
      </c>
      <c r="E62" s="136" t="e">
        <f>'LCIA_AD-e'!E52</f>
        <v>#REF!</v>
      </c>
      <c r="F62" s="136" t="e">
        <f>'LCIA_AD-e'!F52</f>
        <v>#REF!</v>
      </c>
      <c r="G62" s="136">
        <f>'LCIA_AD-e'!G52</f>
        <v>1.3417014761931066E-18</v>
      </c>
      <c r="H62" s="136">
        <f>'LCIA_AD-e'!H52</f>
        <v>7.0661974280644954E-2</v>
      </c>
      <c r="I62" s="136">
        <f>'LCIA_AD-e'!I52</f>
        <v>0.93416719125512804</v>
      </c>
      <c r="J62" s="136">
        <f>'LCIA_AD-e'!J52</f>
        <v>0.11947233209536294</v>
      </c>
      <c r="K62" s="136">
        <f>'LCIA_AD-e'!K52</f>
        <v>5.8252778621848689E-3</v>
      </c>
      <c r="L62" s="136">
        <f>'LCIA_AD-e'!L52</f>
        <v>7.543227881230801E-8</v>
      </c>
      <c r="M62" s="136">
        <f>'LCIA_AD-e'!M52</f>
        <v>9.2358423028085057E-6</v>
      </c>
      <c r="N62" s="136">
        <f>'LCIA_AD-e'!N52</f>
        <v>2.0141902382323624E-6</v>
      </c>
      <c r="O62" s="136">
        <f>'LCIA_AD-e'!O52</f>
        <v>2.073338334217323E-5</v>
      </c>
      <c r="P62" s="136">
        <f>'LCIA_AD-e'!P52</f>
        <v>1.6721138820675336E-10</v>
      </c>
      <c r="Q62" s="136">
        <f>'LCIA_AD-e'!Q52</f>
        <v>2.5414819458518307E-9</v>
      </c>
      <c r="R62" s="136">
        <f>'LCIA_AD-e'!R52</f>
        <v>0.10325709629067527</v>
      </c>
      <c r="S62" s="136">
        <f>'LCIA_AD-e'!S52</f>
        <v>0.20192306813671582</v>
      </c>
      <c r="T62" s="136">
        <f>'LCIA_AD-e'!T52</f>
        <v>0.81381304343515604</v>
      </c>
      <c r="U62" s="136">
        <f>'LCIA_AD-e'!U52</f>
        <v>8.8340903369667073E-2</v>
      </c>
      <c r="V62" s="136">
        <f>'LCIA_AD-e'!V52</f>
        <v>4.1790110398157114E-7</v>
      </c>
      <c r="W62" s="136">
        <f>'LCIA_AD-e'!W52</f>
        <v>9.1166986820938597E-7</v>
      </c>
      <c r="X62" s="136">
        <f>'LCIA_AD-e'!X52</f>
        <v>3.6914893888666471E-2</v>
      </c>
      <c r="Y62" s="136">
        <f>'LCIA_AD-e'!Y52</f>
        <v>3.4271490621614475E-10</v>
      </c>
      <c r="Z62" s="136">
        <f>'LCIA_AD-e'!Z52</f>
        <v>8.8111435597395313E-6</v>
      </c>
      <c r="AA62" s="136">
        <f>'LCIA_AD-e'!AA52</f>
        <v>0.52310036021523809</v>
      </c>
      <c r="AB62" s="136">
        <f>'LCIA_AD-e'!AB52</f>
        <v>5.3982752056258097E-8</v>
      </c>
      <c r="AC62" s="136">
        <f>'LCIA_AD-e'!AC52</f>
        <v>0.52930584039175488</v>
      </c>
      <c r="AD62" s="136">
        <f>'LCIA_AD-e'!AD52</f>
        <v>1.5262636374080941E-2</v>
      </c>
      <c r="AE62" s="136">
        <f>'LCIA_AD-e'!AE52</f>
        <v>3.3275950189642592E-2</v>
      </c>
      <c r="AF62" s="136">
        <f>'LCIA_AD-e'!AF52</f>
        <v>3.8173633035694057E-4</v>
      </c>
      <c r="AG62" s="136">
        <f>'LCIA_AD-e'!AG52</f>
        <v>3.4759974820656048</v>
      </c>
      <c r="AH62" s="136">
        <f>'LCIA_AD-e'!AH52</f>
        <v>5.0697184643165686E-5</v>
      </c>
      <c r="AI62" s="136">
        <f>'LCIA_AD-e'!AI52</f>
        <v>7.999127841649449E-5</v>
      </c>
      <c r="AJ62" s="136">
        <f>'LCIA_AD-e'!AJ52</f>
        <v>9.7703259724914291E-6</v>
      </c>
      <c r="AK62" s="136">
        <f>'LCIA_AD-e'!AK52</f>
        <v>2.1385693372968594E-4</v>
      </c>
    </row>
    <row r="63" spans="1:37" x14ac:dyDescent="0.35">
      <c r="A63" s="142" t="s">
        <v>6</v>
      </c>
      <c r="B63" s="136"/>
      <c r="C63" s="136">
        <f>'LCIA_AD-e'!C53</f>
        <v>0</v>
      </c>
      <c r="D63" s="136">
        <f>'LCIA_AD-e'!D53</f>
        <v>0</v>
      </c>
      <c r="E63" s="136">
        <f>'LCIA_AD-e'!E53</f>
        <v>0</v>
      </c>
      <c r="F63" s="136">
        <f>'LCIA_AD-e'!F53</f>
        <v>0</v>
      </c>
      <c r="G63" s="136">
        <f>'LCIA_AD-e'!G53</f>
        <v>0</v>
      </c>
      <c r="H63" s="136">
        <f>'LCIA_AD-e'!H53</f>
        <v>0</v>
      </c>
      <c r="I63" s="136">
        <f>'LCIA_AD-e'!I53</f>
        <v>0</v>
      </c>
      <c r="J63" s="136">
        <f>'LCIA_AD-e'!J53</f>
        <v>0</v>
      </c>
      <c r="K63" s="136">
        <f>'LCIA_AD-e'!K53</f>
        <v>0</v>
      </c>
      <c r="L63" s="136">
        <f>'LCIA_AD-e'!L53</f>
        <v>0</v>
      </c>
      <c r="M63" s="136">
        <f>'LCIA_AD-e'!M53</f>
        <v>0</v>
      </c>
      <c r="N63" s="136">
        <f>'LCIA_AD-e'!N53</f>
        <v>0</v>
      </c>
      <c r="O63" s="136">
        <f>'LCIA_AD-e'!O53</f>
        <v>0</v>
      </c>
      <c r="P63" s="136">
        <f>'LCIA_AD-e'!P53</f>
        <v>0</v>
      </c>
      <c r="Q63" s="136">
        <f>'LCIA_AD-e'!Q53</f>
        <v>0</v>
      </c>
      <c r="R63" s="136">
        <f>'LCIA_AD-e'!R53</f>
        <v>0</v>
      </c>
      <c r="S63" s="136">
        <f>'LCIA_AD-e'!S53</f>
        <v>0</v>
      </c>
      <c r="T63" s="136">
        <f>'LCIA_AD-e'!T53</f>
        <v>0</v>
      </c>
      <c r="U63" s="136">
        <f>'LCIA_AD-e'!U53</f>
        <v>0</v>
      </c>
      <c r="V63" s="136">
        <f>'LCIA_AD-e'!V53</f>
        <v>0</v>
      </c>
      <c r="W63" s="136">
        <f>'LCIA_AD-e'!W53</f>
        <v>0</v>
      </c>
      <c r="X63" s="136">
        <f>'LCIA_AD-e'!X53</f>
        <v>0</v>
      </c>
      <c r="Y63" s="136">
        <f>'LCIA_AD-e'!Y53</f>
        <v>0</v>
      </c>
      <c r="Z63" s="136">
        <f>'LCIA_AD-e'!Z53</f>
        <v>0</v>
      </c>
      <c r="AA63" s="136">
        <f>'LCIA_AD-e'!AA53</f>
        <v>0</v>
      </c>
      <c r="AB63" s="136">
        <f>'LCIA_AD-e'!AB53</f>
        <v>0</v>
      </c>
      <c r="AC63" s="136">
        <f>'LCIA_AD-e'!AC53</f>
        <v>0</v>
      </c>
      <c r="AD63" s="136">
        <f>'LCIA_AD-e'!AD53</f>
        <v>0</v>
      </c>
      <c r="AE63" s="136">
        <f>'LCIA_AD-e'!AE53</f>
        <v>0</v>
      </c>
      <c r="AF63" s="136">
        <f>'LCIA_AD-e'!AF53</f>
        <v>0</v>
      </c>
      <c r="AG63" s="136">
        <f>'LCIA_AD-e'!AG53</f>
        <v>0</v>
      </c>
      <c r="AH63" s="136">
        <f>'LCIA_AD-e'!AH53</f>
        <v>0</v>
      </c>
      <c r="AI63" s="136">
        <f>'LCIA_AD-e'!AI53</f>
        <v>0</v>
      </c>
      <c r="AJ63" s="136">
        <f>'LCIA_AD-e'!AJ53</f>
        <v>0</v>
      </c>
      <c r="AK63" s="136">
        <f>'LCIA_AD-e'!AK53</f>
        <v>0</v>
      </c>
    </row>
    <row r="64" spans="1:37" x14ac:dyDescent="0.35">
      <c r="A64" s="136"/>
      <c r="B64" s="136" t="s">
        <v>8</v>
      </c>
      <c r="C64" s="136" t="e">
        <f>'LCIA_AD-e'!C54</f>
        <v>#REF!</v>
      </c>
      <c r="D64" s="136" t="e">
        <f>'LCIA_AD-e'!D54</f>
        <v>#REF!</v>
      </c>
      <c r="E64" s="136" t="e">
        <f>'LCIA_AD-e'!E54</f>
        <v>#REF!</v>
      </c>
      <c r="F64" s="136" t="e">
        <f>'LCIA_AD-e'!F54</f>
        <v>#REF!</v>
      </c>
      <c r="G64" s="136">
        <f>'LCIA_AD-e'!G54</f>
        <v>2.0146246273707774E-19</v>
      </c>
      <c r="H64" s="136">
        <f>'LCIA_AD-e'!H54</f>
        <v>1.1619456849343674E-2</v>
      </c>
      <c r="I64" s="136">
        <f>'LCIA_AD-e'!I54</f>
        <v>0.55576682166479929</v>
      </c>
      <c r="J64" s="136">
        <f>'LCIA_AD-e'!J54</f>
        <v>2.7612306137817434E-2</v>
      </c>
      <c r="K64" s="136">
        <f>'LCIA_AD-e'!K54</f>
        <v>4.7970911200822386E-5</v>
      </c>
      <c r="L64" s="136">
        <f>'LCIA_AD-e'!L54</f>
        <v>1.9469395469843191E-8</v>
      </c>
      <c r="M64" s="136">
        <f>'LCIA_AD-e'!M54</f>
        <v>3.7135159712999983E-7</v>
      </c>
      <c r="N64" s="136">
        <f>'LCIA_AD-e'!N54</f>
        <v>4.4025905507185927E-7</v>
      </c>
      <c r="O64" s="136">
        <f>'LCIA_AD-e'!O54</f>
        <v>2.3435417043406713E-7</v>
      </c>
      <c r="P64" s="136">
        <f>'LCIA_AD-e'!P54</f>
        <v>9.2607546343954807E-9</v>
      </c>
      <c r="Q64" s="136">
        <f>'LCIA_AD-e'!Q54</f>
        <v>2.8557647157451842E-7</v>
      </c>
      <c r="R64" s="136">
        <f>'LCIA_AD-e'!R54</f>
        <v>3.6994648174058696E-2</v>
      </c>
      <c r="S64" s="136">
        <f>'LCIA_AD-e'!S54</f>
        <v>2.6081890331255075E-2</v>
      </c>
      <c r="T64" s="136">
        <f>'LCIA_AD-e'!T54</f>
        <v>0.22931990981381525</v>
      </c>
      <c r="U64" s="136">
        <f>'LCIA_AD-e'!U54</f>
        <v>2.4893198732130022E-2</v>
      </c>
      <c r="V64" s="136">
        <f>'LCIA_AD-e'!V54</f>
        <v>2.1589289714938985E-6</v>
      </c>
      <c r="W64" s="136">
        <f>'LCIA_AD-e'!W54</f>
        <v>5.9415646581455464E-7</v>
      </c>
      <c r="X64" s="136">
        <f>'LCIA_AD-e'!X54</f>
        <v>1.5206771691350248E-3</v>
      </c>
      <c r="Y64" s="136">
        <f>'LCIA_AD-e'!Y54</f>
        <v>1.0344645221098301E-10</v>
      </c>
      <c r="Z64" s="136">
        <f>'LCIA_AD-e'!Z54</f>
        <v>8.3737385770468086E-7</v>
      </c>
      <c r="AA64" s="136">
        <f>'LCIA_AD-e'!AA54</f>
        <v>3.5252354996375815E-2</v>
      </c>
      <c r="AB64" s="136">
        <f>'LCIA_AD-e'!AB54</f>
        <v>3.5043595930111055E-9</v>
      </c>
      <c r="AC64" s="136">
        <f>'LCIA_AD-e'!AC54</f>
        <v>7.6676156376390969E-2</v>
      </c>
      <c r="AD64" s="136">
        <f>'LCIA_AD-e'!AD54</f>
        <v>7.8803944122323041E-2</v>
      </c>
      <c r="AE64" s="136">
        <f>'LCIA_AD-e'!AE54</f>
        <v>2.1686711002231247E-2</v>
      </c>
      <c r="AF64" s="136">
        <f>'LCIA_AD-e'!AF54</f>
        <v>4.2521391639229527E-3</v>
      </c>
      <c r="AG64" s="136">
        <f>'LCIA_AD-e'!AG54</f>
        <v>1.1305864567059991</v>
      </c>
      <c r="AH64" s="136">
        <f>'LCIA_AD-e'!AH54</f>
        <v>4.950475548107104E-6</v>
      </c>
      <c r="AI64" s="136">
        <f>'LCIA_AD-e'!AI54</f>
        <v>2.258415920348486E-5</v>
      </c>
      <c r="AJ64" s="136">
        <f>'LCIA_AD-e'!AJ54</f>
        <v>2.7584831946769133E-6</v>
      </c>
      <c r="AK64" s="136">
        <f>'LCIA_AD-e'!AK54</f>
        <v>3.2924755804392892E-5</v>
      </c>
    </row>
    <row r="65" spans="1:37" x14ac:dyDescent="0.35">
      <c r="A65" s="136"/>
      <c r="B65" s="136" t="s">
        <v>18</v>
      </c>
      <c r="C65" s="136" t="e">
        <f>'LCIA_AD-e'!C55</f>
        <v>#REF!</v>
      </c>
      <c r="D65" s="136" t="e">
        <f>'LCIA_AD-e'!D55</f>
        <v>#REF!</v>
      </c>
      <c r="E65" s="136" t="e">
        <f>'LCIA_AD-e'!E55</f>
        <v>#REF!</v>
      </c>
      <c r="F65" s="136" t="e">
        <f>'LCIA_AD-e'!F55</f>
        <v>#REF!</v>
      </c>
      <c r="G65" s="136">
        <f>'LCIA_AD-e'!G55</f>
        <v>2.7159126165986591E-17</v>
      </c>
      <c r="H65" s="136">
        <f>'LCIA_AD-e'!H55</f>
        <v>3.9384429899939365E-2</v>
      </c>
      <c r="I65" s="136">
        <f>'LCIA_AD-e'!I55</f>
        <v>1.1164091774138278</v>
      </c>
      <c r="J65" s="136">
        <f>'LCIA_AD-e'!J55</f>
        <v>0.14465944541327941</v>
      </c>
      <c r="K65" s="136">
        <f>'LCIA_AD-e'!K55</f>
        <v>5.9732092169600232E-4</v>
      </c>
      <c r="L65" s="136">
        <f>'LCIA_AD-e'!L55</f>
        <v>2.4810764281290643E-8</v>
      </c>
      <c r="M65" s="136">
        <f>'LCIA_AD-e'!M55</f>
        <v>9.5025968432804083E-7</v>
      </c>
      <c r="N65" s="136">
        <f>'LCIA_AD-e'!N55</f>
        <v>8.8695954394508445E-7</v>
      </c>
      <c r="O65" s="136">
        <f>'LCIA_AD-e'!O55</f>
        <v>6.3949866864703821E-7</v>
      </c>
      <c r="P65" s="136">
        <f>'LCIA_AD-e'!P55</f>
        <v>3.4244674996023721E-10</v>
      </c>
      <c r="Q65" s="136">
        <f>'LCIA_AD-e'!Q55</f>
        <v>5.640495591874525E-9</v>
      </c>
      <c r="R65" s="136">
        <f>'LCIA_AD-e'!R55</f>
        <v>1.2522888650153385</v>
      </c>
      <c r="S65" s="136">
        <f>'LCIA_AD-e'!S55</f>
        <v>0.22236732164114079</v>
      </c>
      <c r="T65" s="136">
        <f>'LCIA_AD-e'!T55</f>
        <v>1.2993103391764373</v>
      </c>
      <c r="U65" s="136">
        <f>'LCIA_AD-e'!U55</f>
        <v>0.1410432154146555</v>
      </c>
      <c r="V65" s="136">
        <f>'LCIA_AD-e'!V55</f>
        <v>4.8995566111538829E-6</v>
      </c>
      <c r="W65" s="136">
        <f>'LCIA_AD-e'!W55</f>
        <v>3.1636932996387812E-6</v>
      </c>
      <c r="X65" s="136">
        <f>'LCIA_AD-e'!X55</f>
        <v>8.7941767587420248E-3</v>
      </c>
      <c r="Y65" s="136">
        <f>'LCIA_AD-e'!Y55</f>
        <v>5.5520031014139023E-10</v>
      </c>
      <c r="Z65" s="136">
        <f>'LCIA_AD-e'!Z55</f>
        <v>4.2239854117750112E-5</v>
      </c>
      <c r="AA65" s="136">
        <f>'LCIA_AD-e'!AA55</f>
        <v>0.30103279985134818</v>
      </c>
      <c r="AB65" s="136">
        <f>'LCIA_AD-e'!AB55</f>
        <v>3.0275729153819333E-8</v>
      </c>
      <c r="AC65" s="136">
        <f>'LCIA_AD-e'!AC55</f>
        <v>0.29460585077001711</v>
      </c>
      <c r="AD65" s="136">
        <f>'LCIA_AD-e'!AD55</f>
        <v>0.17883454948602154</v>
      </c>
      <c r="AE65" s="136">
        <f>'LCIA_AD-e'!AE55</f>
        <v>0.11547480543681553</v>
      </c>
      <c r="AF65" s="136">
        <f>'LCIA_AD-e'!AF55</f>
        <v>4.3393968358153263E-4</v>
      </c>
      <c r="AG65" s="136">
        <f>'LCIA_AD-e'!AG55</f>
        <v>5.1153930044438809</v>
      </c>
      <c r="AH65" s="136">
        <f>'LCIA_AD-e'!AH55</f>
        <v>4.6235202174172931E-5</v>
      </c>
      <c r="AI65" s="136">
        <f>'LCIA_AD-e'!AI55</f>
        <v>1.1931549424189578E-5</v>
      </c>
      <c r="AJ65" s="136">
        <f>'LCIA_AD-e'!AJ55</f>
        <v>1.4573479701655237E-6</v>
      </c>
      <c r="AK65" s="136">
        <f>'LCIA_AD-e'!AK55</f>
        <v>1.367724192572127E-4</v>
      </c>
    </row>
    <row r="66" spans="1:37" x14ac:dyDescent="0.35">
      <c r="A66" s="136"/>
      <c r="B66" s="136" t="s">
        <v>96</v>
      </c>
      <c r="C66" s="136" t="e">
        <f>'LCIA_AD-e'!C56</f>
        <v>#REF!</v>
      </c>
      <c r="D66" s="136" t="e">
        <f>'LCIA_AD-e'!D56</f>
        <v>#REF!</v>
      </c>
      <c r="E66" s="136" t="e">
        <f>'LCIA_AD-e'!E56</f>
        <v>#REF!</v>
      </c>
      <c r="F66" s="136" t="e">
        <f>'LCIA_AD-e'!F56</f>
        <v>#REF!</v>
      </c>
      <c r="G66" s="136">
        <f>'LCIA_AD-e'!G56</f>
        <v>0</v>
      </c>
      <c r="H66" s="136">
        <f>'LCIA_AD-e'!H56</f>
        <v>0</v>
      </c>
      <c r="I66" s="136">
        <f>'LCIA_AD-e'!I56</f>
        <v>0</v>
      </c>
      <c r="J66" s="136">
        <f>'LCIA_AD-e'!J56</f>
        <v>0</v>
      </c>
      <c r="K66" s="136">
        <f>'LCIA_AD-e'!K56</f>
        <v>0</v>
      </c>
      <c r="L66" s="136">
        <f>'LCIA_AD-e'!L56</f>
        <v>0</v>
      </c>
      <c r="M66" s="136">
        <f>'LCIA_AD-e'!M56</f>
        <v>0</v>
      </c>
      <c r="N66" s="136">
        <f>'LCIA_AD-e'!N56</f>
        <v>0</v>
      </c>
      <c r="O66" s="136">
        <f>'LCIA_AD-e'!O56</f>
        <v>0</v>
      </c>
      <c r="P66" s="136">
        <f>'LCIA_AD-e'!P56</f>
        <v>0</v>
      </c>
      <c r="Q66" s="136">
        <f>'LCIA_AD-e'!Q56</f>
        <v>0</v>
      </c>
      <c r="R66" s="136">
        <f>'LCIA_AD-e'!R56</f>
        <v>0</v>
      </c>
      <c r="S66" s="136">
        <f>'LCIA_AD-e'!S56</f>
        <v>0</v>
      </c>
      <c r="T66" s="136">
        <f>'LCIA_AD-e'!T56</f>
        <v>0</v>
      </c>
      <c r="U66" s="136">
        <f>'LCIA_AD-e'!U56</f>
        <v>0</v>
      </c>
      <c r="V66" s="136">
        <f>'LCIA_AD-e'!V56</f>
        <v>0</v>
      </c>
      <c r="W66" s="136">
        <f>'LCIA_AD-e'!W56</f>
        <v>0</v>
      </c>
      <c r="X66" s="136">
        <f>'LCIA_AD-e'!X56</f>
        <v>0</v>
      </c>
      <c r="Y66" s="136">
        <f>'LCIA_AD-e'!Y56</f>
        <v>0</v>
      </c>
      <c r="Z66" s="136">
        <f>'LCIA_AD-e'!Z56</f>
        <v>0</v>
      </c>
      <c r="AA66" s="136">
        <f>'LCIA_AD-e'!AA56</f>
        <v>0</v>
      </c>
      <c r="AB66" s="136">
        <f>'LCIA_AD-e'!AB56</f>
        <v>0</v>
      </c>
      <c r="AC66" s="136">
        <f>'LCIA_AD-e'!AC56</f>
        <v>0</v>
      </c>
      <c r="AD66" s="136">
        <f>'LCIA_AD-e'!AD56</f>
        <v>0</v>
      </c>
      <c r="AE66" s="136">
        <f>'LCIA_AD-e'!AE56</f>
        <v>0</v>
      </c>
      <c r="AF66" s="136">
        <f>'LCIA_AD-e'!AF56</f>
        <v>0</v>
      </c>
      <c r="AG66" s="136">
        <f>'LCIA_AD-e'!AG56</f>
        <v>0</v>
      </c>
      <c r="AH66" s="136">
        <f>'LCIA_AD-e'!AH56</f>
        <v>0</v>
      </c>
      <c r="AI66" s="136">
        <f>'LCIA_AD-e'!AI56</f>
        <v>0</v>
      </c>
      <c r="AJ66" s="136">
        <f>'LCIA_AD-e'!AJ56</f>
        <v>0</v>
      </c>
      <c r="AK66" s="136">
        <f>'LCIA_AD-e'!AK56</f>
        <v>0</v>
      </c>
    </row>
    <row r="67" spans="1:37" x14ac:dyDescent="0.35">
      <c r="A67" s="142" t="s">
        <v>476</v>
      </c>
      <c r="B67" s="136"/>
      <c r="C67" s="136">
        <f>'LCIA_AD-e'!C57</f>
        <v>0</v>
      </c>
      <c r="D67" s="136">
        <f>'LCIA_AD-e'!D57</f>
        <v>0</v>
      </c>
      <c r="E67" s="136">
        <f>'LCIA_AD-e'!E57</f>
        <v>0</v>
      </c>
      <c r="F67" s="136">
        <f>'LCIA_AD-e'!F57</f>
        <v>0</v>
      </c>
      <c r="G67" s="136">
        <f>'LCIA_AD-e'!G57</f>
        <v>0</v>
      </c>
      <c r="H67" s="136">
        <f>'LCIA_AD-e'!H57</f>
        <v>0</v>
      </c>
      <c r="I67" s="136">
        <f>'LCIA_AD-e'!I57</f>
        <v>0</v>
      </c>
      <c r="J67" s="136">
        <f>'LCIA_AD-e'!J57</f>
        <v>0</v>
      </c>
      <c r="K67" s="136">
        <f>'LCIA_AD-e'!K57</f>
        <v>0</v>
      </c>
      <c r="L67" s="136">
        <f>'LCIA_AD-e'!L57</f>
        <v>0</v>
      </c>
      <c r="M67" s="136">
        <f>'LCIA_AD-e'!M57</f>
        <v>0</v>
      </c>
      <c r="N67" s="136">
        <f>'LCIA_AD-e'!N57</f>
        <v>0</v>
      </c>
      <c r="O67" s="136">
        <f>'LCIA_AD-e'!O57</f>
        <v>0</v>
      </c>
      <c r="P67" s="136">
        <f>'LCIA_AD-e'!P57</f>
        <v>0</v>
      </c>
      <c r="Q67" s="136">
        <f>'LCIA_AD-e'!Q57</f>
        <v>0</v>
      </c>
      <c r="R67" s="136">
        <f>'LCIA_AD-e'!R57</f>
        <v>0</v>
      </c>
      <c r="S67" s="136">
        <f>'LCIA_AD-e'!S57</f>
        <v>0</v>
      </c>
      <c r="T67" s="136">
        <f>'LCIA_AD-e'!T57</f>
        <v>0</v>
      </c>
      <c r="U67" s="136">
        <f>'LCIA_AD-e'!U57</f>
        <v>0</v>
      </c>
      <c r="V67" s="136">
        <f>'LCIA_AD-e'!V57</f>
        <v>0</v>
      </c>
      <c r="W67" s="136">
        <f>'LCIA_AD-e'!W57</f>
        <v>0</v>
      </c>
      <c r="X67" s="136">
        <f>'LCIA_AD-e'!X57</f>
        <v>0</v>
      </c>
      <c r="Y67" s="136">
        <f>'LCIA_AD-e'!Y57</f>
        <v>0</v>
      </c>
      <c r="Z67" s="136">
        <f>'LCIA_AD-e'!Z57</f>
        <v>0</v>
      </c>
      <c r="AA67" s="136">
        <f>'LCIA_AD-e'!AA57</f>
        <v>0</v>
      </c>
      <c r="AB67" s="136">
        <f>'LCIA_AD-e'!AB57</f>
        <v>0</v>
      </c>
      <c r="AC67" s="136">
        <f>'LCIA_AD-e'!AC57</f>
        <v>0</v>
      </c>
      <c r="AD67" s="136">
        <f>'LCIA_AD-e'!AD57</f>
        <v>0</v>
      </c>
      <c r="AE67" s="136">
        <f>'LCIA_AD-e'!AE57</f>
        <v>0</v>
      </c>
      <c r="AF67" s="136">
        <f>'LCIA_AD-e'!AF57</f>
        <v>0</v>
      </c>
      <c r="AG67" s="136">
        <f>'LCIA_AD-e'!AG57</f>
        <v>0</v>
      </c>
      <c r="AH67" s="136">
        <f>'LCIA_AD-e'!AH57</f>
        <v>0</v>
      </c>
      <c r="AI67" s="136">
        <f>'LCIA_AD-e'!AI57</f>
        <v>0</v>
      </c>
      <c r="AJ67" s="136">
        <f>'LCIA_AD-e'!AJ57</f>
        <v>0</v>
      </c>
      <c r="AK67" s="136">
        <f>'LCIA_AD-e'!AK57</f>
        <v>0</v>
      </c>
    </row>
    <row r="68" spans="1:37" x14ac:dyDescent="0.35">
      <c r="A68" s="136"/>
      <c r="B68" s="136" t="s">
        <v>96</v>
      </c>
      <c r="C68" s="136" t="e">
        <f>'LCIA_AD-e'!C58</f>
        <v>#REF!</v>
      </c>
      <c r="D68" s="136" t="e">
        <f>'LCIA_AD-e'!D58</f>
        <v>#REF!</v>
      </c>
      <c r="E68" s="136" t="e">
        <f>'LCIA_AD-e'!E58</f>
        <v>#REF!</v>
      </c>
      <c r="F68" s="136" t="e">
        <f>'LCIA_AD-e'!F58</f>
        <v>#REF!</v>
      </c>
      <c r="G68" s="136">
        <f>'LCIA_AD-e'!G58</f>
        <v>0</v>
      </c>
      <c r="H68" s="136">
        <f>'LCIA_AD-e'!H58</f>
        <v>0</v>
      </c>
      <c r="I68" s="136">
        <f>'LCIA_AD-e'!I58</f>
        <v>0</v>
      </c>
      <c r="J68" s="136">
        <f>'LCIA_AD-e'!J58</f>
        <v>0</v>
      </c>
      <c r="K68" s="136">
        <f>'LCIA_AD-e'!K58</f>
        <v>0</v>
      </c>
      <c r="L68" s="136">
        <f>'LCIA_AD-e'!L58</f>
        <v>0</v>
      </c>
      <c r="M68" s="136">
        <f>'LCIA_AD-e'!M58</f>
        <v>0</v>
      </c>
      <c r="N68" s="136">
        <f>'LCIA_AD-e'!N58</f>
        <v>0</v>
      </c>
      <c r="O68" s="136">
        <f>'LCIA_AD-e'!O58</f>
        <v>0</v>
      </c>
      <c r="P68" s="136">
        <f>'LCIA_AD-e'!P58</f>
        <v>0</v>
      </c>
      <c r="Q68" s="136">
        <f>'LCIA_AD-e'!Q58</f>
        <v>0</v>
      </c>
      <c r="R68" s="136">
        <f>'LCIA_AD-e'!R58</f>
        <v>0</v>
      </c>
      <c r="S68" s="136">
        <f>'LCIA_AD-e'!S58</f>
        <v>0</v>
      </c>
      <c r="T68" s="136">
        <f>'LCIA_AD-e'!T58</f>
        <v>0</v>
      </c>
      <c r="U68" s="136">
        <f>'LCIA_AD-e'!U58</f>
        <v>0</v>
      </c>
      <c r="V68" s="136">
        <f>'LCIA_AD-e'!V58</f>
        <v>0</v>
      </c>
      <c r="W68" s="136">
        <f>'LCIA_AD-e'!W58</f>
        <v>0</v>
      </c>
      <c r="X68" s="136">
        <f>'LCIA_AD-e'!X58</f>
        <v>0</v>
      </c>
      <c r="Y68" s="136">
        <f>'LCIA_AD-e'!Y58</f>
        <v>0</v>
      </c>
      <c r="Z68" s="136">
        <f>'LCIA_AD-e'!Z58</f>
        <v>0</v>
      </c>
      <c r="AA68" s="136">
        <f>'LCIA_AD-e'!AA58</f>
        <v>0</v>
      </c>
      <c r="AB68" s="136">
        <f>'LCIA_AD-e'!AB58</f>
        <v>0</v>
      </c>
      <c r="AC68" s="136">
        <f>'LCIA_AD-e'!AC58</f>
        <v>0</v>
      </c>
      <c r="AD68" s="136">
        <f>'LCIA_AD-e'!AD58</f>
        <v>0</v>
      </c>
      <c r="AE68" s="136">
        <f>'LCIA_AD-e'!AE58</f>
        <v>0</v>
      </c>
      <c r="AF68" s="136">
        <f>'LCIA_AD-e'!AF58</f>
        <v>0</v>
      </c>
      <c r="AG68" s="136">
        <f>'LCIA_AD-e'!AG58</f>
        <v>0</v>
      </c>
      <c r="AH68" s="136">
        <f>'LCIA_AD-e'!AH58</f>
        <v>0</v>
      </c>
      <c r="AI68" s="136">
        <f>'LCIA_AD-e'!AI58</f>
        <v>0</v>
      </c>
      <c r="AJ68" s="136">
        <f>'LCIA_AD-e'!AJ58</f>
        <v>0</v>
      </c>
      <c r="AK68" s="136">
        <f>'LCIA_AD-e'!AK58</f>
        <v>0</v>
      </c>
    </row>
    <row r="69" spans="1:37" x14ac:dyDescent="0.35">
      <c r="A69" s="136"/>
      <c r="B69" s="136" t="s">
        <v>111</v>
      </c>
      <c r="C69" s="136" t="e">
        <f>'LCIA_AD-e'!C59</f>
        <v>#REF!</v>
      </c>
      <c r="D69" s="136" t="e">
        <f>'LCIA_AD-e'!D59</f>
        <v>#REF!</v>
      </c>
      <c r="E69" s="136" t="e">
        <f>'LCIA_AD-e'!E59</f>
        <v>#REF!</v>
      </c>
      <c r="F69" s="136" t="e">
        <f>'LCIA_AD-e'!F59</f>
        <v>#REF!</v>
      </c>
      <c r="G69" s="136">
        <f>'LCIA_AD-e'!G59</f>
        <v>0</v>
      </c>
      <c r="H69" s="136">
        <f>'LCIA_AD-e'!H59</f>
        <v>0</v>
      </c>
      <c r="I69" s="136">
        <f>'LCIA_AD-e'!I59</f>
        <v>0</v>
      </c>
      <c r="J69" s="136">
        <f>'LCIA_AD-e'!J59</f>
        <v>0</v>
      </c>
      <c r="K69" s="136">
        <f>'LCIA_AD-e'!K59</f>
        <v>0</v>
      </c>
      <c r="L69" s="136">
        <f>'LCIA_AD-e'!L59</f>
        <v>0</v>
      </c>
      <c r="M69" s="136">
        <f>'LCIA_AD-e'!M59</f>
        <v>0</v>
      </c>
      <c r="N69" s="136">
        <f>'LCIA_AD-e'!N59</f>
        <v>0</v>
      </c>
      <c r="O69" s="136">
        <f>'LCIA_AD-e'!O59</f>
        <v>0</v>
      </c>
      <c r="P69" s="136">
        <f>'LCIA_AD-e'!P59</f>
        <v>0</v>
      </c>
      <c r="Q69" s="136">
        <f>'LCIA_AD-e'!Q59</f>
        <v>0</v>
      </c>
      <c r="R69" s="136">
        <f>'LCIA_AD-e'!R59</f>
        <v>0</v>
      </c>
      <c r="S69" s="136">
        <f>'LCIA_AD-e'!S59</f>
        <v>0</v>
      </c>
      <c r="T69" s="136">
        <f>'LCIA_AD-e'!T59</f>
        <v>0</v>
      </c>
      <c r="U69" s="136">
        <f>'LCIA_AD-e'!U59</f>
        <v>0</v>
      </c>
      <c r="V69" s="136">
        <f>'LCIA_AD-e'!V59</f>
        <v>0</v>
      </c>
      <c r="W69" s="136">
        <f>'LCIA_AD-e'!W59</f>
        <v>0</v>
      </c>
      <c r="X69" s="136">
        <f>'LCIA_AD-e'!X59</f>
        <v>0</v>
      </c>
      <c r="Y69" s="136">
        <f>'LCIA_AD-e'!Y59</f>
        <v>0</v>
      </c>
      <c r="Z69" s="136">
        <f>'LCIA_AD-e'!Z59</f>
        <v>0</v>
      </c>
      <c r="AA69" s="136">
        <f>'LCIA_AD-e'!AA59</f>
        <v>0</v>
      </c>
      <c r="AB69" s="136">
        <f>'LCIA_AD-e'!AB59</f>
        <v>0</v>
      </c>
      <c r="AC69" s="136">
        <f>'LCIA_AD-e'!AC59</f>
        <v>0</v>
      </c>
      <c r="AD69" s="136">
        <f>'LCIA_AD-e'!AD59</f>
        <v>0</v>
      </c>
      <c r="AE69" s="136">
        <f>'LCIA_AD-e'!AE59</f>
        <v>0</v>
      </c>
      <c r="AF69" s="136">
        <f>'LCIA_AD-e'!AF59</f>
        <v>0</v>
      </c>
      <c r="AG69" s="136">
        <f>'LCIA_AD-e'!AG59</f>
        <v>0</v>
      </c>
      <c r="AH69" s="136">
        <f>'LCIA_AD-e'!AH59</f>
        <v>0</v>
      </c>
      <c r="AI69" s="136">
        <f>'LCIA_AD-e'!AI59</f>
        <v>0</v>
      </c>
      <c r="AJ69" s="136">
        <f>'LCIA_AD-e'!AJ59</f>
        <v>0</v>
      </c>
      <c r="AK69" s="136">
        <f>'LCIA_AD-e'!AK59</f>
        <v>0</v>
      </c>
    </row>
    <row r="70" spans="1:37" x14ac:dyDescent="0.35">
      <c r="A70" s="136"/>
      <c r="B70" s="136" t="s">
        <v>142</v>
      </c>
      <c r="C70" s="136" t="e">
        <f>'LCIA_AD-e'!C60</f>
        <v>#REF!</v>
      </c>
      <c r="D70" s="136" t="e">
        <f>'LCIA_AD-e'!D60</f>
        <v>#REF!</v>
      </c>
      <c r="E70" s="136" t="e">
        <f>'LCIA_AD-e'!E60</f>
        <v>#REF!</v>
      </c>
      <c r="F70" s="136" t="e">
        <f>'LCIA_AD-e'!F60</f>
        <v>#REF!</v>
      </c>
      <c r="G70" s="136">
        <f>'LCIA_AD-e'!G60</f>
        <v>0</v>
      </c>
      <c r="H70" s="136">
        <f>'LCIA_AD-e'!H60</f>
        <v>9.5156647565601674E-2</v>
      </c>
      <c r="I70" s="136">
        <f>'LCIA_AD-e'!I60</f>
        <v>0</v>
      </c>
      <c r="J70" s="136">
        <f>'LCIA_AD-e'!J60</f>
        <v>0</v>
      </c>
      <c r="K70" s="136">
        <f>'LCIA_AD-e'!K60</f>
        <v>0</v>
      </c>
      <c r="L70" s="136">
        <f>'LCIA_AD-e'!L60</f>
        <v>0</v>
      </c>
      <c r="M70" s="136">
        <f>'LCIA_AD-e'!M60</f>
        <v>0</v>
      </c>
      <c r="N70" s="136">
        <f>'LCIA_AD-e'!N60</f>
        <v>0</v>
      </c>
      <c r="O70" s="136">
        <f>'LCIA_AD-e'!O60</f>
        <v>0</v>
      </c>
      <c r="P70" s="136">
        <f>'LCIA_AD-e'!P60</f>
        <v>0</v>
      </c>
      <c r="Q70" s="136">
        <f>'LCIA_AD-e'!Q60</f>
        <v>0</v>
      </c>
      <c r="R70" s="136">
        <f>'LCIA_AD-e'!R60</f>
        <v>0</v>
      </c>
      <c r="S70" s="136">
        <f>'LCIA_AD-e'!S60</f>
        <v>0</v>
      </c>
      <c r="T70" s="136">
        <f>'LCIA_AD-e'!T60</f>
        <v>0</v>
      </c>
      <c r="U70" s="136">
        <f>'LCIA_AD-e'!U60</f>
        <v>0</v>
      </c>
      <c r="V70" s="136">
        <f>'LCIA_AD-e'!V60</f>
        <v>0</v>
      </c>
      <c r="W70" s="136">
        <f>'LCIA_AD-e'!W60</f>
        <v>0</v>
      </c>
      <c r="X70" s="136">
        <f>'LCIA_AD-e'!X60</f>
        <v>0</v>
      </c>
      <c r="Y70" s="136">
        <f>'LCIA_AD-e'!Y60</f>
        <v>0</v>
      </c>
      <c r="Z70" s="136">
        <f>'LCIA_AD-e'!Z60</f>
        <v>3.693628644820743E-6</v>
      </c>
      <c r="AA70" s="136">
        <f>'LCIA_AD-e'!AA60</f>
        <v>0</v>
      </c>
      <c r="AB70" s="136">
        <f>'LCIA_AD-e'!AB60</f>
        <v>0</v>
      </c>
      <c r="AC70" s="136">
        <f>'LCIA_AD-e'!AC60</f>
        <v>0.56700878449699921</v>
      </c>
      <c r="AD70" s="136">
        <f>'LCIA_AD-e'!AD60</f>
        <v>0</v>
      </c>
      <c r="AE70" s="136">
        <f>'LCIA_AD-e'!AE60</f>
        <v>0</v>
      </c>
      <c r="AF70" s="136">
        <f>'LCIA_AD-e'!AF60</f>
        <v>0</v>
      </c>
      <c r="AG70" s="136">
        <f>'LCIA_AD-e'!AG60</f>
        <v>0.66216543206260081</v>
      </c>
      <c r="AH70" s="136">
        <f>'LCIA_AD-e'!AH60</f>
        <v>3.693628644820743E-6</v>
      </c>
      <c r="AI70" s="136">
        <f>'LCIA_AD-e'!AI60</f>
        <v>0</v>
      </c>
      <c r="AJ70" s="136">
        <f>'LCIA_AD-e'!AJ60</f>
        <v>0</v>
      </c>
      <c r="AK70" s="136">
        <f>'LCIA_AD-e'!AK60</f>
        <v>0</v>
      </c>
    </row>
    <row r="71" spans="1:37" x14ac:dyDescent="0.35">
      <c r="A71" s="136"/>
      <c r="B71" s="136" t="s">
        <v>143</v>
      </c>
      <c r="C71" s="136" t="e">
        <f>'LCIA_AD-e'!C61</f>
        <v>#REF!</v>
      </c>
      <c r="D71" s="136" t="e">
        <f>'LCIA_AD-e'!D61</f>
        <v>#REF!</v>
      </c>
      <c r="E71" s="136" t="e">
        <f>'LCIA_AD-e'!E61</f>
        <v>#REF!</v>
      </c>
      <c r="F71" s="136" t="e">
        <f>'LCIA_AD-e'!F61</f>
        <v>#REF!</v>
      </c>
      <c r="G71" s="136">
        <f>'LCIA_AD-e'!G61</f>
        <v>0</v>
      </c>
      <c r="H71" s="136">
        <f>'LCIA_AD-e'!H61</f>
        <v>0</v>
      </c>
      <c r="I71" s="136">
        <f>'LCIA_AD-e'!I61</f>
        <v>0</v>
      </c>
      <c r="J71" s="136">
        <f>'LCIA_AD-e'!J61</f>
        <v>0</v>
      </c>
      <c r="K71" s="136">
        <f>'LCIA_AD-e'!K61</f>
        <v>0</v>
      </c>
      <c r="L71" s="136">
        <f>'LCIA_AD-e'!L61</f>
        <v>0</v>
      </c>
      <c r="M71" s="136">
        <f>'LCIA_AD-e'!M61</f>
        <v>0</v>
      </c>
      <c r="N71" s="136">
        <f>'LCIA_AD-e'!N61</f>
        <v>0</v>
      </c>
      <c r="O71" s="136">
        <f>'LCIA_AD-e'!O61</f>
        <v>0</v>
      </c>
      <c r="P71" s="136">
        <f>'LCIA_AD-e'!P61</f>
        <v>0</v>
      </c>
      <c r="Q71" s="136">
        <f>'LCIA_AD-e'!Q61</f>
        <v>0</v>
      </c>
      <c r="R71" s="136">
        <f>'LCIA_AD-e'!R61</f>
        <v>0</v>
      </c>
      <c r="S71" s="136">
        <f>'LCIA_AD-e'!S61</f>
        <v>0</v>
      </c>
      <c r="T71" s="136">
        <f>'LCIA_AD-e'!T61</f>
        <v>0</v>
      </c>
      <c r="U71" s="136">
        <f>'LCIA_AD-e'!U61</f>
        <v>0</v>
      </c>
      <c r="V71" s="136">
        <f>'LCIA_AD-e'!V61</f>
        <v>0</v>
      </c>
      <c r="W71" s="136">
        <f>'LCIA_AD-e'!W61</f>
        <v>0</v>
      </c>
      <c r="X71" s="136">
        <f>'LCIA_AD-e'!X61</f>
        <v>0</v>
      </c>
      <c r="Y71" s="136">
        <f>'LCIA_AD-e'!Y61</f>
        <v>0</v>
      </c>
      <c r="Z71" s="136">
        <f>'LCIA_AD-e'!Z61</f>
        <v>0</v>
      </c>
      <c r="AA71" s="136">
        <f>'LCIA_AD-e'!AA61</f>
        <v>0</v>
      </c>
      <c r="AB71" s="136">
        <f>'LCIA_AD-e'!AB61</f>
        <v>0</v>
      </c>
      <c r="AC71" s="136">
        <f>'LCIA_AD-e'!AC61</f>
        <v>0</v>
      </c>
      <c r="AD71" s="136">
        <f>'LCIA_AD-e'!AD61</f>
        <v>0</v>
      </c>
      <c r="AE71" s="136">
        <f>'LCIA_AD-e'!AE61</f>
        <v>0</v>
      </c>
      <c r="AF71" s="136">
        <f>'LCIA_AD-e'!AF61</f>
        <v>0</v>
      </c>
      <c r="AG71" s="136">
        <f>'LCIA_AD-e'!AG61</f>
        <v>0</v>
      </c>
      <c r="AH71" s="136">
        <f>'LCIA_AD-e'!AH61</f>
        <v>0</v>
      </c>
      <c r="AI71" s="136">
        <f>'LCIA_AD-e'!AI61</f>
        <v>0</v>
      </c>
      <c r="AJ71" s="136">
        <f>'LCIA_AD-e'!AJ61</f>
        <v>0</v>
      </c>
      <c r="AK71" s="136">
        <f>'LCIA_AD-e'!AK61</f>
        <v>0</v>
      </c>
    </row>
    <row r="72" spans="1:37" x14ac:dyDescent="0.35">
      <c r="A72" s="136"/>
      <c r="B72" s="136" t="s">
        <v>144</v>
      </c>
      <c r="C72" s="136" t="e">
        <f>'LCIA_AD-e'!C62</f>
        <v>#REF!</v>
      </c>
      <c r="D72" s="136" t="e">
        <f>'LCIA_AD-e'!D62</f>
        <v>#REF!</v>
      </c>
      <c r="E72" s="136" t="e">
        <f>'LCIA_AD-e'!E62</f>
        <v>#REF!</v>
      </c>
      <c r="F72" s="136" t="e">
        <f>'LCIA_AD-e'!F62</f>
        <v>#REF!</v>
      </c>
      <c r="G72" s="136">
        <f>'LCIA_AD-e'!G62</f>
        <v>0</v>
      </c>
      <c r="H72" s="136">
        <f>'LCIA_AD-e'!H62</f>
        <v>0</v>
      </c>
      <c r="I72" s="136">
        <f>'LCIA_AD-e'!I62</f>
        <v>0</v>
      </c>
      <c r="J72" s="136">
        <f>'LCIA_AD-e'!J62</f>
        <v>0</v>
      </c>
      <c r="K72" s="136">
        <f>'LCIA_AD-e'!K62</f>
        <v>0</v>
      </c>
      <c r="L72" s="136">
        <f>'LCIA_AD-e'!L62</f>
        <v>0</v>
      </c>
      <c r="M72" s="136">
        <f>'LCIA_AD-e'!M62</f>
        <v>0</v>
      </c>
      <c r="N72" s="136">
        <f>'LCIA_AD-e'!N62</f>
        <v>0</v>
      </c>
      <c r="O72" s="136">
        <f>'LCIA_AD-e'!O62</f>
        <v>0</v>
      </c>
      <c r="P72" s="136">
        <f>'LCIA_AD-e'!P62</f>
        <v>0</v>
      </c>
      <c r="Q72" s="136">
        <f>'LCIA_AD-e'!Q62</f>
        <v>0</v>
      </c>
      <c r="R72" s="136">
        <f>'LCIA_AD-e'!R62</f>
        <v>0</v>
      </c>
      <c r="S72" s="136">
        <f>'LCIA_AD-e'!S62</f>
        <v>0</v>
      </c>
      <c r="T72" s="136">
        <f>'LCIA_AD-e'!T62</f>
        <v>0</v>
      </c>
      <c r="U72" s="136">
        <f>'LCIA_AD-e'!U62</f>
        <v>0</v>
      </c>
      <c r="V72" s="136">
        <f>'LCIA_AD-e'!V62</f>
        <v>0</v>
      </c>
      <c r="W72" s="136">
        <f>'LCIA_AD-e'!W62</f>
        <v>0</v>
      </c>
      <c r="X72" s="136">
        <f>'LCIA_AD-e'!X62</f>
        <v>0</v>
      </c>
      <c r="Y72" s="136">
        <f>'LCIA_AD-e'!Y62</f>
        <v>0</v>
      </c>
      <c r="Z72" s="136">
        <f>'LCIA_AD-e'!Z62</f>
        <v>3.9886858284203065E-5</v>
      </c>
      <c r="AA72" s="136">
        <f>'LCIA_AD-e'!AA62</f>
        <v>0</v>
      </c>
      <c r="AB72" s="136">
        <f>'LCIA_AD-e'!AB62</f>
        <v>0</v>
      </c>
      <c r="AC72" s="136">
        <f>'LCIA_AD-e'!AC62</f>
        <v>0</v>
      </c>
      <c r="AD72" s="136">
        <f>'LCIA_AD-e'!AD62</f>
        <v>0</v>
      </c>
      <c r="AE72" s="136">
        <f>'LCIA_AD-e'!AE62</f>
        <v>0</v>
      </c>
      <c r="AF72" s="136">
        <f>'LCIA_AD-e'!AF62</f>
        <v>0</v>
      </c>
      <c r="AG72" s="136">
        <f>'LCIA_AD-e'!AG62</f>
        <v>0</v>
      </c>
      <c r="AH72" s="136">
        <f>'LCIA_AD-e'!AH62</f>
        <v>3.9886858284203065E-5</v>
      </c>
      <c r="AI72" s="136">
        <f>'LCIA_AD-e'!AI62</f>
        <v>0</v>
      </c>
      <c r="AJ72" s="136">
        <f>'LCIA_AD-e'!AJ62</f>
        <v>0</v>
      </c>
      <c r="AK72" s="136">
        <f>'LCIA_AD-e'!AK62</f>
        <v>0</v>
      </c>
    </row>
    <row r="73" spans="1:37" x14ac:dyDescent="0.35">
      <c r="A73" s="136"/>
      <c r="B73" s="136" t="s">
        <v>124</v>
      </c>
      <c r="C73" s="136" t="e">
        <f>'LCIA_AD-e'!C63</f>
        <v>#REF!</v>
      </c>
      <c r="D73" s="136" t="e">
        <f>'LCIA_AD-e'!D63</f>
        <v>#REF!</v>
      </c>
      <c r="E73" s="136" t="e">
        <f>'LCIA_AD-e'!E63</f>
        <v>#REF!</v>
      </c>
      <c r="F73" s="136" t="e">
        <f>'LCIA_AD-e'!F63</f>
        <v>#REF!</v>
      </c>
      <c r="G73" s="136">
        <f>'LCIA_AD-e'!G63</f>
        <v>0</v>
      </c>
      <c r="H73" s="136">
        <f>'LCIA_AD-e'!H63</f>
        <v>0.30639593521383979</v>
      </c>
      <c r="I73" s="136">
        <f>'LCIA_AD-e'!I63</f>
        <v>0</v>
      </c>
      <c r="J73" s="136">
        <f>'LCIA_AD-e'!J63</f>
        <v>0</v>
      </c>
      <c r="K73" s="136">
        <f>'LCIA_AD-e'!K63</f>
        <v>0</v>
      </c>
      <c r="L73" s="136">
        <f>'LCIA_AD-e'!L63</f>
        <v>0</v>
      </c>
      <c r="M73" s="136">
        <f>'LCIA_AD-e'!M63</f>
        <v>0</v>
      </c>
      <c r="N73" s="136">
        <f>'LCIA_AD-e'!N63</f>
        <v>0</v>
      </c>
      <c r="O73" s="136">
        <f>'LCIA_AD-e'!O63</f>
        <v>0</v>
      </c>
      <c r="P73" s="136">
        <f>'LCIA_AD-e'!P63</f>
        <v>0</v>
      </c>
      <c r="Q73" s="136">
        <f>'LCIA_AD-e'!Q63</f>
        <v>0</v>
      </c>
      <c r="R73" s="136">
        <f>'LCIA_AD-e'!R63</f>
        <v>0</v>
      </c>
      <c r="S73" s="136">
        <f>'LCIA_AD-e'!S63</f>
        <v>0</v>
      </c>
      <c r="T73" s="136">
        <f>'LCIA_AD-e'!T63</f>
        <v>0</v>
      </c>
      <c r="U73" s="136">
        <f>'LCIA_AD-e'!U63</f>
        <v>0</v>
      </c>
      <c r="V73" s="136">
        <f>'LCIA_AD-e'!V63</f>
        <v>0</v>
      </c>
      <c r="W73" s="136">
        <f>'LCIA_AD-e'!W63</f>
        <v>0</v>
      </c>
      <c r="X73" s="136">
        <f>'LCIA_AD-e'!X63</f>
        <v>0.10094506947741702</v>
      </c>
      <c r="Y73" s="136">
        <f>'LCIA_AD-e'!Y63</f>
        <v>0</v>
      </c>
      <c r="Z73" s="136">
        <f>'LCIA_AD-e'!Z63</f>
        <v>7.2010616154719623E-6</v>
      </c>
      <c r="AA73" s="136">
        <f>'LCIA_AD-e'!AA63</f>
        <v>3.341631520308797</v>
      </c>
      <c r="AB73" s="136">
        <f>'LCIA_AD-e'!AB63</f>
        <v>3.4887669236836335E-7</v>
      </c>
      <c r="AC73" s="136">
        <f>'LCIA_AD-e'!AC63</f>
        <v>2.5127048968669792</v>
      </c>
      <c r="AD73" s="136">
        <f>'LCIA_AD-e'!AD63</f>
        <v>0</v>
      </c>
      <c r="AE73" s="136">
        <f>'LCIA_AD-e'!AE63</f>
        <v>0</v>
      </c>
      <c r="AF73" s="136">
        <f>'LCIA_AD-e'!AF63</f>
        <v>0</v>
      </c>
      <c r="AG73" s="136">
        <f>'LCIA_AD-e'!AG63</f>
        <v>6.2616774218670335</v>
      </c>
      <c r="AH73" s="136">
        <f>'LCIA_AD-e'!AH63</f>
        <v>7.5499383078403258E-6</v>
      </c>
      <c r="AI73" s="136">
        <f>'LCIA_AD-e'!AI63</f>
        <v>0</v>
      </c>
      <c r="AJ73" s="136">
        <f>'LCIA_AD-e'!AJ63</f>
        <v>0</v>
      </c>
      <c r="AK73" s="136">
        <f>'LCIA_AD-e'!AK63</f>
        <v>0</v>
      </c>
    </row>
    <row r="74" spans="1:37" x14ac:dyDescent="0.35">
      <c r="A74" s="136"/>
      <c r="B74" s="136" t="s">
        <v>110</v>
      </c>
      <c r="C74" s="136" t="e">
        <f>'LCIA_AD-e'!C64</f>
        <v>#REF!</v>
      </c>
      <c r="D74" s="136" t="e">
        <f>'LCIA_AD-e'!D64</f>
        <v>#REF!</v>
      </c>
      <c r="E74" s="136" t="e">
        <f>'LCIA_AD-e'!E64</f>
        <v>#REF!</v>
      </c>
      <c r="F74" s="136" t="e">
        <f>'LCIA_AD-e'!F64</f>
        <v>#REF!</v>
      </c>
      <c r="G74" s="136">
        <f>'LCIA_AD-e'!G64</f>
        <v>0</v>
      </c>
      <c r="H74" s="136">
        <f>'LCIA_AD-e'!H64</f>
        <v>2.2364720567461933E-2</v>
      </c>
      <c r="I74" s="136">
        <f>'LCIA_AD-e'!I64</f>
        <v>0</v>
      </c>
      <c r="J74" s="136">
        <f>'LCIA_AD-e'!J64</f>
        <v>0</v>
      </c>
      <c r="K74" s="136">
        <f>'LCIA_AD-e'!K64</f>
        <v>0</v>
      </c>
      <c r="L74" s="136">
        <f>'LCIA_AD-e'!L64</f>
        <v>0</v>
      </c>
      <c r="M74" s="136">
        <f>'LCIA_AD-e'!M64</f>
        <v>0</v>
      </c>
      <c r="N74" s="136">
        <f>'LCIA_AD-e'!N64</f>
        <v>0</v>
      </c>
      <c r="O74" s="136">
        <f>'LCIA_AD-e'!O64</f>
        <v>0</v>
      </c>
      <c r="P74" s="136">
        <f>'LCIA_AD-e'!P64</f>
        <v>0</v>
      </c>
      <c r="Q74" s="136">
        <f>'LCIA_AD-e'!Q64</f>
        <v>0</v>
      </c>
      <c r="R74" s="136">
        <f>'LCIA_AD-e'!R64</f>
        <v>0</v>
      </c>
      <c r="S74" s="136">
        <f>'LCIA_AD-e'!S64</f>
        <v>0</v>
      </c>
      <c r="T74" s="136">
        <f>'LCIA_AD-e'!T64</f>
        <v>0</v>
      </c>
      <c r="U74" s="136">
        <f>'LCIA_AD-e'!U64</f>
        <v>0</v>
      </c>
      <c r="V74" s="136">
        <f>'LCIA_AD-e'!V64</f>
        <v>0</v>
      </c>
      <c r="W74" s="136">
        <f>'LCIA_AD-e'!W64</f>
        <v>0</v>
      </c>
      <c r="X74" s="136">
        <f>'LCIA_AD-e'!X64</f>
        <v>8.5857459516006079E-3</v>
      </c>
      <c r="Y74" s="136">
        <f>'LCIA_AD-e'!Y64</f>
        <v>0</v>
      </c>
      <c r="Z74" s="136">
        <f>'LCIA_AD-e'!Z64</f>
        <v>2.1483541039720615E-6</v>
      </c>
      <c r="AA74" s="136">
        <f>'LCIA_AD-e'!AA64</f>
        <v>0</v>
      </c>
      <c r="AB74" s="136">
        <f>'LCIA_AD-e'!AB64</f>
        <v>0</v>
      </c>
      <c r="AC74" s="136">
        <f>'LCIA_AD-e'!AC64</f>
        <v>0.28834095539643861</v>
      </c>
      <c r="AD74" s="136">
        <f>'LCIA_AD-e'!AD64</f>
        <v>0</v>
      </c>
      <c r="AE74" s="136">
        <f>'LCIA_AD-e'!AE64</f>
        <v>0</v>
      </c>
      <c r="AF74" s="136">
        <f>'LCIA_AD-e'!AF64</f>
        <v>0</v>
      </c>
      <c r="AG74" s="136">
        <f>'LCIA_AD-e'!AG64</f>
        <v>0.31929142191550119</v>
      </c>
      <c r="AH74" s="136">
        <f>'LCIA_AD-e'!AH64</f>
        <v>2.1483541039720615E-6</v>
      </c>
      <c r="AI74" s="136">
        <f>'LCIA_AD-e'!AI64</f>
        <v>0</v>
      </c>
      <c r="AJ74" s="136">
        <f>'LCIA_AD-e'!AJ64</f>
        <v>0</v>
      </c>
      <c r="AK74" s="136">
        <f>'LCIA_AD-e'!AK64</f>
        <v>0</v>
      </c>
    </row>
    <row r="75" spans="1:37" x14ac:dyDescent="0.35">
      <c r="A75" s="136"/>
      <c r="B75" s="136" t="s">
        <v>123</v>
      </c>
      <c r="C75" s="136" t="e">
        <f>'LCIA_AD-e'!C65</f>
        <v>#REF!</v>
      </c>
      <c r="D75" s="136" t="e">
        <f>'LCIA_AD-e'!D65</f>
        <v>#REF!</v>
      </c>
      <c r="E75" s="136" t="e">
        <f>'LCIA_AD-e'!E65</f>
        <v>#REF!</v>
      </c>
      <c r="F75" s="136" t="e">
        <f>'LCIA_AD-e'!F65</f>
        <v>#REF!</v>
      </c>
      <c r="G75" s="136">
        <f>'LCIA_AD-e'!G65</f>
        <v>0</v>
      </c>
      <c r="H75" s="136">
        <f>'LCIA_AD-e'!H65</f>
        <v>0</v>
      </c>
      <c r="I75" s="136">
        <f>'LCIA_AD-e'!I65</f>
        <v>0</v>
      </c>
      <c r="J75" s="136">
        <f>'LCIA_AD-e'!J65</f>
        <v>0</v>
      </c>
      <c r="K75" s="136">
        <f>'LCIA_AD-e'!K65</f>
        <v>0</v>
      </c>
      <c r="L75" s="136">
        <f>'LCIA_AD-e'!L65</f>
        <v>0</v>
      </c>
      <c r="M75" s="136">
        <f>'LCIA_AD-e'!M65</f>
        <v>0</v>
      </c>
      <c r="N75" s="136">
        <f>'LCIA_AD-e'!N65</f>
        <v>0</v>
      </c>
      <c r="O75" s="136">
        <f>'LCIA_AD-e'!O65</f>
        <v>0</v>
      </c>
      <c r="P75" s="136">
        <f>'LCIA_AD-e'!P65</f>
        <v>0</v>
      </c>
      <c r="Q75" s="136">
        <f>'LCIA_AD-e'!Q65</f>
        <v>0</v>
      </c>
      <c r="R75" s="136">
        <f>'LCIA_AD-e'!R65</f>
        <v>0</v>
      </c>
      <c r="S75" s="136">
        <f>'LCIA_AD-e'!S65</f>
        <v>0</v>
      </c>
      <c r="T75" s="136">
        <f>'LCIA_AD-e'!T65</f>
        <v>0</v>
      </c>
      <c r="U75" s="136">
        <f>'LCIA_AD-e'!U65</f>
        <v>0</v>
      </c>
      <c r="V75" s="136">
        <f>'LCIA_AD-e'!V65</f>
        <v>0</v>
      </c>
      <c r="W75" s="136">
        <f>'LCIA_AD-e'!W65</f>
        <v>0</v>
      </c>
      <c r="X75" s="136">
        <f>'LCIA_AD-e'!X65</f>
        <v>0</v>
      </c>
      <c r="Y75" s="136">
        <f>'LCIA_AD-e'!Y65</f>
        <v>0</v>
      </c>
      <c r="Z75" s="136">
        <f>'LCIA_AD-e'!Z65</f>
        <v>0</v>
      </c>
      <c r="AA75" s="136">
        <f>'LCIA_AD-e'!AA65</f>
        <v>0</v>
      </c>
      <c r="AB75" s="136">
        <f>'LCIA_AD-e'!AB65</f>
        <v>0</v>
      </c>
      <c r="AC75" s="136">
        <f>'LCIA_AD-e'!AC65</f>
        <v>0</v>
      </c>
      <c r="AD75" s="136">
        <f>'LCIA_AD-e'!AD65</f>
        <v>0</v>
      </c>
      <c r="AE75" s="136">
        <f>'LCIA_AD-e'!AE65</f>
        <v>0</v>
      </c>
      <c r="AF75" s="136">
        <f>'LCIA_AD-e'!AF65</f>
        <v>0</v>
      </c>
      <c r="AG75" s="136">
        <f>'LCIA_AD-e'!AG65</f>
        <v>0</v>
      </c>
      <c r="AH75" s="136">
        <f>'LCIA_AD-e'!AH65</f>
        <v>0</v>
      </c>
      <c r="AI75" s="136">
        <f>'LCIA_AD-e'!AI65</f>
        <v>0</v>
      </c>
      <c r="AJ75" s="136">
        <f>'LCIA_AD-e'!AJ65</f>
        <v>0</v>
      </c>
      <c r="AK75" s="136">
        <f>'LCIA_AD-e'!AK65</f>
        <v>0</v>
      </c>
    </row>
    <row r="76" spans="1:37" x14ac:dyDescent="0.35">
      <c r="A76" s="136"/>
      <c r="B76" s="136" t="s">
        <v>145</v>
      </c>
      <c r="C76" s="136" t="e">
        <f>'LCIA_AD-e'!C66</f>
        <v>#REF!</v>
      </c>
      <c r="D76" s="136" t="e">
        <f>'LCIA_AD-e'!D66</f>
        <v>#REF!</v>
      </c>
      <c r="E76" s="136" t="e">
        <f>'LCIA_AD-e'!E66</f>
        <v>#REF!</v>
      </c>
      <c r="F76" s="136" t="e">
        <f>'LCIA_AD-e'!F66</f>
        <v>#REF!</v>
      </c>
      <c r="G76" s="136">
        <f>'LCIA_AD-e'!G66</f>
        <v>0</v>
      </c>
      <c r="H76" s="136">
        <f>'LCIA_AD-e'!H66</f>
        <v>0</v>
      </c>
      <c r="I76" s="136">
        <f>'LCIA_AD-e'!I66</f>
        <v>0</v>
      </c>
      <c r="J76" s="136">
        <f>'LCIA_AD-e'!J66</f>
        <v>0</v>
      </c>
      <c r="K76" s="136">
        <f>'LCIA_AD-e'!K66</f>
        <v>0</v>
      </c>
      <c r="L76" s="136">
        <f>'LCIA_AD-e'!L66</f>
        <v>0</v>
      </c>
      <c r="M76" s="136">
        <f>'LCIA_AD-e'!M66</f>
        <v>0</v>
      </c>
      <c r="N76" s="136">
        <f>'LCIA_AD-e'!N66</f>
        <v>0</v>
      </c>
      <c r="O76" s="136">
        <f>'LCIA_AD-e'!O66</f>
        <v>0</v>
      </c>
      <c r="P76" s="136">
        <f>'LCIA_AD-e'!P66</f>
        <v>0</v>
      </c>
      <c r="Q76" s="136">
        <f>'LCIA_AD-e'!Q66</f>
        <v>0</v>
      </c>
      <c r="R76" s="136">
        <f>'LCIA_AD-e'!R66</f>
        <v>0</v>
      </c>
      <c r="S76" s="136">
        <f>'LCIA_AD-e'!S66</f>
        <v>0</v>
      </c>
      <c r="T76" s="136">
        <f>'LCIA_AD-e'!T66</f>
        <v>0</v>
      </c>
      <c r="U76" s="136">
        <f>'LCIA_AD-e'!U66</f>
        <v>0</v>
      </c>
      <c r="V76" s="136">
        <f>'LCIA_AD-e'!V66</f>
        <v>0</v>
      </c>
      <c r="W76" s="136">
        <f>'LCIA_AD-e'!W66</f>
        <v>0</v>
      </c>
      <c r="X76" s="136">
        <f>'LCIA_AD-e'!X66</f>
        <v>0</v>
      </c>
      <c r="Y76" s="136">
        <f>'LCIA_AD-e'!Y66</f>
        <v>0</v>
      </c>
      <c r="Z76" s="136">
        <f>'LCIA_AD-e'!Z66</f>
        <v>0</v>
      </c>
      <c r="AA76" s="136">
        <f>'LCIA_AD-e'!AA66</f>
        <v>0</v>
      </c>
      <c r="AB76" s="136">
        <f>'LCIA_AD-e'!AB66</f>
        <v>0</v>
      </c>
      <c r="AC76" s="136">
        <f>'LCIA_AD-e'!AC66</f>
        <v>0</v>
      </c>
      <c r="AD76" s="136">
        <f>'LCIA_AD-e'!AD66</f>
        <v>0</v>
      </c>
      <c r="AE76" s="136">
        <f>'LCIA_AD-e'!AE66</f>
        <v>0</v>
      </c>
      <c r="AF76" s="136">
        <f>'LCIA_AD-e'!AF66</f>
        <v>0</v>
      </c>
      <c r="AG76" s="136">
        <f>'LCIA_AD-e'!AG66</f>
        <v>0</v>
      </c>
      <c r="AH76" s="136">
        <f>'LCIA_AD-e'!AH66</f>
        <v>0</v>
      </c>
      <c r="AI76" s="136">
        <f>'LCIA_AD-e'!AI66</f>
        <v>0</v>
      </c>
      <c r="AJ76" s="136">
        <f>'LCIA_AD-e'!AJ66</f>
        <v>0</v>
      </c>
      <c r="AK76" s="136">
        <f>'LCIA_AD-e'!AK66</f>
        <v>0</v>
      </c>
    </row>
    <row r="77" spans="1:37" x14ac:dyDescent="0.35">
      <c r="A77" s="136"/>
      <c r="B77" s="136" t="s">
        <v>8</v>
      </c>
      <c r="C77" s="136" t="e">
        <f>'LCIA_AD-e'!C67</f>
        <v>#REF!</v>
      </c>
      <c r="D77" s="136" t="e">
        <f>'LCIA_AD-e'!D67</f>
        <v>#REF!</v>
      </c>
      <c r="E77" s="136" t="e">
        <f>'LCIA_AD-e'!E67</f>
        <v>#REF!</v>
      </c>
      <c r="F77" s="136" t="e">
        <f>'LCIA_AD-e'!F67</f>
        <v>#REF!</v>
      </c>
      <c r="G77" s="136">
        <f>'LCIA_AD-e'!G67</f>
        <v>5.4908181855710048E-21</v>
      </c>
      <c r="H77" s="136">
        <f>'LCIA_AD-e'!H67</f>
        <v>3.166859181012673E-4</v>
      </c>
      <c r="I77" s="136">
        <f>'LCIA_AD-e'!I67</f>
        <v>1.5147310967386727E-2</v>
      </c>
      <c r="J77" s="136">
        <f>'LCIA_AD-e'!J67</f>
        <v>7.5256775196354405E-4</v>
      </c>
      <c r="K77" s="136">
        <f>'LCIA_AD-e'!K67</f>
        <v>1.3074373658562975E-6</v>
      </c>
      <c r="L77" s="136">
        <f>'LCIA_AD-e'!L67</f>
        <v>5.3063438843892383E-10</v>
      </c>
      <c r="M77" s="136">
        <f>'LCIA_AD-e'!M67</f>
        <v>1.0121111769706232E-8</v>
      </c>
      <c r="N77" s="136">
        <f>'LCIA_AD-e'!N67</f>
        <v>1.1999170431594101E-8</v>
      </c>
      <c r="O77" s="136">
        <f>'LCIA_AD-e'!O67</f>
        <v>6.3872749464158954E-9</v>
      </c>
      <c r="P77" s="136">
        <f>'LCIA_AD-e'!P67</f>
        <v>2.5239997202362825E-10</v>
      </c>
      <c r="Q77" s="136">
        <f>'LCIA_AD-e'!Q67</f>
        <v>7.7833282795662894E-9</v>
      </c>
      <c r="R77" s="136">
        <f>'LCIA_AD-e'!R67</f>
        <v>1.0082815637373712E-3</v>
      </c>
      <c r="S77" s="136">
        <f>'LCIA_AD-e'!S67</f>
        <v>7.1085658240872362E-4</v>
      </c>
      <c r="T77" s="136">
        <f>'LCIA_AD-e'!T67</f>
        <v>6.2500672036481615E-3</v>
      </c>
      <c r="U77" s="136">
        <f>'LCIA_AD-e'!U67</f>
        <v>6.784590361818151E-4</v>
      </c>
      <c r="V77" s="136">
        <f>'LCIA_AD-e'!V67</f>
        <v>5.8841167217862592E-8</v>
      </c>
      <c r="W77" s="136">
        <f>'LCIA_AD-e'!W67</f>
        <v>1.619361286090707E-8</v>
      </c>
      <c r="X77" s="136">
        <f>'LCIA_AD-e'!X67</f>
        <v>4.1445744985090538E-5</v>
      </c>
      <c r="Y77" s="136">
        <f>'LCIA_AD-e'!Y67</f>
        <v>2.8194118810815569E-12</v>
      </c>
      <c r="Z77" s="136">
        <f>'LCIA_AD-e'!Z67</f>
        <v>2.2822453093940083E-8</v>
      </c>
      <c r="AA77" s="136">
        <f>'LCIA_AD-e'!AA67</f>
        <v>9.6079571980076388E-4</v>
      </c>
      <c r="AB77" s="136">
        <f>'LCIA_AD-e'!AB67</f>
        <v>9.5510603417955074E-11</v>
      </c>
      <c r="AC77" s="136">
        <f>'LCIA_AD-e'!AC67</f>
        <v>2.0897929475856094E-3</v>
      </c>
      <c r="AD77" s="136">
        <f>'LCIA_AD-e'!AD67</f>
        <v>2.1477853670749236E-3</v>
      </c>
      <c r="AE77" s="136">
        <f>'LCIA_AD-e'!AE67</f>
        <v>5.9106686942310817E-4</v>
      </c>
      <c r="AF77" s="136">
        <f>'LCIA_AD-e'!AF67</f>
        <v>1.158911825639559E-4</v>
      </c>
      <c r="AG77" s="136">
        <f>'LCIA_AD-e'!AG67</f>
        <v>3.0813902463523675E-2</v>
      </c>
      <c r="AH77" s="136">
        <f>'LCIA_AD-e'!AH67</f>
        <v>1.3492419777596807E-7</v>
      </c>
      <c r="AI77" s="136">
        <f>'LCIA_AD-e'!AI67</f>
        <v>6.1552663645416226E-7</v>
      </c>
      <c r="AJ77" s="136">
        <f>'LCIA_AD-e'!AJ67</f>
        <v>7.5181894851007521E-8</v>
      </c>
      <c r="AK77" s="136">
        <f>'LCIA_AD-e'!AK67</f>
        <v>8.9735748024772357E-7</v>
      </c>
    </row>
    <row r="78" spans="1:37" x14ac:dyDescent="0.35">
      <c r="A78" s="141" t="s">
        <v>272</v>
      </c>
      <c r="B78" s="136"/>
      <c r="C78" s="136"/>
      <c r="D78" s="136"/>
      <c r="E78" s="136"/>
      <c r="F78" s="136"/>
      <c r="G78" s="136"/>
      <c r="H78" s="136"/>
      <c r="I78" s="136"/>
      <c r="J78" s="136"/>
      <c r="K78" s="136"/>
      <c r="L78" s="136"/>
      <c r="M78" s="136"/>
      <c r="N78" s="136"/>
      <c r="O78" s="136"/>
      <c r="P78" s="136"/>
      <c r="Q78" s="136"/>
      <c r="R78" s="136"/>
      <c r="S78" s="136"/>
      <c r="T78" s="136"/>
      <c r="U78" s="136"/>
      <c r="V78" s="136"/>
      <c r="W78" s="136"/>
      <c r="X78" s="136"/>
      <c r="Y78" s="136"/>
      <c r="Z78" s="136"/>
      <c r="AA78" s="136"/>
      <c r="AB78" s="136"/>
      <c r="AC78" s="136"/>
      <c r="AD78" s="136"/>
      <c r="AE78" s="136"/>
      <c r="AF78" s="136"/>
      <c r="AG78" s="136"/>
      <c r="AH78" s="136"/>
      <c r="AI78" s="136"/>
      <c r="AJ78" s="136"/>
      <c r="AK78" s="136"/>
    </row>
    <row r="79" spans="1:37" x14ac:dyDescent="0.35">
      <c r="A79" s="136"/>
      <c r="B79" s="136" t="s">
        <v>273</v>
      </c>
      <c r="C79" s="136" t="e">
        <f>'LCIA_AD-b'!C76</f>
        <v>#REF!</v>
      </c>
      <c r="D79" s="136" t="e">
        <f>'LCIA_AD-b'!D76</f>
        <v>#REF!</v>
      </c>
      <c r="E79" s="136" t="e">
        <f>'LCIA_AD-b'!E76</f>
        <v>#REF!</v>
      </c>
      <c r="F79" s="136" t="e">
        <f>'LCIA_AD-b'!F76</f>
        <v>#REF!</v>
      </c>
      <c r="G79" s="136">
        <f>'LCIA_AD-b'!G76</f>
        <v>1.8210791683919161E-20</v>
      </c>
      <c r="H79" s="136">
        <f>'LCIA_AD-b'!H76</f>
        <v>1.0503172913151426E-3</v>
      </c>
      <c r="I79" s="136">
        <f>'LCIA_AD-b'!I76</f>
        <v>5.0237417316694115E-2</v>
      </c>
      <c r="J79" s="136">
        <f>'LCIA_AD-b'!J76</f>
        <v>2.4959585431288947E-3</v>
      </c>
      <c r="K79" s="136">
        <f>'LCIA_AD-b'!K76</f>
        <v>4.3362334545967166E-6</v>
      </c>
      <c r="L79" s="136">
        <f>'LCIA_AD-b'!L76</f>
        <v>1.7598966095032293E-9</v>
      </c>
      <c r="M79" s="136">
        <f>'LCIA_AD-b'!M76</f>
        <v>3.3567576237022196E-8</v>
      </c>
      <c r="N79" s="136">
        <f>'LCIA_AD-b'!N76</f>
        <v>3.9796326471676582E-8</v>
      </c>
      <c r="O79" s="136">
        <f>'LCIA_AD-b'!O76</f>
        <v>2.1183971048751753E-8</v>
      </c>
      <c r="P79" s="136">
        <f>'LCIA_AD-b'!P76</f>
        <v>8.3710717714673815E-10</v>
      </c>
      <c r="Q79" s="136">
        <f>'LCIA_AD-b'!Q76</f>
        <v>2.5814107318142541E-8</v>
      </c>
      <c r="R79" s="136">
        <f>'LCIA_AD-b'!R76</f>
        <v>3.3440563674479156E-3</v>
      </c>
      <c r="S79" s="136">
        <f>'LCIA_AD-b'!S76</f>
        <v>2.3576197029080408E-3</v>
      </c>
      <c r="T79" s="136">
        <f>'LCIA_AD-b'!T76</f>
        <v>2.0728909246208366E-2</v>
      </c>
      <c r="U79" s="136">
        <f>'LCIA_AD-b'!U76</f>
        <v>2.2501703309804181E-3</v>
      </c>
      <c r="V79" s="136">
        <f>'LCIA_AD-b'!V76</f>
        <v>1.9515201604361924E-7</v>
      </c>
      <c r="W79" s="136">
        <f>'LCIA_AD-b'!W76</f>
        <v>5.3707571522757606E-8</v>
      </c>
      <c r="X79" s="136">
        <f>'LCIA_AD-b'!X76</f>
        <v>1.3745853579557772E-4</v>
      </c>
      <c r="Y79" s="136">
        <f>'LCIA_AD-b'!Y76</f>
        <v>9.350832736087678E-12</v>
      </c>
      <c r="Z79" s="136">
        <f>'LCIA_AD-b'!Z76</f>
        <v>7.5692715541361229E-8</v>
      </c>
      <c r="AA79" s="136">
        <f>'LCIA_AD-b'!AA76</f>
        <v>3.1865653009731433E-3</v>
      </c>
      <c r="AB79" s="136">
        <f>'LCIA_AD-b'!AB76</f>
        <v>3.1676949475771441E-10</v>
      </c>
      <c r="AC79" s="136">
        <f>'LCIA_AD-b'!AC76</f>
        <v>6.9309860106116965E-3</v>
      </c>
      <c r="AD79" s="136">
        <f>'LCIA_AD-b'!AD76</f>
        <v>7.1233230785811997E-3</v>
      </c>
      <c r="AE79" s="136">
        <f>'LCIA_AD-b'!AE76</f>
        <v>1.9603263605806531E-3</v>
      </c>
      <c r="AF79" s="136">
        <f>'LCIA_AD-b'!AF76</f>
        <v>3.8436351602776152E-4</v>
      </c>
      <c r="AG79" s="136">
        <f>'LCIA_AD-b'!AG76</f>
        <v>0.10219707514745875</v>
      </c>
      <c r="AH79" s="136">
        <f>'LCIA_AD-b'!AH76</f>
        <v>4.4748822047593367E-7</v>
      </c>
      <c r="AI79" s="136">
        <f>'LCIA_AD-b'!AI76</f>
        <v>2.0414493748538704E-6</v>
      </c>
      <c r="AJ79" s="136">
        <f>'LCIA_AD-b'!AJ76</f>
        <v>2.4934750692198234E-7</v>
      </c>
      <c r="AK79" s="136">
        <f>'LCIA_AD-b'!AK76</f>
        <v>2.9761666816324373E-6</v>
      </c>
    </row>
    <row r="80" spans="1:37" x14ac:dyDescent="0.35">
      <c r="A80" s="136"/>
      <c r="B80" s="136" t="s">
        <v>427</v>
      </c>
      <c r="C80" s="136" t="e">
        <f>'LCIA_AD-b'!C77</f>
        <v>#REF!</v>
      </c>
      <c r="D80" s="136" t="e">
        <f>'LCIA_AD-b'!D77</f>
        <v>#REF!</v>
      </c>
      <c r="E80" s="136" t="e">
        <f>'LCIA_AD-b'!E77</f>
        <v>#REF!</v>
      </c>
      <c r="F80" s="136" t="e">
        <f>'LCIA_AD-b'!F77</f>
        <v>#REF!</v>
      </c>
      <c r="G80" s="136">
        <f>'LCIA_AD-b'!G77</f>
        <v>3.4384901450135348E-20</v>
      </c>
      <c r="H80" s="136">
        <f>'LCIA_AD-b'!H77</f>
        <v>5.2699305270092621E-4</v>
      </c>
      <c r="I80" s="136">
        <f>'LCIA_AD-b'!I77</f>
        <v>0.771888101592899</v>
      </c>
      <c r="J80" s="136">
        <f>'LCIA_AD-b'!J77</f>
        <v>1.7392727279660594E-3</v>
      </c>
      <c r="K80" s="136">
        <f>'LCIA_AD-b'!K77</f>
        <v>3.3038576931669239E-3</v>
      </c>
      <c r="L80" s="136">
        <f>'LCIA_AD-b'!L77</f>
        <v>4.6379122373405724E-9</v>
      </c>
      <c r="M80" s="136">
        <f>'LCIA_AD-b'!M77</f>
        <v>3.090306240842176E-8</v>
      </c>
      <c r="N80" s="136">
        <f>'LCIA_AD-b'!N77</f>
        <v>2.2266811540084483E-7</v>
      </c>
      <c r="O80" s="136">
        <f>'LCIA_AD-b'!O77</f>
        <v>1.6787822412705222E-7</v>
      </c>
      <c r="P80" s="136">
        <f>'LCIA_AD-b'!P77</f>
        <v>2.0429078388411279E-11</v>
      </c>
      <c r="Q80" s="136">
        <f>'LCIA_AD-b'!Q77</f>
        <v>3.9204143252886534E-10</v>
      </c>
      <c r="R80" s="136">
        <f>'LCIA_AD-b'!R77</f>
        <v>1.1917674922248857E-3</v>
      </c>
      <c r="S80" s="136">
        <f>'LCIA_AD-b'!S77</f>
        <v>2.6718941156176975E-3</v>
      </c>
      <c r="T80" s="136">
        <f>'LCIA_AD-b'!T77</f>
        <v>7.747704384545878E-3</v>
      </c>
      <c r="U80" s="136">
        <f>'LCIA_AD-b'!U77</f>
        <v>8.4102932992518383E-4</v>
      </c>
      <c r="V80" s="136">
        <f>'LCIA_AD-b'!V77</f>
        <v>6.9065453059477657E-6</v>
      </c>
      <c r="W80" s="136">
        <f>'LCIA_AD-b'!W77</f>
        <v>3.3775060616058159E-6</v>
      </c>
      <c r="X80" s="136">
        <f>'LCIA_AD-b'!X77</f>
        <v>4.0405249660761478E-2</v>
      </c>
      <c r="Y80" s="136">
        <f>'LCIA_AD-b'!Y77</f>
        <v>1.3309147451561656E-12</v>
      </c>
      <c r="Z80" s="136">
        <f>'LCIA_AD-b'!Z77</f>
        <v>4.7412405843175289E-8</v>
      </c>
      <c r="AA80" s="136">
        <f>'LCIA_AD-b'!AA77</f>
        <v>1.8411387774203525E-3</v>
      </c>
      <c r="AB80" s="136">
        <f>'LCIA_AD-b'!AB77</f>
        <v>1.865853585345612E-10</v>
      </c>
      <c r="AC80" s="136">
        <f>'LCIA_AD-b'!AC77</f>
        <v>4.0495154398232022E-3</v>
      </c>
      <c r="AD80" s="136">
        <f>'LCIA_AD-b'!AD77</f>
        <v>0.2520892232869627</v>
      </c>
      <c r="AE80" s="136">
        <f>'LCIA_AD-b'!AE77</f>
        <v>0.12327897124861212</v>
      </c>
      <c r="AF80" s="136">
        <f>'LCIA_AD-b'!AF77</f>
        <v>1.5288188252654906E-5</v>
      </c>
      <c r="AG80" s="136">
        <f>'LCIA_AD-b'!AG77</f>
        <v>1.2116038921179391</v>
      </c>
      <c r="AH80" s="136">
        <f>'LCIA_AD-b'!AH77</f>
        <v>4.7362402244659808E-7</v>
      </c>
      <c r="AI80" s="136">
        <f>'LCIA_AD-b'!AI77</f>
        <v>-3.7305252814221088E-9</v>
      </c>
      <c r="AJ80" s="136">
        <f>'LCIA_AD-b'!AJ77</f>
        <v>-4.5565527604516964E-10</v>
      </c>
      <c r="AK80" s="136">
        <f>'LCIA_AD-b'!AK77</f>
        <v>3.604785788667278E-6</v>
      </c>
    </row>
    <row r="81" spans="1:37" x14ac:dyDescent="0.35">
      <c r="A81" s="142" t="s">
        <v>287</v>
      </c>
      <c r="B81" s="136"/>
      <c r="C81" s="136">
        <f>'LCIA_AD-b'!C78</f>
        <v>0</v>
      </c>
      <c r="D81" s="136">
        <f>'LCIA_AD-b'!D78</f>
        <v>0</v>
      </c>
      <c r="E81" s="136">
        <f>'LCIA_AD-b'!E78</f>
        <v>0</v>
      </c>
      <c r="F81" s="136">
        <f>'LCIA_AD-b'!F78</f>
        <v>0</v>
      </c>
      <c r="G81" s="136">
        <f>'LCIA_AD-b'!G78</f>
        <v>0</v>
      </c>
      <c r="H81" s="136">
        <f>'LCIA_AD-b'!H78</f>
        <v>0</v>
      </c>
      <c r="I81" s="136">
        <f>'LCIA_AD-b'!I78</f>
        <v>0</v>
      </c>
      <c r="J81" s="136">
        <f>'LCIA_AD-b'!J78</f>
        <v>0</v>
      </c>
      <c r="K81" s="136">
        <f>'LCIA_AD-b'!K78</f>
        <v>0</v>
      </c>
      <c r="L81" s="136">
        <f>'LCIA_AD-b'!L78</f>
        <v>0</v>
      </c>
      <c r="M81" s="136">
        <f>'LCIA_AD-b'!M78</f>
        <v>0</v>
      </c>
      <c r="N81" s="136">
        <f>'LCIA_AD-b'!N78</f>
        <v>0</v>
      </c>
      <c r="O81" s="136">
        <f>'LCIA_AD-b'!O78</f>
        <v>0</v>
      </c>
      <c r="P81" s="136">
        <f>'LCIA_AD-b'!P78</f>
        <v>0</v>
      </c>
      <c r="Q81" s="136">
        <f>'LCIA_AD-b'!Q78</f>
        <v>0</v>
      </c>
      <c r="R81" s="136">
        <f>'LCIA_AD-b'!R78</f>
        <v>0</v>
      </c>
      <c r="S81" s="136">
        <f>'LCIA_AD-b'!S78</f>
        <v>0</v>
      </c>
      <c r="T81" s="136">
        <f>'LCIA_AD-b'!T78</f>
        <v>0</v>
      </c>
      <c r="U81" s="136">
        <f>'LCIA_AD-b'!U78</f>
        <v>0</v>
      </c>
      <c r="V81" s="136">
        <f>'LCIA_AD-b'!V78</f>
        <v>0</v>
      </c>
      <c r="W81" s="136">
        <f>'LCIA_AD-b'!W78</f>
        <v>0</v>
      </c>
      <c r="X81" s="136">
        <f>'LCIA_AD-b'!X78</f>
        <v>0</v>
      </c>
      <c r="Y81" s="136">
        <f>'LCIA_AD-b'!Y78</f>
        <v>0</v>
      </c>
      <c r="Z81" s="136">
        <f>'LCIA_AD-b'!Z78</f>
        <v>0</v>
      </c>
      <c r="AA81" s="136">
        <f>'LCIA_AD-b'!AA78</f>
        <v>0</v>
      </c>
      <c r="AB81" s="136">
        <f>'LCIA_AD-b'!AB78</f>
        <v>0</v>
      </c>
      <c r="AC81" s="136">
        <f>'LCIA_AD-b'!AC78</f>
        <v>0</v>
      </c>
      <c r="AD81" s="136">
        <f>'LCIA_AD-b'!AD78</f>
        <v>0</v>
      </c>
      <c r="AE81" s="136">
        <f>'LCIA_AD-b'!AE78</f>
        <v>0</v>
      </c>
      <c r="AF81" s="136">
        <f>'LCIA_AD-b'!AF78</f>
        <v>0</v>
      </c>
      <c r="AG81" s="136">
        <f>'LCIA_AD-b'!AG78</f>
        <v>0</v>
      </c>
      <c r="AH81" s="136">
        <f>'LCIA_AD-b'!AH78</f>
        <v>0</v>
      </c>
      <c r="AI81" s="136">
        <f>'LCIA_AD-b'!AI78</f>
        <v>0</v>
      </c>
      <c r="AJ81" s="136">
        <f>'LCIA_AD-b'!AJ78</f>
        <v>0</v>
      </c>
      <c r="AK81" s="136">
        <f>'LCIA_AD-b'!AK78</f>
        <v>0</v>
      </c>
    </row>
    <row r="82" spans="1:37" x14ac:dyDescent="0.35">
      <c r="A82" s="136"/>
      <c r="B82" s="136" t="s">
        <v>96</v>
      </c>
      <c r="C82" s="136" t="e">
        <f>'LCIA_AD-b'!C79</f>
        <v>#REF!</v>
      </c>
      <c r="D82" s="136" t="e">
        <f>'LCIA_AD-b'!D79</f>
        <v>#REF!</v>
      </c>
      <c r="E82" s="136" t="e">
        <f>'LCIA_AD-b'!E79</f>
        <v>#REF!</v>
      </c>
      <c r="F82" s="136" t="e">
        <f>'LCIA_AD-b'!F79</f>
        <v>#REF!</v>
      </c>
      <c r="G82" s="136">
        <f>'LCIA_AD-b'!G79</f>
        <v>0</v>
      </c>
      <c r="H82" s="136">
        <f>'LCIA_AD-b'!H79</f>
        <v>0</v>
      </c>
      <c r="I82" s="136">
        <f>'LCIA_AD-b'!I79</f>
        <v>0</v>
      </c>
      <c r="J82" s="136">
        <f>'LCIA_AD-b'!J79</f>
        <v>0</v>
      </c>
      <c r="K82" s="136">
        <f>'LCIA_AD-b'!K79</f>
        <v>0</v>
      </c>
      <c r="L82" s="136">
        <f>'LCIA_AD-b'!L79</f>
        <v>0</v>
      </c>
      <c r="M82" s="136">
        <f>'LCIA_AD-b'!M79</f>
        <v>0</v>
      </c>
      <c r="N82" s="136">
        <f>'LCIA_AD-b'!N79</f>
        <v>0</v>
      </c>
      <c r="O82" s="136">
        <f>'LCIA_AD-b'!O79</f>
        <v>0</v>
      </c>
      <c r="P82" s="136">
        <f>'LCIA_AD-b'!P79</f>
        <v>0</v>
      </c>
      <c r="Q82" s="136">
        <f>'LCIA_AD-b'!Q79</f>
        <v>0</v>
      </c>
      <c r="R82" s="136">
        <f>'LCIA_AD-b'!R79</f>
        <v>0</v>
      </c>
      <c r="S82" s="136">
        <f>'LCIA_AD-b'!S79</f>
        <v>0</v>
      </c>
      <c r="T82" s="136">
        <f>'LCIA_AD-b'!T79</f>
        <v>0</v>
      </c>
      <c r="U82" s="136">
        <f>'LCIA_AD-b'!U79</f>
        <v>0</v>
      </c>
      <c r="V82" s="136">
        <f>'LCIA_AD-b'!V79</f>
        <v>0</v>
      </c>
      <c r="W82" s="136">
        <f>'LCIA_AD-b'!W79</f>
        <v>0</v>
      </c>
      <c r="X82" s="136">
        <f>'LCIA_AD-b'!X79</f>
        <v>0</v>
      </c>
      <c r="Y82" s="136">
        <f>'LCIA_AD-b'!Y79</f>
        <v>0</v>
      </c>
      <c r="Z82" s="136">
        <f>'LCIA_AD-b'!Z79</f>
        <v>0</v>
      </c>
      <c r="AA82" s="136">
        <f>'LCIA_AD-b'!AA79</f>
        <v>0</v>
      </c>
      <c r="AB82" s="136">
        <f>'LCIA_AD-b'!AB79</f>
        <v>0</v>
      </c>
      <c r="AC82" s="136">
        <f>'LCIA_AD-b'!AC79</f>
        <v>0</v>
      </c>
      <c r="AD82" s="136">
        <f>'LCIA_AD-b'!AD79</f>
        <v>0</v>
      </c>
      <c r="AE82" s="136">
        <f>'LCIA_AD-b'!AE79</f>
        <v>0</v>
      </c>
      <c r="AF82" s="136">
        <f>'LCIA_AD-b'!AF79</f>
        <v>0</v>
      </c>
      <c r="AG82" s="136">
        <f>'LCIA_AD-b'!AG79</f>
        <v>0</v>
      </c>
      <c r="AH82" s="136">
        <f>'LCIA_AD-b'!AH79</f>
        <v>0</v>
      </c>
      <c r="AI82" s="136">
        <f>'LCIA_AD-b'!AI79</f>
        <v>0</v>
      </c>
      <c r="AJ82" s="136">
        <f>'LCIA_AD-b'!AJ79</f>
        <v>0</v>
      </c>
      <c r="AK82" s="136">
        <f>'LCIA_AD-b'!AK79</f>
        <v>0</v>
      </c>
    </row>
    <row r="83" spans="1:37" x14ac:dyDescent="0.35">
      <c r="A83" s="136"/>
      <c r="B83" s="136" t="s">
        <v>111</v>
      </c>
      <c r="C83" s="136" t="e">
        <f>'LCIA_AD-b'!C80</f>
        <v>#REF!</v>
      </c>
      <c r="D83" s="136" t="e">
        <f>'LCIA_AD-b'!D80</f>
        <v>#REF!</v>
      </c>
      <c r="E83" s="136" t="e">
        <f>'LCIA_AD-b'!E80</f>
        <v>#REF!</v>
      </c>
      <c r="F83" s="136" t="e">
        <f>'LCIA_AD-b'!F80</f>
        <v>#REF!</v>
      </c>
      <c r="G83" s="136">
        <f>'LCIA_AD-b'!G80</f>
        <v>0</v>
      </c>
      <c r="H83" s="136">
        <f>'LCIA_AD-b'!H80</f>
        <v>0</v>
      </c>
      <c r="I83" s="136">
        <f>'LCIA_AD-b'!I80</f>
        <v>0</v>
      </c>
      <c r="J83" s="136">
        <f>'LCIA_AD-b'!J80</f>
        <v>0</v>
      </c>
      <c r="K83" s="136">
        <f>'LCIA_AD-b'!K80</f>
        <v>0</v>
      </c>
      <c r="L83" s="136">
        <f>'LCIA_AD-b'!L80</f>
        <v>0</v>
      </c>
      <c r="M83" s="136">
        <f>'LCIA_AD-b'!M80</f>
        <v>0</v>
      </c>
      <c r="N83" s="136">
        <f>'LCIA_AD-b'!N80</f>
        <v>0</v>
      </c>
      <c r="O83" s="136">
        <f>'LCIA_AD-b'!O80</f>
        <v>0</v>
      </c>
      <c r="P83" s="136">
        <f>'LCIA_AD-b'!P80</f>
        <v>0</v>
      </c>
      <c r="Q83" s="136">
        <f>'LCIA_AD-b'!Q80</f>
        <v>0</v>
      </c>
      <c r="R83" s="136">
        <f>'LCIA_AD-b'!R80</f>
        <v>0</v>
      </c>
      <c r="S83" s="136">
        <f>'LCIA_AD-b'!S80</f>
        <v>0</v>
      </c>
      <c r="T83" s="136">
        <f>'LCIA_AD-b'!T80</f>
        <v>0</v>
      </c>
      <c r="U83" s="136">
        <f>'LCIA_AD-b'!U80</f>
        <v>0</v>
      </c>
      <c r="V83" s="136">
        <f>'LCIA_AD-b'!V80</f>
        <v>0</v>
      </c>
      <c r="W83" s="136">
        <f>'LCIA_AD-b'!W80</f>
        <v>0</v>
      </c>
      <c r="X83" s="136">
        <f>'LCIA_AD-b'!X80</f>
        <v>0</v>
      </c>
      <c r="Y83" s="136">
        <f>'LCIA_AD-b'!Y80</f>
        <v>0</v>
      </c>
      <c r="Z83" s="136">
        <f>'LCIA_AD-b'!Z80</f>
        <v>0</v>
      </c>
      <c r="AA83" s="136">
        <f>'LCIA_AD-b'!AA80</f>
        <v>0</v>
      </c>
      <c r="AB83" s="136">
        <f>'LCIA_AD-b'!AB80</f>
        <v>0</v>
      </c>
      <c r="AC83" s="136">
        <f>'LCIA_AD-b'!AC80</f>
        <v>0</v>
      </c>
      <c r="AD83" s="136">
        <f>'LCIA_AD-b'!AD80</f>
        <v>0</v>
      </c>
      <c r="AE83" s="136">
        <f>'LCIA_AD-b'!AE80</f>
        <v>0</v>
      </c>
      <c r="AF83" s="136">
        <f>'LCIA_AD-b'!AF80</f>
        <v>0</v>
      </c>
      <c r="AG83" s="136">
        <f>'LCIA_AD-b'!AG80</f>
        <v>0</v>
      </c>
      <c r="AH83" s="136">
        <f>'LCIA_AD-b'!AH80</f>
        <v>0</v>
      </c>
      <c r="AI83" s="136">
        <f>'LCIA_AD-b'!AI80</f>
        <v>0</v>
      </c>
      <c r="AJ83" s="136">
        <f>'LCIA_AD-b'!AJ80</f>
        <v>0</v>
      </c>
      <c r="AK83" s="136">
        <f>'LCIA_AD-b'!AK80</f>
        <v>0</v>
      </c>
    </row>
    <row r="84" spans="1:37" x14ac:dyDescent="0.35">
      <c r="A84" s="136"/>
      <c r="B84" s="136" t="s">
        <v>110</v>
      </c>
      <c r="C84" s="136" t="e">
        <f>'LCIA_AD-b'!C81</f>
        <v>#REF!</v>
      </c>
      <c r="D84" s="136" t="e">
        <f>'LCIA_AD-b'!D81</f>
        <v>#REF!</v>
      </c>
      <c r="E84" s="136" t="e">
        <f>'LCIA_AD-b'!E81</f>
        <v>#REF!</v>
      </c>
      <c r="F84" s="136" t="e">
        <f>'LCIA_AD-b'!F81</f>
        <v>#REF!</v>
      </c>
      <c r="G84" s="136">
        <f>'LCIA_AD-b'!G81</f>
        <v>0</v>
      </c>
      <c r="H84" s="136">
        <f>'LCIA_AD-b'!H81</f>
        <v>0.3744384376249299</v>
      </c>
      <c r="I84" s="136">
        <f>'LCIA_AD-b'!I81</f>
        <v>0</v>
      </c>
      <c r="J84" s="136">
        <f>'LCIA_AD-b'!J81</f>
        <v>0</v>
      </c>
      <c r="K84" s="136">
        <f>'LCIA_AD-b'!K81</f>
        <v>0</v>
      </c>
      <c r="L84" s="136">
        <f>'LCIA_AD-b'!L81</f>
        <v>0</v>
      </c>
      <c r="M84" s="136">
        <f>'LCIA_AD-b'!M81</f>
        <v>0</v>
      </c>
      <c r="N84" s="136">
        <f>'LCIA_AD-b'!N81</f>
        <v>0</v>
      </c>
      <c r="O84" s="136">
        <f>'LCIA_AD-b'!O81</f>
        <v>0</v>
      </c>
      <c r="P84" s="136">
        <f>'LCIA_AD-b'!P81</f>
        <v>0</v>
      </c>
      <c r="Q84" s="136">
        <f>'LCIA_AD-b'!Q81</f>
        <v>0</v>
      </c>
      <c r="R84" s="136">
        <f>'LCIA_AD-b'!R81</f>
        <v>0</v>
      </c>
      <c r="S84" s="136">
        <f>'LCIA_AD-b'!S81</f>
        <v>0</v>
      </c>
      <c r="T84" s="136">
        <f>'LCIA_AD-b'!T81</f>
        <v>0</v>
      </c>
      <c r="U84" s="136">
        <f>'LCIA_AD-b'!U81</f>
        <v>0</v>
      </c>
      <c r="V84" s="136">
        <f>'LCIA_AD-b'!V81</f>
        <v>0</v>
      </c>
      <c r="W84" s="136">
        <f>'LCIA_AD-b'!W81</f>
        <v>0</v>
      </c>
      <c r="X84" s="136">
        <f>'LCIA_AD-b'!X81</f>
        <v>0.14374573964671425</v>
      </c>
      <c r="Y84" s="136">
        <f>'LCIA_AD-b'!Y81</f>
        <v>0</v>
      </c>
      <c r="Z84" s="136">
        <f>'LCIA_AD-b'!Z81</f>
        <v>3.5968540350410269E-5</v>
      </c>
      <c r="AA84" s="136">
        <f>'LCIA_AD-b'!AA81</f>
        <v>0</v>
      </c>
      <c r="AB84" s="136">
        <f>'LCIA_AD-b'!AB81</f>
        <v>0</v>
      </c>
      <c r="AC84" s="136">
        <f>'LCIA_AD-b'!AC81</f>
        <v>4.8275111024190469</v>
      </c>
      <c r="AD84" s="136">
        <f>'LCIA_AD-b'!AD81</f>
        <v>0</v>
      </c>
      <c r="AE84" s="136">
        <f>'LCIA_AD-b'!AE81</f>
        <v>0</v>
      </c>
      <c r="AF84" s="136">
        <f>'LCIA_AD-b'!AF81</f>
        <v>0</v>
      </c>
      <c r="AG84" s="136">
        <f>'LCIA_AD-b'!AG81</f>
        <v>5.3456952796906911</v>
      </c>
      <c r="AH84" s="136">
        <f>'LCIA_AD-b'!AH81</f>
        <v>3.5968540350410269E-5</v>
      </c>
      <c r="AI84" s="136">
        <f>'LCIA_AD-b'!AI81</f>
        <v>0</v>
      </c>
      <c r="AJ84" s="136">
        <f>'LCIA_AD-b'!AJ81</f>
        <v>0</v>
      </c>
      <c r="AK84" s="136">
        <f>'LCIA_AD-b'!AK81</f>
        <v>0</v>
      </c>
    </row>
    <row r="85" spans="1:37" x14ac:dyDescent="0.35">
      <c r="A85" s="136"/>
      <c r="B85" s="136" t="s">
        <v>288</v>
      </c>
      <c r="C85" s="136" t="e">
        <f>'LCIA_AD-b'!C82</f>
        <v>#REF!</v>
      </c>
      <c r="D85" s="136" t="e">
        <f>'LCIA_AD-b'!D82</f>
        <v>#REF!</v>
      </c>
      <c r="E85" s="136" t="e">
        <f>'LCIA_AD-b'!E82</f>
        <v>#REF!</v>
      </c>
      <c r="F85" s="136" t="e">
        <f>'LCIA_AD-b'!F82</f>
        <v>#REF!</v>
      </c>
      <c r="G85" s="136">
        <f>'LCIA_AD-b'!G82</f>
        <v>0</v>
      </c>
      <c r="H85" s="136">
        <f>'LCIA_AD-b'!H82</f>
        <v>0</v>
      </c>
      <c r="I85" s="136">
        <f>'LCIA_AD-b'!I82</f>
        <v>0</v>
      </c>
      <c r="J85" s="136">
        <f>'LCIA_AD-b'!J82</f>
        <v>0</v>
      </c>
      <c r="K85" s="136">
        <f>'LCIA_AD-b'!K82</f>
        <v>0</v>
      </c>
      <c r="L85" s="136">
        <f>'LCIA_AD-b'!L82</f>
        <v>0</v>
      </c>
      <c r="M85" s="136">
        <f>'LCIA_AD-b'!M82</f>
        <v>0</v>
      </c>
      <c r="N85" s="136">
        <f>'LCIA_AD-b'!N82</f>
        <v>0</v>
      </c>
      <c r="O85" s="136">
        <f>'LCIA_AD-b'!O82</f>
        <v>0</v>
      </c>
      <c r="P85" s="136">
        <f>'LCIA_AD-b'!P82</f>
        <v>0</v>
      </c>
      <c r="Q85" s="136">
        <f>'LCIA_AD-b'!Q82</f>
        <v>0</v>
      </c>
      <c r="R85" s="136">
        <f>'LCIA_AD-b'!R82</f>
        <v>0</v>
      </c>
      <c r="S85" s="136">
        <f>'LCIA_AD-b'!S82</f>
        <v>0</v>
      </c>
      <c r="T85" s="136">
        <f>'LCIA_AD-b'!T82</f>
        <v>0</v>
      </c>
      <c r="U85" s="136">
        <f>'LCIA_AD-b'!U82</f>
        <v>0</v>
      </c>
      <c r="V85" s="136">
        <f>'LCIA_AD-b'!V82</f>
        <v>0</v>
      </c>
      <c r="W85" s="136">
        <f>'LCIA_AD-b'!W82</f>
        <v>0</v>
      </c>
      <c r="X85" s="136">
        <f>'LCIA_AD-b'!X82</f>
        <v>0</v>
      </c>
      <c r="Y85" s="136">
        <f>'LCIA_AD-b'!Y82</f>
        <v>0</v>
      </c>
      <c r="Z85" s="136">
        <f>'LCIA_AD-b'!Z82</f>
        <v>0</v>
      </c>
      <c r="AA85" s="136">
        <f>'LCIA_AD-b'!AA82</f>
        <v>7.8076707234924367E-2</v>
      </c>
      <c r="AB85" s="136">
        <f>'LCIA_AD-b'!AB82</f>
        <v>5.059520896744001E-9</v>
      </c>
      <c r="AC85" s="136">
        <f>'LCIA_AD-b'!AC82</f>
        <v>0</v>
      </c>
      <c r="AD85" s="136">
        <f>'LCIA_AD-b'!AD82</f>
        <v>0</v>
      </c>
      <c r="AE85" s="136">
        <f>'LCIA_AD-b'!AE82</f>
        <v>0</v>
      </c>
      <c r="AF85" s="136">
        <f>'LCIA_AD-b'!AF82</f>
        <v>0</v>
      </c>
      <c r="AG85" s="136">
        <f>'LCIA_AD-b'!AG82</f>
        <v>7.8076707234924367E-2</v>
      </c>
      <c r="AH85" s="136">
        <f>'LCIA_AD-b'!AH82</f>
        <v>5.059520896744001E-9</v>
      </c>
      <c r="AI85" s="136">
        <f>'LCIA_AD-b'!AI82</f>
        <v>0</v>
      </c>
      <c r="AJ85" s="136">
        <f>'LCIA_AD-b'!AJ82</f>
        <v>0</v>
      </c>
      <c r="AK85" s="136">
        <f>'LCIA_AD-b'!AK82</f>
        <v>0</v>
      </c>
    </row>
    <row r="86" spans="1:37" x14ac:dyDescent="0.35">
      <c r="A86" s="136"/>
      <c r="B86" s="136" t="s">
        <v>123</v>
      </c>
      <c r="C86" s="136" t="e">
        <f>'LCIA_AD-b'!C83</f>
        <v>#REF!</v>
      </c>
      <c r="D86" s="136" t="e">
        <f>'LCIA_AD-b'!D83</f>
        <v>#REF!</v>
      </c>
      <c r="E86" s="136" t="e">
        <f>'LCIA_AD-b'!E83</f>
        <v>#REF!</v>
      </c>
      <c r="F86" s="136" t="e">
        <f>'LCIA_AD-b'!F83</f>
        <v>#REF!</v>
      </c>
      <c r="G86" s="136">
        <f>'LCIA_AD-b'!G83</f>
        <v>0</v>
      </c>
      <c r="H86" s="136">
        <f>'LCIA_AD-b'!H83</f>
        <v>0</v>
      </c>
      <c r="I86" s="136">
        <f>'LCIA_AD-b'!I83</f>
        <v>0</v>
      </c>
      <c r="J86" s="136">
        <f>'LCIA_AD-b'!J83</f>
        <v>0</v>
      </c>
      <c r="K86" s="136">
        <f>'LCIA_AD-b'!K83</f>
        <v>0</v>
      </c>
      <c r="L86" s="136">
        <f>'LCIA_AD-b'!L83</f>
        <v>0</v>
      </c>
      <c r="M86" s="136">
        <f>'LCIA_AD-b'!M83</f>
        <v>0</v>
      </c>
      <c r="N86" s="136">
        <f>'LCIA_AD-b'!N83</f>
        <v>0</v>
      </c>
      <c r="O86" s="136">
        <f>'LCIA_AD-b'!O83</f>
        <v>0</v>
      </c>
      <c r="P86" s="136">
        <f>'LCIA_AD-b'!P83</f>
        <v>0</v>
      </c>
      <c r="Q86" s="136">
        <f>'LCIA_AD-b'!Q83</f>
        <v>0</v>
      </c>
      <c r="R86" s="136">
        <f>'LCIA_AD-b'!R83</f>
        <v>0</v>
      </c>
      <c r="S86" s="136">
        <f>'LCIA_AD-b'!S83</f>
        <v>0</v>
      </c>
      <c r="T86" s="136">
        <f>'LCIA_AD-b'!T83</f>
        <v>0</v>
      </c>
      <c r="U86" s="136">
        <f>'LCIA_AD-b'!U83</f>
        <v>0</v>
      </c>
      <c r="V86" s="136">
        <f>'LCIA_AD-b'!V83</f>
        <v>0</v>
      </c>
      <c r="W86" s="136">
        <f>'LCIA_AD-b'!W83</f>
        <v>0</v>
      </c>
      <c r="X86" s="136">
        <f>'LCIA_AD-b'!X83</f>
        <v>0</v>
      </c>
      <c r="Y86" s="136">
        <f>'LCIA_AD-b'!Y83</f>
        <v>0</v>
      </c>
      <c r="Z86" s="136">
        <f>'LCIA_AD-b'!Z83</f>
        <v>0</v>
      </c>
      <c r="AA86" s="136">
        <f>'LCIA_AD-b'!AA83</f>
        <v>0</v>
      </c>
      <c r="AB86" s="136">
        <f>'LCIA_AD-b'!AB83</f>
        <v>0</v>
      </c>
      <c r="AC86" s="136">
        <f>'LCIA_AD-b'!AC83</f>
        <v>0</v>
      </c>
      <c r="AD86" s="136">
        <f>'LCIA_AD-b'!AD83</f>
        <v>0</v>
      </c>
      <c r="AE86" s="136">
        <f>'LCIA_AD-b'!AE83</f>
        <v>0</v>
      </c>
      <c r="AF86" s="136">
        <f>'LCIA_AD-b'!AF83</f>
        <v>0</v>
      </c>
      <c r="AG86" s="136">
        <f>'LCIA_AD-b'!AG83</f>
        <v>0</v>
      </c>
      <c r="AH86" s="136">
        <f>'LCIA_AD-b'!AH83</f>
        <v>0</v>
      </c>
      <c r="AI86" s="136">
        <f>'LCIA_AD-b'!AI83</f>
        <v>0</v>
      </c>
      <c r="AJ86" s="136">
        <f>'LCIA_AD-b'!AJ83</f>
        <v>0</v>
      </c>
      <c r="AK86" s="136">
        <f>'LCIA_AD-b'!AK83</f>
        <v>0</v>
      </c>
    </row>
    <row r="87" spans="1:37" x14ac:dyDescent="0.35">
      <c r="A87" s="136"/>
      <c r="B87" s="136" t="s">
        <v>273</v>
      </c>
      <c r="C87" s="136" t="e">
        <f>'LCIA_AD-b'!C84</f>
        <v>#REF!</v>
      </c>
      <c r="D87" s="136" t="e">
        <f>'LCIA_AD-b'!D84</f>
        <v>#REF!</v>
      </c>
      <c r="E87" s="136" t="e">
        <f>'LCIA_AD-b'!E84</f>
        <v>#REF!</v>
      </c>
      <c r="F87" s="136" t="e">
        <f>'LCIA_AD-b'!F84</f>
        <v>#REF!</v>
      </c>
      <c r="G87" s="136">
        <f>'LCIA_AD-b'!G84</f>
        <v>2.819819426702347E-20</v>
      </c>
      <c r="H87" s="136">
        <f>'LCIA_AD-b'!H84</f>
        <v>1.6263461543339314E-3</v>
      </c>
      <c r="I87" s="136">
        <f>'LCIA_AD-b'!I84</f>
        <v>7.7789284373648959E-2</v>
      </c>
      <c r="J87" s="136">
        <f>'LCIA_AD-b'!J84</f>
        <v>3.8648250500682552E-3</v>
      </c>
      <c r="K87" s="136">
        <f>'LCIA_AD-b'!K84</f>
        <v>6.7143678024639186E-6</v>
      </c>
      <c r="L87" s="136">
        <f>'LCIA_AD-b'!L84</f>
        <v>2.7250823218448872E-9</v>
      </c>
      <c r="M87" s="136">
        <f>'LCIA_AD-b'!M84</f>
        <v>5.1977149167024323E-8</v>
      </c>
      <c r="N87" s="136">
        <f>'LCIA_AD-b'!N84</f>
        <v>6.1621952765137466E-8</v>
      </c>
      <c r="O87" s="136">
        <f>'LCIA_AD-b'!O84</f>
        <v>3.2801963876572476E-8</v>
      </c>
      <c r="P87" s="136">
        <f>'LCIA_AD-b'!P84</f>
        <v>1.2962045370244614E-9</v>
      </c>
      <c r="Q87" s="136">
        <f>'LCIA_AD-b'!Q84</f>
        <v>3.9971420552218461E-8</v>
      </c>
      <c r="R87" s="136">
        <f>'LCIA_AD-b'!R84</f>
        <v>5.1780478699583656E-3</v>
      </c>
      <c r="S87" s="136">
        <f>'LCIA_AD-b'!S84</f>
        <v>3.6506165983474547E-3</v>
      </c>
      <c r="T87" s="136">
        <f>'LCIA_AD-b'!T84</f>
        <v>3.2097331077826474E-2</v>
      </c>
      <c r="U87" s="136">
        <f>'LCIA_AD-b'!U84</f>
        <v>3.4842384245660119E-3</v>
      </c>
      <c r="V87" s="136">
        <f>'LCIA_AD-b'!V84</f>
        <v>3.0217985881737148E-7</v>
      </c>
      <c r="W87" s="136">
        <f>'LCIA_AD-b'!W84</f>
        <v>8.3162586322158654E-8</v>
      </c>
      <c r="X87" s="136">
        <f>'LCIA_AD-b'!X84</f>
        <v>2.128453591310383E-4</v>
      </c>
      <c r="Y87" s="136">
        <f>'LCIA_AD-b'!Y84</f>
        <v>1.4479139766530832E-11</v>
      </c>
      <c r="Z87" s="136">
        <f>'LCIA_AD-b'!Z84</f>
        <v>1.1720511301650913E-7</v>
      </c>
      <c r="AA87" s="136">
        <f>'LCIA_AD-b'!AA84</f>
        <v>4.934183475435755E-3</v>
      </c>
      <c r="AB87" s="136">
        <f>'LCIA_AD-b'!AB84</f>
        <v>4.9049639939226234E-10</v>
      </c>
      <c r="AC87" s="136">
        <f>'LCIA_AD-b'!AC84</f>
        <v>1.0732168781098783E-2</v>
      </c>
      <c r="AD87" s="136">
        <f>'LCIA_AD-b'!AD84</f>
        <v>1.1029989880888913E-2</v>
      </c>
      <c r="AE87" s="136">
        <f>'LCIA_AD-b'!AE84</f>
        <v>3.0354344007587917E-3</v>
      </c>
      <c r="AF87" s="136">
        <f>'LCIA_AD-b'!AF84</f>
        <v>5.9516122540008507E-4</v>
      </c>
      <c r="AG87" s="136">
        <f>'LCIA_AD-b'!AG84</f>
        <v>0.15824534312115357</v>
      </c>
      <c r="AH87" s="136">
        <f>'LCIA_AD-b'!AH84</f>
        <v>6.9290561290245875E-7</v>
      </c>
      <c r="AI87" s="136">
        <f>'LCIA_AD-b'!AI84</f>
        <v>3.1610479685655485E-6</v>
      </c>
      <c r="AJ87" s="136">
        <f>'LCIA_AD-b'!AJ84</f>
        <v>3.8609795566399319E-7</v>
      </c>
      <c r="AK87" s="136">
        <f>'LCIA_AD-b'!AK84</f>
        <v>4.6083952700321599E-6</v>
      </c>
    </row>
    <row r="88" spans="1:37" x14ac:dyDescent="0.35">
      <c r="A88" s="136"/>
      <c r="B88" s="136" t="s">
        <v>289</v>
      </c>
      <c r="C88" s="136" t="e">
        <f>'LCIA_AD-b'!C85</f>
        <v>#REF!</v>
      </c>
      <c r="D88" s="136" t="e">
        <f>'LCIA_AD-b'!D85</f>
        <v>#REF!</v>
      </c>
      <c r="E88" s="136" t="e">
        <f>'LCIA_AD-b'!E85</f>
        <v>#REF!</v>
      </c>
      <c r="F88" s="136" t="e">
        <f>'LCIA_AD-b'!F85</f>
        <v>#REF!</v>
      </c>
      <c r="G88" s="136">
        <f>'LCIA_AD-b'!G85</f>
        <v>1.6130521335353439E-20</v>
      </c>
      <c r="H88" s="136">
        <f>'LCIA_AD-b'!H85</f>
        <v>2.7054070426269952E-3</v>
      </c>
      <c r="I88" s="136">
        <f>'LCIA_AD-b'!I85</f>
        <v>2.4196440073787778E-2</v>
      </c>
      <c r="J88" s="136">
        <f>'LCIA_AD-b'!J85</f>
        <v>1.7630583606476537E-2</v>
      </c>
      <c r="K88" s="136">
        <f>'LCIA_AD-b'!K85</f>
        <v>2.4472117590483638E-5</v>
      </c>
      <c r="L88" s="136">
        <f>'LCIA_AD-b'!L85</f>
        <v>1.3576808019091356E-9</v>
      </c>
      <c r="M88" s="136">
        <f>'LCIA_AD-b'!M85</f>
        <v>5.1572925418878274E-8</v>
      </c>
      <c r="N88" s="136">
        <f>'LCIA_AD-b'!N85</f>
        <v>3.3872872795680431E-8</v>
      </c>
      <c r="O88" s="136">
        <f>'LCIA_AD-b'!O85</f>
        <v>2.6288935372440298E-8</v>
      </c>
      <c r="P88" s="136">
        <f>'LCIA_AD-b'!P85</f>
        <v>1.2683791297072126E-11</v>
      </c>
      <c r="Q88" s="136">
        <f>'LCIA_AD-b'!Q85</f>
        <v>2.3580294814971754E-10</v>
      </c>
      <c r="R88" s="136">
        <f>'LCIA_AD-b'!R85</f>
        <v>2.1090311924351537E-3</v>
      </c>
      <c r="S88" s="136">
        <f>'LCIA_AD-b'!S85</f>
        <v>1.8992751976227653E-2</v>
      </c>
      <c r="T88" s="136">
        <f>'LCIA_AD-b'!T85</f>
        <v>3.6140715903243067E-2</v>
      </c>
      <c r="U88" s="136">
        <f>'LCIA_AD-b'!U85</f>
        <v>3.923152069951294E-3</v>
      </c>
      <c r="V88" s="136">
        <f>'LCIA_AD-b'!V85</f>
        <v>8.3831586723194238E-9</v>
      </c>
      <c r="W88" s="136">
        <f>'LCIA_AD-b'!W85</f>
        <v>7.400687754511597E-9</v>
      </c>
      <c r="X88" s="136">
        <f>'LCIA_AD-b'!X85</f>
        <v>9.0097723477391967E-4</v>
      </c>
      <c r="Y88" s="136">
        <f>'LCIA_AD-b'!Y85</f>
        <v>5.6978286394437733E-11</v>
      </c>
      <c r="Z88" s="136">
        <f>'LCIA_AD-b'!Z85</f>
        <v>1.6243641906731715E-7</v>
      </c>
      <c r="AA88" s="136">
        <f>'LCIA_AD-b'!AA85</f>
        <v>1.271342860162961E-2</v>
      </c>
      <c r="AB88" s="136">
        <f>'LCIA_AD-b'!AB85</f>
        <v>1.0601852933367218E-9</v>
      </c>
      <c r="AC88" s="136">
        <f>'LCIA_AD-b'!AC85</f>
        <v>1.7420512120229357E-2</v>
      </c>
      <c r="AD88" s="136">
        <f>'LCIA_AD-b'!AD85</f>
        <v>3.0603630298783007E-4</v>
      </c>
      <c r="AE88" s="136">
        <f>'LCIA_AD-b'!AE85</f>
        <v>2.7012510303967328E-4</v>
      </c>
      <c r="AF88" s="136">
        <f>'LCIA_AD-b'!AF85</f>
        <v>1.1860112818669014E-5</v>
      </c>
      <c r="AG88" s="136">
        <f>'LCIA_AD-b'!AG85</f>
        <v>0.13734910495904709</v>
      </c>
      <c r="AH88" s="136">
        <f>'LCIA_AD-b'!AH85</f>
        <v>3.1084751668557692E-7</v>
      </c>
      <c r="AI88" s="136">
        <f>'LCIA_AD-b'!AI85</f>
        <v>2.7808295331522901E-7</v>
      </c>
      <c r="AJ88" s="136">
        <f>'LCIA_AD-b'!AJ85</f>
        <v>3.3965716701470755E-8</v>
      </c>
      <c r="AK88" s="136">
        <f>'LCIA_AD-b'!AK85</f>
        <v>3.3176217455392112E-6</v>
      </c>
    </row>
    <row r="89" spans="1:37" x14ac:dyDescent="0.35">
      <c r="A89" s="142" t="s">
        <v>353</v>
      </c>
      <c r="B89" s="136"/>
      <c r="C89" s="141" t="e">
        <f>SUM(C90:C94)</f>
        <v>#REF!</v>
      </c>
      <c r="D89" s="141" t="e">
        <f>SUM(D90:D94)</f>
        <v>#REF!</v>
      </c>
      <c r="E89" s="141" t="e">
        <f t="shared" ref="E89:AK89" si="8">SUM(E90:E94)</f>
        <v>#REF!</v>
      </c>
      <c r="F89" s="141" t="e">
        <f t="shared" si="8"/>
        <v>#REF!</v>
      </c>
      <c r="G89" s="141">
        <f t="shared" si="8"/>
        <v>0</v>
      </c>
      <c r="H89" s="141">
        <f t="shared" si="8"/>
        <v>0.14579389891956177</v>
      </c>
      <c r="I89" s="141">
        <f t="shared" si="8"/>
        <v>0</v>
      </c>
      <c r="J89" s="141">
        <f t="shared" si="8"/>
        <v>0</v>
      </c>
      <c r="K89" s="141">
        <f t="shared" si="8"/>
        <v>-0.12351800454149389</v>
      </c>
      <c r="L89" s="141">
        <f t="shared" si="8"/>
        <v>0</v>
      </c>
      <c r="M89" s="141">
        <f t="shared" si="8"/>
        <v>0</v>
      </c>
      <c r="N89" s="141">
        <f t="shared" si="8"/>
        <v>0</v>
      </c>
      <c r="O89" s="141">
        <f t="shared" si="8"/>
        <v>0</v>
      </c>
      <c r="P89" s="141">
        <f t="shared" si="8"/>
        <v>0</v>
      </c>
      <c r="Q89" s="141">
        <f t="shared" si="8"/>
        <v>0</v>
      </c>
      <c r="R89" s="141">
        <f t="shared" si="8"/>
        <v>0</v>
      </c>
      <c r="S89" s="141">
        <f t="shared" si="8"/>
        <v>0</v>
      </c>
      <c r="T89" s="141">
        <f t="shared" si="8"/>
        <v>-4.6840808148715611</v>
      </c>
      <c r="U89" s="141">
        <f t="shared" si="8"/>
        <v>-0.50846929898276816</v>
      </c>
      <c r="V89" s="141">
        <f t="shared" si="8"/>
        <v>0</v>
      </c>
      <c r="W89" s="141">
        <f t="shared" si="8"/>
        <v>0</v>
      </c>
      <c r="X89" s="141">
        <f t="shared" si="8"/>
        <v>5.2932055936233882</v>
      </c>
      <c r="Y89" s="141">
        <f t="shared" si="8"/>
        <v>0</v>
      </c>
      <c r="Z89" s="141">
        <f t="shared" si="8"/>
        <v>1.4004955712866033E-5</v>
      </c>
      <c r="AA89" s="141">
        <f t="shared" si="8"/>
        <v>0</v>
      </c>
      <c r="AB89" s="141">
        <f t="shared" si="8"/>
        <v>0</v>
      </c>
      <c r="AC89" s="141">
        <f t="shared" si="8"/>
        <v>1.8796725842664521</v>
      </c>
      <c r="AD89" s="141">
        <f t="shared" si="8"/>
        <v>0</v>
      </c>
      <c r="AE89" s="141">
        <f t="shared" si="8"/>
        <v>0</v>
      </c>
      <c r="AF89" s="141">
        <f t="shared" si="8"/>
        <v>0</v>
      </c>
      <c r="AG89" s="141">
        <f t="shared" si="8"/>
        <v>2.0026039584135802</v>
      </c>
      <c r="AH89" s="141">
        <f t="shared" si="8"/>
        <v>1.4004955712866033E-5</v>
      </c>
      <c r="AI89" s="141">
        <f t="shared" si="8"/>
        <v>0</v>
      </c>
      <c r="AJ89" s="141">
        <f t="shared" si="8"/>
        <v>0</v>
      </c>
      <c r="AK89" s="141">
        <f t="shared" si="8"/>
        <v>0</v>
      </c>
    </row>
    <row r="90" spans="1:37" x14ac:dyDescent="0.35">
      <c r="A90" s="136"/>
      <c r="B90" s="136" t="s">
        <v>111</v>
      </c>
      <c r="C90" s="136" t="e">
        <f>'LCIA_AD-b'!C87</f>
        <v>#REF!</v>
      </c>
      <c r="D90" s="136" t="e">
        <f>'LCIA_AD-b'!D87</f>
        <v>#REF!</v>
      </c>
      <c r="E90" s="136" t="e">
        <f>'LCIA_AD-b'!E87</f>
        <v>#REF!</v>
      </c>
      <c r="F90" s="136" t="e">
        <f>'LCIA_AD-b'!F87</f>
        <v>#REF!</v>
      </c>
      <c r="G90" s="136">
        <f>'LCIA_AD-b'!G87</f>
        <v>0</v>
      </c>
      <c r="H90" s="136">
        <f>'LCIA_AD-b'!H87</f>
        <v>0</v>
      </c>
      <c r="I90" s="136">
        <f>'LCIA_AD-b'!I87</f>
        <v>0</v>
      </c>
      <c r="J90" s="136">
        <f>'LCIA_AD-b'!J87</f>
        <v>0</v>
      </c>
      <c r="K90" s="136">
        <f>'LCIA_AD-b'!K87</f>
        <v>0</v>
      </c>
      <c r="L90" s="136">
        <f>'LCIA_AD-b'!L87</f>
        <v>0</v>
      </c>
      <c r="M90" s="136">
        <f>'LCIA_AD-b'!M87</f>
        <v>0</v>
      </c>
      <c r="N90" s="136">
        <f>'LCIA_AD-b'!N87</f>
        <v>0</v>
      </c>
      <c r="O90" s="136">
        <f>'LCIA_AD-b'!O87</f>
        <v>0</v>
      </c>
      <c r="P90" s="136">
        <f>'LCIA_AD-b'!P87</f>
        <v>0</v>
      </c>
      <c r="Q90" s="136">
        <f>'LCIA_AD-b'!Q87</f>
        <v>0</v>
      </c>
      <c r="R90" s="136">
        <f>'LCIA_AD-b'!R87</f>
        <v>0</v>
      </c>
      <c r="S90" s="136">
        <f>'LCIA_AD-b'!S87</f>
        <v>0</v>
      </c>
      <c r="T90" s="136">
        <f>'LCIA_AD-b'!T87</f>
        <v>0</v>
      </c>
      <c r="U90" s="136">
        <f>'LCIA_AD-b'!U87</f>
        <v>0</v>
      </c>
      <c r="V90" s="136">
        <f>'LCIA_AD-b'!V87</f>
        <v>0</v>
      </c>
      <c r="W90" s="136">
        <f>'LCIA_AD-b'!W87</f>
        <v>0</v>
      </c>
      <c r="X90" s="136">
        <f>'LCIA_AD-b'!X87</f>
        <v>0</v>
      </c>
      <c r="Y90" s="136">
        <f>'LCIA_AD-b'!Y87</f>
        <v>0</v>
      </c>
      <c r="Z90" s="136">
        <f>'LCIA_AD-b'!Z87</f>
        <v>0</v>
      </c>
      <c r="AA90" s="136">
        <f>'LCIA_AD-b'!AA87</f>
        <v>0</v>
      </c>
      <c r="AB90" s="136">
        <f>'LCIA_AD-b'!AB87</f>
        <v>0</v>
      </c>
      <c r="AC90" s="136">
        <f>'LCIA_AD-b'!AC87</f>
        <v>0</v>
      </c>
      <c r="AD90" s="136">
        <f>'LCIA_AD-b'!AD87</f>
        <v>0</v>
      </c>
      <c r="AE90" s="136">
        <f>'LCIA_AD-b'!AE87</f>
        <v>0</v>
      </c>
      <c r="AF90" s="136">
        <f>'LCIA_AD-b'!AF87</f>
        <v>0</v>
      </c>
      <c r="AG90" s="136">
        <f>'LCIA_AD-b'!AG87</f>
        <v>0</v>
      </c>
      <c r="AH90" s="136">
        <f>'LCIA_AD-b'!AH87</f>
        <v>0</v>
      </c>
      <c r="AI90" s="136">
        <f>'LCIA_AD-b'!AI87</f>
        <v>0</v>
      </c>
      <c r="AJ90" s="136">
        <f>'LCIA_AD-b'!AJ87</f>
        <v>0</v>
      </c>
      <c r="AK90" s="136">
        <f>'LCIA_AD-b'!AK87</f>
        <v>0</v>
      </c>
    </row>
    <row r="91" spans="1:37" x14ac:dyDescent="0.35">
      <c r="A91" s="136"/>
      <c r="B91" s="136" t="s">
        <v>110</v>
      </c>
      <c r="C91" s="136" t="e">
        <f>'LCIA_AD-b'!C88</f>
        <v>#REF!</v>
      </c>
      <c r="D91" s="136" t="e">
        <f>'LCIA_AD-b'!D88</f>
        <v>#REF!</v>
      </c>
      <c r="E91" s="136" t="e">
        <f>'LCIA_AD-b'!E88</f>
        <v>#REF!</v>
      </c>
      <c r="F91" s="136" t="e">
        <f>'LCIA_AD-b'!F88</f>
        <v>#REF!</v>
      </c>
      <c r="G91" s="136">
        <f>'LCIA_AD-b'!G88</f>
        <v>0</v>
      </c>
      <c r="H91" s="136">
        <f>'LCIA_AD-b'!H88</f>
        <v>0.14579389891956177</v>
      </c>
      <c r="I91" s="136">
        <f>'LCIA_AD-b'!I88</f>
        <v>0</v>
      </c>
      <c r="J91" s="136">
        <f>'LCIA_AD-b'!J88</f>
        <v>0</v>
      </c>
      <c r="K91" s="136">
        <f>'LCIA_AD-b'!K88</f>
        <v>0</v>
      </c>
      <c r="L91" s="136">
        <f>'LCIA_AD-b'!L88</f>
        <v>0</v>
      </c>
      <c r="M91" s="136">
        <f>'LCIA_AD-b'!M88</f>
        <v>0</v>
      </c>
      <c r="N91" s="136">
        <f>'LCIA_AD-b'!N88</f>
        <v>0</v>
      </c>
      <c r="O91" s="136">
        <f>'LCIA_AD-b'!O88</f>
        <v>0</v>
      </c>
      <c r="P91" s="136">
        <f>'LCIA_AD-b'!P88</f>
        <v>0</v>
      </c>
      <c r="Q91" s="136">
        <f>'LCIA_AD-b'!Q88</f>
        <v>0</v>
      </c>
      <c r="R91" s="136">
        <f>'LCIA_AD-b'!R88</f>
        <v>0</v>
      </c>
      <c r="S91" s="136">
        <f>'LCIA_AD-b'!S88</f>
        <v>0</v>
      </c>
      <c r="T91" s="136">
        <f>'LCIA_AD-b'!T88</f>
        <v>0</v>
      </c>
      <c r="U91" s="136">
        <f>'LCIA_AD-b'!U88</f>
        <v>0</v>
      </c>
      <c r="V91" s="136">
        <f>'LCIA_AD-b'!V88</f>
        <v>0</v>
      </c>
      <c r="W91" s="136">
        <f>'LCIA_AD-b'!W88</f>
        <v>0</v>
      </c>
      <c r="X91" s="136">
        <f>'LCIA_AD-b'!X88</f>
        <v>5.5969819682784028E-2</v>
      </c>
      <c r="Y91" s="136">
        <f>'LCIA_AD-b'!Y88</f>
        <v>0</v>
      </c>
      <c r="Z91" s="136">
        <f>'LCIA_AD-b'!Z88</f>
        <v>1.4004955712866033E-5</v>
      </c>
      <c r="AA91" s="136">
        <f>'LCIA_AD-b'!AA88</f>
        <v>0</v>
      </c>
      <c r="AB91" s="136">
        <f>'LCIA_AD-b'!AB88</f>
        <v>0</v>
      </c>
      <c r="AC91" s="136">
        <f>'LCIA_AD-b'!AC88</f>
        <v>1.8796725842664521</v>
      </c>
      <c r="AD91" s="136">
        <f>'LCIA_AD-b'!AD88</f>
        <v>0</v>
      </c>
      <c r="AE91" s="136">
        <f>'LCIA_AD-b'!AE88</f>
        <v>0</v>
      </c>
      <c r="AF91" s="136">
        <f>'LCIA_AD-b'!AF88</f>
        <v>0</v>
      </c>
      <c r="AG91" s="136">
        <f>'LCIA_AD-b'!AG88</f>
        <v>2.0814363028687981</v>
      </c>
      <c r="AH91" s="136">
        <f>'LCIA_AD-b'!AH88</f>
        <v>1.4004955712866033E-5</v>
      </c>
      <c r="AI91" s="136">
        <f>'LCIA_AD-b'!AI88</f>
        <v>0</v>
      </c>
      <c r="AJ91" s="136">
        <f>'LCIA_AD-b'!AJ88</f>
        <v>0</v>
      </c>
      <c r="AK91" s="136">
        <f>'LCIA_AD-b'!AK88</f>
        <v>0</v>
      </c>
    </row>
    <row r="92" spans="1:37" x14ac:dyDescent="0.35">
      <c r="A92" s="136"/>
      <c r="B92" s="136" t="s">
        <v>114</v>
      </c>
      <c r="C92" s="136" t="e">
        <f>'LCIA_AD-b'!C89</f>
        <v>#REF!</v>
      </c>
      <c r="D92" s="136" t="e">
        <f>'LCIA_AD-b'!D89</f>
        <v>#REF!</v>
      </c>
      <c r="E92" s="136" t="e">
        <f>'LCIA_AD-b'!E89</f>
        <v>#REF!</v>
      </c>
      <c r="F92" s="136" t="e">
        <f>'LCIA_AD-b'!F89</f>
        <v>#REF!</v>
      </c>
      <c r="G92" s="136">
        <f>'LCIA_AD-b'!G89</f>
        <v>0</v>
      </c>
      <c r="H92" s="136">
        <f>'LCIA_AD-b'!H89</f>
        <v>0</v>
      </c>
      <c r="I92" s="136">
        <f>'LCIA_AD-b'!I89</f>
        <v>0</v>
      </c>
      <c r="J92" s="136">
        <f>'LCIA_AD-b'!J89</f>
        <v>0</v>
      </c>
      <c r="K92" s="136">
        <f>'LCIA_AD-b'!K89</f>
        <v>0</v>
      </c>
      <c r="L92" s="136">
        <f>'LCIA_AD-b'!L89</f>
        <v>0</v>
      </c>
      <c r="M92" s="136">
        <f>'LCIA_AD-b'!M89</f>
        <v>0</v>
      </c>
      <c r="N92" s="136">
        <f>'LCIA_AD-b'!N89</f>
        <v>0</v>
      </c>
      <c r="O92" s="136">
        <f>'LCIA_AD-b'!O89</f>
        <v>0</v>
      </c>
      <c r="P92" s="136">
        <f>'LCIA_AD-b'!P89</f>
        <v>0</v>
      </c>
      <c r="Q92" s="136">
        <f>'LCIA_AD-b'!Q89</f>
        <v>0</v>
      </c>
      <c r="R92" s="136">
        <f>'LCIA_AD-b'!R89</f>
        <v>0</v>
      </c>
      <c r="S92" s="136">
        <f>'LCIA_AD-b'!S89</f>
        <v>0</v>
      </c>
      <c r="T92" s="136">
        <f>'LCIA_AD-b'!T89</f>
        <v>0</v>
      </c>
      <c r="U92" s="136">
        <f>'LCIA_AD-b'!U89</f>
        <v>0</v>
      </c>
      <c r="V92" s="136">
        <f>'LCIA_AD-b'!V89</f>
        <v>0</v>
      </c>
      <c r="W92" s="136">
        <f>'LCIA_AD-b'!W89</f>
        <v>0</v>
      </c>
      <c r="X92" s="136">
        <f>'LCIA_AD-b'!X89</f>
        <v>5.2372357739406041</v>
      </c>
      <c r="Y92" s="136">
        <f>'LCIA_AD-b'!Y89</f>
        <v>0</v>
      </c>
      <c r="Z92" s="136">
        <f>'LCIA_AD-b'!Z89</f>
        <v>0</v>
      </c>
      <c r="AA92" s="136">
        <f>'LCIA_AD-b'!AA89</f>
        <v>0</v>
      </c>
      <c r="AB92" s="136">
        <f>'LCIA_AD-b'!AB89</f>
        <v>0</v>
      </c>
      <c r="AC92" s="136">
        <f>'LCIA_AD-b'!AC89</f>
        <v>0</v>
      </c>
      <c r="AD92" s="136">
        <f>'LCIA_AD-b'!AD89</f>
        <v>0</v>
      </c>
      <c r="AE92" s="136">
        <f>'LCIA_AD-b'!AE89</f>
        <v>0</v>
      </c>
      <c r="AF92" s="136">
        <f>'LCIA_AD-b'!AF89</f>
        <v>0</v>
      </c>
      <c r="AG92" s="136">
        <f>'LCIA_AD-b'!AG89</f>
        <v>5.2372357739406041</v>
      </c>
      <c r="AH92" s="136">
        <f>'LCIA_AD-b'!AH89</f>
        <v>0</v>
      </c>
      <c r="AI92" s="136">
        <f>'LCIA_AD-b'!AI89</f>
        <v>0</v>
      </c>
      <c r="AJ92" s="136">
        <f>'LCIA_AD-b'!AJ89</f>
        <v>0</v>
      </c>
      <c r="AK92" s="136">
        <f>'LCIA_AD-b'!AK89</f>
        <v>0</v>
      </c>
    </row>
    <row r="93" spans="1:37" x14ac:dyDescent="0.35">
      <c r="A93" s="136"/>
      <c r="B93" s="136" t="s">
        <v>414</v>
      </c>
      <c r="C93" s="136" t="e">
        <f>'LCIA_AD-b'!C90</f>
        <v>#REF!</v>
      </c>
      <c r="D93" s="136" t="e">
        <f>'LCIA_AD-b'!D90</f>
        <v>#REF!</v>
      </c>
      <c r="E93" s="136" t="e">
        <f>'LCIA_AD-b'!E90</f>
        <v>#REF!</v>
      </c>
      <c r="F93" s="136" t="e">
        <f>'LCIA_AD-b'!F90</f>
        <v>#REF!</v>
      </c>
      <c r="G93" s="136">
        <f>'LCIA_AD-b'!G90</f>
        <v>0</v>
      </c>
      <c r="H93" s="136">
        <f>'LCIA_AD-b'!H90</f>
        <v>0</v>
      </c>
      <c r="I93" s="136">
        <f>'LCIA_AD-b'!I90</f>
        <v>0</v>
      </c>
      <c r="J93" s="136">
        <f>'LCIA_AD-b'!J90</f>
        <v>0</v>
      </c>
      <c r="K93" s="136">
        <f>'LCIA_AD-b'!K90</f>
        <v>-0.12351800454149389</v>
      </c>
      <c r="L93" s="136">
        <f>'LCIA_AD-b'!L90</f>
        <v>0</v>
      </c>
      <c r="M93" s="136">
        <f>'LCIA_AD-b'!M90</f>
        <v>0</v>
      </c>
      <c r="N93" s="136">
        <f>'LCIA_AD-b'!N90</f>
        <v>0</v>
      </c>
      <c r="O93" s="136">
        <f>'LCIA_AD-b'!O90</f>
        <v>0</v>
      </c>
      <c r="P93" s="136">
        <f>'LCIA_AD-b'!P90</f>
        <v>0</v>
      </c>
      <c r="Q93" s="136">
        <f>'LCIA_AD-b'!Q90</f>
        <v>0</v>
      </c>
      <c r="R93" s="136">
        <f>'LCIA_AD-b'!R90</f>
        <v>0</v>
      </c>
      <c r="S93" s="136">
        <f>'LCIA_AD-b'!S90</f>
        <v>0</v>
      </c>
      <c r="T93" s="136">
        <f>'LCIA_AD-b'!T90</f>
        <v>0</v>
      </c>
      <c r="U93" s="136">
        <f>'LCIA_AD-b'!U90</f>
        <v>0</v>
      </c>
      <c r="V93" s="136">
        <f>'LCIA_AD-b'!V90</f>
        <v>0</v>
      </c>
      <c r="W93" s="136">
        <f>'LCIA_AD-b'!W90</f>
        <v>0</v>
      </c>
      <c r="X93" s="136">
        <f>'LCIA_AD-b'!X90</f>
        <v>0</v>
      </c>
      <c r="Y93" s="136">
        <f>'LCIA_AD-b'!Y90</f>
        <v>0</v>
      </c>
      <c r="Z93" s="136">
        <f>'LCIA_AD-b'!Z90</f>
        <v>0</v>
      </c>
      <c r="AA93" s="136">
        <f>'LCIA_AD-b'!AA90</f>
        <v>0</v>
      </c>
      <c r="AB93" s="136">
        <f>'LCIA_AD-b'!AB90</f>
        <v>0</v>
      </c>
      <c r="AC93" s="136">
        <f>'LCIA_AD-b'!AC90</f>
        <v>0</v>
      </c>
      <c r="AD93" s="136">
        <f>'LCIA_AD-b'!AD90</f>
        <v>0</v>
      </c>
      <c r="AE93" s="136">
        <f>'LCIA_AD-b'!AE90</f>
        <v>0</v>
      </c>
      <c r="AF93" s="136">
        <f>'LCIA_AD-b'!AF90</f>
        <v>0</v>
      </c>
      <c r="AG93" s="136">
        <f>'LCIA_AD-b'!AG90</f>
        <v>-0.12351800454149389</v>
      </c>
      <c r="AH93" s="136">
        <f>'LCIA_AD-b'!AH90</f>
        <v>0</v>
      </c>
      <c r="AI93" s="136">
        <f>'LCIA_AD-b'!AI90</f>
        <v>0</v>
      </c>
      <c r="AJ93" s="136">
        <f>'LCIA_AD-b'!AJ90</f>
        <v>0</v>
      </c>
      <c r="AK93" s="136">
        <f>'LCIA_AD-b'!AK90</f>
        <v>0</v>
      </c>
    </row>
    <row r="94" spans="1:37" x14ac:dyDescent="0.35">
      <c r="A94" s="136"/>
      <c r="B94" s="136" t="s">
        <v>415</v>
      </c>
      <c r="C94" s="136" t="e">
        <f>'LCIA_AD-b'!C91</f>
        <v>#REF!</v>
      </c>
      <c r="D94" s="136" t="e">
        <f>'LCIA_AD-b'!D91</f>
        <v>#REF!</v>
      </c>
      <c r="E94" s="136" t="e">
        <f>'LCIA_AD-b'!E91</f>
        <v>#REF!</v>
      </c>
      <c r="F94" s="136" t="e">
        <f>'LCIA_AD-b'!F91</f>
        <v>#REF!</v>
      </c>
      <c r="G94" s="136">
        <f>'LCIA_AD-b'!G91</f>
        <v>0</v>
      </c>
      <c r="H94" s="136">
        <f>'LCIA_AD-b'!H91</f>
        <v>0</v>
      </c>
      <c r="I94" s="136">
        <f>'LCIA_AD-b'!I91</f>
        <v>0</v>
      </c>
      <c r="J94" s="136">
        <f>'LCIA_AD-b'!J91</f>
        <v>0</v>
      </c>
      <c r="K94" s="136">
        <f>'LCIA_AD-b'!K91</f>
        <v>0</v>
      </c>
      <c r="L94" s="136">
        <f>'LCIA_AD-b'!L91</f>
        <v>0</v>
      </c>
      <c r="M94" s="136">
        <f>'LCIA_AD-b'!M91</f>
        <v>0</v>
      </c>
      <c r="N94" s="136">
        <f>'LCIA_AD-b'!N91</f>
        <v>0</v>
      </c>
      <c r="O94" s="136">
        <f>'LCIA_AD-b'!O91</f>
        <v>0</v>
      </c>
      <c r="P94" s="136">
        <f>'LCIA_AD-b'!P91</f>
        <v>0</v>
      </c>
      <c r="Q94" s="136">
        <f>'LCIA_AD-b'!Q91</f>
        <v>0</v>
      </c>
      <c r="R94" s="136">
        <f>'LCIA_AD-b'!R91</f>
        <v>0</v>
      </c>
      <c r="S94" s="136">
        <f>'LCIA_AD-b'!S91</f>
        <v>0</v>
      </c>
      <c r="T94" s="136">
        <f>'LCIA_AD-b'!T91</f>
        <v>-4.6840808148715611</v>
      </c>
      <c r="U94" s="136">
        <f>'LCIA_AD-b'!U91</f>
        <v>-0.50846929898276816</v>
      </c>
      <c r="V94" s="136">
        <f>'LCIA_AD-b'!V91</f>
        <v>0</v>
      </c>
      <c r="W94" s="136">
        <f>'LCIA_AD-b'!W91</f>
        <v>0</v>
      </c>
      <c r="X94" s="136">
        <f>'LCIA_AD-b'!X91</f>
        <v>0</v>
      </c>
      <c r="Y94" s="136">
        <f>'LCIA_AD-b'!Y91</f>
        <v>0</v>
      </c>
      <c r="Z94" s="136">
        <f>'LCIA_AD-b'!Z91</f>
        <v>0</v>
      </c>
      <c r="AA94" s="136">
        <f>'LCIA_AD-b'!AA91</f>
        <v>0</v>
      </c>
      <c r="AB94" s="136">
        <f>'LCIA_AD-b'!AB91</f>
        <v>0</v>
      </c>
      <c r="AC94" s="136">
        <f>'LCIA_AD-b'!AC91</f>
        <v>0</v>
      </c>
      <c r="AD94" s="136">
        <f>'LCIA_AD-b'!AD91</f>
        <v>0</v>
      </c>
      <c r="AE94" s="136">
        <f>'LCIA_AD-b'!AE91</f>
        <v>0</v>
      </c>
      <c r="AF94" s="136">
        <f>'LCIA_AD-b'!AF91</f>
        <v>0</v>
      </c>
      <c r="AG94" s="136">
        <f>'LCIA_AD-b'!AG91</f>
        <v>-5.1925501138543284</v>
      </c>
      <c r="AH94" s="136">
        <f>'LCIA_AD-b'!AH91</f>
        <v>0</v>
      </c>
      <c r="AI94" s="136">
        <f>'LCIA_AD-b'!AI91</f>
        <v>0</v>
      </c>
      <c r="AJ94" s="136">
        <f>'LCIA_AD-b'!AJ91</f>
        <v>0</v>
      </c>
      <c r="AK94" s="136">
        <f>'LCIA_AD-b'!AK91</f>
        <v>0</v>
      </c>
    </row>
    <row r="95" spans="1:37" x14ac:dyDescent="0.35">
      <c r="A95" s="142" t="s">
        <v>421</v>
      </c>
      <c r="B95" s="136"/>
      <c r="C95" s="141" t="e">
        <f>SUM(C96:C100)</f>
        <v>#REF!</v>
      </c>
      <c r="D95" s="141" t="e">
        <f t="shared" ref="D95:AK95" si="9">SUM(D96:D100)</f>
        <v>#REF!</v>
      </c>
      <c r="E95" s="141" t="e">
        <f t="shared" si="9"/>
        <v>#REF!</v>
      </c>
      <c r="F95" s="141" t="e">
        <f t="shared" si="9"/>
        <v>#REF!</v>
      </c>
      <c r="G95" s="141">
        <f t="shared" si="9"/>
        <v>1.2546847606570291E-16</v>
      </c>
      <c r="H95" s="141">
        <f t="shared" si="9"/>
        <v>1.6710729419184727</v>
      </c>
      <c r="I95" s="141">
        <f t="shared" si="9"/>
        <v>10.900179258190958</v>
      </c>
      <c r="J95" s="141">
        <f t="shared" si="9"/>
        <v>4.1411165405566139</v>
      </c>
      <c r="K95" s="141">
        <f t="shared" si="9"/>
        <v>0.10568262120225187</v>
      </c>
      <c r="L95" s="141">
        <f t="shared" si="9"/>
        <v>7.7327166104259907E-7</v>
      </c>
      <c r="M95" s="141">
        <f t="shared" si="9"/>
        <v>2.402493046247386E-5</v>
      </c>
      <c r="N95" s="141">
        <f t="shared" si="9"/>
        <v>2.1689441298520148E-5</v>
      </c>
      <c r="O95" s="141">
        <f t="shared" si="9"/>
        <v>1.7732348788137904E-5</v>
      </c>
      <c r="P95" s="141">
        <f t="shared" si="9"/>
        <v>1.0454306048201529E-8</v>
      </c>
      <c r="Q95" s="141">
        <f t="shared" si="9"/>
        <v>2.0028928767787211E-7</v>
      </c>
      <c r="R95" s="141">
        <f t="shared" si="9"/>
        <v>1.3565787380642003</v>
      </c>
      <c r="S95" s="141">
        <f t="shared" si="9"/>
        <v>5.1257530485431495</v>
      </c>
      <c r="T95" s="141">
        <f t="shared" si="9"/>
        <v>55.443116394880754</v>
      </c>
      <c r="U95" s="141">
        <f t="shared" si="9"/>
        <v>6.0184894261813175</v>
      </c>
      <c r="V95" s="141">
        <f t="shared" si="9"/>
        <v>1.937631480170497E-5</v>
      </c>
      <c r="W95" s="141">
        <f t="shared" si="9"/>
        <v>2.2537631275631786E-5</v>
      </c>
      <c r="X95" s="141">
        <f t="shared" si="9"/>
        <v>0.26747557648387565</v>
      </c>
      <c r="Y95" s="141">
        <f t="shared" si="9"/>
        <v>1.2632564020273262E-8</v>
      </c>
      <c r="Z95" s="141">
        <f t="shared" si="9"/>
        <v>1.0943794268209535E-4</v>
      </c>
      <c r="AA95" s="141">
        <f t="shared" si="9"/>
        <v>4.1881178062256756</v>
      </c>
      <c r="AB95" s="141">
        <f t="shared" si="9"/>
        <v>3.7967437181539408E-7</v>
      </c>
      <c r="AC95" s="141">
        <f t="shared" si="9"/>
        <v>10.798766516584008</v>
      </c>
      <c r="AD95" s="141">
        <f t="shared" si="9"/>
        <v>0.70727299729498683</v>
      </c>
      <c r="AE95" s="141">
        <f t="shared" si="9"/>
        <v>0.82262354156056028</v>
      </c>
      <c r="AF95" s="141">
        <f t="shared" si="9"/>
        <v>9.2256585264671835E-3</v>
      </c>
      <c r="AG95" s="141">
        <f t="shared" si="9"/>
        <v>101.56692507194413</v>
      </c>
      <c r="AH95" s="141">
        <f t="shared" si="9"/>
        <v>2.3777719888234242E-4</v>
      </c>
      <c r="AI95" s="141">
        <f t="shared" si="9"/>
        <v>5.2010336016364311E-4</v>
      </c>
      <c r="AJ95" s="141">
        <f t="shared" si="9"/>
        <v>6.3526667766559009E-5</v>
      </c>
      <c r="AK95" s="141">
        <f t="shared" si="9"/>
        <v>1.0891977970282726E-2</v>
      </c>
    </row>
    <row r="96" spans="1:37" x14ac:dyDescent="0.35">
      <c r="A96" s="136"/>
      <c r="B96" s="136" t="s">
        <v>228</v>
      </c>
      <c r="C96" s="136" t="e">
        <f>'LCIA_AD-b'!C93</f>
        <v>#REF!</v>
      </c>
      <c r="D96" s="136" t="e">
        <f>'LCIA_AD-b'!D93</f>
        <v>#REF!</v>
      </c>
      <c r="E96" s="136" t="e">
        <f>'LCIA_AD-b'!E93</f>
        <v>#REF!</v>
      </c>
      <c r="F96" s="136" t="e">
        <f>'LCIA_AD-b'!F93</f>
        <v>#REF!</v>
      </c>
      <c r="G96" s="136">
        <f>'LCIA_AD-b'!G93</f>
        <v>3.9249223978199064E-17</v>
      </c>
      <c r="H96" s="136">
        <f>'LCIA_AD-b'!H93</f>
        <v>8.7287713544722478E-2</v>
      </c>
      <c r="I96" s="136">
        <f>'LCIA_AD-b'!I93</f>
        <v>0.72592559243783938</v>
      </c>
      <c r="J96" s="136">
        <f>'LCIA_AD-b'!J93</f>
        <v>0.24130766041087356</v>
      </c>
      <c r="K96" s="136">
        <f>'LCIA_AD-b'!K93</f>
        <v>3.5494647896879965E-4</v>
      </c>
      <c r="L96" s="136">
        <f>'LCIA_AD-b'!L93</f>
        <v>5.4186170739770473E-8</v>
      </c>
      <c r="M96" s="136">
        <f>'LCIA_AD-b'!M93</f>
        <v>2.5442998789871582E-6</v>
      </c>
      <c r="N96" s="136">
        <f>'LCIA_AD-b'!N93</f>
        <v>1.765021899533639E-6</v>
      </c>
      <c r="O96" s="136">
        <f>'LCIA_AD-b'!O93</f>
        <v>1.7864226714804923E-6</v>
      </c>
      <c r="P96" s="136">
        <f>'LCIA_AD-b'!P93</f>
        <v>7.6300358270113086E-10</v>
      </c>
      <c r="Q96" s="136">
        <f>'LCIA_AD-b'!Q93</f>
        <v>1.378298188452744E-8</v>
      </c>
      <c r="R96" s="136">
        <f>'LCIA_AD-b'!R93</f>
        <v>0.10339515717963435</v>
      </c>
      <c r="S96" s="136">
        <f>'LCIA_AD-b'!S93</f>
        <v>0.18664892059285132</v>
      </c>
      <c r="T96" s="136">
        <f>'LCIA_AD-b'!T93</f>
        <v>1.9577479795059407</v>
      </c>
      <c r="U96" s="136">
        <f>'LCIA_AD-b'!U93</f>
        <v>0.21251826889917752</v>
      </c>
      <c r="V96" s="136">
        <f>'LCIA_AD-b'!V93</f>
        <v>3.7948360996169299E-6</v>
      </c>
      <c r="W96" s="136">
        <f>'LCIA_AD-b'!W93</f>
        <v>5.1643039799012007E-6</v>
      </c>
      <c r="X96" s="136">
        <f>'LCIA_AD-b'!X93</f>
        <v>3.5674036015551081E-2</v>
      </c>
      <c r="Y96" s="136">
        <f>'LCIA_AD-b'!Y93</f>
        <v>5.9266643871532827E-10</v>
      </c>
      <c r="Z96" s="136">
        <f>'LCIA_AD-b'!Z93</f>
        <v>7.0226540233151228E-6</v>
      </c>
      <c r="AA96" s="136">
        <f>'LCIA_AD-b'!AA93</f>
        <v>0.20307568330261858</v>
      </c>
      <c r="AB96" s="136">
        <f>'LCIA_AD-b'!AB93</f>
        <v>1.9529741532173774E-8</v>
      </c>
      <c r="AC96" s="136">
        <f>'LCIA_AD-b'!AC93</f>
        <v>0.80007311894008659</v>
      </c>
      <c r="AD96" s="136">
        <f>'LCIA_AD-b'!AD93</f>
        <v>0.13851212158276324</v>
      </c>
      <c r="AE96" s="136">
        <f>'LCIA_AD-b'!AE93</f>
        <v>0.18849709526639377</v>
      </c>
      <c r="AF96" s="136">
        <f>'LCIA_AD-b'!AF93</f>
        <v>8.5687230186265288E-4</v>
      </c>
      <c r="AG96" s="136">
        <f>'LCIA_AD-b'!AG93</f>
        <v>4.8823886628482462</v>
      </c>
      <c r="AH96" s="136">
        <f>'LCIA_AD-b'!AH93</f>
        <v>3.6090752780338609E-5</v>
      </c>
      <c r="AI96" s="136">
        <f>'LCIA_AD-b'!AI93</f>
        <v>1.873572527528322E-4</v>
      </c>
      <c r="AJ96" s="136">
        <f>'LCIA_AD-b'!AJ93</f>
        <v>2.2884262746427005E-5</v>
      </c>
      <c r="AK96" s="136">
        <f>'LCIA_AD-b'!AK93</f>
        <v>3.1717923312642339E-4</v>
      </c>
    </row>
    <row r="97" spans="1:37" x14ac:dyDescent="0.35">
      <c r="A97" s="136"/>
      <c r="B97" s="136" t="s">
        <v>230</v>
      </c>
      <c r="C97" s="136" t="e">
        <f>'LCIA_AD-b'!C94</f>
        <v>#REF!</v>
      </c>
      <c r="D97" s="136" t="e">
        <f>'LCIA_AD-b'!D94</f>
        <v>#REF!</v>
      </c>
      <c r="E97" s="136" t="e">
        <f>'LCIA_AD-b'!E94</f>
        <v>#REF!</v>
      </c>
      <c r="F97" s="136" t="e">
        <f>'LCIA_AD-b'!F94</f>
        <v>#REF!</v>
      </c>
      <c r="G97" s="136">
        <f>'LCIA_AD-b'!G94</f>
        <v>7.3123980626410943E-17</v>
      </c>
      <c r="H97" s="136">
        <f>'LCIA_AD-b'!H94</f>
        <v>0.44823309736114125</v>
      </c>
      <c r="I97" s="136">
        <f>'LCIA_AD-b'!I94</f>
        <v>2.347279525573732</v>
      </c>
      <c r="J97" s="136">
        <f>'LCIA_AD-b'!J94</f>
        <v>0.21528368659229899</v>
      </c>
      <c r="K97" s="136">
        <f>'LCIA_AD-b'!K94</f>
        <v>9.9654627709092156E-2</v>
      </c>
      <c r="L97" s="136">
        <f>'LCIA_AD-b'!L94</f>
        <v>1.2487090588294379E-7</v>
      </c>
      <c r="M97" s="136">
        <f>'LCIA_AD-b'!M94</f>
        <v>4.6776960795765779E-6</v>
      </c>
      <c r="N97" s="136">
        <f>'LCIA_AD-b'!N94</f>
        <v>4.010056281378213E-6</v>
      </c>
      <c r="O97" s="136">
        <f>'LCIA_AD-b'!O94</f>
        <v>7.0074232550538647E-6</v>
      </c>
      <c r="P97" s="136">
        <f>'LCIA_AD-b'!P94</f>
        <v>4.647364753178146E-9</v>
      </c>
      <c r="Q97" s="136">
        <f>'LCIA_AD-b'!Q94</f>
        <v>9.4555771814582354E-8</v>
      </c>
      <c r="R97" s="136">
        <f>'LCIA_AD-b'!R94</f>
        <v>0.68319110391043536</v>
      </c>
      <c r="S97" s="136">
        <f>'LCIA_AD-b'!S94</f>
        <v>0.79108572912494513</v>
      </c>
      <c r="T97" s="136">
        <f>'LCIA_AD-b'!T94</f>
        <v>1.7311842555061387</v>
      </c>
      <c r="U97" s="136">
        <f>'LCIA_AD-b'!U94</f>
        <v>0.18792389567089296</v>
      </c>
      <c r="V97" s="136">
        <f>'LCIA_AD-b'!V94</f>
        <v>7.2378894888969916E-6</v>
      </c>
      <c r="W97" s="136">
        <f>'LCIA_AD-b'!W94</f>
        <v>9.6042670598147937E-6</v>
      </c>
      <c r="X97" s="136">
        <f>'LCIA_AD-b'!X94</f>
        <v>1.4409461353569341E-2</v>
      </c>
      <c r="Y97" s="136">
        <f>'LCIA_AD-b'!Y94</f>
        <v>3.8240695044543504E-10</v>
      </c>
      <c r="Z97" s="136">
        <f>'LCIA_AD-b'!Z94</f>
        <v>3.609107449754222E-5</v>
      </c>
      <c r="AA97" s="136">
        <f>'LCIA_AD-b'!AA94</f>
        <v>0.2759231696078262</v>
      </c>
      <c r="AB97" s="136">
        <f>'LCIA_AD-b'!AB94</f>
        <v>2.760851131788039E-8</v>
      </c>
      <c r="AC97" s="136">
        <f>'LCIA_AD-b'!AC94</f>
        <v>2.7332398205521895</v>
      </c>
      <c r="AD97" s="136">
        <f>'LCIA_AD-b'!AD94</f>
        <v>0.26418664521688578</v>
      </c>
      <c r="AE97" s="136">
        <f>'LCIA_AD-b'!AE94</f>
        <v>0.35055574768324005</v>
      </c>
      <c r="AF97" s="136">
        <f>'LCIA_AD-b'!AF94</f>
        <v>3.8648651017407915E-3</v>
      </c>
      <c r="AG97" s="136">
        <f>'LCIA_AD-b'!AG94</f>
        <v>10.149701616346078</v>
      </c>
      <c r="AH97" s="136">
        <f>'LCIA_AD-b'!AH94</f>
        <v>8.0953245490084989E-5</v>
      </c>
      <c r="AI97" s="136">
        <f>'LCIA_AD-b'!AI94</f>
        <v>2.3676937744412029E-4</v>
      </c>
      <c r="AJ97" s="136">
        <f>'LCIA_AD-b'!AJ94</f>
        <v>2.8919577780568251E-5</v>
      </c>
      <c r="AK97" s="136">
        <f>'LCIA_AD-b'!AK94</f>
        <v>3.4323692005919135E-3</v>
      </c>
    </row>
    <row r="98" spans="1:37" x14ac:dyDescent="0.35">
      <c r="A98" s="136"/>
      <c r="B98" s="136" t="s">
        <v>229</v>
      </c>
      <c r="C98" s="136" t="e">
        <f>'LCIA_AD-b'!C95</f>
        <v>#REF!</v>
      </c>
      <c r="D98" s="136" t="e">
        <f>'LCIA_AD-b'!D95</f>
        <v>#REF!</v>
      </c>
      <c r="E98" s="136" t="e">
        <f>'LCIA_AD-b'!E95</f>
        <v>#REF!</v>
      </c>
      <c r="F98" s="136" t="e">
        <f>'LCIA_AD-b'!F95</f>
        <v>#REF!</v>
      </c>
      <c r="G98" s="136">
        <f>'LCIA_AD-b'!G95</f>
        <v>5.8984225801603065E-18</v>
      </c>
      <c r="H98" s="136">
        <f>'LCIA_AD-b'!H95</f>
        <v>1.3919100901769588E-2</v>
      </c>
      <c r="I98" s="136">
        <f>'LCIA_AD-b'!I95</f>
        <v>0.37633611729107169</v>
      </c>
      <c r="J98" s="136">
        <f>'LCIA_AD-b'!J95</f>
        <v>3.9145356876161046E-2</v>
      </c>
      <c r="K98" s="136">
        <f>'LCIA_AD-b'!K95</f>
        <v>7.0842026466889346E-5</v>
      </c>
      <c r="L98" s="136">
        <f>'LCIA_AD-b'!L95</f>
        <v>1.0451454523115719E-8</v>
      </c>
      <c r="M98" s="136">
        <f>'LCIA_AD-b'!M95</f>
        <v>5.2019241486940565E-7</v>
      </c>
      <c r="N98" s="136">
        <f>'LCIA_AD-b'!N95</f>
        <v>3.4728979390241437E-7</v>
      </c>
      <c r="O98" s="136">
        <f>'LCIA_AD-b'!O95</f>
        <v>3.2299621515802173E-7</v>
      </c>
      <c r="P98" s="136">
        <f>'LCIA_AD-b'!P95</f>
        <v>1.2934795009155544E-10</v>
      </c>
      <c r="Q98" s="136">
        <f>'LCIA_AD-b'!Q95</f>
        <v>2.2469974805631203E-9</v>
      </c>
      <c r="R98" s="136">
        <f>'LCIA_AD-b'!R95</f>
        <v>6.7325513010943971E-2</v>
      </c>
      <c r="S98" s="136">
        <f>'LCIA_AD-b'!S95</f>
        <v>0.12419396493422681</v>
      </c>
      <c r="T98" s="136">
        <f>'LCIA_AD-b'!T95</f>
        <v>0.25991560017352355</v>
      </c>
      <c r="U98" s="136">
        <f>'LCIA_AD-b'!U95</f>
        <v>2.8214357630633503E-2</v>
      </c>
      <c r="V98" s="136">
        <f>'LCIA_AD-b'!V95</f>
        <v>6.4348682745705372E-7</v>
      </c>
      <c r="W98" s="136">
        <f>'LCIA_AD-b'!W95</f>
        <v>8.0550034014492408E-7</v>
      </c>
      <c r="X98" s="136">
        <f>'LCIA_AD-b'!X95</f>
        <v>2.2776064517151364E-3</v>
      </c>
      <c r="Y98" s="136">
        <f>'LCIA_AD-b'!Y95</f>
        <v>7.6771583843573354E-11</v>
      </c>
      <c r="Z98" s="136">
        <f>'LCIA_AD-b'!Z95</f>
        <v>1.2785913045947378E-6</v>
      </c>
      <c r="AA98" s="136">
        <f>'LCIA_AD-b'!AA95</f>
        <v>6.1578266831267714E-2</v>
      </c>
      <c r="AB98" s="136">
        <f>'LCIA_AD-b'!AB95</f>
        <v>6.1240972441714326E-9</v>
      </c>
      <c r="AC98" s="136">
        <f>'LCIA_AD-b'!AC95</f>
        <v>9.594575730073783E-2</v>
      </c>
      <c r="AD98" s="136">
        <f>'LCIA_AD-b'!AD95</f>
        <v>2.3487396568850575E-2</v>
      </c>
      <c r="AE98" s="136">
        <f>'LCIA_AD-b'!AE95</f>
        <v>2.940076241528972E-2</v>
      </c>
      <c r="AF98" s="136">
        <f>'LCIA_AD-b'!AF95</f>
        <v>1.446571550515878E-4</v>
      </c>
      <c r="AG98" s="136">
        <f>'LCIA_AD-b'!AG95</f>
        <v>1.1220079045078466</v>
      </c>
      <c r="AH98" s="136">
        <f>'LCIA_AD-b'!AH95</f>
        <v>3.3628575678862425E-6</v>
      </c>
      <c r="AI98" s="136">
        <f>'LCIA_AD-b'!AI95</f>
        <v>7.1628573362001402E-6</v>
      </c>
      <c r="AJ98" s="136">
        <f>'LCIA_AD-b'!AJ95</f>
        <v>8.7488851852996961E-7</v>
      </c>
      <c r="AK98" s="136">
        <f>'LCIA_AD-b'!AK95</f>
        <v>4.3992966285190678E-5</v>
      </c>
    </row>
    <row r="99" spans="1:37" x14ac:dyDescent="0.35">
      <c r="A99" s="136"/>
      <c r="B99" s="136" t="s">
        <v>231</v>
      </c>
      <c r="C99" s="136" t="e">
        <f>'LCIA_AD-b'!C96</f>
        <v>#REF!</v>
      </c>
      <c r="D99" s="136" t="e">
        <f>'LCIA_AD-b'!D96</f>
        <v>#REF!</v>
      </c>
      <c r="E99" s="136" t="e">
        <f>'LCIA_AD-b'!E96</f>
        <v>#REF!</v>
      </c>
      <c r="F99" s="136" t="e">
        <f>'LCIA_AD-b'!F96</f>
        <v>#REF!</v>
      </c>
      <c r="G99" s="136">
        <f>'LCIA_AD-b'!G96</f>
        <v>8.1457898661065599E-20</v>
      </c>
      <c r="H99" s="136">
        <f>'LCIA_AD-b'!H96</f>
        <v>2.7947844706626931E-3</v>
      </c>
      <c r="I99" s="136">
        <f>'LCIA_AD-b'!I96</f>
        <v>3.1795124007554534E-2</v>
      </c>
      <c r="J99" s="136">
        <f>'LCIA_AD-b'!J96</f>
        <v>1.3114396793330867E-2</v>
      </c>
      <c r="K99" s="136">
        <f>'LCIA_AD-b'!K96</f>
        <v>1.5145212181321595E-5</v>
      </c>
      <c r="L99" s="136">
        <f>'LCIA_AD-b'!L96</f>
        <v>1.8046194257053377E-9</v>
      </c>
      <c r="M99" s="136">
        <f>'LCIA_AD-b'!M96</f>
        <v>1.3522774057433816E-7</v>
      </c>
      <c r="N99" s="136">
        <f>'LCIA_AD-b'!N96</f>
        <v>5.7351689946929055E-8</v>
      </c>
      <c r="O99" s="136">
        <f>'LCIA_AD-b'!O96</f>
        <v>4.7974301802652057E-8</v>
      </c>
      <c r="P99" s="136">
        <f>'LCIA_AD-b'!P96</f>
        <v>4.2803691151550628E-10</v>
      </c>
      <c r="Q99" s="136">
        <f>'LCIA_AD-b'!Q96</f>
        <v>5.3904782259855225E-9</v>
      </c>
      <c r="R99" s="136">
        <f>'LCIA_AD-b'!R96</f>
        <v>3.1847998338193517E-2</v>
      </c>
      <c r="S99" s="136">
        <f>'LCIA_AD-b'!S96</f>
        <v>0.16515385389127402</v>
      </c>
      <c r="T99" s="136">
        <f>'LCIA_AD-b'!T96</f>
        <v>4.6031038700293028E-2</v>
      </c>
      <c r="U99" s="136">
        <f>'LCIA_AD-b'!U96</f>
        <v>4.9967511374200708E-3</v>
      </c>
      <c r="V99" s="136">
        <f>'LCIA_AD-b'!V96</f>
        <v>1.1553717950483539E-7</v>
      </c>
      <c r="W99" s="136">
        <f>'LCIA_AD-b'!W96</f>
        <v>7.7120440715916072E-8</v>
      </c>
      <c r="X99" s="136">
        <f>'LCIA_AD-b'!X96</f>
        <v>6.120645519963275E-4</v>
      </c>
      <c r="Y99" s="136">
        <f>'LCIA_AD-b'!Y96</f>
        <v>8.2175059096729643E-12</v>
      </c>
      <c r="Z99" s="136">
        <f>'LCIA_AD-b'!Z96</f>
        <v>2.9239959527641391E-7</v>
      </c>
      <c r="AA99" s="136">
        <f>'LCIA_AD-b'!AA96</f>
        <v>1.8192996779070089E-2</v>
      </c>
      <c r="AB99" s="136">
        <f>'LCIA_AD-b'!AB96</f>
        <v>1.8421443597325574E-9</v>
      </c>
      <c r="AC99" s="136">
        <f>'LCIA_AD-b'!AC96</f>
        <v>2.0293107260668877E-2</v>
      </c>
      <c r="AD99" s="136">
        <f>'LCIA_AD-b'!AD96</f>
        <v>4.2171638593456887E-3</v>
      </c>
      <c r="AE99" s="136">
        <f>'LCIA_AD-b'!AE96</f>
        <v>2.8148960861309365E-3</v>
      </c>
      <c r="AF99" s="136">
        <f>'LCIA_AD-b'!AF96</f>
        <v>3.3085214818995317E-4</v>
      </c>
      <c r="AG99" s="136">
        <f>'LCIA_AD-b'!AG96</f>
        <v>0.34841973792362657</v>
      </c>
      <c r="AH99" s="136">
        <f>'LCIA_AD-b'!AH96</f>
        <v>1.8616461327012037E-6</v>
      </c>
      <c r="AI99" s="136">
        <f>'LCIA_AD-b'!AI96</f>
        <v>1.0804171583360054E-5</v>
      </c>
      <c r="AJ99" s="136">
        <f>'LCIA_AD-b'!AJ96</f>
        <v>1.3196473455835372E-6</v>
      </c>
      <c r="AK99" s="136">
        <f>'LCIA_AD-b'!AK96</f>
        <v>6.1985674300741433E-3</v>
      </c>
    </row>
    <row r="100" spans="1:37" x14ac:dyDescent="0.35">
      <c r="A100" s="136"/>
      <c r="B100" s="136" t="s">
        <v>423</v>
      </c>
      <c r="C100" s="136" t="e">
        <f>'LCI_AD-f'!$E52*'IW+_end'!#REF!</f>
        <v>#REF!</v>
      </c>
      <c r="D100" s="136" t="e">
        <f>'LCI_AD-f'!$E52*'IW+_end'!#REF!</f>
        <v>#REF!</v>
      </c>
      <c r="E100" s="136" t="e">
        <f>'LCI_AD-f'!$E52*'IW+_end'!#REF!</f>
        <v>#REF!</v>
      </c>
      <c r="F100" s="136" t="e">
        <f>'LCI_AD-f'!$E52*'IW+_end'!#REF!</f>
        <v>#REF!</v>
      </c>
      <c r="G100" s="136">
        <f>'LCI_AD-f'!$E52*'IW+_end'!C39</f>
        <v>7.1153909822715203E-18</v>
      </c>
      <c r="H100" s="136">
        <f>'LCI_AD-f'!$E52*'IW+_end'!D39</f>
        <v>1.1188382456401766</v>
      </c>
      <c r="I100" s="136">
        <f>'LCI_AD-f'!$E52*'IW+_end'!E39</f>
        <v>7.4188428988807598</v>
      </c>
      <c r="J100" s="136">
        <f>'LCI_AD-f'!$E52*'IW+_end'!F39</f>
        <v>3.6322654398839496</v>
      </c>
      <c r="K100" s="136">
        <f>'LCI_AD-f'!$E52*'IW+_end'!G39</f>
        <v>5.5870597755426988E-3</v>
      </c>
      <c r="L100" s="136">
        <f>'LCI_AD-f'!$E52*'IW+_end'!H39</f>
        <v>5.8195851047106377E-7</v>
      </c>
      <c r="M100" s="136">
        <f>'LCI_AD-f'!$E52*'IW+_end'!I39</f>
        <v>1.6147514348466379E-5</v>
      </c>
      <c r="N100" s="136">
        <f>'LCI_AD-f'!$E52*'IW+_end'!J39</f>
        <v>1.5509721633758954E-5</v>
      </c>
      <c r="O100" s="136">
        <f>'LCI_AD-f'!$E52*'IW+_end'!K39</f>
        <v>8.5675323446428744E-6</v>
      </c>
      <c r="P100" s="136">
        <f>'LCI_AD-f'!$E52*'IW+_end'!L39</f>
        <v>4.4865528507151899E-9</v>
      </c>
      <c r="Q100" s="136">
        <f>'LCI_AD-f'!$E52*'IW+_end'!M39</f>
        <v>8.4313058272213685E-8</v>
      </c>
      <c r="R100" s="136">
        <f>'LCI_AD-f'!$E52*'IW+_end'!N39</f>
        <v>0.47081896562499315</v>
      </c>
      <c r="S100" s="136">
        <f>'LCI_AD-f'!$E52*'IW+_end'!O39</f>
        <v>3.8586705799998522</v>
      </c>
      <c r="T100" s="136">
        <f>'LCI_AD-f'!$E52*'IW+_end'!P39</f>
        <v>51.448237520994859</v>
      </c>
      <c r="U100" s="136">
        <f>'LCI_AD-f'!$E52*'IW+_end'!Q39</f>
        <v>5.5848361528431933</v>
      </c>
      <c r="V100" s="136">
        <f>'LCI_AD-f'!$E52*'IW+_end'!R39</f>
        <v>7.5845652062291584E-6</v>
      </c>
      <c r="W100" s="136">
        <f>'LCI_AD-f'!$E52*'IW+_end'!S39</f>
        <v>6.8864394550549524E-6</v>
      </c>
      <c r="X100" s="136">
        <f>'LCI_AD-f'!$E52*'IW+_end'!T39</f>
        <v>0.21450240811104379</v>
      </c>
      <c r="Y100" s="136">
        <f>'LCI_AD-f'!$E52*'IW+_end'!U39</f>
        <v>1.1572501541359253E-8</v>
      </c>
      <c r="Z100" s="136">
        <f>'LCI_AD-f'!$E52*'IW+_end'!V39</f>
        <v>6.4753223261366854E-5</v>
      </c>
      <c r="AA100" s="136">
        <f>'LCI_AD-f'!$E52*'IW+_end'!W39</f>
        <v>3.6293476897048933</v>
      </c>
      <c r="AB100" s="136">
        <f>'LCI_AD-f'!$E52*'IW+_end'!X39</f>
        <v>3.2456987736143592E-7</v>
      </c>
      <c r="AC100" s="136">
        <f>'LCI_AD-f'!$E52*'IW+_end'!Y39</f>
        <v>7.149214712530326</v>
      </c>
      <c r="AD100" s="136">
        <f>'LCI_AD-f'!$E52*'IW+_end'!Z39</f>
        <v>0.27686967006714158</v>
      </c>
      <c r="AE100" s="136">
        <f>'LCI_AD-f'!$E52*'IW+_end'!AA39</f>
        <v>0.25135504010950577</v>
      </c>
      <c r="AF100" s="136">
        <f>'LCI_AD-f'!$E52*'IW+_end'!AB39</f>
        <v>4.0284118196221991E-3</v>
      </c>
      <c r="AG100" s="136">
        <f>'LCI_AD-f'!$E52*'IW+_end'!AC39</f>
        <v>85.064407150318331</v>
      </c>
      <c r="AH100" s="136">
        <f>'LCI_AD-f'!$E52*'IW+_end'!AD39</f>
        <v>1.1550869691133138E-4</v>
      </c>
      <c r="AI100" s="136">
        <f>'LCI_AD-f'!$E52*'IW+_end'!AE39</f>
        <v>7.800970104713044E-5</v>
      </c>
      <c r="AJ100" s="136">
        <f>'LCI_AD-f'!$E52*'IW+_end'!AF39</f>
        <v>9.5282913754502408E-6</v>
      </c>
      <c r="AK100" s="136">
        <f>'LCI_AD-f'!$E52*'IW+_end'!AG39</f>
        <v>8.9986914020505533E-4</v>
      </c>
    </row>
    <row r="102" spans="1:37" x14ac:dyDescent="0.35">
      <c r="A102" t="s">
        <v>500</v>
      </c>
      <c r="C102" s="40" t="e">
        <f>C56+C89-C95</f>
        <v>#REF!</v>
      </c>
      <c r="D102" s="40" t="e">
        <f t="shared" ref="D102:AK102" si="10">D56+D89-D95</f>
        <v>#REF!</v>
      </c>
      <c r="E102" s="40" t="e">
        <f t="shared" si="10"/>
        <v>#REF!</v>
      </c>
      <c r="F102" s="40" t="e">
        <f t="shared" si="10"/>
        <v>#REF!</v>
      </c>
      <c r="G102" s="40">
        <f t="shared" si="10"/>
        <v>-9.6231134105178083E-17</v>
      </c>
      <c r="H102" s="40">
        <f t="shared" si="10"/>
        <v>-0.59192970519626309</v>
      </c>
      <c r="I102" s="40">
        <f t="shared" si="10"/>
        <v>-7.0850213511455369</v>
      </c>
      <c r="J102" s="40">
        <f t="shared" si="10"/>
        <v>-3.802764171580765</v>
      </c>
      <c r="K102" s="40">
        <f t="shared" si="10"/>
        <v>-0.21935583821096388</v>
      </c>
      <c r="L102" s="40">
        <f t="shared" si="10"/>
        <v>-6.3246572289082957E-7</v>
      </c>
      <c r="M102" s="40">
        <f t="shared" si="10"/>
        <v>-1.3044844982685031E-5</v>
      </c>
      <c r="N102" s="40">
        <f t="shared" si="10"/>
        <v>-1.7729391256502737E-5</v>
      </c>
      <c r="O102" s="40">
        <f t="shared" si="10"/>
        <v>4.2691255272481682E-6</v>
      </c>
      <c r="P102" s="40">
        <f t="shared" si="10"/>
        <v>5.8899495729715482E-9</v>
      </c>
      <c r="Q102" s="40">
        <f t="shared" si="10"/>
        <v>2.9549745050514539E-7</v>
      </c>
      <c r="R102" s="40">
        <f t="shared" si="10"/>
        <v>7.4715385642201371E-2</v>
      </c>
      <c r="S102" s="40">
        <f t="shared" si="10"/>
        <v>-4.6244926730275413</v>
      </c>
      <c r="T102" s="40">
        <f t="shared" si="10"/>
        <v>-57.519958113665368</v>
      </c>
      <c r="U102" s="40">
        <f t="shared" si="10"/>
        <v>-6.2439372424705537</v>
      </c>
      <c r="V102" s="40">
        <f t="shared" si="10"/>
        <v>-3.4415702562207062E-6</v>
      </c>
      <c r="W102" s="40">
        <f t="shared" si="10"/>
        <v>-1.4046214839933017E-5</v>
      </c>
      <c r="X102" s="40">
        <f t="shared" si="10"/>
        <v>5.3691048161526949</v>
      </c>
      <c r="Y102" s="40">
        <f t="shared" si="10"/>
        <v>-1.1485879541087875E-8</v>
      </c>
      <c r="Z102" s="40">
        <f t="shared" si="10"/>
        <v>4.6384538461218547E-5</v>
      </c>
      <c r="AA102" s="40">
        <f t="shared" si="10"/>
        <v>0.14282848114579139</v>
      </c>
      <c r="AB102" s="40">
        <f t="shared" si="10"/>
        <v>6.695714004015451E-8</v>
      </c>
      <c r="AC102" s="40">
        <f t="shared" si="10"/>
        <v>0.26612524469358334</v>
      </c>
      <c r="AD102" s="40">
        <f t="shared" si="10"/>
        <v>-0.12563927664317076</v>
      </c>
      <c r="AE102" s="40">
        <f t="shared" si="10"/>
        <v>-0.51268684165755518</v>
      </c>
      <c r="AF102" s="40">
        <f t="shared" si="10"/>
        <v>-1.1194322834288083E-3</v>
      </c>
      <c r="AG102" s="40">
        <f t="shared" si="10"/>
        <v>-74.885009179301292</v>
      </c>
      <c r="AH102" s="40">
        <f t="shared" si="10"/>
        <v>-2.7927185048461626E-5</v>
      </c>
      <c r="AI102" s="40">
        <f t="shared" si="10"/>
        <v>-3.890960014339013E-4</v>
      </c>
      <c r="AJ102" s="40">
        <f t="shared" si="10"/>
        <v>-4.7525115785854012E-5</v>
      </c>
      <c r="AK102" s="40">
        <f t="shared" si="10"/>
        <v>-1.0471883157831168E-2</v>
      </c>
    </row>
  </sheetData>
  <mergeCells count="1">
    <mergeCell ref="A3:G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5096A-2FBC-4C3C-A120-596D7CA6D96C}">
  <dimension ref="A1:AJ39"/>
  <sheetViews>
    <sheetView tabSelected="1" workbookViewId="0">
      <pane xSplit="1" ySplit="1" topLeftCell="B32" activePane="bottomRight" state="frozen"/>
      <selection pane="topRight" activeCell="B1" sqref="B1"/>
      <selection pane="bottomLeft" activeCell="A2" sqref="A2"/>
      <selection pane="bottomRight" activeCell="AC26" sqref="AC26"/>
    </sheetView>
  </sheetViews>
  <sheetFormatPr baseColWidth="10" defaultRowHeight="14.5" x14ac:dyDescent="0.35"/>
  <cols>
    <col min="1" max="1" width="25.54296875" customWidth="1"/>
    <col min="2" max="2" width="13" bestFit="1" customWidth="1"/>
    <col min="30" max="30" width="11.81640625" bestFit="1" customWidth="1"/>
    <col min="34" max="34" width="11.81640625" bestFit="1" customWidth="1"/>
    <col min="35" max="35" width="37.90625" customWidth="1"/>
    <col min="36" max="36" width="17.36328125" customWidth="1"/>
  </cols>
  <sheetData>
    <row r="1" spans="1:36" ht="72.5" x14ac:dyDescent="0.35">
      <c r="A1" s="40" t="s">
        <v>0</v>
      </c>
      <c r="B1" s="40" t="s">
        <v>184</v>
      </c>
      <c r="C1" s="152" t="s">
        <v>380</v>
      </c>
      <c r="D1" s="152" t="s">
        <v>361</v>
      </c>
      <c r="E1" s="152" t="s">
        <v>381</v>
      </c>
      <c r="F1" s="152" t="s">
        <v>382</v>
      </c>
      <c r="G1" s="152" t="s">
        <v>363</v>
      </c>
      <c r="H1" s="153" t="s">
        <v>383</v>
      </c>
      <c r="I1" s="153" t="s">
        <v>384</v>
      </c>
      <c r="J1" s="153" t="s">
        <v>385</v>
      </c>
      <c r="K1" s="153" t="s">
        <v>386</v>
      </c>
      <c r="L1" s="152" t="s">
        <v>387</v>
      </c>
      <c r="M1" s="153" t="s">
        <v>388</v>
      </c>
      <c r="N1" s="152" t="s">
        <v>367</v>
      </c>
      <c r="O1" s="152" t="s">
        <v>368</v>
      </c>
      <c r="P1" s="152" t="s">
        <v>389</v>
      </c>
      <c r="Q1" s="152" t="s">
        <v>390</v>
      </c>
      <c r="R1" s="152" t="s">
        <v>391</v>
      </c>
      <c r="S1" s="152" t="s">
        <v>392</v>
      </c>
      <c r="T1" s="152" t="s">
        <v>369</v>
      </c>
      <c r="U1" s="153" t="s">
        <v>371</v>
      </c>
      <c r="V1" s="153" t="s">
        <v>372</v>
      </c>
      <c r="W1" s="152" t="s">
        <v>393</v>
      </c>
      <c r="X1" s="153" t="s">
        <v>394</v>
      </c>
      <c r="Y1" s="152" t="s">
        <v>374</v>
      </c>
      <c r="Z1" s="152" t="s">
        <v>395</v>
      </c>
      <c r="AA1" s="152" t="s">
        <v>396</v>
      </c>
      <c r="AB1" s="152" t="s">
        <v>397</v>
      </c>
      <c r="AC1" s="88" t="s">
        <v>398</v>
      </c>
      <c r="AD1" s="88" t="s">
        <v>399</v>
      </c>
      <c r="AE1" s="152" t="s">
        <v>400</v>
      </c>
      <c r="AF1" s="153" t="s">
        <v>401</v>
      </c>
      <c r="AG1" s="152" t="s">
        <v>402</v>
      </c>
      <c r="AI1" s="88" t="s">
        <v>410</v>
      </c>
      <c r="AJ1" s="88" t="s">
        <v>411</v>
      </c>
    </row>
    <row r="2" spans="1:36" x14ac:dyDescent="0.35">
      <c r="A2" t="s">
        <v>22</v>
      </c>
      <c r="B2" t="s">
        <v>128</v>
      </c>
      <c r="C2">
        <v>9.0220538619380979E-21</v>
      </c>
      <c r="D2">
        <v>5.2035185173952858E-4</v>
      </c>
      <c r="E2">
        <v>2.4888796312798892E-2</v>
      </c>
      <c r="F2">
        <v>1.2365564772869428E-3</v>
      </c>
      <c r="G2">
        <v>2.148271885392852E-6</v>
      </c>
      <c r="H2">
        <v>8.7189410971084587E-10</v>
      </c>
      <c r="I2">
        <v>1.6630165567845938E-8</v>
      </c>
      <c r="J2">
        <v>1.9716034709890697E-8</v>
      </c>
      <c r="K2">
        <v>1.0495036741337533E-8</v>
      </c>
      <c r="L2">
        <v>4.1472255416012004E-10</v>
      </c>
      <c r="M2">
        <v>1.2788914983184881E-8</v>
      </c>
      <c r="N2">
        <v>1.6567240561602638E-3</v>
      </c>
      <c r="O2">
        <v>1.1680201670960623E-3</v>
      </c>
      <c r="P2">
        <v>1.0269588437698846E-2</v>
      </c>
      <c r="Q2">
        <v>1.1147872249050613E-3</v>
      </c>
      <c r="R2">
        <v>9.6682891692516715E-8</v>
      </c>
      <c r="S2">
        <v>2.6607992199487442E-8</v>
      </c>
      <c r="T2">
        <v>6.8100186705554177E-5</v>
      </c>
      <c r="U2">
        <v>4.6326221321532917E-12</v>
      </c>
      <c r="V2">
        <v>3.7499948844813292E-8</v>
      </c>
      <c r="W2">
        <v>1.5786992833128441E-3</v>
      </c>
      <c r="X2">
        <v>1.5693504670896128E-10</v>
      </c>
      <c r="Y2">
        <v>3.4337732367394074E-3</v>
      </c>
      <c r="Z2">
        <v>3.5290615370498447E-3</v>
      </c>
      <c r="AA2">
        <v>9.7119171528129182E-4</v>
      </c>
      <c r="AB2">
        <v>1.9042271222225493E-4</v>
      </c>
      <c r="AC2">
        <f>SUM(C2:G2)+L2+SUM(N2:T2)+W2+SUM(Y2:AB2)+AE2+AG2</f>
        <v>5.0630831021316575E-2</v>
      </c>
      <c r="AD2">
        <f>SUM(H2:K2)+M2+SUM(U2:V2)+X2+AF2</f>
        <v>2.2169617322467998E-7</v>
      </c>
      <c r="AE2">
        <v>1.0113819616428509E-6</v>
      </c>
      <c r="AF2">
        <v>1.2353261059905567E-7</v>
      </c>
      <c r="AG2">
        <v>1.4744628662961437E-6</v>
      </c>
      <c r="AI2" t="s">
        <v>212</v>
      </c>
      <c r="AJ2" t="s">
        <v>214</v>
      </c>
    </row>
    <row r="3" spans="1:36" x14ac:dyDescent="0.35">
      <c r="A3" t="s">
        <v>23</v>
      </c>
      <c r="B3" t="s">
        <v>88</v>
      </c>
      <c r="C3">
        <v>1.4472651835436353E-20</v>
      </c>
      <c r="D3">
        <v>2.6983115255249146E-6</v>
      </c>
      <c r="E3">
        <v>2.7477980999020377E-5</v>
      </c>
      <c r="F3">
        <v>6.1320649189226223E-6</v>
      </c>
      <c r="G3">
        <v>1.2606069060448648E-8</v>
      </c>
      <c r="H3">
        <v>1.4084130451918005E-11</v>
      </c>
      <c r="I3">
        <v>9.2762381414995848E-10</v>
      </c>
      <c r="J3">
        <v>3.9435252419373301E-10</v>
      </c>
      <c r="K3">
        <v>6.7110820367841502E-11</v>
      </c>
      <c r="L3">
        <v>1.4514270505968144E-13</v>
      </c>
      <c r="M3">
        <v>2.7987480386967563E-12</v>
      </c>
      <c r="N3">
        <v>4.7297184564516175E-6</v>
      </c>
      <c r="O3">
        <v>6.0711291637079029E-6</v>
      </c>
      <c r="P3">
        <v>4.291308909682802E-5</v>
      </c>
      <c r="Q3">
        <v>4.6582693117860746E-6</v>
      </c>
      <c r="R3">
        <v>4.980426295804192E-11</v>
      </c>
      <c r="S3">
        <v>3.9972635156604782E-11</v>
      </c>
      <c r="T3">
        <v>2.4074305056850858E-7</v>
      </c>
      <c r="U3">
        <v>1.3310981465876445E-14</v>
      </c>
      <c r="V3">
        <v>2.4250394925894105E-10</v>
      </c>
      <c r="W3">
        <v>6.8457405464292491E-6</v>
      </c>
      <c r="X3">
        <v>6.8269851084107783E-13</v>
      </c>
      <c r="Y3">
        <v>1.7503833548284519E-5</v>
      </c>
      <c r="Z3">
        <v>1.8179050849897476E-6</v>
      </c>
      <c r="AA3">
        <v>1.4590011832160742E-6</v>
      </c>
      <c r="AB3">
        <v>1.061667760740237E-7</v>
      </c>
      <c r="AC3">
        <f t="shared" ref="AC3:AC8" si="0">SUM(C3:G3)+L3+SUM(N3:T3)+W3+SUM(Y3:AB3)+AE3+AG3</f>
        <v>1.3186148968019759E-4</v>
      </c>
      <c r="AD3">
        <f t="shared" ref="AD3:AD8" si="1">SUM(H3:K3)+M3+SUM(U3:V3)+X3+AF3</f>
        <v>4.0009624537616991E-8</v>
      </c>
      <c r="AE3">
        <v>3.140634005523362E-7</v>
      </c>
      <c r="AF3">
        <v>3.8360454541663594E-8</v>
      </c>
      <c r="AG3">
        <v>8.8807766267402952E-6</v>
      </c>
      <c r="AI3" t="s">
        <v>215</v>
      </c>
      <c r="AJ3" t="s">
        <v>216</v>
      </c>
    </row>
    <row r="4" spans="1:36" x14ac:dyDescent="0.35">
      <c r="A4" t="s">
        <v>235</v>
      </c>
      <c r="B4" t="s">
        <v>88</v>
      </c>
      <c r="C4">
        <v>5.8334846791004641E-21</v>
      </c>
      <c r="D4">
        <v>3.0722597513323897E-4</v>
      </c>
      <c r="E4">
        <v>4.0615964837179483E-3</v>
      </c>
      <c r="F4">
        <v>5.19444922153752E-4</v>
      </c>
      <c r="G4">
        <v>2.5327295052977693E-5</v>
      </c>
      <c r="H4">
        <v>3.2796642961873051E-10</v>
      </c>
      <c r="I4">
        <v>4.0155836099167421E-8</v>
      </c>
      <c r="J4">
        <v>8.7573488618798371E-9</v>
      </c>
      <c r="K4">
        <v>9.0145144965970571E-8</v>
      </c>
      <c r="L4">
        <v>7.270060356815364E-13</v>
      </c>
      <c r="M4">
        <v>1.1049921503703612E-11</v>
      </c>
      <c r="N4">
        <v>4.4894389691597946E-4</v>
      </c>
      <c r="O4">
        <v>8.7792638320311237E-4</v>
      </c>
      <c r="P4">
        <v>3.5383175801528529E-3</v>
      </c>
      <c r="Q4">
        <v>3.8409088421594386E-4</v>
      </c>
      <c r="R4">
        <v>1.8169613216590052E-9</v>
      </c>
      <c r="S4">
        <v>3.9637820356929832E-9</v>
      </c>
      <c r="T4">
        <v>1.6049953864637597E-4</v>
      </c>
      <c r="U4">
        <v>1.4900648096354121E-12</v>
      </c>
      <c r="V4">
        <v>3.8309319824954486E-8</v>
      </c>
      <c r="W4">
        <v>2.2743493922401659E-3</v>
      </c>
      <c r="X4">
        <v>2.3470761763590479E-10</v>
      </c>
      <c r="Y4">
        <v>2.3013297408337173E-3</v>
      </c>
      <c r="Z4">
        <v>6.6359288582960621E-5</v>
      </c>
      <c r="AA4">
        <v>1.4467804430279391E-4</v>
      </c>
      <c r="AB4">
        <v>1.6597231754649591E-6</v>
      </c>
      <c r="AC4">
        <f t="shared" si="0"/>
        <v>1.5113032530720022E-2</v>
      </c>
      <c r="AD4">
        <f t="shared" si="1"/>
        <v>2.2042254192680735E-7</v>
      </c>
      <c r="AE4">
        <v>3.4778816702823694E-7</v>
      </c>
      <c r="AF4">
        <v>4.2479678141267087E-8</v>
      </c>
      <c r="AG4">
        <v>9.298127553464607E-7</v>
      </c>
    </row>
    <row r="5" spans="1:36" x14ac:dyDescent="0.35">
      <c r="A5" t="s">
        <v>286</v>
      </c>
      <c r="B5" t="s">
        <v>284</v>
      </c>
      <c r="C5">
        <v>1.4895501354082852E-19</v>
      </c>
      <c r="D5">
        <v>8.299455919337981E-4</v>
      </c>
      <c r="E5">
        <v>9.202597906745956E-3</v>
      </c>
      <c r="F5">
        <v>3.384453915853129E-3</v>
      </c>
      <c r="G5">
        <v>5.2566238711430949E-6</v>
      </c>
      <c r="H5">
        <v>6.0034348451160065E-10</v>
      </c>
      <c r="I5">
        <v>3.4139573110488823E-8</v>
      </c>
      <c r="J5">
        <v>2.2572495868896758E-8</v>
      </c>
      <c r="K5">
        <v>1.5198825253025579E-8</v>
      </c>
      <c r="L5">
        <v>6.99443574447799E-12</v>
      </c>
      <c r="M5">
        <v>8.6181307818176963E-11</v>
      </c>
      <c r="N5">
        <v>4.0818363739331094E-3</v>
      </c>
      <c r="O5">
        <v>4.7163109405947128E-3</v>
      </c>
      <c r="P5">
        <v>2.5800253581665565E-2</v>
      </c>
      <c r="Q5">
        <v>2.8006693395315248E-3</v>
      </c>
      <c r="R5">
        <v>9.7222143759385003E-9</v>
      </c>
      <c r="S5">
        <v>7.9906607908748425E-9</v>
      </c>
      <c r="T5">
        <v>2.1342596614739434E-4</v>
      </c>
      <c r="U5">
        <v>6.1437635716019587E-12</v>
      </c>
      <c r="V5">
        <v>1.0038795667040594E-7</v>
      </c>
      <c r="W5">
        <v>5.4178321922008265E-3</v>
      </c>
      <c r="X5">
        <v>5.2899950946003048E-10</v>
      </c>
      <c r="Y5">
        <v>5.901546996306622E-3</v>
      </c>
      <c r="Z5">
        <v>3.5486896223368774E-4</v>
      </c>
      <c r="AA5">
        <v>2.9165911886693159E-4</v>
      </c>
      <c r="AB5">
        <v>6.7079009285733555E-6</v>
      </c>
      <c r="AC5">
        <f t="shared" si="0"/>
        <v>6.3010311670069097E-2</v>
      </c>
      <c r="AD5">
        <f t="shared" si="1"/>
        <v>1.9021702798128903E-7</v>
      </c>
      <c r="AE5">
        <v>1.3669708716082871E-7</v>
      </c>
      <c r="AF5">
        <v>1.6696509013110508E-8</v>
      </c>
      <c r="AG5">
        <v>2.791842299353623E-6</v>
      </c>
      <c r="AH5">
        <f>AH2-AD2</f>
        <v>-2.2169617322467998E-7</v>
      </c>
    </row>
    <row r="6" spans="1:36" x14ac:dyDescent="0.35">
      <c r="A6" t="s">
        <v>218</v>
      </c>
      <c r="B6" t="s">
        <v>219</v>
      </c>
      <c r="C6">
        <v>2.4560389949825308E-19</v>
      </c>
      <c r="D6">
        <v>8.7487048973086651E-5</v>
      </c>
      <c r="E6">
        <v>9.0902716042847928E-4</v>
      </c>
      <c r="F6">
        <v>8.4404331713613847E-4</v>
      </c>
      <c r="G6">
        <v>1.0175097845019178E-6</v>
      </c>
      <c r="H6">
        <v>7.3128563841880906E-11</v>
      </c>
      <c r="I6">
        <v>5.460713208174416E-9</v>
      </c>
      <c r="J6">
        <v>2.1836439218091472E-9</v>
      </c>
      <c r="K6">
        <v>1.277659235259442E-9</v>
      </c>
      <c r="L6">
        <v>1.4950808064973775E-12</v>
      </c>
      <c r="M6">
        <v>2.7539256307207835E-11</v>
      </c>
      <c r="N6">
        <v>8.8589251322401748E-5</v>
      </c>
      <c r="O6">
        <v>4.1813597331621656E-4</v>
      </c>
      <c r="P6">
        <v>1.0404099123329466E-2</v>
      </c>
      <c r="Q6">
        <v>1.1293905139696386E-3</v>
      </c>
      <c r="R6">
        <v>2.2228436883201581E-9</v>
      </c>
      <c r="S6">
        <v>2.0080477152265347E-9</v>
      </c>
      <c r="T6">
        <v>1.3926727973272375E-5</v>
      </c>
      <c r="U6">
        <v>4.9676217271897631E-12</v>
      </c>
      <c r="V6">
        <v>6.0152951246024146E-9</v>
      </c>
      <c r="W6">
        <v>6.1565555913355434E-4</v>
      </c>
      <c r="X6">
        <v>5.6382164820467323E-11</v>
      </c>
      <c r="Y6">
        <v>6.1064150916163937E-4</v>
      </c>
      <c r="Z6">
        <v>8.1134935235759278E-5</v>
      </c>
      <c r="AA6">
        <v>7.3293741605768526E-5</v>
      </c>
      <c r="AB6">
        <v>1.3011011121827551E-6</v>
      </c>
      <c r="AC6">
        <f t="shared" si="0"/>
        <v>1.5278381934853572E-2</v>
      </c>
      <c r="AD6">
        <f t="shared" si="1"/>
        <v>1.8415117387640417E-8</v>
      </c>
      <c r="AE6">
        <v>2.7146908415357464E-8</v>
      </c>
      <c r="AF6">
        <v>3.3157882910982512E-9</v>
      </c>
      <c r="AG6">
        <v>6.0708307656183557E-7</v>
      </c>
    </row>
    <row r="7" spans="1:36" x14ac:dyDescent="0.35">
      <c r="A7" t="s">
        <v>220</v>
      </c>
      <c r="B7" t="s">
        <v>219</v>
      </c>
      <c r="C7">
        <v>1.8355354728057364E-21</v>
      </c>
      <c r="D7">
        <v>2.8862325251291656E-4</v>
      </c>
      <c r="E7">
        <v>1.9138160280998788E-3</v>
      </c>
      <c r="F7">
        <v>9.3700431615985455E-4</v>
      </c>
      <c r="G7">
        <v>1.4412765837107648E-6</v>
      </c>
      <c r="H7">
        <v>1.5012604259306798E-10</v>
      </c>
      <c r="I7">
        <v>4.165524488829646E-9</v>
      </c>
      <c r="J7">
        <v>4.0009950687233719E-9</v>
      </c>
      <c r="K7">
        <v>2.2101399026680218E-9</v>
      </c>
      <c r="L7">
        <v>1.1573822055069157E-12</v>
      </c>
      <c r="M7">
        <v>2.1749979679961288E-11</v>
      </c>
      <c r="N7">
        <v>1.2145571688577686E-4</v>
      </c>
      <c r="O7">
        <v>9.9540935208039982E-4</v>
      </c>
      <c r="P7">
        <v>1.3271943202898127E-2</v>
      </c>
      <c r="Q7">
        <v>1.4407029626190709E-3</v>
      </c>
      <c r="R7">
        <v>1.9565669007548191E-9</v>
      </c>
      <c r="S7">
        <v>1.7764735532561099E-9</v>
      </c>
      <c r="T7">
        <v>5.5334524844955225E-5</v>
      </c>
      <c r="U7">
        <v>2.9853225411209588E-12</v>
      </c>
      <c r="V7">
        <v>1.6704189351068451E-8</v>
      </c>
      <c r="W7">
        <v>9.3625163314246492E-4</v>
      </c>
      <c r="X7">
        <v>8.3728290516360725E-11</v>
      </c>
      <c r="Y7">
        <v>1.8442608762118653E-3</v>
      </c>
      <c r="Z7">
        <v>7.1423215114739861E-5</v>
      </c>
      <c r="AA7">
        <v>6.4841284693848016E-5</v>
      </c>
      <c r="AB7">
        <v>1.0391969763024733E-6</v>
      </c>
      <c r="AC7">
        <f t="shared" si="0"/>
        <v>2.1943802833411331E-2</v>
      </c>
      <c r="AD7">
        <f t="shared" si="1"/>
        <v>2.9797422394156294E-8</v>
      </c>
      <c r="AE7">
        <v>2.0123922051753062E-8</v>
      </c>
      <c r="AF7">
        <v>2.4579839475362908E-9</v>
      </c>
      <c r="AG7">
        <v>2.3213646753144058E-7</v>
      </c>
    </row>
    <row r="8" spans="1:36" x14ac:dyDescent="0.35">
      <c r="A8" t="s">
        <v>221</v>
      </c>
      <c r="B8" t="s">
        <v>219</v>
      </c>
      <c r="C8">
        <v>1.4763406772054707E-21</v>
      </c>
      <c r="D8">
        <v>1.8246418078717973E-3</v>
      </c>
      <c r="E8">
        <v>2.4268277760785457E-2</v>
      </c>
      <c r="F8">
        <v>3.8523925581445469E-4</v>
      </c>
      <c r="G8">
        <v>3.276144300204517E-7</v>
      </c>
      <c r="H8">
        <v>5.3314860846819331E-10</v>
      </c>
      <c r="I8">
        <v>5.090997265389222E-9</v>
      </c>
      <c r="J8">
        <v>1.624044537833536E-8</v>
      </c>
      <c r="K8">
        <v>9.0877924897581806E-9</v>
      </c>
      <c r="L8">
        <v>2.8551302595229341E-12</v>
      </c>
      <c r="M8">
        <v>4.9809633093107691E-11</v>
      </c>
      <c r="N8">
        <v>5.3115687879024334E-4</v>
      </c>
      <c r="O8">
        <v>9.8265018177612785E-4</v>
      </c>
      <c r="P8">
        <v>1.8710324509285593E-2</v>
      </c>
      <c r="Q8">
        <v>2.0310485306942582E-3</v>
      </c>
      <c r="R8">
        <v>2.5836040299636175E-8</v>
      </c>
      <c r="S8">
        <v>1.3618007694421061E-8</v>
      </c>
      <c r="T8">
        <v>8.7815690474825941E-5</v>
      </c>
      <c r="U8">
        <v>1.7481896083650981E-13</v>
      </c>
      <c r="V8">
        <v>1.7750187013112361E-7</v>
      </c>
      <c r="W8">
        <v>2.8372389797051466E-3</v>
      </c>
      <c r="X8">
        <v>2.9350261677862762E-10</v>
      </c>
      <c r="Y8">
        <v>1.1489983124136113E-2</v>
      </c>
      <c r="Z8">
        <v>9.4302658490658196E-4</v>
      </c>
      <c r="AA8">
        <v>4.9705728084636924E-4</v>
      </c>
      <c r="AB8">
        <v>2.3780798149252522E-6</v>
      </c>
      <c r="AC8">
        <f t="shared" si="0"/>
        <v>6.4594666641207887E-2</v>
      </c>
      <c r="AD8">
        <f t="shared" si="1"/>
        <v>2.1319258475526666E-7</v>
      </c>
      <c r="AE8">
        <v>3.5981314856971963E-8</v>
      </c>
      <c r="AF8">
        <v>4.3948438133595166E-9</v>
      </c>
      <c r="AG8">
        <v>3.4249236579842021E-6</v>
      </c>
    </row>
    <row r="9" spans="1:36" x14ac:dyDescent="0.35">
      <c r="A9" t="s">
        <v>222</v>
      </c>
      <c r="B9" t="s">
        <v>219</v>
      </c>
      <c r="C9">
        <v>1.0746196980379661E-20</v>
      </c>
      <c r="D9">
        <v>3.5685042474032334E-4</v>
      </c>
      <c r="E9">
        <v>1.2324661375997454E-2</v>
      </c>
      <c r="F9">
        <v>6.5584737403871101E-4</v>
      </c>
      <c r="G9">
        <v>5.9519004313033472E-6</v>
      </c>
      <c r="H9">
        <v>2.0411294556360925E-10</v>
      </c>
      <c r="I9">
        <v>4.4194285966493013E-9</v>
      </c>
      <c r="J9">
        <v>7.8800496138078209E-9</v>
      </c>
      <c r="K9">
        <v>6.0846186492243465E-9</v>
      </c>
      <c r="L9">
        <v>2.2079745465398701E-12</v>
      </c>
      <c r="M9">
        <v>3.2533633000623442E-11</v>
      </c>
      <c r="N9">
        <v>1.5167810773515884E-2</v>
      </c>
      <c r="O9">
        <v>2.1577356891248709E-3</v>
      </c>
      <c r="P9">
        <v>2.1074605718685007E-3</v>
      </c>
      <c r="Q9">
        <v>2.2876864681253703E-4</v>
      </c>
      <c r="R9">
        <v>5.6782297585301723E-8</v>
      </c>
      <c r="S9">
        <v>3.5926710000624893E-8</v>
      </c>
      <c r="T9">
        <v>8.8430730703557088E-5</v>
      </c>
      <c r="U9">
        <v>2.6955337107343576E-13</v>
      </c>
      <c r="V9">
        <v>5.0689545731613716E-7</v>
      </c>
      <c r="W9">
        <v>2.8524828730838703E-3</v>
      </c>
      <c r="X9">
        <v>2.9414464412475507E-10</v>
      </c>
      <c r="Y9">
        <v>2.7377652696473384E-3</v>
      </c>
      <c r="Z9">
        <v>2.072561219869303E-3</v>
      </c>
      <c r="AA9">
        <v>1.3113249150228086E-3</v>
      </c>
      <c r="AB9">
        <v>3.5809584627904084E-6</v>
      </c>
      <c r="AC9">
        <f>SUM(C9:G9)+L9+SUM(N9:T9)+W9+SUM(Y9:AB9)+AE9+AG9</f>
        <v>4.2072295916501745E-2</v>
      </c>
      <c r="AD9">
        <f>SUM(H9:K9)+M9+SUM(U9:V9)+X9+AF9</f>
        <v>5.3923526446064074E-7</v>
      </c>
      <c r="AE9">
        <v>1.0990983100489011E-7</v>
      </c>
      <c r="AF9">
        <v>1.3424649508761975E-8</v>
      </c>
      <c r="AG9">
        <v>8.6057213591847721E-7</v>
      </c>
    </row>
    <row r="10" spans="1:36" x14ac:dyDescent="0.35">
      <c r="A10" s="17" t="s">
        <v>255</v>
      </c>
      <c r="B10" s="17" t="s">
        <v>219</v>
      </c>
    </row>
    <row r="11" spans="1:36" x14ac:dyDescent="0.35">
      <c r="A11" s="17" t="s">
        <v>256</v>
      </c>
      <c r="B11" s="17" t="s">
        <v>219</v>
      </c>
      <c r="C11">
        <f>(C6*Parameters!$C115)+(C7*Parameters!$C117)+(C8*Parameters!$C116)+(C9*Parameters!$C118)+(C10*Parameters!$C119)</f>
        <v>1.1956472007918376E-19</v>
      </c>
      <c r="D11">
        <f>(D6*Parameters!$C115)+(D7*Parameters!$C117)+(D8*Parameters!$C116)+(D9*Parameters!$C118)+(D10*Parameters!$C119)</f>
        <v>1.7338511952427632E-4</v>
      </c>
      <c r="E11">
        <f>(E6*Parameters!$C115)+(E7*Parameters!$C117)+(E8*Parameters!$C116)+(E9*Parameters!$C118)+(E10*Parameters!$C119)</f>
        <v>4.9148544019979208E-3</v>
      </c>
      <c r="F11">
        <f>(F6*Parameters!$C115)+(F7*Parameters!$C117)+(F8*Parameters!$C116)+(F9*Parameters!$C118)+(F10*Parameters!$C119)</f>
        <v>6.3684545636486639E-4</v>
      </c>
      <c r="G11">
        <f>(G6*Parameters!$C115)+(G7*Parameters!$C117)+(G8*Parameters!$C116)+(G9*Parameters!$C118)+(G10*Parameters!$C119)</f>
        <v>2.6296320567730675E-6</v>
      </c>
      <c r="H11">
        <f>(H6*Parameters!$C115)+(H7*Parameters!$C117)+(H8*Parameters!$C116)+(H9*Parameters!$C118)+(H10*Parameters!$C119)</f>
        <v>1.0922634506401339E-10</v>
      </c>
      <c r="I11">
        <f>(I6*Parameters!$C115)+(I7*Parameters!$C117)+(I8*Parameters!$C116)+(I9*Parameters!$C118)+(I10*Parameters!$C119)</f>
        <v>4.1834016479332636E-9</v>
      </c>
      <c r="J11">
        <f>(J6*Parameters!$C115)+(J7*Parameters!$C117)+(J8*Parameters!$C116)+(J9*Parameters!$C118)+(J10*Parameters!$C119)</f>
        <v>3.9047305478542126E-9</v>
      </c>
      <c r="K11">
        <f>(K6*Parameters!$C115)+(K7*Parameters!$C117)+(K8*Parameters!$C116)+(K9*Parameters!$C118)+(K10*Parameters!$C119)</f>
        <v>2.8153144118293557E-9</v>
      </c>
      <c r="L11">
        <f>(L6*Parameters!$C115)+(L7*Parameters!$C117)+(L8*Parameters!$C116)+(L9*Parameters!$C118)+(L10*Parameters!$C119)</f>
        <v>1.5075797929132167E-12</v>
      </c>
      <c r="M11">
        <f>(M6*Parameters!$C115)+(M7*Parameters!$C117)+(M8*Parameters!$C116)+(M9*Parameters!$C118)+(M10*Parameters!$C119)</f>
        <v>2.4831589662665749E-11</v>
      </c>
      <c r="N11">
        <f>(N6*Parameters!$C115)+(N7*Parameters!$C117)+(N8*Parameters!$C116)+(N9*Parameters!$C118)+(N10*Parameters!$C119)</f>
        <v>5.513048052015578E-3</v>
      </c>
      <c r="O11">
        <f>(O6*Parameters!$C115)+(O7*Parameters!$C117)+(O8*Parameters!$C116)+(O9*Parameters!$C118)+(O10*Parameters!$C119)</f>
        <v>9.7894484543755572E-4</v>
      </c>
      <c r="P11">
        <f>(P6*Parameters!$C115)+(P7*Parameters!$C117)+(P8*Parameters!$C116)+(P9*Parameters!$C118)+(P10*Parameters!$C119)</f>
        <v>5.7200543217100479E-3</v>
      </c>
      <c r="Q11">
        <f>(Q6*Parameters!$C115)+(Q7*Parameters!$C117)+(Q8*Parameters!$C116)+(Q9*Parameters!$C118)+(Q10*Parameters!$C119)</f>
        <v>6.2092544756616993E-4</v>
      </c>
      <c r="R11">
        <f>(R6*Parameters!$C115)+(R7*Parameters!$C117)+(R8*Parameters!$C116)+(R9*Parameters!$C118)+(R10*Parameters!$C119)</f>
        <v>2.156969672530875E-8</v>
      </c>
      <c r="S11">
        <f>(S6*Parameters!$C115)+(S7*Parameters!$C117)+(S8*Parameters!$C116)+(S9*Parameters!$C118)+(S10*Parameters!$C119)</f>
        <v>1.3927771515028752E-8</v>
      </c>
      <c r="T11">
        <f>(T6*Parameters!$C115)+(T7*Parameters!$C117)+(T8*Parameters!$C116)+(T9*Parameters!$C118)+(T10*Parameters!$C119)</f>
        <v>3.8715283991820489E-5</v>
      </c>
      <c r="U11">
        <f>(U6*Parameters!$C115)+(U7*Parameters!$C117)+(U8*Parameters!$C116)+(U9*Parameters!$C118)+(U10*Parameters!$C119)</f>
        <v>2.4442012332880924E-12</v>
      </c>
      <c r="V11">
        <f>(V6*Parameters!$C115)+(V7*Parameters!$C117)+(V8*Parameters!$C116)+(V9*Parameters!$C118)+(V10*Parameters!$C119)</f>
        <v>1.8595577423618802E-7</v>
      </c>
      <c r="W11">
        <f>(W6*Parameters!$C115)+(W7*Parameters!$C117)+(W8*Parameters!$C116)+(W9*Parameters!$C118)+(W10*Parameters!$C119)</f>
        <v>1.325259959724183E-3</v>
      </c>
      <c r="X11">
        <f>(X6*Parameters!$C115)+(X7*Parameters!$C117)+(X8*Parameters!$C116)+(X9*Parameters!$C118)+(X10*Parameters!$C119)</f>
        <v>1.3328518227523368E-10</v>
      </c>
      <c r="Y11">
        <f>(Y6*Parameters!$C115)+(Y7*Parameters!$C117)+(Y8*Parameters!$C116)+(Y9*Parameters!$C118)+(Y10*Parameters!$C119)</f>
        <v>1.2969661050848211E-3</v>
      </c>
      <c r="Z11">
        <f>(Z6*Parameters!$C115)+(Z7*Parameters!$C117)+(Z8*Parameters!$C116)+(Z9*Parameters!$C118)+(Z10*Parameters!$C119)</f>
        <v>7.8729715820392485E-4</v>
      </c>
      <c r="AA11">
        <f>(AA6*Parameters!$C115)+(AA7*Parameters!$C117)+(AA8*Parameters!$C116)+(AA9*Parameters!$C118)+(AA10*Parameters!$C119)</f>
        <v>5.0836366029854952E-4</v>
      </c>
      <c r="AB11">
        <f>(AB6*Parameters!$C115)+(AB7*Parameters!$C117)+(AB8*Parameters!$C116)+(AB9*Parameters!$C118)+(AB10*Parameters!$C119)</f>
        <v>1.9103662055097187E-6</v>
      </c>
      <c r="AC11">
        <f>(AC6*Parameters!$C115)+(AC7*Parameters!$C117)+(AC8*Parameters!$C116)+(AC9*Parameters!$C118)+(AC10*Parameters!$C119)</f>
        <v>2.2519889960131545E-2</v>
      </c>
      <c r="AD11">
        <f>(AD6*Parameters!$C115)+(AD7*Parameters!$C117)+(AD8*Parameters!$C116)+(AD9*Parameters!$C118)+(AD10*Parameters!$C119)</f>
        <v>2.035448037603915E-7</v>
      </c>
      <c r="AE11">
        <f>(AE6*Parameters!$C115)+(AE7*Parameters!$C117)+(AE8*Parameters!$C116)+(AE9*Parameters!$C118)+(AE10*Parameters!$C119)</f>
        <v>5.2527182144792331E-8</v>
      </c>
      <c r="AF11">
        <f>(AF6*Parameters!$C115)+(AF7*Parameters!$C117)+(AF8*Parameters!$C116)+(AF9*Parameters!$C118)+(AF10*Parameters!$C119)</f>
        <v>6.4157955983514137E-9</v>
      </c>
      <c r="AG11">
        <f>(AG6*Parameters!$C115)+(AG7*Parameters!$C117)+(AG8*Parameters!$C116)+(AG9*Parameters!$C118)+(AG10*Parameters!$C119)</f>
        <v>6.0212379157918856E-7</v>
      </c>
    </row>
    <row r="12" spans="1:36" x14ac:dyDescent="0.35">
      <c r="A12" t="s">
        <v>96</v>
      </c>
      <c r="B12" t="s">
        <v>88</v>
      </c>
      <c r="AC12">
        <f>SUM(C12:G12)+L12+SUM(N12:T12)+W12+SUM(Y12:AB12)+AE12+AG12</f>
        <v>0</v>
      </c>
      <c r="AD12" s="5">
        <f>SUM(H12:K12)+M12+SUM(U12:V12)+X12+AF12</f>
        <v>0</v>
      </c>
    </row>
    <row r="13" spans="1:36" x14ac:dyDescent="0.35">
      <c r="A13" t="s">
        <v>25</v>
      </c>
      <c r="B13" t="s">
        <v>88</v>
      </c>
      <c r="D13">
        <v>0.79919440634400496</v>
      </c>
      <c r="T13">
        <v>0.2633022361019709</v>
      </c>
      <c r="V13">
        <v>1.8783043446079511E-5</v>
      </c>
      <c r="W13">
        <v>8.7162162162162158</v>
      </c>
      <c r="X13">
        <v>9.0999999999999997E-7</v>
      </c>
      <c r="Y13">
        <v>6.5540676868567438</v>
      </c>
      <c r="AC13">
        <f>SUM(C13:G13)+L13+SUM(N13:T13)+W13+SUM(Y13:AB13)+AE13+AG13</f>
        <v>16.332780545518936</v>
      </c>
      <c r="AD13" s="5">
        <f t="shared" ref="AD13:AD39" si="2">SUM(H13:K13)+M13+SUM(U13:V13)+X13+AF13</f>
        <v>1.9693043446079511E-5</v>
      </c>
    </row>
    <row r="14" spans="1:36" x14ac:dyDescent="0.35">
      <c r="A14" s="17" t="s">
        <v>26</v>
      </c>
      <c r="B14" t="s">
        <v>88</v>
      </c>
      <c r="C14" s="5"/>
      <c r="AC14">
        <f t="shared" ref="AC14:AC39" si="3">SUM(C14:G14)+L14+SUM(N14:T14)+W14+SUM(Y14:AB14)+AE14+AG14</f>
        <v>0</v>
      </c>
      <c r="AD14" s="5">
        <f t="shared" si="2"/>
        <v>0</v>
      </c>
    </row>
    <row r="15" spans="1:36" x14ac:dyDescent="0.35">
      <c r="A15" t="s">
        <v>27</v>
      </c>
      <c r="B15" t="s">
        <v>88</v>
      </c>
      <c r="D15">
        <v>2.392595976864154</v>
      </c>
      <c r="V15">
        <v>9.2871714816726453E-5</v>
      </c>
      <c r="Y15">
        <v>14.256733200892651</v>
      </c>
      <c r="AC15">
        <f t="shared" si="3"/>
        <v>16.649329177756805</v>
      </c>
      <c r="AD15" s="5">
        <f t="shared" si="2"/>
        <v>9.2871714816726453E-5</v>
      </c>
    </row>
    <row r="16" spans="1:36" x14ac:dyDescent="0.35">
      <c r="A16" s="17" t="s">
        <v>28</v>
      </c>
      <c r="B16" t="s">
        <v>88</v>
      </c>
      <c r="AC16">
        <f t="shared" si="3"/>
        <v>0</v>
      </c>
      <c r="AD16" s="5">
        <f t="shared" si="2"/>
        <v>0</v>
      </c>
    </row>
    <row r="17" spans="1:33" x14ac:dyDescent="0.35">
      <c r="A17" s="17" t="s">
        <v>409</v>
      </c>
      <c r="B17" t="s">
        <v>88</v>
      </c>
      <c r="AC17">
        <f t="shared" si="3"/>
        <v>0</v>
      </c>
      <c r="AD17" s="5">
        <f t="shared" si="2"/>
        <v>0</v>
      </c>
    </row>
    <row r="18" spans="1:33" x14ac:dyDescent="0.35">
      <c r="A18" t="s">
        <v>30</v>
      </c>
      <c r="B18" t="s">
        <v>88</v>
      </c>
      <c r="D18">
        <v>1.8467154807082919</v>
      </c>
      <c r="T18">
        <v>0.70894827030914009</v>
      </c>
      <c r="V18">
        <v>1.7739541032408431E-4</v>
      </c>
      <c r="Y18">
        <v>23.809092738119169</v>
      </c>
      <c r="AC18">
        <f t="shared" si="3"/>
        <v>26.364756489136603</v>
      </c>
      <c r="AD18" s="5">
        <f t="shared" si="2"/>
        <v>1.7739541032408431E-4</v>
      </c>
    </row>
    <row r="19" spans="1:33" x14ac:dyDescent="0.35">
      <c r="A19" t="s">
        <v>223</v>
      </c>
      <c r="B19" t="s">
        <v>88</v>
      </c>
      <c r="D19">
        <v>2.392595976864154</v>
      </c>
      <c r="V19">
        <v>9.2871714816726453E-5</v>
      </c>
      <c r="Y19">
        <v>14.256733200892651</v>
      </c>
      <c r="AC19">
        <f t="shared" si="3"/>
        <v>16.649329177756805</v>
      </c>
      <c r="AD19" s="5">
        <f t="shared" si="2"/>
        <v>9.2871714816726453E-5</v>
      </c>
    </row>
    <row r="20" spans="1:33" x14ac:dyDescent="0.35">
      <c r="A20" t="s">
        <v>224</v>
      </c>
      <c r="B20" t="s">
        <v>88</v>
      </c>
      <c r="AC20">
        <f t="shared" si="3"/>
        <v>0</v>
      </c>
      <c r="AD20" s="5">
        <f t="shared" si="2"/>
        <v>0</v>
      </c>
    </row>
    <row r="21" spans="1:33" x14ac:dyDescent="0.35">
      <c r="A21" t="s">
        <v>225</v>
      </c>
      <c r="B21" t="s">
        <v>88</v>
      </c>
      <c r="T21">
        <v>1.9766250000000001</v>
      </c>
      <c r="AC21">
        <f t="shared" si="3"/>
        <v>1.9766250000000001</v>
      </c>
      <c r="AD21" s="5">
        <f t="shared" si="2"/>
        <v>0</v>
      </c>
    </row>
    <row r="22" spans="1:33" x14ac:dyDescent="0.35">
      <c r="A22" t="s">
        <v>144</v>
      </c>
      <c r="B22" t="s">
        <v>88</v>
      </c>
      <c r="V22">
        <v>1.3675985732522491E-3</v>
      </c>
      <c r="AC22">
        <f t="shared" si="3"/>
        <v>0</v>
      </c>
      <c r="AD22" s="5">
        <f t="shared" si="2"/>
        <v>1.3675985732522491E-3</v>
      </c>
    </row>
    <row r="23" spans="1:33" x14ac:dyDescent="0.35">
      <c r="A23" t="s">
        <v>226</v>
      </c>
      <c r="B23" t="s">
        <v>88</v>
      </c>
      <c r="W23">
        <v>2.5277027027027019</v>
      </c>
      <c r="X23">
        <v>1.638E-7</v>
      </c>
      <c r="AC23">
        <f t="shared" si="3"/>
        <v>2.5277027027027019</v>
      </c>
      <c r="AD23" s="5">
        <f t="shared" si="2"/>
        <v>1.638E-7</v>
      </c>
    </row>
    <row r="24" spans="1:33" x14ac:dyDescent="0.35">
      <c r="A24" s="17" t="s">
        <v>141</v>
      </c>
      <c r="AC24">
        <f t="shared" si="3"/>
        <v>0</v>
      </c>
      <c r="AD24" s="5">
        <f t="shared" si="2"/>
        <v>0</v>
      </c>
    </row>
    <row r="25" spans="1:33" x14ac:dyDescent="0.35">
      <c r="A25" s="39" t="s">
        <v>414</v>
      </c>
      <c r="B25" t="s">
        <v>88</v>
      </c>
      <c r="G25">
        <v>3.1274176726290208</v>
      </c>
      <c r="AC25">
        <f t="shared" si="3"/>
        <v>3.1274176726290208</v>
      </c>
      <c r="AD25" s="5">
        <f t="shared" si="2"/>
        <v>0</v>
      </c>
    </row>
    <row r="26" spans="1:33" x14ac:dyDescent="0.35">
      <c r="A26" s="39" t="s">
        <v>415</v>
      </c>
      <c r="B26" t="s">
        <v>88</v>
      </c>
      <c r="P26">
        <v>0.152</v>
      </c>
      <c r="Q26">
        <v>1.6500000000000001E-2</v>
      </c>
      <c r="AC26">
        <f t="shared" si="3"/>
        <v>0.16849999999999998</v>
      </c>
      <c r="AD26" s="5">
        <f t="shared" si="2"/>
        <v>0</v>
      </c>
    </row>
    <row r="27" spans="1:33" x14ac:dyDescent="0.35">
      <c r="A27" t="s">
        <v>227</v>
      </c>
      <c r="B27" t="s">
        <v>88</v>
      </c>
      <c r="C27">
        <v>3.5939000008012757E-20</v>
      </c>
      <c r="D27">
        <v>6.0276801787893936E-3</v>
      </c>
      <c r="E27">
        <v>5.3909966201764137E-2</v>
      </c>
      <c r="F27">
        <v>3.9281157205111897E-2</v>
      </c>
      <c r="G27">
        <v>5.4524179100948422E-5</v>
      </c>
      <c r="H27">
        <v>3.0249295318031371E-9</v>
      </c>
      <c r="I27">
        <v>1.1490511239584158E-7</v>
      </c>
      <c r="J27">
        <v>7.546917736671531E-8</v>
      </c>
      <c r="K27">
        <v>5.85720714736017E-8</v>
      </c>
      <c r="L27">
        <v>2.8259643073533631E-11</v>
      </c>
      <c r="M27">
        <v>5.253718698395959E-10</v>
      </c>
      <c r="N27">
        <v>4.6989474466458932E-3</v>
      </c>
      <c r="O27">
        <v>4.2316085093282808E-2</v>
      </c>
      <c r="P27">
        <v>8.0521959714315694E-2</v>
      </c>
      <c r="Q27">
        <v>8.7408310830224926E-3</v>
      </c>
      <c r="R27">
        <v>1.8677780669824737E-8</v>
      </c>
      <c r="S27">
        <v>1.648882337644944E-8</v>
      </c>
      <c r="T27">
        <v>2.0073883648627729E-3</v>
      </c>
      <c r="U27">
        <v>1.2694832315792492E-10</v>
      </c>
      <c r="V27">
        <v>3.619103403289948E-7</v>
      </c>
      <c r="W27">
        <v>2.8325675352750448E-2</v>
      </c>
      <c r="X27">
        <v>2.3621058782653779E-9</v>
      </c>
      <c r="Y27">
        <v>3.8813115348995703E-2</v>
      </c>
      <c r="Z27">
        <v>6.8185264858278225E-4</v>
      </c>
      <c r="AA27">
        <v>6.0184205324040449E-4</v>
      </c>
      <c r="AB27">
        <v>2.6424477288962865E-5</v>
      </c>
      <c r="AC27">
        <f t="shared" si="3"/>
        <v>0.30601549581692927</v>
      </c>
      <c r="AD27" s="5">
        <f t="shared" si="2"/>
        <v>6.9257209189940375E-7</v>
      </c>
      <c r="AE27">
        <v>6.1957224156916841E-7</v>
      </c>
      <c r="AF27">
        <v>7.5676034731184317E-8</v>
      </c>
      <c r="AG27">
        <v>7.3917020696779911E-6</v>
      </c>
    </row>
    <row r="28" spans="1:33" x14ac:dyDescent="0.35">
      <c r="A28" t="s">
        <v>228</v>
      </c>
      <c r="B28" t="s">
        <v>88</v>
      </c>
      <c r="C28">
        <v>3.9890908034265525E-18</v>
      </c>
      <c r="D28">
        <v>8.8714777022544516E-3</v>
      </c>
      <c r="E28">
        <v>7.3779372208077704E-2</v>
      </c>
      <c r="F28">
        <v>2.4525279008728106E-2</v>
      </c>
      <c r="G28">
        <v>3.6074948532728762E-5</v>
      </c>
      <c r="H28">
        <v>5.5072058365021838E-9</v>
      </c>
      <c r="I28">
        <v>2.585896540034641E-7</v>
      </c>
      <c r="J28">
        <v>1.7938781748110298E-7</v>
      </c>
      <c r="K28">
        <v>1.8156288271568799E-7</v>
      </c>
      <c r="L28">
        <v>7.7547789898348224E-11</v>
      </c>
      <c r="M28">
        <v>1.4008319326237542E-9</v>
      </c>
      <c r="N28">
        <v>1.050855606350889E-2</v>
      </c>
      <c r="O28">
        <v>1.8970043663028874E-2</v>
      </c>
      <c r="P28">
        <v>0.1989755126066165</v>
      </c>
      <c r="Q28">
        <v>2.1599272191896699E-2</v>
      </c>
      <c r="R28">
        <v>3.8568777293281872E-7</v>
      </c>
      <c r="S28">
        <v>5.2487349874142112E-7</v>
      </c>
      <c r="T28">
        <v>3.6257269460865439E-3</v>
      </c>
      <c r="U28">
        <v>6.0235591956979194E-11</v>
      </c>
      <c r="V28">
        <v>7.1374671243470142E-7</v>
      </c>
      <c r="W28">
        <v>2.0639575985298485E-2</v>
      </c>
      <c r="X28">
        <v>1.9849032526748745E-9</v>
      </c>
      <c r="Y28">
        <v>8.1315348364733239E-2</v>
      </c>
      <c r="Z28">
        <v>1.4077665094112627E-2</v>
      </c>
      <c r="AA28">
        <v>1.9157882704061865E-2</v>
      </c>
      <c r="AB28">
        <v>8.7088127423101466E-5</v>
      </c>
      <c r="AC28">
        <f t="shared" si="3"/>
        <v>0.49622106476653111</v>
      </c>
      <c r="AD28" s="5">
        <f t="shared" si="2"/>
        <v>3.6680799112042977E-6</v>
      </c>
      <c r="AE28">
        <v>1.9042034928556072E-5</v>
      </c>
      <c r="AF28">
        <v>2.3258396679555834E-6</v>
      </c>
      <c r="AG28">
        <v>3.2236478423249525E-5</v>
      </c>
    </row>
    <row r="29" spans="1:33" x14ac:dyDescent="0.35">
      <c r="A29" t="s">
        <v>229</v>
      </c>
      <c r="B29" t="s">
        <v>88</v>
      </c>
      <c r="C29">
        <v>2.0720307290252473E-18</v>
      </c>
      <c r="D29">
        <v>4.8895792725799896E-3</v>
      </c>
      <c r="E29">
        <v>0.13220144689056129</v>
      </c>
      <c r="F29">
        <v>1.3751198942389279E-2</v>
      </c>
      <c r="G29">
        <v>2.4885781537514941E-5</v>
      </c>
      <c r="H29">
        <v>3.6714451432737336E-9</v>
      </c>
      <c r="I29">
        <v>1.8273608816036452E-7</v>
      </c>
      <c r="J29">
        <v>1.2199789266761732E-7</v>
      </c>
      <c r="K29">
        <v>1.134639090487278E-7</v>
      </c>
      <c r="L29">
        <v>4.5438068175651619E-11</v>
      </c>
      <c r="M29">
        <v>7.8933778726355012E-10</v>
      </c>
      <c r="N29">
        <v>2.3650481109183889E-2</v>
      </c>
      <c r="O29">
        <v>4.3627547569880659E-2</v>
      </c>
      <c r="P29">
        <v>9.1304599355772842E-2</v>
      </c>
      <c r="Q29">
        <v>9.9112966587062909E-3</v>
      </c>
      <c r="R29">
        <v>2.2604763597282744E-7</v>
      </c>
      <c r="S29">
        <v>2.8296064487383868E-7</v>
      </c>
      <c r="T29">
        <v>8.0009027709433147E-4</v>
      </c>
      <c r="U29">
        <v>2.6968749471235567E-11</v>
      </c>
      <c r="V29">
        <v>4.4915067324877472E-7</v>
      </c>
      <c r="W29">
        <v>2.1631556467938785E-2</v>
      </c>
      <c r="X29">
        <v>2.1513069816569795E-9</v>
      </c>
      <c r="Y29">
        <v>3.3704359893679273E-2</v>
      </c>
      <c r="Z29">
        <v>8.2507834550806115E-3</v>
      </c>
      <c r="AA29">
        <v>1.0328063537895109E-2</v>
      </c>
      <c r="AB29">
        <v>5.0815970942541998E-5</v>
      </c>
      <c r="AC29">
        <f t="shared" si="3"/>
        <v>0.39414518453954167</v>
      </c>
      <c r="AD29" s="5">
        <f t="shared" si="2"/>
        <v>1.1813233323486341E-6</v>
      </c>
      <c r="AE29">
        <v>2.5162084110676337E-6</v>
      </c>
      <c r="AF29">
        <v>3.0733571056148432E-7</v>
      </c>
      <c r="AG29">
        <v>1.5454094169259973E-5</v>
      </c>
    </row>
    <row r="30" spans="1:33" x14ac:dyDescent="0.35">
      <c r="A30" t="s">
        <v>230</v>
      </c>
      <c r="B30" t="s">
        <v>88</v>
      </c>
      <c r="C30">
        <v>2.289521288876956E-18</v>
      </c>
      <c r="D30">
        <v>1.4034236238186039E-2</v>
      </c>
      <c r="E30">
        <v>7.349362546607624E-2</v>
      </c>
      <c r="F30">
        <v>6.7405600649557435E-3</v>
      </c>
      <c r="G30">
        <v>3.1201992796418758E-3</v>
      </c>
      <c r="H30">
        <v>3.9097242099138545E-9</v>
      </c>
      <c r="I30">
        <v>1.4645926911176282E-7</v>
      </c>
      <c r="J30">
        <v>1.2555538069947665E-7</v>
      </c>
      <c r="K30">
        <v>2.1940332822667247E-7</v>
      </c>
      <c r="L30">
        <v>1.455095913601662E-10</v>
      </c>
      <c r="M30">
        <v>2.9605534422655179E-9</v>
      </c>
      <c r="N30">
        <v>2.1390801805028364E-2</v>
      </c>
      <c r="O30">
        <v>2.4768996472056642E-2</v>
      </c>
      <c r="P30">
        <v>5.420360289464795E-2</v>
      </c>
      <c r="Q30">
        <v>5.8839214733860043E-3</v>
      </c>
      <c r="R30">
        <v>2.2661925580926573E-7</v>
      </c>
      <c r="S30">
        <v>3.007108435445814E-7</v>
      </c>
      <c r="T30">
        <v>4.511620982287054E-4</v>
      </c>
      <c r="U30">
        <v>1.1973211066454374E-11</v>
      </c>
      <c r="V30">
        <v>1.130016209357212E-6</v>
      </c>
      <c r="W30">
        <v>8.6391901192993323E-3</v>
      </c>
      <c r="X30">
        <v>8.644260593447129E-10</v>
      </c>
      <c r="Y30">
        <v>8.557809220933292E-2</v>
      </c>
      <c r="Z30">
        <v>8.2717180230007827E-3</v>
      </c>
      <c r="AA30">
        <v>1.0975945789377222E-2</v>
      </c>
      <c r="AB30">
        <v>1.2100942609075048E-4</v>
      </c>
      <c r="AC30">
        <f t="shared" si="3"/>
        <v>0.31778847003824223</v>
      </c>
      <c r="AD30" s="5">
        <f t="shared" si="2"/>
        <v>2.5346565841396407E-6</v>
      </c>
      <c r="AE30">
        <v>7.4132798237828024E-6</v>
      </c>
      <c r="AF30">
        <v>9.0547571982192579E-7</v>
      </c>
      <c r="AG30">
        <v>1.0746792350090466E-4</v>
      </c>
    </row>
    <row r="31" spans="1:33" x14ac:dyDescent="0.35">
      <c r="A31" t="s">
        <v>231</v>
      </c>
      <c r="B31" t="s">
        <v>88</v>
      </c>
      <c r="C31">
        <v>1.9344146114094601E-21</v>
      </c>
      <c r="D31">
        <v>6.636890964110029E-5</v>
      </c>
      <c r="E31">
        <v>7.5505203869427465E-4</v>
      </c>
      <c r="F31">
        <v>3.1143303711277857E-4</v>
      </c>
      <c r="G31">
        <v>3.5965965508570343E-7</v>
      </c>
      <c r="H31">
        <v>4.2855048343964826E-11</v>
      </c>
      <c r="I31">
        <v>3.2113094191554205E-9</v>
      </c>
      <c r="J31">
        <v>1.3619544432882786E-9</v>
      </c>
      <c r="K31">
        <v>1.1392657054087988E-9</v>
      </c>
      <c r="L31">
        <v>1.016477062959068E-11</v>
      </c>
      <c r="M31">
        <v>1.2800992923004201E-10</v>
      </c>
      <c r="N31">
        <v>7.5630766742319777E-4</v>
      </c>
      <c r="O31">
        <v>3.9219772833467828E-3</v>
      </c>
      <c r="P31">
        <v>1.0931182279903455E-3</v>
      </c>
      <c r="Q31">
        <v>1.1865992824121522E-4</v>
      </c>
      <c r="R31">
        <v>2.7437094728545446E-9</v>
      </c>
      <c r="S31">
        <v>1.8314111929149236E-9</v>
      </c>
      <c r="T31">
        <v>1.4534951575830311E-5</v>
      </c>
      <c r="U31">
        <v>1.9514453186616275E-13</v>
      </c>
      <c r="V31">
        <v>6.9437348467136171E-9</v>
      </c>
      <c r="W31">
        <v>4.3203666400959488E-4</v>
      </c>
      <c r="X31">
        <v>4.3746168565178258E-11</v>
      </c>
      <c r="Y31">
        <v>4.8190886140179936E-4</v>
      </c>
      <c r="Z31">
        <v>1.0014674478861022E-4</v>
      </c>
      <c r="AA31">
        <v>6.6846508541394708E-5</v>
      </c>
      <c r="AB31">
        <v>7.8568836195716457E-6</v>
      </c>
      <c r="AC31">
        <f t="shared" si="3"/>
        <v>8.2740684822632665E-3</v>
      </c>
      <c r="AD31" s="5">
        <f t="shared" si="2"/>
        <v>4.4209285281899682E-8</v>
      </c>
      <c r="AE31">
        <v>2.5657115784421793E-7</v>
      </c>
      <c r="AF31">
        <v>3.1338214576662513E-8</v>
      </c>
      <c r="AG31">
        <v>1.4719995977840455E-4</v>
      </c>
    </row>
    <row r="32" spans="1:33" x14ac:dyDescent="0.35">
      <c r="A32" t="s">
        <v>127</v>
      </c>
      <c r="B32" t="s">
        <v>88</v>
      </c>
      <c r="C32">
        <v>1.1804703880518749E-19</v>
      </c>
      <c r="D32">
        <v>3.7539918187422361E-2</v>
      </c>
      <c r="E32">
        <v>0.47772922362030168</v>
      </c>
      <c r="F32">
        <v>0.10027248161130796</v>
      </c>
      <c r="G32">
        <v>1.9677837939715673E-5</v>
      </c>
      <c r="H32">
        <v>1.1821865676001042E-8</v>
      </c>
      <c r="I32">
        <v>1.6797788436948345E-7</v>
      </c>
      <c r="J32">
        <v>3.5529760302935768E-7</v>
      </c>
      <c r="K32">
        <v>1.985315470508918E-7</v>
      </c>
      <c r="L32">
        <v>1.9926702573105611E-10</v>
      </c>
      <c r="M32">
        <v>3.3445847887544294E-9</v>
      </c>
      <c r="N32">
        <v>2.2971069097696604E-2</v>
      </c>
      <c r="O32">
        <v>4.0682934856713253E-2</v>
      </c>
      <c r="P32">
        <v>0.45706972385011724</v>
      </c>
      <c r="Q32">
        <v>4.9615971371921988E-2</v>
      </c>
      <c r="R32">
        <v>4.7965579415764859E-7</v>
      </c>
      <c r="S32">
        <v>2.6578995566407441E-7</v>
      </c>
      <c r="T32">
        <v>2.2087376178495026E-3</v>
      </c>
      <c r="U32">
        <v>2.8627356287183962E-11</v>
      </c>
      <c r="V32">
        <v>4.5150881472481989E-6</v>
      </c>
      <c r="W32">
        <v>7.1239532634324851E-2</v>
      </c>
      <c r="X32">
        <v>7.3007937875971041E-9</v>
      </c>
      <c r="Y32">
        <v>0.23869150612336579</v>
      </c>
      <c r="Z32">
        <v>1.7507682642731167E-2</v>
      </c>
      <c r="AA32">
        <v>9.7013333817387182E-3</v>
      </c>
      <c r="AB32">
        <v>2.4508409084730989E-4</v>
      </c>
      <c r="AC32">
        <f t="shared" si="3"/>
        <v>1.5259612844404298</v>
      </c>
      <c r="AD32" s="5">
        <f t="shared" si="2"/>
        <v>5.668814295226371E-6</v>
      </c>
      <c r="AE32">
        <v>3.3520159538995287E-6</v>
      </c>
      <c r="AF32">
        <v>4.0942324191979877E-7</v>
      </c>
      <c r="AG32">
        <v>4.6230985518078545E-4</v>
      </c>
    </row>
    <row r="33" spans="1:35" x14ac:dyDescent="0.35">
      <c r="A33" t="s">
        <v>253</v>
      </c>
      <c r="B33" t="s">
        <v>88</v>
      </c>
      <c r="C33">
        <v>1.3097601406295267E-17</v>
      </c>
      <c r="D33">
        <v>4.9898833240263556E-2</v>
      </c>
      <c r="E33">
        <v>8.8435677217905759</v>
      </c>
      <c r="F33">
        <v>0.17100583819355003</v>
      </c>
      <c r="G33">
        <v>4.89633802984286E-4</v>
      </c>
      <c r="H33">
        <v>4.6252071912521103E-8</v>
      </c>
      <c r="I33">
        <v>6.2794828476142792E-6</v>
      </c>
      <c r="J33">
        <v>1.3863795194155507E-6</v>
      </c>
      <c r="K33">
        <v>2.8909315957076682E-6</v>
      </c>
      <c r="L33">
        <v>5.0182779785413791E-10</v>
      </c>
      <c r="M33">
        <v>8.0697763850683298E-9</v>
      </c>
      <c r="N33">
        <v>7.0209895651957593E-2</v>
      </c>
      <c r="O33">
        <v>0.11857824170552793</v>
      </c>
      <c r="P33">
        <v>0.71575874275095053</v>
      </c>
      <c r="Q33">
        <v>7.7697232946619732E-2</v>
      </c>
      <c r="R33">
        <v>1.7757896974803496E-6</v>
      </c>
      <c r="S33">
        <v>2.0566412991170785E-6</v>
      </c>
      <c r="T33">
        <v>7.3018258940127818E-3</v>
      </c>
      <c r="U33">
        <v>1.5803457064804116E-9</v>
      </c>
      <c r="V33">
        <v>5.4700676758455584E-6</v>
      </c>
      <c r="W33">
        <v>0.13034452234961411</v>
      </c>
      <c r="X33">
        <v>1.3195847571214254E-8</v>
      </c>
      <c r="Y33">
        <v>0.32466583873978438</v>
      </c>
      <c r="Z33">
        <v>6.4937117128434696E-2</v>
      </c>
      <c r="AA33">
        <v>7.5067407417773346E-2</v>
      </c>
      <c r="AB33">
        <v>7.720174968989706E-4</v>
      </c>
      <c r="AC33">
        <f t="shared" si="3"/>
        <v>10.650704290638734</v>
      </c>
      <c r="AD33" s="5">
        <f t="shared" si="2"/>
        <v>1.945292958141708E-5</v>
      </c>
      <c r="AE33">
        <v>2.7484069084638546E-5</v>
      </c>
      <c r="AF33">
        <v>3.35696990125874E-6</v>
      </c>
      <c r="AG33">
        <v>3.7810452787760603E-4</v>
      </c>
    </row>
    <row r="34" spans="1:35" x14ac:dyDescent="0.35">
      <c r="A34" t="s">
        <v>281</v>
      </c>
      <c r="B34" t="s">
        <v>239</v>
      </c>
      <c r="C34">
        <v>1.3270271225921773E-19</v>
      </c>
      <c r="D34">
        <v>2.0338405662320867E-3</v>
      </c>
      <c r="E34">
        <v>2.978971592823719</v>
      </c>
      <c r="F34">
        <v>6.7124289622960713E-3</v>
      </c>
      <c r="G34">
        <v>1.2750680045936482E-2</v>
      </c>
      <c r="H34">
        <v>1.7899237955003304E-8</v>
      </c>
      <c r="I34">
        <v>1.1926514329728577E-7</v>
      </c>
      <c r="J34">
        <v>8.5934993561612462E-7</v>
      </c>
      <c r="K34">
        <v>6.4789761585409413E-7</v>
      </c>
      <c r="L34">
        <v>7.884257324482384E-11</v>
      </c>
      <c r="M34">
        <v>1.5130176100698047E-9</v>
      </c>
      <c r="N34">
        <v>4.5994250944693636E-3</v>
      </c>
      <c r="O34">
        <v>1.0311723490791529E-2</v>
      </c>
      <c r="P34">
        <v>2.9900954845046512E-2</v>
      </c>
      <c r="Q34">
        <v>3.2458104709846437E-3</v>
      </c>
      <c r="R34">
        <v>2.6654643631000712E-5</v>
      </c>
      <c r="S34">
        <v>1.3034913469128935E-5</v>
      </c>
      <c r="T34">
        <v>0.15593722806708174</v>
      </c>
      <c r="U34">
        <v>5.1364403857354534E-12</v>
      </c>
      <c r="V34">
        <v>1.8298016236133136E-7</v>
      </c>
      <c r="W34">
        <v>7.1055637534287374E-3</v>
      </c>
      <c r="X34">
        <v>7.2009463750542142E-10</v>
      </c>
      <c r="Y34">
        <v>1.5628420019741039E-2</v>
      </c>
      <c r="Z34">
        <v>0.97289572605036001</v>
      </c>
      <c r="AA34">
        <v>0.47577434162320553</v>
      </c>
      <c r="AB34">
        <v>5.9002177150309411E-5</v>
      </c>
      <c r="AC34">
        <f t="shared" si="3"/>
        <v>4.6759803252901948</v>
      </c>
      <c r="AD34" s="5">
        <f t="shared" si="2"/>
        <v>1.8278718192905216E-6</v>
      </c>
      <c r="AE34">
        <v>-1.4397331448345527E-8</v>
      </c>
      <c r="AF34">
        <v>-1.7585244812786446E-9</v>
      </c>
      <c r="AG34">
        <v>1.3912061140071935E-5</v>
      </c>
    </row>
    <row r="35" spans="1:35" x14ac:dyDescent="0.35">
      <c r="A35" t="s">
        <v>340</v>
      </c>
      <c r="B35" t="s">
        <v>88</v>
      </c>
      <c r="C35">
        <v>4.5022235589362516E-20</v>
      </c>
      <c r="D35">
        <v>2.5928244867600081E-4</v>
      </c>
      <c r="E35">
        <v>4.0924082296943439E-3</v>
      </c>
      <c r="F35">
        <v>6.9640851481279084E-4</v>
      </c>
      <c r="G35">
        <v>1.3742828932339349E-4</v>
      </c>
      <c r="H35">
        <v>1.323786117024824E-10</v>
      </c>
      <c r="I35">
        <v>1.0765567268011575E-8</v>
      </c>
      <c r="J35">
        <v>4.3734985711892867E-9</v>
      </c>
      <c r="K35">
        <v>2.8445728365133349E-9</v>
      </c>
      <c r="L35">
        <v>5.9988814476298481E-12</v>
      </c>
      <c r="M35">
        <v>1.0531278716734021E-10</v>
      </c>
      <c r="N35">
        <v>0.25176696135830295</v>
      </c>
      <c r="O35">
        <v>1.8987169671067345E-3</v>
      </c>
      <c r="P35">
        <v>6.236507610321294E-3</v>
      </c>
      <c r="Q35">
        <v>6.7695974410530448E-4</v>
      </c>
      <c r="R35">
        <v>9.3271388313232976E-9</v>
      </c>
      <c r="S35">
        <v>6.9917796387327536E-9</v>
      </c>
      <c r="T35">
        <v>6.4355289469460571E-5</v>
      </c>
      <c r="U35">
        <v>1.38288510258971E-12</v>
      </c>
      <c r="V35">
        <v>2.4117589057931597E-8</v>
      </c>
      <c r="W35">
        <v>2.0503152980787709E-3</v>
      </c>
      <c r="X35">
        <v>1.9290480775260567E-10</v>
      </c>
      <c r="Y35">
        <v>1.8745500724791019E-3</v>
      </c>
      <c r="Z35">
        <v>3.4044696910090158E-4</v>
      </c>
      <c r="AA35">
        <v>2.5519995681374554E-4</v>
      </c>
      <c r="AB35">
        <v>6.6555554637872157E-6</v>
      </c>
      <c r="AC35">
        <f t="shared" si="3"/>
        <v>0.27035903651950838</v>
      </c>
      <c r="AD35" s="5">
        <f t="shared" si="2"/>
        <v>5.3993711741992276E-8</v>
      </c>
      <c r="AE35">
        <v>9.382905362218815E-8</v>
      </c>
      <c r="AF35">
        <v>1.1460504916621468E-8</v>
      </c>
      <c r="AG35">
        <v>2.7300617887351016E-6</v>
      </c>
    </row>
    <row r="36" spans="1:35" x14ac:dyDescent="0.35">
      <c r="AD36" s="5"/>
    </row>
    <row r="37" spans="1:35" x14ac:dyDescent="0.35">
      <c r="A37" t="s">
        <v>341</v>
      </c>
      <c r="B37" t="s">
        <v>128</v>
      </c>
      <c r="C37">
        <v>0</v>
      </c>
      <c r="D37">
        <v>4.6485490314901408E-4</v>
      </c>
      <c r="E37">
        <v>2.3786994219152646E-2</v>
      </c>
      <c r="F37">
        <v>2.8233329127849691E-3</v>
      </c>
      <c r="G37">
        <v>7.9803111558643204E-6</v>
      </c>
      <c r="H37">
        <v>1.0699067796871338E-9</v>
      </c>
      <c r="I37">
        <v>2.6189697019005415E-8</v>
      </c>
      <c r="J37">
        <v>3.7103556683316001E-8</v>
      </c>
      <c r="K37">
        <v>3.8354561367818476E-8</v>
      </c>
      <c r="L37">
        <v>2.4781029381104743E-13</v>
      </c>
      <c r="M37">
        <v>8.4198596243739606E-12</v>
      </c>
      <c r="N37">
        <v>3.319571326489909E-2</v>
      </c>
      <c r="O37">
        <v>2.6553411334940442E-3</v>
      </c>
      <c r="P37">
        <v>4.5994162120045687E-3</v>
      </c>
      <c r="Q37">
        <v>4.992696160153739E-4</v>
      </c>
      <c r="R37">
        <v>1.2243211644164006E-7</v>
      </c>
      <c r="S37">
        <v>1.0121041890475962E-7</v>
      </c>
      <c r="T37">
        <v>9.2096627995968481E-5</v>
      </c>
      <c r="U37">
        <v>1.7140880312067482E-12</v>
      </c>
      <c r="V37">
        <v>7.1625226693215106E-8</v>
      </c>
      <c r="W37">
        <v>2.0593875972052334E-3</v>
      </c>
      <c r="X37">
        <v>2.0771818262542056E-10</v>
      </c>
      <c r="Y37">
        <v>3.5156093164907766E-3</v>
      </c>
      <c r="Z37">
        <v>4.4687846918044982E-3</v>
      </c>
      <c r="AA37">
        <v>3.6941802900237256E-3</v>
      </c>
      <c r="AB37">
        <v>1.4063126802969403E-5</v>
      </c>
      <c r="AC37">
        <f t="shared" si="3"/>
        <v>8.1879959897261809E-2</v>
      </c>
      <c r="AD37" s="5">
        <f t="shared" si="2"/>
        <v>1.879876921554672E-7</v>
      </c>
      <c r="AE37">
        <v>1.0992818641264898E-7</v>
      </c>
      <c r="AF37">
        <v>1.3426891482144081E-8</v>
      </c>
      <c r="AG37">
        <v>2.6021033134810767E-6</v>
      </c>
    </row>
    <row r="38" spans="1:35" x14ac:dyDescent="0.35">
      <c r="A38" t="s">
        <v>343</v>
      </c>
      <c r="B38" t="s">
        <v>239</v>
      </c>
      <c r="C38">
        <v>0</v>
      </c>
      <c r="D38">
        <v>2.5264038582091964E-3</v>
      </c>
      <c r="E38">
        <v>2.7002480903112455E-2</v>
      </c>
      <c r="F38">
        <v>3.1055895729254268E-2</v>
      </c>
      <c r="G38">
        <v>4.0494622827571366E-6</v>
      </c>
      <c r="H38">
        <v>1.4981608392966044E-9</v>
      </c>
      <c r="I38">
        <v>1.2329244793319029E-8</v>
      </c>
      <c r="J38">
        <v>4.4427158793134555E-8</v>
      </c>
      <c r="K38">
        <v>2.9351524442075052E-8</v>
      </c>
      <c r="L38">
        <v>5.7241307379024534E-12</v>
      </c>
      <c r="M38">
        <v>1.2261411152534228E-10</v>
      </c>
      <c r="N38">
        <v>3.4303236124844007E-3</v>
      </c>
      <c r="O38">
        <v>1.4342243451923767E-2</v>
      </c>
      <c r="P38">
        <v>6.6426258952306624E-2</v>
      </c>
      <c r="Q38">
        <v>7.2106913341117252E-3</v>
      </c>
      <c r="R38">
        <v>4.8755254936658162E-8</v>
      </c>
      <c r="S38">
        <v>4.2659540652520935E-8</v>
      </c>
      <c r="T38">
        <v>3.9935438767819319E-4</v>
      </c>
      <c r="U38">
        <v>2.1627319873371325E-10</v>
      </c>
      <c r="V38">
        <v>1.7938465913232917E-7</v>
      </c>
      <c r="W38">
        <v>1.8893856168961297E-2</v>
      </c>
      <c r="X38">
        <v>1.7004088607989403E-9</v>
      </c>
      <c r="Y38">
        <v>1.7655912783180006E-2</v>
      </c>
      <c r="Z38">
        <v>1.7796015102347527E-3</v>
      </c>
      <c r="AA38">
        <v>1.5570732338170141E-3</v>
      </c>
      <c r="AB38">
        <v>1.720680259983359E-5</v>
      </c>
      <c r="AC38">
        <f t="shared" si="3"/>
        <v>0.1923207564629309</v>
      </c>
      <c r="AD38" s="5">
        <f t="shared" si="2"/>
        <v>3.4627107628260738E-7</v>
      </c>
      <c r="AE38">
        <v>6.3238513455906604E-7</v>
      </c>
      <c r="AF38">
        <v>7.7241032111394951E-8</v>
      </c>
      <c r="AG38">
        <v>1.8680467120311755E-5</v>
      </c>
    </row>
    <row r="39" spans="1:35" x14ac:dyDescent="0.35">
      <c r="A39" t="s">
        <v>345</v>
      </c>
      <c r="B39" t="s">
        <v>219</v>
      </c>
      <c r="C39">
        <v>1.8355354728057364E-21</v>
      </c>
      <c r="D39">
        <v>2.8862325251291656E-4</v>
      </c>
      <c r="E39">
        <v>1.9138160280998788E-3</v>
      </c>
      <c r="F39">
        <v>9.3700431615985455E-4</v>
      </c>
      <c r="G39">
        <v>1.4412765837107648E-6</v>
      </c>
      <c r="H39">
        <v>1.5012604259306798E-10</v>
      </c>
      <c r="I39">
        <v>4.165524488829646E-9</v>
      </c>
      <c r="J39">
        <v>4.0009950687233719E-9</v>
      </c>
      <c r="K39">
        <v>2.2101399026680218E-9</v>
      </c>
      <c r="L39">
        <v>1.1573822055069157E-12</v>
      </c>
      <c r="M39">
        <v>2.1749979679961288E-11</v>
      </c>
      <c r="N39">
        <v>1.2145571688577686E-4</v>
      </c>
      <c r="O39">
        <v>9.9540935208039982E-4</v>
      </c>
      <c r="P39">
        <v>1.3271943202898127E-2</v>
      </c>
      <c r="Q39">
        <v>1.4407029626190709E-3</v>
      </c>
      <c r="R39">
        <v>1.9565669007548191E-9</v>
      </c>
      <c r="S39">
        <v>1.7764735532561099E-9</v>
      </c>
      <c r="T39">
        <v>5.5334524844955225E-5</v>
      </c>
      <c r="U39">
        <v>2.9853225411209588E-12</v>
      </c>
      <c r="V39">
        <v>1.6704189351068451E-8</v>
      </c>
      <c r="W39">
        <v>9.3625163314246492E-4</v>
      </c>
      <c r="X39">
        <v>8.3728290516360725E-11</v>
      </c>
      <c r="Y39">
        <v>1.8442608762118653E-3</v>
      </c>
      <c r="Z39">
        <v>7.1423215114739861E-5</v>
      </c>
      <c r="AA39">
        <v>6.4841284693848016E-5</v>
      </c>
      <c r="AB39">
        <v>1.0391969763024733E-6</v>
      </c>
      <c r="AC39">
        <f t="shared" si="3"/>
        <v>2.1943802833411331E-2</v>
      </c>
      <c r="AD39" s="5">
        <f t="shared" si="2"/>
        <v>2.9797422394156294E-8</v>
      </c>
      <c r="AE39">
        <v>2.0123922051753062E-8</v>
      </c>
      <c r="AF39">
        <v>2.4579839475362908E-9</v>
      </c>
      <c r="AG39">
        <v>2.3213646753144058E-7</v>
      </c>
      <c r="AI39" t="s">
        <v>487</v>
      </c>
    </row>
  </sheetData>
  <autoFilter ref="A1:AG35" xr:uid="{53E97A23-3613-4D1B-AFA4-17D7DC5FF149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CC8ED-98C2-4624-BC82-94EDDACC80DE}">
  <dimension ref="A1:F44"/>
  <sheetViews>
    <sheetView topLeftCell="A11" workbookViewId="0">
      <selection activeCell="J36" sqref="J36"/>
    </sheetView>
  </sheetViews>
  <sheetFormatPr baseColWidth="10" defaultRowHeight="14.5" x14ac:dyDescent="0.35"/>
  <cols>
    <col min="1" max="1" width="33.26953125" bestFit="1" customWidth="1"/>
    <col min="3" max="3" width="18.7265625" customWidth="1"/>
    <col min="4" max="4" width="27.54296875" bestFit="1" customWidth="1"/>
  </cols>
  <sheetData>
    <row r="1" spans="1:6" x14ac:dyDescent="0.35">
      <c r="A1" s="40" t="s">
        <v>477</v>
      </c>
    </row>
    <row r="2" spans="1:6" x14ac:dyDescent="0.35">
      <c r="A2" s="61" t="s">
        <v>0</v>
      </c>
      <c r="B2" s="62" t="s">
        <v>10</v>
      </c>
      <c r="C2" s="62" t="s">
        <v>11</v>
      </c>
      <c r="D2" s="62" t="s">
        <v>12</v>
      </c>
      <c r="E2" s="62" t="s">
        <v>1</v>
      </c>
      <c r="F2" s="63" t="s">
        <v>2</v>
      </c>
    </row>
    <row r="3" spans="1:6" x14ac:dyDescent="0.35">
      <c r="A3" s="42" t="s">
        <v>5</v>
      </c>
      <c r="B3" s="43" t="s">
        <v>3</v>
      </c>
      <c r="C3" s="43" t="s">
        <v>15</v>
      </c>
      <c r="D3" s="43" t="s">
        <v>13</v>
      </c>
      <c r="E3" s="43">
        <v>1</v>
      </c>
      <c r="F3" s="44" t="s">
        <v>14</v>
      </c>
    </row>
    <row r="4" spans="1:6" x14ac:dyDescent="0.35">
      <c r="A4" s="54"/>
      <c r="B4" s="46" t="s">
        <v>3</v>
      </c>
      <c r="C4" s="46" t="s">
        <v>15</v>
      </c>
      <c r="D4" s="46" t="s">
        <v>8</v>
      </c>
      <c r="E4" s="46">
        <f>E3*Parameters!C3</f>
        <v>9.98</v>
      </c>
      <c r="F4" s="47" t="s">
        <v>128</v>
      </c>
    </row>
    <row r="5" spans="1:6" x14ac:dyDescent="0.35">
      <c r="A5" s="54"/>
      <c r="B5" s="46" t="s">
        <v>3</v>
      </c>
      <c r="C5" s="46" t="s">
        <v>15</v>
      </c>
      <c r="D5" s="46" t="s">
        <v>9</v>
      </c>
      <c r="E5" s="46"/>
      <c r="F5" s="47"/>
    </row>
    <row r="6" spans="1:6" x14ac:dyDescent="0.35">
      <c r="A6" s="55"/>
      <c r="B6" s="49" t="s">
        <v>4</v>
      </c>
      <c r="C6" s="49" t="s">
        <v>17</v>
      </c>
      <c r="D6" s="49" t="s">
        <v>236</v>
      </c>
      <c r="E6" s="49">
        <f>E3*Parameters!C5</f>
        <v>0.77</v>
      </c>
      <c r="F6" s="50" t="s">
        <v>14</v>
      </c>
    </row>
    <row r="7" spans="1:6" x14ac:dyDescent="0.35">
      <c r="A7" s="51" t="s">
        <v>235</v>
      </c>
      <c r="B7" s="52" t="s">
        <v>3</v>
      </c>
      <c r="C7" s="52" t="s">
        <v>17</v>
      </c>
      <c r="D7" s="49" t="s">
        <v>422</v>
      </c>
      <c r="E7" s="65">
        <f>E8*0.001*Parameters!C6</f>
        <v>2.2999999999999998</v>
      </c>
      <c r="F7" s="50" t="s">
        <v>284</v>
      </c>
    </row>
    <row r="8" spans="1:6" x14ac:dyDescent="0.35">
      <c r="B8" s="69" t="s">
        <v>3</v>
      </c>
      <c r="C8" s="69" t="s">
        <v>17</v>
      </c>
      <c r="D8" s="69" t="s">
        <v>237</v>
      </c>
      <c r="E8" s="69">
        <f>E3*(1-Parameters!C5)*1000</f>
        <v>229.99999999999997</v>
      </c>
      <c r="F8" s="70" t="s">
        <v>88</v>
      </c>
    </row>
    <row r="9" spans="1:6" x14ac:dyDescent="0.35">
      <c r="A9" s="42" t="s">
        <v>6</v>
      </c>
      <c r="B9" s="43" t="s">
        <v>3</v>
      </c>
      <c r="C9" s="43" t="s">
        <v>17</v>
      </c>
      <c r="D9" s="43" t="s">
        <v>16</v>
      </c>
      <c r="E9" s="43">
        <f>E6</f>
        <v>0.77</v>
      </c>
      <c r="F9" s="44" t="s">
        <v>14</v>
      </c>
    </row>
    <row r="10" spans="1:6" x14ac:dyDescent="0.35">
      <c r="A10" s="54"/>
      <c r="B10" s="46" t="s">
        <v>3</v>
      </c>
      <c r="C10" s="46" t="s">
        <v>17</v>
      </c>
      <c r="D10" s="46" t="s">
        <v>8</v>
      </c>
      <c r="E10" s="46">
        <f>Parameters!C14*E9</f>
        <v>22.330000000000002</v>
      </c>
      <c r="F10" s="47" t="s">
        <v>128</v>
      </c>
    </row>
    <row r="11" spans="1:6" x14ac:dyDescent="0.35">
      <c r="A11" s="54"/>
      <c r="B11" s="46" t="s">
        <v>3</v>
      </c>
      <c r="C11" s="46" t="s">
        <v>17</v>
      </c>
      <c r="D11" s="46" t="s">
        <v>18</v>
      </c>
      <c r="E11" s="46">
        <f>E9*Parameters!C15</f>
        <v>227.15</v>
      </c>
      <c r="F11" s="47" t="s">
        <v>219</v>
      </c>
    </row>
    <row r="12" spans="1:6" x14ac:dyDescent="0.35">
      <c r="A12" s="54"/>
      <c r="B12" s="46" t="s">
        <v>4</v>
      </c>
      <c r="C12" s="46" t="s">
        <v>20</v>
      </c>
      <c r="D12" s="46" t="s">
        <v>19</v>
      </c>
      <c r="E12" s="46">
        <f>Parameters!C9*(Parameters!C7*(1-Waste_characteristics!B4))*E9*Parameters!C11*0.001</f>
        <v>1.5118453902366449</v>
      </c>
      <c r="F12" s="47" t="s">
        <v>88</v>
      </c>
    </row>
    <row r="13" spans="1:6" x14ac:dyDescent="0.35">
      <c r="A13" s="54"/>
      <c r="B13" s="46" t="s">
        <v>4</v>
      </c>
      <c r="C13" s="46" t="s">
        <v>17</v>
      </c>
      <c r="D13" s="46" t="s">
        <v>21</v>
      </c>
      <c r="E13" s="46">
        <f>(((Parameters!C7*(1-Waste_characteristics!B4))/Parameters!C10)*0.001)-((E12/Parameters!C11)*(1/Parameters!C10))</f>
        <v>223.74984536240387</v>
      </c>
      <c r="F13" s="47" t="s">
        <v>239</v>
      </c>
    </row>
    <row r="14" spans="1:6" x14ac:dyDescent="0.35">
      <c r="A14" s="55"/>
      <c r="B14" s="49" t="s">
        <v>4</v>
      </c>
      <c r="C14" s="49" t="s">
        <v>15</v>
      </c>
      <c r="D14" s="49" t="s">
        <v>349</v>
      </c>
      <c r="E14" s="49">
        <f>Parameters!C66*E9</f>
        <v>0.55582190304980872</v>
      </c>
      <c r="F14" s="50" t="s">
        <v>14</v>
      </c>
    </row>
    <row r="15" spans="1:6" x14ac:dyDescent="0.35">
      <c r="A15" s="42" t="s">
        <v>476</v>
      </c>
      <c r="B15" s="132" t="s">
        <v>3</v>
      </c>
      <c r="C15" s="43" t="s">
        <v>17</v>
      </c>
      <c r="D15" s="132" t="s">
        <v>21</v>
      </c>
      <c r="E15" s="43">
        <f>E13</f>
        <v>223.74984536240387</v>
      </c>
      <c r="F15" s="64" t="s">
        <v>239</v>
      </c>
    </row>
    <row r="16" spans="1:6" x14ac:dyDescent="0.35">
      <c r="A16" s="54"/>
      <c r="B16" s="46" t="s">
        <v>4</v>
      </c>
      <c r="C16" s="46" t="s">
        <v>20</v>
      </c>
      <c r="D16" s="46" t="s">
        <v>97</v>
      </c>
      <c r="E16" s="67">
        <f>Parameters!C34*E15</f>
        <v>449.6664772746185</v>
      </c>
      <c r="F16" s="58" t="s">
        <v>88</v>
      </c>
    </row>
    <row r="17" spans="1:6" x14ac:dyDescent="0.35">
      <c r="A17" s="54"/>
      <c r="B17" s="46" t="s">
        <v>4</v>
      </c>
      <c r="C17" s="46" t="s">
        <v>20</v>
      </c>
      <c r="D17" s="46" t="s">
        <v>96</v>
      </c>
      <c r="E17" s="67">
        <f>$E$15*Parameters!C35</f>
        <v>5.7327997102740213E-3</v>
      </c>
      <c r="F17" s="58" t="s">
        <v>88</v>
      </c>
    </row>
    <row r="18" spans="1:6" x14ac:dyDescent="0.35">
      <c r="A18" s="54"/>
      <c r="B18" s="46" t="s">
        <v>4</v>
      </c>
      <c r="C18" s="46" t="s">
        <v>20</v>
      </c>
      <c r="D18" s="46" t="s">
        <v>111</v>
      </c>
      <c r="E18" s="67">
        <f>$E$15*Parameters!C36</f>
        <v>5.7327997102740213E-3</v>
      </c>
      <c r="F18" s="58" t="s">
        <v>88</v>
      </c>
    </row>
    <row r="19" spans="1:6" x14ac:dyDescent="0.35">
      <c r="A19" s="54"/>
      <c r="B19" s="46" t="s">
        <v>4</v>
      </c>
      <c r="C19" s="46" t="s">
        <v>20</v>
      </c>
      <c r="D19" s="46" t="s">
        <v>142</v>
      </c>
      <c r="E19" s="67">
        <f>$E$15*Parameters!C37</f>
        <v>3.9771297990026024E-2</v>
      </c>
      <c r="F19" s="58" t="s">
        <v>88</v>
      </c>
    </row>
    <row r="20" spans="1:6" x14ac:dyDescent="0.35">
      <c r="A20" s="54"/>
      <c r="B20" s="46" t="s">
        <v>4</v>
      </c>
      <c r="C20" s="46" t="s">
        <v>20</v>
      </c>
      <c r="D20" s="46" t="s">
        <v>143</v>
      </c>
      <c r="E20" s="67">
        <f>$E$15*Parameters!C38</f>
        <v>2.9165618526019083E-2</v>
      </c>
      <c r="F20" s="58" t="s">
        <v>88</v>
      </c>
    </row>
    <row r="21" spans="1:6" x14ac:dyDescent="0.35">
      <c r="A21" s="54"/>
      <c r="B21" s="46" t="s">
        <v>4</v>
      </c>
      <c r="C21" s="46" t="s">
        <v>20</v>
      </c>
      <c r="D21" s="46" t="s">
        <v>144</v>
      </c>
      <c r="E21" s="67">
        <f>$E$15*Parameters!C39</f>
        <v>2.9165618526019083E-2</v>
      </c>
      <c r="F21" s="58" t="s">
        <v>88</v>
      </c>
    </row>
    <row r="22" spans="1:6" x14ac:dyDescent="0.35">
      <c r="A22" s="54"/>
      <c r="B22" s="46" t="s">
        <v>4</v>
      </c>
      <c r="C22" s="46" t="s">
        <v>20</v>
      </c>
      <c r="D22" s="46" t="s">
        <v>124</v>
      </c>
      <c r="E22" s="67">
        <f>$E$15*Parameters!C40</f>
        <v>0.38338098062457515</v>
      </c>
      <c r="F22" s="58" t="s">
        <v>88</v>
      </c>
    </row>
    <row r="23" spans="1:6" x14ac:dyDescent="0.35">
      <c r="A23" s="54"/>
      <c r="B23" s="46" t="s">
        <v>4</v>
      </c>
      <c r="C23" s="46" t="s">
        <v>20</v>
      </c>
      <c r="D23" s="46" t="s">
        <v>110</v>
      </c>
      <c r="E23" s="67">
        <f>$E$15*Parameters!C41</f>
        <v>1.2110539387953869E-2</v>
      </c>
      <c r="F23" s="58" t="s">
        <v>88</v>
      </c>
    </row>
    <row r="24" spans="1:6" x14ac:dyDescent="0.35">
      <c r="A24" s="54"/>
      <c r="B24" s="46" t="s">
        <v>4</v>
      </c>
      <c r="C24" s="46" t="s">
        <v>20</v>
      </c>
      <c r="D24" s="46" t="s">
        <v>123</v>
      </c>
      <c r="E24" s="67">
        <f>$E$15*Parameters!C42</f>
        <v>0.32246998370291369</v>
      </c>
      <c r="F24" s="58" t="s">
        <v>88</v>
      </c>
    </row>
    <row r="25" spans="1:6" x14ac:dyDescent="0.35">
      <c r="A25" s="54"/>
      <c r="B25" s="46" t="s">
        <v>4</v>
      </c>
      <c r="C25" s="46" t="s">
        <v>20</v>
      </c>
      <c r="D25" s="46" t="s">
        <v>145</v>
      </c>
      <c r="E25" s="67">
        <f>$E$15*Parameters!C43</f>
        <v>1.9276539025796395E-2</v>
      </c>
      <c r="F25" s="58" t="s">
        <v>88</v>
      </c>
    </row>
    <row r="26" spans="1:6" x14ac:dyDescent="0.35">
      <c r="A26" s="54"/>
      <c r="B26" s="57" t="s">
        <v>3</v>
      </c>
      <c r="C26" s="49" t="s">
        <v>15</v>
      </c>
      <c r="D26" s="46" t="s">
        <v>8</v>
      </c>
      <c r="E26" s="67">
        <f>$E$15*Parameters!C44</f>
        <v>0.60859957938573861</v>
      </c>
      <c r="F26" s="58" t="s">
        <v>128</v>
      </c>
    </row>
    <row r="27" spans="1:6" x14ac:dyDescent="0.35">
      <c r="A27" s="55"/>
      <c r="B27" s="49" t="s">
        <v>4</v>
      </c>
      <c r="C27" s="49" t="s">
        <v>15</v>
      </c>
      <c r="D27" s="49" t="s">
        <v>18</v>
      </c>
      <c r="E27" s="49">
        <f>E15*Parameters!C10*Parameters!C20*Parameters!C33</f>
        <v>3876.4660709036466</v>
      </c>
      <c r="F27" s="60" t="s">
        <v>219</v>
      </c>
    </row>
    <row r="28" spans="1:6" x14ac:dyDescent="0.35">
      <c r="A28" s="56" t="s">
        <v>100</v>
      </c>
      <c r="B28" s="43" t="s">
        <v>3</v>
      </c>
      <c r="C28" s="43" t="s">
        <v>15</v>
      </c>
      <c r="D28" s="43" t="s">
        <v>349</v>
      </c>
      <c r="E28" s="43">
        <f>'LCI_AD-a'!E26</f>
        <v>0.55582190304980872</v>
      </c>
      <c r="F28" s="44" t="s">
        <v>14</v>
      </c>
    </row>
    <row r="29" spans="1:6" x14ac:dyDescent="0.35">
      <c r="A29" s="54"/>
      <c r="B29" s="46" t="s">
        <v>4</v>
      </c>
      <c r="C29" s="46" t="s">
        <v>20</v>
      </c>
      <c r="D29" s="46" t="s">
        <v>96</v>
      </c>
      <c r="E29" s="46">
        <f>'LCI_AD-a'!E27</f>
        <v>1.3380369575571998</v>
      </c>
      <c r="F29" s="47" t="s">
        <v>88</v>
      </c>
    </row>
    <row r="30" spans="1:6" x14ac:dyDescent="0.35">
      <c r="A30" s="55"/>
      <c r="B30" s="59" t="s">
        <v>4</v>
      </c>
      <c r="C30" s="59" t="s">
        <v>15</v>
      </c>
      <c r="D30" s="59" t="s">
        <v>350</v>
      </c>
      <c r="E30" s="49">
        <f>'LCI_AD-a'!E28</f>
        <v>0.55448386609225153</v>
      </c>
      <c r="F30" s="60" t="s">
        <v>14</v>
      </c>
    </row>
    <row r="31" spans="1:6" x14ac:dyDescent="0.35">
      <c r="A31" s="42" t="s">
        <v>108</v>
      </c>
      <c r="B31" s="43" t="s">
        <v>3</v>
      </c>
      <c r="C31" s="43" t="s">
        <v>15</v>
      </c>
      <c r="D31" s="43" t="s">
        <v>350</v>
      </c>
      <c r="E31" s="43">
        <f>'LCI_AD-a'!E29</f>
        <v>0.55448386609225153</v>
      </c>
      <c r="F31" s="44" t="s">
        <v>14</v>
      </c>
    </row>
    <row r="32" spans="1:6" x14ac:dyDescent="0.35">
      <c r="A32" s="54"/>
      <c r="B32" s="46" t="s">
        <v>4</v>
      </c>
      <c r="C32" s="46" t="s">
        <v>20</v>
      </c>
      <c r="D32" s="126" t="s">
        <v>111</v>
      </c>
      <c r="E32" s="46">
        <f>'LCI_AD-a'!E30</f>
        <v>6.9747028223324792E-2</v>
      </c>
      <c r="F32" s="47" t="s">
        <v>88</v>
      </c>
    </row>
    <row r="33" spans="1:6" x14ac:dyDescent="0.35">
      <c r="A33" s="54"/>
      <c r="B33" s="46" t="s">
        <v>4</v>
      </c>
      <c r="C33" s="46" t="s">
        <v>20</v>
      </c>
      <c r="D33" s="126" t="s">
        <v>110</v>
      </c>
      <c r="E33" s="46">
        <f>'LCI_AD-a'!E31</f>
        <v>4.3294040386292876</v>
      </c>
      <c r="F33" s="47" t="s">
        <v>88</v>
      </c>
    </row>
    <row r="34" spans="1:6" x14ac:dyDescent="0.35">
      <c r="A34" s="54"/>
      <c r="B34" s="46" t="s">
        <v>4</v>
      </c>
      <c r="C34" s="46" t="s">
        <v>20</v>
      </c>
      <c r="D34" s="126" t="s">
        <v>114</v>
      </c>
      <c r="E34" s="46">
        <f>'LCI_AD-a'!E32</f>
        <v>-1.8937605026365594</v>
      </c>
      <c r="F34" s="47" t="s">
        <v>88</v>
      </c>
    </row>
    <row r="35" spans="1:6" x14ac:dyDescent="0.35">
      <c r="A35" s="54"/>
      <c r="B35" s="46" t="s">
        <v>4</v>
      </c>
      <c r="C35" s="46" t="s">
        <v>20</v>
      </c>
      <c r="D35" s="126" t="s">
        <v>414</v>
      </c>
      <c r="E35" s="46">
        <f>'LCI_AD-a'!E33</f>
        <v>-6.2099380157736493E-2</v>
      </c>
      <c r="F35" s="47" t="s">
        <v>88</v>
      </c>
    </row>
    <row r="36" spans="1:6" x14ac:dyDescent="0.35">
      <c r="A36" s="55"/>
      <c r="B36" s="49" t="s">
        <v>4</v>
      </c>
      <c r="C36" s="49" t="s">
        <v>20</v>
      </c>
      <c r="D36" s="128" t="s">
        <v>415</v>
      </c>
      <c r="E36" s="49">
        <f>'LCI_AD-a'!E34</f>
        <v>-115.3519213234084</v>
      </c>
      <c r="F36" s="50" t="s">
        <v>88</v>
      </c>
    </row>
    <row r="37" spans="1:6" x14ac:dyDescent="0.35">
      <c r="A37" s="42" t="s">
        <v>421</v>
      </c>
      <c r="B37" s="43"/>
      <c r="C37" s="43"/>
      <c r="D37" s="43"/>
      <c r="E37" s="43">
        <f>'LCI_AD-a'!E35</f>
        <v>0</v>
      </c>
      <c r="F37" s="44"/>
    </row>
    <row r="38" spans="1:6" x14ac:dyDescent="0.35">
      <c r="A38" s="54"/>
      <c r="B38" s="46"/>
      <c r="C38" s="46" t="s">
        <v>15</v>
      </c>
      <c r="D38" s="46" t="s">
        <v>228</v>
      </c>
      <c r="E38" s="46">
        <f>'LCI_AD-a'!E36</f>
        <v>18.008880467039923</v>
      </c>
      <c r="F38" s="47" t="s">
        <v>88</v>
      </c>
    </row>
    <row r="39" spans="1:6" x14ac:dyDescent="0.35">
      <c r="A39" s="54"/>
      <c r="B39" s="46"/>
      <c r="C39" s="46" t="s">
        <v>15</v>
      </c>
      <c r="D39" s="46" t="s">
        <v>230</v>
      </c>
      <c r="E39" s="46">
        <f>'LCI_AD-a'!E37</f>
        <v>50.21783936417313</v>
      </c>
      <c r="F39" s="47" t="s">
        <v>88</v>
      </c>
    </row>
    <row r="40" spans="1:6" x14ac:dyDescent="0.35">
      <c r="A40" s="54"/>
      <c r="B40" s="46"/>
      <c r="C40" s="46" t="s">
        <v>15</v>
      </c>
      <c r="D40" s="46" t="s">
        <v>229</v>
      </c>
      <c r="E40" s="46">
        <f>'LCI_AD-a'!E38</f>
        <v>18.509017076560308</v>
      </c>
      <c r="F40" s="47" t="s">
        <v>88</v>
      </c>
    </row>
    <row r="41" spans="1:6" x14ac:dyDescent="0.35">
      <c r="A41" s="54"/>
      <c r="B41" s="46"/>
      <c r="C41" s="46" t="s">
        <v>15</v>
      </c>
      <c r="D41" s="46" t="s">
        <v>231</v>
      </c>
      <c r="E41" s="46">
        <f>'LCI_AD-a'!E39</f>
        <v>157.6259364797985</v>
      </c>
      <c r="F41" s="47" t="s">
        <v>88</v>
      </c>
    </row>
    <row r="42" spans="1:6" x14ac:dyDescent="0.35">
      <c r="A42" s="54"/>
      <c r="B42" s="46"/>
      <c r="C42" s="46" t="s">
        <v>15</v>
      </c>
      <c r="D42" s="57" t="s">
        <v>423</v>
      </c>
      <c r="E42" s="46">
        <f>E27</f>
        <v>3876.4660709036466</v>
      </c>
      <c r="F42" s="58" t="s">
        <v>219</v>
      </c>
    </row>
    <row r="43" spans="1:6" x14ac:dyDescent="0.35">
      <c r="A43" s="55"/>
      <c r="B43" s="49"/>
      <c r="C43" s="49"/>
      <c r="D43" s="59"/>
      <c r="E43" s="49"/>
      <c r="F43" s="50"/>
    </row>
    <row r="44" spans="1:6" x14ac:dyDescent="0.35">
      <c r="A44" s="40" t="s">
        <v>485</v>
      </c>
      <c r="C44" s="57" t="s">
        <v>495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7E6EE-E745-4C3B-867B-FF103B0719E9}">
  <dimension ref="A1:F53"/>
  <sheetViews>
    <sheetView topLeftCell="A4" zoomScale="80" zoomScaleNormal="80" workbookViewId="0">
      <selection activeCell="D65" sqref="D65"/>
    </sheetView>
  </sheetViews>
  <sheetFormatPr baseColWidth="10" defaultRowHeight="14.5" x14ac:dyDescent="0.35"/>
  <cols>
    <col min="1" max="1" width="33.26953125" bestFit="1" customWidth="1"/>
    <col min="3" max="3" width="18.7265625" customWidth="1"/>
    <col min="4" max="4" width="27.54296875" bestFit="1" customWidth="1"/>
  </cols>
  <sheetData>
    <row r="1" spans="1:6" x14ac:dyDescent="0.35">
      <c r="A1" s="40" t="s">
        <v>478</v>
      </c>
    </row>
    <row r="2" spans="1:6" x14ac:dyDescent="0.35">
      <c r="A2" s="61" t="s">
        <v>0</v>
      </c>
      <c r="B2" s="62" t="s">
        <v>10</v>
      </c>
      <c r="C2" s="62" t="s">
        <v>11</v>
      </c>
      <c r="D2" s="62" t="s">
        <v>12</v>
      </c>
      <c r="E2" s="62" t="s">
        <v>1</v>
      </c>
      <c r="F2" s="63" t="s">
        <v>2</v>
      </c>
    </row>
    <row r="3" spans="1:6" x14ac:dyDescent="0.35">
      <c r="A3" s="42" t="s">
        <v>5</v>
      </c>
      <c r="B3" s="43" t="s">
        <v>3</v>
      </c>
      <c r="C3" s="43" t="s">
        <v>15</v>
      </c>
      <c r="D3" s="43" t="s">
        <v>13</v>
      </c>
      <c r="E3" s="43">
        <v>1</v>
      </c>
      <c r="F3" s="44" t="s">
        <v>14</v>
      </c>
    </row>
    <row r="4" spans="1:6" x14ac:dyDescent="0.35">
      <c r="A4" s="54"/>
      <c r="B4" s="46" t="s">
        <v>3</v>
      </c>
      <c r="C4" s="46" t="s">
        <v>15</v>
      </c>
      <c r="D4" s="46" t="s">
        <v>8</v>
      </c>
      <c r="E4" s="46">
        <f>E3*Parameters!C3</f>
        <v>9.98</v>
      </c>
      <c r="F4" s="47" t="s">
        <v>128</v>
      </c>
    </row>
    <row r="5" spans="1:6" x14ac:dyDescent="0.35">
      <c r="A5" s="54"/>
      <c r="B5" s="46" t="s">
        <v>3</v>
      </c>
      <c r="C5" s="46" t="s">
        <v>15</v>
      </c>
      <c r="D5" s="46" t="s">
        <v>9</v>
      </c>
      <c r="E5" s="46"/>
      <c r="F5" s="47"/>
    </row>
    <row r="6" spans="1:6" x14ac:dyDescent="0.35">
      <c r="A6" s="55"/>
      <c r="B6" s="49" t="s">
        <v>4</v>
      </c>
      <c r="C6" s="49" t="s">
        <v>17</v>
      </c>
      <c r="D6" s="49" t="s">
        <v>236</v>
      </c>
      <c r="E6" s="49">
        <f>E3*Parameters!C5</f>
        <v>0.77</v>
      </c>
      <c r="F6" s="50" t="s">
        <v>14</v>
      </c>
    </row>
    <row r="7" spans="1:6" x14ac:dyDescent="0.35">
      <c r="A7" s="51" t="s">
        <v>235</v>
      </c>
      <c r="B7" s="52" t="s">
        <v>3</v>
      </c>
      <c r="C7" s="52" t="s">
        <v>17</v>
      </c>
      <c r="D7" s="49" t="s">
        <v>422</v>
      </c>
      <c r="E7" s="65">
        <f>E8*0.001*Parameters!C6</f>
        <v>2.2999999999999998</v>
      </c>
      <c r="F7" s="50" t="s">
        <v>284</v>
      </c>
    </row>
    <row r="8" spans="1:6" x14ac:dyDescent="0.35">
      <c r="B8" s="69" t="s">
        <v>3</v>
      </c>
      <c r="C8" s="69" t="s">
        <v>17</v>
      </c>
      <c r="D8" s="69" t="s">
        <v>237</v>
      </c>
      <c r="E8" s="69">
        <f>E3*(1-Parameters!C5)*1000</f>
        <v>229.99999999999997</v>
      </c>
      <c r="F8" s="70" t="s">
        <v>88</v>
      </c>
    </row>
    <row r="9" spans="1:6" x14ac:dyDescent="0.35">
      <c r="A9" s="42" t="s">
        <v>6</v>
      </c>
      <c r="B9" s="43" t="s">
        <v>3</v>
      </c>
      <c r="C9" s="43" t="s">
        <v>17</v>
      </c>
      <c r="D9" s="43" t="s">
        <v>16</v>
      </c>
      <c r="E9" s="43">
        <f>E6</f>
        <v>0.77</v>
      </c>
      <c r="F9" s="44" t="s">
        <v>14</v>
      </c>
    </row>
    <row r="10" spans="1:6" x14ac:dyDescent="0.35">
      <c r="A10" s="54"/>
      <c r="B10" s="46" t="s">
        <v>3</v>
      </c>
      <c r="C10" s="46" t="s">
        <v>17</v>
      </c>
      <c r="D10" s="46" t="s">
        <v>8</v>
      </c>
      <c r="E10" s="46">
        <f>Parameters!C14*E9</f>
        <v>22.330000000000002</v>
      </c>
      <c r="F10" s="47" t="s">
        <v>128</v>
      </c>
    </row>
    <row r="11" spans="1:6" x14ac:dyDescent="0.35">
      <c r="A11" s="54"/>
      <c r="B11" s="46" t="s">
        <v>3</v>
      </c>
      <c r="C11" s="46" t="s">
        <v>17</v>
      </c>
      <c r="D11" s="46" t="s">
        <v>18</v>
      </c>
      <c r="E11" s="46">
        <f>E9*Parameters!C15</f>
        <v>227.15</v>
      </c>
      <c r="F11" s="47" t="s">
        <v>219</v>
      </c>
    </row>
    <row r="12" spans="1:6" x14ac:dyDescent="0.35">
      <c r="A12" s="54"/>
      <c r="B12" s="46" t="s">
        <v>4</v>
      </c>
      <c r="C12" s="46" t="s">
        <v>20</v>
      </c>
      <c r="D12" s="46" t="s">
        <v>19</v>
      </c>
      <c r="E12" s="46">
        <f>Parameters!C9*(Parameters!C7*(1-Waste_characteristics!B4))*E9*Parameters!C11*0.001</f>
        <v>1.5118453902366449</v>
      </c>
      <c r="F12" s="47" t="s">
        <v>88</v>
      </c>
    </row>
    <row r="13" spans="1:6" x14ac:dyDescent="0.35">
      <c r="A13" s="54"/>
      <c r="B13" s="46" t="s">
        <v>4</v>
      </c>
      <c r="C13" s="46" t="s">
        <v>17</v>
      </c>
      <c r="D13" s="46" t="s">
        <v>21</v>
      </c>
      <c r="E13" s="46">
        <f>(((Parameters!C7*(1-Waste_characteristics!B4))/Parameters!C10)*0.001)-((E12/Parameters!C11)*(1/Parameters!C10))</f>
        <v>223.74984536240387</v>
      </c>
      <c r="F13" s="47" t="s">
        <v>239</v>
      </c>
    </row>
    <row r="14" spans="1:6" x14ac:dyDescent="0.35">
      <c r="A14" s="55"/>
      <c r="B14" s="49" t="s">
        <v>4</v>
      </c>
      <c r="C14" s="49" t="s">
        <v>15</v>
      </c>
      <c r="D14" s="49" t="s">
        <v>349</v>
      </c>
      <c r="E14" s="49">
        <f>Parameters!C66*E9</f>
        <v>0.55582190304980872</v>
      </c>
      <c r="F14" s="50" t="s">
        <v>14</v>
      </c>
    </row>
    <row r="15" spans="1:6" x14ac:dyDescent="0.35">
      <c r="A15" s="42" t="s">
        <v>476</v>
      </c>
      <c r="B15" s="132" t="s">
        <v>3</v>
      </c>
      <c r="C15" s="43" t="s">
        <v>17</v>
      </c>
      <c r="D15" s="132" t="s">
        <v>21</v>
      </c>
      <c r="E15" s="43">
        <f>E13</f>
        <v>223.74984536240387</v>
      </c>
      <c r="F15" s="64" t="s">
        <v>239</v>
      </c>
    </row>
    <row r="16" spans="1:6" x14ac:dyDescent="0.35">
      <c r="A16" s="54"/>
      <c r="B16" s="46" t="s">
        <v>4</v>
      </c>
      <c r="C16" s="46" t="s">
        <v>20</v>
      </c>
      <c r="D16" s="46" t="s">
        <v>97</v>
      </c>
      <c r="E16" s="67">
        <f>Parameters!C34*E15</f>
        <v>449.6664772746185</v>
      </c>
      <c r="F16" s="58" t="s">
        <v>88</v>
      </c>
    </row>
    <row r="17" spans="1:6" x14ac:dyDescent="0.35">
      <c r="A17" s="54"/>
      <c r="B17" s="46" t="s">
        <v>4</v>
      </c>
      <c r="C17" s="46" t="s">
        <v>20</v>
      </c>
      <c r="D17" s="46" t="s">
        <v>96</v>
      </c>
      <c r="E17" s="67">
        <f>$E$15*Parameters!C35</f>
        <v>5.7327997102740213E-3</v>
      </c>
      <c r="F17" s="58" t="s">
        <v>88</v>
      </c>
    </row>
    <row r="18" spans="1:6" x14ac:dyDescent="0.35">
      <c r="A18" s="54"/>
      <c r="B18" s="46" t="s">
        <v>4</v>
      </c>
      <c r="C18" s="46" t="s">
        <v>20</v>
      </c>
      <c r="D18" s="46" t="s">
        <v>111</v>
      </c>
      <c r="E18" s="67">
        <f>$E$15*Parameters!C36</f>
        <v>5.7327997102740213E-3</v>
      </c>
      <c r="F18" s="58" t="s">
        <v>88</v>
      </c>
    </row>
    <row r="19" spans="1:6" x14ac:dyDescent="0.35">
      <c r="A19" s="54"/>
      <c r="B19" s="46" t="s">
        <v>4</v>
      </c>
      <c r="C19" s="46" t="s">
        <v>20</v>
      </c>
      <c r="D19" s="46" t="s">
        <v>142</v>
      </c>
      <c r="E19" s="67">
        <f>$E$15*Parameters!C37</f>
        <v>3.9771297990026024E-2</v>
      </c>
      <c r="F19" s="58" t="s">
        <v>88</v>
      </c>
    </row>
    <row r="20" spans="1:6" x14ac:dyDescent="0.35">
      <c r="A20" s="54"/>
      <c r="B20" s="46" t="s">
        <v>4</v>
      </c>
      <c r="C20" s="46" t="s">
        <v>20</v>
      </c>
      <c r="D20" s="46" t="s">
        <v>143</v>
      </c>
      <c r="E20" s="67">
        <f>$E$15*Parameters!C38</f>
        <v>2.9165618526019083E-2</v>
      </c>
      <c r="F20" s="58" t="s">
        <v>88</v>
      </c>
    </row>
    <row r="21" spans="1:6" x14ac:dyDescent="0.35">
      <c r="A21" s="54"/>
      <c r="B21" s="46" t="s">
        <v>4</v>
      </c>
      <c r="C21" s="46" t="s">
        <v>20</v>
      </c>
      <c r="D21" s="46" t="s">
        <v>144</v>
      </c>
      <c r="E21" s="67">
        <f>$E$15*Parameters!C39</f>
        <v>2.9165618526019083E-2</v>
      </c>
      <c r="F21" s="58" t="s">
        <v>88</v>
      </c>
    </row>
    <row r="22" spans="1:6" x14ac:dyDescent="0.35">
      <c r="A22" s="54"/>
      <c r="B22" s="46" t="s">
        <v>4</v>
      </c>
      <c r="C22" s="46" t="s">
        <v>20</v>
      </c>
      <c r="D22" s="46" t="s">
        <v>124</v>
      </c>
      <c r="E22" s="67">
        <f>$E$15*Parameters!C40</f>
        <v>0.38338098062457515</v>
      </c>
      <c r="F22" s="58" t="s">
        <v>88</v>
      </c>
    </row>
    <row r="23" spans="1:6" x14ac:dyDescent="0.35">
      <c r="A23" s="54"/>
      <c r="B23" s="46" t="s">
        <v>4</v>
      </c>
      <c r="C23" s="46" t="s">
        <v>20</v>
      </c>
      <c r="D23" s="46" t="s">
        <v>110</v>
      </c>
      <c r="E23" s="67">
        <f>$E$15*Parameters!C41</f>
        <v>1.2110539387953869E-2</v>
      </c>
      <c r="F23" s="58" t="s">
        <v>88</v>
      </c>
    </row>
    <row r="24" spans="1:6" x14ac:dyDescent="0.35">
      <c r="A24" s="54"/>
      <c r="B24" s="46" t="s">
        <v>4</v>
      </c>
      <c r="C24" s="46" t="s">
        <v>20</v>
      </c>
      <c r="D24" s="46" t="s">
        <v>123</v>
      </c>
      <c r="E24" s="67">
        <f>$E$15*Parameters!C42</f>
        <v>0.32246998370291369</v>
      </c>
      <c r="F24" s="58" t="s">
        <v>88</v>
      </c>
    </row>
    <row r="25" spans="1:6" x14ac:dyDescent="0.35">
      <c r="A25" s="54"/>
      <c r="B25" s="46" t="s">
        <v>4</v>
      </c>
      <c r="C25" s="46" t="s">
        <v>20</v>
      </c>
      <c r="D25" s="46" t="s">
        <v>145</v>
      </c>
      <c r="E25" s="67">
        <f>$E$15*Parameters!C43</f>
        <v>1.9276539025796395E-2</v>
      </c>
      <c r="F25" s="58" t="s">
        <v>88</v>
      </c>
    </row>
    <row r="26" spans="1:6" x14ac:dyDescent="0.35">
      <c r="A26" s="54"/>
      <c r="B26" s="57" t="s">
        <v>3</v>
      </c>
      <c r="C26" s="49" t="s">
        <v>15</v>
      </c>
      <c r="D26" s="46" t="s">
        <v>8</v>
      </c>
      <c r="E26" s="67">
        <f>$E$15*Parameters!C44</f>
        <v>0.60859957938573861</v>
      </c>
      <c r="F26" s="58" t="s">
        <v>128</v>
      </c>
    </row>
    <row r="27" spans="1:6" x14ac:dyDescent="0.35">
      <c r="A27" s="54"/>
      <c r="B27" s="46" t="s">
        <v>4</v>
      </c>
      <c r="C27" s="46" t="s">
        <v>15</v>
      </c>
      <c r="D27" s="46" t="s">
        <v>18</v>
      </c>
      <c r="E27" s="46">
        <f>E15*Parameters!C10*Parameters!C20*Parameters!C33</f>
        <v>3876.4660709036466</v>
      </c>
      <c r="F27" s="58" t="s">
        <v>219</v>
      </c>
    </row>
    <row r="28" spans="1:6" x14ac:dyDescent="0.35">
      <c r="A28" s="42" t="s">
        <v>272</v>
      </c>
      <c r="B28" s="43" t="s">
        <v>3</v>
      </c>
      <c r="C28" s="43" t="s">
        <v>15</v>
      </c>
      <c r="D28" s="43" t="s">
        <v>349</v>
      </c>
      <c r="E28" s="43">
        <f>'LCI_AD-d'!E24</f>
        <v>0.55582190304980872</v>
      </c>
      <c r="F28" s="64" t="s">
        <v>14</v>
      </c>
    </row>
    <row r="29" spans="1:6" x14ac:dyDescent="0.35">
      <c r="A29" s="54"/>
      <c r="B29" s="46" t="s">
        <v>3</v>
      </c>
      <c r="C29" s="46" t="s">
        <v>15</v>
      </c>
      <c r="D29" s="46" t="s">
        <v>273</v>
      </c>
      <c r="E29" s="46">
        <f>'LCI_AD-d'!E25</f>
        <v>2.0184751679156081</v>
      </c>
      <c r="F29" s="58" t="s">
        <v>128</v>
      </c>
    </row>
    <row r="30" spans="1:6" x14ac:dyDescent="0.35">
      <c r="A30" s="54"/>
      <c r="B30" s="46" t="s">
        <v>4</v>
      </c>
      <c r="C30" s="46" t="s">
        <v>15</v>
      </c>
      <c r="D30" s="46" t="s">
        <v>275</v>
      </c>
      <c r="E30" s="46">
        <f>'LCI_AD-d'!E26</f>
        <v>0.29700390349065475</v>
      </c>
      <c r="F30" s="58" t="s">
        <v>14</v>
      </c>
    </row>
    <row r="31" spans="1:6" x14ac:dyDescent="0.35">
      <c r="A31" s="55"/>
      <c r="B31" s="49" t="s">
        <v>4</v>
      </c>
      <c r="C31" s="49" t="s">
        <v>15</v>
      </c>
      <c r="D31" s="49" t="s">
        <v>274</v>
      </c>
      <c r="E31" s="49">
        <f>'LCI_AD-d'!E27</f>
        <v>0.25911227332692982</v>
      </c>
      <c r="F31" s="60" t="s">
        <v>239</v>
      </c>
    </row>
    <row r="32" spans="1:6" x14ac:dyDescent="0.35">
      <c r="A32" s="42" t="s">
        <v>287</v>
      </c>
      <c r="B32" s="43" t="s">
        <v>3</v>
      </c>
      <c r="C32" s="43" t="s">
        <v>15</v>
      </c>
      <c r="D32" s="43" t="s">
        <v>275</v>
      </c>
      <c r="E32" s="43">
        <f>'LCI_AD-d'!E28</f>
        <v>0.29700390349065475</v>
      </c>
      <c r="F32" s="64" t="s">
        <v>14</v>
      </c>
    </row>
    <row r="33" spans="1:6" x14ac:dyDescent="0.35">
      <c r="A33" s="54"/>
      <c r="B33" s="46" t="s">
        <v>4</v>
      </c>
      <c r="C33" s="46" t="s">
        <v>20</v>
      </c>
      <c r="D33" s="46" t="s">
        <v>96</v>
      </c>
      <c r="E33" s="46">
        <f>'LCI_AD-d'!E29</f>
        <v>8.8228561282663459E-2</v>
      </c>
      <c r="F33" s="58" t="s">
        <v>88</v>
      </c>
    </row>
    <row r="34" spans="1:6" x14ac:dyDescent="0.35">
      <c r="A34" s="54"/>
      <c r="B34" s="46" t="s">
        <v>4</v>
      </c>
      <c r="C34" s="46" t="s">
        <v>20</v>
      </c>
      <c r="D34" s="46" t="s">
        <v>111</v>
      </c>
      <c r="E34" s="46">
        <f>'LCI_AD-d'!E30</f>
        <v>6.2318617185905041E-2</v>
      </c>
      <c r="F34" s="58" t="s">
        <v>88</v>
      </c>
    </row>
    <row r="35" spans="1:6" x14ac:dyDescent="0.35">
      <c r="A35" s="54"/>
      <c r="B35" s="46" t="s">
        <v>4</v>
      </c>
      <c r="C35" s="46" t="s">
        <v>20</v>
      </c>
      <c r="D35" s="46" t="s">
        <v>110</v>
      </c>
      <c r="E35" s="46">
        <f>'LCI_AD-d'!E31</f>
        <v>0.20275913725557618</v>
      </c>
      <c r="F35" s="58" t="s">
        <v>88</v>
      </c>
    </row>
    <row r="36" spans="1:6" x14ac:dyDescent="0.35">
      <c r="A36" s="54"/>
      <c r="B36" s="46" t="s">
        <v>4</v>
      </c>
      <c r="C36" s="46" t="s">
        <v>20</v>
      </c>
      <c r="D36" s="46" t="s">
        <v>288</v>
      </c>
      <c r="E36" s="46">
        <f>'LCI_AD-d'!E32</f>
        <v>3.0888405963028092E-2</v>
      </c>
      <c r="F36" s="58" t="s">
        <v>88</v>
      </c>
    </row>
    <row r="37" spans="1:6" x14ac:dyDescent="0.35">
      <c r="A37" s="54"/>
      <c r="B37" s="46" t="s">
        <v>4</v>
      </c>
      <c r="C37" s="46" t="s">
        <v>20</v>
      </c>
      <c r="D37" s="46" t="s">
        <v>123</v>
      </c>
      <c r="E37" s="46">
        <f>'LCI_AD-d'!E33</f>
        <v>0.12509676555232005</v>
      </c>
      <c r="F37" s="58" t="s">
        <v>88</v>
      </c>
    </row>
    <row r="38" spans="1:6" x14ac:dyDescent="0.35">
      <c r="A38" s="54"/>
      <c r="B38" s="46" t="s">
        <v>4</v>
      </c>
      <c r="C38" s="46" t="s">
        <v>15</v>
      </c>
      <c r="D38" s="46" t="s">
        <v>346</v>
      </c>
      <c r="E38" s="46">
        <f>'LCI_AD-d'!E34</f>
        <v>0.15444202981514046</v>
      </c>
      <c r="F38" s="58" t="s">
        <v>14</v>
      </c>
    </row>
    <row r="39" spans="1:6" x14ac:dyDescent="0.35">
      <c r="A39" s="54"/>
      <c r="B39" s="46" t="s">
        <v>3</v>
      </c>
      <c r="C39" s="46" t="s">
        <v>15</v>
      </c>
      <c r="D39" s="46" t="s">
        <v>273</v>
      </c>
      <c r="E39" s="46">
        <f>'LCI_AD-d'!E35</f>
        <v>3.1254739440189945</v>
      </c>
      <c r="F39" s="58" t="s">
        <v>128</v>
      </c>
    </row>
    <row r="40" spans="1:6" x14ac:dyDescent="0.35">
      <c r="A40" s="55"/>
      <c r="B40" s="49" t="s">
        <v>3</v>
      </c>
      <c r="C40" s="49" t="s">
        <v>15</v>
      </c>
      <c r="D40" s="49" t="s">
        <v>289</v>
      </c>
      <c r="E40" s="49">
        <f>'LCI_AD-d'!E36</f>
        <v>0.44883055543440464</v>
      </c>
      <c r="F40" s="60" t="s">
        <v>88</v>
      </c>
    </row>
    <row r="41" spans="1:6" x14ac:dyDescent="0.35">
      <c r="A41" s="45" t="s">
        <v>353</v>
      </c>
      <c r="B41" s="46"/>
      <c r="C41" s="46"/>
      <c r="D41" s="46"/>
      <c r="E41" s="46">
        <f>'LCI_AD-d'!E37</f>
        <v>0</v>
      </c>
      <c r="F41" s="47"/>
    </row>
    <row r="42" spans="1:6" x14ac:dyDescent="0.35">
      <c r="A42" s="54"/>
      <c r="B42" s="46" t="s">
        <v>4</v>
      </c>
      <c r="C42" s="46" t="s">
        <v>20</v>
      </c>
      <c r="D42" s="126" t="s">
        <v>111</v>
      </c>
      <c r="E42" s="46">
        <f>'LCI_AD-d'!E38</f>
        <v>1.3194213595067839E-2</v>
      </c>
      <c r="F42" s="58" t="s">
        <v>88</v>
      </c>
    </row>
    <row r="43" spans="1:6" x14ac:dyDescent="0.35">
      <c r="A43" s="54"/>
      <c r="B43" s="46" t="s">
        <v>4</v>
      </c>
      <c r="C43" s="46" t="s">
        <v>20</v>
      </c>
      <c r="D43" s="126" t="s">
        <v>110</v>
      </c>
      <c r="E43" s="46">
        <f>'LCI_AD-d'!E39</f>
        <v>7.8947677886819778E-2</v>
      </c>
      <c r="F43" s="58" t="s">
        <v>88</v>
      </c>
    </row>
    <row r="44" spans="1:6" x14ac:dyDescent="0.35">
      <c r="A44" s="54"/>
      <c r="B44" s="46" t="s">
        <v>4</v>
      </c>
      <c r="C44" s="46" t="s">
        <v>20</v>
      </c>
      <c r="D44" s="126" t="s">
        <v>114</v>
      </c>
      <c r="E44">
        <f>'LCI_AD-d'!E40</f>
        <v>2.6495849106130924</v>
      </c>
      <c r="F44" s="58" t="s">
        <v>88</v>
      </c>
    </row>
    <row r="45" spans="1:6" x14ac:dyDescent="0.35">
      <c r="A45" s="54"/>
      <c r="B45" s="46" t="s">
        <v>4</v>
      </c>
      <c r="C45" s="46" t="s">
        <v>20</v>
      </c>
      <c r="D45" s="126" t="s">
        <v>414</v>
      </c>
      <c r="E45">
        <f>'LCI_AD-d'!E41</f>
        <v>-3.9495205780320404E-2</v>
      </c>
      <c r="F45" s="58" t="s">
        <v>88</v>
      </c>
    </row>
    <row r="46" spans="1:6" x14ac:dyDescent="0.35">
      <c r="A46" s="54"/>
      <c r="B46" s="46" t="s">
        <v>4</v>
      </c>
      <c r="C46" s="46" t="s">
        <v>20</v>
      </c>
      <c r="D46" s="126" t="s">
        <v>415</v>
      </c>
      <c r="E46">
        <f>'LCI_AD-d'!E42</f>
        <v>-30.816321150470795</v>
      </c>
      <c r="F46" s="58" t="s">
        <v>88</v>
      </c>
    </row>
    <row r="47" spans="1:6" x14ac:dyDescent="0.35">
      <c r="A47" s="42" t="s">
        <v>421</v>
      </c>
      <c r="B47" s="43"/>
      <c r="C47" s="43"/>
      <c r="D47" s="43"/>
      <c r="E47" s="43">
        <f>'LCI_AD-d'!E43</f>
        <v>0</v>
      </c>
      <c r="F47" s="64" t="s">
        <v>88</v>
      </c>
    </row>
    <row r="48" spans="1:6" x14ac:dyDescent="0.35">
      <c r="A48" s="54"/>
      <c r="B48" s="46"/>
      <c r="C48" s="46" t="s">
        <v>15</v>
      </c>
      <c r="D48" s="46" t="s">
        <v>228</v>
      </c>
      <c r="E48" s="46">
        <f>'LCI_AD-d'!E44</f>
        <v>9.8391402733887965</v>
      </c>
      <c r="F48" s="58" t="s">
        <v>88</v>
      </c>
    </row>
    <row r="49" spans="1:6" x14ac:dyDescent="0.35">
      <c r="A49" s="54"/>
      <c r="B49" s="46"/>
      <c r="C49" s="46" t="s">
        <v>15</v>
      </c>
      <c r="D49" s="46" t="s">
        <v>230</v>
      </c>
      <c r="E49" s="46">
        <f>'LCI_AD-d'!E45</f>
        <v>31.938545835614104</v>
      </c>
      <c r="F49" s="58" t="s">
        <v>88</v>
      </c>
    </row>
    <row r="50" spans="1:6" x14ac:dyDescent="0.35">
      <c r="A50" s="54"/>
      <c r="B50" s="46"/>
      <c r="C50" s="46" t="s">
        <v>15</v>
      </c>
      <c r="D50" s="46" t="s">
        <v>229</v>
      </c>
      <c r="E50" s="46">
        <f>'LCI_AD-d'!E46</f>
        <v>2.8466868263749747</v>
      </c>
      <c r="F50" s="58" t="s">
        <v>88</v>
      </c>
    </row>
    <row r="51" spans="1:6" x14ac:dyDescent="0.35">
      <c r="A51" s="54"/>
      <c r="B51" s="46"/>
      <c r="C51" s="46" t="s">
        <v>15</v>
      </c>
      <c r="D51" s="46" t="s">
        <v>231</v>
      </c>
      <c r="E51" s="46">
        <f>'LCI_AD-d'!E47</f>
        <v>42.109844591027695</v>
      </c>
      <c r="F51" s="58" t="s">
        <v>88</v>
      </c>
    </row>
    <row r="52" spans="1:6" x14ac:dyDescent="0.35">
      <c r="A52" s="55"/>
      <c r="B52" s="49"/>
      <c r="C52" s="49" t="s">
        <v>15</v>
      </c>
      <c r="D52" s="59" t="s">
        <v>423</v>
      </c>
      <c r="E52" s="49">
        <f>E27</f>
        <v>3876.4660709036466</v>
      </c>
      <c r="F52" s="60" t="s">
        <v>219</v>
      </c>
    </row>
    <row r="53" spans="1:6" x14ac:dyDescent="0.35">
      <c r="A53" s="40" t="s">
        <v>485</v>
      </c>
      <c r="C53" s="57" t="s">
        <v>495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B0B8B-1FF2-4509-8B5B-683B64610CAB}">
  <dimension ref="A1:J35"/>
  <sheetViews>
    <sheetView topLeftCell="A8" zoomScale="61" workbookViewId="0">
      <selection activeCell="E24" sqref="E24"/>
    </sheetView>
  </sheetViews>
  <sheetFormatPr baseColWidth="10" defaultRowHeight="14.5" x14ac:dyDescent="0.35"/>
  <cols>
    <col min="1" max="1" width="24.08984375" customWidth="1"/>
  </cols>
  <sheetData>
    <row r="1" spans="1:4" x14ac:dyDescent="0.35">
      <c r="C1" t="s">
        <v>2</v>
      </c>
    </row>
    <row r="2" spans="1:4" x14ac:dyDescent="0.35">
      <c r="A2" t="s">
        <v>86</v>
      </c>
      <c r="B2">
        <v>1</v>
      </c>
      <c r="C2" t="s">
        <v>14</v>
      </c>
    </row>
    <row r="3" spans="1:4" x14ac:dyDescent="0.35">
      <c r="A3" t="s">
        <v>95</v>
      </c>
      <c r="B3">
        <f>B2-B7</f>
        <v>1</v>
      </c>
      <c r="C3" t="s">
        <v>14</v>
      </c>
    </row>
    <row r="4" spans="1:4" x14ac:dyDescent="0.35">
      <c r="A4" t="s">
        <v>92</v>
      </c>
      <c r="B4" s="1">
        <f>[2]mass_composition!$D$99/[2]mass_composition!$C$99</f>
        <v>0.63542862972818215</v>
      </c>
      <c r="C4" t="s">
        <v>261</v>
      </c>
      <c r="D4" s="25">
        <v>0.72</v>
      </c>
    </row>
    <row r="5" spans="1:4" x14ac:dyDescent="0.35">
      <c r="A5" t="s">
        <v>93</v>
      </c>
      <c r="B5" s="1">
        <f>[2]mass_composition!$F$99/[2]mass_composition!$E$99</f>
        <v>0.96463820566622438</v>
      </c>
      <c r="C5" t="s">
        <v>87</v>
      </c>
    </row>
    <row r="6" spans="1:4" x14ac:dyDescent="0.35">
      <c r="A6" t="s">
        <v>93</v>
      </c>
      <c r="B6" s="4">
        <f>B3*(1-B4)*B5</f>
        <v>0.35167947245628306</v>
      </c>
      <c r="C6" t="s">
        <v>14</v>
      </c>
    </row>
    <row r="7" spans="1:4" x14ac:dyDescent="0.35">
      <c r="A7" t="s">
        <v>91</v>
      </c>
      <c r="B7">
        <v>0</v>
      </c>
      <c r="C7" t="s">
        <v>14</v>
      </c>
    </row>
    <row r="8" spans="1:4" x14ac:dyDescent="0.35">
      <c r="A8" t="s">
        <v>263</v>
      </c>
      <c r="B8" s="10">
        <f>[2]mass_composition!$R$99/[2]mass_composition!$E$99</f>
        <v>3.2826763766385117E-2</v>
      </c>
      <c r="C8" t="s">
        <v>265</v>
      </c>
    </row>
    <row r="9" spans="1:4" x14ac:dyDescent="0.35">
      <c r="A9" t="s">
        <v>264</v>
      </c>
      <c r="B9" s="1">
        <f>[2]mass_composition!$J$99/[2]mass_composition!$E$99</f>
        <v>0.46707762798496266</v>
      </c>
      <c r="C9" t="s">
        <v>265</v>
      </c>
    </row>
    <row r="10" spans="1:4" x14ac:dyDescent="0.35">
      <c r="A10" t="s">
        <v>270</v>
      </c>
      <c r="B10" s="10">
        <f>[2]mass_composition!$U$99/[2]mass_composition!$E$99</f>
        <v>4.0243826369155064E-3</v>
      </c>
      <c r="C10" t="s">
        <v>265</v>
      </c>
    </row>
    <row r="11" spans="1:4" x14ac:dyDescent="0.35">
      <c r="A11" t="s">
        <v>271</v>
      </c>
      <c r="B11" s="1">
        <f>[2]mass_composition!$Q$99/[2]mass_composition!$E$99</f>
        <v>8.2642016535860938E-3</v>
      </c>
      <c r="C11" t="s">
        <v>265</v>
      </c>
    </row>
    <row r="13" spans="1:4" x14ac:dyDescent="0.35">
      <c r="A13" t="s">
        <v>263</v>
      </c>
      <c r="B13">
        <f>B8*(1-H2O_FW)</f>
        <v>1.1967698247900282E-2</v>
      </c>
      <c r="C13" t="s">
        <v>434</v>
      </c>
    </row>
    <row r="14" spans="1:4" x14ac:dyDescent="0.35">
      <c r="A14" t="s">
        <v>264</v>
      </c>
      <c r="B14">
        <f>B9*(1-H2O_FW)</f>
        <v>0.17028313085778821</v>
      </c>
      <c r="C14" t="s">
        <v>434</v>
      </c>
    </row>
    <row r="15" spans="1:4" x14ac:dyDescent="0.35">
      <c r="A15" t="s">
        <v>270</v>
      </c>
      <c r="B15">
        <f>B10*(1-H2O_FW)</f>
        <v>1.4671746924383978E-3</v>
      </c>
      <c r="C15" t="s">
        <v>434</v>
      </c>
    </row>
    <row r="16" spans="1:4" x14ac:dyDescent="0.35">
      <c r="A16" t="s">
        <v>271</v>
      </c>
      <c r="B16">
        <f>B8*(1-H2O_FW)</f>
        <v>1.1967698247900282E-2</v>
      </c>
      <c r="C16" t="s">
        <v>434</v>
      </c>
    </row>
    <row r="35" spans="10:10" x14ac:dyDescent="0.35">
      <c r="J35" s="8" t="s">
        <v>293</v>
      </c>
    </row>
  </sheetData>
  <hyperlinks>
    <hyperlink ref="J35" r:id="rId1" location="bibr26-0734242X14545374" xr:uid="{1E7069FA-53C5-42EB-A98F-273DF0B277DF}"/>
  </hyperlinks>
  <pageMargins left="0.7" right="0.7" top="0.75" bottom="0.75" header="0.3" footer="0.3"/>
  <pageSetup paperSize="9" orientation="portrait" verticalDpi="597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6A2F4-4FB6-49BA-A556-5590FDE0E4A0}">
  <dimension ref="A1:P136"/>
  <sheetViews>
    <sheetView topLeftCell="A122" workbookViewId="0">
      <selection activeCell="C124" sqref="C124"/>
    </sheetView>
  </sheetViews>
  <sheetFormatPr baseColWidth="10" defaultRowHeight="14.5" x14ac:dyDescent="0.35"/>
  <cols>
    <col min="1" max="1" width="36.453125" customWidth="1"/>
    <col min="2" max="2" width="33.54296875" bestFit="1" customWidth="1"/>
    <col min="3" max="3" width="28.6328125" customWidth="1"/>
    <col min="4" max="4" width="33.26953125" bestFit="1" customWidth="1"/>
    <col min="5" max="5" width="22.1796875" customWidth="1"/>
    <col min="6" max="6" width="176.1796875" bestFit="1" customWidth="1"/>
    <col min="8" max="8" width="12.453125" bestFit="1" customWidth="1"/>
  </cols>
  <sheetData>
    <row r="1" spans="1:6" x14ac:dyDescent="0.35">
      <c r="A1" s="2"/>
      <c r="B1" s="2" t="s">
        <v>5</v>
      </c>
      <c r="C1" s="2"/>
      <c r="D1" s="2"/>
      <c r="E1" s="2"/>
      <c r="F1" s="2"/>
    </row>
    <row r="2" spans="1:6" x14ac:dyDescent="0.35">
      <c r="A2" s="2" t="s">
        <v>0</v>
      </c>
      <c r="B2" s="2" t="s">
        <v>56</v>
      </c>
      <c r="C2" s="2" t="s">
        <v>1</v>
      </c>
      <c r="D2" s="2" t="s">
        <v>2</v>
      </c>
      <c r="E2" s="2"/>
      <c r="F2" s="2" t="s">
        <v>60</v>
      </c>
    </row>
    <row r="3" spans="1:6" x14ac:dyDescent="0.35">
      <c r="A3" s="2" t="s">
        <v>5</v>
      </c>
      <c r="B3" s="2" t="s">
        <v>79</v>
      </c>
      <c r="C3" s="9">
        <v>9.98</v>
      </c>
      <c r="D3" s="2" t="s">
        <v>80</v>
      </c>
      <c r="E3" t="s">
        <v>325</v>
      </c>
      <c r="F3" s="2"/>
    </row>
    <row r="4" spans="1:6" x14ac:dyDescent="0.35">
      <c r="A4" s="2"/>
      <c r="B4" s="2" t="s">
        <v>232</v>
      </c>
      <c r="C4" s="6">
        <v>1</v>
      </c>
      <c r="D4" s="2" t="s">
        <v>94</v>
      </c>
      <c r="E4" s="2"/>
      <c r="F4" s="2"/>
    </row>
    <row r="5" spans="1:6" x14ac:dyDescent="0.35">
      <c r="A5" s="2"/>
      <c r="B5" s="2" t="s">
        <v>233</v>
      </c>
      <c r="C5" s="6">
        <v>0.77</v>
      </c>
      <c r="D5" s="2" t="s">
        <v>234</v>
      </c>
      <c r="E5" s="2"/>
      <c r="F5" s="2"/>
    </row>
    <row r="6" spans="1:6" x14ac:dyDescent="0.35">
      <c r="A6" s="2"/>
      <c r="B6" s="2" t="s">
        <v>419</v>
      </c>
      <c r="C6" s="26">
        <v>10</v>
      </c>
      <c r="D6" s="2" t="s">
        <v>330</v>
      </c>
      <c r="E6" s="2"/>
      <c r="F6" s="2"/>
    </row>
    <row r="7" spans="1:6" x14ac:dyDescent="0.35">
      <c r="A7" s="2" t="s">
        <v>6</v>
      </c>
      <c r="B7" s="2" t="s">
        <v>103</v>
      </c>
      <c r="C7" s="4">
        <f>374*1000</f>
        <v>374000</v>
      </c>
      <c r="D7" s="2" t="s">
        <v>238</v>
      </c>
      <c r="E7" s="2"/>
      <c r="F7" s="2" t="s">
        <v>61</v>
      </c>
    </row>
    <row r="8" spans="1:6" x14ac:dyDescent="0.35">
      <c r="A8" s="2"/>
      <c r="B8" s="2" t="s">
        <v>104</v>
      </c>
      <c r="C8" s="1">
        <v>0.86</v>
      </c>
      <c r="D8" s="2" t="s">
        <v>105</v>
      </c>
      <c r="E8" s="2"/>
      <c r="F8" s="2"/>
    </row>
    <row r="9" spans="1:6" x14ac:dyDescent="0.35">
      <c r="A9" s="2"/>
      <c r="B9" s="2" t="s">
        <v>73</v>
      </c>
      <c r="C9" s="4">
        <v>0.02</v>
      </c>
      <c r="D9" s="2"/>
      <c r="E9" s="2"/>
      <c r="F9" s="2" t="s">
        <v>62</v>
      </c>
    </row>
    <row r="10" spans="1:6" x14ac:dyDescent="0.35">
      <c r="A10" s="2"/>
      <c r="B10" s="2" t="s">
        <v>76</v>
      </c>
      <c r="C10" s="4">
        <v>0.6</v>
      </c>
      <c r="D10" s="2"/>
      <c r="E10" s="2"/>
      <c r="F10" s="2" t="s">
        <v>63</v>
      </c>
    </row>
    <row r="11" spans="1:6" x14ac:dyDescent="0.35">
      <c r="A11" s="2"/>
      <c r="B11" s="2" t="s">
        <v>77</v>
      </c>
      <c r="C11" s="4">
        <v>0.72</v>
      </c>
      <c r="D11" s="2" t="s">
        <v>78</v>
      </c>
      <c r="E11" s="2"/>
      <c r="F11" s="2" t="s">
        <v>64</v>
      </c>
    </row>
    <row r="12" spans="1:6" x14ac:dyDescent="0.35">
      <c r="A12" s="2"/>
      <c r="B12" s="2" t="s">
        <v>90</v>
      </c>
      <c r="C12" s="4">
        <v>1.98</v>
      </c>
      <c r="D12" s="2" t="s">
        <v>78</v>
      </c>
      <c r="E12" s="2"/>
      <c r="F12" s="2"/>
    </row>
    <row r="13" spans="1:6" x14ac:dyDescent="0.35">
      <c r="A13" s="2"/>
      <c r="B13" s="2" t="s">
        <v>107</v>
      </c>
      <c r="C13" s="4">
        <f>(C10*C11)+((1-C10)*C12)</f>
        <v>1.224</v>
      </c>
      <c r="D13" s="2" t="s">
        <v>78</v>
      </c>
      <c r="E13" s="2"/>
      <c r="F13" s="2"/>
    </row>
    <row r="14" spans="1:6" x14ac:dyDescent="0.35">
      <c r="A14" s="2"/>
      <c r="B14" s="2" t="s">
        <v>79</v>
      </c>
      <c r="C14" s="4">
        <v>29</v>
      </c>
      <c r="D14" s="2" t="s">
        <v>80</v>
      </c>
      <c r="E14" s="2"/>
      <c r="F14" s="2" t="s">
        <v>65</v>
      </c>
    </row>
    <row r="15" spans="1:6" x14ac:dyDescent="0.35">
      <c r="A15" s="2"/>
      <c r="B15" s="2" t="s">
        <v>81</v>
      </c>
      <c r="C15" s="4">
        <v>295</v>
      </c>
      <c r="D15" s="2" t="s">
        <v>217</v>
      </c>
      <c r="E15" s="2"/>
      <c r="F15" s="2" t="s">
        <v>66</v>
      </c>
    </row>
    <row r="16" spans="1:6" x14ac:dyDescent="0.35">
      <c r="A16" s="2"/>
      <c r="B16" s="2" t="s">
        <v>85</v>
      </c>
      <c r="C16" s="4">
        <v>0</v>
      </c>
      <c r="D16" s="2" t="s">
        <v>484</v>
      </c>
      <c r="E16" s="2"/>
      <c r="F16" s="2"/>
    </row>
    <row r="17" spans="1:6" x14ac:dyDescent="0.35">
      <c r="A17" s="2" t="s">
        <v>7</v>
      </c>
      <c r="B17" s="3" t="s">
        <v>70</v>
      </c>
      <c r="C17" s="4"/>
      <c r="D17" s="2"/>
      <c r="E17" s="2"/>
      <c r="F17" s="2" t="s">
        <v>67</v>
      </c>
    </row>
    <row r="18" spans="1:6" x14ac:dyDescent="0.35">
      <c r="A18" s="2"/>
      <c r="B18" s="2" t="s">
        <v>71</v>
      </c>
      <c r="C18" s="4">
        <v>0.46</v>
      </c>
      <c r="D18" s="2"/>
      <c r="E18" s="2"/>
      <c r="F18" s="2" t="s">
        <v>68</v>
      </c>
    </row>
    <row r="19" spans="1:6" x14ac:dyDescent="0.35">
      <c r="A19" s="2"/>
      <c r="B19" s="2" t="s">
        <v>72</v>
      </c>
      <c r="C19" s="4">
        <v>0.39</v>
      </c>
      <c r="D19" s="2"/>
      <c r="E19" s="2"/>
      <c r="F19" s="2" t="s">
        <v>82</v>
      </c>
    </row>
    <row r="20" spans="1:6" x14ac:dyDescent="0.35">
      <c r="A20" s="2"/>
      <c r="B20" s="2" t="s">
        <v>74</v>
      </c>
      <c r="C20" s="4">
        <v>35</v>
      </c>
      <c r="D20" s="2" t="s">
        <v>75</v>
      </c>
      <c r="E20" s="2"/>
      <c r="F20" s="2" t="s">
        <v>83</v>
      </c>
    </row>
    <row r="21" spans="1:6" x14ac:dyDescent="0.35">
      <c r="A21" s="2"/>
      <c r="B21" s="2" t="s">
        <v>79</v>
      </c>
      <c r="C21" s="4"/>
      <c r="D21" s="2"/>
      <c r="E21" s="2"/>
      <c r="F21" s="18" t="s">
        <v>119</v>
      </c>
    </row>
    <row r="22" spans="1:6" x14ac:dyDescent="0.35">
      <c r="A22" s="2"/>
      <c r="B22" s="2" t="s">
        <v>120</v>
      </c>
      <c r="C22" s="4">
        <v>1.54</v>
      </c>
      <c r="D22" s="2" t="s">
        <v>121</v>
      </c>
      <c r="E22" s="2"/>
      <c r="F22" s="2" t="s">
        <v>119</v>
      </c>
    </row>
    <row r="23" spans="1:6" x14ac:dyDescent="0.35">
      <c r="A23" s="2"/>
      <c r="B23" s="3" t="s">
        <v>69</v>
      </c>
      <c r="C23" s="4"/>
      <c r="D23" s="2"/>
      <c r="E23" s="2"/>
      <c r="F23" s="2"/>
    </row>
    <row r="24" spans="1:6" x14ac:dyDescent="0.35">
      <c r="A24" s="2"/>
      <c r="B24" s="2" t="s">
        <v>50</v>
      </c>
      <c r="C24" s="4">
        <v>1.6410453881552701E-4</v>
      </c>
      <c r="D24" s="2" t="s">
        <v>57</v>
      </c>
      <c r="E24" s="2"/>
      <c r="F24" s="2" t="s">
        <v>61</v>
      </c>
    </row>
    <row r="25" spans="1:6" x14ac:dyDescent="0.35">
      <c r="A25" s="2"/>
      <c r="B25" s="2" t="s">
        <v>51</v>
      </c>
      <c r="C25" s="4">
        <v>1.5816551741077416E-3</v>
      </c>
      <c r="D25" s="2" t="s">
        <v>57</v>
      </c>
      <c r="E25" s="2"/>
      <c r="F25" s="2" t="s">
        <v>62</v>
      </c>
    </row>
    <row r="26" spans="1:6" x14ac:dyDescent="0.35">
      <c r="A26" s="2"/>
      <c r="B26" s="2" t="s">
        <v>52</v>
      </c>
      <c r="C26" s="4">
        <v>1.40661033270451E-5</v>
      </c>
      <c r="D26" s="2" t="s">
        <v>57</v>
      </c>
      <c r="E26" s="2"/>
      <c r="F26" s="2" t="s">
        <v>63</v>
      </c>
    </row>
    <row r="27" spans="1:6" x14ac:dyDescent="0.35">
      <c r="A27" s="2"/>
      <c r="B27" s="2" t="s">
        <v>252</v>
      </c>
      <c r="C27" s="4">
        <v>3.4383808132776998E-5</v>
      </c>
      <c r="D27" s="2" t="s">
        <v>57</v>
      </c>
      <c r="E27" s="2"/>
      <c r="F27" s="2" t="s">
        <v>64</v>
      </c>
    </row>
    <row r="28" spans="1:6" x14ac:dyDescent="0.35">
      <c r="A28" s="2"/>
      <c r="B28" s="2" t="s">
        <v>54</v>
      </c>
      <c r="C28" s="4">
        <v>1.0682424026705944E-3</v>
      </c>
      <c r="D28" s="2" t="s">
        <v>57</v>
      </c>
      <c r="E28" s="2"/>
      <c r="F28" s="2" t="s">
        <v>65</v>
      </c>
    </row>
    <row r="29" spans="1:6" x14ac:dyDescent="0.35">
      <c r="A29" s="2"/>
      <c r="B29" s="2" t="s">
        <v>55</v>
      </c>
      <c r="C29" s="4">
        <v>6.4078915156538948E-5</v>
      </c>
      <c r="D29" s="2" t="s">
        <v>57</v>
      </c>
      <c r="E29" s="2"/>
      <c r="F29" s="2" t="s">
        <v>66</v>
      </c>
    </row>
    <row r="30" spans="1:6" x14ac:dyDescent="0.35">
      <c r="A30" s="2"/>
      <c r="B30" s="2" t="s">
        <v>58</v>
      </c>
      <c r="C30" s="4">
        <v>4.3034128423524798E-3</v>
      </c>
      <c r="D30" s="2" t="s">
        <v>57</v>
      </c>
      <c r="E30" s="2"/>
      <c r="F30" s="2" t="s">
        <v>67</v>
      </c>
    </row>
    <row r="31" spans="1:6" x14ac:dyDescent="0.35">
      <c r="A31" s="2"/>
      <c r="B31" s="2" t="s">
        <v>59</v>
      </c>
      <c r="C31" s="4">
        <v>1.024622105322019E-4</v>
      </c>
      <c r="D31" s="2" t="s">
        <v>57</v>
      </c>
      <c r="E31" s="2"/>
      <c r="F31" s="2" t="s">
        <v>68</v>
      </c>
    </row>
    <row r="32" spans="1:6" x14ac:dyDescent="0.35">
      <c r="A32" s="2" t="s">
        <v>122</v>
      </c>
      <c r="B32" s="2"/>
      <c r="C32" s="4"/>
      <c r="D32" s="2"/>
      <c r="E32" s="2"/>
      <c r="F32" s="2"/>
    </row>
    <row r="33" spans="1:13" x14ac:dyDescent="0.35">
      <c r="A33" s="2"/>
      <c r="B33" s="9" t="s">
        <v>70</v>
      </c>
      <c r="C33" s="15">
        <v>0.82499999999999996</v>
      </c>
      <c r="D33" s="9"/>
      <c r="E33" s="2"/>
      <c r="F33" s="18" t="s">
        <v>148</v>
      </c>
    </row>
    <row r="34" spans="1:13" x14ac:dyDescent="0.35">
      <c r="A34" s="2"/>
      <c r="B34" t="s">
        <v>97</v>
      </c>
      <c r="C34" s="13">
        <f t="shared" ref="C34:C43" si="0">L37*L$48</f>
        <v>2.009683968926554</v>
      </c>
      <c r="D34" s="14" t="s">
        <v>125</v>
      </c>
      <c r="E34" s="2" t="s">
        <v>147</v>
      </c>
      <c r="F34" s="2"/>
    </row>
    <row r="35" spans="1:13" x14ac:dyDescent="0.35">
      <c r="A35" s="2"/>
      <c r="B35" t="s">
        <v>96</v>
      </c>
      <c r="C35" s="13">
        <f t="shared" si="0"/>
        <v>2.5621468926553675E-5</v>
      </c>
      <c r="D35" s="14" t="s">
        <v>125</v>
      </c>
      <c r="E35" s="2" t="s">
        <v>147</v>
      </c>
      <c r="F35" s="2"/>
    </row>
    <row r="36" spans="1:13" x14ac:dyDescent="0.35">
      <c r="A36" s="2"/>
      <c r="B36" t="s">
        <v>111</v>
      </c>
      <c r="C36" s="13">
        <f t="shared" si="0"/>
        <v>2.5621468926553675E-5</v>
      </c>
      <c r="D36" s="14" t="s">
        <v>125</v>
      </c>
      <c r="E36" s="2" t="s">
        <v>147</v>
      </c>
      <c r="F36" s="2"/>
    </row>
    <row r="37" spans="1:13" x14ac:dyDescent="0.35">
      <c r="A37" s="2"/>
      <c r="B37" t="s">
        <v>142</v>
      </c>
      <c r="C37" s="13">
        <f t="shared" si="0"/>
        <v>1.7774894067796614E-4</v>
      </c>
      <c r="D37" s="14" t="s">
        <v>125</v>
      </c>
      <c r="E37" s="2" t="s">
        <v>147</v>
      </c>
      <c r="F37" s="2"/>
      <c r="K37" t="s">
        <v>97</v>
      </c>
      <c r="L37">
        <f>39.1+86.4</f>
        <v>125.5</v>
      </c>
      <c r="M37" t="s">
        <v>482</v>
      </c>
    </row>
    <row r="38" spans="1:13" x14ac:dyDescent="0.35">
      <c r="A38" s="2"/>
      <c r="B38" t="s">
        <v>143</v>
      </c>
      <c r="C38" s="13">
        <f t="shared" si="0"/>
        <v>1.3034922316384183E-4</v>
      </c>
      <c r="D38" s="14" t="s">
        <v>125</v>
      </c>
      <c r="E38" s="2" t="s">
        <v>147</v>
      </c>
      <c r="F38" s="2"/>
      <c r="K38" t="s">
        <v>96</v>
      </c>
      <c r="L38" s="5">
        <v>1.6000000000000001E-3</v>
      </c>
      <c r="M38" t="s">
        <v>482</v>
      </c>
    </row>
    <row r="39" spans="1:13" x14ac:dyDescent="0.35">
      <c r="A39" s="2"/>
      <c r="B39" t="s">
        <v>144</v>
      </c>
      <c r="C39" s="13">
        <f t="shared" si="0"/>
        <v>1.3034922316384183E-4</v>
      </c>
      <c r="D39" s="14" t="s">
        <v>125</v>
      </c>
      <c r="E39" s="2" t="s">
        <v>147</v>
      </c>
      <c r="F39" s="2"/>
      <c r="K39" t="s">
        <v>111</v>
      </c>
      <c r="L39" s="5">
        <v>1.6000000000000001E-3</v>
      </c>
      <c r="M39" t="s">
        <v>482</v>
      </c>
    </row>
    <row r="40" spans="1:13" x14ac:dyDescent="0.35">
      <c r="A40" s="2"/>
      <c r="B40" t="s">
        <v>124</v>
      </c>
      <c r="C40" s="13">
        <f t="shared" si="0"/>
        <v>1.713435734463277E-3</v>
      </c>
      <c r="D40" s="14" t="s">
        <v>125</v>
      </c>
      <c r="E40" s="2" t="s">
        <v>147</v>
      </c>
      <c r="F40" s="2"/>
      <c r="K40" t="s">
        <v>142</v>
      </c>
      <c r="L40" s="5">
        <v>1.11E-2</v>
      </c>
      <c r="M40" t="s">
        <v>482</v>
      </c>
    </row>
    <row r="41" spans="1:13" x14ac:dyDescent="0.35">
      <c r="A41" s="2"/>
      <c r="B41" t="s">
        <v>110</v>
      </c>
      <c r="C41" s="13">
        <f t="shared" si="0"/>
        <v>5.4125353107344641E-5</v>
      </c>
      <c r="D41" s="14" t="s">
        <v>125</v>
      </c>
      <c r="E41" s="2" t="s">
        <v>147</v>
      </c>
      <c r="F41" s="2"/>
      <c r="K41" t="s">
        <v>143</v>
      </c>
      <c r="L41" s="5">
        <v>8.1399999999999997E-3</v>
      </c>
      <c r="M41" t="s">
        <v>482</v>
      </c>
    </row>
    <row r="42" spans="1:13" x14ac:dyDescent="0.35">
      <c r="A42" s="2"/>
      <c r="B42" t="s">
        <v>123</v>
      </c>
      <c r="C42" s="13">
        <f t="shared" si="0"/>
        <v>1.4412076271186442E-3</v>
      </c>
      <c r="D42" s="14" t="s">
        <v>125</v>
      </c>
      <c r="E42" s="2" t="s">
        <v>147</v>
      </c>
      <c r="F42" s="2"/>
      <c r="K42" t="s">
        <v>144</v>
      </c>
      <c r="L42" s="5">
        <v>8.1399999999999997E-3</v>
      </c>
      <c r="M42" t="s">
        <v>482</v>
      </c>
    </row>
    <row r="43" spans="1:13" x14ac:dyDescent="0.35">
      <c r="A43" s="2"/>
      <c r="B43" t="s">
        <v>145</v>
      </c>
      <c r="C43" s="13">
        <f t="shared" si="0"/>
        <v>8.615218926553674E-5</v>
      </c>
      <c r="D43" s="14" t="s">
        <v>125</v>
      </c>
      <c r="E43" s="2" t="s">
        <v>147</v>
      </c>
      <c r="F43" s="2"/>
      <c r="K43" t="s">
        <v>124</v>
      </c>
      <c r="L43" s="5">
        <v>0.107</v>
      </c>
      <c r="M43" t="s">
        <v>482</v>
      </c>
    </row>
    <row r="44" spans="1:13" x14ac:dyDescent="0.35">
      <c r="A44" s="2"/>
      <c r="B44" s="9" t="s">
        <v>149</v>
      </c>
      <c r="C44" s="11">
        <v>2.7200000000000002E-3</v>
      </c>
      <c r="D44" s="9" t="s">
        <v>118</v>
      </c>
      <c r="E44" s="2" t="s">
        <v>150</v>
      </c>
      <c r="F44" s="2" t="s">
        <v>151</v>
      </c>
      <c r="K44" t="s">
        <v>110</v>
      </c>
      <c r="L44" s="5">
        <v>3.3800000000000002E-3</v>
      </c>
      <c r="M44" t="s">
        <v>482</v>
      </c>
    </row>
    <row r="45" spans="1:13" x14ac:dyDescent="0.35">
      <c r="A45" s="2"/>
      <c r="B45" s="9"/>
      <c r="C45" s="11"/>
      <c r="D45" s="9"/>
      <c r="E45" s="2"/>
      <c r="F45" s="2"/>
      <c r="K45" t="s">
        <v>123</v>
      </c>
      <c r="L45" s="5">
        <v>0.09</v>
      </c>
      <c r="M45" t="s">
        <v>482</v>
      </c>
    </row>
    <row r="46" spans="1:13" x14ac:dyDescent="0.35">
      <c r="A46" s="2" t="s">
        <v>126</v>
      </c>
      <c r="B46" s="2" t="s">
        <v>137</v>
      </c>
      <c r="C46" s="5"/>
      <c r="D46" s="2"/>
      <c r="E46" s="2"/>
      <c r="F46" s="2"/>
      <c r="K46" t="s">
        <v>145</v>
      </c>
      <c r="L46" s="5">
        <v>5.3800000000000002E-3</v>
      </c>
      <c r="M46" t="s">
        <v>482</v>
      </c>
    </row>
    <row r="47" spans="1:13" x14ac:dyDescent="0.35">
      <c r="A47" s="2"/>
      <c r="B47" s="2" t="s">
        <v>136</v>
      </c>
      <c r="C47" s="10">
        <v>0.98499999999999999</v>
      </c>
      <c r="D47" s="2" t="s">
        <v>140</v>
      </c>
      <c r="E47" s="2"/>
      <c r="F47" s="2" t="s">
        <v>119</v>
      </c>
    </row>
    <row r="48" spans="1:13" x14ac:dyDescent="0.35">
      <c r="A48" s="2"/>
      <c r="B48" s="2" t="s">
        <v>135</v>
      </c>
      <c r="C48" s="10">
        <v>1.7999999999999999E-2</v>
      </c>
      <c r="D48" s="2" t="s">
        <v>139</v>
      </c>
      <c r="E48" s="2" t="s">
        <v>133</v>
      </c>
      <c r="F48" s="2" t="s">
        <v>119</v>
      </c>
      <c r="K48" t="s">
        <v>146</v>
      </c>
      <c r="L48" s="12">
        <f>0.4535/28.32</f>
        <v>1.6013418079096047E-2</v>
      </c>
      <c r="M48" t="s">
        <v>78</v>
      </c>
    </row>
    <row r="49" spans="1:16" x14ac:dyDescent="0.35">
      <c r="A49" s="2"/>
      <c r="B49" s="2" t="s">
        <v>141</v>
      </c>
      <c r="C49" s="5">
        <v>6.0000000000000002E-6</v>
      </c>
      <c r="D49" s="2" t="s">
        <v>125</v>
      </c>
      <c r="E49" s="2" t="s">
        <v>133</v>
      </c>
      <c r="F49" s="2" t="s">
        <v>119</v>
      </c>
    </row>
    <row r="50" spans="1:16" x14ac:dyDescent="0.35">
      <c r="B50" s="2" t="s">
        <v>142</v>
      </c>
      <c r="C50" s="5">
        <v>6.6000000000000003E-6</v>
      </c>
      <c r="D50" s="2" t="s">
        <v>125</v>
      </c>
      <c r="E50" s="2" t="s">
        <v>133</v>
      </c>
      <c r="F50" s="2" t="s">
        <v>119</v>
      </c>
    </row>
    <row r="51" spans="1:16" x14ac:dyDescent="0.35">
      <c r="B51" s="2" t="s">
        <v>79</v>
      </c>
      <c r="C51">
        <v>0.34</v>
      </c>
      <c r="D51" t="s">
        <v>118</v>
      </c>
      <c r="E51" t="s">
        <v>133</v>
      </c>
      <c r="F51" s="2" t="s">
        <v>132</v>
      </c>
      <c r="G51" t="s">
        <v>138</v>
      </c>
      <c r="O51" t="e">
        <f>#REF!*C11*0.001</f>
        <v>#REF!</v>
      </c>
      <c r="P51" t="s">
        <v>88</v>
      </c>
    </row>
    <row r="52" spans="1:16" x14ac:dyDescent="0.35">
      <c r="B52" s="2" t="s">
        <v>127</v>
      </c>
      <c r="C52" s="5">
        <v>8.8999999999999995E-4</v>
      </c>
      <c r="D52" t="s">
        <v>125</v>
      </c>
      <c r="E52" t="s">
        <v>133</v>
      </c>
      <c r="F52" s="2" t="s">
        <v>132</v>
      </c>
    </row>
    <row r="53" spans="1:16" x14ac:dyDescent="0.35">
      <c r="B53" s="2" t="s">
        <v>134</v>
      </c>
      <c r="C53" s="5">
        <v>1.1900000000000001E-2</v>
      </c>
      <c r="D53" s="2" t="s">
        <v>125</v>
      </c>
      <c r="E53" t="s">
        <v>133</v>
      </c>
      <c r="F53" s="2" t="s">
        <v>132</v>
      </c>
    </row>
    <row r="54" spans="1:16" x14ac:dyDescent="0.35">
      <c r="A54" t="s">
        <v>129</v>
      </c>
      <c r="B54" s="2"/>
    </row>
    <row r="55" spans="1:16" x14ac:dyDescent="0.35">
      <c r="B55" s="2" t="s">
        <v>70</v>
      </c>
      <c r="C55" s="1">
        <v>0.35</v>
      </c>
      <c r="D55" t="s">
        <v>130</v>
      </c>
      <c r="F55" s="2" t="s">
        <v>67</v>
      </c>
    </row>
    <row r="56" spans="1:16" x14ac:dyDescent="0.35">
      <c r="B56" t="s">
        <v>50</v>
      </c>
      <c r="C56">
        <v>2.9274118658641445E-2</v>
      </c>
      <c r="D56" t="s">
        <v>125</v>
      </c>
      <c r="F56" s="2" t="s">
        <v>67</v>
      </c>
    </row>
    <row r="57" spans="1:16" x14ac:dyDescent="0.35">
      <c r="B57" t="s">
        <v>51</v>
      </c>
      <c r="C57">
        <v>1.1081685296646603E-3</v>
      </c>
      <c r="D57" t="s">
        <v>125</v>
      </c>
      <c r="F57" s="2" t="s">
        <v>67</v>
      </c>
      <c r="N57" t="s">
        <v>97</v>
      </c>
      <c r="O57" t="e">
        <f>(#REF!*(0.4/0.6))*C12*0.001</f>
        <v>#REF!</v>
      </c>
      <c r="P57" t="s">
        <v>88</v>
      </c>
    </row>
    <row r="58" spans="1:16" x14ac:dyDescent="0.35">
      <c r="B58" t="s">
        <v>52</v>
      </c>
      <c r="C58">
        <v>5.4300257953568357E-6</v>
      </c>
      <c r="D58" t="s">
        <v>125</v>
      </c>
      <c r="F58" s="2" t="s">
        <v>67</v>
      </c>
      <c r="N58" t="s">
        <v>98</v>
      </c>
      <c r="O58" t="e">
        <f>O57+O51</f>
        <v>#REF!</v>
      </c>
    </row>
    <row r="59" spans="1:16" x14ac:dyDescent="0.35">
      <c r="B59" t="s">
        <v>53</v>
      </c>
      <c r="C59">
        <v>3.99226947549441E-3</v>
      </c>
      <c r="D59" t="s">
        <v>125</v>
      </c>
      <c r="F59" s="2" t="s">
        <v>67</v>
      </c>
      <c r="N59" t="s">
        <v>99</v>
      </c>
      <c r="O59" t="e">
        <f>1000-O58</f>
        <v>#REF!</v>
      </c>
    </row>
    <row r="60" spans="1:16" x14ac:dyDescent="0.35">
      <c r="B60" t="s">
        <v>54</v>
      </c>
      <c r="C60">
        <v>3.5646087704213243E-3</v>
      </c>
      <c r="D60" t="s">
        <v>125</v>
      </c>
      <c r="F60" s="2" t="s">
        <v>67</v>
      </c>
    </row>
    <row r="61" spans="1:16" x14ac:dyDescent="0.35">
      <c r="B61" t="s">
        <v>58</v>
      </c>
      <c r="C61">
        <v>1.3390369733447977E-2</v>
      </c>
      <c r="D61" t="s">
        <v>125</v>
      </c>
      <c r="F61" s="2" t="s">
        <v>67</v>
      </c>
    </row>
    <row r="62" spans="1:16" x14ac:dyDescent="0.35">
      <c r="B62" t="s">
        <v>79</v>
      </c>
    </row>
    <row r="65" spans="1:8" x14ac:dyDescent="0.35">
      <c r="A65" t="s">
        <v>84</v>
      </c>
    </row>
    <row r="66" spans="1:8" x14ac:dyDescent="0.35">
      <c r="B66" s="2" t="s">
        <v>89</v>
      </c>
      <c r="C66">
        <f>(Waste_characteristics!B3)+(C16*Waste_characteristics!B2)-((Waste_characteristics!B3)*(1-Waste_characteristics!B4)*Parameters!C7*Parameters!C11*0.000001)-((Waste_characteristics!B3)*(1-Waste_characteristics!B4)*Parameters!C7*((1-C10)/C10)*C12*0.000001)</f>
        <v>0.72184662733741389</v>
      </c>
      <c r="D66" t="s">
        <v>463</v>
      </c>
      <c r="E66" s="2" t="s">
        <v>483</v>
      </c>
      <c r="F66" s="2" t="s">
        <v>260</v>
      </c>
    </row>
    <row r="67" spans="1:8" x14ac:dyDescent="0.35">
      <c r="B67" s="2" t="s">
        <v>276</v>
      </c>
      <c r="C67" s="28">
        <f>(Waste_characteristics!B3*Waste_characteristics!B4)+(Waste_characteristics!B3*Parameters!C16)</f>
        <v>0.63542862972818215</v>
      </c>
      <c r="D67" t="s">
        <v>463</v>
      </c>
      <c r="E67" s="2" t="s">
        <v>483</v>
      </c>
      <c r="F67" s="2"/>
      <c r="G67" t="s">
        <v>279</v>
      </c>
      <c r="H67">
        <f>(-0.000001877*(298^2))+(0.001097*298)-0.156</f>
        <v>4.2208920000000316E-3</v>
      </c>
    </row>
    <row r="68" spans="1:8" x14ac:dyDescent="0.35">
      <c r="B68" s="2" t="s">
        <v>277</v>
      </c>
      <c r="C68" s="28">
        <f>C66-C67</f>
        <v>8.6417997609231745E-2</v>
      </c>
      <c r="D68" t="s">
        <v>463</v>
      </c>
      <c r="E68" s="2" t="s">
        <v>483</v>
      </c>
      <c r="F68" s="2"/>
    </row>
    <row r="69" spans="1:8" x14ac:dyDescent="0.35">
      <c r="B69" s="2" t="s">
        <v>278</v>
      </c>
      <c r="C69" s="27">
        <f>Waste_characteristics!B6*(1-Parameters!C8)</f>
        <v>4.9235126143879634E-2</v>
      </c>
      <c r="D69" t="s">
        <v>463</v>
      </c>
      <c r="E69" s="2" t="s">
        <v>483</v>
      </c>
      <c r="F69" s="2"/>
    </row>
    <row r="70" spans="1:8" x14ac:dyDescent="0.35">
      <c r="B70" s="2" t="s">
        <v>280</v>
      </c>
      <c r="C70" s="27">
        <f>998*(1-(H67*C89))^-1</f>
        <v>998.86430015839301</v>
      </c>
      <c r="D70" t="s">
        <v>78</v>
      </c>
      <c r="E70" s="2"/>
      <c r="F70" s="2"/>
    </row>
    <row r="71" spans="1:8" x14ac:dyDescent="0.35">
      <c r="B71" s="2" t="s">
        <v>462</v>
      </c>
      <c r="C71" s="27">
        <f>Waste_characteristics!B14-(C7*(1-H2O_FW)*((C11*0.001*0.001*12/16)+(((1-C10)/C10)*C12*0.001*0.001*12/44)))</f>
        <v>4.7568407624294304E-2</v>
      </c>
      <c r="D71" t="s">
        <v>463</v>
      </c>
      <c r="E71" s="2" t="s">
        <v>483</v>
      </c>
      <c r="F71" s="2"/>
    </row>
    <row r="72" spans="1:8" x14ac:dyDescent="0.35">
      <c r="A72" t="s">
        <v>100</v>
      </c>
      <c r="E72" s="28"/>
    </row>
    <row r="73" spans="1:8" x14ac:dyDescent="0.35">
      <c r="B73" s="7" t="s">
        <v>101</v>
      </c>
      <c r="C73" s="1">
        <v>0.1</v>
      </c>
      <c r="D73" s="2" t="s">
        <v>102</v>
      </c>
      <c r="E73" s="2"/>
    </row>
    <row r="74" spans="1:8" x14ac:dyDescent="0.35">
      <c r="B74" s="7" t="s">
        <v>101</v>
      </c>
      <c r="C74" s="29">
        <f>Waste_characteristics!B6*(1-Parameters!C8)*Parameters!C73</f>
        <v>4.9235126143879638E-3</v>
      </c>
      <c r="D74" t="s">
        <v>459</v>
      </c>
      <c r="E74" s="2" t="s">
        <v>483</v>
      </c>
      <c r="F74" t="s">
        <v>262</v>
      </c>
    </row>
    <row r="75" spans="1:8" x14ac:dyDescent="0.35">
      <c r="B75" t="s">
        <v>106</v>
      </c>
      <c r="C75">
        <f>(C74/(C13*0.001))*C10*C11*0.001</f>
        <v>1.7377103344898696E-3</v>
      </c>
      <c r="D75" s="2" t="s">
        <v>435</v>
      </c>
      <c r="E75" s="2" t="s">
        <v>483</v>
      </c>
    </row>
    <row r="76" spans="1:8" x14ac:dyDescent="0.35">
      <c r="D76" s="2"/>
      <c r="E76" s="2"/>
    </row>
    <row r="77" spans="1:8" x14ac:dyDescent="0.35">
      <c r="A77" t="s">
        <v>108</v>
      </c>
    </row>
    <row r="78" spans="1:8" x14ac:dyDescent="0.35">
      <c r="B78" t="s">
        <v>109</v>
      </c>
      <c r="C78">
        <f>C66-C75</f>
        <v>0.72010891700292401</v>
      </c>
      <c r="D78" s="2" t="s">
        <v>14</v>
      </c>
    </row>
    <row r="79" spans="1:8" x14ac:dyDescent="0.35">
      <c r="B79" t="s">
        <v>111</v>
      </c>
      <c r="C79">
        <v>1.2999999999999999E-2</v>
      </c>
      <c r="D79" t="s">
        <v>115</v>
      </c>
      <c r="F79" s="8" t="s">
        <v>112</v>
      </c>
    </row>
    <row r="80" spans="1:8" x14ac:dyDescent="0.35">
      <c r="B80" t="s">
        <v>110</v>
      </c>
      <c r="C80">
        <v>0.4</v>
      </c>
      <c r="D80" t="s">
        <v>116</v>
      </c>
      <c r="F80" s="8" t="s">
        <v>113</v>
      </c>
    </row>
    <row r="81" spans="1:6" x14ac:dyDescent="0.35">
      <c r="B81" t="s">
        <v>114</v>
      </c>
      <c r="C81">
        <v>0.15</v>
      </c>
      <c r="D81" t="s">
        <v>117</v>
      </c>
      <c r="E81" t="s">
        <v>268</v>
      </c>
      <c r="F81" s="8" t="s">
        <v>267</v>
      </c>
    </row>
    <row r="82" spans="1:6" x14ac:dyDescent="0.35">
      <c r="B82" t="s">
        <v>450</v>
      </c>
      <c r="C82">
        <f>Waste_characteristics!B13</f>
        <v>1.1967698247900282E-2</v>
      </c>
      <c r="D82" t="s">
        <v>434</v>
      </c>
      <c r="F82" s="8"/>
    </row>
    <row r="83" spans="1:6" x14ac:dyDescent="0.35">
      <c r="B83" t="s">
        <v>443</v>
      </c>
      <c r="C83">
        <f>Waste_characteristics!B13*(1-Parameters!C79-Parameters!C80-Parameters!C81)</f>
        <v>5.2298841343324225E-3</v>
      </c>
      <c r="D83" t="s">
        <v>434</v>
      </c>
      <c r="F83" s="8"/>
    </row>
    <row r="84" spans="1:6" x14ac:dyDescent="0.35">
      <c r="B84" t="s">
        <v>458</v>
      </c>
      <c r="C84">
        <f>Waste_characteristics!B14-(C7*(1-H2O_FW)*((C11*0.001*0.001*12/16)+(((1-C10)/C10)*C12*0.001*0.001*12/44)))-(C75*12/16)-((C74/C13)*(1-C10)*C12*12/44)</f>
        <v>4.539626970618197E-2</v>
      </c>
      <c r="D84" t="s">
        <v>460</v>
      </c>
      <c r="F84" s="8"/>
    </row>
    <row r="85" spans="1:6" x14ac:dyDescent="0.35">
      <c r="B85" t="s">
        <v>471</v>
      </c>
      <c r="C85">
        <f>Waste_characteristics!B16</f>
        <v>1.1967698247900282E-2</v>
      </c>
      <c r="D85" t="s">
        <v>434</v>
      </c>
      <c r="F85" s="8"/>
    </row>
    <row r="86" spans="1:6" x14ac:dyDescent="0.35">
      <c r="B86" t="s">
        <v>481</v>
      </c>
      <c r="C86">
        <f>Waste_characteristics!B15</f>
        <v>1.4671746924383978E-3</v>
      </c>
      <c r="D86" t="s">
        <v>434</v>
      </c>
      <c r="F86" s="8"/>
    </row>
    <row r="87" spans="1:6" x14ac:dyDescent="0.35">
      <c r="A87" t="s">
        <v>131</v>
      </c>
    </row>
    <row r="88" spans="1:6" x14ac:dyDescent="0.35">
      <c r="B88" t="s">
        <v>152</v>
      </c>
      <c r="C88" s="16">
        <v>0.91500000000000004</v>
      </c>
      <c r="D88" t="s">
        <v>159</v>
      </c>
    </row>
    <row r="89" spans="1:6" x14ac:dyDescent="0.35">
      <c r="B89" t="s">
        <v>153</v>
      </c>
      <c r="C89" s="16">
        <v>0.20499999999999999</v>
      </c>
      <c r="D89" t="s">
        <v>160</v>
      </c>
    </row>
    <row r="90" spans="1:6" x14ac:dyDescent="0.35">
      <c r="B90" t="s">
        <v>154</v>
      </c>
      <c r="C90">
        <v>3.6315142617449662E-3</v>
      </c>
      <c r="D90" t="s">
        <v>161</v>
      </c>
    </row>
    <row r="91" spans="1:6" x14ac:dyDescent="0.35">
      <c r="B91" t="s">
        <v>155</v>
      </c>
      <c r="C91" s="16">
        <v>0.54699999999999993</v>
      </c>
      <c r="D91" t="s">
        <v>162</v>
      </c>
    </row>
    <row r="92" spans="1:6" x14ac:dyDescent="0.35">
      <c r="B92" t="s">
        <v>156</v>
      </c>
      <c r="C92" s="16">
        <v>0.36399999999999999</v>
      </c>
      <c r="D92" t="s">
        <v>163</v>
      </c>
    </row>
    <row r="93" spans="1:6" x14ac:dyDescent="0.35">
      <c r="B93" t="s">
        <v>157</v>
      </c>
      <c r="C93" s="16">
        <v>0.84620000000000006</v>
      </c>
      <c r="D93" t="s">
        <v>164</v>
      </c>
    </row>
    <row r="94" spans="1:6" x14ac:dyDescent="0.35">
      <c r="B94" t="s">
        <v>158</v>
      </c>
      <c r="C94" s="16">
        <v>0.34799999999999998</v>
      </c>
      <c r="D94" t="s">
        <v>165</v>
      </c>
    </row>
    <row r="95" spans="1:6" x14ac:dyDescent="0.35">
      <c r="B95" t="s">
        <v>464</v>
      </c>
      <c r="C95" s="16">
        <f>1-C94</f>
        <v>0.65200000000000002</v>
      </c>
      <c r="D95" t="s">
        <v>165</v>
      </c>
    </row>
    <row r="96" spans="1:6" x14ac:dyDescent="0.35">
      <c r="A96" t="s">
        <v>166</v>
      </c>
    </row>
    <row r="97" spans="1:5" x14ac:dyDescent="0.35">
      <c r="B97" t="s">
        <v>167</v>
      </c>
      <c r="C97" s="16">
        <v>0.57999999999999996</v>
      </c>
      <c r="D97" t="s">
        <v>168</v>
      </c>
    </row>
    <row r="98" spans="1:5" x14ac:dyDescent="0.35">
      <c r="B98" t="s">
        <v>169</v>
      </c>
      <c r="C98" s="16">
        <v>9.8600000000000007E-3</v>
      </c>
      <c r="D98" t="s">
        <v>170</v>
      </c>
    </row>
    <row r="99" spans="1:5" x14ac:dyDescent="0.35">
      <c r="B99" t="s">
        <v>171</v>
      </c>
      <c r="C99" s="16">
        <v>9.4999999999999998E-3</v>
      </c>
      <c r="D99" t="s">
        <v>172</v>
      </c>
    </row>
    <row r="100" spans="1:5" x14ac:dyDescent="0.35">
      <c r="B100" t="s">
        <v>173</v>
      </c>
      <c r="C100" s="16">
        <v>0.04</v>
      </c>
      <c r="D100" t="s">
        <v>172</v>
      </c>
    </row>
    <row r="101" spans="1:5" x14ac:dyDescent="0.35">
      <c r="B101" t="s">
        <v>174</v>
      </c>
      <c r="C101" s="16">
        <v>0.104</v>
      </c>
      <c r="D101" t="s">
        <v>175</v>
      </c>
    </row>
    <row r="102" spans="1:5" x14ac:dyDescent="0.35">
      <c r="B102" t="s">
        <v>176</v>
      </c>
      <c r="C102" s="16">
        <v>4.0000000000000002E-4</v>
      </c>
      <c r="D102" t="s">
        <v>170</v>
      </c>
    </row>
    <row r="103" spans="1:5" x14ac:dyDescent="0.35">
      <c r="B103" t="s">
        <v>177</v>
      </c>
      <c r="C103" s="16">
        <v>0.48</v>
      </c>
      <c r="D103" t="s">
        <v>178</v>
      </c>
    </row>
    <row r="104" spans="1:5" x14ac:dyDescent="0.35">
      <c r="B104" t="s">
        <v>179</v>
      </c>
      <c r="C104">
        <v>10.523342983999999</v>
      </c>
      <c r="D104" t="s">
        <v>181</v>
      </c>
    </row>
    <row r="105" spans="1:5" x14ac:dyDescent="0.35">
      <c r="B105" t="s">
        <v>180</v>
      </c>
      <c r="C105">
        <v>1.7990406305204509</v>
      </c>
      <c r="D105" t="s">
        <v>182</v>
      </c>
    </row>
    <row r="106" spans="1:5" x14ac:dyDescent="0.35">
      <c r="B106" t="s">
        <v>291</v>
      </c>
      <c r="C106" s="26">
        <v>0.84</v>
      </c>
      <c r="D106" t="s">
        <v>292</v>
      </c>
    </row>
    <row r="107" spans="1:5" x14ac:dyDescent="0.35">
      <c r="A107" t="s">
        <v>183</v>
      </c>
      <c r="B107" t="s">
        <v>433</v>
      </c>
      <c r="C107" s="5">
        <f>Waste_characteristics!B13*(1-Parameters!C91)*(1-Parameters!C99-Parameters!C100)</f>
        <v>5.1530096246370375E-3</v>
      </c>
      <c r="D107" t="s">
        <v>445</v>
      </c>
      <c r="E107" t="s">
        <v>436</v>
      </c>
    </row>
    <row r="108" spans="1:5" x14ac:dyDescent="0.35">
      <c r="B108" t="s">
        <v>430</v>
      </c>
      <c r="C108" s="10">
        <v>1.2500000000000001E-2</v>
      </c>
      <c r="D108" t="s">
        <v>429</v>
      </c>
      <c r="E108" t="s">
        <v>432</v>
      </c>
    </row>
    <row r="109" spans="1:5" x14ac:dyDescent="0.35">
      <c r="B109" t="s">
        <v>438</v>
      </c>
      <c r="C109" s="124">
        <v>3.3000000000000002E-2</v>
      </c>
      <c r="D109" s="17" t="s">
        <v>429</v>
      </c>
      <c r="E109" t="s">
        <v>113</v>
      </c>
    </row>
    <row r="110" spans="1:5" x14ac:dyDescent="0.35">
      <c r="B110" t="s">
        <v>428</v>
      </c>
      <c r="C110" s="1">
        <v>0.4</v>
      </c>
      <c r="D110" t="s">
        <v>429</v>
      </c>
      <c r="E110" t="s">
        <v>431</v>
      </c>
    </row>
    <row r="111" spans="1:5" x14ac:dyDescent="0.35">
      <c r="B111" t="s">
        <v>444</v>
      </c>
      <c r="C111" s="5">
        <f>C107*(1-C108-C109-C110)</f>
        <v>2.857343836861237E-3</v>
      </c>
      <c r="D111" t="s">
        <v>445</v>
      </c>
    </row>
    <row r="112" spans="1:5" x14ac:dyDescent="0.35">
      <c r="B112" t="s">
        <v>461</v>
      </c>
      <c r="C112" s="5">
        <f>(C84*C95)*(1-(C97+C98+C102))</f>
        <v>1.2127635242215976E-2</v>
      </c>
      <c r="D112" t="s">
        <v>434</v>
      </c>
    </row>
    <row r="113" spans="1:5" x14ac:dyDescent="0.35">
      <c r="B113" t="s">
        <v>479</v>
      </c>
      <c r="C113" s="5">
        <f>C86*(1-C92)</f>
        <v>9.3312310439082097E-4</v>
      </c>
      <c r="D113" t="s">
        <v>434</v>
      </c>
    </row>
    <row r="114" spans="1:5" x14ac:dyDescent="0.35">
      <c r="B114" t="s">
        <v>480</v>
      </c>
      <c r="C114" s="5">
        <f>C85*(1-C93)</f>
        <v>1.8406319905270626E-3</v>
      </c>
      <c r="D114" t="s">
        <v>434</v>
      </c>
    </row>
    <row r="115" spans="1:5" x14ac:dyDescent="0.35">
      <c r="A115" t="s">
        <v>241</v>
      </c>
      <c r="B115" s="19" t="s">
        <v>242</v>
      </c>
      <c r="C115">
        <v>0.47101295324660464</v>
      </c>
    </row>
    <row r="116" spans="1:5" x14ac:dyDescent="0.35">
      <c r="B116" s="19" t="s">
        <v>245</v>
      </c>
      <c r="C116">
        <f>0.00385440116849596*(2/5)</f>
        <v>1.5417604673983842E-3</v>
      </c>
      <c r="E116" t="s">
        <v>248</v>
      </c>
    </row>
    <row r="117" spans="1:5" x14ac:dyDescent="0.35">
      <c r="B117" t="s">
        <v>246</v>
      </c>
      <c r="C117">
        <f>0.00385440116849596*(3/5)</f>
        <v>2.3126407010975762E-3</v>
      </c>
      <c r="E117" t="s">
        <v>248</v>
      </c>
    </row>
    <row r="118" spans="1:5" x14ac:dyDescent="0.35">
      <c r="B118" s="19" t="s">
        <v>243</v>
      </c>
      <c r="C118">
        <v>0.36064674386390433</v>
      </c>
    </row>
    <row r="119" spans="1:5" x14ac:dyDescent="0.35">
      <c r="B119" s="19" t="s">
        <v>244</v>
      </c>
      <c r="C119">
        <v>0.16448590172099503</v>
      </c>
    </row>
    <row r="123" spans="1:5" x14ac:dyDescent="0.35">
      <c r="A123" t="s">
        <v>437</v>
      </c>
      <c r="B123" t="s">
        <v>447</v>
      </c>
      <c r="C123" s="10">
        <v>0.33500000000000002</v>
      </c>
      <c r="D123" t="s">
        <v>448</v>
      </c>
    </row>
    <row r="124" spans="1:5" x14ac:dyDescent="0.35">
      <c r="B124" s="19" t="s">
        <v>438</v>
      </c>
      <c r="C124" s="1">
        <v>0.02</v>
      </c>
      <c r="D124" t="s">
        <v>429</v>
      </c>
      <c r="E124" t="s">
        <v>432</v>
      </c>
    </row>
    <row r="125" spans="1:5" x14ac:dyDescent="0.35">
      <c r="B125" s="19" t="s">
        <v>430</v>
      </c>
      <c r="C125" s="10">
        <v>1.2500000000000001E-2</v>
      </c>
      <c r="D125" t="s">
        <v>429</v>
      </c>
      <c r="E125" t="s">
        <v>432</v>
      </c>
    </row>
    <row r="126" spans="1:5" x14ac:dyDescent="0.35">
      <c r="B126" s="19" t="s">
        <v>428</v>
      </c>
      <c r="C126" s="1">
        <v>0.3</v>
      </c>
      <c r="D126" t="s">
        <v>429</v>
      </c>
      <c r="E126" t="s">
        <v>431</v>
      </c>
    </row>
    <row r="127" spans="1:5" ht="15.5" x14ac:dyDescent="0.35">
      <c r="B127" s="19" t="s">
        <v>446</v>
      </c>
      <c r="C127" s="1">
        <f>1-C124-C125-C126</f>
        <v>0.66749999999999998</v>
      </c>
      <c r="D127" t="s">
        <v>429</v>
      </c>
      <c r="E127" s="125"/>
    </row>
    <row r="128" spans="1:5" x14ac:dyDescent="0.35">
      <c r="B128" s="19" t="s">
        <v>455</v>
      </c>
      <c r="C128" s="1">
        <v>2.29E-2</v>
      </c>
      <c r="D128" t="s">
        <v>456</v>
      </c>
      <c r="E128" t="s">
        <v>457</v>
      </c>
    </row>
    <row r="129" spans="1:5" x14ac:dyDescent="0.35">
      <c r="B129" s="19" t="s">
        <v>414</v>
      </c>
      <c r="C129">
        <v>54</v>
      </c>
      <c r="D129" t="s">
        <v>439</v>
      </c>
    </row>
    <row r="130" spans="1:5" x14ac:dyDescent="0.35">
      <c r="B130" s="19" t="s">
        <v>451</v>
      </c>
      <c r="C130">
        <f>C129*(31/95)</f>
        <v>17.621052631578948</v>
      </c>
      <c r="D130" t="s">
        <v>452</v>
      </c>
    </row>
    <row r="131" spans="1:5" x14ac:dyDescent="0.35">
      <c r="B131" s="19" t="s">
        <v>453</v>
      </c>
      <c r="C131">
        <f>(1000-C130)/1000</f>
        <v>0.98237894736842102</v>
      </c>
      <c r="D131" t="s">
        <v>454</v>
      </c>
    </row>
    <row r="132" spans="1:5" x14ac:dyDescent="0.35">
      <c r="B132" s="19" t="s">
        <v>472</v>
      </c>
      <c r="C132" s="10">
        <f>0.6*(78/94)</f>
        <v>0.49787234042553186</v>
      </c>
      <c r="D132" t="s">
        <v>473</v>
      </c>
      <c r="E132" t="s">
        <v>457</v>
      </c>
    </row>
    <row r="133" spans="1:5" x14ac:dyDescent="0.35">
      <c r="A133" t="s">
        <v>440</v>
      </c>
      <c r="B133" s="19" t="s">
        <v>469</v>
      </c>
      <c r="C133">
        <v>0.504</v>
      </c>
      <c r="D133" t="s">
        <v>441</v>
      </c>
    </row>
    <row r="134" spans="1:5" x14ac:dyDescent="0.35">
      <c r="B134" s="19" t="s">
        <v>415</v>
      </c>
      <c r="C134" s="1">
        <v>0.9</v>
      </c>
      <c r="D134" t="s">
        <v>442</v>
      </c>
    </row>
    <row r="135" spans="1:5" x14ac:dyDescent="0.35">
      <c r="B135" s="19" t="s">
        <v>466</v>
      </c>
      <c r="C135">
        <v>0.44</v>
      </c>
      <c r="D135" t="s">
        <v>467</v>
      </c>
    </row>
    <row r="136" spans="1:5" x14ac:dyDescent="0.35">
      <c r="B136" s="19" t="s">
        <v>468</v>
      </c>
      <c r="C136">
        <f>C133*C135</f>
        <v>0.22176000000000001</v>
      </c>
      <c r="D136" t="s">
        <v>470</v>
      </c>
    </row>
  </sheetData>
  <hyperlinks>
    <hyperlink ref="F79" r:id="rId1" xr:uid="{9BBFB4ED-D8C2-43B9-9DDA-65BB07F7577F}"/>
    <hyperlink ref="F21" r:id="rId2" xr:uid="{D0E4D42D-1CC4-43D1-9B5D-F20FE75F4462}"/>
    <hyperlink ref="F33" r:id="rId3" xr:uid="{F5A2770C-B205-4146-A421-558C59CAB5D8}"/>
    <hyperlink ref="F80" r:id="rId4" location="sec3" xr:uid="{4DA64013-DBDC-4C21-88BA-185CE17CC1AA}"/>
    <hyperlink ref="F81" r:id="rId5" xr:uid="{47957483-8047-4650-BE28-34C0740BE6F7}"/>
  </hyperlinks>
  <pageMargins left="0.7" right="0.7" top="0.75" bottom="0.75" header="0.3" footer="0.3"/>
  <pageSetup paperSize="9" orientation="portrait" verticalDpi="597" r:id="rId6"/>
  <drawing r:id="rId7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C3B7D-8FD5-44A6-ABDF-F41A2C90169E}">
  <dimension ref="A2:J117"/>
  <sheetViews>
    <sheetView topLeftCell="A22" zoomScaleNormal="100" workbookViewId="0">
      <selection activeCell="E40" sqref="E40"/>
    </sheetView>
  </sheetViews>
  <sheetFormatPr baseColWidth="10" defaultRowHeight="14.5" x14ac:dyDescent="0.35"/>
  <cols>
    <col min="2" max="3" width="24.26953125" customWidth="1"/>
    <col min="4" max="4" width="31.7265625" bestFit="1" customWidth="1"/>
    <col min="5" max="5" width="14.453125" customWidth="1"/>
  </cols>
  <sheetData>
    <row r="2" spans="1:10" x14ac:dyDescent="0.35">
      <c r="A2" s="40" t="s">
        <v>0</v>
      </c>
      <c r="B2" s="40" t="s">
        <v>10</v>
      </c>
      <c r="C2" s="40" t="s">
        <v>11</v>
      </c>
      <c r="D2" s="40" t="s">
        <v>12</v>
      </c>
      <c r="E2" s="40" t="s">
        <v>1</v>
      </c>
      <c r="F2" s="40" t="s">
        <v>2</v>
      </c>
      <c r="I2" s="36" t="s">
        <v>335</v>
      </c>
      <c r="J2" s="36" t="s">
        <v>336</v>
      </c>
    </row>
    <row r="3" spans="1:10" x14ac:dyDescent="0.35">
      <c r="A3" t="s">
        <v>5</v>
      </c>
      <c r="B3" t="s">
        <v>3</v>
      </c>
      <c r="C3" t="s">
        <v>15</v>
      </c>
      <c r="D3" t="s">
        <v>13</v>
      </c>
      <c r="E3">
        <v>1</v>
      </c>
      <c r="F3" t="s">
        <v>14</v>
      </c>
    </row>
    <row r="4" spans="1:10" x14ac:dyDescent="0.35">
      <c r="B4" t="s">
        <v>3</v>
      </c>
      <c r="C4" t="s">
        <v>15</v>
      </c>
      <c r="D4" t="s">
        <v>8</v>
      </c>
      <c r="E4">
        <f>E3*Parameters!C3</f>
        <v>9.98</v>
      </c>
      <c r="F4" t="s">
        <v>128</v>
      </c>
    </row>
    <row r="5" spans="1:10" x14ac:dyDescent="0.35">
      <c r="B5" t="s">
        <v>3</v>
      </c>
      <c r="C5" t="s">
        <v>15</v>
      </c>
      <c r="D5" t="s">
        <v>9</v>
      </c>
    </row>
    <row r="6" spans="1:10" x14ac:dyDescent="0.35">
      <c r="B6" t="s">
        <v>4</v>
      </c>
      <c r="C6" t="s">
        <v>17</v>
      </c>
      <c r="D6" t="s">
        <v>236</v>
      </c>
      <c r="E6">
        <f>E3*Parameters!C5</f>
        <v>0.77</v>
      </c>
      <c r="F6" t="s">
        <v>14</v>
      </c>
    </row>
    <row r="7" spans="1:10" x14ac:dyDescent="0.35">
      <c r="A7" t="s">
        <v>235</v>
      </c>
      <c r="B7" t="s">
        <v>3</v>
      </c>
      <c r="C7" t="s">
        <v>17</v>
      </c>
      <c r="D7" t="s">
        <v>237</v>
      </c>
      <c r="E7">
        <f>E3*(1-Parameters!C5)*1000</f>
        <v>229.99999999999997</v>
      </c>
      <c r="F7" t="s">
        <v>88</v>
      </c>
    </row>
    <row r="9" spans="1:10" x14ac:dyDescent="0.35">
      <c r="A9" t="s">
        <v>6</v>
      </c>
      <c r="B9" t="s">
        <v>3</v>
      </c>
      <c r="C9" t="s">
        <v>17</v>
      </c>
      <c r="D9" t="s">
        <v>16</v>
      </c>
      <c r="E9">
        <f>E6</f>
        <v>0.77</v>
      </c>
      <c r="F9" t="s">
        <v>14</v>
      </c>
    </row>
    <row r="10" spans="1:10" x14ac:dyDescent="0.35">
      <c r="B10" t="s">
        <v>3</v>
      </c>
      <c r="C10" t="s">
        <v>17</v>
      </c>
      <c r="D10" t="s">
        <v>8</v>
      </c>
      <c r="E10">
        <f>Parameters!C14*LCI!E9</f>
        <v>22.330000000000002</v>
      </c>
      <c r="F10" t="s">
        <v>128</v>
      </c>
    </row>
    <row r="11" spans="1:10" x14ac:dyDescent="0.35">
      <c r="B11" t="s">
        <v>3</v>
      </c>
      <c r="C11" t="s">
        <v>17</v>
      </c>
      <c r="D11" t="s">
        <v>18</v>
      </c>
      <c r="E11">
        <f>E9*Parameters!C15</f>
        <v>227.15</v>
      </c>
      <c r="F11" t="s">
        <v>219</v>
      </c>
    </row>
    <row r="12" spans="1:10" x14ac:dyDescent="0.35">
      <c r="B12" t="s">
        <v>4</v>
      </c>
      <c r="C12" t="s">
        <v>20</v>
      </c>
      <c r="D12" t="s">
        <v>19</v>
      </c>
      <c r="E12">
        <f>Parameters!C9*(Parameters!C7*(1-Waste_characteristics!B4))*LCI!E9*Parameters!C11*0.001</f>
        <v>1.5118453902366449</v>
      </c>
      <c r="F12" t="s">
        <v>88</v>
      </c>
    </row>
    <row r="13" spans="1:10" x14ac:dyDescent="0.35">
      <c r="B13" t="s">
        <v>4</v>
      </c>
      <c r="C13" t="s">
        <v>17</v>
      </c>
      <c r="D13" t="s">
        <v>21</v>
      </c>
      <c r="E13">
        <f>(((Parameters!C7*(1-Waste_characteristics!B4))/Parameters!C10)*0.001)-((E12/Parameters!C11)*(1/Parameters!C10))</f>
        <v>223.74984536240387</v>
      </c>
      <c r="F13" t="s">
        <v>239</v>
      </c>
    </row>
    <row r="14" spans="1:10" x14ac:dyDescent="0.35">
      <c r="A14" t="s">
        <v>7</v>
      </c>
      <c r="B14" t="s">
        <v>3</v>
      </c>
      <c r="C14" t="s">
        <v>17</v>
      </c>
      <c r="D14" t="s">
        <v>21</v>
      </c>
      <c r="E14">
        <f>E13</f>
        <v>223.74984536240387</v>
      </c>
      <c r="F14" t="s">
        <v>239</v>
      </c>
    </row>
    <row r="15" spans="1:10" x14ac:dyDescent="0.35">
      <c r="B15" t="s">
        <v>4</v>
      </c>
      <c r="C15" t="s">
        <v>20</v>
      </c>
      <c r="D15" s="2" t="s">
        <v>50</v>
      </c>
      <c r="E15" s="4">
        <f>E14*Parameters!C24</f>
        <v>3.6718365183242771E-2</v>
      </c>
      <c r="F15" s="4" t="s">
        <v>88</v>
      </c>
    </row>
    <row r="16" spans="1:10" x14ac:dyDescent="0.35">
      <c r="B16" t="s">
        <v>4</v>
      </c>
      <c r="C16" t="s">
        <v>20</v>
      </c>
      <c r="D16" s="2" t="s">
        <v>51</v>
      </c>
      <c r="E16" s="4">
        <f>E14*Parameters!C25</f>
        <v>0.35389510062325319</v>
      </c>
      <c r="F16" s="4" t="s">
        <v>88</v>
      </c>
    </row>
    <row r="17" spans="1:6" x14ac:dyDescent="0.35">
      <c r="B17" t="s">
        <v>4</v>
      </c>
      <c r="C17" t="s">
        <v>20</v>
      </c>
      <c r="D17" s="2" t="s">
        <v>52</v>
      </c>
      <c r="E17" s="4">
        <f>E14*Parameters!C26</f>
        <v>3.1472884442779359E-3</v>
      </c>
      <c r="F17" s="4" t="s">
        <v>88</v>
      </c>
    </row>
    <row r="18" spans="1:6" x14ac:dyDescent="0.35">
      <c r="B18" t="s">
        <v>4</v>
      </c>
      <c r="C18" t="s">
        <v>20</v>
      </c>
      <c r="D18" s="2" t="s">
        <v>53</v>
      </c>
      <c r="E18" s="4">
        <f>LCI!E14*Parameters!C27</f>
        <v>7.693371752679418E-3</v>
      </c>
      <c r="F18" s="4" t="s">
        <v>88</v>
      </c>
    </row>
    <row r="19" spans="1:6" x14ac:dyDescent="0.35">
      <c r="B19" t="s">
        <v>4</v>
      </c>
      <c r="C19" t="s">
        <v>20</v>
      </c>
      <c r="D19" s="2" t="s">
        <v>54</v>
      </c>
      <c r="E19" s="4">
        <f>E14*Parameters!C28</f>
        <v>0.23901907240710826</v>
      </c>
      <c r="F19" s="4" t="s">
        <v>88</v>
      </c>
    </row>
    <row r="20" spans="1:6" x14ac:dyDescent="0.35">
      <c r="B20" t="s">
        <v>4</v>
      </c>
      <c r="C20" t="s">
        <v>20</v>
      </c>
      <c r="D20" s="2" t="s">
        <v>55</v>
      </c>
      <c r="E20" s="4">
        <f>E14*Parameters!C29</f>
        <v>1.4337647357266187E-2</v>
      </c>
      <c r="F20" s="4" t="s">
        <v>88</v>
      </c>
    </row>
    <row r="21" spans="1:6" x14ac:dyDescent="0.35">
      <c r="B21" t="s">
        <v>4</v>
      </c>
      <c r="C21" t="s">
        <v>20</v>
      </c>
      <c r="D21" s="2" t="s">
        <v>58</v>
      </c>
      <c r="E21" s="4">
        <f>E14*Parameters!C30</f>
        <v>0.96288795800695026</v>
      </c>
      <c r="F21" s="4" t="s">
        <v>88</v>
      </c>
    </row>
    <row r="22" spans="1:6" x14ac:dyDescent="0.35">
      <c r="B22" t="s">
        <v>4</v>
      </c>
      <c r="C22" t="s">
        <v>20</v>
      </c>
      <c r="D22" s="2" t="s">
        <v>59</v>
      </c>
      <c r="E22" s="4">
        <f>LCI!E14*Parameters!C31</f>
        <v>2.2925903762070245E-2</v>
      </c>
      <c r="F22" s="4" t="s">
        <v>88</v>
      </c>
    </row>
    <row r="23" spans="1:6" x14ac:dyDescent="0.35">
      <c r="B23" t="s">
        <v>4</v>
      </c>
      <c r="C23" t="s">
        <v>15</v>
      </c>
      <c r="D23" s="2" t="s">
        <v>8</v>
      </c>
      <c r="E23">
        <f>E14*Parameters!C10*Parameters!C20*Parameters!C19/3.6</f>
        <v>509.03089819946877</v>
      </c>
      <c r="F23" s="4" t="s">
        <v>128</v>
      </c>
    </row>
    <row r="24" spans="1:6" x14ac:dyDescent="0.35">
      <c r="B24" t="s">
        <v>4</v>
      </c>
      <c r="C24" t="s">
        <v>15</v>
      </c>
      <c r="D24" s="2" t="s">
        <v>18</v>
      </c>
      <c r="E24">
        <f>E14*Parameters!C10*Parameters!C20*Parameters!C18</f>
        <v>2161.4235062008215</v>
      </c>
      <c r="F24" t="s">
        <v>219</v>
      </c>
    </row>
    <row r="27" spans="1:6" x14ac:dyDescent="0.35">
      <c r="A27" t="s">
        <v>122</v>
      </c>
      <c r="B27" t="s">
        <v>3</v>
      </c>
      <c r="C27" t="s">
        <v>17</v>
      </c>
      <c r="D27" t="s">
        <v>21</v>
      </c>
      <c r="E27">
        <f>E13</f>
        <v>223.74984536240387</v>
      </c>
      <c r="F27" t="s">
        <v>239</v>
      </c>
    </row>
    <row r="28" spans="1:6" x14ac:dyDescent="0.35">
      <c r="B28" t="s">
        <v>4</v>
      </c>
      <c r="C28" t="s">
        <v>20</v>
      </c>
      <c r="D28" t="s">
        <v>97</v>
      </c>
      <c r="E28" s="5">
        <f>$E$27*Parameters!C34</f>
        <v>449.6664772746185</v>
      </c>
      <c r="F28" t="s">
        <v>88</v>
      </c>
    </row>
    <row r="29" spans="1:6" x14ac:dyDescent="0.35">
      <c r="B29" t="s">
        <v>4</v>
      </c>
      <c r="C29" t="s">
        <v>20</v>
      </c>
      <c r="D29" t="s">
        <v>96</v>
      </c>
      <c r="E29" s="5">
        <f>$E$27*Parameters!C35</f>
        <v>5.7327997102740213E-3</v>
      </c>
      <c r="F29" t="s">
        <v>88</v>
      </c>
    </row>
    <row r="30" spans="1:6" x14ac:dyDescent="0.35">
      <c r="B30" t="s">
        <v>4</v>
      </c>
      <c r="C30" t="s">
        <v>20</v>
      </c>
      <c r="D30" t="s">
        <v>111</v>
      </c>
      <c r="E30" s="5">
        <f>$E$27*Parameters!C36</f>
        <v>5.7327997102740213E-3</v>
      </c>
      <c r="F30" t="s">
        <v>88</v>
      </c>
    </row>
    <row r="31" spans="1:6" x14ac:dyDescent="0.35">
      <c r="B31" t="s">
        <v>4</v>
      </c>
      <c r="C31" t="s">
        <v>20</v>
      </c>
      <c r="D31" t="s">
        <v>142</v>
      </c>
      <c r="E31" s="5">
        <f>$E$27*Parameters!C37</f>
        <v>3.9771297990026024E-2</v>
      </c>
      <c r="F31" t="s">
        <v>88</v>
      </c>
    </row>
    <row r="32" spans="1:6" x14ac:dyDescent="0.35">
      <c r="B32" t="s">
        <v>4</v>
      </c>
      <c r="C32" t="s">
        <v>20</v>
      </c>
      <c r="D32" t="s">
        <v>143</v>
      </c>
      <c r="E32" s="5">
        <f>$E$27*Parameters!C38</f>
        <v>2.9165618526019083E-2</v>
      </c>
      <c r="F32" t="s">
        <v>88</v>
      </c>
    </row>
    <row r="33" spans="1:6" x14ac:dyDescent="0.35">
      <c r="B33" t="s">
        <v>4</v>
      </c>
      <c r="C33" t="s">
        <v>20</v>
      </c>
      <c r="D33" t="s">
        <v>144</v>
      </c>
      <c r="E33" s="5">
        <f>$E$27*Parameters!C39</f>
        <v>2.9165618526019083E-2</v>
      </c>
      <c r="F33" t="s">
        <v>88</v>
      </c>
    </row>
    <row r="34" spans="1:6" x14ac:dyDescent="0.35">
      <c r="B34" t="s">
        <v>4</v>
      </c>
      <c r="C34" t="s">
        <v>20</v>
      </c>
      <c r="D34" t="s">
        <v>124</v>
      </c>
      <c r="E34" s="5">
        <f>$E$27*Parameters!C40</f>
        <v>0.38338098062457515</v>
      </c>
      <c r="F34" t="s">
        <v>88</v>
      </c>
    </row>
    <row r="35" spans="1:6" x14ac:dyDescent="0.35">
      <c r="B35" t="s">
        <v>4</v>
      </c>
      <c r="C35" t="s">
        <v>20</v>
      </c>
      <c r="D35" t="s">
        <v>110</v>
      </c>
      <c r="E35" s="5">
        <f>$E$27*Parameters!C41</f>
        <v>1.2110539387953869E-2</v>
      </c>
      <c r="F35" t="s">
        <v>88</v>
      </c>
    </row>
    <row r="36" spans="1:6" x14ac:dyDescent="0.35">
      <c r="B36" t="s">
        <v>4</v>
      </c>
      <c r="C36" t="s">
        <v>20</v>
      </c>
      <c r="D36" t="s">
        <v>123</v>
      </c>
      <c r="E36" s="5">
        <f>$E$27*Parameters!C42</f>
        <v>0.32246998370291369</v>
      </c>
      <c r="F36" t="s">
        <v>88</v>
      </c>
    </row>
    <row r="37" spans="1:6" x14ac:dyDescent="0.35">
      <c r="B37" t="s">
        <v>4</v>
      </c>
      <c r="C37" t="s">
        <v>20</v>
      </c>
      <c r="D37" t="s">
        <v>145</v>
      </c>
      <c r="E37" s="5">
        <f>$E$27*Parameters!C43</f>
        <v>1.9276539025796395E-2</v>
      </c>
      <c r="F37" t="s">
        <v>88</v>
      </c>
    </row>
    <row r="38" spans="1:6" x14ac:dyDescent="0.35">
      <c r="B38" t="s">
        <v>3</v>
      </c>
      <c r="C38" t="s">
        <v>15</v>
      </c>
      <c r="D38" t="s">
        <v>8</v>
      </c>
      <c r="E38" s="5">
        <f>Parameters!C44*LCI!E27</f>
        <v>0.60859957938573861</v>
      </c>
      <c r="F38" t="s">
        <v>128</v>
      </c>
    </row>
    <row r="39" spans="1:6" x14ac:dyDescent="0.35">
      <c r="B39" t="s">
        <v>4</v>
      </c>
      <c r="C39" t="s">
        <v>15</v>
      </c>
      <c r="D39" t="s">
        <v>18</v>
      </c>
      <c r="E39">
        <f>E27*Parameters!C10*Parameters!C20*Parameters!C33</f>
        <v>3876.4660709036466</v>
      </c>
      <c r="F39" t="s">
        <v>219</v>
      </c>
    </row>
    <row r="42" spans="1:6" x14ac:dyDescent="0.35">
      <c r="A42" t="s">
        <v>126</v>
      </c>
      <c r="B42" t="s">
        <v>3</v>
      </c>
      <c r="C42" t="s">
        <v>15</v>
      </c>
      <c r="D42" t="s">
        <v>21</v>
      </c>
      <c r="E42">
        <f>E13</f>
        <v>223.74984536240387</v>
      </c>
      <c r="F42" t="s">
        <v>239</v>
      </c>
    </row>
    <row r="43" spans="1:6" x14ac:dyDescent="0.35">
      <c r="B43" t="s">
        <v>4</v>
      </c>
      <c r="C43" t="s">
        <v>20</v>
      </c>
      <c r="D43" s="2" t="s">
        <v>97</v>
      </c>
      <c r="E43">
        <f>E42*(1-Parameters!C10)*Parameters!C47*Parameters!C12</f>
        <v>174.55172936411853</v>
      </c>
      <c r="F43" t="s">
        <v>88</v>
      </c>
    </row>
    <row r="44" spans="1:6" x14ac:dyDescent="0.35">
      <c r="B44" t="s">
        <v>4</v>
      </c>
      <c r="C44" t="s">
        <v>20</v>
      </c>
      <c r="D44" s="2" t="s">
        <v>96</v>
      </c>
      <c r="E44">
        <f>E42*Parameters!C10*Parameters!C48*Parameters!C11</f>
        <v>1.7398787975380521</v>
      </c>
      <c r="F44" t="s">
        <v>88</v>
      </c>
    </row>
    <row r="45" spans="1:6" x14ac:dyDescent="0.35">
      <c r="B45" t="s">
        <v>4</v>
      </c>
      <c r="C45" t="s">
        <v>20</v>
      </c>
      <c r="D45" s="2" t="s">
        <v>141</v>
      </c>
      <c r="E45" s="5">
        <f>Parameters!C49*LCI!E42</f>
        <v>1.3424990721744234E-3</v>
      </c>
      <c r="F45" t="s">
        <v>88</v>
      </c>
    </row>
    <row r="46" spans="1:6" x14ac:dyDescent="0.35">
      <c r="B46" t="s">
        <v>4</v>
      </c>
      <c r="C46" t="s">
        <v>20</v>
      </c>
      <c r="D46" s="2" t="s">
        <v>142</v>
      </c>
      <c r="E46" s="5">
        <f>E42*Parameters!C50</f>
        <v>1.4767489793918657E-3</v>
      </c>
      <c r="F46" t="s">
        <v>88</v>
      </c>
    </row>
    <row r="47" spans="1:6" x14ac:dyDescent="0.35">
      <c r="B47" t="s">
        <v>3</v>
      </c>
      <c r="C47" t="s">
        <v>15</v>
      </c>
      <c r="D47" s="2" t="s">
        <v>79</v>
      </c>
      <c r="E47">
        <f>E42*Parameters!C51</f>
        <v>76.074947423217324</v>
      </c>
      <c r="F47" t="s">
        <v>128</v>
      </c>
    </row>
    <row r="48" spans="1:6" x14ac:dyDescent="0.35">
      <c r="B48" t="s">
        <v>3</v>
      </c>
      <c r="C48" t="s">
        <v>15</v>
      </c>
      <c r="D48" s="2" t="s">
        <v>127</v>
      </c>
      <c r="E48" s="5">
        <f>E42*Parameters!C52</f>
        <v>0.19913736237253943</v>
      </c>
      <c r="F48" t="s">
        <v>88</v>
      </c>
    </row>
    <row r="49" spans="1:6" x14ac:dyDescent="0.35">
      <c r="B49" t="s">
        <v>3</v>
      </c>
      <c r="C49" t="s">
        <v>15</v>
      </c>
      <c r="D49" s="2" t="s">
        <v>134</v>
      </c>
      <c r="E49" s="5">
        <f>E42*Parameters!C53</f>
        <v>2.6626231598126062</v>
      </c>
      <c r="F49" t="s">
        <v>88</v>
      </c>
    </row>
    <row r="50" spans="1:6" x14ac:dyDescent="0.35">
      <c r="B50" t="s">
        <v>4</v>
      </c>
      <c r="C50" t="s">
        <v>15</v>
      </c>
      <c r="D50" s="2" t="s">
        <v>254</v>
      </c>
      <c r="E50">
        <f>(E42*Parameters!C10*(1-Parameters!C48))</f>
        <v>131.83340888752835</v>
      </c>
      <c r="F50" t="s">
        <v>239</v>
      </c>
    </row>
    <row r="52" spans="1:6" x14ac:dyDescent="0.35">
      <c r="A52" t="s">
        <v>129</v>
      </c>
      <c r="B52" t="s">
        <v>3</v>
      </c>
      <c r="C52" t="s">
        <v>15</v>
      </c>
      <c r="D52" t="s">
        <v>21</v>
      </c>
      <c r="E52">
        <f>E13</f>
        <v>223.74984536240387</v>
      </c>
      <c r="F52" t="s">
        <v>239</v>
      </c>
    </row>
    <row r="53" spans="1:6" x14ac:dyDescent="0.35">
      <c r="B53" t="s">
        <v>4</v>
      </c>
      <c r="C53" t="s">
        <v>20</v>
      </c>
      <c r="D53" t="s">
        <v>50</v>
      </c>
      <c r="E53">
        <f>E52*Parameters!C56</f>
        <v>6.5500795229916857</v>
      </c>
      <c r="F53" t="s">
        <v>88</v>
      </c>
    </row>
    <row r="54" spans="1:6" x14ac:dyDescent="0.35">
      <c r="B54" t="s">
        <v>4</v>
      </c>
      <c r="C54" t="s">
        <v>20</v>
      </c>
      <c r="D54" t="s">
        <v>51</v>
      </c>
      <c r="E54">
        <f>E52*Parameters!C57</f>
        <v>0.24795253714795021</v>
      </c>
      <c r="F54" t="s">
        <v>88</v>
      </c>
    </row>
    <row r="55" spans="1:6" x14ac:dyDescent="0.35">
      <c r="B55" t="s">
        <v>4</v>
      </c>
      <c r="C55" t="s">
        <v>20</v>
      </c>
      <c r="D55" t="s">
        <v>52</v>
      </c>
      <c r="E55">
        <f>E52*Parameters!C58</f>
        <v>1.2149674320249561E-3</v>
      </c>
      <c r="F55" t="s">
        <v>88</v>
      </c>
    </row>
    <row r="56" spans="1:6" x14ac:dyDescent="0.35">
      <c r="B56" t="s">
        <v>4</v>
      </c>
      <c r="C56" t="s">
        <v>20</v>
      </c>
      <c r="D56" t="s">
        <v>53</v>
      </c>
      <c r="E56">
        <f>E52*Parameters!C59</f>
        <v>0.89326967778691946</v>
      </c>
      <c r="F56" t="s">
        <v>88</v>
      </c>
    </row>
    <row r="57" spans="1:6" x14ac:dyDescent="0.35">
      <c r="B57" t="s">
        <v>4</v>
      </c>
      <c r="C57" t="s">
        <v>20</v>
      </c>
      <c r="D57" t="s">
        <v>54</v>
      </c>
      <c r="E57">
        <f>E52*Parameters!C60</f>
        <v>0.79758066115923998</v>
      </c>
      <c r="F57" t="s">
        <v>88</v>
      </c>
    </row>
    <row r="58" spans="1:6" x14ac:dyDescent="0.35">
      <c r="B58" t="s">
        <v>4</v>
      </c>
      <c r="C58" t="s">
        <v>20</v>
      </c>
      <c r="D58" t="s">
        <v>58</v>
      </c>
      <c r="E58">
        <f>E52*Parameters!C61</f>
        <v>2.9960931572043981</v>
      </c>
      <c r="F58" t="s">
        <v>88</v>
      </c>
    </row>
    <row r="59" spans="1:6" x14ac:dyDescent="0.35">
      <c r="B59" t="s">
        <v>4</v>
      </c>
      <c r="C59" t="s">
        <v>15</v>
      </c>
      <c r="D59" t="s">
        <v>8</v>
      </c>
      <c r="E59">
        <f>E52*Parameters!C10*Parameters!C20*Parameters!C55/3.6</f>
        <v>456.82260094824119</v>
      </c>
      <c r="F59" t="s">
        <v>128</v>
      </c>
    </row>
    <row r="61" spans="1:6" x14ac:dyDescent="0.35">
      <c r="A61" t="s">
        <v>100</v>
      </c>
    </row>
    <row r="62" spans="1:6" x14ac:dyDescent="0.35">
      <c r="B62" t="s">
        <v>3</v>
      </c>
      <c r="C62" t="s">
        <v>15</v>
      </c>
      <c r="D62" t="s">
        <v>259</v>
      </c>
      <c r="E62">
        <f>Parameters!C66</f>
        <v>0.72184662733741389</v>
      </c>
      <c r="F62" t="s">
        <v>14</v>
      </c>
    </row>
    <row r="63" spans="1:6" x14ac:dyDescent="0.35">
      <c r="B63" t="s">
        <v>4</v>
      </c>
      <c r="C63" t="s">
        <v>20</v>
      </c>
      <c r="D63" t="s">
        <v>96</v>
      </c>
      <c r="E63">
        <f>Parameters!C75*1000</f>
        <v>1.7377103344898697</v>
      </c>
      <c r="F63" t="s">
        <v>88</v>
      </c>
    </row>
    <row r="65" spans="1:6" x14ac:dyDescent="0.35">
      <c r="A65" t="s">
        <v>269</v>
      </c>
    </row>
    <row r="66" spans="1:6" x14ac:dyDescent="0.35">
      <c r="B66" t="s">
        <v>3</v>
      </c>
      <c r="C66" t="s">
        <v>15</v>
      </c>
      <c r="D66" t="s">
        <v>266</v>
      </c>
      <c r="E66">
        <f>E62-E63*0.001</f>
        <v>0.72010891700292401</v>
      </c>
      <c r="F66" t="s">
        <v>14</v>
      </c>
    </row>
    <row r="67" spans="1:6" x14ac:dyDescent="0.35">
      <c r="B67" t="s">
        <v>4</v>
      </c>
      <c r="C67" t="s">
        <v>20</v>
      </c>
      <c r="D67" t="s">
        <v>111</v>
      </c>
      <c r="E67">
        <f>Waste_characteristics!B3*Parameters!C5*(1-Waste_characteristics!B4)*Waste_characteristics!B8*Parameters!C79*(44/28)*1000</f>
        <v>0.18825189343947143</v>
      </c>
      <c r="F67" t="s">
        <v>88</v>
      </c>
    </row>
    <row r="68" spans="1:6" x14ac:dyDescent="0.35">
      <c r="B68" t="s">
        <v>4</v>
      </c>
      <c r="C68" t="s">
        <v>20</v>
      </c>
      <c r="D68" t="s">
        <v>110</v>
      </c>
      <c r="E68">
        <f>Waste_characteristics!B3*Parameters!C5*(1-Waste_characteristics!B4)*Waste_characteristics!B8*Parameters!C80*(17/14)*1000</f>
        <v>4.4759191447147053</v>
      </c>
      <c r="F68" t="s">
        <v>88</v>
      </c>
    </row>
    <row r="69" spans="1:6" x14ac:dyDescent="0.35">
      <c r="B69" t="s">
        <v>4</v>
      </c>
      <c r="C69" t="s">
        <v>20</v>
      </c>
      <c r="D69" t="s">
        <v>114</v>
      </c>
      <c r="E69">
        <f>Waste_characteristics!B3*Parameters!C5*(1-Waste_characteristics!B4)*Waste_characteristics!B8*Parameters!C81*(62/14)*1000</f>
        <v>6.1214776538009943</v>
      </c>
      <c r="F69" t="s">
        <v>88</v>
      </c>
    </row>
    <row r="71" spans="1:6" x14ac:dyDescent="0.35">
      <c r="A71" t="s">
        <v>272</v>
      </c>
    </row>
    <row r="72" spans="1:6" x14ac:dyDescent="0.35">
      <c r="B72" t="s">
        <v>3</v>
      </c>
      <c r="C72" t="s">
        <v>15</v>
      </c>
      <c r="D72" t="s">
        <v>259</v>
      </c>
      <c r="E72">
        <f>Parameters!C66</f>
        <v>0.72184662733741389</v>
      </c>
      <c r="F72" t="s">
        <v>14</v>
      </c>
    </row>
    <row r="73" spans="1:6" x14ac:dyDescent="0.35">
      <c r="B73" t="s">
        <v>3</v>
      </c>
      <c r="C73" t="s">
        <v>15</v>
      </c>
      <c r="D73" t="s">
        <v>273</v>
      </c>
      <c r="E73">
        <f>Parameters!C90*LCI!E72*1000</f>
        <v>2.6213963219683225</v>
      </c>
      <c r="F73" t="s">
        <v>128</v>
      </c>
    </row>
    <row r="74" spans="1:6" x14ac:dyDescent="0.35">
      <c r="B74" t="s">
        <v>4</v>
      </c>
      <c r="C74" t="s">
        <v>15</v>
      </c>
      <c r="D74" t="s">
        <v>275</v>
      </c>
      <c r="E74">
        <f>Parameters!C68*Parameters!C88*(1/Parameters!C89)</f>
        <v>0.38571935518266853</v>
      </c>
      <c r="F74" t="s">
        <v>14</v>
      </c>
    </row>
    <row r="75" spans="1:6" x14ac:dyDescent="0.35">
      <c r="B75" t="s">
        <v>4</v>
      </c>
      <c r="C75" t="s">
        <v>15</v>
      </c>
      <c r="D75" t="s">
        <v>274</v>
      </c>
      <c r="E75">
        <f>((E72-E74)*1000)/Parameters!C70</f>
        <v>0.33650944587912957</v>
      </c>
      <c r="F75" t="s">
        <v>239</v>
      </c>
    </row>
    <row r="77" spans="1:6" x14ac:dyDescent="0.35">
      <c r="A77" t="s">
        <v>282</v>
      </c>
    </row>
    <row r="78" spans="1:6" x14ac:dyDescent="0.35">
      <c r="B78" t="s">
        <v>3</v>
      </c>
      <c r="C78" t="s">
        <v>15</v>
      </c>
      <c r="D78" t="s">
        <v>274</v>
      </c>
      <c r="E78">
        <f>E75</f>
        <v>0.33650944587912957</v>
      </c>
      <c r="F78" t="s">
        <v>239</v>
      </c>
    </row>
    <row r="79" spans="1:6" x14ac:dyDescent="0.35">
      <c r="B79" t="s">
        <v>3</v>
      </c>
      <c r="C79" t="s">
        <v>15</v>
      </c>
      <c r="D79" t="s">
        <v>283</v>
      </c>
      <c r="F79" t="s">
        <v>284</v>
      </c>
    </row>
    <row r="81" spans="1:7" x14ac:dyDescent="0.35">
      <c r="A81" t="s">
        <v>287</v>
      </c>
    </row>
    <row r="82" spans="1:7" x14ac:dyDescent="0.35">
      <c r="B82" t="s">
        <v>3</v>
      </c>
      <c r="C82" t="s">
        <v>15</v>
      </c>
      <c r="D82" t="s">
        <v>275</v>
      </c>
      <c r="E82">
        <f>E74</f>
        <v>0.38571935518266853</v>
      </c>
      <c r="F82" t="s">
        <v>14</v>
      </c>
    </row>
    <row r="83" spans="1:7" x14ac:dyDescent="0.35">
      <c r="B83" t="s">
        <v>4</v>
      </c>
      <c r="C83" t="s">
        <v>20</v>
      </c>
      <c r="D83" t="s">
        <v>96</v>
      </c>
      <c r="E83">
        <f>(16/12)*Parameters!C98*(1-Parameters!C94)*((E6*1000*(1-Waste_characteristics!B4)*Waste_characteristics!B9)-((E13*(1-Parameters!C10)*Parameters!C12*(12/44)))-((E13*(Parameters!C10)*Parameters!C11*(12/16))))</f>
        <v>8.8228561282663459E-2</v>
      </c>
      <c r="F83" t="s">
        <v>88</v>
      </c>
      <c r="G83" t="s">
        <v>290</v>
      </c>
    </row>
    <row r="84" spans="1:7" x14ac:dyDescent="0.35">
      <c r="B84" t="s">
        <v>4</v>
      </c>
      <c r="C84" t="s">
        <v>20</v>
      </c>
      <c r="D84" t="s">
        <v>111</v>
      </c>
      <c r="E84">
        <f>(E6*1000*(1-Waste_characteristics!B4)*Waste_characteristics!B8)*(1-Parameters!C91)*Parameters!C99*(44/28)</f>
        <v>6.2318617185905041E-2</v>
      </c>
      <c r="F84" t="s">
        <v>88</v>
      </c>
    </row>
    <row r="85" spans="1:7" x14ac:dyDescent="0.35">
      <c r="B85" t="s">
        <v>4</v>
      </c>
      <c r="C85" t="s">
        <v>20</v>
      </c>
      <c r="D85" t="s">
        <v>110</v>
      </c>
      <c r="E85">
        <f>(E6*1000*(1-Waste_characteristics!B4)*Waste_characteristics!B8)*(1-Parameters!C91)*Parameters!C100*(17/14)</f>
        <v>0.20275913725557618</v>
      </c>
      <c r="F85" t="s">
        <v>88</v>
      </c>
    </row>
    <row r="86" spans="1:7" x14ac:dyDescent="0.35">
      <c r="B86" t="s">
        <v>4</v>
      </c>
      <c r="C86" t="s">
        <v>20</v>
      </c>
      <c r="D86" t="s">
        <v>288</v>
      </c>
      <c r="E86">
        <f>E82*Parameters!C101</f>
        <v>4.0114812938997525E-2</v>
      </c>
      <c r="F86" t="s">
        <v>88</v>
      </c>
    </row>
    <row r="87" spans="1:7" x14ac:dyDescent="0.35">
      <c r="B87" t="s">
        <v>4</v>
      </c>
      <c r="C87" t="s">
        <v>20</v>
      </c>
      <c r="D87" t="s">
        <v>123</v>
      </c>
      <c r="E87">
        <f>(44/12)*Parameters!C102*(1-Parameters!C94)*((E6*1000*(1-Waste_characteristics!B4)*Waste_characteristics!B9)-((E13*(1-Parameters!C10)*Parameters!C12*(12/44)))-((E13*(Parameters!C10)*Parameters!C11*(12/16))))</f>
        <v>9.8429429422849709E-3</v>
      </c>
      <c r="F87" t="s">
        <v>88</v>
      </c>
    </row>
    <row r="88" spans="1:7" x14ac:dyDescent="0.35">
      <c r="B88" t="s">
        <v>4</v>
      </c>
      <c r="C88" t="s">
        <v>15</v>
      </c>
      <c r="D88" t="s">
        <v>346</v>
      </c>
      <c r="E88">
        <f>E82*(1-Parameters!C103)</f>
        <v>0.20057406469498765</v>
      </c>
      <c r="F88" t="s">
        <v>14</v>
      </c>
    </row>
    <row r="89" spans="1:7" x14ac:dyDescent="0.35">
      <c r="B89" t="s">
        <v>3</v>
      </c>
      <c r="C89" t="s">
        <v>15</v>
      </c>
      <c r="D89" t="s">
        <v>273</v>
      </c>
      <c r="E89">
        <f>Parameters!C104*LCI!E82</f>
        <v>4.0590570701545383</v>
      </c>
      <c r="F89" t="s">
        <v>128</v>
      </c>
    </row>
    <row r="90" spans="1:7" x14ac:dyDescent="0.35">
      <c r="B90" t="s">
        <v>3</v>
      </c>
      <c r="C90" t="s">
        <v>15</v>
      </c>
      <c r="D90" t="s">
        <v>289</v>
      </c>
      <c r="E90">
        <f>Parameters!C105*LCI!E82*Parameters!C106</f>
        <v>0.5828968252394866</v>
      </c>
      <c r="F90" t="s">
        <v>88</v>
      </c>
    </row>
    <row r="93" spans="1:7" x14ac:dyDescent="0.35">
      <c r="A93" t="s">
        <v>299</v>
      </c>
    </row>
    <row r="94" spans="1:7" x14ac:dyDescent="0.35">
      <c r="B94" t="s">
        <v>3</v>
      </c>
      <c r="C94" t="s">
        <v>15</v>
      </c>
      <c r="D94" t="s">
        <v>13</v>
      </c>
      <c r="E94">
        <v>1</v>
      </c>
      <c r="F94" t="s">
        <v>14</v>
      </c>
    </row>
    <row r="95" spans="1:7" x14ac:dyDescent="0.35">
      <c r="B95" t="s">
        <v>4</v>
      </c>
      <c r="C95" t="s">
        <v>20</v>
      </c>
      <c r="D95" t="s">
        <v>96</v>
      </c>
      <c r="E95" s="5">
        <f>[3]LCI!$B$4*1000</f>
        <v>0.34804999999999997</v>
      </c>
      <c r="F95" t="s">
        <v>88</v>
      </c>
      <c r="G95" t="s">
        <v>337</v>
      </c>
    </row>
    <row r="96" spans="1:7" x14ac:dyDescent="0.35">
      <c r="B96" t="s">
        <v>4</v>
      </c>
      <c r="C96" t="s">
        <v>20</v>
      </c>
      <c r="D96" t="s">
        <v>111</v>
      </c>
      <c r="E96" s="5">
        <f>[3]LCI!$B$6*1000</f>
        <v>7.0148999999999989E-2</v>
      </c>
      <c r="F96" t="s">
        <v>88</v>
      </c>
      <c r="G96" t="s">
        <v>337</v>
      </c>
    </row>
    <row r="97" spans="1:7" x14ac:dyDescent="0.35">
      <c r="B97" t="s">
        <v>4</v>
      </c>
      <c r="C97" t="s">
        <v>20</v>
      </c>
      <c r="D97" t="s">
        <v>110</v>
      </c>
      <c r="E97" s="5">
        <f>[3]LCI!$B$5*1000</f>
        <v>6.4731999999999998E-2</v>
      </c>
      <c r="F97" t="s">
        <v>88</v>
      </c>
      <c r="G97" t="s">
        <v>337</v>
      </c>
    </row>
    <row r="98" spans="1:7" x14ac:dyDescent="0.35">
      <c r="B98" t="s">
        <v>3</v>
      </c>
      <c r="C98" t="s">
        <v>15</v>
      </c>
      <c r="D98" t="s">
        <v>301</v>
      </c>
      <c r="E98">
        <f>E94*(1/8)*1000</f>
        <v>125</v>
      </c>
      <c r="F98" t="s">
        <v>88</v>
      </c>
      <c r="G98" t="s">
        <v>337</v>
      </c>
    </row>
    <row r="100" spans="1:7" x14ac:dyDescent="0.35">
      <c r="A100" t="s">
        <v>317</v>
      </c>
    </row>
    <row r="101" spans="1:7" x14ac:dyDescent="0.35">
      <c r="A101" t="s">
        <v>5</v>
      </c>
      <c r="B101" t="s">
        <v>3</v>
      </c>
      <c r="C101" t="s">
        <v>15</v>
      </c>
      <c r="D101" t="s">
        <v>13</v>
      </c>
      <c r="E101">
        <v>1</v>
      </c>
      <c r="F101" t="s">
        <v>14</v>
      </c>
    </row>
    <row r="102" spans="1:7" x14ac:dyDescent="0.35">
      <c r="B102" t="s">
        <v>3</v>
      </c>
      <c r="C102" t="s">
        <v>15</v>
      </c>
      <c r="D102" t="s">
        <v>8</v>
      </c>
      <c r="E102">
        <f>E101*Parameters!C3</f>
        <v>9.98</v>
      </c>
      <c r="F102" t="s">
        <v>128</v>
      </c>
    </row>
    <row r="103" spans="1:7" x14ac:dyDescent="0.35">
      <c r="B103" t="s">
        <v>3</v>
      </c>
      <c r="C103" t="s">
        <v>15</v>
      </c>
      <c r="D103" t="s">
        <v>9</v>
      </c>
    </row>
    <row r="104" spans="1:7" x14ac:dyDescent="0.35">
      <c r="B104" t="s">
        <v>4</v>
      </c>
      <c r="C104" t="s">
        <v>17</v>
      </c>
      <c r="D104" t="s">
        <v>236</v>
      </c>
      <c r="E104">
        <f>E101*Parameters!C5</f>
        <v>0.77</v>
      </c>
      <c r="F104" t="s">
        <v>14</v>
      </c>
    </row>
    <row r="105" spans="1:7" x14ac:dyDescent="0.35">
      <c r="A105" t="s">
        <v>235</v>
      </c>
      <c r="B105" t="s">
        <v>3</v>
      </c>
      <c r="C105" t="s">
        <v>17</v>
      </c>
      <c r="D105" t="s">
        <v>237</v>
      </c>
      <c r="E105">
        <f>E101*(1-Parameters!C5)*1000</f>
        <v>229.99999999999997</v>
      </c>
      <c r="F105" t="s">
        <v>88</v>
      </c>
    </row>
    <row r="107" spans="1:7" x14ac:dyDescent="0.35">
      <c r="A107" t="s">
        <v>300</v>
      </c>
      <c r="B107" t="s">
        <v>3</v>
      </c>
      <c r="C107" t="s">
        <v>15</v>
      </c>
      <c r="D107" t="s">
        <v>236</v>
      </c>
      <c r="E107">
        <f>E104</f>
        <v>0.77</v>
      </c>
      <c r="F107" t="s">
        <v>14</v>
      </c>
    </row>
    <row r="108" spans="1:7" x14ac:dyDescent="0.35">
      <c r="B108" t="s">
        <v>3</v>
      </c>
      <c r="C108" t="s">
        <v>15</v>
      </c>
      <c r="D108" t="s">
        <v>301</v>
      </c>
      <c r="E108">
        <f>E107*(1/8)*1000</f>
        <v>96.25</v>
      </c>
      <c r="F108" t="s">
        <v>88</v>
      </c>
    </row>
    <row r="109" spans="1:7" x14ac:dyDescent="0.35">
      <c r="B109" t="s">
        <v>4</v>
      </c>
      <c r="C109" t="s">
        <v>15</v>
      </c>
      <c r="D109" t="s">
        <v>334</v>
      </c>
      <c r="E109">
        <f>E107+(E108/1000)</f>
        <v>0.86624999999999996</v>
      </c>
      <c r="F109" t="s">
        <v>14</v>
      </c>
    </row>
    <row r="111" spans="1:7" x14ac:dyDescent="0.35">
      <c r="A111" t="s">
        <v>302</v>
      </c>
      <c r="B111" t="s">
        <v>3</v>
      </c>
      <c r="C111" t="s">
        <v>15</v>
      </c>
      <c r="D111" t="s">
        <v>334</v>
      </c>
      <c r="E111">
        <f>E109</f>
        <v>0.86624999999999996</v>
      </c>
      <c r="F111" t="s">
        <v>14</v>
      </c>
    </row>
    <row r="112" spans="1:7" ht="16.5" x14ac:dyDescent="0.45">
      <c r="B112" t="s">
        <v>4</v>
      </c>
      <c r="C112" t="s">
        <v>20</v>
      </c>
      <c r="D112" t="s">
        <v>295</v>
      </c>
      <c r="E112" s="5">
        <f>[4]LCI!C4*1000</f>
        <v>0.1410178</v>
      </c>
      <c r="F112" t="s">
        <v>88</v>
      </c>
      <c r="G112" t="s">
        <v>337</v>
      </c>
    </row>
    <row r="113" spans="2:7" ht="16.5" x14ac:dyDescent="0.45">
      <c r="B113" t="s">
        <v>4</v>
      </c>
      <c r="C113" t="s">
        <v>20</v>
      </c>
      <c r="D113" t="s">
        <v>296</v>
      </c>
      <c r="E113" s="5">
        <f>[4]LCI!C5*1000</f>
        <v>0.1932546</v>
      </c>
      <c r="F113" t="s">
        <v>88</v>
      </c>
      <c r="G113" t="s">
        <v>337</v>
      </c>
    </row>
    <row r="114" spans="2:7" ht="16.5" x14ac:dyDescent="0.45">
      <c r="B114" t="s">
        <v>4</v>
      </c>
      <c r="C114" t="s">
        <v>20</v>
      </c>
      <c r="D114" t="s">
        <v>297</v>
      </c>
      <c r="E114" s="5">
        <f>[4]LCI!C6*1000</f>
        <v>6.0094649999999999E-2</v>
      </c>
      <c r="F114" t="s">
        <v>88</v>
      </c>
      <c r="G114" t="s">
        <v>337</v>
      </c>
    </row>
    <row r="115" spans="2:7" ht="16.5" x14ac:dyDescent="0.45">
      <c r="B115" t="s">
        <v>4</v>
      </c>
      <c r="C115" t="s">
        <v>20</v>
      </c>
      <c r="D115" t="s">
        <v>298</v>
      </c>
      <c r="E115" s="5">
        <f>[4]LCI!C7*1000</f>
        <v>314.00600000000003</v>
      </c>
      <c r="F115" t="s">
        <v>88</v>
      </c>
      <c r="G115" t="s">
        <v>337</v>
      </c>
    </row>
    <row r="116" spans="2:7" x14ac:dyDescent="0.35">
      <c r="B116" t="s">
        <v>4</v>
      </c>
      <c r="C116" t="s">
        <v>15</v>
      </c>
      <c r="D116" t="s">
        <v>338</v>
      </c>
      <c r="E116" s="5">
        <f>[4]LCI!$C$31*1000</f>
        <v>6.93</v>
      </c>
      <c r="F116" t="s">
        <v>128</v>
      </c>
      <c r="G116" t="s">
        <v>337</v>
      </c>
    </row>
    <row r="117" spans="2:7" x14ac:dyDescent="0.35">
      <c r="B117" t="s">
        <v>4</v>
      </c>
      <c r="C117" t="s">
        <v>15</v>
      </c>
      <c r="D117" t="s">
        <v>227</v>
      </c>
      <c r="E117" s="5">
        <f>[4]LCI!$C$34*1000</f>
        <v>0</v>
      </c>
      <c r="F117" t="s">
        <v>339</v>
      </c>
      <c r="G117" t="s">
        <v>337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A56FB-B083-4D8C-9F05-B233F759AB4D}">
  <dimension ref="A1:F53"/>
  <sheetViews>
    <sheetView workbookViewId="0">
      <selection activeCell="D55" sqref="D55"/>
    </sheetView>
  </sheetViews>
  <sheetFormatPr baseColWidth="10" defaultRowHeight="14.5" x14ac:dyDescent="0.35"/>
  <cols>
    <col min="1" max="1" width="24" customWidth="1"/>
    <col min="2" max="2" width="13.08984375" bestFit="1" customWidth="1"/>
    <col min="3" max="3" width="17.26953125" bestFit="1" customWidth="1"/>
    <col min="4" max="4" width="20.7265625" bestFit="1" customWidth="1"/>
    <col min="5" max="5" width="11.81640625" bestFit="1" customWidth="1"/>
  </cols>
  <sheetData>
    <row r="1" spans="1:6" x14ac:dyDescent="0.35">
      <c r="A1" s="40" t="s">
        <v>355</v>
      </c>
    </row>
    <row r="2" spans="1:6" x14ac:dyDescent="0.35">
      <c r="A2" s="61" t="s">
        <v>0</v>
      </c>
      <c r="B2" s="62" t="s">
        <v>10</v>
      </c>
      <c r="C2" s="62" t="s">
        <v>11</v>
      </c>
      <c r="D2" s="62" t="s">
        <v>12</v>
      </c>
      <c r="E2" s="62" t="s">
        <v>1</v>
      </c>
      <c r="F2" s="63" t="s">
        <v>2</v>
      </c>
    </row>
    <row r="3" spans="1:6" x14ac:dyDescent="0.35">
      <c r="A3" s="42" t="s">
        <v>5</v>
      </c>
      <c r="B3" s="43" t="s">
        <v>3</v>
      </c>
      <c r="C3" s="43" t="s">
        <v>15</v>
      </c>
      <c r="D3" s="43" t="s">
        <v>13</v>
      </c>
      <c r="E3" s="43">
        <v>1</v>
      </c>
      <c r="F3" s="44" t="s">
        <v>14</v>
      </c>
    </row>
    <row r="4" spans="1:6" x14ac:dyDescent="0.35">
      <c r="A4" s="54"/>
      <c r="B4" s="46" t="s">
        <v>3</v>
      </c>
      <c r="C4" s="46" t="s">
        <v>15</v>
      </c>
      <c r="D4" s="46" t="s">
        <v>8</v>
      </c>
      <c r="E4" s="46">
        <f>E3*Parameters!C3</f>
        <v>9.98</v>
      </c>
      <c r="F4" s="47" t="s">
        <v>128</v>
      </c>
    </row>
    <row r="5" spans="1:6" x14ac:dyDescent="0.35">
      <c r="A5" s="54"/>
      <c r="B5" s="46" t="s">
        <v>3</v>
      </c>
      <c r="C5" s="46" t="s">
        <v>15</v>
      </c>
      <c r="D5" s="46" t="s">
        <v>9</v>
      </c>
      <c r="E5" s="46"/>
      <c r="F5" s="47"/>
    </row>
    <row r="6" spans="1:6" x14ac:dyDescent="0.35">
      <c r="A6" s="55"/>
      <c r="B6" s="49" t="s">
        <v>4</v>
      </c>
      <c r="C6" s="49" t="s">
        <v>17</v>
      </c>
      <c r="D6" s="49" t="s">
        <v>236</v>
      </c>
      <c r="E6" s="49">
        <f>E3*Parameters!C5</f>
        <v>0.77</v>
      </c>
      <c r="F6" s="50" t="s">
        <v>14</v>
      </c>
    </row>
    <row r="7" spans="1:6" x14ac:dyDescent="0.35">
      <c r="A7" s="51" t="s">
        <v>235</v>
      </c>
      <c r="B7" s="52" t="s">
        <v>3</v>
      </c>
      <c r="C7" s="52" t="s">
        <v>17</v>
      </c>
      <c r="D7" s="49" t="s">
        <v>422</v>
      </c>
      <c r="E7" s="65">
        <f>E8*0.001*Parameters!C6</f>
        <v>2.2999999999999998</v>
      </c>
      <c r="F7" s="50" t="s">
        <v>284</v>
      </c>
    </row>
    <row r="8" spans="1:6" x14ac:dyDescent="0.35">
      <c r="B8" s="69" t="s">
        <v>3</v>
      </c>
      <c r="C8" s="69" t="s">
        <v>17</v>
      </c>
      <c r="D8" s="69" t="s">
        <v>237</v>
      </c>
      <c r="E8" s="69">
        <f>E3*(1-Parameters!C5)*1000</f>
        <v>229.99999999999997</v>
      </c>
      <c r="F8" s="70" t="s">
        <v>88</v>
      </c>
    </row>
    <row r="9" spans="1:6" x14ac:dyDescent="0.35">
      <c r="A9" s="42" t="s">
        <v>6</v>
      </c>
      <c r="B9" s="43" t="s">
        <v>3</v>
      </c>
      <c r="C9" s="43" t="s">
        <v>17</v>
      </c>
      <c r="D9" s="43" t="s">
        <v>16</v>
      </c>
      <c r="E9" s="43">
        <f>E6</f>
        <v>0.77</v>
      </c>
      <c r="F9" s="44" t="s">
        <v>14</v>
      </c>
    </row>
    <row r="10" spans="1:6" x14ac:dyDescent="0.35">
      <c r="A10" s="54"/>
      <c r="B10" s="46" t="s">
        <v>3</v>
      </c>
      <c r="C10" s="46" t="s">
        <v>17</v>
      </c>
      <c r="D10" s="46" t="s">
        <v>8</v>
      </c>
      <c r="E10" s="46">
        <f>Parameters!C14*E9</f>
        <v>22.330000000000002</v>
      </c>
      <c r="F10" s="47" t="s">
        <v>128</v>
      </c>
    </row>
    <row r="11" spans="1:6" x14ac:dyDescent="0.35">
      <c r="A11" s="54"/>
      <c r="B11" s="46" t="s">
        <v>3</v>
      </c>
      <c r="C11" s="46" t="s">
        <v>17</v>
      </c>
      <c r="D11" s="46" t="s">
        <v>18</v>
      </c>
      <c r="E11" s="46">
        <f>E9*Parameters!C15</f>
        <v>227.15</v>
      </c>
      <c r="F11" s="47" t="s">
        <v>219</v>
      </c>
    </row>
    <row r="12" spans="1:6" x14ac:dyDescent="0.35">
      <c r="A12" s="54"/>
      <c r="B12" s="46" t="s">
        <v>4</v>
      </c>
      <c r="C12" s="46" t="s">
        <v>20</v>
      </c>
      <c r="D12" s="46" t="s">
        <v>19</v>
      </c>
      <c r="E12" s="46">
        <f>Parameters!C9*(Parameters!C7*(1-Waste_characteristics!B4))*E9*Parameters!C11*0.001</f>
        <v>1.5118453902366449</v>
      </c>
      <c r="F12" s="47" t="s">
        <v>88</v>
      </c>
    </row>
    <row r="13" spans="1:6" x14ac:dyDescent="0.35">
      <c r="A13" s="54"/>
      <c r="B13" s="46" t="s">
        <v>4</v>
      </c>
      <c r="C13" s="46" t="s">
        <v>17</v>
      </c>
      <c r="D13" s="46" t="s">
        <v>21</v>
      </c>
      <c r="E13" s="46">
        <f>(((Parameters!C7*(1-Waste_characteristics!B4))/Parameters!C10)*0.001)-((E12/Parameters!C11)*(1/Parameters!C10))</f>
        <v>223.74984536240387</v>
      </c>
      <c r="F13" s="47" t="s">
        <v>239</v>
      </c>
    </row>
    <row r="14" spans="1:6" x14ac:dyDescent="0.35">
      <c r="A14" s="55"/>
      <c r="B14" s="49" t="s">
        <v>4</v>
      </c>
      <c r="C14" s="49" t="s">
        <v>15</v>
      </c>
      <c r="D14" s="49" t="s">
        <v>349</v>
      </c>
      <c r="E14" s="49">
        <f>Parameters!C66*E9</f>
        <v>0.55582190304980872</v>
      </c>
      <c r="F14" s="50" t="s">
        <v>14</v>
      </c>
    </row>
    <row r="15" spans="1:6" x14ac:dyDescent="0.35">
      <c r="A15" s="42" t="s">
        <v>126</v>
      </c>
      <c r="B15" s="43" t="s">
        <v>3</v>
      </c>
      <c r="C15" s="43" t="s">
        <v>15</v>
      </c>
      <c r="D15" s="43" t="s">
        <v>21</v>
      </c>
      <c r="E15" s="43">
        <f>E13</f>
        <v>223.74984536240387</v>
      </c>
      <c r="F15" s="44" t="s">
        <v>239</v>
      </c>
    </row>
    <row r="16" spans="1:6" x14ac:dyDescent="0.35">
      <c r="A16" s="54"/>
      <c r="B16" s="46" t="s">
        <v>4</v>
      </c>
      <c r="C16" s="46" t="s">
        <v>20</v>
      </c>
      <c r="D16" s="46" t="s">
        <v>97</v>
      </c>
      <c r="E16" s="46">
        <f>E15*(1-Parameters!C10)*Parameters!C47*Parameters!C12</f>
        <v>174.55172936411853</v>
      </c>
      <c r="F16" s="47" t="s">
        <v>88</v>
      </c>
    </row>
    <row r="17" spans="1:6" x14ac:dyDescent="0.35">
      <c r="A17" s="54"/>
      <c r="B17" s="46" t="s">
        <v>4</v>
      </c>
      <c r="C17" s="46" t="s">
        <v>20</v>
      </c>
      <c r="D17" s="46" t="s">
        <v>96</v>
      </c>
      <c r="E17" s="46">
        <f>E15*Parameters!C10*Parameters!C48*Parameters!C11</f>
        <v>1.7398787975380521</v>
      </c>
      <c r="F17" s="47" t="s">
        <v>88</v>
      </c>
    </row>
    <row r="18" spans="1:6" x14ac:dyDescent="0.35">
      <c r="A18" s="54"/>
      <c r="B18" s="46" t="s">
        <v>4</v>
      </c>
      <c r="C18" s="46" t="s">
        <v>20</v>
      </c>
      <c r="D18" s="46" t="s">
        <v>141</v>
      </c>
      <c r="E18" s="46">
        <f>Parameters!C49*E15</f>
        <v>1.3424990721744234E-3</v>
      </c>
      <c r="F18" s="47" t="s">
        <v>88</v>
      </c>
    </row>
    <row r="19" spans="1:6" x14ac:dyDescent="0.35">
      <c r="A19" s="54"/>
      <c r="B19" s="46" t="s">
        <v>4</v>
      </c>
      <c r="C19" s="46" t="s">
        <v>20</v>
      </c>
      <c r="D19" s="46" t="s">
        <v>142</v>
      </c>
      <c r="E19" s="46">
        <f>E15*Parameters!C50</f>
        <v>1.4767489793918657E-3</v>
      </c>
      <c r="F19" s="47" t="s">
        <v>88</v>
      </c>
    </row>
    <row r="20" spans="1:6" x14ac:dyDescent="0.35">
      <c r="A20" s="54"/>
      <c r="B20" s="46" t="s">
        <v>3</v>
      </c>
      <c r="C20" s="46" t="s">
        <v>15</v>
      </c>
      <c r="D20" s="46" t="s">
        <v>79</v>
      </c>
      <c r="E20" s="46">
        <f>E15*Parameters!C51</f>
        <v>76.074947423217324</v>
      </c>
      <c r="F20" s="47" t="s">
        <v>128</v>
      </c>
    </row>
    <row r="21" spans="1:6" x14ac:dyDescent="0.35">
      <c r="A21" s="54"/>
      <c r="B21" s="46" t="s">
        <v>3</v>
      </c>
      <c r="C21" s="46" t="s">
        <v>15</v>
      </c>
      <c r="D21" s="46" t="s">
        <v>127</v>
      </c>
      <c r="E21" s="46">
        <f>E15*Parameters!C52</f>
        <v>0.19913736237253943</v>
      </c>
      <c r="F21" s="47" t="s">
        <v>88</v>
      </c>
    </row>
    <row r="22" spans="1:6" x14ac:dyDescent="0.35">
      <c r="A22" s="54"/>
      <c r="B22" s="46" t="s">
        <v>3</v>
      </c>
      <c r="C22" s="46" t="s">
        <v>15</v>
      </c>
      <c r="D22" s="46" t="s">
        <v>134</v>
      </c>
      <c r="E22" s="46">
        <f>E15*Parameters!C53</f>
        <v>2.6626231598126062</v>
      </c>
      <c r="F22" s="47" t="s">
        <v>88</v>
      </c>
    </row>
    <row r="23" spans="1:6" x14ac:dyDescent="0.35">
      <c r="A23" s="55"/>
      <c r="B23" s="49" t="s">
        <v>4</v>
      </c>
      <c r="C23" s="49" t="s">
        <v>15</v>
      </c>
      <c r="D23" s="49" t="s">
        <v>254</v>
      </c>
      <c r="E23" s="49">
        <f>(E15*Parameters!C10*(1-Parameters!C48))</f>
        <v>131.83340888752835</v>
      </c>
      <c r="F23" s="50" t="s">
        <v>239</v>
      </c>
    </row>
    <row r="24" spans="1:6" x14ac:dyDescent="0.35">
      <c r="A24" s="42" t="s">
        <v>272</v>
      </c>
      <c r="B24" s="43" t="s">
        <v>3</v>
      </c>
      <c r="C24" s="43" t="s">
        <v>15</v>
      </c>
      <c r="D24" s="43" t="s">
        <v>349</v>
      </c>
      <c r="E24" s="43">
        <f>E14</f>
        <v>0.55582190304980872</v>
      </c>
      <c r="F24" s="64" t="s">
        <v>14</v>
      </c>
    </row>
    <row r="25" spans="1:6" x14ac:dyDescent="0.35">
      <c r="A25" s="54"/>
      <c r="B25" s="46" t="s">
        <v>3</v>
      </c>
      <c r="C25" s="46" t="s">
        <v>15</v>
      </c>
      <c r="D25" s="46" t="s">
        <v>273</v>
      </c>
      <c r="E25" s="46">
        <f>E24*Parameters!C90*1000</f>
        <v>2.0184751679156081</v>
      </c>
      <c r="F25" s="58" t="s">
        <v>128</v>
      </c>
    </row>
    <row r="26" spans="1:6" x14ac:dyDescent="0.35">
      <c r="A26" s="54"/>
      <c r="B26" s="46" t="s">
        <v>4</v>
      </c>
      <c r="C26" s="46" t="s">
        <v>15</v>
      </c>
      <c r="D26" s="46" t="s">
        <v>275</v>
      </c>
      <c r="E26" s="46">
        <f>Parameters!C68*Parameters!C88*(1/Parameters!C89)*E9</f>
        <v>0.29700390349065475</v>
      </c>
      <c r="F26" s="58" t="s">
        <v>14</v>
      </c>
    </row>
    <row r="27" spans="1:6" x14ac:dyDescent="0.35">
      <c r="A27" s="55"/>
      <c r="B27" s="49" t="s">
        <v>4</v>
      </c>
      <c r="C27" s="49" t="s">
        <v>15</v>
      </c>
      <c r="D27" s="49" t="s">
        <v>274</v>
      </c>
      <c r="E27" s="49">
        <f>(E24-E26)*1000/Parameters!C70</f>
        <v>0.25911227332692982</v>
      </c>
      <c r="F27" s="60" t="s">
        <v>239</v>
      </c>
    </row>
    <row r="28" spans="1:6" x14ac:dyDescent="0.35">
      <c r="A28" s="42" t="s">
        <v>287</v>
      </c>
      <c r="B28" s="43" t="s">
        <v>3</v>
      </c>
      <c r="C28" s="43" t="s">
        <v>15</v>
      </c>
      <c r="D28" s="43" t="s">
        <v>275</v>
      </c>
      <c r="E28" s="43">
        <f>E26</f>
        <v>0.29700390349065475</v>
      </c>
      <c r="F28" s="64" t="s">
        <v>14</v>
      </c>
    </row>
    <row r="29" spans="1:6" x14ac:dyDescent="0.35">
      <c r="A29" s="54"/>
      <c r="B29" s="46" t="s">
        <v>4</v>
      </c>
      <c r="C29" s="46" t="s">
        <v>20</v>
      </c>
      <c r="D29" s="46" t="s">
        <v>96</v>
      </c>
      <c r="E29" s="46">
        <f>(16/12)*Parameters!C98*(1-Parameters!C94)*((E6*1000*(1-Waste_characteristics!B4)*Waste_characteristics!B9)-((E13*(1-Parameters!C10)*Parameters!C12*(12/44)))-((E13*(Parameters!C10)*Parameters!C11*(12/16))))</f>
        <v>8.8228561282663459E-2</v>
      </c>
      <c r="F29" s="58" t="s">
        <v>88</v>
      </c>
    </row>
    <row r="30" spans="1:6" x14ac:dyDescent="0.35">
      <c r="A30" s="54"/>
      <c r="B30" s="46" t="s">
        <v>4</v>
      </c>
      <c r="C30" s="46" t="s">
        <v>20</v>
      </c>
      <c r="D30" s="46" t="s">
        <v>111</v>
      </c>
      <c r="E30" s="46">
        <f>(E6*1000*(1-Waste_characteristics!B4)*Waste_characteristics!B8)*(1-Parameters!C91)*Parameters!C99*(44/28)</f>
        <v>6.2318617185905041E-2</v>
      </c>
      <c r="F30" s="58" t="s">
        <v>88</v>
      </c>
    </row>
    <row r="31" spans="1:6" x14ac:dyDescent="0.35">
      <c r="A31" s="54"/>
      <c r="B31" s="46" t="s">
        <v>4</v>
      </c>
      <c r="C31" s="46" t="s">
        <v>20</v>
      </c>
      <c r="D31" s="46" t="s">
        <v>110</v>
      </c>
      <c r="E31" s="46">
        <f>(E6*1000*(1-Waste_characteristics!B4)*Waste_characteristics!B8)*(1-Parameters!C91)*Parameters!C100*(17/14)</f>
        <v>0.20275913725557618</v>
      </c>
      <c r="F31" s="58" t="s">
        <v>88</v>
      </c>
    </row>
    <row r="32" spans="1:6" x14ac:dyDescent="0.35">
      <c r="A32" s="54"/>
      <c r="B32" s="46" t="s">
        <v>4</v>
      </c>
      <c r="C32" s="46" t="s">
        <v>20</v>
      </c>
      <c r="D32" s="46" t="s">
        <v>288</v>
      </c>
      <c r="E32" s="46">
        <f>E28*Parameters!C101</f>
        <v>3.0888405963028092E-2</v>
      </c>
      <c r="F32" s="58" t="s">
        <v>88</v>
      </c>
    </row>
    <row r="33" spans="1:6" x14ac:dyDescent="0.35">
      <c r="A33" s="54"/>
      <c r="B33" s="46" t="s">
        <v>4</v>
      </c>
      <c r="C33" s="46" t="s">
        <v>20</v>
      </c>
      <c r="D33" s="46" t="s">
        <v>123</v>
      </c>
      <c r="E33" s="46">
        <f>(44/12)*Parameters!C102*(1-Parameters!C94)*((E6*1000*(1-Waste_characteristics!B4)*Waste_characteristics!B9)-((E14*(1-Parameters!C10)*Parameters!C12*(12/44)))-((E14*(Parameters!C10)*Parameters!C11*(12/16))))</f>
        <v>0.12509676555232005</v>
      </c>
      <c r="F33" s="58" t="s">
        <v>88</v>
      </c>
    </row>
    <row r="34" spans="1:6" x14ac:dyDescent="0.35">
      <c r="A34" s="54"/>
      <c r="B34" s="46" t="s">
        <v>4</v>
      </c>
      <c r="C34" s="46" t="s">
        <v>15</v>
      </c>
      <c r="D34" s="46" t="s">
        <v>346</v>
      </c>
      <c r="E34" s="46">
        <f>E28*(1-Parameters!C103)</f>
        <v>0.15444202981514046</v>
      </c>
      <c r="F34" s="58" t="s">
        <v>14</v>
      </c>
    </row>
    <row r="35" spans="1:6" x14ac:dyDescent="0.35">
      <c r="A35" s="54"/>
      <c r="B35" s="46" t="s">
        <v>3</v>
      </c>
      <c r="C35" s="46" t="s">
        <v>15</v>
      </c>
      <c r="D35" s="46" t="s">
        <v>273</v>
      </c>
      <c r="E35" s="46">
        <f>E28*Parameters!C104</f>
        <v>3.1254739440189945</v>
      </c>
      <c r="F35" s="58" t="s">
        <v>128</v>
      </c>
    </row>
    <row r="36" spans="1:6" x14ac:dyDescent="0.35">
      <c r="A36" s="55"/>
      <c r="B36" s="49" t="s">
        <v>3</v>
      </c>
      <c r="C36" s="49" t="s">
        <v>15</v>
      </c>
      <c r="D36" s="49" t="s">
        <v>289</v>
      </c>
      <c r="E36" s="49">
        <f>E28*Parameters!C105*Parameters!C106</f>
        <v>0.44883055543440464</v>
      </c>
      <c r="F36" s="60" t="s">
        <v>88</v>
      </c>
    </row>
    <row r="37" spans="1:6" x14ac:dyDescent="0.35">
      <c r="A37" s="42" t="s">
        <v>353</v>
      </c>
      <c r="B37" s="43"/>
      <c r="C37" s="43"/>
      <c r="D37" s="43"/>
      <c r="E37" s="43"/>
      <c r="F37" s="44"/>
    </row>
    <row r="38" spans="1:6" x14ac:dyDescent="0.35">
      <c r="A38" s="54"/>
      <c r="B38" s="46" t="s">
        <v>4</v>
      </c>
      <c r="C38" s="46" t="s">
        <v>20</v>
      </c>
      <c r="D38" s="126" t="s">
        <v>111</v>
      </c>
      <c r="E38" s="67">
        <f>'LCI_AD-b'!E40</f>
        <v>1.3194213595067839E-2</v>
      </c>
      <c r="F38" s="58" t="s">
        <v>88</v>
      </c>
    </row>
    <row r="39" spans="1:6" x14ac:dyDescent="0.35">
      <c r="A39" s="54"/>
      <c r="B39" s="46" t="s">
        <v>4</v>
      </c>
      <c r="C39" s="46" t="s">
        <v>20</v>
      </c>
      <c r="D39" s="126" t="s">
        <v>110</v>
      </c>
      <c r="E39" s="67">
        <f>'LCI_AD-b'!E41</f>
        <v>7.8947677886819778E-2</v>
      </c>
      <c r="F39" s="58" t="s">
        <v>88</v>
      </c>
    </row>
    <row r="40" spans="1:6" x14ac:dyDescent="0.35">
      <c r="A40" s="54"/>
      <c r="B40" s="46" t="s">
        <v>4</v>
      </c>
      <c r="C40" s="46" t="s">
        <v>20</v>
      </c>
      <c r="D40" s="126" t="s">
        <v>114</v>
      </c>
      <c r="E40" s="67">
        <f>'LCI_AD-b'!E42</f>
        <v>2.6495849106130924</v>
      </c>
      <c r="F40" s="58" t="s">
        <v>88</v>
      </c>
    </row>
    <row r="41" spans="1:6" x14ac:dyDescent="0.35">
      <c r="A41" s="54"/>
      <c r="B41" s="46" t="s">
        <v>4</v>
      </c>
      <c r="C41" s="46" t="s">
        <v>20</v>
      </c>
      <c r="D41" s="126" t="s">
        <v>414</v>
      </c>
      <c r="E41" s="67">
        <f>'LCI_AD-b'!E43</f>
        <v>-3.9495205780320404E-2</v>
      </c>
      <c r="F41" s="58" t="s">
        <v>88</v>
      </c>
    </row>
    <row r="42" spans="1:6" x14ac:dyDescent="0.35">
      <c r="A42" s="55"/>
      <c r="B42" s="49" t="s">
        <v>4</v>
      </c>
      <c r="C42" s="49" t="s">
        <v>20</v>
      </c>
      <c r="D42" s="128" t="s">
        <v>415</v>
      </c>
      <c r="E42" s="95">
        <f>'LCI_AD-b'!E44</f>
        <v>-30.816321150470795</v>
      </c>
      <c r="F42" s="60" t="s">
        <v>88</v>
      </c>
    </row>
    <row r="43" spans="1:6" x14ac:dyDescent="0.35">
      <c r="A43" s="42" t="s">
        <v>421</v>
      </c>
      <c r="B43" s="43"/>
      <c r="C43" s="43"/>
      <c r="D43" s="43"/>
      <c r="E43" s="107">
        <f>'LCI_AD-b'!E45</f>
        <v>0</v>
      </c>
      <c r="F43" s="64" t="s">
        <v>88</v>
      </c>
    </row>
    <row r="44" spans="1:6" x14ac:dyDescent="0.35">
      <c r="A44" s="54"/>
      <c r="B44" s="46"/>
      <c r="C44" s="46" t="s">
        <v>15</v>
      </c>
      <c r="D44" s="46" t="s">
        <v>228</v>
      </c>
      <c r="E44" s="67">
        <f>'LCI_AD-b'!E46</f>
        <v>9.8391402733887965</v>
      </c>
      <c r="F44" s="58" t="s">
        <v>88</v>
      </c>
    </row>
    <row r="45" spans="1:6" x14ac:dyDescent="0.35">
      <c r="A45" s="54"/>
      <c r="B45" s="46"/>
      <c r="C45" s="46" t="s">
        <v>15</v>
      </c>
      <c r="D45" s="46" t="s">
        <v>230</v>
      </c>
      <c r="E45" s="67">
        <f>'LCI_AD-b'!E47</f>
        <v>31.938545835614104</v>
      </c>
      <c r="F45" s="58" t="s">
        <v>88</v>
      </c>
    </row>
    <row r="46" spans="1:6" x14ac:dyDescent="0.35">
      <c r="A46" s="54"/>
      <c r="B46" s="46"/>
      <c r="C46" s="46" t="s">
        <v>15</v>
      </c>
      <c r="D46" s="46" t="s">
        <v>229</v>
      </c>
      <c r="E46" s="67">
        <f>'LCI_AD-b'!E48</f>
        <v>2.8466868263749747</v>
      </c>
      <c r="F46" s="58" t="s">
        <v>88</v>
      </c>
    </row>
    <row r="47" spans="1:6" x14ac:dyDescent="0.35">
      <c r="A47" s="54"/>
      <c r="B47" s="46"/>
      <c r="C47" s="46" t="s">
        <v>15</v>
      </c>
      <c r="D47" s="46" t="s">
        <v>231</v>
      </c>
      <c r="E47" s="67">
        <f>'LCI_AD-b'!E49</f>
        <v>42.109844591027695</v>
      </c>
      <c r="F47" s="58" t="s">
        <v>88</v>
      </c>
    </row>
    <row r="48" spans="1:6" x14ac:dyDescent="0.35">
      <c r="A48" s="55"/>
      <c r="B48" s="49"/>
      <c r="C48" s="49" t="s">
        <v>15</v>
      </c>
      <c r="D48" s="59" t="s">
        <v>474</v>
      </c>
      <c r="E48" s="95">
        <f>E23</f>
        <v>131.83340888752835</v>
      </c>
      <c r="F48" s="50" t="s">
        <v>239</v>
      </c>
    </row>
    <row r="49" spans="1:6" x14ac:dyDescent="0.35">
      <c r="A49" s="54" t="s">
        <v>488</v>
      </c>
      <c r="B49" s="46"/>
      <c r="C49" s="46"/>
      <c r="D49" s="57"/>
      <c r="E49" s="5"/>
    </row>
    <row r="50" spans="1:6" x14ac:dyDescent="0.35">
      <c r="A50" s="46"/>
      <c r="B50" s="46" t="s">
        <v>4</v>
      </c>
      <c r="C50" s="46" t="s">
        <v>20</v>
      </c>
      <c r="D50" s="57" t="s">
        <v>415</v>
      </c>
      <c r="E50">
        <f>'LCI_AD-c'!E40</f>
        <v>-260.85437171878948</v>
      </c>
      <c r="F50" s="58" t="s">
        <v>88</v>
      </c>
    </row>
    <row r="51" spans="1:6" x14ac:dyDescent="0.35">
      <c r="B51" s="46" t="s">
        <v>4</v>
      </c>
      <c r="C51" s="46" t="s">
        <v>20</v>
      </c>
      <c r="D51" s="57" t="s">
        <v>489</v>
      </c>
      <c r="E51">
        <f>'LCI_AD-c'!E41</f>
        <v>260.85437171878948</v>
      </c>
      <c r="F51" s="58" t="s">
        <v>88</v>
      </c>
    </row>
    <row r="52" spans="1:6" x14ac:dyDescent="0.35">
      <c r="B52" s="46" t="s">
        <v>4</v>
      </c>
      <c r="C52" s="57" t="s">
        <v>20</v>
      </c>
      <c r="D52" s="57" t="s">
        <v>490</v>
      </c>
      <c r="E52">
        <f>'LCI_AD-c'!E42</f>
        <v>-9.3162275613853374E-3</v>
      </c>
      <c r="F52" s="58" t="s">
        <v>88</v>
      </c>
    </row>
    <row r="53" spans="1:6" x14ac:dyDescent="0.35">
      <c r="B53" s="49" t="s">
        <v>4</v>
      </c>
      <c r="C53" s="59" t="s">
        <v>20</v>
      </c>
      <c r="D53" s="59" t="s">
        <v>491</v>
      </c>
      <c r="E53">
        <f>'LCI_AD-c'!E43</f>
        <v>9.3162275613853374E-3</v>
      </c>
      <c r="F53" s="60" t="s">
        <v>88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734E2-FE48-4F6C-947D-3162A9EA30D8}">
  <dimension ref="B2:J7"/>
  <sheetViews>
    <sheetView topLeftCell="A16" workbookViewId="0">
      <selection activeCell="I35" sqref="I35"/>
    </sheetView>
  </sheetViews>
  <sheetFormatPr baseColWidth="10" defaultRowHeight="14.5" x14ac:dyDescent="0.35"/>
  <cols>
    <col min="2" max="2" width="32.1796875" customWidth="1"/>
  </cols>
  <sheetData>
    <row r="2" spans="2:10" x14ac:dyDescent="0.35">
      <c r="B2" t="s">
        <v>318</v>
      </c>
      <c r="I2" s="157" t="s">
        <v>319</v>
      </c>
      <c r="J2" s="157"/>
    </row>
    <row r="3" spans="2:10" x14ac:dyDescent="0.35">
      <c r="B3" t="s">
        <v>320</v>
      </c>
      <c r="C3">
        <v>1</v>
      </c>
      <c r="D3" s="38" t="s">
        <v>321</v>
      </c>
      <c r="I3">
        <v>0</v>
      </c>
      <c r="J3" t="s">
        <v>322</v>
      </c>
    </row>
    <row r="4" spans="2:10" x14ac:dyDescent="0.35">
      <c r="B4" t="s">
        <v>323</v>
      </c>
      <c r="C4" t="s">
        <v>324</v>
      </c>
      <c r="I4">
        <v>1</v>
      </c>
      <c r="J4" t="s">
        <v>325</v>
      </c>
    </row>
    <row r="5" spans="2:10" x14ac:dyDescent="0.35">
      <c r="B5" t="s">
        <v>326</v>
      </c>
      <c r="C5" t="s">
        <v>327</v>
      </c>
      <c r="D5" s="38" t="s">
        <v>321</v>
      </c>
      <c r="I5">
        <v>2</v>
      </c>
      <c r="J5" t="s">
        <v>328</v>
      </c>
    </row>
    <row r="6" spans="2:10" x14ac:dyDescent="0.35">
      <c r="B6" t="s">
        <v>329</v>
      </c>
      <c r="C6">
        <v>20</v>
      </c>
      <c r="D6" t="s">
        <v>330</v>
      </c>
      <c r="I6">
        <v>3</v>
      </c>
      <c r="J6" t="s">
        <v>331</v>
      </c>
    </row>
    <row r="7" spans="2:10" x14ac:dyDescent="0.35">
      <c r="B7" t="s">
        <v>332</v>
      </c>
      <c r="C7">
        <v>20</v>
      </c>
      <c r="D7" s="39" t="s">
        <v>330</v>
      </c>
      <c r="I7">
        <v>4</v>
      </c>
      <c r="J7" t="s">
        <v>333</v>
      </c>
    </row>
  </sheetData>
  <mergeCells count="1">
    <mergeCell ref="I2:J2"/>
  </mergeCells>
  <dataValidations count="4">
    <dataValidation type="list" allowBlank="1" showInputMessage="1" showErrorMessage="1" sqref="C2" xr:uid="{50F6AD01-78E7-4602-9743-E3529B4616E7}">
      <formula1>"Home composting, Industrial composting"</formula1>
    </dataValidation>
    <dataValidation type="list" allowBlank="1" showInputMessage="1" showErrorMessage="1" sqref="C5" xr:uid="{83F22F17-793E-47DB-A8B6-C1EE395F35E4}">
      <formula1>"Passive, Active, Turning by machine"</formula1>
    </dataValidation>
    <dataValidation type="list" allowBlank="1" showInputMessage="1" showErrorMessage="1" sqref="C4" xr:uid="{017A5E72-B68E-4D56-81D8-DE3BB16420B3}">
      <formula1>"3_1,8_1"</formula1>
    </dataValidation>
    <dataValidation type="list" allowBlank="1" showInputMessage="1" showErrorMessage="1" sqref="C3" xr:uid="{F279F121-14F9-4015-AFDF-2F9887A703F4}">
      <formula1>"0,1,2,3,4"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3BDEC-247A-4FA9-B5FA-F6CB0DD3F667}">
  <dimension ref="A1:N21"/>
  <sheetViews>
    <sheetView workbookViewId="0">
      <selection activeCell="E13" sqref="E13"/>
    </sheetView>
  </sheetViews>
  <sheetFormatPr baseColWidth="10" defaultRowHeight="14.5" x14ac:dyDescent="0.35"/>
  <cols>
    <col min="1" max="1" width="16.08984375" customWidth="1"/>
    <col min="3" max="3" width="17.26953125" bestFit="1" customWidth="1"/>
    <col min="4" max="4" width="22.453125" bestFit="1" customWidth="1"/>
  </cols>
  <sheetData>
    <row r="1" spans="1:7" x14ac:dyDescent="0.35">
      <c r="A1" s="40" t="s">
        <v>299</v>
      </c>
    </row>
    <row r="2" spans="1:7" x14ac:dyDescent="0.35">
      <c r="A2" s="61" t="s">
        <v>0</v>
      </c>
      <c r="B2" s="62" t="s">
        <v>10</v>
      </c>
      <c r="C2" s="62" t="s">
        <v>11</v>
      </c>
      <c r="D2" s="62" t="s">
        <v>12</v>
      </c>
      <c r="E2" s="62" t="s">
        <v>1</v>
      </c>
      <c r="F2" s="63" t="s">
        <v>2</v>
      </c>
    </row>
    <row r="3" spans="1:7" x14ac:dyDescent="0.35">
      <c r="A3" s="42" t="s">
        <v>347</v>
      </c>
      <c r="B3" s="43" t="s">
        <v>3</v>
      </c>
      <c r="C3" s="43" t="s">
        <v>15</v>
      </c>
      <c r="D3" s="43" t="s">
        <v>13</v>
      </c>
      <c r="E3" s="43">
        <v>1</v>
      </c>
      <c r="F3" s="44" t="s">
        <v>14</v>
      </c>
    </row>
    <row r="4" spans="1:7" x14ac:dyDescent="0.35">
      <c r="A4" s="54"/>
      <c r="B4" s="46" t="s">
        <v>4</v>
      </c>
      <c r="C4" s="46" t="s">
        <v>20</v>
      </c>
      <c r="D4" s="46" t="s">
        <v>96</v>
      </c>
      <c r="E4" s="46">
        <f>[3]LCI!$B$4*1000</f>
        <v>0.34804999999999997</v>
      </c>
      <c r="F4" s="47" t="s">
        <v>88</v>
      </c>
      <c r="G4" t="s">
        <v>337</v>
      </c>
    </row>
    <row r="5" spans="1:7" x14ac:dyDescent="0.35">
      <c r="A5" s="54"/>
      <c r="B5" s="46" t="s">
        <v>4</v>
      </c>
      <c r="C5" s="46" t="s">
        <v>20</v>
      </c>
      <c r="D5" s="46" t="s">
        <v>111</v>
      </c>
      <c r="E5" s="46">
        <f>[3]LCI!$B$6*1000</f>
        <v>7.0148999999999989E-2</v>
      </c>
      <c r="F5" s="47" t="s">
        <v>88</v>
      </c>
      <c r="G5" t="s">
        <v>337</v>
      </c>
    </row>
    <row r="6" spans="1:7" x14ac:dyDescent="0.35">
      <c r="A6" s="54"/>
      <c r="B6" s="46" t="s">
        <v>4</v>
      </c>
      <c r="C6" s="46" t="s">
        <v>20</v>
      </c>
      <c r="D6" s="46" t="s">
        <v>110</v>
      </c>
      <c r="E6" s="46">
        <f>[3]LCI!$B$5*1000</f>
        <v>6.4731999999999998E-2</v>
      </c>
      <c r="F6" s="47" t="s">
        <v>88</v>
      </c>
      <c r="G6" t="s">
        <v>337</v>
      </c>
    </row>
    <row r="7" spans="1:7" x14ac:dyDescent="0.35">
      <c r="A7" s="54"/>
      <c r="B7" s="46" t="s">
        <v>3</v>
      </c>
      <c r="C7" s="46" t="s">
        <v>15</v>
      </c>
      <c r="D7" s="46" t="s">
        <v>301</v>
      </c>
      <c r="E7" s="46">
        <f>E3*(1/8)*1000</f>
        <v>125</v>
      </c>
      <c r="F7" s="47" t="s">
        <v>88</v>
      </c>
      <c r="G7" t="s">
        <v>337</v>
      </c>
    </row>
    <row r="8" spans="1:7" x14ac:dyDescent="0.35">
      <c r="A8" s="42" t="s">
        <v>351</v>
      </c>
      <c r="B8" s="43"/>
      <c r="C8" s="43"/>
      <c r="D8" s="43"/>
      <c r="E8" s="43"/>
      <c r="F8" s="44"/>
    </row>
    <row r="9" spans="1:7" x14ac:dyDescent="0.35">
      <c r="A9" s="54"/>
      <c r="B9" s="46" t="s">
        <v>4</v>
      </c>
      <c r="C9" s="46" t="s">
        <v>20</v>
      </c>
      <c r="D9" s="46" t="s">
        <v>110</v>
      </c>
      <c r="E9" s="67">
        <f>[3]LCI!$C$18*1000</f>
        <v>0.36486015466419197</v>
      </c>
      <c r="F9" s="47" t="s">
        <v>88</v>
      </c>
      <c r="G9" t="s">
        <v>337</v>
      </c>
    </row>
    <row r="10" spans="1:7" x14ac:dyDescent="0.35">
      <c r="A10" s="54"/>
      <c r="B10" s="46" t="s">
        <v>4</v>
      </c>
      <c r="C10" s="46" t="s">
        <v>20</v>
      </c>
      <c r="D10" s="46" t="s">
        <v>111</v>
      </c>
      <c r="E10" s="67">
        <f>[3]LCI!$C$19*1000</f>
        <v>0.130953250012004</v>
      </c>
      <c r="F10" s="47" t="s">
        <v>88</v>
      </c>
      <c r="G10" t="s">
        <v>337</v>
      </c>
    </row>
    <row r="11" spans="1:7" x14ac:dyDescent="0.35">
      <c r="A11" s="54"/>
      <c r="B11" s="46" t="s">
        <v>4</v>
      </c>
      <c r="C11" s="46" t="s">
        <v>20</v>
      </c>
      <c r="D11" s="46" t="s">
        <v>114</v>
      </c>
      <c r="E11" s="67">
        <f>[3]LCI!$C$20*1000</f>
        <v>13.6083287743184</v>
      </c>
      <c r="F11" s="47" t="s">
        <v>88</v>
      </c>
      <c r="G11" t="s">
        <v>337</v>
      </c>
    </row>
    <row r="12" spans="1:7" x14ac:dyDescent="0.35">
      <c r="A12" s="54"/>
      <c r="B12" s="46" t="s">
        <v>4</v>
      </c>
      <c r="C12" s="46" t="s">
        <v>20</v>
      </c>
      <c r="D12" s="46" t="s">
        <v>414</v>
      </c>
      <c r="E12" s="67">
        <f>[3]LCI!$C$22*1000</f>
        <v>-8.1278569907775836E-2</v>
      </c>
      <c r="F12" s="47" t="s">
        <v>88</v>
      </c>
      <c r="G12" t="s">
        <v>337</v>
      </c>
    </row>
    <row r="13" spans="1:7" x14ac:dyDescent="0.35">
      <c r="A13" s="55"/>
      <c r="B13" s="49" t="s">
        <v>4</v>
      </c>
      <c r="C13" s="49" t="s">
        <v>20</v>
      </c>
      <c r="D13" s="49" t="s">
        <v>415</v>
      </c>
      <c r="E13" s="95">
        <f>[3]LCI!$C$26*1000</f>
        <v>-356.39999999999992</v>
      </c>
      <c r="F13" s="50" t="s">
        <v>88</v>
      </c>
      <c r="G13" t="s">
        <v>337</v>
      </c>
    </row>
    <row r="14" spans="1:7" x14ac:dyDescent="0.35">
      <c r="A14" s="42" t="s">
        <v>413</v>
      </c>
      <c r="B14" s="43"/>
      <c r="C14" s="43"/>
      <c r="D14" s="43"/>
      <c r="E14" s="43"/>
      <c r="F14" s="44"/>
    </row>
    <row r="15" spans="1:7" x14ac:dyDescent="0.35">
      <c r="A15" s="54"/>
      <c r="B15" s="46"/>
      <c r="C15" s="46" t="s">
        <v>15</v>
      </c>
      <c r="D15" s="46" t="s">
        <v>228</v>
      </c>
      <c r="E15" s="46">
        <f>0.0116046876865655*1000</f>
        <v>11.6046876865655</v>
      </c>
      <c r="F15" s="47" t="s">
        <v>88</v>
      </c>
      <c r="G15" t="s">
        <v>337</v>
      </c>
    </row>
    <row r="16" spans="1:7" x14ac:dyDescent="0.35">
      <c r="A16" s="54"/>
      <c r="B16" s="46"/>
      <c r="C16" s="46" t="s">
        <v>15</v>
      </c>
      <c r="D16" s="46" t="s">
        <v>230</v>
      </c>
      <c r="E16" s="46">
        <f>0.00342132225661322*1000</f>
        <v>3.42132225661322</v>
      </c>
      <c r="F16" s="47" t="s">
        <v>88</v>
      </c>
      <c r="G16" t="s">
        <v>337</v>
      </c>
    </row>
    <row r="17" spans="1:14" x14ac:dyDescent="0.35">
      <c r="A17" s="54"/>
      <c r="B17" s="46"/>
      <c r="C17" s="46" t="s">
        <v>15</v>
      </c>
      <c r="D17" s="46" t="s">
        <v>229</v>
      </c>
      <c r="E17" s="46">
        <f>0.00502189482738727*1000</f>
        <v>5.0218948273872694</v>
      </c>
      <c r="F17" s="47" t="s">
        <v>88</v>
      </c>
      <c r="G17" t="s">
        <v>337</v>
      </c>
    </row>
    <row r="18" spans="1:14" x14ac:dyDescent="0.35">
      <c r="A18" s="55"/>
      <c r="B18" s="49"/>
      <c r="C18" s="49" t="s">
        <v>15</v>
      </c>
      <c r="D18" s="49" t="s">
        <v>231</v>
      </c>
      <c r="E18" s="49">
        <f>0.438311688311688*1000</f>
        <v>438.31168831168799</v>
      </c>
      <c r="F18" s="50" t="s">
        <v>88</v>
      </c>
      <c r="G18" t="s">
        <v>337</v>
      </c>
    </row>
    <row r="21" spans="1:14" x14ac:dyDescent="0.35">
      <c r="N21" s="37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430F6-2DBA-4DDB-8862-FA14505ADDF1}">
  <dimension ref="A1:H42"/>
  <sheetViews>
    <sheetView topLeftCell="A23" workbookViewId="0">
      <selection activeCell="E36" sqref="E36"/>
    </sheetView>
  </sheetViews>
  <sheetFormatPr baseColWidth="10" defaultRowHeight="14.5" x14ac:dyDescent="0.35"/>
  <cols>
    <col min="1" max="1" width="29.6328125" customWidth="1"/>
    <col min="3" max="3" width="32.90625" customWidth="1"/>
    <col min="4" max="4" width="30.90625" customWidth="1"/>
  </cols>
  <sheetData>
    <row r="1" spans="1:6" x14ac:dyDescent="0.35">
      <c r="A1" s="40" t="s">
        <v>348</v>
      </c>
    </row>
    <row r="2" spans="1:6" x14ac:dyDescent="0.35">
      <c r="A2" s="61" t="s">
        <v>0</v>
      </c>
      <c r="B2" s="62" t="s">
        <v>10</v>
      </c>
      <c r="C2" s="62" t="s">
        <v>11</v>
      </c>
      <c r="D2" s="62" t="s">
        <v>12</v>
      </c>
      <c r="E2" s="62" t="s">
        <v>1</v>
      </c>
      <c r="F2" s="63" t="s">
        <v>2</v>
      </c>
    </row>
    <row r="3" spans="1:6" x14ac:dyDescent="0.35">
      <c r="A3" s="42" t="s">
        <v>5</v>
      </c>
      <c r="B3" s="43" t="s">
        <v>3</v>
      </c>
      <c r="C3" s="43" t="s">
        <v>15</v>
      </c>
      <c r="D3" s="43" t="s">
        <v>13</v>
      </c>
      <c r="E3" s="43">
        <v>1</v>
      </c>
      <c r="F3" s="44" t="s">
        <v>14</v>
      </c>
    </row>
    <row r="4" spans="1:6" x14ac:dyDescent="0.35">
      <c r="A4" s="45"/>
      <c r="B4" s="46" t="s">
        <v>3</v>
      </c>
      <c r="C4" s="46" t="s">
        <v>15</v>
      </c>
      <c r="D4" s="46" t="s">
        <v>8</v>
      </c>
      <c r="E4" s="46">
        <f>E3*Parameters!C3</f>
        <v>9.98</v>
      </c>
      <c r="F4" s="47" t="s">
        <v>128</v>
      </c>
    </row>
    <row r="5" spans="1:6" x14ac:dyDescent="0.35">
      <c r="A5" s="45"/>
      <c r="B5" s="46" t="s">
        <v>3</v>
      </c>
      <c r="C5" s="46" t="s">
        <v>15</v>
      </c>
      <c r="D5" s="46" t="s">
        <v>9</v>
      </c>
      <c r="E5" s="46"/>
      <c r="F5" s="47"/>
    </row>
    <row r="6" spans="1:6" x14ac:dyDescent="0.35">
      <c r="A6" s="48"/>
      <c r="B6" s="49" t="s">
        <v>4</v>
      </c>
      <c r="C6" s="49" t="s">
        <v>17</v>
      </c>
      <c r="D6" s="49" t="s">
        <v>236</v>
      </c>
      <c r="E6" s="49">
        <f>E3*Parameters!C5</f>
        <v>0.77</v>
      </c>
      <c r="F6" s="50" t="s">
        <v>14</v>
      </c>
    </row>
    <row r="7" spans="1:6" x14ac:dyDescent="0.35">
      <c r="A7" s="51" t="s">
        <v>235</v>
      </c>
      <c r="B7" s="52" t="s">
        <v>3</v>
      </c>
      <c r="C7" s="52" t="s">
        <v>17</v>
      </c>
      <c r="D7" s="49" t="s">
        <v>422</v>
      </c>
      <c r="E7" s="65">
        <f>E8*0.001*Parameters!C6</f>
        <v>2.2999999999999998</v>
      </c>
      <c r="F7" s="50" t="s">
        <v>284</v>
      </c>
    </row>
    <row r="8" spans="1:6" x14ac:dyDescent="0.35">
      <c r="B8" s="52" t="s">
        <v>3</v>
      </c>
      <c r="C8" s="52" t="s">
        <v>17</v>
      </c>
      <c r="D8" s="52" t="s">
        <v>237</v>
      </c>
      <c r="E8" s="52">
        <f>E3*(1-Parameters!C5)*1000</f>
        <v>229.99999999999997</v>
      </c>
      <c r="F8" s="53" t="s">
        <v>88</v>
      </c>
    </row>
    <row r="9" spans="1:6" x14ac:dyDescent="0.35">
      <c r="A9" s="42" t="s">
        <v>6</v>
      </c>
      <c r="B9" s="43" t="s">
        <v>3</v>
      </c>
      <c r="C9" s="43" t="s">
        <v>17</v>
      </c>
      <c r="D9" s="43" t="s">
        <v>16</v>
      </c>
      <c r="E9" s="43">
        <f>E6</f>
        <v>0.77</v>
      </c>
      <c r="F9" s="44" t="s">
        <v>14</v>
      </c>
    </row>
    <row r="10" spans="1:6" x14ac:dyDescent="0.35">
      <c r="A10" s="45"/>
      <c r="B10" s="46" t="s">
        <v>3</v>
      </c>
      <c r="C10" s="46" t="s">
        <v>17</v>
      </c>
      <c r="D10" s="46" t="s">
        <v>8</v>
      </c>
      <c r="E10" s="46">
        <f>Parameters!C14*E9</f>
        <v>22.330000000000002</v>
      </c>
      <c r="F10" s="47" t="s">
        <v>128</v>
      </c>
    </row>
    <row r="11" spans="1:6" x14ac:dyDescent="0.35">
      <c r="A11" s="45"/>
      <c r="B11" s="46" t="s">
        <v>3</v>
      </c>
      <c r="C11" s="46" t="s">
        <v>17</v>
      </c>
      <c r="D11" s="46" t="s">
        <v>18</v>
      </c>
      <c r="E11" s="46">
        <f>E9*Parameters!C15</f>
        <v>227.15</v>
      </c>
      <c r="F11" s="47" t="s">
        <v>219</v>
      </c>
    </row>
    <row r="12" spans="1:6" x14ac:dyDescent="0.35">
      <c r="A12" s="45"/>
      <c r="B12" s="46" t="s">
        <v>4</v>
      </c>
      <c r="C12" s="46" t="s">
        <v>20</v>
      </c>
      <c r="D12" s="46" t="s">
        <v>19</v>
      </c>
      <c r="E12" s="46">
        <f>Parameters!C9*(Parameters!C7*(1-Waste_characteristics!B4))*E9*Parameters!C11*0.001</f>
        <v>1.5118453902366449</v>
      </c>
      <c r="F12" s="47" t="s">
        <v>88</v>
      </c>
    </row>
    <row r="13" spans="1:6" x14ac:dyDescent="0.35">
      <c r="A13" s="45"/>
      <c r="B13" s="46" t="s">
        <v>4</v>
      </c>
      <c r="C13" s="46" t="s">
        <v>17</v>
      </c>
      <c r="D13" s="46" t="s">
        <v>21</v>
      </c>
      <c r="E13" s="46">
        <f>(((Parameters!C7*(1-Waste_characteristics!B4))/Parameters!C10)*0.001)-((E12/Parameters!C11)*(1/Parameters!C10))</f>
        <v>223.74984536240387</v>
      </c>
      <c r="F13" s="47" t="s">
        <v>239</v>
      </c>
    </row>
    <row r="14" spans="1:6" x14ac:dyDescent="0.35">
      <c r="A14" s="48"/>
      <c r="B14" s="49" t="s">
        <v>4</v>
      </c>
      <c r="C14" s="49" t="s">
        <v>15</v>
      </c>
      <c r="D14" s="49" t="s">
        <v>349</v>
      </c>
      <c r="E14" s="49">
        <f>Parameters!C66*E9</f>
        <v>0.55582190304980872</v>
      </c>
      <c r="F14" s="50" t="s">
        <v>14</v>
      </c>
    </row>
    <row r="15" spans="1:6" x14ac:dyDescent="0.35">
      <c r="A15" s="42" t="s">
        <v>7</v>
      </c>
      <c r="B15" s="43" t="s">
        <v>3</v>
      </c>
      <c r="C15" s="43" t="s">
        <v>17</v>
      </c>
      <c r="D15" s="43" t="s">
        <v>21</v>
      </c>
      <c r="E15" s="43">
        <f>E13</f>
        <v>223.74984536240387</v>
      </c>
      <c r="F15" s="44" t="s">
        <v>239</v>
      </c>
    </row>
    <row r="16" spans="1:6" x14ac:dyDescent="0.35">
      <c r="A16" s="54"/>
      <c r="B16" s="46" t="s">
        <v>4</v>
      </c>
      <c r="C16" s="46" t="s">
        <v>20</v>
      </c>
      <c r="D16" s="46" t="s">
        <v>50</v>
      </c>
      <c r="E16" s="46">
        <f>E15*Parameters!C24</f>
        <v>3.6718365183242771E-2</v>
      </c>
      <c r="F16" s="47" t="s">
        <v>88</v>
      </c>
    </row>
    <row r="17" spans="1:8" x14ac:dyDescent="0.35">
      <c r="A17" s="54"/>
      <c r="B17" s="46" t="s">
        <v>4</v>
      </c>
      <c r="C17" s="46" t="s">
        <v>20</v>
      </c>
      <c r="D17" s="46" t="s">
        <v>51</v>
      </c>
      <c r="E17" s="46">
        <f>E15*Parameters!C25</f>
        <v>0.35389510062325319</v>
      </c>
      <c r="F17" s="47" t="s">
        <v>88</v>
      </c>
    </row>
    <row r="18" spans="1:8" x14ac:dyDescent="0.35">
      <c r="A18" s="54"/>
      <c r="B18" s="46" t="s">
        <v>4</v>
      </c>
      <c r="C18" s="46" t="s">
        <v>20</v>
      </c>
      <c r="D18" s="46" t="s">
        <v>52</v>
      </c>
      <c r="E18" s="46">
        <f>E15*Parameters!C26</f>
        <v>3.1472884442779359E-3</v>
      </c>
      <c r="F18" s="47" t="s">
        <v>88</v>
      </c>
    </row>
    <row r="19" spans="1:8" x14ac:dyDescent="0.35">
      <c r="A19" s="54"/>
      <c r="B19" s="46" t="s">
        <v>4</v>
      </c>
      <c r="C19" s="46" t="s">
        <v>20</v>
      </c>
      <c r="D19" s="46" t="s">
        <v>53</v>
      </c>
      <c r="E19" s="46">
        <f>LCI!E14*Parameters!C27</f>
        <v>7.693371752679418E-3</v>
      </c>
      <c r="F19" s="47" t="s">
        <v>88</v>
      </c>
    </row>
    <row r="20" spans="1:8" x14ac:dyDescent="0.35">
      <c r="A20" s="54"/>
      <c r="B20" s="46" t="s">
        <v>4</v>
      </c>
      <c r="C20" s="46" t="s">
        <v>20</v>
      </c>
      <c r="D20" s="46" t="s">
        <v>54</v>
      </c>
      <c r="E20" s="46">
        <f>E15*Parameters!C28</f>
        <v>0.23901907240710826</v>
      </c>
      <c r="F20" s="47" t="s">
        <v>88</v>
      </c>
    </row>
    <row r="21" spans="1:8" x14ac:dyDescent="0.35">
      <c r="A21" s="54"/>
      <c r="B21" s="46" t="s">
        <v>4</v>
      </c>
      <c r="C21" s="46" t="s">
        <v>20</v>
      </c>
      <c r="D21" s="46" t="s">
        <v>55</v>
      </c>
      <c r="E21" s="46">
        <f>E15*Parameters!C29</f>
        <v>1.4337647357266187E-2</v>
      </c>
      <c r="F21" s="47" t="s">
        <v>88</v>
      </c>
    </row>
    <row r="22" spans="1:8" x14ac:dyDescent="0.35">
      <c r="A22" s="54"/>
      <c r="B22" s="46" t="s">
        <v>4</v>
      </c>
      <c r="C22" s="46" t="s">
        <v>20</v>
      </c>
      <c r="D22" s="46" t="s">
        <v>58</v>
      </c>
      <c r="E22" s="46">
        <f>E15*Parameters!C30</f>
        <v>0.96288795800695026</v>
      </c>
      <c r="F22" s="47" t="s">
        <v>88</v>
      </c>
    </row>
    <row r="23" spans="1:8" x14ac:dyDescent="0.35">
      <c r="A23" s="54"/>
      <c r="B23" s="46" t="s">
        <v>4</v>
      </c>
      <c r="C23" s="46" t="s">
        <v>20</v>
      </c>
      <c r="D23" s="46" t="s">
        <v>59</v>
      </c>
      <c r="E23" s="46">
        <f>LCI!E14*Parameters!C31</f>
        <v>2.2925903762070245E-2</v>
      </c>
      <c r="F23" s="47" t="s">
        <v>88</v>
      </c>
    </row>
    <row r="24" spans="1:8" x14ac:dyDescent="0.35">
      <c r="A24" s="54"/>
      <c r="B24" s="46" t="s">
        <v>4</v>
      </c>
      <c r="C24" s="46" t="s">
        <v>15</v>
      </c>
      <c r="D24" s="46" t="s">
        <v>8</v>
      </c>
      <c r="E24" s="46">
        <f>E15*Parameters!C10*Parameters!C20*Parameters!C19/3.6</f>
        <v>509.03089819946877</v>
      </c>
      <c r="F24" s="47" t="s">
        <v>128</v>
      </c>
    </row>
    <row r="25" spans="1:8" x14ac:dyDescent="0.35">
      <c r="A25" s="54"/>
      <c r="B25" s="46" t="s">
        <v>4</v>
      </c>
      <c r="C25" s="46" t="s">
        <v>15</v>
      </c>
      <c r="D25" s="46" t="s">
        <v>18</v>
      </c>
      <c r="E25" s="46">
        <f>E15*Parameters!C10*Parameters!C20*Parameters!C18</f>
        <v>2161.4235062008215</v>
      </c>
      <c r="F25" s="47" t="s">
        <v>219</v>
      </c>
    </row>
    <row r="26" spans="1:8" x14ac:dyDescent="0.35">
      <c r="A26" s="56" t="s">
        <v>100</v>
      </c>
      <c r="B26" s="43" t="s">
        <v>3</v>
      </c>
      <c r="C26" s="43" t="s">
        <v>15</v>
      </c>
      <c r="D26" s="43" t="s">
        <v>349</v>
      </c>
      <c r="E26" s="43">
        <f>E14</f>
        <v>0.55582190304980872</v>
      </c>
      <c r="F26" s="44" t="s">
        <v>14</v>
      </c>
    </row>
    <row r="27" spans="1:8" x14ac:dyDescent="0.35">
      <c r="A27" s="54"/>
      <c r="B27" s="46" t="s">
        <v>4</v>
      </c>
      <c r="C27" s="46" t="s">
        <v>20</v>
      </c>
      <c r="D27" s="46" t="s">
        <v>96</v>
      </c>
      <c r="E27" s="46">
        <f>Parameters!C75*E9*1000</f>
        <v>1.3380369575571998</v>
      </c>
      <c r="F27" s="47" t="s">
        <v>88</v>
      </c>
    </row>
    <row r="28" spans="1:8" x14ac:dyDescent="0.35">
      <c r="A28" s="55"/>
      <c r="B28" s="59" t="s">
        <v>4</v>
      </c>
      <c r="C28" s="59" t="s">
        <v>15</v>
      </c>
      <c r="D28" s="59" t="s">
        <v>350</v>
      </c>
      <c r="E28" s="49">
        <f>E26-(E27*0.001)</f>
        <v>0.55448386609225153</v>
      </c>
      <c r="F28" s="60" t="s">
        <v>14</v>
      </c>
    </row>
    <row r="29" spans="1:8" x14ac:dyDescent="0.35">
      <c r="A29" s="42" t="s">
        <v>108</v>
      </c>
      <c r="B29" s="43" t="s">
        <v>3</v>
      </c>
      <c r="C29" s="43" t="s">
        <v>15</v>
      </c>
      <c r="D29" s="43" t="s">
        <v>350</v>
      </c>
      <c r="E29" s="43">
        <f>E28</f>
        <v>0.55448386609225153</v>
      </c>
      <c r="F29" s="44" t="s">
        <v>14</v>
      </c>
    </row>
    <row r="30" spans="1:8" x14ac:dyDescent="0.35">
      <c r="A30" s="54"/>
      <c r="B30" s="46" t="s">
        <v>4</v>
      </c>
      <c r="C30" s="46" t="s">
        <v>20</v>
      </c>
      <c r="D30" s="126" t="s">
        <v>111</v>
      </c>
      <c r="E30" s="126">
        <f>(Parameters!C82*'LCI_AD-a'!E9*1000*Parameters!C79*44/28)-(E36*Parameters!C123*Parameters!C125*44/28)</f>
        <v>6.9747028223324792E-2</v>
      </c>
      <c r="F30" s="47" t="s">
        <v>88</v>
      </c>
      <c r="H30" s="17" t="s">
        <v>425</v>
      </c>
    </row>
    <row r="31" spans="1:8" x14ac:dyDescent="0.35">
      <c r="A31" s="54"/>
      <c r="B31" s="46" t="s">
        <v>4</v>
      </c>
      <c r="C31" s="46" t="s">
        <v>20</v>
      </c>
      <c r="D31" s="126" t="s">
        <v>110</v>
      </c>
      <c r="E31" s="126">
        <f>(Parameters!C82*'LCI_AD-a'!E9*1000*Parameters!C80*17/14)-(E36*Parameters!C123*Parameters!C124*17/14)</f>
        <v>4.3294040386292876</v>
      </c>
      <c r="F31" s="47" t="s">
        <v>88</v>
      </c>
    </row>
    <row r="32" spans="1:8" x14ac:dyDescent="0.35">
      <c r="A32" s="54"/>
      <c r="B32" s="46" t="s">
        <v>4</v>
      </c>
      <c r="C32" s="46" t="s">
        <v>20</v>
      </c>
      <c r="D32" s="126" t="s">
        <v>114</v>
      </c>
      <c r="E32" s="126">
        <f>(Parameters!C82*'LCI_AD-a'!E9*1000*Parameters!C81*62/14)-(E36*Parameters!C123*Parameters!C126*62/14)</f>
        <v>-1.8937605026365594</v>
      </c>
      <c r="F32" s="47" t="s">
        <v>88</v>
      </c>
    </row>
    <row r="33" spans="1:7" x14ac:dyDescent="0.35">
      <c r="A33" s="54"/>
      <c r="B33" s="46" t="s">
        <v>4</v>
      </c>
      <c r="C33" s="46" t="s">
        <v>20</v>
      </c>
      <c r="D33" s="126" t="s">
        <v>414</v>
      </c>
      <c r="E33" s="127">
        <f>-Parameters!C129*'LCI_AD-a'!E37*Parameters!C128*0.001</f>
        <v>-6.2099380157736493E-2</v>
      </c>
      <c r="F33" s="47" t="s">
        <v>88</v>
      </c>
    </row>
    <row r="34" spans="1:7" x14ac:dyDescent="0.35">
      <c r="A34" s="55"/>
      <c r="B34" s="49" t="s">
        <v>4</v>
      </c>
      <c r="C34" s="49" t="s">
        <v>20</v>
      </c>
      <c r="D34" s="128" t="s">
        <v>415</v>
      </c>
      <c r="E34" s="129">
        <f>-E39*Parameters!C136*Parameters!C134*44/12</f>
        <v>-115.3519213234084</v>
      </c>
      <c r="F34" s="50" t="s">
        <v>88</v>
      </c>
    </row>
    <row r="35" spans="1:7" x14ac:dyDescent="0.35">
      <c r="A35" s="42" t="s">
        <v>421</v>
      </c>
      <c r="B35" s="43"/>
      <c r="C35" s="43"/>
      <c r="D35" s="43"/>
      <c r="E35" s="43"/>
      <c r="F35" s="44"/>
    </row>
    <row r="36" spans="1:7" x14ac:dyDescent="0.35">
      <c r="A36" s="54"/>
      <c r="B36" s="46"/>
      <c r="C36" s="46" t="s">
        <v>15</v>
      </c>
      <c r="D36" s="46" t="s">
        <v>228</v>
      </c>
      <c r="E36" s="126">
        <f>(Parameters!C83/Parameters!C127)*FW_mass*1000*E6/Parameters!C123</f>
        <v>18.008880467039923</v>
      </c>
      <c r="F36" s="47" t="s">
        <v>88</v>
      </c>
      <c r="G36" s="57" t="s">
        <v>449</v>
      </c>
    </row>
    <row r="37" spans="1:7" x14ac:dyDescent="0.35">
      <c r="A37" s="54"/>
      <c r="B37" s="46"/>
      <c r="C37" s="46" t="s">
        <v>15</v>
      </c>
      <c r="D37" s="46" t="s">
        <v>230</v>
      </c>
      <c r="E37" s="126">
        <f>(Parameters!C86/Parameters!C131)*1000*'LCI_AD-a'!E9/Parameters!C128</f>
        <v>50.21783936417313</v>
      </c>
      <c r="F37" s="47" t="s">
        <v>88</v>
      </c>
      <c r="G37" s="57" t="s">
        <v>465</v>
      </c>
    </row>
    <row r="38" spans="1:7" x14ac:dyDescent="0.35">
      <c r="A38" s="54"/>
      <c r="B38" s="46"/>
      <c r="C38" s="46" t="s">
        <v>15</v>
      </c>
      <c r="D38" s="46" t="s">
        <v>229</v>
      </c>
      <c r="E38" s="126">
        <f>(Parameters!C85/Parameters!C132)*'LCI_AD-a'!E9*1000</f>
        <v>18.509017076560308</v>
      </c>
      <c r="F38" s="47" t="s">
        <v>88</v>
      </c>
    </row>
    <row r="39" spans="1:7" x14ac:dyDescent="0.35">
      <c r="A39" s="54"/>
      <c r="B39" s="46"/>
      <c r="C39" s="46" t="s">
        <v>15</v>
      </c>
      <c r="D39" s="46" t="s">
        <v>231</v>
      </c>
      <c r="E39" s="127">
        <f>(Parameters!C84/Parameters!C136)*1000*E9</f>
        <v>157.6259364797985</v>
      </c>
      <c r="F39" s="47" t="s">
        <v>88</v>
      </c>
    </row>
    <row r="40" spans="1:7" x14ac:dyDescent="0.35">
      <c r="A40" s="54"/>
      <c r="B40" s="46"/>
      <c r="C40" s="46" t="s">
        <v>15</v>
      </c>
      <c r="D40" s="57" t="s">
        <v>423</v>
      </c>
      <c r="E40" s="46">
        <f>E25</f>
        <v>2161.4235062008215</v>
      </c>
      <c r="F40" s="58" t="s">
        <v>219</v>
      </c>
    </row>
    <row r="41" spans="1:7" x14ac:dyDescent="0.35">
      <c r="A41" s="55"/>
      <c r="B41" s="49"/>
      <c r="C41" s="49" t="s">
        <v>15</v>
      </c>
      <c r="D41" s="59" t="s">
        <v>424</v>
      </c>
      <c r="E41" s="49">
        <f>E24</f>
        <v>509.03089819946877</v>
      </c>
      <c r="F41" s="60" t="s">
        <v>128</v>
      </c>
    </row>
    <row r="42" spans="1:7" x14ac:dyDescent="0.35">
      <c r="A42" s="40" t="s">
        <v>485</v>
      </c>
      <c r="C42" s="57" t="s">
        <v>497</v>
      </c>
    </row>
  </sheetData>
  <pageMargins left="0.7" right="0.7" top="0.75" bottom="0.75" header="0.3" footer="0.3"/>
  <pageSetup paperSize="9" orientation="portrait" verticalDpi="597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9B88C-DE9F-4949-BBB5-353E0F8F261E}">
  <dimension ref="A1:K43"/>
  <sheetViews>
    <sheetView zoomScale="110" zoomScaleNormal="110" workbookViewId="0">
      <selection activeCell="E40" sqref="E40"/>
    </sheetView>
  </sheetViews>
  <sheetFormatPr baseColWidth="10" defaultRowHeight="14.5" x14ac:dyDescent="0.35"/>
  <cols>
    <col min="1" max="1" width="26.54296875" bestFit="1" customWidth="1"/>
    <col min="2" max="2" width="13.08984375" bestFit="1" customWidth="1"/>
    <col min="3" max="3" width="17.26953125" bestFit="1" customWidth="1"/>
    <col min="4" max="4" width="18.36328125" bestFit="1" customWidth="1"/>
  </cols>
  <sheetData>
    <row r="1" spans="1:6" x14ac:dyDescent="0.35">
      <c r="A1" s="40" t="s">
        <v>354</v>
      </c>
    </row>
    <row r="2" spans="1:6" x14ac:dyDescent="0.35">
      <c r="A2" s="61" t="s">
        <v>0</v>
      </c>
      <c r="B2" s="62" t="s">
        <v>10</v>
      </c>
      <c r="C2" s="62" t="s">
        <v>11</v>
      </c>
      <c r="D2" s="62" t="s">
        <v>12</v>
      </c>
      <c r="E2" s="62" t="s">
        <v>1</v>
      </c>
      <c r="F2" s="63" t="s">
        <v>2</v>
      </c>
    </row>
    <row r="3" spans="1:6" x14ac:dyDescent="0.35">
      <c r="A3" s="42" t="s">
        <v>5</v>
      </c>
      <c r="B3" s="43" t="s">
        <v>3</v>
      </c>
      <c r="C3" s="43" t="s">
        <v>15</v>
      </c>
      <c r="D3" s="43" t="s">
        <v>13</v>
      </c>
      <c r="E3" s="43">
        <v>1</v>
      </c>
      <c r="F3" s="44" t="s">
        <v>14</v>
      </c>
    </row>
    <row r="4" spans="1:6" x14ac:dyDescent="0.35">
      <c r="A4" s="54"/>
      <c r="B4" s="46" t="s">
        <v>3</v>
      </c>
      <c r="C4" s="46" t="s">
        <v>15</v>
      </c>
      <c r="D4" s="46" t="s">
        <v>8</v>
      </c>
      <c r="E4" s="46">
        <f>E3*Parameters!C3</f>
        <v>9.98</v>
      </c>
      <c r="F4" s="47" t="s">
        <v>128</v>
      </c>
    </row>
    <row r="5" spans="1:6" x14ac:dyDescent="0.35">
      <c r="A5" s="54"/>
      <c r="B5" s="46" t="s">
        <v>3</v>
      </c>
      <c r="C5" s="46" t="s">
        <v>15</v>
      </c>
      <c r="D5" s="46" t="s">
        <v>9</v>
      </c>
      <c r="E5" s="46"/>
      <c r="F5" s="47"/>
    </row>
    <row r="6" spans="1:6" x14ac:dyDescent="0.35">
      <c r="A6" s="54"/>
      <c r="B6" s="46" t="s">
        <v>4</v>
      </c>
      <c r="C6" s="46" t="s">
        <v>17</v>
      </c>
      <c r="D6" s="46" t="s">
        <v>236</v>
      </c>
      <c r="E6" s="46">
        <f>E3*Parameters!C5</f>
        <v>0.77</v>
      </c>
      <c r="F6" s="47" t="s">
        <v>14</v>
      </c>
    </row>
    <row r="7" spans="1:6" x14ac:dyDescent="0.35">
      <c r="A7" s="42" t="s">
        <v>235</v>
      </c>
      <c r="B7" s="49" t="s">
        <v>3</v>
      </c>
      <c r="C7" s="49" t="s">
        <v>17</v>
      </c>
      <c r="D7" s="43" t="s">
        <v>422</v>
      </c>
      <c r="E7" s="120">
        <f>E8*0.001*Parameters!C6</f>
        <v>2.2999999999999998</v>
      </c>
      <c r="F7" s="44" t="s">
        <v>284</v>
      </c>
    </row>
    <row r="8" spans="1:6" x14ac:dyDescent="0.35">
      <c r="A8" s="55"/>
      <c r="B8" s="49" t="s">
        <v>3</v>
      </c>
      <c r="C8" s="49" t="s">
        <v>17</v>
      </c>
      <c r="D8" s="49" t="s">
        <v>237</v>
      </c>
      <c r="E8" s="49">
        <f>E3*(1-Parameters!C5)*1000</f>
        <v>229.99999999999997</v>
      </c>
      <c r="F8" s="50" t="s">
        <v>88</v>
      </c>
    </row>
    <row r="9" spans="1:6" x14ac:dyDescent="0.35">
      <c r="A9" s="45" t="s">
        <v>6</v>
      </c>
      <c r="B9" s="46" t="s">
        <v>3</v>
      </c>
      <c r="C9" s="46" t="s">
        <v>17</v>
      </c>
      <c r="D9" s="46" t="s">
        <v>16</v>
      </c>
      <c r="E9" s="46">
        <f>E6</f>
        <v>0.77</v>
      </c>
      <c r="F9" s="47" t="s">
        <v>14</v>
      </c>
    </row>
    <row r="10" spans="1:6" x14ac:dyDescent="0.35">
      <c r="A10" s="54"/>
      <c r="B10" s="46" t="s">
        <v>3</v>
      </c>
      <c r="C10" s="46" t="s">
        <v>17</v>
      </c>
      <c r="D10" s="46" t="s">
        <v>8</v>
      </c>
      <c r="E10" s="46">
        <f>Parameters!C14*E9</f>
        <v>22.330000000000002</v>
      </c>
      <c r="F10" s="47" t="s">
        <v>128</v>
      </c>
    </row>
    <row r="11" spans="1:6" x14ac:dyDescent="0.35">
      <c r="A11" s="54"/>
      <c r="B11" s="46" t="s">
        <v>3</v>
      </c>
      <c r="C11" s="46" t="s">
        <v>17</v>
      </c>
      <c r="D11" s="46" t="s">
        <v>18</v>
      </c>
      <c r="E11" s="46">
        <f>E9*Parameters!C15</f>
        <v>227.15</v>
      </c>
      <c r="F11" s="47" t="s">
        <v>219</v>
      </c>
    </row>
    <row r="12" spans="1:6" x14ac:dyDescent="0.35">
      <c r="A12" s="54"/>
      <c r="B12" s="46" t="s">
        <v>4</v>
      </c>
      <c r="C12" s="46" t="s">
        <v>20</v>
      </c>
      <c r="D12" s="46" t="s">
        <v>19</v>
      </c>
      <c r="E12" s="46">
        <f>Parameters!C9*(Parameters!C7*(1-Waste_characteristics!B4))*E9*Parameters!C11*0.001</f>
        <v>1.5118453902366449</v>
      </c>
      <c r="F12" s="47" t="s">
        <v>88</v>
      </c>
    </row>
    <row r="13" spans="1:6" x14ac:dyDescent="0.35">
      <c r="A13" s="54"/>
      <c r="B13" s="46" t="s">
        <v>4</v>
      </c>
      <c r="C13" s="46" t="s">
        <v>17</v>
      </c>
      <c r="D13" s="46" t="s">
        <v>21</v>
      </c>
      <c r="E13" s="46">
        <f>(((Parameters!C7*(1-Waste_characteristics!B4))/Parameters!C10)*0.001)-((E12/Parameters!C11)*(1/Parameters!C10))</f>
        <v>223.74984536240387</v>
      </c>
      <c r="F13" s="47" t="s">
        <v>239</v>
      </c>
    </row>
    <row r="14" spans="1:6" x14ac:dyDescent="0.35">
      <c r="A14" s="55"/>
      <c r="B14" s="49" t="s">
        <v>4</v>
      </c>
      <c r="C14" s="49" t="s">
        <v>15</v>
      </c>
      <c r="D14" s="49" t="s">
        <v>349</v>
      </c>
      <c r="E14" s="49">
        <f>Parameters!C66*E9</f>
        <v>0.55582190304980872</v>
      </c>
      <c r="F14" s="50" t="s">
        <v>14</v>
      </c>
    </row>
    <row r="15" spans="1:6" x14ac:dyDescent="0.35">
      <c r="A15" s="42" t="s">
        <v>126</v>
      </c>
      <c r="B15" s="43" t="s">
        <v>3</v>
      </c>
      <c r="C15" s="43" t="s">
        <v>15</v>
      </c>
      <c r="D15" s="43" t="s">
        <v>21</v>
      </c>
      <c r="E15" s="43">
        <f>E13</f>
        <v>223.74984536240387</v>
      </c>
      <c r="F15" s="44" t="s">
        <v>239</v>
      </c>
    </row>
    <row r="16" spans="1:6" x14ac:dyDescent="0.35">
      <c r="A16" s="54"/>
      <c r="B16" s="46" t="s">
        <v>4</v>
      </c>
      <c r="C16" s="46" t="s">
        <v>20</v>
      </c>
      <c r="D16" s="66" t="s">
        <v>97</v>
      </c>
      <c r="E16" s="46">
        <f>E15*(1-Parameters!C10)*Parameters!C47*Parameters!C12</f>
        <v>174.55172936411853</v>
      </c>
      <c r="F16" s="47" t="s">
        <v>88</v>
      </c>
    </row>
    <row r="17" spans="1:6" x14ac:dyDescent="0.35">
      <c r="A17" s="54"/>
      <c r="B17" s="46" t="s">
        <v>4</v>
      </c>
      <c r="C17" s="46" t="s">
        <v>20</v>
      </c>
      <c r="D17" s="66" t="s">
        <v>96</v>
      </c>
      <c r="E17" s="46">
        <f>E15*Parameters!C10*Parameters!C48*Parameters!C11</f>
        <v>1.7398787975380521</v>
      </c>
      <c r="F17" s="47" t="s">
        <v>88</v>
      </c>
    </row>
    <row r="18" spans="1:6" x14ac:dyDescent="0.35">
      <c r="A18" s="54"/>
      <c r="B18" s="46" t="s">
        <v>4</v>
      </c>
      <c r="C18" s="46" t="s">
        <v>20</v>
      </c>
      <c r="D18" s="66" t="s">
        <v>141</v>
      </c>
      <c r="E18" s="67">
        <f>Parameters!C49*E15</f>
        <v>1.3424990721744234E-3</v>
      </c>
      <c r="F18" s="47" t="s">
        <v>88</v>
      </c>
    </row>
    <row r="19" spans="1:6" x14ac:dyDescent="0.35">
      <c r="A19" s="54"/>
      <c r="B19" s="46" t="s">
        <v>4</v>
      </c>
      <c r="C19" s="46" t="s">
        <v>20</v>
      </c>
      <c r="D19" s="66" t="s">
        <v>142</v>
      </c>
      <c r="E19" s="67">
        <f>E15*Parameters!C50</f>
        <v>1.4767489793918657E-3</v>
      </c>
      <c r="F19" s="47" t="s">
        <v>88</v>
      </c>
    </row>
    <row r="20" spans="1:6" x14ac:dyDescent="0.35">
      <c r="A20" s="54"/>
      <c r="B20" s="46" t="s">
        <v>3</v>
      </c>
      <c r="C20" s="46" t="s">
        <v>15</v>
      </c>
      <c r="D20" s="66" t="s">
        <v>79</v>
      </c>
      <c r="E20" s="46">
        <f>E15*Parameters!C51</f>
        <v>76.074947423217324</v>
      </c>
      <c r="F20" s="47" t="s">
        <v>128</v>
      </c>
    </row>
    <row r="21" spans="1:6" x14ac:dyDescent="0.35">
      <c r="A21" s="54"/>
      <c r="B21" s="46" t="s">
        <v>3</v>
      </c>
      <c r="C21" s="46" t="s">
        <v>15</v>
      </c>
      <c r="D21" s="66" t="s">
        <v>127</v>
      </c>
      <c r="E21" s="67">
        <f>E15*Parameters!C52</f>
        <v>0.19913736237253943</v>
      </c>
      <c r="F21" s="47" t="s">
        <v>88</v>
      </c>
    </row>
    <row r="22" spans="1:6" x14ac:dyDescent="0.35">
      <c r="A22" s="54"/>
      <c r="B22" s="46" t="s">
        <v>3</v>
      </c>
      <c r="C22" s="46" t="s">
        <v>15</v>
      </c>
      <c r="D22" s="66" t="s">
        <v>134</v>
      </c>
      <c r="E22" s="67">
        <f>E15*Parameters!C53</f>
        <v>2.6626231598126062</v>
      </c>
      <c r="F22" s="47" t="s">
        <v>88</v>
      </c>
    </row>
    <row r="23" spans="1:6" x14ac:dyDescent="0.35">
      <c r="A23" s="55"/>
      <c r="B23" s="49" t="s">
        <v>4</v>
      </c>
      <c r="C23" s="49" t="s">
        <v>15</v>
      </c>
      <c r="D23" s="68" t="s">
        <v>254</v>
      </c>
      <c r="E23" s="49">
        <f>(E15*Parameters!C10*(1-Parameters!C48))</f>
        <v>131.83340888752835</v>
      </c>
      <c r="F23" s="50" t="s">
        <v>239</v>
      </c>
    </row>
    <row r="24" spans="1:6" x14ac:dyDescent="0.35">
      <c r="A24" s="56" t="s">
        <v>100</v>
      </c>
      <c r="B24" s="43" t="s">
        <v>3</v>
      </c>
      <c r="C24" s="43" t="s">
        <v>15</v>
      </c>
      <c r="D24" s="43" t="s">
        <v>349</v>
      </c>
      <c r="E24">
        <f>'LCI_AD-a'!E26</f>
        <v>0.55582190304980872</v>
      </c>
      <c r="F24" s="44" t="s">
        <v>14</v>
      </c>
    </row>
    <row r="25" spans="1:6" x14ac:dyDescent="0.35">
      <c r="A25" s="54"/>
      <c r="B25" s="46" t="s">
        <v>4</v>
      </c>
      <c r="C25" s="46" t="s">
        <v>20</v>
      </c>
      <c r="D25" s="46" t="s">
        <v>96</v>
      </c>
      <c r="E25">
        <f>'LCI_AD-a'!E27</f>
        <v>1.3380369575571998</v>
      </c>
      <c r="F25" s="47" t="s">
        <v>88</v>
      </c>
    </row>
    <row r="26" spans="1:6" x14ac:dyDescent="0.35">
      <c r="A26" s="54"/>
      <c r="B26" s="57" t="s">
        <v>4</v>
      </c>
      <c r="C26" s="57" t="s">
        <v>15</v>
      </c>
      <c r="D26" s="57" t="s">
        <v>350</v>
      </c>
      <c r="E26">
        <f>'LCI_AD-a'!E28</f>
        <v>0.55448386609225153</v>
      </c>
      <c r="F26" s="58" t="s">
        <v>14</v>
      </c>
    </row>
    <row r="27" spans="1:6" x14ac:dyDescent="0.35">
      <c r="A27" s="42" t="s">
        <v>108</v>
      </c>
      <c r="B27" s="43" t="s">
        <v>3</v>
      </c>
      <c r="C27" s="43" t="s">
        <v>15</v>
      </c>
      <c r="D27" s="43" t="s">
        <v>350</v>
      </c>
      <c r="E27" s="43">
        <f>'LCI_AD-a'!E29</f>
        <v>0.55448386609225153</v>
      </c>
      <c r="F27" s="44" t="s">
        <v>14</v>
      </c>
    </row>
    <row r="28" spans="1:6" x14ac:dyDescent="0.35">
      <c r="A28" s="54"/>
      <c r="B28" s="46" t="s">
        <v>4</v>
      </c>
      <c r="C28" s="46" t="s">
        <v>20</v>
      </c>
      <c r="D28" s="46" t="s">
        <v>111</v>
      </c>
      <c r="E28" s="46">
        <f>'LCI_AD-a'!E30</f>
        <v>6.9747028223324792E-2</v>
      </c>
      <c r="F28" s="47" t="s">
        <v>88</v>
      </c>
    </row>
    <row r="29" spans="1:6" x14ac:dyDescent="0.35">
      <c r="A29" s="54"/>
      <c r="B29" s="46" t="s">
        <v>4</v>
      </c>
      <c r="C29" s="46" t="s">
        <v>20</v>
      </c>
      <c r="D29" s="46" t="s">
        <v>110</v>
      </c>
      <c r="E29" s="46">
        <f>'LCI_AD-a'!E31</f>
        <v>4.3294040386292876</v>
      </c>
      <c r="F29" s="47" t="s">
        <v>88</v>
      </c>
    </row>
    <row r="30" spans="1:6" x14ac:dyDescent="0.35">
      <c r="A30" s="54"/>
      <c r="B30" s="46" t="s">
        <v>4</v>
      </c>
      <c r="C30" s="46" t="s">
        <v>20</v>
      </c>
      <c r="D30" s="46" t="s">
        <v>114</v>
      </c>
      <c r="E30" s="46">
        <f>'LCI_AD-a'!E32</f>
        <v>-1.8937605026365594</v>
      </c>
      <c r="F30" s="47" t="s">
        <v>88</v>
      </c>
    </row>
    <row r="31" spans="1:6" x14ac:dyDescent="0.35">
      <c r="A31" s="54"/>
      <c r="B31" s="46" t="s">
        <v>4</v>
      </c>
      <c r="C31" s="46" t="s">
        <v>20</v>
      </c>
      <c r="D31" s="46" t="s">
        <v>414</v>
      </c>
      <c r="E31" s="46">
        <f>'LCI_AD-a'!E33</f>
        <v>-6.2099380157736493E-2</v>
      </c>
      <c r="F31" s="47" t="s">
        <v>88</v>
      </c>
    </row>
    <row r="32" spans="1:6" x14ac:dyDescent="0.35">
      <c r="A32" s="54"/>
      <c r="B32" s="46" t="s">
        <v>4</v>
      </c>
      <c r="C32" s="46" t="s">
        <v>20</v>
      </c>
      <c r="D32" s="46" t="s">
        <v>415</v>
      </c>
      <c r="E32" s="46">
        <f>'LCI_AD-a'!E34</f>
        <v>-115.3519213234084</v>
      </c>
      <c r="F32" s="47" t="s">
        <v>88</v>
      </c>
    </row>
    <row r="33" spans="1:11" x14ac:dyDescent="0.35">
      <c r="A33" s="42" t="s">
        <v>421</v>
      </c>
      <c r="B33" s="43"/>
      <c r="C33" s="43"/>
      <c r="D33" s="43"/>
      <c r="E33" s="43"/>
      <c r="F33" s="44"/>
    </row>
    <row r="34" spans="1:11" x14ac:dyDescent="0.35">
      <c r="A34" s="54"/>
      <c r="B34" s="46"/>
      <c r="C34" s="46" t="s">
        <v>15</v>
      </c>
      <c r="D34" s="46" t="s">
        <v>228</v>
      </c>
      <c r="E34" s="46">
        <f>'LCI_AD-a'!E36</f>
        <v>18.008880467039923</v>
      </c>
      <c r="F34" s="47" t="s">
        <v>88</v>
      </c>
    </row>
    <row r="35" spans="1:11" x14ac:dyDescent="0.35">
      <c r="A35" s="54"/>
      <c r="B35" s="46"/>
      <c r="C35" s="46" t="s">
        <v>15</v>
      </c>
      <c r="D35" s="46" t="s">
        <v>230</v>
      </c>
      <c r="E35" s="46">
        <f>'LCI_AD-a'!E37</f>
        <v>50.21783936417313</v>
      </c>
      <c r="F35" s="47" t="s">
        <v>88</v>
      </c>
    </row>
    <row r="36" spans="1:11" x14ac:dyDescent="0.35">
      <c r="A36" s="54"/>
      <c r="B36" s="46"/>
      <c r="C36" s="46" t="s">
        <v>15</v>
      </c>
      <c r="D36" s="46" t="s">
        <v>229</v>
      </c>
      <c r="E36" s="46">
        <f>'LCI_AD-a'!E38</f>
        <v>18.509017076560308</v>
      </c>
      <c r="F36" s="47" t="s">
        <v>88</v>
      </c>
    </row>
    <row r="37" spans="1:11" x14ac:dyDescent="0.35">
      <c r="A37" s="54"/>
      <c r="B37" s="46"/>
      <c r="C37" s="46" t="s">
        <v>15</v>
      </c>
      <c r="D37" s="46" t="s">
        <v>231</v>
      </c>
      <c r="E37" s="46">
        <f>'LCI_AD-a'!E39</f>
        <v>157.6259364797985</v>
      </c>
      <c r="F37" s="47" t="s">
        <v>88</v>
      </c>
    </row>
    <row r="38" spans="1:11" x14ac:dyDescent="0.35">
      <c r="A38" s="54"/>
      <c r="B38" s="46"/>
      <c r="C38" s="46" t="s">
        <v>15</v>
      </c>
      <c r="D38" s="57" t="s">
        <v>474</v>
      </c>
      <c r="E38" s="46">
        <f>E23</f>
        <v>131.83340888752835</v>
      </c>
      <c r="F38" s="47" t="s">
        <v>239</v>
      </c>
      <c r="G38" s="57">
        <f>E38/J40</f>
        <v>4394.4469629176119</v>
      </c>
      <c r="H38" s="57" t="s">
        <v>219</v>
      </c>
    </row>
    <row r="39" spans="1:11" x14ac:dyDescent="0.35">
      <c r="A39" s="42" t="s">
        <v>488</v>
      </c>
      <c r="B39" s="43"/>
      <c r="C39" s="43"/>
      <c r="D39" s="43"/>
      <c r="E39" s="43"/>
      <c r="F39" s="44"/>
      <c r="G39" s="46"/>
    </row>
    <row r="40" spans="1:11" x14ac:dyDescent="0.35">
      <c r="A40" s="54"/>
      <c r="B40" s="46" t="s">
        <v>4</v>
      </c>
      <c r="C40" s="46" t="s">
        <v>20</v>
      </c>
      <c r="D40" s="57" t="s">
        <v>415</v>
      </c>
      <c r="E40" s="46">
        <f xml:space="preserve"> -I41*G38</f>
        <v>-260.85437171878948</v>
      </c>
      <c r="F40" s="58" t="s">
        <v>88</v>
      </c>
      <c r="I40" t="s">
        <v>492</v>
      </c>
      <c r="J40">
        <v>0.03</v>
      </c>
      <c r="K40" t="s">
        <v>239</v>
      </c>
    </row>
    <row r="41" spans="1:11" x14ac:dyDescent="0.35">
      <c r="A41" s="54"/>
      <c r="B41" s="46" t="s">
        <v>4</v>
      </c>
      <c r="C41" s="46" t="s">
        <v>20</v>
      </c>
      <c r="D41" s="57" t="s">
        <v>489</v>
      </c>
      <c r="E41" s="46">
        <f>G38*I41</f>
        <v>260.85437171878948</v>
      </c>
      <c r="F41" s="58" t="s">
        <v>88</v>
      </c>
      <c r="H41" t="s">
        <v>97</v>
      </c>
      <c r="I41">
        <v>5.9360000000000003E-2</v>
      </c>
      <c r="J41" t="s">
        <v>493</v>
      </c>
    </row>
    <row r="42" spans="1:11" x14ac:dyDescent="0.35">
      <c r="A42" s="54"/>
      <c r="B42" s="46" t="s">
        <v>4</v>
      </c>
      <c r="C42" s="57" t="s">
        <v>20</v>
      </c>
      <c r="D42" s="57" t="s">
        <v>490</v>
      </c>
      <c r="E42" s="67">
        <f>-I42*G38</f>
        <v>-9.3162275613853374E-3</v>
      </c>
      <c r="F42" s="58" t="s">
        <v>88</v>
      </c>
      <c r="H42" t="s">
        <v>96</v>
      </c>
      <c r="I42" s="5">
        <v>2.12E-6</v>
      </c>
      <c r="J42" t="s">
        <v>493</v>
      </c>
    </row>
    <row r="43" spans="1:11" x14ac:dyDescent="0.35">
      <c r="A43" s="55"/>
      <c r="B43" s="49" t="s">
        <v>4</v>
      </c>
      <c r="C43" s="59" t="s">
        <v>20</v>
      </c>
      <c r="D43" s="59" t="s">
        <v>491</v>
      </c>
      <c r="E43" s="95">
        <f>I42*G38</f>
        <v>9.3162275613853374E-3</v>
      </c>
      <c r="F43" s="60" t="s">
        <v>88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3CD84-677A-4D0C-B549-D9202421598D}">
  <dimension ref="A1:H52"/>
  <sheetViews>
    <sheetView topLeftCell="A29" zoomScale="88" workbookViewId="0">
      <selection activeCell="E41" sqref="E41"/>
    </sheetView>
  </sheetViews>
  <sheetFormatPr baseColWidth="10" defaultRowHeight="14.5" x14ac:dyDescent="0.35"/>
  <cols>
    <col min="1" max="1" width="29.6328125" customWidth="1"/>
    <col min="3" max="3" width="32.90625" customWidth="1"/>
    <col min="4" max="4" width="30.90625" customWidth="1"/>
  </cols>
  <sheetData>
    <row r="1" spans="1:6" x14ac:dyDescent="0.35">
      <c r="A1" s="40" t="s">
        <v>352</v>
      </c>
    </row>
    <row r="2" spans="1:6" x14ac:dyDescent="0.35">
      <c r="A2" s="61" t="s">
        <v>0</v>
      </c>
      <c r="B2" s="62" t="s">
        <v>10</v>
      </c>
      <c r="C2" s="62" t="s">
        <v>11</v>
      </c>
      <c r="D2" s="62" t="s">
        <v>12</v>
      </c>
      <c r="E2" s="62" t="s">
        <v>1</v>
      </c>
      <c r="F2" s="63" t="s">
        <v>2</v>
      </c>
    </row>
    <row r="3" spans="1:6" x14ac:dyDescent="0.35">
      <c r="A3" s="42" t="s">
        <v>5</v>
      </c>
      <c r="B3" s="43" t="s">
        <v>3</v>
      </c>
      <c r="C3" s="43" t="s">
        <v>15</v>
      </c>
      <c r="D3" s="43" t="s">
        <v>13</v>
      </c>
      <c r="E3" s="43">
        <v>1</v>
      </c>
      <c r="F3" s="44" t="s">
        <v>14</v>
      </c>
    </row>
    <row r="4" spans="1:6" x14ac:dyDescent="0.35">
      <c r="A4" s="45"/>
      <c r="B4" s="46" t="s">
        <v>3</v>
      </c>
      <c r="C4" s="46" t="s">
        <v>15</v>
      </c>
      <c r="D4" s="46" t="s">
        <v>8</v>
      </c>
      <c r="E4" s="46">
        <f>E3*Parameters!C3</f>
        <v>9.98</v>
      </c>
      <c r="F4" s="47" t="s">
        <v>128</v>
      </c>
    </row>
    <row r="5" spans="1:6" x14ac:dyDescent="0.35">
      <c r="A5" s="45"/>
      <c r="B5" s="46" t="s">
        <v>3</v>
      </c>
      <c r="C5" s="46" t="s">
        <v>15</v>
      </c>
      <c r="D5" s="46" t="s">
        <v>9</v>
      </c>
      <c r="E5" s="46"/>
      <c r="F5" s="47"/>
    </row>
    <row r="6" spans="1:6" x14ac:dyDescent="0.35">
      <c r="A6" s="45"/>
      <c r="B6" s="46" t="s">
        <v>4</v>
      </c>
      <c r="C6" s="46" t="s">
        <v>17</v>
      </c>
      <c r="D6" s="46" t="s">
        <v>236</v>
      </c>
      <c r="E6" s="46">
        <f>E3*Parameters!C5</f>
        <v>0.77</v>
      </c>
      <c r="F6" s="47" t="s">
        <v>14</v>
      </c>
    </row>
    <row r="7" spans="1:6" x14ac:dyDescent="0.35">
      <c r="A7" s="42" t="s">
        <v>235</v>
      </c>
      <c r="B7" s="43" t="s">
        <v>3</v>
      </c>
      <c r="C7" s="43" t="s">
        <v>17</v>
      </c>
      <c r="D7" s="43" t="s">
        <v>422</v>
      </c>
      <c r="E7" s="120">
        <f>E8*0.001*Parameters!C6</f>
        <v>2.2999999999999998</v>
      </c>
      <c r="F7" s="64" t="s">
        <v>284</v>
      </c>
    </row>
    <row r="8" spans="1:6" x14ac:dyDescent="0.35">
      <c r="A8" s="48"/>
      <c r="B8" s="49" t="s">
        <v>3</v>
      </c>
      <c r="C8" s="49" t="s">
        <v>17</v>
      </c>
      <c r="D8" s="49" t="s">
        <v>237</v>
      </c>
      <c r="E8" s="49">
        <f>E3*(1-Parameters!C5)*1000</f>
        <v>229.99999999999997</v>
      </c>
      <c r="F8" s="50" t="s">
        <v>88</v>
      </c>
    </row>
    <row r="9" spans="1:6" x14ac:dyDescent="0.35">
      <c r="A9" s="45" t="s">
        <v>6</v>
      </c>
      <c r="B9" s="46" t="s">
        <v>3</v>
      </c>
      <c r="C9" s="46" t="s">
        <v>17</v>
      </c>
      <c r="D9" s="46" t="s">
        <v>16</v>
      </c>
      <c r="E9" s="46">
        <f>E6</f>
        <v>0.77</v>
      </c>
      <c r="F9" s="47" t="s">
        <v>14</v>
      </c>
    </row>
    <row r="10" spans="1:6" x14ac:dyDescent="0.35">
      <c r="A10" s="45"/>
      <c r="B10" s="46" t="s">
        <v>3</v>
      </c>
      <c r="C10" s="46" t="s">
        <v>17</v>
      </c>
      <c r="D10" s="46" t="s">
        <v>8</v>
      </c>
      <c r="E10" s="46">
        <f>Parameters!C14*E9</f>
        <v>22.330000000000002</v>
      </c>
      <c r="F10" s="47" t="s">
        <v>128</v>
      </c>
    </row>
    <row r="11" spans="1:6" x14ac:dyDescent="0.35">
      <c r="A11" s="45"/>
      <c r="B11" s="46" t="s">
        <v>3</v>
      </c>
      <c r="C11" s="46" t="s">
        <v>17</v>
      </c>
      <c r="D11" s="46" t="s">
        <v>18</v>
      </c>
      <c r="E11" s="46">
        <f>E9*Parameters!C15</f>
        <v>227.15</v>
      </c>
      <c r="F11" s="47" t="s">
        <v>219</v>
      </c>
    </row>
    <row r="12" spans="1:6" x14ac:dyDescent="0.35">
      <c r="A12" s="45"/>
      <c r="B12" s="46" t="s">
        <v>4</v>
      </c>
      <c r="C12" s="46" t="s">
        <v>20</v>
      </c>
      <c r="D12" s="46" t="s">
        <v>19</v>
      </c>
      <c r="E12" s="46">
        <f>Parameters!C9*(Parameters!C7*(1-Waste_characteristics!B4))*E9*Parameters!C11*0.001</f>
        <v>1.5118453902366449</v>
      </c>
      <c r="F12" s="47" t="s">
        <v>88</v>
      </c>
    </row>
    <row r="13" spans="1:6" x14ac:dyDescent="0.35">
      <c r="A13" s="45"/>
      <c r="B13" s="46" t="s">
        <v>4</v>
      </c>
      <c r="C13" s="46" t="s">
        <v>17</v>
      </c>
      <c r="D13" s="46" t="s">
        <v>21</v>
      </c>
      <c r="E13" s="46">
        <f>(((Parameters!C7*(1-Waste_characteristics!B4))/Parameters!C10)*0.001)-((E12/Parameters!C11)*(1/Parameters!C10))</f>
        <v>223.74984536240387</v>
      </c>
      <c r="F13" s="47" t="s">
        <v>239</v>
      </c>
    </row>
    <row r="14" spans="1:6" x14ac:dyDescent="0.35">
      <c r="A14" s="48"/>
      <c r="B14" s="49" t="s">
        <v>4</v>
      </c>
      <c r="C14" s="49" t="s">
        <v>15</v>
      </c>
      <c r="D14" s="49" t="s">
        <v>349</v>
      </c>
      <c r="E14" s="49">
        <f>Parameters!C66*E9</f>
        <v>0.55582190304980872</v>
      </c>
      <c r="F14" s="50" t="s">
        <v>14</v>
      </c>
    </row>
    <row r="15" spans="1:6" x14ac:dyDescent="0.35">
      <c r="A15" s="42" t="s">
        <v>7</v>
      </c>
      <c r="B15" s="43" t="s">
        <v>3</v>
      </c>
      <c r="C15" s="43" t="s">
        <v>17</v>
      </c>
      <c r="D15" s="43" t="s">
        <v>21</v>
      </c>
      <c r="E15" s="43">
        <f>E13</f>
        <v>223.74984536240387</v>
      </c>
      <c r="F15" s="44" t="s">
        <v>239</v>
      </c>
    </row>
    <row r="16" spans="1:6" x14ac:dyDescent="0.35">
      <c r="A16" s="54"/>
      <c r="B16" s="46" t="s">
        <v>4</v>
      </c>
      <c r="C16" s="46" t="s">
        <v>20</v>
      </c>
      <c r="D16" s="46" t="s">
        <v>50</v>
      </c>
      <c r="E16" s="46">
        <f>E15*Parameters!C24</f>
        <v>3.6718365183242771E-2</v>
      </c>
      <c r="F16" s="47" t="s">
        <v>88</v>
      </c>
    </row>
    <row r="17" spans="1:8" x14ac:dyDescent="0.35">
      <c r="A17" s="54"/>
      <c r="B17" s="46" t="s">
        <v>4</v>
      </c>
      <c r="C17" s="46" t="s">
        <v>20</v>
      </c>
      <c r="D17" s="46" t="s">
        <v>51</v>
      </c>
      <c r="E17" s="46">
        <f>E15*Parameters!C25</f>
        <v>0.35389510062325319</v>
      </c>
      <c r="F17" s="47" t="s">
        <v>88</v>
      </c>
    </row>
    <row r="18" spans="1:8" x14ac:dyDescent="0.35">
      <c r="A18" s="54"/>
      <c r="B18" s="46" t="s">
        <v>4</v>
      </c>
      <c r="C18" s="46" t="s">
        <v>20</v>
      </c>
      <c r="D18" s="46" t="s">
        <v>52</v>
      </c>
      <c r="E18" s="46">
        <f>E15*Parameters!C26</f>
        <v>3.1472884442779359E-3</v>
      </c>
      <c r="F18" s="47" t="s">
        <v>88</v>
      </c>
    </row>
    <row r="19" spans="1:8" x14ac:dyDescent="0.35">
      <c r="A19" s="54"/>
      <c r="B19" s="46" t="s">
        <v>4</v>
      </c>
      <c r="C19" s="46" t="s">
        <v>20</v>
      </c>
      <c r="D19" s="46" t="s">
        <v>53</v>
      </c>
      <c r="E19" s="46">
        <f>LCI!E14*Parameters!C27</f>
        <v>7.693371752679418E-3</v>
      </c>
      <c r="F19" s="47" t="s">
        <v>88</v>
      </c>
    </row>
    <row r="20" spans="1:8" x14ac:dyDescent="0.35">
      <c r="A20" s="54"/>
      <c r="B20" s="46" t="s">
        <v>4</v>
      </c>
      <c r="C20" s="46" t="s">
        <v>20</v>
      </c>
      <c r="D20" s="46" t="s">
        <v>54</v>
      </c>
      <c r="E20" s="46">
        <f>E15*Parameters!C28</f>
        <v>0.23901907240710826</v>
      </c>
      <c r="F20" s="47" t="s">
        <v>88</v>
      </c>
    </row>
    <row r="21" spans="1:8" x14ac:dyDescent="0.35">
      <c r="A21" s="54"/>
      <c r="B21" s="46" t="s">
        <v>4</v>
      </c>
      <c r="C21" s="46" t="s">
        <v>20</v>
      </c>
      <c r="D21" s="46" t="s">
        <v>55</v>
      </c>
      <c r="E21" s="46">
        <f>E15*Parameters!C29</f>
        <v>1.4337647357266187E-2</v>
      </c>
      <c r="F21" s="47" t="s">
        <v>88</v>
      </c>
    </row>
    <row r="22" spans="1:8" x14ac:dyDescent="0.35">
      <c r="A22" s="54"/>
      <c r="B22" s="46" t="s">
        <v>4</v>
      </c>
      <c r="C22" s="46" t="s">
        <v>20</v>
      </c>
      <c r="D22" s="46" t="s">
        <v>58</v>
      </c>
      <c r="E22" s="46">
        <f>E15*Parameters!C30</f>
        <v>0.96288795800695026</v>
      </c>
      <c r="F22" s="47" t="s">
        <v>88</v>
      </c>
    </row>
    <row r="23" spans="1:8" x14ac:dyDescent="0.35">
      <c r="A23" s="54"/>
      <c r="B23" s="46" t="s">
        <v>4</v>
      </c>
      <c r="C23" s="46" t="s">
        <v>20</v>
      </c>
      <c r="D23" s="46" t="s">
        <v>59</v>
      </c>
      <c r="E23" s="46">
        <f>LCI!E14*Parameters!C31</f>
        <v>2.2925903762070245E-2</v>
      </c>
      <c r="F23" s="47" t="s">
        <v>88</v>
      </c>
    </row>
    <row r="24" spans="1:8" x14ac:dyDescent="0.35">
      <c r="A24" s="54"/>
      <c r="B24" s="46" t="s">
        <v>4</v>
      </c>
      <c r="C24" s="46" t="s">
        <v>15</v>
      </c>
      <c r="D24" s="46" t="s">
        <v>8</v>
      </c>
      <c r="E24" s="46">
        <f>E15*Parameters!C10*Parameters!C20*Parameters!C19/3.6</f>
        <v>509.03089819946877</v>
      </c>
      <c r="F24" s="47" t="s">
        <v>128</v>
      </c>
    </row>
    <row r="25" spans="1:8" x14ac:dyDescent="0.35">
      <c r="A25" s="55"/>
      <c r="B25" s="49" t="s">
        <v>4</v>
      </c>
      <c r="C25" s="49" t="s">
        <v>15</v>
      </c>
      <c r="D25" s="49" t="s">
        <v>18</v>
      </c>
      <c r="E25" s="49">
        <f>E15*Parameters!C10*Parameters!C20*Parameters!C18</f>
        <v>2161.4235062008215</v>
      </c>
      <c r="F25" s="50" t="s">
        <v>219</v>
      </c>
    </row>
    <row r="26" spans="1:8" x14ac:dyDescent="0.35">
      <c r="A26" s="42" t="s">
        <v>272</v>
      </c>
      <c r="B26" s="43" t="s">
        <v>3</v>
      </c>
      <c r="C26" s="43" t="s">
        <v>15</v>
      </c>
      <c r="D26" s="43" t="s">
        <v>349</v>
      </c>
      <c r="E26" s="43">
        <f>E14</f>
        <v>0.55582190304980872</v>
      </c>
      <c r="F26" s="64" t="s">
        <v>14</v>
      </c>
    </row>
    <row r="27" spans="1:8" x14ac:dyDescent="0.35">
      <c r="A27" s="54"/>
      <c r="B27" s="46" t="s">
        <v>3</v>
      </c>
      <c r="C27" s="46" t="s">
        <v>15</v>
      </c>
      <c r="D27" s="46" t="s">
        <v>273</v>
      </c>
      <c r="E27" s="46">
        <f>E26*Parameters!C90*1000</f>
        <v>2.0184751679156081</v>
      </c>
      <c r="F27" s="58" t="s">
        <v>128</v>
      </c>
    </row>
    <row r="28" spans="1:8" x14ac:dyDescent="0.35">
      <c r="A28" s="54"/>
      <c r="B28" s="46" t="s">
        <v>4</v>
      </c>
      <c r="C28" s="46" t="s">
        <v>15</v>
      </c>
      <c r="D28" s="46" t="s">
        <v>275</v>
      </c>
      <c r="E28" s="46">
        <f>Parameters!C68*E9*Parameters!C88*(1/Parameters!C89)</f>
        <v>0.29700390349065475</v>
      </c>
      <c r="F28" s="58" t="s">
        <v>14</v>
      </c>
    </row>
    <row r="29" spans="1:8" x14ac:dyDescent="0.35">
      <c r="A29" s="55"/>
      <c r="B29" s="49" t="s">
        <v>4</v>
      </c>
      <c r="C29" s="49" t="s">
        <v>15</v>
      </c>
      <c r="D29" s="49" t="s">
        <v>274</v>
      </c>
      <c r="E29" s="49">
        <f>(E26-E28)*1000/Parameters!C70</f>
        <v>0.25911227332692982</v>
      </c>
      <c r="F29" s="60" t="s">
        <v>239</v>
      </c>
    </row>
    <row r="30" spans="1:8" x14ac:dyDescent="0.35">
      <c r="A30" s="42" t="s">
        <v>287</v>
      </c>
      <c r="B30" s="43" t="s">
        <v>3</v>
      </c>
      <c r="C30" s="43" t="s">
        <v>15</v>
      </c>
      <c r="D30" s="43" t="s">
        <v>275</v>
      </c>
      <c r="E30" s="43">
        <f>E28</f>
        <v>0.29700390349065475</v>
      </c>
      <c r="F30" s="64" t="s">
        <v>14</v>
      </c>
    </row>
    <row r="31" spans="1:8" x14ac:dyDescent="0.35">
      <c r="A31" s="54"/>
      <c r="B31" s="46" t="s">
        <v>4</v>
      </c>
      <c r="C31" s="46" t="s">
        <v>20</v>
      </c>
      <c r="D31" s="46" t="s">
        <v>96</v>
      </c>
      <c r="E31" s="46">
        <f>(16/12)*Parameters!C98*(1-Parameters!C94)*((E6*1000*(1-Waste_characteristics!B4)*Waste_characteristics!B9)-((E13*(1-Parameters!C10)*Parameters!C12*(12/44)))-((E13*(Parameters!C10)*Parameters!C11*(12/16))))</f>
        <v>8.8228561282663459E-2</v>
      </c>
      <c r="F31" s="58" t="s">
        <v>88</v>
      </c>
      <c r="H31" t="s">
        <v>290</v>
      </c>
    </row>
    <row r="32" spans="1:8" x14ac:dyDescent="0.35">
      <c r="A32" s="54"/>
      <c r="B32" s="46" t="s">
        <v>4</v>
      </c>
      <c r="C32" s="46" t="s">
        <v>20</v>
      </c>
      <c r="D32" s="46" t="s">
        <v>111</v>
      </c>
      <c r="E32" s="46">
        <f>(E6*1000*(1-Waste_characteristics!B4)*Waste_characteristics!B8)*(1-Parameters!C91)*Parameters!C99*(44/28)</f>
        <v>6.2318617185905041E-2</v>
      </c>
      <c r="F32" s="58" t="s">
        <v>88</v>
      </c>
    </row>
    <row r="33" spans="1:6" x14ac:dyDescent="0.35">
      <c r="A33" s="54"/>
      <c r="B33" s="46" t="s">
        <v>4</v>
      </c>
      <c r="C33" s="46" t="s">
        <v>20</v>
      </c>
      <c r="D33" s="46" t="s">
        <v>110</v>
      </c>
      <c r="E33" s="46">
        <f>(E6*1000*(1-Waste_characteristics!B4)*Waste_characteristics!B8)*(1-Parameters!C91)*Parameters!C100*(17/14)</f>
        <v>0.20275913725557618</v>
      </c>
      <c r="F33" s="58" t="s">
        <v>88</v>
      </c>
    </row>
    <row r="34" spans="1:6" x14ac:dyDescent="0.35">
      <c r="A34" s="54"/>
      <c r="B34" s="46" t="s">
        <v>4</v>
      </c>
      <c r="C34" s="46" t="s">
        <v>20</v>
      </c>
      <c r="D34" s="46" t="s">
        <v>288</v>
      </c>
      <c r="E34" s="46">
        <f>E30*Parameters!C101</f>
        <v>3.0888405963028092E-2</v>
      </c>
      <c r="F34" s="58" t="s">
        <v>88</v>
      </c>
    </row>
    <row r="35" spans="1:6" x14ac:dyDescent="0.35">
      <c r="A35" s="54"/>
      <c r="B35" s="46" t="s">
        <v>4</v>
      </c>
      <c r="C35" s="46" t="s">
        <v>20</v>
      </c>
      <c r="D35" s="46" t="s">
        <v>123</v>
      </c>
      <c r="E35" s="46">
        <f>(44/12)*Parameters!C102*(1-Parameters!C94)*((E6*1000*(1-Waste_characteristics!B4)*Waste_characteristics!B9)-((E14*(1-Parameters!C10)*Parameters!C12*(12/44)))-((E14*(Parameters!C10)*Parameters!C11*(12/16))))</f>
        <v>0.12509676555232005</v>
      </c>
      <c r="F35" s="58" t="s">
        <v>88</v>
      </c>
    </row>
    <row r="36" spans="1:6" x14ac:dyDescent="0.35">
      <c r="A36" s="54"/>
      <c r="B36" s="46" t="s">
        <v>4</v>
      </c>
      <c r="C36" s="46" t="s">
        <v>15</v>
      </c>
      <c r="D36" s="46" t="s">
        <v>346</v>
      </c>
      <c r="E36" s="46">
        <f>E30*(1-Parameters!C103)</f>
        <v>0.15444202981514046</v>
      </c>
      <c r="F36" s="58" t="s">
        <v>14</v>
      </c>
    </row>
    <row r="37" spans="1:6" x14ac:dyDescent="0.35">
      <c r="A37" s="54"/>
      <c r="B37" s="46" t="s">
        <v>3</v>
      </c>
      <c r="C37" s="46" t="s">
        <v>15</v>
      </c>
      <c r="D37" s="46" t="s">
        <v>273</v>
      </c>
      <c r="E37" s="46">
        <f>E30*Parameters!C104</f>
        <v>3.1254739440189945</v>
      </c>
      <c r="F37" s="58" t="s">
        <v>128</v>
      </c>
    </row>
    <row r="38" spans="1:6" x14ac:dyDescent="0.35">
      <c r="A38" s="55"/>
      <c r="B38" s="49" t="s">
        <v>3</v>
      </c>
      <c r="C38" s="49" t="s">
        <v>15</v>
      </c>
      <c r="D38" s="49" t="s">
        <v>289</v>
      </c>
      <c r="E38" s="65">
        <f>E30*Parameters!C105*Parameters!C106</f>
        <v>0.44883055543440464</v>
      </c>
      <c r="F38" s="60" t="s">
        <v>88</v>
      </c>
    </row>
    <row r="39" spans="1:6" x14ac:dyDescent="0.35">
      <c r="A39" s="42" t="s">
        <v>353</v>
      </c>
      <c r="B39" s="43"/>
      <c r="C39" s="43"/>
      <c r="D39" s="43"/>
      <c r="E39" s="43"/>
      <c r="F39" s="44"/>
    </row>
    <row r="40" spans="1:6" x14ac:dyDescent="0.35">
      <c r="A40" s="54"/>
      <c r="B40" s="46" t="s">
        <v>4</v>
      </c>
      <c r="C40" s="46" t="s">
        <v>20</v>
      </c>
      <c r="D40" s="126" t="s">
        <v>111</v>
      </c>
      <c r="E40" s="67">
        <f>(Parameters!C107*E9*1000*Parameters!C108*44/28)-(E46*Parameters!C123*Parameters!C125*44/28)</f>
        <v>1.3194213595067839E-2</v>
      </c>
      <c r="F40" s="58" t="s">
        <v>88</v>
      </c>
    </row>
    <row r="41" spans="1:6" x14ac:dyDescent="0.35">
      <c r="A41" s="54"/>
      <c r="B41" s="46" t="s">
        <v>4</v>
      </c>
      <c r="C41" s="46" t="s">
        <v>20</v>
      </c>
      <c r="D41" s="126" t="s">
        <v>110</v>
      </c>
      <c r="E41" s="67">
        <f>(Parameters!C107*'LCI_AD-a'!E9*1000*Parameters!C109*17/14)-(E46*Parameters!C123*Parameters!C124*17/14)</f>
        <v>7.8947677886819778E-2</v>
      </c>
      <c r="F41" s="58" t="s">
        <v>88</v>
      </c>
    </row>
    <row r="42" spans="1:6" x14ac:dyDescent="0.35">
      <c r="A42" s="54"/>
      <c r="B42" s="46" t="s">
        <v>4</v>
      </c>
      <c r="C42" s="46" t="s">
        <v>20</v>
      </c>
      <c r="D42" s="126" t="s">
        <v>114</v>
      </c>
      <c r="E42" s="67">
        <f>(Parameters!C107*'LCI_AD-a'!E9*1000*Parameters!C110*62/14)-(E46*Parameters!C123*Parameters!C126*62/14)</f>
        <v>2.6495849106130924</v>
      </c>
      <c r="F42" s="58" t="s">
        <v>88</v>
      </c>
    </row>
    <row r="43" spans="1:6" x14ac:dyDescent="0.35">
      <c r="A43" s="54"/>
      <c r="B43" s="46" t="s">
        <v>4</v>
      </c>
      <c r="C43" s="46" t="s">
        <v>20</v>
      </c>
      <c r="D43" s="126" t="s">
        <v>414</v>
      </c>
      <c r="E43" s="46">
        <f>-Parameters!C129*'LCI_AD-b'!E47*Parameters!C128*0.001</f>
        <v>-3.9495205780320404E-2</v>
      </c>
      <c r="F43" s="47" t="s">
        <v>88</v>
      </c>
    </row>
    <row r="44" spans="1:6" x14ac:dyDescent="0.35">
      <c r="A44" s="55"/>
      <c r="B44" s="46" t="s">
        <v>4</v>
      </c>
      <c r="C44" s="46" t="s">
        <v>20</v>
      </c>
      <c r="D44" s="128" t="s">
        <v>415</v>
      </c>
      <c r="E44" s="49">
        <f>-'LCI_AD-b'!E49*Parameters!C136*Parameters!C134*44/12</f>
        <v>-30.816321150470795</v>
      </c>
      <c r="F44" s="50" t="s">
        <v>88</v>
      </c>
    </row>
    <row r="45" spans="1:6" x14ac:dyDescent="0.35">
      <c r="A45" s="42" t="s">
        <v>421</v>
      </c>
      <c r="B45" s="43"/>
      <c r="C45" s="43"/>
      <c r="D45" s="43"/>
      <c r="E45" s="43"/>
      <c r="F45" s="44"/>
    </row>
    <row r="46" spans="1:6" x14ac:dyDescent="0.35">
      <c r="A46" s="54"/>
      <c r="B46" s="46"/>
      <c r="C46" s="46" t="s">
        <v>15</v>
      </c>
      <c r="D46" s="46" t="s">
        <v>228</v>
      </c>
      <c r="E46" s="46">
        <f>(Parameters!C111/Parameters!C127)*FW_mass*1000*E6/Parameters!C123</f>
        <v>9.8391402733887965</v>
      </c>
      <c r="F46" s="47" t="s">
        <v>88</v>
      </c>
    </row>
    <row r="47" spans="1:6" x14ac:dyDescent="0.35">
      <c r="A47" s="54"/>
      <c r="B47" s="46"/>
      <c r="C47" s="46" t="s">
        <v>15</v>
      </c>
      <c r="D47" s="46" t="s">
        <v>230</v>
      </c>
      <c r="E47" s="46">
        <f>(Parameters!C113/Parameters!C131)*1000*'LCI_AD-a'!E9/Parameters!C128</f>
        <v>31.938545835614104</v>
      </c>
      <c r="F47" s="47" t="s">
        <v>88</v>
      </c>
    </row>
    <row r="48" spans="1:6" x14ac:dyDescent="0.35">
      <c r="A48" s="54"/>
      <c r="B48" s="46"/>
      <c r="C48" s="46" t="s">
        <v>15</v>
      </c>
      <c r="D48" s="46" t="s">
        <v>229</v>
      </c>
      <c r="E48" s="46">
        <f>(Parameters!C114/Parameters!C132)*'LCI_AD-a'!E9*1000</f>
        <v>2.8466868263749747</v>
      </c>
      <c r="F48" s="47" t="s">
        <v>88</v>
      </c>
    </row>
    <row r="49" spans="1:6" x14ac:dyDescent="0.35">
      <c r="A49" s="54"/>
      <c r="B49" s="46"/>
      <c r="C49" s="46" t="s">
        <v>15</v>
      </c>
      <c r="D49" s="46" t="s">
        <v>231</v>
      </c>
      <c r="E49" s="46">
        <f>(Parameters!C112/Parameters!C136)*1000*E9</f>
        <v>42.109844591027695</v>
      </c>
      <c r="F49" s="47" t="s">
        <v>88</v>
      </c>
    </row>
    <row r="50" spans="1:6" x14ac:dyDescent="0.35">
      <c r="A50" s="54"/>
      <c r="B50" s="46"/>
      <c r="C50" s="46" t="s">
        <v>15</v>
      </c>
      <c r="D50" s="57" t="s">
        <v>423</v>
      </c>
      <c r="E50" s="46">
        <f>E25</f>
        <v>2161.4235062008215</v>
      </c>
      <c r="F50" s="47" t="s">
        <v>219</v>
      </c>
    </row>
    <row r="51" spans="1:6" x14ac:dyDescent="0.35">
      <c r="A51" s="55"/>
      <c r="B51" s="49"/>
      <c r="C51" s="49" t="s">
        <v>15</v>
      </c>
      <c r="D51" s="59" t="s">
        <v>424</v>
      </c>
      <c r="E51" s="49">
        <f>E24</f>
        <v>509.03089819946877</v>
      </c>
      <c r="F51" s="50" t="s">
        <v>128</v>
      </c>
    </row>
    <row r="52" spans="1:6" x14ac:dyDescent="0.35">
      <c r="A52" s="40" t="s">
        <v>485</v>
      </c>
      <c r="C52" s="57" t="s">
        <v>497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35703-9DB8-4BFC-9FB3-D354C7661974}">
  <dimension ref="A2:AS87"/>
  <sheetViews>
    <sheetView topLeftCell="Z29" zoomScale="80" zoomScaleNormal="80" workbookViewId="0">
      <selection activeCell="AG46" sqref="AG46"/>
    </sheetView>
  </sheetViews>
  <sheetFormatPr baseColWidth="10" defaultRowHeight="14.5" x14ac:dyDescent="0.35"/>
  <cols>
    <col min="1" max="1" width="25.6328125" customWidth="1"/>
    <col min="2" max="2" width="17.1796875" customWidth="1"/>
    <col min="3" max="20" width="20.6328125" style="33" customWidth="1"/>
    <col min="21" max="21" width="17" bestFit="1" customWidth="1"/>
    <col min="22" max="22" width="12.7265625" bestFit="1" customWidth="1"/>
    <col min="23" max="24" width="15.7265625" bestFit="1" customWidth="1"/>
    <col min="25" max="25" width="15" bestFit="1" customWidth="1"/>
    <col min="26" max="26" width="12" bestFit="1" customWidth="1"/>
    <col min="27" max="27" width="12.08984375" bestFit="1" customWidth="1"/>
    <col min="28" max="28" width="12" bestFit="1" customWidth="1"/>
    <col min="29" max="31" width="11.08984375" bestFit="1" customWidth="1"/>
    <col min="32" max="33" width="11" bestFit="1" customWidth="1"/>
    <col min="34" max="37" width="11.81640625" bestFit="1" customWidth="1"/>
  </cols>
  <sheetData>
    <row r="2" spans="1:27" ht="18.5" x14ac:dyDescent="0.45">
      <c r="A2" s="159" t="s">
        <v>356</v>
      </c>
      <c r="B2" s="159"/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</row>
    <row r="3" spans="1:27" ht="57" customHeight="1" x14ac:dyDescent="0.35">
      <c r="A3" s="72" t="s">
        <v>0</v>
      </c>
      <c r="B3" s="73"/>
      <c r="C3" s="74" t="s">
        <v>32</v>
      </c>
      <c r="D3" s="74" t="s">
        <v>33</v>
      </c>
      <c r="E3" s="74" t="s">
        <v>34</v>
      </c>
      <c r="F3" s="74" t="s">
        <v>35</v>
      </c>
      <c r="G3" s="74" t="s">
        <v>36</v>
      </c>
      <c r="H3" s="74" t="s">
        <v>37</v>
      </c>
      <c r="I3" s="74" t="s">
        <v>38</v>
      </c>
      <c r="J3" s="74" t="s">
        <v>39</v>
      </c>
      <c r="K3" s="74" t="s">
        <v>40</v>
      </c>
      <c r="L3" s="74" t="s">
        <v>41</v>
      </c>
      <c r="M3" s="74" t="s">
        <v>42</v>
      </c>
      <c r="N3" s="74" t="s">
        <v>43</v>
      </c>
      <c r="O3" s="74" t="s">
        <v>44</v>
      </c>
      <c r="P3" s="74" t="s">
        <v>45</v>
      </c>
      <c r="Q3" s="74" t="s">
        <v>46</v>
      </c>
      <c r="R3" s="74" t="s">
        <v>47</v>
      </c>
      <c r="S3" s="74" t="s">
        <v>48</v>
      </c>
      <c r="T3" s="74" t="s">
        <v>49</v>
      </c>
    </row>
    <row r="4" spans="1:27" x14ac:dyDescent="0.35">
      <c r="A4" s="79" t="s">
        <v>294</v>
      </c>
      <c r="B4" s="75"/>
      <c r="C4" s="87">
        <f>SUM(C5:C7)</f>
        <v>0.12687472</v>
      </c>
      <c r="D4" s="87">
        <f t="shared" ref="D4:T4" si="0">SUM(D5:D7)</f>
        <v>32.738101999999998</v>
      </c>
      <c r="E4" s="87">
        <f t="shared" si="0"/>
        <v>0</v>
      </c>
      <c r="F4" s="87">
        <f t="shared" si="0"/>
        <v>0</v>
      </c>
      <c r="G4" s="87">
        <f t="shared" si="0"/>
        <v>0</v>
      </c>
      <c r="H4" s="87">
        <f t="shared" si="0"/>
        <v>0</v>
      </c>
      <c r="I4" s="87">
        <f t="shared" si="0"/>
        <v>0</v>
      </c>
      <c r="J4" s="87">
        <f t="shared" si="0"/>
        <v>0</v>
      </c>
      <c r="K4" s="87">
        <f t="shared" si="0"/>
        <v>0</v>
      </c>
      <c r="L4" s="87">
        <f t="shared" si="0"/>
        <v>0</v>
      </c>
      <c r="M4" s="87">
        <f t="shared" si="0"/>
        <v>0</v>
      </c>
      <c r="N4" s="87">
        <f t="shared" si="0"/>
        <v>0</v>
      </c>
      <c r="O4" s="87">
        <f t="shared" si="0"/>
        <v>0</v>
      </c>
      <c r="P4" s="87">
        <f t="shared" si="0"/>
        <v>7.7163899999999985E-4</v>
      </c>
      <c r="Q4" s="87">
        <f t="shared" si="0"/>
        <v>1.553568E-2</v>
      </c>
      <c r="R4" s="87">
        <f t="shared" si="0"/>
        <v>0</v>
      </c>
      <c r="S4" s="87">
        <f t="shared" si="0"/>
        <v>0</v>
      </c>
      <c r="T4" s="87">
        <f t="shared" si="0"/>
        <v>0</v>
      </c>
    </row>
    <row r="5" spans="1:27" ht="16.5" x14ac:dyDescent="0.45">
      <c r="A5" s="75"/>
      <c r="B5" s="75" t="s">
        <v>295</v>
      </c>
      <c r="C5" s="77">
        <f>LCI_HC!$E4*impact_process_mid!C11</f>
        <v>0</v>
      </c>
      <c r="D5" s="77">
        <f>LCI_HC!$E4*impact_process_mid!D11</f>
        <v>11.833699999999999</v>
      </c>
      <c r="E5" s="77">
        <f>LCI_HC!$E4*impact_process_mid!E11</f>
        <v>0</v>
      </c>
      <c r="F5" s="77">
        <f>LCI_HC!$E4*impact_process_mid!F11</f>
        <v>0</v>
      </c>
      <c r="G5" s="77">
        <f>LCI_HC!$E4*impact_process_mid!G11</f>
        <v>0</v>
      </c>
      <c r="H5" s="77">
        <f>LCI_HC!$E4*impact_process_mid!H11</f>
        <v>0</v>
      </c>
      <c r="I5" s="77">
        <f>LCI_HC!$E4*impact_process_mid!I11</f>
        <v>0</v>
      </c>
      <c r="J5" s="77">
        <f>LCI_HC!$E4*impact_process_mid!J11</f>
        <v>0</v>
      </c>
      <c r="K5" s="77">
        <f>LCI_HC!$E4*impact_process_mid!K11</f>
        <v>0</v>
      </c>
      <c r="L5" s="77">
        <f>LCI_HC!$E4*impact_process_mid!L11</f>
        <v>0</v>
      </c>
      <c r="M5" s="77">
        <f>LCI_HC!$E4*impact_process_mid!M11</f>
        <v>0</v>
      </c>
      <c r="N5" s="77">
        <f>LCI_HC!$E4*impact_process_mid!N11</f>
        <v>0</v>
      </c>
      <c r="O5" s="77">
        <f>LCI_HC!$E4*impact_process_mid!O11</f>
        <v>0</v>
      </c>
      <c r="P5" s="77">
        <f>LCI_HC!$E4*impact_process_mid!P11</f>
        <v>0</v>
      </c>
      <c r="Q5" s="77">
        <f>LCI_HC!$E4*impact_process_mid!Q11</f>
        <v>0</v>
      </c>
      <c r="R5" s="77">
        <f>LCI_HC!$E4*impact_process_mid!R11</f>
        <v>0</v>
      </c>
      <c r="S5" s="77">
        <f>LCI_HC!$E4*impact_process_mid!S11</f>
        <v>0</v>
      </c>
      <c r="T5" s="77">
        <f>LCI_HC!$E4*impact_process_mid!T11</f>
        <v>0</v>
      </c>
      <c r="U5" s="35"/>
    </row>
    <row r="6" spans="1:27" ht="16.5" x14ac:dyDescent="0.45">
      <c r="A6" s="75"/>
      <c r="B6" s="75" t="s">
        <v>296</v>
      </c>
      <c r="C6" s="77">
        <f>LCI_HC!$E6*impact_process_mid!C17</f>
        <v>0.12687472</v>
      </c>
      <c r="D6" s="77">
        <f>LCI_HC!$E6*impact_process_mid!D17</f>
        <v>0</v>
      </c>
      <c r="E6" s="77">
        <f>LCI_HC!$E6*impact_process_mid!E17</f>
        <v>0</v>
      </c>
      <c r="F6" s="77">
        <f>LCI_HC!$E6*impact_process_mid!F17</f>
        <v>0</v>
      </c>
      <c r="G6" s="77">
        <f>LCI_HC!$E6*impact_process_mid!G17</f>
        <v>0</v>
      </c>
      <c r="H6" s="77">
        <f>LCI_HC!$E6*impact_process_mid!H17</f>
        <v>0</v>
      </c>
      <c r="I6" s="77">
        <f>LCI_HC!$E6*impact_process_mid!I17</f>
        <v>0</v>
      </c>
      <c r="J6" s="77">
        <f>LCI_HC!$E6*impact_process_mid!J17</f>
        <v>0</v>
      </c>
      <c r="K6" s="77">
        <f>LCI_HC!$E6*impact_process_mid!K17</f>
        <v>0</v>
      </c>
      <c r="L6" s="77">
        <f>LCI_HC!$E6*impact_process_mid!L17</f>
        <v>0</v>
      </c>
      <c r="M6" s="77">
        <f>LCI_HC!$E6*impact_process_mid!M17</f>
        <v>0</v>
      </c>
      <c r="N6" s="77">
        <f>LCI_HC!$E6*impact_process_mid!N17</f>
        <v>0</v>
      </c>
      <c r="O6" s="77">
        <f>LCI_HC!$E6*impact_process_mid!O17</f>
        <v>0</v>
      </c>
      <c r="P6" s="77">
        <f>LCI_HC!$E6*impact_process_mid!P17</f>
        <v>0</v>
      </c>
      <c r="Q6" s="77">
        <f>LCI_HC!$E6*impact_process_mid!Q17</f>
        <v>1.553568E-2</v>
      </c>
      <c r="R6" s="77">
        <f>LCI_HC!$E6*impact_process_mid!R17</f>
        <v>0</v>
      </c>
      <c r="S6" s="77">
        <f>LCI_HC!$E6*impact_process_mid!S17</f>
        <v>0</v>
      </c>
      <c r="T6" s="77">
        <f>LCI_HC!$E6*impact_process_mid!T17</f>
        <v>0</v>
      </c>
    </row>
    <row r="7" spans="1:27" ht="16.5" x14ac:dyDescent="0.45">
      <c r="A7" s="75"/>
      <c r="B7" s="75" t="s">
        <v>297</v>
      </c>
      <c r="C7" s="77">
        <f>LCI_HC!$E5*impact_process_mid!C19</f>
        <v>0</v>
      </c>
      <c r="D7" s="77">
        <f>LCI_HC!$E5*impact_process_mid!D19</f>
        <v>20.904401999999997</v>
      </c>
      <c r="E7" s="77">
        <f>LCI_HC!$E5*impact_process_mid!E19</f>
        <v>0</v>
      </c>
      <c r="F7" s="77">
        <f>LCI_HC!$E5*impact_process_mid!F19</f>
        <v>0</v>
      </c>
      <c r="G7" s="77">
        <f>LCI_HC!$E5*impact_process_mid!G19</f>
        <v>0</v>
      </c>
      <c r="H7" s="77">
        <f>LCI_HC!$E5*impact_process_mid!H19</f>
        <v>0</v>
      </c>
      <c r="I7" s="77">
        <f>LCI_HC!$E5*impact_process_mid!I19</f>
        <v>0</v>
      </c>
      <c r="J7" s="77">
        <f>LCI_HC!$E5*impact_process_mid!J19</f>
        <v>0</v>
      </c>
      <c r="K7" s="77">
        <f>LCI_HC!$E5*impact_process_mid!K19</f>
        <v>0</v>
      </c>
      <c r="L7" s="77">
        <f>LCI_HC!$E5*impact_process_mid!L19</f>
        <v>0</v>
      </c>
      <c r="M7" s="77">
        <f>LCI_HC!$E5*impact_process_mid!M19</f>
        <v>0</v>
      </c>
      <c r="N7" s="77">
        <f>LCI_HC!$E5*impact_process_mid!N19</f>
        <v>0</v>
      </c>
      <c r="O7" s="77">
        <f>LCI_HC!$E5*impact_process_mid!O19</f>
        <v>0</v>
      </c>
      <c r="P7" s="77">
        <f>LCI_HC!$E5*impact_process_mid!P19</f>
        <v>7.7163899999999985E-4</v>
      </c>
      <c r="Q7" s="77">
        <f>LCI_HC!$E5*impact_process_mid!Q19</f>
        <v>0</v>
      </c>
      <c r="R7" s="77">
        <f>LCI_HC!$E5*impact_process_mid!R19</f>
        <v>0</v>
      </c>
      <c r="S7" s="77">
        <f>LCI_HC!$E5*impact_process_mid!S19</f>
        <v>0</v>
      </c>
      <c r="T7" s="77">
        <f>LCI_HC!$E5*impact_process_mid!T19</f>
        <v>0</v>
      </c>
    </row>
    <row r="8" spans="1:27" x14ac:dyDescent="0.35">
      <c r="A8" s="75"/>
      <c r="B8" s="75" t="s">
        <v>340</v>
      </c>
      <c r="C8" s="75">
        <f>LCI_HC!$E7*impact_process_mid!C33</f>
        <v>1.4295466509523749E-2</v>
      </c>
      <c r="D8" s="75">
        <f>LCI_HC!$E7*impact_process_mid!D33</f>
        <v>5.7556616802676039</v>
      </c>
      <c r="E8" s="75">
        <f>LCI_HC!$E7*impact_process_mid!E33</f>
        <v>0.129308865146636</v>
      </c>
      <c r="F8" s="75">
        <f>LCI_HC!$E7*impact_process_mid!F33</f>
        <v>0.20158552991181719</v>
      </c>
      <c r="G8" s="75">
        <f>LCI_HC!$E7*impact_process_mid!G33</f>
        <v>57.734744806932433</v>
      </c>
      <c r="H8" s="75">
        <f>LCI_HC!$E7*impact_process_mid!H33</f>
        <v>1.7373117397259801</v>
      </c>
      <c r="I8" s="75">
        <f>LCI_HC!$E7*impact_process_mid!I33</f>
        <v>1.9765582209530343E-3</v>
      </c>
      <c r="J8" s="75">
        <f>LCI_HC!$E7*impact_process_mid!J33</f>
        <v>3.1560346846586172E-4</v>
      </c>
      <c r="K8" s="75">
        <f>LCI_HC!$E7*impact_process_mid!K33</f>
        <v>0.40035582233896388</v>
      </c>
      <c r="L8" s="75">
        <f>LCI_HC!$E7*impact_process_mid!L33</f>
        <v>3.466683664084059</v>
      </c>
      <c r="M8" s="75">
        <f>LCI_HC!$E7*impact_process_mid!M33</f>
        <v>0.49716298893330546</v>
      </c>
      <c r="N8" s="75">
        <f>LCI_HC!$E7*impact_process_mid!N33</f>
        <v>58.672077655837455</v>
      </c>
      <c r="O8" s="75">
        <f>LCI_HC!$E7*impact_process_mid!O33</f>
        <v>0.10439624041088992</v>
      </c>
      <c r="P8" s="75">
        <f>LCI_HC!$E7*impact_process_mid!P33</f>
        <v>2.1306487396046929E-6</v>
      </c>
      <c r="Q8" s="75">
        <f>LCI_HC!$E7*impact_process_mid!Q33</f>
        <v>6.2833412557336613E-3</v>
      </c>
      <c r="R8" s="75">
        <f>LCI_HC!$E7*impact_process_mid!R33</f>
        <v>2.5827598708231092E-2</v>
      </c>
      <c r="S8" s="75">
        <f>LCI_HC!$E7*impact_process_mid!S33</f>
        <v>2.8323550693570544E-2</v>
      </c>
      <c r="T8" s="75">
        <f>LCI_HC!$E7*impact_process_mid!T33</f>
        <v>2.693234621842466E-2</v>
      </c>
    </row>
    <row r="9" spans="1:27" x14ac:dyDescent="0.35">
      <c r="A9" s="41" t="s">
        <v>351</v>
      </c>
    </row>
    <row r="13" spans="1:27" ht="18.5" x14ac:dyDescent="0.45">
      <c r="A13" s="160" t="s">
        <v>357</v>
      </c>
      <c r="B13" s="160"/>
      <c r="C13" s="160"/>
      <c r="D13" s="160"/>
      <c r="E13" s="160"/>
      <c r="F13" s="160"/>
      <c r="G13" s="160"/>
      <c r="H13" s="160"/>
      <c r="I13" s="160"/>
      <c r="J13" s="160"/>
      <c r="K13" s="160"/>
      <c r="L13" s="160"/>
      <c r="M13" s="160"/>
      <c r="N13" s="160"/>
      <c r="O13" s="160"/>
      <c r="P13" s="160"/>
      <c r="Q13" s="160"/>
      <c r="R13" s="160"/>
      <c r="S13" s="160"/>
      <c r="T13" s="160"/>
      <c r="U13" s="160"/>
      <c r="V13" s="160"/>
      <c r="W13" s="160"/>
      <c r="X13" s="160"/>
      <c r="Y13" s="160"/>
      <c r="Z13" s="160"/>
      <c r="AA13" s="160"/>
    </row>
    <row r="14" spans="1:27" ht="64.5" customHeight="1" x14ac:dyDescent="0.35">
      <c r="A14" s="81" t="s">
        <v>0</v>
      </c>
      <c r="B14" s="81"/>
      <c r="C14" s="82" t="s">
        <v>186</v>
      </c>
      <c r="D14" s="82" t="s">
        <v>187</v>
      </c>
      <c r="E14" s="82" t="s">
        <v>188</v>
      </c>
      <c r="F14" s="82" t="s">
        <v>189</v>
      </c>
      <c r="G14" s="82" t="s">
        <v>190</v>
      </c>
      <c r="H14" s="82" t="s">
        <v>191</v>
      </c>
      <c r="I14" s="82" t="s">
        <v>192</v>
      </c>
      <c r="J14" s="82" t="s">
        <v>193</v>
      </c>
      <c r="K14" s="82" t="s">
        <v>194</v>
      </c>
      <c r="L14" s="82" t="s">
        <v>195</v>
      </c>
      <c r="M14" s="82" t="s">
        <v>196</v>
      </c>
      <c r="N14" s="82" t="s">
        <v>197</v>
      </c>
      <c r="O14" s="82" t="s">
        <v>198</v>
      </c>
      <c r="P14" s="82" t="s">
        <v>199</v>
      </c>
      <c r="Q14" s="82" t="s">
        <v>200</v>
      </c>
      <c r="R14" s="82" t="s">
        <v>201</v>
      </c>
      <c r="S14" s="82" t="s">
        <v>202</v>
      </c>
      <c r="T14" s="82" t="s">
        <v>203</v>
      </c>
      <c r="U14" s="82" t="s">
        <v>204</v>
      </c>
      <c r="V14" s="82" t="s">
        <v>205</v>
      </c>
      <c r="W14" s="82" t="s">
        <v>206</v>
      </c>
      <c r="X14" s="82" t="s">
        <v>207</v>
      </c>
      <c r="Y14" s="82" t="s">
        <v>208</v>
      </c>
      <c r="Z14" s="82" t="s">
        <v>209</v>
      </c>
      <c r="AA14" s="82" t="s">
        <v>210</v>
      </c>
    </row>
    <row r="15" spans="1:27" x14ac:dyDescent="0.35">
      <c r="A15" s="85" t="s">
        <v>294</v>
      </c>
      <c r="B15" s="83"/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3"/>
      <c r="V15" s="83"/>
      <c r="W15" s="83"/>
      <c r="X15" s="83"/>
      <c r="Y15" s="83"/>
      <c r="Z15" s="83"/>
      <c r="AA15" s="83"/>
    </row>
    <row r="16" spans="1:27" x14ac:dyDescent="0.35">
      <c r="A16" s="83"/>
      <c r="B16" s="83" t="s">
        <v>96</v>
      </c>
      <c r="C16" s="84">
        <f>LCI_HC!$E4*impact_process_end!C11</f>
        <v>0</v>
      </c>
      <c r="D16" s="84">
        <f>LCI_HC!$E4*impact_process_end!D11</f>
        <v>9.0492999999999986E-13</v>
      </c>
      <c r="E16" s="84">
        <f>LCI_HC!$E4*impact_process_end!E11</f>
        <v>3.313436E-8</v>
      </c>
      <c r="F16" s="84">
        <f>LCI_HC!$E4*impact_process_end!F11</f>
        <v>0</v>
      </c>
      <c r="G16" s="84">
        <f>LCI_HC!$E4*impact_process_end!G11</f>
        <v>0</v>
      </c>
      <c r="H16" s="84">
        <f>LCI_HC!$E4*impact_process_end!H11</f>
        <v>0</v>
      </c>
      <c r="I16" s="84">
        <f>LCI_HC!$E4*impact_process_end!I11</f>
        <v>0</v>
      </c>
      <c r="J16" s="84">
        <f>LCI_HC!$E4*impact_process_end!J11</f>
        <v>0</v>
      </c>
      <c r="K16" s="84">
        <f>LCI_HC!$E4*impact_process_end!K11</f>
        <v>0</v>
      </c>
      <c r="L16" s="84">
        <f>LCI_HC!$E4*impact_process_end!L11</f>
        <v>0</v>
      </c>
      <c r="M16" s="84">
        <f>LCI_HC!$E4*impact_process_end!M11</f>
        <v>0</v>
      </c>
      <c r="N16" s="84">
        <f>LCI_HC!$E4*impact_process_end!N11</f>
        <v>0</v>
      </c>
      <c r="O16" s="84">
        <f>LCI_HC!$E4*impact_process_end!O11</f>
        <v>1.099838E-5</v>
      </c>
      <c r="P16" s="84">
        <f>LCI_HC!$E4*impact_process_end!P11</f>
        <v>0</v>
      </c>
      <c r="Q16" s="84">
        <f>LCI_HC!$E4*impact_process_end!Q11</f>
        <v>0</v>
      </c>
      <c r="R16" s="84">
        <f>LCI_HC!$E4*impact_process_end!R11</f>
        <v>0</v>
      </c>
      <c r="S16" s="84">
        <f>LCI_HC!$E4*impact_process_end!S11</f>
        <v>0</v>
      </c>
      <c r="T16" s="84">
        <f>LCI_HC!$E4*impact_process_end!T11</f>
        <v>0</v>
      </c>
      <c r="U16" s="84">
        <f>LCI_HC!$E4*impact_process_end!U11</f>
        <v>0</v>
      </c>
      <c r="V16" s="84">
        <f>LCI_HC!$E4*impact_process_end!V11</f>
        <v>0</v>
      </c>
      <c r="W16" s="84">
        <f>LCI_HC!$E4*impact_process_end!W11</f>
        <v>0</v>
      </c>
      <c r="X16" s="84">
        <f>LCI_HC!$E4*impact_process_end!X11</f>
        <v>0</v>
      </c>
      <c r="Y16" s="84">
        <f>LCI_HC!$E4*impact_process_end!Y11</f>
        <v>3.313526493E-8</v>
      </c>
      <c r="Z16" s="84">
        <f>LCI_HC!$E4*impact_process_end!Z11</f>
        <v>1.099838E-5</v>
      </c>
      <c r="AA16" s="84">
        <f>LCI_HC!$E4*impact_process_end!AA11</f>
        <v>0</v>
      </c>
    </row>
    <row r="17" spans="1:37" x14ac:dyDescent="0.35">
      <c r="A17" s="83"/>
      <c r="B17" s="83" t="s">
        <v>110</v>
      </c>
      <c r="C17" s="86">
        <f>LCI_HC!$E6*impact_process_end!C17</f>
        <v>2.6928511999999999E-8</v>
      </c>
      <c r="D17" s="86">
        <f>LCI_HC!$E6*impact_process_end!D17</f>
        <v>0</v>
      </c>
      <c r="E17" s="86">
        <f>LCI_HC!$E6*impact_process_end!E17</f>
        <v>0</v>
      </c>
      <c r="F17" s="86">
        <f>LCI_HC!$E6*impact_process_end!F17</f>
        <v>0</v>
      </c>
      <c r="G17" s="86">
        <f>LCI_HC!$E6*impact_process_end!G17</f>
        <v>0</v>
      </c>
      <c r="H17" s="86">
        <f>LCI_HC!$E6*impact_process_end!H17</f>
        <v>0</v>
      </c>
      <c r="I17" s="86">
        <f>LCI_HC!$E6*impact_process_end!I17</f>
        <v>0</v>
      </c>
      <c r="J17" s="86">
        <f>LCI_HC!$E6*impact_process_end!J17</f>
        <v>0</v>
      </c>
      <c r="K17" s="86">
        <f>LCI_HC!$E6*impact_process_end!K17</f>
        <v>0</v>
      </c>
      <c r="L17" s="86">
        <f>LCI_HC!$E6*impact_process_end!L17</f>
        <v>0</v>
      </c>
      <c r="M17" s="86">
        <f>LCI_HC!$E6*impact_process_end!M17</f>
        <v>0</v>
      </c>
      <c r="N17" s="86">
        <f>LCI_HC!$E6*impact_process_end!N17</f>
        <v>0</v>
      </c>
      <c r="O17" s="86">
        <f>LCI_HC!$E6*impact_process_end!O17</f>
        <v>0</v>
      </c>
      <c r="P17" s="86">
        <f>LCI_HC!$E6*impact_process_end!P17</f>
        <v>0</v>
      </c>
      <c r="Q17" s="86">
        <f>LCI_HC!$E6*impact_process_end!Q17</f>
        <v>0</v>
      </c>
      <c r="R17" s="86">
        <f>LCI_HC!$E6*impact_process_end!R17</f>
        <v>0</v>
      </c>
      <c r="S17" s="86">
        <f>LCI_HC!$E6*impact_process_end!S17</f>
        <v>0</v>
      </c>
      <c r="T17" s="86">
        <f>LCI_HC!$E6*impact_process_end!T17</f>
        <v>9.7097999999999981E-6</v>
      </c>
      <c r="U17" s="86">
        <f>LCI_HC!$E6*impact_process_end!U17</f>
        <v>0</v>
      </c>
      <c r="V17" s="86">
        <f>LCI_HC!$E6*impact_process_end!V17</f>
        <v>0</v>
      </c>
      <c r="W17" s="86">
        <f>LCI_HC!$E6*impact_process_end!W17</f>
        <v>0</v>
      </c>
      <c r="X17" s="86">
        <f>LCI_HC!$E6*impact_process_end!X17</f>
        <v>0</v>
      </c>
      <c r="Y17" s="86">
        <f>LCI_HC!$E6*impact_process_end!Y17</f>
        <v>2.6928511999999999E-8</v>
      </c>
      <c r="Z17" s="86">
        <f>LCI_HC!$E6*impact_process_end!Z17</f>
        <v>9.7097999999999981E-6</v>
      </c>
      <c r="AA17" s="86">
        <f>LCI_HC!$E6*impact_process_end!AA17</f>
        <v>0</v>
      </c>
    </row>
    <row r="18" spans="1:37" x14ac:dyDescent="0.35">
      <c r="A18" s="83"/>
      <c r="B18" s="83" t="s">
        <v>111</v>
      </c>
      <c r="C18" s="84">
        <f>LCI_HC!$E5*impact_process_end!C19</f>
        <v>0</v>
      </c>
      <c r="D18" s="84">
        <f>LCI_HC!$E5*impact_process_end!D19</f>
        <v>1.5993971999999998E-12</v>
      </c>
      <c r="E18" s="84">
        <f>LCI_HC!$E5*impact_process_end!E19</f>
        <v>5.8504265999999991E-8</v>
      </c>
      <c r="F18" s="84">
        <f>LCI_HC!$E5*impact_process_end!F19</f>
        <v>0</v>
      </c>
      <c r="G18" s="84">
        <f>LCI_HC!$E5*impact_process_end!G19</f>
        <v>0</v>
      </c>
      <c r="H18" s="84">
        <f>LCI_HC!$E5*impact_process_end!H19</f>
        <v>0</v>
      </c>
      <c r="I18" s="84">
        <f>LCI_HC!$E5*impact_process_end!I19</f>
        <v>0</v>
      </c>
      <c r="J18" s="84">
        <f>LCI_HC!$E5*impact_process_end!J19</f>
        <v>0</v>
      </c>
      <c r="K18" s="84">
        <f>LCI_HC!$E5*impact_process_end!K19</f>
        <v>0</v>
      </c>
      <c r="L18" s="84">
        <f>LCI_HC!$E5*impact_process_end!L19</f>
        <v>0</v>
      </c>
      <c r="M18" s="84">
        <f>LCI_HC!$E5*impact_process_end!M19</f>
        <v>0</v>
      </c>
      <c r="N18" s="84">
        <f>LCI_HC!$E5*impact_process_end!N19</f>
        <v>0</v>
      </c>
      <c r="O18" s="84">
        <f>LCI_HC!$E5*impact_process_end!O19</f>
        <v>1.9641719999999997E-5</v>
      </c>
      <c r="P18" s="84">
        <f>LCI_HC!$E5*impact_process_end!P19</f>
        <v>0</v>
      </c>
      <c r="Q18" s="84">
        <f>LCI_HC!$E5*impact_process_end!Q19</f>
        <v>0</v>
      </c>
      <c r="R18" s="84">
        <f>LCI_HC!$E5*impact_process_end!R19</f>
        <v>0</v>
      </c>
      <c r="S18" s="84">
        <f>LCI_HC!$E5*impact_process_end!S19</f>
        <v>4.0967015999999993E-7</v>
      </c>
      <c r="T18" s="84">
        <f>LCI_HC!$E5*impact_process_end!T19</f>
        <v>0</v>
      </c>
      <c r="U18" s="84">
        <f>LCI_HC!$E5*impact_process_end!U19</f>
        <v>0</v>
      </c>
      <c r="V18" s="84">
        <f>LCI_HC!$E5*impact_process_end!V19</f>
        <v>0</v>
      </c>
      <c r="W18" s="84">
        <f>LCI_HC!$E5*impact_process_end!W19</f>
        <v>0</v>
      </c>
      <c r="X18" s="84">
        <f>LCI_HC!$E5*impact_process_end!X19</f>
        <v>0</v>
      </c>
      <c r="Y18" s="84">
        <f>LCI_HC!$E5*impact_process_end!Y19</f>
        <v>5.8505865397199988E-8</v>
      </c>
      <c r="Z18" s="84">
        <f>LCI_HC!$E5*impact_process_end!Z19</f>
        <v>2.0051390159999996E-5</v>
      </c>
      <c r="AA18" s="84">
        <f>LCI_HC!$E5*impact_process_end!AA19</f>
        <v>0</v>
      </c>
    </row>
    <row r="19" spans="1:37" x14ac:dyDescent="0.35">
      <c r="A19" s="83"/>
      <c r="B19" s="83" t="s">
        <v>340</v>
      </c>
      <c r="C19" s="84">
        <f>LCI_HC!$E7*impact_process_end!C33</f>
        <v>3.0302879762410357E-9</v>
      </c>
      <c r="D19" s="84">
        <f>LCI_HC!$E7*impact_process_end!D33</f>
        <v>4.4028426623268897E-13</v>
      </c>
      <c r="E19" s="84">
        <f>LCI_HC!$E7*impact_process_end!E33</f>
        <v>1.6121280684692799E-8</v>
      </c>
      <c r="F19" s="84">
        <f>LCI_HC!$E7*impact_process_end!F33</f>
        <v>8.9550842310419634E-11</v>
      </c>
      <c r="G19" s="84">
        <f>LCI_HC!$E7*impact_process_end!G33</f>
        <v>2.1182825105606582E-11</v>
      </c>
      <c r="H19" s="84">
        <f>LCI_HC!$E7*impact_process_end!H33</f>
        <v>6.5822852956409875E-10</v>
      </c>
      <c r="I19" s="84">
        <f>LCI_HC!$E7*impact_process_end!I33</f>
        <v>1.3248146722419573E-9</v>
      </c>
      <c r="J19" s="84">
        <f>LCI_HC!$E7*impact_process_end!J33</f>
        <v>5.3657236463384755E-13</v>
      </c>
      <c r="K19" s="84">
        <f>LCI_HC!$E7*impact_process_end!K33</f>
        <v>5.2024258898378559E-7</v>
      </c>
      <c r="L19" s="84">
        <f>LCI_HC!$E7*impact_process_end!L33</f>
        <v>3.6535315050201752E-9</v>
      </c>
      <c r="M19" s="84">
        <f>LCI_HC!$E7*impact_process_end!M33</f>
        <v>1.6267137115928494E-14</v>
      </c>
      <c r="N19" s="84">
        <f>LCI_HC!$E7*impact_process_end!N33</f>
        <v>3.6358667394873286E-10</v>
      </c>
      <c r="O19" s="84">
        <f>LCI_HC!$E7*impact_process_end!O33</f>
        <v>5.3418072641283292E-6</v>
      </c>
      <c r="P19" s="84">
        <f>LCI_HC!$E7*impact_process_end!P33</f>
        <v>1.3290955933070178E-6</v>
      </c>
      <c r="Q19" s="84">
        <f>LCI_HC!$E7*impact_process_end!Q33</f>
        <v>7.9050034919984862E-7</v>
      </c>
      <c r="R19" s="84">
        <f>LCI_HC!$E7*impact_process_end!R33</f>
        <v>4.2177806699609076E-9</v>
      </c>
      <c r="S19" s="84">
        <f>LCI_HC!$E7*impact_process_end!S33</f>
        <v>1.1310747876410628E-9</v>
      </c>
      <c r="T19" s="84">
        <f>LCI_HC!$E7*impact_process_end!T33</f>
        <v>3.949934860764492E-6</v>
      </c>
      <c r="U19" s="84">
        <f>LCI_HC!$E7*impact_process_end!U33</f>
        <v>2.3507587615002564E-8</v>
      </c>
      <c r="V19" s="84">
        <f>LCI_HC!$E7*impact_process_end!V33</f>
        <v>5.9789808604902742E-8</v>
      </c>
      <c r="W19" s="84">
        <f>LCI_HC!$E7*impact_process_end!W33</f>
        <v>0.69855187502947691</v>
      </c>
      <c r="X19" s="84">
        <f>LCI_HC!$E7*impact_process_end!X33</f>
        <v>2.4148827034438176E-2</v>
      </c>
      <c r="Y19" s="84">
        <f>LCI_HC!$E7*impact_process_end!Y33</f>
        <v>5.4514157559695496E-7</v>
      </c>
      <c r="Z19" s="84">
        <f>LCI_HC!$E7*impact_process_end!Z33</f>
        <v>1.1499684208052905E-5</v>
      </c>
      <c r="AA19" s="84">
        <f>LCI_HC!$E7*impact_process_end!AA33</f>
        <v>0.72270070242750173</v>
      </c>
    </row>
    <row r="28" spans="1:37" ht="18.5" x14ac:dyDescent="0.45">
      <c r="A28" s="161" t="s">
        <v>412</v>
      </c>
      <c r="B28" s="162"/>
      <c r="C28" s="162"/>
      <c r="D28" s="162"/>
      <c r="E28" s="162"/>
      <c r="F28" s="162"/>
      <c r="G28" s="162"/>
      <c r="H28" s="162"/>
      <c r="I28" s="162"/>
      <c r="J28" s="162"/>
      <c r="K28" s="162"/>
      <c r="L28" s="162"/>
      <c r="M28" s="162"/>
      <c r="N28" s="162"/>
      <c r="O28" s="162"/>
      <c r="P28" s="162"/>
      <c r="Q28" s="162"/>
      <c r="R28" s="162"/>
      <c r="S28" s="162"/>
      <c r="T28" s="162"/>
      <c r="U28" s="162"/>
      <c r="V28" s="162"/>
      <c r="W28" s="162"/>
      <c r="X28" s="162"/>
      <c r="Y28" s="162"/>
      <c r="Z28" s="162"/>
      <c r="AA28" s="162"/>
      <c r="AB28" s="162"/>
      <c r="AC28" s="162"/>
      <c r="AD28" s="162"/>
      <c r="AE28" s="162"/>
      <c r="AF28" s="162"/>
      <c r="AG28" s="162"/>
      <c r="AH28" s="162"/>
      <c r="AI28" s="162"/>
      <c r="AJ28" s="162"/>
      <c r="AK28" s="163"/>
    </row>
    <row r="29" spans="1:37" ht="72.5" x14ac:dyDescent="0.35">
      <c r="A29" s="89" t="s">
        <v>0</v>
      </c>
      <c r="B29" s="90"/>
      <c r="C29" s="91" t="s">
        <v>376</v>
      </c>
      <c r="D29" s="91" t="s">
        <v>377</v>
      </c>
      <c r="E29" s="91" t="s">
        <v>378</v>
      </c>
      <c r="F29" s="91" t="s">
        <v>379</v>
      </c>
      <c r="G29" s="91" t="s">
        <v>380</v>
      </c>
      <c r="H29" s="91" t="s">
        <v>361</v>
      </c>
      <c r="I29" s="91" t="s">
        <v>381</v>
      </c>
      <c r="J29" s="91" t="s">
        <v>382</v>
      </c>
      <c r="K29" s="91" t="s">
        <v>363</v>
      </c>
      <c r="L29" s="91" t="s">
        <v>383</v>
      </c>
      <c r="M29" s="91" t="s">
        <v>384</v>
      </c>
      <c r="N29" s="91" t="s">
        <v>385</v>
      </c>
      <c r="O29" s="91" t="s">
        <v>386</v>
      </c>
      <c r="P29" s="91" t="s">
        <v>387</v>
      </c>
      <c r="Q29" s="91" t="s">
        <v>388</v>
      </c>
      <c r="R29" s="91" t="s">
        <v>367</v>
      </c>
      <c r="S29" s="91" t="s">
        <v>368</v>
      </c>
      <c r="T29" s="91" t="s">
        <v>389</v>
      </c>
      <c r="U29" s="91" t="s">
        <v>390</v>
      </c>
      <c r="V29" s="91" t="s">
        <v>391</v>
      </c>
      <c r="W29" s="91" t="s">
        <v>392</v>
      </c>
      <c r="X29" s="91" t="s">
        <v>369</v>
      </c>
      <c r="Y29" s="91" t="s">
        <v>371</v>
      </c>
      <c r="Z29" s="91" t="s">
        <v>372</v>
      </c>
      <c r="AA29" s="91" t="s">
        <v>393</v>
      </c>
      <c r="AB29" s="91" t="s">
        <v>394</v>
      </c>
      <c r="AC29" s="91" t="s">
        <v>374</v>
      </c>
      <c r="AD29" s="91" t="s">
        <v>395</v>
      </c>
      <c r="AE29" s="91" t="s">
        <v>396</v>
      </c>
      <c r="AF29" s="91" t="s">
        <v>397</v>
      </c>
      <c r="AG29" s="91" t="s">
        <v>398</v>
      </c>
      <c r="AH29" s="91" t="s">
        <v>399</v>
      </c>
      <c r="AI29" s="91" t="s">
        <v>400</v>
      </c>
      <c r="AJ29" s="91" t="s">
        <v>401</v>
      </c>
      <c r="AK29" s="91" t="s">
        <v>402</v>
      </c>
    </row>
    <row r="30" spans="1:37" x14ac:dyDescent="0.35">
      <c r="A30" s="96" t="s">
        <v>294</v>
      </c>
      <c r="B30" s="90"/>
      <c r="C30" s="97" t="e">
        <f>SUM(C31:C34)</f>
        <v>#REF!</v>
      </c>
      <c r="D30" s="97" t="e">
        <f t="shared" ref="D30:AK30" si="1">SUM(D31:D34)</f>
        <v>#REF!</v>
      </c>
      <c r="E30" s="97" t="e">
        <f t="shared" si="1"/>
        <v>#REF!</v>
      </c>
      <c r="F30" s="97" t="e">
        <f t="shared" si="1"/>
        <v>#REF!</v>
      </c>
      <c r="G30" s="97">
        <f t="shared" si="1"/>
        <v>5.6277794486703148E-18</v>
      </c>
      <c r="H30" s="97">
        <f t="shared" si="1"/>
        <v>0.15195189258170927</v>
      </c>
      <c r="I30" s="97">
        <f t="shared" si="1"/>
        <v>0.51155102871179303</v>
      </c>
      <c r="J30" s="97">
        <f t="shared" si="1"/>
        <v>8.7051064351598859E-2</v>
      </c>
      <c r="K30" s="97">
        <f t="shared" si="1"/>
        <v>1.7178536165424186E-2</v>
      </c>
      <c r="L30" s="97">
        <f t="shared" si="1"/>
        <v>1.65473264628103E-8</v>
      </c>
      <c r="M30" s="97">
        <f t="shared" si="1"/>
        <v>1.345695908501447E-6</v>
      </c>
      <c r="N30" s="97">
        <f t="shared" si="1"/>
        <v>5.4668732139866088E-7</v>
      </c>
      <c r="O30" s="97">
        <f t="shared" si="1"/>
        <v>3.5557160456416687E-7</v>
      </c>
      <c r="P30" s="97">
        <f t="shared" si="1"/>
        <v>7.4986018095373098E-10</v>
      </c>
      <c r="Q30" s="97">
        <f t="shared" si="1"/>
        <v>1.3164098395917526E-8</v>
      </c>
      <c r="R30" s="97">
        <f t="shared" si="1"/>
        <v>31.470870169787869</v>
      </c>
      <c r="S30" s="97">
        <f t="shared" si="1"/>
        <v>0.23733962088834182</v>
      </c>
      <c r="T30" s="97">
        <f t="shared" si="1"/>
        <v>0.7795634512901618</v>
      </c>
      <c r="U30" s="97">
        <f t="shared" si="1"/>
        <v>8.4619968013163058E-2</v>
      </c>
      <c r="V30" s="97">
        <f t="shared" si="1"/>
        <v>1.1658923539154123E-6</v>
      </c>
      <c r="W30" s="97">
        <f t="shared" si="1"/>
        <v>8.7397245484159419E-7</v>
      </c>
      <c r="X30" s="97">
        <f t="shared" si="1"/>
        <v>5.3936050617333822E-2</v>
      </c>
      <c r="Y30" s="97">
        <f t="shared" si="1"/>
        <v>1.7286063782371375E-10</v>
      </c>
      <c r="Z30" s="97">
        <f t="shared" si="1"/>
        <v>1.4497858333340074E-5</v>
      </c>
      <c r="AA30" s="97">
        <f t="shared" si="1"/>
        <v>0.25628941225984636</v>
      </c>
      <c r="AB30" s="97">
        <f t="shared" si="1"/>
        <v>2.4113100969075709E-8</v>
      </c>
      <c r="AC30" s="97">
        <f t="shared" si="1"/>
        <v>1.7755289501838178</v>
      </c>
      <c r="AD30" s="97">
        <f t="shared" si="1"/>
        <v>4.2555871137612694E-2</v>
      </c>
      <c r="AE30" s="97">
        <f t="shared" si="1"/>
        <v>3.189999460171819E-2</v>
      </c>
      <c r="AF30" s="97">
        <f t="shared" si="1"/>
        <v>8.3194443297340197E-4</v>
      </c>
      <c r="AG30" s="97">
        <f t="shared" si="1"/>
        <v>35.50152298199334</v>
      </c>
      <c r="AH30" s="97">
        <f t="shared" si="1"/>
        <v>1.8232373668847659E-5</v>
      </c>
      <c r="AI30" s="97">
        <f t="shared" si="1"/>
        <v>1.1728631702773519E-5</v>
      </c>
      <c r="AJ30" s="97">
        <f t="shared" si="1"/>
        <v>1.4325631145776835E-6</v>
      </c>
      <c r="AK30" s="97">
        <f t="shared" si="1"/>
        <v>3.4125772359188772E-4</v>
      </c>
    </row>
    <row r="31" spans="1:37" x14ac:dyDescent="0.35">
      <c r="A31" s="90"/>
      <c r="B31" s="98" t="s">
        <v>96</v>
      </c>
      <c r="C31" s="92" t="e">
        <f>LCI_HC!$E4*'IW+_end'!#REF!</f>
        <v>#REF!</v>
      </c>
      <c r="D31" s="92" t="e">
        <f>LCI_HC!$E4*'IW+_end'!#REF!</f>
        <v>#REF!</v>
      </c>
      <c r="E31" s="92" t="e">
        <f>LCI_HC!$E4*'IW+_end'!#REF!</f>
        <v>#REF!</v>
      </c>
      <c r="F31" s="92" t="e">
        <f>LCI_HC!$E4*'IW+_end'!#REF!</f>
        <v>#REF!</v>
      </c>
      <c r="G31" s="92">
        <f>LCI_HC!$E4*'IW+_end'!C12</f>
        <v>0</v>
      </c>
      <c r="H31" s="92">
        <f>LCI_HC!$E4*'IW+_end'!D12</f>
        <v>0</v>
      </c>
      <c r="I31" s="92">
        <f>LCI_HC!$E4*'IW+_end'!E12</f>
        <v>0</v>
      </c>
      <c r="J31" s="92">
        <f>LCI_HC!$E4*'IW+_end'!F12</f>
        <v>0</v>
      </c>
      <c r="K31" s="92">
        <f>LCI_HC!$E4*'IW+_end'!G12</f>
        <v>0</v>
      </c>
      <c r="L31" s="92">
        <f>LCI_HC!$E4*'IW+_end'!H12</f>
        <v>0</v>
      </c>
      <c r="M31" s="92">
        <f>LCI_HC!$E4*'IW+_end'!I12</f>
        <v>0</v>
      </c>
      <c r="N31" s="92">
        <f>LCI_HC!$E4*'IW+_end'!J12</f>
        <v>0</v>
      </c>
      <c r="O31" s="92">
        <f>LCI_HC!$E4*'IW+_end'!K12</f>
        <v>0</v>
      </c>
      <c r="P31" s="92">
        <f>LCI_HC!$E4*'IW+_end'!L12</f>
        <v>0</v>
      </c>
      <c r="Q31" s="92">
        <f>LCI_HC!$E4*'IW+_end'!M12</f>
        <v>0</v>
      </c>
      <c r="R31" s="92">
        <f>LCI_HC!$E4*'IW+_end'!N12</f>
        <v>0</v>
      </c>
      <c r="S31" s="92">
        <f>LCI_HC!$E4*'IW+_end'!O12</f>
        <v>0</v>
      </c>
      <c r="T31" s="92">
        <f>LCI_HC!$E4*'IW+_end'!P12</f>
        <v>0</v>
      </c>
      <c r="U31" s="92">
        <f>LCI_HC!$E4*'IW+_end'!Q12</f>
        <v>0</v>
      </c>
      <c r="V31" s="92">
        <f>LCI_HC!$E4*'IW+_end'!R12</f>
        <v>0</v>
      </c>
      <c r="W31" s="92">
        <f>LCI_HC!$E4*'IW+_end'!S12</f>
        <v>0</v>
      </c>
      <c r="X31" s="92">
        <f>LCI_HC!$E4*'IW+_end'!T12</f>
        <v>0</v>
      </c>
      <c r="Y31" s="92">
        <f>LCI_HC!$E4*'IW+_end'!U12</f>
        <v>0</v>
      </c>
      <c r="Z31" s="92">
        <f>LCI_HC!$E4*'IW+_end'!V12</f>
        <v>0</v>
      </c>
      <c r="AA31" s="92">
        <f>LCI_HC!$E4*'IW+_end'!W12</f>
        <v>0</v>
      </c>
      <c r="AB31" s="91">
        <f>LCI_HC!$E4*'IW+_end'!X12</f>
        <v>0</v>
      </c>
      <c r="AC31" s="91">
        <f>LCI_HC!$E4*'IW+_end'!Y12</f>
        <v>0</v>
      </c>
      <c r="AD31" s="91">
        <f>LCI_HC!$E4*'IW+_end'!Z12</f>
        <v>0</v>
      </c>
      <c r="AE31" s="91">
        <f>LCI_HC!$E4*'IW+_end'!AA12</f>
        <v>0</v>
      </c>
      <c r="AF31" s="91">
        <f>LCI_HC!$E4*'IW+_end'!AB12</f>
        <v>0</v>
      </c>
      <c r="AG31" s="91">
        <f>LCI_HC!$E4*'IW+_end'!AC12</f>
        <v>0</v>
      </c>
      <c r="AH31" s="91">
        <f>LCI_HC!$E4*'IW+_end'!AD12</f>
        <v>0</v>
      </c>
      <c r="AI31" s="91">
        <f>LCI_HC!$E4*'IW+_end'!AE12</f>
        <v>0</v>
      </c>
      <c r="AJ31" s="91">
        <f>LCI_HC!$E4*'IW+_end'!AF12</f>
        <v>0</v>
      </c>
      <c r="AK31" s="91">
        <f>LCI_HC!$E4*'IW+_end'!AG12</f>
        <v>0</v>
      </c>
    </row>
    <row r="32" spans="1:37" x14ac:dyDescent="0.35">
      <c r="A32" s="90"/>
      <c r="B32" s="98" t="s">
        <v>110</v>
      </c>
      <c r="C32" s="94" t="e">
        <f>LCI_HC!$E6*'IW+_end'!#REF!</f>
        <v>#REF!</v>
      </c>
      <c r="D32" s="94" t="e">
        <f>LCI_HC!$E6*'IW+_end'!#REF!</f>
        <v>#REF!</v>
      </c>
      <c r="E32" s="94" t="e">
        <f>LCI_HC!$E6*'IW+_end'!#REF!</f>
        <v>#REF!</v>
      </c>
      <c r="F32" s="94" t="e">
        <f>LCI_HC!$E6*'IW+_end'!#REF!</f>
        <v>#REF!</v>
      </c>
      <c r="G32" s="94">
        <f>LCI_HC!$E6*'IW+_end'!C18</f>
        <v>0</v>
      </c>
      <c r="H32" s="94">
        <f>LCI_HC!$E6*'IW+_end'!D18</f>
        <v>0.11954158649720915</v>
      </c>
      <c r="I32" s="94">
        <f>LCI_HC!$E6*'IW+_end'!E18</f>
        <v>0</v>
      </c>
      <c r="J32" s="94">
        <f>LCI_HC!$E6*'IW+_end'!F18</f>
        <v>0</v>
      </c>
      <c r="K32" s="94">
        <f>LCI_HC!$E6*'IW+_end'!G18</f>
        <v>0</v>
      </c>
      <c r="L32" s="94">
        <f>LCI_HC!$E6*'IW+_end'!H18</f>
        <v>0</v>
      </c>
      <c r="M32" s="94">
        <f>LCI_HC!$E6*'IW+_end'!I18</f>
        <v>0</v>
      </c>
      <c r="N32" s="94">
        <f>LCI_HC!$E6*'IW+_end'!J18</f>
        <v>0</v>
      </c>
      <c r="O32" s="94">
        <f>LCI_HC!$E6*'IW+_end'!K18</f>
        <v>0</v>
      </c>
      <c r="P32" s="94">
        <f>LCI_HC!$E6*'IW+_end'!L18</f>
        <v>0</v>
      </c>
      <c r="Q32" s="94">
        <f>LCI_HC!$E6*'IW+_end'!M18</f>
        <v>0</v>
      </c>
      <c r="R32" s="94">
        <f>LCI_HC!$E6*'IW+_end'!N18</f>
        <v>0</v>
      </c>
      <c r="S32" s="94">
        <f>LCI_HC!$E6*'IW+_end'!O18</f>
        <v>0</v>
      </c>
      <c r="T32" s="94">
        <f>LCI_HC!$E6*'IW+_end'!P18</f>
        <v>0</v>
      </c>
      <c r="U32" s="94">
        <f>LCI_HC!$E6*'IW+_end'!Q18</f>
        <v>0</v>
      </c>
      <c r="V32" s="94">
        <f>LCI_HC!$E6*'IW+_end'!R18</f>
        <v>0</v>
      </c>
      <c r="W32" s="94">
        <f>LCI_HC!$E6*'IW+_end'!S18</f>
        <v>0</v>
      </c>
      <c r="X32" s="94">
        <f>LCI_HC!$E6*'IW+_end'!T18</f>
        <v>4.5891639433651252E-2</v>
      </c>
      <c r="Y32" s="94">
        <f>LCI_HC!$E6*'IW+_end'!U18</f>
        <v>0</v>
      </c>
      <c r="Z32" s="94">
        <f>LCI_HC!$E6*'IW+_end'!V18</f>
        <v>1.1483159701098625E-5</v>
      </c>
      <c r="AA32" s="94">
        <f>LCI_HC!$E6*'IW+_end'!W18</f>
        <v>0</v>
      </c>
      <c r="AB32" s="94">
        <f>LCI_HC!$E6*'IW+_end'!X18</f>
        <v>0</v>
      </c>
      <c r="AC32" s="94">
        <f>LCI_HC!$E6*'IW+_end'!Y18</f>
        <v>1.54121019112393</v>
      </c>
      <c r="AD32" s="94">
        <f>LCI_HC!$E6*'IW+_end'!Z18</f>
        <v>0</v>
      </c>
      <c r="AE32" s="94">
        <f>LCI_HC!$E6*'IW+_end'!AA18</f>
        <v>0</v>
      </c>
      <c r="AF32" s="94">
        <f>LCI_HC!$E6*'IW+_end'!AB18</f>
        <v>0</v>
      </c>
      <c r="AG32" s="94">
        <f>LCI_HC!$E6*'IW+_end'!AC18</f>
        <v>1.7066434170547906</v>
      </c>
      <c r="AH32" s="94">
        <f>LCI_HC!$E6*'IW+_end'!AD18</f>
        <v>1.1483159701098625E-5</v>
      </c>
      <c r="AI32" s="94">
        <f>LCI_HC!$E6*'IW+_end'!AE18</f>
        <v>0</v>
      </c>
      <c r="AJ32" s="94">
        <f>LCI_HC!$E6*'IW+_end'!AF18</f>
        <v>0</v>
      </c>
      <c r="AK32" s="94">
        <f>LCI_HC!$E6*'IW+_end'!AG18</f>
        <v>0</v>
      </c>
    </row>
    <row r="33" spans="1:45" x14ac:dyDescent="0.35">
      <c r="A33" s="90"/>
      <c r="B33" s="98" t="s">
        <v>111</v>
      </c>
      <c r="C33" s="92" t="e">
        <f>LCI_HC!$E5*'IW+_end'!#REF!</f>
        <v>#REF!</v>
      </c>
      <c r="D33" s="92" t="e">
        <f>LCI_HC!$E5*'IW+_end'!#REF!</f>
        <v>#REF!</v>
      </c>
      <c r="E33" s="92" t="e">
        <f>LCI_HC!$E5*'IW+_end'!#REF!</f>
        <v>#REF!</v>
      </c>
      <c r="F33" s="92" t="e">
        <f>LCI_HC!$E5*'IW+_end'!#REF!</f>
        <v>#REF!</v>
      </c>
      <c r="G33" s="92">
        <f>LCI_HC!$E5*'IW+_end'!C20</f>
        <v>0</v>
      </c>
      <c r="H33" s="92">
        <f>LCI_HC!$E5*'IW+_end'!D20</f>
        <v>0</v>
      </c>
      <c r="I33" s="92">
        <f>LCI_HC!$E5*'IW+_end'!E20</f>
        <v>0</v>
      </c>
      <c r="J33" s="92">
        <f>LCI_HC!$E5*'IW+_end'!F20</f>
        <v>0</v>
      </c>
      <c r="K33" s="92">
        <f>LCI_HC!$E5*'IW+_end'!G20</f>
        <v>0</v>
      </c>
      <c r="L33" s="92">
        <f>LCI_HC!$E5*'IW+_end'!H20</f>
        <v>0</v>
      </c>
      <c r="M33" s="92">
        <f>LCI_HC!$E5*'IW+_end'!I20</f>
        <v>0</v>
      </c>
      <c r="N33" s="92">
        <f>LCI_HC!$E5*'IW+_end'!J20</f>
        <v>0</v>
      </c>
      <c r="O33" s="92">
        <f>LCI_HC!$E5*'IW+_end'!K20</f>
        <v>0</v>
      </c>
      <c r="P33" s="92">
        <f>LCI_HC!$E5*'IW+_end'!L20</f>
        <v>0</v>
      </c>
      <c r="Q33" s="92">
        <f>LCI_HC!$E5*'IW+_end'!M20</f>
        <v>0</v>
      </c>
      <c r="R33" s="92">
        <f>LCI_HC!$E5*'IW+_end'!N20</f>
        <v>0</v>
      </c>
      <c r="S33" s="92">
        <f>LCI_HC!$E5*'IW+_end'!O20</f>
        <v>0</v>
      </c>
      <c r="T33" s="92">
        <f>LCI_HC!$E5*'IW+_end'!P20</f>
        <v>0</v>
      </c>
      <c r="U33" s="92">
        <f>LCI_HC!$E5*'IW+_end'!Q20</f>
        <v>0</v>
      </c>
      <c r="V33" s="92">
        <f>LCI_HC!$E5*'IW+_end'!R20</f>
        <v>0</v>
      </c>
      <c r="W33" s="92">
        <f>LCI_HC!$E5*'IW+_end'!S20</f>
        <v>0</v>
      </c>
      <c r="X33" s="92">
        <f>LCI_HC!$E5*'IW+_end'!T20</f>
        <v>0</v>
      </c>
      <c r="Y33" s="92">
        <f>LCI_HC!$E5*'IW+_end'!U20</f>
        <v>0</v>
      </c>
      <c r="Z33" s="92">
        <f>LCI_HC!$E5*'IW+_end'!V20</f>
        <v>0</v>
      </c>
      <c r="AA33" s="92">
        <f>LCI_HC!$E5*'IW+_end'!W20</f>
        <v>0</v>
      </c>
      <c r="AB33" s="92">
        <f>LCI_HC!$E5*'IW+_end'!X20</f>
        <v>0</v>
      </c>
      <c r="AC33" s="92">
        <f>LCI_HC!$E5*'IW+_end'!Y20</f>
        <v>0</v>
      </c>
      <c r="AD33" s="92">
        <f>LCI_HC!$E5*'IW+_end'!Z20</f>
        <v>0</v>
      </c>
      <c r="AE33" s="92">
        <f>LCI_HC!$E5*'IW+_end'!AA20</f>
        <v>0</v>
      </c>
      <c r="AF33" s="92">
        <f>LCI_HC!$E5*'IW+_end'!AB20</f>
        <v>0</v>
      </c>
      <c r="AG33" s="92">
        <f>LCI_HC!$E5*'IW+_end'!AC20</f>
        <v>0</v>
      </c>
      <c r="AH33" s="92">
        <f>LCI_HC!$E5*'IW+_end'!AD20</f>
        <v>0</v>
      </c>
      <c r="AI33" s="92">
        <f>LCI_HC!$E5*'IW+_end'!AE20</f>
        <v>0</v>
      </c>
      <c r="AJ33" s="92">
        <f>LCI_HC!$E5*'IW+_end'!AF20</f>
        <v>0</v>
      </c>
      <c r="AK33" s="92">
        <f>LCI_HC!$E5*'IW+_end'!AG20</f>
        <v>0</v>
      </c>
    </row>
    <row r="34" spans="1:45" x14ac:dyDescent="0.35">
      <c r="A34" s="90"/>
      <c r="B34" s="98" t="s">
        <v>340</v>
      </c>
      <c r="C34" s="92" t="e">
        <f>LCI_HC!$E7*'IW+_end'!#REF!</f>
        <v>#REF!</v>
      </c>
      <c r="D34" s="92" t="e">
        <f>LCI_HC!$E7*'IW+_end'!#REF!</f>
        <v>#REF!</v>
      </c>
      <c r="E34" s="92" t="e">
        <f>LCI_HC!$E7*'IW+_end'!#REF!</f>
        <v>#REF!</v>
      </c>
      <c r="F34" s="92" t="e">
        <f>LCI_HC!$E7*'IW+_end'!#REF!</f>
        <v>#REF!</v>
      </c>
      <c r="G34" s="92">
        <f>LCI_HC!$E7*'IW+_end'!C35</f>
        <v>5.6277794486703148E-18</v>
      </c>
      <c r="H34" s="92">
        <f>LCI_HC!$E7*'IW+_end'!D35</f>
        <v>3.2410306084500101E-2</v>
      </c>
      <c r="I34" s="92">
        <f>LCI_HC!$E7*'IW+_end'!E35</f>
        <v>0.51155102871179303</v>
      </c>
      <c r="J34" s="92">
        <f>LCI_HC!$E7*'IW+_end'!F35</f>
        <v>8.7051064351598859E-2</v>
      </c>
      <c r="K34" s="92">
        <f>LCI_HC!$E7*'IW+_end'!G35</f>
        <v>1.7178536165424186E-2</v>
      </c>
      <c r="L34" s="92">
        <f>LCI_HC!$E7*'IW+_end'!H35</f>
        <v>1.65473264628103E-8</v>
      </c>
      <c r="M34" s="92">
        <f>LCI_HC!$E7*'IW+_end'!I35</f>
        <v>1.345695908501447E-6</v>
      </c>
      <c r="N34" s="92">
        <f>LCI_HC!$E7*'IW+_end'!J35</f>
        <v>5.4668732139866088E-7</v>
      </c>
      <c r="O34" s="92">
        <f>LCI_HC!$E7*'IW+_end'!K35</f>
        <v>3.5557160456416687E-7</v>
      </c>
      <c r="P34" s="92">
        <f>LCI_HC!$E7*'IW+_end'!L35</f>
        <v>7.4986018095373098E-10</v>
      </c>
      <c r="Q34" s="92">
        <f>LCI_HC!$E7*'IW+_end'!M35</f>
        <v>1.3164098395917526E-8</v>
      </c>
      <c r="R34" s="92">
        <f>LCI_HC!$E7*'IW+_end'!N35</f>
        <v>31.470870169787869</v>
      </c>
      <c r="S34" s="92">
        <f>LCI_HC!$E7*'IW+_end'!O35</f>
        <v>0.23733962088834182</v>
      </c>
      <c r="T34" s="92">
        <f>LCI_HC!$E7*'IW+_end'!P35</f>
        <v>0.7795634512901618</v>
      </c>
      <c r="U34" s="92">
        <f>LCI_HC!$E7*'IW+_end'!Q35</f>
        <v>8.4619968013163058E-2</v>
      </c>
      <c r="V34" s="92">
        <f>LCI_HC!$E7*'IW+_end'!R35</f>
        <v>1.1658923539154123E-6</v>
      </c>
      <c r="W34" s="92">
        <f>LCI_HC!$E7*'IW+_end'!S35</f>
        <v>8.7397245484159419E-7</v>
      </c>
      <c r="X34" s="92">
        <f>LCI_HC!$E7*'IW+_end'!T35</f>
        <v>8.0444111836825722E-3</v>
      </c>
      <c r="Y34" s="92">
        <f>LCI_HC!$E7*'IW+_end'!U35</f>
        <v>1.7286063782371375E-10</v>
      </c>
      <c r="Z34" s="92">
        <f>LCI_HC!$E7*'IW+_end'!V35</f>
        <v>3.0146986322414495E-6</v>
      </c>
      <c r="AA34" s="92">
        <f>LCI_HC!$E7*'IW+_end'!W35</f>
        <v>0.25628941225984636</v>
      </c>
      <c r="AB34" s="92">
        <f>LCI_HC!$E7*'IW+_end'!X35</f>
        <v>2.4113100969075709E-8</v>
      </c>
      <c r="AC34" s="92">
        <f>LCI_HC!$E7*'IW+_end'!Y35</f>
        <v>0.23431875905988775</v>
      </c>
      <c r="AD34" s="92">
        <f>LCI_HC!$E7*'IW+_end'!Z35</f>
        <v>4.2555871137612694E-2</v>
      </c>
      <c r="AE34" s="92">
        <f>LCI_HC!$E7*'IW+_end'!AA35</f>
        <v>3.189999460171819E-2</v>
      </c>
      <c r="AF34" s="92">
        <f>LCI_HC!$E7*'IW+_end'!AB35</f>
        <v>8.3194443297340197E-4</v>
      </c>
      <c r="AG34" s="92">
        <f>LCI_HC!$E7*'IW+_end'!AC35</f>
        <v>33.794879564938547</v>
      </c>
      <c r="AH34" s="92">
        <f>LCI_HC!$E7*'IW+_end'!AD35</f>
        <v>6.7492139677490347E-6</v>
      </c>
      <c r="AI34" s="92">
        <f>LCI_HC!$E7*'IW+_end'!AE35</f>
        <v>1.1728631702773519E-5</v>
      </c>
      <c r="AJ34" s="92">
        <f>LCI_HC!$E7*'IW+_end'!AF35</f>
        <v>1.4325631145776835E-6</v>
      </c>
      <c r="AK34" s="92">
        <f>LCI_HC!$E7*'IW+_end'!AG35</f>
        <v>3.4125772359188772E-4</v>
      </c>
    </row>
    <row r="35" spans="1:45" s="40" customFormat="1" x14ac:dyDescent="0.35">
      <c r="A35" s="96" t="s">
        <v>351</v>
      </c>
      <c r="B35" s="90"/>
      <c r="C35" s="99" t="e">
        <f>SUM(C36:C40)</f>
        <v>#REF!</v>
      </c>
      <c r="D35" s="99" t="e">
        <f t="shared" ref="D35:AK35" si="2">SUM(D36:D40)</f>
        <v>#REF!</v>
      </c>
      <c r="E35" s="99" t="e">
        <f t="shared" si="2"/>
        <v>#REF!</v>
      </c>
      <c r="F35" s="99" t="e">
        <f t="shared" si="2"/>
        <v>#REF!</v>
      </c>
      <c r="G35" s="99">
        <f t="shared" si="2"/>
        <v>0</v>
      </c>
      <c r="H35" s="99">
        <f t="shared" si="2"/>
        <v>0.67379289591198499</v>
      </c>
      <c r="I35" s="99">
        <f t="shared" si="2"/>
        <v>0</v>
      </c>
      <c r="J35" s="99">
        <f t="shared" si="2"/>
        <v>1.5513494802722975E-9</v>
      </c>
      <c r="K35" s="99">
        <f t="shared" si="2"/>
        <v>-0.25419203593559148</v>
      </c>
      <c r="L35" s="99">
        <f t="shared" si="2"/>
        <v>0</v>
      </c>
      <c r="M35" s="99">
        <f t="shared" si="2"/>
        <v>0</v>
      </c>
      <c r="N35" s="99">
        <f t="shared" si="2"/>
        <v>0</v>
      </c>
      <c r="O35" s="99">
        <f t="shared" si="2"/>
        <v>0</v>
      </c>
      <c r="P35" s="99">
        <f t="shared" si="2"/>
        <v>0</v>
      </c>
      <c r="Q35" s="99">
        <f t="shared" si="2"/>
        <v>0</v>
      </c>
      <c r="R35" s="99">
        <f t="shared" si="2"/>
        <v>0</v>
      </c>
      <c r="S35" s="99">
        <f t="shared" si="2"/>
        <v>0</v>
      </c>
      <c r="T35" s="99">
        <f t="shared" si="2"/>
        <v>-54.172799999999988</v>
      </c>
      <c r="U35" s="99">
        <f t="shared" si="2"/>
        <v>-5.8805999999999994</v>
      </c>
      <c r="V35" s="99">
        <f t="shared" si="2"/>
        <v>0</v>
      </c>
      <c r="W35" s="99">
        <f t="shared" si="2"/>
        <v>0</v>
      </c>
      <c r="X35" s="99">
        <f t="shared" si="2"/>
        <v>0.25866697555390422</v>
      </c>
      <c r="Y35" s="99">
        <f t="shared" si="2"/>
        <v>1.5513494802722975E-9</v>
      </c>
      <c r="Z35" s="99">
        <f t="shared" si="2"/>
        <v>6.4724516847563201E-5</v>
      </c>
      <c r="AA35" s="99">
        <f t="shared" si="2"/>
        <v>0</v>
      </c>
      <c r="AB35" s="99">
        <f t="shared" si="2"/>
        <v>0</v>
      </c>
      <c r="AC35" s="99">
        <f t="shared" si="2"/>
        <v>8.6869892588442497</v>
      </c>
      <c r="AD35" s="99">
        <f t="shared" si="2"/>
        <v>0</v>
      </c>
      <c r="AE35" s="99">
        <f t="shared" si="2"/>
        <v>0</v>
      </c>
      <c r="AF35" s="99">
        <f t="shared" si="2"/>
        <v>0</v>
      </c>
      <c r="AG35" s="99">
        <f t="shared" si="2"/>
        <v>-50.688142905625433</v>
      </c>
      <c r="AH35" s="99">
        <f t="shared" si="2"/>
        <v>6.4724516847563201E-5</v>
      </c>
      <c r="AI35" s="99">
        <f t="shared" si="2"/>
        <v>0</v>
      </c>
      <c r="AJ35" s="99">
        <f t="shared" si="2"/>
        <v>0</v>
      </c>
      <c r="AK35" s="99">
        <f t="shared" si="2"/>
        <v>0</v>
      </c>
    </row>
    <row r="36" spans="1:45" x14ac:dyDescent="0.35">
      <c r="A36" s="93"/>
      <c r="B36" s="93" t="s">
        <v>110</v>
      </c>
      <c r="C36" s="94" t="e">
        <f>LCI_HC!$E9*'IW+_end'!#REF!</f>
        <v>#REF!</v>
      </c>
      <c r="D36" s="94" t="e">
        <f>LCI_HC!$E9*'IW+_end'!#REF!</f>
        <v>#REF!</v>
      </c>
      <c r="E36" s="94" t="e">
        <f>LCI_HC!$E9*'IW+_end'!#REF!</f>
        <v>#REF!</v>
      </c>
      <c r="F36" s="94" t="e">
        <f>LCI_HC!$E9*'IW+_end'!#REF!</f>
        <v>#REF!</v>
      </c>
      <c r="G36" s="94">
        <f>LCI_HC!$E9*'IW+_end'!C18</f>
        <v>0</v>
      </c>
      <c r="H36" s="94">
        <f>LCI_HC!$E9*'IW+_end'!D18</f>
        <v>0.67379289591198499</v>
      </c>
      <c r="I36" s="94">
        <f>LCI_HC!$E9*'IW+_end'!E18</f>
        <v>0</v>
      </c>
      <c r="J36" s="94">
        <f>LCI_HC!$E9*'IW+_end'!F18</f>
        <v>0</v>
      </c>
      <c r="K36" s="94">
        <f>LCI_HC!$E9*'IW+_end'!G18</f>
        <v>0</v>
      </c>
      <c r="L36" s="94">
        <f>LCI_HC!$E9*'IW+_end'!H18</f>
        <v>0</v>
      </c>
      <c r="M36" s="94">
        <f>LCI_HC!$E9*'IW+_end'!I18</f>
        <v>0</v>
      </c>
      <c r="N36" s="94">
        <f>LCI_HC!$E9*'IW+_end'!J18</f>
        <v>0</v>
      </c>
      <c r="O36" s="94">
        <f>LCI_HC!$E9*'IW+_end'!K18</f>
        <v>0</v>
      </c>
      <c r="P36" s="94">
        <f>LCI_HC!$E9*'IW+_end'!L18</f>
        <v>0</v>
      </c>
      <c r="Q36" s="94">
        <f>LCI_HC!$E9*'IW+_end'!M18</f>
        <v>0</v>
      </c>
      <c r="R36" s="94">
        <f>LCI_HC!$E9*'IW+_end'!N18</f>
        <v>0</v>
      </c>
      <c r="S36" s="94">
        <f>LCI_HC!$E9*'IW+_end'!O18</f>
        <v>0</v>
      </c>
      <c r="T36" s="94">
        <f>LCI_HC!$E9*'IW+_end'!P18</f>
        <v>0</v>
      </c>
      <c r="U36" s="94">
        <f>LCI_HC!$E9*'IW+_end'!Q18</f>
        <v>0</v>
      </c>
      <c r="V36" s="94">
        <f>LCI_HC!$E9*'IW+_end'!R18</f>
        <v>0</v>
      </c>
      <c r="W36" s="94">
        <f>LCI_HC!$E9*'IW+_end'!S18</f>
        <v>0</v>
      </c>
      <c r="X36" s="94">
        <f>LCI_HC!$E9*'IW+_end'!T18</f>
        <v>0.25866697555390422</v>
      </c>
      <c r="Y36" s="94">
        <f>LCI_HC!$E9*'IW+_end'!U18</f>
        <v>0</v>
      </c>
      <c r="Z36" s="94">
        <f>LCI_HC!$E9*'IW+_end'!V18</f>
        <v>6.4724516847563201E-5</v>
      </c>
      <c r="AA36" s="94">
        <f>LCI_HC!$E9*'IW+_end'!W18</f>
        <v>0</v>
      </c>
      <c r="AB36" s="94">
        <f>LCI_HC!$E9*'IW+_end'!X18</f>
        <v>0</v>
      </c>
      <c r="AC36" s="94">
        <f>LCI_HC!$E9*'IW+_end'!Y18</f>
        <v>8.6869892588442497</v>
      </c>
      <c r="AD36" s="94">
        <f>LCI_HC!$E9*'IW+_end'!Z18</f>
        <v>0</v>
      </c>
      <c r="AE36" s="94">
        <f>LCI_HC!$E9*'IW+_end'!AA18</f>
        <v>0</v>
      </c>
      <c r="AF36" s="94">
        <f>LCI_HC!$E9*'IW+_end'!AB18</f>
        <v>0</v>
      </c>
      <c r="AG36" s="94">
        <f>LCI_HC!$E9*'IW+_end'!AC18</f>
        <v>9.619449130310139</v>
      </c>
      <c r="AH36" s="94">
        <f>LCI_HC!$E9*'IW+_end'!AD18</f>
        <v>6.4724516847563201E-5</v>
      </c>
      <c r="AI36" s="94">
        <f>LCI_HC!$E9*'IW+_end'!AE18</f>
        <v>0</v>
      </c>
      <c r="AJ36" s="94">
        <f>LCI_HC!$E9*'IW+_end'!AF18</f>
        <v>0</v>
      </c>
      <c r="AK36" s="94">
        <f>LCI_HC!$E9*'IW+_end'!AG18</f>
        <v>0</v>
      </c>
    </row>
    <row r="37" spans="1:45" x14ac:dyDescent="0.35">
      <c r="A37" s="93"/>
      <c r="B37" s="93" t="s">
        <v>111</v>
      </c>
      <c r="C37" s="94" t="e">
        <f>LCI_HC!$E10*'IW+_end'!#REF!</f>
        <v>#REF!</v>
      </c>
      <c r="D37" s="94" t="e">
        <f>LCI_HC!$E10*'IW+_end'!#REF!</f>
        <v>#REF!</v>
      </c>
      <c r="E37" s="94" t="e">
        <f>LCI_HC!$E10*'IW+_end'!#REF!</f>
        <v>#REF!</v>
      </c>
      <c r="F37" s="94" t="e">
        <f>LCI_HC!$E10*'IW+_end'!#REF!</f>
        <v>#REF!</v>
      </c>
      <c r="G37" s="94">
        <f>LCI_HC!$E10*'IW+_end'!C20</f>
        <v>0</v>
      </c>
      <c r="H37" s="94">
        <f>LCI_HC!$E10*'IW+_end'!D20</f>
        <v>0</v>
      </c>
      <c r="I37" s="94">
        <f>LCI_HC!$E10*'IW+_end'!E20</f>
        <v>0</v>
      </c>
      <c r="J37" s="94">
        <f>LCI_HC!$E10*'IW+_end'!F20</f>
        <v>0</v>
      </c>
      <c r="K37" s="94">
        <f>LCI_HC!$E10*'IW+_end'!G20</f>
        <v>0</v>
      </c>
      <c r="L37" s="94">
        <f>LCI_HC!$E10*'IW+_end'!H20</f>
        <v>0</v>
      </c>
      <c r="M37" s="94">
        <f>LCI_HC!$E10*'IW+_end'!I20</f>
        <v>0</v>
      </c>
      <c r="N37" s="94">
        <f>LCI_HC!$E10*'IW+_end'!J20</f>
        <v>0</v>
      </c>
      <c r="O37" s="94">
        <f>LCI_HC!$E10*'IW+_end'!K20</f>
        <v>0</v>
      </c>
      <c r="P37" s="94">
        <f>LCI_HC!$E10*'IW+_end'!L20</f>
        <v>0</v>
      </c>
      <c r="Q37" s="94">
        <f>LCI_HC!$E10*'IW+_end'!M20</f>
        <v>0</v>
      </c>
      <c r="R37" s="94">
        <f>LCI_HC!$E10*'IW+_end'!N20</f>
        <v>0</v>
      </c>
      <c r="S37" s="94">
        <f>LCI_HC!$E10*'IW+_end'!O20</f>
        <v>0</v>
      </c>
      <c r="T37" s="94">
        <f>LCI_HC!$E10*'IW+_end'!P20</f>
        <v>0</v>
      </c>
      <c r="U37" s="94">
        <f>LCI_HC!$E10*'IW+_end'!Q20</f>
        <v>0</v>
      </c>
      <c r="V37" s="94">
        <f>LCI_HC!$E10*'IW+_end'!R20</f>
        <v>0</v>
      </c>
      <c r="W37" s="94">
        <f>LCI_HC!$E10*'IW+_end'!S20</f>
        <v>0</v>
      </c>
      <c r="X37" s="94">
        <f>LCI_HC!$E10*'IW+_end'!T20</f>
        <v>0</v>
      </c>
      <c r="Y37" s="94">
        <f>LCI_HC!$E10*'IW+_end'!U20</f>
        <v>0</v>
      </c>
      <c r="Z37" s="94">
        <f>LCI_HC!$E10*'IW+_end'!V20</f>
        <v>0</v>
      </c>
      <c r="AA37" s="94">
        <f>LCI_HC!$E10*'IW+_end'!W20</f>
        <v>0</v>
      </c>
      <c r="AB37" s="94">
        <f>LCI_HC!$E10*'IW+_end'!X20</f>
        <v>0</v>
      </c>
      <c r="AC37" s="94">
        <f>LCI_HC!$E10*'IW+_end'!Y20</f>
        <v>0</v>
      </c>
      <c r="AD37" s="94">
        <f>LCI_HC!$E10*'IW+_end'!Z20</f>
        <v>0</v>
      </c>
      <c r="AE37" s="94">
        <f>LCI_HC!$E10*'IW+_end'!AA20</f>
        <v>0</v>
      </c>
      <c r="AF37" s="94">
        <f>LCI_HC!$E10*'IW+_end'!AB20</f>
        <v>0</v>
      </c>
      <c r="AG37" s="94">
        <f>LCI_HC!$E10*'IW+_end'!AC20</f>
        <v>0</v>
      </c>
      <c r="AH37" s="94">
        <f>LCI_HC!$E10*'IW+_end'!AD20</f>
        <v>0</v>
      </c>
      <c r="AI37" s="94">
        <f>LCI_HC!$E10*'IW+_end'!AE20</f>
        <v>0</v>
      </c>
      <c r="AJ37" s="94">
        <f>LCI_HC!$E10*'IW+_end'!AF20</f>
        <v>0</v>
      </c>
      <c r="AK37" s="94">
        <f>LCI_HC!$E10*'IW+_end'!AG20</f>
        <v>0</v>
      </c>
      <c r="AL37" s="35"/>
      <c r="AM37" s="35"/>
      <c r="AN37" s="35"/>
      <c r="AO37" s="35"/>
      <c r="AP37" s="35"/>
      <c r="AQ37" s="35"/>
      <c r="AR37" s="35"/>
      <c r="AS37" s="35"/>
    </row>
    <row r="38" spans="1:45" x14ac:dyDescent="0.35">
      <c r="A38" s="93"/>
      <c r="B38" s="93" t="s">
        <v>114</v>
      </c>
      <c r="C38" s="94">
        <f>LCI_HC!$E11*impact_process_end!C20</f>
        <v>0</v>
      </c>
      <c r="D38" s="94">
        <f>LCI_HC!$E11*impact_process_end!D20</f>
        <v>0</v>
      </c>
      <c r="E38" s="94">
        <f>LCI_HC!$E11*impact_process_end!E20</f>
        <v>0</v>
      </c>
      <c r="F38" s="94">
        <f>LCI_HC!$E11*impact_process_end!F20</f>
        <v>0</v>
      </c>
      <c r="G38" s="94">
        <f>LCI_HC!$E11*impact_process_end!G20</f>
        <v>0</v>
      </c>
      <c r="H38" s="94">
        <f>LCI_HC!$E11*impact_process_end!H20</f>
        <v>0</v>
      </c>
      <c r="I38" s="94">
        <f>LCI_HC!$E11*impact_process_end!I20</f>
        <v>0</v>
      </c>
      <c r="J38" s="94">
        <f>LCI_HC!$E11*impact_process_end!J20</f>
        <v>1.5513494802722975E-9</v>
      </c>
      <c r="K38" s="94">
        <f>LCI_HC!$E11*impact_process_end!K20</f>
        <v>0</v>
      </c>
      <c r="L38" s="94">
        <f>LCI_HC!$E11*impact_process_end!L20</f>
        <v>0</v>
      </c>
      <c r="M38" s="94">
        <f>LCI_HC!$E11*impact_process_end!M20</f>
        <v>0</v>
      </c>
      <c r="N38" s="94">
        <f>LCI_HC!$E11*impact_process_end!N20</f>
        <v>0</v>
      </c>
      <c r="O38" s="94">
        <f>LCI_HC!$E11*impact_process_end!O20</f>
        <v>0</v>
      </c>
      <c r="P38" s="94">
        <f>LCI_HC!$E11*impact_process_end!P20</f>
        <v>0</v>
      </c>
      <c r="Q38" s="94">
        <f>LCI_HC!$E11*impact_process_end!Q20</f>
        <v>0</v>
      </c>
      <c r="R38" s="94">
        <f>LCI_HC!$E11*impact_process_end!R20</f>
        <v>0</v>
      </c>
      <c r="S38" s="94">
        <f>LCI_HC!$E11*impact_process_end!S20</f>
        <v>0</v>
      </c>
      <c r="T38" s="94">
        <f>LCI_HC!$E11*impact_process_end!T20</f>
        <v>0</v>
      </c>
      <c r="U38" s="94">
        <f>LCI_HC!$E11*impact_process_end!U20</f>
        <v>0</v>
      </c>
      <c r="V38" s="94">
        <f>LCI_HC!$E11*impact_process_end!V20</f>
        <v>0</v>
      </c>
      <c r="W38" s="94">
        <f>LCI_HC!$E11*impact_process_end!W20</f>
        <v>0</v>
      </c>
      <c r="X38" s="94">
        <f>LCI_HC!$E11*impact_process_end!X20</f>
        <v>0</v>
      </c>
      <c r="Y38" s="94">
        <f>LCI_HC!$E11*impact_process_end!Y20</f>
        <v>1.5513494802722975E-9</v>
      </c>
      <c r="Z38" s="94">
        <f>LCI_HC!$E11*impact_process_end!Z20</f>
        <v>0</v>
      </c>
      <c r="AA38" s="94">
        <f>LCI_HC!$E11*impact_process_end!AA20</f>
        <v>0</v>
      </c>
      <c r="AB38" s="94">
        <f>LCI_HC!$E11*impact_process_end!AB20</f>
        <v>0</v>
      </c>
      <c r="AC38" s="94">
        <f>LCI_HC!$E11*impact_process_end!AC20</f>
        <v>0</v>
      </c>
      <c r="AD38" s="94">
        <f>LCI_HC!$E11*impact_process_end!AD20</f>
        <v>0</v>
      </c>
      <c r="AE38" s="94">
        <f>LCI_HC!$E11*impact_process_end!AE20</f>
        <v>0</v>
      </c>
      <c r="AF38" s="94">
        <f>LCI_HC!$E11*impact_process_end!AF20</f>
        <v>0</v>
      </c>
      <c r="AG38" s="94">
        <f>LCI_HC!$E11*impact_process_end!AG20</f>
        <v>0</v>
      </c>
      <c r="AH38" s="94">
        <f>LCI_HC!$E11*impact_process_end!AH20</f>
        <v>0</v>
      </c>
      <c r="AI38" s="94">
        <f>LCI_HC!$E11*impact_process_end!AI20</f>
        <v>0</v>
      </c>
      <c r="AJ38" s="94">
        <f>LCI_HC!$E11*impact_process_end!AJ20</f>
        <v>0</v>
      </c>
      <c r="AK38" s="94">
        <f>LCI_HC!$E11*impact_process_end!AK20</f>
        <v>0</v>
      </c>
    </row>
    <row r="39" spans="1:45" x14ac:dyDescent="0.35">
      <c r="A39" s="93"/>
      <c r="B39" s="93" t="s">
        <v>414</v>
      </c>
      <c r="C39" s="94" t="e">
        <f>LCI_HC!$E12*'IW+_end'!#REF!</f>
        <v>#REF!</v>
      </c>
      <c r="D39" s="94" t="e">
        <f>LCI_HC!$E12*'IW+_end'!#REF!</f>
        <v>#REF!</v>
      </c>
      <c r="E39" s="94" t="e">
        <f>LCI_HC!$E12*'IW+_end'!#REF!</f>
        <v>#REF!</v>
      </c>
      <c r="F39" s="94" t="e">
        <f>LCI_HC!$E12*'IW+_end'!#REF!</f>
        <v>#REF!</v>
      </c>
      <c r="G39" s="94">
        <f>LCI_HC!$E12*'IW+_end'!C25</f>
        <v>0</v>
      </c>
      <c r="H39" s="94">
        <f>LCI_HC!$E12*'IW+_end'!D25</f>
        <v>0</v>
      </c>
      <c r="I39" s="94">
        <f>LCI_HC!$E12*'IW+_end'!E25</f>
        <v>0</v>
      </c>
      <c r="J39" s="94">
        <f>LCI_HC!$E12*'IW+_end'!F25</f>
        <v>0</v>
      </c>
      <c r="K39" s="94">
        <f>LCI_HC!$E12*'IW+_end'!G25</f>
        <v>-0.25419203593559148</v>
      </c>
      <c r="L39" s="94">
        <f>LCI_HC!$E12*'IW+_end'!H25</f>
        <v>0</v>
      </c>
      <c r="M39" s="94">
        <f>LCI_HC!$E12*'IW+_end'!I25</f>
        <v>0</v>
      </c>
      <c r="N39" s="94">
        <f>LCI_HC!$E12*'IW+_end'!J25</f>
        <v>0</v>
      </c>
      <c r="O39" s="94">
        <f>LCI_HC!$E12*'IW+_end'!K25</f>
        <v>0</v>
      </c>
      <c r="P39" s="94">
        <f>LCI_HC!$E12*'IW+_end'!L25</f>
        <v>0</v>
      </c>
      <c r="Q39" s="94">
        <f>LCI_HC!$E12*'IW+_end'!M25</f>
        <v>0</v>
      </c>
      <c r="R39" s="94">
        <f>LCI_HC!$E12*'IW+_end'!N25</f>
        <v>0</v>
      </c>
      <c r="S39" s="94">
        <f>LCI_HC!$E12*'IW+_end'!O25</f>
        <v>0</v>
      </c>
      <c r="T39" s="94">
        <f>LCI_HC!$E12*'IW+_end'!P25</f>
        <v>0</v>
      </c>
      <c r="U39" s="94">
        <f>LCI_HC!$E12*'IW+_end'!Q25</f>
        <v>0</v>
      </c>
      <c r="V39" s="94">
        <f>LCI_HC!$E12*'IW+_end'!R25</f>
        <v>0</v>
      </c>
      <c r="W39" s="94">
        <f>LCI_HC!$E12*'IW+_end'!S25</f>
        <v>0</v>
      </c>
      <c r="X39" s="94">
        <f>LCI_HC!$E12*'IW+_end'!T25</f>
        <v>0</v>
      </c>
      <c r="Y39" s="94">
        <f>LCI_HC!$E12*'IW+_end'!U25</f>
        <v>0</v>
      </c>
      <c r="Z39" s="94">
        <f>LCI_HC!$E12*'IW+_end'!V25</f>
        <v>0</v>
      </c>
      <c r="AA39" s="94">
        <f>LCI_HC!$E12*'IW+_end'!W25</f>
        <v>0</v>
      </c>
      <c r="AB39" s="94">
        <f>LCI_HC!$E12*'IW+_end'!X25</f>
        <v>0</v>
      </c>
      <c r="AC39" s="94">
        <f>LCI_HC!$E12*'IW+_end'!Y25</f>
        <v>0</v>
      </c>
      <c r="AD39" s="94">
        <f>LCI_HC!$E12*'IW+_end'!Z25</f>
        <v>0</v>
      </c>
      <c r="AE39" s="94">
        <f>LCI_HC!$E12*'IW+_end'!AA25</f>
        <v>0</v>
      </c>
      <c r="AF39" s="94">
        <f>LCI_HC!$E12*'IW+_end'!AB25</f>
        <v>0</v>
      </c>
      <c r="AG39" s="94">
        <f>LCI_HC!$E12*'IW+_end'!AC25</f>
        <v>-0.25419203593559148</v>
      </c>
      <c r="AH39" s="94">
        <f>LCI_HC!$E12*'IW+_end'!AD25</f>
        <v>0</v>
      </c>
      <c r="AI39" s="94">
        <f>LCI_HC!$E12*'IW+_end'!AE25</f>
        <v>0</v>
      </c>
      <c r="AJ39" s="94">
        <f>LCI_HC!$E12*'IW+_end'!AF25</f>
        <v>0</v>
      </c>
      <c r="AK39" s="94">
        <f>LCI_HC!$E12*'IW+_end'!AG25</f>
        <v>0</v>
      </c>
    </row>
    <row r="40" spans="1:45" x14ac:dyDescent="0.35">
      <c r="A40" s="93"/>
      <c r="B40" s="93" t="s">
        <v>415</v>
      </c>
      <c r="C40" s="94" t="e">
        <f>LCI_HC!$E13*'IW+_end'!#REF!</f>
        <v>#REF!</v>
      </c>
      <c r="D40" s="94" t="e">
        <f>LCI_HC!$E13*'IW+_end'!#REF!</f>
        <v>#REF!</v>
      </c>
      <c r="E40" s="94" t="e">
        <f>LCI_HC!$E13*'IW+_end'!#REF!</f>
        <v>#REF!</v>
      </c>
      <c r="F40" s="94" t="e">
        <f>LCI_HC!$E13*'IW+_end'!#REF!</f>
        <v>#REF!</v>
      </c>
      <c r="G40" s="94">
        <f>LCI_HC!$E13*'IW+_end'!C26</f>
        <v>0</v>
      </c>
      <c r="H40" s="94">
        <f>LCI_HC!$E13*'IW+_end'!D26</f>
        <v>0</v>
      </c>
      <c r="I40" s="94">
        <f>LCI_HC!$E13*'IW+_end'!E26</f>
        <v>0</v>
      </c>
      <c r="J40" s="94">
        <f>LCI_HC!$E13*'IW+_end'!F26</f>
        <v>0</v>
      </c>
      <c r="K40" s="94">
        <f>LCI_HC!$E13*'IW+_end'!G26</f>
        <v>0</v>
      </c>
      <c r="L40" s="94">
        <f>LCI_HC!$E13*'IW+_end'!H26</f>
        <v>0</v>
      </c>
      <c r="M40" s="94">
        <f>LCI_HC!$E13*'IW+_end'!I26</f>
        <v>0</v>
      </c>
      <c r="N40" s="94">
        <f>LCI_HC!$E13*'IW+_end'!J26</f>
        <v>0</v>
      </c>
      <c r="O40" s="94">
        <f>LCI_HC!$E13*'IW+_end'!K26</f>
        <v>0</v>
      </c>
      <c r="P40" s="94">
        <f>LCI_HC!$E13*'IW+_end'!L26</f>
        <v>0</v>
      </c>
      <c r="Q40" s="94">
        <f>LCI_HC!$E13*'IW+_end'!M26</f>
        <v>0</v>
      </c>
      <c r="R40" s="94">
        <f>LCI_HC!$E13*'IW+_end'!N26</f>
        <v>0</v>
      </c>
      <c r="S40" s="94">
        <f>LCI_HC!$E13*'IW+_end'!O26</f>
        <v>0</v>
      </c>
      <c r="T40" s="94">
        <f>LCI_HC!$E13*'IW+_end'!P26</f>
        <v>-54.172799999999988</v>
      </c>
      <c r="U40" s="94">
        <f>LCI_HC!$E13*'IW+_end'!Q26</f>
        <v>-5.8805999999999994</v>
      </c>
      <c r="V40" s="94">
        <f>LCI_HC!$E13*'IW+_end'!R26</f>
        <v>0</v>
      </c>
      <c r="W40" s="94">
        <f>LCI_HC!$E13*'IW+_end'!S26</f>
        <v>0</v>
      </c>
      <c r="X40" s="94">
        <f>LCI_HC!$E13*'IW+_end'!T26</f>
        <v>0</v>
      </c>
      <c r="Y40" s="94">
        <f>LCI_HC!$E13*'IW+_end'!U26</f>
        <v>0</v>
      </c>
      <c r="Z40" s="94">
        <f>LCI_HC!$E13*'IW+_end'!V26</f>
        <v>0</v>
      </c>
      <c r="AA40" s="94">
        <f>LCI_HC!$E13*'IW+_end'!W26</f>
        <v>0</v>
      </c>
      <c r="AB40" s="94">
        <f>LCI_HC!$E13*'IW+_end'!X26</f>
        <v>0</v>
      </c>
      <c r="AC40" s="94">
        <f>LCI_HC!$E13*'IW+_end'!Y26</f>
        <v>0</v>
      </c>
      <c r="AD40" s="94">
        <f>LCI_HC!$E13*'IW+_end'!Z26</f>
        <v>0</v>
      </c>
      <c r="AE40" s="94">
        <f>LCI_HC!$E13*'IW+_end'!AA26</f>
        <v>0</v>
      </c>
      <c r="AF40" s="94">
        <f>LCI_HC!$E13*'IW+_end'!AB26</f>
        <v>0</v>
      </c>
      <c r="AG40" s="94">
        <f>LCI_HC!$E13*'IW+_end'!AC26</f>
        <v>-60.053399999999982</v>
      </c>
      <c r="AH40" s="94">
        <f>LCI_HC!$E13*'IW+_end'!AD26</f>
        <v>0</v>
      </c>
      <c r="AI40" s="94">
        <f>LCI_HC!$E13*'IW+_end'!AE26</f>
        <v>0</v>
      </c>
      <c r="AJ40" s="94">
        <f>LCI_HC!$E13*'IW+_end'!AF26</f>
        <v>0</v>
      </c>
      <c r="AK40" s="94">
        <f>LCI_HC!$E13*'IW+_end'!AG26</f>
        <v>0</v>
      </c>
    </row>
    <row r="41" spans="1:45" s="40" customFormat="1" x14ac:dyDescent="0.35">
      <c r="A41" s="96" t="s">
        <v>413</v>
      </c>
      <c r="B41" s="90"/>
      <c r="C41" s="97" t="e">
        <f>SUM(C42:C45)</f>
        <v>#REF!</v>
      </c>
      <c r="D41" s="97" t="e">
        <f t="shared" ref="D41:AC41" si="3">SUM(D42:D45)</f>
        <v>#REF!</v>
      </c>
      <c r="E41" s="97" t="e">
        <f t="shared" si="3"/>
        <v>#REF!</v>
      </c>
      <c r="F41" s="97" t="e">
        <f t="shared" si="3"/>
        <v>#REF!</v>
      </c>
      <c r="G41" s="97">
        <f t="shared" si="3"/>
        <v>6.5378740004241354E-17</v>
      </c>
      <c r="H41" s="97">
        <f t="shared" si="3"/>
        <v>0.2046115945425323</v>
      </c>
      <c r="I41" s="97">
        <f t="shared" si="3"/>
        <v>2.1024818448679872</v>
      </c>
      <c r="J41" s="97">
        <f t="shared" si="3"/>
        <v>0.51323164662653831</v>
      </c>
      <c r="K41" s="97">
        <f t="shared" si="3"/>
        <v>1.1376462559755478E-2</v>
      </c>
      <c r="L41" s="97">
        <f t="shared" si="3"/>
        <v>1.1450731018120105E-7</v>
      </c>
      <c r="M41" s="97">
        <f t="shared" si="3"/>
        <v>5.827172399897369E-6</v>
      </c>
      <c r="N41" s="97">
        <f t="shared" si="3"/>
        <v>3.7209261526484251E-6</v>
      </c>
      <c r="O41" s="97">
        <f t="shared" si="3"/>
        <v>3.9267873321452929E-6</v>
      </c>
      <c r="P41" s="97">
        <f t="shared" si="3"/>
        <v>6.0812760615196873E-9</v>
      </c>
      <c r="Q41" s="97">
        <f t="shared" si="3"/>
        <v>8.6457444015782077E-8</v>
      </c>
      <c r="R41" s="97">
        <f t="shared" si="3"/>
        <v>0.64540205679489793</v>
      </c>
      <c r="S41" s="97">
        <f t="shared" si="3"/>
        <v>2.2430255910703742</v>
      </c>
      <c r="T41" s="97">
        <f t="shared" si="3"/>
        <v>3.4321452653022959</v>
      </c>
      <c r="U41" s="97">
        <f t="shared" si="3"/>
        <v>0.37256712244254886</v>
      </c>
      <c r="V41" s="97">
        <f t="shared" si="3"/>
        <v>7.5889110382084268E-6</v>
      </c>
      <c r="W41" s="97">
        <f t="shared" si="3"/>
        <v>9.343549260478693E-6</v>
      </c>
      <c r="X41" s="97">
        <f t="shared" si="3"/>
        <v>5.4007808162823127E-2</v>
      </c>
      <c r="Y41" s="97">
        <f t="shared" si="3"/>
        <v>9.6094779847868126E-10</v>
      </c>
      <c r="Z41" s="97">
        <f t="shared" si="3"/>
        <v>1.7448064879082395E-5</v>
      </c>
      <c r="AA41" s="97">
        <f t="shared" si="3"/>
        <v>0.56707140787607058</v>
      </c>
      <c r="AB41" s="97">
        <f t="shared" si="3"/>
        <v>5.5969756855648734E-8</v>
      </c>
      <c r="AC41" s="97">
        <f t="shared" si="3"/>
        <v>1.6169154907151457</v>
      </c>
      <c r="AD41" s="97">
        <f t="shared" ref="AD41" si="4">SUM(AD42:AD45)</f>
        <v>0.27699717528794032</v>
      </c>
      <c r="AE41" s="97">
        <f t="shared" ref="AE41" si="5">SUM(AE42:AE45)</f>
        <v>0.34103954800747222</v>
      </c>
      <c r="AF41" s="97">
        <f t="shared" ref="AF41" si="6">SUM(AF42:AF45)</f>
        <v>5.123599148485097E-3</v>
      </c>
      <c r="AG41" s="97">
        <f t="shared" ref="AG41" si="7">SUM(AG42:AG45)</f>
        <v>12.451723834693549</v>
      </c>
      <c r="AH41" s="97">
        <f t="shared" ref="AH41" si="8">SUM(AH42:AH45)</f>
        <v>7.6548726766234988E-5</v>
      </c>
      <c r="AI41" s="97">
        <f t="shared" ref="AI41" si="9">SUM(AI42:AI45)</f>
        <v>3.7143435888912726E-4</v>
      </c>
      <c r="AJ41" s="97">
        <f t="shared" ref="AJ41" si="10">SUM(AJ42:AJ45)</f>
        <v>4.5367880543610386E-5</v>
      </c>
      <c r="AK41" s="97">
        <f t="shared" ref="AK41" si="11">SUM(AK42:AK45)</f>
        <v>6.5338848388217796E-2</v>
      </c>
    </row>
    <row r="42" spans="1:45" x14ac:dyDescent="0.35">
      <c r="A42" s="93"/>
      <c r="B42" s="93" t="s">
        <v>228</v>
      </c>
      <c r="C42" s="92" t="e">
        <f>LCI_HC!$E15*'IW+_end'!#REF!</f>
        <v>#REF!</v>
      </c>
      <c r="D42" s="92" t="e">
        <f>LCI_HC!$E15*'IW+_end'!#REF!</f>
        <v>#REF!</v>
      </c>
      <c r="E42" s="92" t="e">
        <f>LCI_HC!$E15*'IW+_end'!#REF!</f>
        <v>#REF!</v>
      </c>
      <c r="F42" s="92" t="e">
        <f>LCI_HC!$E15*'IW+_end'!#REF!</f>
        <v>#REF!</v>
      </c>
      <c r="G42" s="92">
        <f>LCI_HC!$E15*'IW+_end'!C28</f>
        <v>4.6292152927115792E-17</v>
      </c>
      <c r="H42" s="92">
        <f>LCI_HC!$E15*'IW+_end'!D28</f>
        <v>0.10295072805299263</v>
      </c>
      <c r="I42" s="92">
        <f>LCI_HC!$E15*'IW+_end'!E28</f>
        <v>0.85618657218561223</v>
      </c>
      <c r="J42" s="92">
        <f>LCI_HC!$E15*'IW+_end'!F28</f>
        <v>0.28460820332217035</v>
      </c>
      <c r="K42" s="92">
        <f>LCI_HC!$E15*'IW+_end'!G28</f>
        <v>4.1863851103124161E-4</v>
      </c>
      <c r="L42" s="92">
        <f>LCI_HC!$E15*'IW+_end'!H28</f>
        <v>6.3909403758238549E-8</v>
      </c>
      <c r="M42" s="92">
        <f>LCI_HC!$E15*'IW+_end'!I28</f>
        <v>3.000852173687233E-6</v>
      </c>
      <c r="N42" s="92">
        <f>LCI_HC!$E15*'IW+_end'!J28</f>
        <v>2.081739596642815E-6</v>
      </c>
      <c r="O42" s="92">
        <f>LCI_HC!$E15*'IW+_end'!K28</f>
        <v>2.1069805493880804E-6</v>
      </c>
      <c r="P42" s="92">
        <f>LCI_HC!$E15*'IW+_end'!L28</f>
        <v>8.9991788255373009E-10</v>
      </c>
      <c r="Q42" s="92">
        <f>LCI_HC!$E15*'IW+_end'!M28</f>
        <v>1.6256217079466632E-8</v>
      </c>
      <c r="R42" s="92">
        <f>LCI_HC!$E15*'IW+_end'!N28</f>
        <v>0.12194851115378483</v>
      </c>
      <c r="S42" s="92">
        <f>LCI_HC!$E15*'IW+_end'!O28</f>
        <v>0.22014143210996107</v>
      </c>
      <c r="T42" s="92">
        <f>LCI_HC!$E15*'IW+_end'!P28</f>
        <v>2.3090486810740609</v>
      </c>
      <c r="U42" s="92">
        <f>LCI_HC!$E15*'IW+_end'!Q28</f>
        <v>0.25065280804408024</v>
      </c>
      <c r="V42" s="92">
        <f>LCI_HC!$E15*'IW+_end'!R28</f>
        <v>4.4757861494123518E-6</v>
      </c>
      <c r="W42" s="92">
        <f>LCI_HC!$E15*'IW+_end'!S28</f>
        <v>6.0909930278491217E-6</v>
      </c>
      <c r="X42" s="92">
        <f>LCI_HC!$E15*'IW+_end'!T28</f>
        <v>4.2075428846099251E-2</v>
      </c>
      <c r="Y42" s="92">
        <f>LCI_HC!$E15*'IW+_end'!U28</f>
        <v>6.9901523227614036E-10</v>
      </c>
      <c r="Z42" s="92">
        <f>LCI_HC!$E15*'IW+_end'!V28</f>
        <v>8.2828076851175855E-6</v>
      </c>
      <c r="AA42" s="92">
        <f>LCI_HC!$E15*'IW+_end'!W28</f>
        <v>0.23951583329252632</v>
      </c>
      <c r="AB42" s="92">
        <f>LCI_HC!$E15*'IW+_end'!X28</f>
        <v>2.3034182335339925E-8</v>
      </c>
      <c r="AC42" s="92">
        <f>LCI_HC!$E15*'IW+_end'!Y28</f>
        <v>0.94363922189700389</v>
      </c>
      <c r="AD42" s="92">
        <f>LCI_HC!$E15*'IW+_end'!Z28</f>
        <v>0.16336690677324175</v>
      </c>
      <c r="AE42" s="92">
        <f>LCI_HC!$E15*'IW+_end'!AA28</f>
        <v>0.22232124551649288</v>
      </c>
      <c r="AF42" s="92">
        <f>LCI_HC!$E15*'IW+_end'!AB28</f>
        <v>1.0106305199529127E-3</v>
      </c>
      <c r="AG42" s="92">
        <f>LCI_HC!$E15*'IW+_end'!AC28</f>
        <v>5.7584904801105852</v>
      </c>
      <c r="AH42" s="92">
        <f>LCI_HC!$E15*'IW+_end'!AD28</f>
        <v>4.2566921778890785E-5</v>
      </c>
      <c r="AI42" s="92">
        <f>LCI_HC!$E15*'IW+_end'!AE28</f>
        <v>2.209768682625648E-4</v>
      </c>
      <c r="AJ42" s="92">
        <f>LCI_HC!$E15*'IW+_end'!AF28</f>
        <v>2.6990642955649751E-5</v>
      </c>
      <c r="AK42" s="92">
        <f>LCI_HC!$E15*'IW+_end'!AG28</f>
        <v>3.7409426421651818E-4</v>
      </c>
    </row>
    <row r="43" spans="1:45" x14ac:dyDescent="0.35">
      <c r="A43" s="93"/>
      <c r="B43" s="93" t="s">
        <v>230</v>
      </c>
      <c r="C43" s="92" t="e">
        <f>LCI_HC!$E16*'IW+_end'!#REF!</f>
        <v>#REF!</v>
      </c>
      <c r="D43" s="92" t="e">
        <f>LCI_HC!$E16*'IW+_end'!#REF!</f>
        <v>#REF!</v>
      </c>
      <c r="E43" s="92" t="e">
        <f>LCI_HC!$E16*'IW+_end'!#REF!</f>
        <v>#REF!</v>
      </c>
      <c r="F43" s="92" t="e">
        <f>LCI_HC!$E16*'IW+_end'!#REF!</f>
        <v>#REF!</v>
      </c>
      <c r="G43" s="92">
        <f>LCI_HC!$E16*'IW+_end'!C30</f>
        <v>7.8331901426245151E-18</v>
      </c>
      <c r="H43" s="92">
        <f>LCI_HC!$E16*'IW+_end'!D30</f>
        <v>4.8015644796273689E-2</v>
      </c>
      <c r="I43" s="92">
        <f>LCI_HC!$E16*'IW+_end'!E30</f>
        <v>0.25144537652628279</v>
      </c>
      <c r="J43" s="92">
        <f>LCI_HC!$E16*'IW+_end'!F30</f>
        <v>2.3061628172271337E-2</v>
      </c>
      <c r="K43" s="92">
        <f>LCI_HC!$E16*'IW+_end'!G30</f>
        <v>1.0675207240507285E-2</v>
      </c>
      <c r="L43" s="92">
        <f>LCI_HC!$E16*'IW+_end'!H30</f>
        <v>1.3376426456597807E-8</v>
      </c>
      <c r="M43" s="92">
        <f>LCI_HC!$E16*'IW+_end'!I30</f>
        <v>5.0108435709937927E-7</v>
      </c>
      <c r="N43" s="92">
        <f>LCI_HC!$E16*'IW+_end'!J30</f>
        <v>4.2956541842466537E-7</v>
      </c>
      <c r="O43" s="92">
        <f>LCI_HC!$E16*'IW+_end'!K30</f>
        <v>7.5064949003693002E-7</v>
      </c>
      <c r="P43" s="92">
        <f>LCI_HC!$E16*'IW+_end'!L30</f>
        <v>4.9783520347123131E-10</v>
      </c>
      <c r="Q43" s="92">
        <f>LCI_HC!$E16*'IW+_end'!M30</f>
        <v>1.0129007383915898E-8</v>
      </c>
      <c r="R43" s="92">
        <f>LCI_HC!$E16*'IW+_end'!N30</f>
        <v>7.3184826302345782E-2</v>
      </c>
      <c r="S43" s="92">
        <f>LCI_HC!$E16*'IW+_end'!O30</f>
        <v>8.474271890382172E-2</v>
      </c>
      <c r="T43" s="92">
        <f>LCI_HC!$E16*'IW+_end'!P30</f>
        <v>0.18544799297208378</v>
      </c>
      <c r="U43" s="92">
        <f>LCI_HC!$E16*'IW+_end'!Q30</f>
        <v>2.0130791493059987E-2</v>
      </c>
      <c r="V43" s="92">
        <f>LCI_HC!$E16*'IW+_end'!R30</f>
        <v>7.7533750367736558E-7</v>
      </c>
      <c r="W43" s="92">
        <f>LCI_HC!$E16*'IW+_end'!S30</f>
        <v>1.0288287018240121E-6</v>
      </c>
      <c r="X43" s="92">
        <f>LCI_HC!$E16*'IW+_end'!T30</f>
        <v>1.5435709280101895E-3</v>
      </c>
      <c r="Y43" s="92">
        <f>LCI_HC!$E16*'IW+_end'!U30</f>
        <v>4.0964213504788057E-11</v>
      </c>
      <c r="Z43" s="92">
        <f>LCI_HC!$E16*'IW+_end'!V30</f>
        <v>3.8661496074075332E-6</v>
      </c>
      <c r="AA43" s="92">
        <f>LCI_HC!$E16*'IW+_end'!W30</f>
        <v>2.9557453434271824E-2</v>
      </c>
      <c r="AB43" s="92">
        <f>LCI_HC!$E16*'IW+_end'!X30</f>
        <v>2.9574801160325263E-9</v>
      </c>
      <c r="AC43" s="92">
        <f>LCI_HC!$E16*'IW+_end'!Y30</f>
        <v>0.29279023155428913</v>
      </c>
      <c r="AD43" s="92">
        <f>LCI_HC!$E16*'IW+_end'!Z30</f>
        <v>2.830021297252128E-2</v>
      </c>
      <c r="AE43" s="92">
        <f>LCI_HC!$E16*'IW+_end'!AA30</f>
        <v>3.7552247616576447E-2</v>
      </c>
      <c r="AF43" s="92">
        <f>LCI_HC!$E16*'IW+_end'!AB30</f>
        <v>4.1401224274427711E-4</v>
      </c>
      <c r="AG43" s="92">
        <f>LCI_HC!$E16*'IW+_end'!AC30</f>
        <v>1.0872567654369016</v>
      </c>
      <c r="AH43" s="92">
        <f>LCI_HC!$E16*'IW+_end'!AD30</f>
        <v>8.6718769841881915E-6</v>
      </c>
      <c r="AI43" s="92">
        <f>LCI_HC!$E16*'IW+_end'!AE30</f>
        <v>2.536321925560983E-5</v>
      </c>
      <c r="AJ43" s="92">
        <f>LCI_HC!$E16*'IW+_end'!AF30</f>
        <v>3.0979242330496308E-6</v>
      </c>
      <c r="AK43" s="92">
        <f>LCI_HC!$E16*'IW+_end'!AG30</f>
        <v>3.6768239854565203E-4</v>
      </c>
    </row>
    <row r="44" spans="1:45" x14ac:dyDescent="0.35">
      <c r="A44" s="93"/>
      <c r="B44" s="93" t="s">
        <v>229</v>
      </c>
      <c r="C44" s="92" t="e">
        <f>LCI_HC!$E17*'IW+_end'!#REF!</f>
        <v>#REF!</v>
      </c>
      <c r="D44" s="92" t="e">
        <f>LCI_HC!$E17*'IW+_end'!#REF!</f>
        <v>#REF!</v>
      </c>
      <c r="E44" s="92" t="e">
        <f>LCI_HC!$E17*'IW+_end'!#REF!</f>
        <v>#REF!</v>
      </c>
      <c r="F44" s="92" t="e">
        <f>LCI_HC!$E17*'IW+_end'!#REF!</f>
        <v>#REF!</v>
      </c>
      <c r="G44" s="92">
        <f>LCI_HC!$E17*'IW+_end'!C29</f>
        <v>1.0405520400279362E-17</v>
      </c>
      <c r="H44" s="92">
        <f>LCI_HC!$E17*'IW+_end'!D29</f>
        <v>2.4554952857069458E-2</v>
      </c>
      <c r="I44" s="92">
        <f>LCI_HC!$E17*'IW+_end'!E29</f>
        <v>0.66390176231282261</v>
      </c>
      <c r="J44" s="92">
        <f>LCI_HC!$E17*'IW+_end'!F29</f>
        <v>6.9057074839158003E-2</v>
      </c>
      <c r="K44" s="92">
        <f>LCI_HC!$E17*'IW+_end'!G29</f>
        <v>1.2497377757873589E-4</v>
      </c>
      <c r="L44" s="92">
        <f>LCI_HC!$E17*'IW+_end'!H29</f>
        <v>1.8437611374042475E-8</v>
      </c>
      <c r="M44" s="92">
        <f>LCI_HC!$E17*'IW+_end'!I29</f>
        <v>9.1768141590951861E-7</v>
      </c>
      <c r="N44" s="92">
        <f>LCI_HC!$E17*'IW+_end'!J29</f>
        <v>6.1266058613965471E-7</v>
      </c>
      <c r="O44" s="92">
        <f>LCI_HC!$E17*'IW+_end'!K29</f>
        <v>5.6980381794694568E-7</v>
      </c>
      <c r="P44" s="92">
        <f>LCI_HC!$E17*'IW+_end'!L29</f>
        <v>2.2818519953777497E-10</v>
      </c>
      <c r="Q44" s="92">
        <f>LCI_HC!$E17*'IW+_end'!M29</f>
        <v>3.963971350920135E-9</v>
      </c>
      <c r="R44" s="92">
        <f>LCI_HC!$E17*'IW+_end'!N29</f>
        <v>0.1187702287474309</v>
      </c>
      <c r="S44" s="92">
        <f>LCI_HC!$E17*'IW+_end'!O29</f>
        <v>0.21909295547277571</v>
      </c>
      <c r="T44" s="92">
        <f>LCI_HC!$E17*'IW+_end'!P29</f>
        <v>0.45852209522142268</v>
      </c>
      <c r="U44" s="92">
        <f>LCI_HC!$E17*'IW+_end'!Q29</f>
        <v>4.977348942305785E-2</v>
      </c>
      <c r="V44" s="92">
        <f>LCI_HC!$E17*'IW+_end'!R29</f>
        <v>1.1351874538350625E-6</v>
      </c>
      <c r="W44" s="92">
        <f>LCI_HC!$E17*'IW+_end'!S29</f>
        <v>1.4209985988460966E-6</v>
      </c>
      <c r="X44" s="92">
        <f>LCI_HC!$E17*'IW+_end'!T29</f>
        <v>4.0179692239828702E-3</v>
      </c>
      <c r="Y44" s="92">
        <f>LCI_HC!$E17*'IW+_end'!U29</f>
        <v>1.3543422347070106E-10</v>
      </c>
      <c r="Z44" s="92">
        <f>LCI_HC!$E17*'IW+_end'!V29</f>
        <v>2.2555874427055315E-6</v>
      </c>
      <c r="AA44" s="92">
        <f>LCI_HC!$E17*'IW+_end'!W29</f>
        <v>0.10863140153467742</v>
      </c>
      <c r="AB44" s="92">
        <f>LCI_HC!$E17*'IW+_end'!X29</f>
        <v>1.0803637403305305E-8</v>
      </c>
      <c r="AC44" s="92">
        <f>LCI_HC!$E17*'IW+_end'!Y29</f>
        <v>0.16925975061046689</v>
      </c>
      <c r="AD44" s="92">
        <f>LCI_HC!$E17*'IW+_end'!Z29</f>
        <v>4.1434566754961787E-2</v>
      </c>
      <c r="AE44" s="92">
        <f>LCI_HC!$E17*'IW+_end'!AA29</f>
        <v>5.1866448857882511E-2</v>
      </c>
      <c r="AF44" s="92">
        <f>LCI_HC!$E17*'IW+_end'!AB29</f>
        <v>2.5519246162501345E-4</v>
      </c>
      <c r="AG44" s="92">
        <f>LCI_HC!$E17*'IW+_end'!AC29</f>
        <v>1.979355663478725</v>
      </c>
      <c r="AH44" s="92">
        <f>LCI_HC!$E17*'IW+_end'!AD29</f>
        <v>5.9324815321934978E-6</v>
      </c>
      <c r="AI44" s="92">
        <f>LCI_HC!$E17*'IW+_end'!AE29</f>
        <v>1.263613400416889E-5</v>
      </c>
      <c r="AJ44" s="92">
        <f>LCI_HC!$E17*'IW+_end'!AF29</f>
        <v>1.5434076151401091E-6</v>
      </c>
      <c r="AK44" s="92">
        <f>LCI_HC!$E17*'IW+_end'!AG29</f>
        <v>7.7608835570562427E-5</v>
      </c>
    </row>
    <row r="45" spans="1:45" x14ac:dyDescent="0.35">
      <c r="A45" s="93"/>
      <c r="B45" s="93" t="s">
        <v>231</v>
      </c>
      <c r="C45" s="92" t="e">
        <f>LCI_HC!$E18*'IW+_end'!#REF!</f>
        <v>#REF!</v>
      </c>
      <c r="D45" s="92" t="e">
        <f>LCI_HC!$E18*'IW+_end'!#REF!</f>
        <v>#REF!</v>
      </c>
      <c r="E45" s="92" t="e">
        <f>LCI_HC!$E18*'IW+_end'!#REF!</f>
        <v>#REF!</v>
      </c>
      <c r="F45" s="92" t="e">
        <f>LCI_HC!$E18*'IW+_end'!#REF!</f>
        <v>#REF!</v>
      </c>
      <c r="G45" s="92">
        <f>LCI_HC!$E18*'IW+_end'!C31</f>
        <v>8.478765342216783E-19</v>
      </c>
      <c r="H45" s="92">
        <f>LCI_HC!$E18*'IW+_end'!D31</f>
        <v>2.9090268836196535E-2</v>
      </c>
      <c r="I45" s="92">
        <f>LCI_HC!$E18*'IW+_end'!E31</f>
        <v>0.33094813384326949</v>
      </c>
      <c r="J45" s="92">
        <f>LCI_HC!$E18*'IW+_end'!F31</f>
        <v>0.13650474029293855</v>
      </c>
      <c r="K45" s="92">
        <f>LCI_HC!$E18*'IW+_end'!G31</f>
        <v>1.5764303063821406E-4</v>
      </c>
      <c r="L45" s="92">
        <f>LCI_HC!$E18*'IW+_end'!H31</f>
        <v>1.8783868592322231E-8</v>
      </c>
      <c r="M45" s="92">
        <f>LCI_HC!$E18*'IW+_end'!I31</f>
        <v>1.4075544532012384E-6</v>
      </c>
      <c r="N45" s="92">
        <f>LCI_HC!$E18*'IW+_end'!J31</f>
        <v>5.9696055144129051E-7</v>
      </c>
      <c r="O45" s="92">
        <f>LCI_HC!$E18*'IW+_end'!K31</f>
        <v>4.9935347477333678E-7</v>
      </c>
      <c r="P45" s="92">
        <f>LCI_HC!$E18*'IW+_end'!L31</f>
        <v>4.4553377759569509E-9</v>
      </c>
      <c r="Q45" s="92">
        <f>LCI_HC!$E18*'IW+_end'!M31</f>
        <v>5.6108248201479414E-8</v>
      </c>
      <c r="R45" s="92">
        <f>LCI_HC!$E18*'IW+_end'!N31</f>
        <v>0.33149849059133646</v>
      </c>
      <c r="S45" s="92">
        <f>LCI_HC!$E18*'IW+_end'!O31</f>
        <v>1.7190484845838159</v>
      </c>
      <c r="T45" s="92">
        <f>LCI_HC!$E18*'IW+_end'!P31</f>
        <v>0.47912649603472901</v>
      </c>
      <c r="U45" s="92">
        <f>LCI_HC!$E18*'IW+_end'!Q31</f>
        <v>5.2010033482350788E-2</v>
      </c>
      <c r="V45" s="92">
        <f>LCI_HC!$E18*'IW+_end'!R31</f>
        <v>1.202599931283647E-6</v>
      </c>
      <c r="W45" s="92">
        <f>LCI_HC!$E18*'IW+_end'!S31</f>
        <v>8.0272893195946268E-7</v>
      </c>
      <c r="X45" s="92">
        <f>LCI_HC!$E18*'IW+_end'!T31</f>
        <v>6.3708391647308137E-3</v>
      </c>
      <c r="Y45" s="92">
        <f>LCI_HC!$E18*'IW+_end'!U31</f>
        <v>8.5534129227051785E-11</v>
      </c>
      <c r="Z45" s="92">
        <f>LCI_HC!$E18*'IW+_end'!V31</f>
        <v>3.0435201438517455E-6</v>
      </c>
      <c r="AA45" s="92">
        <f>LCI_HC!$E18*'IW+_end'!W31</f>
        <v>0.189366719614595</v>
      </c>
      <c r="AB45" s="92">
        <f>LCI_HC!$E18*'IW+_end'!X31</f>
        <v>1.9174457000970975E-8</v>
      </c>
      <c r="AC45" s="92">
        <f>LCI_HC!$E18*'IW+_end'!Y31</f>
        <v>0.21122628665338591</v>
      </c>
      <c r="AD45" s="92">
        <f>LCI_HC!$E18*'IW+_end'!Z31</f>
        <v>4.3895488787215484E-2</v>
      </c>
      <c r="AE45" s="92">
        <f>LCI_HC!$E18*'IW+_end'!AA31</f>
        <v>2.9299606016520385E-2</v>
      </c>
      <c r="AF45" s="92">
        <f>LCI_HC!$E18*'IW+_end'!AB31</f>
        <v>3.4437639241628941E-3</v>
      </c>
      <c r="AG45" s="92">
        <f>LCI_HC!$E18*'IW+_end'!AC31</f>
        <v>3.6266209256673383</v>
      </c>
      <c r="AH45" s="92">
        <f>LCI_HC!$E18*'IW+_end'!AD31</f>
        <v>1.937744647096251E-5</v>
      </c>
      <c r="AI45" s="92">
        <f>LCI_HC!$E18*'IW+_end'!AE31</f>
        <v>1.1245813736678375E-4</v>
      </c>
      <c r="AJ45" s="92">
        <f>LCI_HC!$E18*'IW+_end'!AF31</f>
        <v>1.3735905739770897E-5</v>
      </c>
      <c r="AK45" s="92">
        <f>LCI_HC!$E18*'IW+_end'!AG31</f>
        <v>6.4519462889885068E-2</v>
      </c>
    </row>
    <row r="46" spans="1:45" x14ac:dyDescent="0.35">
      <c r="AG46" s="148">
        <f>AG30+AG35-AG41</f>
        <v>-27.638343758325643</v>
      </c>
      <c r="AH46" s="148">
        <f>AH30+AH35-AH41</f>
        <v>6.4081637501758643E-6</v>
      </c>
    </row>
    <row r="48" spans="1:45" x14ac:dyDescent="0.35">
      <c r="A48" s="164" t="s">
        <v>416</v>
      </c>
      <c r="B48" s="164"/>
      <c r="C48" s="164"/>
      <c r="D48" s="164"/>
      <c r="E48" s="164"/>
      <c r="F48" s="164"/>
      <c r="G48" s="164"/>
      <c r="H48" s="164"/>
      <c r="I48" s="164"/>
      <c r="J48" s="164"/>
      <c r="K48" s="164"/>
      <c r="L48" s="164"/>
      <c r="M48" s="164"/>
      <c r="N48" s="164"/>
      <c r="O48" s="164"/>
      <c r="P48" s="164"/>
      <c r="Q48" s="164"/>
      <c r="R48" s="164"/>
      <c r="S48" s="164"/>
      <c r="T48" s="164"/>
    </row>
    <row r="49" spans="1:28" ht="29" x14ac:dyDescent="0.35">
      <c r="A49" s="100" t="s">
        <v>0</v>
      </c>
      <c r="B49" s="83"/>
      <c r="C49" s="101" t="s">
        <v>358</v>
      </c>
      <c r="D49" s="101" t="s">
        <v>359</v>
      </c>
      <c r="E49" s="101" t="s">
        <v>360</v>
      </c>
      <c r="F49" s="101" t="s">
        <v>361</v>
      </c>
      <c r="G49" s="101" t="s">
        <v>362</v>
      </c>
      <c r="H49" s="101" t="s">
        <v>363</v>
      </c>
      <c r="I49" s="101" t="s">
        <v>364</v>
      </c>
      <c r="J49" s="101" t="s">
        <v>365</v>
      </c>
      <c r="K49" s="101" t="s">
        <v>366</v>
      </c>
      <c r="L49" s="101" t="s">
        <v>367</v>
      </c>
      <c r="M49" s="101" t="s">
        <v>368</v>
      </c>
      <c r="N49" s="101" t="s">
        <v>369</v>
      </c>
      <c r="O49" s="101" t="s">
        <v>370</v>
      </c>
      <c r="P49" s="101" t="s">
        <v>371</v>
      </c>
      <c r="Q49" s="101" t="s">
        <v>372</v>
      </c>
      <c r="R49" s="101" t="s">
        <v>373</v>
      </c>
      <c r="S49" s="101" t="s">
        <v>374</v>
      </c>
      <c r="T49" s="101" t="s">
        <v>375</v>
      </c>
    </row>
    <row r="50" spans="1:28" x14ac:dyDescent="0.35">
      <c r="A50" s="100" t="s">
        <v>294</v>
      </c>
      <c r="B50" s="83"/>
      <c r="C50" s="102">
        <f>SUM(C51:C54)</f>
        <v>23.266494862658526</v>
      </c>
      <c r="D50" s="102">
        <f t="shared" ref="D50:T50" si="12">SUM(D51:D54)</f>
        <v>34.264521044421535</v>
      </c>
      <c r="E50" s="102">
        <f t="shared" si="12"/>
        <v>89.514107231873453</v>
      </c>
      <c r="F50" s="102">
        <f t="shared" si="12"/>
        <v>5.9796920433079305E-2</v>
      </c>
      <c r="G50" s="102">
        <f t="shared" si="12"/>
        <v>1068.2938482575864</v>
      </c>
      <c r="H50" s="102">
        <f t="shared" si="12"/>
        <v>5.4928819760052339E-3</v>
      </c>
      <c r="I50" s="102">
        <f t="shared" si="12"/>
        <v>1.1845593347515277E-7</v>
      </c>
      <c r="J50" s="102">
        <f t="shared" si="12"/>
        <v>3.3416997257882508E-7</v>
      </c>
      <c r="K50" s="102">
        <f t="shared" si="12"/>
        <v>62.686182837702539</v>
      </c>
      <c r="L50" s="102">
        <f t="shared" si="12"/>
        <v>47.760527586652962</v>
      </c>
      <c r="M50" s="102">
        <f t="shared" si="12"/>
        <v>1.4790737915970755E-3</v>
      </c>
      <c r="N50" s="102">
        <f t="shared" si="12"/>
        <v>6.1641200705524367E-3</v>
      </c>
      <c r="O50" s="102">
        <f t="shared" si="12"/>
        <v>0.12165404826242537</v>
      </c>
      <c r="P50" s="102">
        <f t="shared" si="12"/>
        <v>1.2900047598784607E-7</v>
      </c>
      <c r="Q50" s="102">
        <f t="shared" si="12"/>
        <v>1.0600960411111802E-2</v>
      </c>
      <c r="R50" s="102">
        <f t="shared" si="12"/>
        <v>2.6497913152830455E-2</v>
      </c>
      <c r="S50" s="102">
        <f t="shared" si="12"/>
        <v>0.12585702842084132</v>
      </c>
      <c r="T50" s="102">
        <f t="shared" si="12"/>
        <v>1.4632061758519388</v>
      </c>
    </row>
    <row r="51" spans="1:28" x14ac:dyDescent="0.35">
      <c r="A51" s="100"/>
      <c r="B51" s="83" t="s">
        <v>96</v>
      </c>
      <c r="C51" s="84">
        <f>LCI_HC!$E4*'IW+_mid'!C12</f>
        <v>1.6358349999999999</v>
      </c>
      <c r="D51" s="84">
        <f>LCI_HC!$E4*'IW+_mid'!D12</f>
        <v>9.3973499999999994</v>
      </c>
      <c r="E51" s="84">
        <f>LCI_HC!$E4*'IW+_mid'!E12</f>
        <v>0</v>
      </c>
      <c r="F51" s="84">
        <f>LCI_HC!$E4*'IW+_mid'!F12</f>
        <v>0</v>
      </c>
      <c r="G51" s="84">
        <f>LCI_HC!$E4*'IW+_mid'!G12</f>
        <v>0</v>
      </c>
      <c r="H51" s="84">
        <f>LCI_HC!$E4*'IW+_mid'!H12</f>
        <v>0</v>
      </c>
      <c r="I51" s="84">
        <f>LCI_HC!$E4*'IW+_mid'!I12</f>
        <v>0</v>
      </c>
      <c r="J51" s="84">
        <f>LCI_HC!$E4*'IW+_mid'!J12</f>
        <v>0</v>
      </c>
      <c r="K51" s="84">
        <f>LCI_HC!$E4*'IW+_mid'!K12</f>
        <v>0</v>
      </c>
      <c r="L51" s="84">
        <f>LCI_HC!$E4*'IW+_mid'!L12</f>
        <v>0</v>
      </c>
      <c r="M51" s="84">
        <f>LCI_HC!$E4*'IW+_mid'!M12</f>
        <v>0</v>
      </c>
      <c r="N51" s="84">
        <f>LCI_HC!$E4*'IW+_mid'!N12</f>
        <v>0</v>
      </c>
      <c r="O51" s="84">
        <f>LCI_HC!$E4*'IW+_mid'!O12</f>
        <v>0</v>
      </c>
      <c r="P51" s="84">
        <f>LCI_HC!$E4*'IW+_mid'!P12</f>
        <v>0</v>
      </c>
      <c r="Q51" s="84">
        <f>LCI_HC!$E4*'IW+_mid'!Q12</f>
        <v>0</v>
      </c>
      <c r="R51" s="84">
        <f>LCI_HC!$E4*'IW+_mid'!R12</f>
        <v>0</v>
      </c>
      <c r="S51" s="84">
        <f>LCI_HC!$E4*'IW+_mid'!S12</f>
        <v>0</v>
      </c>
      <c r="T51" s="84">
        <f>LCI_HC!$E4*'IW+_mid'!T12</f>
        <v>0</v>
      </c>
    </row>
    <row r="52" spans="1:28" x14ac:dyDescent="0.35">
      <c r="A52" s="100"/>
      <c r="B52" s="83" t="s">
        <v>110</v>
      </c>
      <c r="C52" s="84">
        <f>LCI_HC!$E6*'IW+_mid'!C18</f>
        <v>0</v>
      </c>
      <c r="D52" s="84">
        <f>LCI_HC!$E6*'IW+_mid'!D18</f>
        <v>0</v>
      </c>
      <c r="E52" s="84">
        <f>LCI_HC!$E6*'IW+_mid'!E18</f>
        <v>0</v>
      </c>
      <c r="F52" s="84">
        <f>LCI_HC!$E6*'IW+_mid'!F18</f>
        <v>4.4981165226137862E-2</v>
      </c>
      <c r="G52" s="84">
        <f>LCI_HC!$E6*'IW+_mid'!G18</f>
        <v>0</v>
      </c>
      <c r="H52" s="84">
        <f>LCI_HC!$E6*'IW+_mid'!H18</f>
        <v>0</v>
      </c>
      <c r="I52" s="84">
        <f>LCI_HC!$E6*'IW+_mid'!I18</f>
        <v>0</v>
      </c>
      <c r="J52" s="84">
        <f>LCI_HC!$E6*'IW+_mid'!J18</f>
        <v>0</v>
      </c>
      <c r="K52" s="84">
        <f>LCI_HC!$E6*'IW+_mid'!K18</f>
        <v>0</v>
      </c>
      <c r="L52" s="84">
        <f>LCI_HC!$E6*'IW+_mid'!L18</f>
        <v>0</v>
      </c>
      <c r="M52" s="84">
        <f>LCI_HC!$E6*'IW+_mid'!M18</f>
        <v>0</v>
      </c>
      <c r="N52" s="84">
        <f>LCI_HC!$E6*'IW+_mid'!N18</f>
        <v>5.2447587924172858E-3</v>
      </c>
      <c r="O52" s="84">
        <f>LCI_HC!$E6*'IW+_mid'!O18</f>
        <v>0</v>
      </c>
      <c r="P52" s="84">
        <f>LCI_HC!$E6*'IW+_mid'!P18</f>
        <v>0</v>
      </c>
      <c r="Q52" s="84">
        <f>LCI_HC!$E6*'IW+_mid'!Q18</f>
        <v>8.3965864879420246E-3</v>
      </c>
      <c r="R52" s="84">
        <f>LCI_HC!$E6*'IW+_mid'!R18</f>
        <v>0</v>
      </c>
      <c r="S52" s="84">
        <f>LCI_HC!$E6*'IW+_mid'!S18</f>
        <v>0.10964498697085123</v>
      </c>
      <c r="T52" s="84">
        <f>LCI_HC!$E6*'IW+_mid'!T18</f>
        <v>0</v>
      </c>
    </row>
    <row r="53" spans="1:28" x14ac:dyDescent="0.35">
      <c r="A53" s="100"/>
      <c r="B53" s="83" t="s">
        <v>111</v>
      </c>
      <c r="C53" s="84">
        <f>LCI_HC!$E5*'IW+_mid'!C20</f>
        <v>16.344716999999996</v>
      </c>
      <c r="D53" s="84">
        <f>LCI_HC!$E5*'IW+_mid'!D20</f>
        <v>19.150676999999998</v>
      </c>
      <c r="E53" s="84">
        <f>LCI_HC!$E5*'IW+_mid'!E20</f>
        <v>0</v>
      </c>
      <c r="F53" s="84">
        <f>LCI_HC!$E5*'IW+_mid'!F20</f>
        <v>0</v>
      </c>
      <c r="G53" s="84">
        <f>LCI_HC!$E5*'IW+_mid'!G20</f>
        <v>0</v>
      </c>
      <c r="H53" s="84">
        <f>LCI_HC!$E5*'IW+_mid'!H20</f>
        <v>0</v>
      </c>
      <c r="I53" s="84">
        <f>LCI_HC!$E5*'IW+_mid'!I20</f>
        <v>0</v>
      </c>
      <c r="J53" s="84">
        <f>LCI_HC!$E5*'IW+_mid'!J20</f>
        <v>0</v>
      </c>
      <c r="K53" s="84">
        <f>LCI_HC!$E5*'IW+_mid'!K20</f>
        <v>0</v>
      </c>
      <c r="L53" s="84">
        <f>LCI_HC!$E5*'IW+_mid'!L20</f>
        <v>0</v>
      </c>
      <c r="M53" s="84">
        <f>LCI_HC!$E5*'IW+_mid'!M20</f>
        <v>0</v>
      </c>
      <c r="N53" s="84">
        <f>LCI_HC!$E5*'IW+_mid'!N20</f>
        <v>0</v>
      </c>
      <c r="O53" s="84">
        <f>LCI_HC!$E5*'IW+_mid'!O20</f>
        <v>0</v>
      </c>
      <c r="P53" s="84">
        <f>LCI_HC!$E5*'IW+_mid'!P20</f>
        <v>0</v>
      </c>
      <c r="Q53" s="84">
        <f>LCI_HC!$E5*'IW+_mid'!Q20</f>
        <v>0</v>
      </c>
      <c r="R53" s="84">
        <f>LCI_HC!$E5*'IW+_mid'!R20</f>
        <v>0</v>
      </c>
      <c r="S53" s="84">
        <f>LCI_HC!$E5*'IW+_mid'!S20</f>
        <v>0</v>
      </c>
      <c r="T53" s="84">
        <f>LCI_HC!$E5*'IW+_mid'!T20</f>
        <v>0</v>
      </c>
    </row>
    <row r="54" spans="1:28" x14ac:dyDescent="0.35">
      <c r="A54" s="100"/>
      <c r="B54" s="83" t="s">
        <v>340</v>
      </c>
      <c r="C54" s="84">
        <f>LCI_HC!$E7*'IW+_mid'!C35</f>
        <v>5.2859428626585281</v>
      </c>
      <c r="D54" s="84">
        <f>LCI_HC!$E7*'IW+_mid'!D35</f>
        <v>5.7164940444215384</v>
      </c>
      <c r="E54" s="84">
        <f>LCI_HC!$E7*'IW+_mid'!E35</f>
        <v>89.514107231873453</v>
      </c>
      <c r="F54" s="84">
        <f>LCI_HC!$E7*'IW+_mid'!F35</f>
        <v>1.4815755206941443E-2</v>
      </c>
      <c r="G54" s="84">
        <f>LCI_HC!$E7*'IW+_mid'!G35</f>
        <v>1068.2938482575864</v>
      </c>
      <c r="H54" s="84">
        <f>LCI_HC!$E7*'IW+_mid'!H35</f>
        <v>5.4928819760052339E-3</v>
      </c>
      <c r="I54" s="84">
        <f>LCI_HC!$E7*'IW+_mid'!I35</f>
        <v>1.1845593347515277E-7</v>
      </c>
      <c r="J54" s="84">
        <f>LCI_HC!$E7*'IW+_mid'!J35</f>
        <v>3.3416997257882508E-7</v>
      </c>
      <c r="K54" s="84">
        <f>LCI_HC!$E7*'IW+_mid'!K35</f>
        <v>62.686182837702539</v>
      </c>
      <c r="L54" s="84">
        <f>LCI_HC!$E7*'IW+_mid'!L35</f>
        <v>47.760527586652962</v>
      </c>
      <c r="M54" s="84">
        <f>LCI_HC!$E7*'IW+_mid'!M35</f>
        <v>1.4790737915970755E-3</v>
      </c>
      <c r="N54" s="84">
        <f>LCI_HC!$E7*'IW+_mid'!N35</f>
        <v>9.1936127813515081E-4</v>
      </c>
      <c r="O54" s="84">
        <f>LCI_HC!$E7*'IW+_mid'!O35</f>
        <v>0.12165404826242537</v>
      </c>
      <c r="P54" s="84">
        <f>LCI_HC!$E7*'IW+_mid'!P35</f>
        <v>1.2900047598784607E-7</v>
      </c>
      <c r="Q54" s="84">
        <f>LCI_HC!$E7*'IW+_mid'!Q35</f>
        <v>2.2043739231697775E-3</v>
      </c>
      <c r="R54" s="84">
        <f>LCI_HC!$E7*'IW+_mid'!R35</f>
        <v>2.6497913152830455E-2</v>
      </c>
      <c r="S54" s="84">
        <f>LCI_HC!$E7*'IW+_mid'!S35</f>
        <v>1.6212041449990073E-2</v>
      </c>
      <c r="T54" s="103">
        <f>LCI_HC!$E7*'IW+_mid'!T35</f>
        <v>1.4632061758519388</v>
      </c>
      <c r="U54" s="71"/>
      <c r="V54" s="71"/>
      <c r="W54" s="71"/>
      <c r="X54" s="71"/>
      <c r="Y54" s="71"/>
      <c r="Z54" s="71"/>
      <c r="AA54" s="71"/>
      <c r="AB54" s="71"/>
    </row>
    <row r="55" spans="1:28" x14ac:dyDescent="0.35">
      <c r="A55" s="100" t="s">
        <v>351</v>
      </c>
      <c r="B55" s="83"/>
      <c r="C55" s="104">
        <f>SUM(C56:C60)</f>
        <v>-325.88789274720301</v>
      </c>
      <c r="D55" s="104">
        <f t="shared" ref="D55:T55" si="13">SUM(D56:D60)</f>
        <v>-320.64976274672284</v>
      </c>
      <c r="E55" s="104">
        <f t="shared" si="13"/>
        <v>0</v>
      </c>
      <c r="F55" s="104">
        <f t="shared" si="13"/>
        <v>0.25353511248508054</v>
      </c>
      <c r="G55" s="104">
        <f t="shared" si="13"/>
        <v>0</v>
      </c>
      <c r="H55" s="104">
        <f t="shared" si="13"/>
        <v>-8.1278569907775836E-2</v>
      </c>
      <c r="I55" s="104">
        <f t="shared" si="13"/>
        <v>0</v>
      </c>
      <c r="J55" s="104">
        <f t="shared" si="13"/>
        <v>0</v>
      </c>
      <c r="K55" s="104">
        <f t="shared" si="13"/>
        <v>0</v>
      </c>
      <c r="L55" s="104">
        <f t="shared" si="13"/>
        <v>0</v>
      </c>
      <c r="M55" s="104">
        <f t="shared" si="13"/>
        <v>0</v>
      </c>
      <c r="N55" s="104">
        <f t="shared" si="13"/>
        <v>3.1036834101818287</v>
      </c>
      <c r="O55" s="104">
        <f t="shared" si="13"/>
        <v>0</v>
      </c>
      <c r="P55" s="104">
        <f t="shared" si="13"/>
        <v>0</v>
      </c>
      <c r="Q55" s="104">
        <f t="shared" si="13"/>
        <v>4.7327131011583014E-2</v>
      </c>
      <c r="R55" s="104">
        <f t="shared" si="13"/>
        <v>0</v>
      </c>
      <c r="S55" s="104">
        <f t="shared" si="13"/>
        <v>0.61801098227056317</v>
      </c>
      <c r="T55" s="104">
        <f t="shared" si="13"/>
        <v>0</v>
      </c>
    </row>
    <row r="56" spans="1:28" x14ac:dyDescent="0.35">
      <c r="A56" s="100"/>
      <c r="B56" s="83" t="s">
        <v>110</v>
      </c>
      <c r="C56" s="86">
        <f>LCI_HC!$E9*'IW+_mid'!C18</f>
        <v>0</v>
      </c>
      <c r="D56" s="86">
        <f>LCI_HC!$E9*'IW+_mid'!D18</f>
        <v>0</v>
      </c>
      <c r="E56" s="86">
        <f>LCI_HC!$E9*'IW+_mid'!E18</f>
        <v>0</v>
      </c>
      <c r="F56" s="86">
        <f>LCI_HC!$E9*'IW+_mid'!F18</f>
        <v>0.25353511248508054</v>
      </c>
      <c r="G56" s="86">
        <f>LCI_HC!$E9*'IW+_mid'!G18</f>
        <v>0</v>
      </c>
      <c r="H56" s="86">
        <f>LCI_HC!$E9*'IW+_mid'!H18</f>
        <v>0</v>
      </c>
      <c r="I56" s="86">
        <f>LCI_HC!$E9*'IW+_mid'!I18</f>
        <v>0</v>
      </c>
      <c r="J56" s="86">
        <f>LCI_HC!$E9*'IW+_mid'!J18</f>
        <v>0</v>
      </c>
      <c r="K56" s="86">
        <f>LCI_HC!$E9*'IW+_mid'!K18</f>
        <v>0</v>
      </c>
      <c r="L56" s="86">
        <f>LCI_HC!$E9*'IW+_mid'!L18</f>
        <v>0</v>
      </c>
      <c r="M56" s="86">
        <f>LCI_HC!$E9*'IW+_mid'!M18</f>
        <v>0</v>
      </c>
      <c r="N56" s="86">
        <f>LCI_HC!$E9*'IW+_mid'!N18</f>
        <v>2.956194006330334E-2</v>
      </c>
      <c r="O56" s="86">
        <f>LCI_HC!$E9*'IW+_mid'!O18</f>
        <v>0</v>
      </c>
      <c r="P56" s="86">
        <f>LCI_HC!$E9*'IW+_mid'!P18</f>
        <v>0</v>
      </c>
      <c r="Q56" s="86">
        <f>LCI_HC!$E9*'IW+_mid'!Q18</f>
        <v>4.7327131011583014E-2</v>
      </c>
      <c r="R56" s="86">
        <f>LCI_HC!$E9*'IW+_mid'!R18</f>
        <v>0</v>
      </c>
      <c r="S56" s="86">
        <f>LCI_HC!$E9*'IW+_mid'!S18</f>
        <v>0.61801098227056317</v>
      </c>
      <c r="T56" s="86">
        <f>LCI_HC!$E9*'IW+_mid'!T18</f>
        <v>0</v>
      </c>
    </row>
    <row r="57" spans="1:28" x14ac:dyDescent="0.35">
      <c r="A57" s="100"/>
      <c r="B57" s="83" t="s">
        <v>111</v>
      </c>
      <c r="C57" s="86">
        <f>LCI_HC!$E10*'IW+_mid'!C20</f>
        <v>30.512107252796934</v>
      </c>
      <c r="D57" s="86">
        <f>LCI_HC!$E10*'IW+_mid'!D20</f>
        <v>35.750237253277092</v>
      </c>
      <c r="E57" s="86">
        <f>LCI_HC!$E10*'IW+_mid'!E20</f>
        <v>0</v>
      </c>
      <c r="F57" s="86">
        <f>LCI_HC!$E10*'IW+_mid'!F20</f>
        <v>0</v>
      </c>
      <c r="G57" s="86">
        <f>LCI_HC!$E10*'IW+_mid'!G20</f>
        <v>0</v>
      </c>
      <c r="H57" s="86">
        <f>LCI_HC!$E10*'IW+_mid'!H20</f>
        <v>0</v>
      </c>
      <c r="I57" s="86">
        <f>LCI_HC!$E10*'IW+_mid'!I20</f>
        <v>0</v>
      </c>
      <c r="J57" s="86">
        <f>LCI_HC!$E10*'IW+_mid'!J20</f>
        <v>0</v>
      </c>
      <c r="K57" s="86">
        <f>LCI_HC!$E10*'IW+_mid'!K20</f>
        <v>0</v>
      </c>
      <c r="L57" s="86">
        <f>LCI_HC!$E10*'IW+_mid'!L20</f>
        <v>0</v>
      </c>
      <c r="M57" s="86">
        <f>LCI_HC!$E10*'IW+_mid'!M20</f>
        <v>0</v>
      </c>
      <c r="N57" s="86">
        <f>LCI_HC!$E10*'IW+_mid'!N20</f>
        <v>0</v>
      </c>
      <c r="O57" s="86">
        <f>LCI_HC!$E10*'IW+_mid'!O20</f>
        <v>0</v>
      </c>
      <c r="P57" s="86">
        <f>LCI_HC!$E10*'IW+_mid'!P20</f>
        <v>0</v>
      </c>
      <c r="Q57" s="86">
        <f>LCI_HC!$E10*'IW+_mid'!Q20</f>
        <v>0</v>
      </c>
      <c r="R57" s="86">
        <f>LCI_HC!$E10*'IW+_mid'!R20</f>
        <v>0</v>
      </c>
      <c r="S57" s="86">
        <f>LCI_HC!$E10*'IW+_mid'!S20</f>
        <v>0</v>
      </c>
      <c r="T57" s="86">
        <f>LCI_HC!$E10*'IW+_mid'!T20</f>
        <v>0</v>
      </c>
    </row>
    <row r="58" spans="1:28" x14ac:dyDescent="0.35">
      <c r="A58" s="100"/>
      <c r="B58" s="83" t="s">
        <v>114</v>
      </c>
      <c r="C58" s="86">
        <f>LCI_HC!$E11*'IW+_mid'!C21</f>
        <v>0</v>
      </c>
      <c r="D58" s="86">
        <f>LCI_HC!$E11*'IW+_mid'!D21</f>
        <v>0</v>
      </c>
      <c r="E58" s="86">
        <f>LCI_HC!$E11*'IW+_mid'!E21</f>
        <v>0</v>
      </c>
      <c r="F58" s="86">
        <f>LCI_HC!$E11*'IW+_mid'!F21</f>
        <v>0</v>
      </c>
      <c r="G58" s="86">
        <f>LCI_HC!$E11*'IW+_mid'!G21</f>
        <v>0</v>
      </c>
      <c r="H58" s="86">
        <f>LCI_HC!$E11*'IW+_mid'!H21</f>
        <v>0</v>
      </c>
      <c r="I58" s="86">
        <f>LCI_HC!$E11*'IW+_mid'!I21</f>
        <v>0</v>
      </c>
      <c r="J58" s="86">
        <f>LCI_HC!$E11*'IW+_mid'!J21</f>
        <v>0</v>
      </c>
      <c r="K58" s="86">
        <f>LCI_HC!$E11*'IW+_mid'!K21</f>
        <v>0</v>
      </c>
      <c r="L58" s="86">
        <f>LCI_HC!$E11*'IW+_mid'!L21</f>
        <v>0</v>
      </c>
      <c r="M58" s="86">
        <f>LCI_HC!$E11*'IW+_mid'!M21</f>
        <v>0</v>
      </c>
      <c r="N58" s="86">
        <f>LCI_HC!$E11*'IW+_mid'!N21</f>
        <v>3.0741214701185253</v>
      </c>
      <c r="O58" s="86">
        <f>LCI_HC!$E11*'IW+_mid'!O21</f>
        <v>0</v>
      </c>
      <c r="P58" s="86">
        <f>LCI_HC!$E11*'IW+_mid'!P21</f>
        <v>0</v>
      </c>
      <c r="Q58" s="86">
        <f>LCI_HC!$E11*'IW+_mid'!Q21</f>
        <v>0</v>
      </c>
      <c r="R58" s="86">
        <f>LCI_HC!$E11*'IW+_mid'!R21</f>
        <v>0</v>
      </c>
      <c r="S58" s="86">
        <f>LCI_HC!$E11*'IW+_mid'!S21</f>
        <v>0</v>
      </c>
      <c r="T58" s="86">
        <f>LCI_HC!$E11*'IW+_mid'!T21</f>
        <v>0</v>
      </c>
    </row>
    <row r="59" spans="1:28" x14ac:dyDescent="0.35">
      <c r="A59" s="100"/>
      <c r="B59" s="83" t="s">
        <v>414</v>
      </c>
      <c r="C59" s="86">
        <f>LCI_HC!$E12*'IW+_mid'!C25</f>
        <v>0</v>
      </c>
      <c r="D59" s="86">
        <f>LCI_HC!$E12*'IW+_mid'!D25</f>
        <v>0</v>
      </c>
      <c r="E59" s="86">
        <f>LCI_HC!$E12*'IW+_mid'!E25</f>
        <v>0</v>
      </c>
      <c r="F59" s="86">
        <f>LCI_HC!$E12*'IW+_mid'!F25</f>
        <v>0</v>
      </c>
      <c r="G59" s="86">
        <f>LCI_HC!$E12*'IW+_mid'!G25</f>
        <v>0</v>
      </c>
      <c r="H59" s="86">
        <f>LCI_HC!$E12*'IW+_mid'!H25</f>
        <v>-8.1278569907775836E-2</v>
      </c>
      <c r="I59" s="86">
        <f>LCI_HC!$E12*'IW+_mid'!I25</f>
        <v>0</v>
      </c>
      <c r="J59" s="86">
        <f>LCI_HC!$E12*'IW+_mid'!J25</f>
        <v>0</v>
      </c>
      <c r="K59" s="86">
        <f>LCI_HC!$E12*'IW+_mid'!K25</f>
        <v>0</v>
      </c>
      <c r="L59" s="86">
        <f>LCI_HC!$E12*'IW+_mid'!L25</f>
        <v>0</v>
      </c>
      <c r="M59" s="86">
        <f>LCI_HC!$E12*'IW+_mid'!M25</f>
        <v>0</v>
      </c>
      <c r="N59" s="86">
        <f>LCI_HC!$E12*'IW+_mid'!N25</f>
        <v>0</v>
      </c>
      <c r="O59" s="86">
        <f>LCI_HC!$E12*'IW+_mid'!O25</f>
        <v>0</v>
      </c>
      <c r="P59" s="86">
        <f>LCI_HC!$E12*'IW+_mid'!P25</f>
        <v>0</v>
      </c>
      <c r="Q59" s="86">
        <f>LCI_HC!$E12*'IW+_mid'!Q25</f>
        <v>0</v>
      </c>
      <c r="R59" s="86">
        <f>LCI_HC!$E12*'IW+_mid'!R25</f>
        <v>0</v>
      </c>
      <c r="S59" s="86">
        <f>LCI_HC!$E12*'IW+_mid'!S25</f>
        <v>0</v>
      </c>
      <c r="T59" s="86">
        <f>LCI_HC!$E12*'IW+_mid'!T25</f>
        <v>0</v>
      </c>
    </row>
    <row r="60" spans="1:28" x14ac:dyDescent="0.35">
      <c r="A60" s="100"/>
      <c r="B60" s="83" t="s">
        <v>415</v>
      </c>
      <c r="C60" s="86">
        <f>LCI_HC!$E13*'IW+_mid'!C26</f>
        <v>-356.39999999999992</v>
      </c>
      <c r="D60" s="86">
        <f>LCI_HC!$E13*'IW+_mid'!D26</f>
        <v>-356.39999999999992</v>
      </c>
      <c r="E60" s="86">
        <f>LCI_HC!$E13*'IW+_mid'!E26</f>
        <v>0</v>
      </c>
      <c r="F60" s="86">
        <f>LCI_HC!$E13*'IW+_mid'!F26</f>
        <v>0</v>
      </c>
      <c r="G60" s="86">
        <f>LCI_HC!$E13*'IW+_mid'!G26</f>
        <v>0</v>
      </c>
      <c r="H60" s="86">
        <f>LCI_HC!$E13*'IW+_mid'!H26</f>
        <v>0</v>
      </c>
      <c r="I60" s="86">
        <f>LCI_HC!$E13*'IW+_mid'!I26</f>
        <v>0</v>
      </c>
      <c r="J60" s="86">
        <f>LCI_HC!$E13*'IW+_mid'!J26</f>
        <v>0</v>
      </c>
      <c r="K60" s="86">
        <f>LCI_HC!$E13*'IW+_mid'!K26</f>
        <v>0</v>
      </c>
      <c r="L60" s="86">
        <f>LCI_HC!$E13*'IW+_mid'!L26</f>
        <v>0</v>
      </c>
      <c r="M60" s="86">
        <f>LCI_HC!$E13*'IW+_mid'!M26</f>
        <v>0</v>
      </c>
      <c r="N60" s="86">
        <f>LCI_HC!$E13*'IW+_mid'!N26</f>
        <v>0</v>
      </c>
      <c r="O60" s="86">
        <f>LCI_HC!$E13*'IW+_mid'!O26</f>
        <v>0</v>
      </c>
      <c r="P60" s="86">
        <f>LCI_HC!$E13*'IW+_mid'!P26</f>
        <v>0</v>
      </c>
      <c r="Q60" s="86">
        <f>LCI_HC!$E13*'IW+_mid'!Q26</f>
        <v>0</v>
      </c>
      <c r="R60" s="86">
        <f>LCI_HC!$E13*'IW+_mid'!R26</f>
        <v>0</v>
      </c>
      <c r="S60" s="86">
        <f>LCI_HC!$E13*'IW+_mid'!S26</f>
        <v>0</v>
      </c>
      <c r="T60" s="86">
        <f>LCI_HC!$E13*'IW+_mid'!T26</f>
        <v>0</v>
      </c>
    </row>
    <row r="61" spans="1:28" x14ac:dyDescent="0.35">
      <c r="A61" s="100" t="s">
        <v>413</v>
      </c>
      <c r="B61" s="83"/>
      <c r="C61" s="102">
        <f>SUM(C62:C65)</f>
        <v>25.059377839664744</v>
      </c>
      <c r="D61" s="102">
        <f t="shared" ref="D61:T61" si="14">SUM(D62:D65)</f>
        <v>29.25339567634315</v>
      </c>
      <c r="E61" s="102">
        <f t="shared" si="14"/>
        <v>4761.6247250279694</v>
      </c>
      <c r="F61" s="102">
        <f t="shared" si="14"/>
        <v>8.7014371809955776E-2</v>
      </c>
      <c r="G61" s="102">
        <f t="shared" si="14"/>
        <v>4702.4726258787796</v>
      </c>
      <c r="H61" s="102">
        <f t="shared" si="14"/>
        <v>3.6376537292481343E-3</v>
      </c>
      <c r="I61" s="102">
        <f t="shared" si="14"/>
        <v>5.1666780087639719E-7</v>
      </c>
      <c r="J61" s="102">
        <f t="shared" si="14"/>
        <v>2.8324864758495259E-6</v>
      </c>
      <c r="K61" s="102">
        <f t="shared" si="14"/>
        <v>411.70211436086709</v>
      </c>
      <c r="L61" s="102">
        <f t="shared" si="14"/>
        <v>0.97946903189309087</v>
      </c>
      <c r="M61" s="102">
        <f t="shared" si="14"/>
        <v>1.39782829062268E-2</v>
      </c>
      <c r="N61" s="102">
        <f t="shared" si="14"/>
        <v>6.1723209328940721E-3</v>
      </c>
      <c r="O61" s="102">
        <f t="shared" si="14"/>
        <v>0.81501741515232096</v>
      </c>
      <c r="P61" s="102">
        <f t="shared" si="14"/>
        <v>7.1712522274528449E-7</v>
      </c>
      <c r="Q61" s="102">
        <f t="shared" si="14"/>
        <v>1.2758177158367188E-2</v>
      </c>
      <c r="R61" s="102">
        <f t="shared" si="14"/>
        <v>6.1505227313899707E-2</v>
      </c>
      <c r="S61" s="102">
        <f t="shared" si="14"/>
        <v>0.11338463887488935</v>
      </c>
      <c r="T61" s="102">
        <f t="shared" si="14"/>
        <v>46.338316491067204</v>
      </c>
    </row>
    <row r="62" spans="1:28" x14ac:dyDescent="0.35">
      <c r="A62" s="100"/>
      <c r="B62" s="83" t="s">
        <v>228</v>
      </c>
      <c r="C62" s="84">
        <f>LCI_HC!$E15*'IW+_mid'!C28</f>
        <v>16.899395513510495</v>
      </c>
      <c r="D62" s="84">
        <f>LCI_HC!$E15*'IW+_mid'!D28</f>
        <v>18.308110784151349</v>
      </c>
      <c r="E62" s="84">
        <f>LCI_HC!$E15*'IW+_mid'!E28</f>
        <v>269.22901041827924</v>
      </c>
      <c r="F62" s="84">
        <f>LCI_HC!$E15*'IW+_mid'!F28</f>
        <v>4.2563194152059898E-2</v>
      </c>
      <c r="G62" s="84">
        <f>LCI_HC!$E15*'IW+_mid'!G28</f>
        <v>2054.9783938007849</v>
      </c>
      <c r="H62" s="84">
        <f>LCI_HC!$E15*'IW+_mid'!H28</f>
        <v>1.3386076145029867E-4</v>
      </c>
      <c r="I62" s="84">
        <f>LCI_HC!$E15*'IW+_mid'!I28</f>
        <v>2.6650100673438869E-7</v>
      </c>
      <c r="J62" s="84">
        <f>LCI_HC!$E15*'IW+_mid'!J28</f>
        <v>1.5513778318632954E-6</v>
      </c>
      <c r="K62" s="84">
        <f>LCI_HC!$E15*'IW+_mid'!K28</f>
        <v>77.410557521269666</v>
      </c>
      <c r="L62" s="84">
        <f>LCI_HC!$E15*'IW+_mid'!L28</f>
        <v>0.18507035870596827</v>
      </c>
      <c r="M62" s="84">
        <f>LCI_HC!$E15*'IW+_mid'!M28</f>
        <v>1.3718966157432527E-3</v>
      </c>
      <c r="N62" s="84">
        <f>LCI_HC!$E15*'IW+_mid'!N28</f>
        <v>4.8086204395542008E-3</v>
      </c>
      <c r="O62" s="84">
        <f>LCI_HC!$E15*'IW+_mid'!O28</f>
        <v>0.46657472872745775</v>
      </c>
      <c r="P62" s="84">
        <f>LCI_HC!$E15*'IW+_mid'!P28</f>
        <v>5.2165315841502998E-7</v>
      </c>
      <c r="Q62" s="84">
        <f>LCI_HC!$E15*'IW+_mid'!Q28</f>
        <v>6.0564611919859401E-3</v>
      </c>
      <c r="R62" s="84">
        <f>LCI_HC!$E15*'IW+_mid'!R28</f>
        <v>2.5312288280593329E-2</v>
      </c>
      <c r="S62" s="84">
        <f>LCI_HC!$E15*'IW+_mid'!S28</f>
        <v>6.650234456763153E-2</v>
      </c>
      <c r="T62" s="84">
        <f>LCI_HC!$E15*'IW+_mid'!T28</f>
        <v>27.567982911920282</v>
      </c>
    </row>
    <row r="63" spans="1:28" x14ac:dyDescent="0.35">
      <c r="A63" s="100"/>
      <c r="B63" s="83" t="s">
        <v>230</v>
      </c>
      <c r="C63" s="84">
        <f>LCI_HC!$E16*'IW+_mid'!C30</f>
        <v>1.2567384720857138</v>
      </c>
      <c r="D63" s="84">
        <f>LCI_HC!$E16*'IW+_mid'!D30</f>
        <v>1.3338680131740035</v>
      </c>
      <c r="E63" s="84">
        <f>LCI_HC!$E16*'IW+_mid'!E30</f>
        <v>23.386831225863222</v>
      </c>
      <c r="F63" s="84">
        <f>LCI_HC!$E16*'IW+_mid'!F30</f>
        <v>2.023895294857702E-2</v>
      </c>
      <c r="G63" s="84">
        <f>LCI_HC!$E16*'IW+_mid'!G30</f>
        <v>493.87974212277186</v>
      </c>
      <c r="H63" s="84">
        <f>LCI_HC!$E16*'IW+_mid'!H30</f>
        <v>3.4134255024316339E-3</v>
      </c>
      <c r="I63" s="84">
        <f>LCI_HC!$E16*'IW+_mid'!I30</f>
        <v>4.4735720309215414E-8</v>
      </c>
      <c r="J63" s="84">
        <f>LCI_HC!$E16*'IW+_mid'!J30</f>
        <v>4.3711663276355398E-7</v>
      </c>
      <c r="K63" s="84">
        <f>LCI_HC!$E16*'IW+_mid'!K30</f>
        <v>48.233368494837606</v>
      </c>
      <c r="L63" s="84">
        <f>LCI_HC!$E16*'IW+_mid'!L30</f>
        <v>0.11106607147117058</v>
      </c>
      <c r="M63" s="84">
        <f>LCI_HC!$E16*'IW+_mid'!M30</f>
        <v>5.2810708170083912E-4</v>
      </c>
      <c r="N63" s="84">
        <f>LCI_HC!$E16*'IW+_mid'!N30</f>
        <v>1.7640810605830737E-4</v>
      </c>
      <c r="O63" s="84">
        <f>LCI_HC!$E16*'IW+_mid'!O30</f>
        <v>7.0441773159003435E-2</v>
      </c>
      <c r="P63" s="84">
        <f>LCI_HC!$E16*'IW+_mid'!P30</f>
        <v>3.0570308585662721E-8</v>
      </c>
      <c r="Q63" s="84">
        <f>LCI_HC!$E16*'IW+_mid'!Q30</f>
        <v>2.8269622994805768E-3</v>
      </c>
      <c r="R63" s="84">
        <f>LCI_HC!$E16*'IW+_mid'!R30</f>
        <v>3.2499781494862937E-3</v>
      </c>
      <c r="S63" s="84">
        <f>LCI_HC!$E16*'IW+_mid'!S30</f>
        <v>2.0507715013613547E-2</v>
      </c>
      <c r="T63" s="84">
        <f>LCI_HC!$E16*'IW+_mid'!T30</f>
        <v>3.1641899920453693</v>
      </c>
    </row>
    <row r="64" spans="1:28" x14ac:dyDescent="0.35">
      <c r="A64" s="100"/>
      <c r="B64" s="83" t="s">
        <v>229</v>
      </c>
      <c r="C64" s="84">
        <f>LCI_HC!$E17*'IW+_mid'!C29</f>
        <v>3.1037839646180649</v>
      </c>
      <c r="D64" s="84">
        <f>LCI_HC!$E17*'IW+_mid'!D29</f>
        <v>3.3503467244399605</v>
      </c>
      <c r="E64" s="84">
        <f>LCI_HC!$E17*'IW+_mid'!E29</f>
        <v>54.318388846732752</v>
      </c>
      <c r="F64" s="84">
        <f>LCI_HC!$E17*'IW+_mid'!F29</f>
        <v>1.0885943881061129E-2</v>
      </c>
      <c r="G64" s="84">
        <f>LCI_HC!$E17*'IW+_mid'!G29</f>
        <v>1315.8487975891778</v>
      </c>
      <c r="H64" s="84">
        <f>LCI_HC!$E17*'IW+_mid'!H29</f>
        <v>3.9960693025590789E-5</v>
      </c>
      <c r="I64" s="84">
        <f>LCI_HC!$E17*'IW+_mid'!I29</f>
        <v>8.140165454639666E-8</v>
      </c>
      <c r="J64" s="84">
        <f>LCI_HC!$E17*'IW+_mid'!J29</f>
        <v>4.3794977929133372E-7</v>
      </c>
      <c r="K64" s="84">
        <f>LCI_HC!$E17*'IW+_mid'!K29</f>
        <v>18.876054052000651</v>
      </c>
      <c r="L64" s="84">
        <f>LCI_HC!$E17*'IW+_mid'!L29</f>
        <v>0.18024696349230282</v>
      </c>
      <c r="M64" s="84">
        <f>LCI_HC!$E17*'IW+_mid'!M29</f>
        <v>1.3653626274046928E-3</v>
      </c>
      <c r="N64" s="84">
        <f>LCI_HC!$E17*'IW+_mid'!N29</f>
        <v>4.5919648274089954E-4</v>
      </c>
      <c r="O64" s="84">
        <f>LCI_HC!$E17*'IW+_mid'!O29</f>
        <v>0.12588080066105384</v>
      </c>
      <c r="P64" s="84">
        <f>LCI_HC!$E17*'IW+_mid'!P29</f>
        <v>1.0107031602291122E-7</v>
      </c>
      <c r="Q64" s="84">
        <f>LCI_HC!$E17*'IW+_mid'!Q29</f>
        <v>1.6493052031646834E-3</v>
      </c>
      <c r="R64" s="84">
        <f>LCI_HC!$E17*'IW+_mid'!R29</f>
        <v>1.1872129014621213E-2</v>
      </c>
      <c r="S64" s="84">
        <f>LCI_HC!$E17*'IW+_mid'!S29</f>
        <v>1.1764363268456137E-2</v>
      </c>
      <c r="T64" s="103">
        <f>LCI_HC!$E17*'IW+_mid'!T29</f>
        <v>1.5764216817741601</v>
      </c>
      <c r="U64" s="71"/>
    </row>
    <row r="65" spans="1:20" x14ac:dyDescent="0.35">
      <c r="A65" s="83"/>
      <c r="B65" s="83" t="s">
        <v>231</v>
      </c>
      <c r="C65" s="84">
        <f>LCI_HC!$E18*'IW+_mid'!C31</f>
        <v>3.7994598894504699</v>
      </c>
      <c r="D65" s="84">
        <f>LCI_HC!$E18*'IW+_mid'!D31</f>
        <v>6.2610701545778342</v>
      </c>
      <c r="E65" s="84">
        <f>LCI_HC!$E18*'IW+_mid'!E31</f>
        <v>4414.6904945370943</v>
      </c>
      <c r="F65" s="84">
        <f>LCI_HC!$E18*'IW+_mid'!F31</f>
        <v>1.332628082825774E-2</v>
      </c>
      <c r="G65" s="84">
        <f>LCI_HC!$E18*'IW+_mid'!G31</f>
        <v>837.76569236604564</v>
      </c>
      <c r="H65" s="84">
        <f>LCI_HC!$E18*'IW+_mid'!H31</f>
        <v>5.040677234061083E-5</v>
      </c>
      <c r="I65" s="84">
        <f>LCI_HC!$E18*'IW+_mid'!I31</f>
        <v>1.2402941928639649E-7</v>
      </c>
      <c r="J65" s="84">
        <f>LCI_HC!$E18*'IW+_mid'!J31</f>
        <v>4.0604223193134332E-7</v>
      </c>
      <c r="K65" s="84">
        <f>LCI_HC!$E18*'IW+_mid'!K31</f>
        <v>267.18213429275914</v>
      </c>
      <c r="L65" s="84">
        <f>LCI_HC!$E18*'IW+_mid'!L31</f>
        <v>0.50308563822364916</v>
      </c>
      <c r="M65" s="84">
        <f>LCI_HC!$E18*'IW+_mid'!M31</f>
        <v>1.0712916581378015E-2</v>
      </c>
      <c r="N65" s="84">
        <f>LCI_HC!$E18*'IW+_mid'!N31</f>
        <v>7.2809590454066459E-4</v>
      </c>
      <c r="O65" s="84">
        <f>LCI_HC!$E18*'IW+_mid'!O31</f>
        <v>0.15212011260480582</v>
      </c>
      <c r="P65" s="84">
        <f>LCI_HC!$E18*'IW+_mid'!P31</f>
        <v>6.3831439721680437E-8</v>
      </c>
      <c r="Q65" s="84">
        <f>LCI_HC!$E18*'IW+_mid'!Q31</f>
        <v>2.2254484637359881E-3</v>
      </c>
      <c r="R65" s="84">
        <f>LCI_HC!$E18*'IW+_mid'!R31</f>
        <v>2.1070831869198878E-2</v>
      </c>
      <c r="S65" s="84">
        <f>LCI_HC!$E18*'IW+_mid'!S31</f>
        <v>1.4610216025188135E-2</v>
      </c>
      <c r="T65" s="84">
        <f>LCI_HC!$E18*'IW+_mid'!T31</f>
        <v>14.029721905327388</v>
      </c>
    </row>
    <row r="68" spans="1:20" x14ac:dyDescent="0.35">
      <c r="A68" s="158" t="s">
        <v>417</v>
      </c>
      <c r="B68" s="158"/>
      <c r="C68" s="158"/>
      <c r="D68" s="158"/>
      <c r="E68" s="158"/>
      <c r="F68" s="158"/>
      <c r="G68" s="158"/>
    </row>
    <row r="69" spans="1:20" ht="29" x14ac:dyDescent="0.35">
      <c r="A69" s="78" t="s">
        <v>0</v>
      </c>
      <c r="B69" s="75"/>
      <c r="C69" s="105" t="s">
        <v>403</v>
      </c>
      <c r="D69" s="105" t="s">
        <v>404</v>
      </c>
      <c r="E69" s="105" t="s">
        <v>405</v>
      </c>
      <c r="F69" s="105" t="s">
        <v>406</v>
      </c>
      <c r="G69" s="105" t="s">
        <v>407</v>
      </c>
    </row>
    <row r="70" spans="1:20" x14ac:dyDescent="0.35">
      <c r="A70" s="79" t="s">
        <v>294</v>
      </c>
      <c r="B70" s="75"/>
      <c r="C70" s="106">
        <f>SUM(C71:C74)</f>
        <v>34.264521044421535</v>
      </c>
      <c r="D70" s="106">
        <f t="shared" ref="D70:G70" si="15">SUM(D71:D74)</f>
        <v>34.167498478606134</v>
      </c>
      <c r="E70" s="106">
        <f t="shared" si="15"/>
        <v>89.514107231873453</v>
      </c>
      <c r="F70" s="106">
        <f t="shared" si="15"/>
        <v>1.6236575906408505E-5</v>
      </c>
      <c r="G70" s="106">
        <f t="shared" si="15"/>
        <v>1.4632061758519388</v>
      </c>
    </row>
    <row r="71" spans="1:20" x14ac:dyDescent="0.35">
      <c r="A71" s="75"/>
      <c r="B71" s="75" t="s">
        <v>96</v>
      </c>
      <c r="C71" s="76">
        <f>LCI_HC!$E4*'IW+f'!C12</f>
        <v>9.3973499999999994</v>
      </c>
      <c r="D71" s="76">
        <f>LCI_HC!$E4*'IW+f'!D12</f>
        <v>0</v>
      </c>
      <c r="E71" s="76">
        <f>LCI_HC!$E4*'IW+f'!E12</f>
        <v>0</v>
      </c>
      <c r="F71" s="76">
        <f>LCI_HC!$E4*'IW+f'!F12</f>
        <v>0</v>
      </c>
      <c r="G71" s="76">
        <f>LCI_HC!$E4*'IW+f'!G12</f>
        <v>0</v>
      </c>
    </row>
    <row r="72" spans="1:20" x14ac:dyDescent="0.35">
      <c r="A72" s="75"/>
      <c r="B72" s="75" t="s">
        <v>110</v>
      </c>
      <c r="C72" s="76">
        <f>LCI_HC!$E6*'IW+f'!C18</f>
        <v>0</v>
      </c>
      <c r="D72" s="76">
        <f>LCI_HC!$E6*'IW+f'!D18</f>
        <v>1.7066434170547904</v>
      </c>
      <c r="E72" s="76">
        <f>LCI_HC!$E6*'IW+f'!E18</f>
        <v>0</v>
      </c>
      <c r="F72" s="76">
        <f>LCI_HC!$E6*'IW+f'!F18</f>
        <v>1.1483159701098625E-5</v>
      </c>
      <c r="G72" s="76">
        <f>LCI_HC!$E6*'IW+f'!G18</f>
        <v>0</v>
      </c>
    </row>
    <row r="73" spans="1:20" x14ac:dyDescent="0.35">
      <c r="A73" s="75"/>
      <c r="B73" s="75" t="s">
        <v>111</v>
      </c>
      <c r="C73" s="76">
        <f>LCI_HC!$E5*'IW+f'!C20</f>
        <v>19.150676999999998</v>
      </c>
      <c r="D73" s="76">
        <f>LCI_HC!$E5*'IW+f'!D20</f>
        <v>0</v>
      </c>
      <c r="E73" s="76">
        <f>LCI_HC!$E5*'IW+f'!E20</f>
        <v>0</v>
      </c>
      <c r="F73" s="76">
        <f>LCI_HC!$E5*'IW+f'!F20</f>
        <v>0</v>
      </c>
      <c r="G73" s="76">
        <f>LCI_HC!$E5*'IW+f'!G20</f>
        <v>0</v>
      </c>
    </row>
    <row r="74" spans="1:20" x14ac:dyDescent="0.35">
      <c r="A74" s="75"/>
      <c r="B74" s="75" t="s">
        <v>340</v>
      </c>
      <c r="C74" s="76">
        <f>LCI_HC!$E7*'IW+f'!C35</f>
        <v>5.7164940444215384</v>
      </c>
      <c r="D74" s="76">
        <f>LCI_HC!$E7*'IW+f'!D35</f>
        <v>32.460855061551342</v>
      </c>
      <c r="E74" s="76">
        <f>LCI_HC!$E7*'IW+f'!E35</f>
        <v>89.514107231873453</v>
      </c>
      <c r="F74" s="76">
        <f>LCI_HC!$E7*'IW+f'!F35</f>
        <v>4.7534162053098814E-6</v>
      </c>
      <c r="G74" s="76">
        <f>LCI_HC!$E7*'IW+f'!G35</f>
        <v>1.4632061758519388</v>
      </c>
    </row>
    <row r="75" spans="1:20" s="40" customFormat="1" x14ac:dyDescent="0.35">
      <c r="A75" s="79" t="s">
        <v>351</v>
      </c>
      <c r="B75" s="78"/>
      <c r="C75" s="106">
        <f>SUM(C76:C80)</f>
        <v>-320.64976274672284</v>
      </c>
      <c r="D75" s="106">
        <f t="shared" ref="D75:G75" si="16">SUM(D76:D80)</f>
        <v>30.383219957911656</v>
      </c>
      <c r="E75" s="106">
        <f t="shared" si="16"/>
        <v>0</v>
      </c>
      <c r="F75" s="106">
        <f t="shared" si="16"/>
        <v>6.4724516847563201E-5</v>
      </c>
      <c r="G75" s="106">
        <f t="shared" si="16"/>
        <v>0</v>
      </c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</row>
    <row r="76" spans="1:20" x14ac:dyDescent="0.35">
      <c r="A76" s="75"/>
      <c r="B76" s="75" t="s">
        <v>110</v>
      </c>
      <c r="C76" s="77">
        <f>LCI_HC!$E9*'IW+f'!C18</f>
        <v>0</v>
      </c>
      <c r="D76" s="77">
        <f>LCI_HC!$E9*'IW+f'!D18</f>
        <v>9.619449130310139</v>
      </c>
      <c r="E76" s="77">
        <f>LCI_HC!$E9*'IW+f'!E18</f>
        <v>0</v>
      </c>
      <c r="F76" s="77">
        <f>LCI_HC!$E9*'IW+f'!F18</f>
        <v>6.4724516847563201E-5</v>
      </c>
      <c r="G76" s="77">
        <f>LCI_HC!$E9*'IW+f'!G18</f>
        <v>0</v>
      </c>
    </row>
    <row r="77" spans="1:20" x14ac:dyDescent="0.35">
      <c r="A77" s="75"/>
      <c r="B77" s="75" t="s">
        <v>111</v>
      </c>
      <c r="C77" s="77">
        <f>LCI_HC!$E10*'IW+f'!C20</f>
        <v>35.750237253277092</v>
      </c>
      <c r="D77" s="77">
        <f>LCI_HC!$E10*'IW+f'!D20</f>
        <v>0</v>
      </c>
      <c r="E77" s="77">
        <f>LCI_HC!$E10*'IW+f'!E20</f>
        <v>0</v>
      </c>
      <c r="F77" s="77">
        <f>LCI_HC!$E10*'IW+f'!F20</f>
        <v>0</v>
      </c>
      <c r="G77" s="77">
        <f>LCI_HC!$E10*'IW+f'!G20</f>
        <v>0</v>
      </c>
    </row>
    <row r="78" spans="1:20" x14ac:dyDescent="0.35">
      <c r="A78" s="75"/>
      <c r="B78" s="75" t="s">
        <v>114</v>
      </c>
      <c r="C78" s="77">
        <f>LCI_HC!$E11*'IW+f'!C21</f>
        <v>0</v>
      </c>
      <c r="D78" s="77">
        <f>LCI_HC!$E11*'IW+f'!D21</f>
        <v>26.898562863537109</v>
      </c>
      <c r="E78" s="77">
        <f>LCI_HC!$E11*'IW+f'!E21</f>
        <v>0</v>
      </c>
      <c r="F78" s="77">
        <f>LCI_HC!$E11*'IW+f'!F21</f>
        <v>0</v>
      </c>
      <c r="G78" s="77">
        <f>LCI_HC!$E11*'IW+f'!G21</f>
        <v>0</v>
      </c>
    </row>
    <row r="79" spans="1:20" x14ac:dyDescent="0.35">
      <c r="A79" s="75"/>
      <c r="B79" s="75" t="s">
        <v>414</v>
      </c>
      <c r="C79" s="77">
        <f>LCI_HC!$E12*'IW+f'!C25</f>
        <v>0</v>
      </c>
      <c r="D79" s="77">
        <f>LCI_HC!$E12*'IW+f'!D25</f>
        <v>-0.25419203593559148</v>
      </c>
      <c r="E79" s="77">
        <f>LCI_HC!$E12*'IW+f'!E25</f>
        <v>0</v>
      </c>
      <c r="F79" s="77">
        <f>LCI_HC!$E12*'IW+f'!F25</f>
        <v>0</v>
      </c>
      <c r="G79" s="77">
        <f>LCI_HC!$E12*'IW+f'!G25</f>
        <v>0</v>
      </c>
    </row>
    <row r="80" spans="1:20" x14ac:dyDescent="0.35">
      <c r="A80" s="75"/>
      <c r="B80" s="75" t="s">
        <v>415</v>
      </c>
      <c r="C80" s="77">
        <f>LCI_HC!$E13*'IW+f'!C26</f>
        <v>-356.39999999999992</v>
      </c>
      <c r="D80" s="77">
        <f>LCI_HC!$E13*'IW+f'!D26</f>
        <v>-5.8805999999999994</v>
      </c>
      <c r="E80" s="77">
        <f>LCI_HC!$E13*'IW+f'!E26</f>
        <v>0</v>
      </c>
      <c r="F80" s="77">
        <f>LCI_HC!$E13*'IW+f'!F26</f>
        <v>0</v>
      </c>
      <c r="G80" s="77">
        <f>LCI_HC!$E13*'IW+f'!G26</f>
        <v>0</v>
      </c>
    </row>
    <row r="81" spans="1:20" s="40" customFormat="1" x14ac:dyDescent="0.35">
      <c r="A81" s="79" t="s">
        <v>413</v>
      </c>
      <c r="B81" s="78"/>
      <c r="C81" s="106">
        <f>SUM(C82:C85)</f>
        <v>29.25339567634315</v>
      </c>
      <c r="D81" s="106">
        <f t="shared" ref="D81:G81" si="17">SUM(D82:D85)</f>
        <v>6.5743816775771826</v>
      </c>
      <c r="E81" s="106">
        <f t="shared" si="17"/>
        <v>4761.6247250279694</v>
      </c>
      <c r="F81" s="106">
        <f t="shared" si="17"/>
        <v>2.7345412759794961E-5</v>
      </c>
      <c r="G81" s="106">
        <f t="shared" si="17"/>
        <v>46.338316491067204</v>
      </c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</row>
    <row r="82" spans="1:20" x14ac:dyDescent="0.35">
      <c r="A82" s="75"/>
      <c r="B82" s="75" t="s">
        <v>228</v>
      </c>
      <c r="C82" s="76">
        <f>LCI_HC!$E15*'IW+f'!C28</f>
        <v>18.308110784151349</v>
      </c>
      <c r="D82" s="76">
        <f>LCI_HC!$E15*'IW+f'!D28</f>
        <v>2.4292887731590418</v>
      </c>
      <c r="E82" s="76">
        <f>LCI_HC!$E15*'IW+f'!E28</f>
        <v>269.22901041827924</v>
      </c>
      <c r="F82" s="76">
        <f>LCI_HC!$E15*'IW+f'!F28</f>
        <v>1.3430629822839985E-5</v>
      </c>
      <c r="G82" s="76">
        <f>LCI_HC!$E15*'IW+f'!G28</f>
        <v>27.567982911920282</v>
      </c>
    </row>
    <row r="83" spans="1:20" x14ac:dyDescent="0.35">
      <c r="A83" s="75"/>
      <c r="B83" s="75" t="s">
        <v>230</v>
      </c>
      <c r="C83" s="76">
        <f>LCI_HC!$E16*'IW+f'!C30</f>
        <v>1.3338680131740035</v>
      </c>
      <c r="D83" s="76">
        <f>LCI_HC!$E16*'IW+f'!D30</f>
        <v>0.62166936201070866</v>
      </c>
      <c r="E83" s="76">
        <f>LCI_HC!$E16*'IW+f'!E30</f>
        <v>23.386831225863222</v>
      </c>
      <c r="F83" s="76">
        <f>LCI_HC!$E16*'IW+f'!F30</f>
        <v>5.1310109062572922E-6</v>
      </c>
      <c r="G83" s="76">
        <f>LCI_HC!$E16*'IW+f'!G30</f>
        <v>3.1641899920453693</v>
      </c>
    </row>
    <row r="84" spans="1:20" x14ac:dyDescent="0.35">
      <c r="A84" s="75"/>
      <c r="B84" s="75" t="s">
        <v>229</v>
      </c>
      <c r="C84" s="76">
        <f>LCI_HC!$E17*'IW+f'!C29</f>
        <v>3.3503467244399605</v>
      </c>
      <c r="D84" s="76">
        <f>LCI_HC!$E17*'IW+f'!D29</f>
        <v>0.81540585903248997</v>
      </c>
      <c r="E84" s="76">
        <f>LCI_HC!$E17*'IW+f'!E29</f>
        <v>54.318388846732752</v>
      </c>
      <c r="F84" s="76">
        <f>LCI_HC!$E17*'IW+f'!F29</f>
        <v>3.7579757195396908E-6</v>
      </c>
      <c r="G84" s="76">
        <f>LCI_HC!$E17*'IW+f'!G29</f>
        <v>1.5764216817741601</v>
      </c>
    </row>
    <row r="85" spans="1:20" x14ac:dyDescent="0.35">
      <c r="A85" s="75"/>
      <c r="B85" s="75" t="s">
        <v>231</v>
      </c>
      <c r="C85" s="76">
        <f>LCI_HC!$E18*'IW+f'!C31</f>
        <v>6.2610701545778342</v>
      </c>
      <c r="D85" s="76">
        <f>LCI_HC!$E18*'IW+f'!D31</f>
        <v>2.7080176833749428</v>
      </c>
      <c r="E85" s="76">
        <f>LCI_HC!$E18*'IW+f'!E31</f>
        <v>4414.6904945370943</v>
      </c>
      <c r="F85" s="76">
        <f>LCI_HC!$E18*'IW+f'!F31</f>
        <v>5.0257963111579954E-6</v>
      </c>
      <c r="G85" s="76">
        <f>LCI_HC!$E18*'IW+f'!G31</f>
        <v>14.029721905327388</v>
      </c>
    </row>
    <row r="87" spans="1:20" x14ac:dyDescent="0.35">
      <c r="A87" s="78" t="s">
        <v>494</v>
      </c>
      <c r="B87" s="75"/>
      <c r="C87" s="78">
        <f>C70+C75-C81</f>
        <v>-315.63863737864443</v>
      </c>
      <c r="D87" s="78">
        <f t="shared" ref="D87:G87" si="18">D70+D75-D81</f>
        <v>57.976336758940619</v>
      </c>
      <c r="E87" s="78">
        <f t="shared" si="18"/>
        <v>-4672.1106177960955</v>
      </c>
      <c r="F87" s="78">
        <f t="shared" si="18"/>
        <v>5.3615679994176751E-5</v>
      </c>
      <c r="G87" s="78">
        <f t="shared" si="18"/>
        <v>-44.875110315215267</v>
      </c>
    </row>
  </sheetData>
  <mergeCells count="5">
    <mergeCell ref="A68:G68"/>
    <mergeCell ref="A2:T2"/>
    <mergeCell ref="A13:AA13"/>
    <mergeCell ref="A28:AK28"/>
    <mergeCell ref="A48:T48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2EB63-8CA3-48F0-9D3C-7F15D66E0431}">
  <dimension ref="A3:AK99"/>
  <sheetViews>
    <sheetView topLeftCell="X57" zoomScale="80" zoomScaleNormal="80" workbookViewId="0">
      <selection activeCell="AH99" sqref="AH99"/>
    </sheetView>
  </sheetViews>
  <sheetFormatPr baseColWidth="10" defaultRowHeight="14.5" x14ac:dyDescent="0.35"/>
  <cols>
    <col min="1" max="1" width="25.453125" customWidth="1"/>
    <col min="2" max="2" width="17.90625" customWidth="1"/>
    <col min="3" max="3" width="16.54296875" customWidth="1"/>
  </cols>
  <sheetData>
    <row r="3" spans="1:7" x14ac:dyDescent="0.35">
      <c r="A3" s="154" t="s">
        <v>420</v>
      </c>
      <c r="B3" s="155"/>
      <c r="C3" s="155"/>
      <c r="D3" s="155"/>
      <c r="E3" s="155"/>
      <c r="F3" s="155"/>
      <c r="G3" s="156"/>
    </row>
    <row r="4" spans="1:7" ht="43.5" x14ac:dyDescent="0.35">
      <c r="A4" s="108" t="s">
        <v>0</v>
      </c>
      <c r="B4" s="108"/>
      <c r="C4" s="108" t="s">
        <v>403</v>
      </c>
      <c r="D4" s="108" t="s">
        <v>404</v>
      </c>
      <c r="E4" s="108" t="s">
        <v>405</v>
      </c>
      <c r="F4" s="108" t="s">
        <v>406</v>
      </c>
      <c r="G4" s="108" t="s">
        <v>407</v>
      </c>
    </row>
    <row r="5" spans="1:7" x14ac:dyDescent="0.35">
      <c r="A5" s="121" t="s">
        <v>6</v>
      </c>
      <c r="B5" s="122"/>
      <c r="C5" s="123">
        <f>SUM(C6,C9,C12,C16,C25,C28)</f>
        <v>115.03586225244955</v>
      </c>
      <c r="D5" s="123">
        <f t="shared" ref="D5:G5" si="0">SUM(D6,D9,D12,D16,D25,D28)</f>
        <v>11.454434553539775</v>
      </c>
      <c r="E5" s="123">
        <f t="shared" si="0"/>
        <v>690.22819482932391</v>
      </c>
      <c r="F5" s="123">
        <f t="shared" si="0"/>
        <v>1.3649692582535277E-4</v>
      </c>
      <c r="G5" s="123">
        <f t="shared" si="0"/>
        <v>16.267041103736279</v>
      </c>
    </row>
    <row r="6" spans="1:7" x14ac:dyDescent="0.35">
      <c r="A6" s="114" t="s">
        <v>5</v>
      </c>
      <c r="B6" s="113"/>
      <c r="C6" s="114">
        <f>SUM(C7:C8)</f>
        <v>0.77610650091942801</v>
      </c>
      <c r="D6" s="114">
        <f t="shared" ref="D6:G6" si="1">SUM(D7:D8)</f>
        <v>0.11916920601637257</v>
      </c>
      <c r="E6" s="114">
        <f t="shared" si="1"/>
        <v>116.96082759610819</v>
      </c>
      <c r="F6" s="114">
        <f t="shared" si="1"/>
        <v>7.7420482538410759E-7</v>
      </c>
      <c r="G6" s="114">
        <f t="shared" si="1"/>
        <v>1.2592266934323948</v>
      </c>
    </row>
    <row r="7" spans="1:7" x14ac:dyDescent="0.35">
      <c r="A7" s="113"/>
      <c r="B7" s="113" t="s">
        <v>249</v>
      </c>
      <c r="C7" s="113">
        <f>'LCI_AD-b'!$E4*'IW+f'!C2</f>
        <v>0.77610650091942801</v>
      </c>
      <c r="D7" s="113">
        <f>'LCI_AD-b'!$E4*'IW+f'!D2</f>
        <v>0.11916920601637257</v>
      </c>
      <c r="E7" s="113">
        <f>'LCI_AD-b'!$E4*'IW+f'!E2</f>
        <v>116.96082759610819</v>
      </c>
      <c r="F7" s="113">
        <f>'LCI_AD-b'!$E4*'IW+f'!F2</f>
        <v>7.7420482538410759E-7</v>
      </c>
      <c r="G7" s="113">
        <f>'LCI_AD-b'!$E4*'IW+f'!G2</f>
        <v>1.2592266934323948</v>
      </c>
    </row>
    <row r="8" spans="1:7" x14ac:dyDescent="0.35">
      <c r="A8" s="113"/>
      <c r="B8" s="113" t="s">
        <v>250</v>
      </c>
      <c r="C8" s="113">
        <f>'LCI_AD-b'!$E5*'IW+f'!C3</f>
        <v>0</v>
      </c>
      <c r="D8" s="113">
        <f>'LCI_AD-b'!$E5*'IW+f'!D3</f>
        <v>0</v>
      </c>
      <c r="E8" s="113">
        <f>'LCI_AD-b'!$E5*'IW+f'!E3</f>
        <v>0</v>
      </c>
      <c r="F8" s="113">
        <f>'LCI_AD-b'!$E5*'IW+f'!F3</f>
        <v>0</v>
      </c>
      <c r="G8" s="113">
        <f>'LCI_AD-b'!$E5*'IW+f'!G3</f>
        <v>0</v>
      </c>
    </row>
    <row r="9" spans="1:7" x14ac:dyDescent="0.35">
      <c r="A9" s="112" t="s">
        <v>235</v>
      </c>
      <c r="B9" s="113"/>
      <c r="C9" s="111">
        <f>SUM(C10:C11)</f>
        <v>9.4912725301666416</v>
      </c>
      <c r="D9" s="111">
        <f t="shared" ref="D9:G9" si="2">SUM(D10:D11)</f>
        <v>1.776054546690981</v>
      </c>
      <c r="E9" s="111">
        <f t="shared" si="2"/>
        <v>70.109593887244714</v>
      </c>
      <c r="F9" s="111">
        <f t="shared" si="2"/>
        <v>3.9183035816743554E-5</v>
      </c>
      <c r="G9" s="111">
        <f t="shared" si="2"/>
        <v>10.018540305643455</v>
      </c>
    </row>
    <row r="10" spans="1:7" x14ac:dyDescent="0.35">
      <c r="A10" s="113"/>
      <c r="B10" s="113" t="s">
        <v>286</v>
      </c>
      <c r="C10" s="115">
        <f>'LCI_AD-b'!$E7*'IW+f'!C4</f>
        <v>0.43472978582596905</v>
      </c>
      <c r="D10" s="115">
        <f>'LCI_AD-b'!$E7*'IW+f'!D4</f>
        <v>6.359420180299287E-2</v>
      </c>
      <c r="E10" s="115">
        <f>'LCI_AD-b'!$E7*'IW+f'!E4</f>
        <v>6.5761119524385903</v>
      </c>
      <c r="F10" s="115">
        <f>'LCI_AD-b'!$E7*'IW+f'!F4</f>
        <v>3.4579966311397133E-7</v>
      </c>
      <c r="G10" s="115">
        <f>'LCI_AD-b'!$E7*'IW+f'!G4</f>
        <v>3.9223403259142219E-2</v>
      </c>
    </row>
    <row r="11" spans="1:7" x14ac:dyDescent="0.35">
      <c r="A11" s="113"/>
      <c r="B11" s="113" t="s">
        <v>235</v>
      </c>
      <c r="C11" s="113">
        <f>'LCI_AD-b'!$E8*'IW+f'!C5</f>
        <v>9.056542744340673</v>
      </c>
      <c r="D11" s="113">
        <f>'LCI_AD-b'!$E8*'IW+f'!D5</f>
        <v>1.712460344887988</v>
      </c>
      <c r="E11" s="113">
        <f>'LCI_AD-b'!$E8*'IW+f'!E5</f>
        <v>63.533481934806119</v>
      </c>
      <c r="F11" s="113">
        <f>'LCI_AD-b'!$E8*'IW+f'!F5</f>
        <v>3.8837236153629584E-5</v>
      </c>
      <c r="G11" s="113">
        <f>'LCI_AD-b'!$E8*'IW+f'!G5</f>
        <v>9.9793169023843138</v>
      </c>
    </row>
    <row r="12" spans="1:7" x14ac:dyDescent="0.35">
      <c r="A12" s="112" t="s">
        <v>6</v>
      </c>
      <c r="B12" s="113"/>
      <c r="C12" s="114">
        <f>SUM(C13:C15)</f>
        <v>52.2487117086675</v>
      </c>
      <c r="D12" s="114">
        <f t="shared" ref="D12:G12" si="3">SUM(D13:D15)</f>
        <v>2.7873234481033835</v>
      </c>
      <c r="E12" s="114">
        <f t="shared" si="3"/>
        <v>416.86802336275355</v>
      </c>
      <c r="F12" s="114">
        <f t="shared" si="3"/>
        <v>4.5598347798669536E-5</v>
      </c>
      <c r="G12" s="114">
        <f t="shared" si="3"/>
        <v>4.3060093715788508</v>
      </c>
    </row>
    <row r="13" spans="1:7" x14ac:dyDescent="0.35">
      <c r="A13" s="113"/>
      <c r="B13" s="113" t="s">
        <v>8</v>
      </c>
      <c r="C13" s="113">
        <f>'LCI_AD-b'!$E10*'IW+f'!C2</f>
        <v>1.7365188542616061</v>
      </c>
      <c r="D13" s="113">
        <f>'LCI_AD-b'!$E10*'IW+f'!D2</f>
        <v>0.26663811326108211</v>
      </c>
      <c r="E13" s="113">
        <f>'LCI_AD-b'!$E10*'IW+f'!E2</f>
        <v>261.69692186584126</v>
      </c>
      <c r="F13" s="113">
        <f>'LCI_AD-b'!$E10*'IW+f'!F2</f>
        <v>1.7322639028884893E-6</v>
      </c>
      <c r="G13" s="113">
        <f>'LCI_AD-b'!$E10*'IW+f'!G2</f>
        <v>2.8174881828001381</v>
      </c>
    </row>
    <row r="14" spans="1:7" x14ac:dyDescent="0.35">
      <c r="A14" s="113"/>
      <c r="B14" s="113" t="s">
        <v>18</v>
      </c>
      <c r="C14" s="113">
        <f>'LCI_AD-b'!$E11*'IW+f'!C11</f>
        <v>9.6923673180164887</v>
      </c>
      <c r="D14" s="113">
        <f>'LCI_AD-b'!$E11*'IW+f'!D11</f>
        <v>2.5206853348423013</v>
      </c>
      <c r="E14" s="113">
        <f>'LCI_AD-b'!$E11*'IW+f'!E11</f>
        <v>155.17110149691229</v>
      </c>
      <c r="F14" s="113">
        <f>'LCI_AD-b'!$E11*'IW+f'!F11</f>
        <v>4.3866083895781045E-5</v>
      </c>
      <c r="G14" s="113">
        <f>'LCI_AD-b'!$E11*'IW+f'!G11</f>
        <v>1.4885211887787131</v>
      </c>
    </row>
    <row r="15" spans="1:7" x14ac:dyDescent="0.35">
      <c r="A15" s="113"/>
      <c r="B15" s="113" t="s">
        <v>96</v>
      </c>
      <c r="C15" s="113">
        <f>'LCI_AD-b'!$E12*'IW+f'!C12</f>
        <v>40.819825536389409</v>
      </c>
      <c r="D15" s="113">
        <f>'LCI_AD-b'!$E12*'IW+f'!D12</f>
        <v>0</v>
      </c>
      <c r="E15" s="113">
        <f>'LCI_AD-b'!$E12*'IW+f'!E12</f>
        <v>0</v>
      </c>
      <c r="F15" s="113">
        <f>'LCI_AD-b'!$E12*'IW+f'!F12</f>
        <v>0</v>
      </c>
      <c r="G15" s="113">
        <f>'LCI_AD-b'!$E12*'IW+f'!G12</f>
        <v>0</v>
      </c>
    </row>
    <row r="16" spans="1:7" x14ac:dyDescent="0.35">
      <c r="A16" s="114" t="s">
        <v>7</v>
      </c>
      <c r="B16" s="113"/>
      <c r="C16" s="114">
        <f>SUM(C17:C24)</f>
        <v>32.256746593232833</v>
      </c>
      <c r="D16" s="114">
        <f t="shared" ref="D16:G16" si="4">SUM(D17:D24)</f>
        <v>1.0301218230556968</v>
      </c>
      <c r="E16" s="114">
        <f t="shared" si="4"/>
        <v>0</v>
      </c>
      <c r="F16" s="114">
        <f t="shared" si="4"/>
        <v>1.4080267504153357E-5</v>
      </c>
      <c r="G16" s="114">
        <f t="shared" si="4"/>
        <v>0</v>
      </c>
    </row>
    <row r="17" spans="1:7" x14ac:dyDescent="0.35">
      <c r="A17" s="113"/>
      <c r="B17" s="113" t="s">
        <v>50</v>
      </c>
      <c r="C17" s="113">
        <f>'LCI_AD-b'!$E16*'IW+f'!C13</f>
        <v>0</v>
      </c>
      <c r="D17" s="113">
        <f>'LCI_AD-b'!$E16*'IW+f'!D13</f>
        <v>0.59971300052812748</v>
      </c>
      <c r="E17" s="113">
        <f>'LCI_AD-b'!$E16*'IW+f'!E13</f>
        <v>0</v>
      </c>
      <c r="F17" s="113">
        <f>'LCI_AD-b'!$E16*'IW+f'!F13</f>
        <v>7.2309636082261313E-7</v>
      </c>
      <c r="G17" s="113">
        <f>'LCI_AD-b'!$E16*'IW+f'!G13</f>
        <v>0</v>
      </c>
    </row>
    <row r="18" spans="1:7" x14ac:dyDescent="0.35">
      <c r="A18" s="113"/>
      <c r="B18" s="113" t="s">
        <v>51</v>
      </c>
      <c r="C18" s="113">
        <f>'LCI_AD-b'!$E17*'IW+f'!C14</f>
        <v>0</v>
      </c>
      <c r="D18" s="113">
        <f>'LCI_AD-b'!$E17*'IW+f'!D14</f>
        <v>0</v>
      </c>
      <c r="E18" s="113">
        <f>'LCI_AD-b'!$E17*'IW+f'!E14</f>
        <v>0</v>
      </c>
      <c r="F18" s="113">
        <f>'LCI_AD-b'!$E17*'IW+f'!F14</f>
        <v>0</v>
      </c>
      <c r="G18" s="113">
        <f>'LCI_AD-b'!$E17*'IW+f'!G14</f>
        <v>0</v>
      </c>
    </row>
    <row r="19" spans="1:7" x14ac:dyDescent="0.35">
      <c r="A19" s="113"/>
      <c r="B19" s="113" t="s">
        <v>52</v>
      </c>
      <c r="C19" s="113">
        <f>'LCI_AD-b'!$E18*'IW+f'!C15</f>
        <v>0</v>
      </c>
      <c r="D19" s="113">
        <f>'LCI_AD-b'!$E18*'IW+f'!D15</f>
        <v>5.2400241326133447E-2</v>
      </c>
      <c r="E19" s="113">
        <f>'LCI_AD-b'!$E18*'IW+f'!E15</f>
        <v>0</v>
      </c>
      <c r="F19" s="113">
        <f>'LCI_AD-b'!$E18*'IW+f'!F15</f>
        <v>2.9229407484295913E-7</v>
      </c>
      <c r="G19" s="113">
        <f>'LCI_AD-b'!$E18*'IW+f'!G15</f>
        <v>0</v>
      </c>
    </row>
    <row r="20" spans="1:7" x14ac:dyDescent="0.35">
      <c r="A20" s="113"/>
      <c r="B20" s="113" t="s">
        <v>53</v>
      </c>
      <c r="C20" s="113">
        <f>'LCI_AD-b'!$E19*'IW+f'!C22</f>
        <v>0</v>
      </c>
      <c r="D20" s="113">
        <f>'LCI_AD-b'!$E19*'IW+f'!D22</f>
        <v>0</v>
      </c>
      <c r="E20" s="113">
        <f>'LCI_AD-b'!$E19*'IW+f'!E22</f>
        <v>0</v>
      </c>
      <c r="F20" s="113">
        <f>'LCI_AD-b'!$E19*'IW+f'!F22</f>
        <v>1.0521444232463526E-5</v>
      </c>
      <c r="G20" s="113">
        <f>'LCI_AD-b'!$E19*'IW+f'!G22</f>
        <v>0</v>
      </c>
    </row>
    <row r="21" spans="1:7" x14ac:dyDescent="0.35">
      <c r="A21" s="113"/>
      <c r="B21" s="113" t="s">
        <v>54</v>
      </c>
      <c r="C21" s="113">
        <f>'LCI_AD-b'!$E20*'IW+f'!C17</f>
        <v>0</v>
      </c>
      <c r="D21" s="113">
        <f>'LCI_AD-b'!$E20*'IW+f'!D17</f>
        <v>0</v>
      </c>
      <c r="E21" s="113">
        <f>'LCI_AD-b'!$E20*'IW+f'!E17</f>
        <v>0</v>
      </c>
      <c r="F21" s="113">
        <f>'LCI_AD-b'!$E20*'IW+f'!F17</f>
        <v>0</v>
      </c>
      <c r="G21" s="113">
        <f>'LCI_AD-b'!$E20*'IW+f'!G17</f>
        <v>0</v>
      </c>
    </row>
    <row r="22" spans="1:7" x14ac:dyDescent="0.35">
      <c r="A22" s="113"/>
      <c r="B22" s="113" t="s">
        <v>55</v>
      </c>
      <c r="C22" s="113">
        <f>'LCI_AD-b'!$E21*'IW+f'!C18</f>
        <v>0</v>
      </c>
      <c r="D22" s="113">
        <f>'LCI_AD-b'!$E21*'IW+f'!D18</f>
        <v>0.37800858120143593</v>
      </c>
      <c r="E22" s="113">
        <f>'LCI_AD-b'!$E21*'IW+f'!E18</f>
        <v>0</v>
      </c>
      <c r="F22" s="113">
        <f>'LCI_AD-b'!$E21*'IW+f'!F18</f>
        <v>2.5434328360242584E-6</v>
      </c>
      <c r="G22" s="113">
        <f>'LCI_AD-b'!$E21*'IW+f'!G18</f>
        <v>0</v>
      </c>
    </row>
    <row r="23" spans="1:7" x14ac:dyDescent="0.35">
      <c r="A23" s="113"/>
      <c r="B23" s="113" t="s">
        <v>58</v>
      </c>
      <c r="C23" s="113">
        <f>'LCI_AD-b'!$E22*'IW+f'!C12</f>
        <v>25.997974866187658</v>
      </c>
      <c r="D23" s="113">
        <f>'LCI_AD-b'!$E22*'IW+f'!D12</f>
        <v>0</v>
      </c>
      <c r="E23" s="113">
        <f>'LCI_AD-b'!$E22*'IW+f'!E12</f>
        <v>0</v>
      </c>
      <c r="F23" s="113">
        <f>'LCI_AD-b'!$E22*'IW+f'!F12</f>
        <v>0</v>
      </c>
      <c r="G23" s="113">
        <f>'LCI_AD-b'!$E22*'IW+f'!G12</f>
        <v>0</v>
      </c>
    </row>
    <row r="24" spans="1:7" x14ac:dyDescent="0.35">
      <c r="A24" s="113"/>
      <c r="B24" s="113" t="s">
        <v>59</v>
      </c>
      <c r="C24" s="113">
        <f>'LCI_AD-b'!$E23*'IW+f'!C20</f>
        <v>6.2587717270451764</v>
      </c>
      <c r="D24" s="113">
        <f>'LCI_AD-b'!$E23*'IW+f'!D20</f>
        <v>0</v>
      </c>
      <c r="E24" s="113">
        <f>'LCI_AD-b'!$E23*'IW+f'!E20</f>
        <v>0</v>
      </c>
      <c r="F24" s="113">
        <f>'LCI_AD-b'!$E23*'IW+f'!F20</f>
        <v>0</v>
      </c>
      <c r="G24" s="113">
        <f>'LCI_AD-b'!$E23*'IW+f'!G20</f>
        <v>0</v>
      </c>
    </row>
    <row r="25" spans="1:7" x14ac:dyDescent="0.35">
      <c r="A25" s="114" t="s">
        <v>272</v>
      </c>
      <c r="B25" s="113"/>
      <c r="C25" s="114">
        <f>SUM(C26:C27)</f>
        <v>0.23986336868347383</v>
      </c>
      <c r="D25" s="114">
        <f t="shared" ref="D25:G25" si="5">SUM(D26:D27)</f>
        <v>0.2039705679908648</v>
      </c>
      <c r="E25" s="114">
        <f t="shared" si="5"/>
        <v>24.618325729257286</v>
      </c>
      <c r="F25" s="114">
        <f t="shared" si="5"/>
        <v>4.0335814055722942E-7</v>
      </c>
      <c r="G25" s="114">
        <f t="shared" si="5"/>
        <v>0.2542157415208825</v>
      </c>
    </row>
    <row r="26" spans="1:7" x14ac:dyDescent="0.35">
      <c r="A26" s="113"/>
      <c r="B26" s="113" t="s">
        <v>273</v>
      </c>
      <c r="C26" s="113">
        <f>'LCI_AD-b'!$E27*'IW+f'!C2</f>
        <v>0.15696910819275928</v>
      </c>
      <c r="D26" s="113">
        <f>'LCI_AD-b'!$E27*'IW+f'!D2</f>
        <v>2.4102212737902536E-2</v>
      </c>
      <c r="E26" s="113">
        <f>'LCI_AD-b'!$E27*'IW+f'!E2</f>
        <v>23.655563739639575</v>
      </c>
      <c r="F26" s="113">
        <f>'LCI_AD-b'!$E27*'IW+f'!F2</f>
        <v>1.565844904727716E-7</v>
      </c>
      <c r="G26" s="113">
        <f>'LCI_AD-b'!$E27*'IW+f'!G2</f>
        <v>0.25468114343384457</v>
      </c>
    </row>
    <row r="27" spans="1:7" x14ac:dyDescent="0.35">
      <c r="A27" s="113"/>
      <c r="B27" s="113" t="s">
        <v>427</v>
      </c>
      <c r="C27" s="113">
        <f>'LCI_AD-b'!$E29*'IW+f'!C34</f>
        <v>8.289426049071455E-2</v>
      </c>
      <c r="D27" s="113">
        <f>'LCI_AD-b'!$E29*'IW+f'!D34</f>
        <v>0.17986835525296227</v>
      </c>
      <c r="E27" s="113">
        <f>'LCI_AD-b'!$E29*'IW+f'!E34</f>
        <v>0.96276198961770965</v>
      </c>
      <c r="F27" s="113">
        <f>'LCI_AD-b'!$E29*'IW+f'!F34</f>
        <v>2.4677365008445785E-7</v>
      </c>
      <c r="G27" s="113">
        <f>'LCI_AD-b'!$E29*'IW+f'!G34</f>
        <v>-4.6540191296209324E-4</v>
      </c>
    </row>
    <row r="28" spans="1:7" x14ac:dyDescent="0.35">
      <c r="A28" s="112" t="s">
        <v>287</v>
      </c>
      <c r="B28" s="113"/>
      <c r="C28" s="114">
        <f>SUM(C29:C35)</f>
        <v>20.023161550779676</v>
      </c>
      <c r="D28" s="114">
        <f t="shared" ref="D28:G28" si="6">SUM(D29:D35)</f>
        <v>5.5377949616824766</v>
      </c>
      <c r="E28" s="114">
        <f t="shared" si="6"/>
        <v>61.671424253960097</v>
      </c>
      <c r="F28" s="114">
        <f t="shared" si="6"/>
        <v>3.6457711739845012E-5</v>
      </c>
      <c r="G28" s="114">
        <f t="shared" si="6"/>
        <v>0.42904899156069698</v>
      </c>
    </row>
    <row r="29" spans="1:7" x14ac:dyDescent="0.35">
      <c r="A29" s="113"/>
      <c r="B29" s="113" t="s">
        <v>96</v>
      </c>
      <c r="C29" s="113">
        <f>'LCI_AD-b'!$E31*'IW+f'!C12</f>
        <v>2.3821711546319135</v>
      </c>
      <c r="D29" s="113">
        <f>'LCI_AD-b'!$E31*'IW+f'!D12</f>
        <v>0</v>
      </c>
      <c r="E29" s="113">
        <f>'LCI_AD-b'!$E31*'IW+f'!E12</f>
        <v>0</v>
      </c>
      <c r="F29" s="113">
        <f>'LCI_AD-b'!$E31*'IW+f'!F12</f>
        <v>0</v>
      </c>
      <c r="G29" s="113">
        <f>'LCI_AD-b'!$E31*'IW+f'!G12</f>
        <v>0</v>
      </c>
    </row>
    <row r="30" spans="1:7" x14ac:dyDescent="0.35">
      <c r="A30" s="113"/>
      <c r="B30" s="113" t="s">
        <v>111</v>
      </c>
      <c r="C30" s="113">
        <f>'LCI_AD-b'!$E32*'IW+f'!C20</f>
        <v>17.012982491752076</v>
      </c>
      <c r="D30" s="113">
        <f>'LCI_AD-b'!$E32*'IW+f'!D20</f>
        <v>0</v>
      </c>
      <c r="E30" s="113">
        <f>'LCI_AD-b'!$E32*'IW+f'!E20</f>
        <v>0</v>
      </c>
      <c r="F30" s="113">
        <f>'LCI_AD-b'!$E32*'IW+f'!F20</f>
        <v>0</v>
      </c>
      <c r="G30" s="113">
        <f>'LCI_AD-b'!$E32*'IW+f'!G20</f>
        <v>0</v>
      </c>
    </row>
    <row r="31" spans="1:7" x14ac:dyDescent="0.35">
      <c r="A31" s="113"/>
      <c r="B31" s="113" t="s">
        <v>110</v>
      </c>
      <c r="C31" s="113">
        <f>'LCI_AD-b'!$E33*'IW+f'!C18</f>
        <v>0</v>
      </c>
      <c r="D31" s="113">
        <f>'LCI_AD-b'!$E33*'IW+f'!D18</f>
        <v>5.3456952796906902</v>
      </c>
      <c r="E31" s="113">
        <f>'LCI_AD-b'!$E33*'IW+f'!E18</f>
        <v>0</v>
      </c>
      <c r="F31" s="113">
        <f>'LCI_AD-b'!$E33*'IW+f'!F18</f>
        <v>3.5968540350410269E-5</v>
      </c>
      <c r="G31" s="113">
        <f>'LCI_AD-b'!$E33*'IW+f'!G18</f>
        <v>0</v>
      </c>
    </row>
    <row r="32" spans="1:7" x14ac:dyDescent="0.35">
      <c r="A32" s="113"/>
      <c r="B32" s="113" t="s">
        <v>288</v>
      </c>
      <c r="C32" s="113">
        <f>'LCI_AD-b'!$E34*'IW+f'!C23</f>
        <v>0</v>
      </c>
      <c r="D32" s="113">
        <f>'LCI_AD-b'!$E34*'IW+f'!D23</f>
        <v>7.8076707234924367E-2</v>
      </c>
      <c r="E32" s="113">
        <f>'LCI_AD-b'!$E34*'IW+f'!E23</f>
        <v>0</v>
      </c>
      <c r="F32" s="113">
        <f>'LCI_AD-b'!$E34*'IW+f'!F23</f>
        <v>5.059520896744001E-9</v>
      </c>
      <c r="G32" s="113">
        <f>'LCI_AD-b'!$E34*'IW+f'!G23</f>
        <v>0</v>
      </c>
    </row>
    <row r="33" spans="1:7" x14ac:dyDescent="0.35">
      <c r="A33" s="113"/>
      <c r="B33" s="113" t="s">
        <v>123</v>
      </c>
      <c r="C33" s="113">
        <f>'LCI_AD-b'!$E35*'IW+f'!C17</f>
        <v>0</v>
      </c>
      <c r="D33" s="113">
        <f>'LCI_AD-b'!$E35*'IW+f'!D17</f>
        <v>0</v>
      </c>
      <c r="E33" s="113">
        <f>'LCI_AD-b'!$E35*'IW+f'!E17</f>
        <v>0</v>
      </c>
      <c r="F33" s="113">
        <f>'LCI_AD-b'!$E35*'IW+f'!F17</f>
        <v>0</v>
      </c>
      <c r="G33" s="113">
        <f>'LCI_AD-b'!$E35*'IW+f'!G17</f>
        <v>0</v>
      </c>
    </row>
    <row r="34" spans="1:7" x14ac:dyDescent="0.35">
      <c r="A34" s="113"/>
      <c r="B34" s="113" t="s">
        <v>273</v>
      </c>
      <c r="C34" s="113">
        <f>'LCI_AD-b'!$E37*'IW+f'!C2</f>
        <v>0.24305617699473206</v>
      </c>
      <c r="D34" s="113">
        <f>'LCI_AD-b'!$E37*'IW+f'!D2</f>
        <v>3.7320666165691789E-2</v>
      </c>
      <c r="E34" s="113">
        <f>'LCI_AD-b'!$E37*'IW+f'!E2</f>
        <v>36.629060032318023</v>
      </c>
      <c r="F34" s="113">
        <f>'LCI_AD-b'!$E37*'IW+f'!F2</f>
        <v>2.4246062215148331E-7</v>
      </c>
      <c r="G34" s="113">
        <f>'LCI_AD-b'!$E37*'IW+f'!G2</f>
        <v>0.39435673546454347</v>
      </c>
    </row>
    <row r="35" spans="1:7" x14ac:dyDescent="0.35">
      <c r="A35" s="113"/>
      <c r="B35" s="113" t="s">
        <v>289</v>
      </c>
      <c r="C35" s="115">
        <f>'LCI_AD-b'!$E38*'IW+f'!C27</f>
        <v>0.38495172740095668</v>
      </c>
      <c r="D35" s="115">
        <f>'LCI_AD-b'!$E38*'IW+f'!D27</f>
        <v>7.6702308591170859E-2</v>
      </c>
      <c r="E35" s="115">
        <f>'LCI_AD-b'!$E38*'IW+f'!E27</f>
        <v>25.042364221642071</v>
      </c>
      <c r="F35" s="115">
        <f>'LCI_AD-b'!$E38*'IW+f'!F27</f>
        <v>2.416512463865165E-7</v>
      </c>
      <c r="G35" s="115">
        <f>'LCI_AD-b'!$E38*'IW+f'!G27</f>
        <v>3.4692256096153506E-2</v>
      </c>
    </row>
    <row r="36" spans="1:7" x14ac:dyDescent="0.35">
      <c r="A36" s="112" t="s">
        <v>353</v>
      </c>
      <c r="B36" s="113"/>
      <c r="C36" s="114">
        <f>SUM(C37:C41)</f>
        <v>-27.214300839017277</v>
      </c>
      <c r="D36" s="114">
        <f t="shared" ref="D36:G36" si="7">SUM(D37:D41)</f>
        <v>7.1951540722679077</v>
      </c>
      <c r="E36" s="114">
        <f t="shared" si="7"/>
        <v>0</v>
      </c>
      <c r="F36" s="114">
        <f t="shared" si="7"/>
        <v>1.4004955712866033E-5</v>
      </c>
      <c r="G36" s="114">
        <f t="shared" si="7"/>
        <v>0</v>
      </c>
    </row>
    <row r="37" spans="1:7" x14ac:dyDescent="0.35">
      <c r="A37" s="113"/>
      <c r="B37" s="113" t="s">
        <v>111</v>
      </c>
      <c r="C37" s="113">
        <f>'LCI_AD-b'!$E40*'IW+f'!C20</f>
        <v>3.6020203114535199</v>
      </c>
      <c r="D37" s="113">
        <f>'LCI_AD-b'!$E40*'IW+f'!D20</f>
        <v>0</v>
      </c>
      <c r="E37" s="113">
        <f>'LCI_AD-b'!$E40*'IW+f'!E20</f>
        <v>0</v>
      </c>
      <c r="F37" s="113">
        <f>'LCI_AD-b'!$E40*'IW+f'!F20</f>
        <v>0</v>
      </c>
      <c r="G37" s="113">
        <f>'LCI_AD-b'!$E40*'IW+f'!G20</f>
        <v>0</v>
      </c>
    </row>
    <row r="38" spans="1:7" x14ac:dyDescent="0.35">
      <c r="A38" s="113"/>
      <c r="B38" s="113" t="s">
        <v>110</v>
      </c>
      <c r="C38" s="113">
        <f>'LCI_AD-b'!$E41*'IW+f'!C18</f>
        <v>0</v>
      </c>
      <c r="D38" s="113">
        <f>'LCI_AD-b'!$E41*'IW+f'!D18</f>
        <v>2.0814363028687977</v>
      </c>
      <c r="E38" s="113">
        <f>'LCI_AD-b'!$E41*'IW+f'!E18</f>
        <v>0</v>
      </c>
      <c r="F38" s="113">
        <f>'LCI_AD-b'!$E41*'IW+f'!F18</f>
        <v>1.4004955712866033E-5</v>
      </c>
      <c r="G38" s="113">
        <f>'LCI_AD-b'!$E41*'IW+f'!G18</f>
        <v>0</v>
      </c>
    </row>
    <row r="39" spans="1:7" x14ac:dyDescent="0.35">
      <c r="A39" s="113"/>
      <c r="B39" s="113" t="s">
        <v>114</v>
      </c>
      <c r="C39" s="113">
        <f>'LCI_AD-b'!$E42*'IW+f'!C21</f>
        <v>0</v>
      </c>
      <c r="D39" s="113">
        <f>'LCI_AD-b'!$E42*'IW+f'!D21</f>
        <v>5.2372357739406041</v>
      </c>
      <c r="E39" s="113">
        <f>'LCI_AD-b'!$E42*'IW+f'!E21</f>
        <v>0</v>
      </c>
      <c r="F39" s="113">
        <f>'LCI_AD-b'!$E42*'IW+f'!F21</f>
        <v>0</v>
      </c>
      <c r="G39" s="113">
        <f>'LCI_AD-b'!$E42*'IW+f'!G21</f>
        <v>0</v>
      </c>
    </row>
    <row r="40" spans="1:7" x14ac:dyDescent="0.35">
      <c r="A40" s="113"/>
      <c r="B40" s="113" t="s">
        <v>414</v>
      </c>
      <c r="C40" s="113">
        <f>'LCI_AD-b'!$E43*'IW+f'!C25</f>
        <v>0</v>
      </c>
      <c r="D40" s="113">
        <f>'LCI_AD-b'!$E43*'IW+f'!D25</f>
        <v>-0.12351800454149389</v>
      </c>
      <c r="E40" s="113">
        <f>'LCI_AD-b'!$E43*'IW+f'!E25</f>
        <v>0</v>
      </c>
      <c r="F40" s="113">
        <f>'LCI_AD-b'!$E43*'IW+f'!F25</f>
        <v>0</v>
      </c>
      <c r="G40" s="113">
        <f>'LCI_AD-b'!$E43*'IW+f'!G25</f>
        <v>0</v>
      </c>
    </row>
    <row r="41" spans="1:7" x14ac:dyDescent="0.35">
      <c r="A41" s="113"/>
      <c r="B41" s="113" t="s">
        <v>415</v>
      </c>
      <c r="C41" s="113">
        <f>'LCI_AD-b'!E44*'IW+f'!C26</f>
        <v>-30.816321150470795</v>
      </c>
      <c r="D41" s="113">
        <f>'LCI_AD-b'!$E45*'IW+f'!D26</f>
        <v>0</v>
      </c>
      <c r="E41" s="113">
        <f>'LCI_AD-b'!$E45*'IW+f'!E26</f>
        <v>0</v>
      </c>
      <c r="F41" s="113">
        <f>'LCI_AD-b'!$E45*'IW+f'!F26</f>
        <v>0</v>
      </c>
      <c r="G41" s="113">
        <f>'LCI_AD-b'!$E45*'IW+f'!G26</f>
        <v>0</v>
      </c>
    </row>
    <row r="42" spans="1:7" x14ac:dyDescent="0.35">
      <c r="A42" s="112" t="s">
        <v>421</v>
      </c>
      <c r="B42" s="113"/>
      <c r="C42" s="114">
        <f>SUM(C43:C48)</f>
        <v>202.38627173372981</v>
      </c>
      <c r="D42" s="114">
        <f t="shared" ref="D42:G42" si="8">SUM(D43:D48)</f>
        <v>40.731132301310311</v>
      </c>
      <c r="E42" s="114">
        <f t="shared" si="8"/>
        <v>3660.3270564727304</v>
      </c>
      <c r="F42" s="114">
        <f t="shared" si="8"/>
        <v>1.4251170071238639E-4</v>
      </c>
      <c r="G42" s="114">
        <f t="shared" si="8"/>
        <v>65.209593337991294</v>
      </c>
    </row>
    <row r="43" spans="1:7" x14ac:dyDescent="0.35">
      <c r="A43" s="113"/>
      <c r="B43" s="113" t="s">
        <v>228</v>
      </c>
      <c r="C43" s="113">
        <f>'LCI_AD-b'!$E46*'IW+f'!C28</f>
        <v>15.522698672412098</v>
      </c>
      <c r="D43" s="113">
        <f>'LCI_AD-b'!$E46*'IW+f'!D28</f>
        <v>2.059694637999725</v>
      </c>
      <c r="E43" s="113">
        <f>'LCI_AD-b'!$E46*'IW+f'!E28</f>
        <v>228.26827147082756</v>
      </c>
      <c r="F43" s="113">
        <f>'LCI_AD-b'!$E46*'IW+f'!F28</f>
        <v>1.1387281963638193E-5</v>
      </c>
      <c r="G43" s="113">
        <f>'LCI_AD-b'!$E46*'IW+f'!G28</f>
        <v>23.373765692874599</v>
      </c>
    </row>
    <row r="44" spans="1:7" x14ac:dyDescent="0.35">
      <c r="A44" s="113"/>
      <c r="B44" s="113" t="s">
        <v>230</v>
      </c>
      <c r="C44" s="113">
        <f>'LCI_AD-b'!$E47*'IW+f'!C30</f>
        <v>12.451853839570528</v>
      </c>
      <c r="D44" s="113">
        <f>'LCI_AD-b'!$E47*'IW+f'!D30</f>
        <v>5.8033748135817964</v>
      </c>
      <c r="E44" s="113">
        <f>'LCI_AD-b'!$E47*'IW+f'!E30</f>
        <v>218.31950486780622</v>
      </c>
      <c r="F44" s="113">
        <f>'LCI_AD-b'!$E47*'IW+f'!F30</f>
        <v>4.7898740522255537E-5</v>
      </c>
      <c r="G44" s="113">
        <f>'LCI_AD-b'!$E47*'IW+f'!G30</f>
        <v>29.538178374805231</v>
      </c>
    </row>
    <row r="45" spans="1:7" x14ac:dyDescent="0.35">
      <c r="A45" s="113"/>
      <c r="B45" s="113" t="s">
        <v>229</v>
      </c>
      <c r="C45" s="113">
        <f>'LCI_AD-b'!$E48*'IW+f'!C29</f>
        <v>1.8991612154517739</v>
      </c>
      <c r="D45" s="113">
        <f>'LCI_AD-b'!$E48*'IW+f'!D29</f>
        <v>0.46221699116395226</v>
      </c>
      <c r="E45" s="113">
        <f>'LCI_AD-b'!$E48*'IW+f'!E29</f>
        <v>30.790657167218129</v>
      </c>
      <c r="F45" s="113">
        <f>'LCI_AD-b'!$E48*'IW+f'!F29</f>
        <v>2.1302278009307427E-6</v>
      </c>
      <c r="G45" s="113">
        <f>'LCI_AD-b'!$E48*'IW+f'!G29</f>
        <v>0.89360271143972314</v>
      </c>
    </row>
    <row r="46" spans="1:7" x14ac:dyDescent="0.35">
      <c r="A46" s="113"/>
      <c r="B46" s="113" t="s">
        <v>231</v>
      </c>
      <c r="C46" s="113">
        <f>'LCI_AD-b'!$E49*'IW+f'!C31</f>
        <v>0.60151873247630161</v>
      </c>
      <c r="D46" s="113">
        <f>'LCI_AD-b'!$E49*'IW+f'!D31</f>
        <v>0.26016692421759646</v>
      </c>
      <c r="E46" s="113">
        <f>'LCI_AD-b'!$E49*'IW+f'!E31</f>
        <v>424.13181213239164</v>
      </c>
      <c r="F46" s="113">
        <f>'LCI_AD-b'!$E49*'IW+f'!F31</f>
        <v>4.8284247774503164E-7</v>
      </c>
      <c r="G46" s="113">
        <f>'LCI_AD-b'!$E49*'IW+f'!G31</f>
        <v>1.3478750962911963</v>
      </c>
    </row>
    <row r="47" spans="1:7" x14ac:dyDescent="0.35">
      <c r="A47" s="113"/>
      <c r="B47" s="113" t="s">
        <v>423</v>
      </c>
      <c r="C47" s="113">
        <f>'LCI_AD-b'!$E50*'IW+f'!C39</f>
        <v>152.84659670820477</v>
      </c>
      <c r="D47" s="113">
        <f>'LCI_AD-b'!$E50*'IW+f'!D39</f>
        <v>7.1920017168280959</v>
      </c>
      <c r="E47" s="113">
        <f>'LCI_AD-b'!$E50*'IW+f'!E39</f>
        <v>2543.1616559149052</v>
      </c>
      <c r="F47" s="113">
        <f>'LCI_AD-b'!$E50*'IW+f'!F39</f>
        <v>1.1187239184613926E-5</v>
      </c>
      <c r="G47" s="113">
        <f>'LCI_AD-b'!$E50*'IW+f'!G39</f>
        <v>3.0752719836722426</v>
      </c>
    </row>
    <row r="48" spans="1:7" x14ac:dyDescent="0.35">
      <c r="A48" s="113"/>
      <c r="B48" s="113" t="s">
        <v>424</v>
      </c>
      <c r="C48" s="113">
        <f>'LCI_AD-b'!$E51*'IW+f'!C37</f>
        <v>19.064442565614353</v>
      </c>
      <c r="D48" s="113">
        <f>'LCI_AD-b'!$E51*'IW+f'!D37</f>
        <v>24.953677217519139</v>
      </c>
      <c r="E48" s="113">
        <f>'LCI_AD-b'!$E51*'IW+f'!E37</f>
        <v>215.65515491958169</v>
      </c>
      <c r="F48" s="113">
        <f>'LCI_AD-b'!$E51*'IW+f'!F37</f>
        <v>6.9425368763202937E-5</v>
      </c>
      <c r="G48" s="113">
        <f>'LCI_AD-b'!$E51*'IW+f'!G37</f>
        <v>6.980899478908305</v>
      </c>
    </row>
    <row r="49" spans="1:37" x14ac:dyDescent="0.35">
      <c r="A49" s="113"/>
      <c r="B49" s="113"/>
      <c r="C49" s="113"/>
      <c r="D49" s="113"/>
      <c r="E49" s="113"/>
      <c r="F49" s="113"/>
      <c r="G49" s="113"/>
    </row>
    <row r="50" spans="1:37" x14ac:dyDescent="0.35">
      <c r="A50" s="114" t="s">
        <v>494</v>
      </c>
      <c r="B50" s="114"/>
      <c r="C50" s="114">
        <f>C5+C36-C42</f>
        <v>-114.56471032029754</v>
      </c>
      <c r="D50" s="114">
        <f t="shared" ref="D50:G50" si="9">D5+D36-D42</f>
        <v>-22.08154367550263</v>
      </c>
      <c r="E50" s="114">
        <f t="shared" si="9"/>
        <v>-2970.0988616434065</v>
      </c>
      <c r="F50" s="114">
        <f t="shared" si="9"/>
        <v>7.9901808258323991E-6</v>
      </c>
      <c r="G50" s="114">
        <f t="shared" si="9"/>
        <v>-48.942552234255018</v>
      </c>
    </row>
    <row r="54" spans="1:37" ht="72.5" x14ac:dyDescent="0.35">
      <c r="A54" s="140" t="s">
        <v>0</v>
      </c>
      <c r="B54" s="140"/>
      <c r="C54" s="137" t="s">
        <v>376</v>
      </c>
      <c r="D54" s="137" t="s">
        <v>377</v>
      </c>
      <c r="E54" s="137" t="s">
        <v>378</v>
      </c>
      <c r="F54" s="137" t="s">
        <v>379</v>
      </c>
      <c r="G54" s="137" t="s">
        <v>380</v>
      </c>
      <c r="H54" s="137" t="s">
        <v>361</v>
      </c>
      <c r="I54" s="137" t="s">
        <v>381</v>
      </c>
      <c r="J54" s="137" t="s">
        <v>382</v>
      </c>
      <c r="K54" s="137" t="s">
        <v>363</v>
      </c>
      <c r="L54" s="137" t="s">
        <v>383</v>
      </c>
      <c r="M54" s="137" t="s">
        <v>384</v>
      </c>
      <c r="N54" s="137" t="s">
        <v>385</v>
      </c>
      <c r="O54" s="137" t="s">
        <v>386</v>
      </c>
      <c r="P54" s="137" t="s">
        <v>387</v>
      </c>
      <c r="Q54" s="137" t="s">
        <v>388</v>
      </c>
      <c r="R54" s="137" t="s">
        <v>367</v>
      </c>
      <c r="S54" s="137" t="s">
        <v>368</v>
      </c>
      <c r="T54" s="137" t="s">
        <v>389</v>
      </c>
      <c r="U54" s="137" t="s">
        <v>390</v>
      </c>
      <c r="V54" s="137" t="s">
        <v>391</v>
      </c>
      <c r="W54" s="137" t="s">
        <v>392</v>
      </c>
      <c r="X54" s="137" t="s">
        <v>369</v>
      </c>
      <c r="Y54" s="137" t="s">
        <v>371</v>
      </c>
      <c r="Z54" s="137" t="s">
        <v>372</v>
      </c>
      <c r="AA54" s="137" t="s">
        <v>393</v>
      </c>
      <c r="AB54" s="137" t="s">
        <v>394</v>
      </c>
      <c r="AC54" s="137" t="s">
        <v>374</v>
      </c>
      <c r="AD54" s="137" t="s">
        <v>395</v>
      </c>
      <c r="AE54" s="137" t="s">
        <v>396</v>
      </c>
      <c r="AF54" s="137" t="s">
        <v>397</v>
      </c>
      <c r="AG54" s="137" t="s">
        <v>398</v>
      </c>
      <c r="AH54" s="137" t="s">
        <v>399</v>
      </c>
      <c r="AI54" s="137" t="s">
        <v>400</v>
      </c>
      <c r="AJ54" s="137" t="s">
        <v>401</v>
      </c>
      <c r="AK54" s="137" t="s">
        <v>402</v>
      </c>
    </row>
    <row r="55" spans="1:37" x14ac:dyDescent="0.35">
      <c r="A55" s="141" t="s">
        <v>6</v>
      </c>
      <c r="B55" s="136"/>
      <c r="C55" s="141" t="e">
        <f>SUM(C57:C85)</f>
        <v>#REF!</v>
      </c>
      <c r="D55" s="141" t="e">
        <f t="shared" ref="D55:AK55" si="10">SUM(D57:D85)</f>
        <v>#REF!</v>
      </c>
      <c r="E55" s="141" t="e">
        <f t="shared" si="10"/>
        <v>#REF!</v>
      </c>
      <c r="F55" s="141" t="e">
        <f t="shared" si="10"/>
        <v>#REF!</v>
      </c>
      <c r="G55" s="141">
        <f t="shared" si="10"/>
        <v>2.9231851142339261E-17</v>
      </c>
      <c r="H55" s="141">
        <f t="shared" si="10"/>
        <v>0.57246820560359735</v>
      </c>
      <c r="I55" s="141">
        <f t="shared" si="10"/>
        <v>3.8000105960780344</v>
      </c>
      <c r="J55" s="141">
        <f t="shared" si="10"/>
        <v>0.33759980122388533</v>
      </c>
      <c r="K55" s="141">
        <f t="shared" si="10"/>
        <v>9.8434800954160118E-3</v>
      </c>
      <c r="L55" s="141">
        <f t="shared" si="10"/>
        <v>1.4027530376333057E-7</v>
      </c>
      <c r="M55" s="141">
        <f t="shared" si="10"/>
        <v>1.0969964368019122E-5</v>
      </c>
      <c r="N55" s="141">
        <f t="shared" si="10"/>
        <v>3.948050871585817E-6</v>
      </c>
      <c r="O55" s="141">
        <f t="shared" si="10"/>
        <v>2.1995087040439657E-5</v>
      </c>
      <c r="P55" s="141">
        <f t="shared" si="10"/>
        <v>1.609185564914945E-8</v>
      </c>
      <c r="Q55" s="141">
        <f t="shared" si="10"/>
        <v>4.8800340990345128E-7</v>
      </c>
      <c r="R55" s="141">
        <f t="shared" si="10"/>
        <v>1.4302858421426643</v>
      </c>
      <c r="S55" s="141">
        <f t="shared" si="10"/>
        <v>0.5005495189331991</v>
      </c>
      <c r="T55" s="141">
        <f t="shared" si="10"/>
        <v>2.6009890288832973</v>
      </c>
      <c r="U55" s="141">
        <f t="shared" si="10"/>
        <v>0.28234302365735053</v>
      </c>
      <c r="V55" s="141">
        <f t="shared" si="10"/>
        <v>1.5875903378266401E-5</v>
      </c>
      <c r="W55" s="141">
        <f t="shared" si="10"/>
        <v>8.4752228228378627E-6</v>
      </c>
      <c r="X55" s="141">
        <f t="shared" si="10"/>
        <v>0.25363521579217302</v>
      </c>
      <c r="Y55" s="141">
        <f t="shared" si="10"/>
        <v>1.1438650673043045E-9</v>
      </c>
      <c r="Z55" s="141">
        <f t="shared" si="10"/>
        <v>1.0291165412072273E-4</v>
      </c>
      <c r="AA55" s="141">
        <f t="shared" si="10"/>
        <v>1.308399181385999</v>
      </c>
      <c r="AB55" s="141">
        <f t="shared" si="10"/>
        <v>1.3107302120051821E-7</v>
      </c>
      <c r="AC55" s="141">
        <f t="shared" si="10"/>
        <v>6.4419658252967569</v>
      </c>
      <c r="AD55" s="141">
        <f t="shared" si="10"/>
        <v>0.57948593528474113</v>
      </c>
      <c r="AE55" s="141">
        <f t="shared" si="10"/>
        <v>0.30934563303358192</v>
      </c>
      <c r="AF55" s="141">
        <f t="shared" si="10"/>
        <v>7.9903350604744201E-3</v>
      </c>
      <c r="AG55" s="141">
        <f t="shared" si="10"/>
        <v>18.435485578976291</v>
      </c>
      <c r="AH55" s="141">
        <f t="shared" si="10"/>
        <v>1.5651162208655593E-4</v>
      </c>
      <c r="AI55" s="141">
        <f t="shared" si="10"/>
        <v>1.3039183209328768E-4</v>
      </c>
      <c r="AJ55" s="141">
        <f t="shared" si="10"/>
        <v>1.5926370085853994E-5</v>
      </c>
      <c r="AK55" s="141">
        <f t="shared" si="10"/>
        <v>4.1919745497131144E-4</v>
      </c>
    </row>
    <row r="56" spans="1:37" x14ac:dyDescent="0.35">
      <c r="A56" s="141" t="s">
        <v>5</v>
      </c>
      <c r="B56" s="136"/>
      <c r="C56" s="136"/>
      <c r="D56" s="136"/>
      <c r="E56" s="136"/>
      <c r="F56" s="136"/>
      <c r="G56" s="136"/>
      <c r="H56" s="136"/>
      <c r="I56" s="136"/>
      <c r="J56" s="136"/>
      <c r="K56" s="136"/>
      <c r="L56" s="136"/>
      <c r="M56" s="136"/>
      <c r="N56" s="136"/>
      <c r="O56" s="136"/>
      <c r="P56" s="136"/>
      <c r="Q56" s="136"/>
      <c r="R56" s="136"/>
      <c r="S56" s="136"/>
      <c r="T56" s="136"/>
      <c r="U56" s="136"/>
      <c r="V56" s="136"/>
      <c r="W56" s="136"/>
      <c r="X56" s="136"/>
      <c r="Y56" s="136"/>
      <c r="Z56" s="136"/>
      <c r="AA56" s="136"/>
      <c r="AB56" s="136"/>
      <c r="AC56" s="136"/>
      <c r="AD56" s="136"/>
      <c r="AE56" s="136"/>
      <c r="AF56" s="136"/>
      <c r="AG56" s="136"/>
      <c r="AH56" s="136"/>
      <c r="AI56" s="136"/>
      <c r="AJ56" s="136"/>
      <c r="AK56" s="136"/>
    </row>
    <row r="57" spans="1:37" x14ac:dyDescent="0.35">
      <c r="A57" s="136"/>
      <c r="B57" s="136" t="s">
        <v>249</v>
      </c>
      <c r="C57" s="136" t="e">
        <f>'LCIA_AD-a'!C47</f>
        <v>#REF!</v>
      </c>
      <c r="D57" s="136" t="e">
        <f>'LCIA_AD-a'!D47</f>
        <v>#REF!</v>
      </c>
      <c r="E57" s="136" t="e">
        <f>'LCIA_AD-a'!E47</f>
        <v>#REF!</v>
      </c>
      <c r="F57" s="136" t="e">
        <f>'LCIA_AD-a'!F47</f>
        <v>#REF!</v>
      </c>
      <c r="G57" s="136">
        <f>'LCIA_AD-a'!G47</f>
        <v>9.0040097542142219E-20</v>
      </c>
      <c r="H57" s="136">
        <f>'LCIA_AD-a'!H47</f>
        <v>5.1931114803604956E-3</v>
      </c>
      <c r="I57" s="136">
        <f>'LCIA_AD-a'!I47</f>
        <v>0.24839018720173295</v>
      </c>
      <c r="J57" s="136">
        <f>'LCIA_AD-a'!J47</f>
        <v>1.234083364332369E-2</v>
      </c>
      <c r="K57" s="136">
        <f>'LCIA_AD-a'!K47</f>
        <v>2.1439753416220663E-5</v>
      </c>
      <c r="L57" s="136">
        <f>'LCIA_AD-a'!L47</f>
        <v>8.7015032149142414E-9</v>
      </c>
      <c r="M57" s="136">
        <f>'LCIA_AD-a'!M47</f>
        <v>1.6596905236710246E-7</v>
      </c>
      <c r="N57" s="136">
        <f>'LCIA_AD-a'!N47</f>
        <v>1.9676602640470916E-7</v>
      </c>
      <c r="O57" s="136">
        <f>'LCIA_AD-a'!O47</f>
        <v>1.0474046667854858E-7</v>
      </c>
      <c r="P57" s="136">
        <f>'LCIA_AD-a'!P47</f>
        <v>4.1389310905179983E-9</v>
      </c>
      <c r="Q57" s="136">
        <f>'LCIA_AD-a'!Q47</f>
        <v>1.2763337153218512E-7</v>
      </c>
      <c r="R57" s="136">
        <f>'LCIA_AD-a'!R47</f>
        <v>1.6534106080479432E-2</v>
      </c>
      <c r="S57" s="136">
        <f>'LCIA_AD-a'!S47</f>
        <v>1.1656841267618703E-2</v>
      </c>
      <c r="T57" s="136">
        <f>'LCIA_AD-a'!T47</f>
        <v>0.10249049260823448</v>
      </c>
      <c r="U57" s="136">
        <f>'LCIA_AD-a'!U47</f>
        <v>1.1125576504552512E-2</v>
      </c>
      <c r="V57" s="136">
        <f>'LCIA_AD-a'!V47</f>
        <v>9.6489525909131685E-7</v>
      </c>
      <c r="W57" s="136">
        <f>'LCIA_AD-a'!W47</f>
        <v>2.6554776215088471E-7</v>
      </c>
      <c r="X57" s="136">
        <f>'LCIA_AD-a'!X47</f>
        <v>6.7963986332143073E-4</v>
      </c>
      <c r="Y57" s="136">
        <f>'LCIA_AD-a'!Y47</f>
        <v>4.6233568878889853E-11</v>
      </c>
      <c r="Z57" s="136">
        <f>'LCIA_AD-a'!Z47</f>
        <v>3.7424948947123667E-7</v>
      </c>
      <c r="AA57" s="136">
        <f>'LCIA_AD-a'!AA47</f>
        <v>1.5755418847462184E-2</v>
      </c>
      <c r="AB57" s="136">
        <f>'LCIA_AD-a'!AB47</f>
        <v>1.5662117661554336E-9</v>
      </c>
      <c r="AC57" s="136">
        <f>'LCIA_AD-a'!AC47</f>
        <v>3.4269056902659287E-2</v>
      </c>
      <c r="AD57" s="136">
        <f>'LCIA_AD-a'!AD47</f>
        <v>3.5220034139757453E-2</v>
      </c>
      <c r="AE57" s="136">
        <f>'LCIA_AD-a'!AE47</f>
        <v>9.6924933185072934E-3</v>
      </c>
      <c r="AF57" s="136">
        <f>'LCIA_AD-a'!AF47</f>
        <v>1.9004186679781043E-3</v>
      </c>
      <c r="AG57" s="136">
        <f>'LCIA_AD-a'!AG47</f>
        <v>0.5052956935927394</v>
      </c>
      <c r="AH57" s="136">
        <f>'LCIA_AD-a'!AH47</f>
        <v>2.2125278087823061E-6</v>
      </c>
      <c r="AI57" s="136">
        <f>'LCIA_AD-a'!AI47</f>
        <v>1.0093591977195651E-5</v>
      </c>
      <c r="AJ57" s="136">
        <f>'LCIA_AD-a'!AJ47</f>
        <v>1.2328554537785757E-6</v>
      </c>
      <c r="AK57" s="136">
        <f>'LCIA_AD-a'!AK47</f>
        <v>1.4715139405635514E-5</v>
      </c>
    </row>
    <row r="58" spans="1:37" x14ac:dyDescent="0.35">
      <c r="A58" s="136"/>
      <c r="B58" s="136" t="s">
        <v>250</v>
      </c>
      <c r="C58" s="136" t="e">
        <f>'LCIA_AD-a'!C48</f>
        <v>#REF!</v>
      </c>
      <c r="D58" s="136" t="e">
        <f>'LCIA_AD-a'!D48</f>
        <v>#REF!</v>
      </c>
      <c r="E58" s="136" t="e">
        <f>'LCIA_AD-a'!E48</f>
        <v>#REF!</v>
      </c>
      <c r="F58" s="136" t="e">
        <f>'LCIA_AD-a'!F48</f>
        <v>#REF!</v>
      </c>
      <c r="G58" s="136">
        <f>'LCIA_AD-a'!G48</f>
        <v>0</v>
      </c>
      <c r="H58" s="136">
        <f>'LCIA_AD-a'!H48</f>
        <v>0</v>
      </c>
      <c r="I58" s="136">
        <f>'LCIA_AD-a'!I48</f>
        <v>0</v>
      </c>
      <c r="J58" s="136">
        <f>'LCIA_AD-a'!J48</f>
        <v>0</v>
      </c>
      <c r="K58" s="136">
        <f>'LCIA_AD-a'!K48</f>
        <v>0</v>
      </c>
      <c r="L58" s="136">
        <f>'LCIA_AD-a'!L48</f>
        <v>0</v>
      </c>
      <c r="M58" s="136">
        <f>'LCIA_AD-a'!M48</f>
        <v>0</v>
      </c>
      <c r="N58" s="136">
        <f>'LCIA_AD-a'!N48</f>
        <v>0</v>
      </c>
      <c r="O58" s="136">
        <f>'LCIA_AD-a'!O48</f>
        <v>0</v>
      </c>
      <c r="P58" s="136">
        <f>'LCIA_AD-a'!P48</f>
        <v>0</v>
      </c>
      <c r="Q58" s="136">
        <f>'LCIA_AD-a'!Q48</f>
        <v>0</v>
      </c>
      <c r="R58" s="136">
        <f>'LCIA_AD-a'!R48</f>
        <v>0</v>
      </c>
      <c r="S58" s="136">
        <f>'LCIA_AD-a'!S48</f>
        <v>0</v>
      </c>
      <c r="T58" s="136">
        <f>'LCIA_AD-a'!T48</f>
        <v>0</v>
      </c>
      <c r="U58" s="136">
        <f>'LCIA_AD-a'!U48</f>
        <v>0</v>
      </c>
      <c r="V58" s="136">
        <f>'LCIA_AD-a'!V48</f>
        <v>0</v>
      </c>
      <c r="W58" s="136">
        <f>'LCIA_AD-a'!W48</f>
        <v>0</v>
      </c>
      <c r="X58" s="136">
        <f>'LCIA_AD-a'!X48</f>
        <v>0</v>
      </c>
      <c r="Y58" s="136">
        <f>'LCIA_AD-a'!Y48</f>
        <v>0</v>
      </c>
      <c r="Z58" s="136">
        <f>'LCIA_AD-a'!Z48</f>
        <v>0</v>
      </c>
      <c r="AA58" s="136">
        <f>'LCIA_AD-a'!AA48</f>
        <v>0</v>
      </c>
      <c r="AB58" s="136">
        <f>'LCIA_AD-a'!AB48</f>
        <v>0</v>
      </c>
      <c r="AC58" s="136">
        <f>'LCIA_AD-a'!AC48</f>
        <v>0</v>
      </c>
      <c r="AD58" s="136">
        <f>'LCIA_AD-a'!AD48</f>
        <v>0</v>
      </c>
      <c r="AE58" s="136">
        <f>'LCIA_AD-a'!AE48</f>
        <v>0</v>
      </c>
      <c r="AF58" s="136">
        <f>'LCIA_AD-a'!AF48</f>
        <v>0</v>
      </c>
      <c r="AG58" s="136">
        <f>'LCIA_AD-a'!AG48</f>
        <v>0</v>
      </c>
      <c r="AH58" s="136">
        <f>'LCIA_AD-a'!AH48</f>
        <v>0</v>
      </c>
      <c r="AI58" s="136">
        <f>'LCIA_AD-a'!AI48</f>
        <v>0</v>
      </c>
      <c r="AJ58" s="136">
        <f>'LCIA_AD-a'!AJ48</f>
        <v>0</v>
      </c>
      <c r="AK58" s="136">
        <f>'LCIA_AD-a'!AK48</f>
        <v>0</v>
      </c>
    </row>
    <row r="59" spans="1:37" x14ac:dyDescent="0.35">
      <c r="A59" s="142" t="s">
        <v>235</v>
      </c>
      <c r="B59" s="136"/>
      <c r="C59" s="136">
        <f>'LCIA_AD-a'!C49</f>
        <v>0</v>
      </c>
      <c r="D59" s="136">
        <f>'LCIA_AD-a'!D49</f>
        <v>0</v>
      </c>
      <c r="E59" s="136">
        <f>'LCIA_AD-a'!E49</f>
        <v>0</v>
      </c>
      <c r="F59" s="136">
        <f>'LCIA_AD-a'!F49</f>
        <v>0</v>
      </c>
      <c r="G59" s="136">
        <f>'LCIA_AD-a'!G49</f>
        <v>0</v>
      </c>
      <c r="H59" s="136">
        <f>'LCIA_AD-a'!H49</f>
        <v>0</v>
      </c>
      <c r="I59" s="136">
        <f>'LCIA_AD-a'!I49</f>
        <v>0</v>
      </c>
      <c r="J59" s="136">
        <f>'LCIA_AD-a'!J49</f>
        <v>0</v>
      </c>
      <c r="K59" s="136">
        <f>'LCIA_AD-a'!K49</f>
        <v>0</v>
      </c>
      <c r="L59" s="136">
        <f>'LCIA_AD-a'!L49</f>
        <v>0</v>
      </c>
      <c r="M59" s="136">
        <f>'LCIA_AD-a'!M49</f>
        <v>0</v>
      </c>
      <c r="N59" s="136">
        <f>'LCIA_AD-a'!N49</f>
        <v>0</v>
      </c>
      <c r="O59" s="136">
        <f>'LCIA_AD-a'!O49</f>
        <v>0</v>
      </c>
      <c r="P59" s="136">
        <f>'LCIA_AD-a'!P49</f>
        <v>0</v>
      </c>
      <c r="Q59" s="136">
        <f>'LCIA_AD-a'!Q49</f>
        <v>0</v>
      </c>
      <c r="R59" s="136">
        <f>'LCIA_AD-a'!R49</f>
        <v>0</v>
      </c>
      <c r="S59" s="136">
        <f>'LCIA_AD-a'!S49</f>
        <v>0</v>
      </c>
      <c r="T59" s="136">
        <f>'LCIA_AD-a'!T49</f>
        <v>0</v>
      </c>
      <c r="U59" s="136">
        <f>'LCIA_AD-a'!U49</f>
        <v>0</v>
      </c>
      <c r="V59" s="136">
        <f>'LCIA_AD-a'!V49</f>
        <v>0</v>
      </c>
      <c r="W59" s="136">
        <f>'LCIA_AD-a'!W49</f>
        <v>0</v>
      </c>
      <c r="X59" s="136">
        <f>'LCIA_AD-a'!X49</f>
        <v>0</v>
      </c>
      <c r="Y59" s="136">
        <f>'LCIA_AD-a'!Y49</f>
        <v>0</v>
      </c>
      <c r="Z59" s="136">
        <f>'LCIA_AD-a'!Z49</f>
        <v>0</v>
      </c>
      <c r="AA59" s="136">
        <f>'LCIA_AD-a'!AA49</f>
        <v>0</v>
      </c>
      <c r="AB59" s="136">
        <f>'LCIA_AD-a'!AB49</f>
        <v>0</v>
      </c>
      <c r="AC59" s="136">
        <f>'LCIA_AD-a'!AC49</f>
        <v>0</v>
      </c>
      <c r="AD59" s="136">
        <f>'LCIA_AD-a'!AD49</f>
        <v>0</v>
      </c>
      <c r="AE59" s="136">
        <f>'LCIA_AD-a'!AE49</f>
        <v>0</v>
      </c>
      <c r="AF59" s="136">
        <f>'LCIA_AD-a'!AF49</f>
        <v>0</v>
      </c>
      <c r="AG59" s="136">
        <f>'LCIA_AD-a'!AG49</f>
        <v>0</v>
      </c>
      <c r="AH59" s="136">
        <f>'LCIA_AD-a'!AH49</f>
        <v>0</v>
      </c>
      <c r="AI59" s="136">
        <f>'LCIA_AD-a'!AI49</f>
        <v>0</v>
      </c>
      <c r="AJ59" s="136">
        <f>'LCIA_AD-a'!AJ49</f>
        <v>0</v>
      </c>
      <c r="AK59" s="136">
        <f>'LCIA_AD-a'!AK49</f>
        <v>0</v>
      </c>
    </row>
    <row r="60" spans="1:37" x14ac:dyDescent="0.35">
      <c r="A60" s="136"/>
      <c r="B60" s="136" t="s">
        <v>286</v>
      </c>
      <c r="C60" s="136" t="e">
        <f>'LCIA_AD-a'!C50</f>
        <v>#REF!</v>
      </c>
      <c r="D60" s="136" t="e">
        <f>'LCIA_AD-a'!D50</f>
        <v>#REF!</v>
      </c>
      <c r="E60" s="136" t="e">
        <f>'LCIA_AD-a'!E50</f>
        <v>#REF!</v>
      </c>
      <c r="F60" s="136" t="e">
        <f>'LCIA_AD-a'!F50</f>
        <v>#REF!</v>
      </c>
      <c r="G60" s="136">
        <f>'LCIA_AD-a'!G50</f>
        <v>3.4259653114390555E-19</v>
      </c>
      <c r="H60" s="136">
        <f>'LCIA_AD-a'!H50</f>
        <v>1.9088748614477355E-3</v>
      </c>
      <c r="I60" s="136">
        <f>'LCIA_AD-a'!I50</f>
        <v>2.1165975185515697E-2</v>
      </c>
      <c r="J60" s="136">
        <f>'LCIA_AD-a'!J50</f>
        <v>7.7842440064621963E-3</v>
      </c>
      <c r="K60" s="136">
        <f>'LCIA_AD-a'!K50</f>
        <v>1.2090234903629117E-5</v>
      </c>
      <c r="L60" s="136">
        <f>'LCIA_AD-a'!L50</f>
        <v>1.3807900143766815E-9</v>
      </c>
      <c r="M60" s="136">
        <f>'LCIA_AD-a'!M50</f>
        <v>7.8521018154124293E-8</v>
      </c>
      <c r="N60" s="136">
        <f>'LCIA_AD-a'!N50</f>
        <v>5.1916740498462542E-8</v>
      </c>
      <c r="O60" s="136">
        <f>'LCIA_AD-a'!O50</f>
        <v>3.4957298081958831E-8</v>
      </c>
      <c r="P60" s="136">
        <f>'LCIA_AD-a'!P50</f>
        <v>1.6087202212299374E-11</v>
      </c>
      <c r="Q60" s="136">
        <f>'LCIA_AD-a'!Q50</f>
        <v>1.9821700798180701E-10</v>
      </c>
      <c r="R60" s="136">
        <f>'LCIA_AD-a'!R50</f>
        <v>9.3882236600461508E-3</v>
      </c>
      <c r="S60" s="136">
        <f>'LCIA_AD-a'!S50</f>
        <v>1.0847515163367839E-2</v>
      </c>
      <c r="T60" s="136">
        <f>'LCIA_AD-a'!T50</f>
        <v>5.9340583237830792E-2</v>
      </c>
      <c r="U60" s="136">
        <f>'LCIA_AD-a'!U50</f>
        <v>6.4415394809225063E-3</v>
      </c>
      <c r="V60" s="136">
        <f>'LCIA_AD-a'!V50</f>
        <v>2.2361093064658549E-8</v>
      </c>
      <c r="W60" s="136">
        <f>'LCIA_AD-a'!W50</f>
        <v>1.8378519819012135E-8</v>
      </c>
      <c r="X60" s="136">
        <f>'LCIA_AD-a'!X50</f>
        <v>4.9087972213900696E-4</v>
      </c>
      <c r="Y60" s="136">
        <f>'LCIA_AD-a'!Y50</f>
        <v>1.4130656214684504E-11</v>
      </c>
      <c r="Z60" s="136">
        <f>'LCIA_AD-a'!Z50</f>
        <v>2.3089230034193365E-7</v>
      </c>
      <c r="AA60" s="136">
        <f>'LCIA_AD-a'!AA50</f>
        <v>1.24610140420619E-2</v>
      </c>
      <c r="AB60" s="136">
        <f>'LCIA_AD-a'!AB50</f>
        <v>1.2166988717580699E-9</v>
      </c>
      <c r="AC60" s="136">
        <f>'LCIA_AD-a'!AC50</f>
        <v>1.357355809150523E-2</v>
      </c>
      <c r="AD60" s="136">
        <f>'LCIA_AD-a'!AD50</f>
        <v>8.1619861313748173E-4</v>
      </c>
      <c r="AE60" s="136">
        <f>'LCIA_AD-a'!AE50</f>
        <v>6.7081597339394266E-4</v>
      </c>
      <c r="AF60" s="136">
        <f>'LCIA_AD-a'!AF50</f>
        <v>1.5428172135718716E-5</v>
      </c>
      <c r="AG60" s="136">
        <f>'LCIA_AD-a'!AG50</f>
        <v>0.1449237168411589</v>
      </c>
      <c r="AH60" s="136">
        <f>'LCIA_AD-a'!AH50</f>
        <v>4.374991643569647E-7</v>
      </c>
      <c r="AI60" s="136">
        <f>'LCIA_AD-a'!AI50</f>
        <v>3.14403300469906E-7</v>
      </c>
      <c r="AJ60" s="136">
        <f>'LCIA_AD-a'!AJ50</f>
        <v>3.8401970730154165E-8</v>
      </c>
      <c r="AK60" s="136">
        <f>'LCIA_AD-a'!AK50</f>
        <v>6.4212372885133327E-6</v>
      </c>
    </row>
    <row r="61" spans="1:37" x14ac:dyDescent="0.35">
      <c r="A61" s="136"/>
      <c r="B61" s="136" t="s">
        <v>235</v>
      </c>
      <c r="C61" s="136" t="e">
        <f>'LCIA_AD-a'!C51</f>
        <v>#REF!</v>
      </c>
      <c r="D61" s="136" t="e">
        <f>'LCIA_AD-a'!D51</f>
        <v>#REF!</v>
      </c>
      <c r="E61" s="136" t="e">
        <f>'LCIA_AD-a'!E51</f>
        <v>#REF!</v>
      </c>
      <c r="F61" s="136" t="e">
        <f>'LCIA_AD-a'!F51</f>
        <v>#REF!</v>
      </c>
      <c r="G61" s="136">
        <f>'LCIA_AD-a'!G51</f>
        <v>1.3417014761931066E-18</v>
      </c>
      <c r="H61" s="136">
        <f>'LCIA_AD-a'!H51</f>
        <v>7.0661974280644954E-2</v>
      </c>
      <c r="I61" s="136">
        <f>'LCIA_AD-a'!I51</f>
        <v>0.93416719125512804</v>
      </c>
      <c r="J61" s="136">
        <f>'LCIA_AD-a'!J51</f>
        <v>0.11947233209536294</v>
      </c>
      <c r="K61" s="136">
        <f>'LCIA_AD-a'!K51</f>
        <v>5.8252778621848689E-3</v>
      </c>
      <c r="L61" s="136">
        <f>'LCIA_AD-a'!L51</f>
        <v>7.543227881230801E-8</v>
      </c>
      <c r="M61" s="136">
        <f>'LCIA_AD-a'!M51</f>
        <v>9.2358423028085057E-6</v>
      </c>
      <c r="N61" s="136">
        <f>'LCIA_AD-a'!N51</f>
        <v>2.0141902382323624E-6</v>
      </c>
      <c r="O61" s="136">
        <f>'LCIA_AD-a'!O51</f>
        <v>2.073338334217323E-5</v>
      </c>
      <c r="P61" s="136">
        <f>'LCIA_AD-a'!P51</f>
        <v>1.6721138820675336E-10</v>
      </c>
      <c r="Q61" s="136">
        <f>'LCIA_AD-a'!Q51</f>
        <v>2.5414819458518307E-9</v>
      </c>
      <c r="R61" s="136">
        <f>'LCIA_AD-a'!R51</f>
        <v>0.10325709629067527</v>
      </c>
      <c r="S61" s="136">
        <f>'LCIA_AD-a'!S51</f>
        <v>0.20192306813671582</v>
      </c>
      <c r="T61" s="136">
        <f>'LCIA_AD-a'!T51</f>
        <v>0.81381304343515604</v>
      </c>
      <c r="U61" s="136">
        <f>'LCIA_AD-a'!U51</f>
        <v>8.8340903369667073E-2</v>
      </c>
      <c r="V61" s="136">
        <f>'LCIA_AD-a'!V51</f>
        <v>4.1790110398157114E-7</v>
      </c>
      <c r="W61" s="136">
        <f>'LCIA_AD-a'!W51</f>
        <v>9.1166986820938597E-7</v>
      </c>
      <c r="X61" s="136">
        <f>'LCIA_AD-a'!X51</f>
        <v>3.6914893888666471E-2</v>
      </c>
      <c r="Y61" s="136">
        <f>'LCIA_AD-a'!Y51</f>
        <v>3.4271490621614475E-10</v>
      </c>
      <c r="Z61" s="136">
        <f>'LCIA_AD-a'!Z51</f>
        <v>8.8111435597395313E-6</v>
      </c>
      <c r="AA61" s="136">
        <f>'LCIA_AD-a'!AA51</f>
        <v>0.52310036021523809</v>
      </c>
      <c r="AB61" s="136">
        <f>'LCIA_AD-a'!AB51</f>
        <v>5.3982752056258097E-8</v>
      </c>
      <c r="AC61" s="136">
        <f>'LCIA_AD-a'!AC51</f>
        <v>0.52930584039175488</v>
      </c>
      <c r="AD61" s="136">
        <f>'LCIA_AD-a'!AD51</f>
        <v>1.5262636374080941E-2</v>
      </c>
      <c r="AE61" s="136">
        <f>'LCIA_AD-a'!AE51</f>
        <v>3.3275950189642592E-2</v>
      </c>
      <c r="AF61" s="136">
        <f>'LCIA_AD-a'!AF51</f>
        <v>3.8173633035694057E-4</v>
      </c>
      <c r="AG61" s="136">
        <f>'LCIA_AD-a'!AG51</f>
        <v>3.4759974820656048</v>
      </c>
      <c r="AH61" s="136">
        <f>'LCIA_AD-a'!AH51</f>
        <v>5.0697184643165686E-5</v>
      </c>
      <c r="AI61" s="136">
        <f>'LCIA_AD-a'!AI51</f>
        <v>7.999127841649449E-5</v>
      </c>
      <c r="AJ61" s="136">
        <f>'LCIA_AD-a'!AJ51</f>
        <v>9.7703259724914291E-6</v>
      </c>
      <c r="AK61" s="136">
        <f>'LCIA_AD-a'!AK51</f>
        <v>2.1385693372968594E-4</v>
      </c>
    </row>
    <row r="62" spans="1:37" x14ac:dyDescent="0.35">
      <c r="A62" s="142" t="s">
        <v>6</v>
      </c>
      <c r="B62" s="136"/>
      <c r="C62" s="136">
        <f>'LCIA_AD-a'!C52</f>
        <v>0</v>
      </c>
      <c r="D62" s="136">
        <f>'LCIA_AD-a'!D52</f>
        <v>0</v>
      </c>
      <c r="E62" s="136">
        <f>'LCIA_AD-a'!E52</f>
        <v>0</v>
      </c>
      <c r="F62" s="136">
        <f>'LCIA_AD-a'!F52</f>
        <v>0</v>
      </c>
      <c r="G62" s="136">
        <f>'LCIA_AD-a'!G52</f>
        <v>0</v>
      </c>
      <c r="H62" s="136">
        <f>'LCIA_AD-a'!H52</f>
        <v>0</v>
      </c>
      <c r="I62" s="136">
        <f>'LCIA_AD-a'!I52</f>
        <v>0</v>
      </c>
      <c r="J62" s="136">
        <f>'LCIA_AD-a'!J52</f>
        <v>0</v>
      </c>
      <c r="K62" s="136">
        <f>'LCIA_AD-a'!K52</f>
        <v>0</v>
      </c>
      <c r="L62" s="136">
        <f>'LCIA_AD-a'!L52</f>
        <v>0</v>
      </c>
      <c r="M62" s="136">
        <f>'LCIA_AD-a'!M52</f>
        <v>0</v>
      </c>
      <c r="N62" s="136">
        <f>'LCIA_AD-a'!N52</f>
        <v>0</v>
      </c>
      <c r="O62" s="136">
        <f>'LCIA_AD-a'!O52</f>
        <v>0</v>
      </c>
      <c r="P62" s="136">
        <f>'LCIA_AD-a'!P52</f>
        <v>0</v>
      </c>
      <c r="Q62" s="136">
        <f>'LCIA_AD-a'!Q52</f>
        <v>0</v>
      </c>
      <c r="R62" s="136">
        <f>'LCIA_AD-a'!R52</f>
        <v>0</v>
      </c>
      <c r="S62" s="136">
        <f>'LCIA_AD-a'!S52</f>
        <v>0</v>
      </c>
      <c r="T62" s="136">
        <f>'LCIA_AD-a'!T52</f>
        <v>0</v>
      </c>
      <c r="U62" s="136">
        <f>'LCIA_AD-a'!U52</f>
        <v>0</v>
      </c>
      <c r="V62" s="136">
        <f>'LCIA_AD-a'!V52</f>
        <v>0</v>
      </c>
      <c r="W62" s="136">
        <f>'LCIA_AD-a'!W52</f>
        <v>0</v>
      </c>
      <c r="X62" s="136">
        <f>'LCIA_AD-a'!X52</f>
        <v>0</v>
      </c>
      <c r="Y62" s="136">
        <f>'LCIA_AD-a'!Y52</f>
        <v>0</v>
      </c>
      <c r="Z62" s="136">
        <f>'LCIA_AD-a'!Z52</f>
        <v>0</v>
      </c>
      <c r="AA62" s="136">
        <f>'LCIA_AD-a'!AA52</f>
        <v>0</v>
      </c>
      <c r="AB62" s="136">
        <f>'LCIA_AD-a'!AB52</f>
        <v>0</v>
      </c>
      <c r="AC62" s="136">
        <f>'LCIA_AD-a'!AC52</f>
        <v>0</v>
      </c>
      <c r="AD62" s="136">
        <f>'LCIA_AD-a'!AD52</f>
        <v>0</v>
      </c>
      <c r="AE62" s="136">
        <f>'LCIA_AD-a'!AE52</f>
        <v>0</v>
      </c>
      <c r="AF62" s="136">
        <f>'LCIA_AD-a'!AF52</f>
        <v>0</v>
      </c>
      <c r="AG62" s="136">
        <f>'LCIA_AD-a'!AG52</f>
        <v>0</v>
      </c>
      <c r="AH62" s="136">
        <f>'LCIA_AD-a'!AH52</f>
        <v>0</v>
      </c>
      <c r="AI62" s="136">
        <f>'LCIA_AD-a'!AI52</f>
        <v>0</v>
      </c>
      <c r="AJ62" s="136">
        <f>'LCIA_AD-a'!AJ52</f>
        <v>0</v>
      </c>
      <c r="AK62" s="136">
        <f>'LCIA_AD-a'!AK52</f>
        <v>0</v>
      </c>
    </row>
    <row r="63" spans="1:37" x14ac:dyDescent="0.35">
      <c r="A63" s="136"/>
      <c r="B63" s="136" t="s">
        <v>8</v>
      </c>
      <c r="C63" s="136" t="e">
        <f>'LCIA_AD-a'!C53</f>
        <v>#REF!</v>
      </c>
      <c r="D63" s="136" t="e">
        <f>'LCIA_AD-a'!D53</f>
        <v>#REF!</v>
      </c>
      <c r="E63" s="136" t="e">
        <f>'LCIA_AD-a'!E53</f>
        <v>#REF!</v>
      </c>
      <c r="F63" s="136" t="e">
        <f>'LCIA_AD-a'!F53</f>
        <v>#REF!</v>
      </c>
      <c r="G63" s="136">
        <f>'LCIA_AD-a'!G53</f>
        <v>2.0146246273707774E-19</v>
      </c>
      <c r="H63" s="136">
        <f>'LCIA_AD-a'!H53</f>
        <v>1.1619456849343674E-2</v>
      </c>
      <c r="I63" s="136">
        <f>'LCIA_AD-a'!I53</f>
        <v>0.55576682166479929</v>
      </c>
      <c r="J63" s="136">
        <f>'LCIA_AD-a'!J53</f>
        <v>2.7612306137817434E-2</v>
      </c>
      <c r="K63" s="136">
        <f>'LCIA_AD-a'!K53</f>
        <v>4.7970911200822386E-5</v>
      </c>
      <c r="L63" s="136">
        <f>'LCIA_AD-a'!L53</f>
        <v>1.9469395469843191E-8</v>
      </c>
      <c r="M63" s="136">
        <f>'LCIA_AD-a'!M53</f>
        <v>3.7135159712999983E-7</v>
      </c>
      <c r="N63" s="136">
        <f>'LCIA_AD-a'!N53</f>
        <v>4.4025905507185927E-7</v>
      </c>
      <c r="O63" s="136">
        <f>'LCIA_AD-a'!O53</f>
        <v>2.3435417043406713E-7</v>
      </c>
      <c r="P63" s="136">
        <f>'LCIA_AD-a'!P53</f>
        <v>9.2607546343954807E-9</v>
      </c>
      <c r="Q63" s="136">
        <f>'LCIA_AD-a'!Q53</f>
        <v>2.8557647157451842E-7</v>
      </c>
      <c r="R63" s="136">
        <f>'LCIA_AD-a'!R53</f>
        <v>3.6994648174058696E-2</v>
      </c>
      <c r="S63" s="136">
        <f>'LCIA_AD-a'!S53</f>
        <v>2.6081890331255075E-2</v>
      </c>
      <c r="T63" s="136">
        <f>'LCIA_AD-a'!T53</f>
        <v>0.22931990981381525</v>
      </c>
      <c r="U63" s="136">
        <f>'LCIA_AD-a'!U53</f>
        <v>2.4893198732130022E-2</v>
      </c>
      <c r="V63" s="136">
        <f>'LCIA_AD-a'!V53</f>
        <v>2.1589289714938985E-6</v>
      </c>
      <c r="W63" s="136">
        <f>'LCIA_AD-a'!W53</f>
        <v>5.9415646581455464E-7</v>
      </c>
      <c r="X63" s="136">
        <f>'LCIA_AD-a'!X53</f>
        <v>1.5206771691350248E-3</v>
      </c>
      <c r="Y63" s="136">
        <f>'LCIA_AD-a'!Y53</f>
        <v>1.0344645221098301E-10</v>
      </c>
      <c r="Z63" s="136">
        <f>'LCIA_AD-a'!Z53</f>
        <v>8.3737385770468086E-7</v>
      </c>
      <c r="AA63" s="136">
        <f>'LCIA_AD-a'!AA53</f>
        <v>3.5252354996375815E-2</v>
      </c>
      <c r="AB63" s="136">
        <f>'LCIA_AD-a'!AB53</f>
        <v>3.5043595930111055E-9</v>
      </c>
      <c r="AC63" s="136">
        <f>'LCIA_AD-a'!AC53</f>
        <v>7.6676156376390969E-2</v>
      </c>
      <c r="AD63" s="136">
        <f>'LCIA_AD-a'!AD53</f>
        <v>7.8803944122323041E-2</v>
      </c>
      <c r="AE63" s="136">
        <f>'LCIA_AD-a'!AE53</f>
        <v>2.1686711002231247E-2</v>
      </c>
      <c r="AF63" s="136">
        <f>'LCIA_AD-a'!AF53</f>
        <v>4.2521391639229527E-3</v>
      </c>
      <c r="AG63" s="136">
        <f>'LCIA_AD-a'!AG53</f>
        <v>1.1305864567059991</v>
      </c>
      <c r="AH63" s="136">
        <f>'LCIA_AD-a'!AH53</f>
        <v>4.950475548107104E-6</v>
      </c>
      <c r="AI63" s="136">
        <f>'LCIA_AD-a'!AI53</f>
        <v>2.258415920348486E-5</v>
      </c>
      <c r="AJ63" s="136">
        <f>'LCIA_AD-a'!AJ53</f>
        <v>2.7584831946769133E-6</v>
      </c>
      <c r="AK63" s="136">
        <f>'LCIA_AD-a'!AK53</f>
        <v>3.2924755804392892E-5</v>
      </c>
    </row>
    <row r="64" spans="1:37" x14ac:dyDescent="0.35">
      <c r="A64" s="136"/>
      <c r="B64" s="136" t="s">
        <v>18</v>
      </c>
      <c r="C64" s="136" t="e">
        <f>'LCIA_AD-a'!C54</f>
        <v>#REF!</v>
      </c>
      <c r="D64" s="136" t="e">
        <f>'LCIA_AD-a'!D54</f>
        <v>#REF!</v>
      </c>
      <c r="E64" s="136" t="e">
        <f>'LCIA_AD-a'!E54</f>
        <v>#REF!</v>
      </c>
      <c r="F64" s="136" t="e">
        <f>'LCIA_AD-a'!F54</f>
        <v>#REF!</v>
      </c>
      <c r="G64" s="136">
        <f>'LCIA_AD-a'!G54</f>
        <v>2.7159126165986591E-17</v>
      </c>
      <c r="H64" s="136">
        <f>'LCIA_AD-a'!H54</f>
        <v>3.9384429899939365E-2</v>
      </c>
      <c r="I64" s="136">
        <f>'LCIA_AD-a'!I54</f>
        <v>1.1164091774138278</v>
      </c>
      <c r="J64" s="136">
        <f>'LCIA_AD-a'!J54</f>
        <v>0.14465944541327941</v>
      </c>
      <c r="K64" s="136">
        <f>'LCIA_AD-a'!K54</f>
        <v>5.9732092169600232E-4</v>
      </c>
      <c r="L64" s="136">
        <f>'LCIA_AD-a'!L54</f>
        <v>2.4810764281290643E-8</v>
      </c>
      <c r="M64" s="136">
        <f>'LCIA_AD-a'!M54</f>
        <v>9.5025968432804083E-7</v>
      </c>
      <c r="N64" s="136">
        <f>'LCIA_AD-a'!N54</f>
        <v>8.8695954394508445E-7</v>
      </c>
      <c r="O64" s="136">
        <f>'LCIA_AD-a'!O54</f>
        <v>6.3949866864703821E-7</v>
      </c>
      <c r="P64" s="136">
        <f>'LCIA_AD-a'!P54</f>
        <v>3.4244674996023721E-10</v>
      </c>
      <c r="Q64" s="136">
        <f>'LCIA_AD-a'!Q54</f>
        <v>5.640495591874525E-9</v>
      </c>
      <c r="R64" s="136">
        <f>'LCIA_AD-a'!R54</f>
        <v>1.2522888650153385</v>
      </c>
      <c r="S64" s="136">
        <f>'LCIA_AD-a'!S54</f>
        <v>0.22236732164114079</v>
      </c>
      <c r="T64" s="136">
        <f>'LCIA_AD-a'!T54</f>
        <v>1.2993103391764373</v>
      </c>
      <c r="U64" s="136">
        <f>'LCIA_AD-a'!U54</f>
        <v>0.1410432154146555</v>
      </c>
      <c r="V64" s="136">
        <f>'LCIA_AD-a'!V54</f>
        <v>4.8995566111538829E-6</v>
      </c>
      <c r="W64" s="136">
        <f>'LCIA_AD-a'!W54</f>
        <v>3.1636932996387812E-6</v>
      </c>
      <c r="X64" s="136">
        <f>'LCIA_AD-a'!X54</f>
        <v>8.7941767587420248E-3</v>
      </c>
      <c r="Y64" s="136">
        <f>'LCIA_AD-a'!Y54</f>
        <v>5.5520031014139023E-10</v>
      </c>
      <c r="Z64" s="136">
        <f>'LCIA_AD-a'!Z54</f>
        <v>4.2239854117750112E-5</v>
      </c>
      <c r="AA64" s="136">
        <f>'LCIA_AD-a'!AA54</f>
        <v>0.30103279985134818</v>
      </c>
      <c r="AB64" s="136">
        <f>'LCIA_AD-a'!AB54</f>
        <v>3.0275729153819333E-8</v>
      </c>
      <c r="AC64" s="136">
        <f>'LCIA_AD-a'!AC54</f>
        <v>0.29460585077001711</v>
      </c>
      <c r="AD64" s="136">
        <f>'LCIA_AD-a'!AD54</f>
        <v>0.17883454948602154</v>
      </c>
      <c r="AE64" s="136">
        <f>'LCIA_AD-a'!AE54</f>
        <v>0.11547480543681553</v>
      </c>
      <c r="AF64" s="136">
        <f>'LCIA_AD-a'!AF54</f>
        <v>4.3393968358153263E-4</v>
      </c>
      <c r="AG64" s="136">
        <f>'LCIA_AD-a'!AG54</f>
        <v>5.1153930044438809</v>
      </c>
      <c r="AH64" s="136">
        <f>'LCIA_AD-a'!AH54</f>
        <v>4.6235202174172931E-5</v>
      </c>
      <c r="AI64" s="136">
        <f>'LCIA_AD-a'!AI54</f>
        <v>1.1931549424189578E-5</v>
      </c>
      <c r="AJ64" s="136">
        <f>'LCIA_AD-a'!AJ54</f>
        <v>1.4573479701655237E-6</v>
      </c>
      <c r="AK64" s="136">
        <f>'LCIA_AD-a'!AK54</f>
        <v>1.367724192572127E-4</v>
      </c>
    </row>
    <row r="65" spans="1:37" x14ac:dyDescent="0.35">
      <c r="A65" s="136"/>
      <c r="B65" s="136" t="s">
        <v>96</v>
      </c>
      <c r="C65" s="136" t="e">
        <f>'LCIA_AD-a'!C55</f>
        <v>#REF!</v>
      </c>
      <c r="D65" s="136" t="e">
        <f>'LCIA_AD-a'!D55</f>
        <v>#REF!</v>
      </c>
      <c r="E65" s="136" t="e">
        <f>'LCIA_AD-a'!E55</f>
        <v>#REF!</v>
      </c>
      <c r="F65" s="136" t="e">
        <f>'LCIA_AD-a'!F55</f>
        <v>#REF!</v>
      </c>
      <c r="G65" s="136">
        <f>'LCIA_AD-a'!G55</f>
        <v>0</v>
      </c>
      <c r="H65" s="136">
        <f>'LCIA_AD-a'!H55</f>
        <v>0</v>
      </c>
      <c r="I65" s="136">
        <f>'LCIA_AD-a'!I55</f>
        <v>0</v>
      </c>
      <c r="J65" s="136">
        <f>'LCIA_AD-a'!J55</f>
        <v>0</v>
      </c>
      <c r="K65" s="136">
        <f>'LCIA_AD-a'!K55</f>
        <v>0</v>
      </c>
      <c r="L65" s="136">
        <f>'LCIA_AD-a'!L55</f>
        <v>0</v>
      </c>
      <c r="M65" s="136">
        <f>'LCIA_AD-a'!M55</f>
        <v>0</v>
      </c>
      <c r="N65" s="136">
        <f>'LCIA_AD-a'!N55</f>
        <v>0</v>
      </c>
      <c r="O65" s="136">
        <f>'LCIA_AD-a'!O55</f>
        <v>0</v>
      </c>
      <c r="P65" s="136">
        <f>'LCIA_AD-a'!P55</f>
        <v>0</v>
      </c>
      <c r="Q65" s="136">
        <f>'LCIA_AD-a'!Q55</f>
        <v>0</v>
      </c>
      <c r="R65" s="136">
        <f>'LCIA_AD-a'!R55</f>
        <v>0</v>
      </c>
      <c r="S65" s="136">
        <f>'LCIA_AD-a'!S55</f>
        <v>0</v>
      </c>
      <c r="T65" s="136">
        <f>'LCIA_AD-a'!T55</f>
        <v>0</v>
      </c>
      <c r="U65" s="136">
        <f>'LCIA_AD-a'!U55</f>
        <v>0</v>
      </c>
      <c r="V65" s="136">
        <f>'LCIA_AD-a'!V55</f>
        <v>0</v>
      </c>
      <c r="W65" s="136">
        <f>'LCIA_AD-a'!W55</f>
        <v>0</v>
      </c>
      <c r="X65" s="136">
        <f>'LCIA_AD-a'!X55</f>
        <v>0</v>
      </c>
      <c r="Y65" s="136">
        <f>'LCIA_AD-a'!Y55</f>
        <v>0</v>
      </c>
      <c r="Z65" s="136">
        <f>'LCIA_AD-a'!Z55</f>
        <v>0</v>
      </c>
      <c r="AA65" s="136">
        <f>'LCIA_AD-a'!AA55</f>
        <v>0</v>
      </c>
      <c r="AB65" s="136">
        <f>'LCIA_AD-a'!AB55</f>
        <v>0</v>
      </c>
      <c r="AC65" s="136">
        <f>'LCIA_AD-a'!AC55</f>
        <v>0</v>
      </c>
      <c r="AD65" s="136">
        <f>'LCIA_AD-a'!AD55</f>
        <v>0</v>
      </c>
      <c r="AE65" s="136">
        <f>'LCIA_AD-a'!AE55</f>
        <v>0</v>
      </c>
      <c r="AF65" s="136">
        <f>'LCIA_AD-a'!AF55</f>
        <v>0</v>
      </c>
      <c r="AG65" s="136">
        <f>'LCIA_AD-a'!AG55</f>
        <v>0</v>
      </c>
      <c r="AH65" s="136">
        <f>'LCIA_AD-a'!AH55</f>
        <v>0</v>
      </c>
      <c r="AI65" s="136">
        <f>'LCIA_AD-a'!AI55</f>
        <v>0</v>
      </c>
      <c r="AJ65" s="136">
        <f>'LCIA_AD-a'!AJ55</f>
        <v>0</v>
      </c>
      <c r="AK65" s="136">
        <f>'LCIA_AD-a'!AK55</f>
        <v>0</v>
      </c>
    </row>
    <row r="66" spans="1:37" x14ac:dyDescent="0.35">
      <c r="A66" s="141" t="s">
        <v>7</v>
      </c>
      <c r="B66" s="136"/>
      <c r="C66" s="136">
        <f>'LCIA_AD-a'!C56</f>
        <v>0</v>
      </c>
      <c r="D66" s="136">
        <f>'LCIA_AD-a'!D56</f>
        <v>0</v>
      </c>
      <c r="E66" s="136">
        <f>'LCIA_AD-a'!E56</f>
        <v>0</v>
      </c>
      <c r="F66" s="136">
        <f>'LCIA_AD-a'!F56</f>
        <v>0</v>
      </c>
      <c r="G66" s="136">
        <f>'LCIA_AD-a'!G56</f>
        <v>0</v>
      </c>
      <c r="H66" s="136">
        <f>'LCIA_AD-a'!H56</f>
        <v>0</v>
      </c>
      <c r="I66" s="136">
        <f>'LCIA_AD-a'!I56</f>
        <v>0</v>
      </c>
      <c r="J66" s="136">
        <f>'LCIA_AD-a'!J56</f>
        <v>0</v>
      </c>
      <c r="K66" s="136">
        <f>'LCIA_AD-a'!K56</f>
        <v>0</v>
      </c>
      <c r="L66" s="136">
        <f>'LCIA_AD-a'!L56</f>
        <v>0</v>
      </c>
      <c r="M66" s="136">
        <f>'LCIA_AD-a'!M56</f>
        <v>0</v>
      </c>
      <c r="N66" s="136">
        <f>'LCIA_AD-a'!N56</f>
        <v>0</v>
      </c>
      <c r="O66" s="136">
        <f>'LCIA_AD-a'!O56</f>
        <v>0</v>
      </c>
      <c r="P66" s="136">
        <f>'LCIA_AD-a'!P56</f>
        <v>0</v>
      </c>
      <c r="Q66" s="136">
        <f>'LCIA_AD-a'!Q56</f>
        <v>0</v>
      </c>
      <c r="R66" s="136">
        <f>'LCIA_AD-a'!R56</f>
        <v>0</v>
      </c>
      <c r="S66" s="136">
        <f>'LCIA_AD-a'!S56</f>
        <v>0</v>
      </c>
      <c r="T66" s="136">
        <f>'LCIA_AD-a'!T56</f>
        <v>0</v>
      </c>
      <c r="U66" s="136">
        <f>'LCIA_AD-a'!U56</f>
        <v>0</v>
      </c>
      <c r="V66" s="136">
        <f>'LCIA_AD-a'!V56</f>
        <v>0</v>
      </c>
      <c r="W66" s="136">
        <f>'LCIA_AD-a'!W56</f>
        <v>0</v>
      </c>
      <c r="X66" s="136">
        <f>'LCIA_AD-a'!X56</f>
        <v>0</v>
      </c>
      <c r="Y66" s="136">
        <f>'LCIA_AD-a'!Y56</f>
        <v>0</v>
      </c>
      <c r="Z66" s="136">
        <f>'LCIA_AD-a'!Z56</f>
        <v>0</v>
      </c>
      <c r="AA66" s="136">
        <f>'LCIA_AD-a'!AA56</f>
        <v>0</v>
      </c>
      <c r="AB66" s="136">
        <f>'LCIA_AD-a'!AB56</f>
        <v>0</v>
      </c>
      <c r="AC66" s="136">
        <f>'LCIA_AD-a'!AC56</f>
        <v>0</v>
      </c>
      <c r="AD66" s="136">
        <f>'LCIA_AD-a'!AD56</f>
        <v>0</v>
      </c>
      <c r="AE66" s="136">
        <f>'LCIA_AD-a'!AE56</f>
        <v>0</v>
      </c>
      <c r="AF66" s="136">
        <f>'LCIA_AD-a'!AF56</f>
        <v>0</v>
      </c>
      <c r="AG66" s="136">
        <f>'LCIA_AD-a'!AG56</f>
        <v>0</v>
      </c>
      <c r="AH66" s="136">
        <f>'LCIA_AD-a'!AH56</f>
        <v>0</v>
      </c>
      <c r="AI66" s="136">
        <f>'LCIA_AD-a'!AI56</f>
        <v>0</v>
      </c>
      <c r="AJ66" s="136">
        <f>'LCIA_AD-a'!AJ56</f>
        <v>0</v>
      </c>
      <c r="AK66" s="136">
        <f>'LCIA_AD-a'!AK56</f>
        <v>0</v>
      </c>
    </row>
    <row r="67" spans="1:37" x14ac:dyDescent="0.35">
      <c r="A67" s="136"/>
      <c r="B67" s="136" t="s">
        <v>50</v>
      </c>
      <c r="C67" s="136" t="e">
        <f>'LCIA_AD-a'!C57</f>
        <v>#REF!</v>
      </c>
      <c r="D67" s="136" t="e">
        <f>'LCIA_AD-a'!D57</f>
        <v>#REF!</v>
      </c>
      <c r="E67" s="136" t="e">
        <f>'LCIA_AD-a'!E57</f>
        <v>#REF!</v>
      </c>
      <c r="F67" s="136" t="e">
        <f>'LCIA_AD-a'!F57</f>
        <v>#REF!</v>
      </c>
      <c r="G67" s="136">
        <f>'LCIA_AD-a'!G57</f>
        <v>0</v>
      </c>
      <c r="H67" s="136">
        <f>'LCIA_AD-a'!H57</f>
        <v>2.9345112064544088E-2</v>
      </c>
      <c r="I67" s="136">
        <f>'LCIA_AD-a'!I57</f>
        <v>0</v>
      </c>
      <c r="J67" s="136">
        <f>'LCIA_AD-a'!J57</f>
        <v>0</v>
      </c>
      <c r="K67" s="136">
        <f>'LCIA_AD-a'!K57</f>
        <v>0</v>
      </c>
      <c r="L67" s="136">
        <f>'LCIA_AD-a'!L57</f>
        <v>0</v>
      </c>
      <c r="M67" s="136">
        <f>'LCIA_AD-a'!M57</f>
        <v>0</v>
      </c>
      <c r="N67" s="136">
        <f>'LCIA_AD-a'!N57</f>
        <v>0</v>
      </c>
      <c r="O67" s="136">
        <f>'LCIA_AD-a'!O57</f>
        <v>0</v>
      </c>
      <c r="P67" s="136">
        <f>'LCIA_AD-a'!P57</f>
        <v>0</v>
      </c>
      <c r="Q67" s="136">
        <f>'LCIA_AD-a'!Q57</f>
        <v>0</v>
      </c>
      <c r="R67" s="136">
        <f>'LCIA_AD-a'!R57</f>
        <v>0</v>
      </c>
      <c r="S67" s="136">
        <f>'LCIA_AD-a'!S57</f>
        <v>0</v>
      </c>
      <c r="T67" s="136">
        <f>'LCIA_AD-a'!T57</f>
        <v>0</v>
      </c>
      <c r="U67" s="136">
        <f>'LCIA_AD-a'!U57</f>
        <v>0</v>
      </c>
      <c r="V67" s="136">
        <f>'LCIA_AD-a'!V57</f>
        <v>0</v>
      </c>
      <c r="W67" s="136">
        <f>'LCIA_AD-a'!W57</f>
        <v>0</v>
      </c>
      <c r="X67" s="136">
        <f>'LCIA_AD-a'!X57</f>
        <v>9.6680276587565762E-3</v>
      </c>
      <c r="Y67" s="136">
        <f>'LCIA_AD-a'!Y57</f>
        <v>0</v>
      </c>
      <c r="Z67" s="136">
        <f>'LCIA_AD-a'!Z57</f>
        <v>6.8968264850586225E-7</v>
      </c>
      <c r="AA67" s="136">
        <f>'LCIA_AD-a'!AA57</f>
        <v>0.32004521004312952</v>
      </c>
      <c r="AB67" s="136">
        <f>'LCIA_AD-a'!AB57</f>
        <v>3.341371231675092E-8</v>
      </c>
      <c r="AC67" s="136">
        <f>'LCIA_AD-a'!AC57</f>
        <v>0.24065465076169715</v>
      </c>
      <c r="AD67" s="136">
        <f>'LCIA_AD-a'!AD57</f>
        <v>0</v>
      </c>
      <c r="AE67" s="136">
        <f>'LCIA_AD-a'!AE57</f>
        <v>0</v>
      </c>
      <c r="AF67" s="136">
        <f>'LCIA_AD-a'!AF57</f>
        <v>0</v>
      </c>
      <c r="AG67" s="136">
        <f>'LCIA_AD-a'!AG57</f>
        <v>0.59971300052812737</v>
      </c>
      <c r="AH67" s="136">
        <f>'LCIA_AD-a'!AH57</f>
        <v>7.2309636082261313E-7</v>
      </c>
      <c r="AI67" s="136">
        <f>'LCIA_AD-a'!AI57</f>
        <v>0</v>
      </c>
      <c r="AJ67" s="136">
        <f>'LCIA_AD-a'!AJ57</f>
        <v>0</v>
      </c>
      <c r="AK67" s="136">
        <f>'LCIA_AD-a'!AK57</f>
        <v>0</v>
      </c>
    </row>
    <row r="68" spans="1:37" x14ac:dyDescent="0.35">
      <c r="A68" s="136"/>
      <c r="B68" s="136" t="s">
        <v>51</v>
      </c>
      <c r="C68" s="136" t="e">
        <f>'LCIA_AD-a'!C58</f>
        <v>#REF!</v>
      </c>
      <c r="D68" s="136" t="e">
        <f>'LCIA_AD-a'!D58</f>
        <v>#REF!</v>
      </c>
      <c r="E68" s="136" t="e">
        <f>'LCIA_AD-a'!E58</f>
        <v>#REF!</v>
      </c>
      <c r="F68" s="136" t="e">
        <f>'LCIA_AD-a'!F58</f>
        <v>#REF!</v>
      </c>
      <c r="G68" s="136">
        <f>'LCIA_AD-a'!G58</f>
        <v>0</v>
      </c>
      <c r="H68" s="136">
        <f>'LCIA_AD-a'!H58</f>
        <v>0</v>
      </c>
      <c r="I68" s="136">
        <f>'LCIA_AD-a'!I58</f>
        <v>0</v>
      </c>
      <c r="J68" s="136">
        <f>'LCIA_AD-a'!J58</f>
        <v>0</v>
      </c>
      <c r="K68" s="136">
        <f>'LCIA_AD-a'!K58</f>
        <v>0</v>
      </c>
      <c r="L68" s="136">
        <f>'LCIA_AD-a'!L58</f>
        <v>0</v>
      </c>
      <c r="M68" s="136">
        <f>'LCIA_AD-a'!M58</f>
        <v>0</v>
      </c>
      <c r="N68" s="136">
        <f>'LCIA_AD-a'!N58</f>
        <v>0</v>
      </c>
      <c r="O68" s="136">
        <f>'LCIA_AD-a'!O58</f>
        <v>0</v>
      </c>
      <c r="P68" s="136">
        <f>'LCIA_AD-a'!P58</f>
        <v>0</v>
      </c>
      <c r="Q68" s="136">
        <f>'LCIA_AD-a'!Q58</f>
        <v>0</v>
      </c>
      <c r="R68" s="136">
        <f>'LCIA_AD-a'!R58</f>
        <v>0</v>
      </c>
      <c r="S68" s="136">
        <f>'LCIA_AD-a'!S58</f>
        <v>0</v>
      </c>
      <c r="T68" s="136">
        <f>'LCIA_AD-a'!T58</f>
        <v>0</v>
      </c>
      <c r="U68" s="136">
        <f>'LCIA_AD-a'!U58</f>
        <v>0</v>
      </c>
      <c r="V68" s="136">
        <f>'LCIA_AD-a'!V58</f>
        <v>0</v>
      </c>
      <c r="W68" s="136">
        <f>'LCIA_AD-a'!W58</f>
        <v>0</v>
      </c>
      <c r="X68" s="136">
        <f>'LCIA_AD-a'!X58</f>
        <v>0</v>
      </c>
      <c r="Y68" s="136">
        <f>'LCIA_AD-a'!Y58</f>
        <v>0</v>
      </c>
      <c r="Z68" s="136">
        <f>'LCIA_AD-a'!Z58</f>
        <v>0</v>
      </c>
      <c r="AA68" s="136">
        <f>'LCIA_AD-a'!AA58</f>
        <v>0</v>
      </c>
      <c r="AB68" s="136">
        <f>'LCIA_AD-a'!AB58</f>
        <v>0</v>
      </c>
      <c r="AC68" s="136">
        <f>'LCIA_AD-a'!AC58</f>
        <v>0</v>
      </c>
      <c r="AD68" s="136">
        <f>'LCIA_AD-a'!AD58</f>
        <v>0</v>
      </c>
      <c r="AE68" s="136">
        <f>'LCIA_AD-a'!AE58</f>
        <v>0</v>
      </c>
      <c r="AF68" s="136">
        <f>'LCIA_AD-a'!AF58</f>
        <v>0</v>
      </c>
      <c r="AG68" s="136">
        <f>'LCIA_AD-a'!AG58</f>
        <v>0</v>
      </c>
      <c r="AH68" s="136">
        <f>'LCIA_AD-a'!AH58</f>
        <v>0</v>
      </c>
      <c r="AI68" s="136">
        <f>'LCIA_AD-a'!AI58</f>
        <v>0</v>
      </c>
      <c r="AJ68" s="136">
        <f>'LCIA_AD-a'!AJ58</f>
        <v>0</v>
      </c>
      <c r="AK68" s="136">
        <f>'LCIA_AD-a'!AK58</f>
        <v>0</v>
      </c>
    </row>
    <row r="69" spans="1:37" x14ac:dyDescent="0.35">
      <c r="A69" s="136"/>
      <c r="B69" s="136" t="s">
        <v>52</v>
      </c>
      <c r="C69" s="136" t="e">
        <f>'LCIA_AD-a'!C59</f>
        <v>#REF!</v>
      </c>
      <c r="D69" s="136" t="e">
        <f>'LCIA_AD-a'!D59</f>
        <v>#REF!</v>
      </c>
      <c r="E69" s="136" t="e">
        <f>'LCIA_AD-a'!E59</f>
        <v>#REF!</v>
      </c>
      <c r="F69" s="136" t="e">
        <f>'LCIA_AD-a'!F59</f>
        <v>#REF!</v>
      </c>
      <c r="G69" s="136">
        <f>'LCIA_AD-a'!G59</f>
        <v>0</v>
      </c>
      <c r="H69" s="136">
        <f>'LCIA_AD-a'!H59</f>
        <v>7.5301896698104316E-3</v>
      </c>
      <c r="I69" s="136">
        <f>'LCIA_AD-a'!I59</f>
        <v>0</v>
      </c>
      <c r="J69" s="136">
        <f>'LCIA_AD-a'!J59</f>
        <v>0</v>
      </c>
      <c r="K69" s="136">
        <f>'LCIA_AD-a'!K59</f>
        <v>0</v>
      </c>
      <c r="L69" s="136">
        <f>'LCIA_AD-a'!L59</f>
        <v>0</v>
      </c>
      <c r="M69" s="136">
        <f>'LCIA_AD-a'!M59</f>
        <v>0</v>
      </c>
      <c r="N69" s="136">
        <f>'LCIA_AD-a'!N59</f>
        <v>0</v>
      </c>
      <c r="O69" s="136">
        <f>'LCIA_AD-a'!O59</f>
        <v>0</v>
      </c>
      <c r="P69" s="136">
        <f>'LCIA_AD-a'!P59</f>
        <v>0</v>
      </c>
      <c r="Q69" s="136">
        <f>'LCIA_AD-a'!Q59</f>
        <v>0</v>
      </c>
      <c r="R69" s="136">
        <f>'LCIA_AD-a'!R59</f>
        <v>0</v>
      </c>
      <c r="S69" s="136">
        <f>'LCIA_AD-a'!S59</f>
        <v>0</v>
      </c>
      <c r="T69" s="136">
        <f>'LCIA_AD-a'!T59</f>
        <v>0</v>
      </c>
      <c r="U69" s="136">
        <f>'LCIA_AD-a'!U59</f>
        <v>0</v>
      </c>
      <c r="V69" s="136">
        <f>'LCIA_AD-a'!V59</f>
        <v>0</v>
      </c>
      <c r="W69" s="136">
        <f>'LCIA_AD-a'!W59</f>
        <v>0</v>
      </c>
      <c r="X69" s="136">
        <f>'LCIA_AD-a'!X59</f>
        <v>0</v>
      </c>
      <c r="Y69" s="136">
        <f>'LCIA_AD-a'!Y59</f>
        <v>0</v>
      </c>
      <c r="Z69" s="136">
        <f>'LCIA_AD-a'!Z59</f>
        <v>2.9229407484295913E-7</v>
      </c>
      <c r="AA69" s="136">
        <f>'LCIA_AD-a'!AA59</f>
        <v>0</v>
      </c>
      <c r="AB69" s="136">
        <f>'LCIA_AD-a'!AB59</f>
        <v>0</v>
      </c>
      <c r="AC69" s="136">
        <f>'LCIA_AD-a'!AC59</f>
        <v>4.4870051656323025E-2</v>
      </c>
      <c r="AD69" s="136">
        <f>'LCIA_AD-a'!AD59</f>
        <v>0</v>
      </c>
      <c r="AE69" s="136">
        <f>'LCIA_AD-a'!AE59</f>
        <v>0</v>
      </c>
      <c r="AF69" s="136">
        <f>'LCIA_AD-a'!AF59</f>
        <v>0</v>
      </c>
      <c r="AG69" s="136">
        <f>'LCIA_AD-a'!AG59</f>
        <v>5.2400241326133461E-2</v>
      </c>
      <c r="AH69" s="136">
        <f>'LCIA_AD-a'!AH59</f>
        <v>2.9229407484295913E-7</v>
      </c>
      <c r="AI69" s="136">
        <f>'LCIA_AD-a'!AI59</f>
        <v>0</v>
      </c>
      <c r="AJ69" s="136">
        <f>'LCIA_AD-a'!AJ59</f>
        <v>0</v>
      </c>
      <c r="AK69" s="136">
        <f>'LCIA_AD-a'!AK59</f>
        <v>0</v>
      </c>
    </row>
    <row r="70" spans="1:37" x14ac:dyDescent="0.35">
      <c r="A70" s="136"/>
      <c r="B70" s="136" t="s">
        <v>53</v>
      </c>
      <c r="C70" s="136" t="e">
        <f>'LCIA_AD-a'!C60</f>
        <v>#REF!</v>
      </c>
      <c r="D70" s="136" t="e">
        <f>'LCIA_AD-a'!D60</f>
        <v>#REF!</v>
      </c>
      <c r="E70" s="136" t="e">
        <f>'LCIA_AD-a'!E60</f>
        <v>#REF!</v>
      </c>
      <c r="F70" s="136" t="e">
        <f>'LCIA_AD-a'!F60</f>
        <v>#REF!</v>
      </c>
      <c r="G70" s="136">
        <f>'LCIA_AD-a'!G60</f>
        <v>0</v>
      </c>
      <c r="H70" s="136">
        <f>'LCIA_AD-a'!H60</f>
        <v>0</v>
      </c>
      <c r="I70" s="136">
        <f>'LCIA_AD-a'!I60</f>
        <v>0</v>
      </c>
      <c r="J70" s="136">
        <f>'LCIA_AD-a'!J60</f>
        <v>0</v>
      </c>
      <c r="K70" s="136">
        <f>'LCIA_AD-a'!K60</f>
        <v>0</v>
      </c>
      <c r="L70" s="136">
        <f>'LCIA_AD-a'!L60</f>
        <v>0</v>
      </c>
      <c r="M70" s="136">
        <f>'LCIA_AD-a'!M60</f>
        <v>0</v>
      </c>
      <c r="N70" s="136">
        <f>'LCIA_AD-a'!N60</f>
        <v>0</v>
      </c>
      <c r="O70" s="136">
        <f>'LCIA_AD-a'!O60</f>
        <v>0</v>
      </c>
      <c r="P70" s="136">
        <f>'LCIA_AD-a'!P60</f>
        <v>0</v>
      </c>
      <c r="Q70" s="136">
        <f>'LCIA_AD-a'!Q60</f>
        <v>0</v>
      </c>
      <c r="R70" s="136">
        <f>'LCIA_AD-a'!R60</f>
        <v>0</v>
      </c>
      <c r="S70" s="136">
        <f>'LCIA_AD-a'!S60</f>
        <v>0</v>
      </c>
      <c r="T70" s="136">
        <f>'LCIA_AD-a'!T60</f>
        <v>0</v>
      </c>
      <c r="U70" s="136">
        <f>'LCIA_AD-a'!U60</f>
        <v>0</v>
      </c>
      <c r="V70" s="136">
        <f>'LCIA_AD-a'!V60</f>
        <v>0</v>
      </c>
      <c r="W70" s="136">
        <f>'LCIA_AD-a'!W60</f>
        <v>0</v>
      </c>
      <c r="X70" s="136">
        <f>'LCIA_AD-a'!X60</f>
        <v>0</v>
      </c>
      <c r="Y70" s="136">
        <f>'LCIA_AD-a'!Y60</f>
        <v>0</v>
      </c>
      <c r="Z70" s="136">
        <f>'LCIA_AD-a'!Z60</f>
        <v>1.0521444232463526E-5</v>
      </c>
      <c r="AA70" s="136">
        <f>'LCIA_AD-a'!AA60</f>
        <v>0</v>
      </c>
      <c r="AB70" s="136">
        <f>'LCIA_AD-a'!AB60</f>
        <v>0</v>
      </c>
      <c r="AC70" s="136">
        <f>'LCIA_AD-a'!AC60</f>
        <v>0</v>
      </c>
      <c r="AD70" s="136">
        <f>'LCIA_AD-a'!AD60</f>
        <v>0</v>
      </c>
      <c r="AE70" s="136">
        <f>'LCIA_AD-a'!AE60</f>
        <v>0</v>
      </c>
      <c r="AF70" s="136">
        <f>'LCIA_AD-a'!AF60</f>
        <v>0</v>
      </c>
      <c r="AG70" s="136">
        <f>'LCIA_AD-a'!AG60</f>
        <v>0</v>
      </c>
      <c r="AH70" s="136">
        <f>'LCIA_AD-a'!AH60</f>
        <v>1.0521444232463526E-5</v>
      </c>
      <c r="AI70" s="136">
        <f>'LCIA_AD-a'!AI60</f>
        <v>0</v>
      </c>
      <c r="AJ70" s="136">
        <f>'LCIA_AD-a'!AJ60</f>
        <v>0</v>
      </c>
      <c r="AK70" s="136">
        <f>'LCIA_AD-a'!AK60</f>
        <v>0</v>
      </c>
    </row>
    <row r="71" spans="1:37" x14ac:dyDescent="0.35">
      <c r="A71" s="136"/>
      <c r="B71" s="136" t="s">
        <v>54</v>
      </c>
      <c r="C71" s="136" t="e">
        <f>'LCIA_AD-a'!C61</f>
        <v>#REF!</v>
      </c>
      <c r="D71" s="136" t="e">
        <f>'LCIA_AD-a'!D61</f>
        <v>#REF!</v>
      </c>
      <c r="E71" s="136" t="e">
        <f>'LCIA_AD-a'!E61</f>
        <v>#REF!</v>
      </c>
      <c r="F71" s="136" t="e">
        <f>'LCIA_AD-a'!F61</f>
        <v>#REF!</v>
      </c>
      <c r="G71" s="136">
        <f>'LCIA_AD-a'!G61</f>
        <v>0</v>
      </c>
      <c r="H71" s="136">
        <f>'LCIA_AD-a'!H61</f>
        <v>0</v>
      </c>
      <c r="I71" s="136">
        <f>'LCIA_AD-a'!I61</f>
        <v>0</v>
      </c>
      <c r="J71" s="136">
        <f>'LCIA_AD-a'!J61</f>
        <v>0</v>
      </c>
      <c r="K71" s="136">
        <f>'LCIA_AD-a'!K61</f>
        <v>0</v>
      </c>
      <c r="L71" s="136">
        <f>'LCIA_AD-a'!L61</f>
        <v>0</v>
      </c>
      <c r="M71" s="136">
        <f>'LCIA_AD-a'!M61</f>
        <v>0</v>
      </c>
      <c r="N71" s="136">
        <f>'LCIA_AD-a'!N61</f>
        <v>0</v>
      </c>
      <c r="O71" s="136">
        <f>'LCIA_AD-a'!O61</f>
        <v>0</v>
      </c>
      <c r="P71" s="136">
        <f>'LCIA_AD-a'!P61</f>
        <v>0</v>
      </c>
      <c r="Q71" s="136">
        <f>'LCIA_AD-a'!Q61</f>
        <v>0</v>
      </c>
      <c r="R71" s="136">
        <f>'LCIA_AD-a'!R61</f>
        <v>0</v>
      </c>
      <c r="S71" s="136">
        <f>'LCIA_AD-a'!S61</f>
        <v>0</v>
      </c>
      <c r="T71" s="136">
        <f>'LCIA_AD-a'!T61</f>
        <v>0</v>
      </c>
      <c r="U71" s="136">
        <f>'LCIA_AD-a'!U61</f>
        <v>0</v>
      </c>
      <c r="V71" s="136">
        <f>'LCIA_AD-a'!V61</f>
        <v>0</v>
      </c>
      <c r="W71" s="136">
        <f>'LCIA_AD-a'!W61</f>
        <v>0</v>
      </c>
      <c r="X71" s="136">
        <f>'LCIA_AD-a'!X61</f>
        <v>0</v>
      </c>
      <c r="Y71" s="136">
        <f>'LCIA_AD-a'!Y61</f>
        <v>0</v>
      </c>
      <c r="Z71" s="136">
        <f>'LCIA_AD-a'!Z61</f>
        <v>0</v>
      </c>
      <c r="AA71" s="136">
        <f>'LCIA_AD-a'!AA61</f>
        <v>0</v>
      </c>
      <c r="AB71" s="136">
        <f>'LCIA_AD-a'!AB61</f>
        <v>0</v>
      </c>
      <c r="AC71" s="136">
        <f>'LCIA_AD-a'!AC61</f>
        <v>0</v>
      </c>
      <c r="AD71" s="136">
        <f>'LCIA_AD-a'!AD61</f>
        <v>0</v>
      </c>
      <c r="AE71" s="136">
        <f>'LCIA_AD-a'!AE61</f>
        <v>0</v>
      </c>
      <c r="AF71" s="136">
        <f>'LCIA_AD-a'!AF61</f>
        <v>0</v>
      </c>
      <c r="AG71" s="136">
        <f>'LCIA_AD-a'!AG61</f>
        <v>0</v>
      </c>
      <c r="AH71" s="136">
        <f>'LCIA_AD-a'!AH61</f>
        <v>0</v>
      </c>
      <c r="AI71" s="136">
        <f>'LCIA_AD-a'!AI61</f>
        <v>0</v>
      </c>
      <c r="AJ71" s="136">
        <f>'LCIA_AD-a'!AJ61</f>
        <v>0</v>
      </c>
      <c r="AK71" s="136">
        <f>'LCIA_AD-a'!AK61</f>
        <v>0</v>
      </c>
    </row>
    <row r="72" spans="1:37" x14ac:dyDescent="0.35">
      <c r="A72" s="136"/>
      <c r="B72" s="136" t="s">
        <v>55</v>
      </c>
      <c r="C72" s="136" t="e">
        <f>'LCIA_AD-a'!C62</f>
        <v>#REF!</v>
      </c>
      <c r="D72" s="136" t="e">
        <f>'LCIA_AD-a'!D62</f>
        <v>#REF!</v>
      </c>
      <c r="E72" s="136" t="e">
        <f>'LCIA_AD-a'!E62</f>
        <v>#REF!</v>
      </c>
      <c r="F72" s="136" t="e">
        <f>'LCIA_AD-a'!F62</f>
        <v>#REF!</v>
      </c>
      <c r="G72" s="136">
        <f>'LCIA_AD-a'!G62</f>
        <v>0</v>
      </c>
      <c r="H72" s="136">
        <f>'LCIA_AD-a'!H62</f>
        <v>2.64775553315998E-2</v>
      </c>
      <c r="I72" s="136">
        <f>'LCIA_AD-a'!I62</f>
        <v>0</v>
      </c>
      <c r="J72" s="136">
        <f>'LCIA_AD-a'!J62</f>
        <v>0</v>
      </c>
      <c r="K72" s="136">
        <f>'LCIA_AD-a'!K62</f>
        <v>0</v>
      </c>
      <c r="L72" s="136">
        <f>'LCIA_AD-a'!L62</f>
        <v>0</v>
      </c>
      <c r="M72" s="136">
        <f>'LCIA_AD-a'!M62</f>
        <v>0</v>
      </c>
      <c r="N72" s="136">
        <f>'LCIA_AD-a'!N62</f>
        <v>0</v>
      </c>
      <c r="O72" s="136">
        <f>'LCIA_AD-a'!O62</f>
        <v>0</v>
      </c>
      <c r="P72" s="136">
        <f>'LCIA_AD-a'!P62</f>
        <v>0</v>
      </c>
      <c r="Q72" s="136">
        <f>'LCIA_AD-a'!Q62</f>
        <v>0</v>
      </c>
      <c r="R72" s="136">
        <f>'LCIA_AD-a'!R62</f>
        <v>0</v>
      </c>
      <c r="S72" s="136">
        <f>'LCIA_AD-a'!S62</f>
        <v>0</v>
      </c>
      <c r="T72" s="136">
        <f>'LCIA_AD-a'!T62</f>
        <v>0</v>
      </c>
      <c r="U72" s="136">
        <f>'LCIA_AD-a'!U62</f>
        <v>0</v>
      </c>
      <c r="V72" s="136">
        <f>'LCIA_AD-a'!V62</f>
        <v>0</v>
      </c>
      <c r="W72" s="136">
        <f>'LCIA_AD-a'!W62</f>
        <v>0</v>
      </c>
      <c r="X72" s="136">
        <f>'LCIA_AD-a'!X62</f>
        <v>1.0164650294236277E-2</v>
      </c>
      <c r="Y72" s="136">
        <f>'LCIA_AD-a'!Y62</f>
        <v>0</v>
      </c>
      <c r="Z72" s="136">
        <f>'LCIA_AD-a'!Z62</f>
        <v>2.5434328360242584E-6</v>
      </c>
      <c r="AA72" s="136">
        <f>'LCIA_AD-a'!AA62</f>
        <v>0</v>
      </c>
      <c r="AB72" s="136">
        <f>'LCIA_AD-a'!AB62</f>
        <v>0</v>
      </c>
      <c r="AC72" s="136">
        <f>'LCIA_AD-a'!AC62</f>
        <v>0.3413663755755999</v>
      </c>
      <c r="AD72" s="136">
        <f>'LCIA_AD-a'!AD62</f>
        <v>0</v>
      </c>
      <c r="AE72" s="136">
        <f>'LCIA_AD-a'!AE62</f>
        <v>0</v>
      </c>
      <c r="AF72" s="136">
        <f>'LCIA_AD-a'!AF62</f>
        <v>0</v>
      </c>
      <c r="AG72" s="136">
        <f>'LCIA_AD-a'!AG62</f>
        <v>0.37800858120143599</v>
      </c>
      <c r="AH72" s="136">
        <f>'LCIA_AD-a'!AH62</f>
        <v>2.5434328360242584E-6</v>
      </c>
      <c r="AI72" s="136">
        <f>'LCIA_AD-a'!AI62</f>
        <v>0</v>
      </c>
      <c r="AJ72" s="136">
        <f>'LCIA_AD-a'!AJ62</f>
        <v>0</v>
      </c>
      <c r="AK72" s="136">
        <f>'LCIA_AD-a'!AK62</f>
        <v>0</v>
      </c>
    </row>
    <row r="73" spans="1:37" x14ac:dyDescent="0.35">
      <c r="A73" s="136"/>
      <c r="B73" s="136" t="s">
        <v>58</v>
      </c>
      <c r="C73" s="136" t="e">
        <f>'LCIA_AD-a'!C63</f>
        <v>#REF!</v>
      </c>
      <c r="D73" s="136" t="e">
        <f>'LCIA_AD-a'!D63</f>
        <v>#REF!</v>
      </c>
      <c r="E73" s="136" t="e">
        <f>'LCIA_AD-a'!E63</f>
        <v>#REF!</v>
      </c>
      <c r="F73" s="136" t="e">
        <f>'LCIA_AD-a'!F63</f>
        <v>#REF!</v>
      </c>
      <c r="G73" s="136">
        <f>'LCIA_AD-a'!G63</f>
        <v>0</v>
      </c>
      <c r="H73" s="136">
        <f>'LCIA_AD-a'!H63</f>
        <v>0</v>
      </c>
      <c r="I73" s="136">
        <f>'LCIA_AD-a'!I63</f>
        <v>0</v>
      </c>
      <c r="J73" s="136">
        <f>'LCIA_AD-a'!J63</f>
        <v>0</v>
      </c>
      <c r="K73" s="136">
        <f>'LCIA_AD-a'!K63</f>
        <v>0</v>
      </c>
      <c r="L73" s="136">
        <f>'LCIA_AD-a'!L63</f>
        <v>0</v>
      </c>
      <c r="M73" s="136">
        <f>'LCIA_AD-a'!M63</f>
        <v>0</v>
      </c>
      <c r="N73" s="136">
        <f>'LCIA_AD-a'!N63</f>
        <v>0</v>
      </c>
      <c r="O73" s="136">
        <f>'LCIA_AD-a'!O63</f>
        <v>0</v>
      </c>
      <c r="P73" s="136">
        <f>'LCIA_AD-a'!P63</f>
        <v>0</v>
      </c>
      <c r="Q73" s="136">
        <f>'LCIA_AD-a'!Q63</f>
        <v>0</v>
      </c>
      <c r="R73" s="136">
        <f>'LCIA_AD-a'!R63</f>
        <v>0</v>
      </c>
      <c r="S73" s="136">
        <f>'LCIA_AD-a'!S63</f>
        <v>0</v>
      </c>
      <c r="T73" s="136">
        <f>'LCIA_AD-a'!T63</f>
        <v>0</v>
      </c>
      <c r="U73" s="136">
        <f>'LCIA_AD-a'!U63</f>
        <v>0</v>
      </c>
      <c r="V73" s="136">
        <f>'LCIA_AD-a'!V63</f>
        <v>0</v>
      </c>
      <c r="W73" s="136">
        <f>'LCIA_AD-a'!W63</f>
        <v>0</v>
      </c>
      <c r="X73" s="136">
        <f>'LCIA_AD-a'!X63</f>
        <v>0</v>
      </c>
      <c r="Y73" s="136">
        <f>'LCIA_AD-a'!Y63</f>
        <v>0</v>
      </c>
      <c r="Z73" s="136">
        <f>'LCIA_AD-a'!Z63</f>
        <v>0</v>
      </c>
      <c r="AA73" s="136">
        <f>'LCIA_AD-a'!AA63</f>
        <v>0</v>
      </c>
      <c r="AB73" s="136">
        <f>'LCIA_AD-a'!AB63</f>
        <v>0</v>
      </c>
      <c r="AC73" s="136">
        <f>'LCIA_AD-a'!AC63</f>
        <v>0</v>
      </c>
      <c r="AD73" s="136">
        <f>'LCIA_AD-a'!AD63</f>
        <v>0</v>
      </c>
      <c r="AE73" s="136">
        <f>'LCIA_AD-a'!AE63</f>
        <v>0</v>
      </c>
      <c r="AF73" s="136">
        <f>'LCIA_AD-a'!AF63</f>
        <v>0</v>
      </c>
      <c r="AG73" s="136">
        <f>'LCIA_AD-a'!AG63</f>
        <v>0</v>
      </c>
      <c r="AH73" s="136">
        <f>'LCIA_AD-a'!AH63</f>
        <v>0</v>
      </c>
      <c r="AI73" s="136">
        <f>'LCIA_AD-a'!AI63</f>
        <v>0</v>
      </c>
      <c r="AJ73" s="136">
        <f>'LCIA_AD-a'!AJ63</f>
        <v>0</v>
      </c>
      <c r="AK73" s="136">
        <f>'LCIA_AD-a'!AK63</f>
        <v>0</v>
      </c>
    </row>
    <row r="74" spans="1:37" x14ac:dyDescent="0.35">
      <c r="A74" s="136"/>
      <c r="B74" s="136" t="s">
        <v>59</v>
      </c>
      <c r="C74" s="136" t="e">
        <f>'LCIA_AD-a'!C64</f>
        <v>#REF!</v>
      </c>
      <c r="D74" s="136" t="e">
        <f>'LCIA_AD-a'!D64</f>
        <v>#REF!</v>
      </c>
      <c r="E74" s="136" t="e">
        <f>'LCIA_AD-a'!E64</f>
        <v>#REF!</v>
      </c>
      <c r="F74" s="136" t="e">
        <f>'LCIA_AD-a'!F64</f>
        <v>#REF!</v>
      </c>
      <c r="G74" s="136">
        <f>'LCIA_AD-a'!G64</f>
        <v>0</v>
      </c>
      <c r="H74" s="136">
        <f>'LCIA_AD-a'!H64</f>
        <v>0</v>
      </c>
      <c r="I74" s="136">
        <f>'LCIA_AD-a'!I64</f>
        <v>0</v>
      </c>
      <c r="J74" s="136">
        <f>'LCIA_AD-a'!J64</f>
        <v>0</v>
      </c>
      <c r="K74" s="136">
        <f>'LCIA_AD-a'!K64</f>
        <v>0</v>
      </c>
      <c r="L74" s="136">
        <f>'LCIA_AD-a'!L64</f>
        <v>0</v>
      </c>
      <c r="M74" s="136">
        <f>'LCIA_AD-a'!M64</f>
        <v>0</v>
      </c>
      <c r="N74" s="136">
        <f>'LCIA_AD-a'!N64</f>
        <v>0</v>
      </c>
      <c r="O74" s="136">
        <f>'LCIA_AD-a'!O64</f>
        <v>0</v>
      </c>
      <c r="P74" s="136">
        <f>'LCIA_AD-a'!P64</f>
        <v>0</v>
      </c>
      <c r="Q74" s="136">
        <f>'LCIA_AD-a'!Q64</f>
        <v>0</v>
      </c>
      <c r="R74" s="136">
        <f>'LCIA_AD-a'!R64</f>
        <v>0</v>
      </c>
      <c r="S74" s="136">
        <f>'LCIA_AD-a'!S64</f>
        <v>0</v>
      </c>
      <c r="T74" s="136">
        <f>'LCIA_AD-a'!T64</f>
        <v>0</v>
      </c>
      <c r="U74" s="136">
        <f>'LCIA_AD-a'!U64</f>
        <v>0</v>
      </c>
      <c r="V74" s="136">
        <f>'LCIA_AD-a'!V64</f>
        <v>0</v>
      </c>
      <c r="W74" s="136">
        <f>'LCIA_AD-a'!W64</f>
        <v>0</v>
      </c>
      <c r="X74" s="136">
        <f>'LCIA_AD-a'!X64</f>
        <v>0</v>
      </c>
      <c r="Y74" s="136">
        <f>'LCIA_AD-a'!Y64</f>
        <v>0</v>
      </c>
      <c r="Z74" s="136">
        <f>'LCIA_AD-a'!Z64</f>
        <v>0</v>
      </c>
      <c r="AA74" s="136">
        <f>'LCIA_AD-a'!AA64</f>
        <v>0</v>
      </c>
      <c r="AB74" s="136">
        <f>'LCIA_AD-a'!AB64</f>
        <v>0</v>
      </c>
      <c r="AC74" s="136">
        <f>'LCIA_AD-a'!AC64</f>
        <v>0</v>
      </c>
      <c r="AD74" s="136">
        <f>'LCIA_AD-a'!AD64</f>
        <v>0</v>
      </c>
      <c r="AE74" s="136">
        <f>'LCIA_AD-a'!AE64</f>
        <v>0</v>
      </c>
      <c r="AF74" s="136">
        <f>'LCIA_AD-a'!AF64</f>
        <v>0</v>
      </c>
      <c r="AG74" s="136">
        <f>'LCIA_AD-a'!AG64</f>
        <v>0</v>
      </c>
      <c r="AH74" s="136">
        <f>'LCIA_AD-a'!AH64</f>
        <v>0</v>
      </c>
      <c r="AI74" s="136">
        <f>'LCIA_AD-a'!AI64</f>
        <v>0</v>
      </c>
      <c r="AJ74" s="136">
        <f>'LCIA_AD-a'!AJ64</f>
        <v>0</v>
      </c>
      <c r="AK74" s="136">
        <f>'LCIA_AD-a'!AK64</f>
        <v>0</v>
      </c>
    </row>
    <row r="75" spans="1:37" x14ac:dyDescent="0.35">
      <c r="A75" s="141" t="s">
        <v>272</v>
      </c>
      <c r="B75" s="136"/>
      <c r="C75" s="136"/>
      <c r="D75" s="136"/>
      <c r="E75" s="136"/>
      <c r="F75" s="136"/>
      <c r="G75" s="136"/>
      <c r="H75" s="136"/>
      <c r="I75" s="136"/>
      <c r="J75" s="136"/>
      <c r="K75" s="136"/>
      <c r="L75" s="136"/>
      <c r="M75" s="136"/>
      <c r="N75" s="136"/>
      <c r="O75" s="136"/>
      <c r="P75" s="136"/>
      <c r="Q75" s="136"/>
      <c r="R75" s="136"/>
      <c r="S75" s="136"/>
      <c r="T75" s="136"/>
      <c r="U75" s="136"/>
      <c r="V75" s="136"/>
      <c r="W75" s="136"/>
      <c r="X75" s="136"/>
      <c r="Y75" s="136"/>
      <c r="Z75" s="136"/>
      <c r="AA75" s="136"/>
      <c r="AB75" s="136"/>
      <c r="AC75" s="136"/>
      <c r="AD75" s="136"/>
      <c r="AE75" s="136"/>
      <c r="AF75" s="136"/>
      <c r="AG75" s="136"/>
      <c r="AH75" s="136"/>
      <c r="AI75" s="136"/>
      <c r="AJ75" s="136"/>
      <c r="AK75" s="136"/>
    </row>
    <row r="76" spans="1:37" x14ac:dyDescent="0.35">
      <c r="A76" s="136"/>
      <c r="B76" s="136" t="s">
        <v>273</v>
      </c>
      <c r="C76" s="136" t="e">
        <f>'LCI_AD-b'!$E27*'IW+_end'!#REF!</f>
        <v>#REF!</v>
      </c>
      <c r="D76" s="136" t="e">
        <f>'LCI_AD-b'!$E27*'IW+_end'!#REF!</f>
        <v>#REF!</v>
      </c>
      <c r="E76" s="136" t="e">
        <f>'LCI_AD-b'!$E27*'IW+_end'!#REF!</f>
        <v>#REF!</v>
      </c>
      <c r="F76" s="136" t="e">
        <f>'LCI_AD-b'!$E27*'IW+_end'!#REF!</f>
        <v>#REF!</v>
      </c>
      <c r="G76" s="136">
        <f>'LCI_AD-b'!$E27*'IW+_end'!C2</f>
        <v>1.8210791683919161E-20</v>
      </c>
      <c r="H76" s="136">
        <f>'LCI_AD-b'!$E27*'IW+_end'!D2</f>
        <v>1.0503172913151426E-3</v>
      </c>
      <c r="I76" s="136">
        <f>'LCI_AD-b'!$E27*'IW+_end'!E2</f>
        <v>5.0237417316694115E-2</v>
      </c>
      <c r="J76" s="136">
        <f>'LCI_AD-b'!$E27*'IW+_end'!F2</f>
        <v>2.4959585431288947E-3</v>
      </c>
      <c r="K76" s="136">
        <f>'LCI_AD-b'!$E27*'IW+_end'!G2</f>
        <v>4.3362334545967166E-6</v>
      </c>
      <c r="L76" s="136">
        <f>'LCI_AD-b'!$E27*'IW+_end'!H2</f>
        <v>1.7598966095032293E-9</v>
      </c>
      <c r="M76" s="136">
        <f>'LCI_AD-b'!$E27*'IW+_end'!I2</f>
        <v>3.3567576237022196E-8</v>
      </c>
      <c r="N76" s="136">
        <f>'LCI_AD-b'!$E27*'IW+_end'!J2</f>
        <v>3.9796326471676582E-8</v>
      </c>
      <c r="O76" s="136">
        <f>'LCI_AD-b'!$E27*'IW+_end'!K2</f>
        <v>2.1183971048751753E-8</v>
      </c>
      <c r="P76" s="136">
        <f>'LCI_AD-b'!$E27*'IW+_end'!L2</f>
        <v>8.3710717714673815E-10</v>
      </c>
      <c r="Q76" s="136">
        <f>'LCI_AD-b'!$E27*'IW+_end'!M2</f>
        <v>2.5814107318142541E-8</v>
      </c>
      <c r="R76" s="136">
        <f>'LCI_AD-b'!$E27*'IW+_end'!N2</f>
        <v>3.3440563674479156E-3</v>
      </c>
      <c r="S76" s="136">
        <f>'LCI_AD-b'!$E27*'IW+_end'!O2</f>
        <v>2.3576197029080408E-3</v>
      </c>
      <c r="T76" s="136">
        <f>'LCI_AD-b'!$E27*'IW+_end'!P2</f>
        <v>2.0728909246208366E-2</v>
      </c>
      <c r="U76" s="136">
        <f>'LCI_AD-b'!$E27*'IW+_end'!Q2</f>
        <v>2.2501703309804181E-3</v>
      </c>
      <c r="V76" s="136">
        <f>'LCI_AD-b'!$E27*'IW+_end'!R2</f>
        <v>1.9515201604361924E-7</v>
      </c>
      <c r="W76" s="136">
        <f>'LCI_AD-b'!$E27*'IW+_end'!S2</f>
        <v>5.3707571522757606E-8</v>
      </c>
      <c r="X76" s="136">
        <f>'LCI_AD-b'!$E27*'IW+_end'!T2</f>
        <v>1.3745853579557772E-4</v>
      </c>
      <c r="Y76" s="136">
        <f>'LCI_AD-b'!$E27*'IW+_end'!U2</f>
        <v>9.350832736087678E-12</v>
      </c>
      <c r="Z76" s="136">
        <f>'LCI_AD-b'!$E27*'IW+_end'!V2</f>
        <v>7.5692715541361229E-8</v>
      </c>
      <c r="AA76" s="136">
        <f>'LCI_AD-b'!$E27*'IW+_end'!W2</f>
        <v>3.1865653009731433E-3</v>
      </c>
      <c r="AB76" s="136">
        <f>'LCI_AD-b'!$E27*'IW+_end'!X2</f>
        <v>3.1676949475771441E-10</v>
      </c>
      <c r="AC76" s="136">
        <f>'LCI_AD-b'!$E27*'IW+_end'!Y2</f>
        <v>6.9309860106116965E-3</v>
      </c>
      <c r="AD76" s="136">
        <f>'LCI_AD-b'!$E27*'IW+_end'!Z2</f>
        <v>7.1233230785811997E-3</v>
      </c>
      <c r="AE76" s="136">
        <f>'LCI_AD-b'!$E27*'IW+_end'!AA2</f>
        <v>1.9603263605806531E-3</v>
      </c>
      <c r="AF76" s="136">
        <f>'LCI_AD-b'!$E27*'IW+_end'!AB2</f>
        <v>3.8436351602776152E-4</v>
      </c>
      <c r="AG76" s="136">
        <f>'LCI_AD-b'!$E27*'IW+_end'!AC2</f>
        <v>0.10219707514745875</v>
      </c>
      <c r="AH76" s="136">
        <f>'LCI_AD-b'!$E27*'IW+_end'!AD2</f>
        <v>4.4748822047593367E-7</v>
      </c>
      <c r="AI76" s="136">
        <f>'LCI_AD-b'!$E27*'IW+_end'!AE2</f>
        <v>2.0414493748538704E-6</v>
      </c>
      <c r="AJ76" s="136">
        <f>'LCI_AD-b'!$E27*'IW+_end'!AF2</f>
        <v>2.4934750692198234E-7</v>
      </c>
      <c r="AK76" s="136">
        <f>'LCI_AD-b'!$E27*'IW+_end'!AG2</f>
        <v>2.9761666816324373E-6</v>
      </c>
    </row>
    <row r="77" spans="1:37" x14ac:dyDescent="0.35">
      <c r="A77" s="136"/>
      <c r="B77" s="136" t="s">
        <v>427</v>
      </c>
      <c r="C77" s="136" t="e">
        <f>'LCI_AD-b'!$E29*'IW+_end'!#REF!</f>
        <v>#REF!</v>
      </c>
      <c r="D77" s="136" t="e">
        <f>'LCI_AD-b'!$E29*'IW+_end'!#REF!</f>
        <v>#REF!</v>
      </c>
      <c r="E77" s="136" t="e">
        <f>'LCI_AD-b'!$E29*'IW+_end'!#REF!</f>
        <v>#REF!</v>
      </c>
      <c r="F77" s="136" t="e">
        <f>'LCI_AD-b'!$E29*'IW+_end'!#REF!</f>
        <v>#REF!</v>
      </c>
      <c r="G77" s="136">
        <f>'LCI_AD-b'!$E29*'IW+_end'!C34</f>
        <v>3.4384901450135348E-20</v>
      </c>
      <c r="H77" s="136">
        <f>'LCI_AD-b'!$E29*'IW+_end'!D34</f>
        <v>5.2699305270092621E-4</v>
      </c>
      <c r="I77" s="136">
        <f>'LCI_AD-b'!$E29*'IW+_end'!E34</f>
        <v>0.771888101592899</v>
      </c>
      <c r="J77" s="136">
        <f>'LCI_AD-b'!$E29*'IW+_end'!F34</f>
        <v>1.7392727279660594E-3</v>
      </c>
      <c r="K77" s="136">
        <f>'LCI_AD-b'!$E29*'IW+_end'!G34</f>
        <v>3.3038576931669239E-3</v>
      </c>
      <c r="L77" s="136">
        <f>'LCI_AD-b'!$E29*'IW+_end'!H34</f>
        <v>4.6379122373405724E-9</v>
      </c>
      <c r="M77" s="136">
        <f>'LCI_AD-b'!$E29*'IW+_end'!I34</f>
        <v>3.090306240842176E-8</v>
      </c>
      <c r="N77" s="136">
        <f>'LCI_AD-b'!$E29*'IW+_end'!J34</f>
        <v>2.2266811540084483E-7</v>
      </c>
      <c r="O77" s="136">
        <f>'LCI_AD-b'!$E29*'IW+_end'!K34</f>
        <v>1.6787822412705222E-7</v>
      </c>
      <c r="P77" s="136">
        <f>'LCI_AD-b'!$E29*'IW+_end'!L34</f>
        <v>2.0429078388411279E-11</v>
      </c>
      <c r="Q77" s="136">
        <f>'LCI_AD-b'!$E29*'IW+_end'!M34</f>
        <v>3.9204143252886534E-10</v>
      </c>
      <c r="R77" s="136">
        <f>'LCI_AD-b'!$E29*'IW+_end'!N34</f>
        <v>1.1917674922248857E-3</v>
      </c>
      <c r="S77" s="136">
        <f>'LCI_AD-b'!$E29*'IW+_end'!O34</f>
        <v>2.6718941156176975E-3</v>
      </c>
      <c r="T77" s="136">
        <f>'LCI_AD-b'!$E29*'IW+_end'!P34</f>
        <v>7.747704384545878E-3</v>
      </c>
      <c r="U77" s="136">
        <f>'LCI_AD-b'!$E29*'IW+_end'!Q34</f>
        <v>8.4102932992518383E-4</v>
      </c>
      <c r="V77" s="136">
        <f>'LCI_AD-b'!$E29*'IW+_end'!R34</f>
        <v>6.9065453059477657E-6</v>
      </c>
      <c r="W77" s="136">
        <f>'LCI_AD-b'!$E29*'IW+_end'!S34</f>
        <v>3.3775060616058159E-6</v>
      </c>
      <c r="X77" s="136">
        <f>'LCI_AD-b'!$E29*'IW+_end'!T34</f>
        <v>4.0405249660761478E-2</v>
      </c>
      <c r="Y77" s="136">
        <f>'LCI_AD-b'!$E29*'IW+_end'!U34</f>
        <v>1.3309147451561656E-12</v>
      </c>
      <c r="Z77" s="136">
        <f>'LCI_AD-b'!$E29*'IW+_end'!V34</f>
        <v>4.7412405843175289E-8</v>
      </c>
      <c r="AA77" s="136">
        <f>'LCI_AD-b'!$E29*'IW+_end'!W34</f>
        <v>1.8411387774203525E-3</v>
      </c>
      <c r="AB77" s="136">
        <f>'LCI_AD-b'!$E29*'IW+_end'!X34</f>
        <v>1.865853585345612E-10</v>
      </c>
      <c r="AC77" s="136">
        <f>'LCI_AD-b'!$E29*'IW+_end'!Y34</f>
        <v>4.0495154398232022E-3</v>
      </c>
      <c r="AD77" s="136">
        <f>'LCI_AD-b'!$E29*'IW+_end'!Z34</f>
        <v>0.2520892232869627</v>
      </c>
      <c r="AE77" s="136">
        <f>'LCI_AD-b'!$E29*'IW+_end'!AA34</f>
        <v>0.12327897124861212</v>
      </c>
      <c r="AF77" s="136">
        <f>'LCI_AD-b'!$E29*'IW+_end'!AB34</f>
        <v>1.5288188252654906E-5</v>
      </c>
      <c r="AG77" s="136">
        <f>'LCI_AD-b'!$E29*'IW+_end'!AC34</f>
        <v>1.2116038921179391</v>
      </c>
      <c r="AH77" s="136">
        <f>'LCI_AD-b'!$E29*'IW+_end'!AD34</f>
        <v>4.7362402244659808E-7</v>
      </c>
      <c r="AI77" s="136">
        <f>'LCI_AD-b'!$E29*'IW+_end'!AE34</f>
        <v>-3.7305252814221088E-9</v>
      </c>
      <c r="AJ77" s="136">
        <f>'LCI_AD-b'!$E29*'IW+_end'!AF34</f>
        <v>-4.5565527604516964E-10</v>
      </c>
      <c r="AK77" s="136">
        <f>'LCI_AD-b'!$E29*'IW+_end'!AG34</f>
        <v>3.604785788667278E-6</v>
      </c>
    </row>
    <row r="78" spans="1:37" x14ac:dyDescent="0.35">
      <c r="A78" s="142" t="s">
        <v>287</v>
      </c>
      <c r="B78" s="136"/>
      <c r="C78" s="136"/>
      <c r="D78" s="136"/>
      <c r="E78" s="136"/>
      <c r="F78" s="136"/>
      <c r="G78" s="136"/>
      <c r="H78" s="136"/>
      <c r="I78" s="136"/>
      <c r="J78" s="136"/>
      <c r="K78" s="136"/>
      <c r="L78" s="136"/>
      <c r="M78" s="136"/>
      <c r="N78" s="136"/>
      <c r="O78" s="136"/>
      <c r="P78" s="136"/>
      <c r="Q78" s="136"/>
      <c r="R78" s="136"/>
      <c r="S78" s="136"/>
      <c r="T78" s="136"/>
      <c r="U78" s="136"/>
      <c r="V78" s="136"/>
      <c r="W78" s="136"/>
      <c r="X78" s="136"/>
      <c r="Y78" s="136"/>
      <c r="Z78" s="136"/>
      <c r="AA78" s="136"/>
      <c r="AB78" s="136"/>
      <c r="AC78" s="136"/>
      <c r="AD78" s="136"/>
      <c r="AE78" s="136"/>
      <c r="AF78" s="136"/>
      <c r="AG78" s="136"/>
      <c r="AH78" s="136"/>
      <c r="AI78" s="136"/>
      <c r="AJ78" s="136"/>
      <c r="AK78" s="136"/>
    </row>
    <row r="79" spans="1:37" x14ac:dyDescent="0.35">
      <c r="A79" s="136"/>
      <c r="B79" s="136" t="s">
        <v>96</v>
      </c>
      <c r="C79" s="136" t="e">
        <f>'LCI_AD-b'!$E31*'IW+_end'!#REF!</f>
        <v>#REF!</v>
      </c>
      <c r="D79" s="136" t="e">
        <f>'LCI_AD-b'!$E31*'IW+_end'!#REF!</f>
        <v>#REF!</v>
      </c>
      <c r="E79" s="136" t="e">
        <f>'LCI_AD-b'!$E31*'IW+_end'!#REF!</f>
        <v>#REF!</v>
      </c>
      <c r="F79" s="136" t="e">
        <f>'LCI_AD-b'!$E31*'IW+_end'!#REF!</f>
        <v>#REF!</v>
      </c>
      <c r="G79" s="136">
        <f>'LCI_AD-b'!$E31*'IW+_end'!C12</f>
        <v>0</v>
      </c>
      <c r="H79" s="136">
        <f>'LCI_AD-b'!$E31*'IW+_end'!D12</f>
        <v>0</v>
      </c>
      <c r="I79" s="136">
        <f>'LCI_AD-b'!$E31*'IW+_end'!E12</f>
        <v>0</v>
      </c>
      <c r="J79" s="136">
        <f>'LCI_AD-b'!$E31*'IW+_end'!F12</f>
        <v>0</v>
      </c>
      <c r="K79" s="136">
        <f>'LCI_AD-b'!$E31*'IW+_end'!G12</f>
        <v>0</v>
      </c>
      <c r="L79" s="136">
        <f>'LCI_AD-b'!$E31*'IW+_end'!H12</f>
        <v>0</v>
      </c>
      <c r="M79" s="136">
        <f>'LCI_AD-b'!$E31*'IW+_end'!I12</f>
        <v>0</v>
      </c>
      <c r="N79" s="136">
        <f>'LCI_AD-b'!$E31*'IW+_end'!J12</f>
        <v>0</v>
      </c>
      <c r="O79" s="136">
        <f>'LCI_AD-b'!$E31*'IW+_end'!K12</f>
        <v>0</v>
      </c>
      <c r="P79" s="136">
        <f>'LCI_AD-b'!$E31*'IW+_end'!L12</f>
        <v>0</v>
      </c>
      <c r="Q79" s="136">
        <f>'LCI_AD-b'!$E31*'IW+_end'!M12</f>
        <v>0</v>
      </c>
      <c r="R79" s="136">
        <f>'LCI_AD-b'!$E31*'IW+_end'!N12</f>
        <v>0</v>
      </c>
      <c r="S79" s="136">
        <f>'LCI_AD-b'!$E31*'IW+_end'!O12</f>
        <v>0</v>
      </c>
      <c r="T79" s="136">
        <f>'LCI_AD-b'!$E31*'IW+_end'!P12</f>
        <v>0</v>
      </c>
      <c r="U79" s="136">
        <f>'LCI_AD-b'!$E31*'IW+_end'!Q12</f>
        <v>0</v>
      </c>
      <c r="V79" s="136">
        <f>'LCI_AD-b'!$E31*'IW+_end'!R12</f>
        <v>0</v>
      </c>
      <c r="W79" s="136">
        <f>'LCI_AD-b'!$E31*'IW+_end'!S12</f>
        <v>0</v>
      </c>
      <c r="X79" s="136">
        <f>'LCI_AD-b'!$E31*'IW+_end'!T12</f>
        <v>0</v>
      </c>
      <c r="Y79" s="136">
        <f>'LCI_AD-b'!$E31*'IW+_end'!U12</f>
        <v>0</v>
      </c>
      <c r="Z79" s="136">
        <f>'LCI_AD-b'!$E31*'IW+_end'!V12</f>
        <v>0</v>
      </c>
      <c r="AA79" s="136">
        <f>'LCI_AD-b'!$E31*'IW+_end'!W12</f>
        <v>0</v>
      </c>
      <c r="AB79" s="136">
        <f>'LCI_AD-b'!$E31*'IW+_end'!X12</f>
        <v>0</v>
      </c>
      <c r="AC79" s="136">
        <f>'LCI_AD-b'!$E31*'IW+_end'!Y12</f>
        <v>0</v>
      </c>
      <c r="AD79" s="136">
        <f>'LCI_AD-b'!$E31*'IW+_end'!Z12</f>
        <v>0</v>
      </c>
      <c r="AE79" s="136">
        <f>'LCI_AD-b'!$E31*'IW+_end'!AA12</f>
        <v>0</v>
      </c>
      <c r="AF79" s="136">
        <f>'LCI_AD-b'!$E31*'IW+_end'!AB12</f>
        <v>0</v>
      </c>
      <c r="AG79" s="136">
        <f>'LCI_AD-b'!$E31*'IW+_end'!AC12</f>
        <v>0</v>
      </c>
      <c r="AH79" s="136">
        <f>'LCI_AD-b'!$E31*'IW+_end'!AD12</f>
        <v>0</v>
      </c>
      <c r="AI79" s="136">
        <f>'LCI_AD-b'!$E31*'IW+_end'!AE12</f>
        <v>0</v>
      </c>
      <c r="AJ79" s="136">
        <f>'LCI_AD-b'!$E31*'IW+_end'!AF12</f>
        <v>0</v>
      </c>
      <c r="AK79" s="136">
        <f>'LCI_AD-b'!$E31*'IW+_end'!AG12</f>
        <v>0</v>
      </c>
    </row>
    <row r="80" spans="1:37" x14ac:dyDescent="0.35">
      <c r="A80" s="136"/>
      <c r="B80" s="136" t="s">
        <v>111</v>
      </c>
      <c r="C80" s="136" t="e">
        <f>'LCI_AD-b'!$E32*'IW+_end'!#REF!</f>
        <v>#REF!</v>
      </c>
      <c r="D80" s="136" t="e">
        <f>'LCI_AD-b'!$E32*'IW+_end'!#REF!</f>
        <v>#REF!</v>
      </c>
      <c r="E80" s="136" t="e">
        <f>'LCI_AD-b'!$E32*'IW+_end'!#REF!</f>
        <v>#REF!</v>
      </c>
      <c r="F80" s="136" t="e">
        <f>'LCI_AD-b'!$E32*'IW+_end'!#REF!</f>
        <v>#REF!</v>
      </c>
      <c r="G80" s="136">
        <f>'LCI_AD-b'!$E32*'IW+_end'!C20</f>
        <v>0</v>
      </c>
      <c r="H80" s="136">
        <f>'LCI_AD-b'!$E32*'IW+_end'!D20</f>
        <v>0</v>
      </c>
      <c r="I80" s="136">
        <f>'LCI_AD-b'!$E32*'IW+_end'!E20</f>
        <v>0</v>
      </c>
      <c r="J80" s="136">
        <f>'LCI_AD-b'!$E32*'IW+_end'!F20</f>
        <v>0</v>
      </c>
      <c r="K80" s="136">
        <f>'LCI_AD-b'!$E32*'IW+_end'!G20</f>
        <v>0</v>
      </c>
      <c r="L80" s="136">
        <f>'LCI_AD-b'!$E32*'IW+_end'!H20</f>
        <v>0</v>
      </c>
      <c r="M80" s="136">
        <f>'LCI_AD-b'!$E32*'IW+_end'!I20</f>
        <v>0</v>
      </c>
      <c r="N80" s="136">
        <f>'LCI_AD-b'!$E32*'IW+_end'!J20</f>
        <v>0</v>
      </c>
      <c r="O80" s="136">
        <f>'LCI_AD-b'!$E32*'IW+_end'!K20</f>
        <v>0</v>
      </c>
      <c r="P80" s="136">
        <f>'LCI_AD-b'!$E32*'IW+_end'!L20</f>
        <v>0</v>
      </c>
      <c r="Q80" s="136">
        <f>'LCI_AD-b'!$E32*'IW+_end'!M20</f>
        <v>0</v>
      </c>
      <c r="R80" s="136">
        <f>'LCI_AD-b'!$E32*'IW+_end'!N20</f>
        <v>0</v>
      </c>
      <c r="S80" s="136">
        <f>'LCI_AD-b'!$E32*'IW+_end'!O20</f>
        <v>0</v>
      </c>
      <c r="T80" s="136">
        <f>'LCI_AD-b'!$E32*'IW+_end'!P20</f>
        <v>0</v>
      </c>
      <c r="U80" s="136">
        <f>'LCI_AD-b'!$E32*'IW+_end'!Q20</f>
        <v>0</v>
      </c>
      <c r="V80" s="136">
        <f>'LCI_AD-b'!$E32*'IW+_end'!R20</f>
        <v>0</v>
      </c>
      <c r="W80" s="136">
        <f>'LCI_AD-b'!$E32*'IW+_end'!S20</f>
        <v>0</v>
      </c>
      <c r="X80" s="136">
        <f>'LCI_AD-b'!$E32*'IW+_end'!T20</f>
        <v>0</v>
      </c>
      <c r="Y80" s="136">
        <f>'LCI_AD-b'!$E32*'IW+_end'!U20</f>
        <v>0</v>
      </c>
      <c r="Z80" s="136">
        <f>'LCI_AD-b'!$E32*'IW+_end'!V20</f>
        <v>0</v>
      </c>
      <c r="AA80" s="136">
        <f>'LCI_AD-b'!$E32*'IW+_end'!W20</f>
        <v>0</v>
      </c>
      <c r="AB80" s="136">
        <f>'LCI_AD-b'!$E32*'IW+_end'!X20</f>
        <v>0</v>
      </c>
      <c r="AC80" s="136">
        <f>'LCI_AD-b'!$E32*'IW+_end'!Y20</f>
        <v>0</v>
      </c>
      <c r="AD80" s="136">
        <f>'LCI_AD-b'!$E32*'IW+_end'!Z20</f>
        <v>0</v>
      </c>
      <c r="AE80" s="136">
        <f>'LCI_AD-b'!$E32*'IW+_end'!AA20</f>
        <v>0</v>
      </c>
      <c r="AF80" s="136">
        <f>'LCI_AD-b'!$E32*'IW+_end'!AB20</f>
        <v>0</v>
      </c>
      <c r="AG80" s="136">
        <f>'LCI_AD-b'!$E32*'IW+_end'!AC20</f>
        <v>0</v>
      </c>
      <c r="AH80" s="136">
        <f>'LCI_AD-b'!$E32*'IW+_end'!AD20</f>
        <v>0</v>
      </c>
      <c r="AI80" s="136">
        <f>'LCI_AD-b'!$E32*'IW+_end'!AE20</f>
        <v>0</v>
      </c>
      <c r="AJ80" s="136">
        <f>'LCI_AD-b'!$E32*'IW+_end'!AF20</f>
        <v>0</v>
      </c>
      <c r="AK80" s="136">
        <f>'LCI_AD-b'!$E32*'IW+_end'!AG20</f>
        <v>0</v>
      </c>
    </row>
    <row r="81" spans="1:37" x14ac:dyDescent="0.35">
      <c r="A81" s="136"/>
      <c r="B81" s="136" t="s">
        <v>110</v>
      </c>
      <c r="C81" s="136" t="e">
        <f>'LCI_AD-b'!$E33*'IW+_end'!#REF!</f>
        <v>#REF!</v>
      </c>
      <c r="D81" s="136" t="e">
        <f>'LCI_AD-b'!$E33*'IW+_end'!#REF!</f>
        <v>#REF!</v>
      </c>
      <c r="E81" s="136" t="e">
        <f>'LCI_AD-b'!$E33*'IW+_end'!#REF!</f>
        <v>#REF!</v>
      </c>
      <c r="F81" s="136" t="e">
        <f>'LCI_AD-b'!$E33*'IW+_end'!#REF!</f>
        <v>#REF!</v>
      </c>
      <c r="G81" s="136">
        <f>'LCI_AD-b'!$E33*'IW+_end'!C18</f>
        <v>0</v>
      </c>
      <c r="H81" s="136">
        <f>'LCI_AD-b'!$E33*'IW+_end'!D18</f>
        <v>0.3744384376249299</v>
      </c>
      <c r="I81" s="136">
        <f>'LCI_AD-b'!$E33*'IW+_end'!E18</f>
        <v>0</v>
      </c>
      <c r="J81" s="136">
        <f>'LCI_AD-b'!$E33*'IW+_end'!F18</f>
        <v>0</v>
      </c>
      <c r="K81" s="136">
        <f>'LCI_AD-b'!$E33*'IW+_end'!G18</f>
        <v>0</v>
      </c>
      <c r="L81" s="136">
        <f>'LCI_AD-b'!$E33*'IW+_end'!H18</f>
        <v>0</v>
      </c>
      <c r="M81" s="136">
        <f>'LCI_AD-b'!$E33*'IW+_end'!I18</f>
        <v>0</v>
      </c>
      <c r="N81" s="136">
        <f>'LCI_AD-b'!$E33*'IW+_end'!J18</f>
        <v>0</v>
      </c>
      <c r="O81" s="136">
        <f>'LCI_AD-b'!$E33*'IW+_end'!K18</f>
        <v>0</v>
      </c>
      <c r="P81" s="136">
        <f>'LCI_AD-b'!$E33*'IW+_end'!L18</f>
        <v>0</v>
      </c>
      <c r="Q81" s="136">
        <f>'LCI_AD-b'!$E33*'IW+_end'!M18</f>
        <v>0</v>
      </c>
      <c r="R81" s="136">
        <f>'LCI_AD-b'!$E33*'IW+_end'!N18</f>
        <v>0</v>
      </c>
      <c r="S81" s="136">
        <f>'LCI_AD-b'!$E33*'IW+_end'!O18</f>
        <v>0</v>
      </c>
      <c r="T81" s="136">
        <f>'LCI_AD-b'!$E33*'IW+_end'!P18</f>
        <v>0</v>
      </c>
      <c r="U81" s="136">
        <f>'LCI_AD-b'!$E33*'IW+_end'!Q18</f>
        <v>0</v>
      </c>
      <c r="V81" s="136">
        <f>'LCI_AD-b'!$E33*'IW+_end'!R18</f>
        <v>0</v>
      </c>
      <c r="W81" s="136">
        <f>'LCI_AD-b'!$E33*'IW+_end'!S18</f>
        <v>0</v>
      </c>
      <c r="X81" s="136">
        <f>'LCI_AD-b'!$E33*'IW+_end'!T18</f>
        <v>0.14374573964671425</v>
      </c>
      <c r="Y81" s="136">
        <f>'LCI_AD-b'!$E33*'IW+_end'!U18</f>
        <v>0</v>
      </c>
      <c r="Z81" s="136">
        <f>'LCI_AD-b'!$E33*'IW+_end'!V18</f>
        <v>3.5968540350410269E-5</v>
      </c>
      <c r="AA81" s="136">
        <f>'LCI_AD-b'!$E33*'IW+_end'!W18</f>
        <v>0</v>
      </c>
      <c r="AB81" s="136">
        <f>'LCI_AD-b'!$E33*'IW+_end'!X18</f>
        <v>0</v>
      </c>
      <c r="AC81" s="136">
        <f>'LCI_AD-b'!$E33*'IW+_end'!Y18</f>
        <v>4.8275111024190469</v>
      </c>
      <c r="AD81" s="136">
        <f>'LCI_AD-b'!$E33*'IW+_end'!Z18</f>
        <v>0</v>
      </c>
      <c r="AE81" s="136">
        <f>'LCI_AD-b'!$E33*'IW+_end'!AA18</f>
        <v>0</v>
      </c>
      <c r="AF81" s="136">
        <f>'LCI_AD-b'!$E33*'IW+_end'!AB18</f>
        <v>0</v>
      </c>
      <c r="AG81" s="136">
        <f>'LCI_AD-b'!$E33*'IW+_end'!AC18</f>
        <v>5.3456952796906911</v>
      </c>
      <c r="AH81" s="136">
        <f>'LCI_AD-b'!$E33*'IW+_end'!AD18</f>
        <v>3.5968540350410269E-5</v>
      </c>
      <c r="AI81" s="136">
        <f>'LCI_AD-b'!$E33*'IW+_end'!AE18</f>
        <v>0</v>
      </c>
      <c r="AJ81" s="136">
        <f>'LCI_AD-b'!$E33*'IW+_end'!AF18</f>
        <v>0</v>
      </c>
      <c r="AK81" s="136">
        <f>'LCI_AD-b'!$E33*'IW+_end'!AG18</f>
        <v>0</v>
      </c>
    </row>
    <row r="82" spans="1:37" x14ac:dyDescent="0.35">
      <c r="A82" s="136"/>
      <c r="B82" s="136" t="s">
        <v>288</v>
      </c>
      <c r="C82" s="136" t="e">
        <f>'LCI_AD-b'!$E34*'IW+_end'!#REF!</f>
        <v>#REF!</v>
      </c>
      <c r="D82" s="136" t="e">
        <f>'LCI_AD-b'!$E34*'IW+_end'!#REF!</f>
        <v>#REF!</v>
      </c>
      <c r="E82" s="136" t="e">
        <f>'LCI_AD-b'!$E34*'IW+_end'!#REF!</f>
        <v>#REF!</v>
      </c>
      <c r="F82" s="136" t="e">
        <f>'LCI_AD-b'!$E34*'IW+_end'!#REF!</f>
        <v>#REF!</v>
      </c>
      <c r="G82" s="136">
        <f>'LCI_AD-b'!$E34*'IW+_end'!C23</f>
        <v>0</v>
      </c>
      <c r="H82" s="136">
        <f>'LCI_AD-b'!$E34*'IW+_end'!D23</f>
        <v>0</v>
      </c>
      <c r="I82" s="136">
        <f>'LCI_AD-b'!$E34*'IW+_end'!E23</f>
        <v>0</v>
      </c>
      <c r="J82" s="136">
        <f>'LCI_AD-b'!$E34*'IW+_end'!F23</f>
        <v>0</v>
      </c>
      <c r="K82" s="136">
        <f>'LCI_AD-b'!$E34*'IW+_end'!G23</f>
        <v>0</v>
      </c>
      <c r="L82" s="136">
        <f>'LCI_AD-b'!$E34*'IW+_end'!H23</f>
        <v>0</v>
      </c>
      <c r="M82" s="136">
        <f>'LCI_AD-b'!$E34*'IW+_end'!I23</f>
        <v>0</v>
      </c>
      <c r="N82" s="136">
        <f>'LCI_AD-b'!$E34*'IW+_end'!J23</f>
        <v>0</v>
      </c>
      <c r="O82" s="136">
        <f>'LCI_AD-b'!$E34*'IW+_end'!K23</f>
        <v>0</v>
      </c>
      <c r="P82" s="136">
        <f>'LCI_AD-b'!$E34*'IW+_end'!L23</f>
        <v>0</v>
      </c>
      <c r="Q82" s="136">
        <f>'LCI_AD-b'!$E34*'IW+_end'!M23</f>
        <v>0</v>
      </c>
      <c r="R82" s="136">
        <f>'LCI_AD-b'!$E34*'IW+_end'!N23</f>
        <v>0</v>
      </c>
      <c r="S82" s="136">
        <f>'LCI_AD-b'!$E34*'IW+_end'!O23</f>
        <v>0</v>
      </c>
      <c r="T82" s="136">
        <f>'LCI_AD-b'!$E34*'IW+_end'!P23</f>
        <v>0</v>
      </c>
      <c r="U82" s="136">
        <f>'LCI_AD-b'!$E34*'IW+_end'!Q23</f>
        <v>0</v>
      </c>
      <c r="V82" s="136">
        <f>'LCI_AD-b'!$E34*'IW+_end'!R23</f>
        <v>0</v>
      </c>
      <c r="W82" s="136">
        <f>'LCI_AD-b'!$E34*'IW+_end'!S23</f>
        <v>0</v>
      </c>
      <c r="X82" s="136">
        <f>'LCI_AD-b'!$E34*'IW+_end'!T23</f>
        <v>0</v>
      </c>
      <c r="Y82" s="136">
        <f>'LCI_AD-b'!$E34*'IW+_end'!U23</f>
        <v>0</v>
      </c>
      <c r="Z82" s="136">
        <f>'LCI_AD-b'!$E34*'IW+_end'!V23</f>
        <v>0</v>
      </c>
      <c r="AA82" s="136">
        <f>'LCI_AD-b'!$E34*'IW+_end'!W23</f>
        <v>7.8076707234924367E-2</v>
      </c>
      <c r="AB82" s="136">
        <f>'LCI_AD-b'!$E34*'IW+_end'!X23</f>
        <v>5.059520896744001E-9</v>
      </c>
      <c r="AC82" s="136">
        <f>'LCI_AD-b'!$E34*'IW+_end'!Y23</f>
        <v>0</v>
      </c>
      <c r="AD82" s="136">
        <f>'LCI_AD-b'!$E34*'IW+_end'!Z23</f>
        <v>0</v>
      </c>
      <c r="AE82" s="136">
        <f>'LCI_AD-b'!$E34*'IW+_end'!AA23</f>
        <v>0</v>
      </c>
      <c r="AF82" s="136">
        <f>'LCI_AD-b'!$E34*'IW+_end'!AB23</f>
        <v>0</v>
      </c>
      <c r="AG82" s="136">
        <f>'LCI_AD-b'!$E34*'IW+_end'!AC23</f>
        <v>7.8076707234924367E-2</v>
      </c>
      <c r="AH82" s="136">
        <f>'LCI_AD-b'!$E34*'IW+_end'!AD23</f>
        <v>5.059520896744001E-9</v>
      </c>
      <c r="AI82" s="136">
        <f>'LCI_AD-b'!$E34*'IW+_end'!AE23</f>
        <v>0</v>
      </c>
      <c r="AJ82" s="136">
        <f>'LCI_AD-b'!$E34*'IW+_end'!AF23</f>
        <v>0</v>
      </c>
      <c r="AK82" s="136">
        <f>'LCI_AD-b'!$E34*'IW+_end'!AG23</f>
        <v>0</v>
      </c>
    </row>
    <row r="83" spans="1:37" x14ac:dyDescent="0.35">
      <c r="A83" s="136"/>
      <c r="B83" s="136" t="s">
        <v>123</v>
      </c>
      <c r="C83" s="136" t="e">
        <f>'LCI_AD-b'!$E35*'IW+_end'!#REF!</f>
        <v>#REF!</v>
      </c>
      <c r="D83" s="136" t="e">
        <f>'LCI_AD-b'!$E35*'IW+_end'!#REF!</f>
        <v>#REF!</v>
      </c>
      <c r="E83" s="136" t="e">
        <f>'LCI_AD-b'!$E35*'IW+_end'!#REF!</f>
        <v>#REF!</v>
      </c>
      <c r="F83" s="136" t="e">
        <f>'LCI_AD-b'!$E35*'IW+_end'!#REF!</f>
        <v>#REF!</v>
      </c>
      <c r="G83" s="136">
        <f>'LCI_AD-b'!$E35*'IW+_end'!C17</f>
        <v>0</v>
      </c>
      <c r="H83" s="136">
        <f>'LCI_AD-b'!$E35*'IW+_end'!D17</f>
        <v>0</v>
      </c>
      <c r="I83" s="136">
        <f>'LCI_AD-b'!$E35*'IW+_end'!E17</f>
        <v>0</v>
      </c>
      <c r="J83" s="136">
        <f>'LCI_AD-b'!$E35*'IW+_end'!F17</f>
        <v>0</v>
      </c>
      <c r="K83" s="136">
        <f>'LCI_AD-b'!$E35*'IW+_end'!G17</f>
        <v>0</v>
      </c>
      <c r="L83" s="136">
        <f>'LCI_AD-b'!$E35*'IW+_end'!H17</f>
        <v>0</v>
      </c>
      <c r="M83" s="136">
        <f>'LCI_AD-b'!$E35*'IW+_end'!I17</f>
        <v>0</v>
      </c>
      <c r="N83" s="136">
        <f>'LCI_AD-b'!$E35*'IW+_end'!J17</f>
        <v>0</v>
      </c>
      <c r="O83" s="136">
        <f>'LCI_AD-b'!$E35*'IW+_end'!K17</f>
        <v>0</v>
      </c>
      <c r="P83" s="136">
        <f>'LCI_AD-b'!$E35*'IW+_end'!L17</f>
        <v>0</v>
      </c>
      <c r="Q83" s="136">
        <f>'LCI_AD-b'!$E35*'IW+_end'!M17</f>
        <v>0</v>
      </c>
      <c r="R83" s="136">
        <f>'LCI_AD-b'!$E35*'IW+_end'!N17</f>
        <v>0</v>
      </c>
      <c r="S83" s="136">
        <f>'LCI_AD-b'!$E35*'IW+_end'!O17</f>
        <v>0</v>
      </c>
      <c r="T83" s="136">
        <f>'LCI_AD-b'!$E35*'IW+_end'!P17</f>
        <v>0</v>
      </c>
      <c r="U83" s="136">
        <f>'LCI_AD-b'!$E35*'IW+_end'!Q17</f>
        <v>0</v>
      </c>
      <c r="V83" s="136">
        <f>'LCI_AD-b'!$E35*'IW+_end'!R17</f>
        <v>0</v>
      </c>
      <c r="W83" s="136">
        <f>'LCI_AD-b'!$E35*'IW+_end'!S17</f>
        <v>0</v>
      </c>
      <c r="X83" s="136">
        <f>'LCI_AD-b'!$E35*'IW+_end'!T17</f>
        <v>0</v>
      </c>
      <c r="Y83" s="136">
        <f>'LCI_AD-b'!$E35*'IW+_end'!U17</f>
        <v>0</v>
      </c>
      <c r="Z83" s="136">
        <f>'LCI_AD-b'!$E35*'IW+_end'!V17</f>
        <v>0</v>
      </c>
      <c r="AA83" s="136">
        <f>'LCI_AD-b'!$E35*'IW+_end'!W17</f>
        <v>0</v>
      </c>
      <c r="AB83" s="136">
        <f>'LCI_AD-b'!$E35*'IW+_end'!X17</f>
        <v>0</v>
      </c>
      <c r="AC83" s="136">
        <f>'LCI_AD-b'!$E35*'IW+_end'!Y17</f>
        <v>0</v>
      </c>
      <c r="AD83" s="136">
        <f>'LCI_AD-b'!$E35*'IW+_end'!Z17</f>
        <v>0</v>
      </c>
      <c r="AE83" s="136">
        <f>'LCI_AD-b'!$E35*'IW+_end'!AA17</f>
        <v>0</v>
      </c>
      <c r="AF83" s="136">
        <f>'LCI_AD-b'!$E35*'IW+_end'!AB17</f>
        <v>0</v>
      </c>
      <c r="AG83" s="136">
        <f>'LCI_AD-b'!$E35*'IW+_end'!AC17</f>
        <v>0</v>
      </c>
      <c r="AH83" s="136">
        <f>'LCI_AD-b'!$E35*'IW+_end'!AD17</f>
        <v>0</v>
      </c>
      <c r="AI83" s="136">
        <f>'LCI_AD-b'!$E35*'IW+_end'!AE17</f>
        <v>0</v>
      </c>
      <c r="AJ83" s="136">
        <f>'LCI_AD-b'!$E35*'IW+_end'!AF17</f>
        <v>0</v>
      </c>
      <c r="AK83" s="136">
        <f>'LCI_AD-b'!$E35*'IW+_end'!AG17</f>
        <v>0</v>
      </c>
    </row>
    <row r="84" spans="1:37" x14ac:dyDescent="0.35">
      <c r="A84" s="136"/>
      <c r="B84" s="136" t="s">
        <v>273</v>
      </c>
      <c r="C84" s="136" t="e">
        <f>'LCI_AD-b'!$E37*'IW+_end'!#REF!</f>
        <v>#REF!</v>
      </c>
      <c r="D84" s="136" t="e">
        <f>'LCI_AD-b'!$E37*'IW+_end'!#REF!</f>
        <v>#REF!</v>
      </c>
      <c r="E84" s="136" t="e">
        <f>'LCI_AD-b'!$E37*'IW+_end'!#REF!</f>
        <v>#REF!</v>
      </c>
      <c r="F84" s="136" t="e">
        <f>'LCI_AD-b'!$E37*'IW+_end'!#REF!</f>
        <v>#REF!</v>
      </c>
      <c r="G84" s="136">
        <f>'LCI_AD-b'!$E37*'IW+_end'!C2</f>
        <v>2.819819426702347E-20</v>
      </c>
      <c r="H84" s="136">
        <f>'LCI_AD-b'!$E37*'IW+_end'!D2</f>
        <v>1.6263461543339314E-3</v>
      </c>
      <c r="I84" s="136">
        <f>'LCI_AD-b'!$E37*'IW+_end'!E2</f>
        <v>7.7789284373648959E-2</v>
      </c>
      <c r="J84" s="136">
        <f>'LCI_AD-b'!$E37*'IW+_end'!F2</f>
        <v>3.8648250500682552E-3</v>
      </c>
      <c r="K84" s="136">
        <f>'LCI_AD-b'!$E37*'IW+_end'!G2</f>
        <v>6.7143678024639186E-6</v>
      </c>
      <c r="L84" s="136">
        <f>'LCI_AD-b'!$E37*'IW+_end'!H2</f>
        <v>2.7250823218448872E-9</v>
      </c>
      <c r="M84" s="136">
        <f>'LCI_AD-b'!$E37*'IW+_end'!I2</f>
        <v>5.1977149167024323E-8</v>
      </c>
      <c r="N84" s="136">
        <f>'LCI_AD-b'!$E37*'IW+_end'!J2</f>
        <v>6.1621952765137466E-8</v>
      </c>
      <c r="O84" s="136">
        <f>'LCI_AD-b'!$E37*'IW+_end'!K2</f>
        <v>3.2801963876572476E-8</v>
      </c>
      <c r="P84" s="136">
        <f>'LCI_AD-b'!$E37*'IW+_end'!L2</f>
        <v>1.2962045370244614E-9</v>
      </c>
      <c r="Q84" s="136">
        <f>'LCI_AD-b'!$E37*'IW+_end'!M2</f>
        <v>3.9971420552218461E-8</v>
      </c>
      <c r="R84" s="136">
        <f>'LCI_AD-b'!$E37*'IW+_end'!N2</f>
        <v>5.1780478699583656E-3</v>
      </c>
      <c r="S84" s="136">
        <f>'LCI_AD-b'!$E37*'IW+_end'!O2</f>
        <v>3.6506165983474547E-3</v>
      </c>
      <c r="T84" s="136">
        <f>'LCI_AD-b'!$E37*'IW+_end'!P2</f>
        <v>3.2097331077826474E-2</v>
      </c>
      <c r="U84" s="136">
        <f>'LCI_AD-b'!$E37*'IW+_end'!Q2</f>
        <v>3.4842384245660119E-3</v>
      </c>
      <c r="V84" s="136">
        <f>'LCI_AD-b'!$E37*'IW+_end'!R2</f>
        <v>3.0217985881737148E-7</v>
      </c>
      <c r="W84" s="136">
        <f>'LCI_AD-b'!$E37*'IW+_end'!S2</f>
        <v>8.3162586322158654E-8</v>
      </c>
      <c r="X84" s="136">
        <f>'LCI_AD-b'!$E37*'IW+_end'!T2</f>
        <v>2.128453591310383E-4</v>
      </c>
      <c r="Y84" s="136">
        <f>'LCI_AD-b'!$E37*'IW+_end'!U2</f>
        <v>1.4479139766530832E-11</v>
      </c>
      <c r="Z84" s="136">
        <f>'LCI_AD-b'!$E37*'IW+_end'!V2</f>
        <v>1.1720511301650913E-7</v>
      </c>
      <c r="AA84" s="136">
        <f>'LCI_AD-b'!$E37*'IW+_end'!W2</f>
        <v>4.934183475435755E-3</v>
      </c>
      <c r="AB84" s="136">
        <f>'LCI_AD-b'!$E37*'IW+_end'!X2</f>
        <v>4.9049639939226234E-10</v>
      </c>
      <c r="AC84" s="136">
        <f>'LCI_AD-b'!$E37*'IW+_end'!Y2</f>
        <v>1.0732168781098783E-2</v>
      </c>
      <c r="AD84" s="136">
        <f>'LCI_AD-b'!$E37*'IW+_end'!Z2</f>
        <v>1.1029989880888913E-2</v>
      </c>
      <c r="AE84" s="136">
        <f>'LCI_AD-b'!$E37*'IW+_end'!AA2</f>
        <v>3.0354344007587917E-3</v>
      </c>
      <c r="AF84" s="136">
        <f>'LCI_AD-b'!$E37*'IW+_end'!AB2</f>
        <v>5.9516122540008507E-4</v>
      </c>
      <c r="AG84" s="136">
        <f>'LCI_AD-b'!$E37*'IW+_end'!AC2</f>
        <v>0.15824534312115357</v>
      </c>
      <c r="AH84" s="136">
        <f>'LCI_AD-b'!$E37*'IW+_end'!AD2</f>
        <v>6.9290561290245875E-7</v>
      </c>
      <c r="AI84" s="136">
        <f>'LCI_AD-b'!$E37*'IW+_end'!AE2</f>
        <v>3.1610479685655485E-6</v>
      </c>
      <c r="AJ84" s="136">
        <f>'LCI_AD-b'!$E37*'IW+_end'!AF2</f>
        <v>3.8609795566399319E-7</v>
      </c>
      <c r="AK84" s="136">
        <f>'LCI_AD-b'!$E37*'IW+_end'!AG2</f>
        <v>4.6083952700321599E-6</v>
      </c>
    </row>
    <row r="85" spans="1:37" x14ac:dyDescent="0.35">
      <c r="A85" s="136"/>
      <c r="B85" s="136" t="s">
        <v>289</v>
      </c>
      <c r="C85" s="136" t="e">
        <f>'LCI_AD-b'!$E38*'IW+_end'!#REF!</f>
        <v>#REF!</v>
      </c>
      <c r="D85" s="136" t="e">
        <f>'LCI_AD-b'!$E38*'IW+_end'!#REF!</f>
        <v>#REF!</v>
      </c>
      <c r="E85" s="136" t="e">
        <f>'LCI_AD-b'!$E38*'IW+_end'!#REF!</f>
        <v>#REF!</v>
      </c>
      <c r="F85" s="136" t="e">
        <f>'LCI_AD-b'!$E38*'IW+_end'!#REF!</f>
        <v>#REF!</v>
      </c>
      <c r="G85" s="136">
        <f>'LCI_AD-b'!$E38*'IW+_end'!C27</f>
        <v>1.6130521335353439E-20</v>
      </c>
      <c r="H85" s="136">
        <f>'LCI_AD-b'!$E38*'IW+_end'!D27</f>
        <v>2.7054070426269952E-3</v>
      </c>
      <c r="I85" s="136">
        <f>'LCI_AD-b'!$E38*'IW+_end'!E27</f>
        <v>2.4196440073787778E-2</v>
      </c>
      <c r="J85" s="136">
        <f>'LCI_AD-b'!$E38*'IW+_end'!F27</f>
        <v>1.7630583606476537E-2</v>
      </c>
      <c r="K85" s="136">
        <f>'LCI_AD-b'!$E38*'IW+_end'!G27</f>
        <v>2.4472117590483638E-5</v>
      </c>
      <c r="L85" s="136">
        <f>'LCI_AD-b'!$E38*'IW+_end'!H27</f>
        <v>1.3576808019091356E-9</v>
      </c>
      <c r="M85" s="136">
        <f>'LCI_AD-b'!$E38*'IW+_end'!I27</f>
        <v>5.1572925418878274E-8</v>
      </c>
      <c r="N85" s="136">
        <f>'LCI_AD-b'!$E38*'IW+_end'!J27</f>
        <v>3.3872872795680431E-8</v>
      </c>
      <c r="O85" s="136">
        <f>'LCI_AD-b'!$E38*'IW+_end'!K27</f>
        <v>2.6288935372440298E-8</v>
      </c>
      <c r="P85" s="136">
        <f>'LCI_AD-b'!$E38*'IW+_end'!L27</f>
        <v>1.2683791297072126E-11</v>
      </c>
      <c r="Q85" s="136">
        <f>'LCI_AD-b'!$E38*'IW+_end'!M27</f>
        <v>2.3580294814971754E-10</v>
      </c>
      <c r="R85" s="136">
        <f>'LCI_AD-b'!$E38*'IW+_end'!N27</f>
        <v>2.1090311924351537E-3</v>
      </c>
      <c r="S85" s="136">
        <f>'LCI_AD-b'!$E38*'IW+_end'!O27</f>
        <v>1.8992751976227653E-2</v>
      </c>
      <c r="T85" s="136">
        <f>'LCI_AD-b'!$E38*'IW+_end'!P27</f>
        <v>3.6140715903243067E-2</v>
      </c>
      <c r="U85" s="136">
        <f>'LCI_AD-b'!$E38*'IW+_end'!Q27</f>
        <v>3.923152069951294E-3</v>
      </c>
      <c r="V85" s="136">
        <f>'LCI_AD-b'!$E38*'IW+_end'!R27</f>
        <v>8.3831586723194238E-9</v>
      </c>
      <c r="W85" s="136">
        <f>'LCI_AD-b'!$E38*'IW+_end'!S27</f>
        <v>7.400687754511597E-9</v>
      </c>
      <c r="X85" s="136">
        <f>'LCI_AD-b'!$E38*'IW+_end'!T27</f>
        <v>9.0097723477391967E-4</v>
      </c>
      <c r="Y85" s="136">
        <f>'LCI_AD-b'!$E38*'IW+_end'!U27</f>
        <v>5.6978286394437733E-11</v>
      </c>
      <c r="Z85" s="136">
        <f>'LCI_AD-b'!$E38*'IW+_end'!V27</f>
        <v>1.6243641906731715E-7</v>
      </c>
      <c r="AA85" s="136">
        <f>'LCI_AD-b'!$E38*'IW+_end'!W27</f>
        <v>1.271342860162961E-2</v>
      </c>
      <c r="AB85" s="136">
        <f>'LCI_AD-b'!$E38*'IW+_end'!X27</f>
        <v>1.0601852933367218E-9</v>
      </c>
      <c r="AC85" s="136">
        <f>'LCI_AD-b'!$E38*'IW+_end'!Y27</f>
        <v>1.7420512120229357E-2</v>
      </c>
      <c r="AD85" s="136">
        <f>'LCI_AD-b'!$E38*'IW+_end'!Z27</f>
        <v>3.0603630298783007E-4</v>
      </c>
      <c r="AE85" s="136">
        <f>'LCI_AD-b'!$E38*'IW+_end'!AA27</f>
        <v>2.7012510303967328E-4</v>
      </c>
      <c r="AF85" s="136">
        <f>'LCI_AD-b'!$E38*'IW+_end'!AB27</f>
        <v>1.1860112818669014E-5</v>
      </c>
      <c r="AG85" s="136">
        <f>'LCI_AD-b'!$E38*'IW+_end'!AC27</f>
        <v>0.13734910495904709</v>
      </c>
      <c r="AH85" s="136">
        <f>'LCI_AD-b'!$E38*'IW+_end'!AD27</f>
        <v>3.1084751668557692E-7</v>
      </c>
      <c r="AI85" s="136">
        <f>'LCI_AD-b'!$E38*'IW+_end'!AE27</f>
        <v>2.7808295331522901E-7</v>
      </c>
      <c r="AJ85" s="136">
        <f>'LCI_AD-b'!$E38*'IW+_end'!AF27</f>
        <v>3.3965716701470755E-8</v>
      </c>
      <c r="AK85" s="136">
        <f>'LCI_AD-b'!$E38*'IW+_end'!AG27</f>
        <v>3.3176217455392112E-6</v>
      </c>
    </row>
    <row r="86" spans="1:37" x14ac:dyDescent="0.35">
      <c r="A86" s="142" t="s">
        <v>353</v>
      </c>
      <c r="B86" s="136"/>
      <c r="C86" s="141" t="e">
        <f>SUM(C87:C91)</f>
        <v>#REF!</v>
      </c>
      <c r="D86" s="141" t="e">
        <f t="shared" ref="D86:AK86" si="11">SUM(D87:D91)</f>
        <v>#REF!</v>
      </c>
      <c r="E86" s="141" t="e">
        <f t="shared" si="11"/>
        <v>#REF!</v>
      </c>
      <c r="F86" s="141" t="e">
        <f t="shared" si="11"/>
        <v>#REF!</v>
      </c>
      <c r="G86" s="141">
        <f t="shared" si="11"/>
        <v>0</v>
      </c>
      <c r="H86" s="141">
        <f t="shared" si="11"/>
        <v>0.14579389891956177</v>
      </c>
      <c r="I86" s="141">
        <f t="shared" si="11"/>
        <v>0</v>
      </c>
      <c r="J86" s="141">
        <f t="shared" si="11"/>
        <v>0</v>
      </c>
      <c r="K86" s="141">
        <f t="shared" si="11"/>
        <v>-0.12351800454149389</v>
      </c>
      <c r="L86" s="141">
        <f t="shared" si="11"/>
        <v>0</v>
      </c>
      <c r="M86" s="141">
        <f t="shared" si="11"/>
        <v>0</v>
      </c>
      <c r="N86" s="141">
        <f t="shared" si="11"/>
        <v>0</v>
      </c>
      <c r="O86" s="141">
        <f t="shared" si="11"/>
        <v>0</v>
      </c>
      <c r="P86" s="141">
        <f t="shared" si="11"/>
        <v>0</v>
      </c>
      <c r="Q86" s="141">
        <f t="shared" si="11"/>
        <v>0</v>
      </c>
      <c r="R86" s="141">
        <f t="shared" si="11"/>
        <v>0</v>
      </c>
      <c r="S86" s="141">
        <f t="shared" si="11"/>
        <v>0</v>
      </c>
      <c r="T86" s="141">
        <f t="shared" si="11"/>
        <v>-4.6840808148715611</v>
      </c>
      <c r="U86" s="141">
        <f t="shared" si="11"/>
        <v>-0.50846929898276816</v>
      </c>
      <c r="V86" s="141">
        <f t="shared" si="11"/>
        <v>0</v>
      </c>
      <c r="W86" s="141">
        <f t="shared" si="11"/>
        <v>0</v>
      </c>
      <c r="X86" s="141">
        <f t="shared" si="11"/>
        <v>5.2932055936233882</v>
      </c>
      <c r="Y86" s="141">
        <f t="shared" si="11"/>
        <v>0</v>
      </c>
      <c r="Z86" s="141">
        <f t="shared" si="11"/>
        <v>1.4004955712866033E-5</v>
      </c>
      <c r="AA86" s="141">
        <f t="shared" si="11"/>
        <v>0</v>
      </c>
      <c r="AB86" s="141">
        <f t="shared" si="11"/>
        <v>0</v>
      </c>
      <c r="AC86" s="141">
        <f t="shared" si="11"/>
        <v>1.8796725842664521</v>
      </c>
      <c r="AD86" s="141">
        <f t="shared" si="11"/>
        <v>0</v>
      </c>
      <c r="AE86" s="141">
        <f t="shared" si="11"/>
        <v>0</v>
      </c>
      <c r="AF86" s="141">
        <f t="shared" si="11"/>
        <v>0</v>
      </c>
      <c r="AG86" s="141">
        <f t="shared" si="11"/>
        <v>2.0026039584135802</v>
      </c>
      <c r="AH86" s="141">
        <f t="shared" si="11"/>
        <v>1.4004955712866033E-5</v>
      </c>
      <c r="AI86" s="141">
        <f t="shared" si="11"/>
        <v>0</v>
      </c>
      <c r="AJ86" s="141">
        <f t="shared" si="11"/>
        <v>0</v>
      </c>
      <c r="AK86" s="141">
        <f t="shared" si="11"/>
        <v>0</v>
      </c>
    </row>
    <row r="87" spans="1:37" x14ac:dyDescent="0.35">
      <c r="A87" s="136"/>
      <c r="B87" s="136" t="s">
        <v>111</v>
      </c>
      <c r="C87" s="136" t="e">
        <f>'LCI_AD-b'!$E40*'IW+_end'!#REF!</f>
        <v>#REF!</v>
      </c>
      <c r="D87" s="136" t="e">
        <f>'LCI_AD-b'!$E40*'IW+_end'!#REF!</f>
        <v>#REF!</v>
      </c>
      <c r="E87" s="136" t="e">
        <f>'LCI_AD-b'!$E40*'IW+_end'!#REF!</f>
        <v>#REF!</v>
      </c>
      <c r="F87" s="136" t="e">
        <f>'LCI_AD-b'!$E40*'IW+_end'!#REF!</f>
        <v>#REF!</v>
      </c>
      <c r="G87" s="136">
        <f>'LCI_AD-b'!$E40*'IW+_end'!C20</f>
        <v>0</v>
      </c>
      <c r="H87" s="136">
        <f>'LCI_AD-b'!$E40*'IW+_end'!D20</f>
        <v>0</v>
      </c>
      <c r="I87" s="136">
        <f>'LCI_AD-b'!$E40*'IW+_end'!E20</f>
        <v>0</v>
      </c>
      <c r="J87" s="136">
        <f>'LCI_AD-b'!$E40*'IW+_end'!F20</f>
        <v>0</v>
      </c>
      <c r="K87" s="136">
        <f>'LCI_AD-b'!$E40*'IW+_end'!G20</f>
        <v>0</v>
      </c>
      <c r="L87" s="136">
        <f>'LCI_AD-b'!$E40*'IW+_end'!H20</f>
        <v>0</v>
      </c>
      <c r="M87" s="136">
        <f>'LCI_AD-b'!$E40*'IW+_end'!I20</f>
        <v>0</v>
      </c>
      <c r="N87" s="136">
        <f>'LCI_AD-b'!$E40*'IW+_end'!J20</f>
        <v>0</v>
      </c>
      <c r="O87" s="136">
        <f>'LCI_AD-b'!$E40*'IW+_end'!K20</f>
        <v>0</v>
      </c>
      <c r="P87" s="136">
        <f>'LCI_AD-b'!$E40*'IW+_end'!L20</f>
        <v>0</v>
      </c>
      <c r="Q87" s="136">
        <f>'LCI_AD-b'!$E40*'IW+_end'!M20</f>
        <v>0</v>
      </c>
      <c r="R87" s="136">
        <f>'LCI_AD-b'!$E40*'IW+_end'!N20</f>
        <v>0</v>
      </c>
      <c r="S87" s="136">
        <f>'LCI_AD-b'!$E40*'IW+_end'!O20</f>
        <v>0</v>
      </c>
      <c r="T87" s="136">
        <f>'LCI_AD-b'!$E40*'IW+_end'!P20</f>
        <v>0</v>
      </c>
      <c r="U87" s="136">
        <f>'LCI_AD-b'!$E40*'IW+_end'!Q20</f>
        <v>0</v>
      </c>
      <c r="V87" s="136">
        <f>'LCI_AD-b'!$E40*'IW+_end'!R20</f>
        <v>0</v>
      </c>
      <c r="W87" s="136">
        <f>'LCI_AD-b'!$E40*'IW+_end'!S20</f>
        <v>0</v>
      </c>
      <c r="X87" s="136">
        <f>'LCI_AD-b'!$E40*'IW+_end'!T20</f>
        <v>0</v>
      </c>
      <c r="Y87" s="136">
        <f>'LCI_AD-b'!$E40*'IW+_end'!U20</f>
        <v>0</v>
      </c>
      <c r="Z87" s="136">
        <f>'LCI_AD-b'!$E40*'IW+_end'!V20</f>
        <v>0</v>
      </c>
      <c r="AA87" s="136">
        <f>'LCI_AD-b'!$E40*'IW+_end'!W20</f>
        <v>0</v>
      </c>
      <c r="AB87" s="136">
        <f>'LCI_AD-b'!$E40*'IW+_end'!X20</f>
        <v>0</v>
      </c>
      <c r="AC87" s="136">
        <f>'LCI_AD-b'!$E40*'IW+_end'!Y20</f>
        <v>0</v>
      </c>
      <c r="AD87" s="136">
        <f>'LCI_AD-b'!$E40*'IW+_end'!Z20</f>
        <v>0</v>
      </c>
      <c r="AE87" s="136">
        <f>'LCI_AD-b'!$E40*'IW+_end'!AA20</f>
        <v>0</v>
      </c>
      <c r="AF87" s="136">
        <f>'LCI_AD-b'!$E40*'IW+_end'!AB20</f>
        <v>0</v>
      </c>
      <c r="AG87" s="136">
        <f>'LCI_AD-b'!$E40*'IW+_end'!AC20</f>
        <v>0</v>
      </c>
      <c r="AH87" s="136">
        <f>'LCI_AD-b'!$E40*'IW+_end'!AD20</f>
        <v>0</v>
      </c>
      <c r="AI87" s="136">
        <f>'LCI_AD-b'!$E40*'IW+_end'!AE20</f>
        <v>0</v>
      </c>
      <c r="AJ87" s="136">
        <f>'LCI_AD-b'!$E40*'IW+_end'!AF20</f>
        <v>0</v>
      </c>
      <c r="AK87" s="136">
        <f>'LCI_AD-b'!$E40*'IW+_end'!AG20</f>
        <v>0</v>
      </c>
    </row>
    <row r="88" spans="1:37" x14ac:dyDescent="0.35">
      <c r="A88" s="136"/>
      <c r="B88" s="136" t="s">
        <v>110</v>
      </c>
      <c r="C88" s="136" t="e">
        <f>'LCI_AD-b'!$E41*'IW+_end'!#REF!</f>
        <v>#REF!</v>
      </c>
      <c r="D88" s="136" t="e">
        <f>'LCI_AD-b'!$E41*'IW+_end'!#REF!</f>
        <v>#REF!</v>
      </c>
      <c r="E88" s="136" t="e">
        <f>'LCI_AD-b'!$E41*'IW+_end'!#REF!</f>
        <v>#REF!</v>
      </c>
      <c r="F88" s="136" t="e">
        <f>'LCI_AD-b'!$E41*'IW+_end'!#REF!</f>
        <v>#REF!</v>
      </c>
      <c r="G88" s="136">
        <f>'LCI_AD-b'!$E41*'IW+_end'!C18</f>
        <v>0</v>
      </c>
      <c r="H88" s="136">
        <f>'LCI_AD-b'!$E41*'IW+_end'!D18</f>
        <v>0.14579389891956177</v>
      </c>
      <c r="I88" s="136">
        <f>'LCI_AD-b'!$E41*'IW+_end'!E18</f>
        <v>0</v>
      </c>
      <c r="J88" s="136">
        <f>'LCI_AD-b'!$E41*'IW+_end'!F18</f>
        <v>0</v>
      </c>
      <c r="K88" s="136">
        <f>'LCI_AD-b'!$E41*'IW+_end'!G18</f>
        <v>0</v>
      </c>
      <c r="L88" s="136">
        <f>'LCI_AD-b'!$E41*'IW+_end'!H18</f>
        <v>0</v>
      </c>
      <c r="M88" s="136">
        <f>'LCI_AD-b'!$E41*'IW+_end'!I18</f>
        <v>0</v>
      </c>
      <c r="N88" s="136">
        <f>'LCI_AD-b'!$E41*'IW+_end'!J18</f>
        <v>0</v>
      </c>
      <c r="O88" s="136">
        <f>'LCI_AD-b'!$E41*'IW+_end'!K18</f>
        <v>0</v>
      </c>
      <c r="P88" s="136">
        <f>'LCI_AD-b'!$E41*'IW+_end'!L18</f>
        <v>0</v>
      </c>
      <c r="Q88" s="136">
        <f>'LCI_AD-b'!$E41*'IW+_end'!M18</f>
        <v>0</v>
      </c>
      <c r="R88" s="136">
        <f>'LCI_AD-b'!$E41*'IW+_end'!N18</f>
        <v>0</v>
      </c>
      <c r="S88" s="136">
        <f>'LCI_AD-b'!$E41*'IW+_end'!O18</f>
        <v>0</v>
      </c>
      <c r="T88" s="136">
        <f>'LCI_AD-b'!$E41*'IW+_end'!P18</f>
        <v>0</v>
      </c>
      <c r="U88" s="136">
        <f>'LCI_AD-b'!$E41*'IW+_end'!Q18</f>
        <v>0</v>
      </c>
      <c r="V88" s="136">
        <f>'LCI_AD-b'!$E41*'IW+_end'!R18</f>
        <v>0</v>
      </c>
      <c r="W88" s="136">
        <f>'LCI_AD-b'!$E41*'IW+_end'!S18</f>
        <v>0</v>
      </c>
      <c r="X88" s="136">
        <f>'LCI_AD-b'!$E41*'IW+_end'!T18</f>
        <v>5.5969819682784028E-2</v>
      </c>
      <c r="Y88" s="136">
        <f>'LCI_AD-b'!$E41*'IW+_end'!U18</f>
        <v>0</v>
      </c>
      <c r="Z88" s="136">
        <f>'LCI_AD-b'!$E41*'IW+_end'!V18</f>
        <v>1.4004955712866033E-5</v>
      </c>
      <c r="AA88" s="136">
        <f>'LCI_AD-b'!$E41*'IW+_end'!W18</f>
        <v>0</v>
      </c>
      <c r="AB88" s="136">
        <f>'LCI_AD-b'!$E41*'IW+_end'!X18</f>
        <v>0</v>
      </c>
      <c r="AC88" s="136">
        <f>'LCI_AD-b'!$E41*'IW+_end'!Y18</f>
        <v>1.8796725842664521</v>
      </c>
      <c r="AD88" s="136">
        <f>'LCI_AD-b'!$E41*'IW+_end'!Z18</f>
        <v>0</v>
      </c>
      <c r="AE88" s="136">
        <f>'LCI_AD-b'!$E41*'IW+_end'!AA18</f>
        <v>0</v>
      </c>
      <c r="AF88" s="136">
        <f>'LCI_AD-b'!$E41*'IW+_end'!AB18</f>
        <v>0</v>
      </c>
      <c r="AG88" s="136">
        <f>'LCI_AD-b'!$E41*'IW+_end'!AC18</f>
        <v>2.0814363028687981</v>
      </c>
      <c r="AH88" s="136">
        <f>'LCI_AD-b'!$E41*'IW+_end'!AD18</f>
        <v>1.4004955712866033E-5</v>
      </c>
      <c r="AI88" s="136">
        <f>'LCI_AD-b'!$E41*'IW+_end'!AE18</f>
        <v>0</v>
      </c>
      <c r="AJ88" s="136">
        <f>'LCI_AD-b'!$E41*'IW+_end'!AF18</f>
        <v>0</v>
      </c>
      <c r="AK88" s="136">
        <f>'LCI_AD-b'!$E41*'IW+_end'!AG18</f>
        <v>0</v>
      </c>
    </row>
    <row r="89" spans="1:37" x14ac:dyDescent="0.35">
      <c r="A89" s="136"/>
      <c r="B89" s="136" t="s">
        <v>114</v>
      </c>
      <c r="C89" s="136" t="e">
        <f>'LCI_AD-b'!$E42*'IW+_end'!#REF!</f>
        <v>#REF!</v>
      </c>
      <c r="D89" s="136" t="e">
        <f>'LCI_AD-b'!$E42*'IW+_end'!#REF!</f>
        <v>#REF!</v>
      </c>
      <c r="E89" s="136" t="e">
        <f>'LCI_AD-b'!$E42*'IW+_end'!#REF!</f>
        <v>#REF!</v>
      </c>
      <c r="F89" s="136" t="e">
        <f>'LCI_AD-b'!$E42*'IW+_end'!#REF!</f>
        <v>#REF!</v>
      </c>
      <c r="G89" s="136">
        <f>'LCI_AD-b'!$E42*'IW+_end'!C21</f>
        <v>0</v>
      </c>
      <c r="H89" s="136">
        <f>'LCI_AD-b'!$E42*'IW+_end'!D21</f>
        <v>0</v>
      </c>
      <c r="I89" s="136">
        <f>'LCI_AD-b'!$E42*'IW+_end'!E21</f>
        <v>0</v>
      </c>
      <c r="J89" s="136">
        <f>'LCI_AD-b'!$E42*'IW+_end'!F21</f>
        <v>0</v>
      </c>
      <c r="K89" s="136">
        <f>'LCI_AD-b'!$E42*'IW+_end'!G21</f>
        <v>0</v>
      </c>
      <c r="L89" s="136">
        <f>'LCI_AD-b'!$E42*'IW+_end'!H21</f>
        <v>0</v>
      </c>
      <c r="M89" s="136">
        <f>'LCI_AD-b'!$E42*'IW+_end'!I21</f>
        <v>0</v>
      </c>
      <c r="N89" s="136">
        <f>'LCI_AD-b'!$E42*'IW+_end'!J21</f>
        <v>0</v>
      </c>
      <c r="O89" s="136">
        <f>'LCI_AD-b'!$E42*'IW+_end'!K21</f>
        <v>0</v>
      </c>
      <c r="P89" s="136">
        <f>'LCI_AD-b'!$E42*'IW+_end'!L21</f>
        <v>0</v>
      </c>
      <c r="Q89" s="136">
        <f>'LCI_AD-b'!$E42*'IW+_end'!M21</f>
        <v>0</v>
      </c>
      <c r="R89" s="136">
        <f>'LCI_AD-b'!$E42*'IW+_end'!N21</f>
        <v>0</v>
      </c>
      <c r="S89" s="136">
        <f>'LCI_AD-b'!$E42*'IW+_end'!O21</f>
        <v>0</v>
      </c>
      <c r="T89" s="136">
        <f>'LCI_AD-b'!$E42*'IW+_end'!P21</f>
        <v>0</v>
      </c>
      <c r="U89" s="136">
        <f>'LCI_AD-b'!$E42*'IW+_end'!Q21</f>
        <v>0</v>
      </c>
      <c r="V89" s="136">
        <f>'LCI_AD-b'!$E42*'IW+_end'!R21</f>
        <v>0</v>
      </c>
      <c r="W89" s="136">
        <f>'LCI_AD-b'!$E42*'IW+_end'!S21</f>
        <v>0</v>
      </c>
      <c r="X89" s="136">
        <f>'LCI_AD-b'!$E42*'IW+_end'!T21</f>
        <v>5.2372357739406041</v>
      </c>
      <c r="Y89" s="136">
        <f>'LCI_AD-b'!$E42*'IW+_end'!U21</f>
        <v>0</v>
      </c>
      <c r="Z89" s="136">
        <f>'LCI_AD-b'!$E42*'IW+_end'!V21</f>
        <v>0</v>
      </c>
      <c r="AA89" s="136">
        <f>'LCI_AD-b'!$E42*'IW+_end'!W21</f>
        <v>0</v>
      </c>
      <c r="AB89" s="136">
        <f>'LCI_AD-b'!$E42*'IW+_end'!X21</f>
        <v>0</v>
      </c>
      <c r="AC89" s="136">
        <f>'LCI_AD-b'!$E42*'IW+_end'!Y21</f>
        <v>0</v>
      </c>
      <c r="AD89" s="136">
        <f>'LCI_AD-b'!$E42*'IW+_end'!Z21</f>
        <v>0</v>
      </c>
      <c r="AE89" s="136">
        <f>'LCI_AD-b'!$E42*'IW+_end'!AA21</f>
        <v>0</v>
      </c>
      <c r="AF89" s="136">
        <f>'LCI_AD-b'!$E42*'IW+_end'!AB21</f>
        <v>0</v>
      </c>
      <c r="AG89" s="136">
        <f>'LCI_AD-b'!$E42*'IW+_end'!AC21</f>
        <v>5.2372357739406041</v>
      </c>
      <c r="AH89" s="136">
        <f>'LCI_AD-b'!$E42*'IW+_end'!AD21</f>
        <v>0</v>
      </c>
      <c r="AI89" s="136">
        <f>'LCI_AD-b'!$E42*'IW+_end'!AE21</f>
        <v>0</v>
      </c>
      <c r="AJ89" s="136">
        <f>'LCI_AD-b'!$E42*'IW+_end'!AF21</f>
        <v>0</v>
      </c>
      <c r="AK89" s="136">
        <f>'LCI_AD-b'!$E42*'IW+_end'!AG21</f>
        <v>0</v>
      </c>
    </row>
    <row r="90" spans="1:37" x14ac:dyDescent="0.35">
      <c r="A90" s="136"/>
      <c r="B90" s="136" t="s">
        <v>414</v>
      </c>
      <c r="C90" s="136" t="e">
        <f>'LCI_AD-b'!$E43*'IW+_end'!#REF!</f>
        <v>#REF!</v>
      </c>
      <c r="D90" s="136" t="e">
        <f>'LCI_AD-b'!$E43*'IW+_end'!#REF!</f>
        <v>#REF!</v>
      </c>
      <c r="E90" s="136" t="e">
        <f>'LCI_AD-b'!$E43*'IW+_end'!#REF!</f>
        <v>#REF!</v>
      </c>
      <c r="F90" s="136" t="e">
        <f>'LCI_AD-b'!$E43*'IW+_end'!#REF!</f>
        <v>#REF!</v>
      </c>
      <c r="G90" s="136">
        <f>'LCI_AD-b'!$E43*'IW+_end'!C25</f>
        <v>0</v>
      </c>
      <c r="H90" s="136">
        <f>'LCI_AD-b'!$E43*'IW+_end'!D25</f>
        <v>0</v>
      </c>
      <c r="I90" s="136">
        <f>'LCI_AD-b'!$E43*'IW+_end'!E25</f>
        <v>0</v>
      </c>
      <c r="J90" s="136">
        <f>'LCI_AD-b'!$E43*'IW+_end'!F25</f>
        <v>0</v>
      </c>
      <c r="K90" s="136">
        <f>'LCI_AD-b'!$E43*'IW+_end'!G25</f>
        <v>-0.12351800454149389</v>
      </c>
      <c r="L90" s="136">
        <f>'LCI_AD-b'!$E43*'IW+_end'!H25</f>
        <v>0</v>
      </c>
      <c r="M90" s="136">
        <f>'LCI_AD-b'!$E43*'IW+_end'!I25</f>
        <v>0</v>
      </c>
      <c r="N90" s="136">
        <f>'LCI_AD-b'!$E43*'IW+_end'!J25</f>
        <v>0</v>
      </c>
      <c r="O90" s="136">
        <f>'LCI_AD-b'!$E43*'IW+_end'!K25</f>
        <v>0</v>
      </c>
      <c r="P90" s="136">
        <f>'LCI_AD-b'!$E43*'IW+_end'!L25</f>
        <v>0</v>
      </c>
      <c r="Q90" s="136">
        <f>'LCI_AD-b'!$E43*'IW+_end'!M25</f>
        <v>0</v>
      </c>
      <c r="R90" s="136">
        <f>'LCI_AD-b'!$E43*'IW+_end'!N25</f>
        <v>0</v>
      </c>
      <c r="S90" s="136">
        <f>'LCI_AD-b'!$E43*'IW+_end'!O25</f>
        <v>0</v>
      </c>
      <c r="T90" s="136">
        <f>'LCI_AD-b'!$E43*'IW+_end'!P25</f>
        <v>0</v>
      </c>
      <c r="U90" s="136">
        <f>'LCI_AD-b'!$E43*'IW+_end'!Q25</f>
        <v>0</v>
      </c>
      <c r="V90" s="136">
        <f>'LCI_AD-b'!$E43*'IW+_end'!R25</f>
        <v>0</v>
      </c>
      <c r="W90" s="136">
        <f>'LCI_AD-b'!$E43*'IW+_end'!S25</f>
        <v>0</v>
      </c>
      <c r="X90" s="136">
        <f>'LCI_AD-b'!$E43*'IW+_end'!T25</f>
        <v>0</v>
      </c>
      <c r="Y90" s="136">
        <f>'LCI_AD-b'!$E43*'IW+_end'!U25</f>
        <v>0</v>
      </c>
      <c r="Z90" s="136">
        <f>'LCI_AD-b'!$E43*'IW+_end'!V25</f>
        <v>0</v>
      </c>
      <c r="AA90" s="136">
        <f>'LCI_AD-b'!$E43*'IW+_end'!W25</f>
        <v>0</v>
      </c>
      <c r="AB90" s="136">
        <f>'LCI_AD-b'!$E43*'IW+_end'!X25</f>
        <v>0</v>
      </c>
      <c r="AC90" s="136">
        <f>'LCI_AD-b'!$E43*'IW+_end'!Y25</f>
        <v>0</v>
      </c>
      <c r="AD90" s="136">
        <f>'LCI_AD-b'!$E43*'IW+_end'!Z25</f>
        <v>0</v>
      </c>
      <c r="AE90" s="136">
        <f>'LCI_AD-b'!$E43*'IW+_end'!AA25</f>
        <v>0</v>
      </c>
      <c r="AF90" s="136">
        <f>'LCI_AD-b'!$E43*'IW+_end'!AB25</f>
        <v>0</v>
      </c>
      <c r="AG90" s="136">
        <f>'LCI_AD-b'!$E43*'IW+_end'!AC25</f>
        <v>-0.12351800454149389</v>
      </c>
      <c r="AH90" s="136">
        <f>'LCI_AD-b'!$E43*'IW+_end'!AD25</f>
        <v>0</v>
      </c>
      <c r="AI90" s="136">
        <f>'LCI_AD-b'!$E43*'IW+_end'!AE25</f>
        <v>0</v>
      </c>
      <c r="AJ90" s="136">
        <f>'LCI_AD-b'!$E43*'IW+_end'!AF25</f>
        <v>0</v>
      </c>
      <c r="AK90" s="136">
        <f>'LCI_AD-b'!$E43*'IW+_end'!AG25</f>
        <v>0</v>
      </c>
    </row>
    <row r="91" spans="1:37" x14ac:dyDescent="0.35">
      <c r="A91" s="136"/>
      <c r="B91" s="136" t="s">
        <v>415</v>
      </c>
      <c r="C91" s="136" t="e">
        <f>'LCI_AD-b'!$E44*'IW+_end'!#REF!</f>
        <v>#REF!</v>
      </c>
      <c r="D91" s="136" t="e">
        <f>'LCI_AD-b'!$E44*'IW+_end'!#REF!</f>
        <v>#REF!</v>
      </c>
      <c r="E91" s="136" t="e">
        <f>'LCI_AD-b'!$E44*'IW+_end'!#REF!</f>
        <v>#REF!</v>
      </c>
      <c r="F91" s="136" t="e">
        <f>'LCI_AD-b'!$E44*'IW+_end'!#REF!</f>
        <v>#REF!</v>
      </c>
      <c r="G91" s="136">
        <f>'LCI_AD-b'!$E44*'IW+_end'!C26</f>
        <v>0</v>
      </c>
      <c r="H91" s="136">
        <f>'LCI_AD-b'!$E44*'IW+_end'!D26</f>
        <v>0</v>
      </c>
      <c r="I91" s="136">
        <f>'LCI_AD-b'!$E44*'IW+_end'!E26</f>
        <v>0</v>
      </c>
      <c r="J91" s="136">
        <f>'LCI_AD-b'!$E44*'IW+_end'!F26</f>
        <v>0</v>
      </c>
      <c r="K91" s="136">
        <f>'LCI_AD-b'!$E44*'IW+_end'!G26</f>
        <v>0</v>
      </c>
      <c r="L91" s="136">
        <f>'LCI_AD-b'!$E44*'IW+_end'!H26</f>
        <v>0</v>
      </c>
      <c r="M91" s="136">
        <f>'LCI_AD-b'!$E44*'IW+_end'!I26</f>
        <v>0</v>
      </c>
      <c r="N91" s="136">
        <f>'LCI_AD-b'!$E44*'IW+_end'!J26</f>
        <v>0</v>
      </c>
      <c r="O91" s="136">
        <f>'LCI_AD-b'!$E44*'IW+_end'!K26</f>
        <v>0</v>
      </c>
      <c r="P91" s="136">
        <f>'LCI_AD-b'!$E44*'IW+_end'!L26</f>
        <v>0</v>
      </c>
      <c r="Q91" s="136">
        <f>'LCI_AD-b'!$E44*'IW+_end'!M26</f>
        <v>0</v>
      </c>
      <c r="R91" s="136">
        <f>'LCI_AD-b'!$E44*'IW+_end'!N26</f>
        <v>0</v>
      </c>
      <c r="S91" s="136">
        <f>'LCI_AD-b'!$E44*'IW+_end'!O26</f>
        <v>0</v>
      </c>
      <c r="T91" s="136">
        <f>'LCI_AD-b'!$E44*'IW+_end'!P26</f>
        <v>-4.6840808148715611</v>
      </c>
      <c r="U91" s="136">
        <f>'LCI_AD-b'!$E44*'IW+_end'!Q26</f>
        <v>-0.50846929898276816</v>
      </c>
      <c r="V91" s="136">
        <f>'LCI_AD-b'!$E44*'IW+_end'!R26</f>
        <v>0</v>
      </c>
      <c r="W91" s="136">
        <f>'LCI_AD-b'!$E44*'IW+_end'!S26</f>
        <v>0</v>
      </c>
      <c r="X91" s="136">
        <f>'LCI_AD-b'!$E44*'IW+_end'!T26</f>
        <v>0</v>
      </c>
      <c r="Y91" s="136">
        <f>'LCI_AD-b'!$E44*'IW+_end'!U26</f>
        <v>0</v>
      </c>
      <c r="Z91" s="136">
        <f>'LCI_AD-b'!$E44*'IW+_end'!V26</f>
        <v>0</v>
      </c>
      <c r="AA91" s="136">
        <f>'LCI_AD-b'!$E44*'IW+_end'!W26</f>
        <v>0</v>
      </c>
      <c r="AB91" s="136">
        <f>'LCI_AD-b'!$E44*'IW+_end'!X26</f>
        <v>0</v>
      </c>
      <c r="AC91" s="136">
        <f>'LCI_AD-b'!$E44*'IW+_end'!Y26</f>
        <v>0</v>
      </c>
      <c r="AD91" s="136">
        <f>'LCI_AD-b'!$E44*'IW+_end'!Z26</f>
        <v>0</v>
      </c>
      <c r="AE91" s="136">
        <f>'LCI_AD-b'!$E44*'IW+_end'!AA26</f>
        <v>0</v>
      </c>
      <c r="AF91" s="136">
        <f>'LCI_AD-b'!$E44*'IW+_end'!AB26</f>
        <v>0</v>
      </c>
      <c r="AG91" s="136">
        <f>'LCI_AD-b'!$E44*'IW+_end'!AC26</f>
        <v>-5.1925501138543284</v>
      </c>
      <c r="AH91" s="136">
        <f>'LCI_AD-b'!$E44*'IW+_end'!AD26</f>
        <v>0</v>
      </c>
      <c r="AI91" s="136">
        <f>'LCI_AD-b'!$E44*'IW+_end'!AE26</f>
        <v>0</v>
      </c>
      <c r="AJ91" s="136">
        <f>'LCI_AD-b'!$E44*'IW+_end'!AF26</f>
        <v>0</v>
      </c>
      <c r="AK91" s="136">
        <f>'LCI_AD-b'!$E44*'IW+_end'!AG26</f>
        <v>0</v>
      </c>
    </row>
    <row r="92" spans="1:37" x14ac:dyDescent="0.35">
      <c r="A92" s="142" t="s">
        <v>421</v>
      </c>
      <c r="B92" s="136"/>
      <c r="C92" s="141" t="e">
        <f>SUM(C93:C98)</f>
        <v>#REF!</v>
      </c>
      <c r="D92" s="141" t="e">
        <f t="shared" ref="D92:AK92" si="12">SUM(D93:D98)</f>
        <v>#REF!</v>
      </c>
      <c r="E92" s="141" t="e">
        <f t="shared" si="12"/>
        <v>#REF!</v>
      </c>
      <c r="F92" s="141" t="e">
        <f t="shared" si="12"/>
        <v>#REF!</v>
      </c>
      <c r="G92" s="141">
        <f t="shared" si="12"/>
        <v>1.2232045460081915E-16</v>
      </c>
      <c r="H92" s="141">
        <f t="shared" si="12"/>
        <v>1.4126972875782191</v>
      </c>
      <c r="I92" s="141">
        <f t="shared" si="12"/>
        <v>19.726218341830013</v>
      </c>
      <c r="J92" s="141">
        <f t="shared" si="12"/>
        <v>3.9712779435432557</v>
      </c>
      <c r="K92" s="141">
        <f t="shared" si="12"/>
        <v>0.10727299546925928</v>
      </c>
      <c r="L92" s="141">
        <f t="shared" si="12"/>
        <v>1.060414716978941E-6</v>
      </c>
      <c r="M92" s="141">
        <f t="shared" si="12"/>
        <v>3.0212243656975315E-5</v>
      </c>
      <c r="N92" s="141">
        <f t="shared" si="12"/>
        <v>3.3714421239396713E-5</v>
      </c>
      <c r="O92" s="141">
        <f t="shared" si="12"/>
        <v>3.3465521604221375E-5</v>
      </c>
      <c r="P92" s="141">
        <f t="shared" si="12"/>
        <v>8.5954893985692479E-9</v>
      </c>
      <c r="Q92" s="141">
        <f t="shared" si="12"/>
        <v>1.6727311545262551E-7</v>
      </c>
      <c r="R92" s="141">
        <f t="shared" si="12"/>
        <v>18.045920753482203</v>
      </c>
      <c r="S92" s="141">
        <f t="shared" si="12"/>
        <v>4.770234322630472</v>
      </c>
      <c r="T92" s="141">
        <f t="shared" si="12"/>
        <v>35.022413851182016</v>
      </c>
      <c r="U92" s="141">
        <f t="shared" si="12"/>
        <v>3.8017661832801575</v>
      </c>
      <c r="V92" s="141">
        <f t="shared" si="12"/>
        <v>7.8342449486971762E-5</v>
      </c>
      <c r="W92" s="141">
        <f t="shared" si="12"/>
        <v>7.1010133958962967E-5</v>
      </c>
      <c r="X92" s="141">
        <f t="shared" si="12"/>
        <v>0.21945454034710166</v>
      </c>
      <c r="Y92" s="141">
        <f t="shared" si="12"/>
        <v>8.385132563002148E-9</v>
      </c>
      <c r="Z92" s="141">
        <f t="shared" si="12"/>
        <v>1.1724900041354514E-4</v>
      </c>
      <c r="AA92" s="141">
        <f t="shared" si="12"/>
        <v>3.6306983224600398</v>
      </c>
      <c r="AB92" s="141">
        <f t="shared" si="12"/>
        <v>3.4181176278421068E-7</v>
      </c>
      <c r="AC92" s="141">
        <f t="shared" si="12"/>
        <v>9.4253343815562509</v>
      </c>
      <c r="AD92" s="141">
        <f t="shared" si="12"/>
        <v>2.8595286287945614</v>
      </c>
      <c r="AE92" s="141">
        <f t="shared" si="12"/>
        <v>2.5918698895021484</v>
      </c>
      <c r="AF92" s="141">
        <f t="shared" si="12"/>
        <v>1.4601957547006508E-2</v>
      </c>
      <c r="AG92" s="141">
        <f t="shared" si="12"/>
        <v>105.6117987122369</v>
      </c>
      <c r="AH92" s="141">
        <f t="shared" si="12"/>
        <v>2.823648949462779E-4</v>
      </c>
      <c r="AI92" s="141">
        <f t="shared" si="12"/>
        <v>5.4154682074319417E-4</v>
      </c>
      <c r="AJ92" s="141">
        <f t="shared" si="12"/>
        <v>6.6145823304360584E-5</v>
      </c>
      <c r="AK92" s="141">
        <f t="shared" si="12"/>
        <v>1.1818405034515637E-2</v>
      </c>
    </row>
    <row r="93" spans="1:37" x14ac:dyDescent="0.35">
      <c r="A93" s="136"/>
      <c r="B93" s="136" t="s">
        <v>228</v>
      </c>
      <c r="C93" s="136" t="e">
        <f>'LCI_AD-b'!$E46*'IW+_end'!#REF!</f>
        <v>#REF!</v>
      </c>
      <c r="D93" s="136" t="e">
        <f>'LCI_AD-b'!$E46*'IW+_end'!#REF!</f>
        <v>#REF!</v>
      </c>
      <c r="E93" s="136" t="e">
        <f>'LCI_AD-b'!$E46*'IW+_end'!#REF!</f>
        <v>#REF!</v>
      </c>
      <c r="F93" s="136" t="e">
        <f>'LCI_AD-b'!$E46*'IW+_end'!#REF!</f>
        <v>#REF!</v>
      </c>
      <c r="G93" s="136">
        <f>'LCI_AD-b'!$E46*'IW+_end'!C28</f>
        <v>3.9249223978199064E-17</v>
      </c>
      <c r="H93" s="136">
        <f>'LCI_AD-b'!$E46*'IW+_end'!D28</f>
        <v>8.7287713544722478E-2</v>
      </c>
      <c r="I93" s="136">
        <f>'LCI_AD-b'!$E46*'IW+_end'!E28</f>
        <v>0.72592559243783938</v>
      </c>
      <c r="J93" s="136">
        <f>'LCI_AD-b'!$E46*'IW+_end'!F28</f>
        <v>0.24130766041087356</v>
      </c>
      <c r="K93" s="136">
        <f>'LCI_AD-b'!$E46*'IW+_end'!G28</f>
        <v>3.5494647896879965E-4</v>
      </c>
      <c r="L93" s="136">
        <f>'LCI_AD-b'!$E46*'IW+_end'!H28</f>
        <v>5.4186170739770473E-8</v>
      </c>
      <c r="M93" s="136">
        <f>'LCI_AD-b'!$E46*'IW+_end'!I28</f>
        <v>2.5442998789871582E-6</v>
      </c>
      <c r="N93" s="136">
        <f>'LCI_AD-b'!$E46*'IW+_end'!J28</f>
        <v>1.765021899533639E-6</v>
      </c>
      <c r="O93" s="136">
        <f>'LCI_AD-b'!$E46*'IW+_end'!K28</f>
        <v>1.7864226714804923E-6</v>
      </c>
      <c r="P93" s="136">
        <f>'LCI_AD-b'!$E46*'IW+_end'!L28</f>
        <v>7.6300358270113086E-10</v>
      </c>
      <c r="Q93" s="136">
        <f>'LCI_AD-b'!$E46*'IW+_end'!M28</f>
        <v>1.378298188452744E-8</v>
      </c>
      <c r="R93" s="136">
        <f>'LCI_AD-b'!$E46*'IW+_end'!N28</f>
        <v>0.10339515717963435</v>
      </c>
      <c r="S93" s="136">
        <f>'LCI_AD-b'!$E46*'IW+_end'!O28</f>
        <v>0.18664892059285132</v>
      </c>
      <c r="T93" s="136">
        <f>'LCI_AD-b'!$E46*'IW+_end'!P28</f>
        <v>1.9577479795059407</v>
      </c>
      <c r="U93" s="136">
        <f>'LCI_AD-b'!$E46*'IW+_end'!Q28</f>
        <v>0.21251826889917752</v>
      </c>
      <c r="V93" s="136">
        <f>'LCI_AD-b'!$E46*'IW+_end'!R28</f>
        <v>3.7948360996169299E-6</v>
      </c>
      <c r="W93" s="136">
        <f>'LCI_AD-b'!$E46*'IW+_end'!S28</f>
        <v>5.1643039799012007E-6</v>
      </c>
      <c r="X93" s="136">
        <f>'LCI_AD-b'!$E46*'IW+_end'!T28</f>
        <v>3.5674036015551081E-2</v>
      </c>
      <c r="Y93" s="136">
        <f>'LCI_AD-b'!$E46*'IW+_end'!U28</f>
        <v>5.9266643871532827E-10</v>
      </c>
      <c r="Z93" s="136">
        <f>'LCI_AD-b'!$E46*'IW+_end'!V28</f>
        <v>7.0226540233151228E-6</v>
      </c>
      <c r="AA93" s="136">
        <f>'LCI_AD-b'!$E46*'IW+_end'!W28</f>
        <v>0.20307568330261858</v>
      </c>
      <c r="AB93" s="136">
        <f>'LCI_AD-b'!$E46*'IW+_end'!X28</f>
        <v>1.9529741532173774E-8</v>
      </c>
      <c r="AC93" s="136">
        <f>'LCI_AD-b'!$E46*'IW+_end'!Y28</f>
        <v>0.80007311894008659</v>
      </c>
      <c r="AD93" s="136">
        <f>'LCI_AD-b'!$E46*'IW+_end'!Z28</f>
        <v>0.13851212158276324</v>
      </c>
      <c r="AE93" s="136">
        <f>'LCI_AD-b'!$E46*'IW+_end'!AA28</f>
        <v>0.18849709526639377</v>
      </c>
      <c r="AF93" s="136">
        <f>'LCI_AD-b'!$E46*'IW+_end'!AB28</f>
        <v>8.5687230186265288E-4</v>
      </c>
      <c r="AG93" s="136">
        <f>'LCI_AD-b'!$E46*'IW+_end'!AC28</f>
        <v>4.8823886628482462</v>
      </c>
      <c r="AH93" s="136">
        <f>'LCI_AD-b'!$E46*'IW+_end'!AD28</f>
        <v>3.6090752780338609E-5</v>
      </c>
      <c r="AI93" s="136">
        <f>'LCI_AD-b'!$E46*'IW+_end'!AE28</f>
        <v>1.873572527528322E-4</v>
      </c>
      <c r="AJ93" s="136">
        <f>'LCI_AD-b'!$E46*'IW+_end'!AF28</f>
        <v>2.2884262746427005E-5</v>
      </c>
      <c r="AK93" s="136">
        <f>'LCI_AD-b'!$E46*'IW+_end'!AG28</f>
        <v>3.1717923312642339E-4</v>
      </c>
    </row>
    <row r="94" spans="1:37" x14ac:dyDescent="0.35">
      <c r="A94" s="136"/>
      <c r="B94" s="136" t="s">
        <v>230</v>
      </c>
      <c r="C94" s="136" t="e">
        <f>'LCI_AD-b'!$E47*'IW+_end'!#REF!</f>
        <v>#REF!</v>
      </c>
      <c r="D94" s="136" t="e">
        <f>'LCI_AD-b'!$E47*'IW+_end'!#REF!</f>
        <v>#REF!</v>
      </c>
      <c r="E94" s="136" t="e">
        <f>'LCI_AD-b'!$E47*'IW+_end'!#REF!</f>
        <v>#REF!</v>
      </c>
      <c r="F94" s="136" t="e">
        <f>'LCI_AD-b'!$E47*'IW+_end'!#REF!</f>
        <v>#REF!</v>
      </c>
      <c r="G94" s="136">
        <f>'LCI_AD-b'!$E47*'IW+_end'!C30</f>
        <v>7.3123980626410943E-17</v>
      </c>
      <c r="H94" s="136">
        <f>'LCI_AD-b'!$E47*'IW+_end'!D30</f>
        <v>0.44823309736114125</v>
      </c>
      <c r="I94" s="136">
        <f>'LCI_AD-b'!$E47*'IW+_end'!E30</f>
        <v>2.347279525573732</v>
      </c>
      <c r="J94" s="136">
        <f>'LCI_AD-b'!$E47*'IW+_end'!F30</f>
        <v>0.21528368659229899</v>
      </c>
      <c r="K94" s="136">
        <f>'LCI_AD-b'!$E47*'IW+_end'!G30</f>
        <v>9.9654627709092156E-2</v>
      </c>
      <c r="L94" s="136">
        <f>'LCI_AD-b'!$E47*'IW+_end'!H30</f>
        <v>1.2487090588294379E-7</v>
      </c>
      <c r="M94" s="136">
        <f>'LCI_AD-b'!$E47*'IW+_end'!I30</f>
        <v>4.6776960795765779E-6</v>
      </c>
      <c r="N94" s="136">
        <f>'LCI_AD-b'!$E47*'IW+_end'!J30</f>
        <v>4.010056281378213E-6</v>
      </c>
      <c r="O94" s="136">
        <f>'LCI_AD-b'!$E47*'IW+_end'!K30</f>
        <v>7.0074232550538647E-6</v>
      </c>
      <c r="P94" s="136">
        <f>'LCI_AD-b'!$E47*'IW+_end'!L30</f>
        <v>4.647364753178146E-9</v>
      </c>
      <c r="Q94" s="136">
        <f>'LCI_AD-b'!$E47*'IW+_end'!M30</f>
        <v>9.4555771814582354E-8</v>
      </c>
      <c r="R94" s="136">
        <f>'LCI_AD-b'!$E47*'IW+_end'!N30</f>
        <v>0.68319110391043536</v>
      </c>
      <c r="S94" s="136">
        <f>'LCI_AD-b'!$E47*'IW+_end'!O30</f>
        <v>0.79108572912494513</v>
      </c>
      <c r="T94" s="136">
        <f>'LCI_AD-b'!$E47*'IW+_end'!P30</f>
        <v>1.7311842555061387</v>
      </c>
      <c r="U94" s="136">
        <f>'LCI_AD-b'!$E47*'IW+_end'!Q30</f>
        <v>0.18792389567089296</v>
      </c>
      <c r="V94" s="136">
        <f>'LCI_AD-b'!$E47*'IW+_end'!R30</f>
        <v>7.2378894888969916E-6</v>
      </c>
      <c r="W94" s="136">
        <f>'LCI_AD-b'!$E47*'IW+_end'!S30</f>
        <v>9.6042670598147937E-6</v>
      </c>
      <c r="X94" s="136">
        <f>'LCI_AD-b'!$E47*'IW+_end'!T30</f>
        <v>1.4409461353569341E-2</v>
      </c>
      <c r="Y94" s="136">
        <f>'LCI_AD-b'!$E47*'IW+_end'!U30</f>
        <v>3.8240695044543504E-10</v>
      </c>
      <c r="Z94" s="136">
        <f>'LCI_AD-b'!$E47*'IW+_end'!V30</f>
        <v>3.609107449754222E-5</v>
      </c>
      <c r="AA94" s="136">
        <f>'LCI_AD-b'!$E47*'IW+_end'!W30</f>
        <v>0.2759231696078262</v>
      </c>
      <c r="AB94" s="136">
        <f>'LCI_AD-b'!$E47*'IW+_end'!X30</f>
        <v>2.760851131788039E-8</v>
      </c>
      <c r="AC94" s="136">
        <f>'LCI_AD-b'!$E47*'IW+_end'!Y30</f>
        <v>2.7332398205521895</v>
      </c>
      <c r="AD94" s="136">
        <f>'LCI_AD-b'!$E47*'IW+_end'!Z30</f>
        <v>0.26418664521688578</v>
      </c>
      <c r="AE94" s="136">
        <f>'LCI_AD-b'!$E47*'IW+_end'!AA30</f>
        <v>0.35055574768324005</v>
      </c>
      <c r="AF94" s="136">
        <f>'LCI_AD-b'!$E47*'IW+_end'!AB30</f>
        <v>3.8648651017407915E-3</v>
      </c>
      <c r="AG94" s="136">
        <f>'LCI_AD-b'!$E47*'IW+_end'!AC30</f>
        <v>10.149701616346078</v>
      </c>
      <c r="AH94" s="136">
        <f>'LCI_AD-b'!$E47*'IW+_end'!AD30</f>
        <v>8.0953245490084989E-5</v>
      </c>
      <c r="AI94" s="136">
        <f>'LCI_AD-b'!$E47*'IW+_end'!AE30</f>
        <v>2.3676937744412029E-4</v>
      </c>
      <c r="AJ94" s="136">
        <f>'LCI_AD-b'!$E47*'IW+_end'!AF30</f>
        <v>2.8919577780568251E-5</v>
      </c>
      <c r="AK94" s="136">
        <f>'LCI_AD-b'!$E47*'IW+_end'!AG30</f>
        <v>3.4323692005919135E-3</v>
      </c>
    </row>
    <row r="95" spans="1:37" x14ac:dyDescent="0.35">
      <c r="A95" s="136"/>
      <c r="B95" s="136" t="s">
        <v>229</v>
      </c>
      <c r="C95" s="136" t="e">
        <f>'LCI_AD-b'!$E48*'IW+_end'!#REF!</f>
        <v>#REF!</v>
      </c>
      <c r="D95" s="136" t="e">
        <f>'LCI_AD-b'!$E48*'IW+_end'!#REF!</f>
        <v>#REF!</v>
      </c>
      <c r="E95" s="136" t="e">
        <f>'LCI_AD-b'!$E48*'IW+_end'!#REF!</f>
        <v>#REF!</v>
      </c>
      <c r="F95" s="136" t="e">
        <f>'LCI_AD-b'!$E48*'IW+_end'!#REF!</f>
        <v>#REF!</v>
      </c>
      <c r="G95" s="136">
        <f>'LCI_AD-b'!$E48*'IW+_end'!C29</f>
        <v>5.8984225801603065E-18</v>
      </c>
      <c r="H95" s="136">
        <f>'LCI_AD-b'!$E48*'IW+_end'!D29</f>
        <v>1.3919100901769588E-2</v>
      </c>
      <c r="I95" s="136">
        <f>'LCI_AD-b'!$E48*'IW+_end'!E29</f>
        <v>0.37633611729107169</v>
      </c>
      <c r="J95" s="136">
        <f>'LCI_AD-b'!$E48*'IW+_end'!F29</f>
        <v>3.9145356876161046E-2</v>
      </c>
      <c r="K95" s="136">
        <f>'LCI_AD-b'!$E48*'IW+_end'!G29</f>
        <v>7.0842026466889346E-5</v>
      </c>
      <c r="L95" s="136">
        <f>'LCI_AD-b'!$E48*'IW+_end'!H29</f>
        <v>1.0451454523115719E-8</v>
      </c>
      <c r="M95" s="136">
        <f>'LCI_AD-b'!$E48*'IW+_end'!I29</f>
        <v>5.2019241486940565E-7</v>
      </c>
      <c r="N95" s="136">
        <f>'LCI_AD-b'!$E48*'IW+_end'!J29</f>
        <v>3.4728979390241437E-7</v>
      </c>
      <c r="O95" s="136">
        <f>'LCI_AD-b'!$E48*'IW+_end'!K29</f>
        <v>3.2299621515802173E-7</v>
      </c>
      <c r="P95" s="136">
        <f>'LCI_AD-b'!$E48*'IW+_end'!L29</f>
        <v>1.2934795009155544E-10</v>
      </c>
      <c r="Q95" s="136">
        <f>'LCI_AD-b'!$E48*'IW+_end'!M29</f>
        <v>2.2469974805631203E-9</v>
      </c>
      <c r="R95" s="136">
        <f>'LCI_AD-b'!$E48*'IW+_end'!N29</f>
        <v>6.7325513010943971E-2</v>
      </c>
      <c r="S95" s="136">
        <f>'LCI_AD-b'!$E48*'IW+_end'!O29</f>
        <v>0.12419396493422681</v>
      </c>
      <c r="T95" s="136">
        <f>'LCI_AD-b'!$E48*'IW+_end'!P29</f>
        <v>0.25991560017352355</v>
      </c>
      <c r="U95" s="136">
        <f>'LCI_AD-b'!$E48*'IW+_end'!Q29</f>
        <v>2.8214357630633503E-2</v>
      </c>
      <c r="V95" s="136">
        <f>'LCI_AD-b'!$E48*'IW+_end'!R29</f>
        <v>6.4348682745705372E-7</v>
      </c>
      <c r="W95" s="136">
        <f>'LCI_AD-b'!$E48*'IW+_end'!S29</f>
        <v>8.0550034014492408E-7</v>
      </c>
      <c r="X95" s="136">
        <f>'LCI_AD-b'!$E48*'IW+_end'!T29</f>
        <v>2.2776064517151364E-3</v>
      </c>
      <c r="Y95" s="136">
        <f>'LCI_AD-b'!$E48*'IW+_end'!U29</f>
        <v>7.6771583843573354E-11</v>
      </c>
      <c r="Z95" s="136">
        <f>'LCI_AD-b'!$E48*'IW+_end'!V29</f>
        <v>1.2785913045947378E-6</v>
      </c>
      <c r="AA95" s="136">
        <f>'LCI_AD-b'!$E48*'IW+_end'!W29</f>
        <v>6.1578266831267714E-2</v>
      </c>
      <c r="AB95" s="136">
        <f>'LCI_AD-b'!$E48*'IW+_end'!X29</f>
        <v>6.1240972441714326E-9</v>
      </c>
      <c r="AC95" s="136">
        <f>'LCI_AD-b'!$E48*'IW+_end'!Y29</f>
        <v>9.594575730073783E-2</v>
      </c>
      <c r="AD95" s="136">
        <f>'LCI_AD-b'!$E48*'IW+_end'!Z29</f>
        <v>2.3487396568850575E-2</v>
      </c>
      <c r="AE95" s="136">
        <f>'LCI_AD-b'!$E48*'IW+_end'!AA29</f>
        <v>2.940076241528972E-2</v>
      </c>
      <c r="AF95" s="136">
        <f>'LCI_AD-b'!$E48*'IW+_end'!AB29</f>
        <v>1.446571550515878E-4</v>
      </c>
      <c r="AG95" s="136">
        <f>'LCI_AD-b'!$E48*'IW+_end'!AC29</f>
        <v>1.1220079045078466</v>
      </c>
      <c r="AH95" s="136">
        <f>'LCI_AD-b'!$E48*'IW+_end'!AD29</f>
        <v>3.3628575678862425E-6</v>
      </c>
      <c r="AI95" s="136">
        <f>'LCI_AD-b'!$E48*'IW+_end'!AE29</f>
        <v>7.1628573362001402E-6</v>
      </c>
      <c r="AJ95" s="136">
        <f>'LCI_AD-b'!$E48*'IW+_end'!AF29</f>
        <v>8.7488851852996961E-7</v>
      </c>
      <c r="AK95" s="136">
        <f>'LCI_AD-b'!$E48*'IW+_end'!AG29</f>
        <v>4.3992966285190678E-5</v>
      </c>
    </row>
    <row r="96" spans="1:37" x14ac:dyDescent="0.35">
      <c r="A96" s="136"/>
      <c r="B96" s="136" t="s">
        <v>231</v>
      </c>
      <c r="C96" s="136" t="e">
        <f>'LCI_AD-b'!$E49*'IW+_end'!#REF!</f>
        <v>#REF!</v>
      </c>
      <c r="D96" s="136" t="e">
        <f>'LCI_AD-b'!$E49*'IW+_end'!#REF!</f>
        <v>#REF!</v>
      </c>
      <c r="E96" s="136" t="e">
        <f>'LCI_AD-b'!$E49*'IW+_end'!#REF!</f>
        <v>#REF!</v>
      </c>
      <c r="F96" s="136" t="e">
        <f>'LCI_AD-b'!$E49*'IW+_end'!#REF!</f>
        <v>#REF!</v>
      </c>
      <c r="G96" s="136">
        <f>'LCI_AD-b'!$E49*'IW+_end'!C31</f>
        <v>8.1457898661065599E-20</v>
      </c>
      <c r="H96" s="136">
        <f>'LCI_AD-b'!$E49*'IW+_end'!D31</f>
        <v>2.7947844706626931E-3</v>
      </c>
      <c r="I96" s="136">
        <f>'LCI_AD-b'!$E49*'IW+_end'!E31</f>
        <v>3.1795124007554534E-2</v>
      </c>
      <c r="J96" s="136">
        <f>'LCI_AD-b'!$E49*'IW+_end'!F31</f>
        <v>1.3114396793330867E-2</v>
      </c>
      <c r="K96" s="136">
        <f>'LCI_AD-b'!$E49*'IW+_end'!G31</f>
        <v>1.5145212181321595E-5</v>
      </c>
      <c r="L96" s="136">
        <f>'LCI_AD-b'!$E49*'IW+_end'!H31</f>
        <v>1.8046194257053377E-9</v>
      </c>
      <c r="M96" s="136">
        <f>'LCI_AD-b'!$E49*'IW+_end'!I31</f>
        <v>1.3522774057433816E-7</v>
      </c>
      <c r="N96" s="136">
        <f>'LCI_AD-b'!$E49*'IW+_end'!J31</f>
        <v>5.7351689946929055E-8</v>
      </c>
      <c r="O96" s="136">
        <f>'LCI_AD-b'!$E49*'IW+_end'!K31</f>
        <v>4.7974301802652057E-8</v>
      </c>
      <c r="P96" s="136">
        <f>'LCI_AD-b'!$E49*'IW+_end'!L31</f>
        <v>4.2803691151550628E-10</v>
      </c>
      <c r="Q96" s="136">
        <f>'LCI_AD-b'!$E49*'IW+_end'!M31</f>
        <v>5.3904782259855225E-9</v>
      </c>
      <c r="R96" s="136">
        <f>'LCI_AD-b'!$E49*'IW+_end'!N31</f>
        <v>3.1847998338193517E-2</v>
      </c>
      <c r="S96" s="136">
        <f>'LCI_AD-b'!$E49*'IW+_end'!O31</f>
        <v>0.16515385389127402</v>
      </c>
      <c r="T96" s="136">
        <f>'LCI_AD-b'!$E49*'IW+_end'!P31</f>
        <v>4.6031038700293028E-2</v>
      </c>
      <c r="U96" s="136">
        <f>'LCI_AD-b'!$E49*'IW+_end'!Q31</f>
        <v>4.9967511374200708E-3</v>
      </c>
      <c r="V96" s="136">
        <f>'LCI_AD-b'!$E49*'IW+_end'!R31</f>
        <v>1.1553717950483539E-7</v>
      </c>
      <c r="W96" s="136">
        <f>'LCI_AD-b'!$E49*'IW+_end'!S31</f>
        <v>7.7120440715916072E-8</v>
      </c>
      <c r="X96" s="136">
        <f>'LCI_AD-b'!$E49*'IW+_end'!T31</f>
        <v>6.120645519963275E-4</v>
      </c>
      <c r="Y96" s="136">
        <f>'LCI_AD-b'!$E49*'IW+_end'!U31</f>
        <v>8.2175059096729643E-12</v>
      </c>
      <c r="Z96" s="136">
        <f>'LCI_AD-b'!$E49*'IW+_end'!V31</f>
        <v>2.9239959527641391E-7</v>
      </c>
      <c r="AA96" s="136">
        <f>'LCI_AD-b'!$E49*'IW+_end'!W31</f>
        <v>1.8192996779070089E-2</v>
      </c>
      <c r="AB96" s="136">
        <f>'LCI_AD-b'!$E49*'IW+_end'!X31</f>
        <v>1.8421443597325574E-9</v>
      </c>
      <c r="AC96" s="136">
        <f>'LCI_AD-b'!$E49*'IW+_end'!Y31</f>
        <v>2.0293107260668877E-2</v>
      </c>
      <c r="AD96" s="136">
        <f>'LCI_AD-b'!$E49*'IW+_end'!Z31</f>
        <v>4.2171638593456887E-3</v>
      </c>
      <c r="AE96" s="136">
        <f>'LCI_AD-b'!$E49*'IW+_end'!AA31</f>
        <v>2.8148960861309365E-3</v>
      </c>
      <c r="AF96" s="136">
        <f>'LCI_AD-b'!$E49*'IW+_end'!AB31</f>
        <v>3.3085214818995317E-4</v>
      </c>
      <c r="AG96" s="136">
        <f>'LCI_AD-b'!$E49*'IW+_end'!AC31</f>
        <v>0.34841973792362657</v>
      </c>
      <c r="AH96" s="136">
        <f>'LCI_AD-b'!$E49*'IW+_end'!AD31</f>
        <v>1.8616461327012037E-6</v>
      </c>
      <c r="AI96" s="136">
        <f>'LCI_AD-b'!$E49*'IW+_end'!AE31</f>
        <v>1.0804171583360054E-5</v>
      </c>
      <c r="AJ96" s="136">
        <f>'LCI_AD-b'!$E49*'IW+_end'!AF31</f>
        <v>1.3196473455835372E-6</v>
      </c>
      <c r="AK96" s="136">
        <f>'LCI_AD-b'!$E49*'IW+_end'!AG31</f>
        <v>6.1985674300741433E-3</v>
      </c>
    </row>
    <row r="97" spans="1:37" x14ac:dyDescent="0.35">
      <c r="A97" s="136"/>
      <c r="B97" s="136" t="s">
        <v>423</v>
      </c>
      <c r="C97" s="136" t="e">
        <f>'LCIA_AD-a'!C78</f>
        <v>#REF!</v>
      </c>
      <c r="D97" s="136" t="e">
        <f>'LCIA_AD-a'!D78</f>
        <v>#REF!</v>
      </c>
      <c r="E97" s="136" t="e">
        <f>'LCIA_AD-a'!E78</f>
        <v>#REF!</v>
      </c>
      <c r="F97" s="136" t="e">
        <f>'LCIA_AD-a'!F78</f>
        <v>#REF!</v>
      </c>
      <c r="G97" s="136">
        <f>'LCIA_AD-a'!G78</f>
        <v>3.9673695173877574E-18</v>
      </c>
      <c r="H97" s="136">
        <f>'LCIA_AD-a'!H78</f>
        <v>0.6238370824175532</v>
      </c>
      <c r="I97" s="136">
        <f>'LCIA_AD-a'!I78</f>
        <v>4.1365669496789703</v>
      </c>
      <c r="J97" s="136">
        <f>'LCIA_AD-a'!J78</f>
        <v>2.0252631543595361</v>
      </c>
      <c r="K97" s="136">
        <f>'LCIA_AD-a'!K78</f>
        <v>3.1152090869692628E-3</v>
      </c>
      <c r="L97" s="136">
        <f>'LCIA_AD-a'!L78</f>
        <v>3.2448595735356284E-7</v>
      </c>
      <c r="M97" s="136">
        <f>'LCIA_AD-a'!M78</f>
        <v>9.0034625458115586E-6</v>
      </c>
      <c r="N97" s="136">
        <f>'LCIA_AD-a'!N78</f>
        <v>8.6478447897322669E-6</v>
      </c>
      <c r="O97" s="136">
        <f>'LCIA_AD-a'!O78</f>
        <v>4.7770483376190579E-6</v>
      </c>
      <c r="P97" s="136">
        <f>'LCIA_AD-a'!P78</f>
        <v>2.5015931046411975E-9</v>
      </c>
      <c r="Q97" s="136">
        <f>'LCIA_AD-a'!Q78</f>
        <v>4.7010917339658551E-8</v>
      </c>
      <c r="R97" s="136">
        <f>'LCIA_AD-a'!R78</f>
        <v>0.26251724143939015</v>
      </c>
      <c r="S97" s="136">
        <f>'LCIA_AD-a'!S78</f>
        <v>2.1515011718787056</v>
      </c>
      <c r="T97" s="136">
        <f>'LCIA_AD-a'!T78</f>
        <v>28.68629001170623</v>
      </c>
      <c r="U97" s="136">
        <f>'LCIA_AD-a'!U78</f>
        <v>3.1139692488580235</v>
      </c>
      <c r="V97" s="136">
        <f>'LCIA_AD-a'!V78</f>
        <v>4.2289696907459561E-6</v>
      </c>
      <c r="W97" s="136">
        <f>'LCIA_AD-a'!W78</f>
        <v>3.8397116961518526E-6</v>
      </c>
      <c r="X97" s="136">
        <f>'LCIA_AD-a'!X78</f>
        <v>0.1196013427043396</v>
      </c>
      <c r="Y97" s="136">
        <f>'LCIA_AD-a'!Y78</f>
        <v>6.4525463139700086E-9</v>
      </c>
      <c r="Z97" s="136">
        <f>'LCIA_AD-a'!Z78</f>
        <v>3.6104827515428799E-5</v>
      </c>
      <c r="AA97" s="136">
        <f>'LCIA_AD-a'!AA78</f>
        <v>2.0236362875930318</v>
      </c>
      <c r="AB97" s="136">
        <f>'LCIA_AD-a'!AB78</f>
        <v>1.8097229525607338E-7</v>
      </c>
      <c r="AC97" s="136">
        <f>'LCIA_AD-a'!AC78</f>
        <v>3.9862288094108491</v>
      </c>
      <c r="AD97" s="136">
        <f>'LCIA_AD-a'!AD78</f>
        <v>0.15437581603743655</v>
      </c>
      <c r="AE97" s="136">
        <f>'LCIA_AD-a'!AE78</f>
        <v>0.14014947690954263</v>
      </c>
      <c r="AF97" s="136">
        <f>'LCIA_AD-a'!AF78</f>
        <v>2.2461447721529837E-3</v>
      </c>
      <c r="AG97" s="136">
        <f>'LCIA_AD-a'!AG78</f>
        <v>47.429851259571443</v>
      </c>
      <c r="AH97" s="136">
        <f>'LCIA_AD-a'!AH78</f>
        <v>6.4404849186924177E-5</v>
      </c>
      <c r="AI97" s="136">
        <f>'LCIA_AD-a'!AI78</f>
        <v>4.3496318159612132E-5</v>
      </c>
      <c r="AJ97" s="136">
        <f>'LCIA_AD-a'!AJ78</f>
        <v>5.3127442820692258E-6</v>
      </c>
      <c r="AK97" s="136">
        <f>'LCIA_AD-a'!AK78</f>
        <v>5.0174521756887942E-4</v>
      </c>
    </row>
    <row r="98" spans="1:37" x14ac:dyDescent="0.35">
      <c r="A98" s="136"/>
      <c r="B98" s="136" t="s">
        <v>424</v>
      </c>
      <c r="C98" s="136" t="e">
        <f>'LCIA_AD-a'!C79</f>
        <v>#REF!</v>
      </c>
      <c r="D98" s="136" t="e">
        <f>'LCIA_AD-a'!D79</f>
        <v>#REF!</v>
      </c>
      <c r="E98" s="136" t="e">
        <f>'LCIA_AD-a'!E79</f>
        <v>#REF!</v>
      </c>
      <c r="F98" s="136" t="e">
        <f>'LCIA_AD-a'!F79</f>
        <v>#REF!</v>
      </c>
      <c r="G98" s="136">
        <f>'LCIA_AD-a'!G79</f>
        <v>0</v>
      </c>
      <c r="H98" s="136">
        <f>'LCIA_AD-a'!H79</f>
        <v>0.23662550888236969</v>
      </c>
      <c r="I98" s="136">
        <f>'LCIA_AD-a'!I79</f>
        <v>12.108315032840842</v>
      </c>
      <c r="J98" s="136">
        <f>'LCIA_AD-a'!J79</f>
        <v>1.4371636885110552</v>
      </c>
      <c r="K98" s="136">
        <f>'LCIA_AD-a'!K79</f>
        <v>4.0622249555808555E-3</v>
      </c>
      <c r="L98" s="136">
        <f>'LCIA_AD-a'!L79</f>
        <v>5.4461560905384284E-7</v>
      </c>
      <c r="M98" s="136">
        <f>'LCIA_AD-a'!M79</f>
        <v>1.3331364997156277E-5</v>
      </c>
      <c r="N98" s="136">
        <f>'LCIA_AD-a'!N79</f>
        <v>1.8886856784903247E-5</v>
      </c>
      <c r="O98" s="136">
        <f>'LCIA_AD-a'!O79</f>
        <v>1.9523656823107286E-5</v>
      </c>
      <c r="P98" s="136">
        <f>'LCIA_AD-a'!P79</f>
        <v>1.2614309644171173E-10</v>
      </c>
      <c r="Q98" s="136">
        <f>'LCIA_AD-a'!Q79</f>
        <v>4.285968707308519E-9</v>
      </c>
      <c r="R98" s="136">
        <f>'LCIA_AD-a'!R79</f>
        <v>16.897643739603605</v>
      </c>
      <c r="S98" s="136">
        <f>'LCIA_AD-a'!S79</f>
        <v>1.3516506822084688</v>
      </c>
      <c r="T98" s="136">
        <f>'LCIA_AD-a'!T79</f>
        <v>2.3412449655898837</v>
      </c>
      <c r="U98" s="136">
        <f>'LCIA_AD-a'!U79</f>
        <v>0.25414366108400965</v>
      </c>
      <c r="V98" s="136">
        <f>'LCIA_AD-a'!V79</f>
        <v>6.2321730200749992E-5</v>
      </c>
      <c r="W98" s="136">
        <f>'LCIA_AD-a'!W79</f>
        <v>5.1519230442234284E-5</v>
      </c>
      <c r="X98" s="136">
        <f>'LCIA_AD-a'!X79</f>
        <v>4.6880029269930179E-2</v>
      </c>
      <c r="Y98" s="136">
        <f>'LCIA_AD-a'!Y79</f>
        <v>8.7252377011813012E-10</v>
      </c>
      <c r="Z98" s="136">
        <f>'LCIA_AD-a'!Z79</f>
        <v>3.6459453477387854E-5</v>
      </c>
      <c r="AA98" s="136">
        <f>'LCIA_AD-a'!AA79</f>
        <v>1.0482919183462258</v>
      </c>
      <c r="AB98" s="136">
        <f>'LCIA_AD-a'!AB79</f>
        <v>1.0573497307417912E-7</v>
      </c>
      <c r="AC98" s="136">
        <f>'LCIA_AD-a'!AC79</f>
        <v>1.7895537680917204</v>
      </c>
      <c r="AD98" s="136">
        <f>'LCIA_AD-a'!AD79</f>
        <v>2.2747494855292798</v>
      </c>
      <c r="AE98" s="136">
        <f>'LCIA_AD-a'!AE79</f>
        <v>1.880451911141551</v>
      </c>
      <c r="AF98" s="136">
        <f>'LCIA_AD-a'!AF79</f>
        <v>7.1585660680085388E-3</v>
      </c>
      <c r="AG98" s="136">
        <f>'LCIA_AD-a'!AG79</f>
        <v>41.679429531039659</v>
      </c>
      <c r="AH98" s="136">
        <f>'LCIA_AD-a'!AH79</f>
        <v>9.56915437883427E-5</v>
      </c>
      <c r="AI98" s="136">
        <f>'LCIA_AD-a'!AI79</f>
        <v>5.5956843467069346E-5</v>
      </c>
      <c r="AJ98" s="136">
        <f>'LCIA_AD-a'!AJ79</f>
        <v>6.8347026311825982E-6</v>
      </c>
      <c r="AK98" s="136">
        <f>'LCIA_AD-a'!AK79</f>
        <v>1.3245509868690863E-3</v>
      </c>
    </row>
    <row r="99" spans="1:37" x14ac:dyDescent="0.35">
      <c r="C99" s="40" t="e">
        <f>C55+C86-C92</f>
        <v>#REF!</v>
      </c>
      <c r="D99" s="40" t="e">
        <f t="shared" ref="D99:AK99" si="13">D55+D86-D92</f>
        <v>#REF!</v>
      </c>
      <c r="E99" s="40" t="e">
        <f t="shared" si="13"/>
        <v>#REF!</v>
      </c>
      <c r="F99" s="40" t="e">
        <f t="shared" si="13"/>
        <v>#REF!</v>
      </c>
      <c r="G99" s="40">
        <f t="shared" si="13"/>
        <v>-9.3088603458479884E-17</v>
      </c>
      <c r="H99" s="40">
        <f t="shared" si="13"/>
        <v>-0.69443518305506002</v>
      </c>
      <c r="I99" s="40">
        <f t="shared" si="13"/>
        <v>-15.926207745751977</v>
      </c>
      <c r="J99" s="40">
        <f t="shared" si="13"/>
        <v>-3.6336781423193703</v>
      </c>
      <c r="K99" s="40">
        <f t="shared" si="13"/>
        <v>-0.22094751991533718</v>
      </c>
      <c r="L99" s="40">
        <f t="shared" si="13"/>
        <v>-9.2013941321561046E-7</v>
      </c>
      <c r="M99" s="40">
        <f t="shared" si="13"/>
        <v>-1.9242279288956192E-5</v>
      </c>
      <c r="N99" s="40">
        <f t="shared" si="13"/>
        <v>-2.9766370367810896E-5</v>
      </c>
      <c r="O99" s="40">
        <f t="shared" si="13"/>
        <v>-1.1470434563781719E-5</v>
      </c>
      <c r="P99" s="40">
        <f t="shared" si="13"/>
        <v>7.4963662505802026E-9</v>
      </c>
      <c r="Q99" s="40">
        <f t="shared" si="13"/>
        <v>3.2073029445082576E-7</v>
      </c>
      <c r="R99" s="40">
        <f t="shared" si="13"/>
        <v>-16.615634911339541</v>
      </c>
      <c r="S99" s="40">
        <f t="shared" si="13"/>
        <v>-4.269684803697273</v>
      </c>
      <c r="T99" s="40">
        <f t="shared" si="13"/>
        <v>-37.105505637170282</v>
      </c>
      <c r="U99" s="40">
        <f t="shared" si="13"/>
        <v>-4.0278924586055753</v>
      </c>
      <c r="V99" s="40">
        <f t="shared" si="13"/>
        <v>-6.2466546108705357E-5</v>
      </c>
      <c r="W99" s="40">
        <f t="shared" si="13"/>
        <v>-6.2534911136125106E-5</v>
      </c>
      <c r="X99" s="40">
        <f t="shared" si="13"/>
        <v>5.3273862690684588</v>
      </c>
      <c r="Y99" s="40">
        <f t="shared" si="13"/>
        <v>-7.2412674956978438E-9</v>
      </c>
      <c r="Z99" s="40">
        <f t="shared" si="13"/>
        <v>-3.3239057995636733E-7</v>
      </c>
      <c r="AA99" s="40">
        <f t="shared" si="13"/>
        <v>-2.3222991410740406</v>
      </c>
      <c r="AB99" s="40">
        <f t="shared" si="13"/>
        <v>-2.1073874158369247E-7</v>
      </c>
      <c r="AC99" s="40">
        <f t="shared" si="13"/>
        <v>-1.1036959719930426</v>
      </c>
      <c r="AD99" s="40">
        <f t="shared" si="13"/>
        <v>-2.2800426935098201</v>
      </c>
      <c r="AE99" s="40">
        <f t="shared" si="13"/>
        <v>-2.2825242564685664</v>
      </c>
      <c r="AF99" s="40">
        <f t="shared" si="13"/>
        <v>-6.6116224865320882E-3</v>
      </c>
      <c r="AG99" s="40">
        <f t="shared" si="13"/>
        <v>-85.173709174847033</v>
      </c>
      <c r="AH99" s="40">
        <f t="shared" si="13"/>
        <v>-1.1184831714685595E-4</v>
      </c>
      <c r="AI99" s="40">
        <f t="shared" si="13"/>
        <v>-4.1115498864990646E-4</v>
      </c>
      <c r="AJ99" s="40">
        <f t="shared" si="13"/>
        <v>-5.021945321850659E-5</v>
      </c>
      <c r="AK99" s="40">
        <f t="shared" si="13"/>
        <v>-1.1399207579544325E-2</v>
      </c>
    </row>
  </sheetData>
  <mergeCells count="1">
    <mergeCell ref="A3:G3"/>
  </mergeCells>
  <pageMargins left="0.7" right="0.7" top="0.75" bottom="0.75" header="0.3" footer="0.3"/>
  <pageSetup paperSize="9" orientation="portrait" verticalDpi="597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FE931-3A22-4A6D-A03A-66AB76B91E90}">
  <dimension ref="A3:AK80"/>
  <sheetViews>
    <sheetView topLeftCell="T31" zoomScale="62" zoomScaleNormal="100" workbookViewId="0">
      <selection activeCell="AG45" sqref="AG45"/>
    </sheetView>
  </sheetViews>
  <sheetFormatPr baseColWidth="10" defaultRowHeight="14.5" x14ac:dyDescent="0.35"/>
  <cols>
    <col min="1" max="1" width="12.26953125" bestFit="1" customWidth="1"/>
    <col min="2" max="2" width="20.1796875" bestFit="1" customWidth="1"/>
    <col min="3" max="4" width="11.08984375" bestFit="1" customWidth="1"/>
    <col min="5" max="6" width="12.26953125" bestFit="1" customWidth="1"/>
    <col min="7" max="7" width="11.26953125" bestFit="1" customWidth="1"/>
    <col min="8" max="11" width="11" bestFit="1" customWidth="1"/>
    <col min="12" max="15" width="12.26953125" bestFit="1" customWidth="1"/>
  </cols>
  <sheetData>
    <row r="3" spans="1:7" x14ac:dyDescent="0.35">
      <c r="A3" s="154" t="s">
        <v>420</v>
      </c>
      <c r="B3" s="155"/>
      <c r="C3" s="155"/>
      <c r="D3" s="155"/>
      <c r="E3" s="155"/>
      <c r="F3" s="155"/>
      <c r="G3" s="156"/>
    </row>
    <row r="4" spans="1:7" ht="43.5" x14ac:dyDescent="0.35">
      <c r="A4" s="108" t="s">
        <v>0</v>
      </c>
      <c r="B4" s="108"/>
      <c r="C4" s="108" t="s">
        <v>403</v>
      </c>
      <c r="D4" s="108" t="s">
        <v>404</v>
      </c>
      <c r="E4" s="108" t="s">
        <v>405</v>
      </c>
      <c r="F4" s="108" t="s">
        <v>406</v>
      </c>
      <c r="G4" s="108" t="s">
        <v>407</v>
      </c>
    </row>
    <row r="5" spans="1:7" x14ac:dyDescent="0.35">
      <c r="A5" s="121" t="s">
        <v>6</v>
      </c>
      <c r="B5" s="122"/>
      <c r="C5" s="123">
        <f>SUM(C6,C9,C12,C16,C23)</f>
        <v>166.06528020235362</v>
      </c>
      <c r="D5" s="123">
        <f t="shared" ref="D5:G5" si="0">SUM(D6,D9,D12,D16,D25,D28)</f>
        <v>113.02127048900029</v>
      </c>
      <c r="E5" s="123">
        <f t="shared" si="0"/>
        <v>1685.6231131897757</v>
      </c>
      <c r="F5" s="123">
        <f t="shared" si="0"/>
        <v>8.996278558339912E-4</v>
      </c>
      <c r="G5" s="123">
        <f t="shared" si="0"/>
        <v>34.395350157877701</v>
      </c>
    </row>
    <row r="6" spans="1:7" x14ac:dyDescent="0.35">
      <c r="A6" s="114" t="s">
        <v>5</v>
      </c>
      <c r="B6" s="113"/>
      <c r="C6" s="114">
        <f>SUM(C7:C8)</f>
        <v>0.77610650091942801</v>
      </c>
      <c r="D6" s="114">
        <f t="shared" ref="D6:G6" si="1">SUM(D7:D8)</f>
        <v>0.11916920601637257</v>
      </c>
      <c r="E6" s="114">
        <f t="shared" si="1"/>
        <v>116.96082759610819</v>
      </c>
      <c r="F6" s="114">
        <f t="shared" si="1"/>
        <v>7.7420482538410759E-7</v>
      </c>
      <c r="G6" s="114">
        <f t="shared" si="1"/>
        <v>1.2592266934323948</v>
      </c>
    </row>
    <row r="7" spans="1:7" x14ac:dyDescent="0.35">
      <c r="A7" s="113"/>
      <c r="B7" s="113" t="s">
        <v>249</v>
      </c>
      <c r="C7" s="113">
        <f>'LCI_AD-c'!$E4*'IW+f'!C2</f>
        <v>0.77610650091942801</v>
      </c>
      <c r="D7" s="113">
        <f>'LCI_AD-c'!$E4*'IW+f'!D2</f>
        <v>0.11916920601637257</v>
      </c>
      <c r="E7" s="113">
        <f>'LCI_AD-c'!$E4*'IW+f'!E2</f>
        <v>116.96082759610819</v>
      </c>
      <c r="F7" s="113">
        <f>'LCI_AD-c'!$E4*'IW+f'!F2</f>
        <v>7.7420482538410759E-7</v>
      </c>
      <c r="G7" s="113">
        <f>'LCI_AD-c'!$E4*'IW+f'!G2</f>
        <v>1.2592266934323948</v>
      </c>
    </row>
    <row r="8" spans="1:7" x14ac:dyDescent="0.35">
      <c r="A8" s="113"/>
      <c r="B8" s="113" t="s">
        <v>250</v>
      </c>
      <c r="C8" s="113">
        <f>'LCI_AD-c'!$E5*'IW+f'!C3</f>
        <v>0</v>
      </c>
      <c r="D8" s="113">
        <f>'LCI_AD-c'!$E5*'IW+f'!D3</f>
        <v>0</v>
      </c>
      <c r="E8" s="113">
        <f>'LCI_AD-c'!$E5*'IW+f'!E3</f>
        <v>0</v>
      </c>
      <c r="F8" s="113">
        <f>'LCI_AD-c'!$E5*'IW+f'!F3</f>
        <v>0</v>
      </c>
      <c r="G8" s="113">
        <f>'LCI_AD-c'!$E5*'IW+f'!G3</f>
        <v>0</v>
      </c>
    </row>
    <row r="9" spans="1:7" x14ac:dyDescent="0.35">
      <c r="A9" s="112" t="s">
        <v>235</v>
      </c>
      <c r="B9" s="113"/>
      <c r="C9" s="111">
        <f>SUM(C10:C11)</f>
        <v>9.4912725301666416</v>
      </c>
      <c r="D9" s="111">
        <f t="shared" ref="D9:G9" si="2">SUM(D10:D11)</f>
        <v>1.776054546690981</v>
      </c>
      <c r="E9" s="111">
        <f t="shared" si="2"/>
        <v>70.109593887244714</v>
      </c>
      <c r="F9" s="111">
        <f t="shared" si="2"/>
        <v>3.9183035816743554E-5</v>
      </c>
      <c r="G9" s="111">
        <f t="shared" si="2"/>
        <v>10.018540305643455</v>
      </c>
    </row>
    <row r="10" spans="1:7" x14ac:dyDescent="0.35">
      <c r="A10" s="113"/>
      <c r="B10" s="113" t="s">
        <v>286</v>
      </c>
      <c r="C10" s="115">
        <f>'LCI_AD-c'!$E7*'IW+f'!C4</f>
        <v>0.43472978582596905</v>
      </c>
      <c r="D10" s="115">
        <f>'LCI_AD-c'!$E7*'IW+f'!D4</f>
        <v>6.359420180299287E-2</v>
      </c>
      <c r="E10" s="115">
        <f>'LCI_AD-c'!$E7*'IW+f'!E4</f>
        <v>6.5761119524385903</v>
      </c>
      <c r="F10" s="115">
        <f>'LCI_AD-c'!$E7*'IW+f'!F4</f>
        <v>3.4579966311397133E-7</v>
      </c>
      <c r="G10" s="115">
        <f>'LCI_AD-c'!$E7*'IW+f'!G4</f>
        <v>3.9223403259142219E-2</v>
      </c>
    </row>
    <row r="11" spans="1:7" x14ac:dyDescent="0.35">
      <c r="A11" s="113"/>
      <c r="B11" s="113" t="s">
        <v>235</v>
      </c>
      <c r="C11" s="113">
        <f>'LCI_AD-c'!$E8*'IW+f'!C5</f>
        <v>9.056542744340673</v>
      </c>
      <c r="D11" s="113">
        <f>'LCI_AD-c'!$E8*'IW+f'!D5</f>
        <v>1.712460344887988</v>
      </c>
      <c r="E11" s="113">
        <f>'LCI_AD-c'!$E8*'IW+f'!E5</f>
        <v>63.533481934806119</v>
      </c>
      <c r="F11" s="113">
        <f>'LCI_AD-c'!$E8*'IW+f'!F5</f>
        <v>3.8837236153629584E-5</v>
      </c>
      <c r="G11" s="113">
        <f>'LCI_AD-c'!$E8*'IW+f'!G5</f>
        <v>9.9793169023843138</v>
      </c>
    </row>
    <row r="12" spans="1:7" x14ac:dyDescent="0.35">
      <c r="A12" s="112" t="s">
        <v>6</v>
      </c>
      <c r="B12" s="113"/>
      <c r="C12" s="114">
        <f>SUM(C13:C15)</f>
        <v>52.2487117086675</v>
      </c>
      <c r="D12" s="114">
        <f t="shared" ref="D12:G12" si="3">SUM(D13:D15)</f>
        <v>2.7873234481033835</v>
      </c>
      <c r="E12" s="114">
        <f t="shared" si="3"/>
        <v>416.86802336275355</v>
      </c>
      <c r="F12" s="114">
        <f t="shared" si="3"/>
        <v>4.5598347798669536E-5</v>
      </c>
      <c r="G12" s="114">
        <f t="shared" si="3"/>
        <v>4.3060093715788508</v>
      </c>
    </row>
    <row r="13" spans="1:7" x14ac:dyDescent="0.35">
      <c r="A13" s="113"/>
      <c r="B13" s="113" t="s">
        <v>8</v>
      </c>
      <c r="C13" s="113">
        <f>'LCI_AD-c'!$E10*'IW+f'!C2</f>
        <v>1.7365188542616061</v>
      </c>
      <c r="D13" s="113">
        <f>'LCI_AD-c'!$E10*'IW+f'!D2</f>
        <v>0.26663811326108211</v>
      </c>
      <c r="E13" s="113">
        <f>'LCI_AD-c'!$E10*'IW+f'!E2</f>
        <v>261.69692186584126</v>
      </c>
      <c r="F13" s="113">
        <f>'LCI_AD-c'!$E10*'IW+f'!F2</f>
        <v>1.7322639028884893E-6</v>
      </c>
      <c r="G13" s="113">
        <f>'LCI_AD-c'!$E10*'IW+f'!G2</f>
        <v>2.8174881828001381</v>
      </c>
    </row>
    <row r="14" spans="1:7" x14ac:dyDescent="0.35">
      <c r="A14" s="113"/>
      <c r="B14" s="113" t="s">
        <v>18</v>
      </c>
      <c r="C14" s="113">
        <f>'LCI_AD-c'!$E11*'IW+f'!C11</f>
        <v>9.6923673180164887</v>
      </c>
      <c r="D14" s="113">
        <f>'LCI_AD-c'!$E11*'IW+f'!D11</f>
        <v>2.5206853348423013</v>
      </c>
      <c r="E14" s="113">
        <f>'LCI_AD-c'!$E11*'IW+f'!E11</f>
        <v>155.17110149691229</v>
      </c>
      <c r="F14" s="113">
        <f>'LCI_AD-c'!$E11*'IW+f'!F11</f>
        <v>4.3866083895781045E-5</v>
      </c>
      <c r="G14" s="113">
        <f>'LCI_AD-c'!$E11*'IW+f'!G11</f>
        <v>1.4885211887787131</v>
      </c>
    </row>
    <row r="15" spans="1:7" x14ac:dyDescent="0.35">
      <c r="A15" s="113"/>
      <c r="B15" s="113" t="s">
        <v>96</v>
      </c>
      <c r="C15" s="113">
        <f>'LCI_AD-c'!$E12*'IW+f'!C12</f>
        <v>40.819825536389409</v>
      </c>
      <c r="D15" s="113">
        <f>'LCI_AD-c'!$E12*'IW+f'!D12</f>
        <v>0</v>
      </c>
      <c r="E15" s="113">
        <f>'LCI_AD-c'!$E12*'IW+f'!E12</f>
        <v>0</v>
      </c>
      <c r="F15" s="113">
        <f>'LCI_AD-c'!$E12*'IW+f'!F12</f>
        <v>0</v>
      </c>
      <c r="G15" s="113">
        <f>'LCI_AD-c'!$E12*'IW+f'!G12</f>
        <v>0</v>
      </c>
    </row>
    <row r="16" spans="1:7" x14ac:dyDescent="0.35">
      <c r="A16" s="112" t="s">
        <v>126</v>
      </c>
      <c r="B16" s="113"/>
      <c r="C16" s="114">
        <f>SUM(C17:C22)</f>
        <v>67.422191608555664</v>
      </c>
      <c r="D16" s="114">
        <f t="shared" ref="D16:G16" si="4">SUM(D17:D22)</f>
        <v>3.7790661744926783</v>
      </c>
      <c r="E16" s="114">
        <f t="shared" si="4"/>
        <v>1081.6846683436693</v>
      </c>
      <c r="F16" s="114">
        <f t="shared" si="4"/>
        <v>4.6055861501803745E-5</v>
      </c>
      <c r="G16" s="114">
        <f t="shared" si="4"/>
        <v>18.811573787222997</v>
      </c>
    </row>
    <row r="17" spans="1:7" x14ac:dyDescent="0.35">
      <c r="A17" s="113"/>
      <c r="B17" s="131" t="s">
        <v>96</v>
      </c>
      <c r="C17" s="113">
        <f>'LCI_AD-c'!$E17*'IW+f'!C12</f>
        <v>46.976727533527409</v>
      </c>
      <c r="D17" s="113">
        <f>'LCI_AD-c'!$E17*'IW+f'!D12</f>
        <v>0</v>
      </c>
      <c r="E17" s="113">
        <f>'LCI_AD-c'!$E17*'IW+f'!E12</f>
        <v>0</v>
      </c>
      <c r="F17" s="113">
        <f>'LCI_AD-c'!$E17*'IW+f'!F12</f>
        <v>0</v>
      </c>
      <c r="G17" s="113">
        <f>'LCI_AD-c'!$E17*'IW+f'!G12</f>
        <v>0</v>
      </c>
    </row>
    <row r="18" spans="1:7" x14ac:dyDescent="0.35">
      <c r="A18" s="113"/>
      <c r="B18" s="131" t="s">
        <v>141</v>
      </c>
      <c r="C18" s="116">
        <f>'LCI_AD-c'!$E18*'IW+f'!C24</f>
        <v>0</v>
      </c>
      <c r="D18" s="116">
        <f>'LCI_AD-c'!$E18*'IW+f'!D24</f>
        <v>0</v>
      </c>
      <c r="E18" s="116">
        <f>'LCI_AD-c'!$E18*'IW+f'!E24</f>
        <v>0</v>
      </c>
      <c r="F18" s="116">
        <f>'LCI_AD-c'!$E18*'IW+f'!F24</f>
        <v>0</v>
      </c>
      <c r="G18" s="116">
        <f>'LCI_AD-c'!$E18*'IW+f'!G24</f>
        <v>0</v>
      </c>
    </row>
    <row r="19" spans="1:7" x14ac:dyDescent="0.35">
      <c r="A19" s="113"/>
      <c r="B19" s="131" t="s">
        <v>142</v>
      </c>
      <c r="C19" s="116">
        <f>'LCI_AD-c'!$E19*'IW+f'!C19</f>
        <v>0</v>
      </c>
      <c r="D19" s="116">
        <f>'LCI_AD-c'!$E19*'IW+f'!D19</f>
        <v>2.4586879870811568E-2</v>
      </c>
      <c r="E19" s="116">
        <f>'LCI_AD-c'!$E19*'IW+f'!E19</f>
        <v>0</v>
      </c>
      <c r="F19" s="116">
        <f>'LCI_AD-c'!$E19*'IW+f'!F19</f>
        <v>1.3714821006997321E-7</v>
      </c>
      <c r="G19" s="116">
        <f>'LCI_AD-c'!$E19*'IW+f'!G19</f>
        <v>0</v>
      </c>
    </row>
    <row r="20" spans="1:7" x14ac:dyDescent="0.35">
      <c r="A20" s="113"/>
      <c r="B20" s="131" t="s">
        <v>8</v>
      </c>
      <c r="C20" s="113">
        <f>'LCI_AD-c'!$E20*'IW+f'!C2</f>
        <v>5.9160582417096848</v>
      </c>
      <c r="D20" s="113">
        <f>'LCI_AD-c'!$E20*'IW+f'!D2</f>
        <v>0.90839590001624215</v>
      </c>
      <c r="E20" s="113">
        <f>'LCI_AD-c'!$E20*'IW+f'!E2</f>
        <v>891.56200500500165</v>
      </c>
      <c r="F20" s="113">
        <f>'LCI_AD-c'!$E20*'IW+f'!F2</f>
        <v>5.9015622631159448E-6</v>
      </c>
      <c r="G20" s="113">
        <f>'LCI_AD-c'!$E20*'IW+f'!G2</f>
        <v>9.5987579656093427</v>
      </c>
    </row>
    <row r="21" spans="1:7" x14ac:dyDescent="0.35">
      <c r="A21" s="113"/>
      <c r="B21" s="131" t="s">
        <v>127</v>
      </c>
      <c r="C21" s="116">
        <f>'LCI_AD-c'!$E21*'IW+f'!C32</f>
        <v>0.66406480235916754</v>
      </c>
      <c r="D21" s="116">
        <f>'LCI_AD-c'!$E21*'IW+f'!D32</f>
        <v>0.1141432485813005</v>
      </c>
      <c r="E21" s="116">
        <f>'LCI_AD-c'!$E21*'IW+f'!E32</f>
        <v>8.3706898499265812</v>
      </c>
      <c r="F21" s="116">
        <f>'LCI_AD-c'!$E21*'IW+f'!F32</f>
        <v>9.7423405936760903E-7</v>
      </c>
      <c r="G21" s="116">
        <f>'LCI_AD-c'!$E21*'IW+f'!G32</f>
        <v>8.3275453035152963E-2</v>
      </c>
    </row>
    <row r="22" spans="1:7" x14ac:dyDescent="0.35">
      <c r="A22" s="113"/>
      <c r="B22" s="131" t="s">
        <v>134</v>
      </c>
      <c r="C22" s="116">
        <f>'LCI_AD-c'!$E22*'IW+f'!C33</f>
        <v>13.865341030959407</v>
      </c>
      <c r="D22" s="116">
        <f>'LCI_AD-c'!$E22*'IW+f'!D33</f>
        <v>2.731940146024324</v>
      </c>
      <c r="E22" s="116">
        <f>'LCI_AD-c'!$E22*'IW+f'!E33</f>
        <v>181.7519734887409</v>
      </c>
      <c r="F22" s="116">
        <f>'LCI_AD-c'!$E22*'IW+f'!F33</f>
        <v>3.9042916969250215E-5</v>
      </c>
      <c r="G22" s="116">
        <f>'LCI_AD-c'!$E22*'IW+f'!G33</f>
        <v>9.1295403685785033</v>
      </c>
    </row>
    <row r="23" spans="1:7" x14ac:dyDescent="0.35">
      <c r="A23" s="114" t="s">
        <v>100</v>
      </c>
      <c r="B23" s="113"/>
      <c r="C23" s="114">
        <f>C24</f>
        <v>36.12699785404439</v>
      </c>
      <c r="D23" s="114">
        <f t="shared" ref="D23:G23" si="5">D24</f>
        <v>0</v>
      </c>
      <c r="E23" s="114">
        <f t="shared" si="5"/>
        <v>0</v>
      </c>
      <c r="F23" s="114">
        <f t="shared" si="5"/>
        <v>0</v>
      </c>
      <c r="G23" s="114">
        <f t="shared" si="5"/>
        <v>0</v>
      </c>
    </row>
    <row r="24" spans="1:7" x14ac:dyDescent="0.35">
      <c r="A24" s="113"/>
      <c r="B24" s="113" t="s">
        <v>96</v>
      </c>
      <c r="C24" s="113">
        <f>'LCI_AD-c'!$E25*'IW+f'!C12</f>
        <v>36.12699785404439</v>
      </c>
      <c r="D24" s="113">
        <f>'LCI_AD-c'!$E25*'IW+f'!D12</f>
        <v>0</v>
      </c>
      <c r="E24" s="113">
        <f>'LCI_AD-c'!$E25*'IW+f'!E12</f>
        <v>0</v>
      </c>
      <c r="F24" s="113">
        <f>'LCI_AD-c'!$E25*'IW+f'!F12</f>
        <v>0</v>
      </c>
      <c r="G24" s="113">
        <f>'LCI_AD-c'!$E25*'IW+f'!G12</f>
        <v>0</v>
      </c>
    </row>
    <row r="25" spans="1:7" x14ac:dyDescent="0.35">
      <c r="A25" s="112" t="s">
        <v>108</v>
      </c>
      <c r="B25" s="113"/>
      <c r="C25" s="113">
        <f>SUM(C26:C30)</f>
        <v>-96.310982618440732</v>
      </c>
      <c r="D25" s="113">
        <f t="shared" ref="D25:G25" si="6">SUM(D26:D30)</f>
        <v>108.30291146722087</v>
      </c>
      <c r="E25" s="113">
        <f t="shared" si="6"/>
        <v>0</v>
      </c>
      <c r="F25" s="113">
        <f t="shared" si="6"/>
        <v>7.6801640589139021E-4</v>
      </c>
      <c r="G25" s="113">
        <f t="shared" si="6"/>
        <v>0</v>
      </c>
    </row>
    <row r="26" spans="1:7" x14ac:dyDescent="0.35">
      <c r="A26" s="113"/>
      <c r="B26" s="118" t="s">
        <v>111</v>
      </c>
      <c r="C26" s="113">
        <f>'LCI_AD-c'!$E28*'IW+f'!C20</f>
        <v>19.040938704967669</v>
      </c>
      <c r="D26" s="113">
        <f>'LCI_AD-c'!$E28*'IW+f'!D20</f>
        <v>0</v>
      </c>
      <c r="E26" s="113">
        <f>'LCI_AD-c'!$E28*'IW+f'!E20</f>
        <v>0</v>
      </c>
      <c r="F26" s="113">
        <f>'LCI_AD-c'!$E28*'IW+f'!F20</f>
        <v>0</v>
      </c>
      <c r="G26" s="113">
        <f>'LCI_AD-c'!$E28*'IW+f'!G20</f>
        <v>0</v>
      </c>
    </row>
    <row r="27" spans="1:7" x14ac:dyDescent="0.35">
      <c r="A27" s="113"/>
      <c r="B27" s="118" t="s">
        <v>110</v>
      </c>
      <c r="C27" s="113">
        <f>'LCI_AD-c'!$E29*'IW+f'!C18</f>
        <v>0</v>
      </c>
      <c r="D27" s="113">
        <f>'LCI_AD-c'!$E29*'IW+f'!D18</f>
        <v>114.14368322154571</v>
      </c>
      <c r="E27" s="113">
        <f>'LCI_AD-c'!$E29*'IW+f'!E18</f>
        <v>0</v>
      </c>
      <c r="F27" s="113">
        <f>'LCI_AD-c'!$E29*'IW+f'!F18</f>
        <v>7.6801640589139021E-4</v>
      </c>
      <c r="G27" s="113">
        <f>'LCI_AD-c'!$E29*'IW+f'!G18</f>
        <v>0</v>
      </c>
    </row>
    <row r="28" spans="1:7" x14ac:dyDescent="0.35">
      <c r="A28" s="113"/>
      <c r="B28" s="118" t="s">
        <v>114</v>
      </c>
      <c r="C28" s="113">
        <f>'LCI_AD-c'!$E30*'IW+f'!C21</f>
        <v>0</v>
      </c>
      <c r="D28" s="113">
        <f>'LCI_AD-c'!$E30*'IW+f'!D21</f>
        <v>-3.7432543535239895</v>
      </c>
      <c r="E28" s="113">
        <f>'LCI_AD-c'!$E30*'IW+f'!E21</f>
        <v>0</v>
      </c>
      <c r="F28" s="113">
        <f>'LCI_AD-c'!$E30*'IW+f'!F21</f>
        <v>0</v>
      </c>
      <c r="G28" s="113">
        <f>'LCI_AD-c'!$E30*'IW+f'!G21</f>
        <v>0</v>
      </c>
    </row>
    <row r="29" spans="1:7" x14ac:dyDescent="0.35">
      <c r="A29" s="113"/>
      <c r="B29" s="118" t="s">
        <v>414</v>
      </c>
      <c r="C29" s="113">
        <f>'LCI_AD-c'!$E31*'IW+f'!C25</f>
        <v>0</v>
      </c>
      <c r="D29" s="113">
        <f>'LCI_AD-c'!$E31*'IW+f'!D25</f>
        <v>-0.19421069896461307</v>
      </c>
      <c r="E29" s="113">
        <f>'LCI_AD-c'!$E31*'IW+f'!E25</f>
        <v>0</v>
      </c>
      <c r="F29" s="113">
        <f>'LCI_AD-c'!$E31*'IW+f'!F25</f>
        <v>0</v>
      </c>
      <c r="G29" s="113">
        <f>'LCI_AD-c'!$E31*'IW+f'!G25</f>
        <v>0</v>
      </c>
    </row>
    <row r="30" spans="1:7" x14ac:dyDescent="0.35">
      <c r="A30" s="113"/>
      <c r="B30" s="118" t="s">
        <v>415</v>
      </c>
      <c r="C30" s="113">
        <f>'LCI_AD-c'!$E32*'IW+f'!C26</f>
        <v>-115.3519213234084</v>
      </c>
      <c r="D30" s="113">
        <f>'LCI_AD-c'!$E32*'IW+f'!D26</f>
        <v>-1.9033067018362388</v>
      </c>
      <c r="E30" s="113">
        <f>'LCI_AD-c'!$E32*'IW+f'!E26</f>
        <v>0</v>
      </c>
      <c r="F30" s="113">
        <f>'LCI_AD-c'!$E32*'IW+f'!F26</f>
        <v>0</v>
      </c>
      <c r="G30" s="113">
        <f>'LCI_AD-c'!$E32*'IW+f'!G26</f>
        <v>0</v>
      </c>
    </row>
    <row r="31" spans="1:7" x14ac:dyDescent="0.35">
      <c r="A31" s="112" t="s">
        <v>421</v>
      </c>
      <c r="B31" s="113"/>
      <c r="C31" s="114">
        <f>SUM(C32:C36)</f>
        <v>159.58139539500371</v>
      </c>
      <c r="D31" s="114">
        <f t="shared" ref="D31:G31" si="7">SUM(D32:D36)</f>
        <v>29.674004837125175</v>
      </c>
      <c r="E31" s="114">
        <f t="shared" si="7"/>
        <v>8837.3893666433032</v>
      </c>
      <c r="F31" s="114">
        <f t="shared" si="7"/>
        <v>1.4122564925612134E-4</v>
      </c>
      <c r="G31" s="114">
        <f t="shared" si="7"/>
        <v>110.48170163011559</v>
      </c>
    </row>
    <row r="32" spans="1:7" x14ac:dyDescent="0.35">
      <c r="A32" s="113"/>
      <c r="B32" s="113" t="s">
        <v>228</v>
      </c>
      <c r="C32" s="113">
        <f>'LCI_AD-c'!$E34*'IW+f'!C28</f>
        <v>28.411671868671039</v>
      </c>
      <c r="D32" s="113">
        <f>'LCI_AD-c'!$E34*'IW+f'!D28</f>
        <v>3.7699223208212893</v>
      </c>
      <c r="E32" s="113">
        <f>'LCI_AD-c'!$E34*'IW+f'!E28</f>
        <v>417.80642425174938</v>
      </c>
      <c r="F32" s="113">
        <f>'LCI_AD-c'!$E34*'IW+f'!F28</f>
        <v>2.0842491724839379E-5</v>
      </c>
      <c r="G32" s="113">
        <f>'LCI_AD-c'!$E34*'IW+f'!G28</f>
        <v>42.781720834497129</v>
      </c>
    </row>
    <row r="33" spans="1:37" x14ac:dyDescent="0.35">
      <c r="A33" s="113"/>
      <c r="B33" s="113" t="s">
        <v>230</v>
      </c>
      <c r="C33" s="113">
        <f>'LCI_AD-c'!$E35*'IW+f'!C30</f>
        <v>19.578386540205237</v>
      </c>
      <c r="D33" s="113">
        <f>'LCI_AD-c'!$E35*'IW+f'!D30</f>
        <v>9.1248031660091158</v>
      </c>
      <c r="E33" s="113">
        <f>'LCI_AD-c'!$E35*'IW+f'!E30</f>
        <v>343.26966174183377</v>
      </c>
      <c r="F33" s="113">
        <f>'LCI_AD-c'!$E35*'IW+f'!F30</f>
        <v>7.5312485097886082E-5</v>
      </c>
      <c r="G33" s="113">
        <f>'LCI_AD-c'!$E35*'IW+f'!G30</f>
        <v>46.443676689945342</v>
      </c>
    </row>
    <row r="34" spans="1:37" x14ac:dyDescent="0.35">
      <c r="A34" s="113"/>
      <c r="B34" s="113" t="s">
        <v>229</v>
      </c>
      <c r="C34" s="113">
        <f>'LCI_AD-c'!$E36*'IW+f'!C29</f>
        <v>12.348252376149379</v>
      </c>
      <c r="D34" s="113">
        <f>'LCI_AD-c'!$E36*'IW+f'!D29</f>
        <v>3.0053120361765435</v>
      </c>
      <c r="E34" s="113">
        <f>'LCI_AD-c'!$E36*'IW+f'!E29</f>
        <v>200.1993313863338</v>
      </c>
      <c r="F34" s="113">
        <f>'LCI_AD-c'!$E36*'IW+f'!F29</f>
        <v>1.3850635896818876E-5</v>
      </c>
      <c r="G34" s="113">
        <f>'LCI_AD-c'!$E36*'IW+f'!G29</f>
        <v>5.8101606725599693</v>
      </c>
    </row>
    <row r="35" spans="1:37" x14ac:dyDescent="0.35">
      <c r="A35" s="113"/>
      <c r="B35" s="113" t="s">
        <v>231</v>
      </c>
      <c r="C35" s="113">
        <f>'LCI_AD-c'!$E37*'IW+f'!C31</f>
        <v>2.2516101504900958</v>
      </c>
      <c r="D35" s="113">
        <f>'LCI_AD-c'!$E37*'IW+f'!D31</f>
        <v>0.97385909326307918</v>
      </c>
      <c r="E35" s="113">
        <f>'LCI_AD-c'!$E37*'IW+f'!E31</f>
        <v>1587.6138876201587</v>
      </c>
      <c r="F35" s="113">
        <f>'LCI_AD-c'!$E37*'IW+f'!F31</f>
        <v>1.8073801617164658E-6</v>
      </c>
      <c r="G35" s="113">
        <f>'LCI_AD-c'!$E37*'IW+f'!G31</f>
        <v>5.045377782181772</v>
      </c>
    </row>
    <row r="36" spans="1:37" x14ac:dyDescent="0.35">
      <c r="A36" s="113"/>
      <c r="B36" s="113" t="s">
        <v>474</v>
      </c>
      <c r="C36" s="113">
        <f>'LCI_AD-c'!$E38*'IW+f'!C38</f>
        <v>96.991474459487947</v>
      </c>
      <c r="D36" s="113">
        <f>'LCI_AD-c'!$E38*'IW+f'!D38</f>
        <v>12.800108220855149</v>
      </c>
      <c r="E36" s="113">
        <f>'LCI_AD-c'!$E38*'IW+f'!E38</f>
        <v>6288.500061643228</v>
      </c>
      <c r="F36" s="113">
        <f>'LCI_AD-c'!$E38*'IW+f'!F38</f>
        <v>2.941265637486053E-5</v>
      </c>
      <c r="G36" s="113">
        <f>'LCI_AD-c'!$E38*'IW+f'!G38</f>
        <v>10.40076565093138</v>
      </c>
    </row>
    <row r="37" spans="1:37" x14ac:dyDescent="0.35">
      <c r="A37" s="114" t="s">
        <v>488</v>
      </c>
      <c r="B37" s="113"/>
      <c r="C37" s="113"/>
      <c r="D37" s="113"/>
      <c r="E37" s="113"/>
      <c r="F37" s="113"/>
      <c r="G37" s="113"/>
      <c r="H37" s="36" t="s">
        <v>496</v>
      </c>
    </row>
    <row r="38" spans="1:37" x14ac:dyDescent="0.35">
      <c r="A38" s="113"/>
      <c r="B38" s="113" t="s">
        <v>415</v>
      </c>
      <c r="C38" s="113">
        <f>'LCI_AD-c'!E40*'IW+f'!C26</f>
        <v>-260.85437171878948</v>
      </c>
      <c r="D38" s="113"/>
      <c r="E38" s="113"/>
      <c r="F38" s="113"/>
      <c r="G38" s="113"/>
    </row>
    <row r="39" spans="1:37" x14ac:dyDescent="0.35">
      <c r="A39" s="113"/>
      <c r="B39" s="113"/>
      <c r="C39" s="113"/>
      <c r="D39" s="113"/>
      <c r="E39" s="113"/>
      <c r="F39" s="113"/>
      <c r="G39" s="113"/>
    </row>
    <row r="40" spans="1:37" x14ac:dyDescent="0.35">
      <c r="A40" s="114" t="s">
        <v>494</v>
      </c>
      <c r="B40" s="113"/>
      <c r="C40" s="114">
        <f>C5+C25-C31+C38</f>
        <v>-350.6814695298803</v>
      </c>
      <c r="D40" s="114">
        <f t="shared" ref="D40:G40" si="8">D5+D25-D31+D38</f>
        <v>191.65017711909596</v>
      </c>
      <c r="E40" s="114">
        <f t="shared" si="8"/>
        <v>-7151.7662534535275</v>
      </c>
      <c r="F40" s="114">
        <f t="shared" si="8"/>
        <v>1.5264186124692601E-3</v>
      </c>
      <c r="G40" s="114">
        <f t="shared" si="8"/>
        <v>-76.086351472237894</v>
      </c>
    </row>
    <row r="44" spans="1:37" ht="72.5" x14ac:dyDescent="0.35">
      <c r="A44" s="140" t="s">
        <v>0</v>
      </c>
      <c r="B44" s="140"/>
      <c r="C44" s="137" t="s">
        <v>376</v>
      </c>
      <c r="D44" s="137" t="s">
        <v>377</v>
      </c>
      <c r="E44" s="137" t="s">
        <v>378</v>
      </c>
      <c r="F44" s="137" t="s">
        <v>379</v>
      </c>
      <c r="G44" s="137" t="s">
        <v>380</v>
      </c>
      <c r="H44" s="137" t="s">
        <v>361</v>
      </c>
      <c r="I44" s="137" t="s">
        <v>381</v>
      </c>
      <c r="J44" s="137" t="s">
        <v>382</v>
      </c>
      <c r="K44" s="137" t="s">
        <v>363</v>
      </c>
      <c r="L44" s="137" t="s">
        <v>383</v>
      </c>
      <c r="M44" s="137" t="s">
        <v>384</v>
      </c>
      <c r="N44" s="137" t="s">
        <v>385</v>
      </c>
      <c r="O44" s="137" t="s">
        <v>386</v>
      </c>
      <c r="P44" s="137" t="s">
        <v>387</v>
      </c>
      <c r="Q44" s="137" t="s">
        <v>388</v>
      </c>
      <c r="R44" s="137" t="s">
        <v>367</v>
      </c>
      <c r="S44" s="137" t="s">
        <v>368</v>
      </c>
      <c r="T44" s="137" t="s">
        <v>389</v>
      </c>
      <c r="U44" s="137" t="s">
        <v>390</v>
      </c>
      <c r="V44" s="137" t="s">
        <v>391</v>
      </c>
      <c r="W44" s="137" t="s">
        <v>392</v>
      </c>
      <c r="X44" s="137" t="s">
        <v>369</v>
      </c>
      <c r="Y44" s="137" t="s">
        <v>371</v>
      </c>
      <c r="Z44" s="137" t="s">
        <v>372</v>
      </c>
      <c r="AA44" s="137" t="s">
        <v>393</v>
      </c>
      <c r="AB44" s="137" t="s">
        <v>394</v>
      </c>
      <c r="AC44" s="137" t="s">
        <v>374</v>
      </c>
      <c r="AD44" s="137" t="s">
        <v>395</v>
      </c>
      <c r="AE44" s="137" t="s">
        <v>396</v>
      </c>
      <c r="AF44" s="137" t="s">
        <v>397</v>
      </c>
      <c r="AG44" s="137" t="s">
        <v>398</v>
      </c>
      <c r="AH44" s="137" t="s">
        <v>399</v>
      </c>
      <c r="AI44" s="137" t="s">
        <v>400</v>
      </c>
      <c r="AJ44" s="137" t="s">
        <v>401</v>
      </c>
      <c r="AK44" s="137" t="s">
        <v>402</v>
      </c>
    </row>
    <row r="45" spans="1:37" x14ac:dyDescent="0.35">
      <c r="A45" s="141" t="s">
        <v>6</v>
      </c>
      <c r="B45" s="136"/>
      <c r="C45" s="141" t="e">
        <f>SUM(C47:C64)</f>
        <v>#REF!</v>
      </c>
      <c r="D45" s="141" t="e">
        <f t="shared" ref="D45:AK45" si="9">SUM(D47:D64)</f>
        <v>#REF!</v>
      </c>
      <c r="E45" s="141" t="e">
        <f t="shared" si="9"/>
        <v>#REF!</v>
      </c>
      <c r="F45" s="141" t="e">
        <f t="shared" si="9"/>
        <v>#REF!</v>
      </c>
      <c r="G45" s="141">
        <f t="shared" si="9"/>
        <v>6.4718763425138693E-17</v>
      </c>
      <c r="H45" s="141">
        <f t="shared" si="9"/>
        <v>0.31222424012600292</v>
      </c>
      <c r="I45" s="141">
        <f t="shared" si="9"/>
        <v>28.411535192575165</v>
      </c>
      <c r="J45" s="141">
        <f t="shared" si="9"/>
        <v>0.88123223303562681</v>
      </c>
      <c r="K45" s="141">
        <f t="shared" si="9"/>
        <v>7.9751582505311735E-3</v>
      </c>
      <c r="L45" s="141">
        <f t="shared" si="9"/>
        <v>3.2163004336023639E-7</v>
      </c>
      <c r="M45" s="141">
        <f t="shared" si="9"/>
        <v>2.8820429760535107E-5</v>
      </c>
      <c r="N45" s="141">
        <f t="shared" si="9"/>
        <v>8.8521471523120091E-6</v>
      </c>
      <c r="O45" s="141">
        <f t="shared" si="9"/>
        <v>3.0282339783109535E-5</v>
      </c>
      <c r="P45" s="141">
        <f t="shared" si="9"/>
        <v>4.6851287394962393E-8</v>
      </c>
      <c r="Q45" s="141">
        <f t="shared" si="9"/>
        <v>1.4166588778886535E-6</v>
      </c>
      <c r="R45" s="141">
        <f t="shared" si="9"/>
        <v>1.736015027009691</v>
      </c>
      <c r="S45" s="141">
        <f t="shared" si="9"/>
        <v>0.8855643742971242</v>
      </c>
      <c r="T45" s="141">
        <f t="shared" si="9"/>
        <v>5.2823482332423861</v>
      </c>
      <c r="U45" s="141">
        <f t="shared" si="9"/>
        <v>0.57341065859223517</v>
      </c>
      <c r="V45" s="141">
        <f t="shared" si="9"/>
        <v>2.064256510618121E-5</v>
      </c>
      <c r="W45" s="141">
        <f t="shared" si="9"/>
        <v>1.2506636988418281E-5</v>
      </c>
      <c r="X45" s="141">
        <f t="shared" si="9"/>
        <v>7.3462838442849648E-2</v>
      </c>
      <c r="Y45" s="141">
        <f t="shared" si="9"/>
        <v>5.6277182336051739E-9</v>
      </c>
      <c r="Z45" s="141">
        <f t="shared" si="9"/>
        <v>7.0947319795791191E-5</v>
      </c>
      <c r="AA45" s="141">
        <f t="shared" si="9"/>
        <v>1.3689462095158278</v>
      </c>
      <c r="AB45" s="141">
        <f t="shared" si="9"/>
        <v>1.3907400704280634E-7</v>
      </c>
      <c r="AC45" s="141">
        <f t="shared" si="9"/>
        <v>2.1427033755630798</v>
      </c>
      <c r="AD45" s="141">
        <f t="shared" si="9"/>
        <v>0.75380003936004902</v>
      </c>
      <c r="AE45" s="141">
        <f t="shared" si="9"/>
        <v>0.45649225007726724</v>
      </c>
      <c r="AF45" s="141">
        <f t="shared" si="9"/>
        <v>2.3574456904904298E-2</v>
      </c>
      <c r="AG45" s="141">
        <f t="shared" si="9"/>
        <v>42.91120885929692</v>
      </c>
      <c r="AH45" s="141">
        <f t="shared" si="9"/>
        <v>1.7446025582686697E-4</v>
      </c>
      <c r="AI45" s="141">
        <f t="shared" si="9"/>
        <v>2.7570304236494323E-4</v>
      </c>
      <c r="AJ45" s="141">
        <f t="shared" si="9"/>
        <v>3.3675028688593824E-5</v>
      </c>
      <c r="AK45" s="141">
        <f t="shared" si="9"/>
        <v>1.6156732084328632E-3</v>
      </c>
    </row>
    <row r="46" spans="1:37" x14ac:dyDescent="0.35">
      <c r="A46" s="141" t="s">
        <v>5</v>
      </c>
      <c r="B46" s="136"/>
      <c r="C46" s="136"/>
      <c r="D46" s="136"/>
      <c r="E46" s="136"/>
      <c r="F46" s="136"/>
      <c r="G46" s="136"/>
      <c r="H46" s="136"/>
      <c r="I46" s="136"/>
      <c r="J46" s="136"/>
      <c r="K46" s="136"/>
      <c r="L46" s="136"/>
      <c r="M46" s="136"/>
      <c r="N46" s="136"/>
      <c r="O46" s="136"/>
      <c r="P46" s="136"/>
      <c r="Q46" s="136"/>
      <c r="R46" s="136"/>
      <c r="S46" s="136"/>
      <c r="T46" s="136"/>
      <c r="U46" s="136"/>
      <c r="V46" s="136"/>
      <c r="W46" s="136"/>
      <c r="X46" s="136"/>
      <c r="Y46" s="136"/>
      <c r="Z46" s="136"/>
      <c r="AA46" s="136"/>
      <c r="AB46" s="136"/>
      <c r="AC46" s="136"/>
      <c r="AD46" s="136"/>
      <c r="AE46" s="136"/>
      <c r="AF46" s="136"/>
      <c r="AG46" s="136"/>
      <c r="AH46" s="136"/>
      <c r="AI46" s="136"/>
      <c r="AJ46" s="136"/>
      <c r="AK46" s="136"/>
    </row>
    <row r="47" spans="1:37" x14ac:dyDescent="0.35">
      <c r="A47" s="141"/>
      <c r="B47" s="136" t="s">
        <v>249</v>
      </c>
      <c r="C47" s="136" t="e">
        <f>'LCIA_AD-a'!C47</f>
        <v>#REF!</v>
      </c>
      <c r="D47" s="136" t="e">
        <f>'LCIA_AD-a'!D47</f>
        <v>#REF!</v>
      </c>
      <c r="E47" s="136" t="e">
        <f>'LCIA_AD-a'!E47</f>
        <v>#REF!</v>
      </c>
      <c r="F47" s="136" t="e">
        <f>'LCIA_AD-a'!F47</f>
        <v>#REF!</v>
      </c>
      <c r="G47" s="136">
        <f>'LCIA_AD-a'!G47</f>
        <v>9.0040097542142219E-20</v>
      </c>
      <c r="H47" s="136">
        <f>'LCIA_AD-a'!H47</f>
        <v>5.1931114803604956E-3</v>
      </c>
      <c r="I47" s="136">
        <f>'LCIA_AD-a'!I47</f>
        <v>0.24839018720173295</v>
      </c>
      <c r="J47" s="136">
        <f>'LCIA_AD-a'!J47</f>
        <v>1.234083364332369E-2</v>
      </c>
      <c r="K47" s="136">
        <f>'LCIA_AD-a'!K47</f>
        <v>2.1439753416220663E-5</v>
      </c>
      <c r="L47" s="136">
        <f>'LCIA_AD-a'!L47</f>
        <v>8.7015032149142414E-9</v>
      </c>
      <c r="M47" s="136">
        <f>'LCIA_AD-a'!M47</f>
        <v>1.6596905236710246E-7</v>
      </c>
      <c r="N47" s="136">
        <f>'LCIA_AD-a'!N47</f>
        <v>1.9676602640470916E-7</v>
      </c>
      <c r="O47" s="136">
        <f>'LCIA_AD-a'!O47</f>
        <v>1.0474046667854858E-7</v>
      </c>
      <c r="P47" s="136">
        <f>'LCIA_AD-a'!P47</f>
        <v>4.1389310905179983E-9</v>
      </c>
      <c r="Q47" s="136">
        <f>'LCIA_AD-a'!Q47</f>
        <v>1.2763337153218512E-7</v>
      </c>
      <c r="R47" s="136">
        <f>'LCIA_AD-a'!R47</f>
        <v>1.6534106080479432E-2</v>
      </c>
      <c r="S47" s="136">
        <f>'LCIA_AD-a'!S47</f>
        <v>1.1656841267618703E-2</v>
      </c>
      <c r="T47" s="136">
        <f>'LCIA_AD-a'!T47</f>
        <v>0.10249049260823448</v>
      </c>
      <c r="U47" s="136">
        <f>'LCIA_AD-a'!U47</f>
        <v>1.1125576504552512E-2</v>
      </c>
      <c r="V47" s="136">
        <f>'LCIA_AD-a'!V47</f>
        <v>9.6489525909131685E-7</v>
      </c>
      <c r="W47" s="136">
        <f>'LCIA_AD-a'!W47</f>
        <v>2.6554776215088471E-7</v>
      </c>
      <c r="X47" s="136">
        <f>'LCIA_AD-a'!X47</f>
        <v>6.7963986332143073E-4</v>
      </c>
      <c r="Y47" s="136">
        <f>'LCIA_AD-a'!Y47</f>
        <v>4.6233568878889853E-11</v>
      </c>
      <c r="Z47" s="136">
        <f>'LCIA_AD-a'!Z47</f>
        <v>3.7424948947123667E-7</v>
      </c>
      <c r="AA47" s="136">
        <f>'LCIA_AD-a'!AA47</f>
        <v>1.5755418847462184E-2</v>
      </c>
      <c r="AB47" s="136">
        <f>'LCIA_AD-a'!AB47</f>
        <v>1.5662117661554336E-9</v>
      </c>
      <c r="AC47" s="136">
        <f>'LCIA_AD-a'!AC47</f>
        <v>3.4269056902659287E-2</v>
      </c>
      <c r="AD47" s="136">
        <f>'LCIA_AD-a'!AD47</f>
        <v>3.5220034139757453E-2</v>
      </c>
      <c r="AE47" s="136">
        <f>'LCIA_AD-a'!AE47</f>
        <v>9.6924933185072934E-3</v>
      </c>
      <c r="AF47" s="136">
        <f>'LCIA_AD-a'!AF47</f>
        <v>1.9004186679781043E-3</v>
      </c>
      <c r="AG47" s="136">
        <f>'LCIA_AD-a'!AG47</f>
        <v>0.5052956935927394</v>
      </c>
      <c r="AH47" s="136">
        <f>'LCIA_AD-a'!AH47</f>
        <v>2.2125278087823061E-6</v>
      </c>
      <c r="AI47" s="136">
        <f>'LCIA_AD-a'!AI47</f>
        <v>1.0093591977195651E-5</v>
      </c>
      <c r="AJ47" s="136">
        <f>'LCIA_AD-a'!AJ47</f>
        <v>1.2328554537785757E-6</v>
      </c>
      <c r="AK47" s="136">
        <f>'LCIA_AD-a'!AK47</f>
        <v>1.4715139405635514E-5</v>
      </c>
    </row>
    <row r="48" spans="1:37" x14ac:dyDescent="0.35">
      <c r="A48" s="141"/>
      <c r="B48" s="136" t="s">
        <v>250</v>
      </c>
      <c r="C48" s="136" t="e">
        <f>'LCIA_AD-a'!C48</f>
        <v>#REF!</v>
      </c>
      <c r="D48" s="136" t="e">
        <f>'LCIA_AD-a'!D48</f>
        <v>#REF!</v>
      </c>
      <c r="E48" s="136" t="e">
        <f>'LCIA_AD-a'!E48</f>
        <v>#REF!</v>
      </c>
      <c r="F48" s="136" t="e">
        <f>'LCIA_AD-a'!F48</f>
        <v>#REF!</v>
      </c>
      <c r="G48" s="136">
        <f>'LCIA_AD-a'!G48</f>
        <v>0</v>
      </c>
      <c r="H48" s="136">
        <f>'LCIA_AD-a'!H48</f>
        <v>0</v>
      </c>
      <c r="I48" s="136">
        <f>'LCIA_AD-a'!I48</f>
        <v>0</v>
      </c>
      <c r="J48" s="136">
        <f>'LCIA_AD-a'!J48</f>
        <v>0</v>
      </c>
      <c r="K48" s="136">
        <f>'LCIA_AD-a'!K48</f>
        <v>0</v>
      </c>
      <c r="L48" s="136">
        <f>'LCIA_AD-a'!L48</f>
        <v>0</v>
      </c>
      <c r="M48" s="136">
        <f>'LCIA_AD-a'!M48</f>
        <v>0</v>
      </c>
      <c r="N48" s="136">
        <f>'LCIA_AD-a'!N48</f>
        <v>0</v>
      </c>
      <c r="O48" s="136">
        <f>'LCIA_AD-a'!O48</f>
        <v>0</v>
      </c>
      <c r="P48" s="136">
        <f>'LCIA_AD-a'!P48</f>
        <v>0</v>
      </c>
      <c r="Q48" s="136">
        <f>'LCIA_AD-a'!Q48</f>
        <v>0</v>
      </c>
      <c r="R48" s="136">
        <f>'LCIA_AD-a'!R48</f>
        <v>0</v>
      </c>
      <c r="S48" s="136">
        <f>'LCIA_AD-a'!S48</f>
        <v>0</v>
      </c>
      <c r="T48" s="136">
        <f>'LCIA_AD-a'!T48</f>
        <v>0</v>
      </c>
      <c r="U48" s="136">
        <f>'LCIA_AD-a'!U48</f>
        <v>0</v>
      </c>
      <c r="V48" s="136">
        <f>'LCIA_AD-a'!V48</f>
        <v>0</v>
      </c>
      <c r="W48" s="136">
        <f>'LCIA_AD-a'!W48</f>
        <v>0</v>
      </c>
      <c r="X48" s="136">
        <f>'LCIA_AD-a'!X48</f>
        <v>0</v>
      </c>
      <c r="Y48" s="136">
        <f>'LCIA_AD-a'!Y48</f>
        <v>0</v>
      </c>
      <c r="Z48" s="136">
        <f>'LCIA_AD-a'!Z48</f>
        <v>0</v>
      </c>
      <c r="AA48" s="136">
        <f>'LCIA_AD-a'!AA48</f>
        <v>0</v>
      </c>
      <c r="AB48" s="136">
        <f>'LCIA_AD-a'!AB48</f>
        <v>0</v>
      </c>
      <c r="AC48" s="136">
        <f>'LCIA_AD-a'!AC48</f>
        <v>0</v>
      </c>
      <c r="AD48" s="136">
        <f>'LCIA_AD-a'!AD48</f>
        <v>0</v>
      </c>
      <c r="AE48" s="136">
        <f>'LCIA_AD-a'!AE48</f>
        <v>0</v>
      </c>
      <c r="AF48" s="136">
        <f>'LCIA_AD-a'!AF48</f>
        <v>0</v>
      </c>
      <c r="AG48" s="136">
        <f>'LCIA_AD-a'!AG48</f>
        <v>0</v>
      </c>
      <c r="AH48" s="136">
        <f>'LCIA_AD-a'!AH48</f>
        <v>0</v>
      </c>
      <c r="AI48" s="136">
        <f>'LCIA_AD-a'!AI48</f>
        <v>0</v>
      </c>
      <c r="AJ48" s="136">
        <f>'LCIA_AD-a'!AJ48</f>
        <v>0</v>
      </c>
      <c r="AK48" s="136">
        <f>'LCIA_AD-a'!AK48</f>
        <v>0</v>
      </c>
    </row>
    <row r="49" spans="1:37" x14ac:dyDescent="0.35">
      <c r="A49" s="141" t="s">
        <v>235</v>
      </c>
      <c r="B49" s="136"/>
      <c r="C49" s="136"/>
      <c r="D49" s="136"/>
      <c r="E49" s="136"/>
      <c r="F49" s="136"/>
      <c r="G49" s="136"/>
      <c r="H49" s="136"/>
      <c r="I49" s="136"/>
      <c r="J49" s="136"/>
      <c r="K49" s="136"/>
      <c r="L49" s="136"/>
      <c r="M49" s="136"/>
      <c r="N49" s="136"/>
      <c r="O49" s="136"/>
      <c r="P49" s="136"/>
      <c r="Q49" s="136"/>
      <c r="R49" s="136"/>
      <c r="S49" s="136"/>
      <c r="T49" s="136"/>
      <c r="U49" s="136"/>
      <c r="V49" s="136"/>
      <c r="W49" s="136"/>
      <c r="X49" s="136"/>
      <c r="Y49" s="136"/>
      <c r="Z49" s="136"/>
      <c r="AA49" s="136"/>
      <c r="AB49" s="136"/>
      <c r="AC49" s="136"/>
      <c r="AD49" s="136"/>
      <c r="AE49" s="136"/>
      <c r="AF49" s="136"/>
      <c r="AG49" s="136"/>
      <c r="AH49" s="136"/>
      <c r="AI49" s="136"/>
      <c r="AJ49" s="136"/>
      <c r="AK49" s="136"/>
    </row>
    <row r="50" spans="1:37" x14ac:dyDescent="0.35">
      <c r="A50" s="141"/>
      <c r="B50" s="136" t="s">
        <v>286</v>
      </c>
      <c r="C50" s="136" t="e">
        <f>'LCIA_AD-a'!C50</f>
        <v>#REF!</v>
      </c>
      <c r="D50" s="136" t="e">
        <f>'LCIA_AD-a'!D50</f>
        <v>#REF!</v>
      </c>
      <c r="E50" s="136" t="e">
        <f>'LCIA_AD-a'!E50</f>
        <v>#REF!</v>
      </c>
      <c r="F50" s="136" t="e">
        <f>'LCIA_AD-a'!F50</f>
        <v>#REF!</v>
      </c>
      <c r="G50" s="136">
        <f>'LCIA_AD-a'!G50</f>
        <v>3.4259653114390555E-19</v>
      </c>
      <c r="H50" s="136">
        <f>'LCIA_AD-a'!H50</f>
        <v>1.9088748614477355E-3</v>
      </c>
      <c r="I50" s="136">
        <f>'LCIA_AD-a'!I50</f>
        <v>2.1165975185515697E-2</v>
      </c>
      <c r="J50" s="136">
        <f>'LCIA_AD-a'!J50</f>
        <v>7.7842440064621963E-3</v>
      </c>
      <c r="K50" s="136">
        <f>'LCIA_AD-a'!K50</f>
        <v>1.2090234903629117E-5</v>
      </c>
      <c r="L50" s="136">
        <f>'LCIA_AD-a'!L50</f>
        <v>1.3807900143766815E-9</v>
      </c>
      <c r="M50" s="136">
        <f>'LCIA_AD-a'!M50</f>
        <v>7.8521018154124293E-8</v>
      </c>
      <c r="N50" s="136">
        <f>'LCIA_AD-a'!N50</f>
        <v>5.1916740498462542E-8</v>
      </c>
      <c r="O50" s="136">
        <f>'LCIA_AD-a'!O50</f>
        <v>3.4957298081958831E-8</v>
      </c>
      <c r="P50" s="136">
        <f>'LCIA_AD-a'!P50</f>
        <v>1.6087202212299374E-11</v>
      </c>
      <c r="Q50" s="136">
        <f>'LCIA_AD-a'!Q50</f>
        <v>1.9821700798180701E-10</v>
      </c>
      <c r="R50" s="136">
        <f>'LCIA_AD-a'!R50</f>
        <v>9.3882236600461508E-3</v>
      </c>
      <c r="S50" s="136">
        <f>'LCIA_AD-a'!S50</f>
        <v>1.0847515163367839E-2</v>
      </c>
      <c r="T50" s="136">
        <f>'LCIA_AD-a'!T50</f>
        <v>5.9340583237830792E-2</v>
      </c>
      <c r="U50" s="136">
        <f>'LCIA_AD-a'!U50</f>
        <v>6.4415394809225063E-3</v>
      </c>
      <c r="V50" s="136">
        <f>'LCIA_AD-a'!V50</f>
        <v>2.2361093064658549E-8</v>
      </c>
      <c r="W50" s="136">
        <f>'LCIA_AD-a'!W50</f>
        <v>1.8378519819012135E-8</v>
      </c>
      <c r="X50" s="136">
        <f>'LCIA_AD-a'!X50</f>
        <v>4.9087972213900696E-4</v>
      </c>
      <c r="Y50" s="136">
        <f>'LCIA_AD-a'!Y50</f>
        <v>1.4130656214684504E-11</v>
      </c>
      <c r="Z50" s="136">
        <f>'LCIA_AD-a'!Z50</f>
        <v>2.3089230034193365E-7</v>
      </c>
      <c r="AA50" s="136">
        <f>'LCIA_AD-a'!AA50</f>
        <v>1.24610140420619E-2</v>
      </c>
      <c r="AB50" s="136">
        <f>'LCIA_AD-a'!AB50</f>
        <v>1.2166988717580699E-9</v>
      </c>
      <c r="AC50" s="136">
        <f>'LCIA_AD-a'!AC50</f>
        <v>1.357355809150523E-2</v>
      </c>
      <c r="AD50" s="136">
        <f>'LCIA_AD-a'!AD50</f>
        <v>8.1619861313748173E-4</v>
      </c>
      <c r="AE50" s="136">
        <f>'LCIA_AD-a'!AE50</f>
        <v>6.7081597339394266E-4</v>
      </c>
      <c r="AF50" s="136">
        <f>'LCIA_AD-a'!AF50</f>
        <v>1.5428172135718716E-5</v>
      </c>
      <c r="AG50" s="136">
        <f>'LCIA_AD-a'!AG50</f>
        <v>0.1449237168411589</v>
      </c>
      <c r="AH50" s="136">
        <f>'LCIA_AD-a'!AH50</f>
        <v>4.374991643569647E-7</v>
      </c>
      <c r="AI50" s="136">
        <f>'LCIA_AD-a'!AI50</f>
        <v>3.14403300469906E-7</v>
      </c>
      <c r="AJ50" s="136">
        <f>'LCIA_AD-a'!AJ50</f>
        <v>3.8401970730154165E-8</v>
      </c>
      <c r="AK50" s="136">
        <f>'LCIA_AD-a'!AK50</f>
        <v>6.4212372885133327E-6</v>
      </c>
    </row>
    <row r="51" spans="1:37" x14ac:dyDescent="0.35">
      <c r="A51" s="141"/>
      <c r="B51" s="136" t="s">
        <v>235</v>
      </c>
      <c r="C51" s="136" t="e">
        <f>'LCIA_AD-a'!C51</f>
        <v>#REF!</v>
      </c>
      <c r="D51" s="136" t="e">
        <f>'LCIA_AD-a'!D51</f>
        <v>#REF!</v>
      </c>
      <c r="E51" s="136" t="e">
        <f>'LCIA_AD-a'!E51</f>
        <v>#REF!</v>
      </c>
      <c r="F51" s="136" t="e">
        <f>'LCIA_AD-a'!F51</f>
        <v>#REF!</v>
      </c>
      <c r="G51" s="136">
        <f>'LCIA_AD-a'!G51</f>
        <v>1.3417014761931066E-18</v>
      </c>
      <c r="H51" s="136">
        <f>'LCIA_AD-a'!H51</f>
        <v>7.0661974280644954E-2</v>
      </c>
      <c r="I51" s="136">
        <f>'LCIA_AD-a'!I51</f>
        <v>0.93416719125512804</v>
      </c>
      <c r="J51" s="136">
        <f>'LCIA_AD-a'!J51</f>
        <v>0.11947233209536294</v>
      </c>
      <c r="K51" s="136">
        <f>'LCIA_AD-a'!K51</f>
        <v>5.8252778621848689E-3</v>
      </c>
      <c r="L51" s="136">
        <f>'LCIA_AD-a'!L51</f>
        <v>7.543227881230801E-8</v>
      </c>
      <c r="M51" s="136">
        <f>'LCIA_AD-a'!M51</f>
        <v>9.2358423028085057E-6</v>
      </c>
      <c r="N51" s="136">
        <f>'LCIA_AD-a'!N51</f>
        <v>2.0141902382323624E-6</v>
      </c>
      <c r="O51" s="136">
        <f>'LCIA_AD-a'!O51</f>
        <v>2.073338334217323E-5</v>
      </c>
      <c r="P51" s="136">
        <f>'LCIA_AD-a'!P51</f>
        <v>1.6721138820675336E-10</v>
      </c>
      <c r="Q51" s="136">
        <f>'LCIA_AD-a'!Q51</f>
        <v>2.5414819458518307E-9</v>
      </c>
      <c r="R51" s="136">
        <f>'LCIA_AD-a'!R51</f>
        <v>0.10325709629067527</v>
      </c>
      <c r="S51" s="136">
        <f>'LCIA_AD-a'!S51</f>
        <v>0.20192306813671582</v>
      </c>
      <c r="T51" s="136">
        <f>'LCIA_AD-a'!T51</f>
        <v>0.81381304343515604</v>
      </c>
      <c r="U51" s="136">
        <f>'LCIA_AD-a'!U51</f>
        <v>8.8340903369667073E-2</v>
      </c>
      <c r="V51" s="136">
        <f>'LCIA_AD-a'!V51</f>
        <v>4.1790110398157114E-7</v>
      </c>
      <c r="W51" s="136">
        <f>'LCIA_AD-a'!W51</f>
        <v>9.1166986820938597E-7</v>
      </c>
      <c r="X51" s="136">
        <f>'LCIA_AD-a'!X51</f>
        <v>3.6914893888666471E-2</v>
      </c>
      <c r="Y51" s="136">
        <f>'LCIA_AD-a'!Y51</f>
        <v>3.4271490621614475E-10</v>
      </c>
      <c r="Z51" s="136">
        <f>'LCIA_AD-a'!Z51</f>
        <v>8.8111435597395313E-6</v>
      </c>
      <c r="AA51" s="136">
        <f>'LCIA_AD-a'!AA51</f>
        <v>0.52310036021523809</v>
      </c>
      <c r="AB51" s="136">
        <f>'LCIA_AD-a'!AB51</f>
        <v>5.3982752056258097E-8</v>
      </c>
      <c r="AC51" s="136">
        <f>'LCIA_AD-a'!AC51</f>
        <v>0.52930584039175488</v>
      </c>
      <c r="AD51" s="136">
        <f>'LCIA_AD-a'!AD51</f>
        <v>1.5262636374080941E-2</v>
      </c>
      <c r="AE51" s="136">
        <f>'LCIA_AD-a'!AE51</f>
        <v>3.3275950189642592E-2</v>
      </c>
      <c r="AF51" s="136">
        <f>'LCIA_AD-a'!AF51</f>
        <v>3.8173633035694057E-4</v>
      </c>
      <c r="AG51" s="136">
        <f>'LCIA_AD-a'!AG51</f>
        <v>3.4759974820656048</v>
      </c>
      <c r="AH51" s="136">
        <f>'LCIA_AD-a'!AH51</f>
        <v>5.0697184643165686E-5</v>
      </c>
      <c r="AI51" s="136">
        <f>'LCIA_AD-a'!AI51</f>
        <v>7.999127841649449E-5</v>
      </c>
      <c r="AJ51" s="136">
        <f>'LCIA_AD-a'!AJ51</f>
        <v>9.7703259724914291E-6</v>
      </c>
      <c r="AK51" s="136">
        <f>'LCIA_AD-a'!AK51</f>
        <v>2.1385693372968594E-4</v>
      </c>
    </row>
    <row r="52" spans="1:37" x14ac:dyDescent="0.35">
      <c r="A52" s="141" t="s">
        <v>6</v>
      </c>
      <c r="B52" s="136"/>
      <c r="C52" s="136"/>
      <c r="D52" s="136"/>
      <c r="E52" s="136"/>
      <c r="F52" s="136"/>
      <c r="G52" s="136"/>
      <c r="H52" s="136"/>
      <c r="I52" s="136"/>
      <c r="J52" s="136"/>
      <c r="K52" s="136"/>
      <c r="L52" s="136"/>
      <c r="M52" s="136"/>
      <c r="N52" s="136"/>
      <c r="O52" s="136"/>
      <c r="P52" s="136"/>
      <c r="Q52" s="136"/>
      <c r="R52" s="136"/>
      <c r="S52" s="136"/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  <c r="AE52" s="136"/>
      <c r="AF52" s="136"/>
      <c r="AG52" s="136"/>
      <c r="AH52" s="136"/>
      <c r="AI52" s="136"/>
      <c r="AJ52" s="136"/>
      <c r="AK52" s="136"/>
    </row>
    <row r="53" spans="1:37" x14ac:dyDescent="0.35">
      <c r="A53" s="141"/>
      <c r="B53" s="136" t="s">
        <v>8</v>
      </c>
      <c r="C53" s="136" t="e">
        <f>'LCIA_AD-a'!C53</f>
        <v>#REF!</v>
      </c>
      <c r="D53" s="136" t="e">
        <f>'LCIA_AD-a'!D53</f>
        <v>#REF!</v>
      </c>
      <c r="E53" s="136" t="e">
        <f>'LCIA_AD-a'!E53</f>
        <v>#REF!</v>
      </c>
      <c r="F53" s="136" t="e">
        <f>'LCIA_AD-a'!F53</f>
        <v>#REF!</v>
      </c>
      <c r="G53" s="136">
        <f>'LCIA_AD-a'!G53</f>
        <v>2.0146246273707774E-19</v>
      </c>
      <c r="H53" s="136">
        <f>'LCIA_AD-a'!H53</f>
        <v>1.1619456849343674E-2</v>
      </c>
      <c r="I53" s="136">
        <f>'LCIA_AD-a'!I53</f>
        <v>0.55576682166479929</v>
      </c>
      <c r="J53" s="136">
        <f>'LCIA_AD-a'!J53</f>
        <v>2.7612306137817434E-2</v>
      </c>
      <c r="K53" s="136">
        <f>'LCIA_AD-a'!K53</f>
        <v>4.7970911200822386E-5</v>
      </c>
      <c r="L53" s="136">
        <f>'LCIA_AD-a'!L53</f>
        <v>1.9469395469843191E-8</v>
      </c>
      <c r="M53" s="136">
        <f>'LCIA_AD-a'!M53</f>
        <v>3.7135159712999983E-7</v>
      </c>
      <c r="N53" s="136">
        <f>'LCIA_AD-a'!N53</f>
        <v>4.4025905507185927E-7</v>
      </c>
      <c r="O53" s="136">
        <f>'LCIA_AD-a'!O53</f>
        <v>2.3435417043406713E-7</v>
      </c>
      <c r="P53" s="136">
        <f>'LCIA_AD-a'!P53</f>
        <v>9.2607546343954807E-9</v>
      </c>
      <c r="Q53" s="136">
        <f>'LCIA_AD-a'!Q53</f>
        <v>2.8557647157451842E-7</v>
      </c>
      <c r="R53" s="136">
        <f>'LCIA_AD-a'!R53</f>
        <v>3.6994648174058696E-2</v>
      </c>
      <c r="S53" s="136">
        <f>'LCIA_AD-a'!S53</f>
        <v>2.6081890331255075E-2</v>
      </c>
      <c r="T53" s="136">
        <f>'LCIA_AD-a'!T53</f>
        <v>0.22931990981381525</v>
      </c>
      <c r="U53" s="136">
        <f>'LCIA_AD-a'!U53</f>
        <v>2.4893198732130022E-2</v>
      </c>
      <c r="V53" s="136">
        <f>'LCIA_AD-a'!V53</f>
        <v>2.1589289714938985E-6</v>
      </c>
      <c r="W53" s="136">
        <f>'LCIA_AD-a'!W53</f>
        <v>5.9415646581455464E-7</v>
      </c>
      <c r="X53" s="136">
        <f>'LCIA_AD-a'!X53</f>
        <v>1.5206771691350248E-3</v>
      </c>
      <c r="Y53" s="136">
        <f>'LCIA_AD-a'!Y53</f>
        <v>1.0344645221098301E-10</v>
      </c>
      <c r="Z53" s="136">
        <f>'LCIA_AD-a'!Z53</f>
        <v>8.3737385770468086E-7</v>
      </c>
      <c r="AA53" s="136">
        <f>'LCIA_AD-a'!AA53</f>
        <v>3.5252354996375815E-2</v>
      </c>
      <c r="AB53" s="136">
        <f>'LCIA_AD-a'!AB53</f>
        <v>3.5043595930111055E-9</v>
      </c>
      <c r="AC53" s="136">
        <f>'LCIA_AD-a'!AC53</f>
        <v>7.6676156376390969E-2</v>
      </c>
      <c r="AD53" s="136">
        <f>'LCIA_AD-a'!AD53</f>
        <v>7.8803944122323041E-2</v>
      </c>
      <c r="AE53" s="136">
        <f>'LCIA_AD-a'!AE53</f>
        <v>2.1686711002231247E-2</v>
      </c>
      <c r="AF53" s="136">
        <f>'LCIA_AD-a'!AF53</f>
        <v>4.2521391639229527E-3</v>
      </c>
      <c r="AG53" s="136">
        <f>'LCIA_AD-a'!AG53</f>
        <v>1.1305864567059991</v>
      </c>
      <c r="AH53" s="136">
        <f>'LCIA_AD-a'!AH53</f>
        <v>4.950475548107104E-6</v>
      </c>
      <c r="AI53" s="136">
        <f>'LCIA_AD-a'!AI53</f>
        <v>2.258415920348486E-5</v>
      </c>
      <c r="AJ53" s="136">
        <f>'LCIA_AD-a'!AJ53</f>
        <v>2.7584831946769133E-6</v>
      </c>
      <c r="AK53" s="136">
        <f>'LCIA_AD-a'!AK53</f>
        <v>3.2924755804392892E-5</v>
      </c>
    </row>
    <row r="54" spans="1:37" x14ac:dyDescent="0.35">
      <c r="A54" s="141"/>
      <c r="B54" s="136" t="s">
        <v>18</v>
      </c>
      <c r="C54" s="136" t="e">
        <f>'LCIA_AD-a'!C54</f>
        <v>#REF!</v>
      </c>
      <c r="D54" s="136" t="e">
        <f>'LCIA_AD-a'!D54</f>
        <v>#REF!</v>
      </c>
      <c r="E54" s="136" t="e">
        <f>'LCIA_AD-a'!E54</f>
        <v>#REF!</v>
      </c>
      <c r="F54" s="136" t="e">
        <f>'LCIA_AD-a'!F54</f>
        <v>#REF!</v>
      </c>
      <c r="G54" s="136">
        <f>'LCIA_AD-a'!G54</f>
        <v>2.7159126165986591E-17</v>
      </c>
      <c r="H54" s="136">
        <f>'LCIA_AD-a'!H54</f>
        <v>3.9384429899939365E-2</v>
      </c>
      <c r="I54" s="136">
        <f>'LCIA_AD-a'!I54</f>
        <v>1.1164091774138278</v>
      </c>
      <c r="J54" s="136">
        <f>'LCIA_AD-a'!J54</f>
        <v>0.14465944541327941</v>
      </c>
      <c r="K54" s="136">
        <f>'LCIA_AD-a'!K54</f>
        <v>5.9732092169600232E-4</v>
      </c>
      <c r="L54" s="136">
        <f>'LCIA_AD-a'!L54</f>
        <v>2.4810764281290643E-8</v>
      </c>
      <c r="M54" s="136">
        <f>'LCIA_AD-a'!M54</f>
        <v>9.5025968432804083E-7</v>
      </c>
      <c r="N54" s="136">
        <f>'LCIA_AD-a'!N54</f>
        <v>8.8695954394508445E-7</v>
      </c>
      <c r="O54" s="136">
        <f>'LCIA_AD-a'!O54</f>
        <v>6.3949866864703821E-7</v>
      </c>
      <c r="P54" s="136">
        <f>'LCIA_AD-a'!P54</f>
        <v>3.4244674996023721E-10</v>
      </c>
      <c r="Q54" s="136">
        <f>'LCIA_AD-a'!Q54</f>
        <v>5.640495591874525E-9</v>
      </c>
      <c r="R54" s="136">
        <f>'LCIA_AD-a'!R54</f>
        <v>1.2522888650153385</v>
      </c>
      <c r="S54" s="136">
        <f>'LCIA_AD-a'!S54</f>
        <v>0.22236732164114079</v>
      </c>
      <c r="T54" s="136">
        <f>'LCIA_AD-a'!T54</f>
        <v>1.2993103391764373</v>
      </c>
      <c r="U54" s="136">
        <f>'LCIA_AD-a'!U54</f>
        <v>0.1410432154146555</v>
      </c>
      <c r="V54" s="136">
        <f>'LCIA_AD-a'!V54</f>
        <v>4.8995566111538829E-6</v>
      </c>
      <c r="W54" s="136">
        <f>'LCIA_AD-a'!W54</f>
        <v>3.1636932996387812E-6</v>
      </c>
      <c r="X54" s="136">
        <f>'LCIA_AD-a'!X54</f>
        <v>8.7941767587420248E-3</v>
      </c>
      <c r="Y54" s="136">
        <f>'LCIA_AD-a'!Y54</f>
        <v>5.5520031014139023E-10</v>
      </c>
      <c r="Z54" s="136">
        <f>'LCIA_AD-a'!Z54</f>
        <v>4.2239854117750112E-5</v>
      </c>
      <c r="AA54" s="136">
        <f>'LCIA_AD-a'!AA54</f>
        <v>0.30103279985134818</v>
      </c>
      <c r="AB54" s="136">
        <f>'LCIA_AD-a'!AB54</f>
        <v>3.0275729153819333E-8</v>
      </c>
      <c r="AC54" s="136">
        <f>'LCIA_AD-a'!AC54</f>
        <v>0.29460585077001711</v>
      </c>
      <c r="AD54" s="136">
        <f>'LCIA_AD-a'!AD54</f>
        <v>0.17883454948602154</v>
      </c>
      <c r="AE54" s="136">
        <f>'LCIA_AD-a'!AE54</f>
        <v>0.11547480543681553</v>
      </c>
      <c r="AF54" s="136">
        <f>'LCIA_AD-a'!AF54</f>
        <v>4.3393968358153263E-4</v>
      </c>
      <c r="AG54" s="136">
        <f>'LCIA_AD-a'!AG54</f>
        <v>5.1153930044438809</v>
      </c>
      <c r="AH54" s="136">
        <f>'LCIA_AD-a'!AH54</f>
        <v>4.6235202174172931E-5</v>
      </c>
      <c r="AI54" s="136">
        <f>'LCIA_AD-a'!AI54</f>
        <v>1.1931549424189578E-5</v>
      </c>
      <c r="AJ54" s="136">
        <f>'LCIA_AD-a'!AJ54</f>
        <v>1.4573479701655237E-6</v>
      </c>
      <c r="AK54" s="136">
        <f>'LCIA_AD-a'!AK54</f>
        <v>1.367724192572127E-4</v>
      </c>
    </row>
    <row r="55" spans="1:37" x14ac:dyDescent="0.35">
      <c r="A55" s="141"/>
      <c r="B55" s="136" t="s">
        <v>96</v>
      </c>
      <c r="C55" s="136" t="e">
        <f>'LCIA_AD-a'!C55</f>
        <v>#REF!</v>
      </c>
      <c r="D55" s="136" t="e">
        <f>'LCIA_AD-a'!D55</f>
        <v>#REF!</v>
      </c>
      <c r="E55" s="136" t="e">
        <f>'LCIA_AD-a'!E55</f>
        <v>#REF!</v>
      </c>
      <c r="F55" s="136" t="e">
        <f>'LCIA_AD-a'!F55</f>
        <v>#REF!</v>
      </c>
      <c r="G55" s="136">
        <f>'LCIA_AD-a'!G55</f>
        <v>0</v>
      </c>
      <c r="H55" s="136">
        <f>'LCIA_AD-a'!H55</f>
        <v>0</v>
      </c>
      <c r="I55" s="136">
        <f>'LCIA_AD-a'!I55</f>
        <v>0</v>
      </c>
      <c r="J55" s="136">
        <f>'LCIA_AD-a'!J55</f>
        <v>0</v>
      </c>
      <c r="K55" s="136">
        <f>'LCIA_AD-a'!K55</f>
        <v>0</v>
      </c>
      <c r="L55" s="136">
        <f>'LCIA_AD-a'!L55</f>
        <v>0</v>
      </c>
      <c r="M55" s="136">
        <f>'LCIA_AD-a'!M55</f>
        <v>0</v>
      </c>
      <c r="N55" s="136">
        <f>'LCIA_AD-a'!N55</f>
        <v>0</v>
      </c>
      <c r="O55" s="136">
        <f>'LCIA_AD-a'!O55</f>
        <v>0</v>
      </c>
      <c r="P55" s="136">
        <f>'LCIA_AD-a'!P55</f>
        <v>0</v>
      </c>
      <c r="Q55" s="136">
        <f>'LCIA_AD-a'!Q55</f>
        <v>0</v>
      </c>
      <c r="R55" s="136">
        <f>'LCIA_AD-a'!R55</f>
        <v>0</v>
      </c>
      <c r="S55" s="136">
        <f>'LCIA_AD-a'!S55</f>
        <v>0</v>
      </c>
      <c r="T55" s="136">
        <f>'LCIA_AD-a'!T55</f>
        <v>0</v>
      </c>
      <c r="U55" s="136">
        <f>'LCIA_AD-a'!U55</f>
        <v>0</v>
      </c>
      <c r="V55" s="136">
        <f>'LCIA_AD-a'!V55</f>
        <v>0</v>
      </c>
      <c r="W55" s="136">
        <f>'LCIA_AD-a'!W55</f>
        <v>0</v>
      </c>
      <c r="X55" s="136">
        <f>'LCIA_AD-a'!X55</f>
        <v>0</v>
      </c>
      <c r="Y55" s="136">
        <f>'LCIA_AD-a'!Y55</f>
        <v>0</v>
      </c>
      <c r="Z55" s="136">
        <f>'LCIA_AD-a'!Z55</f>
        <v>0</v>
      </c>
      <c r="AA55" s="136">
        <f>'LCIA_AD-a'!AA55</f>
        <v>0</v>
      </c>
      <c r="AB55" s="136">
        <f>'LCIA_AD-a'!AB55</f>
        <v>0</v>
      </c>
      <c r="AC55" s="136">
        <f>'LCIA_AD-a'!AC55</f>
        <v>0</v>
      </c>
      <c r="AD55" s="136">
        <f>'LCIA_AD-a'!AD55</f>
        <v>0</v>
      </c>
      <c r="AE55" s="136">
        <f>'LCIA_AD-a'!AE55</f>
        <v>0</v>
      </c>
      <c r="AF55" s="136">
        <f>'LCIA_AD-a'!AF55</f>
        <v>0</v>
      </c>
      <c r="AG55" s="136">
        <f>'LCIA_AD-a'!AG55</f>
        <v>0</v>
      </c>
      <c r="AH55" s="136">
        <f>'LCIA_AD-a'!AH55</f>
        <v>0</v>
      </c>
      <c r="AI55" s="136">
        <f>'LCIA_AD-a'!AI55</f>
        <v>0</v>
      </c>
      <c r="AJ55" s="136">
        <f>'LCIA_AD-a'!AJ55</f>
        <v>0</v>
      </c>
      <c r="AK55" s="136">
        <f>'LCIA_AD-a'!AK55</f>
        <v>0</v>
      </c>
    </row>
    <row r="56" spans="1:37" x14ac:dyDescent="0.35">
      <c r="A56" s="141" t="s">
        <v>126</v>
      </c>
      <c r="B56" s="136"/>
      <c r="C56" s="136"/>
      <c r="D56" s="136"/>
      <c r="E56" s="136"/>
      <c r="F56" s="136"/>
      <c r="G56" s="136"/>
      <c r="H56" s="136"/>
      <c r="I56" s="136"/>
      <c r="J56" s="136"/>
      <c r="K56" s="136"/>
      <c r="L56" s="136"/>
      <c r="M56" s="136"/>
      <c r="N56" s="136"/>
      <c r="O56" s="136"/>
      <c r="P56" s="136"/>
      <c r="Q56" s="136"/>
      <c r="R56" s="136"/>
      <c r="S56" s="136"/>
      <c r="T56" s="136"/>
      <c r="U56" s="136"/>
      <c r="V56" s="136"/>
      <c r="W56" s="136"/>
      <c r="X56" s="136"/>
      <c r="Y56" s="136"/>
      <c r="Z56" s="136"/>
      <c r="AA56" s="136"/>
      <c r="AB56" s="136"/>
      <c r="AC56" s="136"/>
      <c r="AD56" s="136"/>
      <c r="AE56" s="136"/>
      <c r="AF56" s="136"/>
      <c r="AG56" s="136"/>
      <c r="AH56" s="136"/>
      <c r="AI56" s="136"/>
      <c r="AJ56" s="136"/>
      <c r="AK56" s="136"/>
    </row>
    <row r="57" spans="1:37" x14ac:dyDescent="0.35">
      <c r="A57" s="141"/>
      <c r="B57" s="136" t="s">
        <v>96</v>
      </c>
      <c r="C57" s="136" t="e">
        <f>'LCI_AD-c'!$E17*'IW+_end'!#REF!</f>
        <v>#REF!</v>
      </c>
      <c r="D57" s="136" t="e">
        <f>'LCI_AD-c'!$E17*'IW+_end'!#REF!</f>
        <v>#REF!</v>
      </c>
      <c r="E57" s="136" t="e">
        <f>'LCI_AD-c'!$E17*'IW+_end'!#REF!</f>
        <v>#REF!</v>
      </c>
      <c r="F57" s="136" t="e">
        <f>'LCI_AD-c'!$E17*'IW+_end'!#REF!</f>
        <v>#REF!</v>
      </c>
      <c r="G57" s="136">
        <f>'LCI_AD-c'!$E17*'IW+_end'!C12</f>
        <v>0</v>
      </c>
      <c r="H57" s="136">
        <f>'LCI_AD-c'!$E17*'IW+_end'!D12</f>
        <v>0</v>
      </c>
      <c r="I57" s="136">
        <f>'LCI_AD-c'!$E17*'IW+_end'!E12</f>
        <v>0</v>
      </c>
      <c r="J57" s="136">
        <f>'LCI_AD-c'!$E17*'IW+_end'!F12</f>
        <v>0</v>
      </c>
      <c r="K57" s="136">
        <f>'LCI_AD-c'!$E17*'IW+_end'!G12</f>
        <v>0</v>
      </c>
      <c r="L57" s="136">
        <f>'LCI_AD-c'!$E17*'IW+_end'!H12</f>
        <v>0</v>
      </c>
      <c r="M57" s="136">
        <f>'LCI_AD-c'!$E17*'IW+_end'!I12</f>
        <v>0</v>
      </c>
      <c r="N57" s="136">
        <f>'LCI_AD-c'!$E17*'IW+_end'!J12</f>
        <v>0</v>
      </c>
      <c r="O57" s="136">
        <f>'LCI_AD-c'!$E17*'IW+_end'!K12</f>
        <v>0</v>
      </c>
      <c r="P57" s="136">
        <f>'LCI_AD-c'!$E17*'IW+_end'!L12</f>
        <v>0</v>
      </c>
      <c r="Q57" s="136">
        <f>'LCI_AD-c'!$E17*'IW+_end'!M12</f>
        <v>0</v>
      </c>
      <c r="R57" s="136">
        <f>'LCI_AD-c'!$E17*'IW+_end'!N12</f>
        <v>0</v>
      </c>
      <c r="S57" s="136">
        <f>'LCI_AD-c'!$E17*'IW+_end'!O12</f>
        <v>0</v>
      </c>
      <c r="T57" s="136">
        <f>'LCI_AD-c'!$E17*'IW+_end'!P12</f>
        <v>0</v>
      </c>
      <c r="U57" s="136">
        <f>'LCI_AD-c'!$E17*'IW+_end'!Q12</f>
        <v>0</v>
      </c>
      <c r="V57" s="136">
        <f>'LCI_AD-c'!$E17*'IW+_end'!R12</f>
        <v>0</v>
      </c>
      <c r="W57" s="136">
        <f>'LCI_AD-c'!$E17*'IW+_end'!S12</f>
        <v>0</v>
      </c>
      <c r="X57" s="136">
        <f>'LCI_AD-c'!$E17*'IW+_end'!T12</f>
        <v>0</v>
      </c>
      <c r="Y57" s="136">
        <f>'LCI_AD-c'!$E17*'IW+_end'!U12</f>
        <v>0</v>
      </c>
      <c r="Z57" s="136">
        <f>'LCI_AD-c'!$E17*'IW+_end'!V12</f>
        <v>0</v>
      </c>
      <c r="AA57" s="136">
        <f>'LCI_AD-c'!$E17*'IW+_end'!W12</f>
        <v>0</v>
      </c>
      <c r="AB57" s="136">
        <f>'LCI_AD-c'!$E17*'IW+_end'!X12</f>
        <v>0</v>
      </c>
      <c r="AC57" s="136">
        <f>'LCI_AD-c'!$E17*'IW+_end'!Y12</f>
        <v>0</v>
      </c>
      <c r="AD57" s="136">
        <f>'LCI_AD-c'!$E17*'IW+_end'!Z12</f>
        <v>0</v>
      </c>
      <c r="AE57" s="136">
        <f>'LCI_AD-c'!$E17*'IW+_end'!AA12</f>
        <v>0</v>
      </c>
      <c r="AF57" s="136">
        <f>'LCI_AD-c'!$E17*'IW+_end'!AB12</f>
        <v>0</v>
      </c>
      <c r="AG57" s="136">
        <f>'LCI_AD-c'!$E17*'IW+_end'!AC12</f>
        <v>0</v>
      </c>
      <c r="AH57" s="136">
        <f>'LCI_AD-c'!$E17*'IW+_end'!AD12</f>
        <v>0</v>
      </c>
      <c r="AI57" s="136">
        <f>'LCI_AD-c'!$E17*'IW+_end'!AE12</f>
        <v>0</v>
      </c>
      <c r="AJ57" s="136">
        <f>'LCI_AD-c'!$E17*'IW+_end'!AF12</f>
        <v>0</v>
      </c>
      <c r="AK57" s="136">
        <f>'LCI_AD-c'!$E17*'IW+_end'!AG12</f>
        <v>0</v>
      </c>
    </row>
    <row r="58" spans="1:37" x14ac:dyDescent="0.35">
      <c r="A58" s="141"/>
      <c r="B58" s="136" t="s">
        <v>141</v>
      </c>
      <c r="C58" s="136" t="e">
        <f>'LCI_AD-c'!$E18*'IW+_end'!#REF!</f>
        <v>#REF!</v>
      </c>
      <c r="D58" s="136" t="e">
        <f>'LCI_AD-c'!$E18*'IW+_end'!#REF!</f>
        <v>#REF!</v>
      </c>
      <c r="E58" s="136" t="e">
        <f>'LCI_AD-c'!$E18*'IW+_end'!#REF!</f>
        <v>#REF!</v>
      </c>
      <c r="F58" s="136" t="e">
        <f>'LCI_AD-c'!$E18*'IW+_end'!#REF!</f>
        <v>#REF!</v>
      </c>
      <c r="G58" s="136">
        <f>'LCI_AD-c'!$E18*'IW+_end'!C24</f>
        <v>0</v>
      </c>
      <c r="H58" s="136">
        <f>'LCI_AD-c'!$E18*'IW+_end'!D24</f>
        <v>0</v>
      </c>
      <c r="I58" s="136">
        <f>'LCI_AD-c'!$E18*'IW+_end'!E24</f>
        <v>0</v>
      </c>
      <c r="J58" s="136">
        <f>'LCI_AD-c'!$E18*'IW+_end'!F24</f>
        <v>0</v>
      </c>
      <c r="K58" s="136">
        <f>'LCI_AD-c'!$E18*'IW+_end'!G24</f>
        <v>0</v>
      </c>
      <c r="L58" s="136">
        <f>'LCI_AD-c'!$E18*'IW+_end'!H24</f>
        <v>0</v>
      </c>
      <c r="M58" s="136">
        <f>'LCI_AD-c'!$E18*'IW+_end'!I24</f>
        <v>0</v>
      </c>
      <c r="N58" s="136">
        <f>'LCI_AD-c'!$E18*'IW+_end'!J24</f>
        <v>0</v>
      </c>
      <c r="O58" s="136">
        <f>'LCI_AD-c'!$E18*'IW+_end'!K24</f>
        <v>0</v>
      </c>
      <c r="P58" s="136">
        <f>'LCI_AD-c'!$E18*'IW+_end'!L24</f>
        <v>0</v>
      </c>
      <c r="Q58" s="136">
        <f>'LCI_AD-c'!$E18*'IW+_end'!M24</f>
        <v>0</v>
      </c>
      <c r="R58" s="136">
        <f>'LCI_AD-c'!$E18*'IW+_end'!N24</f>
        <v>0</v>
      </c>
      <c r="S58" s="136">
        <f>'LCI_AD-c'!$E18*'IW+_end'!O24</f>
        <v>0</v>
      </c>
      <c r="T58" s="136">
        <f>'LCI_AD-c'!$E18*'IW+_end'!P24</f>
        <v>0</v>
      </c>
      <c r="U58" s="136">
        <f>'LCI_AD-c'!$E18*'IW+_end'!Q24</f>
        <v>0</v>
      </c>
      <c r="V58" s="136">
        <f>'LCI_AD-c'!$E18*'IW+_end'!R24</f>
        <v>0</v>
      </c>
      <c r="W58" s="136">
        <f>'LCI_AD-c'!$E18*'IW+_end'!S24</f>
        <v>0</v>
      </c>
      <c r="X58" s="136">
        <f>'LCI_AD-c'!$E18*'IW+_end'!T24</f>
        <v>0</v>
      </c>
      <c r="Y58" s="136">
        <f>'LCI_AD-c'!$E18*'IW+_end'!U24</f>
        <v>0</v>
      </c>
      <c r="Z58" s="136">
        <f>'LCI_AD-c'!$E18*'IW+_end'!V24</f>
        <v>0</v>
      </c>
      <c r="AA58" s="136">
        <f>'LCI_AD-c'!$E18*'IW+_end'!W24</f>
        <v>0</v>
      </c>
      <c r="AB58" s="136">
        <f>'LCI_AD-c'!$E18*'IW+_end'!X24</f>
        <v>0</v>
      </c>
      <c r="AC58" s="136">
        <f>'LCI_AD-c'!$E18*'IW+_end'!Y24</f>
        <v>0</v>
      </c>
      <c r="AD58" s="136">
        <f>'LCI_AD-c'!$E18*'IW+_end'!Z24</f>
        <v>0</v>
      </c>
      <c r="AE58" s="136">
        <f>'LCI_AD-c'!$E18*'IW+_end'!AA24</f>
        <v>0</v>
      </c>
      <c r="AF58" s="136">
        <f>'LCI_AD-c'!$E18*'IW+_end'!AB24</f>
        <v>0</v>
      </c>
      <c r="AG58" s="136">
        <f>'LCI_AD-c'!$E18*'IW+_end'!AC24</f>
        <v>0</v>
      </c>
      <c r="AH58" s="136">
        <f>'LCI_AD-c'!$E18*'IW+_end'!AD24</f>
        <v>0</v>
      </c>
      <c r="AI58" s="136">
        <f>'LCI_AD-c'!$E18*'IW+_end'!AE24</f>
        <v>0</v>
      </c>
      <c r="AJ58" s="136">
        <f>'LCI_AD-c'!$E18*'IW+_end'!AF24</f>
        <v>0</v>
      </c>
      <c r="AK58" s="136">
        <f>'LCI_AD-c'!$E18*'IW+_end'!AG24</f>
        <v>0</v>
      </c>
    </row>
    <row r="59" spans="1:37" x14ac:dyDescent="0.35">
      <c r="A59" s="141"/>
      <c r="B59" s="136" t="s">
        <v>142</v>
      </c>
      <c r="C59" s="136" t="e">
        <f>'LCI_AD-c'!$E19*'IW+_end'!#REF!</f>
        <v>#REF!</v>
      </c>
      <c r="D59" s="136" t="e">
        <f>'LCI_AD-c'!$E19*'IW+_end'!#REF!</f>
        <v>#REF!</v>
      </c>
      <c r="E59" s="136" t="e">
        <f>'LCI_AD-c'!$E19*'IW+_end'!#REF!</f>
        <v>#REF!</v>
      </c>
      <c r="F59" s="136" t="e">
        <f>'LCI_AD-c'!$E19*'IW+_end'!#REF!</f>
        <v>#REF!</v>
      </c>
      <c r="G59" s="136">
        <f>'LCI_AD-c'!$E19*'IW+_end'!C19</f>
        <v>0</v>
      </c>
      <c r="H59" s="136">
        <f>'LCI_AD-c'!$E19*'IW+_end'!D19</f>
        <v>3.5332636669312234E-3</v>
      </c>
      <c r="I59" s="136">
        <f>'LCI_AD-c'!$E19*'IW+_end'!E19</f>
        <v>0</v>
      </c>
      <c r="J59" s="136">
        <f>'LCI_AD-c'!$E19*'IW+_end'!F19</f>
        <v>0</v>
      </c>
      <c r="K59" s="136">
        <f>'LCI_AD-c'!$E19*'IW+_end'!G19</f>
        <v>0</v>
      </c>
      <c r="L59" s="136">
        <f>'LCI_AD-c'!$E19*'IW+_end'!H19</f>
        <v>0</v>
      </c>
      <c r="M59" s="136">
        <f>'LCI_AD-c'!$E19*'IW+_end'!I19</f>
        <v>0</v>
      </c>
      <c r="N59" s="136">
        <f>'LCI_AD-c'!$E19*'IW+_end'!J19</f>
        <v>0</v>
      </c>
      <c r="O59" s="136">
        <f>'LCI_AD-c'!$E19*'IW+_end'!K19</f>
        <v>0</v>
      </c>
      <c r="P59" s="136">
        <f>'LCI_AD-c'!$E19*'IW+_end'!L19</f>
        <v>0</v>
      </c>
      <c r="Q59" s="136">
        <f>'LCI_AD-c'!$E19*'IW+_end'!M19</f>
        <v>0</v>
      </c>
      <c r="R59" s="136">
        <f>'LCI_AD-c'!$E19*'IW+_end'!N19</f>
        <v>0</v>
      </c>
      <c r="S59" s="136">
        <f>'LCI_AD-c'!$E19*'IW+_end'!O19</f>
        <v>0</v>
      </c>
      <c r="T59" s="136">
        <f>'LCI_AD-c'!$E19*'IW+_end'!P19</f>
        <v>0</v>
      </c>
      <c r="U59" s="136">
        <f>'LCI_AD-c'!$E19*'IW+_end'!Q19</f>
        <v>0</v>
      </c>
      <c r="V59" s="136">
        <f>'LCI_AD-c'!$E19*'IW+_end'!R19</f>
        <v>0</v>
      </c>
      <c r="W59" s="136">
        <f>'LCI_AD-c'!$E19*'IW+_end'!S19</f>
        <v>0</v>
      </c>
      <c r="X59" s="136">
        <f>'LCI_AD-c'!$E19*'IW+_end'!T19</f>
        <v>0</v>
      </c>
      <c r="Y59" s="136">
        <f>'LCI_AD-c'!$E19*'IW+_end'!U19</f>
        <v>0</v>
      </c>
      <c r="Z59" s="136">
        <f>'LCI_AD-c'!$E19*'IW+_end'!V19</f>
        <v>1.3714821006997321E-7</v>
      </c>
      <c r="AA59" s="136">
        <f>'LCI_AD-c'!$E19*'IW+_end'!W19</f>
        <v>0</v>
      </c>
      <c r="AB59" s="136">
        <f>'LCI_AD-c'!$E19*'IW+_end'!X19</f>
        <v>0</v>
      </c>
      <c r="AC59" s="136">
        <f>'LCI_AD-c'!$E19*'IW+_end'!Y19</f>
        <v>2.1053616203880347E-2</v>
      </c>
      <c r="AD59" s="136">
        <f>'LCI_AD-c'!$E19*'IW+_end'!Z19</f>
        <v>0</v>
      </c>
      <c r="AE59" s="136">
        <f>'LCI_AD-c'!$E19*'IW+_end'!AA19</f>
        <v>0</v>
      </c>
      <c r="AF59" s="136">
        <f>'LCI_AD-c'!$E19*'IW+_end'!AB19</f>
        <v>0</v>
      </c>
      <c r="AG59" s="136">
        <f>'LCI_AD-c'!$E19*'IW+_end'!AC19</f>
        <v>2.4586879870811571E-2</v>
      </c>
      <c r="AH59" s="136">
        <f>'LCI_AD-c'!$E19*'IW+_end'!AD19</f>
        <v>1.3714821006997321E-7</v>
      </c>
      <c r="AI59" s="136">
        <f>'LCI_AD-c'!$E19*'IW+_end'!AE19</f>
        <v>0</v>
      </c>
      <c r="AJ59" s="136">
        <f>'LCI_AD-c'!$E19*'IW+_end'!AF19</f>
        <v>0</v>
      </c>
      <c r="AK59" s="136">
        <f>'LCI_AD-c'!$E19*'IW+_end'!AG19</f>
        <v>0</v>
      </c>
    </row>
    <row r="60" spans="1:37" x14ac:dyDescent="0.35">
      <c r="A60" s="141"/>
      <c r="B60" s="136" t="s">
        <v>8</v>
      </c>
      <c r="C60" s="136" t="e">
        <f>'LCI_AD-c'!$E20*'IW+_end'!#REF!</f>
        <v>#REF!</v>
      </c>
      <c r="D60" s="136" t="e">
        <f>'LCI_AD-c'!$E20*'IW+_end'!#REF!</f>
        <v>#REF!</v>
      </c>
      <c r="E60" s="136" t="e">
        <f>'LCI_AD-c'!$E20*'IW+_end'!#REF!</f>
        <v>#REF!</v>
      </c>
      <c r="F60" s="136" t="e">
        <f>'LCI_AD-c'!$E20*'IW+_end'!#REF!</f>
        <v>#REF!</v>
      </c>
      <c r="G60" s="136">
        <f>'LCI_AD-c'!$E20*'IW+_end'!C2</f>
        <v>6.8635227319637564E-19</v>
      </c>
      <c r="H60" s="136">
        <f>'LCI_AD-c'!$E20*'IW+_end'!D2</f>
        <v>3.958573976265841E-2</v>
      </c>
      <c r="I60" s="136">
        <f>'LCI_AD-c'!$E20*'IW+_end'!E2</f>
        <v>1.893413870923341</v>
      </c>
      <c r="J60" s="136">
        <f>'LCI_AD-c'!$E20*'IW+_end'!F2</f>
        <v>9.4070968995442997E-2</v>
      </c>
      <c r="K60" s="136">
        <f>'LCI_AD-c'!$E20*'IW+_end'!G2</f>
        <v>1.6342967073203717E-4</v>
      </c>
      <c r="L60" s="136">
        <f>'LCI_AD-c'!$E20*'IW+_end'!H2</f>
        <v>6.6329298554865483E-8</v>
      </c>
      <c r="M60" s="136">
        <f>'LCI_AD-c'!$E20*'IW+_end'!I2</f>
        <v>1.2651389712132789E-6</v>
      </c>
      <c r="N60" s="136">
        <f>'LCI_AD-c'!$E20*'IW+_end'!J2</f>
        <v>1.4998963039492625E-6</v>
      </c>
      <c r="O60" s="136">
        <f>'LCI_AD-c'!$E20*'IW+_end'!K2</f>
        <v>7.9840936830198688E-7</v>
      </c>
      <c r="P60" s="136">
        <f>'LCI_AD-c'!$E20*'IW+_end'!L2</f>
        <v>3.1549996502953533E-8</v>
      </c>
      <c r="Q60" s="136">
        <f>'LCI_AD-c'!$E20*'IW+_end'!M2</f>
        <v>9.7291603494578616E-7</v>
      </c>
      <c r="R60" s="136">
        <f>'LCI_AD-c'!$E20*'IW+_end'!N2</f>
        <v>0.1260351954671714</v>
      </c>
      <c r="S60" s="136">
        <f>'LCI_AD-c'!$E20*'IW+_end'!O2</f>
        <v>8.8857072801090453E-2</v>
      </c>
      <c r="T60" s="136">
        <f>'LCI_AD-c'!$E20*'IW+_end'!P2</f>
        <v>0.78125840045602024</v>
      </c>
      <c r="U60" s="136">
        <f>'LCI_AD-c'!$E20*'IW+_end'!Q2</f>
        <v>8.4807379522726878E-2</v>
      </c>
      <c r="V60" s="136">
        <f>'LCI_AD-c'!$E20*'IW+_end'!R2</f>
        <v>7.3551459022328239E-6</v>
      </c>
      <c r="W60" s="136">
        <f>'LCI_AD-c'!$E20*'IW+_end'!S2</f>
        <v>2.024201607613384E-6</v>
      </c>
      <c r="X60" s="136">
        <f>'LCI_AD-c'!$E20*'IW+_end'!T2</f>
        <v>5.1807181231363171E-3</v>
      </c>
      <c r="Y60" s="136">
        <f>'LCI_AD-c'!$E20*'IW+_end'!U2</f>
        <v>3.524264851351946E-10</v>
      </c>
      <c r="Z60" s="136">
        <f>'LCI_AD-c'!$E20*'IW+_end'!V2</f>
        <v>2.8528066367425103E-6</v>
      </c>
      <c r="AA60" s="136">
        <f>'LCI_AD-c'!$E20*'IW+_end'!W2</f>
        <v>0.12009946497509549</v>
      </c>
      <c r="AB60" s="136">
        <f>'LCI_AD-c'!$E20*'IW+_end'!X2</f>
        <v>1.1938825427244384E-8</v>
      </c>
      <c r="AC60" s="136">
        <f>'LCI_AD-c'!$E20*'IW+_end'!Y2</f>
        <v>0.2612241184482012</v>
      </c>
      <c r="AD60" s="136">
        <f>'LCI_AD-c'!$E20*'IW+_end'!Z2</f>
        <v>0.26847317088436545</v>
      </c>
      <c r="AE60" s="136">
        <f>'LCI_AD-c'!$E20*'IW+_end'!AA2</f>
        <v>7.3883358677888519E-2</v>
      </c>
      <c r="AF60" s="136">
        <f>'LCI_AD-c'!$E20*'IW+_end'!AB2</f>
        <v>1.4486397820494486E-2</v>
      </c>
      <c r="AG60" s="136">
        <f>'LCI_AD-c'!$E20*'IW+_end'!AC2</f>
        <v>3.8517378079404589</v>
      </c>
      <c r="AH60" s="136">
        <f>'LCI_AD-c'!$E20*'IW+_end'!AD2</f>
        <v>1.6865524721996009E-5</v>
      </c>
      <c r="AI60" s="136">
        <f>'LCI_AD-c'!$E20*'IW+_end'!AE2</f>
        <v>7.6940829556770274E-5</v>
      </c>
      <c r="AJ60" s="136">
        <f>'LCI_AD-c'!$E20*'IW+_end'!AF2</f>
        <v>9.3977368563759392E-6</v>
      </c>
      <c r="AK60" s="136">
        <f>'LCI_AD-c'!$E20*'IW+_end'!AG2</f>
        <v>1.1216968503096544E-4</v>
      </c>
    </row>
    <row r="61" spans="1:37" x14ac:dyDescent="0.35">
      <c r="A61" s="141"/>
      <c r="B61" s="136" t="s">
        <v>127</v>
      </c>
      <c r="C61" s="136" t="e">
        <f>'LCI_AD-c'!$E21*'IW+_end'!#REF!</f>
        <v>#REF!</v>
      </c>
      <c r="D61" s="136" t="e">
        <f>'LCI_AD-c'!$E21*'IW+_end'!#REF!</f>
        <v>#REF!</v>
      </c>
      <c r="E61" s="136" t="e">
        <f>'LCI_AD-c'!$E21*'IW+_end'!#REF!</f>
        <v>#REF!</v>
      </c>
      <c r="F61" s="136" t="e">
        <f>'LCI_AD-c'!$E21*'IW+_end'!#REF!</f>
        <v>#REF!</v>
      </c>
      <c r="G61" s="136">
        <f>'LCI_AD-c'!$E21*'IW+_end'!C32</f>
        <v>2.3507575943553845E-20</v>
      </c>
      <c r="H61" s="136">
        <f>'LCI_AD-c'!$E21*'IW+_end'!D32</f>
        <v>7.4756002915242099E-3</v>
      </c>
      <c r="I61" s="136">
        <f>'LCI_AD-c'!$E21*'IW+_end'!E32</f>
        <v>9.5133737520027933E-2</v>
      </c>
      <c r="J61" s="136">
        <f>'LCI_AD-c'!$E21*'IW+_end'!F32</f>
        <v>1.996799750662483E-2</v>
      </c>
      <c r="K61" s="136">
        <f>'LCI_AD-c'!$E21*'IW+_end'!G32</f>
        <v>3.918592744509265E-6</v>
      </c>
      <c r="L61" s="136">
        <f>'LCI_AD-c'!$E21*'IW+_end'!H32</f>
        <v>2.3541751490413055E-9</v>
      </c>
      <c r="M61" s="136">
        <f>'LCI_AD-c'!$E21*'IW+_end'!I32</f>
        <v>3.3450672830258354E-8</v>
      </c>
      <c r="N61" s="136">
        <f>'LCI_AD-c'!$E21*'IW+_end'!J32</f>
        <v>7.0753027524551864E-8</v>
      </c>
      <c r="O61" s="136">
        <f>'LCI_AD-c'!$E21*'IW+_end'!K32</f>
        <v>3.9535048627454298E-8</v>
      </c>
      <c r="P61" s="136">
        <f>'LCI_AD-c'!$E21*'IW+_end'!L32</f>
        <v>3.968150991190346E-11</v>
      </c>
      <c r="Q61" s="136">
        <f>'LCI_AD-c'!$E21*'IW+_end'!M32</f>
        <v>6.6603179306387403E-10</v>
      </c>
      <c r="R61" s="136">
        <f>'LCI_AD-c'!$E21*'IW+_end'!N32</f>
        <v>4.5743981109926512E-3</v>
      </c>
      <c r="S61" s="136">
        <f>'LCI_AD-c'!$E21*'IW+_end'!O32</f>
        <v>8.1014923409397227E-3</v>
      </c>
      <c r="T61" s="136">
        <f>'LCI_AD-c'!$E21*'IW+_end'!P32</f>
        <v>9.1019659227857319E-2</v>
      </c>
      <c r="U61" s="136">
        <f>'LCI_AD-c'!$E21*'IW+_end'!Q32</f>
        <v>9.8803936705559713E-3</v>
      </c>
      <c r="V61" s="136">
        <f>'LCI_AD-c'!$E21*'IW+_end'!R32</f>
        <v>9.5517389695259853E-8</v>
      </c>
      <c r="W61" s="136">
        <f>'LCI_AD-c'!$E21*'IW+_end'!S32</f>
        <v>5.2928710716057974E-8</v>
      </c>
      <c r="X61" s="136">
        <f>'LCI_AD-c'!$E21*'IW+_end'!T32</f>
        <v>4.3984218339155592E-4</v>
      </c>
      <c r="Y61" s="136">
        <f>'LCI_AD-c'!$E21*'IW+_end'!U32</f>
        <v>5.7007762227287479E-12</v>
      </c>
      <c r="Z61" s="136">
        <f>'LCI_AD-c'!$E21*'IW+_end'!V32</f>
        <v>8.9912274452252226E-7</v>
      </c>
      <c r="AA61" s="136">
        <f>'LCI_AD-c'!$E21*'IW+_end'!W32</f>
        <v>1.4186452625451896E-2</v>
      </c>
      <c r="AB61" s="136">
        <f>'LCI_AD-c'!$E21*'IW+_end'!X32</f>
        <v>1.4538608180879093E-9</v>
      </c>
      <c r="AC61" s="136">
        <f>'LCI_AD-c'!$E21*'IW+_end'!Y32</f>
        <v>4.7532396950135905E-2</v>
      </c>
      <c r="AD61" s="136">
        <f>'LCI_AD-c'!$E21*'IW+_end'!Z32</f>
        <v>3.4864337427289753E-3</v>
      </c>
      <c r="AE61" s="136">
        <f>'LCI_AD-c'!$E21*'IW+_end'!AA32</f>
        <v>1.9318979411361164E-3</v>
      </c>
      <c r="AF61" s="136">
        <f>'LCI_AD-c'!$E21*'IW+_end'!AB32</f>
        <v>4.8805399410805121E-5</v>
      </c>
      <c r="AG61" s="136">
        <f>'LCI_AD-c'!$E21*'IW+_end'!AC32</f>
        <v>0.30387590526607955</v>
      </c>
      <c r="AH61" s="136">
        <f>'LCI_AD-c'!$E21*'IW+_end'!AD32</f>
        <v>1.1288727265311255E-6</v>
      </c>
      <c r="AI61" s="136">
        <f>'LCI_AD-c'!$E21*'IW+_end'!AE32</f>
        <v>6.6751161569022381E-7</v>
      </c>
      <c r="AJ61" s="136">
        <f>'LCI_AD-c'!$E21*'IW+_end'!AF32</f>
        <v>8.1531464489922844E-8</v>
      </c>
      <c r="AK61" s="136">
        <f>'LCI_AD-c'!$E21*'IW+_end'!AG32</f>
        <v>9.2063165159532293E-5</v>
      </c>
    </row>
    <row r="62" spans="1:37" x14ac:dyDescent="0.35">
      <c r="A62" s="141"/>
      <c r="B62" s="136" t="s">
        <v>134</v>
      </c>
      <c r="C62" s="136" t="e">
        <f>'LCI_AD-c'!$E22*'IW+_end'!#REF!</f>
        <v>#REF!</v>
      </c>
      <c r="D62" s="136" t="e">
        <f>'LCI_AD-c'!$E22*'IW+_end'!#REF!</f>
        <v>#REF!</v>
      </c>
      <c r="E62" s="136" t="e">
        <f>'LCI_AD-c'!$E22*'IW+_end'!#REF!</f>
        <v>#REF!</v>
      </c>
      <c r="F62" s="136" t="e">
        <f>'LCI_AD-c'!$E22*'IW+_end'!#REF!</f>
        <v>#REF!</v>
      </c>
      <c r="G62" s="136">
        <f>'LCI_AD-c'!$E22*'IW+_end'!C33</f>
        <v>3.487397684239594E-17</v>
      </c>
      <c r="H62" s="136">
        <f>'LCI_AD-c'!$E22*'IW+_end'!D33</f>
        <v>0.13286178903315285</v>
      </c>
      <c r="I62" s="136">
        <f>'LCI_AD-c'!$E22*'IW+_end'!E33</f>
        <v>23.547088231410793</v>
      </c>
      <c r="J62" s="136">
        <f>'LCI_AD-c'!$E22*'IW+_end'!F33</f>
        <v>0.45532410523731343</v>
      </c>
      <c r="K62" s="136">
        <f>'LCI_AD-c'!$E22*'IW+_end'!G33</f>
        <v>1.3037103036530827E-3</v>
      </c>
      <c r="L62" s="136">
        <f>'LCI_AD-c'!$E22*'IW+_end'!H33</f>
        <v>1.2315183786359684E-7</v>
      </c>
      <c r="M62" s="136">
        <f>'LCI_AD-c'!$E22*'IW+_end'!I33</f>
        <v>1.6719896461703793E-5</v>
      </c>
      <c r="N62" s="136">
        <f>'LCI_AD-c'!$E22*'IW+_end'!J33</f>
        <v>3.691406216685716E-6</v>
      </c>
      <c r="O62" s="136">
        <f>'LCI_AD-c'!$E22*'IW+_end'!K33</f>
        <v>7.6974614201652509E-6</v>
      </c>
      <c r="P62" s="136">
        <f>'LCI_AD-c'!$E22*'IW+_end'!L33</f>
        <v>1.3361783168041865E-9</v>
      </c>
      <c r="Q62" s="136">
        <f>'LCI_AD-c'!$E22*'IW+_end'!M33</f>
        <v>2.1486773497391788E-8</v>
      </c>
      <c r="R62" s="136">
        <f>'LCI_AD-c'!$E22*'IW+_end'!N33</f>
        <v>0.18694249421092868</v>
      </c>
      <c r="S62" s="136">
        <f>'LCI_AD-c'!$E22*'IW+_end'!O33</f>
        <v>0.31572917261499572</v>
      </c>
      <c r="T62" s="136">
        <f>'LCI_AD-c'!$E22*'IW+_end'!P33</f>
        <v>1.9057958052870343</v>
      </c>
      <c r="U62" s="136">
        <f>'LCI_AD-c'!$E22*'IW+_end'!Q33</f>
        <v>0.20687845189702475</v>
      </c>
      <c r="V62" s="136">
        <f>'LCI_AD-c'!$E22*'IW+_end'!R33</f>
        <v>4.7282587754678004E-6</v>
      </c>
      <c r="W62" s="136">
        <f>'LCI_AD-c'!$E22*'IW+_end'!S33</f>
        <v>5.4760607544562193E-6</v>
      </c>
      <c r="X62" s="136">
        <f>'LCI_AD-c'!$E22*'IW+_end'!T33</f>
        <v>1.9442010734317821E-2</v>
      </c>
      <c r="Y62" s="136">
        <f>'LCI_AD-c'!$E22*'IW+_end'!U33</f>
        <v>4.2078650785851587E-9</v>
      </c>
      <c r="Z62" s="136">
        <f>'LCI_AD-c'!$E22*'IW+_end'!V33</f>
        <v>1.45647288794487E-5</v>
      </c>
      <c r="AA62" s="136">
        <f>'LCI_AD-c'!$E22*'IW+_end'!W33</f>
        <v>0.34705834396279439</v>
      </c>
      <c r="AB62" s="136">
        <f>'LCI_AD-c'!$E22*'IW+_end'!X33</f>
        <v>3.5135569356472005E-8</v>
      </c>
      <c r="AC62" s="136">
        <f>'LCI_AD-c'!$E22*'IW+_end'!Y33</f>
        <v>0.86446278142853472</v>
      </c>
      <c r="AD62" s="136">
        <f>'LCI_AD-c'!$E22*'IW+_end'!Z33</f>
        <v>0.17290307199763411</v>
      </c>
      <c r="AE62" s="136">
        <f>'LCI_AD-c'!$E22*'IW+_end'!AA33</f>
        <v>0.19987621753765195</v>
      </c>
      <c r="AF62" s="136">
        <f>'LCI_AD-c'!$E22*'IW+_end'!AB33</f>
        <v>2.0555916670237559E-3</v>
      </c>
      <c r="AG62" s="136">
        <f>'LCI_AD-c'!$E22*'IW+_end'!AC33</f>
        <v>28.358811912570189</v>
      </c>
      <c r="AH62" s="136">
        <f>'LCI_AD-c'!$E22*'IW+_end'!AD33</f>
        <v>5.1795820829684863E-5</v>
      </c>
      <c r="AI62" s="136">
        <f>'LCI_AD-c'!$E22*'IW+_end'!AE33</f>
        <v>7.3179718870648256E-5</v>
      </c>
      <c r="AJ62" s="136">
        <f>'LCI_AD-c'!$E22*'IW+_end'!AF33</f>
        <v>8.9383458058853591E-6</v>
      </c>
      <c r="AK62" s="136">
        <f>'LCI_AD-c'!$E22*'IW+_end'!AG33</f>
        <v>1.006749872756925E-3</v>
      </c>
    </row>
    <row r="63" spans="1:37" x14ac:dyDescent="0.35">
      <c r="A63" s="141" t="s">
        <v>100</v>
      </c>
      <c r="B63" s="136"/>
      <c r="C63" s="136"/>
      <c r="D63" s="136"/>
      <c r="E63" s="136"/>
      <c r="F63" s="136"/>
      <c r="G63" s="136"/>
      <c r="H63" s="136"/>
      <c r="I63" s="136"/>
      <c r="J63" s="136"/>
      <c r="K63" s="136"/>
      <c r="L63" s="136"/>
      <c r="M63" s="136"/>
      <c r="N63" s="136"/>
      <c r="O63" s="136"/>
      <c r="P63" s="136"/>
      <c r="Q63" s="136"/>
      <c r="R63" s="136"/>
      <c r="S63" s="136"/>
      <c r="T63" s="136"/>
      <c r="U63" s="136"/>
      <c r="V63" s="136"/>
      <c r="W63" s="136"/>
      <c r="X63" s="136"/>
      <c r="Y63" s="136"/>
      <c r="Z63" s="136"/>
      <c r="AA63" s="136"/>
      <c r="AB63" s="136"/>
      <c r="AC63" s="136"/>
      <c r="AD63" s="136"/>
      <c r="AE63" s="136"/>
      <c r="AF63" s="136"/>
      <c r="AG63" s="136"/>
      <c r="AH63" s="136"/>
      <c r="AI63" s="136"/>
      <c r="AJ63" s="136"/>
      <c r="AK63" s="136"/>
    </row>
    <row r="64" spans="1:37" x14ac:dyDescent="0.35">
      <c r="A64" s="141"/>
      <c r="B64" s="136" t="s">
        <v>96</v>
      </c>
      <c r="C64" s="136" t="e">
        <f>'LCIA_AD-a'!C66</f>
        <v>#REF!</v>
      </c>
      <c r="D64" s="136" t="e">
        <f>'LCIA_AD-a'!D66</f>
        <v>#REF!</v>
      </c>
      <c r="E64" s="136" t="e">
        <f>'LCIA_AD-a'!E66</f>
        <v>#REF!</v>
      </c>
      <c r="F64" s="136" t="e">
        <f>'LCIA_AD-a'!F66</f>
        <v>#REF!</v>
      </c>
      <c r="G64" s="136">
        <f>'LCIA_AD-a'!G66</f>
        <v>0</v>
      </c>
      <c r="H64" s="136">
        <f>'LCIA_AD-a'!H66</f>
        <v>0</v>
      </c>
      <c r="I64" s="136">
        <f>'LCIA_AD-a'!I66</f>
        <v>0</v>
      </c>
      <c r="J64" s="136">
        <f>'LCIA_AD-a'!J66</f>
        <v>0</v>
      </c>
      <c r="K64" s="136">
        <f>'LCIA_AD-a'!K66</f>
        <v>0</v>
      </c>
      <c r="L64" s="136">
        <f>'LCIA_AD-a'!L66</f>
        <v>0</v>
      </c>
      <c r="M64" s="136">
        <f>'LCIA_AD-a'!M66</f>
        <v>0</v>
      </c>
      <c r="N64" s="136">
        <f>'LCIA_AD-a'!N66</f>
        <v>0</v>
      </c>
      <c r="O64" s="136">
        <f>'LCIA_AD-a'!O66</f>
        <v>0</v>
      </c>
      <c r="P64" s="136">
        <f>'LCIA_AD-a'!P66</f>
        <v>0</v>
      </c>
      <c r="Q64" s="136">
        <f>'LCIA_AD-a'!Q66</f>
        <v>0</v>
      </c>
      <c r="R64" s="136">
        <f>'LCIA_AD-a'!R66</f>
        <v>0</v>
      </c>
      <c r="S64" s="136">
        <f>'LCIA_AD-a'!S66</f>
        <v>0</v>
      </c>
      <c r="T64" s="136">
        <f>'LCIA_AD-a'!T66</f>
        <v>0</v>
      </c>
      <c r="U64" s="136">
        <f>'LCIA_AD-a'!U66</f>
        <v>0</v>
      </c>
      <c r="V64" s="136">
        <f>'LCIA_AD-a'!V66</f>
        <v>0</v>
      </c>
      <c r="W64" s="136">
        <f>'LCIA_AD-a'!W66</f>
        <v>0</v>
      </c>
      <c r="X64" s="136">
        <f>'LCIA_AD-a'!X66</f>
        <v>0</v>
      </c>
      <c r="Y64" s="136">
        <f>'LCIA_AD-a'!Y66</f>
        <v>0</v>
      </c>
      <c r="Z64" s="136">
        <f>'LCIA_AD-a'!Z66</f>
        <v>0</v>
      </c>
      <c r="AA64" s="136">
        <f>'LCIA_AD-a'!AA66</f>
        <v>0</v>
      </c>
      <c r="AB64" s="136">
        <f>'LCIA_AD-a'!AB66</f>
        <v>0</v>
      </c>
      <c r="AC64" s="136">
        <f>'LCIA_AD-a'!AC66</f>
        <v>0</v>
      </c>
      <c r="AD64" s="136">
        <f>'LCIA_AD-a'!AD66</f>
        <v>0</v>
      </c>
      <c r="AE64" s="136">
        <f>'LCIA_AD-a'!AE66</f>
        <v>0</v>
      </c>
      <c r="AF64" s="136">
        <f>'LCIA_AD-a'!AF66</f>
        <v>0</v>
      </c>
      <c r="AG64" s="136">
        <f>'LCIA_AD-a'!AG66</f>
        <v>0</v>
      </c>
      <c r="AH64" s="136">
        <f>'LCIA_AD-a'!AH66</f>
        <v>0</v>
      </c>
      <c r="AI64" s="136">
        <f>'LCIA_AD-a'!AI66</f>
        <v>0</v>
      </c>
      <c r="AJ64" s="136">
        <f>'LCIA_AD-a'!AJ66</f>
        <v>0</v>
      </c>
      <c r="AK64" s="136">
        <f>'LCIA_AD-a'!AK66</f>
        <v>0</v>
      </c>
    </row>
    <row r="65" spans="1:37" x14ac:dyDescent="0.35">
      <c r="A65" s="141" t="s">
        <v>108</v>
      </c>
      <c r="B65" s="136"/>
      <c r="C65" s="141" t="e">
        <f>'LCIA_AD-a'!C67</f>
        <v>#REF!</v>
      </c>
      <c r="D65" s="141" t="e">
        <f>'LCIA_AD-a'!D67</f>
        <v>#REF!</v>
      </c>
      <c r="E65" s="141" t="e">
        <f>'LCIA_AD-a'!E67</f>
        <v>#REF!</v>
      </c>
      <c r="F65" s="141" t="e">
        <f>'LCIA_AD-a'!F67</f>
        <v>#REF!</v>
      </c>
      <c r="G65" s="141">
        <f>'LCIA_AD-a'!G67</f>
        <v>0</v>
      </c>
      <c r="H65" s="141">
        <f>'LCIA_AD-a'!H67</f>
        <v>7.9951774603777057</v>
      </c>
      <c r="I65" s="141">
        <f>'LCIA_AD-a'!I67</f>
        <v>0</v>
      </c>
      <c r="J65" s="141">
        <f>'LCIA_AD-a'!J67</f>
        <v>0</v>
      </c>
      <c r="K65" s="141">
        <f>'LCIA_AD-a'!K67</f>
        <v>-0.19421069896461307</v>
      </c>
      <c r="L65" s="141">
        <f>'LCIA_AD-a'!L67</f>
        <v>0</v>
      </c>
      <c r="M65" s="141">
        <f>'LCIA_AD-a'!M67</f>
        <v>0</v>
      </c>
      <c r="N65" s="141">
        <f>'LCIA_AD-a'!N67</f>
        <v>0</v>
      </c>
      <c r="O65" s="141">
        <f>'LCIA_AD-a'!O67</f>
        <v>0</v>
      </c>
      <c r="P65" s="141">
        <f>'LCIA_AD-a'!P67</f>
        <v>0</v>
      </c>
      <c r="Q65" s="141">
        <f>'LCIA_AD-a'!Q67</f>
        <v>0</v>
      </c>
      <c r="R65" s="141">
        <f>'LCIA_AD-a'!R67</f>
        <v>0</v>
      </c>
      <c r="S65" s="141">
        <f>'LCIA_AD-a'!S67</f>
        <v>0</v>
      </c>
      <c r="T65" s="141">
        <f>'LCIA_AD-a'!T67</f>
        <v>-17.533492041158077</v>
      </c>
      <c r="U65" s="141">
        <f>'LCIA_AD-a'!U67</f>
        <v>-1.9033067018362388</v>
      </c>
      <c r="V65" s="141">
        <f>'LCIA_AD-a'!V67</f>
        <v>0</v>
      </c>
      <c r="W65" s="141">
        <f>'LCIA_AD-a'!W67</f>
        <v>0</v>
      </c>
      <c r="X65" s="141">
        <f>'LCIA_AD-a'!X67</f>
        <v>-0.67393084886835064</v>
      </c>
      <c r="Y65" s="141">
        <f>'LCIA_AD-a'!Y67</f>
        <v>0</v>
      </c>
      <c r="Z65" s="141">
        <f>'LCIA_AD-a'!Z67</f>
        <v>7.6801640589139021E-4</v>
      </c>
      <c r="AA65" s="141">
        <f>'LCIA_AD-a'!AA67</f>
        <v>0</v>
      </c>
      <c r="AB65" s="141">
        <f>'LCIA_AD-a'!AB67</f>
        <v>0</v>
      </c>
      <c r="AC65" s="141">
        <f>'LCIA_AD-a'!AC67</f>
        <v>103.07918225651237</v>
      </c>
      <c r="AD65" s="141">
        <f>'LCIA_AD-a'!AD67</f>
        <v>0</v>
      </c>
      <c r="AE65" s="141">
        <f>'LCIA_AD-a'!AE67</f>
        <v>0</v>
      </c>
      <c r="AF65" s="141">
        <f>'LCIA_AD-a'!AF67</f>
        <v>0</v>
      </c>
      <c r="AG65" s="141">
        <f>'LCIA_AD-a'!AG67</f>
        <v>90.769419426062811</v>
      </c>
      <c r="AH65" s="141">
        <f>'LCIA_AD-a'!AH67</f>
        <v>7.6801640589139021E-4</v>
      </c>
      <c r="AI65" s="141">
        <f>'LCIA_AD-a'!AI67</f>
        <v>0</v>
      </c>
      <c r="AJ65" s="141">
        <f>'LCIA_AD-a'!AJ67</f>
        <v>0</v>
      </c>
      <c r="AK65" s="141">
        <f>'LCIA_AD-a'!AK67</f>
        <v>0</v>
      </c>
    </row>
    <row r="66" spans="1:37" x14ac:dyDescent="0.35">
      <c r="A66" s="141"/>
      <c r="B66" s="136" t="s">
        <v>111</v>
      </c>
      <c r="C66" s="136" t="e">
        <f>'LCIA_AD-a'!C68</f>
        <v>#REF!</v>
      </c>
      <c r="D66" s="136" t="e">
        <f>'LCIA_AD-a'!D68</f>
        <v>#REF!</v>
      </c>
      <c r="E66" s="136" t="e">
        <f>'LCIA_AD-a'!E68</f>
        <v>#REF!</v>
      </c>
      <c r="F66" s="136" t="e">
        <f>'LCIA_AD-a'!F68</f>
        <v>#REF!</v>
      </c>
      <c r="G66" s="136">
        <f>'LCIA_AD-a'!G68</f>
        <v>0</v>
      </c>
      <c r="H66" s="136">
        <f>'LCIA_AD-a'!H68</f>
        <v>0</v>
      </c>
      <c r="I66" s="136">
        <f>'LCIA_AD-a'!I68</f>
        <v>0</v>
      </c>
      <c r="J66" s="136">
        <f>'LCIA_AD-a'!J68</f>
        <v>0</v>
      </c>
      <c r="K66" s="136">
        <f>'LCIA_AD-a'!K68</f>
        <v>0</v>
      </c>
      <c r="L66" s="136">
        <f>'LCIA_AD-a'!L68</f>
        <v>0</v>
      </c>
      <c r="M66" s="136">
        <f>'LCIA_AD-a'!M68</f>
        <v>0</v>
      </c>
      <c r="N66" s="136">
        <f>'LCIA_AD-a'!N68</f>
        <v>0</v>
      </c>
      <c r="O66" s="136">
        <f>'LCIA_AD-a'!O68</f>
        <v>0</v>
      </c>
      <c r="P66" s="136">
        <f>'LCIA_AD-a'!P68</f>
        <v>0</v>
      </c>
      <c r="Q66" s="136">
        <f>'LCIA_AD-a'!Q68</f>
        <v>0</v>
      </c>
      <c r="R66" s="136">
        <f>'LCIA_AD-a'!R68</f>
        <v>0</v>
      </c>
      <c r="S66" s="136">
        <f>'LCIA_AD-a'!S68</f>
        <v>0</v>
      </c>
      <c r="T66" s="136">
        <f>'LCIA_AD-a'!T68</f>
        <v>0</v>
      </c>
      <c r="U66" s="136">
        <f>'LCIA_AD-a'!U68</f>
        <v>0</v>
      </c>
      <c r="V66" s="136">
        <f>'LCIA_AD-a'!V68</f>
        <v>0</v>
      </c>
      <c r="W66" s="136">
        <f>'LCIA_AD-a'!W68</f>
        <v>0</v>
      </c>
      <c r="X66" s="136">
        <f>'LCIA_AD-a'!X68</f>
        <v>0</v>
      </c>
      <c r="Y66" s="136">
        <f>'LCIA_AD-a'!Y68</f>
        <v>0</v>
      </c>
      <c r="Z66" s="136">
        <f>'LCIA_AD-a'!Z68</f>
        <v>0</v>
      </c>
      <c r="AA66" s="136">
        <f>'LCIA_AD-a'!AA68</f>
        <v>0</v>
      </c>
      <c r="AB66" s="136">
        <f>'LCIA_AD-a'!AB68</f>
        <v>0</v>
      </c>
      <c r="AC66" s="136">
        <f>'LCIA_AD-a'!AC68</f>
        <v>0</v>
      </c>
      <c r="AD66" s="136">
        <f>'LCIA_AD-a'!AD68</f>
        <v>0</v>
      </c>
      <c r="AE66" s="136">
        <f>'LCIA_AD-a'!AE68</f>
        <v>0</v>
      </c>
      <c r="AF66" s="136">
        <f>'LCIA_AD-a'!AF68</f>
        <v>0</v>
      </c>
      <c r="AG66" s="136">
        <f>'LCIA_AD-a'!AG68</f>
        <v>0</v>
      </c>
      <c r="AH66" s="136">
        <f>'LCIA_AD-a'!AH68</f>
        <v>0</v>
      </c>
      <c r="AI66" s="136">
        <f>'LCIA_AD-a'!AI68</f>
        <v>0</v>
      </c>
      <c r="AJ66" s="136">
        <f>'LCIA_AD-a'!AJ68</f>
        <v>0</v>
      </c>
      <c r="AK66" s="136">
        <f>'LCIA_AD-a'!AK68</f>
        <v>0</v>
      </c>
    </row>
    <row r="67" spans="1:37" x14ac:dyDescent="0.35">
      <c r="A67" s="141"/>
      <c r="B67" s="136" t="s">
        <v>110</v>
      </c>
      <c r="C67" s="136" t="e">
        <f>'LCIA_AD-a'!C69</f>
        <v>#REF!</v>
      </c>
      <c r="D67" s="136" t="e">
        <f>'LCIA_AD-a'!D69</f>
        <v>#REF!</v>
      </c>
      <c r="E67" s="136" t="e">
        <f>'LCIA_AD-a'!E69</f>
        <v>#REF!</v>
      </c>
      <c r="F67" s="136" t="e">
        <f>'LCIA_AD-a'!F69</f>
        <v>#REF!</v>
      </c>
      <c r="G67" s="136">
        <f>'LCIA_AD-a'!G69</f>
        <v>0</v>
      </c>
      <c r="H67" s="136">
        <f>'LCIA_AD-a'!H69</f>
        <v>7.9951774603777057</v>
      </c>
      <c r="I67" s="136">
        <f>'LCIA_AD-a'!I69</f>
        <v>0</v>
      </c>
      <c r="J67" s="136">
        <f>'LCIA_AD-a'!J69</f>
        <v>0</v>
      </c>
      <c r="K67" s="136">
        <f>'LCIA_AD-a'!K69</f>
        <v>0</v>
      </c>
      <c r="L67" s="136">
        <f>'LCIA_AD-a'!L69</f>
        <v>0</v>
      </c>
      <c r="M67" s="136">
        <f>'LCIA_AD-a'!M69</f>
        <v>0</v>
      </c>
      <c r="N67" s="136">
        <f>'LCIA_AD-a'!N69</f>
        <v>0</v>
      </c>
      <c r="O67" s="136">
        <f>'LCIA_AD-a'!O69</f>
        <v>0</v>
      </c>
      <c r="P67" s="136">
        <f>'LCIA_AD-a'!P69</f>
        <v>0</v>
      </c>
      <c r="Q67" s="136">
        <f>'LCIA_AD-a'!Q69</f>
        <v>0</v>
      </c>
      <c r="R67" s="136">
        <f>'LCIA_AD-a'!R69</f>
        <v>0</v>
      </c>
      <c r="S67" s="136">
        <f>'LCIA_AD-a'!S69</f>
        <v>0</v>
      </c>
      <c r="T67" s="136">
        <f>'LCIA_AD-a'!T69</f>
        <v>0</v>
      </c>
      <c r="U67" s="136">
        <f>'LCIA_AD-a'!U69</f>
        <v>0</v>
      </c>
      <c r="V67" s="136">
        <f>'LCIA_AD-a'!V69</f>
        <v>0</v>
      </c>
      <c r="W67" s="136">
        <f>'LCIA_AD-a'!W69</f>
        <v>0</v>
      </c>
      <c r="X67" s="136">
        <f>'LCIA_AD-a'!X69</f>
        <v>3.0693235046556389</v>
      </c>
      <c r="Y67" s="136">
        <f>'LCIA_AD-a'!Y69</f>
        <v>0</v>
      </c>
      <c r="Z67" s="136">
        <f>'LCIA_AD-a'!Z69</f>
        <v>7.6801640589139021E-4</v>
      </c>
      <c r="AA67" s="136">
        <f>'LCIA_AD-a'!AA69</f>
        <v>0</v>
      </c>
      <c r="AB67" s="136">
        <f>'LCIA_AD-a'!AB69</f>
        <v>0</v>
      </c>
      <c r="AC67" s="136">
        <f>'LCIA_AD-a'!AC69</f>
        <v>103.07918225651237</v>
      </c>
      <c r="AD67" s="136">
        <f>'LCIA_AD-a'!AD69</f>
        <v>0</v>
      </c>
      <c r="AE67" s="136">
        <f>'LCIA_AD-a'!AE69</f>
        <v>0</v>
      </c>
      <c r="AF67" s="136">
        <f>'LCIA_AD-a'!AF69</f>
        <v>0</v>
      </c>
      <c r="AG67" s="136">
        <f>'LCIA_AD-a'!AG69</f>
        <v>114.14368322154573</v>
      </c>
      <c r="AH67" s="136">
        <f>'LCIA_AD-a'!AH69</f>
        <v>7.6801640589139021E-4</v>
      </c>
      <c r="AI67" s="136">
        <f>'LCIA_AD-a'!AI69</f>
        <v>0</v>
      </c>
      <c r="AJ67" s="136">
        <f>'LCIA_AD-a'!AJ69</f>
        <v>0</v>
      </c>
      <c r="AK67" s="136">
        <f>'LCIA_AD-a'!AK69</f>
        <v>0</v>
      </c>
    </row>
    <row r="68" spans="1:37" x14ac:dyDescent="0.35">
      <c r="A68" s="141"/>
      <c r="B68" s="136" t="s">
        <v>114</v>
      </c>
      <c r="C68" s="136" t="e">
        <f>'LCIA_AD-a'!C70</f>
        <v>#REF!</v>
      </c>
      <c r="D68" s="136" t="e">
        <f>'LCIA_AD-a'!D70</f>
        <v>#REF!</v>
      </c>
      <c r="E68" s="136" t="e">
        <f>'LCIA_AD-a'!E70</f>
        <v>#REF!</v>
      </c>
      <c r="F68" s="136" t="e">
        <f>'LCIA_AD-a'!F70</f>
        <v>#REF!</v>
      </c>
      <c r="G68" s="136">
        <f>'LCIA_AD-a'!G70</f>
        <v>0</v>
      </c>
      <c r="H68" s="136">
        <f>'LCIA_AD-a'!H70</f>
        <v>0</v>
      </c>
      <c r="I68" s="136">
        <f>'LCIA_AD-a'!I70</f>
        <v>0</v>
      </c>
      <c r="J68" s="136">
        <f>'LCIA_AD-a'!J70</f>
        <v>0</v>
      </c>
      <c r="K68" s="136">
        <f>'LCIA_AD-a'!K70</f>
        <v>0</v>
      </c>
      <c r="L68" s="136">
        <f>'LCIA_AD-a'!L70</f>
        <v>0</v>
      </c>
      <c r="M68" s="136">
        <f>'LCIA_AD-a'!M70</f>
        <v>0</v>
      </c>
      <c r="N68" s="136">
        <f>'LCIA_AD-a'!N70</f>
        <v>0</v>
      </c>
      <c r="O68" s="136">
        <f>'LCIA_AD-a'!O70</f>
        <v>0</v>
      </c>
      <c r="P68" s="136">
        <f>'LCIA_AD-a'!P70</f>
        <v>0</v>
      </c>
      <c r="Q68" s="136">
        <f>'LCIA_AD-a'!Q70</f>
        <v>0</v>
      </c>
      <c r="R68" s="136">
        <f>'LCIA_AD-a'!R70</f>
        <v>0</v>
      </c>
      <c r="S68" s="136">
        <f>'LCIA_AD-a'!S70</f>
        <v>0</v>
      </c>
      <c r="T68" s="136">
        <f>'LCIA_AD-a'!T70</f>
        <v>0</v>
      </c>
      <c r="U68" s="136">
        <f>'LCIA_AD-a'!U70</f>
        <v>0</v>
      </c>
      <c r="V68" s="136">
        <f>'LCIA_AD-a'!V70</f>
        <v>0</v>
      </c>
      <c r="W68" s="136">
        <f>'LCIA_AD-a'!W70</f>
        <v>0</v>
      </c>
      <c r="X68" s="136">
        <f>'LCIA_AD-a'!X70</f>
        <v>-3.7432543535239895</v>
      </c>
      <c r="Y68" s="136">
        <f>'LCIA_AD-a'!Y70</f>
        <v>0</v>
      </c>
      <c r="Z68" s="136">
        <f>'LCIA_AD-a'!Z70</f>
        <v>0</v>
      </c>
      <c r="AA68" s="136">
        <f>'LCIA_AD-a'!AA70</f>
        <v>0</v>
      </c>
      <c r="AB68" s="136">
        <f>'LCIA_AD-a'!AB70</f>
        <v>0</v>
      </c>
      <c r="AC68" s="136">
        <f>'LCIA_AD-a'!AC70</f>
        <v>0</v>
      </c>
      <c r="AD68" s="136">
        <f>'LCIA_AD-a'!AD70</f>
        <v>0</v>
      </c>
      <c r="AE68" s="136">
        <f>'LCIA_AD-a'!AE70</f>
        <v>0</v>
      </c>
      <c r="AF68" s="136">
        <f>'LCIA_AD-a'!AF70</f>
        <v>0</v>
      </c>
      <c r="AG68" s="136">
        <f>'LCIA_AD-a'!AG70</f>
        <v>-3.7432543535239895</v>
      </c>
      <c r="AH68" s="136">
        <f>'LCIA_AD-a'!AH70</f>
        <v>0</v>
      </c>
      <c r="AI68" s="136">
        <f>'LCIA_AD-a'!AI70</f>
        <v>0</v>
      </c>
      <c r="AJ68" s="136">
        <f>'LCIA_AD-a'!AJ70</f>
        <v>0</v>
      </c>
      <c r="AK68" s="136">
        <f>'LCIA_AD-a'!AK70</f>
        <v>0</v>
      </c>
    </row>
    <row r="69" spans="1:37" x14ac:dyDescent="0.35">
      <c r="A69" s="141"/>
      <c r="B69" s="136" t="s">
        <v>414</v>
      </c>
      <c r="C69" s="136" t="e">
        <f>'LCIA_AD-a'!C71</f>
        <v>#REF!</v>
      </c>
      <c r="D69" s="136" t="e">
        <f>'LCIA_AD-a'!D71</f>
        <v>#REF!</v>
      </c>
      <c r="E69" s="136" t="e">
        <f>'LCIA_AD-a'!E71</f>
        <v>#REF!</v>
      </c>
      <c r="F69" s="136" t="e">
        <f>'LCIA_AD-a'!F71</f>
        <v>#REF!</v>
      </c>
      <c r="G69" s="136">
        <f>'LCIA_AD-a'!G71</f>
        <v>0</v>
      </c>
      <c r="H69" s="136">
        <f>'LCIA_AD-a'!H71</f>
        <v>0</v>
      </c>
      <c r="I69" s="136">
        <f>'LCIA_AD-a'!I71</f>
        <v>0</v>
      </c>
      <c r="J69" s="136">
        <f>'LCIA_AD-a'!J71</f>
        <v>0</v>
      </c>
      <c r="K69" s="136">
        <f>'LCIA_AD-a'!K71</f>
        <v>-0.19421069896461307</v>
      </c>
      <c r="L69" s="136">
        <f>'LCIA_AD-a'!L71</f>
        <v>0</v>
      </c>
      <c r="M69" s="136">
        <f>'LCIA_AD-a'!M71</f>
        <v>0</v>
      </c>
      <c r="N69" s="136">
        <f>'LCIA_AD-a'!N71</f>
        <v>0</v>
      </c>
      <c r="O69" s="136">
        <f>'LCIA_AD-a'!O71</f>
        <v>0</v>
      </c>
      <c r="P69" s="136">
        <f>'LCIA_AD-a'!P71</f>
        <v>0</v>
      </c>
      <c r="Q69" s="136">
        <f>'LCIA_AD-a'!Q71</f>
        <v>0</v>
      </c>
      <c r="R69" s="136">
        <f>'LCIA_AD-a'!R71</f>
        <v>0</v>
      </c>
      <c r="S69" s="136">
        <f>'LCIA_AD-a'!S71</f>
        <v>0</v>
      </c>
      <c r="T69" s="136">
        <f>'LCIA_AD-a'!T71</f>
        <v>0</v>
      </c>
      <c r="U69" s="136">
        <f>'LCIA_AD-a'!U71</f>
        <v>0</v>
      </c>
      <c r="V69" s="136">
        <f>'LCIA_AD-a'!V71</f>
        <v>0</v>
      </c>
      <c r="W69" s="136">
        <f>'LCIA_AD-a'!W71</f>
        <v>0</v>
      </c>
      <c r="X69" s="136">
        <f>'LCIA_AD-a'!X71</f>
        <v>0</v>
      </c>
      <c r="Y69" s="136">
        <f>'LCIA_AD-a'!Y71</f>
        <v>0</v>
      </c>
      <c r="Z69" s="136">
        <f>'LCIA_AD-a'!Z71</f>
        <v>0</v>
      </c>
      <c r="AA69" s="136">
        <f>'LCIA_AD-a'!AA71</f>
        <v>0</v>
      </c>
      <c r="AB69" s="136">
        <f>'LCIA_AD-a'!AB71</f>
        <v>0</v>
      </c>
      <c r="AC69" s="136">
        <f>'LCIA_AD-a'!AC71</f>
        <v>0</v>
      </c>
      <c r="AD69" s="136">
        <f>'LCIA_AD-a'!AD71</f>
        <v>0</v>
      </c>
      <c r="AE69" s="136">
        <f>'LCIA_AD-a'!AE71</f>
        <v>0</v>
      </c>
      <c r="AF69" s="136">
        <f>'LCIA_AD-a'!AF71</f>
        <v>0</v>
      </c>
      <c r="AG69" s="136">
        <f>'LCIA_AD-a'!AG71</f>
        <v>-0.19421069896461307</v>
      </c>
      <c r="AH69" s="136">
        <f>'LCIA_AD-a'!AH71</f>
        <v>0</v>
      </c>
      <c r="AI69" s="136">
        <f>'LCIA_AD-a'!AI71</f>
        <v>0</v>
      </c>
      <c r="AJ69" s="136">
        <f>'LCIA_AD-a'!AJ71</f>
        <v>0</v>
      </c>
      <c r="AK69" s="136">
        <f>'LCIA_AD-a'!AK71</f>
        <v>0</v>
      </c>
    </row>
    <row r="70" spans="1:37" x14ac:dyDescent="0.35">
      <c r="A70" s="141"/>
      <c r="B70" s="136" t="s">
        <v>415</v>
      </c>
      <c r="C70" s="136" t="e">
        <f>'LCIA_AD-a'!C72</f>
        <v>#REF!</v>
      </c>
      <c r="D70" s="136" t="e">
        <f>'LCIA_AD-a'!D72</f>
        <v>#REF!</v>
      </c>
      <c r="E70" s="136" t="e">
        <f>'LCIA_AD-a'!E72</f>
        <v>#REF!</v>
      </c>
      <c r="F70" s="136" t="e">
        <f>'LCIA_AD-a'!F72</f>
        <v>#REF!</v>
      </c>
      <c r="G70" s="136">
        <f>'LCIA_AD-a'!G72</f>
        <v>0</v>
      </c>
      <c r="H70" s="136">
        <f>'LCIA_AD-a'!H72</f>
        <v>0</v>
      </c>
      <c r="I70" s="136">
        <f>'LCIA_AD-a'!I72</f>
        <v>0</v>
      </c>
      <c r="J70" s="136">
        <f>'LCIA_AD-a'!J72</f>
        <v>0</v>
      </c>
      <c r="K70" s="136">
        <f>'LCIA_AD-a'!K72</f>
        <v>0</v>
      </c>
      <c r="L70" s="136">
        <f>'LCIA_AD-a'!L72</f>
        <v>0</v>
      </c>
      <c r="M70" s="136">
        <f>'LCIA_AD-a'!M72</f>
        <v>0</v>
      </c>
      <c r="N70" s="136">
        <f>'LCIA_AD-a'!N72</f>
        <v>0</v>
      </c>
      <c r="O70" s="136">
        <f>'LCIA_AD-a'!O72</f>
        <v>0</v>
      </c>
      <c r="P70" s="136">
        <f>'LCIA_AD-a'!P72</f>
        <v>0</v>
      </c>
      <c r="Q70" s="136">
        <f>'LCIA_AD-a'!Q72</f>
        <v>0</v>
      </c>
      <c r="R70" s="136">
        <f>'LCIA_AD-a'!R72</f>
        <v>0</v>
      </c>
      <c r="S70" s="136">
        <f>'LCIA_AD-a'!S72</f>
        <v>0</v>
      </c>
      <c r="T70" s="136">
        <f>'LCIA_AD-a'!T72</f>
        <v>-17.533492041158077</v>
      </c>
      <c r="U70" s="136">
        <f>'LCIA_AD-a'!U72</f>
        <v>-1.9033067018362388</v>
      </c>
      <c r="V70" s="136">
        <f>'LCIA_AD-a'!V72</f>
        <v>0</v>
      </c>
      <c r="W70" s="136">
        <f>'LCIA_AD-a'!W72</f>
        <v>0</v>
      </c>
      <c r="X70" s="136">
        <f>'LCIA_AD-a'!X72</f>
        <v>0</v>
      </c>
      <c r="Y70" s="136">
        <f>'LCIA_AD-a'!Y72</f>
        <v>0</v>
      </c>
      <c r="Z70" s="136">
        <f>'LCIA_AD-a'!Z72</f>
        <v>0</v>
      </c>
      <c r="AA70" s="136">
        <f>'LCIA_AD-a'!AA72</f>
        <v>0</v>
      </c>
      <c r="AB70" s="136">
        <f>'LCIA_AD-a'!AB72</f>
        <v>0</v>
      </c>
      <c r="AC70" s="136">
        <f>'LCIA_AD-a'!AC72</f>
        <v>0</v>
      </c>
      <c r="AD70" s="136">
        <f>'LCIA_AD-a'!AD72</f>
        <v>0</v>
      </c>
      <c r="AE70" s="136">
        <f>'LCIA_AD-a'!AE72</f>
        <v>0</v>
      </c>
      <c r="AF70" s="136">
        <f>'LCIA_AD-a'!AF72</f>
        <v>0</v>
      </c>
      <c r="AG70" s="136">
        <f>'LCIA_AD-a'!AG72</f>
        <v>-19.436798742994313</v>
      </c>
      <c r="AH70" s="136">
        <f>'LCIA_AD-a'!AH72</f>
        <v>0</v>
      </c>
      <c r="AI70" s="136">
        <f>'LCIA_AD-a'!AI72</f>
        <v>0</v>
      </c>
      <c r="AJ70" s="136">
        <f>'LCIA_AD-a'!AJ72</f>
        <v>0</v>
      </c>
      <c r="AK70" s="136">
        <f>'LCIA_AD-a'!AK72</f>
        <v>0</v>
      </c>
    </row>
    <row r="71" spans="1:37" x14ac:dyDescent="0.35">
      <c r="A71" s="141" t="s">
        <v>421</v>
      </c>
      <c r="B71" s="136"/>
      <c r="C71" s="141" t="e">
        <f>SUM(C72:C76)</f>
        <v>#REF!</v>
      </c>
      <c r="D71" s="141" t="e">
        <f t="shared" ref="D71:AK71" si="10">SUM(D72:D76)</f>
        <v>#REF!</v>
      </c>
      <c r="E71" s="141" t="e">
        <f t="shared" si="10"/>
        <v>#REF!</v>
      </c>
      <c r="F71" s="141" t="e">
        <f t="shared" si="10"/>
        <v>#REF!</v>
      </c>
      <c r="G71" s="141">
        <f t="shared" si="10"/>
        <v>2.254700378181042E-16</v>
      </c>
      <c r="H71" s="141">
        <f t="shared" si="10"/>
        <v>1.2985616031570164</v>
      </c>
      <c r="I71" s="141">
        <f t="shared" si="10"/>
        <v>11.145138701585886</v>
      </c>
      <c r="J71" s="141">
        <f t="shared" si="10"/>
        <v>5.1779848808722297</v>
      </c>
      <c r="K71" s="141">
        <f t="shared" si="10"/>
        <v>0.15839049310753062</v>
      </c>
      <c r="L71" s="141">
        <f t="shared" si="10"/>
        <v>5.6773407243550942E-7</v>
      </c>
      <c r="M71" s="141">
        <f t="shared" si="10"/>
        <v>1.7525635619507151E-5</v>
      </c>
      <c r="N71" s="141">
        <f t="shared" si="10"/>
        <v>1.7865417915676179E-5</v>
      </c>
      <c r="O71" s="141">
        <f t="shared" si="10"/>
        <v>2.0436900122044933E-5</v>
      </c>
      <c r="P71" s="141">
        <f t="shared" si="10"/>
        <v>1.1901603301109974E-8</v>
      </c>
      <c r="Q71" s="141">
        <f t="shared" si="10"/>
        <v>2.2485219987910825E-7</v>
      </c>
      <c r="R71" s="141">
        <f t="shared" si="10"/>
        <v>2.272639297429083</v>
      </c>
      <c r="S71" s="141">
        <f t="shared" si="10"/>
        <v>4.9019699453088688</v>
      </c>
      <c r="T71" s="141">
        <f t="shared" si="10"/>
        <v>16.924776375866305</v>
      </c>
      <c r="U71" s="141">
        <f t="shared" si="10"/>
        <v>1.8372187948910397</v>
      </c>
      <c r="V71" s="141">
        <f t="shared" si="10"/>
        <v>2.9370105174308615E-5</v>
      </c>
      <c r="W71" s="141">
        <f t="shared" si="10"/>
        <v>3.5703386913463196E-5</v>
      </c>
      <c r="X71" s="141">
        <f t="shared" si="10"/>
        <v>0.15769988919141609</v>
      </c>
      <c r="Y71" s="141">
        <f t="shared" si="10"/>
        <v>3.0728002289579365E-8</v>
      </c>
      <c r="Z71" s="141">
        <f t="shared" si="10"/>
        <v>1.0265749301292458E-4</v>
      </c>
      <c r="AA71" s="141">
        <f t="shared" si="10"/>
        <v>3.7648576160577565</v>
      </c>
      <c r="AB71" s="141">
        <f t="shared" si="10"/>
        <v>3.5004029947602331E-7</v>
      </c>
      <c r="AC71" s="141">
        <f t="shared" si="10"/>
        <v>8.7893803541273936</v>
      </c>
      <c r="AD71" s="141">
        <f t="shared" si="10"/>
        <v>1.0720213447331213</v>
      </c>
      <c r="AE71" s="141">
        <f t="shared" si="10"/>
        <v>1.3031736223414068</v>
      </c>
      <c r="AF71" s="141">
        <f t="shared" si="10"/>
        <v>1.2092625352913182E-2</v>
      </c>
      <c r="AG71" s="141">
        <f t="shared" si="10"/>
        <v>58.848784849411977</v>
      </c>
      <c r="AH71" s="141">
        <f t="shared" si="10"/>
        <v>2.6782674996062836E-4</v>
      </c>
      <c r="AI71" s="141">
        <f t="shared" si="10"/>
        <v>8.8558892772621235E-4</v>
      </c>
      <c r="AJ71" s="141">
        <f t="shared" si="10"/>
        <v>1.0816794871639528E-4</v>
      </c>
      <c r="AK71" s="141">
        <f t="shared" si="10"/>
        <v>3.192863106859567E-2</v>
      </c>
    </row>
    <row r="72" spans="1:37" x14ac:dyDescent="0.35">
      <c r="A72" s="141"/>
      <c r="B72" s="136" t="s">
        <v>228</v>
      </c>
      <c r="C72" s="136" t="e">
        <f>'LCIA_AD-a'!C74</f>
        <v>#REF!</v>
      </c>
      <c r="D72" s="136" t="e">
        <f>'LCIA_AD-a'!D74</f>
        <v>#REF!</v>
      </c>
      <c r="E72" s="136" t="e">
        <f>'LCIA_AD-a'!E74</f>
        <v>#REF!</v>
      </c>
      <c r="F72" s="136" t="e">
        <f>'LCIA_AD-a'!F74</f>
        <v>#REF!</v>
      </c>
      <c r="G72" s="136">
        <f>'LCIA_AD-a'!G74</f>
        <v>7.1839059451077027E-17</v>
      </c>
      <c r="H72" s="136">
        <f>'LCIA_AD-a'!H74</f>
        <v>0.15976538150591041</v>
      </c>
      <c r="I72" s="136">
        <f>'LCIA_AD-a'!I74</f>
        <v>1.3286838950285187</v>
      </c>
      <c r="J72" s="136">
        <f>'LCIA_AD-a'!J74</f>
        <v>0.44167281808898784</v>
      </c>
      <c r="K72" s="136">
        <f>'LCIA_AD-a'!K74</f>
        <v>6.4966943598052953E-4</v>
      </c>
      <c r="L72" s="136">
        <f>'LCIA_AD-a'!L74</f>
        <v>9.9178611616952431E-8</v>
      </c>
      <c r="M72" s="136">
        <f>'LCIA_AD-a'!M74</f>
        <v>4.6569101689615966E-6</v>
      </c>
      <c r="N72" s="136">
        <f>'LCIA_AD-a'!N74</f>
        <v>3.2305737622603584E-6</v>
      </c>
      <c r="O72" s="136">
        <f>'LCIA_AD-a'!O74</f>
        <v>3.2697442520780137E-6</v>
      </c>
      <c r="P72" s="136">
        <f>'LCIA_AD-a'!P74</f>
        <v>1.3965488787624792E-9</v>
      </c>
      <c r="Q72" s="136">
        <f>'LCIA_AD-a'!Q74</f>
        <v>2.522741482903371E-8</v>
      </c>
      <c r="R72" s="136">
        <f>'LCIA_AD-a'!R74</f>
        <v>0.18924733002891919</v>
      </c>
      <c r="S72" s="136">
        <f>'LCIA_AD-a'!S74</f>
        <v>0.34162924878201517</v>
      </c>
      <c r="T72" s="136">
        <f>'LCIA_AD-a'!T74</f>
        <v>3.5833262224005518</v>
      </c>
      <c r="U72" s="136">
        <f>'LCIA_AD-a'!U74</f>
        <v>0.38897871107892706</v>
      </c>
      <c r="V72" s="136">
        <f>'LCIA_AD-a'!V74</f>
        <v>6.9458050003459681E-6</v>
      </c>
      <c r="W72" s="136">
        <f>'LCIA_AD-a'!W74</f>
        <v>9.4523840991512821E-6</v>
      </c>
      <c r="X72" s="136">
        <f>'LCIA_AD-a'!X74</f>
        <v>6.5295283178198271E-2</v>
      </c>
      <c r="Y72" s="136">
        <f>'LCIA_AD-a'!Y74</f>
        <v>1.0847755754146297E-9</v>
      </c>
      <c r="Z72" s="136">
        <f>'LCIA_AD-a'!Z74</f>
        <v>1.2853779227979255E-5</v>
      </c>
      <c r="AA72" s="136">
        <f>'LCIA_AD-a'!AA74</f>
        <v>0.37169565680962818</v>
      </c>
      <c r="AB72" s="136">
        <f>'LCIA_AD-a'!AB74</f>
        <v>3.5745885416060553E-8</v>
      </c>
      <c r="AC72" s="136">
        <f>'LCIA_AD-a'!AC74</f>
        <v>1.4643983888361911</v>
      </c>
      <c r="AD72" s="136">
        <f>'LCIA_AD-a'!AD74</f>
        <v>0.25352298793489464</v>
      </c>
      <c r="AE72" s="136">
        <f>'LCIA_AD-a'!AE74</f>
        <v>0.34501201961902173</v>
      </c>
      <c r="AF72" s="136">
        <f>'LCIA_AD-a'!AF74</f>
        <v>1.5683596768609758E-3</v>
      </c>
      <c r="AG72" s="136">
        <f>'LCIA_AD-a'!AG74</f>
        <v>8.9363858406077341</v>
      </c>
      <c r="AH72" s="136">
        <f>'LCIA_AD-a'!AH74</f>
        <v>6.6058012664428612E-5</v>
      </c>
      <c r="AI72" s="136">
        <f>'LCIA_AD-a'!AI74</f>
        <v>3.4292573087756539E-4</v>
      </c>
      <c r="AJ72" s="136">
        <f>'LCIA_AD-a'!AJ74</f>
        <v>4.1885768565711923E-5</v>
      </c>
      <c r="AK72" s="136">
        <f>'LCIA_AD-a'!AK74</f>
        <v>5.8054288660261226E-4</v>
      </c>
    </row>
    <row r="73" spans="1:37" x14ac:dyDescent="0.35">
      <c r="A73" s="141"/>
      <c r="B73" s="136" t="s">
        <v>230</v>
      </c>
      <c r="C73" s="136" t="e">
        <f>'LCIA_AD-a'!C75</f>
        <v>#REF!</v>
      </c>
      <c r="D73" s="136" t="e">
        <f>'LCIA_AD-a'!D75</f>
        <v>#REF!</v>
      </c>
      <c r="E73" s="136" t="e">
        <f>'LCIA_AD-a'!E75</f>
        <v>#REF!</v>
      </c>
      <c r="F73" s="136" t="e">
        <f>'LCIA_AD-a'!F75</f>
        <v>#REF!</v>
      </c>
      <c r="G73" s="136">
        <f>'LCIA_AD-a'!G75</f>
        <v>1.1497481230567759E-16</v>
      </c>
      <c r="H73" s="136">
        <f>'LCIA_AD-a'!H75</f>
        <v>0.70476902100808392</v>
      </c>
      <c r="I73" s="136">
        <f>'LCIA_AD-a'!I75</f>
        <v>3.6906910779461204</v>
      </c>
      <c r="J73" s="136">
        <f>'LCIA_AD-a'!J75</f>
        <v>0.33849636256650795</v>
      </c>
      <c r="K73" s="136">
        <f>'LCIA_AD-a'!K75</f>
        <v>0.15668966620926444</v>
      </c>
      <c r="L73" s="136">
        <f>'LCIA_AD-a'!L75</f>
        <v>1.9633790233167265E-7</v>
      </c>
      <c r="M73" s="136">
        <f>'LCIA_AD-a'!M75</f>
        <v>7.3548680496487088E-6</v>
      </c>
      <c r="N73" s="136">
        <f>'LCIA_AD-a'!N75</f>
        <v>6.3051199392739216E-6</v>
      </c>
      <c r="O73" s="136">
        <f>'LCIA_AD-a'!O75</f>
        <v>1.1017961092851991E-5</v>
      </c>
      <c r="P73" s="136">
        <f>'LCIA_AD-a'!P75</f>
        <v>7.3071772848713008E-9</v>
      </c>
      <c r="Q73" s="136">
        <f>'LCIA_AD-a'!Q75</f>
        <v>1.4867259719273959E-7</v>
      </c>
      <c r="R73" s="136">
        <f>'LCIA_AD-a'!R75</f>
        <v>1.0741998489157791</v>
      </c>
      <c r="S73" s="136">
        <f>'LCIA_AD-a'!S75</f>
        <v>1.2438454860455115</v>
      </c>
      <c r="T73" s="136">
        <f>'LCIA_AD-a'!T75</f>
        <v>2.7219878231228605</v>
      </c>
      <c r="U73" s="136">
        <f>'LCIA_AD-a'!U75</f>
        <v>0.29547782338190726</v>
      </c>
      <c r="V73" s="136">
        <f>'LCIA_AD-a'!V75</f>
        <v>1.1380329385058165E-5</v>
      </c>
      <c r="W73" s="136">
        <f>'LCIA_AD-a'!W75</f>
        <v>1.5101048836186786E-5</v>
      </c>
      <c r="X73" s="136">
        <f>'LCIA_AD-a'!X75</f>
        <v>2.2656385776052428E-2</v>
      </c>
      <c r="Y73" s="136">
        <f>'LCIA_AD-a'!Y75</f>
        <v>6.0126879000854583E-10</v>
      </c>
      <c r="Z73" s="136">
        <f>'LCIA_AD-a'!Z75</f>
        <v>5.6746972480412308E-5</v>
      </c>
      <c r="AA73" s="136">
        <f>'LCIA_AD-a'!AA75</f>
        <v>0.43384146164752557</v>
      </c>
      <c r="AB73" s="136">
        <f>'LCIA_AD-a'!AB75</f>
        <v>4.3409608990377984E-8</v>
      </c>
      <c r="AC73" s="136">
        <f>'LCIA_AD-a'!AC75</f>
        <v>4.2975468876606771</v>
      </c>
      <c r="AD73" s="136">
        <f>'LCIA_AD-a'!AD75</f>
        <v>0.41538780694478905</v>
      </c>
      <c r="AE73" s="136">
        <f>'LCIA_AD-a'!AE75</f>
        <v>0.55118828252081775</v>
      </c>
      <c r="AF73" s="136">
        <f>'LCIA_AD-a'!AF75</f>
        <v>6.0768319209760883E-3</v>
      </c>
      <c r="AG73" s="136">
        <f>'LCIA_AD-a'!AG75</f>
        <v>15.958650340166795</v>
      </c>
      <c r="AH73" s="136">
        <f>'LCIA_AD-a'!AH75</f>
        <v>1.2728497718566826E-4</v>
      </c>
      <c r="AI73" s="136">
        <f>'LCIA_AD-a'!AI75</f>
        <v>3.7227889535239046E-4</v>
      </c>
      <c r="AJ73" s="136">
        <f>'LCIA_AD-a'!AJ75</f>
        <v>4.5471034246176504E-5</v>
      </c>
      <c r="AK73" s="136">
        <f>'LCIA_AD-a'!AK75</f>
        <v>5.3968069191696767E-3</v>
      </c>
    </row>
    <row r="74" spans="1:37" x14ac:dyDescent="0.35">
      <c r="A74" s="141"/>
      <c r="B74" s="136" t="s">
        <v>229</v>
      </c>
      <c r="C74" s="136" t="e">
        <f>'LCIA_AD-a'!C76</f>
        <v>#REF!</v>
      </c>
      <c r="D74" s="136" t="e">
        <f>'LCIA_AD-a'!D76</f>
        <v>#REF!</v>
      </c>
      <c r="E74" s="136" t="e">
        <f>'LCIA_AD-a'!E76</f>
        <v>#REF!</v>
      </c>
      <c r="F74" s="136" t="e">
        <f>'LCIA_AD-a'!F76</f>
        <v>#REF!</v>
      </c>
      <c r="G74" s="136">
        <f>'LCIA_AD-a'!G76</f>
        <v>3.8351252146686007E-17</v>
      </c>
      <c r="H74" s="136">
        <f>'LCIA_AD-a'!H76</f>
        <v>9.0501306253378364E-2</v>
      </c>
      <c r="I74" s="136">
        <f>'LCIA_AD-a'!I76</f>
        <v>2.4469188380433797</v>
      </c>
      <c r="J74" s="136">
        <f>'LCIA_AD-a'!J76</f>
        <v>0.25452117604786123</v>
      </c>
      <c r="K74" s="136">
        <f>'LCIA_AD-a'!K76</f>
        <v>4.6061135544141327E-4</v>
      </c>
      <c r="L74" s="136">
        <f>'LCIA_AD-a'!L76</f>
        <v>6.7954840852507947E-8</v>
      </c>
      <c r="M74" s="136">
        <f>'LCIA_AD-a'!M76</f>
        <v>3.3822653762640168E-6</v>
      </c>
      <c r="N74" s="136">
        <f>'LCIA_AD-a'!N76</f>
        <v>2.2580610786893007E-6</v>
      </c>
      <c r="O74" s="136">
        <f>'LCIA_AD-a'!O76</f>
        <v>2.1001054301561887E-6</v>
      </c>
      <c r="P74" s="136">
        <f>'LCIA_AD-a'!P76</f>
        <v>8.4101397978904736E-10</v>
      </c>
      <c r="Q74" s="136">
        <f>'LCIA_AD-a'!Q76</f>
        <v>1.4609866583635377E-8</v>
      </c>
      <c r="R74" s="136">
        <f>'LCIA_AD-a'!R76</f>
        <v>0.43774715871875158</v>
      </c>
      <c r="S74" s="136">
        <f>'LCIA_AD-a'!S76</f>
        <v>0.80750302297936827</v>
      </c>
      <c r="T74" s="136">
        <f>'LCIA_AD-a'!T76</f>
        <v>1.6899583886444969</v>
      </c>
      <c r="U74" s="136">
        <f>'LCIA_AD-a'!U76</f>
        <v>0.18344835910684987</v>
      </c>
      <c r="V74" s="136">
        <f>'LCIA_AD-a'!V76</f>
        <v>4.1839195543371516E-6</v>
      </c>
      <c r="W74" s="136">
        <f>'LCIA_AD-a'!W76</f>
        <v>5.2373234079643975E-6</v>
      </c>
      <c r="X74" s="136">
        <f>'LCIA_AD-a'!X76</f>
        <v>1.4808884601528851E-2</v>
      </c>
      <c r="Y74" s="136">
        <f>'LCIA_AD-a'!Y76</f>
        <v>4.9916504449657591E-10</v>
      </c>
      <c r="Z74" s="136">
        <f>'LCIA_AD-a'!Z76</f>
        <v>8.31333748111013E-6</v>
      </c>
      <c r="AA74" s="136">
        <f>'LCIA_AD-a'!AA76</f>
        <v>0.40037884805765755</v>
      </c>
      <c r="AB74" s="136">
        <f>'LCIA_AD-a'!AB76</f>
        <v>3.9818577660412446E-8</v>
      </c>
      <c r="AC74" s="136">
        <f>'LCIA_AD-a'!AC76</f>
        <v>0.62383457282664401</v>
      </c>
      <c r="AD74" s="136">
        <f>'LCIA_AD-a'!AD76</f>
        <v>0.1527138918650883</v>
      </c>
      <c r="AE74" s="136">
        <f>'LCIA_AD-a'!AE76</f>
        <v>0.19116230439070045</v>
      </c>
      <c r="AF74" s="136">
        <f>'LCIA_AD-a'!AF76</f>
        <v>9.4055367393750227E-4</v>
      </c>
      <c r="AG74" s="136">
        <f>'LCIA_AD-a'!AG76</f>
        <v>7.2952399512863906</v>
      </c>
      <c r="AH74" s="136">
        <f>'LCIA_AD-a'!AH76</f>
        <v>2.1865133731379996E-5</v>
      </c>
      <c r="AI74" s="136">
        <f>'LCIA_AD-a'!AI76</f>
        <v>4.6572544448635516E-5</v>
      </c>
      <c r="AJ74" s="136">
        <f>'LCIA_AD-a'!AJ76</f>
        <v>5.6884819150193094E-6</v>
      </c>
      <c r="AK74" s="136">
        <f>'LCIA_AD-a'!AK76</f>
        <v>2.8604009288160393E-4</v>
      </c>
    </row>
    <row r="75" spans="1:37" x14ac:dyDescent="0.35">
      <c r="A75" s="141"/>
      <c r="B75" s="136" t="s">
        <v>231</v>
      </c>
      <c r="C75" s="136" t="e">
        <f>'LCIA_AD-a'!C77</f>
        <v>#REF!</v>
      </c>
      <c r="D75" s="136" t="e">
        <f>'LCIA_AD-a'!D77</f>
        <v>#REF!</v>
      </c>
      <c r="E75" s="136" t="e">
        <f>'LCIA_AD-a'!E77</f>
        <v>#REF!</v>
      </c>
      <c r="F75" s="136" t="e">
        <f>'LCIA_AD-a'!F77</f>
        <v>#REF!</v>
      </c>
      <c r="G75" s="136">
        <f>'LCIA_AD-a'!G77</f>
        <v>3.0491391466362166E-19</v>
      </c>
      <c r="H75" s="136">
        <f>'LCIA_AD-a'!H77</f>
        <v>1.046146153532156E-2</v>
      </c>
      <c r="I75" s="136">
        <f>'LCIA_AD-a'!I77</f>
        <v>0.11901578469016609</v>
      </c>
      <c r="J75" s="136">
        <f>'LCIA_AD-a'!J77</f>
        <v>4.908992412564956E-2</v>
      </c>
      <c r="K75" s="136">
        <f>'LCIA_AD-a'!K77</f>
        <v>5.6691689946885326E-5</v>
      </c>
      <c r="L75" s="136">
        <f>'LCIA_AD-a'!L77</f>
        <v>6.7550671281044935E-9</v>
      </c>
      <c r="M75" s="136">
        <f>'LCIA_AD-a'!M77</f>
        <v>5.0618565452077096E-7</v>
      </c>
      <c r="N75" s="136">
        <f>'LCIA_AD-a'!N77</f>
        <v>2.1467934456613754E-7</v>
      </c>
      <c r="O75" s="136">
        <f>'LCIA_AD-a'!O77</f>
        <v>1.7957782371438014E-7</v>
      </c>
      <c r="P75" s="136">
        <f>'LCIA_AD-a'!P77</f>
        <v>1.6022314895915818E-9</v>
      </c>
      <c r="Q75" s="136">
        <f>'LCIA_AD-a'!Q77</f>
        <v>2.0177684973598105E-8</v>
      </c>
      <c r="R75" s="136">
        <f>'LCIA_AD-a'!R77</f>
        <v>0.11921370434443354</v>
      </c>
      <c r="S75" s="136">
        <f>'LCIA_AD-a'!S77</f>
        <v>0.61820534214003264</v>
      </c>
      <c r="T75" s="136">
        <f>'LCIA_AD-a'!T77</f>
        <v>0.17230378437011609</v>
      </c>
      <c r="U75" s="136">
        <f>'LCIA_AD-a'!U77</f>
        <v>1.8703882311647237E-2</v>
      </c>
      <c r="V75" s="136">
        <f>'LCIA_AD-a'!V77</f>
        <v>4.3247977508719187E-7</v>
      </c>
      <c r="W75" s="136">
        <f>'LCIA_AD-a'!W77</f>
        <v>2.8867790436279976E-7</v>
      </c>
      <c r="X75" s="136">
        <f>'LCIA_AD-a'!X77</f>
        <v>2.2910853538287757E-3</v>
      </c>
      <c r="Y75" s="136">
        <f>'LCIA_AD-a'!Y77</f>
        <v>3.075983958431578E-11</v>
      </c>
      <c r="Z75" s="136">
        <f>'LCIA_AD-a'!Z77</f>
        <v>1.094512707880644E-6</v>
      </c>
      <c r="AA75" s="136">
        <f>'LCIA_AD-a'!AA77</f>
        <v>6.810018375812045E-2</v>
      </c>
      <c r="AB75" s="136">
        <f>'LCIA_AD-a'!AB77</f>
        <v>6.895530787489346E-9</v>
      </c>
      <c r="AC75" s="136">
        <f>'LCIA_AD-a'!AC77</f>
        <v>7.5961335576372038E-2</v>
      </c>
      <c r="AD75" s="136">
        <f>'LCIA_AD-a'!AD77</f>
        <v>1.5785724432708065E-2</v>
      </c>
      <c r="AE75" s="136">
        <f>'LCIA_AD-a'!AE77</f>
        <v>1.053674350924219E-2</v>
      </c>
      <c r="AF75" s="136">
        <f>'LCIA_AD-a'!AF77</f>
        <v>1.2384486383477695E-3</v>
      </c>
      <c r="AG75" s="136">
        <f>'LCIA_AD-a'!AG77</f>
        <v>1.3042077930147324</v>
      </c>
      <c r="AH75" s="136">
        <f>'LCIA_AD-a'!AH77</f>
        <v>6.9685299936620097E-6</v>
      </c>
      <c r="AI75" s="136">
        <f>'LCIA_AD-a'!AI77</f>
        <v>4.0442269028901048E-5</v>
      </c>
      <c r="AJ75" s="136">
        <f>'LCIA_AD-a'!AJ77</f>
        <v>4.9397154202513011E-6</v>
      </c>
      <c r="AK75" s="136">
        <f>'LCIA_AD-a'!AK77</f>
        <v>2.3202531509859688E-2</v>
      </c>
    </row>
    <row r="76" spans="1:37" x14ac:dyDescent="0.35">
      <c r="A76" s="141"/>
      <c r="B76" s="136" t="s">
        <v>474</v>
      </c>
      <c r="C76" s="136" t="e">
        <f>'LCI_AD-c'!$E38*'IW+_end'!#REF!</f>
        <v>#REF!</v>
      </c>
      <c r="D76" s="136" t="e">
        <f>'LCI_AD-c'!$E38*'IW+_end'!#REF!</f>
        <v>#REF!</v>
      </c>
      <c r="E76" s="136" t="e">
        <f>'LCI_AD-c'!$E38*'IW+_end'!#REF!</f>
        <v>#REF!</v>
      </c>
      <c r="F76" s="136" t="e">
        <f>'LCI_AD-c'!$E38*'IW+_end'!#REF!</f>
        <v>#REF!</v>
      </c>
      <c r="G76" s="136">
        <f>'LCI_AD-c'!$E38*'IW+_end'!C38</f>
        <v>0</v>
      </c>
      <c r="H76" s="136">
        <f>'LCI_AD-c'!$E38*'IW+_end'!D38</f>
        <v>0.33306443285432219</v>
      </c>
      <c r="I76" s="136">
        <f>'LCI_AD-c'!$E38*'IW+_end'!E38</f>
        <v>3.5598291058777001</v>
      </c>
      <c r="J76" s="136">
        <f>'LCI_AD-c'!$E38*'IW+_end'!F38</f>
        <v>4.0942046000432235</v>
      </c>
      <c r="K76" s="136">
        <f>'LCI_AD-c'!$E38*'IW+_end'!G38</f>
        <v>5.3385441689734559E-4</v>
      </c>
      <c r="L76" s="136">
        <f>'LCI_AD-c'!$E38*'IW+_end'!H38</f>
        <v>1.9750765050627191E-7</v>
      </c>
      <c r="M76" s="136">
        <f>'LCI_AD-c'!$E38*'IW+_end'!I38</f>
        <v>1.6254063701120575E-6</v>
      </c>
      <c r="N76" s="136">
        <f>'LCI_AD-c'!$E38*'IW+_end'!J38</f>
        <v>5.8569837908864588E-6</v>
      </c>
      <c r="O76" s="136">
        <f>'LCI_AD-c'!$E38*'IW+_end'!K38</f>
        <v>3.8695115232443626E-6</v>
      </c>
      <c r="P76" s="136">
        <f>'LCI_AD-c'!$E38*'IW+_end'!L38</f>
        <v>7.5463166809556347E-10</v>
      </c>
      <c r="Q76" s="136">
        <f>'LCI_AD-c'!$E38*'IW+_end'!M38</f>
        <v>1.6164636300101453E-8</v>
      </c>
      <c r="R76" s="136">
        <f>'LCI_AD-c'!$E38*'IW+_end'!N38</f>
        <v>0.45223125542119935</v>
      </c>
      <c r="S76" s="136">
        <f>'LCI_AD-c'!$E38*'IW+_end'!O38</f>
        <v>1.8907868453619421</v>
      </c>
      <c r="T76" s="136">
        <f>'LCI_AD-c'!$E38*'IW+_end'!P38</f>
        <v>8.7572001573282794</v>
      </c>
      <c r="U76" s="136">
        <f>'LCI_AD-c'!$E38*'IW+_end'!Q38</f>
        <v>0.95061001901170838</v>
      </c>
      <c r="V76" s="136">
        <f>'LCI_AD-c'!$E38*'IW+_end'!R38</f>
        <v>6.4275714594801406E-6</v>
      </c>
      <c r="W76" s="136">
        <f>'LCI_AD-c'!$E38*'IW+_end'!S38</f>
        <v>5.62395266579793E-6</v>
      </c>
      <c r="X76" s="136">
        <f>'LCI_AD-c'!$E38*'IW+_end'!T38</f>
        <v>5.2648250281807758E-2</v>
      </c>
      <c r="Y76" s="136">
        <f>'LCI_AD-c'!$E38*'IW+_end'!U38</f>
        <v>2.8512033040075297E-8</v>
      </c>
      <c r="Z76" s="136">
        <f>'LCI_AD-c'!$E38*'IW+_end'!V38</f>
        <v>2.3648891115542248E-5</v>
      </c>
      <c r="AA76" s="136">
        <f>'LCI_AD-c'!$E38*'IW+_end'!W38</f>
        <v>2.4908414657848246</v>
      </c>
      <c r="AB76" s="136">
        <f>'LCI_AD-c'!$E38*'IW+_end'!X38</f>
        <v>2.2417069662168297E-7</v>
      </c>
      <c r="AC76" s="136">
        <f>'LCI_AD-c'!$E38*'IW+_end'!Y38</f>
        <v>2.3276391692275085</v>
      </c>
      <c r="AD76" s="136">
        <f>'LCI_AD-c'!$E38*'IW+_end'!Z38</f>
        <v>0.23461093355564111</v>
      </c>
      <c r="AE76" s="136">
        <f>'LCI_AD-c'!$E38*'IW+_end'!AA38</f>
        <v>0.20527427230162446</v>
      </c>
      <c r="AF76" s="136">
        <f>'LCI_AD-c'!$E38*'IW+_end'!AB38</f>
        <v>2.2684314427908474E-3</v>
      </c>
      <c r="AG76" s="136">
        <f>'LCI_AD-c'!$E38*'IW+_end'!AC38</f>
        <v>25.354300924336329</v>
      </c>
      <c r="AH76" s="136">
        <f>'LCI_AD-c'!$E38*'IW+_end'!AD38</f>
        <v>4.56500963854895E-5</v>
      </c>
      <c r="AI76" s="136">
        <f>'LCI_AD-c'!$E38*'IW+_end'!AE38</f>
        <v>8.3369488018719993E-5</v>
      </c>
      <c r="AJ76" s="136">
        <f>'LCI_AD-c'!$E38*'IW+_end'!AF38</f>
        <v>1.0182948569236237E-5</v>
      </c>
      <c r="AK76" s="136">
        <f>'LCI_AD-c'!$E38*'IW+_end'!AG38</f>
        <v>2.4627096600820888E-3</v>
      </c>
    </row>
    <row r="77" spans="1:37" x14ac:dyDescent="0.35">
      <c r="A77" s="141" t="s">
        <v>488</v>
      </c>
      <c r="B77" s="136"/>
      <c r="C77" s="136"/>
      <c r="D77" s="136"/>
      <c r="E77" s="136"/>
      <c r="F77" s="136"/>
      <c r="G77" s="136"/>
      <c r="H77" s="136"/>
      <c r="I77" s="136"/>
      <c r="J77" s="136"/>
      <c r="K77" s="136"/>
      <c r="L77" s="136"/>
      <c r="M77" s="136"/>
      <c r="N77" s="136"/>
      <c r="O77" s="136"/>
      <c r="P77" s="136"/>
      <c r="Q77" s="136"/>
      <c r="R77" s="136"/>
      <c r="S77" s="136"/>
      <c r="T77" s="136"/>
      <c r="U77" s="136"/>
      <c r="V77" s="136"/>
      <c r="W77" s="136"/>
      <c r="X77" s="136"/>
      <c r="Y77" s="136"/>
      <c r="Z77" s="136"/>
      <c r="AA77" s="136"/>
      <c r="AB77" s="136"/>
      <c r="AC77" s="136"/>
      <c r="AD77" s="136"/>
      <c r="AE77" s="136"/>
      <c r="AF77" s="136"/>
      <c r="AG77" s="136"/>
      <c r="AH77" s="136"/>
      <c r="AI77" s="136"/>
      <c r="AJ77" s="136"/>
      <c r="AK77" s="136"/>
    </row>
    <row r="78" spans="1:37" x14ac:dyDescent="0.35">
      <c r="A78" s="141"/>
      <c r="B78" s="136" t="s">
        <v>415</v>
      </c>
      <c r="C78" s="141" t="e">
        <f>'LCI_AD-c'!$E40*'IW+_end'!#REF!</f>
        <v>#REF!</v>
      </c>
      <c r="D78" s="141" t="e">
        <f>'LCI_AD-c'!$E40*'IW+_end'!#REF!</f>
        <v>#REF!</v>
      </c>
      <c r="E78" s="141" t="e">
        <f>'LCI_AD-c'!$E40*'IW+_end'!#REF!</f>
        <v>#REF!</v>
      </c>
      <c r="F78" s="141" t="e">
        <f>'LCI_AD-c'!$E40*'IW+_end'!#REF!</f>
        <v>#REF!</v>
      </c>
      <c r="G78" s="141">
        <f>'LCI_AD-c'!$E40*'IW+_end'!C26</f>
        <v>0</v>
      </c>
      <c r="H78" s="141">
        <f>'LCI_AD-c'!$E40*'IW+_end'!D26</f>
        <v>0</v>
      </c>
      <c r="I78" s="141">
        <f>'LCI_AD-c'!$E40*'IW+_end'!E26</f>
        <v>0</v>
      </c>
      <c r="J78" s="141">
        <f>'LCI_AD-c'!$E40*'IW+_end'!F26</f>
        <v>0</v>
      </c>
      <c r="K78" s="141">
        <f>'LCI_AD-c'!$E40*'IW+_end'!G26</f>
        <v>0</v>
      </c>
      <c r="L78" s="141">
        <f>'LCI_AD-c'!$E40*'IW+_end'!H26</f>
        <v>0</v>
      </c>
      <c r="M78" s="141">
        <f>'LCI_AD-c'!$E40*'IW+_end'!I26</f>
        <v>0</v>
      </c>
      <c r="N78" s="141">
        <f>'LCI_AD-c'!$E40*'IW+_end'!J26</f>
        <v>0</v>
      </c>
      <c r="O78" s="141">
        <f>'LCI_AD-c'!$E40*'IW+_end'!K26</f>
        <v>0</v>
      </c>
      <c r="P78" s="141">
        <f>'LCI_AD-c'!$E40*'IW+_end'!L26</f>
        <v>0</v>
      </c>
      <c r="Q78" s="141">
        <f>'LCI_AD-c'!$E40*'IW+_end'!M26</f>
        <v>0</v>
      </c>
      <c r="R78" s="141">
        <f>'LCI_AD-c'!$E40*'IW+_end'!N26</f>
        <v>0</v>
      </c>
      <c r="S78" s="141">
        <f>'LCI_AD-c'!$E40*'IW+_end'!O26</f>
        <v>0</v>
      </c>
      <c r="T78" s="141">
        <f>'LCI_AD-c'!$E40*'IW+_end'!P26</f>
        <v>-39.649864501255998</v>
      </c>
      <c r="U78" s="141">
        <f>'LCI_AD-c'!$E40*'IW+_end'!Q26</f>
        <v>-4.3040971333600266</v>
      </c>
      <c r="V78" s="141">
        <f>'LCI_AD-c'!$E40*'IW+_end'!R26</f>
        <v>0</v>
      </c>
      <c r="W78" s="141">
        <f>'LCI_AD-c'!$E40*'IW+_end'!S26</f>
        <v>0</v>
      </c>
      <c r="X78" s="141">
        <f>'LCI_AD-c'!$E40*'IW+_end'!T26</f>
        <v>0</v>
      </c>
      <c r="Y78" s="141">
        <f>'LCI_AD-c'!$E40*'IW+_end'!U26</f>
        <v>0</v>
      </c>
      <c r="Z78" s="141">
        <f>'LCI_AD-c'!$E40*'IW+_end'!V26</f>
        <v>0</v>
      </c>
      <c r="AA78" s="141">
        <f>'LCI_AD-c'!$E40*'IW+_end'!W26</f>
        <v>0</v>
      </c>
      <c r="AB78" s="141">
        <f>'LCI_AD-c'!$E40*'IW+_end'!X26</f>
        <v>0</v>
      </c>
      <c r="AC78" s="141">
        <f>'LCI_AD-c'!$E40*'IW+_end'!Y26</f>
        <v>0</v>
      </c>
      <c r="AD78" s="141">
        <f>'LCI_AD-c'!$E40*'IW+_end'!Z26</f>
        <v>0</v>
      </c>
      <c r="AE78" s="141">
        <f>'LCI_AD-c'!$E40*'IW+_end'!AA26</f>
        <v>0</v>
      </c>
      <c r="AF78" s="141">
        <f>'LCI_AD-c'!$E40*'IW+_end'!AB26</f>
        <v>0</v>
      </c>
      <c r="AG78" s="141">
        <f>'LCI_AD-c'!$E40*'IW+_end'!AC26</f>
        <v>-43.953961634616022</v>
      </c>
      <c r="AH78" s="141">
        <f>'LCI_AD-c'!$E40*'IW+_end'!AD26</f>
        <v>0</v>
      </c>
      <c r="AI78" s="141">
        <f>'LCI_AD-c'!$E40*'IW+_end'!AE26</f>
        <v>0</v>
      </c>
      <c r="AJ78" s="141">
        <f>'LCI_AD-c'!$E40*'IW+_end'!AF26</f>
        <v>0</v>
      </c>
      <c r="AK78" s="141">
        <f>'LCI_AD-c'!$E40*'IW+_end'!AG26</f>
        <v>0</v>
      </c>
    </row>
    <row r="80" spans="1:37" x14ac:dyDescent="0.35">
      <c r="A80" s="40" t="s">
        <v>500</v>
      </c>
      <c r="B80" s="40"/>
      <c r="C80" s="40" t="e">
        <f>C45+C65-C71+C78</f>
        <v>#REF!</v>
      </c>
      <c r="D80" s="40" t="e">
        <f t="shared" ref="D80:AK80" si="11">D45+D65-D71+D78</f>
        <v>#REF!</v>
      </c>
      <c r="E80" s="40" t="e">
        <f t="shared" si="11"/>
        <v>#REF!</v>
      </c>
      <c r="F80" s="40" t="e">
        <f t="shared" si="11"/>
        <v>#REF!</v>
      </c>
      <c r="G80" s="40">
        <f t="shared" si="11"/>
        <v>-1.6075127439296551E-16</v>
      </c>
      <c r="H80" s="40">
        <f t="shared" si="11"/>
        <v>7.0088400973466927</v>
      </c>
      <c r="I80" s="40">
        <f t="shared" si="11"/>
        <v>17.26639649098928</v>
      </c>
      <c r="J80" s="40">
        <f t="shared" si="11"/>
        <v>-4.2967526478366027</v>
      </c>
      <c r="K80" s="40">
        <f t="shared" si="11"/>
        <v>-0.3446260338216125</v>
      </c>
      <c r="L80" s="40">
        <f t="shared" si="11"/>
        <v>-2.4610402907527303E-7</v>
      </c>
      <c r="M80" s="40">
        <f t="shared" si="11"/>
        <v>1.1294794141027956E-5</v>
      </c>
      <c r="N80" s="40">
        <f t="shared" si="11"/>
        <v>-9.0132707633641696E-6</v>
      </c>
      <c r="O80" s="40">
        <f t="shared" si="11"/>
        <v>9.8454396610646028E-6</v>
      </c>
      <c r="P80" s="40">
        <f t="shared" si="11"/>
        <v>3.4949684093852419E-8</v>
      </c>
      <c r="Q80" s="40">
        <f t="shared" si="11"/>
        <v>1.1918066780095453E-6</v>
      </c>
      <c r="R80" s="40">
        <f t="shared" si="11"/>
        <v>-0.53662427041939198</v>
      </c>
      <c r="S80" s="40">
        <f t="shared" si="11"/>
        <v>-4.0164055710117443</v>
      </c>
      <c r="T80" s="40">
        <f t="shared" si="11"/>
        <v>-68.825784685038002</v>
      </c>
      <c r="U80" s="40">
        <f t="shared" si="11"/>
        <v>-7.4712119714950695</v>
      </c>
      <c r="V80" s="40">
        <f t="shared" si="11"/>
        <v>-8.7275400681274056E-6</v>
      </c>
      <c r="W80" s="40">
        <f t="shared" si="11"/>
        <v>-2.3196749925044914E-5</v>
      </c>
      <c r="X80" s="40">
        <f t="shared" si="11"/>
        <v>-0.75816789961691711</v>
      </c>
      <c r="Y80" s="40">
        <f t="shared" si="11"/>
        <v>-2.5100284055974191E-8</v>
      </c>
      <c r="Z80" s="40">
        <f t="shared" si="11"/>
        <v>7.3630623267425686E-4</v>
      </c>
      <c r="AA80" s="40">
        <f t="shared" si="11"/>
        <v>-2.3959114065419289</v>
      </c>
      <c r="AB80" s="40">
        <f t="shared" si="11"/>
        <v>-2.1096629243321697E-7</v>
      </c>
      <c r="AC80" s="40">
        <f t="shared" si="11"/>
        <v>96.432505277948053</v>
      </c>
      <c r="AD80" s="40">
        <f t="shared" si="11"/>
        <v>-0.31822130537307225</v>
      </c>
      <c r="AE80" s="40">
        <f t="shared" si="11"/>
        <v>-0.84668137226413953</v>
      </c>
      <c r="AF80" s="40">
        <f t="shared" si="11"/>
        <v>1.1481831551991116E-2</v>
      </c>
      <c r="AG80" s="40">
        <f t="shared" si="11"/>
        <v>30.877881801331725</v>
      </c>
      <c r="AH80" s="40">
        <f t="shared" si="11"/>
        <v>6.7464991175762885E-4</v>
      </c>
      <c r="AI80" s="40">
        <f t="shared" si="11"/>
        <v>-6.0988588536126911E-4</v>
      </c>
      <c r="AJ80" s="40">
        <f t="shared" si="11"/>
        <v>-7.4492920027801452E-5</v>
      </c>
      <c r="AK80" s="40">
        <f t="shared" si="11"/>
        <v>-3.0312957860162807E-2</v>
      </c>
    </row>
  </sheetData>
  <mergeCells count="1">
    <mergeCell ref="A3:G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5D2AB-A73F-47AA-AE37-17D5B66FCE84}">
  <dimension ref="A3:AK98"/>
  <sheetViews>
    <sheetView topLeftCell="W55" zoomScale="60" zoomScaleNormal="60" workbookViewId="0">
      <selection activeCell="C55" sqref="C55"/>
    </sheetView>
  </sheetViews>
  <sheetFormatPr baseColWidth="10" defaultRowHeight="14.5" x14ac:dyDescent="0.35"/>
  <cols>
    <col min="1" max="1" width="24.08984375" customWidth="1"/>
    <col min="2" max="2" width="20.1796875" bestFit="1" customWidth="1"/>
    <col min="3" max="3" width="18.54296875" bestFit="1" customWidth="1"/>
    <col min="4" max="4" width="18.81640625" bestFit="1" customWidth="1"/>
    <col min="5" max="5" width="19.36328125" bestFit="1" customWidth="1"/>
    <col min="6" max="6" width="19.08984375" bestFit="1" customWidth="1"/>
    <col min="7" max="7" width="16.6328125" bestFit="1" customWidth="1"/>
    <col min="8" max="8" width="18.26953125" bestFit="1" customWidth="1"/>
    <col min="9" max="9" width="17.1796875" bestFit="1" customWidth="1"/>
    <col min="10" max="10" width="17.7265625" bestFit="1" customWidth="1"/>
    <col min="11" max="11" width="18.54296875" bestFit="1" customWidth="1"/>
    <col min="12" max="12" width="17.7265625" bestFit="1" customWidth="1"/>
    <col min="13" max="13" width="18.26953125" bestFit="1" customWidth="1"/>
    <col min="14" max="14" width="17.453125" bestFit="1" customWidth="1"/>
    <col min="15" max="15" width="17.7265625" bestFit="1" customWidth="1"/>
    <col min="16" max="16" width="18.26953125" bestFit="1" customWidth="1"/>
    <col min="17" max="17" width="16.6328125" bestFit="1" customWidth="1"/>
    <col min="18" max="18" width="17.7265625" bestFit="1" customWidth="1"/>
    <col min="19" max="19" width="17.453125" bestFit="1" customWidth="1"/>
    <col min="20" max="20" width="19.36328125" bestFit="1" customWidth="1"/>
    <col min="21" max="21" width="19.90625" bestFit="1" customWidth="1"/>
    <col min="22" max="22" width="17.1796875" bestFit="1" customWidth="1"/>
    <col min="23" max="23" width="16.6328125" bestFit="1" customWidth="1"/>
    <col min="24" max="24" width="18.26953125" bestFit="1" customWidth="1"/>
    <col min="25" max="25" width="17.453125" bestFit="1" customWidth="1"/>
    <col min="26" max="26" width="18.26953125" bestFit="1" customWidth="1"/>
    <col min="27" max="27" width="17.7265625" bestFit="1" customWidth="1"/>
  </cols>
  <sheetData>
    <row r="3" spans="1:7" x14ac:dyDescent="0.35">
      <c r="A3" s="154" t="s">
        <v>420</v>
      </c>
      <c r="B3" s="155"/>
      <c r="C3" s="155"/>
      <c r="D3" s="155"/>
      <c r="E3" s="155"/>
      <c r="F3" s="155"/>
      <c r="G3" s="156"/>
    </row>
    <row r="4" spans="1:7" ht="43.5" x14ac:dyDescent="0.35">
      <c r="A4" s="108" t="s">
        <v>0</v>
      </c>
      <c r="B4" s="108"/>
      <c r="C4" s="108" t="s">
        <v>403</v>
      </c>
      <c r="D4" s="108" t="s">
        <v>404</v>
      </c>
      <c r="E4" s="108" t="s">
        <v>405</v>
      </c>
      <c r="F4" s="108" t="s">
        <v>406</v>
      </c>
      <c r="G4" s="108" t="s">
        <v>407</v>
      </c>
    </row>
    <row r="5" spans="1:7" x14ac:dyDescent="0.35">
      <c r="A5" s="121" t="s">
        <v>6</v>
      </c>
      <c r="B5" s="122"/>
      <c r="C5" s="123">
        <f>SUM(C6,C9,C12,C16,C23,C26)</f>
        <v>150.20130726777239</v>
      </c>
      <c r="D5" s="123">
        <f t="shared" ref="D5:G5" si="0">SUM(D6,D9,D12,D16,D23,D26)</f>
        <v>17.579182524942819</v>
      </c>
      <c r="E5" s="123">
        <f t="shared" si="0"/>
        <v>1771.9128631729932</v>
      </c>
      <c r="F5" s="123">
        <f t="shared" si="0"/>
        <v>1.8730310859468852E-4</v>
      </c>
      <c r="G5" s="123">
        <f t="shared" si="0"/>
        <v>35.07861489095928</v>
      </c>
    </row>
    <row r="6" spans="1:7" x14ac:dyDescent="0.35">
      <c r="A6" s="114" t="s">
        <v>5</v>
      </c>
      <c r="B6" s="113"/>
      <c r="C6" s="114">
        <f>SUM(C7:C8)</f>
        <v>0.77610650091942801</v>
      </c>
      <c r="D6" s="114">
        <f t="shared" ref="D6:G6" si="1">SUM(D7:D8)</f>
        <v>0.11916920601637257</v>
      </c>
      <c r="E6" s="114">
        <f t="shared" si="1"/>
        <v>116.96082759610819</v>
      </c>
      <c r="F6" s="114">
        <f t="shared" si="1"/>
        <v>7.7420482538410759E-7</v>
      </c>
      <c r="G6" s="114">
        <f t="shared" si="1"/>
        <v>1.2592266934323948</v>
      </c>
    </row>
    <row r="7" spans="1:7" x14ac:dyDescent="0.35">
      <c r="A7" s="113"/>
      <c r="B7" s="113" t="s">
        <v>249</v>
      </c>
      <c r="C7" s="113">
        <f>'LCI_AD-d'!$E4*'IW+f'!C2</f>
        <v>0.77610650091942801</v>
      </c>
      <c r="D7" s="113">
        <f>'LCI_AD-d'!$E4*'IW+f'!D2</f>
        <v>0.11916920601637257</v>
      </c>
      <c r="E7" s="113">
        <f>'LCI_AD-d'!$E4*'IW+f'!E2</f>
        <v>116.96082759610819</v>
      </c>
      <c r="F7" s="113">
        <f>'LCI_AD-d'!$E4*'IW+f'!F2</f>
        <v>7.7420482538410759E-7</v>
      </c>
      <c r="G7" s="113">
        <f>'LCI_AD-d'!$E4*'IW+f'!G2</f>
        <v>1.2592266934323948</v>
      </c>
    </row>
    <row r="8" spans="1:7" x14ac:dyDescent="0.35">
      <c r="A8" s="113"/>
      <c r="B8" s="113" t="s">
        <v>250</v>
      </c>
      <c r="C8" s="113">
        <f>'LCI_AD-d'!$E5*'IW+f'!C3</f>
        <v>0</v>
      </c>
      <c r="D8" s="113">
        <f>'LCI_AD-d'!$E5*'IW+f'!D3</f>
        <v>0</v>
      </c>
      <c r="E8" s="113">
        <f>'LCI_AD-d'!$E5*'IW+f'!E3</f>
        <v>0</v>
      </c>
      <c r="F8" s="113">
        <f>'LCI_AD-d'!$E5*'IW+f'!F3</f>
        <v>0</v>
      </c>
      <c r="G8" s="113">
        <f>'LCI_AD-d'!$E5*'IW+f'!G3</f>
        <v>0</v>
      </c>
    </row>
    <row r="9" spans="1:7" x14ac:dyDescent="0.35">
      <c r="A9" s="112" t="s">
        <v>235</v>
      </c>
      <c r="B9" s="113"/>
      <c r="C9" s="111">
        <f>SUM(C10:C11)</f>
        <v>9.4912725301666416</v>
      </c>
      <c r="D9" s="111">
        <f t="shared" ref="D9:G9" si="2">SUM(D10:D11)</f>
        <v>1.776054546690981</v>
      </c>
      <c r="E9" s="111">
        <f t="shared" si="2"/>
        <v>70.109593887244714</v>
      </c>
      <c r="F9" s="111">
        <f t="shared" si="2"/>
        <v>3.9183035816743554E-5</v>
      </c>
      <c r="G9" s="111">
        <f t="shared" si="2"/>
        <v>10.018540305643455</v>
      </c>
    </row>
    <row r="10" spans="1:7" x14ac:dyDescent="0.35">
      <c r="A10" s="113"/>
      <c r="B10" s="113" t="s">
        <v>286</v>
      </c>
      <c r="C10" s="115">
        <f>'LCI_AD-d'!$E7*'IW+f'!C4</f>
        <v>0.43472978582596905</v>
      </c>
      <c r="D10" s="115">
        <f>'LCI_AD-d'!$E7*'IW+f'!D4</f>
        <v>6.359420180299287E-2</v>
      </c>
      <c r="E10" s="115">
        <f>'LCI_AD-d'!$E7*'IW+f'!E4</f>
        <v>6.5761119524385903</v>
      </c>
      <c r="F10" s="115">
        <f>'LCI_AD-d'!$E7*'IW+f'!F4</f>
        <v>3.4579966311397133E-7</v>
      </c>
      <c r="G10" s="115">
        <f>'LCI_AD-d'!$E7*'IW+f'!G4</f>
        <v>3.9223403259142219E-2</v>
      </c>
    </row>
    <row r="11" spans="1:7" x14ac:dyDescent="0.35">
      <c r="A11" s="113"/>
      <c r="B11" s="113" t="s">
        <v>235</v>
      </c>
      <c r="C11" s="113">
        <f>'LCI_AD-d'!$E8*'IW+f'!C5</f>
        <v>9.056542744340673</v>
      </c>
      <c r="D11" s="113">
        <f>'LCI_AD-d'!$E8*'IW+f'!D5</f>
        <v>1.712460344887988</v>
      </c>
      <c r="E11" s="113">
        <f>'LCI_AD-d'!$E8*'IW+f'!E5</f>
        <v>63.533481934806119</v>
      </c>
      <c r="F11" s="113">
        <f>'LCI_AD-d'!$E8*'IW+f'!F5</f>
        <v>3.8837236153629584E-5</v>
      </c>
      <c r="G11" s="113">
        <f>'LCI_AD-d'!$E8*'IW+f'!G5</f>
        <v>9.9793169023843138</v>
      </c>
    </row>
    <row r="12" spans="1:7" x14ac:dyDescent="0.35">
      <c r="A12" s="112" t="s">
        <v>6</v>
      </c>
      <c r="B12" s="113"/>
      <c r="C12" s="114">
        <f>SUM(C13:C15)</f>
        <v>52.2487117086675</v>
      </c>
      <c r="D12" s="114">
        <f t="shared" ref="D12:G12" si="3">SUM(D13:D15)</f>
        <v>2.7873234481033835</v>
      </c>
      <c r="E12" s="114">
        <f t="shared" si="3"/>
        <v>416.86802336275355</v>
      </c>
      <c r="F12" s="114">
        <f t="shared" si="3"/>
        <v>4.5598347798669536E-5</v>
      </c>
      <c r="G12" s="114">
        <f t="shared" si="3"/>
        <v>4.3060093715788508</v>
      </c>
    </row>
    <row r="13" spans="1:7" x14ac:dyDescent="0.35">
      <c r="A13" s="113"/>
      <c r="B13" s="113" t="s">
        <v>8</v>
      </c>
      <c r="C13" s="113">
        <f>'LCI_AD-d'!$E10*'IW+f'!C2</f>
        <v>1.7365188542616061</v>
      </c>
      <c r="D13" s="113">
        <f>'LCI_AD-d'!$E10*'IW+f'!D2</f>
        <v>0.26663811326108211</v>
      </c>
      <c r="E13" s="113">
        <f>'LCI_AD-d'!$E10*'IW+f'!E2</f>
        <v>261.69692186584126</v>
      </c>
      <c r="F13" s="113">
        <f>'LCI_AD-d'!$E10*'IW+f'!F2</f>
        <v>1.7322639028884893E-6</v>
      </c>
      <c r="G13" s="113">
        <f>'LCI_AD-d'!$E10*'IW+f'!G2</f>
        <v>2.8174881828001381</v>
      </c>
    </row>
    <row r="14" spans="1:7" x14ac:dyDescent="0.35">
      <c r="A14" s="113"/>
      <c r="B14" s="113" t="s">
        <v>18</v>
      </c>
      <c r="C14" s="113">
        <f>'LCI_AD-d'!$E11*'IW+f'!C11</f>
        <v>9.6923673180164887</v>
      </c>
      <c r="D14" s="113">
        <f>'LCI_AD-d'!$E11*'IW+f'!D11</f>
        <v>2.5206853348423013</v>
      </c>
      <c r="E14" s="113">
        <f>'LCI_AD-d'!$E11*'IW+f'!E11</f>
        <v>155.17110149691229</v>
      </c>
      <c r="F14" s="113">
        <f>'LCI_AD-d'!$E11*'IW+f'!F11</f>
        <v>4.3866083895781045E-5</v>
      </c>
      <c r="G14" s="113">
        <f>'LCI_AD-d'!$E11*'IW+f'!G11</f>
        <v>1.4885211887787131</v>
      </c>
    </row>
    <row r="15" spans="1:7" x14ac:dyDescent="0.35">
      <c r="A15" s="113"/>
      <c r="B15" s="113" t="s">
        <v>96</v>
      </c>
      <c r="C15" s="113">
        <f>'LCI_AD-d'!$E12*'IW+f'!C12</f>
        <v>40.819825536389409</v>
      </c>
      <c r="D15" s="113">
        <f>'LCI_AD-d'!$E12*'IW+f'!D12</f>
        <v>0</v>
      </c>
      <c r="E15" s="113">
        <f>'LCI_AD-d'!$E12*'IW+f'!E12</f>
        <v>0</v>
      </c>
      <c r="F15" s="113">
        <f>'LCI_AD-d'!$E12*'IW+f'!F12</f>
        <v>0</v>
      </c>
      <c r="G15" s="113">
        <f>'LCI_AD-d'!$E12*'IW+f'!G12</f>
        <v>0</v>
      </c>
    </row>
    <row r="16" spans="1:7" x14ac:dyDescent="0.35">
      <c r="A16" s="112" t="s">
        <v>126</v>
      </c>
      <c r="B16" s="113"/>
      <c r="C16" s="114">
        <f>SUM(C17:C22)</f>
        <v>67.422191608555664</v>
      </c>
      <c r="D16" s="114">
        <f t="shared" ref="D16:G16" si="4">SUM(D17:D22)</f>
        <v>3.7790661744926783</v>
      </c>
      <c r="E16" s="114">
        <f t="shared" si="4"/>
        <v>1081.6846683436693</v>
      </c>
      <c r="F16" s="114">
        <f t="shared" si="4"/>
        <v>4.6055861501803745E-5</v>
      </c>
      <c r="G16" s="114">
        <f t="shared" si="4"/>
        <v>18.811573787222997</v>
      </c>
    </row>
    <row r="17" spans="1:7" x14ac:dyDescent="0.35">
      <c r="A17" s="113"/>
      <c r="B17" s="131" t="s">
        <v>96</v>
      </c>
      <c r="C17" s="113">
        <f>'LCI_AD-d'!$E17*'IW+f'!C12</f>
        <v>46.976727533527409</v>
      </c>
      <c r="D17" s="113">
        <f>'LCI_AD-d'!$E17*'IW+f'!D12</f>
        <v>0</v>
      </c>
      <c r="E17" s="113">
        <f>'LCI_AD-d'!$E17*'IW+f'!E12</f>
        <v>0</v>
      </c>
      <c r="F17" s="113">
        <f>'LCI_AD-d'!$E17*'IW+f'!F12</f>
        <v>0</v>
      </c>
      <c r="G17" s="113">
        <f>'LCI_AD-d'!$E17*'IW+f'!G12</f>
        <v>0</v>
      </c>
    </row>
    <row r="18" spans="1:7" x14ac:dyDescent="0.35">
      <c r="A18" s="113"/>
      <c r="B18" s="131" t="s">
        <v>141</v>
      </c>
      <c r="C18" s="116">
        <f>'LCI_AD-d'!$E18*'IW+f'!C24</f>
        <v>0</v>
      </c>
      <c r="D18" s="116">
        <f>'LCI_AD-d'!$E18*'IW+f'!D24</f>
        <v>0</v>
      </c>
      <c r="E18" s="116">
        <f>'LCI_AD-d'!$E18*'IW+f'!E24</f>
        <v>0</v>
      </c>
      <c r="F18" s="116">
        <f>'LCI_AD-d'!$E18*'IW+f'!F24</f>
        <v>0</v>
      </c>
      <c r="G18" s="116">
        <f>'LCI_AD-d'!$E18*'IW+f'!G24</f>
        <v>0</v>
      </c>
    </row>
    <row r="19" spans="1:7" x14ac:dyDescent="0.35">
      <c r="A19" s="113"/>
      <c r="B19" s="131" t="s">
        <v>142</v>
      </c>
      <c r="C19" s="116">
        <f>'LCI_AD-d'!$E19*'IW+f'!C19</f>
        <v>0</v>
      </c>
      <c r="D19" s="116">
        <f>'LCI_AD-d'!$E19*'IW+f'!D19</f>
        <v>2.4586879870811568E-2</v>
      </c>
      <c r="E19" s="116">
        <f>'LCI_AD-d'!$E19*'IW+f'!E19</f>
        <v>0</v>
      </c>
      <c r="F19" s="116">
        <f>'LCI_AD-d'!$E19*'IW+f'!F19</f>
        <v>1.3714821006997321E-7</v>
      </c>
      <c r="G19" s="116">
        <f>'LCI_AD-d'!$E19*'IW+f'!G19</f>
        <v>0</v>
      </c>
    </row>
    <row r="20" spans="1:7" x14ac:dyDescent="0.35">
      <c r="A20" s="113"/>
      <c r="B20" s="131" t="s">
        <v>8</v>
      </c>
      <c r="C20" s="113">
        <f>'LCI_AD-d'!$E20*'IW+f'!C2</f>
        <v>5.9160582417096848</v>
      </c>
      <c r="D20" s="113">
        <f>'LCI_AD-d'!$E20*'IW+f'!D2</f>
        <v>0.90839590001624215</v>
      </c>
      <c r="E20" s="113">
        <f>'LCI_AD-d'!$E20*'IW+f'!E2</f>
        <v>891.56200500500165</v>
      </c>
      <c r="F20" s="113">
        <f>'LCI_AD-d'!$E20*'IW+f'!F2</f>
        <v>5.9015622631159448E-6</v>
      </c>
      <c r="G20" s="113">
        <f>'LCI_AD-d'!$E20*'IW+f'!G2</f>
        <v>9.5987579656093427</v>
      </c>
    </row>
    <row r="21" spans="1:7" x14ac:dyDescent="0.35">
      <c r="A21" s="113"/>
      <c r="B21" s="131" t="s">
        <v>127</v>
      </c>
      <c r="C21" s="116">
        <f>'LCI_AD-d'!$E21*'IW+f'!C32</f>
        <v>0.66406480235916754</v>
      </c>
      <c r="D21" s="116">
        <f>'LCI_AD-d'!$E21*'IW+f'!D32</f>
        <v>0.1141432485813005</v>
      </c>
      <c r="E21" s="116">
        <f>'LCI_AD-d'!$E21*'IW+f'!E32</f>
        <v>8.3706898499265812</v>
      </c>
      <c r="F21" s="116">
        <f>'LCI_AD-d'!$E21*'IW+f'!F32</f>
        <v>9.7423405936760903E-7</v>
      </c>
      <c r="G21" s="116">
        <f>'LCI_AD-d'!$E21*'IW+f'!G32</f>
        <v>8.3275453035152963E-2</v>
      </c>
    </row>
    <row r="22" spans="1:7" x14ac:dyDescent="0.35">
      <c r="A22" s="113"/>
      <c r="B22" s="131" t="s">
        <v>134</v>
      </c>
      <c r="C22" s="116">
        <f>'LCI_AD-d'!$E22*'IW+f'!C33</f>
        <v>13.865341030959407</v>
      </c>
      <c r="D22" s="116">
        <f>'LCI_AD-d'!$E22*'IW+f'!D33</f>
        <v>2.731940146024324</v>
      </c>
      <c r="E22" s="116">
        <f>'LCI_AD-d'!$E22*'IW+f'!E33</f>
        <v>181.7519734887409</v>
      </c>
      <c r="F22" s="116">
        <f>'LCI_AD-d'!$E22*'IW+f'!F33</f>
        <v>3.9042916969250215E-5</v>
      </c>
      <c r="G22" s="116">
        <f>'LCI_AD-d'!$E22*'IW+f'!G33</f>
        <v>9.1295403685785033</v>
      </c>
    </row>
    <row r="23" spans="1:7" x14ac:dyDescent="0.35">
      <c r="A23" s="114" t="s">
        <v>272</v>
      </c>
      <c r="B23" s="113"/>
      <c r="C23" s="114">
        <f>SUM(C24:C25)</f>
        <v>0.23986336868347383</v>
      </c>
      <c r="D23" s="114">
        <f t="shared" ref="D23:G23" si="5">SUM(D24:D25)</f>
        <v>0.2039705679908648</v>
      </c>
      <c r="E23" s="114">
        <f t="shared" si="5"/>
        <v>24.618325729257286</v>
      </c>
      <c r="F23" s="114">
        <f t="shared" si="5"/>
        <v>4.0335814055722942E-7</v>
      </c>
      <c r="G23" s="114">
        <f t="shared" si="5"/>
        <v>0.2542157415208825</v>
      </c>
    </row>
    <row r="24" spans="1:7" x14ac:dyDescent="0.35">
      <c r="A24" s="113"/>
      <c r="B24" s="113" t="s">
        <v>273</v>
      </c>
      <c r="C24" s="113">
        <f>'LCI_AD-d'!$E25*'IW+f'!C2</f>
        <v>0.15696910819275928</v>
      </c>
      <c r="D24" s="113">
        <f>'LCI_AD-d'!$E25*'IW+f'!D2</f>
        <v>2.4102212737902536E-2</v>
      </c>
      <c r="E24" s="113">
        <f>'LCI_AD-d'!$E25*'IW+f'!E2</f>
        <v>23.655563739639575</v>
      </c>
      <c r="F24" s="113">
        <f>'LCI_AD-d'!$E25*'IW+f'!F2</f>
        <v>1.565844904727716E-7</v>
      </c>
      <c r="G24" s="113">
        <f>'LCI_AD-d'!$E25*'IW+f'!G2</f>
        <v>0.25468114343384457</v>
      </c>
    </row>
    <row r="25" spans="1:7" x14ac:dyDescent="0.35">
      <c r="A25" s="113"/>
      <c r="B25" s="113" t="s">
        <v>427</v>
      </c>
      <c r="C25" s="113">
        <f>'LCI_AD-d'!$E27*'IW+f'!C34</f>
        <v>8.289426049071455E-2</v>
      </c>
      <c r="D25" s="113">
        <f>'LCI_AD-d'!$E27*'IW+f'!D34</f>
        <v>0.17986835525296227</v>
      </c>
      <c r="E25" s="113">
        <f>'LCI_AD-d'!$E27*'IW+f'!E34</f>
        <v>0.96276198961770965</v>
      </c>
      <c r="F25" s="113">
        <f>'LCI_AD-d'!$E27*'IW+f'!F34</f>
        <v>2.4677365008445785E-7</v>
      </c>
      <c r="G25" s="113">
        <f>'LCI_AD-d'!$E27*'IW+f'!G34</f>
        <v>-4.6540191296209324E-4</v>
      </c>
    </row>
    <row r="26" spans="1:7" x14ac:dyDescent="0.35">
      <c r="A26" s="112" t="s">
        <v>287</v>
      </c>
      <c r="B26" s="113"/>
      <c r="C26" s="114">
        <f>SUM(C27:C33)</f>
        <v>20.023161550779676</v>
      </c>
      <c r="D26" s="114">
        <f t="shared" ref="D26:G26" si="6">SUM(D27:D33)</f>
        <v>8.9135985816485395</v>
      </c>
      <c r="E26" s="114">
        <f t="shared" si="6"/>
        <v>61.671424253960097</v>
      </c>
      <c r="F26" s="114">
        <f t="shared" si="6"/>
        <v>5.5288300511530377E-5</v>
      </c>
      <c r="G26" s="114">
        <f t="shared" si="6"/>
        <v>0.42904899156069698</v>
      </c>
    </row>
    <row r="27" spans="1:7" x14ac:dyDescent="0.35">
      <c r="A27" s="113"/>
      <c r="B27" s="113" t="s">
        <v>96</v>
      </c>
      <c r="C27" s="113">
        <f>'LCI_AD-d'!$E29*'IW+f'!C12</f>
        <v>2.3821711546319135</v>
      </c>
      <c r="D27" s="113">
        <f>'LCI_AD-d'!$E29*'IW+f'!D12</f>
        <v>0</v>
      </c>
      <c r="E27" s="113">
        <f>'LCI_AD-d'!$E29*'IW+f'!E12</f>
        <v>0</v>
      </c>
      <c r="F27" s="113">
        <f>'LCI_AD-d'!$E29*'IW+f'!F12</f>
        <v>0</v>
      </c>
      <c r="G27" s="113">
        <f>'LCI_AD-d'!$E29*'IW+f'!G12</f>
        <v>0</v>
      </c>
    </row>
    <row r="28" spans="1:7" x14ac:dyDescent="0.35">
      <c r="A28" s="113"/>
      <c r="B28" s="113" t="s">
        <v>111</v>
      </c>
      <c r="C28" s="113">
        <f>'LCI_AD-d'!$E30*'IW+f'!C20</f>
        <v>17.012982491752076</v>
      </c>
      <c r="D28" s="113">
        <f>'LCI_AD-d'!$E30*'IW+f'!D20</f>
        <v>0</v>
      </c>
      <c r="E28" s="113">
        <f>'LCI_AD-d'!$E30*'IW+f'!E20</f>
        <v>0</v>
      </c>
      <c r="F28" s="113">
        <f>'LCI_AD-d'!$E30*'IW+f'!F20</f>
        <v>0</v>
      </c>
      <c r="G28" s="113">
        <f>'LCI_AD-d'!$E30*'IW+f'!G20</f>
        <v>0</v>
      </c>
    </row>
    <row r="29" spans="1:7" x14ac:dyDescent="0.35">
      <c r="A29" s="113"/>
      <c r="B29" s="113" t="s">
        <v>110</v>
      </c>
      <c r="C29" s="113">
        <f>'LCI_AD-d'!$E31*'IW+f'!C18</f>
        <v>0</v>
      </c>
      <c r="D29" s="113">
        <f>'LCI_AD-d'!$E31*'IW+f'!D18</f>
        <v>5.3456952796906902</v>
      </c>
      <c r="E29" s="113">
        <f>'LCI_AD-d'!$E31*'IW+f'!E18</f>
        <v>0</v>
      </c>
      <c r="F29" s="113">
        <f>'LCI_AD-d'!$E31*'IW+f'!F18</f>
        <v>3.5968540350410269E-5</v>
      </c>
      <c r="G29" s="113">
        <f>'LCI_AD-d'!$E31*'IW+f'!G18</f>
        <v>0</v>
      </c>
    </row>
    <row r="30" spans="1:7" x14ac:dyDescent="0.35">
      <c r="A30" s="113"/>
      <c r="B30" s="113" t="s">
        <v>288</v>
      </c>
      <c r="C30" s="113">
        <f>'LCI_AD-d'!$E32*'IW+f'!C23</f>
        <v>0</v>
      </c>
      <c r="D30" s="113">
        <f>'LCI_AD-d'!$E32*'IW+f'!D23</f>
        <v>7.8076707234924367E-2</v>
      </c>
      <c r="E30" s="113">
        <f>'LCI_AD-d'!$E32*'IW+f'!E23</f>
        <v>0</v>
      </c>
      <c r="F30" s="113">
        <f>'LCI_AD-d'!$E32*'IW+f'!F23</f>
        <v>5.059520896744001E-9</v>
      </c>
      <c r="G30" s="113">
        <f>'LCI_AD-d'!$E32*'IW+f'!G23</f>
        <v>0</v>
      </c>
    </row>
    <row r="31" spans="1:7" x14ac:dyDescent="0.35">
      <c r="A31" s="113"/>
      <c r="B31" s="113" t="s">
        <v>123</v>
      </c>
      <c r="C31" s="113">
        <f>'LCI_AD-b'!$E33*'IW+f'!C15</f>
        <v>0</v>
      </c>
      <c r="D31" s="113">
        <f>'LCI_AD-b'!$E33*'IW+f'!D15</f>
        <v>3.3758036199660606</v>
      </c>
      <c r="E31" s="113">
        <f>'LCI_AD-b'!$E33*'IW+f'!E15</f>
        <v>0</v>
      </c>
      <c r="F31" s="113">
        <f>'LCI_AD-b'!$E33*'IW+f'!F15</f>
        <v>1.8830588771685368E-5</v>
      </c>
      <c r="G31" s="113">
        <f>'LCI_AD-b'!$E33*'IW+f'!G15</f>
        <v>0</v>
      </c>
    </row>
    <row r="32" spans="1:7" x14ac:dyDescent="0.35">
      <c r="A32" s="113"/>
      <c r="B32" s="113" t="s">
        <v>273</v>
      </c>
      <c r="C32" s="113">
        <f>'LCI_AD-d'!$E35*'IW+f'!C2</f>
        <v>0.24305617699473206</v>
      </c>
      <c r="D32" s="113">
        <f>'LCI_AD-d'!$E35*'IW+f'!D2</f>
        <v>3.7320666165691789E-2</v>
      </c>
      <c r="E32" s="113">
        <f>'LCI_AD-d'!$E35*'IW+f'!E2</f>
        <v>36.629060032318023</v>
      </c>
      <c r="F32" s="113">
        <f>'LCI_AD-d'!$E35*'IW+f'!F2</f>
        <v>2.4246062215148331E-7</v>
      </c>
      <c r="G32" s="113">
        <f>'LCI_AD-d'!$E35*'IW+f'!G2</f>
        <v>0.39435673546454347</v>
      </c>
    </row>
    <row r="33" spans="1:8" x14ac:dyDescent="0.35">
      <c r="A33" s="113"/>
      <c r="B33" s="113" t="s">
        <v>289</v>
      </c>
      <c r="C33" s="115">
        <f>'LCI_AD-d'!$E36*'IW+f'!C27</f>
        <v>0.38495172740095668</v>
      </c>
      <c r="D33" s="115">
        <f>'LCI_AD-d'!$E36*'IW+f'!D27</f>
        <v>7.6702308591170859E-2</v>
      </c>
      <c r="E33" s="115">
        <f>'LCI_AD-d'!$E36*'IW+f'!E27</f>
        <v>25.042364221642071</v>
      </c>
      <c r="F33" s="115">
        <f>'LCI_AD-d'!$E36*'IW+f'!F27</f>
        <v>2.416512463865165E-7</v>
      </c>
      <c r="G33" s="115">
        <f>'LCI_AD-d'!$E36*'IW+f'!G27</f>
        <v>3.4692256096153506E-2</v>
      </c>
    </row>
    <row r="34" spans="1:8" x14ac:dyDescent="0.35">
      <c r="A34" s="112" t="s">
        <v>353</v>
      </c>
      <c r="B34" s="113"/>
      <c r="C34" s="114">
        <f>SUM(C35:C39)</f>
        <v>-27.214300839017277</v>
      </c>
      <c r="D34" s="114">
        <f t="shared" ref="D34:G34" si="7">SUM(D35:D39)</f>
        <v>6.6866847732851395</v>
      </c>
      <c r="E34" s="114">
        <f t="shared" si="7"/>
        <v>0</v>
      </c>
      <c r="F34" s="114">
        <f t="shared" si="7"/>
        <v>1.4004955712866033E-5</v>
      </c>
      <c r="G34" s="114">
        <f t="shared" si="7"/>
        <v>0</v>
      </c>
    </row>
    <row r="35" spans="1:8" x14ac:dyDescent="0.35">
      <c r="A35" s="113"/>
      <c r="B35" s="113" t="s">
        <v>111</v>
      </c>
      <c r="C35" s="116">
        <f>'LCI_AD-d'!$E38*'IW+f'!C20</f>
        <v>3.6020203114535199</v>
      </c>
      <c r="D35" s="116">
        <f>'LCI_AD-d'!$E38*'IW+f'!D20</f>
        <v>0</v>
      </c>
      <c r="E35" s="116">
        <f>'LCI_AD-d'!$E38*'IW+f'!E20</f>
        <v>0</v>
      </c>
      <c r="F35" s="116">
        <f>'LCI_AD-d'!$E38*'IW+f'!F20</f>
        <v>0</v>
      </c>
      <c r="G35" s="116">
        <f>'LCI_AD-d'!$E38*'IW+f'!G20</f>
        <v>0</v>
      </c>
    </row>
    <row r="36" spans="1:8" x14ac:dyDescent="0.35">
      <c r="A36" s="113"/>
      <c r="B36" s="113" t="s">
        <v>110</v>
      </c>
      <c r="C36" s="116">
        <f>'LCI_AD-d'!$E39*'IW+f'!C18</f>
        <v>0</v>
      </c>
      <c r="D36" s="116">
        <f>'LCI_AD-d'!$E39*'IW+f'!D18</f>
        <v>2.0814363028687977</v>
      </c>
      <c r="E36" s="116">
        <f>'LCI_AD-d'!$E39*'IW+f'!E18</f>
        <v>0</v>
      </c>
      <c r="F36" s="116">
        <f>'LCI_AD-d'!$E39*'IW+f'!F18</f>
        <v>1.4004955712866033E-5</v>
      </c>
      <c r="G36" s="116">
        <f>'LCI_AD-d'!$E39*'IW+f'!G18</f>
        <v>0</v>
      </c>
    </row>
    <row r="37" spans="1:8" x14ac:dyDescent="0.35">
      <c r="A37" s="113"/>
      <c r="B37" s="113" t="s">
        <v>114</v>
      </c>
      <c r="C37" s="116">
        <f>'LCI_AD-d'!$E40*'IW+f'!C21</f>
        <v>0</v>
      </c>
      <c r="D37" s="116">
        <f>'LCI_AD-d'!$E40*'IW+f'!D21</f>
        <v>5.2372357739406041</v>
      </c>
      <c r="E37" s="116">
        <f>'LCI_AD-d'!$E40*'IW+f'!E21</f>
        <v>0</v>
      </c>
      <c r="F37" s="116">
        <f>'LCI_AD-d'!$E40*'IW+f'!F21</f>
        <v>0</v>
      </c>
      <c r="G37" s="116">
        <f>'LCI_AD-d'!$E40*'IW+f'!G21</f>
        <v>0</v>
      </c>
    </row>
    <row r="38" spans="1:8" x14ac:dyDescent="0.35">
      <c r="A38" s="113"/>
      <c r="B38" s="113" t="s">
        <v>414</v>
      </c>
      <c r="C38" s="116">
        <f>'LCI_AD-d'!$E41*'IW+f'!C25</f>
        <v>0</v>
      </c>
      <c r="D38" s="116">
        <f>'LCI_AD-d'!$E41*'IW+f'!D25</f>
        <v>-0.12351800454149389</v>
      </c>
      <c r="E38" s="116">
        <f>'LCI_AD-d'!$E41*'IW+f'!E25</f>
        <v>0</v>
      </c>
      <c r="F38" s="116">
        <f>'LCI_AD-d'!$E41*'IW+f'!F25</f>
        <v>0</v>
      </c>
      <c r="G38" s="116">
        <f>'LCI_AD-d'!$E41*'IW+f'!G25</f>
        <v>0</v>
      </c>
    </row>
    <row r="39" spans="1:8" x14ac:dyDescent="0.35">
      <c r="A39" s="113"/>
      <c r="B39" s="113" t="s">
        <v>415</v>
      </c>
      <c r="C39" s="116">
        <f>'LCI_AD-d'!$E42*'IW+f'!C26</f>
        <v>-30.816321150470795</v>
      </c>
      <c r="D39" s="116">
        <f>'LCI_AD-d'!$E42*'IW+f'!D26</f>
        <v>-0.50846929898276816</v>
      </c>
      <c r="E39" s="116">
        <f>'LCI_AD-d'!$E42*'IW+f'!E26</f>
        <v>0</v>
      </c>
      <c r="F39" s="116">
        <f>'LCI_AD-d'!$E42*'IW+f'!F26</f>
        <v>0</v>
      </c>
      <c r="G39" s="116">
        <f>'LCI_AD-d'!$E42*'IW+f'!G26</f>
        <v>0</v>
      </c>
    </row>
    <row r="40" spans="1:8" x14ac:dyDescent="0.35">
      <c r="A40" s="112" t="s">
        <v>421</v>
      </c>
      <c r="B40" s="113"/>
      <c r="C40" s="114">
        <f>SUM(C41:C45)</f>
        <v>127.46670691939865</v>
      </c>
      <c r="D40" s="114">
        <f>SUM(D41:D45)</f>
        <v>21.38556158781822</v>
      </c>
      <c r="E40" s="114">
        <f>SUM(E41:E45)</f>
        <v>7190.0103072814718</v>
      </c>
      <c r="F40" s="114">
        <f>SUM(F41:F45)</f>
        <v>9.1311749139430049E-5</v>
      </c>
      <c r="G40" s="114">
        <f>SUM(G41:G45)</f>
        <v>65.554187526342133</v>
      </c>
    </row>
    <row r="41" spans="1:8" x14ac:dyDescent="0.35">
      <c r="A41" s="113"/>
      <c r="B41" s="113" t="s">
        <v>228</v>
      </c>
      <c r="C41" s="116">
        <f>'LCI_AD-d'!$E44*'IW+f'!C28</f>
        <v>15.522698672412098</v>
      </c>
      <c r="D41" s="116">
        <f>'LCI_AD-d'!$E44*'IW+f'!D28</f>
        <v>2.059694637999725</v>
      </c>
      <c r="E41" s="116">
        <f>'LCI_AD-d'!$E44*'IW+f'!E28</f>
        <v>228.26827147082756</v>
      </c>
      <c r="F41" s="116">
        <f>'LCI_AD-d'!$E44*'IW+f'!F28</f>
        <v>1.1387281963638193E-5</v>
      </c>
      <c r="G41" s="116">
        <f>'LCI_AD-d'!$E44*'IW+f'!G28</f>
        <v>23.373765692874599</v>
      </c>
    </row>
    <row r="42" spans="1:8" x14ac:dyDescent="0.35">
      <c r="A42" s="113"/>
      <c r="B42" s="113" t="s">
        <v>230</v>
      </c>
      <c r="C42" s="116">
        <f>'LCI_AD-d'!$E45*'IW+f'!C30</f>
        <v>12.451853839570528</v>
      </c>
      <c r="D42" s="116">
        <f>'LCI_AD-d'!$E45*'IW+f'!D30</f>
        <v>5.8033748135817964</v>
      </c>
      <c r="E42" s="116">
        <f>'LCI_AD-d'!$E45*'IW+f'!E30</f>
        <v>218.31950486780622</v>
      </c>
      <c r="F42" s="116">
        <f>'LCI_AD-d'!$E45*'IW+f'!F30</f>
        <v>4.7898740522255537E-5</v>
      </c>
      <c r="G42" s="116">
        <f>'LCI_AD-d'!$E45*'IW+f'!G30</f>
        <v>29.538178374805231</v>
      </c>
    </row>
    <row r="43" spans="1:8" x14ac:dyDescent="0.35">
      <c r="A43" s="113"/>
      <c r="B43" s="113" t="s">
        <v>229</v>
      </c>
      <c r="C43" s="116">
        <f>'LCI_AD-d'!$E46*'IW+f'!C29</f>
        <v>1.8991612154517739</v>
      </c>
      <c r="D43" s="116">
        <f>'LCI_AD-d'!$E46*'IW+f'!D29</f>
        <v>0.46221699116395226</v>
      </c>
      <c r="E43" s="116">
        <f>'LCI_AD-d'!$E46*'IW+f'!E29</f>
        <v>30.790657167218129</v>
      </c>
      <c r="F43" s="116">
        <f>'LCI_AD-d'!$E46*'IW+f'!F29</f>
        <v>2.1302278009307427E-6</v>
      </c>
      <c r="G43" s="116">
        <f>'LCI_AD-d'!$E46*'IW+f'!G29</f>
        <v>0.89360271143972314</v>
      </c>
    </row>
    <row r="44" spans="1:8" x14ac:dyDescent="0.35">
      <c r="A44" s="113"/>
      <c r="B44" s="113" t="s">
        <v>231</v>
      </c>
      <c r="C44" s="116">
        <f>'LCI_AD-d'!$E47*'IW+f'!C31</f>
        <v>0.60151873247630161</v>
      </c>
      <c r="D44" s="116">
        <f>'LCI_AD-d'!$E47*'IW+f'!D31</f>
        <v>0.26016692421759646</v>
      </c>
      <c r="E44" s="116">
        <f>'LCI_AD-d'!$E47*'IW+f'!E31</f>
        <v>424.13181213239164</v>
      </c>
      <c r="F44" s="116">
        <f>'LCI_AD-d'!$E47*'IW+f'!F31</f>
        <v>4.8284247774503164E-7</v>
      </c>
      <c r="G44" s="116">
        <f>'LCI_AD-d'!$E47*'IW+f'!G31</f>
        <v>1.3478750962911963</v>
      </c>
    </row>
    <row r="45" spans="1:8" x14ac:dyDescent="0.35">
      <c r="A45" s="113"/>
      <c r="B45" s="113" t="s">
        <v>475</v>
      </c>
      <c r="C45" s="116">
        <f>'LCI_AD-d'!$E48*'IW+f'!C38</f>
        <v>96.991474459487947</v>
      </c>
      <c r="D45" s="116">
        <f>'LCI_AD-d'!$E48*'IW+f'!D38</f>
        <v>12.800108220855149</v>
      </c>
      <c r="E45" s="116">
        <f>'LCI_AD-d'!$E48*'IW+f'!E38</f>
        <v>6288.500061643228</v>
      </c>
      <c r="F45" s="116">
        <f>'LCI_AD-d'!$E48*'IW+f'!F38</f>
        <v>2.941265637486053E-5</v>
      </c>
      <c r="G45" s="116">
        <f>'LCI_AD-d'!$E48*'IW+f'!G38</f>
        <v>10.40076565093138</v>
      </c>
    </row>
    <row r="46" spans="1:8" x14ac:dyDescent="0.35">
      <c r="A46" s="112" t="s">
        <v>488</v>
      </c>
      <c r="B46" s="113"/>
      <c r="C46" s="113"/>
      <c r="D46" s="113"/>
      <c r="E46" s="113"/>
      <c r="F46" s="113"/>
      <c r="G46" s="113"/>
      <c r="H46" s="36" t="s">
        <v>496</v>
      </c>
    </row>
    <row r="47" spans="1:8" x14ac:dyDescent="0.35">
      <c r="A47" s="113"/>
      <c r="B47" s="113" t="s">
        <v>415</v>
      </c>
      <c r="C47" s="113">
        <f>'LCI_AD-d'!E50*'IW+f'!C26</f>
        <v>-260.85437171878948</v>
      </c>
      <c r="D47" s="113"/>
      <c r="E47" s="113"/>
      <c r="F47" s="113"/>
      <c r="G47" s="113"/>
    </row>
    <row r="48" spans="1:8" x14ac:dyDescent="0.35">
      <c r="A48" s="113"/>
      <c r="B48" s="113"/>
      <c r="C48" s="113"/>
      <c r="D48" s="113"/>
      <c r="E48" s="113"/>
      <c r="F48" s="113"/>
      <c r="G48" s="113"/>
    </row>
    <row r="49" spans="1:37" x14ac:dyDescent="0.35">
      <c r="A49" s="112" t="s">
        <v>494</v>
      </c>
      <c r="B49" s="113"/>
      <c r="C49" s="114">
        <f>C5+C34-C40+C47</f>
        <v>-265.33407220943303</v>
      </c>
      <c r="D49" s="114">
        <f t="shared" ref="D49:G49" si="8">D5+D34-D40+D47</f>
        <v>2.8803057104097398</v>
      </c>
      <c r="E49" s="114">
        <f t="shared" si="8"/>
        <v>-5418.0974441084782</v>
      </c>
      <c r="F49" s="114">
        <f t="shared" si="8"/>
        <v>1.0999631516812449E-4</v>
      </c>
      <c r="G49" s="114">
        <f t="shared" si="8"/>
        <v>-30.475572635382854</v>
      </c>
    </row>
    <row r="53" spans="1:37" ht="72.5" x14ac:dyDescent="0.35">
      <c r="A53" s="140" t="s">
        <v>0</v>
      </c>
      <c r="B53" s="140"/>
      <c r="C53" s="137" t="s">
        <v>376</v>
      </c>
      <c r="D53" s="137" t="s">
        <v>377</v>
      </c>
      <c r="E53" s="137" t="s">
        <v>378</v>
      </c>
      <c r="F53" s="137" t="s">
        <v>379</v>
      </c>
      <c r="G53" s="137" t="s">
        <v>380</v>
      </c>
      <c r="H53" s="137" t="s">
        <v>361</v>
      </c>
      <c r="I53" s="137" t="s">
        <v>381</v>
      </c>
      <c r="J53" s="137" t="s">
        <v>382</v>
      </c>
      <c r="K53" s="137" t="s">
        <v>363</v>
      </c>
      <c r="L53" s="137" t="s">
        <v>383</v>
      </c>
      <c r="M53" s="137" t="s">
        <v>384</v>
      </c>
      <c r="N53" s="137" t="s">
        <v>385</v>
      </c>
      <c r="O53" s="137" t="s">
        <v>386</v>
      </c>
      <c r="P53" s="137" t="s">
        <v>387</v>
      </c>
      <c r="Q53" s="137" t="s">
        <v>388</v>
      </c>
      <c r="R53" s="137" t="s">
        <v>367</v>
      </c>
      <c r="S53" s="137" t="s">
        <v>368</v>
      </c>
      <c r="T53" s="137" t="s">
        <v>389</v>
      </c>
      <c r="U53" s="137" t="s">
        <v>390</v>
      </c>
      <c r="V53" s="137" t="s">
        <v>391</v>
      </c>
      <c r="W53" s="137" t="s">
        <v>392</v>
      </c>
      <c r="X53" s="137" t="s">
        <v>369</v>
      </c>
      <c r="Y53" s="137" t="s">
        <v>371</v>
      </c>
      <c r="Z53" s="137" t="s">
        <v>372</v>
      </c>
      <c r="AA53" s="137" t="s">
        <v>393</v>
      </c>
      <c r="AB53" s="137" t="s">
        <v>394</v>
      </c>
      <c r="AC53" s="137" t="s">
        <v>374</v>
      </c>
      <c r="AD53" s="137" t="s">
        <v>395</v>
      </c>
      <c r="AE53" s="137" t="s">
        <v>396</v>
      </c>
      <c r="AF53" s="137" t="s">
        <v>397</v>
      </c>
      <c r="AG53" s="137" t="s">
        <v>398</v>
      </c>
      <c r="AH53" s="137" t="s">
        <v>399</v>
      </c>
      <c r="AI53" s="137" t="s">
        <v>400</v>
      </c>
      <c r="AJ53" s="137" t="s">
        <v>401</v>
      </c>
      <c r="AK53" s="137" t="s">
        <v>402</v>
      </c>
    </row>
    <row r="54" spans="1:37" x14ac:dyDescent="0.35">
      <c r="A54" s="140" t="s">
        <v>6</v>
      </c>
      <c r="B54" s="140"/>
      <c r="C54" s="140" t="e">
        <f>SUM(C56:C82)</f>
        <v>#REF!</v>
      </c>
      <c r="D54" s="140" t="e">
        <f t="shared" ref="D54:AK54" si="9">SUM(D56:D82)</f>
        <v>#REF!</v>
      </c>
      <c r="E54" s="140" t="e">
        <f t="shared" si="9"/>
        <v>#REF!</v>
      </c>
      <c r="F54" s="140" t="e">
        <f t="shared" si="9"/>
        <v>#REF!</v>
      </c>
      <c r="G54" s="140">
        <f t="shared" si="9"/>
        <v>6.4815687833875109E-17</v>
      </c>
      <c r="H54" s="140">
        <f t="shared" si="9"/>
        <v>0.69257174129190979</v>
      </c>
      <c r="I54" s="140">
        <f t="shared" si="9"/>
        <v>29.335646435932194</v>
      </c>
      <c r="J54" s="140">
        <f t="shared" si="9"/>
        <v>0.9069628729632665</v>
      </c>
      <c r="K54" s="140">
        <f t="shared" si="9"/>
        <v>1.1314538662545641E-2</v>
      </c>
      <c r="L54" s="140">
        <f t="shared" si="9"/>
        <v>3.3211061533083422E-7</v>
      </c>
      <c r="M54" s="140">
        <f t="shared" si="9"/>
        <v>2.8988450473766451E-5</v>
      </c>
      <c r="N54" s="140">
        <f t="shared" si="9"/>
        <v>9.210106419745349E-6</v>
      </c>
      <c r="O54" s="140">
        <f t="shared" si="9"/>
        <v>3.0530492877534353E-5</v>
      </c>
      <c r="P54" s="140">
        <f t="shared" si="9"/>
        <v>4.9017711978819071E-8</v>
      </c>
      <c r="Q54" s="140">
        <f t="shared" si="9"/>
        <v>1.4830722501396931E-6</v>
      </c>
      <c r="R54" s="140">
        <f t="shared" si="9"/>
        <v>1.7478379299317572</v>
      </c>
      <c r="S54" s="140">
        <f t="shared" si="9"/>
        <v>0.91323725669022504</v>
      </c>
      <c r="T54" s="140">
        <f t="shared" si="9"/>
        <v>5.3790628938542095</v>
      </c>
      <c r="U54" s="140">
        <f t="shared" si="9"/>
        <v>0.58390924874765804</v>
      </c>
      <c r="V54" s="140">
        <f t="shared" si="9"/>
        <v>2.8054825445662285E-5</v>
      </c>
      <c r="W54" s="140">
        <f t="shared" si="9"/>
        <v>1.6028413895623524E-5</v>
      </c>
      <c r="X54" s="140">
        <f t="shared" si="9"/>
        <v>0.2588651088800259</v>
      </c>
      <c r="Y54" s="140">
        <f t="shared" si="9"/>
        <v>5.7098574072473863E-9</v>
      </c>
      <c r="Z54" s="140">
        <f t="shared" si="9"/>
        <v>1.0731860679966983E-4</v>
      </c>
      <c r="AA54" s="140">
        <f t="shared" si="9"/>
        <v>1.4696982329062112</v>
      </c>
      <c r="AB54" s="140">
        <f t="shared" si="9"/>
        <v>1.4618756448557161E-7</v>
      </c>
      <c r="AC54" s="140">
        <f t="shared" si="9"/>
        <v>7.0093476603338889</v>
      </c>
      <c r="AD54" s="140">
        <f t="shared" si="9"/>
        <v>1.0243486119094698</v>
      </c>
      <c r="AE54" s="140">
        <f t="shared" si="9"/>
        <v>0.58503710719025848</v>
      </c>
      <c r="AF54" s="140">
        <f t="shared" si="9"/>
        <v>2.4581129947403468E-2</v>
      </c>
      <c r="AG54" s="140">
        <f t="shared" si="9"/>
        <v>49.944376261568145</v>
      </c>
      <c r="AH54" s="140">
        <f t="shared" si="9"/>
        <v>2.1235872107068458E-4</v>
      </c>
      <c r="AI54" s="140">
        <f t="shared" si="9"/>
        <v>2.8117989213639644E-4</v>
      </c>
      <c r="AJ54" s="140">
        <f t="shared" si="9"/>
        <v>3.4343984212605227E-5</v>
      </c>
      <c r="AK54" s="140">
        <f t="shared" si="9"/>
        <v>1.6301801779187344E-3</v>
      </c>
    </row>
    <row r="55" spans="1:37" x14ac:dyDescent="0.35">
      <c r="A55" s="140" t="s">
        <v>5</v>
      </c>
      <c r="B55" s="145"/>
      <c r="C55" s="145"/>
      <c r="D55" s="145"/>
      <c r="E55" s="145"/>
      <c r="F55" s="145"/>
      <c r="G55" s="145"/>
      <c r="H55" s="145"/>
      <c r="I55" s="145"/>
      <c r="J55" s="145"/>
      <c r="K55" s="145"/>
      <c r="L55" s="145"/>
      <c r="M55" s="145"/>
      <c r="N55" s="145"/>
      <c r="O55" s="145"/>
      <c r="P55" s="145"/>
      <c r="Q55" s="145"/>
      <c r="R55" s="145"/>
      <c r="S55" s="145"/>
      <c r="T55" s="145"/>
      <c r="U55" s="145"/>
      <c r="V55" s="145"/>
      <c r="W55" s="145"/>
      <c r="X55" s="145"/>
      <c r="Y55" s="145"/>
      <c r="Z55" s="145"/>
      <c r="AA55" s="145"/>
      <c r="AB55" s="145"/>
      <c r="AC55" s="145"/>
      <c r="AD55" s="145"/>
      <c r="AE55" s="145"/>
      <c r="AF55" s="145"/>
      <c r="AG55" s="145"/>
      <c r="AH55" s="145"/>
      <c r="AI55" s="145"/>
      <c r="AJ55" s="145"/>
      <c r="AK55" s="145"/>
    </row>
    <row r="56" spans="1:37" x14ac:dyDescent="0.35">
      <c r="A56" s="140"/>
      <c r="B56" s="145" t="s">
        <v>249</v>
      </c>
      <c r="C56" s="145" t="e">
        <f>'LCIA_AD-c'!C47</f>
        <v>#REF!</v>
      </c>
      <c r="D56" s="145" t="e">
        <f>'LCIA_AD-c'!D47</f>
        <v>#REF!</v>
      </c>
      <c r="E56" s="145" t="e">
        <f>'LCIA_AD-c'!E47</f>
        <v>#REF!</v>
      </c>
      <c r="F56" s="145" t="e">
        <f>'LCIA_AD-c'!F47</f>
        <v>#REF!</v>
      </c>
      <c r="G56" s="145">
        <f>'LCIA_AD-c'!G47</f>
        <v>9.0040097542142219E-20</v>
      </c>
      <c r="H56" s="145">
        <f>'LCIA_AD-c'!H47</f>
        <v>5.1931114803604956E-3</v>
      </c>
      <c r="I56" s="145">
        <f>'LCIA_AD-c'!I47</f>
        <v>0.24839018720173295</v>
      </c>
      <c r="J56" s="145">
        <f>'LCIA_AD-c'!J47</f>
        <v>1.234083364332369E-2</v>
      </c>
      <c r="K56" s="145">
        <f>'LCIA_AD-c'!K47</f>
        <v>2.1439753416220663E-5</v>
      </c>
      <c r="L56" s="145">
        <f>'LCIA_AD-c'!L47</f>
        <v>8.7015032149142414E-9</v>
      </c>
      <c r="M56" s="145">
        <f>'LCIA_AD-c'!M47</f>
        <v>1.6596905236710246E-7</v>
      </c>
      <c r="N56" s="145">
        <f>'LCIA_AD-c'!N47</f>
        <v>1.9676602640470916E-7</v>
      </c>
      <c r="O56" s="145">
        <f>'LCIA_AD-c'!O47</f>
        <v>1.0474046667854858E-7</v>
      </c>
      <c r="P56" s="145">
        <f>'LCIA_AD-c'!P47</f>
        <v>4.1389310905179983E-9</v>
      </c>
      <c r="Q56" s="145">
        <f>'LCIA_AD-c'!Q47</f>
        <v>1.2763337153218512E-7</v>
      </c>
      <c r="R56" s="145">
        <f>'LCIA_AD-c'!R47</f>
        <v>1.6534106080479432E-2</v>
      </c>
      <c r="S56" s="145">
        <f>'LCIA_AD-c'!S47</f>
        <v>1.1656841267618703E-2</v>
      </c>
      <c r="T56" s="145">
        <f>'LCIA_AD-c'!T47</f>
        <v>0.10249049260823448</v>
      </c>
      <c r="U56" s="145">
        <f>'LCIA_AD-c'!U47</f>
        <v>1.1125576504552512E-2</v>
      </c>
      <c r="V56" s="145">
        <f>'LCIA_AD-c'!V47</f>
        <v>9.6489525909131685E-7</v>
      </c>
      <c r="W56" s="145">
        <f>'LCIA_AD-c'!W47</f>
        <v>2.6554776215088471E-7</v>
      </c>
      <c r="X56" s="145">
        <f>'LCIA_AD-c'!X47</f>
        <v>6.7963986332143073E-4</v>
      </c>
      <c r="Y56" s="145">
        <f>'LCIA_AD-c'!Y47</f>
        <v>4.6233568878889853E-11</v>
      </c>
      <c r="Z56" s="145">
        <f>'LCIA_AD-c'!Z47</f>
        <v>3.7424948947123667E-7</v>
      </c>
      <c r="AA56" s="145">
        <f>'LCIA_AD-c'!AA47</f>
        <v>1.5755418847462184E-2</v>
      </c>
      <c r="AB56" s="145">
        <f>'LCIA_AD-c'!AB47</f>
        <v>1.5662117661554336E-9</v>
      </c>
      <c r="AC56" s="145">
        <f>'LCIA_AD-c'!AC47</f>
        <v>3.4269056902659287E-2</v>
      </c>
      <c r="AD56" s="145">
        <f>'LCIA_AD-c'!AD47</f>
        <v>3.5220034139757453E-2</v>
      </c>
      <c r="AE56" s="145">
        <f>'LCIA_AD-c'!AE47</f>
        <v>9.6924933185072934E-3</v>
      </c>
      <c r="AF56" s="145">
        <f>'LCIA_AD-c'!AF47</f>
        <v>1.9004186679781043E-3</v>
      </c>
      <c r="AG56" s="145">
        <f>'LCIA_AD-c'!AG47</f>
        <v>0.5052956935927394</v>
      </c>
      <c r="AH56" s="145">
        <f>'LCIA_AD-c'!AH47</f>
        <v>2.2125278087823061E-6</v>
      </c>
      <c r="AI56" s="145">
        <f>'LCIA_AD-c'!AI47</f>
        <v>1.0093591977195651E-5</v>
      </c>
      <c r="AJ56" s="145">
        <f>'LCIA_AD-c'!AJ47</f>
        <v>1.2328554537785757E-6</v>
      </c>
      <c r="AK56" s="145">
        <f>'LCIA_AD-c'!AK47</f>
        <v>1.4715139405635514E-5</v>
      </c>
    </row>
    <row r="57" spans="1:37" x14ac:dyDescent="0.35">
      <c r="A57" s="140"/>
      <c r="B57" s="145" t="s">
        <v>250</v>
      </c>
      <c r="C57" s="145" t="e">
        <f>'LCIA_AD-c'!C48</f>
        <v>#REF!</v>
      </c>
      <c r="D57" s="145" t="e">
        <f>'LCIA_AD-c'!D48</f>
        <v>#REF!</v>
      </c>
      <c r="E57" s="145" t="e">
        <f>'LCIA_AD-c'!E48</f>
        <v>#REF!</v>
      </c>
      <c r="F57" s="145" t="e">
        <f>'LCIA_AD-c'!F48</f>
        <v>#REF!</v>
      </c>
      <c r="G57" s="145">
        <f>'LCIA_AD-c'!G48</f>
        <v>0</v>
      </c>
      <c r="H57" s="145">
        <f>'LCIA_AD-c'!H48</f>
        <v>0</v>
      </c>
      <c r="I57" s="145">
        <f>'LCIA_AD-c'!I48</f>
        <v>0</v>
      </c>
      <c r="J57" s="145">
        <f>'LCIA_AD-c'!J48</f>
        <v>0</v>
      </c>
      <c r="K57" s="145">
        <f>'LCIA_AD-c'!K48</f>
        <v>0</v>
      </c>
      <c r="L57" s="145">
        <f>'LCIA_AD-c'!L48</f>
        <v>0</v>
      </c>
      <c r="M57" s="145">
        <f>'LCIA_AD-c'!M48</f>
        <v>0</v>
      </c>
      <c r="N57" s="145">
        <f>'LCIA_AD-c'!N48</f>
        <v>0</v>
      </c>
      <c r="O57" s="145">
        <f>'LCIA_AD-c'!O48</f>
        <v>0</v>
      </c>
      <c r="P57" s="145">
        <f>'LCIA_AD-c'!P48</f>
        <v>0</v>
      </c>
      <c r="Q57" s="145">
        <f>'LCIA_AD-c'!Q48</f>
        <v>0</v>
      </c>
      <c r="R57" s="145">
        <f>'LCIA_AD-c'!R48</f>
        <v>0</v>
      </c>
      <c r="S57" s="145">
        <f>'LCIA_AD-c'!S48</f>
        <v>0</v>
      </c>
      <c r="T57" s="145">
        <f>'LCIA_AD-c'!T48</f>
        <v>0</v>
      </c>
      <c r="U57" s="145">
        <f>'LCIA_AD-c'!U48</f>
        <v>0</v>
      </c>
      <c r="V57" s="145">
        <f>'LCIA_AD-c'!V48</f>
        <v>0</v>
      </c>
      <c r="W57" s="145">
        <f>'LCIA_AD-c'!W48</f>
        <v>0</v>
      </c>
      <c r="X57" s="145">
        <f>'LCIA_AD-c'!X48</f>
        <v>0</v>
      </c>
      <c r="Y57" s="145">
        <f>'LCIA_AD-c'!Y48</f>
        <v>0</v>
      </c>
      <c r="Z57" s="145">
        <f>'LCIA_AD-c'!Z48</f>
        <v>0</v>
      </c>
      <c r="AA57" s="145">
        <f>'LCIA_AD-c'!AA48</f>
        <v>0</v>
      </c>
      <c r="AB57" s="145">
        <f>'LCIA_AD-c'!AB48</f>
        <v>0</v>
      </c>
      <c r="AC57" s="145">
        <f>'LCIA_AD-c'!AC48</f>
        <v>0</v>
      </c>
      <c r="AD57" s="145">
        <f>'LCIA_AD-c'!AD48</f>
        <v>0</v>
      </c>
      <c r="AE57" s="145">
        <f>'LCIA_AD-c'!AE48</f>
        <v>0</v>
      </c>
      <c r="AF57" s="145">
        <f>'LCIA_AD-c'!AF48</f>
        <v>0</v>
      </c>
      <c r="AG57" s="145">
        <f>'LCIA_AD-c'!AG48</f>
        <v>0</v>
      </c>
      <c r="AH57" s="145">
        <f>'LCIA_AD-c'!AH48</f>
        <v>0</v>
      </c>
      <c r="AI57" s="145">
        <f>'LCIA_AD-c'!AI48</f>
        <v>0</v>
      </c>
      <c r="AJ57" s="145">
        <f>'LCIA_AD-c'!AJ48</f>
        <v>0</v>
      </c>
      <c r="AK57" s="145">
        <f>'LCIA_AD-c'!AK48</f>
        <v>0</v>
      </c>
    </row>
    <row r="58" spans="1:37" x14ac:dyDescent="0.35">
      <c r="A58" s="140" t="s">
        <v>235</v>
      </c>
      <c r="B58" s="145"/>
      <c r="C58" s="145"/>
      <c r="D58" s="145"/>
      <c r="E58" s="145"/>
      <c r="F58" s="145"/>
      <c r="G58" s="145"/>
      <c r="H58" s="145"/>
      <c r="I58" s="145"/>
      <c r="J58" s="145"/>
      <c r="K58" s="145"/>
      <c r="L58" s="145"/>
      <c r="M58" s="145"/>
      <c r="N58" s="145"/>
      <c r="O58" s="145"/>
      <c r="P58" s="145"/>
      <c r="Q58" s="145"/>
      <c r="R58" s="145"/>
      <c r="S58" s="145"/>
      <c r="T58" s="145"/>
      <c r="U58" s="145"/>
      <c r="V58" s="145"/>
      <c r="W58" s="145"/>
      <c r="X58" s="145"/>
      <c r="Y58" s="145"/>
      <c r="Z58" s="145"/>
      <c r="AA58" s="145"/>
      <c r="AB58" s="145"/>
      <c r="AC58" s="145"/>
      <c r="AD58" s="145"/>
      <c r="AE58" s="145"/>
      <c r="AF58" s="145"/>
      <c r="AG58" s="145"/>
      <c r="AH58" s="145"/>
      <c r="AI58" s="145"/>
      <c r="AJ58" s="145"/>
      <c r="AK58" s="145"/>
    </row>
    <row r="59" spans="1:37" x14ac:dyDescent="0.35">
      <c r="A59" s="140"/>
      <c r="B59" s="145" t="s">
        <v>286</v>
      </c>
      <c r="C59" s="145" t="e">
        <f>'LCIA_AD-c'!C50</f>
        <v>#REF!</v>
      </c>
      <c r="D59" s="145" t="e">
        <f>'LCIA_AD-c'!D50</f>
        <v>#REF!</v>
      </c>
      <c r="E59" s="145" t="e">
        <f>'LCIA_AD-c'!E50</f>
        <v>#REF!</v>
      </c>
      <c r="F59" s="145" t="e">
        <f>'LCIA_AD-c'!F50</f>
        <v>#REF!</v>
      </c>
      <c r="G59" s="145">
        <f>'LCIA_AD-c'!G50</f>
        <v>3.4259653114390555E-19</v>
      </c>
      <c r="H59" s="145">
        <f>'LCIA_AD-c'!H50</f>
        <v>1.9088748614477355E-3</v>
      </c>
      <c r="I59" s="145">
        <f>'LCIA_AD-c'!I50</f>
        <v>2.1165975185515697E-2</v>
      </c>
      <c r="J59" s="145">
        <f>'LCIA_AD-c'!J50</f>
        <v>7.7842440064621963E-3</v>
      </c>
      <c r="K59" s="145">
        <f>'LCIA_AD-c'!K50</f>
        <v>1.2090234903629117E-5</v>
      </c>
      <c r="L59" s="145">
        <f>'LCIA_AD-c'!L50</f>
        <v>1.3807900143766815E-9</v>
      </c>
      <c r="M59" s="145">
        <f>'LCIA_AD-c'!M50</f>
        <v>7.8521018154124293E-8</v>
      </c>
      <c r="N59" s="145">
        <f>'LCIA_AD-c'!N50</f>
        <v>5.1916740498462542E-8</v>
      </c>
      <c r="O59" s="145">
        <f>'LCIA_AD-c'!O50</f>
        <v>3.4957298081958831E-8</v>
      </c>
      <c r="P59" s="145">
        <f>'LCIA_AD-c'!P50</f>
        <v>1.6087202212299374E-11</v>
      </c>
      <c r="Q59" s="145">
        <f>'LCIA_AD-c'!Q50</f>
        <v>1.9821700798180701E-10</v>
      </c>
      <c r="R59" s="145">
        <f>'LCIA_AD-c'!R50</f>
        <v>9.3882236600461508E-3</v>
      </c>
      <c r="S59" s="145">
        <f>'LCIA_AD-c'!S50</f>
        <v>1.0847515163367839E-2</v>
      </c>
      <c r="T59" s="145">
        <f>'LCIA_AD-c'!T50</f>
        <v>5.9340583237830792E-2</v>
      </c>
      <c r="U59" s="145">
        <f>'LCIA_AD-c'!U50</f>
        <v>6.4415394809225063E-3</v>
      </c>
      <c r="V59" s="145">
        <f>'LCIA_AD-c'!V50</f>
        <v>2.2361093064658549E-8</v>
      </c>
      <c r="W59" s="145">
        <f>'LCIA_AD-c'!W50</f>
        <v>1.8378519819012135E-8</v>
      </c>
      <c r="X59" s="145">
        <f>'LCIA_AD-c'!X50</f>
        <v>4.9087972213900696E-4</v>
      </c>
      <c r="Y59" s="145">
        <f>'LCIA_AD-c'!Y50</f>
        <v>1.4130656214684504E-11</v>
      </c>
      <c r="Z59" s="145">
        <f>'LCIA_AD-c'!Z50</f>
        <v>2.3089230034193365E-7</v>
      </c>
      <c r="AA59" s="145">
        <f>'LCIA_AD-c'!AA50</f>
        <v>1.24610140420619E-2</v>
      </c>
      <c r="AB59" s="145">
        <f>'LCIA_AD-c'!AB50</f>
        <v>1.2166988717580699E-9</v>
      </c>
      <c r="AC59" s="145">
        <f>'LCIA_AD-c'!AC50</f>
        <v>1.357355809150523E-2</v>
      </c>
      <c r="AD59" s="145">
        <f>'LCIA_AD-c'!AD50</f>
        <v>8.1619861313748173E-4</v>
      </c>
      <c r="AE59" s="145">
        <f>'LCIA_AD-c'!AE50</f>
        <v>6.7081597339394266E-4</v>
      </c>
      <c r="AF59" s="145">
        <f>'LCIA_AD-c'!AF50</f>
        <v>1.5428172135718716E-5</v>
      </c>
      <c r="AG59" s="145">
        <f>'LCIA_AD-c'!AG50</f>
        <v>0.1449237168411589</v>
      </c>
      <c r="AH59" s="145">
        <f>'LCIA_AD-c'!AH50</f>
        <v>4.374991643569647E-7</v>
      </c>
      <c r="AI59" s="145">
        <f>'LCIA_AD-c'!AI50</f>
        <v>3.14403300469906E-7</v>
      </c>
      <c r="AJ59" s="145">
        <f>'LCIA_AD-c'!AJ50</f>
        <v>3.8401970730154165E-8</v>
      </c>
      <c r="AK59" s="145">
        <f>'LCIA_AD-c'!AK50</f>
        <v>6.4212372885133327E-6</v>
      </c>
    </row>
    <row r="60" spans="1:37" x14ac:dyDescent="0.35">
      <c r="A60" s="140"/>
      <c r="B60" s="145" t="s">
        <v>235</v>
      </c>
      <c r="C60" s="145" t="e">
        <f>'LCIA_AD-c'!C51</f>
        <v>#REF!</v>
      </c>
      <c r="D60" s="145" t="e">
        <f>'LCIA_AD-c'!D51</f>
        <v>#REF!</v>
      </c>
      <c r="E60" s="145" t="e">
        <f>'LCIA_AD-c'!E51</f>
        <v>#REF!</v>
      </c>
      <c r="F60" s="145" t="e">
        <f>'LCIA_AD-c'!F51</f>
        <v>#REF!</v>
      </c>
      <c r="G60" s="145">
        <f>'LCIA_AD-c'!G51</f>
        <v>1.3417014761931066E-18</v>
      </c>
      <c r="H60" s="145">
        <f>'LCIA_AD-c'!H51</f>
        <v>7.0661974280644954E-2</v>
      </c>
      <c r="I60" s="145">
        <f>'LCIA_AD-c'!I51</f>
        <v>0.93416719125512804</v>
      </c>
      <c r="J60" s="145">
        <f>'LCIA_AD-c'!J51</f>
        <v>0.11947233209536294</v>
      </c>
      <c r="K60" s="145">
        <f>'LCIA_AD-c'!K51</f>
        <v>5.8252778621848689E-3</v>
      </c>
      <c r="L60" s="145">
        <f>'LCIA_AD-c'!L51</f>
        <v>7.543227881230801E-8</v>
      </c>
      <c r="M60" s="145">
        <f>'LCIA_AD-c'!M51</f>
        <v>9.2358423028085057E-6</v>
      </c>
      <c r="N60" s="145">
        <f>'LCIA_AD-c'!N51</f>
        <v>2.0141902382323624E-6</v>
      </c>
      <c r="O60" s="145">
        <f>'LCIA_AD-c'!O51</f>
        <v>2.073338334217323E-5</v>
      </c>
      <c r="P60" s="145">
        <f>'LCIA_AD-c'!P51</f>
        <v>1.6721138820675336E-10</v>
      </c>
      <c r="Q60" s="145">
        <f>'LCIA_AD-c'!Q51</f>
        <v>2.5414819458518307E-9</v>
      </c>
      <c r="R60" s="145">
        <f>'LCIA_AD-c'!R51</f>
        <v>0.10325709629067527</v>
      </c>
      <c r="S60" s="145">
        <f>'LCIA_AD-c'!S51</f>
        <v>0.20192306813671582</v>
      </c>
      <c r="T60" s="145">
        <f>'LCIA_AD-c'!T51</f>
        <v>0.81381304343515604</v>
      </c>
      <c r="U60" s="145">
        <f>'LCIA_AD-c'!U51</f>
        <v>8.8340903369667073E-2</v>
      </c>
      <c r="V60" s="145">
        <f>'LCIA_AD-c'!V51</f>
        <v>4.1790110398157114E-7</v>
      </c>
      <c r="W60" s="145">
        <f>'LCIA_AD-c'!W51</f>
        <v>9.1166986820938597E-7</v>
      </c>
      <c r="X60" s="145">
        <f>'LCIA_AD-c'!X51</f>
        <v>3.6914893888666471E-2</v>
      </c>
      <c r="Y60" s="145">
        <f>'LCIA_AD-c'!Y51</f>
        <v>3.4271490621614475E-10</v>
      </c>
      <c r="Z60" s="145">
        <f>'LCIA_AD-c'!Z51</f>
        <v>8.8111435597395313E-6</v>
      </c>
      <c r="AA60" s="145">
        <f>'LCIA_AD-c'!AA51</f>
        <v>0.52310036021523809</v>
      </c>
      <c r="AB60" s="145">
        <f>'LCIA_AD-c'!AB51</f>
        <v>5.3982752056258097E-8</v>
      </c>
      <c r="AC60" s="145">
        <f>'LCIA_AD-c'!AC51</f>
        <v>0.52930584039175488</v>
      </c>
      <c r="AD60" s="145">
        <f>'LCIA_AD-c'!AD51</f>
        <v>1.5262636374080941E-2</v>
      </c>
      <c r="AE60" s="145">
        <f>'LCIA_AD-c'!AE51</f>
        <v>3.3275950189642592E-2</v>
      </c>
      <c r="AF60" s="145">
        <f>'LCIA_AD-c'!AF51</f>
        <v>3.8173633035694057E-4</v>
      </c>
      <c r="AG60" s="145">
        <f>'LCIA_AD-c'!AG51</f>
        <v>3.4759974820656048</v>
      </c>
      <c r="AH60" s="145">
        <f>'LCIA_AD-c'!AH51</f>
        <v>5.0697184643165686E-5</v>
      </c>
      <c r="AI60" s="145">
        <f>'LCIA_AD-c'!AI51</f>
        <v>7.999127841649449E-5</v>
      </c>
      <c r="AJ60" s="145">
        <f>'LCIA_AD-c'!AJ51</f>
        <v>9.7703259724914291E-6</v>
      </c>
      <c r="AK60" s="145">
        <f>'LCIA_AD-c'!AK51</f>
        <v>2.1385693372968594E-4</v>
      </c>
    </row>
    <row r="61" spans="1:37" x14ac:dyDescent="0.35">
      <c r="A61" s="140" t="s">
        <v>6</v>
      </c>
      <c r="B61" s="145"/>
      <c r="C61" s="145"/>
      <c r="D61" s="145"/>
      <c r="E61" s="145"/>
      <c r="F61" s="145"/>
      <c r="G61" s="145"/>
      <c r="H61" s="145"/>
      <c r="I61" s="145"/>
      <c r="J61" s="145"/>
      <c r="K61" s="145"/>
      <c r="L61" s="145"/>
      <c r="M61" s="145"/>
      <c r="N61" s="145"/>
      <c r="O61" s="145"/>
      <c r="P61" s="145"/>
      <c r="Q61" s="145"/>
      <c r="R61" s="145"/>
      <c r="S61" s="145"/>
      <c r="T61" s="145"/>
      <c r="U61" s="145"/>
      <c r="V61" s="145"/>
      <c r="W61" s="145"/>
      <c r="X61" s="145"/>
      <c r="Y61" s="145"/>
      <c r="Z61" s="145"/>
      <c r="AA61" s="145"/>
      <c r="AB61" s="145"/>
      <c r="AC61" s="145"/>
      <c r="AD61" s="145"/>
      <c r="AE61" s="145"/>
      <c r="AF61" s="145"/>
      <c r="AG61" s="145"/>
      <c r="AH61" s="145"/>
      <c r="AI61" s="145"/>
      <c r="AJ61" s="145"/>
      <c r="AK61" s="145"/>
    </row>
    <row r="62" spans="1:37" x14ac:dyDescent="0.35">
      <c r="A62" s="140"/>
      <c r="B62" s="145" t="s">
        <v>8</v>
      </c>
      <c r="C62" s="145" t="e">
        <f>'LCIA_AD-c'!C53</f>
        <v>#REF!</v>
      </c>
      <c r="D62" s="145" t="e">
        <f>'LCIA_AD-c'!D53</f>
        <v>#REF!</v>
      </c>
      <c r="E62" s="145" t="e">
        <f>'LCIA_AD-c'!E53</f>
        <v>#REF!</v>
      </c>
      <c r="F62" s="145" t="e">
        <f>'LCIA_AD-c'!F53</f>
        <v>#REF!</v>
      </c>
      <c r="G62" s="145">
        <f>'LCIA_AD-c'!G53</f>
        <v>2.0146246273707774E-19</v>
      </c>
      <c r="H62" s="145">
        <f>'LCIA_AD-c'!H53</f>
        <v>1.1619456849343674E-2</v>
      </c>
      <c r="I62" s="145">
        <f>'LCIA_AD-c'!I53</f>
        <v>0.55576682166479929</v>
      </c>
      <c r="J62" s="145">
        <f>'LCIA_AD-c'!J53</f>
        <v>2.7612306137817434E-2</v>
      </c>
      <c r="K62" s="145">
        <f>'LCIA_AD-c'!K53</f>
        <v>4.7970911200822386E-5</v>
      </c>
      <c r="L62" s="145">
        <f>'LCIA_AD-c'!L53</f>
        <v>1.9469395469843191E-8</v>
      </c>
      <c r="M62" s="145">
        <f>'LCIA_AD-c'!M53</f>
        <v>3.7135159712999983E-7</v>
      </c>
      <c r="N62" s="145">
        <f>'LCIA_AD-c'!N53</f>
        <v>4.4025905507185927E-7</v>
      </c>
      <c r="O62" s="145">
        <f>'LCIA_AD-c'!O53</f>
        <v>2.3435417043406713E-7</v>
      </c>
      <c r="P62" s="145">
        <f>'LCIA_AD-c'!P53</f>
        <v>9.2607546343954807E-9</v>
      </c>
      <c r="Q62" s="145">
        <f>'LCIA_AD-c'!Q53</f>
        <v>2.8557647157451842E-7</v>
      </c>
      <c r="R62" s="145">
        <f>'LCIA_AD-c'!R53</f>
        <v>3.6994648174058696E-2</v>
      </c>
      <c r="S62" s="145">
        <f>'LCIA_AD-c'!S53</f>
        <v>2.6081890331255075E-2</v>
      </c>
      <c r="T62" s="145">
        <f>'LCIA_AD-c'!T53</f>
        <v>0.22931990981381525</v>
      </c>
      <c r="U62" s="145">
        <f>'LCIA_AD-c'!U53</f>
        <v>2.4893198732130022E-2</v>
      </c>
      <c r="V62" s="145">
        <f>'LCIA_AD-c'!V53</f>
        <v>2.1589289714938985E-6</v>
      </c>
      <c r="W62" s="145">
        <f>'LCIA_AD-c'!W53</f>
        <v>5.9415646581455464E-7</v>
      </c>
      <c r="X62" s="145">
        <f>'LCIA_AD-c'!X53</f>
        <v>1.5206771691350248E-3</v>
      </c>
      <c r="Y62" s="145">
        <f>'LCIA_AD-c'!Y53</f>
        <v>1.0344645221098301E-10</v>
      </c>
      <c r="Z62" s="145">
        <f>'LCIA_AD-c'!Z53</f>
        <v>8.3737385770468086E-7</v>
      </c>
      <c r="AA62" s="145">
        <f>'LCIA_AD-c'!AA53</f>
        <v>3.5252354996375815E-2</v>
      </c>
      <c r="AB62" s="145">
        <f>'LCIA_AD-c'!AB53</f>
        <v>3.5043595930111055E-9</v>
      </c>
      <c r="AC62" s="145">
        <f>'LCIA_AD-c'!AC53</f>
        <v>7.6676156376390969E-2</v>
      </c>
      <c r="AD62" s="145">
        <f>'LCIA_AD-c'!AD53</f>
        <v>7.8803944122323041E-2</v>
      </c>
      <c r="AE62" s="145">
        <f>'LCIA_AD-c'!AE53</f>
        <v>2.1686711002231247E-2</v>
      </c>
      <c r="AF62" s="145">
        <f>'LCIA_AD-c'!AF53</f>
        <v>4.2521391639229527E-3</v>
      </c>
      <c r="AG62" s="145">
        <f>'LCIA_AD-c'!AG53</f>
        <v>1.1305864567059991</v>
      </c>
      <c r="AH62" s="145">
        <f>'LCIA_AD-c'!AH53</f>
        <v>4.950475548107104E-6</v>
      </c>
      <c r="AI62" s="145">
        <f>'LCIA_AD-c'!AI53</f>
        <v>2.258415920348486E-5</v>
      </c>
      <c r="AJ62" s="145">
        <f>'LCIA_AD-c'!AJ53</f>
        <v>2.7584831946769133E-6</v>
      </c>
      <c r="AK62" s="145">
        <f>'LCIA_AD-c'!AK53</f>
        <v>3.2924755804392892E-5</v>
      </c>
    </row>
    <row r="63" spans="1:37" x14ac:dyDescent="0.35">
      <c r="A63" s="140"/>
      <c r="B63" s="145" t="s">
        <v>18</v>
      </c>
      <c r="C63" s="145" t="e">
        <f>'LCIA_AD-c'!C54</f>
        <v>#REF!</v>
      </c>
      <c r="D63" s="145" t="e">
        <f>'LCIA_AD-c'!D54</f>
        <v>#REF!</v>
      </c>
      <c r="E63" s="145" t="e">
        <f>'LCIA_AD-c'!E54</f>
        <v>#REF!</v>
      </c>
      <c r="F63" s="145" t="e">
        <f>'LCIA_AD-c'!F54</f>
        <v>#REF!</v>
      </c>
      <c r="G63" s="145">
        <f>'LCIA_AD-c'!G54</f>
        <v>2.7159126165986591E-17</v>
      </c>
      <c r="H63" s="145">
        <f>'LCIA_AD-c'!H54</f>
        <v>3.9384429899939365E-2</v>
      </c>
      <c r="I63" s="145">
        <f>'LCIA_AD-c'!I54</f>
        <v>1.1164091774138278</v>
      </c>
      <c r="J63" s="145">
        <f>'LCIA_AD-c'!J54</f>
        <v>0.14465944541327941</v>
      </c>
      <c r="K63" s="145">
        <f>'LCIA_AD-c'!K54</f>
        <v>5.9732092169600232E-4</v>
      </c>
      <c r="L63" s="145">
        <f>'LCIA_AD-c'!L54</f>
        <v>2.4810764281290643E-8</v>
      </c>
      <c r="M63" s="145">
        <f>'LCIA_AD-c'!M54</f>
        <v>9.5025968432804083E-7</v>
      </c>
      <c r="N63" s="145">
        <f>'LCIA_AD-c'!N54</f>
        <v>8.8695954394508445E-7</v>
      </c>
      <c r="O63" s="145">
        <f>'LCIA_AD-c'!O54</f>
        <v>6.3949866864703821E-7</v>
      </c>
      <c r="P63" s="145">
        <f>'LCIA_AD-c'!P54</f>
        <v>3.4244674996023721E-10</v>
      </c>
      <c r="Q63" s="145">
        <f>'LCIA_AD-c'!Q54</f>
        <v>5.640495591874525E-9</v>
      </c>
      <c r="R63" s="145">
        <f>'LCIA_AD-c'!R54</f>
        <v>1.2522888650153385</v>
      </c>
      <c r="S63" s="145">
        <f>'LCIA_AD-c'!S54</f>
        <v>0.22236732164114079</v>
      </c>
      <c r="T63" s="145">
        <f>'LCIA_AD-c'!T54</f>
        <v>1.2993103391764373</v>
      </c>
      <c r="U63" s="145">
        <f>'LCIA_AD-c'!U54</f>
        <v>0.1410432154146555</v>
      </c>
      <c r="V63" s="145">
        <f>'LCIA_AD-c'!V54</f>
        <v>4.8995566111538829E-6</v>
      </c>
      <c r="W63" s="145">
        <f>'LCIA_AD-c'!W54</f>
        <v>3.1636932996387812E-6</v>
      </c>
      <c r="X63" s="145">
        <f>'LCIA_AD-c'!X54</f>
        <v>8.7941767587420248E-3</v>
      </c>
      <c r="Y63" s="145">
        <f>'LCIA_AD-c'!Y54</f>
        <v>5.5520031014139023E-10</v>
      </c>
      <c r="Z63" s="145">
        <f>'LCIA_AD-c'!Z54</f>
        <v>4.2239854117750112E-5</v>
      </c>
      <c r="AA63" s="145">
        <f>'LCIA_AD-c'!AA54</f>
        <v>0.30103279985134818</v>
      </c>
      <c r="AB63" s="145">
        <f>'LCIA_AD-c'!AB54</f>
        <v>3.0275729153819333E-8</v>
      </c>
      <c r="AC63" s="145">
        <f>'LCIA_AD-c'!AC54</f>
        <v>0.29460585077001711</v>
      </c>
      <c r="AD63" s="145">
        <f>'LCIA_AD-c'!AD54</f>
        <v>0.17883454948602154</v>
      </c>
      <c r="AE63" s="145">
        <f>'LCIA_AD-c'!AE54</f>
        <v>0.11547480543681553</v>
      </c>
      <c r="AF63" s="145">
        <f>'LCIA_AD-c'!AF54</f>
        <v>4.3393968358153263E-4</v>
      </c>
      <c r="AG63" s="145">
        <f>'LCIA_AD-c'!AG54</f>
        <v>5.1153930044438809</v>
      </c>
      <c r="AH63" s="145">
        <f>'LCIA_AD-c'!AH54</f>
        <v>4.6235202174172931E-5</v>
      </c>
      <c r="AI63" s="145">
        <f>'LCIA_AD-c'!AI54</f>
        <v>1.1931549424189578E-5</v>
      </c>
      <c r="AJ63" s="145">
        <f>'LCIA_AD-c'!AJ54</f>
        <v>1.4573479701655237E-6</v>
      </c>
      <c r="AK63" s="145">
        <f>'LCIA_AD-c'!AK54</f>
        <v>1.367724192572127E-4</v>
      </c>
    </row>
    <row r="64" spans="1:37" x14ac:dyDescent="0.35">
      <c r="A64" s="140"/>
      <c r="B64" s="145" t="s">
        <v>96</v>
      </c>
      <c r="C64" s="145" t="e">
        <f>'LCIA_AD-c'!C55</f>
        <v>#REF!</v>
      </c>
      <c r="D64" s="145" t="e">
        <f>'LCIA_AD-c'!D55</f>
        <v>#REF!</v>
      </c>
      <c r="E64" s="145" t="e">
        <f>'LCIA_AD-c'!E55</f>
        <v>#REF!</v>
      </c>
      <c r="F64" s="145" t="e">
        <f>'LCIA_AD-c'!F55</f>
        <v>#REF!</v>
      </c>
      <c r="G64" s="145">
        <f>'LCIA_AD-c'!G55</f>
        <v>0</v>
      </c>
      <c r="H64" s="145">
        <f>'LCIA_AD-c'!H55</f>
        <v>0</v>
      </c>
      <c r="I64" s="145">
        <f>'LCIA_AD-c'!I55</f>
        <v>0</v>
      </c>
      <c r="J64" s="145">
        <f>'LCIA_AD-c'!J55</f>
        <v>0</v>
      </c>
      <c r="K64" s="145">
        <f>'LCIA_AD-c'!K55</f>
        <v>0</v>
      </c>
      <c r="L64" s="145">
        <f>'LCIA_AD-c'!L55</f>
        <v>0</v>
      </c>
      <c r="M64" s="145">
        <f>'LCIA_AD-c'!M55</f>
        <v>0</v>
      </c>
      <c r="N64" s="145">
        <f>'LCIA_AD-c'!N55</f>
        <v>0</v>
      </c>
      <c r="O64" s="145">
        <f>'LCIA_AD-c'!O55</f>
        <v>0</v>
      </c>
      <c r="P64" s="145">
        <f>'LCIA_AD-c'!P55</f>
        <v>0</v>
      </c>
      <c r="Q64" s="145">
        <f>'LCIA_AD-c'!Q55</f>
        <v>0</v>
      </c>
      <c r="R64" s="145">
        <f>'LCIA_AD-c'!R55</f>
        <v>0</v>
      </c>
      <c r="S64" s="145">
        <f>'LCIA_AD-c'!S55</f>
        <v>0</v>
      </c>
      <c r="T64" s="145">
        <f>'LCIA_AD-c'!T55</f>
        <v>0</v>
      </c>
      <c r="U64" s="145">
        <f>'LCIA_AD-c'!U55</f>
        <v>0</v>
      </c>
      <c r="V64" s="145">
        <f>'LCIA_AD-c'!V55</f>
        <v>0</v>
      </c>
      <c r="W64" s="145">
        <f>'LCIA_AD-c'!W55</f>
        <v>0</v>
      </c>
      <c r="X64" s="145">
        <f>'LCIA_AD-c'!X55</f>
        <v>0</v>
      </c>
      <c r="Y64" s="145">
        <f>'LCIA_AD-c'!Y55</f>
        <v>0</v>
      </c>
      <c r="Z64" s="145">
        <f>'LCIA_AD-c'!Z55</f>
        <v>0</v>
      </c>
      <c r="AA64" s="145">
        <f>'LCIA_AD-c'!AA55</f>
        <v>0</v>
      </c>
      <c r="AB64" s="145">
        <f>'LCIA_AD-c'!AB55</f>
        <v>0</v>
      </c>
      <c r="AC64" s="145">
        <f>'LCIA_AD-c'!AC55</f>
        <v>0</v>
      </c>
      <c r="AD64" s="145">
        <f>'LCIA_AD-c'!AD55</f>
        <v>0</v>
      </c>
      <c r="AE64" s="145">
        <f>'LCIA_AD-c'!AE55</f>
        <v>0</v>
      </c>
      <c r="AF64" s="145">
        <f>'LCIA_AD-c'!AF55</f>
        <v>0</v>
      </c>
      <c r="AG64" s="145">
        <f>'LCIA_AD-c'!AG55</f>
        <v>0</v>
      </c>
      <c r="AH64" s="145">
        <f>'LCIA_AD-c'!AH55</f>
        <v>0</v>
      </c>
      <c r="AI64" s="145">
        <f>'LCIA_AD-c'!AI55</f>
        <v>0</v>
      </c>
      <c r="AJ64" s="145">
        <f>'LCIA_AD-c'!AJ55</f>
        <v>0</v>
      </c>
      <c r="AK64" s="145">
        <f>'LCIA_AD-c'!AK55</f>
        <v>0</v>
      </c>
    </row>
    <row r="65" spans="1:37" x14ac:dyDescent="0.35">
      <c r="A65" s="140" t="s">
        <v>126</v>
      </c>
      <c r="B65" s="145"/>
      <c r="C65" s="145"/>
      <c r="D65" s="145"/>
      <c r="E65" s="145"/>
      <c r="F65" s="145"/>
      <c r="G65" s="145"/>
      <c r="H65" s="145"/>
      <c r="I65" s="145"/>
      <c r="J65" s="145"/>
      <c r="K65" s="145"/>
      <c r="L65" s="145"/>
      <c r="M65" s="145"/>
      <c r="N65" s="145"/>
      <c r="O65" s="145"/>
      <c r="P65" s="145"/>
      <c r="Q65" s="145"/>
      <c r="R65" s="145"/>
      <c r="S65" s="145"/>
      <c r="T65" s="145"/>
      <c r="U65" s="145"/>
      <c r="V65" s="145"/>
      <c r="W65" s="145"/>
      <c r="X65" s="145"/>
      <c r="Y65" s="145"/>
      <c r="Z65" s="145"/>
      <c r="AA65" s="145"/>
      <c r="AB65" s="145"/>
      <c r="AC65" s="145"/>
      <c r="AD65" s="145"/>
      <c r="AE65" s="145"/>
      <c r="AF65" s="145"/>
      <c r="AG65" s="145"/>
      <c r="AH65" s="145"/>
      <c r="AI65" s="145"/>
      <c r="AJ65" s="145"/>
      <c r="AK65" s="145"/>
    </row>
    <row r="66" spans="1:37" x14ac:dyDescent="0.35">
      <c r="A66" s="140"/>
      <c r="B66" s="145" t="s">
        <v>96</v>
      </c>
      <c r="C66" s="145" t="e">
        <f>'LCIA_AD-c'!C57</f>
        <v>#REF!</v>
      </c>
      <c r="D66" s="145" t="e">
        <f>'LCIA_AD-c'!D57</f>
        <v>#REF!</v>
      </c>
      <c r="E66" s="145" t="e">
        <f>'LCIA_AD-c'!E57</f>
        <v>#REF!</v>
      </c>
      <c r="F66" s="145" t="e">
        <f>'LCIA_AD-c'!F57</f>
        <v>#REF!</v>
      </c>
      <c r="G66" s="145">
        <f>'LCIA_AD-c'!G57</f>
        <v>0</v>
      </c>
      <c r="H66" s="145">
        <f>'LCIA_AD-c'!H57</f>
        <v>0</v>
      </c>
      <c r="I66" s="145">
        <f>'LCIA_AD-c'!I57</f>
        <v>0</v>
      </c>
      <c r="J66" s="145">
        <f>'LCIA_AD-c'!J57</f>
        <v>0</v>
      </c>
      <c r="K66" s="145">
        <f>'LCIA_AD-c'!K57</f>
        <v>0</v>
      </c>
      <c r="L66" s="145">
        <f>'LCIA_AD-c'!L57</f>
        <v>0</v>
      </c>
      <c r="M66" s="145">
        <f>'LCIA_AD-c'!M57</f>
        <v>0</v>
      </c>
      <c r="N66" s="145">
        <f>'LCIA_AD-c'!N57</f>
        <v>0</v>
      </c>
      <c r="O66" s="145">
        <f>'LCIA_AD-c'!O57</f>
        <v>0</v>
      </c>
      <c r="P66" s="145">
        <f>'LCIA_AD-c'!P57</f>
        <v>0</v>
      </c>
      <c r="Q66" s="145">
        <f>'LCIA_AD-c'!Q57</f>
        <v>0</v>
      </c>
      <c r="R66" s="145">
        <f>'LCIA_AD-c'!R57</f>
        <v>0</v>
      </c>
      <c r="S66" s="145">
        <f>'LCIA_AD-c'!S57</f>
        <v>0</v>
      </c>
      <c r="T66" s="145">
        <f>'LCIA_AD-c'!T57</f>
        <v>0</v>
      </c>
      <c r="U66" s="145">
        <f>'LCIA_AD-c'!U57</f>
        <v>0</v>
      </c>
      <c r="V66" s="145">
        <f>'LCIA_AD-c'!V57</f>
        <v>0</v>
      </c>
      <c r="W66" s="145">
        <f>'LCIA_AD-c'!W57</f>
        <v>0</v>
      </c>
      <c r="X66" s="145">
        <f>'LCIA_AD-c'!X57</f>
        <v>0</v>
      </c>
      <c r="Y66" s="145">
        <f>'LCIA_AD-c'!Y57</f>
        <v>0</v>
      </c>
      <c r="Z66" s="145">
        <f>'LCIA_AD-c'!Z57</f>
        <v>0</v>
      </c>
      <c r="AA66" s="145">
        <f>'LCIA_AD-c'!AA57</f>
        <v>0</v>
      </c>
      <c r="AB66" s="145">
        <f>'LCIA_AD-c'!AB57</f>
        <v>0</v>
      </c>
      <c r="AC66" s="145">
        <f>'LCIA_AD-c'!AC57</f>
        <v>0</v>
      </c>
      <c r="AD66" s="145">
        <f>'LCIA_AD-c'!AD57</f>
        <v>0</v>
      </c>
      <c r="AE66" s="145">
        <f>'LCIA_AD-c'!AE57</f>
        <v>0</v>
      </c>
      <c r="AF66" s="145">
        <f>'LCIA_AD-c'!AF57</f>
        <v>0</v>
      </c>
      <c r="AG66" s="145">
        <f>'LCIA_AD-c'!AG57</f>
        <v>0</v>
      </c>
      <c r="AH66" s="145">
        <f>'LCIA_AD-c'!AH57</f>
        <v>0</v>
      </c>
      <c r="AI66" s="145">
        <f>'LCIA_AD-c'!AI57</f>
        <v>0</v>
      </c>
      <c r="AJ66" s="145">
        <f>'LCIA_AD-c'!AJ57</f>
        <v>0</v>
      </c>
      <c r="AK66" s="145">
        <f>'LCIA_AD-c'!AK57</f>
        <v>0</v>
      </c>
    </row>
    <row r="67" spans="1:37" x14ac:dyDescent="0.35">
      <c r="A67" s="140"/>
      <c r="B67" s="145" t="s">
        <v>141</v>
      </c>
      <c r="C67" s="145" t="e">
        <f>'LCIA_AD-c'!C58</f>
        <v>#REF!</v>
      </c>
      <c r="D67" s="145" t="e">
        <f>'LCIA_AD-c'!D58</f>
        <v>#REF!</v>
      </c>
      <c r="E67" s="145" t="e">
        <f>'LCIA_AD-c'!E58</f>
        <v>#REF!</v>
      </c>
      <c r="F67" s="145" t="e">
        <f>'LCIA_AD-c'!F58</f>
        <v>#REF!</v>
      </c>
      <c r="G67" s="145">
        <f>'LCIA_AD-c'!G58</f>
        <v>0</v>
      </c>
      <c r="H67" s="145">
        <f>'LCIA_AD-c'!H58</f>
        <v>0</v>
      </c>
      <c r="I67" s="145">
        <f>'LCIA_AD-c'!I58</f>
        <v>0</v>
      </c>
      <c r="J67" s="145">
        <f>'LCIA_AD-c'!J58</f>
        <v>0</v>
      </c>
      <c r="K67" s="145">
        <f>'LCIA_AD-c'!K58</f>
        <v>0</v>
      </c>
      <c r="L67" s="145">
        <f>'LCIA_AD-c'!L58</f>
        <v>0</v>
      </c>
      <c r="M67" s="145">
        <f>'LCIA_AD-c'!M58</f>
        <v>0</v>
      </c>
      <c r="N67" s="145">
        <f>'LCIA_AD-c'!N58</f>
        <v>0</v>
      </c>
      <c r="O67" s="145">
        <f>'LCIA_AD-c'!O58</f>
        <v>0</v>
      </c>
      <c r="P67" s="145">
        <f>'LCIA_AD-c'!P58</f>
        <v>0</v>
      </c>
      <c r="Q67" s="145">
        <f>'LCIA_AD-c'!Q58</f>
        <v>0</v>
      </c>
      <c r="R67" s="145">
        <f>'LCIA_AD-c'!R58</f>
        <v>0</v>
      </c>
      <c r="S67" s="145">
        <f>'LCIA_AD-c'!S58</f>
        <v>0</v>
      </c>
      <c r="T67" s="145">
        <f>'LCIA_AD-c'!T58</f>
        <v>0</v>
      </c>
      <c r="U67" s="145">
        <f>'LCIA_AD-c'!U58</f>
        <v>0</v>
      </c>
      <c r="V67" s="145">
        <f>'LCIA_AD-c'!V58</f>
        <v>0</v>
      </c>
      <c r="W67" s="145">
        <f>'LCIA_AD-c'!W58</f>
        <v>0</v>
      </c>
      <c r="X67" s="145">
        <f>'LCIA_AD-c'!X58</f>
        <v>0</v>
      </c>
      <c r="Y67" s="145">
        <f>'LCIA_AD-c'!Y58</f>
        <v>0</v>
      </c>
      <c r="Z67" s="145">
        <f>'LCIA_AD-c'!Z58</f>
        <v>0</v>
      </c>
      <c r="AA67" s="145">
        <f>'LCIA_AD-c'!AA58</f>
        <v>0</v>
      </c>
      <c r="AB67" s="145">
        <f>'LCIA_AD-c'!AB58</f>
        <v>0</v>
      </c>
      <c r="AC67" s="145">
        <f>'LCIA_AD-c'!AC58</f>
        <v>0</v>
      </c>
      <c r="AD67" s="145">
        <f>'LCIA_AD-c'!AD58</f>
        <v>0</v>
      </c>
      <c r="AE67" s="145">
        <f>'LCIA_AD-c'!AE58</f>
        <v>0</v>
      </c>
      <c r="AF67" s="145">
        <f>'LCIA_AD-c'!AF58</f>
        <v>0</v>
      </c>
      <c r="AG67" s="145">
        <f>'LCIA_AD-c'!AG58</f>
        <v>0</v>
      </c>
      <c r="AH67" s="145">
        <f>'LCIA_AD-c'!AH58</f>
        <v>0</v>
      </c>
      <c r="AI67" s="145">
        <f>'LCIA_AD-c'!AI58</f>
        <v>0</v>
      </c>
      <c r="AJ67" s="145">
        <f>'LCIA_AD-c'!AJ58</f>
        <v>0</v>
      </c>
      <c r="AK67" s="145">
        <f>'LCIA_AD-c'!AK58</f>
        <v>0</v>
      </c>
    </row>
    <row r="68" spans="1:37" x14ac:dyDescent="0.35">
      <c r="A68" s="140"/>
      <c r="B68" s="145" t="s">
        <v>142</v>
      </c>
      <c r="C68" s="145" t="e">
        <f>'LCIA_AD-c'!C59</f>
        <v>#REF!</v>
      </c>
      <c r="D68" s="145" t="e">
        <f>'LCIA_AD-c'!D59</f>
        <v>#REF!</v>
      </c>
      <c r="E68" s="145" t="e">
        <f>'LCIA_AD-c'!E59</f>
        <v>#REF!</v>
      </c>
      <c r="F68" s="145" t="e">
        <f>'LCIA_AD-c'!F59</f>
        <v>#REF!</v>
      </c>
      <c r="G68" s="145">
        <f>'LCIA_AD-c'!G59</f>
        <v>0</v>
      </c>
      <c r="H68" s="145">
        <f>'LCIA_AD-c'!H59</f>
        <v>3.5332636669312234E-3</v>
      </c>
      <c r="I68" s="145">
        <f>'LCIA_AD-c'!I59</f>
        <v>0</v>
      </c>
      <c r="J68" s="145">
        <f>'LCIA_AD-c'!J59</f>
        <v>0</v>
      </c>
      <c r="K68" s="145">
        <f>'LCIA_AD-c'!K59</f>
        <v>0</v>
      </c>
      <c r="L68" s="145">
        <f>'LCIA_AD-c'!L59</f>
        <v>0</v>
      </c>
      <c r="M68" s="145">
        <f>'LCIA_AD-c'!M59</f>
        <v>0</v>
      </c>
      <c r="N68" s="145">
        <f>'LCIA_AD-c'!N59</f>
        <v>0</v>
      </c>
      <c r="O68" s="145">
        <f>'LCIA_AD-c'!O59</f>
        <v>0</v>
      </c>
      <c r="P68" s="145">
        <f>'LCIA_AD-c'!P59</f>
        <v>0</v>
      </c>
      <c r="Q68" s="145">
        <f>'LCIA_AD-c'!Q59</f>
        <v>0</v>
      </c>
      <c r="R68" s="145">
        <f>'LCIA_AD-c'!R59</f>
        <v>0</v>
      </c>
      <c r="S68" s="145">
        <f>'LCIA_AD-c'!S59</f>
        <v>0</v>
      </c>
      <c r="T68" s="145">
        <f>'LCIA_AD-c'!T59</f>
        <v>0</v>
      </c>
      <c r="U68" s="145">
        <f>'LCIA_AD-c'!U59</f>
        <v>0</v>
      </c>
      <c r="V68" s="145">
        <f>'LCIA_AD-c'!V59</f>
        <v>0</v>
      </c>
      <c r="W68" s="145">
        <f>'LCIA_AD-c'!W59</f>
        <v>0</v>
      </c>
      <c r="X68" s="145">
        <f>'LCIA_AD-c'!X59</f>
        <v>0</v>
      </c>
      <c r="Y68" s="145">
        <f>'LCIA_AD-c'!Y59</f>
        <v>0</v>
      </c>
      <c r="Z68" s="145">
        <f>'LCIA_AD-c'!Z59</f>
        <v>1.3714821006997321E-7</v>
      </c>
      <c r="AA68" s="145">
        <f>'LCIA_AD-c'!AA59</f>
        <v>0</v>
      </c>
      <c r="AB68" s="145">
        <f>'LCIA_AD-c'!AB59</f>
        <v>0</v>
      </c>
      <c r="AC68" s="145">
        <f>'LCIA_AD-c'!AC59</f>
        <v>2.1053616203880347E-2</v>
      </c>
      <c r="AD68" s="145">
        <f>'LCIA_AD-c'!AD59</f>
        <v>0</v>
      </c>
      <c r="AE68" s="145">
        <f>'LCIA_AD-c'!AE59</f>
        <v>0</v>
      </c>
      <c r="AF68" s="145">
        <f>'LCIA_AD-c'!AF59</f>
        <v>0</v>
      </c>
      <c r="AG68" s="145">
        <f>'LCIA_AD-c'!AG59</f>
        <v>2.4586879870811571E-2</v>
      </c>
      <c r="AH68" s="145">
        <f>'LCIA_AD-c'!AH59</f>
        <v>1.3714821006997321E-7</v>
      </c>
      <c r="AI68" s="145">
        <f>'LCIA_AD-c'!AI59</f>
        <v>0</v>
      </c>
      <c r="AJ68" s="145">
        <f>'LCIA_AD-c'!AJ59</f>
        <v>0</v>
      </c>
      <c r="AK68" s="145">
        <f>'LCIA_AD-c'!AK59</f>
        <v>0</v>
      </c>
    </row>
    <row r="69" spans="1:37" x14ac:dyDescent="0.35">
      <c r="A69" s="140"/>
      <c r="B69" s="145" t="s">
        <v>8</v>
      </c>
      <c r="C69" s="145" t="e">
        <f>'LCIA_AD-c'!C60</f>
        <v>#REF!</v>
      </c>
      <c r="D69" s="145" t="e">
        <f>'LCIA_AD-c'!D60</f>
        <v>#REF!</v>
      </c>
      <c r="E69" s="145" t="e">
        <f>'LCIA_AD-c'!E60</f>
        <v>#REF!</v>
      </c>
      <c r="F69" s="145" t="e">
        <f>'LCIA_AD-c'!F60</f>
        <v>#REF!</v>
      </c>
      <c r="G69" s="145">
        <f>'LCIA_AD-c'!G60</f>
        <v>6.8635227319637564E-19</v>
      </c>
      <c r="H69" s="145">
        <f>'LCIA_AD-c'!H60</f>
        <v>3.958573976265841E-2</v>
      </c>
      <c r="I69" s="145">
        <f>'LCIA_AD-c'!I60</f>
        <v>1.893413870923341</v>
      </c>
      <c r="J69" s="145">
        <f>'LCIA_AD-c'!J60</f>
        <v>9.4070968995442997E-2</v>
      </c>
      <c r="K69" s="145">
        <f>'LCIA_AD-c'!K60</f>
        <v>1.6342967073203717E-4</v>
      </c>
      <c r="L69" s="145">
        <f>'LCIA_AD-c'!L60</f>
        <v>6.6329298554865483E-8</v>
      </c>
      <c r="M69" s="145">
        <f>'LCIA_AD-c'!M60</f>
        <v>1.2651389712132789E-6</v>
      </c>
      <c r="N69" s="145">
        <f>'LCIA_AD-c'!N60</f>
        <v>1.4998963039492625E-6</v>
      </c>
      <c r="O69" s="145">
        <f>'LCIA_AD-c'!O60</f>
        <v>7.9840936830198688E-7</v>
      </c>
      <c r="P69" s="145">
        <f>'LCIA_AD-c'!P60</f>
        <v>3.1549996502953533E-8</v>
      </c>
      <c r="Q69" s="145">
        <f>'LCIA_AD-c'!Q60</f>
        <v>9.7291603494578616E-7</v>
      </c>
      <c r="R69" s="145">
        <f>'LCIA_AD-c'!R60</f>
        <v>0.1260351954671714</v>
      </c>
      <c r="S69" s="145">
        <f>'LCIA_AD-c'!S60</f>
        <v>8.8857072801090453E-2</v>
      </c>
      <c r="T69" s="145">
        <f>'LCIA_AD-c'!T60</f>
        <v>0.78125840045602024</v>
      </c>
      <c r="U69" s="145">
        <f>'LCIA_AD-c'!U60</f>
        <v>8.4807379522726878E-2</v>
      </c>
      <c r="V69" s="145">
        <f>'LCIA_AD-c'!V60</f>
        <v>7.3551459022328239E-6</v>
      </c>
      <c r="W69" s="145">
        <f>'LCIA_AD-c'!W60</f>
        <v>2.024201607613384E-6</v>
      </c>
      <c r="X69" s="145">
        <f>'LCIA_AD-c'!X60</f>
        <v>5.1807181231363171E-3</v>
      </c>
      <c r="Y69" s="145">
        <f>'LCIA_AD-c'!Y60</f>
        <v>3.524264851351946E-10</v>
      </c>
      <c r="Z69" s="145">
        <f>'LCIA_AD-c'!Z60</f>
        <v>2.8528066367425103E-6</v>
      </c>
      <c r="AA69" s="145">
        <f>'LCIA_AD-c'!AA60</f>
        <v>0.12009946497509549</v>
      </c>
      <c r="AB69" s="145">
        <f>'LCIA_AD-c'!AB60</f>
        <v>1.1938825427244384E-8</v>
      </c>
      <c r="AC69" s="145">
        <f>'LCIA_AD-c'!AC60</f>
        <v>0.2612241184482012</v>
      </c>
      <c r="AD69" s="145">
        <f>'LCIA_AD-c'!AD60</f>
        <v>0.26847317088436545</v>
      </c>
      <c r="AE69" s="145">
        <f>'LCIA_AD-c'!AE60</f>
        <v>7.3883358677888519E-2</v>
      </c>
      <c r="AF69" s="145">
        <f>'LCIA_AD-c'!AF60</f>
        <v>1.4486397820494486E-2</v>
      </c>
      <c r="AG69" s="145">
        <f>'LCIA_AD-c'!AG60</f>
        <v>3.8517378079404589</v>
      </c>
      <c r="AH69" s="145">
        <f>'LCIA_AD-c'!AH60</f>
        <v>1.6865524721996009E-5</v>
      </c>
      <c r="AI69" s="145">
        <f>'LCIA_AD-c'!AI60</f>
        <v>7.6940829556770274E-5</v>
      </c>
      <c r="AJ69" s="145">
        <f>'LCIA_AD-c'!AJ60</f>
        <v>9.3977368563759392E-6</v>
      </c>
      <c r="AK69" s="145">
        <f>'LCIA_AD-c'!AK60</f>
        <v>1.1216968503096544E-4</v>
      </c>
    </row>
    <row r="70" spans="1:37" x14ac:dyDescent="0.35">
      <c r="A70" s="140"/>
      <c r="B70" s="145" t="s">
        <v>127</v>
      </c>
      <c r="C70" s="145" t="e">
        <f>'LCIA_AD-c'!C61</f>
        <v>#REF!</v>
      </c>
      <c r="D70" s="145" t="e">
        <f>'LCIA_AD-c'!D61</f>
        <v>#REF!</v>
      </c>
      <c r="E70" s="145" t="e">
        <f>'LCIA_AD-c'!E61</f>
        <v>#REF!</v>
      </c>
      <c r="F70" s="145" t="e">
        <f>'LCIA_AD-c'!F61</f>
        <v>#REF!</v>
      </c>
      <c r="G70" s="145">
        <f>'LCIA_AD-c'!G61</f>
        <v>2.3507575943553845E-20</v>
      </c>
      <c r="H70" s="145">
        <f>'LCIA_AD-c'!H61</f>
        <v>7.4756002915242099E-3</v>
      </c>
      <c r="I70" s="145">
        <f>'LCIA_AD-c'!I61</f>
        <v>9.5133737520027933E-2</v>
      </c>
      <c r="J70" s="145">
        <f>'LCIA_AD-c'!J61</f>
        <v>1.996799750662483E-2</v>
      </c>
      <c r="K70" s="145">
        <f>'LCIA_AD-c'!K61</f>
        <v>3.918592744509265E-6</v>
      </c>
      <c r="L70" s="145">
        <f>'LCIA_AD-c'!L61</f>
        <v>2.3541751490413055E-9</v>
      </c>
      <c r="M70" s="145">
        <f>'LCIA_AD-c'!M61</f>
        <v>3.3450672830258354E-8</v>
      </c>
      <c r="N70" s="145">
        <f>'LCIA_AD-c'!N61</f>
        <v>7.0753027524551864E-8</v>
      </c>
      <c r="O70" s="145">
        <f>'LCIA_AD-c'!O61</f>
        <v>3.9535048627454298E-8</v>
      </c>
      <c r="P70" s="145">
        <f>'LCIA_AD-c'!P61</f>
        <v>3.968150991190346E-11</v>
      </c>
      <c r="Q70" s="145">
        <f>'LCIA_AD-c'!Q61</f>
        <v>6.6603179306387403E-10</v>
      </c>
      <c r="R70" s="145">
        <f>'LCIA_AD-c'!R61</f>
        <v>4.5743981109926512E-3</v>
      </c>
      <c r="S70" s="145">
        <f>'LCIA_AD-c'!S61</f>
        <v>8.1014923409397227E-3</v>
      </c>
      <c r="T70" s="145">
        <f>'LCIA_AD-c'!T61</f>
        <v>9.1019659227857319E-2</v>
      </c>
      <c r="U70" s="145">
        <f>'LCIA_AD-c'!U61</f>
        <v>9.8803936705559713E-3</v>
      </c>
      <c r="V70" s="145">
        <f>'LCIA_AD-c'!V61</f>
        <v>9.5517389695259853E-8</v>
      </c>
      <c r="W70" s="145">
        <f>'LCIA_AD-c'!W61</f>
        <v>5.2928710716057974E-8</v>
      </c>
      <c r="X70" s="145">
        <f>'LCIA_AD-c'!X61</f>
        <v>4.3984218339155592E-4</v>
      </c>
      <c r="Y70" s="145">
        <f>'LCIA_AD-c'!Y61</f>
        <v>5.7007762227287479E-12</v>
      </c>
      <c r="Z70" s="145">
        <f>'LCIA_AD-c'!Z61</f>
        <v>8.9912274452252226E-7</v>
      </c>
      <c r="AA70" s="145">
        <f>'LCIA_AD-c'!AA61</f>
        <v>1.4186452625451896E-2</v>
      </c>
      <c r="AB70" s="145">
        <f>'LCIA_AD-c'!AB61</f>
        <v>1.4538608180879093E-9</v>
      </c>
      <c r="AC70" s="145">
        <f>'LCIA_AD-c'!AC61</f>
        <v>4.7532396950135905E-2</v>
      </c>
      <c r="AD70" s="145">
        <f>'LCIA_AD-c'!AD61</f>
        <v>3.4864337427289753E-3</v>
      </c>
      <c r="AE70" s="145">
        <f>'LCIA_AD-c'!AE61</f>
        <v>1.9318979411361164E-3</v>
      </c>
      <c r="AF70" s="145">
        <f>'LCIA_AD-c'!AF61</f>
        <v>4.8805399410805121E-5</v>
      </c>
      <c r="AG70" s="145">
        <f>'LCIA_AD-c'!AG61</f>
        <v>0.30387590526607955</v>
      </c>
      <c r="AH70" s="145">
        <f>'LCIA_AD-c'!AH61</f>
        <v>1.1288727265311255E-6</v>
      </c>
      <c r="AI70" s="145">
        <f>'LCIA_AD-c'!AI61</f>
        <v>6.6751161569022381E-7</v>
      </c>
      <c r="AJ70" s="145">
        <f>'LCIA_AD-c'!AJ61</f>
        <v>8.1531464489922844E-8</v>
      </c>
      <c r="AK70" s="145">
        <f>'LCIA_AD-c'!AK61</f>
        <v>9.2063165159532293E-5</v>
      </c>
    </row>
    <row r="71" spans="1:37" x14ac:dyDescent="0.35">
      <c r="A71" s="140"/>
      <c r="B71" s="145" t="s">
        <v>134</v>
      </c>
      <c r="C71" s="145" t="e">
        <f>'LCIA_AD-c'!C62</f>
        <v>#REF!</v>
      </c>
      <c r="D71" s="145" t="e">
        <f>'LCIA_AD-c'!D62</f>
        <v>#REF!</v>
      </c>
      <c r="E71" s="145" t="e">
        <f>'LCIA_AD-c'!E62</f>
        <v>#REF!</v>
      </c>
      <c r="F71" s="145" t="e">
        <f>'LCIA_AD-c'!F62</f>
        <v>#REF!</v>
      </c>
      <c r="G71" s="145">
        <f>'LCIA_AD-c'!G62</f>
        <v>3.487397684239594E-17</v>
      </c>
      <c r="H71" s="145">
        <f>'LCIA_AD-c'!H62</f>
        <v>0.13286178903315285</v>
      </c>
      <c r="I71" s="145">
        <f>'LCIA_AD-c'!I62</f>
        <v>23.547088231410793</v>
      </c>
      <c r="J71" s="145">
        <f>'LCIA_AD-c'!J62</f>
        <v>0.45532410523731343</v>
      </c>
      <c r="K71" s="145">
        <f>'LCIA_AD-c'!K62</f>
        <v>1.3037103036530827E-3</v>
      </c>
      <c r="L71" s="145">
        <f>'LCIA_AD-c'!L62</f>
        <v>1.2315183786359684E-7</v>
      </c>
      <c r="M71" s="145">
        <f>'LCIA_AD-c'!M62</f>
        <v>1.6719896461703793E-5</v>
      </c>
      <c r="N71" s="145">
        <f>'LCIA_AD-c'!N62</f>
        <v>3.691406216685716E-6</v>
      </c>
      <c r="O71" s="145">
        <f>'LCIA_AD-c'!O62</f>
        <v>7.6974614201652509E-6</v>
      </c>
      <c r="P71" s="145">
        <f>'LCIA_AD-c'!P62</f>
        <v>1.3361783168041865E-9</v>
      </c>
      <c r="Q71" s="145">
        <f>'LCIA_AD-c'!Q62</f>
        <v>2.1486773497391788E-8</v>
      </c>
      <c r="R71" s="145">
        <f>'LCIA_AD-c'!R62</f>
        <v>0.18694249421092868</v>
      </c>
      <c r="S71" s="145">
        <f>'LCIA_AD-c'!S62</f>
        <v>0.31572917261499572</v>
      </c>
      <c r="T71" s="145">
        <f>'LCIA_AD-c'!T62</f>
        <v>1.9057958052870343</v>
      </c>
      <c r="U71" s="145">
        <f>'LCIA_AD-c'!U62</f>
        <v>0.20687845189702475</v>
      </c>
      <c r="V71" s="145">
        <f>'LCIA_AD-c'!V62</f>
        <v>4.7282587754678004E-6</v>
      </c>
      <c r="W71" s="145">
        <f>'LCIA_AD-c'!W62</f>
        <v>5.4760607544562193E-6</v>
      </c>
      <c r="X71" s="145">
        <f>'LCIA_AD-c'!X62</f>
        <v>1.9442010734317821E-2</v>
      </c>
      <c r="Y71" s="145">
        <f>'LCIA_AD-c'!Y62</f>
        <v>4.2078650785851587E-9</v>
      </c>
      <c r="Z71" s="145">
        <f>'LCIA_AD-c'!Z62</f>
        <v>1.45647288794487E-5</v>
      </c>
      <c r="AA71" s="145">
        <f>'LCIA_AD-c'!AA62</f>
        <v>0.34705834396279439</v>
      </c>
      <c r="AB71" s="145">
        <f>'LCIA_AD-c'!AB62</f>
        <v>3.5135569356472005E-8</v>
      </c>
      <c r="AC71" s="145">
        <f>'LCIA_AD-c'!AC62</f>
        <v>0.86446278142853472</v>
      </c>
      <c r="AD71" s="145">
        <f>'LCIA_AD-c'!AD62</f>
        <v>0.17290307199763411</v>
      </c>
      <c r="AE71" s="145">
        <f>'LCIA_AD-c'!AE62</f>
        <v>0.19987621753765195</v>
      </c>
      <c r="AF71" s="145">
        <f>'LCIA_AD-c'!AF62</f>
        <v>2.0555916670237559E-3</v>
      </c>
      <c r="AG71" s="145">
        <f>'LCIA_AD-c'!AG62</f>
        <v>28.358811912570189</v>
      </c>
      <c r="AH71" s="145">
        <f>'LCIA_AD-c'!AH62</f>
        <v>5.1795820829684863E-5</v>
      </c>
      <c r="AI71" s="145">
        <f>'LCIA_AD-c'!AI62</f>
        <v>7.3179718870648256E-5</v>
      </c>
      <c r="AJ71" s="145">
        <f>'LCIA_AD-c'!AJ62</f>
        <v>8.9383458058853591E-6</v>
      </c>
      <c r="AK71" s="145">
        <f>'LCIA_AD-c'!AK62</f>
        <v>1.006749872756925E-3</v>
      </c>
    </row>
    <row r="72" spans="1:37" x14ac:dyDescent="0.35">
      <c r="A72" s="140" t="s">
        <v>272</v>
      </c>
      <c r="B72" s="145"/>
      <c r="C72" s="145"/>
      <c r="D72" s="145"/>
      <c r="E72" s="145"/>
      <c r="F72" s="145"/>
      <c r="G72" s="145"/>
      <c r="H72" s="145"/>
      <c r="I72" s="145"/>
      <c r="J72" s="145"/>
      <c r="K72" s="145"/>
      <c r="L72" s="145"/>
      <c r="M72" s="145"/>
      <c r="N72" s="145"/>
      <c r="O72" s="145"/>
      <c r="P72" s="145"/>
      <c r="Q72" s="145"/>
      <c r="R72" s="145"/>
      <c r="S72" s="145"/>
      <c r="T72" s="145"/>
      <c r="U72" s="145"/>
      <c r="V72" s="145"/>
      <c r="W72" s="145"/>
      <c r="X72" s="145"/>
      <c r="Y72" s="145"/>
      <c r="Z72" s="145"/>
      <c r="AA72" s="145"/>
      <c r="AB72" s="145"/>
      <c r="AC72" s="145"/>
      <c r="AD72" s="145"/>
      <c r="AE72" s="145"/>
      <c r="AF72" s="145"/>
      <c r="AG72" s="145"/>
      <c r="AH72" s="145"/>
      <c r="AI72" s="145"/>
      <c r="AJ72" s="145"/>
      <c r="AK72" s="145"/>
    </row>
    <row r="73" spans="1:37" x14ac:dyDescent="0.35">
      <c r="A73" s="140"/>
      <c r="B73" s="145" t="s">
        <v>273</v>
      </c>
      <c r="C73" s="145" t="e">
        <f>'LCIA_AD-b'!C76</f>
        <v>#REF!</v>
      </c>
      <c r="D73" s="145" t="e">
        <f>'LCIA_AD-b'!D76</f>
        <v>#REF!</v>
      </c>
      <c r="E73" s="145" t="e">
        <f>'LCIA_AD-b'!E76</f>
        <v>#REF!</v>
      </c>
      <c r="F73" s="145" t="e">
        <f>'LCIA_AD-b'!F76</f>
        <v>#REF!</v>
      </c>
      <c r="G73" s="145">
        <f>'LCIA_AD-b'!G76</f>
        <v>1.8210791683919161E-20</v>
      </c>
      <c r="H73" s="145">
        <f>'LCIA_AD-b'!H76</f>
        <v>1.0503172913151426E-3</v>
      </c>
      <c r="I73" s="145">
        <f>'LCIA_AD-b'!I76</f>
        <v>5.0237417316694115E-2</v>
      </c>
      <c r="J73" s="145">
        <f>'LCIA_AD-b'!J76</f>
        <v>2.4959585431288947E-3</v>
      </c>
      <c r="K73" s="145">
        <f>'LCIA_AD-b'!K76</f>
        <v>4.3362334545967166E-6</v>
      </c>
      <c r="L73" s="145">
        <f>'LCIA_AD-b'!L76</f>
        <v>1.7598966095032293E-9</v>
      </c>
      <c r="M73" s="145">
        <f>'LCIA_AD-b'!M76</f>
        <v>3.3567576237022196E-8</v>
      </c>
      <c r="N73" s="145">
        <f>'LCIA_AD-b'!N76</f>
        <v>3.9796326471676582E-8</v>
      </c>
      <c r="O73" s="145">
        <f>'LCIA_AD-b'!O76</f>
        <v>2.1183971048751753E-8</v>
      </c>
      <c r="P73" s="145">
        <f>'LCIA_AD-b'!P76</f>
        <v>8.3710717714673815E-10</v>
      </c>
      <c r="Q73" s="145">
        <f>'LCIA_AD-b'!Q76</f>
        <v>2.5814107318142541E-8</v>
      </c>
      <c r="R73" s="145">
        <f>'LCIA_AD-b'!R76</f>
        <v>3.3440563674479156E-3</v>
      </c>
      <c r="S73" s="145">
        <f>'LCIA_AD-b'!S76</f>
        <v>2.3576197029080408E-3</v>
      </c>
      <c r="T73" s="145">
        <f>'LCIA_AD-b'!T76</f>
        <v>2.0728909246208366E-2</v>
      </c>
      <c r="U73" s="145">
        <f>'LCIA_AD-b'!U76</f>
        <v>2.2501703309804181E-3</v>
      </c>
      <c r="V73" s="145">
        <f>'LCIA_AD-b'!V76</f>
        <v>1.9515201604361924E-7</v>
      </c>
      <c r="W73" s="145">
        <f>'LCIA_AD-b'!W76</f>
        <v>5.3707571522757606E-8</v>
      </c>
      <c r="X73" s="145">
        <f>'LCIA_AD-b'!X76</f>
        <v>1.3745853579557772E-4</v>
      </c>
      <c r="Y73" s="145">
        <f>'LCIA_AD-b'!Y76</f>
        <v>9.350832736087678E-12</v>
      </c>
      <c r="Z73" s="145">
        <f>'LCIA_AD-b'!Z76</f>
        <v>7.5692715541361229E-8</v>
      </c>
      <c r="AA73" s="145">
        <f>'LCIA_AD-b'!AA76</f>
        <v>3.1865653009731433E-3</v>
      </c>
      <c r="AB73" s="145">
        <f>'LCIA_AD-b'!AB76</f>
        <v>3.1676949475771441E-10</v>
      </c>
      <c r="AC73" s="145">
        <f>'LCIA_AD-b'!AC76</f>
        <v>6.9309860106116965E-3</v>
      </c>
      <c r="AD73" s="145">
        <f>'LCIA_AD-b'!AD76</f>
        <v>7.1233230785811997E-3</v>
      </c>
      <c r="AE73" s="145">
        <f>'LCIA_AD-b'!AE76</f>
        <v>1.9603263605806531E-3</v>
      </c>
      <c r="AF73" s="145">
        <f>'LCIA_AD-b'!AF76</f>
        <v>3.8436351602776152E-4</v>
      </c>
      <c r="AG73" s="145">
        <f>'LCIA_AD-b'!AG76</f>
        <v>0.10219707514745875</v>
      </c>
      <c r="AH73" s="145">
        <f>'LCIA_AD-b'!AH76</f>
        <v>4.4748822047593367E-7</v>
      </c>
      <c r="AI73" s="145">
        <f>'LCIA_AD-b'!AI76</f>
        <v>2.0414493748538704E-6</v>
      </c>
      <c r="AJ73" s="145">
        <f>'LCIA_AD-b'!AJ76</f>
        <v>2.4934750692198234E-7</v>
      </c>
      <c r="AK73" s="145">
        <f>'LCIA_AD-b'!AK76</f>
        <v>2.9761666816324373E-6</v>
      </c>
    </row>
    <row r="74" spans="1:37" x14ac:dyDescent="0.35">
      <c r="A74" s="140"/>
      <c r="B74" s="145" t="s">
        <v>427</v>
      </c>
      <c r="C74" s="145" t="e">
        <f>'LCIA_AD-b'!C77</f>
        <v>#REF!</v>
      </c>
      <c r="D74" s="145" t="e">
        <f>'LCIA_AD-b'!D77</f>
        <v>#REF!</v>
      </c>
      <c r="E74" s="145" t="e">
        <f>'LCIA_AD-b'!E77</f>
        <v>#REF!</v>
      </c>
      <c r="F74" s="145" t="e">
        <f>'LCIA_AD-b'!F77</f>
        <v>#REF!</v>
      </c>
      <c r="G74" s="145">
        <f>'LCIA_AD-b'!G77</f>
        <v>3.4384901450135348E-20</v>
      </c>
      <c r="H74" s="145">
        <f>'LCIA_AD-b'!H77</f>
        <v>5.2699305270092621E-4</v>
      </c>
      <c r="I74" s="145">
        <f>'LCIA_AD-b'!I77</f>
        <v>0.771888101592899</v>
      </c>
      <c r="J74" s="145">
        <f>'LCIA_AD-b'!J77</f>
        <v>1.7392727279660594E-3</v>
      </c>
      <c r="K74" s="145">
        <f>'LCIA_AD-b'!K77</f>
        <v>3.3038576931669239E-3</v>
      </c>
      <c r="L74" s="145">
        <f>'LCIA_AD-b'!L77</f>
        <v>4.6379122373405724E-9</v>
      </c>
      <c r="M74" s="145">
        <f>'LCIA_AD-b'!M77</f>
        <v>3.090306240842176E-8</v>
      </c>
      <c r="N74" s="145">
        <f>'LCIA_AD-b'!N77</f>
        <v>2.2266811540084483E-7</v>
      </c>
      <c r="O74" s="145">
        <f>'LCIA_AD-b'!O77</f>
        <v>1.6787822412705222E-7</v>
      </c>
      <c r="P74" s="145">
        <f>'LCIA_AD-b'!P77</f>
        <v>2.0429078388411279E-11</v>
      </c>
      <c r="Q74" s="145">
        <f>'LCIA_AD-b'!Q77</f>
        <v>3.9204143252886534E-10</v>
      </c>
      <c r="R74" s="145">
        <f>'LCIA_AD-b'!R77</f>
        <v>1.1917674922248857E-3</v>
      </c>
      <c r="S74" s="145">
        <f>'LCIA_AD-b'!S77</f>
        <v>2.6718941156176975E-3</v>
      </c>
      <c r="T74" s="145">
        <f>'LCIA_AD-b'!T77</f>
        <v>7.747704384545878E-3</v>
      </c>
      <c r="U74" s="145">
        <f>'LCIA_AD-b'!U77</f>
        <v>8.4102932992518383E-4</v>
      </c>
      <c r="V74" s="145">
        <f>'LCIA_AD-b'!V77</f>
        <v>6.9065453059477657E-6</v>
      </c>
      <c r="W74" s="145">
        <f>'LCIA_AD-b'!W77</f>
        <v>3.3775060616058159E-6</v>
      </c>
      <c r="X74" s="145">
        <f>'LCIA_AD-b'!X77</f>
        <v>4.0405249660761478E-2</v>
      </c>
      <c r="Y74" s="145">
        <f>'LCIA_AD-b'!Y77</f>
        <v>1.3309147451561656E-12</v>
      </c>
      <c r="Z74" s="145">
        <f>'LCIA_AD-b'!Z77</f>
        <v>4.7412405843175289E-8</v>
      </c>
      <c r="AA74" s="145">
        <f>'LCIA_AD-b'!AA77</f>
        <v>1.8411387774203525E-3</v>
      </c>
      <c r="AB74" s="145">
        <f>'LCIA_AD-b'!AB77</f>
        <v>1.865853585345612E-10</v>
      </c>
      <c r="AC74" s="145">
        <f>'LCIA_AD-b'!AC77</f>
        <v>4.0495154398232022E-3</v>
      </c>
      <c r="AD74" s="145">
        <f>'LCIA_AD-b'!AD77</f>
        <v>0.2520892232869627</v>
      </c>
      <c r="AE74" s="145">
        <f>'LCIA_AD-b'!AE77</f>
        <v>0.12327897124861212</v>
      </c>
      <c r="AF74" s="145">
        <f>'LCIA_AD-b'!AF77</f>
        <v>1.5288188252654906E-5</v>
      </c>
      <c r="AG74" s="145">
        <f>'LCIA_AD-b'!AG77</f>
        <v>1.2116038921179391</v>
      </c>
      <c r="AH74" s="145">
        <f>'LCIA_AD-b'!AH77</f>
        <v>4.7362402244659808E-7</v>
      </c>
      <c r="AI74" s="145">
        <f>'LCIA_AD-b'!AI77</f>
        <v>-3.7305252814221088E-9</v>
      </c>
      <c r="AJ74" s="145">
        <f>'LCIA_AD-b'!AJ77</f>
        <v>-4.5565527604516964E-10</v>
      </c>
      <c r="AK74" s="145">
        <f>'LCIA_AD-b'!AK77</f>
        <v>3.604785788667278E-6</v>
      </c>
    </row>
    <row r="75" spans="1:37" x14ac:dyDescent="0.35">
      <c r="A75" s="140" t="s">
        <v>287</v>
      </c>
      <c r="B75" s="145"/>
      <c r="C75" s="145">
        <f>'LCIA_AD-b'!C78</f>
        <v>0</v>
      </c>
      <c r="D75" s="145">
        <f>'LCIA_AD-b'!D78</f>
        <v>0</v>
      </c>
      <c r="E75" s="145">
        <f>'LCIA_AD-b'!E78</f>
        <v>0</v>
      </c>
      <c r="F75" s="145">
        <f>'LCIA_AD-b'!F78</f>
        <v>0</v>
      </c>
      <c r="G75" s="145">
        <f>'LCIA_AD-b'!G78</f>
        <v>0</v>
      </c>
      <c r="H75" s="145">
        <f>'LCIA_AD-b'!H78</f>
        <v>0</v>
      </c>
      <c r="I75" s="145">
        <f>'LCIA_AD-b'!I78</f>
        <v>0</v>
      </c>
      <c r="J75" s="145">
        <f>'LCIA_AD-b'!J78</f>
        <v>0</v>
      </c>
      <c r="K75" s="145">
        <f>'LCIA_AD-b'!K78</f>
        <v>0</v>
      </c>
      <c r="L75" s="145">
        <f>'LCIA_AD-b'!L78</f>
        <v>0</v>
      </c>
      <c r="M75" s="145">
        <f>'LCIA_AD-b'!M78</f>
        <v>0</v>
      </c>
      <c r="N75" s="145">
        <f>'LCIA_AD-b'!N78</f>
        <v>0</v>
      </c>
      <c r="O75" s="145">
        <f>'LCIA_AD-b'!O78</f>
        <v>0</v>
      </c>
      <c r="P75" s="145">
        <f>'LCIA_AD-b'!P78</f>
        <v>0</v>
      </c>
      <c r="Q75" s="145">
        <f>'LCIA_AD-b'!Q78</f>
        <v>0</v>
      </c>
      <c r="R75" s="145">
        <f>'LCIA_AD-b'!R78</f>
        <v>0</v>
      </c>
      <c r="S75" s="145">
        <f>'LCIA_AD-b'!S78</f>
        <v>0</v>
      </c>
      <c r="T75" s="145">
        <f>'LCIA_AD-b'!T78</f>
        <v>0</v>
      </c>
      <c r="U75" s="145">
        <f>'LCIA_AD-b'!U78</f>
        <v>0</v>
      </c>
      <c r="V75" s="145">
        <f>'LCIA_AD-b'!V78</f>
        <v>0</v>
      </c>
      <c r="W75" s="145">
        <f>'LCIA_AD-b'!W78</f>
        <v>0</v>
      </c>
      <c r="X75" s="145">
        <f>'LCIA_AD-b'!X78</f>
        <v>0</v>
      </c>
      <c r="Y75" s="145">
        <f>'LCIA_AD-b'!Y78</f>
        <v>0</v>
      </c>
      <c r="Z75" s="145">
        <f>'LCIA_AD-b'!Z78</f>
        <v>0</v>
      </c>
      <c r="AA75" s="145">
        <f>'LCIA_AD-b'!AA78</f>
        <v>0</v>
      </c>
      <c r="AB75" s="145">
        <f>'LCIA_AD-b'!AB78</f>
        <v>0</v>
      </c>
      <c r="AC75" s="145">
        <f>'LCIA_AD-b'!AC78</f>
        <v>0</v>
      </c>
      <c r="AD75" s="145">
        <f>'LCIA_AD-b'!AD78</f>
        <v>0</v>
      </c>
      <c r="AE75" s="145">
        <f>'LCIA_AD-b'!AE78</f>
        <v>0</v>
      </c>
      <c r="AF75" s="145">
        <f>'LCIA_AD-b'!AF78</f>
        <v>0</v>
      </c>
      <c r="AG75" s="145">
        <f>'LCIA_AD-b'!AG78</f>
        <v>0</v>
      </c>
      <c r="AH75" s="145">
        <f>'LCIA_AD-b'!AH78</f>
        <v>0</v>
      </c>
      <c r="AI75" s="145">
        <f>'LCIA_AD-b'!AI78</f>
        <v>0</v>
      </c>
      <c r="AJ75" s="145">
        <f>'LCIA_AD-b'!AJ78</f>
        <v>0</v>
      </c>
      <c r="AK75" s="145">
        <f>'LCIA_AD-b'!AK78</f>
        <v>0</v>
      </c>
    </row>
    <row r="76" spans="1:37" x14ac:dyDescent="0.35">
      <c r="A76" s="140"/>
      <c r="B76" s="145" t="s">
        <v>96</v>
      </c>
      <c r="C76" s="145" t="e">
        <f>'LCIA_AD-b'!C79</f>
        <v>#REF!</v>
      </c>
      <c r="D76" s="145" t="e">
        <f>'LCIA_AD-b'!D79</f>
        <v>#REF!</v>
      </c>
      <c r="E76" s="145" t="e">
        <f>'LCIA_AD-b'!E79</f>
        <v>#REF!</v>
      </c>
      <c r="F76" s="145" t="e">
        <f>'LCIA_AD-b'!F79</f>
        <v>#REF!</v>
      </c>
      <c r="G76" s="145">
        <f>'LCIA_AD-b'!G79</f>
        <v>0</v>
      </c>
      <c r="H76" s="145">
        <f>'LCIA_AD-b'!H79</f>
        <v>0</v>
      </c>
      <c r="I76" s="145">
        <f>'LCIA_AD-b'!I79</f>
        <v>0</v>
      </c>
      <c r="J76" s="145">
        <f>'LCIA_AD-b'!J79</f>
        <v>0</v>
      </c>
      <c r="K76" s="145">
        <f>'LCIA_AD-b'!K79</f>
        <v>0</v>
      </c>
      <c r="L76" s="145">
        <f>'LCIA_AD-b'!L79</f>
        <v>0</v>
      </c>
      <c r="M76" s="145">
        <f>'LCIA_AD-b'!M79</f>
        <v>0</v>
      </c>
      <c r="N76" s="145">
        <f>'LCIA_AD-b'!N79</f>
        <v>0</v>
      </c>
      <c r="O76" s="145">
        <f>'LCIA_AD-b'!O79</f>
        <v>0</v>
      </c>
      <c r="P76" s="145">
        <f>'LCIA_AD-b'!P79</f>
        <v>0</v>
      </c>
      <c r="Q76" s="145">
        <f>'LCIA_AD-b'!Q79</f>
        <v>0</v>
      </c>
      <c r="R76" s="145">
        <f>'LCIA_AD-b'!R79</f>
        <v>0</v>
      </c>
      <c r="S76" s="145">
        <f>'LCIA_AD-b'!S79</f>
        <v>0</v>
      </c>
      <c r="T76" s="145">
        <f>'LCIA_AD-b'!T79</f>
        <v>0</v>
      </c>
      <c r="U76" s="145">
        <f>'LCIA_AD-b'!U79</f>
        <v>0</v>
      </c>
      <c r="V76" s="145">
        <f>'LCIA_AD-b'!V79</f>
        <v>0</v>
      </c>
      <c r="W76" s="145">
        <f>'LCIA_AD-b'!W79</f>
        <v>0</v>
      </c>
      <c r="X76" s="145">
        <f>'LCIA_AD-b'!X79</f>
        <v>0</v>
      </c>
      <c r="Y76" s="145">
        <f>'LCIA_AD-b'!Y79</f>
        <v>0</v>
      </c>
      <c r="Z76" s="145">
        <f>'LCIA_AD-b'!Z79</f>
        <v>0</v>
      </c>
      <c r="AA76" s="145">
        <f>'LCIA_AD-b'!AA79</f>
        <v>0</v>
      </c>
      <c r="AB76" s="145">
        <f>'LCIA_AD-b'!AB79</f>
        <v>0</v>
      </c>
      <c r="AC76" s="145">
        <f>'LCIA_AD-b'!AC79</f>
        <v>0</v>
      </c>
      <c r="AD76" s="145">
        <f>'LCIA_AD-b'!AD79</f>
        <v>0</v>
      </c>
      <c r="AE76" s="145">
        <f>'LCIA_AD-b'!AE79</f>
        <v>0</v>
      </c>
      <c r="AF76" s="145">
        <f>'LCIA_AD-b'!AF79</f>
        <v>0</v>
      </c>
      <c r="AG76" s="145">
        <f>'LCIA_AD-b'!AG79</f>
        <v>0</v>
      </c>
      <c r="AH76" s="145">
        <f>'LCIA_AD-b'!AH79</f>
        <v>0</v>
      </c>
      <c r="AI76" s="145">
        <f>'LCIA_AD-b'!AI79</f>
        <v>0</v>
      </c>
      <c r="AJ76" s="145">
        <f>'LCIA_AD-b'!AJ79</f>
        <v>0</v>
      </c>
      <c r="AK76" s="145">
        <f>'LCIA_AD-b'!AK79</f>
        <v>0</v>
      </c>
    </row>
    <row r="77" spans="1:37" x14ac:dyDescent="0.35">
      <c r="A77" s="140"/>
      <c r="B77" s="145" t="s">
        <v>111</v>
      </c>
      <c r="C77" s="145" t="e">
        <f>'LCIA_AD-b'!C80</f>
        <v>#REF!</v>
      </c>
      <c r="D77" s="145" t="e">
        <f>'LCIA_AD-b'!D80</f>
        <v>#REF!</v>
      </c>
      <c r="E77" s="145" t="e">
        <f>'LCIA_AD-b'!E80</f>
        <v>#REF!</v>
      </c>
      <c r="F77" s="145" t="e">
        <f>'LCIA_AD-b'!F80</f>
        <v>#REF!</v>
      </c>
      <c r="G77" s="145">
        <f>'LCIA_AD-b'!G80</f>
        <v>0</v>
      </c>
      <c r="H77" s="145">
        <f>'LCIA_AD-b'!H80</f>
        <v>0</v>
      </c>
      <c r="I77" s="145">
        <f>'LCIA_AD-b'!I80</f>
        <v>0</v>
      </c>
      <c r="J77" s="145">
        <f>'LCIA_AD-b'!J80</f>
        <v>0</v>
      </c>
      <c r="K77" s="145">
        <f>'LCIA_AD-b'!K80</f>
        <v>0</v>
      </c>
      <c r="L77" s="145">
        <f>'LCIA_AD-b'!L80</f>
        <v>0</v>
      </c>
      <c r="M77" s="145">
        <f>'LCIA_AD-b'!M80</f>
        <v>0</v>
      </c>
      <c r="N77" s="145">
        <f>'LCIA_AD-b'!N80</f>
        <v>0</v>
      </c>
      <c r="O77" s="145">
        <f>'LCIA_AD-b'!O80</f>
        <v>0</v>
      </c>
      <c r="P77" s="145">
        <f>'LCIA_AD-b'!P80</f>
        <v>0</v>
      </c>
      <c r="Q77" s="145">
        <f>'LCIA_AD-b'!Q80</f>
        <v>0</v>
      </c>
      <c r="R77" s="145">
        <f>'LCIA_AD-b'!R80</f>
        <v>0</v>
      </c>
      <c r="S77" s="145">
        <f>'LCIA_AD-b'!S80</f>
        <v>0</v>
      </c>
      <c r="T77" s="145">
        <f>'LCIA_AD-b'!T80</f>
        <v>0</v>
      </c>
      <c r="U77" s="145">
        <f>'LCIA_AD-b'!U80</f>
        <v>0</v>
      </c>
      <c r="V77" s="145">
        <f>'LCIA_AD-b'!V80</f>
        <v>0</v>
      </c>
      <c r="W77" s="145">
        <f>'LCIA_AD-b'!W80</f>
        <v>0</v>
      </c>
      <c r="X77" s="145">
        <f>'LCIA_AD-b'!X80</f>
        <v>0</v>
      </c>
      <c r="Y77" s="145">
        <f>'LCIA_AD-b'!Y80</f>
        <v>0</v>
      </c>
      <c r="Z77" s="145">
        <f>'LCIA_AD-b'!Z80</f>
        <v>0</v>
      </c>
      <c r="AA77" s="145">
        <f>'LCIA_AD-b'!AA80</f>
        <v>0</v>
      </c>
      <c r="AB77" s="145">
        <f>'LCIA_AD-b'!AB80</f>
        <v>0</v>
      </c>
      <c r="AC77" s="145">
        <f>'LCIA_AD-b'!AC80</f>
        <v>0</v>
      </c>
      <c r="AD77" s="145">
        <f>'LCIA_AD-b'!AD80</f>
        <v>0</v>
      </c>
      <c r="AE77" s="145">
        <f>'LCIA_AD-b'!AE80</f>
        <v>0</v>
      </c>
      <c r="AF77" s="145">
        <f>'LCIA_AD-b'!AF80</f>
        <v>0</v>
      </c>
      <c r="AG77" s="145">
        <f>'LCIA_AD-b'!AG80</f>
        <v>0</v>
      </c>
      <c r="AH77" s="145">
        <f>'LCIA_AD-b'!AH80</f>
        <v>0</v>
      </c>
      <c r="AI77" s="145">
        <f>'LCIA_AD-b'!AI80</f>
        <v>0</v>
      </c>
      <c r="AJ77" s="145">
        <f>'LCIA_AD-b'!AJ80</f>
        <v>0</v>
      </c>
      <c r="AK77" s="145">
        <f>'LCIA_AD-b'!AK80</f>
        <v>0</v>
      </c>
    </row>
    <row r="78" spans="1:37" x14ac:dyDescent="0.35">
      <c r="A78" s="140"/>
      <c r="B78" s="145" t="s">
        <v>110</v>
      </c>
      <c r="C78" s="145" t="e">
        <f>'LCIA_AD-b'!C81</f>
        <v>#REF!</v>
      </c>
      <c r="D78" s="145" t="e">
        <f>'LCIA_AD-b'!D81</f>
        <v>#REF!</v>
      </c>
      <c r="E78" s="145" t="e">
        <f>'LCIA_AD-b'!E81</f>
        <v>#REF!</v>
      </c>
      <c r="F78" s="145" t="e">
        <f>'LCIA_AD-b'!F81</f>
        <v>#REF!</v>
      </c>
      <c r="G78" s="145">
        <f>'LCIA_AD-b'!G81</f>
        <v>0</v>
      </c>
      <c r="H78" s="145">
        <f>'LCIA_AD-b'!H81</f>
        <v>0.3744384376249299</v>
      </c>
      <c r="I78" s="145">
        <f>'LCIA_AD-b'!I81</f>
        <v>0</v>
      </c>
      <c r="J78" s="145">
        <f>'LCIA_AD-b'!J81</f>
        <v>0</v>
      </c>
      <c r="K78" s="145">
        <f>'LCIA_AD-b'!K81</f>
        <v>0</v>
      </c>
      <c r="L78" s="145">
        <f>'LCIA_AD-b'!L81</f>
        <v>0</v>
      </c>
      <c r="M78" s="145">
        <f>'LCIA_AD-b'!M81</f>
        <v>0</v>
      </c>
      <c r="N78" s="145">
        <f>'LCIA_AD-b'!N81</f>
        <v>0</v>
      </c>
      <c r="O78" s="145">
        <f>'LCIA_AD-b'!O81</f>
        <v>0</v>
      </c>
      <c r="P78" s="145">
        <f>'LCIA_AD-b'!P81</f>
        <v>0</v>
      </c>
      <c r="Q78" s="145">
        <f>'LCIA_AD-b'!Q81</f>
        <v>0</v>
      </c>
      <c r="R78" s="145">
        <f>'LCIA_AD-b'!R81</f>
        <v>0</v>
      </c>
      <c r="S78" s="145">
        <f>'LCIA_AD-b'!S81</f>
        <v>0</v>
      </c>
      <c r="T78" s="145">
        <f>'LCIA_AD-b'!T81</f>
        <v>0</v>
      </c>
      <c r="U78" s="145">
        <f>'LCIA_AD-b'!U81</f>
        <v>0</v>
      </c>
      <c r="V78" s="145">
        <f>'LCIA_AD-b'!V81</f>
        <v>0</v>
      </c>
      <c r="W78" s="145">
        <f>'LCIA_AD-b'!W81</f>
        <v>0</v>
      </c>
      <c r="X78" s="145">
        <f>'LCIA_AD-b'!X81</f>
        <v>0.14374573964671425</v>
      </c>
      <c r="Y78" s="145">
        <f>'LCIA_AD-b'!Y81</f>
        <v>0</v>
      </c>
      <c r="Z78" s="145">
        <f>'LCIA_AD-b'!Z81</f>
        <v>3.5968540350410269E-5</v>
      </c>
      <c r="AA78" s="145">
        <f>'LCIA_AD-b'!AA81</f>
        <v>0</v>
      </c>
      <c r="AB78" s="145">
        <f>'LCIA_AD-b'!AB81</f>
        <v>0</v>
      </c>
      <c r="AC78" s="145">
        <f>'LCIA_AD-b'!AC81</f>
        <v>4.8275111024190469</v>
      </c>
      <c r="AD78" s="145">
        <f>'LCIA_AD-b'!AD81</f>
        <v>0</v>
      </c>
      <c r="AE78" s="145">
        <f>'LCIA_AD-b'!AE81</f>
        <v>0</v>
      </c>
      <c r="AF78" s="145">
        <f>'LCIA_AD-b'!AF81</f>
        <v>0</v>
      </c>
      <c r="AG78" s="145">
        <f>'LCIA_AD-b'!AG81</f>
        <v>5.3456952796906911</v>
      </c>
      <c r="AH78" s="145">
        <f>'LCIA_AD-b'!AH81</f>
        <v>3.5968540350410269E-5</v>
      </c>
      <c r="AI78" s="145">
        <f>'LCIA_AD-b'!AI81</f>
        <v>0</v>
      </c>
      <c r="AJ78" s="145">
        <f>'LCIA_AD-b'!AJ81</f>
        <v>0</v>
      </c>
      <c r="AK78" s="145">
        <f>'LCIA_AD-b'!AK81</f>
        <v>0</v>
      </c>
    </row>
    <row r="79" spans="1:37" x14ac:dyDescent="0.35">
      <c r="A79" s="140"/>
      <c r="B79" s="145" t="s">
        <v>288</v>
      </c>
      <c r="C79" s="145" t="e">
        <f>'LCIA_AD-b'!C82</f>
        <v>#REF!</v>
      </c>
      <c r="D79" s="145" t="e">
        <f>'LCIA_AD-b'!D82</f>
        <v>#REF!</v>
      </c>
      <c r="E79" s="145" t="e">
        <f>'LCIA_AD-b'!E82</f>
        <v>#REF!</v>
      </c>
      <c r="F79" s="145" t="e">
        <f>'LCIA_AD-b'!F82</f>
        <v>#REF!</v>
      </c>
      <c r="G79" s="145">
        <f>'LCIA_AD-b'!G82</f>
        <v>0</v>
      </c>
      <c r="H79" s="145">
        <f>'LCIA_AD-b'!H82</f>
        <v>0</v>
      </c>
      <c r="I79" s="145">
        <f>'LCIA_AD-b'!I82</f>
        <v>0</v>
      </c>
      <c r="J79" s="145">
        <f>'LCIA_AD-b'!J82</f>
        <v>0</v>
      </c>
      <c r="K79" s="145">
        <f>'LCIA_AD-b'!K82</f>
        <v>0</v>
      </c>
      <c r="L79" s="145">
        <f>'LCIA_AD-b'!L82</f>
        <v>0</v>
      </c>
      <c r="M79" s="145">
        <f>'LCIA_AD-b'!M82</f>
        <v>0</v>
      </c>
      <c r="N79" s="145">
        <f>'LCIA_AD-b'!N82</f>
        <v>0</v>
      </c>
      <c r="O79" s="145">
        <f>'LCIA_AD-b'!O82</f>
        <v>0</v>
      </c>
      <c r="P79" s="145">
        <f>'LCIA_AD-b'!P82</f>
        <v>0</v>
      </c>
      <c r="Q79" s="145">
        <f>'LCIA_AD-b'!Q82</f>
        <v>0</v>
      </c>
      <c r="R79" s="145">
        <f>'LCIA_AD-b'!R82</f>
        <v>0</v>
      </c>
      <c r="S79" s="145">
        <f>'LCIA_AD-b'!S82</f>
        <v>0</v>
      </c>
      <c r="T79" s="145">
        <f>'LCIA_AD-b'!T82</f>
        <v>0</v>
      </c>
      <c r="U79" s="145">
        <f>'LCIA_AD-b'!U82</f>
        <v>0</v>
      </c>
      <c r="V79" s="145">
        <f>'LCIA_AD-b'!V82</f>
        <v>0</v>
      </c>
      <c r="W79" s="145">
        <f>'LCIA_AD-b'!W82</f>
        <v>0</v>
      </c>
      <c r="X79" s="145">
        <f>'LCIA_AD-b'!X82</f>
        <v>0</v>
      </c>
      <c r="Y79" s="145">
        <f>'LCIA_AD-b'!Y82</f>
        <v>0</v>
      </c>
      <c r="Z79" s="145">
        <f>'LCIA_AD-b'!Z82</f>
        <v>0</v>
      </c>
      <c r="AA79" s="145">
        <f>'LCIA_AD-b'!AA82</f>
        <v>7.8076707234924367E-2</v>
      </c>
      <c r="AB79" s="145">
        <f>'LCIA_AD-b'!AB82</f>
        <v>5.059520896744001E-9</v>
      </c>
      <c r="AC79" s="145">
        <f>'LCIA_AD-b'!AC82</f>
        <v>0</v>
      </c>
      <c r="AD79" s="145">
        <f>'LCIA_AD-b'!AD82</f>
        <v>0</v>
      </c>
      <c r="AE79" s="145">
        <f>'LCIA_AD-b'!AE82</f>
        <v>0</v>
      </c>
      <c r="AF79" s="145">
        <f>'LCIA_AD-b'!AF82</f>
        <v>0</v>
      </c>
      <c r="AG79" s="145">
        <f>'LCIA_AD-b'!AG82</f>
        <v>7.8076707234924367E-2</v>
      </c>
      <c r="AH79" s="145">
        <f>'LCIA_AD-b'!AH82</f>
        <v>5.059520896744001E-9</v>
      </c>
      <c r="AI79" s="145">
        <f>'LCIA_AD-b'!AI82</f>
        <v>0</v>
      </c>
      <c r="AJ79" s="145">
        <f>'LCIA_AD-b'!AJ82</f>
        <v>0</v>
      </c>
      <c r="AK79" s="145">
        <f>'LCIA_AD-b'!AK82</f>
        <v>0</v>
      </c>
    </row>
    <row r="80" spans="1:37" x14ac:dyDescent="0.35">
      <c r="A80" s="140"/>
      <c r="B80" s="145" t="s">
        <v>123</v>
      </c>
      <c r="C80" s="145" t="e">
        <f>'LCIA_AD-b'!C83</f>
        <v>#REF!</v>
      </c>
      <c r="D80" s="145" t="e">
        <f>'LCIA_AD-b'!D83</f>
        <v>#REF!</v>
      </c>
      <c r="E80" s="145" t="e">
        <f>'LCIA_AD-b'!E83</f>
        <v>#REF!</v>
      </c>
      <c r="F80" s="145" t="e">
        <f>'LCIA_AD-b'!F83</f>
        <v>#REF!</v>
      </c>
      <c r="G80" s="145">
        <f>'LCIA_AD-b'!G83</f>
        <v>0</v>
      </c>
      <c r="H80" s="145">
        <f>'LCIA_AD-b'!H83</f>
        <v>0</v>
      </c>
      <c r="I80" s="145">
        <f>'LCIA_AD-b'!I83</f>
        <v>0</v>
      </c>
      <c r="J80" s="145">
        <f>'LCIA_AD-b'!J83</f>
        <v>0</v>
      </c>
      <c r="K80" s="145">
        <f>'LCIA_AD-b'!K83</f>
        <v>0</v>
      </c>
      <c r="L80" s="145">
        <f>'LCIA_AD-b'!L83</f>
        <v>0</v>
      </c>
      <c r="M80" s="145">
        <f>'LCIA_AD-b'!M83</f>
        <v>0</v>
      </c>
      <c r="N80" s="145">
        <f>'LCIA_AD-b'!N83</f>
        <v>0</v>
      </c>
      <c r="O80" s="145">
        <f>'LCIA_AD-b'!O83</f>
        <v>0</v>
      </c>
      <c r="P80" s="145">
        <f>'LCIA_AD-b'!P83</f>
        <v>0</v>
      </c>
      <c r="Q80" s="145">
        <f>'LCIA_AD-b'!Q83</f>
        <v>0</v>
      </c>
      <c r="R80" s="145">
        <f>'LCIA_AD-b'!R83</f>
        <v>0</v>
      </c>
      <c r="S80" s="145">
        <f>'LCIA_AD-b'!S83</f>
        <v>0</v>
      </c>
      <c r="T80" s="145">
        <f>'LCIA_AD-b'!T83</f>
        <v>0</v>
      </c>
      <c r="U80" s="145">
        <f>'LCIA_AD-b'!U83</f>
        <v>0</v>
      </c>
      <c r="V80" s="145">
        <f>'LCIA_AD-b'!V83</f>
        <v>0</v>
      </c>
      <c r="W80" s="145">
        <f>'LCIA_AD-b'!W83</f>
        <v>0</v>
      </c>
      <c r="X80" s="145">
        <f>'LCIA_AD-b'!X83</f>
        <v>0</v>
      </c>
      <c r="Y80" s="145">
        <f>'LCIA_AD-b'!Y83</f>
        <v>0</v>
      </c>
      <c r="Z80" s="145">
        <f>'LCIA_AD-b'!Z83</f>
        <v>0</v>
      </c>
      <c r="AA80" s="145">
        <f>'LCIA_AD-b'!AA83</f>
        <v>0</v>
      </c>
      <c r="AB80" s="145">
        <f>'LCIA_AD-b'!AB83</f>
        <v>0</v>
      </c>
      <c r="AC80" s="145">
        <f>'LCIA_AD-b'!AC83</f>
        <v>0</v>
      </c>
      <c r="AD80" s="145">
        <f>'LCIA_AD-b'!AD83</f>
        <v>0</v>
      </c>
      <c r="AE80" s="145">
        <f>'LCIA_AD-b'!AE83</f>
        <v>0</v>
      </c>
      <c r="AF80" s="145">
        <f>'LCIA_AD-b'!AF83</f>
        <v>0</v>
      </c>
      <c r="AG80" s="145">
        <f>'LCIA_AD-b'!AG83</f>
        <v>0</v>
      </c>
      <c r="AH80" s="145">
        <f>'LCIA_AD-b'!AH83</f>
        <v>0</v>
      </c>
      <c r="AI80" s="145">
        <f>'LCIA_AD-b'!AI83</f>
        <v>0</v>
      </c>
      <c r="AJ80" s="145">
        <f>'LCIA_AD-b'!AJ83</f>
        <v>0</v>
      </c>
      <c r="AK80" s="145">
        <f>'LCIA_AD-b'!AK83</f>
        <v>0</v>
      </c>
    </row>
    <row r="81" spans="1:37" x14ac:dyDescent="0.35">
      <c r="A81" s="140"/>
      <c r="B81" s="145" t="s">
        <v>273</v>
      </c>
      <c r="C81" s="145" t="e">
        <f>'LCIA_AD-b'!C84</f>
        <v>#REF!</v>
      </c>
      <c r="D81" s="145" t="e">
        <f>'LCIA_AD-b'!D84</f>
        <v>#REF!</v>
      </c>
      <c r="E81" s="145" t="e">
        <f>'LCIA_AD-b'!E84</f>
        <v>#REF!</v>
      </c>
      <c r="F81" s="145" t="e">
        <f>'LCIA_AD-b'!F84</f>
        <v>#REF!</v>
      </c>
      <c r="G81" s="145">
        <f>'LCIA_AD-b'!G84</f>
        <v>2.819819426702347E-20</v>
      </c>
      <c r="H81" s="145">
        <f>'LCIA_AD-b'!H84</f>
        <v>1.6263461543339314E-3</v>
      </c>
      <c r="I81" s="145">
        <f>'LCIA_AD-b'!I84</f>
        <v>7.7789284373648959E-2</v>
      </c>
      <c r="J81" s="145">
        <f>'LCIA_AD-b'!J84</f>
        <v>3.8648250500682552E-3</v>
      </c>
      <c r="K81" s="145">
        <f>'LCIA_AD-b'!K84</f>
        <v>6.7143678024639186E-6</v>
      </c>
      <c r="L81" s="145">
        <f>'LCIA_AD-b'!L84</f>
        <v>2.7250823218448872E-9</v>
      </c>
      <c r="M81" s="145">
        <f>'LCIA_AD-b'!M84</f>
        <v>5.1977149167024323E-8</v>
      </c>
      <c r="N81" s="145">
        <f>'LCIA_AD-b'!N84</f>
        <v>6.1621952765137466E-8</v>
      </c>
      <c r="O81" s="145">
        <f>'LCIA_AD-b'!O84</f>
        <v>3.2801963876572476E-8</v>
      </c>
      <c r="P81" s="145">
        <f>'LCIA_AD-b'!P84</f>
        <v>1.2962045370244614E-9</v>
      </c>
      <c r="Q81" s="145">
        <f>'LCIA_AD-b'!Q84</f>
        <v>3.9971420552218461E-8</v>
      </c>
      <c r="R81" s="145">
        <f>'LCIA_AD-b'!R84</f>
        <v>5.1780478699583656E-3</v>
      </c>
      <c r="S81" s="145">
        <f>'LCIA_AD-b'!S84</f>
        <v>3.6506165983474547E-3</v>
      </c>
      <c r="T81" s="145">
        <f>'LCIA_AD-b'!T84</f>
        <v>3.2097331077826474E-2</v>
      </c>
      <c r="U81" s="145">
        <f>'LCIA_AD-b'!U84</f>
        <v>3.4842384245660119E-3</v>
      </c>
      <c r="V81" s="145">
        <f>'LCIA_AD-b'!V84</f>
        <v>3.0217985881737148E-7</v>
      </c>
      <c r="W81" s="145">
        <f>'LCIA_AD-b'!W84</f>
        <v>8.3162586322158654E-8</v>
      </c>
      <c r="X81" s="145">
        <f>'LCIA_AD-b'!X84</f>
        <v>2.128453591310383E-4</v>
      </c>
      <c r="Y81" s="145">
        <f>'LCIA_AD-b'!Y84</f>
        <v>1.4479139766530832E-11</v>
      </c>
      <c r="Z81" s="145">
        <f>'LCIA_AD-b'!Z84</f>
        <v>1.1720511301650913E-7</v>
      </c>
      <c r="AA81" s="145">
        <f>'LCIA_AD-b'!AA84</f>
        <v>4.934183475435755E-3</v>
      </c>
      <c r="AB81" s="145">
        <f>'LCIA_AD-b'!AB84</f>
        <v>4.9049639939226234E-10</v>
      </c>
      <c r="AC81" s="145">
        <f>'LCIA_AD-b'!AC84</f>
        <v>1.0732168781098783E-2</v>
      </c>
      <c r="AD81" s="145">
        <f>'LCIA_AD-b'!AD84</f>
        <v>1.1029989880888913E-2</v>
      </c>
      <c r="AE81" s="145">
        <f>'LCIA_AD-b'!AE84</f>
        <v>3.0354344007587917E-3</v>
      </c>
      <c r="AF81" s="145">
        <f>'LCIA_AD-b'!AF84</f>
        <v>5.9516122540008507E-4</v>
      </c>
      <c r="AG81" s="145">
        <f>'LCIA_AD-b'!AG84</f>
        <v>0.15824534312115357</v>
      </c>
      <c r="AH81" s="145">
        <f>'LCIA_AD-b'!AH84</f>
        <v>6.9290561290245875E-7</v>
      </c>
      <c r="AI81" s="145">
        <f>'LCIA_AD-b'!AI84</f>
        <v>3.1610479685655485E-6</v>
      </c>
      <c r="AJ81" s="145">
        <f>'LCIA_AD-b'!AJ84</f>
        <v>3.8609795566399319E-7</v>
      </c>
      <c r="AK81" s="145">
        <f>'LCIA_AD-b'!AK84</f>
        <v>4.6083952700321599E-6</v>
      </c>
    </row>
    <row r="82" spans="1:37" x14ac:dyDescent="0.35">
      <c r="A82" s="140"/>
      <c r="B82" s="145" t="s">
        <v>289</v>
      </c>
      <c r="C82" s="145" t="e">
        <f>'LCIA_AD-b'!C85</f>
        <v>#REF!</v>
      </c>
      <c r="D82" s="145" t="e">
        <f>'LCIA_AD-b'!D85</f>
        <v>#REF!</v>
      </c>
      <c r="E82" s="145" t="e">
        <f>'LCIA_AD-b'!E85</f>
        <v>#REF!</v>
      </c>
      <c r="F82" s="145" t="e">
        <f>'LCIA_AD-b'!F85</f>
        <v>#REF!</v>
      </c>
      <c r="G82" s="145">
        <f>'LCIA_AD-b'!G85</f>
        <v>1.6130521335353439E-20</v>
      </c>
      <c r="H82" s="145">
        <f>'LCIA_AD-b'!H85</f>
        <v>2.7054070426269952E-3</v>
      </c>
      <c r="I82" s="145">
        <f>'LCIA_AD-b'!I85</f>
        <v>2.4196440073787778E-2</v>
      </c>
      <c r="J82" s="145">
        <f>'LCIA_AD-b'!J85</f>
        <v>1.7630583606476537E-2</v>
      </c>
      <c r="K82" s="145">
        <f>'LCIA_AD-b'!K85</f>
        <v>2.4472117590483638E-5</v>
      </c>
      <c r="L82" s="145">
        <f>'LCIA_AD-b'!L85</f>
        <v>1.3576808019091356E-9</v>
      </c>
      <c r="M82" s="145">
        <f>'LCIA_AD-b'!M85</f>
        <v>5.1572925418878274E-8</v>
      </c>
      <c r="N82" s="145">
        <f>'LCIA_AD-b'!N85</f>
        <v>3.3872872795680431E-8</v>
      </c>
      <c r="O82" s="145">
        <f>'LCIA_AD-b'!O85</f>
        <v>2.6288935372440298E-8</v>
      </c>
      <c r="P82" s="145">
        <f>'LCIA_AD-b'!P85</f>
        <v>1.2683791297072126E-11</v>
      </c>
      <c r="Q82" s="145">
        <f>'LCIA_AD-b'!Q85</f>
        <v>2.3580294814971754E-10</v>
      </c>
      <c r="R82" s="145">
        <f>'LCIA_AD-b'!R85</f>
        <v>2.1090311924351537E-3</v>
      </c>
      <c r="S82" s="145">
        <f>'LCIA_AD-b'!S85</f>
        <v>1.8992751976227653E-2</v>
      </c>
      <c r="T82" s="145">
        <f>'LCIA_AD-b'!T85</f>
        <v>3.6140715903243067E-2</v>
      </c>
      <c r="U82" s="145">
        <f>'LCIA_AD-b'!U85</f>
        <v>3.923152069951294E-3</v>
      </c>
      <c r="V82" s="145">
        <f>'LCIA_AD-b'!V85</f>
        <v>8.3831586723194238E-9</v>
      </c>
      <c r="W82" s="145">
        <f>'LCIA_AD-b'!W85</f>
        <v>7.400687754511597E-9</v>
      </c>
      <c r="X82" s="145">
        <f>'LCIA_AD-b'!X85</f>
        <v>9.0097723477391967E-4</v>
      </c>
      <c r="Y82" s="145">
        <f>'LCIA_AD-b'!Y85</f>
        <v>5.6978286394437733E-11</v>
      </c>
      <c r="Z82" s="145">
        <f>'LCIA_AD-b'!Z85</f>
        <v>1.6243641906731715E-7</v>
      </c>
      <c r="AA82" s="145">
        <f>'LCIA_AD-b'!AA85</f>
        <v>1.271342860162961E-2</v>
      </c>
      <c r="AB82" s="145">
        <f>'LCIA_AD-b'!AB85</f>
        <v>1.0601852933367218E-9</v>
      </c>
      <c r="AC82" s="145">
        <f>'LCIA_AD-b'!AC85</f>
        <v>1.7420512120229357E-2</v>
      </c>
      <c r="AD82" s="145">
        <f>'LCIA_AD-b'!AD85</f>
        <v>3.0603630298783007E-4</v>
      </c>
      <c r="AE82" s="145">
        <f>'LCIA_AD-b'!AE85</f>
        <v>2.7012510303967328E-4</v>
      </c>
      <c r="AF82" s="145">
        <f>'LCIA_AD-b'!AF85</f>
        <v>1.1860112818669014E-5</v>
      </c>
      <c r="AG82" s="145">
        <f>'LCIA_AD-b'!AG85</f>
        <v>0.13734910495904709</v>
      </c>
      <c r="AH82" s="145">
        <f>'LCIA_AD-b'!AH85</f>
        <v>3.1084751668557692E-7</v>
      </c>
      <c r="AI82" s="145">
        <f>'LCIA_AD-b'!AI85</f>
        <v>2.7808295331522901E-7</v>
      </c>
      <c r="AJ82" s="145">
        <f>'LCIA_AD-b'!AJ85</f>
        <v>3.3965716701470755E-8</v>
      </c>
      <c r="AK82" s="145">
        <f>'LCIA_AD-b'!AK85</f>
        <v>3.3176217455392112E-6</v>
      </c>
    </row>
    <row r="83" spans="1:37" ht="29" x14ac:dyDescent="0.35">
      <c r="A83" s="140" t="s">
        <v>353</v>
      </c>
      <c r="B83" s="145"/>
      <c r="C83" s="140" t="e">
        <f>'LCIA_AD-b'!C86</f>
        <v>#REF!</v>
      </c>
      <c r="D83" s="140" t="e">
        <f>'LCIA_AD-b'!D86</f>
        <v>#REF!</v>
      </c>
      <c r="E83" s="140" t="e">
        <f>'LCIA_AD-b'!E86</f>
        <v>#REF!</v>
      </c>
      <c r="F83" s="140" t="e">
        <f>'LCIA_AD-b'!F86</f>
        <v>#REF!</v>
      </c>
      <c r="G83" s="140">
        <f>'LCIA_AD-b'!G86</f>
        <v>0</v>
      </c>
      <c r="H83" s="140">
        <f>'LCIA_AD-b'!H86</f>
        <v>0.14579389891956177</v>
      </c>
      <c r="I83" s="140">
        <f>'LCIA_AD-b'!I86</f>
        <v>0</v>
      </c>
      <c r="J83" s="140">
        <f>'LCIA_AD-b'!J86</f>
        <v>0</v>
      </c>
      <c r="K83" s="140">
        <f>'LCIA_AD-b'!K86</f>
        <v>-0.12351800454149389</v>
      </c>
      <c r="L83" s="140">
        <f>'LCIA_AD-b'!L86</f>
        <v>0</v>
      </c>
      <c r="M83" s="140">
        <f>'LCIA_AD-b'!M86</f>
        <v>0</v>
      </c>
      <c r="N83" s="140">
        <f>'LCIA_AD-b'!N86</f>
        <v>0</v>
      </c>
      <c r="O83" s="140">
        <f>'LCIA_AD-b'!O86</f>
        <v>0</v>
      </c>
      <c r="P83" s="140">
        <f>'LCIA_AD-b'!P86</f>
        <v>0</v>
      </c>
      <c r="Q83" s="140">
        <f>'LCIA_AD-b'!Q86</f>
        <v>0</v>
      </c>
      <c r="R83" s="140">
        <f>'LCIA_AD-b'!R86</f>
        <v>0</v>
      </c>
      <c r="S83" s="140">
        <f>'LCIA_AD-b'!S86</f>
        <v>0</v>
      </c>
      <c r="T83" s="140">
        <f>'LCIA_AD-b'!T86</f>
        <v>-4.6840808148715611</v>
      </c>
      <c r="U83" s="140">
        <f>'LCIA_AD-b'!U86</f>
        <v>-0.50846929898276816</v>
      </c>
      <c r="V83" s="140">
        <f>'LCIA_AD-b'!V86</f>
        <v>0</v>
      </c>
      <c r="W83" s="140">
        <f>'LCIA_AD-b'!W86</f>
        <v>0</v>
      </c>
      <c r="X83" s="140">
        <f>'LCIA_AD-b'!X86</f>
        <v>5.2932055936233882</v>
      </c>
      <c r="Y83" s="140">
        <f>'LCIA_AD-b'!Y86</f>
        <v>0</v>
      </c>
      <c r="Z83" s="140">
        <f>'LCIA_AD-b'!Z86</f>
        <v>1.4004955712866033E-5</v>
      </c>
      <c r="AA83" s="140">
        <f>'LCIA_AD-b'!AA86</f>
        <v>0</v>
      </c>
      <c r="AB83" s="140">
        <f>'LCIA_AD-b'!AB86</f>
        <v>0</v>
      </c>
      <c r="AC83" s="140">
        <f>'LCIA_AD-b'!AC86</f>
        <v>1.8796725842664521</v>
      </c>
      <c r="AD83" s="140">
        <f>'LCIA_AD-b'!AD86</f>
        <v>0</v>
      </c>
      <c r="AE83" s="140">
        <f>'LCIA_AD-b'!AE86</f>
        <v>0</v>
      </c>
      <c r="AF83" s="140">
        <f>'LCIA_AD-b'!AF86</f>
        <v>0</v>
      </c>
      <c r="AG83" s="140">
        <f>'LCIA_AD-b'!AG86</f>
        <v>2.0026039584135802</v>
      </c>
      <c r="AH83" s="140">
        <f>'LCIA_AD-b'!AH86</f>
        <v>1.4004955712866033E-5</v>
      </c>
      <c r="AI83" s="140">
        <f>'LCIA_AD-b'!AI86</f>
        <v>0</v>
      </c>
      <c r="AJ83" s="140">
        <f>'LCIA_AD-b'!AJ86</f>
        <v>0</v>
      </c>
      <c r="AK83" s="140">
        <f>'LCIA_AD-b'!AK86</f>
        <v>0</v>
      </c>
    </row>
    <row r="84" spans="1:37" x14ac:dyDescent="0.35">
      <c r="A84" s="140"/>
      <c r="B84" s="145" t="s">
        <v>111</v>
      </c>
      <c r="C84" s="145" t="e">
        <f>'LCIA_AD-b'!C87</f>
        <v>#REF!</v>
      </c>
      <c r="D84" s="145" t="e">
        <f>'LCIA_AD-b'!D87</f>
        <v>#REF!</v>
      </c>
      <c r="E84" s="145" t="e">
        <f>'LCIA_AD-b'!E87</f>
        <v>#REF!</v>
      </c>
      <c r="F84" s="145" t="e">
        <f>'LCIA_AD-b'!F87</f>
        <v>#REF!</v>
      </c>
      <c r="G84" s="145">
        <f>'LCIA_AD-b'!G87</f>
        <v>0</v>
      </c>
      <c r="H84" s="145">
        <f>'LCIA_AD-b'!H87</f>
        <v>0</v>
      </c>
      <c r="I84" s="145">
        <f>'LCIA_AD-b'!I87</f>
        <v>0</v>
      </c>
      <c r="J84" s="145">
        <f>'LCIA_AD-b'!J87</f>
        <v>0</v>
      </c>
      <c r="K84" s="145">
        <f>'LCIA_AD-b'!K87</f>
        <v>0</v>
      </c>
      <c r="L84" s="145">
        <f>'LCIA_AD-b'!L87</f>
        <v>0</v>
      </c>
      <c r="M84" s="145">
        <f>'LCIA_AD-b'!M87</f>
        <v>0</v>
      </c>
      <c r="N84" s="145">
        <f>'LCIA_AD-b'!N87</f>
        <v>0</v>
      </c>
      <c r="O84" s="145">
        <f>'LCIA_AD-b'!O87</f>
        <v>0</v>
      </c>
      <c r="P84" s="145">
        <f>'LCIA_AD-b'!P87</f>
        <v>0</v>
      </c>
      <c r="Q84" s="145">
        <f>'LCIA_AD-b'!Q87</f>
        <v>0</v>
      </c>
      <c r="R84" s="145">
        <f>'LCIA_AD-b'!R87</f>
        <v>0</v>
      </c>
      <c r="S84" s="145">
        <f>'LCIA_AD-b'!S87</f>
        <v>0</v>
      </c>
      <c r="T84" s="145">
        <f>'LCIA_AD-b'!T87</f>
        <v>0</v>
      </c>
      <c r="U84" s="145">
        <f>'LCIA_AD-b'!U87</f>
        <v>0</v>
      </c>
      <c r="V84" s="145">
        <f>'LCIA_AD-b'!V87</f>
        <v>0</v>
      </c>
      <c r="W84" s="145">
        <f>'LCIA_AD-b'!W87</f>
        <v>0</v>
      </c>
      <c r="X84" s="145">
        <f>'LCIA_AD-b'!X87</f>
        <v>0</v>
      </c>
      <c r="Y84" s="145">
        <f>'LCIA_AD-b'!Y87</f>
        <v>0</v>
      </c>
      <c r="Z84" s="145">
        <f>'LCIA_AD-b'!Z87</f>
        <v>0</v>
      </c>
      <c r="AA84" s="145">
        <f>'LCIA_AD-b'!AA87</f>
        <v>0</v>
      </c>
      <c r="AB84" s="145">
        <f>'LCIA_AD-b'!AB87</f>
        <v>0</v>
      </c>
      <c r="AC84" s="145">
        <f>'LCIA_AD-b'!AC87</f>
        <v>0</v>
      </c>
      <c r="AD84" s="145">
        <f>'LCIA_AD-b'!AD87</f>
        <v>0</v>
      </c>
      <c r="AE84" s="145">
        <f>'LCIA_AD-b'!AE87</f>
        <v>0</v>
      </c>
      <c r="AF84" s="145">
        <f>'LCIA_AD-b'!AF87</f>
        <v>0</v>
      </c>
      <c r="AG84" s="145">
        <f>'LCIA_AD-b'!AG87</f>
        <v>0</v>
      </c>
      <c r="AH84" s="145">
        <f>'LCIA_AD-b'!AH87</f>
        <v>0</v>
      </c>
      <c r="AI84" s="145">
        <f>'LCIA_AD-b'!AI87</f>
        <v>0</v>
      </c>
      <c r="AJ84" s="145">
        <f>'LCIA_AD-b'!AJ87</f>
        <v>0</v>
      </c>
      <c r="AK84" s="145">
        <f>'LCIA_AD-b'!AK87</f>
        <v>0</v>
      </c>
    </row>
    <row r="85" spans="1:37" x14ac:dyDescent="0.35">
      <c r="A85" s="140"/>
      <c r="B85" s="145" t="s">
        <v>110</v>
      </c>
      <c r="C85" s="145" t="e">
        <f>'LCIA_AD-b'!C88</f>
        <v>#REF!</v>
      </c>
      <c r="D85" s="145" t="e">
        <f>'LCIA_AD-b'!D88</f>
        <v>#REF!</v>
      </c>
      <c r="E85" s="145" t="e">
        <f>'LCIA_AD-b'!E88</f>
        <v>#REF!</v>
      </c>
      <c r="F85" s="145" t="e">
        <f>'LCIA_AD-b'!F88</f>
        <v>#REF!</v>
      </c>
      <c r="G85" s="145">
        <f>'LCIA_AD-b'!G88</f>
        <v>0</v>
      </c>
      <c r="H85" s="145">
        <f>'LCIA_AD-b'!H88</f>
        <v>0.14579389891956177</v>
      </c>
      <c r="I85" s="145">
        <f>'LCIA_AD-b'!I88</f>
        <v>0</v>
      </c>
      <c r="J85" s="145">
        <f>'LCIA_AD-b'!J88</f>
        <v>0</v>
      </c>
      <c r="K85" s="145">
        <f>'LCIA_AD-b'!K88</f>
        <v>0</v>
      </c>
      <c r="L85" s="145">
        <f>'LCIA_AD-b'!L88</f>
        <v>0</v>
      </c>
      <c r="M85" s="145">
        <f>'LCIA_AD-b'!M88</f>
        <v>0</v>
      </c>
      <c r="N85" s="145">
        <f>'LCIA_AD-b'!N88</f>
        <v>0</v>
      </c>
      <c r="O85" s="145">
        <f>'LCIA_AD-b'!O88</f>
        <v>0</v>
      </c>
      <c r="P85" s="145">
        <f>'LCIA_AD-b'!P88</f>
        <v>0</v>
      </c>
      <c r="Q85" s="145">
        <f>'LCIA_AD-b'!Q88</f>
        <v>0</v>
      </c>
      <c r="R85" s="145">
        <f>'LCIA_AD-b'!R88</f>
        <v>0</v>
      </c>
      <c r="S85" s="145">
        <f>'LCIA_AD-b'!S88</f>
        <v>0</v>
      </c>
      <c r="T85" s="145">
        <f>'LCIA_AD-b'!T88</f>
        <v>0</v>
      </c>
      <c r="U85" s="145">
        <f>'LCIA_AD-b'!U88</f>
        <v>0</v>
      </c>
      <c r="V85" s="145">
        <f>'LCIA_AD-b'!V88</f>
        <v>0</v>
      </c>
      <c r="W85" s="145">
        <f>'LCIA_AD-b'!W88</f>
        <v>0</v>
      </c>
      <c r="X85" s="145">
        <f>'LCIA_AD-b'!X88</f>
        <v>5.5969819682784028E-2</v>
      </c>
      <c r="Y85" s="145">
        <f>'LCIA_AD-b'!Y88</f>
        <v>0</v>
      </c>
      <c r="Z85" s="145">
        <f>'LCIA_AD-b'!Z88</f>
        <v>1.4004955712866033E-5</v>
      </c>
      <c r="AA85" s="145">
        <f>'LCIA_AD-b'!AA88</f>
        <v>0</v>
      </c>
      <c r="AB85" s="145">
        <f>'LCIA_AD-b'!AB88</f>
        <v>0</v>
      </c>
      <c r="AC85" s="145">
        <f>'LCIA_AD-b'!AC88</f>
        <v>1.8796725842664521</v>
      </c>
      <c r="AD85" s="145">
        <f>'LCIA_AD-b'!AD88</f>
        <v>0</v>
      </c>
      <c r="AE85" s="145">
        <f>'LCIA_AD-b'!AE88</f>
        <v>0</v>
      </c>
      <c r="AF85" s="145">
        <f>'LCIA_AD-b'!AF88</f>
        <v>0</v>
      </c>
      <c r="AG85" s="145">
        <f>'LCIA_AD-b'!AG88</f>
        <v>2.0814363028687981</v>
      </c>
      <c r="AH85" s="145">
        <f>'LCIA_AD-b'!AH88</f>
        <v>1.4004955712866033E-5</v>
      </c>
      <c r="AI85" s="145">
        <f>'LCIA_AD-b'!AI88</f>
        <v>0</v>
      </c>
      <c r="AJ85" s="145">
        <f>'LCIA_AD-b'!AJ88</f>
        <v>0</v>
      </c>
      <c r="AK85" s="145">
        <f>'LCIA_AD-b'!AK88</f>
        <v>0</v>
      </c>
    </row>
    <row r="86" spans="1:37" x14ac:dyDescent="0.35">
      <c r="A86" s="140"/>
      <c r="B86" s="145" t="s">
        <v>114</v>
      </c>
      <c r="C86" s="145" t="e">
        <f>'LCIA_AD-b'!C89</f>
        <v>#REF!</v>
      </c>
      <c r="D86" s="145" t="e">
        <f>'LCIA_AD-b'!D89</f>
        <v>#REF!</v>
      </c>
      <c r="E86" s="145" t="e">
        <f>'LCIA_AD-b'!E89</f>
        <v>#REF!</v>
      </c>
      <c r="F86" s="145" t="e">
        <f>'LCIA_AD-b'!F89</f>
        <v>#REF!</v>
      </c>
      <c r="G86" s="145">
        <f>'LCIA_AD-b'!G89</f>
        <v>0</v>
      </c>
      <c r="H86" s="145">
        <f>'LCIA_AD-b'!H89</f>
        <v>0</v>
      </c>
      <c r="I86" s="145">
        <f>'LCIA_AD-b'!I89</f>
        <v>0</v>
      </c>
      <c r="J86" s="145">
        <f>'LCIA_AD-b'!J89</f>
        <v>0</v>
      </c>
      <c r="K86" s="145">
        <f>'LCIA_AD-b'!K89</f>
        <v>0</v>
      </c>
      <c r="L86" s="145">
        <f>'LCIA_AD-b'!L89</f>
        <v>0</v>
      </c>
      <c r="M86" s="145">
        <f>'LCIA_AD-b'!M89</f>
        <v>0</v>
      </c>
      <c r="N86" s="145">
        <f>'LCIA_AD-b'!N89</f>
        <v>0</v>
      </c>
      <c r="O86" s="145">
        <f>'LCIA_AD-b'!O89</f>
        <v>0</v>
      </c>
      <c r="P86" s="145">
        <f>'LCIA_AD-b'!P89</f>
        <v>0</v>
      </c>
      <c r="Q86" s="145">
        <f>'LCIA_AD-b'!Q89</f>
        <v>0</v>
      </c>
      <c r="R86" s="145">
        <f>'LCIA_AD-b'!R89</f>
        <v>0</v>
      </c>
      <c r="S86" s="145">
        <f>'LCIA_AD-b'!S89</f>
        <v>0</v>
      </c>
      <c r="T86" s="145">
        <f>'LCIA_AD-b'!T89</f>
        <v>0</v>
      </c>
      <c r="U86" s="145">
        <f>'LCIA_AD-b'!U89</f>
        <v>0</v>
      </c>
      <c r="V86" s="145">
        <f>'LCIA_AD-b'!V89</f>
        <v>0</v>
      </c>
      <c r="W86" s="145">
        <f>'LCIA_AD-b'!W89</f>
        <v>0</v>
      </c>
      <c r="X86" s="145">
        <f>'LCIA_AD-b'!X89</f>
        <v>5.2372357739406041</v>
      </c>
      <c r="Y86" s="145">
        <f>'LCIA_AD-b'!Y89</f>
        <v>0</v>
      </c>
      <c r="Z86" s="145">
        <f>'LCIA_AD-b'!Z89</f>
        <v>0</v>
      </c>
      <c r="AA86" s="145">
        <f>'LCIA_AD-b'!AA89</f>
        <v>0</v>
      </c>
      <c r="AB86" s="145">
        <f>'LCIA_AD-b'!AB89</f>
        <v>0</v>
      </c>
      <c r="AC86" s="145">
        <f>'LCIA_AD-b'!AC89</f>
        <v>0</v>
      </c>
      <c r="AD86" s="145">
        <f>'LCIA_AD-b'!AD89</f>
        <v>0</v>
      </c>
      <c r="AE86" s="145">
        <f>'LCIA_AD-b'!AE89</f>
        <v>0</v>
      </c>
      <c r="AF86" s="145">
        <f>'LCIA_AD-b'!AF89</f>
        <v>0</v>
      </c>
      <c r="AG86" s="145">
        <f>'LCIA_AD-b'!AG89</f>
        <v>5.2372357739406041</v>
      </c>
      <c r="AH86" s="145">
        <f>'LCIA_AD-b'!AH89</f>
        <v>0</v>
      </c>
      <c r="AI86" s="145">
        <f>'LCIA_AD-b'!AI89</f>
        <v>0</v>
      </c>
      <c r="AJ86" s="145">
        <f>'LCIA_AD-b'!AJ89</f>
        <v>0</v>
      </c>
      <c r="AK86" s="145">
        <f>'LCIA_AD-b'!AK89</f>
        <v>0</v>
      </c>
    </row>
    <row r="87" spans="1:37" x14ac:dyDescent="0.35">
      <c r="A87" s="140"/>
      <c r="B87" s="145" t="s">
        <v>414</v>
      </c>
      <c r="C87" s="145" t="e">
        <f>'LCIA_AD-b'!C90</f>
        <v>#REF!</v>
      </c>
      <c r="D87" s="145" t="e">
        <f>'LCIA_AD-b'!D90</f>
        <v>#REF!</v>
      </c>
      <c r="E87" s="145" t="e">
        <f>'LCIA_AD-b'!E90</f>
        <v>#REF!</v>
      </c>
      <c r="F87" s="145" t="e">
        <f>'LCIA_AD-b'!F90</f>
        <v>#REF!</v>
      </c>
      <c r="G87" s="145">
        <f>'LCIA_AD-b'!G90</f>
        <v>0</v>
      </c>
      <c r="H87" s="145">
        <f>'LCIA_AD-b'!H90</f>
        <v>0</v>
      </c>
      <c r="I87" s="145">
        <f>'LCIA_AD-b'!I90</f>
        <v>0</v>
      </c>
      <c r="J87" s="145">
        <f>'LCIA_AD-b'!J90</f>
        <v>0</v>
      </c>
      <c r="K87" s="145">
        <f>'LCIA_AD-b'!K90</f>
        <v>-0.12351800454149389</v>
      </c>
      <c r="L87" s="145">
        <f>'LCIA_AD-b'!L90</f>
        <v>0</v>
      </c>
      <c r="M87" s="145">
        <f>'LCIA_AD-b'!M90</f>
        <v>0</v>
      </c>
      <c r="N87" s="145">
        <f>'LCIA_AD-b'!N90</f>
        <v>0</v>
      </c>
      <c r="O87" s="145">
        <f>'LCIA_AD-b'!O90</f>
        <v>0</v>
      </c>
      <c r="P87" s="145">
        <f>'LCIA_AD-b'!P90</f>
        <v>0</v>
      </c>
      <c r="Q87" s="145">
        <f>'LCIA_AD-b'!Q90</f>
        <v>0</v>
      </c>
      <c r="R87" s="145">
        <f>'LCIA_AD-b'!R90</f>
        <v>0</v>
      </c>
      <c r="S87" s="145">
        <f>'LCIA_AD-b'!S90</f>
        <v>0</v>
      </c>
      <c r="T87" s="145">
        <f>'LCIA_AD-b'!T90</f>
        <v>0</v>
      </c>
      <c r="U87" s="145">
        <f>'LCIA_AD-b'!U90</f>
        <v>0</v>
      </c>
      <c r="V87" s="145">
        <f>'LCIA_AD-b'!V90</f>
        <v>0</v>
      </c>
      <c r="W87" s="145">
        <f>'LCIA_AD-b'!W90</f>
        <v>0</v>
      </c>
      <c r="X87" s="145">
        <f>'LCIA_AD-b'!X90</f>
        <v>0</v>
      </c>
      <c r="Y87" s="145">
        <f>'LCIA_AD-b'!Y90</f>
        <v>0</v>
      </c>
      <c r="Z87" s="145">
        <f>'LCIA_AD-b'!Z90</f>
        <v>0</v>
      </c>
      <c r="AA87" s="145">
        <f>'LCIA_AD-b'!AA90</f>
        <v>0</v>
      </c>
      <c r="AB87" s="145">
        <f>'LCIA_AD-b'!AB90</f>
        <v>0</v>
      </c>
      <c r="AC87" s="145">
        <f>'LCIA_AD-b'!AC90</f>
        <v>0</v>
      </c>
      <c r="AD87" s="145">
        <f>'LCIA_AD-b'!AD90</f>
        <v>0</v>
      </c>
      <c r="AE87" s="145">
        <f>'LCIA_AD-b'!AE90</f>
        <v>0</v>
      </c>
      <c r="AF87" s="145">
        <f>'LCIA_AD-b'!AF90</f>
        <v>0</v>
      </c>
      <c r="AG87" s="145">
        <f>'LCIA_AD-b'!AG90</f>
        <v>-0.12351800454149389</v>
      </c>
      <c r="AH87" s="145">
        <f>'LCIA_AD-b'!AH90</f>
        <v>0</v>
      </c>
      <c r="AI87" s="145">
        <f>'LCIA_AD-b'!AI90</f>
        <v>0</v>
      </c>
      <c r="AJ87" s="145">
        <f>'LCIA_AD-b'!AJ90</f>
        <v>0</v>
      </c>
      <c r="AK87" s="145">
        <f>'LCIA_AD-b'!AK90</f>
        <v>0</v>
      </c>
    </row>
    <row r="88" spans="1:37" x14ac:dyDescent="0.35">
      <c r="A88" s="140"/>
      <c r="B88" s="145" t="s">
        <v>415</v>
      </c>
      <c r="C88" s="145" t="e">
        <f>'LCIA_AD-b'!C91</f>
        <v>#REF!</v>
      </c>
      <c r="D88" s="145" t="e">
        <f>'LCIA_AD-b'!D91</f>
        <v>#REF!</v>
      </c>
      <c r="E88" s="145" t="e">
        <f>'LCIA_AD-b'!E91</f>
        <v>#REF!</v>
      </c>
      <c r="F88" s="145" t="e">
        <f>'LCIA_AD-b'!F91</f>
        <v>#REF!</v>
      </c>
      <c r="G88" s="145">
        <f>'LCIA_AD-b'!G91</f>
        <v>0</v>
      </c>
      <c r="H88" s="145">
        <f>'LCIA_AD-b'!H91</f>
        <v>0</v>
      </c>
      <c r="I88" s="145">
        <f>'LCIA_AD-b'!I91</f>
        <v>0</v>
      </c>
      <c r="J88" s="145">
        <f>'LCIA_AD-b'!J91</f>
        <v>0</v>
      </c>
      <c r="K88" s="145">
        <f>'LCIA_AD-b'!K91</f>
        <v>0</v>
      </c>
      <c r="L88" s="145">
        <f>'LCIA_AD-b'!L91</f>
        <v>0</v>
      </c>
      <c r="M88" s="145">
        <f>'LCIA_AD-b'!M91</f>
        <v>0</v>
      </c>
      <c r="N88" s="145">
        <f>'LCIA_AD-b'!N91</f>
        <v>0</v>
      </c>
      <c r="O88" s="145">
        <f>'LCIA_AD-b'!O91</f>
        <v>0</v>
      </c>
      <c r="P88" s="145">
        <f>'LCIA_AD-b'!P91</f>
        <v>0</v>
      </c>
      <c r="Q88" s="145">
        <f>'LCIA_AD-b'!Q91</f>
        <v>0</v>
      </c>
      <c r="R88" s="145">
        <f>'LCIA_AD-b'!R91</f>
        <v>0</v>
      </c>
      <c r="S88" s="145">
        <f>'LCIA_AD-b'!S91</f>
        <v>0</v>
      </c>
      <c r="T88" s="145">
        <f>'LCIA_AD-b'!T91</f>
        <v>-4.6840808148715611</v>
      </c>
      <c r="U88" s="145">
        <f>'LCIA_AD-b'!U91</f>
        <v>-0.50846929898276816</v>
      </c>
      <c r="V88" s="145">
        <f>'LCIA_AD-b'!V91</f>
        <v>0</v>
      </c>
      <c r="W88" s="145">
        <f>'LCIA_AD-b'!W91</f>
        <v>0</v>
      </c>
      <c r="X88" s="145">
        <f>'LCIA_AD-b'!X91</f>
        <v>0</v>
      </c>
      <c r="Y88" s="145">
        <f>'LCIA_AD-b'!Y91</f>
        <v>0</v>
      </c>
      <c r="Z88" s="145">
        <f>'LCIA_AD-b'!Z91</f>
        <v>0</v>
      </c>
      <c r="AA88" s="145">
        <f>'LCIA_AD-b'!AA91</f>
        <v>0</v>
      </c>
      <c r="AB88" s="145">
        <f>'LCIA_AD-b'!AB91</f>
        <v>0</v>
      </c>
      <c r="AC88" s="145">
        <f>'LCIA_AD-b'!AC91</f>
        <v>0</v>
      </c>
      <c r="AD88" s="145">
        <f>'LCIA_AD-b'!AD91</f>
        <v>0</v>
      </c>
      <c r="AE88" s="145">
        <f>'LCIA_AD-b'!AE91</f>
        <v>0</v>
      </c>
      <c r="AF88" s="145">
        <f>'LCIA_AD-b'!AF91</f>
        <v>0</v>
      </c>
      <c r="AG88" s="145">
        <f>'LCIA_AD-b'!AG91</f>
        <v>-5.1925501138543284</v>
      </c>
      <c r="AH88" s="145">
        <f>'LCIA_AD-b'!AH91</f>
        <v>0</v>
      </c>
      <c r="AI88" s="145">
        <f>'LCIA_AD-b'!AI91</f>
        <v>0</v>
      </c>
      <c r="AJ88" s="145">
        <f>'LCIA_AD-b'!AJ91</f>
        <v>0</v>
      </c>
      <c r="AK88" s="145">
        <f>'LCIA_AD-b'!AK91</f>
        <v>0</v>
      </c>
    </row>
    <row r="89" spans="1:37" x14ac:dyDescent="0.35">
      <c r="A89" s="140" t="s">
        <v>421</v>
      </c>
      <c r="B89" s="145"/>
      <c r="C89" s="140" t="e">
        <f>SUM(C90:C94)</f>
        <v>#REF!</v>
      </c>
      <c r="D89" s="140" t="e">
        <f t="shared" ref="D89:AK89" si="10">SUM(D90:D94)</f>
        <v>#REF!</v>
      </c>
      <c r="E89" s="140" t="e">
        <f t="shared" si="10"/>
        <v>#REF!</v>
      </c>
      <c r="F89" s="140" t="e">
        <f t="shared" si="10"/>
        <v>#REF!</v>
      </c>
      <c r="G89" s="140">
        <f t="shared" si="10"/>
        <v>1.1835308508343139E-16</v>
      </c>
      <c r="H89" s="140">
        <f t="shared" si="10"/>
        <v>0.88529912913261832</v>
      </c>
      <c r="I89" s="140">
        <f t="shared" si="10"/>
        <v>7.0411654651878983</v>
      </c>
      <c r="J89" s="140">
        <f t="shared" si="10"/>
        <v>4.6030557007158883</v>
      </c>
      <c r="K89" s="140">
        <f t="shared" si="10"/>
        <v>0.10062941584360652</v>
      </c>
      <c r="L89" s="140">
        <f t="shared" si="10"/>
        <v>3.8882080107780723E-7</v>
      </c>
      <c r="M89" s="140">
        <f t="shared" si="10"/>
        <v>9.5028224841195381E-6</v>
      </c>
      <c r="N89" s="140">
        <f t="shared" si="10"/>
        <v>1.2036703455647653E-5</v>
      </c>
      <c r="O89" s="140">
        <f t="shared" si="10"/>
        <v>1.3034327966739393E-5</v>
      </c>
      <c r="P89" s="140">
        <f t="shared" si="10"/>
        <v>6.7223848655819023E-9</v>
      </c>
      <c r="Q89" s="140">
        <f t="shared" si="10"/>
        <v>1.321408657057599E-7</v>
      </c>
      <c r="R89" s="140">
        <f t="shared" si="10"/>
        <v>1.3379910278604066</v>
      </c>
      <c r="S89" s="140">
        <f t="shared" si="10"/>
        <v>3.1578693139052394</v>
      </c>
      <c r="T89" s="140">
        <f t="shared" si="10"/>
        <v>12.752079031214176</v>
      </c>
      <c r="U89" s="140">
        <f t="shared" si="10"/>
        <v>1.3842632923498326</v>
      </c>
      <c r="V89" s="140">
        <f t="shared" si="10"/>
        <v>1.8219321054955953E-5</v>
      </c>
      <c r="W89" s="140">
        <f t="shared" si="10"/>
        <v>2.1275144486374764E-5</v>
      </c>
      <c r="X89" s="140">
        <f t="shared" si="10"/>
        <v>0.10562141865463964</v>
      </c>
      <c r="Y89" s="140">
        <f t="shared" si="10"/>
        <v>2.9572095518989308E-8</v>
      </c>
      <c r="Z89" s="140">
        <f t="shared" si="10"/>
        <v>6.8333610536270735E-5</v>
      </c>
      <c r="AA89" s="140">
        <f t="shared" si="10"/>
        <v>3.0496115823056069</v>
      </c>
      <c r="AB89" s="140">
        <f t="shared" si="10"/>
        <v>2.7927519107564112E-7</v>
      </c>
      <c r="AC89" s="140">
        <f t="shared" si="10"/>
        <v>5.977190973281191</v>
      </c>
      <c r="AD89" s="140">
        <f t="shared" si="10"/>
        <v>0.66501426078348636</v>
      </c>
      <c r="AE89" s="140">
        <f t="shared" si="10"/>
        <v>0.77654277375267899</v>
      </c>
      <c r="AF89" s="140">
        <f t="shared" si="10"/>
        <v>7.4656781496358331E-3</v>
      </c>
      <c r="AG89" s="140">
        <f t="shared" si="10"/>
        <v>41.856818845962124</v>
      </c>
      <c r="AH89" s="140">
        <f t="shared" si="10"/>
        <v>1.6791859835650055E-4</v>
      </c>
      <c r="AI89" s="140">
        <f t="shared" si="10"/>
        <v>5.254631471352327E-4</v>
      </c>
      <c r="AJ89" s="140">
        <f t="shared" si="10"/>
        <v>6.4181324960344997E-5</v>
      </c>
      <c r="AK89" s="140">
        <f t="shared" si="10"/>
        <v>1.2454818490159759E-2</v>
      </c>
    </row>
    <row r="90" spans="1:37" x14ac:dyDescent="0.35">
      <c r="A90" s="140"/>
      <c r="B90" s="145" t="s">
        <v>228</v>
      </c>
      <c r="C90" s="145" t="e">
        <f>'LCIA_AD-b'!C93</f>
        <v>#REF!</v>
      </c>
      <c r="D90" s="145" t="e">
        <f>'LCIA_AD-b'!D93</f>
        <v>#REF!</v>
      </c>
      <c r="E90" s="145" t="e">
        <f>'LCIA_AD-b'!E93</f>
        <v>#REF!</v>
      </c>
      <c r="F90" s="145" t="e">
        <f>'LCIA_AD-b'!F93</f>
        <v>#REF!</v>
      </c>
      <c r="G90" s="145">
        <f>'LCIA_AD-b'!G93</f>
        <v>3.9249223978199064E-17</v>
      </c>
      <c r="H90" s="145">
        <f>'LCIA_AD-b'!H93</f>
        <v>8.7287713544722478E-2</v>
      </c>
      <c r="I90" s="145">
        <f>'LCIA_AD-b'!I93</f>
        <v>0.72592559243783938</v>
      </c>
      <c r="J90" s="145">
        <f>'LCIA_AD-b'!J93</f>
        <v>0.24130766041087356</v>
      </c>
      <c r="K90" s="145">
        <f>'LCIA_AD-b'!K93</f>
        <v>3.5494647896879965E-4</v>
      </c>
      <c r="L90" s="145">
        <f>'LCIA_AD-b'!L93</f>
        <v>5.4186170739770473E-8</v>
      </c>
      <c r="M90" s="145">
        <f>'LCIA_AD-b'!M93</f>
        <v>2.5442998789871582E-6</v>
      </c>
      <c r="N90" s="145">
        <f>'LCIA_AD-b'!N93</f>
        <v>1.765021899533639E-6</v>
      </c>
      <c r="O90" s="145">
        <f>'LCIA_AD-b'!O93</f>
        <v>1.7864226714804923E-6</v>
      </c>
      <c r="P90" s="145">
        <f>'LCIA_AD-b'!P93</f>
        <v>7.6300358270113086E-10</v>
      </c>
      <c r="Q90" s="145">
        <f>'LCIA_AD-b'!Q93</f>
        <v>1.378298188452744E-8</v>
      </c>
      <c r="R90" s="145">
        <f>'LCIA_AD-b'!R93</f>
        <v>0.10339515717963435</v>
      </c>
      <c r="S90" s="145">
        <f>'LCIA_AD-b'!S93</f>
        <v>0.18664892059285132</v>
      </c>
      <c r="T90" s="145">
        <f>'LCIA_AD-b'!T93</f>
        <v>1.9577479795059407</v>
      </c>
      <c r="U90" s="145">
        <f>'LCIA_AD-b'!U93</f>
        <v>0.21251826889917752</v>
      </c>
      <c r="V90" s="145">
        <f>'LCIA_AD-b'!V93</f>
        <v>3.7948360996169299E-6</v>
      </c>
      <c r="W90" s="145">
        <f>'LCIA_AD-b'!W93</f>
        <v>5.1643039799012007E-6</v>
      </c>
      <c r="X90" s="145">
        <f>'LCIA_AD-b'!X93</f>
        <v>3.5674036015551081E-2</v>
      </c>
      <c r="Y90" s="145">
        <f>'LCIA_AD-b'!Y93</f>
        <v>5.9266643871532827E-10</v>
      </c>
      <c r="Z90" s="145">
        <f>'LCIA_AD-b'!Z93</f>
        <v>7.0226540233151228E-6</v>
      </c>
      <c r="AA90" s="145">
        <f>'LCIA_AD-b'!AA93</f>
        <v>0.20307568330261858</v>
      </c>
      <c r="AB90" s="145">
        <f>'LCIA_AD-b'!AB93</f>
        <v>1.9529741532173774E-8</v>
      </c>
      <c r="AC90" s="145">
        <f>'LCIA_AD-b'!AC93</f>
        <v>0.80007311894008659</v>
      </c>
      <c r="AD90" s="145">
        <f>'LCIA_AD-b'!AD93</f>
        <v>0.13851212158276324</v>
      </c>
      <c r="AE90" s="145">
        <f>'LCIA_AD-b'!AE93</f>
        <v>0.18849709526639377</v>
      </c>
      <c r="AF90" s="145">
        <f>'LCIA_AD-b'!AF93</f>
        <v>8.5687230186265288E-4</v>
      </c>
      <c r="AG90" s="145">
        <f>'LCIA_AD-b'!AG93</f>
        <v>4.8823886628482462</v>
      </c>
      <c r="AH90" s="145">
        <f>'LCIA_AD-b'!AH93</f>
        <v>3.6090752780338609E-5</v>
      </c>
      <c r="AI90" s="145">
        <f>'LCIA_AD-b'!AI93</f>
        <v>1.873572527528322E-4</v>
      </c>
      <c r="AJ90" s="145">
        <f>'LCIA_AD-b'!AJ93</f>
        <v>2.2884262746427005E-5</v>
      </c>
      <c r="AK90" s="145">
        <f>'LCIA_AD-b'!AK93</f>
        <v>3.1717923312642339E-4</v>
      </c>
    </row>
    <row r="91" spans="1:37" x14ac:dyDescent="0.35">
      <c r="A91" s="140"/>
      <c r="B91" s="145" t="s">
        <v>230</v>
      </c>
      <c r="C91" s="145" t="e">
        <f>'LCIA_AD-b'!C94</f>
        <v>#REF!</v>
      </c>
      <c r="D91" s="145" t="e">
        <f>'LCIA_AD-b'!D94</f>
        <v>#REF!</v>
      </c>
      <c r="E91" s="145" t="e">
        <f>'LCIA_AD-b'!E94</f>
        <v>#REF!</v>
      </c>
      <c r="F91" s="145" t="e">
        <f>'LCIA_AD-b'!F94</f>
        <v>#REF!</v>
      </c>
      <c r="G91" s="145">
        <f>'LCIA_AD-b'!G94</f>
        <v>7.3123980626410943E-17</v>
      </c>
      <c r="H91" s="145">
        <f>'LCIA_AD-b'!H94</f>
        <v>0.44823309736114125</v>
      </c>
      <c r="I91" s="145">
        <f>'LCIA_AD-b'!I94</f>
        <v>2.347279525573732</v>
      </c>
      <c r="J91" s="145">
        <f>'LCIA_AD-b'!J94</f>
        <v>0.21528368659229899</v>
      </c>
      <c r="K91" s="145">
        <f>'LCIA_AD-b'!K94</f>
        <v>9.9654627709092156E-2</v>
      </c>
      <c r="L91" s="145">
        <f>'LCIA_AD-b'!L94</f>
        <v>1.2487090588294379E-7</v>
      </c>
      <c r="M91" s="145">
        <f>'LCIA_AD-b'!M94</f>
        <v>4.6776960795765779E-6</v>
      </c>
      <c r="N91" s="145">
        <f>'LCIA_AD-b'!N94</f>
        <v>4.010056281378213E-6</v>
      </c>
      <c r="O91" s="145">
        <f>'LCIA_AD-b'!O94</f>
        <v>7.0074232550538647E-6</v>
      </c>
      <c r="P91" s="145">
        <f>'LCIA_AD-b'!P94</f>
        <v>4.647364753178146E-9</v>
      </c>
      <c r="Q91" s="145">
        <f>'LCIA_AD-b'!Q94</f>
        <v>9.4555771814582354E-8</v>
      </c>
      <c r="R91" s="145">
        <f>'LCIA_AD-b'!R94</f>
        <v>0.68319110391043536</v>
      </c>
      <c r="S91" s="145">
        <f>'LCIA_AD-b'!S94</f>
        <v>0.79108572912494513</v>
      </c>
      <c r="T91" s="145">
        <f>'LCIA_AD-b'!T94</f>
        <v>1.7311842555061387</v>
      </c>
      <c r="U91" s="145">
        <f>'LCIA_AD-b'!U94</f>
        <v>0.18792389567089296</v>
      </c>
      <c r="V91" s="145">
        <f>'LCIA_AD-b'!V94</f>
        <v>7.2378894888969916E-6</v>
      </c>
      <c r="W91" s="145">
        <f>'LCIA_AD-b'!W94</f>
        <v>9.6042670598147937E-6</v>
      </c>
      <c r="X91" s="145">
        <f>'LCIA_AD-b'!X94</f>
        <v>1.4409461353569341E-2</v>
      </c>
      <c r="Y91" s="145">
        <f>'LCIA_AD-b'!Y94</f>
        <v>3.8240695044543504E-10</v>
      </c>
      <c r="Z91" s="145">
        <f>'LCIA_AD-b'!Z94</f>
        <v>3.609107449754222E-5</v>
      </c>
      <c r="AA91" s="145">
        <f>'LCIA_AD-b'!AA94</f>
        <v>0.2759231696078262</v>
      </c>
      <c r="AB91" s="145">
        <f>'LCIA_AD-b'!AB94</f>
        <v>2.760851131788039E-8</v>
      </c>
      <c r="AC91" s="145">
        <f>'LCIA_AD-b'!AC94</f>
        <v>2.7332398205521895</v>
      </c>
      <c r="AD91" s="145">
        <f>'LCIA_AD-b'!AD94</f>
        <v>0.26418664521688578</v>
      </c>
      <c r="AE91" s="145">
        <f>'LCIA_AD-b'!AE94</f>
        <v>0.35055574768324005</v>
      </c>
      <c r="AF91" s="145">
        <f>'LCIA_AD-b'!AF94</f>
        <v>3.8648651017407915E-3</v>
      </c>
      <c r="AG91" s="145">
        <f>'LCIA_AD-b'!AG94</f>
        <v>10.149701616346078</v>
      </c>
      <c r="AH91" s="145">
        <f>'LCIA_AD-b'!AH94</f>
        <v>8.0953245490084989E-5</v>
      </c>
      <c r="AI91" s="145">
        <f>'LCIA_AD-b'!AI94</f>
        <v>2.3676937744412029E-4</v>
      </c>
      <c r="AJ91" s="145">
        <f>'LCIA_AD-b'!AJ94</f>
        <v>2.8919577780568251E-5</v>
      </c>
      <c r="AK91" s="145">
        <f>'LCIA_AD-b'!AK94</f>
        <v>3.4323692005919135E-3</v>
      </c>
    </row>
    <row r="92" spans="1:37" x14ac:dyDescent="0.35">
      <c r="A92" s="140"/>
      <c r="B92" s="145" t="s">
        <v>229</v>
      </c>
      <c r="C92" s="145" t="e">
        <f>'LCIA_AD-b'!C95</f>
        <v>#REF!</v>
      </c>
      <c r="D92" s="145" t="e">
        <f>'LCIA_AD-b'!D95</f>
        <v>#REF!</v>
      </c>
      <c r="E92" s="145" t="e">
        <f>'LCIA_AD-b'!E95</f>
        <v>#REF!</v>
      </c>
      <c r="F92" s="145" t="e">
        <f>'LCIA_AD-b'!F95</f>
        <v>#REF!</v>
      </c>
      <c r="G92" s="145">
        <f>'LCIA_AD-b'!G95</f>
        <v>5.8984225801603065E-18</v>
      </c>
      <c r="H92" s="145">
        <f>'LCIA_AD-b'!H95</f>
        <v>1.3919100901769588E-2</v>
      </c>
      <c r="I92" s="145">
        <f>'LCIA_AD-b'!I95</f>
        <v>0.37633611729107169</v>
      </c>
      <c r="J92" s="145">
        <f>'LCIA_AD-b'!J95</f>
        <v>3.9145356876161046E-2</v>
      </c>
      <c r="K92" s="145">
        <f>'LCIA_AD-b'!K95</f>
        <v>7.0842026466889346E-5</v>
      </c>
      <c r="L92" s="145">
        <f>'LCIA_AD-b'!L95</f>
        <v>1.0451454523115719E-8</v>
      </c>
      <c r="M92" s="145">
        <f>'LCIA_AD-b'!M95</f>
        <v>5.2019241486940565E-7</v>
      </c>
      <c r="N92" s="145">
        <f>'LCIA_AD-b'!N95</f>
        <v>3.4728979390241437E-7</v>
      </c>
      <c r="O92" s="145">
        <f>'LCIA_AD-b'!O95</f>
        <v>3.2299621515802173E-7</v>
      </c>
      <c r="P92" s="145">
        <f>'LCIA_AD-b'!P95</f>
        <v>1.2934795009155544E-10</v>
      </c>
      <c r="Q92" s="145">
        <f>'LCIA_AD-b'!Q95</f>
        <v>2.2469974805631203E-9</v>
      </c>
      <c r="R92" s="145">
        <f>'LCIA_AD-b'!R95</f>
        <v>6.7325513010943971E-2</v>
      </c>
      <c r="S92" s="145">
        <f>'LCIA_AD-b'!S95</f>
        <v>0.12419396493422681</v>
      </c>
      <c r="T92" s="145">
        <f>'LCIA_AD-b'!T95</f>
        <v>0.25991560017352355</v>
      </c>
      <c r="U92" s="145">
        <f>'LCIA_AD-b'!U95</f>
        <v>2.8214357630633503E-2</v>
      </c>
      <c r="V92" s="145">
        <f>'LCIA_AD-b'!V95</f>
        <v>6.4348682745705372E-7</v>
      </c>
      <c r="W92" s="145">
        <f>'LCIA_AD-b'!W95</f>
        <v>8.0550034014492408E-7</v>
      </c>
      <c r="X92" s="145">
        <f>'LCIA_AD-b'!X95</f>
        <v>2.2776064517151364E-3</v>
      </c>
      <c r="Y92" s="145">
        <f>'LCIA_AD-b'!Y95</f>
        <v>7.6771583843573354E-11</v>
      </c>
      <c r="Z92" s="145">
        <f>'LCIA_AD-b'!Z95</f>
        <v>1.2785913045947378E-6</v>
      </c>
      <c r="AA92" s="145">
        <f>'LCIA_AD-b'!AA95</f>
        <v>6.1578266831267714E-2</v>
      </c>
      <c r="AB92" s="145">
        <f>'LCIA_AD-b'!AB95</f>
        <v>6.1240972441714326E-9</v>
      </c>
      <c r="AC92" s="145">
        <f>'LCIA_AD-b'!AC95</f>
        <v>9.594575730073783E-2</v>
      </c>
      <c r="AD92" s="145">
        <f>'LCIA_AD-b'!AD95</f>
        <v>2.3487396568850575E-2</v>
      </c>
      <c r="AE92" s="145">
        <f>'LCIA_AD-b'!AE95</f>
        <v>2.940076241528972E-2</v>
      </c>
      <c r="AF92" s="145">
        <f>'LCIA_AD-b'!AF95</f>
        <v>1.446571550515878E-4</v>
      </c>
      <c r="AG92" s="145">
        <f>'LCIA_AD-b'!AG95</f>
        <v>1.1220079045078466</v>
      </c>
      <c r="AH92" s="145">
        <f>'LCIA_AD-b'!AH95</f>
        <v>3.3628575678862425E-6</v>
      </c>
      <c r="AI92" s="145">
        <f>'LCIA_AD-b'!AI95</f>
        <v>7.1628573362001402E-6</v>
      </c>
      <c r="AJ92" s="145">
        <f>'LCIA_AD-b'!AJ95</f>
        <v>8.7488851852996961E-7</v>
      </c>
      <c r="AK92" s="145">
        <f>'LCIA_AD-b'!AK95</f>
        <v>4.3992966285190678E-5</v>
      </c>
    </row>
    <row r="93" spans="1:37" x14ac:dyDescent="0.35">
      <c r="A93" s="140"/>
      <c r="B93" s="145" t="s">
        <v>231</v>
      </c>
      <c r="C93" s="145" t="e">
        <f>'LCIA_AD-b'!C96</f>
        <v>#REF!</v>
      </c>
      <c r="D93" s="145" t="e">
        <f>'LCIA_AD-b'!D96</f>
        <v>#REF!</v>
      </c>
      <c r="E93" s="145" t="e">
        <f>'LCIA_AD-b'!E96</f>
        <v>#REF!</v>
      </c>
      <c r="F93" s="145" t="e">
        <f>'LCIA_AD-b'!F96</f>
        <v>#REF!</v>
      </c>
      <c r="G93" s="145">
        <f>'LCIA_AD-b'!G96</f>
        <v>8.1457898661065599E-20</v>
      </c>
      <c r="H93" s="145">
        <f>'LCIA_AD-b'!H96</f>
        <v>2.7947844706626931E-3</v>
      </c>
      <c r="I93" s="145">
        <f>'LCIA_AD-b'!I96</f>
        <v>3.1795124007554534E-2</v>
      </c>
      <c r="J93" s="145">
        <f>'LCIA_AD-b'!J96</f>
        <v>1.3114396793330867E-2</v>
      </c>
      <c r="K93" s="145">
        <f>'LCIA_AD-b'!K96</f>
        <v>1.5145212181321595E-5</v>
      </c>
      <c r="L93" s="145">
        <f>'LCIA_AD-b'!L96</f>
        <v>1.8046194257053377E-9</v>
      </c>
      <c r="M93" s="145">
        <f>'LCIA_AD-b'!M96</f>
        <v>1.3522774057433816E-7</v>
      </c>
      <c r="N93" s="145">
        <f>'LCIA_AD-b'!N96</f>
        <v>5.7351689946929055E-8</v>
      </c>
      <c r="O93" s="145">
        <f>'LCIA_AD-b'!O96</f>
        <v>4.7974301802652057E-8</v>
      </c>
      <c r="P93" s="145">
        <f>'LCIA_AD-b'!P96</f>
        <v>4.2803691151550628E-10</v>
      </c>
      <c r="Q93" s="145">
        <f>'LCIA_AD-b'!Q96</f>
        <v>5.3904782259855225E-9</v>
      </c>
      <c r="R93" s="145">
        <f>'LCIA_AD-b'!R96</f>
        <v>3.1847998338193517E-2</v>
      </c>
      <c r="S93" s="145">
        <f>'LCIA_AD-b'!S96</f>
        <v>0.16515385389127402</v>
      </c>
      <c r="T93" s="145">
        <f>'LCIA_AD-b'!T96</f>
        <v>4.6031038700293028E-2</v>
      </c>
      <c r="U93" s="145">
        <f>'LCIA_AD-b'!U96</f>
        <v>4.9967511374200708E-3</v>
      </c>
      <c r="V93" s="145">
        <f>'LCIA_AD-b'!V96</f>
        <v>1.1553717950483539E-7</v>
      </c>
      <c r="W93" s="145">
        <f>'LCIA_AD-b'!W96</f>
        <v>7.7120440715916072E-8</v>
      </c>
      <c r="X93" s="145">
        <f>'LCIA_AD-b'!X96</f>
        <v>6.120645519963275E-4</v>
      </c>
      <c r="Y93" s="145">
        <f>'LCIA_AD-b'!Y96</f>
        <v>8.2175059096729643E-12</v>
      </c>
      <c r="Z93" s="145">
        <f>'LCIA_AD-b'!Z96</f>
        <v>2.9239959527641391E-7</v>
      </c>
      <c r="AA93" s="145">
        <f>'LCIA_AD-b'!AA96</f>
        <v>1.8192996779070089E-2</v>
      </c>
      <c r="AB93" s="145">
        <f>'LCIA_AD-b'!AB96</f>
        <v>1.8421443597325574E-9</v>
      </c>
      <c r="AC93" s="145">
        <f>'LCIA_AD-b'!AC96</f>
        <v>2.0293107260668877E-2</v>
      </c>
      <c r="AD93" s="145">
        <f>'LCIA_AD-b'!AD96</f>
        <v>4.2171638593456887E-3</v>
      </c>
      <c r="AE93" s="145">
        <f>'LCIA_AD-b'!AE96</f>
        <v>2.8148960861309365E-3</v>
      </c>
      <c r="AF93" s="145">
        <f>'LCIA_AD-b'!AF96</f>
        <v>3.3085214818995317E-4</v>
      </c>
      <c r="AG93" s="145">
        <f>'LCIA_AD-b'!AG96</f>
        <v>0.34841973792362657</v>
      </c>
      <c r="AH93" s="145">
        <f>'LCIA_AD-b'!AH96</f>
        <v>1.8616461327012037E-6</v>
      </c>
      <c r="AI93" s="145">
        <f>'LCIA_AD-b'!AI96</f>
        <v>1.0804171583360054E-5</v>
      </c>
      <c r="AJ93" s="145">
        <f>'LCIA_AD-b'!AJ96</f>
        <v>1.3196473455835372E-6</v>
      </c>
      <c r="AK93" s="145">
        <f>'LCIA_AD-b'!AK96</f>
        <v>6.1985674300741433E-3</v>
      </c>
    </row>
    <row r="94" spans="1:37" x14ac:dyDescent="0.35">
      <c r="A94" s="140"/>
      <c r="B94" s="145" t="s">
        <v>475</v>
      </c>
      <c r="C94" s="145" t="e">
        <f>'LCIA_AD-c'!C76</f>
        <v>#REF!</v>
      </c>
      <c r="D94" s="145" t="e">
        <f>'LCIA_AD-c'!D76</f>
        <v>#REF!</v>
      </c>
      <c r="E94" s="145" t="e">
        <f>'LCIA_AD-c'!E76</f>
        <v>#REF!</v>
      </c>
      <c r="F94" s="145" t="e">
        <f>'LCIA_AD-c'!F76</f>
        <v>#REF!</v>
      </c>
      <c r="G94" s="145">
        <f>'LCIA_AD-c'!G76</f>
        <v>0</v>
      </c>
      <c r="H94" s="145">
        <f>'LCIA_AD-c'!H76</f>
        <v>0.33306443285432219</v>
      </c>
      <c r="I94" s="145">
        <f>'LCIA_AD-c'!I76</f>
        <v>3.5598291058777001</v>
      </c>
      <c r="J94" s="145">
        <f>'LCIA_AD-c'!J76</f>
        <v>4.0942046000432235</v>
      </c>
      <c r="K94" s="145">
        <f>'LCIA_AD-c'!K76</f>
        <v>5.3385441689734559E-4</v>
      </c>
      <c r="L94" s="145">
        <f>'LCIA_AD-c'!L76</f>
        <v>1.9750765050627191E-7</v>
      </c>
      <c r="M94" s="145">
        <f>'LCIA_AD-c'!M76</f>
        <v>1.6254063701120575E-6</v>
      </c>
      <c r="N94" s="145">
        <f>'LCIA_AD-c'!N76</f>
        <v>5.8569837908864588E-6</v>
      </c>
      <c r="O94" s="145">
        <f>'LCIA_AD-c'!O76</f>
        <v>3.8695115232443626E-6</v>
      </c>
      <c r="P94" s="145">
        <f>'LCIA_AD-c'!P76</f>
        <v>7.5463166809556347E-10</v>
      </c>
      <c r="Q94" s="145">
        <f>'LCIA_AD-c'!Q76</f>
        <v>1.6164636300101453E-8</v>
      </c>
      <c r="R94" s="145">
        <f>'LCIA_AD-c'!R76</f>
        <v>0.45223125542119935</v>
      </c>
      <c r="S94" s="145">
        <f>'LCIA_AD-c'!S76</f>
        <v>1.8907868453619421</v>
      </c>
      <c r="T94" s="145">
        <f>'LCIA_AD-c'!T76</f>
        <v>8.7572001573282794</v>
      </c>
      <c r="U94" s="145">
        <f>'LCIA_AD-c'!U76</f>
        <v>0.95061001901170838</v>
      </c>
      <c r="V94" s="145">
        <f>'LCIA_AD-c'!V76</f>
        <v>6.4275714594801406E-6</v>
      </c>
      <c r="W94" s="145">
        <f>'LCIA_AD-c'!W76</f>
        <v>5.62395266579793E-6</v>
      </c>
      <c r="X94" s="145">
        <f>'LCIA_AD-c'!X76</f>
        <v>5.2648250281807758E-2</v>
      </c>
      <c r="Y94" s="145">
        <f>'LCIA_AD-c'!Y76</f>
        <v>2.8512033040075297E-8</v>
      </c>
      <c r="Z94" s="145">
        <f>'LCIA_AD-c'!Z76</f>
        <v>2.3648891115542248E-5</v>
      </c>
      <c r="AA94" s="145">
        <f>'LCIA_AD-c'!AA76</f>
        <v>2.4908414657848246</v>
      </c>
      <c r="AB94" s="145">
        <f>'LCIA_AD-c'!AB76</f>
        <v>2.2417069662168297E-7</v>
      </c>
      <c r="AC94" s="145">
        <f>'LCIA_AD-c'!AC76</f>
        <v>2.3276391692275085</v>
      </c>
      <c r="AD94" s="145">
        <f>'LCIA_AD-c'!AD76</f>
        <v>0.23461093355564111</v>
      </c>
      <c r="AE94" s="145">
        <f>'LCIA_AD-c'!AE76</f>
        <v>0.20527427230162446</v>
      </c>
      <c r="AF94" s="145">
        <f>'LCIA_AD-c'!AF76</f>
        <v>2.2684314427908474E-3</v>
      </c>
      <c r="AG94" s="145">
        <f>'LCIA_AD-c'!AG76</f>
        <v>25.354300924336329</v>
      </c>
      <c r="AH94" s="145">
        <f>'LCIA_AD-c'!AH76</f>
        <v>4.56500963854895E-5</v>
      </c>
      <c r="AI94" s="145">
        <f>'LCIA_AD-c'!AI76</f>
        <v>8.3369488018719993E-5</v>
      </c>
      <c r="AJ94" s="145">
        <f>'LCIA_AD-c'!AJ76</f>
        <v>1.0182948569236237E-5</v>
      </c>
      <c r="AK94" s="145">
        <f>'LCIA_AD-c'!AK76</f>
        <v>2.4627096600820888E-3</v>
      </c>
    </row>
    <row r="95" spans="1:37" x14ac:dyDescent="0.35">
      <c r="A95" s="140" t="s">
        <v>488</v>
      </c>
      <c r="B95" s="145"/>
      <c r="C95" s="145">
        <f>'LCIA_AD-c'!C77</f>
        <v>0</v>
      </c>
      <c r="D95" s="145">
        <f>'LCIA_AD-c'!D77</f>
        <v>0</v>
      </c>
      <c r="E95" s="145">
        <f>'LCIA_AD-c'!E77</f>
        <v>0</v>
      </c>
      <c r="F95" s="145">
        <f>'LCIA_AD-c'!F77</f>
        <v>0</v>
      </c>
      <c r="G95" s="145">
        <f>'LCIA_AD-c'!G77</f>
        <v>0</v>
      </c>
      <c r="H95" s="145">
        <f>'LCIA_AD-c'!H77</f>
        <v>0</v>
      </c>
      <c r="I95" s="145">
        <f>'LCIA_AD-c'!I77</f>
        <v>0</v>
      </c>
      <c r="J95" s="145">
        <f>'LCIA_AD-c'!J77</f>
        <v>0</v>
      </c>
      <c r="K95" s="145">
        <f>'LCIA_AD-c'!K77</f>
        <v>0</v>
      </c>
      <c r="L95" s="145">
        <f>'LCIA_AD-c'!L77</f>
        <v>0</v>
      </c>
      <c r="M95" s="145">
        <f>'LCIA_AD-c'!M77</f>
        <v>0</v>
      </c>
      <c r="N95" s="145">
        <f>'LCIA_AD-c'!N77</f>
        <v>0</v>
      </c>
      <c r="O95" s="145">
        <f>'LCIA_AD-c'!O77</f>
        <v>0</v>
      </c>
      <c r="P95" s="145">
        <f>'LCIA_AD-c'!P77</f>
        <v>0</v>
      </c>
      <c r="Q95" s="145">
        <f>'LCIA_AD-c'!Q77</f>
        <v>0</v>
      </c>
      <c r="R95" s="145">
        <f>'LCIA_AD-c'!R77</f>
        <v>0</v>
      </c>
      <c r="S95" s="145">
        <f>'LCIA_AD-c'!S77</f>
        <v>0</v>
      </c>
      <c r="T95" s="145">
        <f>'LCIA_AD-c'!T77</f>
        <v>0</v>
      </c>
      <c r="U95" s="145">
        <f>'LCIA_AD-c'!U77</f>
        <v>0</v>
      </c>
      <c r="V95" s="145">
        <f>'LCIA_AD-c'!V77</f>
        <v>0</v>
      </c>
      <c r="W95" s="145">
        <f>'LCIA_AD-c'!W77</f>
        <v>0</v>
      </c>
      <c r="X95" s="145">
        <f>'LCIA_AD-c'!X77</f>
        <v>0</v>
      </c>
      <c r="Y95" s="145">
        <f>'LCIA_AD-c'!Y77</f>
        <v>0</v>
      </c>
      <c r="Z95" s="145">
        <f>'LCIA_AD-c'!Z77</f>
        <v>0</v>
      </c>
      <c r="AA95" s="145">
        <f>'LCIA_AD-c'!AA77</f>
        <v>0</v>
      </c>
      <c r="AB95" s="145">
        <f>'LCIA_AD-c'!AB77</f>
        <v>0</v>
      </c>
      <c r="AC95" s="145">
        <f>'LCIA_AD-c'!AC77</f>
        <v>0</v>
      </c>
      <c r="AD95" s="145">
        <f>'LCIA_AD-c'!AD77</f>
        <v>0</v>
      </c>
      <c r="AE95" s="145">
        <f>'LCIA_AD-c'!AE77</f>
        <v>0</v>
      </c>
      <c r="AF95" s="145">
        <f>'LCIA_AD-c'!AF77</f>
        <v>0</v>
      </c>
      <c r="AG95" s="145">
        <f>'LCIA_AD-c'!AG77</f>
        <v>0</v>
      </c>
      <c r="AH95" s="145">
        <f>'LCIA_AD-c'!AH77</f>
        <v>0</v>
      </c>
      <c r="AI95" s="145">
        <f>'LCIA_AD-c'!AI77</f>
        <v>0</v>
      </c>
      <c r="AJ95" s="145">
        <f>'LCIA_AD-c'!AJ77</f>
        <v>0</v>
      </c>
      <c r="AK95" s="145">
        <f>'LCIA_AD-c'!AK77</f>
        <v>0</v>
      </c>
    </row>
    <row r="96" spans="1:37" x14ac:dyDescent="0.35">
      <c r="A96" s="140"/>
      <c r="B96" s="145" t="s">
        <v>415</v>
      </c>
      <c r="C96" s="140" t="e">
        <f>'LCIA_AD-c'!C78</f>
        <v>#REF!</v>
      </c>
      <c r="D96" s="140" t="e">
        <f>'LCIA_AD-c'!D78</f>
        <v>#REF!</v>
      </c>
      <c r="E96" s="140" t="e">
        <f>'LCIA_AD-c'!E78</f>
        <v>#REF!</v>
      </c>
      <c r="F96" s="140" t="e">
        <f>'LCIA_AD-c'!F78</f>
        <v>#REF!</v>
      </c>
      <c r="G96" s="140">
        <f>'LCIA_AD-c'!G78</f>
        <v>0</v>
      </c>
      <c r="H96" s="140">
        <f>'LCIA_AD-c'!H78</f>
        <v>0</v>
      </c>
      <c r="I96" s="140">
        <f>'LCIA_AD-c'!I78</f>
        <v>0</v>
      </c>
      <c r="J96" s="140">
        <f>'LCIA_AD-c'!J78</f>
        <v>0</v>
      </c>
      <c r="K96" s="140">
        <f>'LCIA_AD-c'!K78</f>
        <v>0</v>
      </c>
      <c r="L96" s="140">
        <f>'LCIA_AD-c'!L78</f>
        <v>0</v>
      </c>
      <c r="M96" s="140">
        <f>'LCIA_AD-c'!M78</f>
        <v>0</v>
      </c>
      <c r="N96" s="140">
        <f>'LCIA_AD-c'!N78</f>
        <v>0</v>
      </c>
      <c r="O96" s="140">
        <f>'LCIA_AD-c'!O78</f>
        <v>0</v>
      </c>
      <c r="P96" s="140">
        <f>'LCIA_AD-c'!P78</f>
        <v>0</v>
      </c>
      <c r="Q96" s="140">
        <f>'LCIA_AD-c'!Q78</f>
        <v>0</v>
      </c>
      <c r="R96" s="140">
        <f>'LCIA_AD-c'!R78</f>
        <v>0</v>
      </c>
      <c r="S96" s="140">
        <f>'LCIA_AD-c'!S78</f>
        <v>0</v>
      </c>
      <c r="T96" s="140">
        <f>'LCIA_AD-c'!T78</f>
        <v>-39.649864501255998</v>
      </c>
      <c r="U96" s="140">
        <f>'LCIA_AD-c'!U78</f>
        <v>-4.3040971333600266</v>
      </c>
      <c r="V96" s="140">
        <f>'LCIA_AD-c'!V78</f>
        <v>0</v>
      </c>
      <c r="W96" s="140">
        <f>'LCIA_AD-c'!W78</f>
        <v>0</v>
      </c>
      <c r="X96" s="140">
        <f>'LCIA_AD-c'!X78</f>
        <v>0</v>
      </c>
      <c r="Y96" s="140">
        <f>'LCIA_AD-c'!Y78</f>
        <v>0</v>
      </c>
      <c r="Z96" s="140">
        <f>'LCIA_AD-c'!Z78</f>
        <v>0</v>
      </c>
      <c r="AA96" s="140">
        <f>'LCIA_AD-c'!AA78</f>
        <v>0</v>
      </c>
      <c r="AB96" s="140">
        <f>'LCIA_AD-c'!AB78</f>
        <v>0</v>
      </c>
      <c r="AC96" s="140">
        <f>'LCIA_AD-c'!AC78</f>
        <v>0</v>
      </c>
      <c r="AD96" s="140">
        <f>'LCIA_AD-c'!AD78</f>
        <v>0</v>
      </c>
      <c r="AE96" s="140">
        <f>'LCIA_AD-c'!AE78</f>
        <v>0</v>
      </c>
      <c r="AF96" s="140">
        <f>'LCIA_AD-c'!AF78</f>
        <v>0</v>
      </c>
      <c r="AG96" s="140">
        <f>'LCIA_AD-c'!AG78</f>
        <v>-43.953961634616022</v>
      </c>
      <c r="AH96" s="140">
        <f>'LCIA_AD-c'!AH78</f>
        <v>0</v>
      </c>
      <c r="AI96" s="140">
        <f>'LCIA_AD-c'!AI78</f>
        <v>0</v>
      </c>
      <c r="AJ96" s="140">
        <f>'LCIA_AD-c'!AJ78</f>
        <v>0</v>
      </c>
      <c r="AK96" s="140">
        <f>'LCIA_AD-c'!AK78</f>
        <v>0</v>
      </c>
    </row>
    <row r="98" spans="1:37" x14ac:dyDescent="0.35">
      <c r="A98" t="s">
        <v>500</v>
      </c>
      <c r="C98" s="40" t="e">
        <f>C54+C83-C89+C96</f>
        <v>#REF!</v>
      </c>
      <c r="D98" s="40" t="e">
        <f t="shared" ref="D98:AK98" si="11">D54+D83-D89+D96</f>
        <v>#REF!</v>
      </c>
      <c r="E98" s="40" t="e">
        <f t="shared" si="11"/>
        <v>#REF!</v>
      </c>
      <c r="F98" s="40" t="e">
        <f t="shared" si="11"/>
        <v>#REF!</v>
      </c>
      <c r="G98" s="40">
        <f t="shared" si="11"/>
        <v>-5.3537397249556277E-17</v>
      </c>
      <c r="H98" s="40">
        <f t="shared" si="11"/>
        <v>-4.6933488921146793E-2</v>
      </c>
      <c r="I98" s="40">
        <f t="shared" si="11"/>
        <v>22.294480970744296</v>
      </c>
      <c r="J98" s="40">
        <f t="shared" si="11"/>
        <v>-3.6960928277526217</v>
      </c>
      <c r="K98" s="40">
        <f t="shared" si="11"/>
        <v>-0.21283288172255477</v>
      </c>
      <c r="L98" s="40">
        <f t="shared" si="11"/>
        <v>-5.6710185746973017E-8</v>
      </c>
      <c r="M98" s="40">
        <f t="shared" si="11"/>
        <v>1.9485627989646911E-5</v>
      </c>
      <c r="N98" s="40">
        <f t="shared" si="11"/>
        <v>-2.8265970359023041E-6</v>
      </c>
      <c r="O98" s="40">
        <f t="shared" si="11"/>
        <v>1.749616491079496E-5</v>
      </c>
      <c r="P98" s="40">
        <f t="shared" si="11"/>
        <v>4.2295327113237165E-8</v>
      </c>
      <c r="Q98" s="40">
        <f t="shared" si="11"/>
        <v>1.3509313844339333E-6</v>
      </c>
      <c r="R98" s="40">
        <f t="shared" si="11"/>
        <v>0.40984690207135066</v>
      </c>
      <c r="S98" s="40">
        <f t="shared" si="11"/>
        <v>-2.2446320572150142</v>
      </c>
      <c r="T98" s="40">
        <f t="shared" si="11"/>
        <v>-51.706961453487523</v>
      </c>
      <c r="U98" s="40">
        <f t="shared" si="11"/>
        <v>-5.6129204759449696</v>
      </c>
      <c r="V98" s="40">
        <f t="shared" si="11"/>
        <v>9.8355043907063325E-6</v>
      </c>
      <c r="W98" s="40">
        <f t="shared" si="11"/>
        <v>-5.2467305907512406E-6</v>
      </c>
      <c r="X98" s="40">
        <f t="shared" si="11"/>
        <v>5.4464492838487741</v>
      </c>
      <c r="Y98" s="40">
        <f t="shared" si="11"/>
        <v>-2.3862238111741922E-8</v>
      </c>
      <c r="Z98" s="40">
        <f t="shared" si="11"/>
        <v>5.2989951976265128E-5</v>
      </c>
      <c r="AA98" s="40">
        <f t="shared" si="11"/>
        <v>-1.5799133493993958</v>
      </c>
      <c r="AB98" s="40">
        <f t="shared" si="11"/>
        <v>-1.3308762659006952E-7</v>
      </c>
      <c r="AC98" s="40">
        <f t="shared" si="11"/>
        <v>2.9118292713191494</v>
      </c>
      <c r="AD98" s="40">
        <f t="shared" si="11"/>
        <v>0.35933435112598344</v>
      </c>
      <c r="AE98" s="40">
        <f t="shared" si="11"/>
        <v>-0.19150566656242052</v>
      </c>
      <c r="AF98" s="40">
        <f t="shared" si="11"/>
        <v>1.7115451797767633E-2</v>
      </c>
      <c r="AG98" s="40">
        <f t="shared" si="11"/>
        <v>-33.86380026059642</v>
      </c>
      <c r="AH98" s="40">
        <f t="shared" si="11"/>
        <v>5.8445078427050051E-5</v>
      </c>
      <c r="AI98" s="40">
        <f t="shared" si="11"/>
        <v>-2.4428325499883626E-4</v>
      </c>
      <c r="AJ98" s="40">
        <f t="shared" si="11"/>
        <v>-2.983734074773977E-5</v>
      </c>
      <c r="AK98" s="40">
        <f t="shared" si="11"/>
        <v>-1.0824638312241026E-2</v>
      </c>
    </row>
  </sheetData>
  <mergeCells count="1">
    <mergeCell ref="A3:G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2E205-5E4B-4CAA-9E5E-0BF8ED2608D2}">
  <dimension ref="A3:AL83"/>
  <sheetViews>
    <sheetView topLeftCell="W41" zoomScale="68" workbookViewId="0">
      <selection activeCell="AG83" sqref="AG83"/>
    </sheetView>
  </sheetViews>
  <sheetFormatPr baseColWidth="10" defaultRowHeight="14.5" x14ac:dyDescent="0.35"/>
  <cols>
    <col min="1" max="1" width="26.54296875" bestFit="1" customWidth="1"/>
    <col min="2" max="2" width="31.7265625" bestFit="1" customWidth="1"/>
    <col min="3" max="4" width="11" bestFit="1" customWidth="1"/>
    <col min="5" max="6" width="11.81640625" bestFit="1" customWidth="1"/>
    <col min="7" max="13" width="11" bestFit="1" customWidth="1"/>
  </cols>
  <sheetData>
    <row r="3" spans="1:7" x14ac:dyDescent="0.35">
      <c r="A3" s="154" t="s">
        <v>420</v>
      </c>
      <c r="B3" s="155"/>
      <c r="C3" s="155"/>
      <c r="D3" s="155"/>
      <c r="E3" s="155"/>
      <c r="F3" s="155"/>
      <c r="G3" s="156"/>
    </row>
    <row r="4" spans="1:7" ht="43.5" x14ac:dyDescent="0.35">
      <c r="A4" s="108" t="s">
        <v>0</v>
      </c>
      <c r="B4" s="108"/>
      <c r="C4" s="108" t="s">
        <v>403</v>
      </c>
      <c r="D4" s="108" t="s">
        <v>404</v>
      </c>
      <c r="E4" s="108" t="s">
        <v>405</v>
      </c>
      <c r="F4" s="108" t="s">
        <v>406</v>
      </c>
      <c r="G4" s="108" t="s">
        <v>407</v>
      </c>
    </row>
    <row r="5" spans="1:7" x14ac:dyDescent="0.35">
      <c r="A5" s="114" t="s">
        <v>6</v>
      </c>
      <c r="B5" s="113"/>
      <c r="C5" s="111">
        <f>SUM(C6,C9,C12,C16,C27)</f>
        <v>100.41025697281384</v>
      </c>
      <c r="D5" s="111">
        <f t="shared" ref="D5:G5" si="0">SUM(D6,D9,D12,D16,D27)</f>
        <v>11.932948643856003</v>
      </c>
      <c r="E5" s="111">
        <f t="shared" si="0"/>
        <v>611.07094088614645</v>
      </c>
      <c r="F5" s="111">
        <f t="shared" si="0"/>
        <v>1.3888158027973831E-4</v>
      </c>
      <c r="G5" s="111">
        <f t="shared" si="0"/>
        <v>15.660566434379575</v>
      </c>
    </row>
    <row r="6" spans="1:7" x14ac:dyDescent="0.35">
      <c r="A6" s="114" t="s">
        <v>5</v>
      </c>
      <c r="B6" s="113"/>
      <c r="C6" s="114">
        <f>SUM(C7:C8)</f>
        <v>0.77610650091942801</v>
      </c>
      <c r="D6" s="114">
        <f t="shared" ref="D6:G6" si="1">SUM(D7:D8)</f>
        <v>0.11916920601637257</v>
      </c>
      <c r="E6" s="114">
        <f t="shared" si="1"/>
        <v>116.96082759610819</v>
      </c>
      <c r="F6" s="114">
        <f t="shared" si="1"/>
        <v>7.7420482538410759E-7</v>
      </c>
      <c r="G6" s="114">
        <f t="shared" si="1"/>
        <v>1.2592266934323948</v>
      </c>
    </row>
    <row r="7" spans="1:7" x14ac:dyDescent="0.35">
      <c r="A7" s="113"/>
      <c r="B7" s="113" t="s">
        <v>249</v>
      </c>
      <c r="C7" s="113">
        <f>'LCI_AD-e'!$E4*'IW+f'!C2</f>
        <v>0.77610650091942801</v>
      </c>
      <c r="D7" s="113">
        <f>'LCI_AD-e'!$E4*'IW+f'!D2</f>
        <v>0.11916920601637257</v>
      </c>
      <c r="E7" s="113">
        <f>'LCI_AD-e'!$E4*'IW+f'!E2</f>
        <v>116.96082759610819</v>
      </c>
      <c r="F7" s="113">
        <f>'LCI_AD-e'!$E4*'IW+f'!F2</f>
        <v>7.7420482538410759E-7</v>
      </c>
      <c r="G7" s="113">
        <f>'LCI_AD-e'!$E4*'IW+f'!G2</f>
        <v>1.2592266934323948</v>
      </c>
    </row>
    <row r="8" spans="1:7" x14ac:dyDescent="0.35">
      <c r="A8" s="113"/>
      <c r="B8" s="113" t="s">
        <v>250</v>
      </c>
      <c r="C8" s="113">
        <f>'LCI_AD-e'!$E5*'IW+f'!C3</f>
        <v>0</v>
      </c>
      <c r="D8" s="113">
        <f>'LCI_AD-e'!$E5*'IW+f'!D3</f>
        <v>0</v>
      </c>
      <c r="E8" s="113">
        <f>'LCI_AD-e'!$E5*'IW+f'!E3</f>
        <v>0</v>
      </c>
      <c r="F8" s="113">
        <f>'LCI_AD-e'!$E5*'IW+f'!F3</f>
        <v>0</v>
      </c>
      <c r="G8" s="113">
        <f>'LCI_AD-e'!$E5*'IW+f'!G3</f>
        <v>0</v>
      </c>
    </row>
    <row r="9" spans="1:7" x14ac:dyDescent="0.35">
      <c r="A9" s="112" t="s">
        <v>235</v>
      </c>
      <c r="B9" s="113"/>
      <c r="C9" s="111">
        <f>SUM(C10:C11)</f>
        <v>9.4912725301666416</v>
      </c>
      <c r="D9" s="111">
        <f t="shared" ref="D9:G9" si="2">SUM(D10:D11)</f>
        <v>1.776054546690981</v>
      </c>
      <c r="E9" s="111">
        <f t="shared" si="2"/>
        <v>70.109593887244714</v>
      </c>
      <c r="F9" s="111">
        <f t="shared" si="2"/>
        <v>3.9183035816743554E-5</v>
      </c>
      <c r="G9" s="111">
        <f t="shared" si="2"/>
        <v>10.018540305643455</v>
      </c>
    </row>
    <row r="10" spans="1:7" x14ac:dyDescent="0.35">
      <c r="A10" s="113"/>
      <c r="B10" s="113" t="s">
        <v>286</v>
      </c>
      <c r="C10" s="115">
        <f>'LCI_AD-e'!$E7*'IW+f'!C4</f>
        <v>0.43472978582596905</v>
      </c>
      <c r="D10" s="115">
        <f>'LCI_AD-e'!$E7*'IW+f'!D4</f>
        <v>6.359420180299287E-2</v>
      </c>
      <c r="E10" s="115">
        <f>'LCI_AD-e'!$E7*'IW+f'!E4</f>
        <v>6.5761119524385903</v>
      </c>
      <c r="F10" s="115">
        <f>'LCI_AD-e'!$E7*'IW+f'!F4</f>
        <v>3.4579966311397133E-7</v>
      </c>
      <c r="G10" s="115">
        <f>'LCI_AD-e'!$E7*'IW+f'!G4</f>
        <v>3.9223403259142219E-2</v>
      </c>
    </row>
    <row r="11" spans="1:7" x14ac:dyDescent="0.35">
      <c r="A11" s="113"/>
      <c r="B11" s="113" t="s">
        <v>235</v>
      </c>
      <c r="C11" s="113">
        <f>'LCI_AD-e'!$E8*'IW+f'!C5</f>
        <v>9.056542744340673</v>
      </c>
      <c r="D11" s="113">
        <f>'LCI_AD-e'!$E8*'IW+f'!D5</f>
        <v>1.712460344887988</v>
      </c>
      <c r="E11" s="113">
        <f>'LCI_AD-e'!$E8*'IW+f'!E5</f>
        <v>63.533481934806119</v>
      </c>
      <c r="F11" s="113">
        <f>'LCI_AD-e'!$E8*'IW+f'!F5</f>
        <v>3.8837236153629584E-5</v>
      </c>
      <c r="G11" s="113">
        <f>'LCI_AD-e'!$E8*'IW+f'!G5</f>
        <v>9.9793169023843138</v>
      </c>
    </row>
    <row r="12" spans="1:7" x14ac:dyDescent="0.35">
      <c r="A12" s="112" t="s">
        <v>6</v>
      </c>
      <c r="B12" s="113"/>
      <c r="C12" s="114">
        <f>SUM(C13:C15)</f>
        <v>52.2487117086675</v>
      </c>
      <c r="D12" s="114">
        <f t="shared" ref="D12:G12" si="3">SUM(D13:D15)</f>
        <v>2.7873234481033835</v>
      </c>
      <c r="E12" s="114">
        <f t="shared" si="3"/>
        <v>416.86802336275355</v>
      </c>
      <c r="F12" s="114">
        <f t="shared" si="3"/>
        <v>4.5598347798669536E-5</v>
      </c>
      <c r="G12" s="114">
        <f t="shared" si="3"/>
        <v>4.3060093715788508</v>
      </c>
    </row>
    <row r="13" spans="1:7" x14ac:dyDescent="0.35">
      <c r="A13" s="113"/>
      <c r="B13" s="113" t="s">
        <v>8</v>
      </c>
      <c r="C13" s="113">
        <f>'LCI_AD-e'!$E10*'IW+f'!C2</f>
        <v>1.7365188542616061</v>
      </c>
      <c r="D13" s="113">
        <f>'LCI_AD-e'!$E10*'IW+f'!D2</f>
        <v>0.26663811326108211</v>
      </c>
      <c r="E13" s="113">
        <f>'LCI_AD-e'!$E10*'IW+f'!E2</f>
        <v>261.69692186584126</v>
      </c>
      <c r="F13" s="113">
        <f>'LCI_AD-e'!$E10*'IW+f'!F2</f>
        <v>1.7322639028884893E-6</v>
      </c>
      <c r="G13" s="113">
        <f>'LCI_AD-e'!$E10*'IW+f'!G2</f>
        <v>2.8174881828001381</v>
      </c>
    </row>
    <row r="14" spans="1:7" x14ac:dyDescent="0.35">
      <c r="A14" s="113"/>
      <c r="B14" s="113" t="s">
        <v>18</v>
      </c>
      <c r="C14" s="113">
        <f>'LCI_AD-e'!$E11*'IW+f'!C11</f>
        <v>9.6923673180164887</v>
      </c>
      <c r="D14" s="113">
        <f>'LCI_AD-e'!$E11*'IW+f'!D11</f>
        <v>2.5206853348423013</v>
      </c>
      <c r="E14" s="113">
        <f>'LCI_AD-e'!$E11*'IW+f'!E11</f>
        <v>155.17110149691229</v>
      </c>
      <c r="F14" s="113">
        <f>'LCI_AD-e'!$E11*'IW+f'!F11</f>
        <v>4.3866083895781045E-5</v>
      </c>
      <c r="G14" s="113">
        <f>'LCI_AD-e'!$E11*'IW+f'!G11</f>
        <v>1.4885211887787131</v>
      </c>
    </row>
    <row r="15" spans="1:7" x14ac:dyDescent="0.35">
      <c r="A15" s="113"/>
      <c r="B15" s="113" t="s">
        <v>96</v>
      </c>
      <c r="C15" s="113">
        <f>'LCI_AD-e'!$E12*'IW+f'!C12</f>
        <v>40.819825536389409</v>
      </c>
      <c r="D15" s="113">
        <f>'LCI_AD-e'!$E12*'IW+f'!D12</f>
        <v>0</v>
      </c>
      <c r="E15" s="113">
        <f>'LCI_AD-e'!$E12*'IW+f'!E12</f>
        <v>0</v>
      </c>
      <c r="F15" s="113">
        <f>'LCI_AD-e'!$E12*'IW+f'!F12</f>
        <v>0</v>
      </c>
      <c r="G15" s="113">
        <f>'LCI_AD-e'!$E12*'IW+f'!G12</f>
        <v>0</v>
      </c>
    </row>
    <row r="16" spans="1:7" x14ac:dyDescent="0.35">
      <c r="A16" s="112" t="s">
        <v>476</v>
      </c>
      <c r="B16" s="113"/>
      <c r="C16" s="117">
        <f>SUM(C17:C26)</f>
        <v>1.7671683790158839</v>
      </c>
      <c r="D16" s="117">
        <f t="shared" ref="D16:G16" si="4">SUM(D17:D26)</f>
        <v>7.2504014430452663</v>
      </c>
      <c r="E16" s="117">
        <f t="shared" si="4"/>
        <v>7.1324960400400128</v>
      </c>
      <c r="F16" s="117">
        <f t="shared" si="4"/>
        <v>5.3325991838941126E-5</v>
      </c>
      <c r="G16" s="117">
        <f t="shared" si="4"/>
        <v>7.6790063724874735E-2</v>
      </c>
    </row>
    <row r="17" spans="1:7" x14ac:dyDescent="0.35">
      <c r="A17" s="113"/>
      <c r="B17" s="113" t="s">
        <v>96</v>
      </c>
      <c r="C17" s="116">
        <f>'LCI_AD-e'!$E17*'IW+f'!C12</f>
        <v>0.15478559217739857</v>
      </c>
      <c r="D17" s="116">
        <f>'LCI_AD-e'!$E17*'IW+f'!D12</f>
        <v>0</v>
      </c>
      <c r="E17" s="116">
        <f>'LCI_AD-e'!$E17*'IW+f'!E12</f>
        <v>0</v>
      </c>
      <c r="F17" s="116">
        <f>'LCI_AD-e'!$E17*'IW+f'!F12</f>
        <v>0</v>
      </c>
      <c r="G17" s="116">
        <f>'LCI_AD-e'!$E17*'IW+f'!G12</f>
        <v>0</v>
      </c>
    </row>
    <row r="18" spans="1:7" x14ac:dyDescent="0.35">
      <c r="A18" s="113"/>
      <c r="B18" s="113" t="s">
        <v>111</v>
      </c>
      <c r="C18" s="116">
        <f>'LCI_AD-e'!$E18*'IW+f'!C20</f>
        <v>1.5650543209048078</v>
      </c>
      <c r="D18" s="116">
        <f>'LCI_AD-e'!$E18*'IW+f'!D20</f>
        <v>0</v>
      </c>
      <c r="E18" s="116">
        <f>'LCI_AD-e'!$E18*'IW+f'!E20</f>
        <v>0</v>
      </c>
      <c r="F18" s="116">
        <f>'LCI_AD-e'!$E18*'IW+f'!F20</f>
        <v>0</v>
      </c>
      <c r="G18" s="116">
        <f>'LCI_AD-e'!$E18*'IW+f'!G20</f>
        <v>0</v>
      </c>
    </row>
    <row r="19" spans="1:7" x14ac:dyDescent="0.35">
      <c r="A19" s="113"/>
      <c r="B19" s="113" t="s">
        <v>142</v>
      </c>
      <c r="C19" s="116">
        <f>'LCI_AD-e'!$E19*'IW+f'!C19</f>
        <v>0</v>
      </c>
      <c r="D19" s="116">
        <f>'LCI_AD-e'!$E19*'IW+f'!D19</f>
        <v>0.6621654320626007</v>
      </c>
      <c r="E19" s="116">
        <f>'LCI_AD-e'!$E19*'IW+f'!E19</f>
        <v>0</v>
      </c>
      <c r="F19" s="116">
        <f>'LCI_AD-e'!$E19*'IW+f'!F19</f>
        <v>3.693628644820743E-6</v>
      </c>
      <c r="G19" s="116">
        <f>'LCI_AD-e'!$E19*'IW+f'!G19</f>
        <v>0</v>
      </c>
    </row>
    <row r="20" spans="1:7" x14ac:dyDescent="0.35">
      <c r="A20" s="113"/>
      <c r="B20" s="113" t="s">
        <v>143</v>
      </c>
      <c r="C20" s="116">
        <f>'LCI_AD-e'!$E20*'IW+f'!C16</f>
        <v>0</v>
      </c>
      <c r="D20" s="116">
        <f>'LCI_AD-e'!$E20*'IW+f'!D16</f>
        <v>0</v>
      </c>
      <c r="E20" s="116">
        <f>'LCI_AD-e'!$E20*'IW+f'!E16</f>
        <v>0</v>
      </c>
      <c r="F20" s="116">
        <f>'LCI_AD-e'!$E20*'IW+f'!F16</f>
        <v>0</v>
      </c>
      <c r="G20" s="116">
        <f>'LCI_AD-e'!$E20*'IW+f'!G16</f>
        <v>0</v>
      </c>
    </row>
    <row r="21" spans="1:7" x14ac:dyDescent="0.35">
      <c r="A21" s="113"/>
      <c r="B21" s="113" t="s">
        <v>144</v>
      </c>
      <c r="C21" s="116">
        <f>'LCI_AD-e'!$E21*'IW+f'!C22</f>
        <v>0</v>
      </c>
      <c r="D21" s="116">
        <f>'LCI_AD-e'!$E21*'IW+f'!D22</f>
        <v>0</v>
      </c>
      <c r="E21" s="116">
        <f>'LCI_AD-e'!$E21*'IW+f'!E22</f>
        <v>0</v>
      </c>
      <c r="F21" s="116">
        <f>'LCI_AD-e'!$E21*'IW+f'!F22</f>
        <v>3.9886858284203065E-5</v>
      </c>
      <c r="G21" s="116">
        <f>'LCI_AD-e'!$E21*'IW+f'!G22</f>
        <v>0</v>
      </c>
    </row>
    <row r="22" spans="1:7" x14ac:dyDescent="0.35">
      <c r="A22" s="113"/>
      <c r="B22" s="113" t="s">
        <v>124</v>
      </c>
      <c r="C22" s="116">
        <f>'LCI_AD-e'!$E22*'IW+f'!C13</f>
        <v>0</v>
      </c>
      <c r="D22" s="116">
        <f>'LCI_AD-e'!$E22*'IW+f'!D13</f>
        <v>6.2616774218670344</v>
      </c>
      <c r="E22" s="116">
        <f>'LCI_AD-e'!$E22*'IW+f'!E13</f>
        <v>0</v>
      </c>
      <c r="F22" s="116">
        <f>'LCI_AD-e'!$E22*'IW+f'!F13</f>
        <v>7.5499383078403258E-6</v>
      </c>
      <c r="G22" s="116">
        <f>'LCI_AD-e'!$E22*'IW+f'!G13</f>
        <v>0</v>
      </c>
    </row>
    <row r="23" spans="1:7" x14ac:dyDescent="0.35">
      <c r="A23" s="113"/>
      <c r="B23" s="113" t="s">
        <v>110</v>
      </c>
      <c r="C23" s="116">
        <f>'LCI_AD-e'!$E23*'IW+f'!C18</f>
        <v>0</v>
      </c>
      <c r="D23" s="116">
        <f>'LCI_AD-e'!$E23*'IW+f'!D18</f>
        <v>0.31929142191550114</v>
      </c>
      <c r="E23" s="116">
        <f>'LCI_AD-e'!$E23*'IW+f'!E18</f>
        <v>0</v>
      </c>
      <c r="F23" s="116">
        <f>'LCI_AD-e'!$E23*'IW+f'!F18</f>
        <v>2.1483541039720615E-6</v>
      </c>
      <c r="G23" s="116">
        <f>'LCI_AD-e'!$E23*'IW+f'!G18</f>
        <v>0</v>
      </c>
    </row>
    <row r="24" spans="1:7" x14ac:dyDescent="0.35">
      <c r="A24" s="113"/>
      <c r="B24" s="113" t="s">
        <v>123</v>
      </c>
      <c r="C24" s="116">
        <f>'LCI_AD-e'!$E24*'IW+f'!C17</f>
        <v>0</v>
      </c>
      <c r="D24" s="116">
        <f>'LCI_AD-e'!$E24*'IW+f'!D17</f>
        <v>0</v>
      </c>
      <c r="E24" s="116">
        <f>'LCI_AD-e'!$E24*'IW+f'!E17</f>
        <v>0</v>
      </c>
      <c r="F24" s="116">
        <f>'LCI_AD-e'!$E24*'IW+f'!F17</f>
        <v>0</v>
      </c>
      <c r="G24" s="116">
        <f>'LCI_AD-e'!$E24*'IW+f'!G17</f>
        <v>0</v>
      </c>
    </row>
    <row r="25" spans="1:7" x14ac:dyDescent="0.35">
      <c r="A25" s="113"/>
      <c r="B25" s="113" t="s">
        <v>145</v>
      </c>
      <c r="C25" s="116">
        <f>'LCI_AD-e'!$E25*'IW+f'!C14</f>
        <v>0</v>
      </c>
      <c r="D25" s="116">
        <f>'LCI_AD-e'!$E25*'IW+f'!D14</f>
        <v>0</v>
      </c>
      <c r="E25" s="116">
        <f>'LCI_AD-e'!$E25*'IW+f'!E14</f>
        <v>0</v>
      </c>
      <c r="F25" s="116">
        <f>'LCI_AD-e'!$E25*'IW+f'!F14</f>
        <v>0</v>
      </c>
      <c r="G25" s="116">
        <f>'LCI_AD-e'!$E25*'IW+f'!G14</f>
        <v>0</v>
      </c>
    </row>
    <row r="26" spans="1:7" x14ac:dyDescent="0.35">
      <c r="A26" s="113"/>
      <c r="B26" s="113" t="s">
        <v>8</v>
      </c>
      <c r="C26" s="116">
        <f>'LCI_AD-e'!$E26*'IW+f'!C2</f>
        <v>4.7328465933677483E-2</v>
      </c>
      <c r="D26" s="116">
        <f>'LCI_AD-e'!$E26*'IW+f'!D2</f>
        <v>7.2671672001299375E-3</v>
      </c>
      <c r="E26" s="116">
        <f>'LCI_AD-e'!$E26*'IW+f'!E2</f>
        <v>7.1324960400400128</v>
      </c>
      <c r="F26" s="116">
        <f>'LCI_AD-e'!$E26*'IW+f'!F2</f>
        <v>4.7212498104927562E-8</v>
      </c>
      <c r="G26" s="116">
        <f>'LCI_AD-e'!$E26*'IW+f'!G2</f>
        <v>7.6790063724874735E-2</v>
      </c>
    </row>
    <row r="27" spans="1:7" x14ac:dyDescent="0.35">
      <c r="A27" s="114" t="s">
        <v>100</v>
      </c>
      <c r="B27" s="113"/>
      <c r="C27" s="114">
        <f>C28</f>
        <v>36.12699785404439</v>
      </c>
      <c r="D27" s="114">
        <f t="shared" ref="D27:G27" si="5">D28</f>
        <v>0</v>
      </c>
      <c r="E27" s="114">
        <f t="shared" si="5"/>
        <v>0</v>
      </c>
      <c r="F27" s="114">
        <f t="shared" si="5"/>
        <v>0</v>
      </c>
      <c r="G27" s="114">
        <f t="shared" si="5"/>
        <v>0</v>
      </c>
    </row>
    <row r="28" spans="1:7" x14ac:dyDescent="0.35">
      <c r="A28" s="113"/>
      <c r="B28" s="113" t="s">
        <v>96</v>
      </c>
      <c r="C28" s="113">
        <f>'LCI_AD-a'!$E27*'IW+f'!C12</f>
        <v>36.12699785404439</v>
      </c>
      <c r="D28" s="113">
        <f>'LCI_AD-a'!$E27*'IW+f'!D12</f>
        <v>0</v>
      </c>
      <c r="E28" s="113">
        <f>'LCI_AD-a'!$E27*'IW+f'!E12</f>
        <v>0</v>
      </c>
      <c r="F28" s="113">
        <f>'LCI_AD-a'!$E27*'IW+f'!F12</f>
        <v>0</v>
      </c>
      <c r="G28" s="113">
        <f>'LCI_AD-a'!$E27*'IW+f'!G12</f>
        <v>0</v>
      </c>
    </row>
    <row r="29" spans="1:7" x14ac:dyDescent="0.35">
      <c r="A29" s="112" t="s">
        <v>108</v>
      </c>
      <c r="B29" s="113"/>
      <c r="C29" s="114">
        <f>SUM(C30:C34)</f>
        <v>-96.310982618440732</v>
      </c>
      <c r="D29" s="114">
        <f t="shared" ref="D29:G29" si="6">SUM(D30:D34)</f>
        <v>108.30291146722087</v>
      </c>
      <c r="E29" s="114">
        <f t="shared" si="6"/>
        <v>0</v>
      </c>
      <c r="F29" s="114">
        <f t="shared" si="6"/>
        <v>7.6801640589139021E-4</v>
      </c>
      <c r="G29" s="114">
        <f t="shared" si="6"/>
        <v>0</v>
      </c>
    </row>
    <row r="30" spans="1:7" x14ac:dyDescent="0.35">
      <c r="A30" s="113"/>
      <c r="B30" s="118" t="s">
        <v>111</v>
      </c>
      <c r="C30" s="118">
        <f>'LCI_AD-a'!$E30*'IW+f'!C20</f>
        <v>19.040938704967669</v>
      </c>
      <c r="D30" s="118">
        <f>'LCI_AD-a'!$E30*'IW+f'!D20</f>
        <v>0</v>
      </c>
      <c r="E30" s="118">
        <f>'LCI_AD-a'!$E30*'IW+f'!E20</f>
        <v>0</v>
      </c>
      <c r="F30" s="118">
        <f>'LCI_AD-a'!$E30*'IW+f'!F20</f>
        <v>0</v>
      </c>
      <c r="G30" s="118">
        <f>'LCI_AD-a'!$E30*'IW+f'!G20</f>
        <v>0</v>
      </c>
    </row>
    <row r="31" spans="1:7" x14ac:dyDescent="0.35">
      <c r="A31" s="113"/>
      <c r="B31" s="118" t="s">
        <v>110</v>
      </c>
      <c r="C31" s="118">
        <f>'LCI_AD-a'!$E31*'IW+f'!C18</f>
        <v>0</v>
      </c>
      <c r="D31" s="118">
        <f>'LCI_AD-a'!$E31*'IW+f'!D18</f>
        <v>114.14368322154571</v>
      </c>
      <c r="E31" s="118">
        <f>'LCI_AD-a'!$E31*'IW+f'!E18</f>
        <v>0</v>
      </c>
      <c r="F31" s="118">
        <f>'LCI_AD-a'!$E31*'IW+f'!F18</f>
        <v>7.6801640589139021E-4</v>
      </c>
      <c r="G31" s="118">
        <f>'LCI_AD-a'!$E31*'IW+f'!G18</f>
        <v>0</v>
      </c>
    </row>
    <row r="32" spans="1:7" x14ac:dyDescent="0.35">
      <c r="A32" s="113"/>
      <c r="B32" s="118" t="s">
        <v>114</v>
      </c>
      <c r="C32" s="118">
        <f>'LCI_AD-a'!$E32*'IW+f'!C21</f>
        <v>0</v>
      </c>
      <c r="D32" s="118">
        <f>'LCI_AD-a'!$E32*'IW+f'!D21</f>
        <v>-3.7432543535239895</v>
      </c>
      <c r="E32" s="118">
        <f>'LCI_AD-a'!$E32*'IW+f'!E21</f>
        <v>0</v>
      </c>
      <c r="F32" s="118">
        <f>'LCI_AD-a'!$E32*'IW+f'!F21</f>
        <v>0</v>
      </c>
      <c r="G32" s="118">
        <f>'LCI_AD-a'!$E32*'IW+f'!G21</f>
        <v>0</v>
      </c>
    </row>
    <row r="33" spans="1:37" x14ac:dyDescent="0.35">
      <c r="A33" s="113"/>
      <c r="B33" s="118" t="s">
        <v>414</v>
      </c>
      <c r="C33" s="119">
        <f>'LCI_AD-a'!$E33*'IW+f'!C25</f>
        <v>0</v>
      </c>
      <c r="D33" s="119">
        <f>'LCI_AD-a'!$E33*'IW+f'!D25</f>
        <v>-0.19421069896461307</v>
      </c>
      <c r="E33" s="119">
        <f>'LCI_AD-a'!$E33*'IW+f'!E25</f>
        <v>0</v>
      </c>
      <c r="F33" s="119">
        <f>'LCI_AD-a'!$E33*'IW+f'!F25</f>
        <v>0</v>
      </c>
      <c r="G33" s="119">
        <f>'LCI_AD-a'!$E33*'IW+f'!G25</f>
        <v>0</v>
      </c>
    </row>
    <row r="34" spans="1:37" x14ac:dyDescent="0.35">
      <c r="A34" s="113"/>
      <c r="B34" s="118" t="s">
        <v>415</v>
      </c>
      <c r="C34" s="119">
        <f>'LCI_AD-a'!$E34*'IW+f'!C26</f>
        <v>-115.3519213234084</v>
      </c>
      <c r="D34" s="119">
        <f>'LCI_AD-a'!$E34*'IW+f'!D26</f>
        <v>-1.9033067018362388</v>
      </c>
      <c r="E34" s="119">
        <f>'LCI_AD-a'!$E34*'IW+f'!E26</f>
        <v>0</v>
      </c>
      <c r="F34" s="119">
        <f>'LCI_AD-a'!$E34*'IW+f'!F26</f>
        <v>0</v>
      </c>
      <c r="G34" s="119">
        <f>'LCI_AD-a'!$E34*'IW+f'!G26</f>
        <v>0</v>
      </c>
    </row>
    <row r="35" spans="1:37" x14ac:dyDescent="0.35">
      <c r="A35" s="112" t="s">
        <v>421</v>
      </c>
      <c r="B35" s="113"/>
      <c r="C35" s="114">
        <f>SUM(C36:C40)</f>
        <v>336.71696937957859</v>
      </c>
      <c r="D35" s="114">
        <f>SUM(D36:D40)</f>
        <v>29.772595347537806</v>
      </c>
      <c r="E35" s="114">
        <f>SUM(E36:E40)</f>
        <v>7109.9944487605026</v>
      </c>
      <c r="F35" s="114">
        <f>SUM(F36:F40)</f>
        <v>1.3187706315801403E-4</v>
      </c>
      <c r="G35" s="114">
        <f>SUM(G36:G40)</f>
        <v>105.59636942816161</v>
      </c>
    </row>
    <row r="36" spans="1:37" x14ac:dyDescent="0.35">
      <c r="A36" s="113"/>
      <c r="B36" s="113" t="s">
        <v>228</v>
      </c>
      <c r="C36" s="113">
        <f>'LCI_AD-a'!$E36*'IW+f'!C28</f>
        <v>28.411671868671039</v>
      </c>
      <c r="D36" s="113">
        <f>'LCI_AD-a'!$E36*'IW+f'!D28</f>
        <v>3.7699223208212893</v>
      </c>
      <c r="E36" s="113">
        <f>'LCI_AD-a'!$E36*'IW+f'!E28</f>
        <v>417.80642425174938</v>
      </c>
      <c r="F36" s="113">
        <f>'LCI_AD-a'!$E36*'IW+f'!F28</f>
        <v>2.0842491724839379E-5</v>
      </c>
      <c r="G36" s="113">
        <f>'LCI_AD-a'!$E36*'IW+f'!G28</f>
        <v>42.781720834497129</v>
      </c>
    </row>
    <row r="37" spans="1:37" x14ac:dyDescent="0.35">
      <c r="A37" s="113"/>
      <c r="B37" s="113" t="s">
        <v>230</v>
      </c>
      <c r="C37" s="113">
        <f>'LCI_AD-a'!$E37*'IW+f'!C30</f>
        <v>19.578386540205237</v>
      </c>
      <c r="D37" s="113">
        <f>'LCI_AD-a'!$E37*'IW+f'!D30</f>
        <v>9.1248031660091158</v>
      </c>
      <c r="E37" s="113">
        <f>'LCI_AD-a'!$E37*'IW+f'!E30</f>
        <v>343.26966174183377</v>
      </c>
      <c r="F37" s="113">
        <f>'LCI_AD-a'!$E37*'IW+f'!F30</f>
        <v>7.5312485097886082E-5</v>
      </c>
      <c r="G37" s="113">
        <f>'LCI_AD-a'!$E37*'IW+f'!G30</f>
        <v>46.443676689945342</v>
      </c>
    </row>
    <row r="38" spans="1:37" x14ac:dyDescent="0.35">
      <c r="A38" s="113"/>
      <c r="B38" s="113" t="s">
        <v>229</v>
      </c>
      <c r="C38" s="113">
        <f>'LCI_AD-a'!$E38*'IW+f'!C29</f>
        <v>12.348252376149379</v>
      </c>
      <c r="D38" s="113">
        <f>'LCI_AD-a'!$E38*'IW+f'!D29</f>
        <v>3.0053120361765435</v>
      </c>
      <c r="E38" s="113">
        <f>'LCI_AD-a'!$E38*'IW+f'!E29</f>
        <v>200.1993313863338</v>
      </c>
      <c r="F38" s="113">
        <f>'LCI_AD-a'!$E38*'IW+f'!F29</f>
        <v>1.3850635896818876E-5</v>
      </c>
      <c r="G38" s="113">
        <f>'LCI_AD-a'!$E38*'IW+f'!G29</f>
        <v>5.8101606725599693</v>
      </c>
    </row>
    <row r="39" spans="1:37" x14ac:dyDescent="0.35">
      <c r="A39" s="113"/>
      <c r="B39" s="113" t="s">
        <v>231</v>
      </c>
      <c r="C39" s="116">
        <f>'LCI_AD-a'!$E39*'IW+f'!C31</f>
        <v>2.2516101504900958</v>
      </c>
      <c r="D39" s="116">
        <f>'LCI_AD-a'!$E39*'IW+f'!D31</f>
        <v>0.97385909326307918</v>
      </c>
      <c r="E39" s="116">
        <f>'LCI_AD-a'!$E39*'IW+f'!E31</f>
        <v>1587.6138876201587</v>
      </c>
      <c r="F39" s="116">
        <f>'LCI_AD-a'!$E39*'IW+f'!F31</f>
        <v>1.8073801617164658E-6</v>
      </c>
      <c r="G39" s="116">
        <f>'LCI_AD-a'!$E39*'IW+f'!G31</f>
        <v>5.045377782181772</v>
      </c>
    </row>
    <row r="40" spans="1:37" x14ac:dyDescent="0.35">
      <c r="A40" s="113"/>
      <c r="B40" s="113" t="s">
        <v>423</v>
      </c>
      <c r="C40" s="113">
        <f>'LCI_AD-e'!$E27*'IW+f'!C39</f>
        <v>274.12704844406284</v>
      </c>
      <c r="D40" s="113">
        <f>'LCI_AD-e'!$E27*'IW+f'!D39</f>
        <v>12.898698731267778</v>
      </c>
      <c r="E40" s="113">
        <f>'LCI_AD-e'!$E27*'IW+f'!E39</f>
        <v>4561.1051437604274</v>
      </c>
      <c r="F40" s="113">
        <f>'LCI_AD-e'!$E27*'IW+f'!F39</f>
        <v>2.0064070276753234E-5</v>
      </c>
      <c r="G40" s="113">
        <f>'LCI_AD-e'!$E27*'IW+f'!G39</f>
        <v>5.5154334489773911</v>
      </c>
    </row>
    <row r="41" spans="1:37" x14ac:dyDescent="0.35">
      <c r="A41" s="112"/>
      <c r="B41" s="112"/>
      <c r="C41" s="112"/>
      <c r="D41" s="112"/>
      <c r="E41" s="112"/>
      <c r="F41" s="112"/>
      <c r="G41" s="112"/>
    </row>
    <row r="42" spans="1:37" x14ac:dyDescent="0.35">
      <c r="A42" s="112" t="s">
        <v>494</v>
      </c>
      <c r="B42" s="112"/>
      <c r="C42" s="114">
        <f>C5+C29-C35</f>
        <v>-332.61769502520548</v>
      </c>
      <c r="D42" s="114">
        <f t="shared" ref="D42:G42" si="7">D5+D29-D35</f>
        <v>90.463264763539073</v>
      </c>
      <c r="E42" s="114">
        <f t="shared" si="7"/>
        <v>-6498.9235078743559</v>
      </c>
      <c r="F42" s="114">
        <f t="shared" si="7"/>
        <v>7.7502092301311447E-4</v>
      </c>
      <c r="G42" s="114">
        <f t="shared" si="7"/>
        <v>-89.935802993782033</v>
      </c>
    </row>
    <row r="45" spans="1:37" ht="72.5" x14ac:dyDescent="0.35">
      <c r="A45" s="142" t="s">
        <v>0</v>
      </c>
      <c r="B45" s="140"/>
      <c r="C45" s="137" t="s">
        <v>376</v>
      </c>
      <c r="D45" s="137" t="s">
        <v>377</v>
      </c>
      <c r="E45" s="137" t="s">
        <v>378</v>
      </c>
      <c r="F45" s="137" t="s">
        <v>379</v>
      </c>
      <c r="G45" s="137" t="s">
        <v>380</v>
      </c>
      <c r="H45" s="137" t="s">
        <v>361</v>
      </c>
      <c r="I45" s="137" t="s">
        <v>381</v>
      </c>
      <c r="J45" s="137" t="s">
        <v>382</v>
      </c>
      <c r="K45" s="137" t="s">
        <v>363</v>
      </c>
      <c r="L45" s="137" t="s">
        <v>383</v>
      </c>
      <c r="M45" s="137" t="s">
        <v>384</v>
      </c>
      <c r="N45" s="137" t="s">
        <v>385</v>
      </c>
      <c r="O45" s="137" t="s">
        <v>386</v>
      </c>
      <c r="P45" s="137" t="s">
        <v>387</v>
      </c>
      <c r="Q45" s="137" t="s">
        <v>388</v>
      </c>
      <c r="R45" s="137" t="s">
        <v>367</v>
      </c>
      <c r="S45" s="137" t="s">
        <v>368</v>
      </c>
      <c r="T45" s="137" t="s">
        <v>389</v>
      </c>
      <c r="U45" s="137" t="s">
        <v>390</v>
      </c>
      <c r="V45" s="137" t="s">
        <v>391</v>
      </c>
      <c r="W45" s="137" t="s">
        <v>392</v>
      </c>
      <c r="X45" s="137" t="s">
        <v>369</v>
      </c>
      <c r="Y45" s="137" t="s">
        <v>371</v>
      </c>
      <c r="Z45" s="137" t="s">
        <v>372</v>
      </c>
      <c r="AA45" s="137" t="s">
        <v>393</v>
      </c>
      <c r="AB45" s="137" t="s">
        <v>394</v>
      </c>
      <c r="AC45" s="137" t="s">
        <v>374</v>
      </c>
      <c r="AD45" s="137" t="s">
        <v>395</v>
      </c>
      <c r="AE45" s="137" t="s">
        <v>396</v>
      </c>
      <c r="AF45" s="137" t="s">
        <v>397</v>
      </c>
      <c r="AG45" s="137" t="s">
        <v>398</v>
      </c>
      <c r="AH45" s="137" t="s">
        <v>399</v>
      </c>
      <c r="AI45" s="137" t="s">
        <v>400</v>
      </c>
      <c r="AJ45" s="137" t="s">
        <v>401</v>
      </c>
      <c r="AK45" s="137" t="s">
        <v>402</v>
      </c>
    </row>
    <row r="46" spans="1:37" x14ac:dyDescent="0.35">
      <c r="A46" s="142" t="s">
        <v>6</v>
      </c>
      <c r="B46" s="136"/>
      <c r="C46" s="141" t="e">
        <f>SUM(C48:C69)</f>
        <v>#REF!</v>
      </c>
      <c r="D46" s="141" t="e">
        <f t="shared" ref="D46:AK46" si="8">SUM(D48:D69)</f>
        <v>#REF!</v>
      </c>
      <c r="E46" s="141" t="e">
        <f t="shared" si="8"/>
        <v>#REF!</v>
      </c>
      <c r="F46" s="141" t="e">
        <f t="shared" si="8"/>
        <v>#REF!</v>
      </c>
      <c r="G46" s="141">
        <f t="shared" si="8"/>
        <v>2.9140417551788394E-17</v>
      </c>
      <c r="H46" s="141">
        <f t="shared" si="8"/>
        <v>0.55300183663674096</v>
      </c>
      <c r="I46" s="141">
        <f t="shared" si="8"/>
        <v>2.8910466636883907</v>
      </c>
      <c r="J46" s="141">
        <f t="shared" si="8"/>
        <v>0.31262172904820917</v>
      </c>
      <c r="K46" s="141">
        <f t="shared" si="8"/>
        <v>6.5054071207673999E-3</v>
      </c>
      <c r="L46" s="141">
        <f t="shared" si="8"/>
        <v>1.3032536618117167E-7</v>
      </c>
      <c r="M46" s="141">
        <f t="shared" si="8"/>
        <v>1.0812064766557481E-5</v>
      </c>
      <c r="N46" s="141">
        <f t="shared" si="8"/>
        <v>3.602090774584072E-6</v>
      </c>
      <c r="O46" s="141">
        <f t="shared" si="8"/>
        <v>2.1753321220961258E-5</v>
      </c>
      <c r="P46" s="141">
        <f t="shared" si="8"/>
        <v>1.4177831037316396E-8</v>
      </c>
      <c r="Q46" s="141">
        <f t="shared" si="8"/>
        <v>4.2937336593197798E-7</v>
      </c>
      <c r="R46" s="141">
        <f t="shared" si="8"/>
        <v>1.4194712207843354</v>
      </c>
      <c r="S46" s="141">
        <f t="shared" si="8"/>
        <v>0.47358749312250698</v>
      </c>
      <c r="T46" s="141">
        <f t="shared" si="8"/>
        <v>2.5105244354751219</v>
      </c>
      <c r="U46" s="141">
        <f t="shared" si="8"/>
        <v>0.27252289253810941</v>
      </c>
      <c r="V46" s="141">
        <f t="shared" si="8"/>
        <v>8.5224842060031897E-6</v>
      </c>
      <c r="W46" s="141">
        <f t="shared" si="8"/>
        <v>4.9696395284935263E-6</v>
      </c>
      <c r="X46" s="141">
        <f t="shared" si="8"/>
        <v>0.15797252857600669</v>
      </c>
      <c r="Y46" s="141">
        <f t="shared" si="8"/>
        <v>1.0645453055431738E-9</v>
      </c>
      <c r="Z46" s="141">
        <f t="shared" si="8"/>
        <v>1.0544623842656928E-4</v>
      </c>
      <c r="AA46" s="141">
        <f t="shared" si="8"/>
        <v>4.2301942639810832</v>
      </c>
      <c r="AB46" s="141">
        <f t="shared" si="8"/>
        <v>4.3951795441278329E-7</v>
      </c>
      <c r="AC46" s="141">
        <f t="shared" si="8"/>
        <v>4.3185748922403295</v>
      </c>
      <c r="AD46" s="141">
        <f t="shared" si="8"/>
        <v>0.3110851481023954</v>
      </c>
      <c r="AE46" s="141">
        <f t="shared" si="8"/>
        <v>0.18139184279001375</v>
      </c>
      <c r="AF46" s="141">
        <f t="shared" si="8"/>
        <v>7.0995532005392057E-3</v>
      </c>
      <c r="AG46" s="141">
        <f t="shared" si="8"/>
        <v>17.646144531958043</v>
      </c>
      <c r="AH46" s="141">
        <f t="shared" si="8"/>
        <v>1.5794659287719716E-4</v>
      </c>
      <c r="AI46" s="141">
        <f t="shared" si="8"/>
        <v>1.2553050895828863E-4</v>
      </c>
      <c r="AJ46" s="141">
        <f t="shared" si="8"/>
        <v>1.5332596456693604E-5</v>
      </c>
      <c r="AK46" s="141">
        <f t="shared" si="8"/>
        <v>4.0558784296568809E-4</v>
      </c>
    </row>
    <row r="47" spans="1:37" x14ac:dyDescent="0.35">
      <c r="A47" s="142" t="s">
        <v>5</v>
      </c>
      <c r="B47" s="136"/>
      <c r="C47" s="136"/>
      <c r="D47" s="136"/>
      <c r="E47" s="136"/>
      <c r="F47" s="136"/>
      <c r="G47" s="136"/>
      <c r="H47" s="136"/>
      <c r="I47" s="136"/>
      <c r="J47" s="136"/>
      <c r="K47" s="136"/>
      <c r="L47" s="136"/>
      <c r="M47" s="136"/>
      <c r="N47" s="136"/>
      <c r="O47" s="136"/>
      <c r="P47" s="136"/>
      <c r="Q47" s="136"/>
      <c r="R47" s="136"/>
      <c r="S47" s="136"/>
      <c r="T47" s="136"/>
      <c r="U47" s="136"/>
      <c r="V47" s="136"/>
      <c r="W47" s="136"/>
      <c r="X47" s="136"/>
      <c r="Y47" s="136"/>
      <c r="Z47" s="136"/>
      <c r="AA47" s="136"/>
      <c r="AB47" s="136"/>
      <c r="AC47" s="136"/>
      <c r="AD47" s="136"/>
      <c r="AE47" s="136"/>
      <c r="AF47" s="136"/>
      <c r="AG47" s="136"/>
      <c r="AH47" s="136"/>
      <c r="AI47" s="136"/>
      <c r="AJ47" s="136"/>
      <c r="AK47" s="136"/>
    </row>
    <row r="48" spans="1:37" x14ac:dyDescent="0.35">
      <c r="A48" s="142"/>
      <c r="B48" s="136" t="s">
        <v>249</v>
      </c>
      <c r="C48" s="136" t="e">
        <f>'LCIA_AD-a'!C47</f>
        <v>#REF!</v>
      </c>
      <c r="D48" s="136" t="e">
        <f>'LCIA_AD-a'!D47</f>
        <v>#REF!</v>
      </c>
      <c r="E48" s="136" t="e">
        <f>'LCIA_AD-a'!E47</f>
        <v>#REF!</v>
      </c>
      <c r="F48" s="136" t="e">
        <f>'LCIA_AD-a'!F47</f>
        <v>#REF!</v>
      </c>
      <c r="G48" s="136">
        <f>'LCIA_AD-a'!G47</f>
        <v>9.0040097542142219E-20</v>
      </c>
      <c r="H48" s="136">
        <f>'LCIA_AD-a'!H47</f>
        <v>5.1931114803604956E-3</v>
      </c>
      <c r="I48" s="136">
        <f>'LCIA_AD-a'!I47</f>
        <v>0.24839018720173295</v>
      </c>
      <c r="J48" s="136">
        <f>'LCIA_AD-a'!J47</f>
        <v>1.234083364332369E-2</v>
      </c>
      <c r="K48" s="136">
        <f>'LCIA_AD-a'!K47</f>
        <v>2.1439753416220663E-5</v>
      </c>
      <c r="L48" s="136">
        <f>'LCIA_AD-a'!L47</f>
        <v>8.7015032149142414E-9</v>
      </c>
      <c r="M48" s="136">
        <f>'LCIA_AD-a'!M47</f>
        <v>1.6596905236710246E-7</v>
      </c>
      <c r="N48" s="136">
        <f>'LCIA_AD-a'!N47</f>
        <v>1.9676602640470916E-7</v>
      </c>
      <c r="O48" s="136">
        <f>'LCIA_AD-a'!O47</f>
        <v>1.0474046667854858E-7</v>
      </c>
      <c r="P48" s="136">
        <f>'LCIA_AD-a'!P47</f>
        <v>4.1389310905179983E-9</v>
      </c>
      <c r="Q48" s="136">
        <f>'LCIA_AD-a'!Q47</f>
        <v>1.2763337153218512E-7</v>
      </c>
      <c r="R48" s="136">
        <f>'LCIA_AD-a'!R47</f>
        <v>1.6534106080479432E-2</v>
      </c>
      <c r="S48" s="136">
        <f>'LCIA_AD-a'!S47</f>
        <v>1.1656841267618703E-2</v>
      </c>
      <c r="T48" s="136">
        <f>'LCIA_AD-a'!T47</f>
        <v>0.10249049260823448</v>
      </c>
      <c r="U48" s="136">
        <f>'LCIA_AD-a'!U47</f>
        <v>1.1125576504552512E-2</v>
      </c>
      <c r="V48" s="136">
        <f>'LCIA_AD-a'!V47</f>
        <v>9.6489525909131685E-7</v>
      </c>
      <c r="W48" s="136">
        <f>'LCIA_AD-a'!W47</f>
        <v>2.6554776215088471E-7</v>
      </c>
      <c r="X48" s="136">
        <f>'LCIA_AD-a'!X47</f>
        <v>6.7963986332143073E-4</v>
      </c>
      <c r="Y48" s="136">
        <f>'LCIA_AD-a'!Y47</f>
        <v>4.6233568878889853E-11</v>
      </c>
      <c r="Z48" s="136">
        <f>'LCIA_AD-a'!Z47</f>
        <v>3.7424948947123667E-7</v>
      </c>
      <c r="AA48" s="136">
        <f>'LCIA_AD-a'!AA47</f>
        <v>1.5755418847462184E-2</v>
      </c>
      <c r="AB48" s="136">
        <f>'LCIA_AD-a'!AB47</f>
        <v>1.5662117661554336E-9</v>
      </c>
      <c r="AC48" s="136">
        <f>'LCIA_AD-a'!AC47</f>
        <v>3.4269056902659287E-2</v>
      </c>
      <c r="AD48" s="136">
        <f>'LCIA_AD-a'!AD47</f>
        <v>3.5220034139757453E-2</v>
      </c>
      <c r="AE48" s="136">
        <f>'LCIA_AD-a'!AE47</f>
        <v>9.6924933185072934E-3</v>
      </c>
      <c r="AF48" s="136">
        <f>'LCIA_AD-a'!AF47</f>
        <v>1.9004186679781043E-3</v>
      </c>
      <c r="AG48" s="136">
        <f>'LCIA_AD-a'!AG47</f>
        <v>0.5052956935927394</v>
      </c>
      <c r="AH48" s="136">
        <f>'LCIA_AD-a'!AH47</f>
        <v>2.2125278087823061E-6</v>
      </c>
      <c r="AI48" s="136">
        <f>'LCIA_AD-a'!AI47</f>
        <v>1.0093591977195651E-5</v>
      </c>
      <c r="AJ48" s="136">
        <f>'LCIA_AD-a'!AJ47</f>
        <v>1.2328554537785757E-6</v>
      </c>
      <c r="AK48" s="136">
        <f>'LCIA_AD-a'!AK47</f>
        <v>1.4715139405635514E-5</v>
      </c>
    </row>
    <row r="49" spans="1:38" x14ac:dyDescent="0.35">
      <c r="A49" s="142"/>
      <c r="B49" s="136" t="s">
        <v>250</v>
      </c>
      <c r="C49" s="136" t="e">
        <f>'LCIA_AD-a'!C48</f>
        <v>#REF!</v>
      </c>
      <c r="D49" s="136" t="e">
        <f>'LCIA_AD-a'!D48</f>
        <v>#REF!</v>
      </c>
      <c r="E49" s="136" t="e">
        <f>'LCIA_AD-a'!E48</f>
        <v>#REF!</v>
      </c>
      <c r="F49" s="136" t="e">
        <f>'LCIA_AD-a'!F48</f>
        <v>#REF!</v>
      </c>
      <c r="G49" s="136">
        <f>'LCIA_AD-a'!G48</f>
        <v>0</v>
      </c>
      <c r="H49" s="136">
        <f>'LCIA_AD-a'!H48</f>
        <v>0</v>
      </c>
      <c r="I49" s="136">
        <f>'LCIA_AD-a'!I48</f>
        <v>0</v>
      </c>
      <c r="J49" s="136">
        <f>'LCIA_AD-a'!J48</f>
        <v>0</v>
      </c>
      <c r="K49" s="136">
        <f>'LCIA_AD-a'!K48</f>
        <v>0</v>
      </c>
      <c r="L49" s="136">
        <f>'LCIA_AD-a'!L48</f>
        <v>0</v>
      </c>
      <c r="M49" s="136">
        <f>'LCIA_AD-a'!M48</f>
        <v>0</v>
      </c>
      <c r="N49" s="136">
        <f>'LCIA_AD-a'!N48</f>
        <v>0</v>
      </c>
      <c r="O49" s="136">
        <f>'LCIA_AD-a'!O48</f>
        <v>0</v>
      </c>
      <c r="P49" s="136">
        <f>'LCIA_AD-a'!P48</f>
        <v>0</v>
      </c>
      <c r="Q49" s="136">
        <f>'LCIA_AD-a'!Q48</f>
        <v>0</v>
      </c>
      <c r="R49" s="136">
        <f>'LCIA_AD-a'!R48</f>
        <v>0</v>
      </c>
      <c r="S49" s="136">
        <f>'LCIA_AD-a'!S48</f>
        <v>0</v>
      </c>
      <c r="T49" s="136">
        <f>'LCIA_AD-a'!T48</f>
        <v>0</v>
      </c>
      <c r="U49" s="136">
        <f>'LCIA_AD-a'!U48</f>
        <v>0</v>
      </c>
      <c r="V49" s="136">
        <f>'LCIA_AD-a'!V48</f>
        <v>0</v>
      </c>
      <c r="W49" s="136">
        <f>'LCIA_AD-a'!W48</f>
        <v>0</v>
      </c>
      <c r="X49" s="136">
        <f>'LCIA_AD-a'!X48</f>
        <v>0</v>
      </c>
      <c r="Y49" s="136">
        <f>'LCIA_AD-a'!Y48</f>
        <v>0</v>
      </c>
      <c r="Z49" s="136">
        <f>'LCIA_AD-a'!Z48</f>
        <v>0</v>
      </c>
      <c r="AA49" s="136">
        <f>'LCIA_AD-a'!AA48</f>
        <v>0</v>
      </c>
      <c r="AB49" s="136">
        <f>'LCIA_AD-a'!AB48</f>
        <v>0</v>
      </c>
      <c r="AC49" s="136">
        <f>'LCIA_AD-a'!AC48</f>
        <v>0</v>
      </c>
      <c r="AD49" s="136">
        <f>'LCIA_AD-a'!AD48</f>
        <v>0</v>
      </c>
      <c r="AE49" s="136">
        <f>'LCIA_AD-a'!AE48</f>
        <v>0</v>
      </c>
      <c r="AF49" s="136">
        <f>'LCIA_AD-a'!AF48</f>
        <v>0</v>
      </c>
      <c r="AG49" s="136">
        <f>'LCIA_AD-a'!AG48</f>
        <v>0</v>
      </c>
      <c r="AH49" s="136">
        <f>'LCIA_AD-a'!AH48</f>
        <v>0</v>
      </c>
      <c r="AI49" s="136">
        <f>'LCIA_AD-a'!AI48</f>
        <v>0</v>
      </c>
      <c r="AJ49" s="136">
        <f>'LCIA_AD-a'!AJ48</f>
        <v>0</v>
      </c>
      <c r="AK49" s="136">
        <f>'LCIA_AD-a'!AK48</f>
        <v>0</v>
      </c>
    </row>
    <row r="50" spans="1:38" x14ac:dyDescent="0.35">
      <c r="A50" s="142" t="s">
        <v>235</v>
      </c>
      <c r="B50" s="136"/>
      <c r="C50" s="136">
        <f>'LCIA_AD-a'!C49</f>
        <v>0</v>
      </c>
      <c r="D50" s="136">
        <f>'LCIA_AD-a'!D49</f>
        <v>0</v>
      </c>
      <c r="E50" s="136">
        <f>'LCIA_AD-a'!E49</f>
        <v>0</v>
      </c>
      <c r="F50" s="136">
        <f>'LCIA_AD-a'!F49</f>
        <v>0</v>
      </c>
      <c r="G50" s="136">
        <f>'LCIA_AD-a'!G49</f>
        <v>0</v>
      </c>
      <c r="H50" s="136">
        <f>'LCIA_AD-a'!H49</f>
        <v>0</v>
      </c>
      <c r="I50" s="136">
        <f>'LCIA_AD-a'!I49</f>
        <v>0</v>
      </c>
      <c r="J50" s="136">
        <f>'LCIA_AD-a'!J49</f>
        <v>0</v>
      </c>
      <c r="K50" s="136">
        <f>'LCIA_AD-a'!K49</f>
        <v>0</v>
      </c>
      <c r="L50" s="136">
        <f>'LCIA_AD-a'!L49</f>
        <v>0</v>
      </c>
      <c r="M50" s="136">
        <f>'LCIA_AD-a'!M49</f>
        <v>0</v>
      </c>
      <c r="N50" s="136">
        <f>'LCIA_AD-a'!N49</f>
        <v>0</v>
      </c>
      <c r="O50" s="136">
        <f>'LCIA_AD-a'!O49</f>
        <v>0</v>
      </c>
      <c r="P50" s="136">
        <f>'LCIA_AD-a'!P49</f>
        <v>0</v>
      </c>
      <c r="Q50" s="136">
        <f>'LCIA_AD-a'!Q49</f>
        <v>0</v>
      </c>
      <c r="R50" s="136">
        <f>'LCIA_AD-a'!R49</f>
        <v>0</v>
      </c>
      <c r="S50" s="136">
        <f>'LCIA_AD-a'!S49</f>
        <v>0</v>
      </c>
      <c r="T50" s="136">
        <f>'LCIA_AD-a'!T49</f>
        <v>0</v>
      </c>
      <c r="U50" s="136">
        <f>'LCIA_AD-a'!U49</f>
        <v>0</v>
      </c>
      <c r="V50" s="136">
        <f>'LCIA_AD-a'!V49</f>
        <v>0</v>
      </c>
      <c r="W50" s="136">
        <f>'LCIA_AD-a'!W49</f>
        <v>0</v>
      </c>
      <c r="X50" s="136">
        <f>'LCIA_AD-a'!X49</f>
        <v>0</v>
      </c>
      <c r="Y50" s="136">
        <f>'LCIA_AD-a'!Y49</f>
        <v>0</v>
      </c>
      <c r="Z50" s="136">
        <f>'LCIA_AD-a'!Z49</f>
        <v>0</v>
      </c>
      <c r="AA50" s="136">
        <f>'LCIA_AD-a'!AA49</f>
        <v>0</v>
      </c>
      <c r="AB50" s="136">
        <f>'LCIA_AD-a'!AB49</f>
        <v>0</v>
      </c>
      <c r="AC50" s="136">
        <f>'LCIA_AD-a'!AC49</f>
        <v>0</v>
      </c>
      <c r="AD50" s="136">
        <f>'LCIA_AD-a'!AD49</f>
        <v>0</v>
      </c>
      <c r="AE50" s="136">
        <f>'LCIA_AD-a'!AE49</f>
        <v>0</v>
      </c>
      <c r="AF50" s="136">
        <f>'LCIA_AD-a'!AF49</f>
        <v>0</v>
      </c>
      <c r="AG50" s="136">
        <f>'LCIA_AD-a'!AG49</f>
        <v>0</v>
      </c>
      <c r="AH50" s="136">
        <f>'LCIA_AD-a'!AH49</f>
        <v>0</v>
      </c>
      <c r="AI50" s="136">
        <f>'LCIA_AD-a'!AI49</f>
        <v>0</v>
      </c>
      <c r="AJ50" s="136">
        <f>'LCIA_AD-a'!AJ49</f>
        <v>0</v>
      </c>
      <c r="AK50" s="136">
        <f>'LCIA_AD-a'!AK49</f>
        <v>0</v>
      </c>
    </row>
    <row r="51" spans="1:38" x14ac:dyDescent="0.35">
      <c r="A51" s="142"/>
      <c r="B51" s="136" t="s">
        <v>286</v>
      </c>
      <c r="C51" s="136" t="e">
        <f>'LCIA_AD-a'!C50</f>
        <v>#REF!</v>
      </c>
      <c r="D51" s="136" t="e">
        <f>'LCIA_AD-a'!D50</f>
        <v>#REF!</v>
      </c>
      <c r="E51" s="136" t="e">
        <f>'LCIA_AD-a'!E50</f>
        <v>#REF!</v>
      </c>
      <c r="F51" s="136" t="e">
        <f>'LCIA_AD-a'!F50</f>
        <v>#REF!</v>
      </c>
      <c r="G51" s="136">
        <f>'LCIA_AD-a'!G50</f>
        <v>3.4259653114390555E-19</v>
      </c>
      <c r="H51" s="136">
        <f>'LCIA_AD-a'!H50</f>
        <v>1.9088748614477355E-3</v>
      </c>
      <c r="I51" s="136">
        <f>'LCIA_AD-a'!I50</f>
        <v>2.1165975185515697E-2</v>
      </c>
      <c r="J51" s="136">
        <f>'LCIA_AD-a'!J50</f>
        <v>7.7842440064621963E-3</v>
      </c>
      <c r="K51" s="136">
        <f>'LCIA_AD-a'!K50</f>
        <v>1.2090234903629117E-5</v>
      </c>
      <c r="L51" s="136">
        <f>'LCIA_AD-a'!L50</f>
        <v>1.3807900143766815E-9</v>
      </c>
      <c r="M51" s="136">
        <f>'LCIA_AD-a'!M50</f>
        <v>7.8521018154124293E-8</v>
      </c>
      <c r="N51" s="136">
        <f>'LCIA_AD-a'!N50</f>
        <v>5.1916740498462542E-8</v>
      </c>
      <c r="O51" s="136">
        <f>'LCIA_AD-a'!O50</f>
        <v>3.4957298081958831E-8</v>
      </c>
      <c r="P51" s="136">
        <f>'LCIA_AD-a'!P50</f>
        <v>1.6087202212299374E-11</v>
      </c>
      <c r="Q51" s="136">
        <f>'LCIA_AD-a'!Q50</f>
        <v>1.9821700798180701E-10</v>
      </c>
      <c r="R51" s="136">
        <f>'LCIA_AD-a'!R50</f>
        <v>9.3882236600461508E-3</v>
      </c>
      <c r="S51" s="136">
        <f>'LCIA_AD-a'!S50</f>
        <v>1.0847515163367839E-2</v>
      </c>
      <c r="T51" s="136">
        <f>'LCIA_AD-a'!T50</f>
        <v>5.9340583237830792E-2</v>
      </c>
      <c r="U51" s="136">
        <f>'LCIA_AD-a'!U50</f>
        <v>6.4415394809225063E-3</v>
      </c>
      <c r="V51" s="136">
        <f>'LCIA_AD-a'!V50</f>
        <v>2.2361093064658549E-8</v>
      </c>
      <c r="W51" s="136">
        <f>'LCIA_AD-a'!W50</f>
        <v>1.8378519819012135E-8</v>
      </c>
      <c r="X51" s="136">
        <f>'LCIA_AD-a'!X50</f>
        <v>4.9087972213900696E-4</v>
      </c>
      <c r="Y51" s="136">
        <f>'LCIA_AD-a'!Y50</f>
        <v>1.4130656214684504E-11</v>
      </c>
      <c r="Z51" s="136">
        <f>'LCIA_AD-a'!Z50</f>
        <v>2.3089230034193365E-7</v>
      </c>
      <c r="AA51" s="136">
        <f>'LCIA_AD-a'!AA50</f>
        <v>1.24610140420619E-2</v>
      </c>
      <c r="AB51" s="136">
        <f>'LCIA_AD-a'!AB50</f>
        <v>1.2166988717580699E-9</v>
      </c>
      <c r="AC51" s="136">
        <f>'LCIA_AD-a'!AC50</f>
        <v>1.357355809150523E-2</v>
      </c>
      <c r="AD51" s="136">
        <f>'LCIA_AD-a'!AD50</f>
        <v>8.1619861313748173E-4</v>
      </c>
      <c r="AE51" s="136">
        <f>'LCIA_AD-a'!AE50</f>
        <v>6.7081597339394266E-4</v>
      </c>
      <c r="AF51" s="136">
        <f>'LCIA_AD-a'!AF50</f>
        <v>1.5428172135718716E-5</v>
      </c>
      <c r="AG51" s="136">
        <f>'LCIA_AD-a'!AG50</f>
        <v>0.1449237168411589</v>
      </c>
      <c r="AH51" s="136">
        <f>'LCIA_AD-a'!AH50</f>
        <v>4.374991643569647E-7</v>
      </c>
      <c r="AI51" s="136">
        <f>'LCIA_AD-a'!AI50</f>
        <v>3.14403300469906E-7</v>
      </c>
      <c r="AJ51" s="136">
        <f>'LCIA_AD-a'!AJ50</f>
        <v>3.8401970730154165E-8</v>
      </c>
      <c r="AK51" s="136">
        <f>'LCIA_AD-a'!AK50</f>
        <v>6.4212372885133327E-6</v>
      </c>
    </row>
    <row r="52" spans="1:38" x14ac:dyDescent="0.35">
      <c r="A52" s="142"/>
      <c r="B52" s="136" t="s">
        <v>235</v>
      </c>
      <c r="C52" s="136" t="e">
        <f>'LCIA_AD-a'!C51</f>
        <v>#REF!</v>
      </c>
      <c r="D52" s="136" t="e">
        <f>'LCIA_AD-a'!D51</f>
        <v>#REF!</v>
      </c>
      <c r="E52" s="136" t="e">
        <f>'LCIA_AD-a'!E51</f>
        <v>#REF!</v>
      </c>
      <c r="F52" s="136" t="e">
        <f>'LCIA_AD-a'!F51</f>
        <v>#REF!</v>
      </c>
      <c r="G52" s="136">
        <f>'LCIA_AD-a'!G51</f>
        <v>1.3417014761931066E-18</v>
      </c>
      <c r="H52" s="136">
        <f>'LCIA_AD-a'!H51</f>
        <v>7.0661974280644954E-2</v>
      </c>
      <c r="I52" s="136">
        <f>'LCIA_AD-a'!I51</f>
        <v>0.93416719125512804</v>
      </c>
      <c r="J52" s="136">
        <f>'LCIA_AD-a'!J51</f>
        <v>0.11947233209536294</v>
      </c>
      <c r="K52" s="136">
        <f>'LCIA_AD-a'!K51</f>
        <v>5.8252778621848689E-3</v>
      </c>
      <c r="L52" s="136">
        <f>'LCIA_AD-a'!L51</f>
        <v>7.543227881230801E-8</v>
      </c>
      <c r="M52" s="136">
        <f>'LCIA_AD-a'!M51</f>
        <v>9.2358423028085057E-6</v>
      </c>
      <c r="N52" s="136">
        <f>'LCIA_AD-a'!N51</f>
        <v>2.0141902382323624E-6</v>
      </c>
      <c r="O52" s="136">
        <f>'LCIA_AD-a'!O51</f>
        <v>2.073338334217323E-5</v>
      </c>
      <c r="P52" s="136">
        <f>'LCIA_AD-a'!P51</f>
        <v>1.6721138820675336E-10</v>
      </c>
      <c r="Q52" s="136">
        <f>'LCIA_AD-a'!Q51</f>
        <v>2.5414819458518307E-9</v>
      </c>
      <c r="R52" s="136">
        <f>'LCIA_AD-a'!R51</f>
        <v>0.10325709629067527</v>
      </c>
      <c r="S52" s="136">
        <f>'LCIA_AD-a'!S51</f>
        <v>0.20192306813671582</v>
      </c>
      <c r="T52" s="136">
        <f>'LCIA_AD-a'!T51</f>
        <v>0.81381304343515604</v>
      </c>
      <c r="U52" s="136">
        <f>'LCIA_AD-a'!U51</f>
        <v>8.8340903369667073E-2</v>
      </c>
      <c r="V52" s="136">
        <f>'LCIA_AD-a'!V51</f>
        <v>4.1790110398157114E-7</v>
      </c>
      <c r="W52" s="136">
        <f>'LCIA_AD-a'!W51</f>
        <v>9.1166986820938597E-7</v>
      </c>
      <c r="X52" s="136">
        <f>'LCIA_AD-a'!X51</f>
        <v>3.6914893888666471E-2</v>
      </c>
      <c r="Y52" s="136">
        <f>'LCIA_AD-a'!Y51</f>
        <v>3.4271490621614475E-10</v>
      </c>
      <c r="Z52" s="136">
        <f>'LCIA_AD-a'!Z51</f>
        <v>8.8111435597395313E-6</v>
      </c>
      <c r="AA52" s="136">
        <f>'LCIA_AD-a'!AA51</f>
        <v>0.52310036021523809</v>
      </c>
      <c r="AB52" s="136">
        <f>'LCIA_AD-a'!AB51</f>
        <v>5.3982752056258097E-8</v>
      </c>
      <c r="AC52" s="136">
        <f>'LCIA_AD-a'!AC51</f>
        <v>0.52930584039175488</v>
      </c>
      <c r="AD52" s="136">
        <f>'LCIA_AD-a'!AD51</f>
        <v>1.5262636374080941E-2</v>
      </c>
      <c r="AE52" s="136">
        <f>'LCIA_AD-a'!AE51</f>
        <v>3.3275950189642592E-2</v>
      </c>
      <c r="AF52" s="136">
        <f>'LCIA_AD-a'!AF51</f>
        <v>3.8173633035694057E-4</v>
      </c>
      <c r="AG52" s="136">
        <f>'LCIA_AD-a'!AG51</f>
        <v>3.4759974820656048</v>
      </c>
      <c r="AH52" s="136">
        <f>'LCIA_AD-a'!AH51</f>
        <v>5.0697184643165686E-5</v>
      </c>
      <c r="AI52" s="136">
        <f>'LCIA_AD-a'!AI51</f>
        <v>7.999127841649449E-5</v>
      </c>
      <c r="AJ52" s="136">
        <f>'LCIA_AD-a'!AJ51</f>
        <v>9.7703259724914291E-6</v>
      </c>
      <c r="AK52" s="136">
        <f>'LCIA_AD-a'!AK51</f>
        <v>2.1385693372968594E-4</v>
      </c>
    </row>
    <row r="53" spans="1:38" x14ac:dyDescent="0.35">
      <c r="A53" s="142" t="s">
        <v>6</v>
      </c>
      <c r="B53" s="136"/>
      <c r="C53" s="136">
        <f>'LCIA_AD-a'!C52</f>
        <v>0</v>
      </c>
      <c r="D53" s="136">
        <f>'LCIA_AD-a'!D52</f>
        <v>0</v>
      </c>
      <c r="E53" s="136">
        <f>'LCIA_AD-a'!E52</f>
        <v>0</v>
      </c>
      <c r="F53" s="136">
        <f>'LCIA_AD-a'!F52</f>
        <v>0</v>
      </c>
      <c r="G53" s="136">
        <f>'LCIA_AD-a'!G52</f>
        <v>0</v>
      </c>
      <c r="H53" s="136">
        <f>'LCIA_AD-a'!H52</f>
        <v>0</v>
      </c>
      <c r="I53" s="136">
        <f>'LCIA_AD-a'!I52</f>
        <v>0</v>
      </c>
      <c r="J53" s="136">
        <f>'LCIA_AD-a'!J52</f>
        <v>0</v>
      </c>
      <c r="K53" s="136">
        <f>'LCIA_AD-a'!K52</f>
        <v>0</v>
      </c>
      <c r="L53" s="136">
        <f>'LCIA_AD-a'!L52</f>
        <v>0</v>
      </c>
      <c r="M53" s="136">
        <f>'LCIA_AD-a'!M52</f>
        <v>0</v>
      </c>
      <c r="N53" s="136">
        <f>'LCIA_AD-a'!N52</f>
        <v>0</v>
      </c>
      <c r="O53" s="136">
        <f>'LCIA_AD-a'!O52</f>
        <v>0</v>
      </c>
      <c r="P53" s="136">
        <f>'LCIA_AD-a'!P52</f>
        <v>0</v>
      </c>
      <c r="Q53" s="136">
        <f>'LCIA_AD-a'!Q52</f>
        <v>0</v>
      </c>
      <c r="R53" s="136">
        <f>'LCIA_AD-a'!R52</f>
        <v>0</v>
      </c>
      <c r="S53" s="136">
        <f>'LCIA_AD-a'!S52</f>
        <v>0</v>
      </c>
      <c r="T53" s="136">
        <f>'LCIA_AD-a'!T52</f>
        <v>0</v>
      </c>
      <c r="U53" s="136">
        <f>'LCIA_AD-a'!U52</f>
        <v>0</v>
      </c>
      <c r="V53" s="136">
        <f>'LCIA_AD-a'!V52</f>
        <v>0</v>
      </c>
      <c r="W53" s="136">
        <f>'LCIA_AD-a'!W52</f>
        <v>0</v>
      </c>
      <c r="X53" s="136">
        <f>'LCIA_AD-a'!X52</f>
        <v>0</v>
      </c>
      <c r="Y53" s="136">
        <f>'LCIA_AD-a'!Y52</f>
        <v>0</v>
      </c>
      <c r="Z53" s="136">
        <f>'LCIA_AD-a'!Z52</f>
        <v>0</v>
      </c>
      <c r="AA53" s="136">
        <f>'LCIA_AD-a'!AA52</f>
        <v>0</v>
      </c>
      <c r="AB53" s="136">
        <f>'LCIA_AD-a'!AB52</f>
        <v>0</v>
      </c>
      <c r="AC53" s="136">
        <f>'LCIA_AD-a'!AC52</f>
        <v>0</v>
      </c>
      <c r="AD53" s="136">
        <f>'LCIA_AD-a'!AD52</f>
        <v>0</v>
      </c>
      <c r="AE53" s="136">
        <f>'LCIA_AD-a'!AE52</f>
        <v>0</v>
      </c>
      <c r="AF53" s="136">
        <f>'LCIA_AD-a'!AF52</f>
        <v>0</v>
      </c>
      <c r="AG53" s="136">
        <f>'LCIA_AD-a'!AG52</f>
        <v>0</v>
      </c>
      <c r="AH53" s="136">
        <f>'LCIA_AD-a'!AH52</f>
        <v>0</v>
      </c>
      <c r="AI53" s="136">
        <f>'LCIA_AD-a'!AI52</f>
        <v>0</v>
      </c>
      <c r="AJ53" s="136">
        <f>'LCIA_AD-a'!AJ52</f>
        <v>0</v>
      </c>
      <c r="AK53" s="136">
        <f>'LCIA_AD-a'!AK52</f>
        <v>0</v>
      </c>
    </row>
    <row r="54" spans="1:38" x14ac:dyDescent="0.35">
      <c r="A54" s="142"/>
      <c r="B54" s="136" t="s">
        <v>8</v>
      </c>
      <c r="C54" s="136" t="e">
        <f>'LCIA_AD-a'!C53</f>
        <v>#REF!</v>
      </c>
      <c r="D54" s="136" t="e">
        <f>'LCIA_AD-a'!D53</f>
        <v>#REF!</v>
      </c>
      <c r="E54" s="136" t="e">
        <f>'LCIA_AD-a'!E53</f>
        <v>#REF!</v>
      </c>
      <c r="F54" s="136" t="e">
        <f>'LCIA_AD-a'!F53</f>
        <v>#REF!</v>
      </c>
      <c r="G54" s="136">
        <f>'LCIA_AD-a'!G53</f>
        <v>2.0146246273707774E-19</v>
      </c>
      <c r="H54" s="136">
        <f>'LCIA_AD-a'!H53</f>
        <v>1.1619456849343674E-2</v>
      </c>
      <c r="I54" s="136">
        <f>'LCIA_AD-a'!I53</f>
        <v>0.55576682166479929</v>
      </c>
      <c r="J54" s="136">
        <f>'LCIA_AD-a'!J53</f>
        <v>2.7612306137817434E-2</v>
      </c>
      <c r="K54" s="136">
        <f>'LCIA_AD-a'!K53</f>
        <v>4.7970911200822386E-5</v>
      </c>
      <c r="L54" s="136">
        <f>'LCIA_AD-a'!L53</f>
        <v>1.9469395469843191E-8</v>
      </c>
      <c r="M54" s="136">
        <f>'LCIA_AD-a'!M53</f>
        <v>3.7135159712999983E-7</v>
      </c>
      <c r="N54" s="136">
        <f>'LCIA_AD-a'!N53</f>
        <v>4.4025905507185927E-7</v>
      </c>
      <c r="O54" s="136">
        <f>'LCIA_AD-a'!O53</f>
        <v>2.3435417043406713E-7</v>
      </c>
      <c r="P54" s="136">
        <f>'LCIA_AD-a'!P53</f>
        <v>9.2607546343954807E-9</v>
      </c>
      <c r="Q54" s="136">
        <f>'LCIA_AD-a'!Q53</f>
        <v>2.8557647157451842E-7</v>
      </c>
      <c r="R54" s="136">
        <f>'LCIA_AD-a'!R53</f>
        <v>3.6994648174058696E-2</v>
      </c>
      <c r="S54" s="136">
        <f>'LCIA_AD-a'!S53</f>
        <v>2.6081890331255075E-2</v>
      </c>
      <c r="T54" s="136">
        <f>'LCIA_AD-a'!T53</f>
        <v>0.22931990981381525</v>
      </c>
      <c r="U54" s="136">
        <f>'LCIA_AD-a'!U53</f>
        <v>2.4893198732130022E-2</v>
      </c>
      <c r="V54" s="136">
        <f>'LCIA_AD-a'!V53</f>
        <v>2.1589289714938985E-6</v>
      </c>
      <c r="W54" s="136">
        <f>'LCIA_AD-a'!W53</f>
        <v>5.9415646581455464E-7</v>
      </c>
      <c r="X54" s="136">
        <f>'LCIA_AD-a'!X53</f>
        <v>1.5206771691350248E-3</v>
      </c>
      <c r="Y54" s="136">
        <f>'LCIA_AD-a'!Y53</f>
        <v>1.0344645221098301E-10</v>
      </c>
      <c r="Z54" s="136">
        <f>'LCIA_AD-a'!Z53</f>
        <v>8.3737385770468086E-7</v>
      </c>
      <c r="AA54" s="136">
        <f>'LCIA_AD-a'!AA53</f>
        <v>3.5252354996375815E-2</v>
      </c>
      <c r="AB54" s="136">
        <f>'LCIA_AD-a'!AB53</f>
        <v>3.5043595930111055E-9</v>
      </c>
      <c r="AC54" s="136">
        <f>'LCIA_AD-a'!AC53</f>
        <v>7.6676156376390969E-2</v>
      </c>
      <c r="AD54" s="136">
        <f>'LCIA_AD-a'!AD53</f>
        <v>7.8803944122323041E-2</v>
      </c>
      <c r="AE54" s="136">
        <f>'LCIA_AD-a'!AE53</f>
        <v>2.1686711002231247E-2</v>
      </c>
      <c r="AF54" s="136">
        <f>'LCIA_AD-a'!AF53</f>
        <v>4.2521391639229527E-3</v>
      </c>
      <c r="AG54" s="136">
        <f>'LCIA_AD-a'!AG53</f>
        <v>1.1305864567059991</v>
      </c>
      <c r="AH54" s="136">
        <f>'LCIA_AD-a'!AH53</f>
        <v>4.950475548107104E-6</v>
      </c>
      <c r="AI54" s="136">
        <f>'LCIA_AD-a'!AI53</f>
        <v>2.258415920348486E-5</v>
      </c>
      <c r="AJ54" s="136">
        <f>'LCIA_AD-a'!AJ53</f>
        <v>2.7584831946769133E-6</v>
      </c>
      <c r="AK54" s="136">
        <f>'LCIA_AD-a'!AK53</f>
        <v>3.2924755804392892E-5</v>
      </c>
    </row>
    <row r="55" spans="1:38" x14ac:dyDescent="0.35">
      <c r="A55" s="142"/>
      <c r="B55" s="136" t="s">
        <v>18</v>
      </c>
      <c r="C55" s="136" t="e">
        <f>'LCIA_AD-a'!C54</f>
        <v>#REF!</v>
      </c>
      <c r="D55" s="136" t="e">
        <f>'LCIA_AD-a'!D54</f>
        <v>#REF!</v>
      </c>
      <c r="E55" s="136" t="e">
        <f>'LCIA_AD-a'!E54</f>
        <v>#REF!</v>
      </c>
      <c r="F55" s="136" t="e">
        <f>'LCIA_AD-a'!F54</f>
        <v>#REF!</v>
      </c>
      <c r="G55" s="136">
        <f>'LCIA_AD-a'!G54</f>
        <v>2.7159126165986591E-17</v>
      </c>
      <c r="H55" s="136">
        <f>'LCIA_AD-a'!H54</f>
        <v>3.9384429899939365E-2</v>
      </c>
      <c r="I55" s="136">
        <f>'LCIA_AD-a'!I54</f>
        <v>1.1164091774138278</v>
      </c>
      <c r="J55" s="136">
        <f>'LCIA_AD-a'!J54</f>
        <v>0.14465944541327941</v>
      </c>
      <c r="K55" s="136">
        <f>'LCIA_AD-a'!K54</f>
        <v>5.9732092169600232E-4</v>
      </c>
      <c r="L55" s="136">
        <f>'LCIA_AD-a'!L54</f>
        <v>2.4810764281290643E-8</v>
      </c>
      <c r="M55" s="136">
        <f>'LCIA_AD-a'!M54</f>
        <v>9.5025968432804083E-7</v>
      </c>
      <c r="N55" s="136">
        <f>'LCIA_AD-a'!N54</f>
        <v>8.8695954394508445E-7</v>
      </c>
      <c r="O55" s="136">
        <f>'LCIA_AD-a'!O54</f>
        <v>6.3949866864703821E-7</v>
      </c>
      <c r="P55" s="136">
        <f>'LCIA_AD-a'!P54</f>
        <v>3.4244674996023721E-10</v>
      </c>
      <c r="Q55" s="136">
        <f>'LCIA_AD-a'!Q54</f>
        <v>5.640495591874525E-9</v>
      </c>
      <c r="R55" s="136">
        <f>'LCIA_AD-a'!R54</f>
        <v>1.2522888650153385</v>
      </c>
      <c r="S55" s="136">
        <f>'LCIA_AD-a'!S54</f>
        <v>0.22236732164114079</v>
      </c>
      <c r="T55" s="136">
        <f>'LCIA_AD-a'!T54</f>
        <v>1.2993103391764373</v>
      </c>
      <c r="U55" s="136">
        <f>'LCIA_AD-a'!U54</f>
        <v>0.1410432154146555</v>
      </c>
      <c r="V55" s="136">
        <f>'LCIA_AD-a'!V54</f>
        <v>4.8995566111538829E-6</v>
      </c>
      <c r="W55" s="136">
        <f>'LCIA_AD-a'!W54</f>
        <v>3.1636932996387812E-6</v>
      </c>
      <c r="X55" s="136">
        <f>'LCIA_AD-a'!X54</f>
        <v>8.7941767587420248E-3</v>
      </c>
      <c r="Y55" s="136">
        <f>'LCIA_AD-a'!Y54</f>
        <v>5.5520031014139023E-10</v>
      </c>
      <c r="Z55" s="136">
        <f>'LCIA_AD-a'!Z54</f>
        <v>4.2239854117750112E-5</v>
      </c>
      <c r="AA55" s="136">
        <f>'LCIA_AD-a'!AA54</f>
        <v>0.30103279985134818</v>
      </c>
      <c r="AB55" s="136">
        <f>'LCIA_AD-a'!AB54</f>
        <v>3.0275729153819333E-8</v>
      </c>
      <c r="AC55" s="136">
        <f>'LCIA_AD-a'!AC54</f>
        <v>0.29460585077001711</v>
      </c>
      <c r="AD55" s="136">
        <f>'LCIA_AD-a'!AD54</f>
        <v>0.17883454948602154</v>
      </c>
      <c r="AE55" s="136">
        <f>'LCIA_AD-a'!AE54</f>
        <v>0.11547480543681553</v>
      </c>
      <c r="AF55" s="136">
        <f>'LCIA_AD-a'!AF54</f>
        <v>4.3393968358153263E-4</v>
      </c>
      <c r="AG55" s="136">
        <f>'LCIA_AD-a'!AG54</f>
        <v>5.1153930044438809</v>
      </c>
      <c r="AH55" s="136">
        <f>'LCIA_AD-a'!AH54</f>
        <v>4.6235202174172931E-5</v>
      </c>
      <c r="AI55" s="136">
        <f>'LCIA_AD-a'!AI54</f>
        <v>1.1931549424189578E-5</v>
      </c>
      <c r="AJ55" s="136">
        <f>'LCIA_AD-a'!AJ54</f>
        <v>1.4573479701655237E-6</v>
      </c>
      <c r="AK55" s="136">
        <f>'LCIA_AD-a'!AK54</f>
        <v>1.367724192572127E-4</v>
      </c>
    </row>
    <row r="56" spans="1:38" x14ac:dyDescent="0.35">
      <c r="A56" s="142"/>
      <c r="B56" s="136" t="s">
        <v>96</v>
      </c>
      <c r="C56" s="136" t="e">
        <f>'LCIA_AD-a'!C55</f>
        <v>#REF!</v>
      </c>
      <c r="D56" s="136" t="e">
        <f>'LCIA_AD-a'!D55</f>
        <v>#REF!</v>
      </c>
      <c r="E56" s="136" t="e">
        <f>'LCIA_AD-a'!E55</f>
        <v>#REF!</v>
      </c>
      <c r="F56" s="136" t="e">
        <f>'LCIA_AD-a'!F55</f>
        <v>#REF!</v>
      </c>
      <c r="G56" s="136">
        <f>'LCIA_AD-a'!G55</f>
        <v>0</v>
      </c>
      <c r="H56" s="136">
        <f>'LCIA_AD-a'!H55</f>
        <v>0</v>
      </c>
      <c r="I56" s="136">
        <f>'LCIA_AD-a'!I55</f>
        <v>0</v>
      </c>
      <c r="J56" s="136">
        <f>'LCIA_AD-a'!J55</f>
        <v>0</v>
      </c>
      <c r="K56" s="136">
        <f>'LCIA_AD-a'!K55</f>
        <v>0</v>
      </c>
      <c r="L56" s="136">
        <f>'LCIA_AD-a'!L55</f>
        <v>0</v>
      </c>
      <c r="M56" s="136">
        <f>'LCIA_AD-a'!M55</f>
        <v>0</v>
      </c>
      <c r="N56" s="136">
        <f>'LCIA_AD-a'!N55</f>
        <v>0</v>
      </c>
      <c r="O56" s="136">
        <f>'LCIA_AD-a'!O55</f>
        <v>0</v>
      </c>
      <c r="P56" s="136">
        <f>'LCIA_AD-a'!P55</f>
        <v>0</v>
      </c>
      <c r="Q56" s="136">
        <f>'LCIA_AD-a'!Q55</f>
        <v>0</v>
      </c>
      <c r="R56" s="136">
        <f>'LCIA_AD-a'!R55</f>
        <v>0</v>
      </c>
      <c r="S56" s="136">
        <f>'LCIA_AD-a'!S55</f>
        <v>0</v>
      </c>
      <c r="T56" s="136">
        <f>'LCIA_AD-a'!T55</f>
        <v>0</v>
      </c>
      <c r="U56" s="136">
        <f>'LCIA_AD-a'!U55</f>
        <v>0</v>
      </c>
      <c r="V56" s="136">
        <f>'LCIA_AD-a'!V55</f>
        <v>0</v>
      </c>
      <c r="W56" s="136">
        <f>'LCIA_AD-a'!W55</f>
        <v>0</v>
      </c>
      <c r="X56" s="136">
        <f>'LCIA_AD-a'!X55</f>
        <v>0</v>
      </c>
      <c r="Y56" s="136">
        <f>'LCIA_AD-a'!Y55</f>
        <v>0</v>
      </c>
      <c r="Z56" s="136">
        <f>'LCIA_AD-a'!Z55</f>
        <v>0</v>
      </c>
      <c r="AA56" s="136">
        <f>'LCIA_AD-a'!AA55</f>
        <v>0</v>
      </c>
      <c r="AB56" s="136">
        <f>'LCIA_AD-a'!AB55</f>
        <v>0</v>
      </c>
      <c r="AC56" s="136">
        <f>'LCIA_AD-a'!AC55</f>
        <v>0</v>
      </c>
      <c r="AD56" s="136">
        <f>'LCIA_AD-a'!AD55</f>
        <v>0</v>
      </c>
      <c r="AE56" s="136">
        <f>'LCIA_AD-a'!AE55</f>
        <v>0</v>
      </c>
      <c r="AF56" s="136">
        <f>'LCIA_AD-a'!AF55</f>
        <v>0</v>
      </c>
      <c r="AG56" s="136">
        <f>'LCIA_AD-a'!AG55</f>
        <v>0</v>
      </c>
      <c r="AH56" s="136">
        <f>'LCIA_AD-a'!AH55</f>
        <v>0</v>
      </c>
      <c r="AI56" s="136">
        <f>'LCIA_AD-a'!AI55</f>
        <v>0</v>
      </c>
      <c r="AJ56" s="136">
        <f>'LCIA_AD-a'!AJ55</f>
        <v>0</v>
      </c>
      <c r="AK56" s="136">
        <f>'LCIA_AD-a'!AK55</f>
        <v>0</v>
      </c>
    </row>
    <row r="57" spans="1:38" x14ac:dyDescent="0.35">
      <c r="A57" s="142" t="s">
        <v>476</v>
      </c>
      <c r="B57" s="136"/>
      <c r="C57" s="136"/>
      <c r="D57" s="136"/>
      <c r="E57" s="136"/>
      <c r="F57" s="136"/>
      <c r="G57" s="136"/>
      <c r="H57" s="136"/>
      <c r="I57" s="136"/>
      <c r="J57" s="136"/>
      <c r="K57" s="136"/>
      <c r="L57" s="136"/>
      <c r="M57" s="136"/>
      <c r="N57" s="136"/>
      <c r="O57" s="136"/>
      <c r="P57" s="136"/>
      <c r="Q57" s="136"/>
      <c r="R57" s="136"/>
      <c r="S57" s="136"/>
      <c r="T57" s="136"/>
      <c r="U57" s="136"/>
      <c r="V57" s="136"/>
      <c r="W57" s="136"/>
      <c r="X57" s="136"/>
      <c r="Y57" s="136"/>
      <c r="Z57" s="136"/>
      <c r="AA57" s="136"/>
      <c r="AB57" s="136"/>
      <c r="AC57" s="136"/>
      <c r="AD57" s="136"/>
      <c r="AE57" s="136"/>
      <c r="AF57" s="136"/>
      <c r="AG57" s="136"/>
      <c r="AH57" s="136"/>
      <c r="AI57" s="136"/>
      <c r="AJ57" s="136"/>
      <c r="AK57" s="136"/>
    </row>
    <row r="58" spans="1:38" x14ac:dyDescent="0.35">
      <c r="A58" s="142"/>
      <c r="B58" s="136" t="s">
        <v>96</v>
      </c>
      <c r="C58" s="138" t="e">
        <f>'LCI_AD-e'!$E17*'IW+_end'!#REF!</f>
        <v>#REF!</v>
      </c>
      <c r="D58" s="138" t="e">
        <f>'LCI_AD-e'!$E17*'IW+_end'!#REF!</f>
        <v>#REF!</v>
      </c>
      <c r="E58" s="138" t="e">
        <f>'LCI_AD-e'!$E17*'IW+_end'!#REF!</f>
        <v>#REF!</v>
      </c>
      <c r="F58" s="138" t="e">
        <f>'LCI_AD-e'!$E17*'IW+_end'!#REF!</f>
        <v>#REF!</v>
      </c>
      <c r="G58" s="138">
        <f>'LCI_AD-e'!$E17*'IW+_end'!C12</f>
        <v>0</v>
      </c>
      <c r="H58" s="138">
        <f>'LCI_AD-e'!$E17*'IW+_end'!D12</f>
        <v>0</v>
      </c>
      <c r="I58" s="138">
        <f>'LCI_AD-e'!$E17*'IW+_end'!E12</f>
        <v>0</v>
      </c>
      <c r="J58" s="138">
        <f>'LCI_AD-e'!$E17*'IW+_end'!F12</f>
        <v>0</v>
      </c>
      <c r="K58" s="138">
        <f>'LCI_AD-e'!$E17*'IW+_end'!G12</f>
        <v>0</v>
      </c>
      <c r="L58" s="138">
        <f>'LCI_AD-e'!$E17*'IW+_end'!H12</f>
        <v>0</v>
      </c>
      <c r="M58" s="138">
        <f>'LCI_AD-e'!$E17*'IW+_end'!I12</f>
        <v>0</v>
      </c>
      <c r="N58" s="138">
        <f>'LCI_AD-e'!$E17*'IW+_end'!J12</f>
        <v>0</v>
      </c>
      <c r="O58" s="138">
        <f>'LCI_AD-e'!$E17*'IW+_end'!K12</f>
        <v>0</v>
      </c>
      <c r="P58" s="138">
        <f>'LCI_AD-e'!$E17*'IW+_end'!L12</f>
        <v>0</v>
      </c>
      <c r="Q58" s="138">
        <f>'LCI_AD-e'!$E17*'IW+_end'!M12</f>
        <v>0</v>
      </c>
      <c r="R58" s="138">
        <f>'LCI_AD-e'!$E17*'IW+_end'!N12</f>
        <v>0</v>
      </c>
      <c r="S58" s="138">
        <f>'LCI_AD-e'!$E17*'IW+_end'!O12</f>
        <v>0</v>
      </c>
      <c r="T58" s="138">
        <f>'LCI_AD-e'!$E17*'IW+_end'!P12</f>
        <v>0</v>
      </c>
      <c r="U58" s="138">
        <f>'LCI_AD-e'!$E17*'IW+_end'!Q12</f>
        <v>0</v>
      </c>
      <c r="V58" s="138">
        <f>'LCI_AD-e'!$E17*'IW+_end'!R12</f>
        <v>0</v>
      </c>
      <c r="W58" s="138">
        <f>'LCI_AD-e'!$E17*'IW+_end'!S12</f>
        <v>0</v>
      </c>
      <c r="X58" s="138">
        <f>'LCI_AD-e'!$E17*'IW+_end'!T12</f>
        <v>0</v>
      </c>
      <c r="Y58" s="138">
        <f>'LCI_AD-e'!$E17*'IW+_end'!U12</f>
        <v>0</v>
      </c>
      <c r="Z58" s="138">
        <f>'LCI_AD-e'!$E17*'IW+_end'!V12</f>
        <v>0</v>
      </c>
      <c r="AA58" s="138">
        <f>'LCI_AD-e'!$E17*'IW+_end'!W12</f>
        <v>0</v>
      </c>
      <c r="AB58" s="138">
        <f>'LCI_AD-e'!$E17*'IW+_end'!X12</f>
        <v>0</v>
      </c>
      <c r="AC58" s="138">
        <f>'LCI_AD-e'!$E17*'IW+_end'!Y12</f>
        <v>0</v>
      </c>
      <c r="AD58" s="138">
        <f>'LCI_AD-e'!$E17*'IW+_end'!Z12</f>
        <v>0</v>
      </c>
      <c r="AE58" s="138">
        <f>'LCI_AD-e'!$E17*'IW+_end'!AA12</f>
        <v>0</v>
      </c>
      <c r="AF58" s="138">
        <f>'LCI_AD-e'!$E17*'IW+_end'!AB12</f>
        <v>0</v>
      </c>
      <c r="AG58" s="138">
        <f>'LCI_AD-e'!$E17*'IW+_end'!AC12</f>
        <v>0</v>
      </c>
      <c r="AH58" s="138">
        <f>'LCI_AD-e'!$E17*'IW+_end'!AD12</f>
        <v>0</v>
      </c>
      <c r="AI58" s="138">
        <f>'LCI_AD-e'!$E17*'IW+_end'!AE12</f>
        <v>0</v>
      </c>
      <c r="AJ58" s="138">
        <f>'LCI_AD-e'!$E17*'IW+_end'!AF12</f>
        <v>0</v>
      </c>
      <c r="AK58" s="138">
        <f>'LCI_AD-e'!$E17*'IW+_end'!AG12</f>
        <v>0</v>
      </c>
    </row>
    <row r="59" spans="1:38" x14ac:dyDescent="0.35">
      <c r="A59" s="142"/>
      <c r="B59" s="136" t="s">
        <v>111</v>
      </c>
      <c r="C59" s="138" t="e">
        <f>'LCI_AD-e'!$E18*'IW+_end'!#REF!</f>
        <v>#REF!</v>
      </c>
      <c r="D59" s="138" t="e">
        <f>'LCI_AD-e'!$E18*'IW+_end'!#REF!</f>
        <v>#REF!</v>
      </c>
      <c r="E59" s="138" t="e">
        <f>'LCI_AD-e'!$E18*'IW+_end'!#REF!</f>
        <v>#REF!</v>
      </c>
      <c r="F59" s="138" t="e">
        <f>'LCI_AD-e'!$E18*'IW+_end'!#REF!</f>
        <v>#REF!</v>
      </c>
      <c r="G59" s="138">
        <f>'LCI_AD-e'!$E18*'IW+_end'!C20</f>
        <v>0</v>
      </c>
      <c r="H59" s="138">
        <f>'LCI_AD-e'!$E18*'IW+_end'!D20</f>
        <v>0</v>
      </c>
      <c r="I59" s="138">
        <f>'LCI_AD-e'!$E18*'IW+_end'!E20</f>
        <v>0</v>
      </c>
      <c r="J59" s="138">
        <f>'LCI_AD-e'!$E18*'IW+_end'!F20</f>
        <v>0</v>
      </c>
      <c r="K59" s="138">
        <f>'LCI_AD-e'!$E18*'IW+_end'!G20</f>
        <v>0</v>
      </c>
      <c r="L59" s="138">
        <f>'LCI_AD-e'!$E18*'IW+_end'!H20</f>
        <v>0</v>
      </c>
      <c r="M59" s="138">
        <f>'LCI_AD-e'!$E18*'IW+_end'!I20</f>
        <v>0</v>
      </c>
      <c r="N59" s="138">
        <f>'LCI_AD-e'!$E18*'IW+_end'!J20</f>
        <v>0</v>
      </c>
      <c r="O59" s="138">
        <f>'LCI_AD-e'!$E18*'IW+_end'!K20</f>
        <v>0</v>
      </c>
      <c r="P59" s="138">
        <f>'LCI_AD-e'!$E18*'IW+_end'!L20</f>
        <v>0</v>
      </c>
      <c r="Q59" s="138">
        <f>'LCI_AD-e'!$E18*'IW+_end'!M20</f>
        <v>0</v>
      </c>
      <c r="R59" s="138">
        <f>'LCI_AD-e'!$E18*'IW+_end'!N20</f>
        <v>0</v>
      </c>
      <c r="S59" s="138">
        <f>'LCI_AD-e'!$E18*'IW+_end'!O20</f>
        <v>0</v>
      </c>
      <c r="T59" s="138">
        <f>'LCI_AD-e'!$E18*'IW+_end'!P20</f>
        <v>0</v>
      </c>
      <c r="U59" s="138">
        <f>'LCI_AD-e'!$E18*'IW+_end'!Q20</f>
        <v>0</v>
      </c>
      <c r="V59" s="138">
        <f>'LCI_AD-e'!$E18*'IW+_end'!R20</f>
        <v>0</v>
      </c>
      <c r="W59" s="138">
        <f>'LCI_AD-e'!$E18*'IW+_end'!S20</f>
        <v>0</v>
      </c>
      <c r="X59" s="138">
        <f>'LCI_AD-e'!$E18*'IW+_end'!T20</f>
        <v>0</v>
      </c>
      <c r="Y59" s="138">
        <f>'LCI_AD-e'!$E18*'IW+_end'!U20</f>
        <v>0</v>
      </c>
      <c r="Z59" s="138">
        <f>'LCI_AD-e'!$E18*'IW+_end'!V20</f>
        <v>0</v>
      </c>
      <c r="AA59" s="138">
        <f>'LCI_AD-e'!$E18*'IW+_end'!W20</f>
        <v>0</v>
      </c>
      <c r="AB59" s="138">
        <f>'LCI_AD-e'!$E18*'IW+_end'!X20</f>
        <v>0</v>
      </c>
      <c r="AC59" s="138">
        <f>'LCI_AD-e'!$E18*'IW+_end'!Y20</f>
        <v>0</v>
      </c>
      <c r="AD59" s="138">
        <f>'LCI_AD-e'!$E18*'IW+_end'!Z20</f>
        <v>0</v>
      </c>
      <c r="AE59" s="138">
        <f>'LCI_AD-e'!$E18*'IW+_end'!AA20</f>
        <v>0</v>
      </c>
      <c r="AF59" s="138">
        <f>'LCI_AD-e'!$E18*'IW+_end'!AB20</f>
        <v>0</v>
      </c>
      <c r="AG59" s="138">
        <f>'LCI_AD-e'!$E18*'IW+_end'!AC20</f>
        <v>0</v>
      </c>
      <c r="AH59" s="138">
        <f>'LCI_AD-e'!$E18*'IW+_end'!AD20</f>
        <v>0</v>
      </c>
      <c r="AI59" s="138">
        <f>'LCI_AD-e'!$E18*'IW+_end'!AE20</f>
        <v>0</v>
      </c>
      <c r="AJ59" s="138">
        <f>'LCI_AD-e'!$E18*'IW+_end'!AF20</f>
        <v>0</v>
      </c>
      <c r="AK59" s="138">
        <f>'LCI_AD-e'!$E18*'IW+_end'!AG20</f>
        <v>0</v>
      </c>
    </row>
    <row r="60" spans="1:38" x14ac:dyDescent="0.35">
      <c r="A60" s="142"/>
      <c r="B60" s="136" t="s">
        <v>142</v>
      </c>
      <c r="C60" s="138" t="e">
        <f>'LCI_AD-e'!$E19*'IW+_end'!#REF!</f>
        <v>#REF!</v>
      </c>
      <c r="D60" s="138" t="e">
        <f>'LCI_AD-e'!$E19*'IW+_end'!#REF!</f>
        <v>#REF!</v>
      </c>
      <c r="E60" s="138" t="e">
        <f>'LCI_AD-e'!$E19*'IW+_end'!#REF!</f>
        <v>#REF!</v>
      </c>
      <c r="F60" s="138" t="e">
        <f>'LCI_AD-e'!$E19*'IW+_end'!#REF!</f>
        <v>#REF!</v>
      </c>
      <c r="G60" s="138">
        <f>'LCI_AD-e'!$E19*'IW+_end'!C19</f>
        <v>0</v>
      </c>
      <c r="H60" s="138">
        <f>'LCI_AD-e'!$E19*'IW+_end'!D19</f>
        <v>9.5156647565601674E-2</v>
      </c>
      <c r="I60" s="138">
        <f>'LCI_AD-e'!$E19*'IW+_end'!E19</f>
        <v>0</v>
      </c>
      <c r="J60" s="138">
        <f>'LCI_AD-e'!$E19*'IW+_end'!F19</f>
        <v>0</v>
      </c>
      <c r="K60" s="138">
        <f>'LCI_AD-e'!$E19*'IW+_end'!G19</f>
        <v>0</v>
      </c>
      <c r="L60" s="138">
        <f>'LCI_AD-e'!$E19*'IW+_end'!H19</f>
        <v>0</v>
      </c>
      <c r="M60" s="138">
        <f>'LCI_AD-e'!$E19*'IW+_end'!I19</f>
        <v>0</v>
      </c>
      <c r="N60" s="138">
        <f>'LCI_AD-e'!$E19*'IW+_end'!J19</f>
        <v>0</v>
      </c>
      <c r="O60" s="138">
        <f>'LCI_AD-e'!$E19*'IW+_end'!K19</f>
        <v>0</v>
      </c>
      <c r="P60" s="138">
        <f>'LCI_AD-e'!$E19*'IW+_end'!L19</f>
        <v>0</v>
      </c>
      <c r="Q60" s="138">
        <f>'LCI_AD-e'!$E19*'IW+_end'!M19</f>
        <v>0</v>
      </c>
      <c r="R60" s="138">
        <f>'LCI_AD-e'!$E19*'IW+_end'!N19</f>
        <v>0</v>
      </c>
      <c r="S60" s="138">
        <f>'LCI_AD-e'!$E19*'IW+_end'!O19</f>
        <v>0</v>
      </c>
      <c r="T60" s="138">
        <f>'LCI_AD-e'!$E19*'IW+_end'!P19</f>
        <v>0</v>
      </c>
      <c r="U60" s="138">
        <f>'LCI_AD-e'!$E19*'IW+_end'!Q19</f>
        <v>0</v>
      </c>
      <c r="V60" s="138">
        <f>'LCI_AD-e'!$E19*'IW+_end'!R19</f>
        <v>0</v>
      </c>
      <c r="W60" s="138">
        <f>'LCI_AD-e'!$E19*'IW+_end'!S19</f>
        <v>0</v>
      </c>
      <c r="X60" s="138">
        <f>'LCI_AD-e'!$E19*'IW+_end'!T19</f>
        <v>0</v>
      </c>
      <c r="Y60" s="138">
        <f>'LCI_AD-e'!$E19*'IW+_end'!U19</f>
        <v>0</v>
      </c>
      <c r="Z60" s="138">
        <f>'LCI_AD-e'!$E19*'IW+_end'!V19</f>
        <v>3.693628644820743E-6</v>
      </c>
      <c r="AA60" s="138">
        <f>'LCI_AD-e'!$E19*'IW+_end'!W19</f>
        <v>0</v>
      </c>
      <c r="AB60" s="138">
        <f>'LCI_AD-e'!$E19*'IW+_end'!X19</f>
        <v>0</v>
      </c>
      <c r="AC60" s="138">
        <f>'LCI_AD-e'!$E19*'IW+_end'!Y19</f>
        <v>0.56700878449699921</v>
      </c>
      <c r="AD60" s="138">
        <f>'LCI_AD-e'!$E19*'IW+_end'!Z19</f>
        <v>0</v>
      </c>
      <c r="AE60" s="138">
        <f>'LCI_AD-e'!$E19*'IW+_end'!AA19</f>
        <v>0</v>
      </c>
      <c r="AF60" s="138">
        <f>'LCI_AD-e'!$E19*'IW+_end'!AB19</f>
        <v>0</v>
      </c>
      <c r="AG60" s="138">
        <f>'LCI_AD-e'!$E19*'IW+_end'!AC19</f>
        <v>0.66216543206260081</v>
      </c>
      <c r="AH60" s="138">
        <f>'LCI_AD-e'!$E19*'IW+_end'!AD19</f>
        <v>3.693628644820743E-6</v>
      </c>
      <c r="AI60" s="138">
        <f>'LCI_AD-e'!$E19*'IW+_end'!AE19</f>
        <v>0</v>
      </c>
      <c r="AJ60" s="138">
        <f>'LCI_AD-e'!$E19*'IW+_end'!AF19</f>
        <v>0</v>
      </c>
      <c r="AK60" s="138">
        <f>'LCI_AD-e'!$E19*'IW+_end'!AG19</f>
        <v>0</v>
      </c>
    </row>
    <row r="61" spans="1:38" x14ac:dyDescent="0.35">
      <c r="A61" s="142"/>
      <c r="B61" s="136" t="s">
        <v>143</v>
      </c>
      <c r="C61" s="138" t="e">
        <f>'LCI_AD-e'!$E20*'IW+_end'!#REF!</f>
        <v>#REF!</v>
      </c>
      <c r="D61" s="138" t="e">
        <f>'LCI_AD-e'!$E20*'IW+_end'!#REF!</f>
        <v>#REF!</v>
      </c>
      <c r="E61" s="138" t="e">
        <f>'LCI_AD-e'!$E20*'IW+_end'!#REF!</f>
        <v>#REF!</v>
      </c>
      <c r="F61" s="138" t="e">
        <f>'LCI_AD-e'!$E20*'IW+_end'!#REF!</f>
        <v>#REF!</v>
      </c>
      <c r="G61" s="138">
        <f>'LCI_AD-e'!$E20*'IW+_end'!C16</f>
        <v>0</v>
      </c>
      <c r="H61" s="138">
        <f>'LCI_AD-e'!$E20*'IW+_end'!D16</f>
        <v>0</v>
      </c>
      <c r="I61" s="138">
        <f>'LCI_AD-e'!$E20*'IW+_end'!E16</f>
        <v>0</v>
      </c>
      <c r="J61" s="138">
        <f>'LCI_AD-e'!$E20*'IW+_end'!F16</f>
        <v>0</v>
      </c>
      <c r="K61" s="138">
        <f>'LCI_AD-e'!$E20*'IW+_end'!G16</f>
        <v>0</v>
      </c>
      <c r="L61" s="138">
        <f>'LCI_AD-e'!$E20*'IW+_end'!H16</f>
        <v>0</v>
      </c>
      <c r="M61" s="138">
        <f>'LCI_AD-e'!$E20*'IW+_end'!I16</f>
        <v>0</v>
      </c>
      <c r="N61" s="138">
        <f>'LCI_AD-e'!$E20*'IW+_end'!J16</f>
        <v>0</v>
      </c>
      <c r="O61" s="138">
        <f>'LCI_AD-e'!$E20*'IW+_end'!K16</f>
        <v>0</v>
      </c>
      <c r="P61" s="138">
        <f>'LCI_AD-e'!$E20*'IW+_end'!L16</f>
        <v>0</v>
      </c>
      <c r="Q61" s="138">
        <f>'LCI_AD-e'!$E20*'IW+_end'!M16</f>
        <v>0</v>
      </c>
      <c r="R61" s="138">
        <f>'LCI_AD-e'!$E20*'IW+_end'!N16</f>
        <v>0</v>
      </c>
      <c r="S61" s="138">
        <f>'LCI_AD-e'!$E20*'IW+_end'!O16</f>
        <v>0</v>
      </c>
      <c r="T61" s="138">
        <f>'LCI_AD-e'!$E20*'IW+_end'!P16</f>
        <v>0</v>
      </c>
      <c r="U61" s="138">
        <f>'LCI_AD-e'!$E20*'IW+_end'!Q16</f>
        <v>0</v>
      </c>
      <c r="V61" s="138">
        <f>'LCI_AD-e'!$E20*'IW+_end'!R16</f>
        <v>0</v>
      </c>
      <c r="W61" s="138">
        <f>'LCI_AD-e'!$E20*'IW+_end'!S16</f>
        <v>0</v>
      </c>
      <c r="X61" s="138">
        <f>'LCI_AD-e'!$E20*'IW+_end'!T16</f>
        <v>0</v>
      </c>
      <c r="Y61" s="138">
        <f>'LCI_AD-e'!$E20*'IW+_end'!U16</f>
        <v>0</v>
      </c>
      <c r="Z61" s="138">
        <f>'LCI_AD-e'!$E20*'IW+_end'!V16</f>
        <v>0</v>
      </c>
      <c r="AA61" s="138">
        <f>'LCI_AD-e'!$E20*'IW+_end'!W16</f>
        <v>0</v>
      </c>
      <c r="AB61" s="138">
        <f>'LCI_AD-e'!$E20*'IW+_end'!X16</f>
        <v>0</v>
      </c>
      <c r="AC61" s="138">
        <f>'LCI_AD-e'!$E20*'IW+_end'!Y16</f>
        <v>0</v>
      </c>
      <c r="AD61" s="138">
        <f>'LCI_AD-e'!$E20*'IW+_end'!Z16</f>
        <v>0</v>
      </c>
      <c r="AE61" s="138">
        <f>'LCI_AD-e'!$E20*'IW+_end'!AA16</f>
        <v>0</v>
      </c>
      <c r="AF61" s="138">
        <f>'LCI_AD-e'!$E20*'IW+_end'!AB16</f>
        <v>0</v>
      </c>
      <c r="AG61" s="138">
        <f>'LCI_AD-e'!$E20*'IW+_end'!AC16</f>
        <v>0</v>
      </c>
      <c r="AH61" s="138">
        <f>'LCI_AD-e'!$E20*'IW+_end'!AD16</f>
        <v>0</v>
      </c>
      <c r="AI61" s="138">
        <f>'LCI_AD-e'!$E20*'IW+_end'!AE16</f>
        <v>0</v>
      </c>
      <c r="AJ61" s="138">
        <f>'LCI_AD-e'!$E20*'IW+_end'!AF16</f>
        <v>0</v>
      </c>
      <c r="AK61" s="138">
        <f>'LCI_AD-e'!$E20*'IW+_end'!AG16</f>
        <v>0</v>
      </c>
    </row>
    <row r="62" spans="1:38" x14ac:dyDescent="0.35">
      <c r="A62" s="142"/>
      <c r="B62" s="136" t="s">
        <v>144</v>
      </c>
      <c r="C62" s="138" t="e">
        <f>'LCI_AD-e'!$E21*'IW+_end'!#REF!</f>
        <v>#REF!</v>
      </c>
      <c r="D62" s="138" t="e">
        <f>'LCI_AD-e'!$E21*'IW+_end'!#REF!</f>
        <v>#REF!</v>
      </c>
      <c r="E62" s="138" t="e">
        <f>'LCI_AD-e'!$E21*'IW+_end'!#REF!</f>
        <v>#REF!</v>
      </c>
      <c r="F62" s="138" t="e">
        <f>'LCI_AD-e'!$E21*'IW+_end'!#REF!</f>
        <v>#REF!</v>
      </c>
      <c r="G62" s="138">
        <f>'LCI_AD-e'!$E21*'IW+_end'!C22</f>
        <v>0</v>
      </c>
      <c r="H62" s="138">
        <f>'LCI_AD-e'!$E21*'IW+_end'!D22</f>
        <v>0</v>
      </c>
      <c r="I62" s="138">
        <f>'LCI_AD-e'!$E21*'IW+_end'!E22</f>
        <v>0</v>
      </c>
      <c r="J62" s="138">
        <f>'LCI_AD-e'!$E21*'IW+_end'!F22</f>
        <v>0</v>
      </c>
      <c r="K62" s="138">
        <f>'LCI_AD-e'!$E21*'IW+_end'!G22</f>
        <v>0</v>
      </c>
      <c r="L62" s="138">
        <f>'LCI_AD-e'!$E21*'IW+_end'!H22</f>
        <v>0</v>
      </c>
      <c r="M62" s="138">
        <f>'LCI_AD-e'!$E21*'IW+_end'!I22</f>
        <v>0</v>
      </c>
      <c r="N62" s="138">
        <f>'LCI_AD-e'!$E21*'IW+_end'!J22</f>
        <v>0</v>
      </c>
      <c r="O62" s="138">
        <f>'LCI_AD-e'!$E21*'IW+_end'!K22</f>
        <v>0</v>
      </c>
      <c r="P62" s="138">
        <f>'LCI_AD-e'!$E21*'IW+_end'!L22</f>
        <v>0</v>
      </c>
      <c r="Q62" s="138">
        <f>'LCI_AD-e'!$E21*'IW+_end'!M22</f>
        <v>0</v>
      </c>
      <c r="R62" s="138">
        <f>'LCI_AD-e'!$E21*'IW+_end'!N22</f>
        <v>0</v>
      </c>
      <c r="S62" s="138">
        <f>'LCI_AD-e'!$E21*'IW+_end'!O22</f>
        <v>0</v>
      </c>
      <c r="T62" s="138">
        <f>'LCI_AD-e'!$E21*'IW+_end'!P22</f>
        <v>0</v>
      </c>
      <c r="U62" s="138">
        <f>'LCI_AD-e'!$E21*'IW+_end'!Q22</f>
        <v>0</v>
      </c>
      <c r="V62" s="138">
        <f>'LCI_AD-e'!$E21*'IW+_end'!R22</f>
        <v>0</v>
      </c>
      <c r="W62" s="138">
        <f>'LCI_AD-e'!$E21*'IW+_end'!S22</f>
        <v>0</v>
      </c>
      <c r="X62" s="138">
        <f>'LCI_AD-e'!$E21*'IW+_end'!T22</f>
        <v>0</v>
      </c>
      <c r="Y62" s="138">
        <f>'LCI_AD-e'!$E21*'IW+_end'!U22</f>
        <v>0</v>
      </c>
      <c r="Z62" s="138">
        <f>'LCI_AD-e'!$E21*'IW+_end'!V22</f>
        <v>3.9886858284203065E-5</v>
      </c>
      <c r="AA62" s="138">
        <f>'LCI_AD-e'!$E21*'IW+_end'!W22</f>
        <v>0</v>
      </c>
      <c r="AB62" s="138">
        <f>'LCI_AD-e'!$E21*'IW+_end'!X22</f>
        <v>0</v>
      </c>
      <c r="AC62" s="138">
        <f>'LCI_AD-e'!$E21*'IW+_end'!Y22</f>
        <v>0</v>
      </c>
      <c r="AD62" s="138">
        <f>'LCI_AD-e'!$E21*'IW+_end'!Z22</f>
        <v>0</v>
      </c>
      <c r="AE62" s="138">
        <f>'LCI_AD-e'!$E21*'IW+_end'!AA22</f>
        <v>0</v>
      </c>
      <c r="AF62" s="138">
        <f>'LCI_AD-e'!$E21*'IW+_end'!AB22</f>
        <v>0</v>
      </c>
      <c r="AG62" s="138">
        <f>'LCI_AD-e'!$E21*'IW+_end'!AC22</f>
        <v>0</v>
      </c>
      <c r="AH62" s="138">
        <f>'LCI_AD-e'!$E21*'IW+_end'!AD22</f>
        <v>3.9886858284203065E-5</v>
      </c>
      <c r="AI62" s="138">
        <f>'LCI_AD-e'!$E21*'IW+_end'!AE22</f>
        <v>0</v>
      </c>
      <c r="AJ62" s="138">
        <f>'LCI_AD-e'!$E21*'IW+_end'!AF22</f>
        <v>0</v>
      </c>
      <c r="AK62" s="138">
        <f>'LCI_AD-e'!$E21*'IW+_end'!AG22</f>
        <v>0</v>
      </c>
      <c r="AL62" s="5"/>
    </row>
    <row r="63" spans="1:38" x14ac:dyDescent="0.35">
      <c r="A63" s="142"/>
      <c r="B63" s="136" t="s">
        <v>124</v>
      </c>
      <c r="C63" s="138" t="e">
        <f>'LCI_AD-e'!$E22*'IW+_end'!#REF!</f>
        <v>#REF!</v>
      </c>
      <c r="D63" s="138" t="e">
        <f>'LCI_AD-e'!$E22*'IW+_end'!#REF!</f>
        <v>#REF!</v>
      </c>
      <c r="E63" s="138" t="e">
        <f>'LCI_AD-e'!$E22*'IW+_end'!#REF!</f>
        <v>#REF!</v>
      </c>
      <c r="F63" s="138" t="e">
        <f>'LCI_AD-e'!$E22*'IW+_end'!#REF!</f>
        <v>#REF!</v>
      </c>
      <c r="G63" s="138">
        <f>'LCI_AD-e'!$E22*'IW+_end'!C13</f>
        <v>0</v>
      </c>
      <c r="H63" s="138">
        <f>'LCI_AD-e'!$E22*'IW+_end'!D13</f>
        <v>0.30639593521383979</v>
      </c>
      <c r="I63" s="138">
        <f>'LCI_AD-e'!$E22*'IW+_end'!E13</f>
        <v>0</v>
      </c>
      <c r="J63" s="138">
        <f>'LCI_AD-e'!$E22*'IW+_end'!F13</f>
        <v>0</v>
      </c>
      <c r="K63" s="138">
        <f>'LCI_AD-e'!$E22*'IW+_end'!G13</f>
        <v>0</v>
      </c>
      <c r="L63" s="138">
        <f>'LCI_AD-e'!$E22*'IW+_end'!H13</f>
        <v>0</v>
      </c>
      <c r="M63" s="138">
        <f>'LCI_AD-e'!$E22*'IW+_end'!I13</f>
        <v>0</v>
      </c>
      <c r="N63" s="138">
        <f>'LCI_AD-e'!$E22*'IW+_end'!J13</f>
        <v>0</v>
      </c>
      <c r="O63" s="138">
        <f>'LCI_AD-e'!$E22*'IW+_end'!K13</f>
        <v>0</v>
      </c>
      <c r="P63" s="138">
        <f>'LCI_AD-e'!$E22*'IW+_end'!L13</f>
        <v>0</v>
      </c>
      <c r="Q63" s="138">
        <f>'LCI_AD-e'!$E22*'IW+_end'!M13</f>
        <v>0</v>
      </c>
      <c r="R63" s="138">
        <f>'LCI_AD-e'!$E22*'IW+_end'!N13</f>
        <v>0</v>
      </c>
      <c r="S63" s="138">
        <f>'LCI_AD-e'!$E22*'IW+_end'!O13</f>
        <v>0</v>
      </c>
      <c r="T63" s="138">
        <f>'LCI_AD-e'!$E22*'IW+_end'!P13</f>
        <v>0</v>
      </c>
      <c r="U63" s="138">
        <f>'LCI_AD-e'!$E22*'IW+_end'!Q13</f>
        <v>0</v>
      </c>
      <c r="V63" s="138">
        <f>'LCI_AD-e'!$E22*'IW+_end'!R13</f>
        <v>0</v>
      </c>
      <c r="W63" s="138">
        <f>'LCI_AD-e'!$E22*'IW+_end'!S13</f>
        <v>0</v>
      </c>
      <c r="X63" s="138">
        <f>'LCI_AD-e'!$E22*'IW+_end'!T13</f>
        <v>0.10094506947741702</v>
      </c>
      <c r="Y63" s="138">
        <f>'LCI_AD-e'!$E22*'IW+_end'!U13</f>
        <v>0</v>
      </c>
      <c r="Z63" s="138">
        <f>'LCI_AD-e'!$E22*'IW+_end'!V13</f>
        <v>7.2010616154719623E-6</v>
      </c>
      <c r="AA63" s="138">
        <f>'LCI_AD-e'!$E22*'IW+_end'!W13</f>
        <v>3.341631520308797</v>
      </c>
      <c r="AB63" s="138">
        <f>'LCI_AD-e'!$E22*'IW+_end'!X13</f>
        <v>3.4887669236836335E-7</v>
      </c>
      <c r="AC63" s="138">
        <f>'LCI_AD-e'!$E22*'IW+_end'!Y13</f>
        <v>2.5127048968669792</v>
      </c>
      <c r="AD63" s="138">
        <f>'LCI_AD-e'!$E22*'IW+_end'!Z13</f>
        <v>0</v>
      </c>
      <c r="AE63" s="138">
        <f>'LCI_AD-e'!$E22*'IW+_end'!AA13</f>
        <v>0</v>
      </c>
      <c r="AF63" s="138">
        <f>'LCI_AD-e'!$E22*'IW+_end'!AB13</f>
        <v>0</v>
      </c>
      <c r="AG63" s="138">
        <f>'LCI_AD-e'!$E22*'IW+_end'!AC13</f>
        <v>6.2616774218670335</v>
      </c>
      <c r="AH63" s="138">
        <f>'LCI_AD-e'!$E22*'IW+_end'!AD13</f>
        <v>7.5499383078403258E-6</v>
      </c>
      <c r="AI63" s="138">
        <f>'LCI_AD-e'!$E22*'IW+_end'!AE13</f>
        <v>0</v>
      </c>
      <c r="AJ63" s="138">
        <f>'LCI_AD-e'!$E22*'IW+_end'!AF13</f>
        <v>0</v>
      </c>
      <c r="AK63" s="138">
        <f>'LCI_AD-e'!$E22*'IW+_end'!AG13</f>
        <v>0</v>
      </c>
    </row>
    <row r="64" spans="1:38" x14ac:dyDescent="0.35">
      <c r="A64" s="142"/>
      <c r="B64" s="136" t="s">
        <v>110</v>
      </c>
      <c r="C64" s="138" t="e">
        <f>'LCI_AD-e'!$E23*'IW+_end'!#REF!</f>
        <v>#REF!</v>
      </c>
      <c r="D64" s="138" t="e">
        <f>'LCI_AD-e'!$E23*'IW+_end'!#REF!</f>
        <v>#REF!</v>
      </c>
      <c r="E64" s="138" t="e">
        <f>'LCI_AD-e'!$E23*'IW+_end'!#REF!</f>
        <v>#REF!</v>
      </c>
      <c r="F64" s="138" t="e">
        <f>'LCI_AD-e'!$E23*'IW+_end'!#REF!</f>
        <v>#REF!</v>
      </c>
      <c r="G64" s="138">
        <f>'LCI_AD-e'!$E23*'IW+_end'!C18</f>
        <v>0</v>
      </c>
      <c r="H64" s="138">
        <f>'LCI_AD-e'!$E23*'IW+_end'!D18</f>
        <v>2.2364720567461933E-2</v>
      </c>
      <c r="I64" s="138">
        <f>'LCI_AD-e'!$E23*'IW+_end'!E18</f>
        <v>0</v>
      </c>
      <c r="J64" s="138">
        <f>'LCI_AD-e'!$E23*'IW+_end'!F18</f>
        <v>0</v>
      </c>
      <c r="K64" s="138">
        <f>'LCI_AD-e'!$E23*'IW+_end'!G18</f>
        <v>0</v>
      </c>
      <c r="L64" s="138">
        <f>'LCI_AD-e'!$E23*'IW+_end'!H18</f>
        <v>0</v>
      </c>
      <c r="M64" s="138">
        <f>'LCI_AD-e'!$E23*'IW+_end'!I18</f>
        <v>0</v>
      </c>
      <c r="N64" s="138">
        <f>'LCI_AD-e'!$E23*'IW+_end'!J18</f>
        <v>0</v>
      </c>
      <c r="O64" s="138">
        <f>'LCI_AD-e'!$E23*'IW+_end'!K18</f>
        <v>0</v>
      </c>
      <c r="P64" s="138">
        <f>'LCI_AD-e'!$E23*'IW+_end'!L18</f>
        <v>0</v>
      </c>
      <c r="Q64" s="138">
        <f>'LCI_AD-e'!$E23*'IW+_end'!M18</f>
        <v>0</v>
      </c>
      <c r="R64" s="138">
        <f>'LCI_AD-e'!$E23*'IW+_end'!N18</f>
        <v>0</v>
      </c>
      <c r="S64" s="138">
        <f>'LCI_AD-e'!$E23*'IW+_end'!O18</f>
        <v>0</v>
      </c>
      <c r="T64" s="138">
        <f>'LCI_AD-e'!$E23*'IW+_end'!P18</f>
        <v>0</v>
      </c>
      <c r="U64" s="138">
        <f>'LCI_AD-e'!$E23*'IW+_end'!Q18</f>
        <v>0</v>
      </c>
      <c r="V64" s="138">
        <f>'LCI_AD-e'!$E23*'IW+_end'!R18</f>
        <v>0</v>
      </c>
      <c r="W64" s="138">
        <f>'LCI_AD-e'!$E23*'IW+_end'!S18</f>
        <v>0</v>
      </c>
      <c r="X64" s="138">
        <f>'LCI_AD-e'!$E23*'IW+_end'!T18</f>
        <v>8.5857459516006079E-3</v>
      </c>
      <c r="Y64" s="138">
        <f>'LCI_AD-e'!$E23*'IW+_end'!U18</f>
        <v>0</v>
      </c>
      <c r="Z64" s="138">
        <f>'LCI_AD-e'!$E23*'IW+_end'!V18</f>
        <v>2.1483541039720615E-6</v>
      </c>
      <c r="AA64" s="138">
        <f>'LCI_AD-e'!$E23*'IW+_end'!W18</f>
        <v>0</v>
      </c>
      <c r="AB64" s="138">
        <f>'LCI_AD-e'!$E23*'IW+_end'!X18</f>
        <v>0</v>
      </c>
      <c r="AC64" s="138">
        <f>'LCI_AD-e'!$E23*'IW+_end'!Y18</f>
        <v>0.28834095539643861</v>
      </c>
      <c r="AD64" s="138">
        <f>'LCI_AD-e'!$E23*'IW+_end'!Z18</f>
        <v>0</v>
      </c>
      <c r="AE64" s="138">
        <f>'LCI_AD-e'!$E23*'IW+_end'!AA18</f>
        <v>0</v>
      </c>
      <c r="AF64" s="138">
        <f>'LCI_AD-e'!$E23*'IW+_end'!AB18</f>
        <v>0</v>
      </c>
      <c r="AG64" s="138">
        <f>'LCI_AD-e'!$E23*'IW+_end'!AC18</f>
        <v>0.31929142191550119</v>
      </c>
      <c r="AH64" s="138">
        <f>'LCI_AD-e'!$E23*'IW+_end'!AD18</f>
        <v>2.1483541039720615E-6</v>
      </c>
      <c r="AI64" s="138">
        <f>'LCI_AD-e'!$E23*'IW+_end'!AE18</f>
        <v>0</v>
      </c>
      <c r="AJ64" s="138">
        <f>'LCI_AD-e'!$E23*'IW+_end'!AF18</f>
        <v>0</v>
      </c>
      <c r="AK64" s="138">
        <f>'LCI_AD-e'!$E23*'IW+_end'!AG18</f>
        <v>0</v>
      </c>
    </row>
    <row r="65" spans="1:37" x14ac:dyDescent="0.35">
      <c r="A65" s="142"/>
      <c r="B65" s="136" t="s">
        <v>123</v>
      </c>
      <c r="C65" s="138" t="e">
        <f>'LCI_AD-e'!$E24*'IW+_end'!#REF!</f>
        <v>#REF!</v>
      </c>
      <c r="D65" s="138" t="e">
        <f>'LCI_AD-e'!$E24*'IW+_end'!#REF!</f>
        <v>#REF!</v>
      </c>
      <c r="E65" s="138" t="e">
        <f>'LCI_AD-e'!$E24*'IW+_end'!#REF!</f>
        <v>#REF!</v>
      </c>
      <c r="F65" s="138" t="e">
        <f>'LCI_AD-e'!$E24*'IW+_end'!#REF!</f>
        <v>#REF!</v>
      </c>
      <c r="G65" s="138">
        <f>'LCI_AD-e'!$E24*'IW+_end'!C17</f>
        <v>0</v>
      </c>
      <c r="H65" s="138">
        <f>'LCI_AD-e'!$E24*'IW+_end'!D17</f>
        <v>0</v>
      </c>
      <c r="I65" s="138">
        <f>'LCI_AD-e'!$E24*'IW+_end'!E17</f>
        <v>0</v>
      </c>
      <c r="J65" s="138">
        <f>'LCI_AD-e'!$E24*'IW+_end'!F17</f>
        <v>0</v>
      </c>
      <c r="K65" s="138">
        <f>'LCI_AD-e'!$E24*'IW+_end'!G17</f>
        <v>0</v>
      </c>
      <c r="L65" s="138">
        <f>'LCI_AD-e'!$E24*'IW+_end'!H17</f>
        <v>0</v>
      </c>
      <c r="M65" s="138">
        <f>'LCI_AD-e'!$E24*'IW+_end'!I17</f>
        <v>0</v>
      </c>
      <c r="N65" s="138">
        <f>'LCI_AD-e'!$E24*'IW+_end'!J17</f>
        <v>0</v>
      </c>
      <c r="O65" s="138">
        <f>'LCI_AD-e'!$E24*'IW+_end'!K17</f>
        <v>0</v>
      </c>
      <c r="P65" s="138">
        <f>'LCI_AD-e'!$E24*'IW+_end'!L17</f>
        <v>0</v>
      </c>
      <c r="Q65" s="138">
        <f>'LCI_AD-e'!$E24*'IW+_end'!M17</f>
        <v>0</v>
      </c>
      <c r="R65" s="138">
        <f>'LCI_AD-e'!$E24*'IW+_end'!N17</f>
        <v>0</v>
      </c>
      <c r="S65" s="138">
        <f>'LCI_AD-e'!$E24*'IW+_end'!O17</f>
        <v>0</v>
      </c>
      <c r="T65" s="138">
        <f>'LCI_AD-e'!$E24*'IW+_end'!P17</f>
        <v>0</v>
      </c>
      <c r="U65" s="138">
        <f>'LCI_AD-e'!$E24*'IW+_end'!Q17</f>
        <v>0</v>
      </c>
      <c r="V65" s="138">
        <f>'LCI_AD-e'!$E24*'IW+_end'!R17</f>
        <v>0</v>
      </c>
      <c r="W65" s="138">
        <f>'LCI_AD-e'!$E24*'IW+_end'!S17</f>
        <v>0</v>
      </c>
      <c r="X65" s="138">
        <f>'LCI_AD-e'!$E24*'IW+_end'!T17</f>
        <v>0</v>
      </c>
      <c r="Y65" s="138">
        <f>'LCI_AD-e'!$E24*'IW+_end'!U17</f>
        <v>0</v>
      </c>
      <c r="Z65" s="138">
        <f>'LCI_AD-e'!$E24*'IW+_end'!V17</f>
        <v>0</v>
      </c>
      <c r="AA65" s="138">
        <f>'LCI_AD-e'!$E24*'IW+_end'!W17</f>
        <v>0</v>
      </c>
      <c r="AB65" s="138">
        <f>'LCI_AD-e'!$E24*'IW+_end'!X17</f>
        <v>0</v>
      </c>
      <c r="AC65" s="138">
        <f>'LCI_AD-e'!$E24*'IW+_end'!Y17</f>
        <v>0</v>
      </c>
      <c r="AD65" s="138">
        <f>'LCI_AD-e'!$E24*'IW+_end'!Z17</f>
        <v>0</v>
      </c>
      <c r="AE65" s="138">
        <f>'LCI_AD-e'!$E24*'IW+_end'!AA17</f>
        <v>0</v>
      </c>
      <c r="AF65" s="138">
        <f>'LCI_AD-e'!$E24*'IW+_end'!AB17</f>
        <v>0</v>
      </c>
      <c r="AG65" s="138">
        <f>'LCI_AD-e'!$E24*'IW+_end'!AC17</f>
        <v>0</v>
      </c>
      <c r="AH65" s="138">
        <f>'LCI_AD-e'!$E24*'IW+_end'!AD17</f>
        <v>0</v>
      </c>
      <c r="AI65" s="138">
        <f>'LCI_AD-e'!$E24*'IW+_end'!AE17</f>
        <v>0</v>
      </c>
      <c r="AJ65" s="138">
        <f>'LCI_AD-e'!$E24*'IW+_end'!AF17</f>
        <v>0</v>
      </c>
      <c r="AK65" s="138">
        <f>'LCI_AD-e'!$E24*'IW+_end'!AG17</f>
        <v>0</v>
      </c>
    </row>
    <row r="66" spans="1:37" x14ac:dyDescent="0.35">
      <c r="A66" s="142"/>
      <c r="B66" s="136" t="s">
        <v>145</v>
      </c>
      <c r="C66" s="138" t="e">
        <f>'LCI_AD-e'!$E25*'IW+_end'!#REF!</f>
        <v>#REF!</v>
      </c>
      <c r="D66" s="138" t="e">
        <f>'LCI_AD-e'!$E25*'IW+_end'!#REF!</f>
        <v>#REF!</v>
      </c>
      <c r="E66" s="138" t="e">
        <f>'LCI_AD-e'!$E25*'IW+_end'!#REF!</f>
        <v>#REF!</v>
      </c>
      <c r="F66" s="138" t="e">
        <f>'LCI_AD-e'!$E25*'IW+_end'!#REF!</f>
        <v>#REF!</v>
      </c>
      <c r="G66" s="138">
        <f>'LCI_AD-e'!$E25*'IW+_end'!C14</f>
        <v>0</v>
      </c>
      <c r="H66" s="138">
        <f>'LCI_AD-e'!$E25*'IW+_end'!D14</f>
        <v>0</v>
      </c>
      <c r="I66" s="138">
        <f>'LCI_AD-e'!$E25*'IW+_end'!E14</f>
        <v>0</v>
      </c>
      <c r="J66" s="138">
        <f>'LCI_AD-e'!$E25*'IW+_end'!F14</f>
        <v>0</v>
      </c>
      <c r="K66" s="138">
        <f>'LCI_AD-e'!$E25*'IW+_end'!G14</f>
        <v>0</v>
      </c>
      <c r="L66" s="138">
        <f>'LCI_AD-e'!$E25*'IW+_end'!H14</f>
        <v>0</v>
      </c>
      <c r="M66" s="138">
        <f>'LCI_AD-e'!$E25*'IW+_end'!I14</f>
        <v>0</v>
      </c>
      <c r="N66" s="138">
        <f>'LCI_AD-e'!$E25*'IW+_end'!J14</f>
        <v>0</v>
      </c>
      <c r="O66" s="138">
        <f>'LCI_AD-e'!$E25*'IW+_end'!K14</f>
        <v>0</v>
      </c>
      <c r="P66" s="138">
        <f>'LCI_AD-e'!$E25*'IW+_end'!L14</f>
        <v>0</v>
      </c>
      <c r="Q66" s="138">
        <f>'LCI_AD-e'!$E25*'IW+_end'!M14</f>
        <v>0</v>
      </c>
      <c r="R66" s="138">
        <f>'LCI_AD-e'!$E25*'IW+_end'!N14</f>
        <v>0</v>
      </c>
      <c r="S66" s="138">
        <f>'LCI_AD-e'!$E25*'IW+_end'!O14</f>
        <v>0</v>
      </c>
      <c r="T66" s="138">
        <f>'LCI_AD-e'!$E25*'IW+_end'!P14</f>
        <v>0</v>
      </c>
      <c r="U66" s="138">
        <f>'LCI_AD-e'!$E25*'IW+_end'!Q14</f>
        <v>0</v>
      </c>
      <c r="V66" s="138">
        <f>'LCI_AD-e'!$E25*'IW+_end'!R14</f>
        <v>0</v>
      </c>
      <c r="W66" s="138">
        <f>'LCI_AD-e'!$E25*'IW+_end'!S14</f>
        <v>0</v>
      </c>
      <c r="X66" s="138">
        <f>'LCI_AD-e'!$E25*'IW+_end'!T14</f>
        <v>0</v>
      </c>
      <c r="Y66" s="138">
        <f>'LCI_AD-e'!$E25*'IW+_end'!U14</f>
        <v>0</v>
      </c>
      <c r="Z66" s="138">
        <f>'LCI_AD-e'!$E25*'IW+_end'!V14</f>
        <v>0</v>
      </c>
      <c r="AA66" s="138">
        <f>'LCI_AD-e'!$E25*'IW+_end'!W14</f>
        <v>0</v>
      </c>
      <c r="AB66" s="138">
        <f>'LCI_AD-e'!$E25*'IW+_end'!X14</f>
        <v>0</v>
      </c>
      <c r="AC66" s="138">
        <f>'LCI_AD-e'!$E25*'IW+_end'!Y14</f>
        <v>0</v>
      </c>
      <c r="AD66" s="138">
        <f>'LCI_AD-e'!$E25*'IW+_end'!Z14</f>
        <v>0</v>
      </c>
      <c r="AE66" s="138">
        <f>'LCI_AD-e'!$E25*'IW+_end'!AA14</f>
        <v>0</v>
      </c>
      <c r="AF66" s="138">
        <f>'LCI_AD-e'!$E25*'IW+_end'!AB14</f>
        <v>0</v>
      </c>
      <c r="AG66" s="138">
        <f>'LCI_AD-e'!$E25*'IW+_end'!AC14</f>
        <v>0</v>
      </c>
      <c r="AH66" s="138">
        <f>'LCI_AD-e'!$E25*'IW+_end'!AD14</f>
        <v>0</v>
      </c>
      <c r="AI66" s="138">
        <f>'LCI_AD-e'!$E25*'IW+_end'!AE14</f>
        <v>0</v>
      </c>
      <c r="AJ66" s="138">
        <f>'LCI_AD-e'!$E25*'IW+_end'!AF14</f>
        <v>0</v>
      </c>
      <c r="AK66" s="138">
        <f>'LCI_AD-e'!$E25*'IW+_end'!AG14</f>
        <v>0</v>
      </c>
    </row>
    <row r="67" spans="1:37" x14ac:dyDescent="0.35">
      <c r="A67" s="142"/>
      <c r="B67" s="136" t="s">
        <v>8</v>
      </c>
      <c r="C67" s="138" t="e">
        <f>'LCI_AD-e'!$E26*'IW+_end'!#REF!</f>
        <v>#REF!</v>
      </c>
      <c r="D67" s="138" t="e">
        <f>'LCI_AD-e'!$E26*'IW+_end'!#REF!</f>
        <v>#REF!</v>
      </c>
      <c r="E67" s="138" t="e">
        <f>'LCI_AD-e'!$E26*'IW+_end'!#REF!</f>
        <v>#REF!</v>
      </c>
      <c r="F67" s="138" t="e">
        <f>'LCI_AD-e'!$E26*'IW+_end'!#REF!</f>
        <v>#REF!</v>
      </c>
      <c r="G67" s="138">
        <f>'LCI_AD-e'!$E26*'IW+_end'!C2</f>
        <v>5.4908181855710048E-21</v>
      </c>
      <c r="H67" s="138">
        <f>'LCI_AD-e'!$E26*'IW+_end'!D2</f>
        <v>3.166859181012673E-4</v>
      </c>
      <c r="I67" s="138">
        <f>'LCI_AD-e'!$E26*'IW+_end'!E2</f>
        <v>1.5147310967386727E-2</v>
      </c>
      <c r="J67" s="138">
        <f>'LCI_AD-e'!$E26*'IW+_end'!F2</f>
        <v>7.5256775196354405E-4</v>
      </c>
      <c r="K67" s="138">
        <f>'LCI_AD-e'!$E26*'IW+_end'!G2</f>
        <v>1.3074373658562975E-6</v>
      </c>
      <c r="L67" s="138">
        <f>'LCI_AD-e'!$E26*'IW+_end'!H2</f>
        <v>5.3063438843892383E-10</v>
      </c>
      <c r="M67" s="138">
        <f>'LCI_AD-e'!$E26*'IW+_end'!I2</f>
        <v>1.0121111769706232E-8</v>
      </c>
      <c r="N67" s="138">
        <f>'LCI_AD-e'!$E26*'IW+_end'!J2</f>
        <v>1.1999170431594101E-8</v>
      </c>
      <c r="O67" s="138">
        <f>'LCI_AD-e'!$E26*'IW+_end'!K2</f>
        <v>6.3872749464158954E-9</v>
      </c>
      <c r="P67" s="138">
        <f>'LCI_AD-e'!$E26*'IW+_end'!L2</f>
        <v>2.5239997202362825E-10</v>
      </c>
      <c r="Q67" s="138">
        <f>'LCI_AD-e'!$E26*'IW+_end'!M2</f>
        <v>7.7833282795662894E-9</v>
      </c>
      <c r="R67" s="138">
        <f>'LCI_AD-e'!$E26*'IW+_end'!N2</f>
        <v>1.0082815637373712E-3</v>
      </c>
      <c r="S67" s="138">
        <f>'LCI_AD-e'!$E26*'IW+_end'!O2</f>
        <v>7.1085658240872362E-4</v>
      </c>
      <c r="T67" s="138">
        <f>'LCI_AD-e'!$E26*'IW+_end'!P2</f>
        <v>6.2500672036481615E-3</v>
      </c>
      <c r="U67" s="138">
        <f>'LCI_AD-e'!$E26*'IW+_end'!Q2</f>
        <v>6.784590361818151E-4</v>
      </c>
      <c r="V67" s="138">
        <f>'LCI_AD-e'!$E26*'IW+_end'!R2</f>
        <v>5.8841167217862592E-8</v>
      </c>
      <c r="W67" s="138">
        <f>'LCI_AD-e'!$E26*'IW+_end'!S2</f>
        <v>1.619361286090707E-8</v>
      </c>
      <c r="X67" s="138">
        <f>'LCI_AD-e'!$E26*'IW+_end'!T2</f>
        <v>4.1445744985090538E-5</v>
      </c>
      <c r="Y67" s="138">
        <f>'LCI_AD-e'!$E26*'IW+_end'!U2</f>
        <v>2.8194118810815569E-12</v>
      </c>
      <c r="Z67" s="138">
        <f>'LCI_AD-e'!$E26*'IW+_end'!V2</f>
        <v>2.2822453093940083E-8</v>
      </c>
      <c r="AA67" s="138">
        <f>'LCI_AD-e'!$E26*'IW+_end'!W2</f>
        <v>9.6079571980076388E-4</v>
      </c>
      <c r="AB67" s="138">
        <f>'LCI_AD-e'!$E26*'IW+_end'!X2</f>
        <v>9.5510603417955074E-11</v>
      </c>
      <c r="AC67" s="138">
        <f>'LCI_AD-e'!$E26*'IW+_end'!Y2</f>
        <v>2.0897929475856094E-3</v>
      </c>
      <c r="AD67" s="138">
        <f>'LCI_AD-e'!$E26*'IW+_end'!Z2</f>
        <v>2.1477853670749236E-3</v>
      </c>
      <c r="AE67" s="138">
        <f>'LCI_AD-e'!$E26*'IW+_end'!AA2</f>
        <v>5.9106686942310817E-4</v>
      </c>
      <c r="AF67" s="138">
        <f>'LCI_AD-e'!$E26*'IW+_end'!AB2</f>
        <v>1.158911825639559E-4</v>
      </c>
      <c r="AG67" s="138">
        <f>'LCI_AD-e'!$E26*'IW+_end'!AC2</f>
        <v>3.0813902463523675E-2</v>
      </c>
      <c r="AH67" s="138">
        <f>'LCI_AD-e'!$E26*'IW+_end'!AD2</f>
        <v>1.3492419777596807E-7</v>
      </c>
      <c r="AI67" s="138">
        <f>'LCI_AD-e'!$E26*'IW+_end'!AE2</f>
        <v>6.1552663645416226E-7</v>
      </c>
      <c r="AJ67" s="138">
        <f>'LCI_AD-e'!$E26*'IW+_end'!AF2</f>
        <v>7.5181894851007521E-8</v>
      </c>
      <c r="AK67" s="138">
        <f>'LCI_AD-e'!$E26*'IW+_end'!AG2</f>
        <v>8.9735748024772357E-7</v>
      </c>
    </row>
    <row r="68" spans="1:37" x14ac:dyDescent="0.35">
      <c r="A68" s="142" t="s">
        <v>100</v>
      </c>
      <c r="B68" s="136"/>
      <c r="C68" s="136"/>
      <c r="D68" s="136"/>
      <c r="E68" s="136"/>
      <c r="F68" s="136"/>
      <c r="G68" s="136"/>
      <c r="H68" s="136"/>
      <c r="I68" s="136"/>
      <c r="J68" s="136"/>
      <c r="K68" s="136"/>
      <c r="L68" s="136"/>
      <c r="M68" s="136"/>
      <c r="N68" s="136"/>
      <c r="O68" s="136"/>
      <c r="P68" s="136"/>
      <c r="Q68" s="136"/>
      <c r="R68" s="136"/>
      <c r="S68" s="136"/>
      <c r="T68" s="136"/>
      <c r="U68" s="136"/>
      <c r="V68" s="136"/>
      <c r="W68" s="136"/>
      <c r="X68" s="136"/>
      <c r="Y68" s="136"/>
      <c r="Z68" s="136"/>
      <c r="AA68" s="136"/>
      <c r="AB68" s="136"/>
      <c r="AC68" s="136"/>
      <c r="AD68" s="136"/>
      <c r="AE68" s="136"/>
      <c r="AF68" s="136"/>
      <c r="AG68" s="136"/>
      <c r="AH68" s="136"/>
      <c r="AI68" s="136"/>
      <c r="AJ68" s="136"/>
      <c r="AK68" s="136"/>
    </row>
    <row r="69" spans="1:37" x14ac:dyDescent="0.35">
      <c r="A69" s="142"/>
      <c r="B69" s="136" t="s">
        <v>96</v>
      </c>
      <c r="C69" s="136" t="e">
        <f>'LCIA_AD-a'!C66</f>
        <v>#REF!</v>
      </c>
      <c r="D69" s="136" t="e">
        <f>'LCIA_AD-a'!D66</f>
        <v>#REF!</v>
      </c>
      <c r="E69" s="136" t="e">
        <f>'LCIA_AD-a'!E66</f>
        <v>#REF!</v>
      </c>
      <c r="F69" s="136" t="e">
        <f>'LCIA_AD-a'!F66</f>
        <v>#REF!</v>
      </c>
      <c r="G69" s="136">
        <f>'LCIA_AD-a'!G66</f>
        <v>0</v>
      </c>
      <c r="H69" s="136">
        <f>'LCIA_AD-a'!H66</f>
        <v>0</v>
      </c>
      <c r="I69" s="136">
        <f>'LCIA_AD-a'!I66</f>
        <v>0</v>
      </c>
      <c r="J69" s="136">
        <f>'LCIA_AD-a'!J66</f>
        <v>0</v>
      </c>
      <c r="K69" s="136">
        <f>'LCIA_AD-a'!K66</f>
        <v>0</v>
      </c>
      <c r="L69" s="136">
        <f>'LCIA_AD-a'!L66</f>
        <v>0</v>
      </c>
      <c r="M69" s="136">
        <f>'LCIA_AD-a'!M66</f>
        <v>0</v>
      </c>
      <c r="N69" s="136">
        <f>'LCIA_AD-a'!N66</f>
        <v>0</v>
      </c>
      <c r="O69" s="136">
        <f>'LCIA_AD-a'!O66</f>
        <v>0</v>
      </c>
      <c r="P69" s="136">
        <f>'LCIA_AD-a'!P66</f>
        <v>0</v>
      </c>
      <c r="Q69" s="136">
        <f>'LCIA_AD-a'!Q66</f>
        <v>0</v>
      </c>
      <c r="R69" s="136">
        <f>'LCIA_AD-a'!R66</f>
        <v>0</v>
      </c>
      <c r="S69" s="136">
        <f>'LCIA_AD-a'!S66</f>
        <v>0</v>
      </c>
      <c r="T69" s="136">
        <f>'LCIA_AD-a'!T66</f>
        <v>0</v>
      </c>
      <c r="U69" s="136">
        <f>'LCIA_AD-a'!U66</f>
        <v>0</v>
      </c>
      <c r="V69" s="136">
        <f>'LCIA_AD-a'!V66</f>
        <v>0</v>
      </c>
      <c r="W69" s="136">
        <f>'LCIA_AD-a'!W66</f>
        <v>0</v>
      </c>
      <c r="X69" s="136">
        <f>'LCIA_AD-a'!X66</f>
        <v>0</v>
      </c>
      <c r="Y69" s="136">
        <f>'LCIA_AD-a'!Y66</f>
        <v>0</v>
      </c>
      <c r="Z69" s="136">
        <f>'LCIA_AD-a'!Z66</f>
        <v>0</v>
      </c>
      <c r="AA69" s="136">
        <f>'LCIA_AD-a'!AA66</f>
        <v>0</v>
      </c>
      <c r="AB69" s="136">
        <f>'LCIA_AD-a'!AB66</f>
        <v>0</v>
      </c>
      <c r="AC69" s="136">
        <f>'LCIA_AD-a'!AC66</f>
        <v>0</v>
      </c>
      <c r="AD69" s="136">
        <f>'LCIA_AD-a'!AD66</f>
        <v>0</v>
      </c>
      <c r="AE69" s="136">
        <f>'LCIA_AD-a'!AE66</f>
        <v>0</v>
      </c>
      <c r="AF69" s="136">
        <f>'LCIA_AD-a'!AF66</f>
        <v>0</v>
      </c>
      <c r="AG69" s="136">
        <f>'LCIA_AD-a'!AG66</f>
        <v>0</v>
      </c>
      <c r="AH69" s="136">
        <f>'LCIA_AD-a'!AH66</f>
        <v>0</v>
      </c>
      <c r="AI69" s="136">
        <f>'LCIA_AD-a'!AI66</f>
        <v>0</v>
      </c>
      <c r="AJ69" s="136">
        <f>'LCIA_AD-a'!AJ66</f>
        <v>0</v>
      </c>
      <c r="AK69" s="136">
        <f>'LCIA_AD-a'!AK66</f>
        <v>0</v>
      </c>
    </row>
    <row r="70" spans="1:37" x14ac:dyDescent="0.35">
      <c r="A70" s="142" t="s">
        <v>108</v>
      </c>
      <c r="B70" s="136"/>
      <c r="C70" s="141" t="e">
        <f>SUM(C71:C75)</f>
        <v>#REF!</v>
      </c>
      <c r="D70" s="141" t="e">
        <f t="shared" ref="D70:AK70" si="9">SUM(D71:D75)</f>
        <v>#REF!</v>
      </c>
      <c r="E70" s="141" t="e">
        <f t="shared" si="9"/>
        <v>#REF!</v>
      </c>
      <c r="F70" s="141" t="e">
        <f t="shared" si="9"/>
        <v>#REF!</v>
      </c>
      <c r="G70" s="141">
        <f t="shared" si="9"/>
        <v>0</v>
      </c>
      <c r="H70" s="141">
        <f t="shared" si="9"/>
        <v>7.9951774603777057</v>
      </c>
      <c r="I70" s="141">
        <f t="shared" si="9"/>
        <v>0</v>
      </c>
      <c r="J70" s="141">
        <f t="shared" si="9"/>
        <v>0</v>
      </c>
      <c r="K70" s="141">
        <f t="shared" si="9"/>
        <v>-0.19421069896461307</v>
      </c>
      <c r="L70" s="141">
        <f t="shared" si="9"/>
        <v>0</v>
      </c>
      <c r="M70" s="141">
        <f t="shared" si="9"/>
        <v>0</v>
      </c>
      <c r="N70" s="141">
        <f t="shared" si="9"/>
        <v>0</v>
      </c>
      <c r="O70" s="141">
        <f t="shared" si="9"/>
        <v>0</v>
      </c>
      <c r="P70" s="141">
        <f t="shared" si="9"/>
        <v>0</v>
      </c>
      <c r="Q70" s="141">
        <f t="shared" si="9"/>
        <v>0</v>
      </c>
      <c r="R70" s="141">
        <f t="shared" si="9"/>
        <v>0</v>
      </c>
      <c r="S70" s="141">
        <f t="shared" si="9"/>
        <v>0</v>
      </c>
      <c r="T70" s="141">
        <f t="shared" si="9"/>
        <v>-17.533492041158077</v>
      </c>
      <c r="U70" s="141">
        <f t="shared" si="9"/>
        <v>-1.9033067018362388</v>
      </c>
      <c r="V70" s="141">
        <f t="shared" si="9"/>
        <v>0</v>
      </c>
      <c r="W70" s="141">
        <f t="shared" si="9"/>
        <v>0</v>
      </c>
      <c r="X70" s="141">
        <f t="shared" si="9"/>
        <v>-0.67393084886835064</v>
      </c>
      <c r="Y70" s="141">
        <f t="shared" si="9"/>
        <v>0</v>
      </c>
      <c r="Z70" s="141">
        <f t="shared" si="9"/>
        <v>7.6801640589139021E-4</v>
      </c>
      <c r="AA70" s="141">
        <f t="shared" si="9"/>
        <v>0</v>
      </c>
      <c r="AB70" s="141">
        <f t="shared" si="9"/>
        <v>0</v>
      </c>
      <c r="AC70" s="141">
        <f t="shared" si="9"/>
        <v>103.07918225651237</v>
      </c>
      <c r="AD70" s="141">
        <f t="shared" si="9"/>
        <v>0</v>
      </c>
      <c r="AE70" s="141">
        <f t="shared" si="9"/>
        <v>0</v>
      </c>
      <c r="AF70" s="141">
        <f t="shared" si="9"/>
        <v>0</v>
      </c>
      <c r="AG70" s="141">
        <f t="shared" si="9"/>
        <v>90.769419426062811</v>
      </c>
      <c r="AH70" s="141">
        <f t="shared" si="9"/>
        <v>7.6801640589139021E-4</v>
      </c>
      <c r="AI70" s="141">
        <f t="shared" si="9"/>
        <v>0</v>
      </c>
      <c r="AJ70" s="141">
        <f t="shared" si="9"/>
        <v>0</v>
      </c>
      <c r="AK70" s="141">
        <f t="shared" si="9"/>
        <v>0</v>
      </c>
    </row>
    <row r="71" spans="1:37" x14ac:dyDescent="0.35">
      <c r="A71" s="142"/>
      <c r="B71" s="143" t="s">
        <v>111</v>
      </c>
      <c r="C71" s="136" t="e">
        <f>'LCIA_AD-a'!C68</f>
        <v>#REF!</v>
      </c>
      <c r="D71" s="136" t="e">
        <f>'LCIA_AD-a'!D68</f>
        <v>#REF!</v>
      </c>
      <c r="E71" s="136" t="e">
        <f>'LCIA_AD-a'!E68</f>
        <v>#REF!</v>
      </c>
      <c r="F71" s="136" t="e">
        <f>'LCIA_AD-a'!F68</f>
        <v>#REF!</v>
      </c>
      <c r="G71" s="136">
        <f>'LCIA_AD-a'!G68</f>
        <v>0</v>
      </c>
      <c r="H71" s="136">
        <f>'LCIA_AD-a'!H68</f>
        <v>0</v>
      </c>
      <c r="I71" s="136">
        <f>'LCIA_AD-a'!I68</f>
        <v>0</v>
      </c>
      <c r="J71" s="136">
        <f>'LCIA_AD-a'!J68</f>
        <v>0</v>
      </c>
      <c r="K71" s="136">
        <f>'LCIA_AD-a'!K68</f>
        <v>0</v>
      </c>
      <c r="L71" s="136">
        <f>'LCIA_AD-a'!L68</f>
        <v>0</v>
      </c>
      <c r="M71" s="136">
        <f>'LCIA_AD-a'!M68</f>
        <v>0</v>
      </c>
      <c r="N71" s="136">
        <f>'LCIA_AD-a'!N68</f>
        <v>0</v>
      </c>
      <c r="O71" s="136">
        <f>'LCIA_AD-a'!O68</f>
        <v>0</v>
      </c>
      <c r="P71" s="136">
        <f>'LCIA_AD-a'!P68</f>
        <v>0</v>
      </c>
      <c r="Q71" s="136">
        <f>'LCIA_AD-a'!Q68</f>
        <v>0</v>
      </c>
      <c r="R71" s="136">
        <f>'LCIA_AD-a'!R68</f>
        <v>0</v>
      </c>
      <c r="S71" s="136">
        <f>'LCIA_AD-a'!S68</f>
        <v>0</v>
      </c>
      <c r="T71" s="136">
        <f>'LCIA_AD-a'!T68</f>
        <v>0</v>
      </c>
      <c r="U71" s="136">
        <f>'LCIA_AD-a'!U68</f>
        <v>0</v>
      </c>
      <c r="V71" s="136">
        <f>'LCIA_AD-a'!V68</f>
        <v>0</v>
      </c>
      <c r="W71" s="136">
        <f>'LCIA_AD-a'!W68</f>
        <v>0</v>
      </c>
      <c r="X71" s="136">
        <f>'LCIA_AD-a'!X68</f>
        <v>0</v>
      </c>
      <c r="Y71" s="136">
        <f>'LCIA_AD-a'!Y68</f>
        <v>0</v>
      </c>
      <c r="Z71" s="136">
        <f>'LCIA_AD-a'!Z68</f>
        <v>0</v>
      </c>
      <c r="AA71" s="136">
        <f>'LCIA_AD-a'!AA68</f>
        <v>0</v>
      </c>
      <c r="AB71" s="136">
        <f>'LCIA_AD-a'!AB68</f>
        <v>0</v>
      </c>
      <c r="AC71" s="136">
        <f>'LCIA_AD-a'!AC68</f>
        <v>0</v>
      </c>
      <c r="AD71" s="136">
        <f>'LCIA_AD-a'!AD68</f>
        <v>0</v>
      </c>
      <c r="AE71" s="136">
        <f>'LCIA_AD-a'!AE68</f>
        <v>0</v>
      </c>
      <c r="AF71" s="136">
        <f>'LCIA_AD-a'!AF68</f>
        <v>0</v>
      </c>
      <c r="AG71" s="136">
        <f>'LCIA_AD-a'!AG68</f>
        <v>0</v>
      </c>
      <c r="AH71" s="136">
        <f>'LCIA_AD-a'!AH68</f>
        <v>0</v>
      </c>
      <c r="AI71" s="136">
        <f>'LCIA_AD-a'!AI68</f>
        <v>0</v>
      </c>
      <c r="AJ71" s="136">
        <f>'LCIA_AD-a'!AJ68</f>
        <v>0</v>
      </c>
      <c r="AK71" s="136">
        <f>'LCIA_AD-a'!AK68</f>
        <v>0</v>
      </c>
    </row>
    <row r="72" spans="1:37" x14ac:dyDescent="0.35">
      <c r="A72" s="142"/>
      <c r="B72" s="143" t="s">
        <v>110</v>
      </c>
      <c r="C72" s="136" t="e">
        <f>'LCIA_AD-a'!C69</f>
        <v>#REF!</v>
      </c>
      <c r="D72" s="136" t="e">
        <f>'LCIA_AD-a'!D69</f>
        <v>#REF!</v>
      </c>
      <c r="E72" s="136" t="e">
        <f>'LCIA_AD-a'!E69</f>
        <v>#REF!</v>
      </c>
      <c r="F72" s="136" t="e">
        <f>'LCIA_AD-a'!F69</f>
        <v>#REF!</v>
      </c>
      <c r="G72" s="136">
        <f>'LCIA_AD-a'!G69</f>
        <v>0</v>
      </c>
      <c r="H72" s="136">
        <f>'LCIA_AD-a'!H69</f>
        <v>7.9951774603777057</v>
      </c>
      <c r="I72" s="136">
        <f>'LCIA_AD-a'!I69</f>
        <v>0</v>
      </c>
      <c r="J72" s="136">
        <f>'LCIA_AD-a'!J69</f>
        <v>0</v>
      </c>
      <c r="K72" s="136">
        <f>'LCIA_AD-a'!K69</f>
        <v>0</v>
      </c>
      <c r="L72" s="136">
        <f>'LCIA_AD-a'!L69</f>
        <v>0</v>
      </c>
      <c r="M72" s="136">
        <f>'LCIA_AD-a'!M69</f>
        <v>0</v>
      </c>
      <c r="N72" s="136">
        <f>'LCIA_AD-a'!N69</f>
        <v>0</v>
      </c>
      <c r="O72" s="136">
        <f>'LCIA_AD-a'!O69</f>
        <v>0</v>
      </c>
      <c r="P72" s="136">
        <f>'LCIA_AD-a'!P69</f>
        <v>0</v>
      </c>
      <c r="Q72" s="136">
        <f>'LCIA_AD-a'!Q69</f>
        <v>0</v>
      </c>
      <c r="R72" s="136">
        <f>'LCIA_AD-a'!R69</f>
        <v>0</v>
      </c>
      <c r="S72" s="136">
        <f>'LCIA_AD-a'!S69</f>
        <v>0</v>
      </c>
      <c r="T72" s="136">
        <f>'LCIA_AD-a'!T69</f>
        <v>0</v>
      </c>
      <c r="U72" s="136">
        <f>'LCIA_AD-a'!U69</f>
        <v>0</v>
      </c>
      <c r="V72" s="136">
        <f>'LCIA_AD-a'!V69</f>
        <v>0</v>
      </c>
      <c r="W72" s="136">
        <f>'LCIA_AD-a'!W69</f>
        <v>0</v>
      </c>
      <c r="X72" s="136">
        <f>'LCIA_AD-a'!X69</f>
        <v>3.0693235046556389</v>
      </c>
      <c r="Y72" s="136">
        <f>'LCIA_AD-a'!Y69</f>
        <v>0</v>
      </c>
      <c r="Z72" s="136">
        <f>'LCIA_AD-a'!Z69</f>
        <v>7.6801640589139021E-4</v>
      </c>
      <c r="AA72" s="136">
        <f>'LCIA_AD-a'!AA69</f>
        <v>0</v>
      </c>
      <c r="AB72" s="136">
        <f>'LCIA_AD-a'!AB69</f>
        <v>0</v>
      </c>
      <c r="AC72" s="136">
        <f>'LCIA_AD-a'!AC69</f>
        <v>103.07918225651237</v>
      </c>
      <c r="AD72" s="136">
        <f>'LCIA_AD-a'!AD69</f>
        <v>0</v>
      </c>
      <c r="AE72" s="136">
        <f>'LCIA_AD-a'!AE69</f>
        <v>0</v>
      </c>
      <c r="AF72" s="136">
        <f>'LCIA_AD-a'!AF69</f>
        <v>0</v>
      </c>
      <c r="AG72" s="136">
        <f>'LCIA_AD-a'!AG69</f>
        <v>114.14368322154573</v>
      </c>
      <c r="AH72" s="136">
        <f>'LCIA_AD-a'!AH69</f>
        <v>7.6801640589139021E-4</v>
      </c>
      <c r="AI72" s="136">
        <f>'LCIA_AD-a'!AI69</f>
        <v>0</v>
      </c>
      <c r="AJ72" s="136">
        <f>'LCIA_AD-a'!AJ69</f>
        <v>0</v>
      </c>
      <c r="AK72" s="136">
        <f>'LCIA_AD-a'!AK69</f>
        <v>0</v>
      </c>
    </row>
    <row r="73" spans="1:37" x14ac:dyDescent="0.35">
      <c r="A73" s="142"/>
      <c r="B73" s="143" t="s">
        <v>114</v>
      </c>
      <c r="C73" s="136" t="e">
        <f>'LCIA_AD-a'!C70</f>
        <v>#REF!</v>
      </c>
      <c r="D73" s="136" t="e">
        <f>'LCIA_AD-a'!D70</f>
        <v>#REF!</v>
      </c>
      <c r="E73" s="136" t="e">
        <f>'LCIA_AD-a'!E70</f>
        <v>#REF!</v>
      </c>
      <c r="F73" s="136" t="e">
        <f>'LCIA_AD-a'!F70</f>
        <v>#REF!</v>
      </c>
      <c r="G73" s="136">
        <f>'LCIA_AD-a'!G70</f>
        <v>0</v>
      </c>
      <c r="H73" s="136">
        <f>'LCIA_AD-a'!H70</f>
        <v>0</v>
      </c>
      <c r="I73" s="136">
        <f>'LCIA_AD-a'!I70</f>
        <v>0</v>
      </c>
      <c r="J73" s="136">
        <f>'LCIA_AD-a'!J70</f>
        <v>0</v>
      </c>
      <c r="K73" s="136">
        <f>'LCIA_AD-a'!K70</f>
        <v>0</v>
      </c>
      <c r="L73" s="136">
        <f>'LCIA_AD-a'!L70</f>
        <v>0</v>
      </c>
      <c r="M73" s="136">
        <f>'LCIA_AD-a'!M70</f>
        <v>0</v>
      </c>
      <c r="N73" s="136">
        <f>'LCIA_AD-a'!N70</f>
        <v>0</v>
      </c>
      <c r="O73" s="136">
        <f>'LCIA_AD-a'!O70</f>
        <v>0</v>
      </c>
      <c r="P73" s="136">
        <f>'LCIA_AD-a'!P70</f>
        <v>0</v>
      </c>
      <c r="Q73" s="136">
        <f>'LCIA_AD-a'!Q70</f>
        <v>0</v>
      </c>
      <c r="R73" s="136">
        <f>'LCIA_AD-a'!R70</f>
        <v>0</v>
      </c>
      <c r="S73" s="136">
        <f>'LCIA_AD-a'!S70</f>
        <v>0</v>
      </c>
      <c r="T73" s="136">
        <f>'LCIA_AD-a'!T70</f>
        <v>0</v>
      </c>
      <c r="U73" s="136">
        <f>'LCIA_AD-a'!U70</f>
        <v>0</v>
      </c>
      <c r="V73" s="136">
        <f>'LCIA_AD-a'!V70</f>
        <v>0</v>
      </c>
      <c r="W73" s="136">
        <f>'LCIA_AD-a'!W70</f>
        <v>0</v>
      </c>
      <c r="X73" s="136">
        <f>'LCIA_AD-a'!X70</f>
        <v>-3.7432543535239895</v>
      </c>
      <c r="Y73" s="136">
        <f>'LCIA_AD-a'!Y70</f>
        <v>0</v>
      </c>
      <c r="Z73" s="136">
        <f>'LCIA_AD-a'!Z70</f>
        <v>0</v>
      </c>
      <c r="AA73" s="136">
        <f>'LCIA_AD-a'!AA70</f>
        <v>0</v>
      </c>
      <c r="AB73" s="136">
        <f>'LCIA_AD-a'!AB70</f>
        <v>0</v>
      </c>
      <c r="AC73" s="136">
        <f>'LCIA_AD-a'!AC70</f>
        <v>0</v>
      </c>
      <c r="AD73" s="136">
        <f>'LCIA_AD-a'!AD70</f>
        <v>0</v>
      </c>
      <c r="AE73" s="136">
        <f>'LCIA_AD-a'!AE70</f>
        <v>0</v>
      </c>
      <c r="AF73" s="136">
        <f>'LCIA_AD-a'!AF70</f>
        <v>0</v>
      </c>
      <c r="AG73" s="136">
        <f>'LCIA_AD-a'!AG70</f>
        <v>-3.7432543535239895</v>
      </c>
      <c r="AH73" s="136">
        <f>'LCIA_AD-a'!AH70</f>
        <v>0</v>
      </c>
      <c r="AI73" s="136">
        <f>'LCIA_AD-a'!AI70</f>
        <v>0</v>
      </c>
      <c r="AJ73" s="136">
        <f>'LCIA_AD-a'!AJ70</f>
        <v>0</v>
      </c>
      <c r="AK73" s="136">
        <f>'LCIA_AD-a'!AK70</f>
        <v>0</v>
      </c>
    </row>
    <row r="74" spans="1:37" x14ac:dyDescent="0.35">
      <c r="A74" s="142"/>
      <c r="B74" s="143" t="s">
        <v>414</v>
      </c>
      <c r="C74" s="136" t="e">
        <f>'LCIA_AD-a'!C71</f>
        <v>#REF!</v>
      </c>
      <c r="D74" s="136" t="e">
        <f>'LCIA_AD-a'!D71</f>
        <v>#REF!</v>
      </c>
      <c r="E74" s="136" t="e">
        <f>'LCIA_AD-a'!E71</f>
        <v>#REF!</v>
      </c>
      <c r="F74" s="136" t="e">
        <f>'LCIA_AD-a'!F71</f>
        <v>#REF!</v>
      </c>
      <c r="G74" s="136">
        <f>'LCIA_AD-a'!G71</f>
        <v>0</v>
      </c>
      <c r="H74" s="136">
        <f>'LCIA_AD-a'!H71</f>
        <v>0</v>
      </c>
      <c r="I74" s="136">
        <f>'LCIA_AD-a'!I71</f>
        <v>0</v>
      </c>
      <c r="J74" s="136">
        <f>'LCIA_AD-a'!J71</f>
        <v>0</v>
      </c>
      <c r="K74" s="136">
        <f>'LCIA_AD-a'!K71</f>
        <v>-0.19421069896461307</v>
      </c>
      <c r="L74" s="136">
        <f>'LCIA_AD-a'!L71</f>
        <v>0</v>
      </c>
      <c r="M74" s="136">
        <f>'LCIA_AD-a'!M71</f>
        <v>0</v>
      </c>
      <c r="N74" s="136">
        <f>'LCIA_AD-a'!N71</f>
        <v>0</v>
      </c>
      <c r="O74" s="136">
        <f>'LCIA_AD-a'!O71</f>
        <v>0</v>
      </c>
      <c r="P74" s="136">
        <f>'LCIA_AD-a'!P71</f>
        <v>0</v>
      </c>
      <c r="Q74" s="136">
        <f>'LCIA_AD-a'!Q71</f>
        <v>0</v>
      </c>
      <c r="R74" s="136">
        <f>'LCIA_AD-a'!R71</f>
        <v>0</v>
      </c>
      <c r="S74" s="136">
        <f>'LCIA_AD-a'!S71</f>
        <v>0</v>
      </c>
      <c r="T74" s="136">
        <f>'LCIA_AD-a'!T71</f>
        <v>0</v>
      </c>
      <c r="U74" s="136">
        <f>'LCIA_AD-a'!U71</f>
        <v>0</v>
      </c>
      <c r="V74" s="136">
        <f>'LCIA_AD-a'!V71</f>
        <v>0</v>
      </c>
      <c r="W74" s="136">
        <f>'LCIA_AD-a'!W71</f>
        <v>0</v>
      </c>
      <c r="X74" s="136">
        <f>'LCIA_AD-a'!X71</f>
        <v>0</v>
      </c>
      <c r="Y74" s="136">
        <f>'LCIA_AD-a'!Y71</f>
        <v>0</v>
      </c>
      <c r="Z74" s="136">
        <f>'LCIA_AD-a'!Z71</f>
        <v>0</v>
      </c>
      <c r="AA74" s="136">
        <f>'LCIA_AD-a'!AA71</f>
        <v>0</v>
      </c>
      <c r="AB74" s="136">
        <f>'LCIA_AD-a'!AB71</f>
        <v>0</v>
      </c>
      <c r="AC74" s="136">
        <f>'LCIA_AD-a'!AC71</f>
        <v>0</v>
      </c>
      <c r="AD74" s="136">
        <f>'LCIA_AD-a'!AD71</f>
        <v>0</v>
      </c>
      <c r="AE74" s="136">
        <f>'LCIA_AD-a'!AE71</f>
        <v>0</v>
      </c>
      <c r="AF74" s="136">
        <f>'LCIA_AD-a'!AF71</f>
        <v>0</v>
      </c>
      <c r="AG74" s="136">
        <f>'LCIA_AD-a'!AG71</f>
        <v>-0.19421069896461307</v>
      </c>
      <c r="AH74" s="136">
        <f>'LCIA_AD-a'!AH71</f>
        <v>0</v>
      </c>
      <c r="AI74" s="136">
        <f>'LCIA_AD-a'!AI71</f>
        <v>0</v>
      </c>
      <c r="AJ74" s="136">
        <f>'LCIA_AD-a'!AJ71</f>
        <v>0</v>
      </c>
      <c r="AK74" s="136">
        <f>'LCIA_AD-a'!AK71</f>
        <v>0</v>
      </c>
    </row>
    <row r="75" spans="1:37" x14ac:dyDescent="0.35">
      <c r="A75" s="142"/>
      <c r="B75" s="143" t="s">
        <v>415</v>
      </c>
      <c r="C75" s="136" t="e">
        <f>'LCIA_AD-a'!C72</f>
        <v>#REF!</v>
      </c>
      <c r="D75" s="136" t="e">
        <f>'LCIA_AD-a'!D72</f>
        <v>#REF!</v>
      </c>
      <c r="E75" s="136" t="e">
        <f>'LCIA_AD-a'!E72</f>
        <v>#REF!</v>
      </c>
      <c r="F75" s="136" t="e">
        <f>'LCIA_AD-a'!F72</f>
        <v>#REF!</v>
      </c>
      <c r="G75" s="136">
        <f>'LCIA_AD-a'!G72</f>
        <v>0</v>
      </c>
      <c r="H75" s="136">
        <f>'LCIA_AD-a'!H72</f>
        <v>0</v>
      </c>
      <c r="I75" s="136">
        <f>'LCIA_AD-a'!I72</f>
        <v>0</v>
      </c>
      <c r="J75" s="136">
        <f>'LCIA_AD-a'!J72</f>
        <v>0</v>
      </c>
      <c r="K75" s="136">
        <f>'LCIA_AD-a'!K72</f>
        <v>0</v>
      </c>
      <c r="L75" s="136">
        <f>'LCIA_AD-a'!L72</f>
        <v>0</v>
      </c>
      <c r="M75" s="136">
        <f>'LCIA_AD-a'!M72</f>
        <v>0</v>
      </c>
      <c r="N75" s="136">
        <f>'LCIA_AD-a'!N72</f>
        <v>0</v>
      </c>
      <c r="O75" s="136">
        <f>'LCIA_AD-a'!O72</f>
        <v>0</v>
      </c>
      <c r="P75" s="136">
        <f>'LCIA_AD-a'!P72</f>
        <v>0</v>
      </c>
      <c r="Q75" s="136">
        <f>'LCIA_AD-a'!Q72</f>
        <v>0</v>
      </c>
      <c r="R75" s="136">
        <f>'LCIA_AD-a'!R72</f>
        <v>0</v>
      </c>
      <c r="S75" s="136">
        <f>'LCIA_AD-a'!S72</f>
        <v>0</v>
      </c>
      <c r="T75" s="136">
        <f>'LCIA_AD-a'!T72</f>
        <v>-17.533492041158077</v>
      </c>
      <c r="U75" s="136">
        <f>'LCIA_AD-a'!U72</f>
        <v>-1.9033067018362388</v>
      </c>
      <c r="V75" s="136">
        <f>'LCIA_AD-a'!V72</f>
        <v>0</v>
      </c>
      <c r="W75" s="136">
        <f>'LCIA_AD-a'!W72</f>
        <v>0</v>
      </c>
      <c r="X75" s="136">
        <f>'LCIA_AD-a'!X72</f>
        <v>0</v>
      </c>
      <c r="Y75" s="136">
        <f>'LCIA_AD-a'!Y72</f>
        <v>0</v>
      </c>
      <c r="Z75" s="136">
        <f>'LCIA_AD-a'!Z72</f>
        <v>0</v>
      </c>
      <c r="AA75" s="136">
        <f>'LCIA_AD-a'!AA72</f>
        <v>0</v>
      </c>
      <c r="AB75" s="136">
        <f>'LCIA_AD-a'!AB72</f>
        <v>0</v>
      </c>
      <c r="AC75" s="136">
        <f>'LCIA_AD-a'!AC72</f>
        <v>0</v>
      </c>
      <c r="AD75" s="136">
        <f>'LCIA_AD-a'!AD72</f>
        <v>0</v>
      </c>
      <c r="AE75" s="136">
        <f>'LCIA_AD-a'!AE72</f>
        <v>0</v>
      </c>
      <c r="AF75" s="136">
        <f>'LCIA_AD-a'!AF72</f>
        <v>0</v>
      </c>
      <c r="AG75" s="136">
        <f>'LCIA_AD-a'!AG72</f>
        <v>-19.436798742994313</v>
      </c>
      <c r="AH75" s="136">
        <f>'LCIA_AD-a'!AH72</f>
        <v>0</v>
      </c>
      <c r="AI75" s="136">
        <f>'LCIA_AD-a'!AI72</f>
        <v>0</v>
      </c>
      <c r="AJ75" s="136">
        <f>'LCIA_AD-a'!AJ72</f>
        <v>0</v>
      </c>
      <c r="AK75" s="136">
        <f>'LCIA_AD-a'!AK72</f>
        <v>0</v>
      </c>
    </row>
    <row r="76" spans="1:37" x14ac:dyDescent="0.35">
      <c r="A76" s="142" t="s">
        <v>421</v>
      </c>
      <c r="B76" s="136"/>
      <c r="C76" s="141" t="e">
        <f>SUM(C77:C81)</f>
        <v>#REF!</v>
      </c>
      <c r="D76" s="141" t="e">
        <f>SUM(D77:D81)</f>
        <v>#REF!</v>
      </c>
      <c r="E76" s="141" t="e">
        <f t="shared" ref="E76:AK76" si="10">SUM(E77:E81)</f>
        <v>#REF!</v>
      </c>
      <c r="F76" s="141" t="e">
        <f t="shared" si="10"/>
        <v>#REF!</v>
      </c>
      <c r="G76" s="141">
        <f t="shared" si="10"/>
        <v>2.325854288003757E-16</v>
      </c>
      <c r="H76" s="141">
        <f t="shared" si="10"/>
        <v>2.0843354159428706</v>
      </c>
      <c r="I76" s="141">
        <f t="shared" si="10"/>
        <v>15.004152494588944</v>
      </c>
      <c r="J76" s="141">
        <f t="shared" si="10"/>
        <v>4.7160457207129562</v>
      </c>
      <c r="K76" s="141">
        <f t="shared" si="10"/>
        <v>0.16344369846617596</v>
      </c>
      <c r="L76" s="141">
        <f t="shared" si="10"/>
        <v>9.5218493240030136E-7</v>
      </c>
      <c r="M76" s="141">
        <f t="shared" si="10"/>
        <v>3.2047743597861468E-5</v>
      </c>
      <c r="N76" s="141">
        <f t="shared" si="10"/>
        <v>2.7518155758548674E-5</v>
      </c>
      <c r="O76" s="141">
        <f t="shared" si="10"/>
        <v>2.5134920943443447E-5</v>
      </c>
      <c r="P76" s="141">
        <f t="shared" si="10"/>
        <v>1.5633524483729601E-8</v>
      </c>
      <c r="Q76" s="141">
        <f t="shared" si="10"/>
        <v>2.9300062185122049E-7</v>
      </c>
      <c r="R76" s="141">
        <f t="shared" si="10"/>
        <v>2.2912270076328767</v>
      </c>
      <c r="S76" s="141">
        <f t="shared" si="10"/>
        <v>6.8698536799467789</v>
      </c>
      <c r="T76" s="141">
        <f t="shared" si="10"/>
        <v>59.615813739532882</v>
      </c>
      <c r="U76" s="141">
        <f t="shared" si="10"/>
        <v>6.4714449287225246</v>
      </c>
      <c r="V76" s="141">
        <f t="shared" si="10"/>
        <v>3.0527098921057632E-5</v>
      </c>
      <c r="W76" s="141">
        <f t="shared" si="10"/>
        <v>3.6965873702720221E-5</v>
      </c>
      <c r="X76" s="141">
        <f t="shared" si="10"/>
        <v>0.3195540470206521</v>
      </c>
      <c r="Y76" s="141">
        <f t="shared" si="10"/>
        <v>1.3788470790863321E-8</v>
      </c>
      <c r="Z76" s="141">
        <f t="shared" si="10"/>
        <v>1.4376182515874917E-4</v>
      </c>
      <c r="AA76" s="141">
        <f t="shared" si="10"/>
        <v>4.9033638399778248</v>
      </c>
      <c r="AB76" s="141">
        <f t="shared" si="10"/>
        <v>4.5043948021577627E-7</v>
      </c>
      <c r="AC76" s="141">
        <f t="shared" si="10"/>
        <v>13.610955897430211</v>
      </c>
      <c r="AD76" s="141">
        <f t="shared" si="10"/>
        <v>1.1142800812446216</v>
      </c>
      <c r="AE76" s="141">
        <f t="shared" si="10"/>
        <v>1.3492543901492879</v>
      </c>
      <c r="AF76" s="141">
        <f t="shared" si="10"/>
        <v>1.3852605729744534E-2</v>
      </c>
      <c r="AG76" s="141">
        <f t="shared" si="10"/>
        <v>118.55889107539397</v>
      </c>
      <c r="AH76" s="141">
        <f t="shared" si="10"/>
        <v>3.3768535048647025E-4</v>
      </c>
      <c r="AI76" s="141">
        <f t="shared" si="10"/>
        <v>8.8022914075462286E-4</v>
      </c>
      <c r="AJ76" s="141">
        <f t="shared" si="10"/>
        <v>1.0751329152260927E-4</v>
      </c>
      <c r="AK76" s="141">
        <f t="shared" si="10"/>
        <v>3.0365790548718637E-2</v>
      </c>
    </row>
    <row r="77" spans="1:37" x14ac:dyDescent="0.35">
      <c r="A77" s="142"/>
      <c r="B77" s="136" t="s">
        <v>228</v>
      </c>
      <c r="C77" s="136" t="e">
        <f>'LCIA_AD-a'!C74</f>
        <v>#REF!</v>
      </c>
      <c r="D77" s="136" t="e">
        <f>'LCIA_AD-a'!D74</f>
        <v>#REF!</v>
      </c>
      <c r="E77" s="136" t="e">
        <f>'LCIA_AD-a'!E74</f>
        <v>#REF!</v>
      </c>
      <c r="F77" s="136" t="e">
        <f>'LCIA_AD-a'!F74</f>
        <v>#REF!</v>
      </c>
      <c r="G77" s="136">
        <f>'LCIA_AD-a'!G74</f>
        <v>7.1839059451077027E-17</v>
      </c>
      <c r="H77" s="136">
        <f>'LCIA_AD-a'!H74</f>
        <v>0.15976538150591041</v>
      </c>
      <c r="I77" s="136">
        <f>'LCIA_AD-a'!I74</f>
        <v>1.3286838950285187</v>
      </c>
      <c r="J77" s="136">
        <f>'LCIA_AD-a'!J74</f>
        <v>0.44167281808898784</v>
      </c>
      <c r="K77" s="136">
        <f>'LCIA_AD-a'!K74</f>
        <v>6.4966943598052953E-4</v>
      </c>
      <c r="L77" s="136">
        <f>'LCIA_AD-a'!L74</f>
        <v>9.9178611616952431E-8</v>
      </c>
      <c r="M77" s="136">
        <f>'LCIA_AD-a'!M74</f>
        <v>4.6569101689615966E-6</v>
      </c>
      <c r="N77" s="136">
        <f>'LCIA_AD-a'!N74</f>
        <v>3.2305737622603584E-6</v>
      </c>
      <c r="O77" s="136">
        <f>'LCIA_AD-a'!O74</f>
        <v>3.2697442520780137E-6</v>
      </c>
      <c r="P77" s="136">
        <f>'LCIA_AD-a'!P74</f>
        <v>1.3965488787624792E-9</v>
      </c>
      <c r="Q77" s="136">
        <f>'LCIA_AD-a'!Q74</f>
        <v>2.522741482903371E-8</v>
      </c>
      <c r="R77" s="136">
        <f>'LCIA_AD-a'!R74</f>
        <v>0.18924733002891919</v>
      </c>
      <c r="S77" s="136">
        <f>'LCIA_AD-a'!S74</f>
        <v>0.34162924878201517</v>
      </c>
      <c r="T77" s="136">
        <f>'LCIA_AD-a'!T74</f>
        <v>3.5833262224005518</v>
      </c>
      <c r="U77" s="136">
        <f>'LCIA_AD-a'!U74</f>
        <v>0.38897871107892706</v>
      </c>
      <c r="V77" s="136">
        <f>'LCIA_AD-a'!V74</f>
        <v>6.9458050003459681E-6</v>
      </c>
      <c r="W77" s="136">
        <f>'LCIA_AD-a'!W74</f>
        <v>9.4523840991512821E-6</v>
      </c>
      <c r="X77" s="136">
        <f>'LCIA_AD-a'!X74</f>
        <v>6.5295283178198271E-2</v>
      </c>
      <c r="Y77" s="136">
        <f>'LCIA_AD-a'!Y74</f>
        <v>1.0847755754146297E-9</v>
      </c>
      <c r="Z77" s="136">
        <f>'LCIA_AD-a'!Z74</f>
        <v>1.2853779227979255E-5</v>
      </c>
      <c r="AA77" s="136">
        <f>'LCIA_AD-a'!AA74</f>
        <v>0.37169565680962818</v>
      </c>
      <c r="AB77" s="136">
        <f>'LCIA_AD-a'!AB74</f>
        <v>3.5745885416060553E-8</v>
      </c>
      <c r="AC77" s="136">
        <f>'LCIA_AD-a'!AC74</f>
        <v>1.4643983888361911</v>
      </c>
      <c r="AD77" s="136">
        <f>'LCIA_AD-a'!AD74</f>
        <v>0.25352298793489464</v>
      </c>
      <c r="AE77" s="136">
        <f>'LCIA_AD-a'!AE74</f>
        <v>0.34501201961902173</v>
      </c>
      <c r="AF77" s="136">
        <f>'LCIA_AD-a'!AF74</f>
        <v>1.5683596768609758E-3</v>
      </c>
      <c r="AG77" s="136">
        <f>'LCIA_AD-a'!AG74</f>
        <v>8.9363858406077341</v>
      </c>
      <c r="AH77" s="136">
        <f>'LCIA_AD-a'!AH74</f>
        <v>6.6058012664428612E-5</v>
      </c>
      <c r="AI77" s="136">
        <f>'LCIA_AD-a'!AI74</f>
        <v>3.4292573087756539E-4</v>
      </c>
      <c r="AJ77" s="136">
        <f>'LCIA_AD-a'!AJ74</f>
        <v>4.1885768565711923E-5</v>
      </c>
      <c r="AK77" s="136">
        <f>'LCIA_AD-a'!AK74</f>
        <v>5.8054288660261226E-4</v>
      </c>
    </row>
    <row r="78" spans="1:37" x14ac:dyDescent="0.35">
      <c r="A78" s="142"/>
      <c r="B78" s="136" t="s">
        <v>230</v>
      </c>
      <c r="C78" s="136" t="e">
        <f>'LCIA_AD-a'!C75</f>
        <v>#REF!</v>
      </c>
      <c r="D78" s="136" t="e">
        <f>'LCIA_AD-a'!D75</f>
        <v>#REF!</v>
      </c>
      <c r="E78" s="136" t="e">
        <f>'LCIA_AD-a'!E75</f>
        <v>#REF!</v>
      </c>
      <c r="F78" s="136" t="e">
        <f>'LCIA_AD-a'!F75</f>
        <v>#REF!</v>
      </c>
      <c r="G78" s="136">
        <f>'LCIA_AD-a'!G75</f>
        <v>1.1497481230567759E-16</v>
      </c>
      <c r="H78" s="136">
        <f>'LCIA_AD-a'!H75</f>
        <v>0.70476902100808392</v>
      </c>
      <c r="I78" s="136">
        <f>'LCIA_AD-a'!I75</f>
        <v>3.6906910779461204</v>
      </c>
      <c r="J78" s="136">
        <f>'LCIA_AD-a'!J75</f>
        <v>0.33849636256650795</v>
      </c>
      <c r="K78" s="136">
        <f>'LCIA_AD-a'!K75</f>
        <v>0.15668966620926444</v>
      </c>
      <c r="L78" s="136">
        <f>'LCIA_AD-a'!L75</f>
        <v>1.9633790233167265E-7</v>
      </c>
      <c r="M78" s="136">
        <f>'LCIA_AD-a'!M75</f>
        <v>7.3548680496487088E-6</v>
      </c>
      <c r="N78" s="136">
        <f>'LCIA_AD-a'!N75</f>
        <v>6.3051199392739216E-6</v>
      </c>
      <c r="O78" s="136">
        <f>'LCIA_AD-a'!O75</f>
        <v>1.1017961092851991E-5</v>
      </c>
      <c r="P78" s="136">
        <f>'LCIA_AD-a'!P75</f>
        <v>7.3071772848713008E-9</v>
      </c>
      <c r="Q78" s="136">
        <f>'LCIA_AD-a'!Q75</f>
        <v>1.4867259719273959E-7</v>
      </c>
      <c r="R78" s="136">
        <f>'LCIA_AD-a'!R75</f>
        <v>1.0741998489157791</v>
      </c>
      <c r="S78" s="136">
        <f>'LCIA_AD-a'!S75</f>
        <v>1.2438454860455115</v>
      </c>
      <c r="T78" s="136">
        <f>'LCIA_AD-a'!T75</f>
        <v>2.7219878231228605</v>
      </c>
      <c r="U78" s="136">
        <f>'LCIA_AD-a'!U75</f>
        <v>0.29547782338190726</v>
      </c>
      <c r="V78" s="136">
        <f>'LCIA_AD-a'!V75</f>
        <v>1.1380329385058165E-5</v>
      </c>
      <c r="W78" s="136">
        <f>'LCIA_AD-a'!W75</f>
        <v>1.5101048836186786E-5</v>
      </c>
      <c r="X78" s="136">
        <f>'LCIA_AD-a'!X75</f>
        <v>2.2656385776052428E-2</v>
      </c>
      <c r="Y78" s="136">
        <f>'LCIA_AD-a'!Y75</f>
        <v>6.0126879000854583E-10</v>
      </c>
      <c r="Z78" s="136">
        <f>'LCIA_AD-a'!Z75</f>
        <v>5.6746972480412308E-5</v>
      </c>
      <c r="AA78" s="136">
        <f>'LCIA_AD-a'!AA75</f>
        <v>0.43384146164752557</v>
      </c>
      <c r="AB78" s="136">
        <f>'LCIA_AD-a'!AB75</f>
        <v>4.3409608990377984E-8</v>
      </c>
      <c r="AC78" s="136">
        <f>'LCIA_AD-a'!AC75</f>
        <v>4.2975468876606771</v>
      </c>
      <c r="AD78" s="136">
        <f>'LCIA_AD-a'!AD75</f>
        <v>0.41538780694478905</v>
      </c>
      <c r="AE78" s="136">
        <f>'LCIA_AD-a'!AE75</f>
        <v>0.55118828252081775</v>
      </c>
      <c r="AF78" s="136">
        <f>'LCIA_AD-a'!AF75</f>
        <v>6.0768319209760883E-3</v>
      </c>
      <c r="AG78" s="136">
        <f>'LCIA_AD-a'!AG75</f>
        <v>15.958650340166795</v>
      </c>
      <c r="AH78" s="136">
        <f>'LCIA_AD-a'!AH75</f>
        <v>1.2728497718566826E-4</v>
      </c>
      <c r="AI78" s="136">
        <f>'LCIA_AD-a'!AI75</f>
        <v>3.7227889535239046E-4</v>
      </c>
      <c r="AJ78" s="136">
        <f>'LCIA_AD-a'!AJ75</f>
        <v>4.5471034246176504E-5</v>
      </c>
      <c r="AK78" s="136">
        <f>'LCIA_AD-a'!AK75</f>
        <v>5.3968069191696767E-3</v>
      </c>
    </row>
    <row r="79" spans="1:37" x14ac:dyDescent="0.35">
      <c r="A79" s="142"/>
      <c r="B79" s="136" t="s">
        <v>229</v>
      </c>
      <c r="C79" s="136" t="e">
        <f>'LCIA_AD-a'!C76</f>
        <v>#REF!</v>
      </c>
      <c r="D79" s="136" t="e">
        <f>'LCIA_AD-a'!D76</f>
        <v>#REF!</v>
      </c>
      <c r="E79" s="136" t="e">
        <f>'LCIA_AD-a'!E76</f>
        <v>#REF!</v>
      </c>
      <c r="F79" s="136" t="e">
        <f>'LCIA_AD-a'!F76</f>
        <v>#REF!</v>
      </c>
      <c r="G79" s="136">
        <f>'LCIA_AD-a'!G76</f>
        <v>3.8351252146686007E-17</v>
      </c>
      <c r="H79" s="136">
        <f>'LCIA_AD-a'!H76</f>
        <v>9.0501306253378364E-2</v>
      </c>
      <c r="I79" s="136">
        <f>'LCIA_AD-a'!I76</f>
        <v>2.4469188380433797</v>
      </c>
      <c r="J79" s="136">
        <f>'LCIA_AD-a'!J76</f>
        <v>0.25452117604786123</v>
      </c>
      <c r="K79" s="136">
        <f>'LCIA_AD-a'!K76</f>
        <v>4.6061135544141327E-4</v>
      </c>
      <c r="L79" s="136">
        <f>'LCIA_AD-a'!L76</f>
        <v>6.7954840852507947E-8</v>
      </c>
      <c r="M79" s="136">
        <f>'LCIA_AD-a'!M76</f>
        <v>3.3822653762640168E-6</v>
      </c>
      <c r="N79" s="136">
        <f>'LCIA_AD-a'!N76</f>
        <v>2.2580610786893007E-6</v>
      </c>
      <c r="O79" s="136">
        <f>'LCIA_AD-a'!O76</f>
        <v>2.1001054301561887E-6</v>
      </c>
      <c r="P79" s="136">
        <f>'LCIA_AD-a'!P76</f>
        <v>8.4101397978904736E-10</v>
      </c>
      <c r="Q79" s="136">
        <f>'LCIA_AD-a'!Q76</f>
        <v>1.4609866583635377E-8</v>
      </c>
      <c r="R79" s="136">
        <f>'LCIA_AD-a'!R76</f>
        <v>0.43774715871875158</v>
      </c>
      <c r="S79" s="136">
        <f>'LCIA_AD-a'!S76</f>
        <v>0.80750302297936827</v>
      </c>
      <c r="T79" s="136">
        <f>'LCIA_AD-a'!T76</f>
        <v>1.6899583886444969</v>
      </c>
      <c r="U79" s="136">
        <f>'LCIA_AD-a'!U76</f>
        <v>0.18344835910684987</v>
      </c>
      <c r="V79" s="136">
        <f>'LCIA_AD-a'!V76</f>
        <v>4.1839195543371516E-6</v>
      </c>
      <c r="W79" s="136">
        <f>'LCIA_AD-a'!W76</f>
        <v>5.2373234079643975E-6</v>
      </c>
      <c r="X79" s="136">
        <f>'LCIA_AD-a'!X76</f>
        <v>1.4808884601528851E-2</v>
      </c>
      <c r="Y79" s="136">
        <f>'LCIA_AD-a'!Y76</f>
        <v>4.9916504449657591E-10</v>
      </c>
      <c r="Z79" s="136">
        <f>'LCIA_AD-a'!Z76</f>
        <v>8.31333748111013E-6</v>
      </c>
      <c r="AA79" s="136">
        <f>'LCIA_AD-a'!AA76</f>
        <v>0.40037884805765755</v>
      </c>
      <c r="AB79" s="136">
        <f>'LCIA_AD-a'!AB76</f>
        <v>3.9818577660412446E-8</v>
      </c>
      <c r="AC79" s="136">
        <f>'LCIA_AD-a'!AC76</f>
        <v>0.62383457282664401</v>
      </c>
      <c r="AD79" s="136">
        <f>'LCIA_AD-a'!AD76</f>
        <v>0.1527138918650883</v>
      </c>
      <c r="AE79" s="136">
        <f>'LCIA_AD-a'!AE76</f>
        <v>0.19116230439070045</v>
      </c>
      <c r="AF79" s="136">
        <f>'LCIA_AD-a'!AF76</f>
        <v>9.4055367393750227E-4</v>
      </c>
      <c r="AG79" s="136">
        <f>'LCIA_AD-a'!AG76</f>
        <v>7.2952399512863906</v>
      </c>
      <c r="AH79" s="136">
        <f>'LCIA_AD-a'!AH76</f>
        <v>2.1865133731379996E-5</v>
      </c>
      <c r="AI79" s="136">
        <f>'LCIA_AD-a'!AI76</f>
        <v>4.6572544448635516E-5</v>
      </c>
      <c r="AJ79" s="136">
        <f>'LCIA_AD-a'!AJ76</f>
        <v>5.6884819150193094E-6</v>
      </c>
      <c r="AK79" s="136">
        <f>'LCIA_AD-a'!AK76</f>
        <v>2.8604009288160393E-4</v>
      </c>
    </row>
    <row r="80" spans="1:37" x14ac:dyDescent="0.35">
      <c r="A80" s="142"/>
      <c r="B80" s="136" t="s">
        <v>231</v>
      </c>
      <c r="C80" s="136" t="e">
        <f>'LCIA_AD-a'!C77</f>
        <v>#REF!</v>
      </c>
      <c r="D80" s="136" t="e">
        <f>'LCIA_AD-a'!D77</f>
        <v>#REF!</v>
      </c>
      <c r="E80" s="136" t="e">
        <f>'LCIA_AD-a'!E77</f>
        <v>#REF!</v>
      </c>
      <c r="F80" s="136" t="e">
        <f>'LCIA_AD-a'!F77</f>
        <v>#REF!</v>
      </c>
      <c r="G80" s="136">
        <f>'LCIA_AD-a'!G77</f>
        <v>3.0491391466362166E-19</v>
      </c>
      <c r="H80" s="136">
        <f>'LCIA_AD-a'!H77</f>
        <v>1.046146153532156E-2</v>
      </c>
      <c r="I80" s="136">
        <f>'LCIA_AD-a'!I77</f>
        <v>0.11901578469016609</v>
      </c>
      <c r="J80" s="136">
        <f>'LCIA_AD-a'!J77</f>
        <v>4.908992412564956E-2</v>
      </c>
      <c r="K80" s="136">
        <f>'LCIA_AD-a'!K77</f>
        <v>5.6691689946885326E-5</v>
      </c>
      <c r="L80" s="136">
        <f>'LCIA_AD-a'!L77</f>
        <v>6.7550671281044935E-9</v>
      </c>
      <c r="M80" s="136">
        <f>'LCIA_AD-a'!M77</f>
        <v>5.0618565452077096E-7</v>
      </c>
      <c r="N80" s="136">
        <f>'LCIA_AD-a'!N77</f>
        <v>2.1467934456613754E-7</v>
      </c>
      <c r="O80" s="136">
        <f>'LCIA_AD-a'!O77</f>
        <v>1.7957782371438014E-7</v>
      </c>
      <c r="P80" s="136">
        <f>'LCIA_AD-a'!P77</f>
        <v>1.6022314895915818E-9</v>
      </c>
      <c r="Q80" s="136">
        <f>'LCIA_AD-a'!Q77</f>
        <v>2.0177684973598105E-8</v>
      </c>
      <c r="R80" s="136">
        <f>'LCIA_AD-a'!R77</f>
        <v>0.11921370434443354</v>
      </c>
      <c r="S80" s="136">
        <f>'LCIA_AD-a'!S77</f>
        <v>0.61820534214003264</v>
      </c>
      <c r="T80" s="136">
        <f>'LCIA_AD-a'!T77</f>
        <v>0.17230378437011609</v>
      </c>
      <c r="U80" s="136">
        <f>'LCIA_AD-a'!U77</f>
        <v>1.8703882311647237E-2</v>
      </c>
      <c r="V80" s="136">
        <f>'LCIA_AD-a'!V77</f>
        <v>4.3247977508719187E-7</v>
      </c>
      <c r="W80" s="136">
        <f>'LCIA_AD-a'!W77</f>
        <v>2.8867790436279976E-7</v>
      </c>
      <c r="X80" s="136">
        <f>'LCIA_AD-a'!X77</f>
        <v>2.2910853538287757E-3</v>
      </c>
      <c r="Y80" s="136">
        <f>'LCIA_AD-a'!Y77</f>
        <v>3.075983958431578E-11</v>
      </c>
      <c r="Z80" s="136">
        <f>'LCIA_AD-a'!Z77</f>
        <v>1.094512707880644E-6</v>
      </c>
      <c r="AA80" s="136">
        <f>'LCIA_AD-a'!AA77</f>
        <v>6.810018375812045E-2</v>
      </c>
      <c r="AB80" s="136">
        <f>'LCIA_AD-a'!AB77</f>
        <v>6.895530787489346E-9</v>
      </c>
      <c r="AC80" s="136">
        <f>'LCIA_AD-a'!AC77</f>
        <v>7.5961335576372038E-2</v>
      </c>
      <c r="AD80" s="136">
        <f>'LCIA_AD-a'!AD77</f>
        <v>1.5785724432708065E-2</v>
      </c>
      <c r="AE80" s="136">
        <f>'LCIA_AD-a'!AE77</f>
        <v>1.053674350924219E-2</v>
      </c>
      <c r="AF80" s="136">
        <f>'LCIA_AD-a'!AF77</f>
        <v>1.2384486383477695E-3</v>
      </c>
      <c r="AG80" s="136">
        <f>'LCIA_AD-a'!AG77</f>
        <v>1.3042077930147324</v>
      </c>
      <c r="AH80" s="136">
        <f>'LCIA_AD-a'!AH77</f>
        <v>6.9685299936620097E-6</v>
      </c>
      <c r="AI80" s="136">
        <f>'LCIA_AD-a'!AI77</f>
        <v>4.0442269028901048E-5</v>
      </c>
      <c r="AJ80" s="136">
        <f>'LCIA_AD-a'!AJ77</f>
        <v>4.9397154202513011E-6</v>
      </c>
      <c r="AK80" s="136">
        <f>'LCIA_AD-a'!AK77</f>
        <v>2.3202531509859688E-2</v>
      </c>
    </row>
    <row r="81" spans="1:37" x14ac:dyDescent="0.35">
      <c r="A81" s="142"/>
      <c r="B81" s="136" t="s">
        <v>423</v>
      </c>
      <c r="C81" s="136" t="e">
        <f>'LCI_AD-e'!$E27*'IW+_end'!#REF!</f>
        <v>#REF!</v>
      </c>
      <c r="D81" s="136" t="e">
        <f>'LCI_AD-e'!$E27*'IW+_end'!#REF!</f>
        <v>#REF!</v>
      </c>
      <c r="E81" s="136" t="e">
        <f>'LCI_AD-e'!$E27*'IW+_end'!#REF!</f>
        <v>#REF!</v>
      </c>
      <c r="F81" s="136" t="e">
        <f>'LCI_AD-e'!$E27*'IW+_end'!#REF!</f>
        <v>#REF!</v>
      </c>
      <c r="G81" s="136">
        <f>'LCI_AD-e'!$E27*'IW+_end'!C39</f>
        <v>7.1153909822715203E-18</v>
      </c>
      <c r="H81" s="136">
        <f>'LCI_AD-e'!$E27*'IW+_end'!D39</f>
        <v>1.1188382456401766</v>
      </c>
      <c r="I81" s="136">
        <f>'LCI_AD-e'!$E27*'IW+_end'!E39</f>
        <v>7.4188428988807598</v>
      </c>
      <c r="J81" s="136">
        <f>'LCI_AD-e'!$E27*'IW+_end'!F39</f>
        <v>3.6322654398839496</v>
      </c>
      <c r="K81" s="136">
        <f>'LCI_AD-e'!$E27*'IW+_end'!G39</f>
        <v>5.5870597755426988E-3</v>
      </c>
      <c r="L81" s="136">
        <f>'LCI_AD-e'!$E27*'IW+_end'!H39</f>
        <v>5.8195851047106377E-7</v>
      </c>
      <c r="M81" s="136">
        <f>'LCI_AD-e'!$E27*'IW+_end'!I39</f>
        <v>1.6147514348466379E-5</v>
      </c>
      <c r="N81" s="136">
        <f>'LCI_AD-e'!$E27*'IW+_end'!J39</f>
        <v>1.5509721633758954E-5</v>
      </c>
      <c r="O81" s="136">
        <f>'LCI_AD-e'!$E27*'IW+_end'!K39</f>
        <v>8.5675323446428744E-6</v>
      </c>
      <c r="P81" s="136">
        <f>'LCI_AD-e'!$E27*'IW+_end'!L39</f>
        <v>4.4865528507151899E-9</v>
      </c>
      <c r="Q81" s="136">
        <f>'LCI_AD-e'!$E27*'IW+_end'!M39</f>
        <v>8.4313058272213685E-8</v>
      </c>
      <c r="R81" s="136">
        <f>'LCI_AD-e'!$E27*'IW+_end'!N39</f>
        <v>0.47081896562499315</v>
      </c>
      <c r="S81" s="136">
        <f>'LCI_AD-e'!$E27*'IW+_end'!O39</f>
        <v>3.8586705799998522</v>
      </c>
      <c r="T81" s="136">
        <f>'LCI_AD-e'!$E27*'IW+_end'!P39</f>
        <v>51.448237520994859</v>
      </c>
      <c r="U81" s="136">
        <f>'LCI_AD-e'!$E27*'IW+_end'!Q39</f>
        <v>5.5848361528431933</v>
      </c>
      <c r="V81" s="136">
        <f>'LCI_AD-e'!$E27*'IW+_end'!R39</f>
        <v>7.5845652062291584E-6</v>
      </c>
      <c r="W81" s="136">
        <f>'LCI_AD-e'!$E27*'IW+_end'!S39</f>
        <v>6.8864394550549524E-6</v>
      </c>
      <c r="X81" s="136">
        <f>'LCI_AD-e'!$E27*'IW+_end'!T39</f>
        <v>0.21450240811104379</v>
      </c>
      <c r="Y81" s="136">
        <f>'LCI_AD-e'!$E27*'IW+_end'!U39</f>
        <v>1.1572501541359253E-8</v>
      </c>
      <c r="Z81" s="136">
        <f>'LCI_AD-e'!$E27*'IW+_end'!V39</f>
        <v>6.4753223261366854E-5</v>
      </c>
      <c r="AA81" s="136">
        <f>'LCI_AD-e'!$E27*'IW+_end'!W39</f>
        <v>3.6293476897048933</v>
      </c>
      <c r="AB81" s="136">
        <f>'LCI_AD-e'!$E27*'IW+_end'!X39</f>
        <v>3.2456987736143592E-7</v>
      </c>
      <c r="AC81" s="136">
        <f>'LCI_AD-e'!$E27*'IW+_end'!Y39</f>
        <v>7.149214712530326</v>
      </c>
      <c r="AD81" s="136">
        <f>'LCI_AD-e'!$E27*'IW+_end'!Z39</f>
        <v>0.27686967006714158</v>
      </c>
      <c r="AE81" s="136">
        <f>'LCI_AD-e'!$E27*'IW+_end'!AA39</f>
        <v>0.25135504010950577</v>
      </c>
      <c r="AF81" s="136">
        <f>'LCI_AD-e'!$E27*'IW+_end'!AB39</f>
        <v>4.0284118196221991E-3</v>
      </c>
      <c r="AG81" s="136">
        <f>'LCI_AD-e'!$E27*'IW+_end'!AC39</f>
        <v>85.064407150318331</v>
      </c>
      <c r="AH81" s="136">
        <f>'LCI_AD-e'!$E27*'IW+_end'!AD39</f>
        <v>1.1550869691133138E-4</v>
      </c>
      <c r="AI81" s="136">
        <f>'LCI_AD-e'!$E27*'IW+_end'!AE39</f>
        <v>7.800970104713044E-5</v>
      </c>
      <c r="AJ81" s="136">
        <f>'LCI_AD-e'!$E27*'IW+_end'!AF39</f>
        <v>9.5282913754502408E-6</v>
      </c>
      <c r="AK81" s="136">
        <f>'LCI_AD-e'!$E27*'IW+_end'!AG39</f>
        <v>8.9986914020505533E-4</v>
      </c>
    </row>
    <row r="83" spans="1:37" x14ac:dyDescent="0.35">
      <c r="A83" s="40" t="s">
        <v>500</v>
      </c>
      <c r="C83" s="40" t="e">
        <f>C46+C70-C76</f>
        <v>#REF!</v>
      </c>
      <c r="D83" s="40" t="e">
        <f t="shared" ref="D83:AK83" si="11">D46+D70-D76</f>
        <v>#REF!</v>
      </c>
      <c r="E83" s="40" t="e">
        <f t="shared" si="11"/>
        <v>#REF!</v>
      </c>
      <c r="F83" s="40" t="e">
        <f t="shared" si="11"/>
        <v>#REF!</v>
      </c>
      <c r="G83" s="40">
        <f t="shared" si="11"/>
        <v>-2.0344501124858732E-16</v>
      </c>
      <c r="H83" s="40">
        <f t="shared" si="11"/>
        <v>6.4638438810715755</v>
      </c>
      <c r="I83" s="40">
        <f t="shared" si="11"/>
        <v>-12.113105830900553</v>
      </c>
      <c r="J83" s="40">
        <f t="shared" si="11"/>
        <v>-4.4034239916647469</v>
      </c>
      <c r="K83" s="40">
        <f t="shared" si="11"/>
        <v>-0.35114899031002167</v>
      </c>
      <c r="L83" s="40">
        <f t="shared" si="11"/>
        <v>-8.2185956621912974E-7</v>
      </c>
      <c r="M83" s="40">
        <f t="shared" si="11"/>
        <v>-2.1235678831303986E-5</v>
      </c>
      <c r="N83" s="40">
        <f t="shared" si="11"/>
        <v>-2.3916064983964603E-5</v>
      </c>
      <c r="O83" s="40">
        <f t="shared" si="11"/>
        <v>-3.3815997224821892E-6</v>
      </c>
      <c r="P83" s="40">
        <f t="shared" si="11"/>
        <v>-1.4556934464132049E-9</v>
      </c>
      <c r="Q83" s="40">
        <f t="shared" si="11"/>
        <v>1.363727440807575E-7</v>
      </c>
      <c r="R83" s="40">
        <f t="shared" si="11"/>
        <v>-0.87175578684854127</v>
      </c>
      <c r="S83" s="40">
        <f t="shared" si="11"/>
        <v>-6.3962661868242723</v>
      </c>
      <c r="T83" s="40">
        <f t="shared" si="11"/>
        <v>-74.638781345215833</v>
      </c>
      <c r="U83" s="40">
        <f t="shared" si="11"/>
        <v>-8.1022287380206546</v>
      </c>
      <c r="V83" s="40">
        <f t="shared" si="11"/>
        <v>-2.2004614715054441E-5</v>
      </c>
      <c r="W83" s="40">
        <f t="shared" si="11"/>
        <v>-3.1996234174226691E-5</v>
      </c>
      <c r="X83" s="40">
        <f t="shared" si="11"/>
        <v>-0.83551236731299605</v>
      </c>
      <c r="Y83" s="40">
        <f t="shared" si="11"/>
        <v>-1.2723925485320146E-8</v>
      </c>
      <c r="Z83" s="40">
        <f t="shared" si="11"/>
        <v>7.2970081915921031E-4</v>
      </c>
      <c r="AA83" s="40">
        <f t="shared" si="11"/>
        <v>-0.67316957599674154</v>
      </c>
      <c r="AB83" s="40">
        <f t="shared" si="11"/>
        <v>-1.0921525802992972E-8</v>
      </c>
      <c r="AC83" s="40">
        <f t="shared" si="11"/>
        <v>93.786801251322487</v>
      </c>
      <c r="AD83" s="40">
        <f t="shared" si="11"/>
        <v>-0.80319493314222623</v>
      </c>
      <c r="AE83" s="40">
        <f t="shared" si="11"/>
        <v>-1.1678625473592743</v>
      </c>
      <c r="AF83" s="40">
        <f t="shared" si="11"/>
        <v>-6.7530525292053287E-3</v>
      </c>
      <c r="AG83" s="40">
        <f t="shared" si="11"/>
        <v>-10.143327117373119</v>
      </c>
      <c r="AH83" s="40">
        <f t="shared" si="11"/>
        <v>5.8827764828211712E-4</v>
      </c>
      <c r="AI83" s="40">
        <f t="shared" si="11"/>
        <v>-7.5469863179633426E-4</v>
      </c>
      <c r="AJ83" s="40">
        <f t="shared" si="11"/>
        <v>-9.2180695065915673E-5</v>
      </c>
      <c r="AK83" s="40">
        <f t="shared" si="11"/>
        <v>-2.9960202705752947E-2</v>
      </c>
    </row>
  </sheetData>
  <mergeCells count="1">
    <mergeCell ref="A3:G3"/>
  </mergeCells>
  <pageMargins left="0.7" right="0.7" top="0.75" bottom="0.75" header="0.3" footer="0.3"/>
  <pageSetup paperSize="9" orientation="portrait" verticalDpi="597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77D70-0BE2-46D5-AF82-FD95FF567121}">
  <dimension ref="A1:I38"/>
  <sheetViews>
    <sheetView topLeftCell="A22" zoomScale="60" zoomScaleNormal="40" workbookViewId="0">
      <selection activeCell="I39" sqref="I39"/>
    </sheetView>
  </sheetViews>
  <sheetFormatPr baseColWidth="10" defaultRowHeight="14.5" x14ac:dyDescent="0.35"/>
  <cols>
    <col min="1" max="1" width="42.54296875" customWidth="1"/>
    <col min="2" max="2" width="12.7265625" bestFit="1" customWidth="1"/>
    <col min="3" max="4" width="11" bestFit="1" customWidth="1"/>
    <col min="5" max="5" width="12.7265625" bestFit="1" customWidth="1"/>
    <col min="6" max="6" width="11" bestFit="1" customWidth="1"/>
    <col min="7" max="9" width="12.7265625" bestFit="1" customWidth="1"/>
  </cols>
  <sheetData>
    <row r="1" spans="1:9" x14ac:dyDescent="0.35">
      <c r="A1" s="149"/>
      <c r="B1" s="165" t="s">
        <v>398</v>
      </c>
      <c r="C1" s="166"/>
      <c r="D1" s="166"/>
      <c r="E1" s="166"/>
      <c r="F1" s="166"/>
      <c r="G1" s="166"/>
      <c r="H1" s="166"/>
      <c r="I1" s="167"/>
    </row>
    <row r="2" spans="1:9" x14ac:dyDescent="0.35">
      <c r="A2" s="149"/>
      <c r="B2" s="149" t="s">
        <v>501</v>
      </c>
      <c r="C2" s="149" t="s">
        <v>502</v>
      </c>
      <c r="D2" s="149" t="s">
        <v>503</v>
      </c>
      <c r="E2" s="149" t="s">
        <v>504</v>
      </c>
      <c r="F2" s="149" t="s">
        <v>505</v>
      </c>
      <c r="G2" s="149" t="s">
        <v>506</v>
      </c>
      <c r="H2" s="149" t="s">
        <v>507</v>
      </c>
      <c r="I2" s="149" t="s">
        <v>508</v>
      </c>
    </row>
    <row r="3" spans="1:9" x14ac:dyDescent="0.35">
      <c r="A3" s="149" t="s">
        <v>294</v>
      </c>
      <c r="B3" s="149">
        <f>LCIA_HC!AG30</f>
        <v>35.50152298199334</v>
      </c>
      <c r="C3" s="149">
        <f>LCIA_IC!AG59</f>
        <v>35.594256285885407</v>
      </c>
      <c r="D3" s="149"/>
      <c r="E3" s="149"/>
      <c r="F3" s="149"/>
      <c r="G3" s="149"/>
      <c r="H3" s="149"/>
      <c r="I3" s="149"/>
    </row>
    <row r="4" spans="1:9" x14ac:dyDescent="0.35">
      <c r="A4" s="149" t="s">
        <v>514</v>
      </c>
      <c r="B4" s="150">
        <f>SUM(LCIA_HC!AG36:AG39)</f>
        <v>9.365257094374547</v>
      </c>
      <c r="C4" s="150">
        <f>SUM(LCIA_IC!AG74:AG77)</f>
        <v>27.72184138909309</v>
      </c>
      <c r="D4" s="149">
        <f>SUM('LCIA_AD-a'!AG68:AG71)</f>
        <v>110.20621816905712</v>
      </c>
      <c r="E4" s="149">
        <f>SUM('LCIA_AD-b'!AG87:AG90)</f>
        <v>7.1951540722679086</v>
      </c>
      <c r="F4" s="149">
        <f>SUM('LCIA_AD-c'!AG66:AG69)</f>
        <v>110.20621816905712</v>
      </c>
      <c r="G4" s="149">
        <f>SUM('LCIA_AD-d'!AG84:AG87)</f>
        <v>7.1951540722679086</v>
      </c>
      <c r="H4" s="149">
        <f>F4</f>
        <v>110.20621816905712</v>
      </c>
      <c r="I4" s="149">
        <f>G4</f>
        <v>7.1951540722679086</v>
      </c>
    </row>
    <row r="5" spans="1:9" x14ac:dyDescent="0.35">
      <c r="A5" s="149" t="s">
        <v>515</v>
      </c>
      <c r="B5" s="150">
        <f>LCIA_HC!AG40</f>
        <v>-60.053399999999982</v>
      </c>
      <c r="C5" s="150">
        <f>LCIA_IC!AG78</f>
        <v>-49.047934833333329</v>
      </c>
      <c r="D5" s="150">
        <f>'LCIA_AD-a'!AG72</f>
        <v>-19.436798742994313</v>
      </c>
      <c r="E5" s="149">
        <f>'LCIA_AD-b'!AG91</f>
        <v>-5.1925501138543284</v>
      </c>
      <c r="F5" s="150">
        <f t="shared" ref="F5:G7" si="0">D5</f>
        <v>-19.436798742994313</v>
      </c>
      <c r="G5" s="149">
        <f t="shared" si="0"/>
        <v>-5.1925501138543284</v>
      </c>
      <c r="H5" s="149">
        <f t="shared" ref="H5:H7" si="1">F5</f>
        <v>-19.436798742994313</v>
      </c>
      <c r="I5" s="149">
        <f t="shared" ref="I5:I7" si="2">G5</f>
        <v>-5.1925501138543284</v>
      </c>
    </row>
    <row r="6" spans="1:9" x14ac:dyDescent="0.35">
      <c r="A6" s="149" t="s">
        <v>509</v>
      </c>
      <c r="B6" s="149">
        <f>-SUM(LCIA_HC!AG42:AG44)</f>
        <v>-8.8251029090262119</v>
      </c>
      <c r="C6" s="150">
        <f>-SUM(LCIA_IC!AG80:AG82)</f>
        <v>-6.907393065976696</v>
      </c>
      <c r="D6" s="149">
        <f>-SUM('LCIA_AD-a'!AG74:AG76)</f>
        <v>-32.190276132060916</v>
      </c>
      <c r="E6" s="149">
        <f>-SUM('LCIA_AD-b'!AG93:AG95)</f>
        <v>-16.154098183702171</v>
      </c>
      <c r="F6" s="149">
        <f t="shared" si="0"/>
        <v>-32.190276132060916</v>
      </c>
      <c r="G6" s="149">
        <f t="shared" si="0"/>
        <v>-16.154098183702171</v>
      </c>
      <c r="H6" s="149">
        <f t="shared" si="1"/>
        <v>-32.190276132060916</v>
      </c>
      <c r="I6" s="149">
        <f t="shared" si="2"/>
        <v>-16.154098183702171</v>
      </c>
    </row>
    <row r="7" spans="1:9" x14ac:dyDescent="0.35">
      <c r="A7" s="149" t="s">
        <v>510</v>
      </c>
      <c r="B7" s="149">
        <f>-LCIA_HC!AG45</f>
        <v>-3.6266209256673383</v>
      </c>
      <c r="C7" s="150">
        <f>-LCIA_IC!AG83</f>
        <v>-2.9620015990324409</v>
      </c>
      <c r="D7" s="150">
        <f>-'LCIA_AD-a'!AG77</f>
        <v>-1.3042077930147324</v>
      </c>
      <c r="E7" s="149">
        <f>-'LCIA_AD-b'!AG96</f>
        <v>-0.34841973792362657</v>
      </c>
      <c r="F7" s="150">
        <f t="shared" si="0"/>
        <v>-1.3042077930147324</v>
      </c>
      <c r="G7" s="149">
        <f t="shared" si="0"/>
        <v>-0.34841973792362657</v>
      </c>
      <c r="H7" s="149">
        <f t="shared" si="1"/>
        <v>-1.3042077930147324</v>
      </c>
      <c r="I7" s="149">
        <f t="shared" si="2"/>
        <v>-0.34841973792362657</v>
      </c>
    </row>
    <row r="8" spans="1:9" x14ac:dyDescent="0.35">
      <c r="A8" s="149" t="s">
        <v>6</v>
      </c>
      <c r="B8" s="149"/>
      <c r="C8" s="149"/>
      <c r="D8" s="149">
        <f>'LCIA_AD-a'!AG45</f>
        <v>11.40231817670508</v>
      </c>
      <c r="E8" s="149">
        <f>'LCIA_AD-b'!AG55</f>
        <v>18.435485578976291</v>
      </c>
      <c r="F8" s="149">
        <f>'LCIA_AD-c'!AG45</f>
        <v>42.91120885929692</v>
      </c>
      <c r="G8" s="149">
        <f>'LCIA_AD-d'!AG54</f>
        <v>49.944376261568145</v>
      </c>
      <c r="H8" s="149">
        <f>'LCIA_AD-e'!AG46</f>
        <v>17.646144531958043</v>
      </c>
      <c r="I8" s="149">
        <f>'LCIA_AD-f'!AG56</f>
        <v>24.679311934229254</v>
      </c>
    </row>
    <row r="9" spans="1:9" x14ac:dyDescent="0.35">
      <c r="A9" s="149" t="s">
        <v>511</v>
      </c>
      <c r="B9" s="149"/>
      <c r="C9" s="149"/>
      <c r="D9" s="149">
        <f>-'LCIA_AD-a'!AG78</f>
        <v>-47.429851259571443</v>
      </c>
      <c r="E9" s="149">
        <f>D9</f>
        <v>-47.429851259571443</v>
      </c>
      <c r="F9" s="149"/>
      <c r="G9" s="149"/>
      <c r="H9" s="149">
        <f>-'LCIA_AD-e'!AG81</f>
        <v>-85.064407150318331</v>
      </c>
      <c r="I9" s="149">
        <f>H9</f>
        <v>-85.064407150318331</v>
      </c>
    </row>
    <row r="10" spans="1:9" x14ac:dyDescent="0.35">
      <c r="A10" s="149" t="s">
        <v>513</v>
      </c>
      <c r="B10" s="149"/>
      <c r="C10" s="149"/>
      <c r="D10" s="149"/>
      <c r="E10" s="149"/>
      <c r="F10" s="149">
        <f>-'LCIA_AD-c'!AG76 +'LCIA_AD-c'!AG78</f>
        <v>-69.30826255895235</v>
      </c>
      <c r="G10" s="149">
        <f>F10</f>
        <v>-69.30826255895235</v>
      </c>
      <c r="H10" s="149"/>
      <c r="I10" s="149"/>
    </row>
    <row r="11" spans="1:9" x14ac:dyDescent="0.35">
      <c r="A11" s="149" t="s">
        <v>512</v>
      </c>
      <c r="B11" s="149"/>
      <c r="C11" s="149"/>
      <c r="D11" s="149">
        <f>-'LCIA_AD-a'!AG79</f>
        <v>-41.679429531039659</v>
      </c>
      <c r="E11" s="149">
        <f>D11</f>
        <v>-41.679429531039659</v>
      </c>
      <c r="F11" s="149"/>
      <c r="G11" s="149"/>
      <c r="H11" s="149"/>
      <c r="I11" s="149"/>
    </row>
    <row r="12" spans="1:9" x14ac:dyDescent="0.35">
      <c r="A12" s="149" t="s">
        <v>500</v>
      </c>
      <c r="B12" s="149">
        <f t="shared" ref="B12:D12" si="3">SUM(B3:B11)</f>
        <v>-27.638343758325647</v>
      </c>
      <c r="C12" s="149">
        <f t="shared" si="3"/>
        <v>4.3987681766360271</v>
      </c>
      <c r="D12" s="149">
        <f t="shared" si="3"/>
        <v>-20.432027112918853</v>
      </c>
      <c r="E12" s="149">
        <f>SUM(E3:E11)</f>
        <v>-85.173709174847033</v>
      </c>
      <c r="F12" s="149">
        <f t="shared" ref="F12:I12" si="4">SUM(F3:F11)</f>
        <v>30.877881801331739</v>
      </c>
      <c r="G12" s="149">
        <f t="shared" si="4"/>
        <v>-33.86380026059642</v>
      </c>
      <c r="H12" s="149">
        <f t="shared" si="4"/>
        <v>-10.143327117373119</v>
      </c>
      <c r="I12" s="149">
        <f t="shared" si="4"/>
        <v>-74.885009179301292</v>
      </c>
    </row>
    <row r="14" spans="1:9" x14ac:dyDescent="0.35">
      <c r="A14" s="149"/>
      <c r="B14" s="165" t="s">
        <v>399</v>
      </c>
      <c r="C14" s="166"/>
      <c r="D14" s="166"/>
      <c r="E14" s="166"/>
      <c r="F14" s="166"/>
      <c r="G14" s="166"/>
      <c r="H14" s="166"/>
      <c r="I14" s="167"/>
    </row>
    <row r="15" spans="1:9" x14ac:dyDescent="0.35">
      <c r="A15" s="149"/>
      <c r="B15" s="149" t="s">
        <v>501</v>
      </c>
      <c r="C15" s="149" t="s">
        <v>502</v>
      </c>
      <c r="D15" s="149" t="s">
        <v>503</v>
      </c>
      <c r="E15" s="149" t="s">
        <v>504</v>
      </c>
      <c r="F15" s="149" t="s">
        <v>505</v>
      </c>
      <c r="G15" s="149" t="s">
        <v>506</v>
      </c>
      <c r="H15" s="149" t="s">
        <v>507</v>
      </c>
      <c r="I15" s="149" t="s">
        <v>508</v>
      </c>
    </row>
    <row r="16" spans="1:9" x14ac:dyDescent="0.35">
      <c r="A16" s="149" t="s">
        <v>294</v>
      </c>
      <c r="B16" s="149">
        <f>LCIA_HC!AH30</f>
        <v>1.8232373668847659E-5</v>
      </c>
      <c r="C16" s="149">
        <f>LCIA_IC!AH59</f>
        <v>9.4362939915935531E-5</v>
      </c>
      <c r="D16" s="149"/>
      <c r="E16" s="149"/>
      <c r="F16" s="149"/>
      <c r="G16" s="149"/>
      <c r="H16" s="149"/>
      <c r="I16" s="149"/>
    </row>
    <row r="17" spans="1:9" x14ac:dyDescent="0.35">
      <c r="A17" s="149" t="s">
        <v>514</v>
      </c>
      <c r="B17" s="150">
        <f>SUM(LCIA_HC!AH36:AH39)</f>
        <v>6.4724516847563201E-5</v>
      </c>
      <c r="C17" s="150">
        <f>SUM(LCIA_IC!AH74:AH77)</f>
        <v>5.0112026067618947E-5</v>
      </c>
      <c r="D17" s="149">
        <f>SUM('LCIA_AD-a'!AH68:AH71)</f>
        <v>7.6801640589139021E-4</v>
      </c>
      <c r="E17" s="149">
        <f>SUM('LCIA_AD-b'!AH87:AH90)</f>
        <v>1.4004955712866033E-5</v>
      </c>
      <c r="F17" s="149">
        <f>D17</f>
        <v>7.6801640589139021E-4</v>
      </c>
      <c r="G17" s="149">
        <f>E17</f>
        <v>1.4004955712866033E-5</v>
      </c>
      <c r="H17" s="149">
        <f>F17</f>
        <v>7.6801640589139021E-4</v>
      </c>
      <c r="I17" s="149">
        <f>G17</f>
        <v>1.4004955712866033E-5</v>
      </c>
    </row>
    <row r="18" spans="1:9" x14ac:dyDescent="0.35">
      <c r="A18" s="149" t="s">
        <v>515</v>
      </c>
      <c r="B18" s="150">
        <f>LCIA_HC!AH40</f>
        <v>0</v>
      </c>
      <c r="C18" s="150">
        <f>LCIA_IC!AH78</f>
        <v>0</v>
      </c>
      <c r="D18" s="150">
        <f>'LCIA_AD-a'!AH72</f>
        <v>0</v>
      </c>
      <c r="E18" s="149">
        <f>'LCIA_AD-b'!AH91</f>
        <v>0</v>
      </c>
      <c r="F18" s="150">
        <f t="shared" ref="F18:G20" si="5">D18</f>
        <v>0</v>
      </c>
      <c r="G18" s="149">
        <f t="shared" si="5"/>
        <v>0</v>
      </c>
      <c r="H18" s="149">
        <f t="shared" ref="H18:H20" si="6">F18</f>
        <v>0</v>
      </c>
      <c r="I18" s="149">
        <f t="shared" ref="I18:I20" si="7">G18</f>
        <v>0</v>
      </c>
    </row>
    <row r="19" spans="1:9" x14ac:dyDescent="0.35">
      <c r="A19" s="149" t="s">
        <v>509</v>
      </c>
      <c r="B19" s="149">
        <f>-SUM(LCIA_HC!AH42:AH44)</f>
        <v>-5.7171280295272471E-5</v>
      </c>
      <c r="C19" s="150">
        <f>-SUM(LCIA_IC!AH80:AH82)</f>
        <v>-4.4850264745965262E-5</v>
      </c>
      <c r="D19" s="149">
        <f>-SUM('LCIA_AD-a'!AH74:AH76)</f>
        <v>-2.1520812358147686E-4</v>
      </c>
      <c r="E19" s="149">
        <f>-SUM('LCIA_AD-b'!AH93:AH95)</f>
        <v>-1.2040685583830983E-4</v>
      </c>
      <c r="F19" s="149">
        <f t="shared" si="5"/>
        <v>-2.1520812358147686E-4</v>
      </c>
      <c r="G19" s="149">
        <f t="shared" si="5"/>
        <v>-1.2040685583830983E-4</v>
      </c>
      <c r="H19" s="149">
        <f t="shared" si="6"/>
        <v>-2.1520812358147686E-4</v>
      </c>
      <c r="I19" s="149">
        <f t="shared" si="7"/>
        <v>-1.2040685583830983E-4</v>
      </c>
    </row>
    <row r="20" spans="1:9" x14ac:dyDescent="0.35">
      <c r="A20" s="149" t="s">
        <v>510</v>
      </c>
      <c r="B20" s="149">
        <f>-LCIA_HC!AH45</f>
        <v>-1.937744647096251E-5</v>
      </c>
      <c r="C20" s="150">
        <f>-LCIA_IC!AH83</f>
        <v>-1.5826310113068953E-5</v>
      </c>
      <c r="D20" s="150">
        <f>-'LCIA_AD-a'!AH77</f>
        <v>-6.9685299936620097E-6</v>
      </c>
      <c r="E20" s="149">
        <f>-'LCIA_AD-b'!AH96</f>
        <v>-1.8616461327012037E-6</v>
      </c>
      <c r="F20" s="150">
        <f t="shared" si="5"/>
        <v>-6.9685299936620097E-6</v>
      </c>
      <c r="G20" s="149">
        <f t="shared" si="5"/>
        <v>-1.8616461327012037E-6</v>
      </c>
      <c r="H20" s="149">
        <f t="shared" si="6"/>
        <v>-6.9685299936620097E-6</v>
      </c>
      <c r="I20" s="149">
        <f t="shared" si="7"/>
        <v>-1.8616461327012037E-6</v>
      </c>
    </row>
    <row r="21" spans="1:9" x14ac:dyDescent="0.35">
      <c r="A21" s="149" t="s">
        <v>6</v>
      </c>
      <c r="B21" s="149"/>
      <c r="C21" s="149"/>
      <c r="D21" s="149">
        <f>'LCIA_AD-a'!AH45</f>
        <v>1.1861315684273834E-4</v>
      </c>
      <c r="E21" s="149">
        <f>'LCIA_AD-b'!AH55</f>
        <v>1.5651162208655593E-4</v>
      </c>
      <c r="F21" s="149">
        <f>'LCIA_AD-c'!AH45</f>
        <v>1.7446025582686697E-4</v>
      </c>
      <c r="G21" s="149">
        <f>'LCIA_AD-d'!AH54</f>
        <v>2.1235872107068458E-4</v>
      </c>
      <c r="H21" s="149">
        <f>'LCIA_AD-e'!AH46</f>
        <v>1.5794659287719716E-4</v>
      </c>
      <c r="I21" s="149">
        <f>'LCIA_AD-f'!AH56</f>
        <v>1.9584505812101478E-4</v>
      </c>
    </row>
    <row r="22" spans="1:9" x14ac:dyDescent="0.35">
      <c r="A22" s="149" t="s">
        <v>511</v>
      </c>
      <c r="B22" s="149"/>
      <c r="C22" s="149"/>
      <c r="D22" s="149">
        <f>-'LCIA_AD-a'!AH78</f>
        <v>-6.4404849186924177E-5</v>
      </c>
      <c r="E22" s="149">
        <f>D22</f>
        <v>-6.4404849186924177E-5</v>
      </c>
      <c r="F22" s="149"/>
      <c r="G22" s="149"/>
      <c r="H22" s="149">
        <f>-'LCIA_AD-e'!AH81</f>
        <v>-1.1550869691133138E-4</v>
      </c>
      <c r="I22" s="149">
        <f>H22</f>
        <v>-1.1550869691133138E-4</v>
      </c>
    </row>
    <row r="23" spans="1:9" x14ac:dyDescent="0.35">
      <c r="A23" s="149" t="s">
        <v>513</v>
      </c>
      <c r="B23" s="149"/>
      <c r="C23" s="149"/>
      <c r="D23" s="149"/>
      <c r="E23" s="149"/>
      <c r="F23" s="149">
        <f>-'LCIA_AD-c'!AH76+'LCIA_AD-c'!AH78</f>
        <v>-4.56500963854895E-5</v>
      </c>
      <c r="G23" s="149">
        <f>F23</f>
        <v>-4.56500963854895E-5</v>
      </c>
      <c r="H23" s="149"/>
      <c r="I23" s="149"/>
    </row>
    <row r="24" spans="1:9" x14ac:dyDescent="0.35">
      <c r="A24" s="149" t="s">
        <v>512</v>
      </c>
      <c r="B24" s="149"/>
      <c r="C24" s="149"/>
      <c r="D24" s="149">
        <f>-'LCIA_AD-a'!AH79</f>
        <v>-9.56915437883427E-5</v>
      </c>
      <c r="E24" s="149">
        <f>D24</f>
        <v>-9.56915437883427E-5</v>
      </c>
      <c r="F24" s="149"/>
      <c r="G24" s="149"/>
      <c r="H24" s="149"/>
      <c r="I24" s="149"/>
    </row>
    <row r="25" spans="1:9" x14ac:dyDescent="0.35">
      <c r="A25" s="149" t="s">
        <v>500</v>
      </c>
      <c r="B25" s="150">
        <f>SUM(B16:B24)</f>
        <v>6.4081637501758711E-6</v>
      </c>
      <c r="C25" s="150">
        <f t="shared" ref="C25:I25" si="8">SUM(C16:C24)</f>
        <v>8.3798391124520263E-5</v>
      </c>
      <c r="D25" s="150">
        <f t="shared" si="8"/>
        <v>5.0435651618372279E-4</v>
      </c>
      <c r="E25" s="150">
        <f t="shared" si="8"/>
        <v>-1.1184831714685595E-4</v>
      </c>
      <c r="F25" s="150">
        <f t="shared" si="8"/>
        <v>6.7464991175762885E-4</v>
      </c>
      <c r="G25" s="150">
        <f t="shared" si="8"/>
        <v>5.8445078427050079E-5</v>
      </c>
      <c r="H25" s="150">
        <f t="shared" si="8"/>
        <v>5.8827764828211712E-4</v>
      </c>
      <c r="I25" s="150">
        <f t="shared" si="8"/>
        <v>-2.7927185048461613E-5</v>
      </c>
    </row>
    <row r="27" spans="1:9" x14ac:dyDescent="0.35">
      <c r="B27" s="165" t="s">
        <v>403</v>
      </c>
      <c r="C27" s="166"/>
      <c r="D27" s="166"/>
      <c r="E27" s="166"/>
      <c r="F27" s="166"/>
      <c r="G27" s="166"/>
      <c r="H27" s="166"/>
      <c r="I27" s="167"/>
    </row>
    <row r="28" spans="1:9" x14ac:dyDescent="0.35">
      <c r="A28" s="149"/>
      <c r="B28" s="149" t="s">
        <v>501</v>
      </c>
      <c r="C28" s="149" t="s">
        <v>502</v>
      </c>
      <c r="D28" s="149" t="s">
        <v>503</v>
      </c>
      <c r="E28" s="149" t="s">
        <v>504</v>
      </c>
      <c r="F28" s="149" t="s">
        <v>505</v>
      </c>
      <c r="G28" s="149" t="s">
        <v>506</v>
      </c>
      <c r="H28" s="149" t="s">
        <v>507</v>
      </c>
      <c r="I28" s="149" t="s">
        <v>508</v>
      </c>
    </row>
    <row r="29" spans="1:9" x14ac:dyDescent="0.35">
      <c r="A29" s="149" t="s">
        <v>294</v>
      </c>
      <c r="B29" s="149">
        <f>LCIA_HC!C70</f>
        <v>34.264521044421535</v>
      </c>
      <c r="C29" s="151">
        <f>LCIA_IC!C29</f>
        <v>35.421319139716672</v>
      </c>
      <c r="D29" s="149"/>
      <c r="E29" s="149"/>
      <c r="F29" s="149"/>
      <c r="G29" s="149"/>
      <c r="H29" s="149"/>
      <c r="I29" s="149"/>
    </row>
    <row r="30" spans="1:9" x14ac:dyDescent="0.35">
      <c r="A30" s="149" t="s">
        <v>514</v>
      </c>
      <c r="B30" s="150">
        <f>SUM(LCIA_HC!C76:C79)</f>
        <v>35.750237253277092</v>
      </c>
      <c r="C30" s="150">
        <f>SUM(LCIA_IC!C44:C47)</f>
        <v>27.051024108006885</v>
      </c>
      <c r="D30" s="149">
        <f>SUM('LCIA_AD-a'!C28:C31)</f>
        <v>19.040938704967669</v>
      </c>
      <c r="E30" s="149">
        <f>SUM('LCIA_AD-b'!C37:C40)</f>
        <v>3.6020203114535199</v>
      </c>
      <c r="F30" s="149">
        <f>D30</f>
        <v>19.040938704967669</v>
      </c>
      <c r="G30" s="149">
        <f>E30</f>
        <v>3.6020203114535199</v>
      </c>
      <c r="H30" s="149">
        <f>F30</f>
        <v>19.040938704967669</v>
      </c>
      <c r="I30" s="149">
        <f>G30</f>
        <v>3.6020203114535199</v>
      </c>
    </row>
    <row r="31" spans="1:9" x14ac:dyDescent="0.35">
      <c r="A31" s="149" t="s">
        <v>515</v>
      </c>
      <c r="B31" s="150">
        <f>LCIA_HC!C80</f>
        <v>-356.39999999999992</v>
      </c>
      <c r="C31" s="150">
        <f>LCIA_IC!C48</f>
        <v>-291.08566666666667</v>
      </c>
      <c r="D31" s="150">
        <f>'LCIA_AD-a'!C32</f>
        <v>-115.3519213234084</v>
      </c>
      <c r="E31" s="149">
        <f>'LCIA_AD-b'!C41</f>
        <v>-30.816321150470795</v>
      </c>
      <c r="F31" s="150">
        <f>D31</f>
        <v>-115.3519213234084</v>
      </c>
      <c r="G31" s="149">
        <f t="shared" ref="G31:G33" si="9">E31</f>
        <v>-30.816321150470795</v>
      </c>
      <c r="H31" s="149">
        <f t="shared" ref="H31:H33" si="10">F31</f>
        <v>-115.3519213234084</v>
      </c>
      <c r="I31" s="149">
        <f t="shared" ref="I31:I33" si="11">G31</f>
        <v>-30.816321150470795</v>
      </c>
    </row>
    <row r="32" spans="1:9" x14ac:dyDescent="0.35">
      <c r="A32" s="149" t="s">
        <v>509</v>
      </c>
      <c r="B32" s="149">
        <f>-SUM(LCIA_HC!C82:C84)</f>
        <v>-22.992325521765316</v>
      </c>
      <c r="C32" s="150">
        <f>-SUM(LCIA_IC!C50:C52)</f>
        <v>-18.060377937268509</v>
      </c>
      <c r="D32" s="149">
        <f>-SUM('LCIA_AD-a'!C34:C36)</f>
        <v>-60.338310785025655</v>
      </c>
      <c r="E32" s="149">
        <f>-SUM('LCIA_AD-b'!C43:C45)</f>
        <v>-29.873713727434399</v>
      </c>
      <c r="F32" s="149">
        <f>D32</f>
        <v>-60.338310785025655</v>
      </c>
      <c r="G32" s="149">
        <f t="shared" si="9"/>
        <v>-29.873713727434399</v>
      </c>
      <c r="H32" s="149">
        <f t="shared" si="10"/>
        <v>-60.338310785025655</v>
      </c>
      <c r="I32" s="149">
        <f t="shared" si="11"/>
        <v>-29.873713727434399</v>
      </c>
    </row>
    <row r="33" spans="1:9" x14ac:dyDescent="0.35">
      <c r="A33" s="149" t="s">
        <v>510</v>
      </c>
      <c r="B33" s="149">
        <f>-LCIA_HC!C85</f>
        <v>-6.2610701545778342</v>
      </c>
      <c r="C33" s="150">
        <f>-LCIA_IC!C53</f>
        <v>-5.1136581930192486</v>
      </c>
      <c r="D33" s="150">
        <f>-'LCIA_AD-a'!C37</f>
        <v>-2.2516101504900958</v>
      </c>
      <c r="E33" s="149">
        <f>-'LCIA_AD-b'!C46</f>
        <v>-0.60151873247630161</v>
      </c>
      <c r="F33" s="150">
        <f>D33</f>
        <v>-2.2516101504900958</v>
      </c>
      <c r="G33" s="149">
        <f t="shared" si="9"/>
        <v>-0.60151873247630161</v>
      </c>
      <c r="H33" s="149">
        <f t="shared" si="10"/>
        <v>-2.2516101504900958</v>
      </c>
      <c r="I33" s="149">
        <f t="shared" si="11"/>
        <v>-0.60151873247630161</v>
      </c>
    </row>
    <row r="34" spans="1:9" x14ac:dyDescent="0.35">
      <c r="A34" s="149" t="s">
        <v>6</v>
      </c>
      <c r="B34" s="149"/>
      <c r="C34" s="149"/>
      <c r="D34" s="151">
        <f>'LCIA_AD-a'!C5</f>
        <v>130.89983518703079</v>
      </c>
      <c r="E34" s="151">
        <f>'LCIA_AD-b'!C5</f>
        <v>115.03586225244955</v>
      </c>
      <c r="F34" s="151">
        <f>'LCIA_AD-c'!C5</f>
        <v>166.06528020235362</v>
      </c>
      <c r="G34" s="151">
        <f>'LCIA_AD-d'!C5</f>
        <v>150.20130726777239</v>
      </c>
      <c r="H34" s="151">
        <f>'LCIA_AD-e'!C5</f>
        <v>100.41025697281384</v>
      </c>
      <c r="I34" s="151">
        <f>'LCIA_AD-f'!C5</f>
        <v>64.523122487452923</v>
      </c>
    </row>
    <row r="35" spans="1:9" x14ac:dyDescent="0.35">
      <c r="A35" s="149" t="s">
        <v>511</v>
      </c>
      <c r="B35" s="149"/>
      <c r="C35" s="149"/>
      <c r="D35" s="149">
        <f>-'LCIA_AD-a'!C38</f>
        <v>-152.84659670820477</v>
      </c>
      <c r="E35" s="149">
        <f>D35</f>
        <v>-152.84659670820477</v>
      </c>
      <c r="F35" s="149"/>
      <c r="G35" s="149"/>
      <c r="H35" s="149">
        <f>-'LCIA_AD-e'!C40</f>
        <v>-274.12704844406284</v>
      </c>
      <c r="I35" s="149">
        <f>H35</f>
        <v>-274.12704844406284</v>
      </c>
    </row>
    <row r="36" spans="1:9" x14ac:dyDescent="0.35">
      <c r="A36" s="149" t="s">
        <v>513</v>
      </c>
      <c r="B36" s="149"/>
      <c r="C36" s="149"/>
      <c r="D36" s="149"/>
      <c r="E36" s="149"/>
      <c r="F36" s="149">
        <f>-'LCIA_AD-c'!C36+'LCIA_AD-c'!C38</f>
        <v>-357.84584617827744</v>
      </c>
      <c r="G36" s="149">
        <f>F36</f>
        <v>-357.84584617827744</v>
      </c>
      <c r="H36" s="149"/>
      <c r="I36" s="149"/>
    </row>
    <row r="37" spans="1:9" x14ac:dyDescent="0.35">
      <c r="A37" s="149" t="s">
        <v>512</v>
      </c>
      <c r="B37" s="149"/>
      <c r="C37" s="149"/>
      <c r="D37" s="149">
        <f>-'LCIA_AD-a'!C39</f>
        <v>-19.064442565614353</v>
      </c>
      <c r="E37" s="149">
        <f>D37</f>
        <v>-19.064442565614353</v>
      </c>
      <c r="F37" s="149"/>
      <c r="G37" s="149"/>
      <c r="H37" s="149"/>
      <c r="I37" s="149"/>
    </row>
    <row r="38" spans="1:9" x14ac:dyDescent="0.35">
      <c r="A38" s="149" t="s">
        <v>500</v>
      </c>
      <c r="B38" s="149">
        <f>SUM(B29:B37)</f>
        <v>-315.63863737864449</v>
      </c>
      <c r="C38" s="149">
        <f>SUM(C29:C37)</f>
        <v>-251.78735954923087</v>
      </c>
      <c r="D38" s="149">
        <f>SUM(D29:D37)</f>
        <v>-199.91210764074484</v>
      </c>
      <c r="E38" s="149">
        <f t="shared" ref="E38:H38" si="12">SUM(E29:E37)</f>
        <v>-114.56471032029755</v>
      </c>
      <c r="F38" s="149">
        <f t="shared" si="12"/>
        <v>-350.68146952988036</v>
      </c>
      <c r="G38" s="149">
        <f t="shared" si="12"/>
        <v>-265.33407220943303</v>
      </c>
      <c r="H38" s="149">
        <f t="shared" si="12"/>
        <v>-332.61769502520553</v>
      </c>
      <c r="I38" s="149">
        <f>SUM(I29:I37)</f>
        <v>-267.29345925553787</v>
      </c>
    </row>
  </sheetData>
  <mergeCells count="3">
    <mergeCell ref="B1:I1"/>
    <mergeCell ref="B14:I14"/>
    <mergeCell ref="B27:I27"/>
  </mergeCells>
  <pageMargins left="0.7" right="0.7" top="0.75" bottom="0.75" header="0.3" footer="0.3"/>
  <pageSetup paperSize="9" orientation="portrait" verticalDpi="597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02389-6D71-4327-B89E-FD8CED386127}">
  <dimension ref="A1:I4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I39" sqref="I39"/>
    </sheetView>
  </sheetViews>
  <sheetFormatPr baseColWidth="10" defaultRowHeight="14.5" x14ac:dyDescent="0.35"/>
  <cols>
    <col min="1" max="1" width="24" bestFit="1" customWidth="1"/>
    <col min="2" max="2" width="13" bestFit="1" customWidth="1"/>
  </cols>
  <sheetData>
    <row r="1" spans="1:7" ht="43.5" x14ac:dyDescent="0.35">
      <c r="A1" s="40" t="s">
        <v>0</v>
      </c>
      <c r="B1" s="40" t="s">
        <v>184</v>
      </c>
      <c r="C1" s="88" t="s">
        <v>403</v>
      </c>
      <c r="D1" s="88" t="s">
        <v>404</v>
      </c>
      <c r="E1" s="88" t="s">
        <v>405</v>
      </c>
      <c r="F1" s="88" t="s">
        <v>406</v>
      </c>
      <c r="G1" s="88" t="s">
        <v>407</v>
      </c>
    </row>
    <row r="2" spans="1:7" x14ac:dyDescent="0.35">
      <c r="A2" t="s">
        <v>22</v>
      </c>
      <c r="B2" t="s">
        <v>128</v>
      </c>
      <c r="C2">
        <v>7.7766182456856514E-2</v>
      </c>
      <c r="D2">
        <v>1.1940802206049355E-2</v>
      </c>
      <c r="E2">
        <v>11.719521803217253</v>
      </c>
      <c r="F2">
        <v>7.75756338060228E-8</v>
      </c>
      <c r="G2">
        <v>0.12617501938200348</v>
      </c>
    </row>
    <row r="3" spans="1:7" x14ac:dyDescent="0.35">
      <c r="A3" t="s">
        <v>23</v>
      </c>
      <c r="B3" t="s">
        <v>88</v>
      </c>
      <c r="C3">
        <v>3.1089504229508741E-4</v>
      </c>
      <c r="D3">
        <v>5.045762466780384E-5</v>
      </c>
      <c r="E3">
        <v>5.8714946300978538E-3</v>
      </c>
      <c r="F3">
        <v>1.240733341307746E-9</v>
      </c>
      <c r="G3">
        <v>3.9180999023838176E-2</v>
      </c>
    </row>
    <row r="4" spans="1:7" x14ac:dyDescent="0.35">
      <c r="A4" t="s">
        <v>286</v>
      </c>
      <c r="B4" t="s">
        <v>284</v>
      </c>
      <c r="C4">
        <v>0.189012950359117</v>
      </c>
      <c r="D4">
        <v>2.7649652957822991E-2</v>
      </c>
      <c r="E4">
        <v>2.8591791097559089</v>
      </c>
      <c r="F4">
        <v>1.5034767961477015E-7</v>
      </c>
      <c r="G4">
        <v>1.70536535909314E-2</v>
      </c>
    </row>
    <row r="5" spans="1:7" x14ac:dyDescent="0.35">
      <c r="A5" t="s">
        <v>235</v>
      </c>
      <c r="B5" t="s">
        <v>88</v>
      </c>
      <c r="C5">
        <v>3.9376272801481191E-2</v>
      </c>
      <c r="D5">
        <v>7.4454797603825578E-3</v>
      </c>
      <c r="E5">
        <v>0.27623253015133098</v>
      </c>
      <c r="F5">
        <v>1.688575484940417E-7</v>
      </c>
      <c r="G5">
        <v>4.3388334358192671E-2</v>
      </c>
    </row>
    <row r="6" spans="1:7" x14ac:dyDescent="0.35">
      <c r="A6" t="s">
        <v>218</v>
      </c>
      <c r="B6" t="s">
        <v>219</v>
      </c>
      <c r="C6">
        <v>7.6822608039271226E-2</v>
      </c>
      <c r="D6">
        <v>3.8834842630311949E-3</v>
      </c>
      <c r="E6">
        <v>1.2663162185349626</v>
      </c>
      <c r="F6">
        <v>1.2842556610891134E-8</v>
      </c>
      <c r="G6">
        <v>3.386714243849287E-3</v>
      </c>
    </row>
    <row r="7" spans="1:7" hidden="1" x14ac:dyDescent="0.35">
      <c r="A7" t="s">
        <v>220</v>
      </c>
      <c r="B7" t="s">
        <v>219</v>
      </c>
      <c r="C7">
        <v>9.5243646087661629E-2</v>
      </c>
      <c r="D7">
        <v>6.6863661703421007E-3</v>
      </c>
      <c r="E7">
        <v>1.319382824598772</v>
      </c>
      <c r="F7">
        <v>2.3188317335303578E-8</v>
      </c>
      <c r="G7">
        <v>2.5105611442751696E-3</v>
      </c>
    </row>
    <row r="8" spans="1:7" hidden="1" x14ac:dyDescent="0.35">
      <c r="A8" t="s">
        <v>221</v>
      </c>
      <c r="B8" t="s">
        <v>219</v>
      </c>
      <c r="C8">
        <v>0.1320494166328981</v>
      </c>
      <c r="D8">
        <v>2.0669551045217113E-2</v>
      </c>
      <c r="E8">
        <v>1.2364958754473263</v>
      </c>
      <c r="F8">
        <v>1.9202414695510355E-7</v>
      </c>
      <c r="G8">
        <v>4.4888511676561826E-3</v>
      </c>
    </row>
    <row r="9" spans="1:7" x14ac:dyDescent="0.35">
      <c r="A9" t="s">
        <v>222</v>
      </c>
      <c r="B9" t="s">
        <v>219</v>
      </c>
      <c r="C9">
        <v>1.6806366390672119E-2</v>
      </c>
      <c r="D9">
        <v>2.5566585484501983E-2</v>
      </c>
      <c r="E9">
        <v>0.22657282506095763</v>
      </c>
      <c r="F9">
        <v>5.1772645239250751E-7</v>
      </c>
      <c r="G9">
        <v>1.3711807787024188E-2</v>
      </c>
    </row>
    <row r="10" spans="1:7" x14ac:dyDescent="0.35">
      <c r="A10" s="17" t="s">
        <v>255</v>
      </c>
      <c r="B10" s="17" t="s">
        <v>219</v>
      </c>
    </row>
    <row r="11" spans="1:7" x14ac:dyDescent="0.35">
      <c r="A11" s="17" t="s">
        <v>256</v>
      </c>
      <c r="B11" s="17" t="s">
        <v>219</v>
      </c>
      <c r="C11">
        <f>(C6*Parameters!$C115)+(C7*Parameters!$C117)+(C8*Parameters!$C116)+(C9*Parameters!$C118)+(C10*Parameters!$C119)</f>
        <v>4.2669457706434023E-2</v>
      </c>
      <c r="D11">
        <f>(D6*Parameters!$C115)+(D7*Parameters!$C117)+(D8*Parameters!$C116)+(D9*Parameters!$C118)+(D10*Parameters!$C119)</f>
        <v>1.1097007857549203E-2</v>
      </c>
      <c r="E11">
        <f>(E6*Parameters!$C115)+(E7*Parameters!$C117)+(E8*Parameters!$C116)+(E9*Parameters!$C118)+(E10*Parameters!$C119)</f>
        <v>0.6831217323218679</v>
      </c>
      <c r="F11">
        <f>(F6*Parameters!$C115)+(F7*Parameters!$C117)+(F8*Parameters!$C116)+(F9*Parameters!$C118)+(F10*Parameters!$C119)</f>
        <v>1.9311505126912192E-7</v>
      </c>
      <c r="G11">
        <f>(G6*Parameters!$C115)+(G7*Parameters!$C117)+(G8*Parameters!$C116)+(G9*Parameters!$C118)+(G10*Parameters!$C119)</f>
        <v>6.5530318678349679E-3</v>
      </c>
    </row>
    <row r="12" spans="1:7" x14ac:dyDescent="0.35">
      <c r="A12" t="s">
        <v>96</v>
      </c>
      <c r="B12" t="s">
        <v>88</v>
      </c>
      <c r="C12">
        <v>27</v>
      </c>
    </row>
    <row r="13" spans="1:7" x14ac:dyDescent="0.35">
      <c r="A13" t="s">
        <v>25</v>
      </c>
      <c r="B13" t="s">
        <v>88</v>
      </c>
      <c r="D13">
        <v>16.33278054551894</v>
      </c>
      <c r="F13">
        <v>1.9693043446079511E-5</v>
      </c>
    </row>
    <row r="14" spans="1:7" x14ac:dyDescent="0.35">
      <c r="A14" t="s">
        <v>26</v>
      </c>
    </row>
    <row r="15" spans="1:7" x14ac:dyDescent="0.35">
      <c r="A15" t="s">
        <v>27</v>
      </c>
      <c r="B15" t="s">
        <v>88</v>
      </c>
      <c r="D15">
        <v>16.649329177756801</v>
      </c>
      <c r="F15">
        <v>9.2871714816726453E-5</v>
      </c>
    </row>
    <row r="16" spans="1:7" x14ac:dyDescent="0.35">
      <c r="A16" t="s">
        <v>28</v>
      </c>
    </row>
    <row r="17" spans="1:7" x14ac:dyDescent="0.35">
      <c r="A17" t="s">
        <v>29</v>
      </c>
    </row>
    <row r="18" spans="1:7" x14ac:dyDescent="0.35">
      <c r="A18" t="s">
        <v>30</v>
      </c>
      <c r="B18" t="s">
        <v>88</v>
      </c>
      <c r="D18">
        <v>26.3647564891366</v>
      </c>
      <c r="F18">
        <v>1.7739541032408431E-4</v>
      </c>
    </row>
    <row r="19" spans="1:7" x14ac:dyDescent="0.35">
      <c r="A19" t="s">
        <v>223</v>
      </c>
      <c r="B19" t="s">
        <v>88</v>
      </c>
      <c r="D19">
        <v>16.649329177756801</v>
      </c>
      <c r="F19">
        <v>9.2871714816726453E-5</v>
      </c>
    </row>
    <row r="20" spans="1:7" x14ac:dyDescent="0.35">
      <c r="A20" t="s">
        <v>224</v>
      </c>
      <c r="B20" t="s">
        <v>88</v>
      </c>
      <c r="C20">
        <v>273</v>
      </c>
    </row>
    <row r="21" spans="1:7" x14ac:dyDescent="0.35">
      <c r="A21" t="s">
        <v>225</v>
      </c>
      <c r="D21">
        <v>1.9766250000000001</v>
      </c>
    </row>
    <row r="22" spans="1:7" x14ac:dyDescent="0.35">
      <c r="A22" t="s">
        <v>144</v>
      </c>
      <c r="B22" t="s">
        <v>88</v>
      </c>
      <c r="F22">
        <v>1.3675985732522491E-3</v>
      </c>
    </row>
    <row r="23" spans="1:7" x14ac:dyDescent="0.35">
      <c r="A23" t="s">
        <v>226</v>
      </c>
      <c r="D23">
        <v>2.5277027027027019</v>
      </c>
      <c r="F23">
        <v>1.638E-7</v>
      </c>
    </row>
    <row r="24" spans="1:7" x14ac:dyDescent="0.35">
      <c r="A24" t="s">
        <v>141</v>
      </c>
    </row>
    <row r="25" spans="1:7" x14ac:dyDescent="0.35">
      <c r="A25" t="s">
        <v>414</v>
      </c>
      <c r="B25" t="s">
        <v>88</v>
      </c>
      <c r="D25">
        <v>3.1274176726290208</v>
      </c>
    </row>
    <row r="26" spans="1:7" x14ac:dyDescent="0.35">
      <c r="A26" t="s">
        <v>415</v>
      </c>
      <c r="B26" t="s">
        <v>88</v>
      </c>
      <c r="C26">
        <v>1</v>
      </c>
      <c r="D26">
        <v>1.6500000000000001E-2</v>
      </c>
    </row>
    <row r="27" spans="1:7" x14ac:dyDescent="0.35">
      <c r="A27" t="s">
        <v>227</v>
      </c>
      <c r="B27" t="s">
        <v>88</v>
      </c>
      <c r="C27">
        <v>0.8576771851648507</v>
      </c>
      <c r="D27">
        <v>0.17089368730017468</v>
      </c>
      <c r="E27">
        <v>55.79469561158686</v>
      </c>
      <c r="F27">
        <v>5.3840195026970078E-7</v>
      </c>
      <c r="G27">
        <v>7.7294773442009301E-2</v>
      </c>
    </row>
    <row r="28" spans="1:7" x14ac:dyDescent="0.35">
      <c r="A28" t="s">
        <v>228</v>
      </c>
      <c r="B28" t="s">
        <v>88</v>
      </c>
      <c r="C28">
        <v>1.5776478677100687</v>
      </c>
      <c r="D28">
        <v>0.20933685065659957</v>
      </c>
      <c r="E28">
        <v>23.20002206780282</v>
      </c>
      <c r="F28">
        <v>1.1573452199311094E-6</v>
      </c>
      <c r="G28">
        <v>2.3755902490883187</v>
      </c>
    </row>
    <row r="29" spans="1:7" x14ac:dyDescent="0.35">
      <c r="A29" t="s">
        <v>229</v>
      </c>
      <c r="B29" t="s">
        <v>88</v>
      </c>
      <c r="C29">
        <v>0.66714792714666193</v>
      </c>
      <c r="D29">
        <v>0.16237015848791073</v>
      </c>
      <c r="E29">
        <v>10.816313505910848</v>
      </c>
      <c r="F29">
        <v>7.4831828397625856E-7</v>
      </c>
      <c r="G29">
        <v>0.31390973645585518</v>
      </c>
    </row>
    <row r="30" spans="1:7" x14ac:dyDescent="0.35">
      <c r="A30" t="s">
        <v>230</v>
      </c>
      <c r="B30" t="s">
        <v>88</v>
      </c>
      <c r="C30">
        <v>0.38986915383247311</v>
      </c>
      <c r="D30">
        <v>0.18170441583193672</v>
      </c>
      <c r="E30">
        <v>6.8356119277153198</v>
      </c>
      <c r="F30">
        <v>1.4997157594083229E-6</v>
      </c>
      <c r="G30">
        <v>0.92484418441705429</v>
      </c>
    </row>
    <row r="31" spans="1:7" x14ac:dyDescent="0.35">
      <c r="A31" t="s">
        <v>231</v>
      </c>
      <c r="B31" t="s">
        <v>88</v>
      </c>
      <c r="C31">
        <v>1.4284515611925735E-2</v>
      </c>
      <c r="D31">
        <v>6.1782921961443188E-3</v>
      </c>
      <c r="E31">
        <v>10.072034609758711</v>
      </c>
      <c r="F31">
        <v>1.1466261213604916E-8</v>
      </c>
      <c r="G31">
        <v>3.2008550717339546E-2</v>
      </c>
    </row>
    <row r="32" spans="1:7" x14ac:dyDescent="0.35">
      <c r="A32" t="s">
        <v>127</v>
      </c>
      <c r="B32" t="s">
        <v>88</v>
      </c>
      <c r="C32">
        <v>3.3347072314679833</v>
      </c>
      <c r="D32">
        <v>0.57318851280035121</v>
      </c>
      <c r="E32">
        <v>42.034753047833277</v>
      </c>
      <c r="F32">
        <v>4.8922715846012113E-6</v>
      </c>
      <c r="G32">
        <v>0.41818095832445579</v>
      </c>
    </row>
    <row r="33" spans="1:9" x14ac:dyDescent="0.35">
      <c r="A33" t="s">
        <v>253</v>
      </c>
      <c r="B33" t="s">
        <v>88</v>
      </c>
      <c r="C33">
        <v>5.2073989441056465</v>
      </c>
      <c r="D33">
        <v>1.0260333445821137</v>
      </c>
      <c r="E33">
        <v>68.260494474754168</v>
      </c>
      <c r="F33">
        <v>1.4663328088830277E-5</v>
      </c>
      <c r="G33">
        <v>3.4287767440665675</v>
      </c>
    </row>
    <row r="34" spans="1:9" x14ac:dyDescent="0.35">
      <c r="A34" t="s">
        <v>281</v>
      </c>
      <c r="B34" t="s">
        <v>239</v>
      </c>
      <c r="C34">
        <v>0.3199163799783592</v>
      </c>
      <c r="D34">
        <v>0.69417149926362964</v>
      </c>
      <c r="E34">
        <v>3.71561708465644</v>
      </c>
      <c r="F34">
        <v>9.5238117020067213E-7</v>
      </c>
      <c r="G34">
        <v>-1.7961399781896148E-3</v>
      </c>
    </row>
    <row r="35" spans="1:9" x14ac:dyDescent="0.35">
      <c r="A35" t="s">
        <v>340</v>
      </c>
      <c r="B35" t="s">
        <v>88</v>
      </c>
      <c r="C35">
        <v>4.5731952355372307E-2</v>
      </c>
      <c r="D35">
        <v>0.25968684049241075</v>
      </c>
      <c r="E35">
        <v>0.71611285785498757</v>
      </c>
      <c r="F35">
        <v>3.8027329642479053E-8</v>
      </c>
      <c r="G35">
        <v>1.170564940681551E-2</v>
      </c>
    </row>
    <row r="37" spans="1:9" x14ac:dyDescent="0.35">
      <c r="A37" t="s">
        <v>341</v>
      </c>
      <c r="B37" t="s">
        <v>128</v>
      </c>
      <c r="C37">
        <v>3.7452427019751884E-2</v>
      </c>
      <c r="D37">
        <v>4.9021930310683803E-2</v>
      </c>
      <c r="E37">
        <v>0.42365828023876678</v>
      </c>
      <c r="F37">
        <v>1.3638733721031984E-7</v>
      </c>
      <c r="G37">
        <v>1.371409771705601E-2</v>
      </c>
    </row>
    <row r="38" spans="1:9" x14ac:dyDescent="0.35">
      <c r="A38" t="s">
        <v>343</v>
      </c>
      <c r="B38" t="s">
        <v>239</v>
      </c>
      <c r="C38">
        <v>0.73571240611880662</v>
      </c>
      <c r="D38">
        <v>9.7093053489767267E-2</v>
      </c>
      <c r="E38">
        <v>47.70035239707839</v>
      </c>
      <c r="F38">
        <v>2.2310472453878126E-7</v>
      </c>
      <c r="G38">
        <v>7.8893246702014919E-2</v>
      </c>
    </row>
    <row r="39" spans="1:9" x14ac:dyDescent="0.35">
      <c r="A39" t="s">
        <v>486</v>
      </c>
      <c r="B39" t="s">
        <v>219</v>
      </c>
      <c r="C39">
        <v>7.0715709470961743E-2</v>
      </c>
      <c r="D39">
        <v>3.3274375411367785E-3</v>
      </c>
      <c r="E39">
        <v>1.1766142306766492</v>
      </c>
      <c r="F39">
        <v>5.1758663457297023E-9</v>
      </c>
      <c r="G39">
        <v>1.4227993610922236E-3</v>
      </c>
      <c r="I39" t="s">
        <v>487</v>
      </c>
    </row>
    <row r="41" spans="1:9" x14ac:dyDescent="0.35">
      <c r="A41" t="s">
        <v>489</v>
      </c>
      <c r="B41" t="s">
        <v>88</v>
      </c>
      <c r="C41">
        <v>0</v>
      </c>
    </row>
  </sheetData>
  <autoFilter ref="A1:G35" xr:uid="{3DE421AE-67CB-443D-A16B-D547AB6DBE8E}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80FB6-0688-454A-B6A5-C778C49C6FEA}">
  <dimension ref="A3:AO81"/>
  <sheetViews>
    <sheetView topLeftCell="W25" zoomScale="60" zoomScaleNormal="60" workbookViewId="0">
      <selection activeCell="AH81" sqref="AH81"/>
    </sheetView>
  </sheetViews>
  <sheetFormatPr baseColWidth="10" defaultRowHeight="14.5" x14ac:dyDescent="0.35"/>
  <cols>
    <col min="1" max="1" width="26.54296875" bestFit="1" customWidth="1"/>
    <col min="2" max="2" width="31.7265625" bestFit="1" customWidth="1"/>
  </cols>
  <sheetData>
    <row r="3" spans="1:7" x14ac:dyDescent="0.35">
      <c r="A3" s="154" t="s">
        <v>420</v>
      </c>
      <c r="B3" s="155"/>
      <c r="C3" s="155"/>
      <c r="D3" s="155"/>
      <c r="E3" s="155"/>
      <c r="F3" s="155"/>
      <c r="G3" s="156"/>
    </row>
    <row r="4" spans="1:7" ht="43.5" x14ac:dyDescent="0.35">
      <c r="A4" s="108" t="s">
        <v>0</v>
      </c>
      <c r="B4" s="108"/>
      <c r="C4" s="108" t="s">
        <v>403</v>
      </c>
      <c r="D4" s="108" t="s">
        <v>404</v>
      </c>
      <c r="E4" s="108" t="s">
        <v>405</v>
      </c>
      <c r="F4" s="108" t="s">
        <v>406</v>
      </c>
      <c r="G4" s="108" t="s">
        <v>407</v>
      </c>
    </row>
    <row r="5" spans="1:7" x14ac:dyDescent="0.35">
      <c r="A5" s="114" t="s">
        <v>6</v>
      </c>
      <c r="B5" s="113"/>
      <c r="C5" s="111">
        <f>SUM(C6,C9,C12,C16,C25)</f>
        <v>130.89983518703079</v>
      </c>
      <c r="D5" s="111">
        <f t="shared" ref="D5:G5" si="0">SUM(D6,D9,D12,D16,D25)</f>
        <v>5.7126690238664333</v>
      </c>
      <c r="E5" s="111">
        <f t="shared" si="0"/>
        <v>603.93844484610645</v>
      </c>
      <c r="F5" s="111">
        <f t="shared" si="0"/>
        <v>9.9635855944950542E-5</v>
      </c>
      <c r="G5" s="111">
        <f t="shared" si="0"/>
        <v>15.5837763706547</v>
      </c>
    </row>
    <row r="6" spans="1:7" x14ac:dyDescent="0.35">
      <c r="A6" s="114" t="s">
        <v>5</v>
      </c>
      <c r="B6" s="113"/>
      <c r="C6" s="114">
        <f>SUM(C7:C8)</f>
        <v>0.77610650091942801</v>
      </c>
      <c r="D6" s="114">
        <f t="shared" ref="D6:G6" si="1">SUM(D7:D8)</f>
        <v>0.11916920601637257</v>
      </c>
      <c r="E6" s="114">
        <f t="shared" si="1"/>
        <v>116.96082759610819</v>
      </c>
      <c r="F6" s="114">
        <f t="shared" si="1"/>
        <v>7.7420482538410759E-7</v>
      </c>
      <c r="G6" s="114">
        <f t="shared" si="1"/>
        <v>1.2592266934323948</v>
      </c>
    </row>
    <row r="7" spans="1:7" x14ac:dyDescent="0.35">
      <c r="A7" s="113"/>
      <c r="B7" s="113" t="s">
        <v>249</v>
      </c>
      <c r="C7" s="113">
        <f>'LCI_AD-a'!$E4*'IW+f'!C2</f>
        <v>0.77610650091942801</v>
      </c>
      <c r="D7" s="113">
        <f>'LCI_AD-a'!$E4*'IW+f'!D2</f>
        <v>0.11916920601637257</v>
      </c>
      <c r="E7" s="113">
        <f>'LCI_AD-a'!$E4*'IW+f'!E2</f>
        <v>116.96082759610819</v>
      </c>
      <c r="F7" s="113">
        <f>'LCI_AD-a'!$E4*'IW+f'!F2</f>
        <v>7.7420482538410759E-7</v>
      </c>
      <c r="G7" s="113">
        <f>'LCI_AD-a'!$E4*'IW+f'!G2</f>
        <v>1.2592266934323948</v>
      </c>
    </row>
    <row r="8" spans="1:7" x14ac:dyDescent="0.35">
      <c r="A8" s="113"/>
      <c r="B8" s="113" t="s">
        <v>250</v>
      </c>
      <c r="C8" s="113">
        <f>'LCI_AD-a'!$E5*'IW+f'!C3</f>
        <v>0</v>
      </c>
      <c r="D8" s="113">
        <f>'LCI_AD-a'!$E5*'IW+f'!D3</f>
        <v>0</v>
      </c>
      <c r="E8" s="113">
        <f>'LCI_AD-a'!$E5*'IW+f'!E3</f>
        <v>0</v>
      </c>
      <c r="F8" s="113">
        <f>'LCI_AD-a'!$E5*'IW+f'!F3</f>
        <v>0</v>
      </c>
      <c r="G8" s="113">
        <f>'LCI_AD-a'!$E5*'IW+f'!G3</f>
        <v>0</v>
      </c>
    </row>
    <row r="9" spans="1:7" x14ac:dyDescent="0.35">
      <c r="A9" s="112" t="s">
        <v>235</v>
      </c>
      <c r="B9" s="113"/>
      <c r="C9" s="111">
        <f>SUM(C10:C11)</f>
        <v>9.4912725301666416</v>
      </c>
      <c r="D9" s="111">
        <f t="shared" ref="D9:G9" si="2">SUM(D10:D11)</f>
        <v>1.776054546690981</v>
      </c>
      <c r="E9" s="111">
        <f t="shared" si="2"/>
        <v>70.109593887244714</v>
      </c>
      <c r="F9" s="111">
        <f t="shared" si="2"/>
        <v>3.9183035816743554E-5</v>
      </c>
      <c r="G9" s="111">
        <f t="shared" si="2"/>
        <v>10.018540305643455</v>
      </c>
    </row>
    <row r="10" spans="1:7" x14ac:dyDescent="0.35">
      <c r="A10" s="113"/>
      <c r="B10" s="113" t="s">
        <v>286</v>
      </c>
      <c r="C10" s="115">
        <f>'LCI_AD-a'!$E7*'IW+f'!C4</f>
        <v>0.43472978582596905</v>
      </c>
      <c r="D10" s="115">
        <f>'LCI_AD-a'!$E7*'IW+f'!D4</f>
        <v>6.359420180299287E-2</v>
      </c>
      <c r="E10" s="115">
        <f>'LCI_AD-a'!$E7*'IW+f'!E4</f>
        <v>6.5761119524385903</v>
      </c>
      <c r="F10" s="115">
        <f>'LCI_AD-a'!$E7*'IW+f'!F4</f>
        <v>3.4579966311397133E-7</v>
      </c>
      <c r="G10" s="115">
        <f>'LCI_AD-a'!$E7*'IW+f'!G4</f>
        <v>3.9223403259142219E-2</v>
      </c>
    </row>
    <row r="11" spans="1:7" x14ac:dyDescent="0.35">
      <c r="A11" s="113"/>
      <c r="B11" s="113" t="s">
        <v>235</v>
      </c>
      <c r="C11" s="113">
        <f>'LCI_AD-a'!$E8*'IW+f'!C5</f>
        <v>9.056542744340673</v>
      </c>
      <c r="D11" s="113">
        <f>'LCI_AD-a'!$E8*'IW+f'!D5</f>
        <v>1.712460344887988</v>
      </c>
      <c r="E11" s="113">
        <f>'LCI_AD-a'!$E8*'IW+f'!E5</f>
        <v>63.533481934806119</v>
      </c>
      <c r="F11" s="113">
        <f>'LCI_AD-a'!$E8*'IW+f'!F5</f>
        <v>3.8837236153629584E-5</v>
      </c>
      <c r="G11" s="113">
        <f>'LCI_AD-a'!$E8*'IW+f'!G5</f>
        <v>9.9793169023843138</v>
      </c>
    </row>
    <row r="12" spans="1:7" x14ac:dyDescent="0.35">
      <c r="A12" s="112" t="s">
        <v>6</v>
      </c>
      <c r="B12" s="113"/>
      <c r="C12" s="114">
        <f>SUM(C13:C15)</f>
        <v>52.2487117086675</v>
      </c>
      <c r="D12" s="114">
        <f t="shared" ref="D12:G12" si="3">SUM(D13:D15)</f>
        <v>2.7873234481033835</v>
      </c>
      <c r="E12" s="114">
        <f t="shared" si="3"/>
        <v>416.86802336275355</v>
      </c>
      <c r="F12" s="114">
        <f t="shared" si="3"/>
        <v>4.5598347798669536E-5</v>
      </c>
      <c r="G12" s="114">
        <f t="shared" si="3"/>
        <v>4.3060093715788508</v>
      </c>
    </row>
    <row r="13" spans="1:7" x14ac:dyDescent="0.35">
      <c r="A13" s="113"/>
      <c r="B13" s="113" t="s">
        <v>8</v>
      </c>
      <c r="C13" s="113">
        <f>'LCI_AD-a'!$E10*'IW+f'!C2</f>
        <v>1.7365188542616061</v>
      </c>
      <c r="D13" s="113">
        <f>'LCI_AD-a'!$E10*'IW+f'!D2</f>
        <v>0.26663811326108211</v>
      </c>
      <c r="E13" s="113">
        <f>'LCI_AD-a'!$E10*'IW+f'!E2</f>
        <v>261.69692186584126</v>
      </c>
      <c r="F13" s="113">
        <f>'LCI_AD-a'!$E10*'IW+f'!F2</f>
        <v>1.7322639028884893E-6</v>
      </c>
      <c r="G13" s="113">
        <f>'LCI_AD-a'!$E10*'IW+f'!G2</f>
        <v>2.8174881828001381</v>
      </c>
    </row>
    <row r="14" spans="1:7" x14ac:dyDescent="0.35">
      <c r="A14" s="113"/>
      <c r="B14" s="113" t="s">
        <v>18</v>
      </c>
      <c r="C14" s="113">
        <f>'LCI_AD-a'!$E11*'IW+f'!C11</f>
        <v>9.6923673180164887</v>
      </c>
      <c r="D14" s="113">
        <f>'LCI_AD-a'!$E11*'IW+f'!D11</f>
        <v>2.5206853348423013</v>
      </c>
      <c r="E14" s="113">
        <f>'LCI_AD-a'!$E11*'IW+f'!E11</f>
        <v>155.17110149691229</v>
      </c>
      <c r="F14" s="113">
        <f>'LCI_AD-a'!$E11*'IW+f'!F11</f>
        <v>4.3866083895781045E-5</v>
      </c>
      <c r="G14" s="113">
        <f>'LCI_AD-a'!$E11*'IW+f'!G11</f>
        <v>1.4885211887787131</v>
      </c>
    </row>
    <row r="15" spans="1:7" x14ac:dyDescent="0.35">
      <c r="A15" s="113"/>
      <c r="B15" s="113" t="s">
        <v>96</v>
      </c>
      <c r="C15" s="113">
        <f>'LCI_AD-a'!$E12*'IW+f'!C12</f>
        <v>40.819825536389409</v>
      </c>
      <c r="D15" s="113">
        <f>'LCI_AD-a'!$E12*'IW+f'!D12</f>
        <v>0</v>
      </c>
      <c r="E15" s="113">
        <f>'LCI_AD-a'!$E12*'IW+f'!E12</f>
        <v>0</v>
      </c>
      <c r="F15" s="113">
        <f>'LCI_AD-a'!$E12*'IW+f'!F12</f>
        <v>0</v>
      </c>
      <c r="G15" s="113">
        <f>'LCI_AD-a'!$E12*'IW+f'!G12</f>
        <v>0</v>
      </c>
    </row>
    <row r="16" spans="1:7" x14ac:dyDescent="0.35">
      <c r="A16" s="114" t="s">
        <v>7</v>
      </c>
      <c r="B16" s="113"/>
      <c r="C16" s="114">
        <f>SUM(C17:C24)</f>
        <v>32.256746593232833</v>
      </c>
      <c r="D16" s="114">
        <f t="shared" ref="D16:G16" si="4">SUM(D17:D24)</f>
        <v>1.0301218230556968</v>
      </c>
      <c r="E16" s="114">
        <f t="shared" si="4"/>
        <v>0</v>
      </c>
      <c r="F16" s="114">
        <f t="shared" si="4"/>
        <v>1.4080267504153357E-5</v>
      </c>
      <c r="G16" s="114">
        <f t="shared" si="4"/>
        <v>0</v>
      </c>
    </row>
    <row r="17" spans="1:7" x14ac:dyDescent="0.35">
      <c r="A17" s="113"/>
      <c r="B17" s="113" t="s">
        <v>50</v>
      </c>
      <c r="C17" s="113">
        <f>'LCI_AD-a'!$E16*'IW+f'!C13</f>
        <v>0</v>
      </c>
      <c r="D17" s="113">
        <f>'LCI_AD-a'!$E16*'IW+f'!D13</f>
        <v>0.59971300052812748</v>
      </c>
      <c r="E17" s="113">
        <f>'LCI_AD-a'!$E16*'IW+f'!E13</f>
        <v>0</v>
      </c>
      <c r="F17" s="113">
        <f>'LCI_AD-a'!$E16*'IW+f'!F13</f>
        <v>7.2309636082261313E-7</v>
      </c>
      <c r="G17" s="113">
        <f>'LCI_AD-a'!$E16*'IW+f'!G13</f>
        <v>0</v>
      </c>
    </row>
    <row r="18" spans="1:7" x14ac:dyDescent="0.35">
      <c r="A18" s="113"/>
      <c r="B18" s="113" t="s">
        <v>51</v>
      </c>
      <c r="C18" s="113">
        <f>'LCI_AD-a'!$E17*'IW+f'!C14</f>
        <v>0</v>
      </c>
      <c r="D18" s="113">
        <f>'LCI_AD-a'!$E17*'IW+f'!D14</f>
        <v>0</v>
      </c>
      <c r="E18" s="113">
        <f>'LCI_AD-a'!$E17*'IW+f'!E14</f>
        <v>0</v>
      </c>
      <c r="F18" s="113">
        <f>'LCI_AD-a'!$E17*'IW+f'!F14</f>
        <v>0</v>
      </c>
      <c r="G18" s="113">
        <f>'LCI_AD-a'!$E17*'IW+f'!G14</f>
        <v>0</v>
      </c>
    </row>
    <row r="19" spans="1:7" x14ac:dyDescent="0.35">
      <c r="A19" s="113"/>
      <c r="B19" s="113" t="s">
        <v>52</v>
      </c>
      <c r="C19" s="113">
        <f>'LCI_AD-a'!$E18*'IW+f'!C15</f>
        <v>0</v>
      </c>
      <c r="D19" s="113">
        <f>'LCI_AD-a'!$E18*'IW+f'!D15</f>
        <v>5.2400241326133447E-2</v>
      </c>
      <c r="E19" s="113">
        <f>'LCI_AD-a'!$E18*'IW+f'!E15</f>
        <v>0</v>
      </c>
      <c r="F19" s="113">
        <f>'LCI_AD-a'!$E18*'IW+f'!F15</f>
        <v>2.9229407484295913E-7</v>
      </c>
      <c r="G19" s="113">
        <f>'LCI_AD-a'!$E18*'IW+f'!G15</f>
        <v>0</v>
      </c>
    </row>
    <row r="20" spans="1:7" x14ac:dyDescent="0.35">
      <c r="A20" s="113"/>
      <c r="B20" s="113" t="s">
        <v>53</v>
      </c>
      <c r="C20" s="113">
        <f>'LCI_AD-a'!$E19*'IW+f'!C22</f>
        <v>0</v>
      </c>
      <c r="D20" s="113">
        <f>'LCI_AD-a'!$E19*'IW+f'!D22</f>
        <v>0</v>
      </c>
      <c r="E20" s="113">
        <f>'LCI_AD-a'!$E19*'IW+f'!E22</f>
        <v>0</v>
      </c>
      <c r="F20" s="113">
        <f>'LCI_AD-a'!$E19*'IW+f'!F22</f>
        <v>1.0521444232463526E-5</v>
      </c>
      <c r="G20" s="113">
        <f>'LCI_AD-a'!$E19*'IW+f'!G22</f>
        <v>0</v>
      </c>
    </row>
    <row r="21" spans="1:7" x14ac:dyDescent="0.35">
      <c r="A21" s="113"/>
      <c r="B21" s="113" t="s">
        <v>54</v>
      </c>
      <c r="C21" s="113">
        <f>'LCI_AD-a'!$E20*'IW+f'!C17</f>
        <v>0</v>
      </c>
      <c r="D21" s="113">
        <f>'LCI_AD-a'!$E20*'IW+f'!D17</f>
        <v>0</v>
      </c>
      <c r="E21" s="113">
        <f>'LCI_AD-a'!$E20*'IW+f'!E17</f>
        <v>0</v>
      </c>
      <c r="F21" s="113">
        <f>'LCI_AD-a'!$E20*'IW+f'!F17</f>
        <v>0</v>
      </c>
      <c r="G21" s="113">
        <f>'LCI_AD-a'!$E20*'IW+f'!G17</f>
        <v>0</v>
      </c>
    </row>
    <row r="22" spans="1:7" x14ac:dyDescent="0.35">
      <c r="A22" s="113"/>
      <c r="B22" s="113" t="s">
        <v>55</v>
      </c>
      <c r="C22" s="113">
        <f>'LCI_AD-a'!$E21*'IW+f'!C18</f>
        <v>0</v>
      </c>
      <c r="D22" s="113">
        <f>'LCI_AD-a'!$E21*'IW+f'!D18</f>
        <v>0.37800858120143593</v>
      </c>
      <c r="E22" s="113">
        <f>'LCI_AD-a'!$E21*'IW+f'!E18</f>
        <v>0</v>
      </c>
      <c r="F22" s="113">
        <f>'LCI_AD-a'!$E21*'IW+f'!F18</f>
        <v>2.5434328360242584E-6</v>
      </c>
      <c r="G22" s="113">
        <f>'LCI_AD-a'!$E21*'IW+f'!G18</f>
        <v>0</v>
      </c>
    </row>
    <row r="23" spans="1:7" x14ac:dyDescent="0.35">
      <c r="A23" s="113"/>
      <c r="B23" s="113" t="s">
        <v>58</v>
      </c>
      <c r="C23" s="113">
        <f>'LCI_AD-a'!$E22*'IW+f'!C12</f>
        <v>25.997974866187658</v>
      </c>
      <c r="D23" s="113">
        <f>'LCI_AD-a'!$E22*'IW+f'!D12</f>
        <v>0</v>
      </c>
      <c r="E23" s="113">
        <f>'LCI_AD-a'!$E22*'IW+f'!E12</f>
        <v>0</v>
      </c>
      <c r="F23" s="113">
        <f>'LCI_AD-a'!$E22*'IW+f'!F12</f>
        <v>0</v>
      </c>
      <c r="G23" s="113">
        <f>'LCI_AD-a'!$E22*'IW+f'!G12</f>
        <v>0</v>
      </c>
    </row>
    <row r="24" spans="1:7" x14ac:dyDescent="0.35">
      <c r="A24" s="113"/>
      <c r="B24" s="113" t="s">
        <v>59</v>
      </c>
      <c r="C24" s="113">
        <f>'LCI_AD-a'!$E23*'IW+f'!C20</f>
        <v>6.2587717270451764</v>
      </c>
      <c r="D24" s="113">
        <f>'LCI_AD-a'!$E23*'IW+f'!D20</f>
        <v>0</v>
      </c>
      <c r="E24" s="113">
        <f>'LCI_AD-a'!$E23*'IW+f'!E20</f>
        <v>0</v>
      </c>
      <c r="F24" s="113">
        <f>'LCI_AD-a'!$E23*'IW+f'!F20</f>
        <v>0</v>
      </c>
      <c r="G24" s="113">
        <f>'LCI_AD-a'!$E23*'IW+f'!G20</f>
        <v>0</v>
      </c>
    </row>
    <row r="25" spans="1:7" x14ac:dyDescent="0.35">
      <c r="A25" s="114" t="s">
        <v>100</v>
      </c>
      <c r="B25" s="113"/>
      <c r="C25" s="114">
        <f>C26</f>
        <v>36.12699785404439</v>
      </c>
      <c r="D25" s="114">
        <f t="shared" ref="D25:G25" si="5">D26</f>
        <v>0</v>
      </c>
      <c r="E25" s="114">
        <f t="shared" si="5"/>
        <v>0</v>
      </c>
      <c r="F25" s="114">
        <f t="shared" si="5"/>
        <v>0</v>
      </c>
      <c r="G25" s="114">
        <f t="shared" si="5"/>
        <v>0</v>
      </c>
    </row>
    <row r="26" spans="1:7" x14ac:dyDescent="0.35">
      <c r="A26" s="113"/>
      <c r="B26" s="113" t="s">
        <v>96</v>
      </c>
      <c r="C26" s="113">
        <f>'LCI_AD-a'!$E27*'IW+f'!C12</f>
        <v>36.12699785404439</v>
      </c>
      <c r="D26" s="113">
        <f>'LCI_AD-a'!$E27*'IW+f'!D12</f>
        <v>0</v>
      </c>
      <c r="E26" s="113">
        <f>'LCI_AD-a'!$E27*'IW+f'!E12</f>
        <v>0</v>
      </c>
      <c r="F26" s="113">
        <f>'LCI_AD-a'!$E27*'IW+f'!F12</f>
        <v>0</v>
      </c>
      <c r="G26" s="113">
        <f>'LCI_AD-a'!$E27*'IW+f'!G12</f>
        <v>0</v>
      </c>
    </row>
    <row r="27" spans="1:7" x14ac:dyDescent="0.35">
      <c r="A27" s="112" t="s">
        <v>108</v>
      </c>
      <c r="B27" s="113"/>
      <c r="C27" s="114">
        <f>SUM(C28:C32)</f>
        <v>-96.310982618440732</v>
      </c>
      <c r="D27" s="114">
        <f t="shared" ref="D27:G27" si="6">SUM(D28:D32)</f>
        <v>108.30291146722087</v>
      </c>
      <c r="E27" s="114">
        <f t="shared" si="6"/>
        <v>0</v>
      </c>
      <c r="F27" s="114">
        <f t="shared" si="6"/>
        <v>7.6801640589139021E-4</v>
      </c>
      <c r="G27" s="114">
        <f t="shared" si="6"/>
        <v>0</v>
      </c>
    </row>
    <row r="28" spans="1:7" x14ac:dyDescent="0.35">
      <c r="A28" s="113"/>
      <c r="B28" s="118" t="s">
        <v>111</v>
      </c>
      <c r="C28" s="118">
        <f>'LCI_AD-a'!$E30*'IW+f'!C20</f>
        <v>19.040938704967669</v>
      </c>
      <c r="D28" s="118">
        <f>'LCI_AD-a'!$E30*'IW+f'!D20</f>
        <v>0</v>
      </c>
      <c r="E28" s="118">
        <f>'LCI_AD-a'!$E30*'IW+f'!E20</f>
        <v>0</v>
      </c>
      <c r="F28" s="118">
        <f>'LCI_AD-a'!$E30*'IW+f'!F20</f>
        <v>0</v>
      </c>
      <c r="G28" s="118">
        <f>'LCI_AD-a'!$E30*'IW+f'!G20</f>
        <v>0</v>
      </c>
    </row>
    <row r="29" spans="1:7" x14ac:dyDescent="0.35">
      <c r="A29" s="113"/>
      <c r="B29" s="118" t="s">
        <v>110</v>
      </c>
      <c r="C29" s="118">
        <f>'LCI_AD-a'!$E31*'IW+f'!C18</f>
        <v>0</v>
      </c>
      <c r="D29" s="118">
        <f>'LCI_AD-a'!$E31*'IW+f'!D18</f>
        <v>114.14368322154571</v>
      </c>
      <c r="E29" s="118">
        <f>'LCI_AD-a'!$E31*'IW+f'!E18</f>
        <v>0</v>
      </c>
      <c r="F29" s="118">
        <f>'LCI_AD-a'!$E31*'IW+f'!F18</f>
        <v>7.6801640589139021E-4</v>
      </c>
      <c r="G29" s="118">
        <f>'LCI_AD-a'!$E31*'IW+f'!G18</f>
        <v>0</v>
      </c>
    </row>
    <row r="30" spans="1:7" x14ac:dyDescent="0.35">
      <c r="A30" s="113"/>
      <c r="B30" s="118" t="s">
        <v>114</v>
      </c>
      <c r="C30" s="118">
        <f>'LCI_AD-a'!$E32*'IW+f'!C21</f>
        <v>0</v>
      </c>
      <c r="D30" s="118">
        <f>'LCI_AD-a'!$E32*'IW+f'!D21</f>
        <v>-3.7432543535239895</v>
      </c>
      <c r="E30" s="118">
        <f>'LCI_AD-a'!$E32*'IW+f'!E21</f>
        <v>0</v>
      </c>
      <c r="F30" s="118">
        <f>'LCI_AD-a'!$E32*'IW+f'!F21</f>
        <v>0</v>
      </c>
      <c r="G30" s="118">
        <f>'LCI_AD-a'!$E32*'IW+f'!G21</f>
        <v>0</v>
      </c>
    </row>
    <row r="31" spans="1:7" x14ac:dyDescent="0.35">
      <c r="A31" s="113"/>
      <c r="B31" s="118" t="s">
        <v>414</v>
      </c>
      <c r="C31" s="119">
        <f>'LCI_AD-a'!$E33*'IW+f'!C25</f>
        <v>0</v>
      </c>
      <c r="D31" s="119">
        <f>'LCI_AD-a'!$E33*'IW+f'!D25</f>
        <v>-0.19421069896461307</v>
      </c>
      <c r="E31" s="119">
        <f>'LCI_AD-a'!$E33*'IW+f'!E25</f>
        <v>0</v>
      </c>
      <c r="F31" s="119">
        <f>'LCI_AD-a'!$E33*'IW+f'!F25</f>
        <v>0</v>
      </c>
      <c r="G31" s="119">
        <f>'LCI_AD-a'!$E33*'IW+f'!G25</f>
        <v>0</v>
      </c>
    </row>
    <row r="32" spans="1:7" x14ac:dyDescent="0.35">
      <c r="A32" s="113"/>
      <c r="B32" s="118" t="s">
        <v>415</v>
      </c>
      <c r="C32" s="119">
        <f>'LCI_AD-a'!$E34*'IW+f'!C26</f>
        <v>-115.3519213234084</v>
      </c>
      <c r="D32" s="119">
        <f>'LCI_AD-a'!$E34*'IW+f'!D26</f>
        <v>-1.9033067018362388</v>
      </c>
      <c r="E32" s="119">
        <f>'LCI_AD-a'!$E34*'IW+f'!E26</f>
        <v>0</v>
      </c>
      <c r="F32" s="119">
        <f>'LCI_AD-a'!$E34*'IW+f'!F26</f>
        <v>0</v>
      </c>
      <c r="G32" s="119">
        <f>'LCI_AD-a'!$E34*'IW+f'!G26</f>
        <v>0</v>
      </c>
    </row>
    <row r="33" spans="1:37" x14ac:dyDescent="0.35">
      <c r="A33" s="112" t="s">
        <v>421</v>
      </c>
      <c r="B33" s="113"/>
      <c r="C33" s="114">
        <f>SUM(C34:C39)</f>
        <v>234.50096020933486</v>
      </c>
      <c r="D33" s="114">
        <f t="shared" ref="D33:G33" si="7">SUM(D34:D39)</f>
        <v>49.019575550617262</v>
      </c>
      <c r="E33" s="114">
        <f t="shared" si="7"/>
        <v>5307.7061158345632</v>
      </c>
      <c r="F33" s="114">
        <f t="shared" si="7"/>
        <v>1.9242560082907765E-4</v>
      </c>
      <c r="G33" s="114">
        <f t="shared" si="7"/>
        <v>110.13710744176475</v>
      </c>
    </row>
    <row r="34" spans="1:37" x14ac:dyDescent="0.35">
      <c r="A34" s="113"/>
      <c r="B34" s="113" t="s">
        <v>228</v>
      </c>
      <c r="C34" s="113">
        <f>'LCI_AD-a'!$E36*'IW+f'!C28</f>
        <v>28.411671868671039</v>
      </c>
      <c r="D34" s="113">
        <f>'LCI_AD-a'!$E36*'IW+f'!D28</f>
        <v>3.7699223208212893</v>
      </c>
      <c r="E34" s="113">
        <f>'LCI_AD-a'!$E36*'IW+f'!E28</f>
        <v>417.80642425174938</v>
      </c>
      <c r="F34" s="113">
        <f>'LCI_AD-a'!$E36*'IW+f'!F28</f>
        <v>2.0842491724839379E-5</v>
      </c>
      <c r="G34" s="113">
        <f>'LCI_AD-a'!$E36*'IW+f'!G28</f>
        <v>42.781720834497129</v>
      </c>
    </row>
    <row r="35" spans="1:37" x14ac:dyDescent="0.35">
      <c r="A35" s="113"/>
      <c r="B35" s="113" t="s">
        <v>230</v>
      </c>
      <c r="C35" s="113">
        <f>'LCI_AD-a'!$E37*'IW+f'!C30</f>
        <v>19.578386540205237</v>
      </c>
      <c r="D35" s="113">
        <f>'LCI_AD-a'!$E37*'IW+f'!D30</f>
        <v>9.1248031660091158</v>
      </c>
      <c r="E35" s="113">
        <f>'LCI_AD-a'!$E37*'IW+f'!E30</f>
        <v>343.26966174183377</v>
      </c>
      <c r="F35" s="113">
        <f>'LCI_AD-a'!$E37*'IW+f'!F30</f>
        <v>7.5312485097886082E-5</v>
      </c>
      <c r="G35" s="113">
        <f>'LCI_AD-a'!$E37*'IW+f'!G30</f>
        <v>46.443676689945342</v>
      </c>
    </row>
    <row r="36" spans="1:37" x14ac:dyDescent="0.35">
      <c r="A36" s="113"/>
      <c r="B36" s="113" t="s">
        <v>229</v>
      </c>
      <c r="C36" s="113">
        <f>'LCI_AD-a'!$E38*'IW+f'!C29</f>
        <v>12.348252376149379</v>
      </c>
      <c r="D36" s="113">
        <f>'LCI_AD-a'!$E38*'IW+f'!D29</f>
        <v>3.0053120361765435</v>
      </c>
      <c r="E36" s="113">
        <f>'LCI_AD-a'!$E38*'IW+f'!E29</f>
        <v>200.1993313863338</v>
      </c>
      <c r="F36" s="113">
        <f>'LCI_AD-a'!$E38*'IW+f'!F29</f>
        <v>1.3850635896818876E-5</v>
      </c>
      <c r="G36" s="113">
        <f>'LCI_AD-a'!$E38*'IW+f'!G29</f>
        <v>5.8101606725599693</v>
      </c>
    </row>
    <row r="37" spans="1:37" x14ac:dyDescent="0.35">
      <c r="A37" s="113"/>
      <c r="B37" s="113" t="s">
        <v>231</v>
      </c>
      <c r="C37" s="116">
        <f>'LCI_AD-a'!$E39*'IW+f'!C31</f>
        <v>2.2516101504900958</v>
      </c>
      <c r="D37" s="116">
        <f>'LCI_AD-a'!$E39*'IW+f'!D31</f>
        <v>0.97385909326307918</v>
      </c>
      <c r="E37" s="116">
        <f>'LCI_AD-a'!$E39*'IW+f'!E31</f>
        <v>1587.6138876201587</v>
      </c>
      <c r="F37" s="116">
        <f>'LCI_AD-a'!$E39*'IW+f'!F31</f>
        <v>1.8073801617164658E-6</v>
      </c>
      <c r="G37" s="116">
        <f>'LCI_AD-a'!$E39*'IW+f'!G31</f>
        <v>5.045377782181772</v>
      </c>
    </row>
    <row r="38" spans="1:37" x14ac:dyDescent="0.35">
      <c r="A38" s="113"/>
      <c r="B38" s="113" t="s">
        <v>423</v>
      </c>
      <c r="C38" s="113">
        <f>'LCI_AD-a'!$E40*'IW+f'!C39</f>
        <v>152.84659670820477</v>
      </c>
      <c r="D38" s="113">
        <f>'LCI_AD-a'!$E40*'IW+f'!D39</f>
        <v>7.1920017168280959</v>
      </c>
      <c r="E38" s="113">
        <f>'LCI_AD-a'!$E40*'IW+f'!E39</f>
        <v>2543.1616559149052</v>
      </c>
      <c r="F38" s="113">
        <f>'LCI_AD-a'!$E40*'IW+f'!F39</f>
        <v>1.1187239184613926E-5</v>
      </c>
      <c r="G38" s="113">
        <f>'LCI_AD-a'!$E40*'IW+f'!G39</f>
        <v>3.0752719836722426</v>
      </c>
    </row>
    <row r="39" spans="1:37" x14ac:dyDescent="0.35">
      <c r="A39" s="113"/>
      <c r="B39" s="113" t="s">
        <v>424</v>
      </c>
      <c r="C39" s="113">
        <f>'LCI_AD-a'!$E41*'IW+f'!C37</f>
        <v>19.064442565614353</v>
      </c>
      <c r="D39" s="113">
        <f>'LCI_AD-a'!$E41*'IW+f'!D37</f>
        <v>24.953677217519139</v>
      </c>
      <c r="E39" s="113">
        <f>'LCI_AD-a'!$E41*'IW+f'!E37</f>
        <v>215.65515491958169</v>
      </c>
      <c r="F39" s="113">
        <f>'LCI_AD-a'!$E41*'IW+f'!F37</f>
        <v>6.9425368763202937E-5</v>
      </c>
      <c r="G39" s="113">
        <f>'LCI_AD-a'!$E41*'IW+f'!G37</f>
        <v>6.980899478908305</v>
      </c>
    </row>
    <row r="40" spans="1:37" x14ac:dyDescent="0.35">
      <c r="A40" s="113"/>
      <c r="B40" s="113"/>
      <c r="C40" s="113"/>
      <c r="D40" s="113"/>
      <c r="E40" s="113"/>
      <c r="F40" s="113"/>
      <c r="G40" s="113"/>
    </row>
    <row r="41" spans="1:37" x14ac:dyDescent="0.35">
      <c r="A41" s="114" t="s">
        <v>494</v>
      </c>
      <c r="B41" s="113"/>
      <c r="C41" s="114">
        <f>C5+C27-C33</f>
        <v>-199.91210764074481</v>
      </c>
      <c r="D41" s="114">
        <f t="shared" ref="D41:G41" si="8">D5+D27-D33</f>
        <v>64.996004940470044</v>
      </c>
      <c r="E41" s="114">
        <f t="shared" si="8"/>
        <v>-4703.7676709884563</v>
      </c>
      <c r="F41" s="114">
        <f t="shared" si="8"/>
        <v>6.7522666100726316E-4</v>
      </c>
      <c r="G41" s="114">
        <f t="shared" si="8"/>
        <v>-94.553331071110051</v>
      </c>
    </row>
    <row r="43" spans="1:37" ht="15.5" x14ac:dyDescent="0.35">
      <c r="A43" s="168" t="s">
        <v>498</v>
      </c>
      <c r="B43" s="168"/>
      <c r="C43" s="168"/>
      <c r="D43" s="168"/>
      <c r="E43" s="168"/>
      <c r="F43" s="168"/>
      <c r="G43" s="168"/>
      <c r="H43" s="168"/>
      <c r="I43" s="168"/>
      <c r="J43" s="168"/>
      <c r="K43" s="168"/>
      <c r="L43" s="168"/>
      <c r="M43" s="168"/>
      <c r="N43" s="168"/>
      <c r="O43" s="168"/>
      <c r="P43" s="168"/>
      <c r="Q43" s="168"/>
      <c r="R43" s="168"/>
      <c r="S43" s="168"/>
      <c r="T43" s="168"/>
      <c r="U43" s="168"/>
      <c r="V43" s="168"/>
      <c r="W43" s="168"/>
      <c r="X43" s="168"/>
      <c r="Y43" s="168"/>
      <c r="Z43" s="168"/>
      <c r="AA43" s="168"/>
      <c r="AB43" s="168"/>
      <c r="AC43" s="168"/>
      <c r="AD43" s="168"/>
      <c r="AE43" s="168"/>
      <c r="AF43" s="168"/>
      <c r="AG43" s="168"/>
      <c r="AH43" s="168"/>
      <c r="AI43" s="168"/>
      <c r="AJ43" s="168"/>
      <c r="AK43" s="168"/>
    </row>
    <row r="44" spans="1:37" ht="72.5" x14ac:dyDescent="0.35">
      <c r="A44" s="140" t="s">
        <v>0</v>
      </c>
      <c r="B44" s="140"/>
      <c r="C44" s="137" t="s">
        <v>376</v>
      </c>
      <c r="D44" s="137" t="s">
        <v>377</v>
      </c>
      <c r="E44" s="137" t="s">
        <v>378</v>
      </c>
      <c r="F44" s="137" t="s">
        <v>379</v>
      </c>
      <c r="G44" s="137" t="s">
        <v>380</v>
      </c>
      <c r="H44" s="137" t="s">
        <v>361</v>
      </c>
      <c r="I44" s="137" t="s">
        <v>381</v>
      </c>
      <c r="J44" s="137" t="s">
        <v>382</v>
      </c>
      <c r="K44" s="137" t="s">
        <v>363</v>
      </c>
      <c r="L44" s="137" t="s">
        <v>383</v>
      </c>
      <c r="M44" s="137" t="s">
        <v>384</v>
      </c>
      <c r="N44" s="137" t="s">
        <v>385</v>
      </c>
      <c r="O44" s="137" t="s">
        <v>386</v>
      </c>
      <c r="P44" s="137" t="s">
        <v>387</v>
      </c>
      <c r="Q44" s="137" t="s">
        <v>388</v>
      </c>
      <c r="R44" s="137" t="s">
        <v>367</v>
      </c>
      <c r="S44" s="137" t="s">
        <v>368</v>
      </c>
      <c r="T44" s="137" t="s">
        <v>389</v>
      </c>
      <c r="U44" s="137" t="s">
        <v>390</v>
      </c>
      <c r="V44" s="137" t="s">
        <v>391</v>
      </c>
      <c r="W44" s="137" t="s">
        <v>392</v>
      </c>
      <c r="X44" s="137" t="s">
        <v>369</v>
      </c>
      <c r="Y44" s="137" t="s">
        <v>371</v>
      </c>
      <c r="Z44" s="137" t="s">
        <v>372</v>
      </c>
      <c r="AA44" s="137" t="s">
        <v>393</v>
      </c>
      <c r="AB44" s="137" t="s">
        <v>394</v>
      </c>
      <c r="AC44" s="137" t="s">
        <v>374</v>
      </c>
      <c r="AD44" s="137" t="s">
        <v>395</v>
      </c>
      <c r="AE44" s="137" t="s">
        <v>396</v>
      </c>
      <c r="AF44" s="137" t="s">
        <v>397</v>
      </c>
      <c r="AG44" s="137" t="s">
        <v>398</v>
      </c>
      <c r="AH44" s="137" t="s">
        <v>399</v>
      </c>
      <c r="AI44" s="137" t="s">
        <v>400</v>
      </c>
      <c r="AJ44" s="137" t="s">
        <v>401</v>
      </c>
      <c r="AK44" s="137" t="s">
        <v>402</v>
      </c>
    </row>
    <row r="45" spans="1:37" x14ac:dyDescent="0.35">
      <c r="A45" s="141" t="s">
        <v>6</v>
      </c>
      <c r="B45" s="136"/>
      <c r="C45" s="141" t="e">
        <f>SUM(C47:C66)</f>
        <v>#REF!</v>
      </c>
      <c r="D45" s="141" t="e">
        <f t="shared" ref="D45:AK45" si="9">SUM(D47:D66)</f>
        <v>#REF!</v>
      </c>
      <c r="E45" s="141" t="e">
        <f t="shared" si="9"/>
        <v>#REF!</v>
      </c>
      <c r="F45" s="141" t="e">
        <f t="shared" si="9"/>
        <v>#REF!</v>
      </c>
      <c r="G45" s="141">
        <f t="shared" si="9"/>
        <v>2.9134926733602826E-17</v>
      </c>
      <c r="H45" s="141">
        <f t="shared" si="9"/>
        <v>0.19212070443769053</v>
      </c>
      <c r="I45" s="141">
        <f t="shared" si="9"/>
        <v>2.8758993527210039</v>
      </c>
      <c r="J45" s="141">
        <f t="shared" si="9"/>
        <v>0.31186916129624564</v>
      </c>
      <c r="K45" s="141">
        <f t="shared" si="9"/>
        <v>6.5040996834015439E-3</v>
      </c>
      <c r="L45" s="141">
        <f t="shared" si="9"/>
        <v>1.2979473179273274E-7</v>
      </c>
      <c r="M45" s="141">
        <f t="shared" si="9"/>
        <v>1.0801943654787775E-5</v>
      </c>
      <c r="N45" s="141">
        <f t="shared" si="9"/>
        <v>3.590091604152478E-6</v>
      </c>
      <c r="O45" s="141">
        <f t="shared" si="9"/>
        <v>2.1746933946014843E-5</v>
      </c>
      <c r="P45" s="141">
        <f t="shared" si="9"/>
        <v>1.3925431065292768E-8</v>
      </c>
      <c r="Q45" s="141">
        <f t="shared" si="9"/>
        <v>4.215900376524117E-7</v>
      </c>
      <c r="R45" s="141">
        <f t="shared" si="9"/>
        <v>1.4184629392205981</v>
      </c>
      <c r="S45" s="141">
        <f t="shared" si="9"/>
        <v>0.47287663654009826</v>
      </c>
      <c r="T45" s="141">
        <f t="shared" si="9"/>
        <v>2.5042743682714739</v>
      </c>
      <c r="U45" s="141">
        <f t="shared" si="9"/>
        <v>0.27184443350192761</v>
      </c>
      <c r="V45" s="141">
        <f t="shared" si="9"/>
        <v>8.4636430387853277E-6</v>
      </c>
      <c r="W45" s="141">
        <f t="shared" si="9"/>
        <v>4.9534459156326189E-6</v>
      </c>
      <c r="X45" s="141">
        <f t="shared" si="9"/>
        <v>6.8232945354996799E-2</v>
      </c>
      <c r="Y45" s="141">
        <f t="shared" si="9"/>
        <v>1.0617258936620923E-9</v>
      </c>
      <c r="Z45" s="141">
        <f t="shared" si="9"/>
        <v>6.6540367116844096E-5</v>
      </c>
      <c r="AA45" s="141">
        <f t="shared" si="9"/>
        <v>1.2076471579956156</v>
      </c>
      <c r="AB45" s="141">
        <f t="shared" si="9"/>
        <v>1.2395946375775294E-7</v>
      </c>
      <c r="AC45" s="141">
        <f t="shared" si="9"/>
        <v>1.5753215405259473</v>
      </c>
      <c r="AD45" s="141">
        <f t="shared" si="9"/>
        <v>0.30893736273532046</v>
      </c>
      <c r="AE45" s="141">
        <f t="shared" si="9"/>
        <v>0.18080077592059063</v>
      </c>
      <c r="AF45" s="141">
        <f t="shared" si="9"/>
        <v>6.9836620179752496E-3</v>
      </c>
      <c r="AG45" s="141">
        <f t="shared" si="9"/>
        <v>11.40231817670508</v>
      </c>
      <c r="AH45" s="141">
        <f t="shared" si="9"/>
        <v>1.1861315684273834E-4</v>
      </c>
      <c r="AI45" s="141">
        <f t="shared" si="9"/>
        <v>1.2491498232183447E-4</v>
      </c>
      <c r="AJ45" s="141">
        <f t="shared" si="9"/>
        <v>1.5257414561842597E-5</v>
      </c>
      <c r="AK45" s="141">
        <f t="shared" si="9"/>
        <v>4.0469048548544035E-4</v>
      </c>
    </row>
    <row r="46" spans="1:37" x14ac:dyDescent="0.35">
      <c r="A46" s="141" t="s">
        <v>5</v>
      </c>
      <c r="B46" s="136"/>
      <c r="C46" s="136"/>
      <c r="D46" s="136"/>
      <c r="E46" s="136"/>
      <c r="F46" s="136"/>
      <c r="G46" s="136"/>
      <c r="H46" s="136"/>
      <c r="I46" s="136"/>
      <c r="J46" s="136"/>
      <c r="K46" s="136"/>
      <c r="L46" s="136"/>
      <c r="M46" s="136"/>
      <c r="N46" s="136"/>
      <c r="O46" s="136"/>
      <c r="P46" s="136"/>
      <c r="Q46" s="136"/>
      <c r="R46" s="136"/>
      <c r="S46" s="136"/>
      <c r="T46" s="136"/>
      <c r="U46" s="136"/>
      <c r="V46" s="136"/>
      <c r="W46" s="136"/>
      <c r="X46" s="136"/>
      <c r="Y46" s="136"/>
      <c r="Z46" s="136"/>
      <c r="AA46" s="136"/>
      <c r="AB46" s="136"/>
      <c r="AC46" s="136"/>
      <c r="AD46" s="136"/>
      <c r="AE46" s="136"/>
      <c r="AF46" s="136"/>
      <c r="AG46" s="136"/>
      <c r="AH46" s="136"/>
      <c r="AI46" s="136"/>
      <c r="AJ46" s="136"/>
      <c r="AK46" s="136"/>
    </row>
    <row r="47" spans="1:37" x14ac:dyDescent="0.35">
      <c r="A47" s="136"/>
      <c r="B47" s="136" t="s">
        <v>249</v>
      </c>
      <c r="C47" s="136" t="e">
        <f>'LCI_AD-a'!$E4*'IW+_end'!#REF!</f>
        <v>#REF!</v>
      </c>
      <c r="D47" s="136" t="e">
        <f>'LCI_AD-a'!$E4*'IW+_end'!#REF!</f>
        <v>#REF!</v>
      </c>
      <c r="E47" s="136" t="e">
        <f>'LCI_AD-a'!$E4*'IW+_end'!#REF!</f>
        <v>#REF!</v>
      </c>
      <c r="F47" s="136" t="e">
        <f>'LCI_AD-a'!$E4*'IW+_end'!#REF!</f>
        <v>#REF!</v>
      </c>
      <c r="G47" s="136">
        <f>'LCI_AD-a'!$E4*'IW+_end'!C2</f>
        <v>9.0040097542142219E-20</v>
      </c>
      <c r="H47" s="136">
        <f>'LCI_AD-a'!$E4*'IW+_end'!D2</f>
        <v>5.1931114803604956E-3</v>
      </c>
      <c r="I47" s="136">
        <f>'LCI_AD-a'!$E4*'IW+_end'!E2</f>
        <v>0.24839018720173295</v>
      </c>
      <c r="J47" s="136">
        <f>'LCI_AD-a'!$E4*'IW+_end'!F2</f>
        <v>1.234083364332369E-2</v>
      </c>
      <c r="K47" s="136">
        <f>'LCI_AD-a'!$E4*'IW+_end'!G2</f>
        <v>2.1439753416220663E-5</v>
      </c>
      <c r="L47" s="136">
        <f>'LCI_AD-a'!$E4*'IW+_end'!H2</f>
        <v>8.7015032149142414E-9</v>
      </c>
      <c r="M47" s="136">
        <f>'LCI_AD-a'!$E4*'IW+_end'!I2</f>
        <v>1.6596905236710246E-7</v>
      </c>
      <c r="N47" s="136">
        <f>'LCI_AD-a'!$E4*'IW+_end'!J2</f>
        <v>1.9676602640470916E-7</v>
      </c>
      <c r="O47" s="136">
        <f>'LCI_AD-a'!$E4*'IW+_end'!K2</f>
        <v>1.0474046667854858E-7</v>
      </c>
      <c r="P47" s="136">
        <f>'LCI_AD-a'!$E4*'IW+_end'!L2</f>
        <v>4.1389310905179983E-9</v>
      </c>
      <c r="Q47" s="136">
        <f>'LCI_AD-a'!$E4*'IW+_end'!M2</f>
        <v>1.2763337153218512E-7</v>
      </c>
      <c r="R47" s="136">
        <f>'LCI_AD-a'!$E4*'IW+_end'!N2</f>
        <v>1.6534106080479432E-2</v>
      </c>
      <c r="S47" s="136">
        <f>'LCI_AD-a'!$E4*'IW+_end'!O2</f>
        <v>1.1656841267618703E-2</v>
      </c>
      <c r="T47" s="136">
        <f>'LCI_AD-a'!$E4*'IW+_end'!P2</f>
        <v>0.10249049260823448</v>
      </c>
      <c r="U47" s="136">
        <f>'LCI_AD-a'!$E4*'IW+_end'!Q2</f>
        <v>1.1125576504552512E-2</v>
      </c>
      <c r="V47" s="136">
        <f>'LCI_AD-a'!$E4*'IW+_end'!R2</f>
        <v>9.6489525909131685E-7</v>
      </c>
      <c r="W47" s="136">
        <f>'LCI_AD-a'!$E4*'IW+_end'!S2</f>
        <v>2.6554776215088471E-7</v>
      </c>
      <c r="X47" s="136">
        <f>'LCI_AD-a'!$E4*'IW+_end'!T2</f>
        <v>6.7963986332143073E-4</v>
      </c>
      <c r="Y47" s="136">
        <f>'LCI_AD-a'!$E4*'IW+_end'!U2</f>
        <v>4.6233568878889853E-11</v>
      </c>
      <c r="Z47" s="136">
        <f>'LCI_AD-a'!$E4*'IW+_end'!V2</f>
        <v>3.7424948947123667E-7</v>
      </c>
      <c r="AA47" s="136">
        <f>'LCI_AD-a'!$E4*'IW+_end'!W2</f>
        <v>1.5755418847462184E-2</v>
      </c>
      <c r="AB47" s="136">
        <f>'LCI_AD-a'!$E4*'IW+_end'!X2</f>
        <v>1.5662117661554336E-9</v>
      </c>
      <c r="AC47" s="136">
        <f>'LCI_AD-a'!$E4*'IW+_end'!Y2</f>
        <v>3.4269056902659287E-2</v>
      </c>
      <c r="AD47" s="136">
        <f>'LCI_AD-a'!$E4*'IW+_end'!Z2</f>
        <v>3.5220034139757453E-2</v>
      </c>
      <c r="AE47" s="136">
        <f>'LCI_AD-a'!$E4*'IW+_end'!AA2</f>
        <v>9.6924933185072934E-3</v>
      </c>
      <c r="AF47" s="136">
        <f>'LCI_AD-a'!$E4*'IW+_end'!AB2</f>
        <v>1.9004186679781043E-3</v>
      </c>
      <c r="AG47" s="136">
        <f>'LCI_AD-a'!$E4*'IW+_end'!AC2</f>
        <v>0.5052956935927394</v>
      </c>
      <c r="AH47" s="136">
        <f>'LCI_AD-a'!$E4*'IW+_end'!AD2</f>
        <v>2.2125278087823061E-6</v>
      </c>
      <c r="AI47" s="136">
        <f>'LCI_AD-a'!$E4*'IW+_end'!AE2</f>
        <v>1.0093591977195651E-5</v>
      </c>
      <c r="AJ47" s="136">
        <f>'LCI_AD-a'!$E4*'IW+_end'!AF2</f>
        <v>1.2328554537785757E-6</v>
      </c>
      <c r="AK47" s="136">
        <f>'LCI_AD-a'!$E4*'IW+_end'!AG2</f>
        <v>1.4715139405635514E-5</v>
      </c>
    </row>
    <row r="48" spans="1:37" x14ac:dyDescent="0.35">
      <c r="A48" s="136"/>
      <c r="B48" s="136" t="s">
        <v>250</v>
      </c>
      <c r="C48" s="136" t="e">
        <f>'LCI_AD-a'!$E5*'IW+_end'!#REF!</f>
        <v>#REF!</v>
      </c>
      <c r="D48" s="136" t="e">
        <f>'LCI_AD-a'!$E5*'IW+_end'!#REF!</f>
        <v>#REF!</v>
      </c>
      <c r="E48" s="136" t="e">
        <f>'LCI_AD-a'!$E5*'IW+_end'!#REF!</f>
        <v>#REF!</v>
      </c>
      <c r="F48" s="136" t="e">
        <f>'LCI_AD-a'!$E5*'IW+_end'!#REF!</f>
        <v>#REF!</v>
      </c>
      <c r="G48" s="136">
        <f>'LCI_AD-a'!$E5*'IW+_end'!C3</f>
        <v>0</v>
      </c>
      <c r="H48" s="136">
        <f>'LCI_AD-a'!$E5*'IW+_end'!D3</f>
        <v>0</v>
      </c>
      <c r="I48" s="136">
        <f>'LCI_AD-a'!$E5*'IW+_end'!E3</f>
        <v>0</v>
      </c>
      <c r="J48" s="136">
        <f>'LCI_AD-a'!$E5*'IW+_end'!F3</f>
        <v>0</v>
      </c>
      <c r="K48" s="136">
        <f>'LCI_AD-a'!$E5*'IW+_end'!G3</f>
        <v>0</v>
      </c>
      <c r="L48" s="136">
        <f>'LCI_AD-a'!$E5*'IW+_end'!H3</f>
        <v>0</v>
      </c>
      <c r="M48" s="136">
        <f>'LCI_AD-a'!$E5*'IW+_end'!I3</f>
        <v>0</v>
      </c>
      <c r="N48" s="136">
        <f>'LCI_AD-a'!$E5*'IW+_end'!J3</f>
        <v>0</v>
      </c>
      <c r="O48" s="136">
        <f>'LCI_AD-a'!$E5*'IW+_end'!K3</f>
        <v>0</v>
      </c>
      <c r="P48" s="136">
        <f>'LCI_AD-a'!$E5*'IW+_end'!L3</f>
        <v>0</v>
      </c>
      <c r="Q48" s="136">
        <f>'LCI_AD-a'!$E5*'IW+_end'!M3</f>
        <v>0</v>
      </c>
      <c r="R48" s="136">
        <f>'LCI_AD-a'!$E5*'IW+_end'!N3</f>
        <v>0</v>
      </c>
      <c r="S48" s="136">
        <f>'LCI_AD-a'!$E5*'IW+_end'!O3</f>
        <v>0</v>
      </c>
      <c r="T48" s="136">
        <f>'LCI_AD-a'!$E5*'IW+_end'!P3</f>
        <v>0</v>
      </c>
      <c r="U48" s="136">
        <f>'LCI_AD-a'!$E5*'IW+_end'!Q3</f>
        <v>0</v>
      </c>
      <c r="V48" s="136">
        <f>'LCI_AD-a'!$E5*'IW+_end'!R3</f>
        <v>0</v>
      </c>
      <c r="W48" s="136">
        <f>'LCI_AD-a'!$E5*'IW+_end'!S3</f>
        <v>0</v>
      </c>
      <c r="X48" s="136">
        <f>'LCI_AD-a'!$E5*'IW+_end'!T3</f>
        <v>0</v>
      </c>
      <c r="Y48" s="136">
        <f>'LCI_AD-a'!$E5*'IW+_end'!U3</f>
        <v>0</v>
      </c>
      <c r="Z48" s="136">
        <f>'LCI_AD-a'!$E5*'IW+_end'!V3</f>
        <v>0</v>
      </c>
      <c r="AA48" s="136">
        <f>'LCI_AD-a'!$E5*'IW+_end'!W3</f>
        <v>0</v>
      </c>
      <c r="AB48" s="136">
        <f>'LCI_AD-a'!$E5*'IW+_end'!X3</f>
        <v>0</v>
      </c>
      <c r="AC48" s="136">
        <f>'LCI_AD-a'!$E5*'IW+_end'!Y3</f>
        <v>0</v>
      </c>
      <c r="AD48" s="136">
        <f>'LCI_AD-a'!$E5*'IW+_end'!Z3</f>
        <v>0</v>
      </c>
      <c r="AE48" s="136">
        <f>'LCI_AD-a'!$E5*'IW+_end'!AA3</f>
        <v>0</v>
      </c>
      <c r="AF48" s="136">
        <f>'LCI_AD-a'!$E5*'IW+_end'!AB3</f>
        <v>0</v>
      </c>
      <c r="AG48" s="136">
        <f>'LCI_AD-a'!$E5*'IW+_end'!AC3</f>
        <v>0</v>
      </c>
      <c r="AH48" s="136">
        <f>'LCI_AD-a'!$E5*'IW+_end'!AD3</f>
        <v>0</v>
      </c>
      <c r="AI48" s="136">
        <f>'LCI_AD-a'!$E5*'IW+_end'!AE3</f>
        <v>0</v>
      </c>
      <c r="AJ48" s="136">
        <f>'LCI_AD-a'!$E5*'IW+_end'!AF3</f>
        <v>0</v>
      </c>
      <c r="AK48" s="136">
        <f>'LCI_AD-a'!$E5*'IW+_end'!AG3</f>
        <v>0</v>
      </c>
    </row>
    <row r="49" spans="1:38" x14ac:dyDescent="0.35">
      <c r="A49" s="142" t="s">
        <v>235</v>
      </c>
      <c r="B49" s="136"/>
      <c r="C49" s="136"/>
      <c r="D49" s="136"/>
      <c r="E49" s="136"/>
      <c r="F49" s="136"/>
      <c r="G49" s="136"/>
      <c r="H49" s="136"/>
      <c r="I49" s="136"/>
      <c r="J49" s="136"/>
      <c r="K49" s="136"/>
      <c r="L49" s="136"/>
      <c r="M49" s="136"/>
      <c r="N49" s="136"/>
      <c r="O49" s="136"/>
      <c r="P49" s="136"/>
      <c r="Q49" s="136"/>
      <c r="R49" s="136"/>
      <c r="S49" s="136"/>
      <c r="T49" s="136"/>
      <c r="U49" s="136"/>
      <c r="V49" s="136"/>
      <c r="W49" s="136"/>
      <c r="X49" s="136"/>
      <c r="Y49" s="136"/>
      <c r="Z49" s="136"/>
      <c r="AA49" s="136"/>
      <c r="AB49" s="136"/>
      <c r="AC49" s="136"/>
      <c r="AD49" s="136"/>
      <c r="AE49" s="136"/>
      <c r="AF49" s="136"/>
      <c r="AG49" s="136"/>
      <c r="AH49" s="136"/>
      <c r="AI49" s="136"/>
      <c r="AJ49" s="136"/>
      <c r="AK49" s="136"/>
    </row>
    <row r="50" spans="1:38" x14ac:dyDescent="0.35">
      <c r="A50" s="136"/>
      <c r="B50" s="136" t="s">
        <v>286</v>
      </c>
      <c r="C50" s="144" t="e">
        <f>'LCI_AD-a'!$E7*'IW+_end'!#REF!</f>
        <v>#REF!</v>
      </c>
      <c r="D50" s="144" t="e">
        <f>'LCI_AD-a'!$E7*'IW+_end'!#REF!</f>
        <v>#REF!</v>
      </c>
      <c r="E50" s="144" t="e">
        <f>'LCI_AD-a'!$E7*'IW+_end'!#REF!</f>
        <v>#REF!</v>
      </c>
      <c r="F50" s="144" t="e">
        <f>'LCI_AD-a'!$E7*'IW+_end'!#REF!</f>
        <v>#REF!</v>
      </c>
      <c r="G50" s="144">
        <f>'LCI_AD-a'!$E7*'IW+_end'!C5</f>
        <v>3.4259653114390555E-19</v>
      </c>
      <c r="H50" s="144">
        <f>'LCI_AD-a'!$E7*'IW+_end'!D5</f>
        <v>1.9088748614477355E-3</v>
      </c>
      <c r="I50" s="144">
        <f>'LCI_AD-a'!$E7*'IW+_end'!E5</f>
        <v>2.1165975185515697E-2</v>
      </c>
      <c r="J50" s="144">
        <f>'LCI_AD-a'!$E7*'IW+_end'!F5</f>
        <v>7.7842440064621963E-3</v>
      </c>
      <c r="K50" s="144">
        <f>'LCI_AD-a'!$E7*'IW+_end'!G5</f>
        <v>1.2090234903629117E-5</v>
      </c>
      <c r="L50" s="144">
        <f>'LCI_AD-a'!$E7*'IW+_end'!H5</f>
        <v>1.3807900143766815E-9</v>
      </c>
      <c r="M50" s="144">
        <f>'LCI_AD-a'!$E7*'IW+_end'!I5</f>
        <v>7.8521018154124293E-8</v>
      </c>
      <c r="N50" s="144">
        <f>'LCI_AD-a'!$E7*'IW+_end'!J5</f>
        <v>5.1916740498462542E-8</v>
      </c>
      <c r="O50" s="144">
        <f>'LCI_AD-a'!$E7*'IW+_end'!K5</f>
        <v>3.4957298081958831E-8</v>
      </c>
      <c r="P50" s="144">
        <f>'LCI_AD-a'!$E7*'IW+_end'!L5</f>
        <v>1.6087202212299374E-11</v>
      </c>
      <c r="Q50" s="144">
        <f>'LCI_AD-a'!$E7*'IW+_end'!M5</f>
        <v>1.9821700798180701E-10</v>
      </c>
      <c r="R50" s="144">
        <f>'LCI_AD-a'!$E7*'IW+_end'!N5</f>
        <v>9.3882236600461508E-3</v>
      </c>
      <c r="S50" s="144">
        <f>'LCI_AD-a'!$E7*'IW+_end'!O5</f>
        <v>1.0847515163367839E-2</v>
      </c>
      <c r="T50" s="144">
        <f>'LCI_AD-a'!$E7*'IW+_end'!P5</f>
        <v>5.9340583237830792E-2</v>
      </c>
      <c r="U50" s="144">
        <f>'LCI_AD-a'!$E7*'IW+_end'!Q5</f>
        <v>6.4415394809225063E-3</v>
      </c>
      <c r="V50" s="144">
        <f>'LCI_AD-a'!$E7*'IW+_end'!R5</f>
        <v>2.2361093064658549E-8</v>
      </c>
      <c r="W50" s="144">
        <f>'LCI_AD-a'!$E7*'IW+_end'!S5</f>
        <v>1.8378519819012135E-8</v>
      </c>
      <c r="X50" s="144">
        <f>'LCI_AD-a'!$E7*'IW+_end'!T5</f>
        <v>4.9087972213900696E-4</v>
      </c>
      <c r="Y50" s="144">
        <f>'LCI_AD-a'!$E7*'IW+_end'!U5</f>
        <v>1.4130656214684504E-11</v>
      </c>
      <c r="Z50" s="144">
        <f>'LCI_AD-a'!$E7*'IW+_end'!V5</f>
        <v>2.3089230034193365E-7</v>
      </c>
      <c r="AA50" s="144">
        <f>'LCI_AD-a'!$E7*'IW+_end'!W5</f>
        <v>1.24610140420619E-2</v>
      </c>
      <c r="AB50" s="144">
        <f>'LCI_AD-a'!$E7*'IW+_end'!X5</f>
        <v>1.2166988717580699E-9</v>
      </c>
      <c r="AC50" s="144">
        <f>'LCI_AD-a'!$E7*'IW+_end'!Y5</f>
        <v>1.357355809150523E-2</v>
      </c>
      <c r="AD50" s="144">
        <f>'LCI_AD-a'!$E7*'IW+_end'!Z5</f>
        <v>8.1619861313748173E-4</v>
      </c>
      <c r="AE50" s="144">
        <f>'LCI_AD-a'!$E7*'IW+_end'!AA5</f>
        <v>6.7081597339394266E-4</v>
      </c>
      <c r="AF50" s="144">
        <f>'LCI_AD-a'!$E7*'IW+_end'!AB5</f>
        <v>1.5428172135718716E-5</v>
      </c>
      <c r="AG50" s="144">
        <f>'LCI_AD-a'!$E7*'IW+_end'!AC5</f>
        <v>0.1449237168411589</v>
      </c>
      <c r="AH50" s="144">
        <f>'LCI_AD-a'!$E7*'IW+_end'!AD5</f>
        <v>4.374991643569647E-7</v>
      </c>
      <c r="AI50" s="144">
        <f>'LCI_AD-a'!$E7*'IW+_end'!AE5</f>
        <v>3.14403300469906E-7</v>
      </c>
      <c r="AJ50" s="144">
        <f>'LCI_AD-a'!$E7*'IW+_end'!AF5</f>
        <v>3.8401970730154165E-8</v>
      </c>
      <c r="AK50" s="144">
        <f>'LCI_AD-a'!$E7*'IW+_end'!AG5</f>
        <v>6.4212372885133327E-6</v>
      </c>
      <c r="AL50" s="139"/>
    </row>
    <row r="51" spans="1:38" x14ac:dyDescent="0.35">
      <c r="A51" s="136"/>
      <c r="B51" s="136" t="s">
        <v>235</v>
      </c>
      <c r="C51" s="136" t="e">
        <f>'LCI_AD-a'!$E8*'IW+_end'!#REF!</f>
        <v>#REF!</v>
      </c>
      <c r="D51" s="136" t="e">
        <f>'LCI_AD-a'!$E8*'IW+_end'!#REF!</f>
        <v>#REF!</v>
      </c>
      <c r="E51" s="136" t="e">
        <f>'LCI_AD-a'!$E8*'IW+_end'!#REF!</f>
        <v>#REF!</v>
      </c>
      <c r="F51" s="136" t="e">
        <f>'LCI_AD-a'!$E8*'IW+_end'!#REF!</f>
        <v>#REF!</v>
      </c>
      <c r="G51" s="136">
        <f>'LCI_AD-a'!$E8*'IW+_end'!C4</f>
        <v>1.3417014761931066E-18</v>
      </c>
      <c r="H51" s="136">
        <f>'LCI_AD-a'!$E8*'IW+_end'!D4</f>
        <v>7.0661974280644954E-2</v>
      </c>
      <c r="I51" s="136">
        <f>'LCI_AD-a'!$E8*'IW+_end'!E4</f>
        <v>0.93416719125512804</v>
      </c>
      <c r="J51" s="136">
        <f>'LCI_AD-a'!$E8*'IW+_end'!F4</f>
        <v>0.11947233209536294</v>
      </c>
      <c r="K51" s="136">
        <f>'LCI_AD-a'!$E8*'IW+_end'!G4</f>
        <v>5.8252778621848689E-3</v>
      </c>
      <c r="L51" s="136">
        <f>'LCI_AD-a'!$E8*'IW+_end'!H4</f>
        <v>7.543227881230801E-8</v>
      </c>
      <c r="M51" s="136">
        <f>'LCI_AD-a'!$E8*'IW+_end'!I4</f>
        <v>9.2358423028085057E-6</v>
      </c>
      <c r="N51" s="136">
        <f>'LCI_AD-a'!$E8*'IW+_end'!J4</f>
        <v>2.0141902382323624E-6</v>
      </c>
      <c r="O51" s="136">
        <f>'LCI_AD-a'!$E8*'IW+_end'!K4</f>
        <v>2.073338334217323E-5</v>
      </c>
      <c r="P51" s="136">
        <f>'LCI_AD-a'!$E8*'IW+_end'!L4</f>
        <v>1.6721138820675336E-10</v>
      </c>
      <c r="Q51" s="136">
        <f>'LCI_AD-a'!$E8*'IW+_end'!M4</f>
        <v>2.5414819458518307E-9</v>
      </c>
      <c r="R51" s="136">
        <f>'LCI_AD-a'!$E8*'IW+_end'!N4</f>
        <v>0.10325709629067527</v>
      </c>
      <c r="S51" s="136">
        <f>'LCI_AD-a'!$E8*'IW+_end'!O4</f>
        <v>0.20192306813671582</v>
      </c>
      <c r="T51" s="136">
        <f>'LCI_AD-a'!$E8*'IW+_end'!P4</f>
        <v>0.81381304343515604</v>
      </c>
      <c r="U51" s="136">
        <f>'LCI_AD-a'!$E8*'IW+_end'!Q4</f>
        <v>8.8340903369667073E-2</v>
      </c>
      <c r="V51" s="136">
        <f>'LCI_AD-a'!$E8*'IW+_end'!R4</f>
        <v>4.1790110398157114E-7</v>
      </c>
      <c r="W51" s="136">
        <f>'LCI_AD-a'!$E8*'IW+_end'!S4</f>
        <v>9.1166986820938597E-7</v>
      </c>
      <c r="X51" s="136">
        <f>'LCI_AD-a'!$E8*'IW+_end'!T4</f>
        <v>3.6914893888666471E-2</v>
      </c>
      <c r="Y51" s="136">
        <f>'LCI_AD-a'!$E8*'IW+_end'!U4</f>
        <v>3.4271490621614475E-10</v>
      </c>
      <c r="Z51" s="136">
        <f>'LCI_AD-a'!$E8*'IW+_end'!V4</f>
        <v>8.8111435597395313E-6</v>
      </c>
      <c r="AA51" s="136">
        <f>'LCI_AD-a'!$E8*'IW+_end'!W4</f>
        <v>0.52310036021523809</v>
      </c>
      <c r="AB51" s="136">
        <f>'LCI_AD-a'!$E8*'IW+_end'!X4</f>
        <v>5.3982752056258097E-8</v>
      </c>
      <c r="AC51" s="136">
        <f>'LCI_AD-a'!$E8*'IW+_end'!Y4</f>
        <v>0.52930584039175488</v>
      </c>
      <c r="AD51" s="136">
        <f>'LCI_AD-a'!$E8*'IW+_end'!Z4</f>
        <v>1.5262636374080941E-2</v>
      </c>
      <c r="AE51" s="136">
        <f>'LCI_AD-a'!$E8*'IW+_end'!AA4</f>
        <v>3.3275950189642592E-2</v>
      </c>
      <c r="AF51" s="136">
        <f>'LCI_AD-a'!$E8*'IW+_end'!AB4</f>
        <v>3.8173633035694057E-4</v>
      </c>
      <c r="AG51" s="136">
        <f>'LCI_AD-a'!$E8*'IW+_end'!AC4</f>
        <v>3.4759974820656048</v>
      </c>
      <c r="AH51" s="136">
        <f>'LCI_AD-a'!$E8*'IW+_end'!AD4</f>
        <v>5.0697184643165686E-5</v>
      </c>
      <c r="AI51" s="136">
        <f>'LCI_AD-a'!$E8*'IW+_end'!AE4</f>
        <v>7.999127841649449E-5</v>
      </c>
      <c r="AJ51" s="136">
        <f>'LCI_AD-a'!$E8*'IW+_end'!AF4</f>
        <v>9.7703259724914291E-6</v>
      </c>
      <c r="AK51" s="136">
        <f>'LCI_AD-a'!$E8*'IW+_end'!AG4</f>
        <v>2.1385693372968594E-4</v>
      </c>
    </row>
    <row r="52" spans="1:38" x14ac:dyDescent="0.35">
      <c r="A52" s="142" t="s">
        <v>6</v>
      </c>
      <c r="B52" s="136"/>
      <c r="C52" s="136"/>
      <c r="D52" s="136"/>
      <c r="E52" s="136"/>
      <c r="F52" s="136"/>
      <c r="G52" s="136"/>
      <c r="H52" s="136"/>
      <c r="I52" s="136"/>
      <c r="J52" s="136"/>
      <c r="K52" s="136"/>
      <c r="L52" s="136"/>
      <c r="M52" s="136"/>
      <c r="N52" s="136"/>
      <c r="O52" s="136"/>
      <c r="P52" s="136"/>
      <c r="Q52" s="136"/>
      <c r="R52" s="136"/>
      <c r="S52" s="136"/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  <c r="AE52" s="136"/>
      <c r="AF52" s="136"/>
      <c r="AG52" s="136"/>
      <c r="AH52" s="136"/>
      <c r="AI52" s="136"/>
      <c r="AJ52" s="136"/>
      <c r="AK52" s="136"/>
    </row>
    <row r="53" spans="1:38" x14ac:dyDescent="0.35">
      <c r="A53" s="136"/>
      <c r="B53" s="136" t="s">
        <v>8</v>
      </c>
      <c r="C53" s="136" t="e">
        <f>'LCI_AD-a'!$E10*'IW+_end'!#REF!</f>
        <v>#REF!</v>
      </c>
      <c r="D53" s="136" t="e">
        <f>'LCI_AD-a'!$E10*'IW+_end'!#REF!</f>
        <v>#REF!</v>
      </c>
      <c r="E53" s="136" t="e">
        <f>'LCI_AD-a'!$E10*'IW+_end'!#REF!</f>
        <v>#REF!</v>
      </c>
      <c r="F53" s="136" t="e">
        <f>'LCI_AD-a'!$E10*'IW+_end'!#REF!</f>
        <v>#REF!</v>
      </c>
      <c r="G53" s="136">
        <f>'LCI_AD-a'!$E10*'IW+_end'!C2</f>
        <v>2.0146246273707774E-19</v>
      </c>
      <c r="H53" s="136">
        <f>'LCI_AD-a'!$E10*'IW+_end'!D2</f>
        <v>1.1619456849343674E-2</v>
      </c>
      <c r="I53" s="136">
        <f>'LCI_AD-a'!$E10*'IW+_end'!E2</f>
        <v>0.55576682166479929</v>
      </c>
      <c r="J53" s="136">
        <f>'LCI_AD-a'!$E10*'IW+_end'!F2</f>
        <v>2.7612306137817434E-2</v>
      </c>
      <c r="K53" s="136">
        <f>'LCI_AD-a'!$E10*'IW+_end'!G2</f>
        <v>4.7970911200822386E-5</v>
      </c>
      <c r="L53" s="136">
        <f>'LCI_AD-a'!$E10*'IW+_end'!H2</f>
        <v>1.9469395469843191E-8</v>
      </c>
      <c r="M53" s="136">
        <f>'LCI_AD-a'!$E10*'IW+_end'!I2</f>
        <v>3.7135159712999983E-7</v>
      </c>
      <c r="N53" s="136">
        <f>'LCI_AD-a'!$E10*'IW+_end'!J2</f>
        <v>4.4025905507185927E-7</v>
      </c>
      <c r="O53" s="136">
        <f>'LCI_AD-a'!$E10*'IW+_end'!K2</f>
        <v>2.3435417043406713E-7</v>
      </c>
      <c r="P53" s="136">
        <f>'LCI_AD-a'!$E10*'IW+_end'!L2</f>
        <v>9.2607546343954807E-9</v>
      </c>
      <c r="Q53" s="136">
        <f>'LCI_AD-a'!$E10*'IW+_end'!M2</f>
        <v>2.8557647157451842E-7</v>
      </c>
      <c r="R53" s="136">
        <f>'LCI_AD-a'!$E10*'IW+_end'!N2</f>
        <v>3.6994648174058696E-2</v>
      </c>
      <c r="S53" s="136">
        <f>'LCI_AD-a'!$E10*'IW+_end'!O2</f>
        <v>2.6081890331255075E-2</v>
      </c>
      <c r="T53" s="136">
        <f>'LCI_AD-a'!$E10*'IW+_end'!P2</f>
        <v>0.22931990981381525</v>
      </c>
      <c r="U53" s="136">
        <f>'LCI_AD-a'!$E10*'IW+_end'!Q2</f>
        <v>2.4893198732130022E-2</v>
      </c>
      <c r="V53" s="136">
        <f>'LCI_AD-a'!$E10*'IW+_end'!R2</f>
        <v>2.1589289714938985E-6</v>
      </c>
      <c r="W53" s="136">
        <f>'LCI_AD-a'!$E10*'IW+_end'!S2</f>
        <v>5.9415646581455464E-7</v>
      </c>
      <c r="X53" s="136">
        <f>'LCI_AD-a'!$E10*'IW+_end'!T2</f>
        <v>1.5206771691350248E-3</v>
      </c>
      <c r="Y53" s="136">
        <f>'LCI_AD-a'!$E10*'IW+_end'!U2</f>
        <v>1.0344645221098301E-10</v>
      </c>
      <c r="Z53" s="136">
        <f>'LCI_AD-a'!$E10*'IW+_end'!V2</f>
        <v>8.3737385770468086E-7</v>
      </c>
      <c r="AA53" s="136">
        <f>'LCI_AD-a'!$E10*'IW+_end'!W2</f>
        <v>3.5252354996375815E-2</v>
      </c>
      <c r="AB53" s="136">
        <f>'LCI_AD-a'!$E10*'IW+_end'!X2</f>
        <v>3.5043595930111055E-9</v>
      </c>
      <c r="AC53" s="136">
        <f>'LCI_AD-a'!$E10*'IW+_end'!Y2</f>
        <v>7.6676156376390969E-2</v>
      </c>
      <c r="AD53" s="136">
        <f>'LCI_AD-a'!$E10*'IW+_end'!Z2</f>
        <v>7.8803944122323041E-2</v>
      </c>
      <c r="AE53" s="136">
        <f>'LCI_AD-a'!$E10*'IW+_end'!AA2</f>
        <v>2.1686711002231247E-2</v>
      </c>
      <c r="AF53" s="136">
        <f>'LCI_AD-a'!$E10*'IW+_end'!AB2</f>
        <v>4.2521391639229527E-3</v>
      </c>
      <c r="AG53" s="136">
        <f>'LCI_AD-a'!$E10*'IW+_end'!AC2</f>
        <v>1.1305864567059991</v>
      </c>
      <c r="AH53" s="136">
        <f>'LCI_AD-a'!$E10*'IW+_end'!AD2</f>
        <v>4.950475548107104E-6</v>
      </c>
      <c r="AI53" s="136">
        <f>'LCI_AD-a'!$E10*'IW+_end'!AE2</f>
        <v>2.258415920348486E-5</v>
      </c>
      <c r="AJ53" s="136">
        <f>'LCI_AD-a'!$E10*'IW+_end'!AF2</f>
        <v>2.7584831946769133E-6</v>
      </c>
      <c r="AK53" s="136">
        <f>'LCI_AD-a'!$E10*'IW+_end'!AG2</f>
        <v>3.2924755804392892E-5</v>
      </c>
    </row>
    <row r="54" spans="1:38" x14ac:dyDescent="0.35">
      <c r="A54" s="136"/>
      <c r="B54" s="136" t="s">
        <v>18</v>
      </c>
      <c r="C54" s="136" t="e">
        <f>'LCI_AD-a'!$E11*'IW+_end'!#REF!</f>
        <v>#REF!</v>
      </c>
      <c r="D54" s="136" t="e">
        <f>'LCI_AD-a'!$E11*'IW+_end'!#REF!</f>
        <v>#REF!</v>
      </c>
      <c r="E54" s="136" t="e">
        <f>'LCI_AD-a'!$E11*'IW+_end'!#REF!</f>
        <v>#REF!</v>
      </c>
      <c r="F54" s="136" t="e">
        <f>'LCI_AD-a'!$E11*'IW+_end'!#REF!</f>
        <v>#REF!</v>
      </c>
      <c r="G54" s="136">
        <f>'LCI_AD-a'!$E11*'IW+_end'!C11</f>
        <v>2.7159126165986591E-17</v>
      </c>
      <c r="H54" s="136">
        <f>'LCI_AD-a'!$E11*'IW+_end'!D11</f>
        <v>3.9384429899939365E-2</v>
      </c>
      <c r="I54" s="136">
        <f>'LCI_AD-a'!$E11*'IW+_end'!E11</f>
        <v>1.1164091774138278</v>
      </c>
      <c r="J54" s="136">
        <f>'LCI_AD-a'!$E11*'IW+_end'!F11</f>
        <v>0.14465944541327941</v>
      </c>
      <c r="K54" s="136">
        <f>'LCI_AD-a'!$E11*'IW+_end'!G11</f>
        <v>5.9732092169600232E-4</v>
      </c>
      <c r="L54" s="136">
        <f>'LCI_AD-a'!$E11*'IW+_end'!H11</f>
        <v>2.4810764281290643E-8</v>
      </c>
      <c r="M54" s="136">
        <f>'LCI_AD-a'!$E11*'IW+_end'!I11</f>
        <v>9.5025968432804083E-7</v>
      </c>
      <c r="N54" s="136">
        <f>'LCI_AD-a'!$E11*'IW+_end'!J11</f>
        <v>8.8695954394508445E-7</v>
      </c>
      <c r="O54" s="136">
        <f>'LCI_AD-a'!$E11*'IW+_end'!K11</f>
        <v>6.3949866864703821E-7</v>
      </c>
      <c r="P54" s="136">
        <f>'LCI_AD-a'!$E11*'IW+_end'!L11</f>
        <v>3.4244674996023721E-10</v>
      </c>
      <c r="Q54" s="136">
        <f>'LCI_AD-a'!$E11*'IW+_end'!M11</f>
        <v>5.640495591874525E-9</v>
      </c>
      <c r="R54" s="136">
        <f>'LCI_AD-a'!$E11*'IW+_end'!N11</f>
        <v>1.2522888650153385</v>
      </c>
      <c r="S54" s="136">
        <f>'LCI_AD-a'!$E11*'IW+_end'!O11</f>
        <v>0.22236732164114079</v>
      </c>
      <c r="T54" s="136">
        <f>'LCI_AD-a'!$E11*'IW+_end'!P11</f>
        <v>1.2993103391764373</v>
      </c>
      <c r="U54" s="136">
        <f>'LCI_AD-a'!$E11*'IW+_end'!Q11</f>
        <v>0.1410432154146555</v>
      </c>
      <c r="V54" s="136">
        <f>'LCI_AD-a'!$E11*'IW+_end'!R11</f>
        <v>4.8995566111538829E-6</v>
      </c>
      <c r="W54" s="136">
        <f>'LCI_AD-a'!$E11*'IW+_end'!S11</f>
        <v>3.1636932996387812E-6</v>
      </c>
      <c r="X54" s="136">
        <f>'LCI_AD-a'!$E11*'IW+_end'!T11</f>
        <v>8.7941767587420248E-3</v>
      </c>
      <c r="Y54" s="136">
        <f>'LCI_AD-a'!$E11*'IW+_end'!U11</f>
        <v>5.5520031014139023E-10</v>
      </c>
      <c r="Z54" s="136">
        <f>'LCI_AD-a'!$E11*'IW+_end'!V11</f>
        <v>4.2239854117750112E-5</v>
      </c>
      <c r="AA54" s="136">
        <f>'LCI_AD-a'!$E11*'IW+_end'!W11</f>
        <v>0.30103279985134818</v>
      </c>
      <c r="AB54" s="136">
        <f>'LCI_AD-a'!$E11*'IW+_end'!X11</f>
        <v>3.0275729153819333E-8</v>
      </c>
      <c r="AC54" s="136">
        <f>'LCI_AD-a'!$E11*'IW+_end'!Y11</f>
        <v>0.29460585077001711</v>
      </c>
      <c r="AD54" s="136">
        <f>'LCI_AD-a'!$E11*'IW+_end'!Z11</f>
        <v>0.17883454948602154</v>
      </c>
      <c r="AE54" s="136">
        <f>'LCI_AD-a'!$E11*'IW+_end'!AA11</f>
        <v>0.11547480543681553</v>
      </c>
      <c r="AF54" s="136">
        <f>'LCI_AD-a'!$E11*'IW+_end'!AB11</f>
        <v>4.3393968358153263E-4</v>
      </c>
      <c r="AG54" s="136">
        <f>'LCI_AD-a'!$E11*'IW+_end'!AC11</f>
        <v>5.1153930044438809</v>
      </c>
      <c r="AH54" s="136">
        <f>'LCI_AD-a'!$E11*'IW+_end'!AD11</f>
        <v>4.6235202174172931E-5</v>
      </c>
      <c r="AI54" s="136">
        <f>'LCI_AD-a'!$E11*'IW+_end'!AE11</f>
        <v>1.1931549424189578E-5</v>
      </c>
      <c r="AJ54" s="136">
        <f>'LCI_AD-a'!$E11*'IW+_end'!AF11</f>
        <v>1.4573479701655237E-6</v>
      </c>
      <c r="AK54" s="136">
        <f>'LCI_AD-a'!$E11*'IW+_end'!AG11</f>
        <v>1.367724192572127E-4</v>
      </c>
    </row>
    <row r="55" spans="1:38" x14ac:dyDescent="0.35">
      <c r="A55" s="136"/>
      <c r="B55" s="136" t="s">
        <v>96</v>
      </c>
      <c r="C55" s="136" t="e">
        <f>'LCI_AD-a'!$E12*'IW+_end'!#REF!</f>
        <v>#REF!</v>
      </c>
      <c r="D55" s="136" t="e">
        <f>'LCI_AD-a'!$E12*'IW+_end'!#REF!</f>
        <v>#REF!</v>
      </c>
      <c r="E55" s="136" t="e">
        <f>'LCI_AD-a'!$E12*'IW+_end'!#REF!</f>
        <v>#REF!</v>
      </c>
      <c r="F55" s="136" t="e">
        <f>'LCI_AD-a'!$E12*'IW+_end'!#REF!</f>
        <v>#REF!</v>
      </c>
      <c r="G55" s="136">
        <f>'LCI_AD-a'!$E12*'IW+_end'!C12</f>
        <v>0</v>
      </c>
      <c r="H55" s="136">
        <f>'LCI_AD-a'!$E12*'IW+_end'!D12</f>
        <v>0</v>
      </c>
      <c r="I55" s="136">
        <f>'LCI_AD-a'!$E12*'IW+_end'!E12</f>
        <v>0</v>
      </c>
      <c r="J55" s="136">
        <f>'LCI_AD-a'!$E12*'IW+_end'!F12</f>
        <v>0</v>
      </c>
      <c r="K55" s="136">
        <f>'LCI_AD-a'!$E12*'IW+_end'!G12</f>
        <v>0</v>
      </c>
      <c r="L55" s="136">
        <f>'LCI_AD-a'!$E12*'IW+_end'!H12</f>
        <v>0</v>
      </c>
      <c r="M55" s="136">
        <f>'LCI_AD-a'!$E12*'IW+_end'!I12</f>
        <v>0</v>
      </c>
      <c r="N55" s="136">
        <f>'LCI_AD-a'!$E12*'IW+_end'!J12</f>
        <v>0</v>
      </c>
      <c r="O55" s="136">
        <f>'LCI_AD-a'!$E12*'IW+_end'!K12</f>
        <v>0</v>
      </c>
      <c r="P55" s="136">
        <f>'LCI_AD-a'!$E12*'IW+_end'!L12</f>
        <v>0</v>
      </c>
      <c r="Q55" s="136">
        <f>'LCI_AD-a'!$E12*'IW+_end'!M12</f>
        <v>0</v>
      </c>
      <c r="R55" s="136">
        <f>'LCI_AD-a'!$E12*'IW+_end'!N12</f>
        <v>0</v>
      </c>
      <c r="S55" s="136">
        <f>'LCI_AD-a'!$E12*'IW+_end'!O12</f>
        <v>0</v>
      </c>
      <c r="T55" s="136">
        <f>'LCI_AD-a'!$E12*'IW+_end'!P12</f>
        <v>0</v>
      </c>
      <c r="U55" s="136">
        <f>'LCI_AD-a'!$E12*'IW+_end'!Q12</f>
        <v>0</v>
      </c>
      <c r="V55" s="136">
        <f>'LCI_AD-a'!$E12*'IW+_end'!R12</f>
        <v>0</v>
      </c>
      <c r="W55" s="136">
        <f>'LCI_AD-a'!$E12*'IW+_end'!S12</f>
        <v>0</v>
      </c>
      <c r="X55" s="136">
        <f>'LCI_AD-a'!$E12*'IW+_end'!T12</f>
        <v>0</v>
      </c>
      <c r="Y55" s="136">
        <f>'LCI_AD-a'!$E12*'IW+_end'!U12</f>
        <v>0</v>
      </c>
      <c r="Z55" s="136">
        <f>'LCI_AD-a'!$E12*'IW+_end'!V12</f>
        <v>0</v>
      </c>
      <c r="AA55" s="136">
        <f>'LCI_AD-a'!$E12*'IW+_end'!W12</f>
        <v>0</v>
      </c>
      <c r="AB55" s="136">
        <f>'LCI_AD-a'!$E12*'IW+_end'!X12</f>
        <v>0</v>
      </c>
      <c r="AC55" s="136">
        <f>'LCI_AD-a'!$E12*'IW+_end'!Y12</f>
        <v>0</v>
      </c>
      <c r="AD55" s="136">
        <f>'LCI_AD-a'!$E12*'IW+_end'!Z12</f>
        <v>0</v>
      </c>
      <c r="AE55" s="136">
        <f>'LCI_AD-a'!$E12*'IW+_end'!AA12</f>
        <v>0</v>
      </c>
      <c r="AF55" s="136">
        <f>'LCI_AD-a'!$E12*'IW+_end'!AB12</f>
        <v>0</v>
      </c>
      <c r="AG55" s="136">
        <f>'LCI_AD-a'!$E12*'IW+_end'!AC12</f>
        <v>0</v>
      </c>
      <c r="AH55" s="136">
        <f>'LCI_AD-a'!$E12*'IW+_end'!AD12</f>
        <v>0</v>
      </c>
      <c r="AI55" s="136">
        <f>'LCI_AD-a'!$E12*'IW+_end'!AE12</f>
        <v>0</v>
      </c>
      <c r="AJ55" s="136">
        <f>'LCI_AD-a'!$E12*'IW+_end'!AF12</f>
        <v>0</v>
      </c>
      <c r="AK55" s="136">
        <f>'LCI_AD-a'!$E12*'IW+_end'!AG12</f>
        <v>0</v>
      </c>
    </row>
    <row r="56" spans="1:38" x14ac:dyDescent="0.35">
      <c r="A56" s="141" t="s">
        <v>7</v>
      </c>
      <c r="B56" s="136"/>
      <c r="C56" s="136"/>
      <c r="D56" s="136"/>
      <c r="E56" s="136"/>
      <c r="F56" s="136"/>
      <c r="G56" s="136"/>
      <c r="H56" s="136"/>
      <c r="I56" s="136"/>
      <c r="J56" s="136"/>
      <c r="K56" s="136"/>
      <c r="L56" s="136"/>
      <c r="M56" s="136"/>
      <c r="N56" s="136"/>
      <c r="O56" s="136"/>
      <c r="P56" s="136"/>
      <c r="Q56" s="136"/>
      <c r="R56" s="136"/>
      <c r="S56" s="136"/>
      <c r="T56" s="136"/>
      <c r="U56" s="136"/>
      <c r="V56" s="136"/>
      <c r="W56" s="136"/>
      <c r="X56" s="136"/>
      <c r="Y56" s="136"/>
      <c r="Z56" s="136"/>
      <c r="AA56" s="136"/>
      <c r="AB56" s="136"/>
      <c r="AC56" s="136"/>
      <c r="AD56" s="136"/>
      <c r="AE56" s="136"/>
      <c r="AF56" s="136"/>
      <c r="AG56" s="136"/>
      <c r="AH56" s="136"/>
      <c r="AI56" s="136"/>
      <c r="AJ56" s="136"/>
      <c r="AK56" s="136"/>
    </row>
    <row r="57" spans="1:38" x14ac:dyDescent="0.35">
      <c r="A57" s="136"/>
      <c r="B57" s="136" t="s">
        <v>50</v>
      </c>
      <c r="C57" s="136" t="e">
        <f>'LCI_AD-a'!$E16*'IW+_end'!#REF!</f>
        <v>#REF!</v>
      </c>
      <c r="D57" s="136" t="e">
        <f>'LCI_AD-a'!$E16*'IW+_end'!#REF!</f>
        <v>#REF!</v>
      </c>
      <c r="E57" s="136" t="e">
        <f>'LCI_AD-a'!$E16*'IW+_end'!#REF!</f>
        <v>#REF!</v>
      </c>
      <c r="F57" s="136" t="e">
        <f>'LCI_AD-a'!$E16*'IW+_end'!#REF!</f>
        <v>#REF!</v>
      </c>
      <c r="G57" s="136">
        <f>'LCI_AD-a'!$E16*'IW+_end'!C13</f>
        <v>0</v>
      </c>
      <c r="H57" s="136">
        <f>'LCI_AD-a'!$E16*'IW+_end'!D13</f>
        <v>2.9345112064544088E-2</v>
      </c>
      <c r="I57" s="136">
        <f>'LCI_AD-a'!$E16*'IW+_end'!E13</f>
        <v>0</v>
      </c>
      <c r="J57" s="136">
        <f>'LCI_AD-a'!$E16*'IW+_end'!F13</f>
        <v>0</v>
      </c>
      <c r="K57" s="136">
        <f>'LCI_AD-a'!$E16*'IW+_end'!G13</f>
        <v>0</v>
      </c>
      <c r="L57" s="136">
        <f>'LCI_AD-a'!$E16*'IW+_end'!H13</f>
        <v>0</v>
      </c>
      <c r="M57" s="136">
        <f>'LCI_AD-a'!$E16*'IW+_end'!I13</f>
        <v>0</v>
      </c>
      <c r="N57" s="136">
        <f>'LCI_AD-a'!$E16*'IW+_end'!J13</f>
        <v>0</v>
      </c>
      <c r="O57" s="136">
        <f>'LCI_AD-a'!$E16*'IW+_end'!K13</f>
        <v>0</v>
      </c>
      <c r="P57" s="136">
        <f>'LCI_AD-a'!$E16*'IW+_end'!L13</f>
        <v>0</v>
      </c>
      <c r="Q57" s="136">
        <f>'LCI_AD-a'!$E16*'IW+_end'!M13</f>
        <v>0</v>
      </c>
      <c r="R57" s="136">
        <f>'LCI_AD-a'!$E16*'IW+_end'!N13</f>
        <v>0</v>
      </c>
      <c r="S57" s="136">
        <f>'LCI_AD-a'!$E16*'IW+_end'!O13</f>
        <v>0</v>
      </c>
      <c r="T57" s="136">
        <f>'LCI_AD-a'!$E16*'IW+_end'!P13</f>
        <v>0</v>
      </c>
      <c r="U57" s="136">
        <f>'LCI_AD-a'!$E16*'IW+_end'!Q13</f>
        <v>0</v>
      </c>
      <c r="V57" s="136">
        <f>'LCI_AD-a'!$E16*'IW+_end'!R13</f>
        <v>0</v>
      </c>
      <c r="W57" s="136">
        <f>'LCI_AD-a'!$E16*'IW+_end'!S13</f>
        <v>0</v>
      </c>
      <c r="X57" s="136">
        <f>'LCI_AD-a'!$E16*'IW+_end'!T13</f>
        <v>9.6680276587565762E-3</v>
      </c>
      <c r="Y57" s="136">
        <f>'LCI_AD-a'!$E16*'IW+_end'!U13</f>
        <v>0</v>
      </c>
      <c r="Z57" s="136">
        <f>'LCI_AD-a'!$E16*'IW+_end'!V13</f>
        <v>6.8968264850586225E-7</v>
      </c>
      <c r="AA57" s="136">
        <f>'LCI_AD-a'!$E16*'IW+_end'!W13</f>
        <v>0.32004521004312952</v>
      </c>
      <c r="AB57" s="136">
        <f>'LCI_AD-a'!$E16*'IW+_end'!X13</f>
        <v>3.341371231675092E-8</v>
      </c>
      <c r="AC57" s="136">
        <f>'LCI_AD-a'!$E16*'IW+_end'!Y13</f>
        <v>0.24065465076169715</v>
      </c>
      <c r="AD57" s="136">
        <f>'LCI_AD-a'!$E16*'IW+_end'!Z13</f>
        <v>0</v>
      </c>
      <c r="AE57" s="136">
        <f>'LCI_AD-a'!$E16*'IW+_end'!AA13</f>
        <v>0</v>
      </c>
      <c r="AF57" s="136">
        <f>'LCI_AD-a'!$E16*'IW+_end'!AB13</f>
        <v>0</v>
      </c>
      <c r="AG57" s="136">
        <f>'LCI_AD-a'!$E16*'IW+_end'!AC13</f>
        <v>0.59971300052812737</v>
      </c>
      <c r="AH57" s="136">
        <f>'LCI_AD-a'!$E16*'IW+_end'!AD13</f>
        <v>7.2309636082261313E-7</v>
      </c>
      <c r="AI57" s="136">
        <f>'LCI_AD-a'!$E16*'IW+_end'!AE13</f>
        <v>0</v>
      </c>
      <c r="AJ57" s="136">
        <f>'LCI_AD-a'!$E16*'IW+_end'!AF13</f>
        <v>0</v>
      </c>
      <c r="AK57" s="136">
        <f>'LCI_AD-a'!$E16*'IW+_end'!AG13</f>
        <v>0</v>
      </c>
    </row>
    <row r="58" spans="1:38" x14ac:dyDescent="0.35">
      <c r="A58" s="136"/>
      <c r="B58" s="136" t="s">
        <v>51</v>
      </c>
      <c r="C58" s="136" t="e">
        <f>'LCI_AD-a'!$E17*'IW+_end'!#REF!</f>
        <v>#REF!</v>
      </c>
      <c r="D58" s="136" t="e">
        <f>'LCI_AD-a'!$E17*'IW+_end'!#REF!</f>
        <v>#REF!</v>
      </c>
      <c r="E58" s="136" t="e">
        <f>'LCI_AD-a'!$E17*'IW+_end'!#REF!</f>
        <v>#REF!</v>
      </c>
      <c r="F58" s="136" t="e">
        <f>'LCI_AD-a'!$E17*'IW+_end'!#REF!</f>
        <v>#REF!</v>
      </c>
      <c r="G58" s="136">
        <f>'LCI_AD-a'!$E17*'IW+_end'!C14</f>
        <v>0</v>
      </c>
      <c r="H58" s="136">
        <f>'LCI_AD-a'!$E17*'IW+_end'!D14</f>
        <v>0</v>
      </c>
      <c r="I58" s="136">
        <f>'LCI_AD-a'!$E17*'IW+_end'!E14</f>
        <v>0</v>
      </c>
      <c r="J58" s="136">
        <f>'LCI_AD-a'!$E17*'IW+_end'!F14</f>
        <v>0</v>
      </c>
      <c r="K58" s="136">
        <f>'LCI_AD-a'!$E17*'IW+_end'!G14</f>
        <v>0</v>
      </c>
      <c r="L58" s="136">
        <f>'LCI_AD-a'!$E17*'IW+_end'!H14</f>
        <v>0</v>
      </c>
      <c r="M58" s="136">
        <f>'LCI_AD-a'!$E17*'IW+_end'!I14</f>
        <v>0</v>
      </c>
      <c r="N58" s="136">
        <f>'LCI_AD-a'!$E17*'IW+_end'!J14</f>
        <v>0</v>
      </c>
      <c r="O58" s="136">
        <f>'LCI_AD-a'!$E17*'IW+_end'!K14</f>
        <v>0</v>
      </c>
      <c r="P58" s="136">
        <f>'LCI_AD-a'!$E17*'IW+_end'!L14</f>
        <v>0</v>
      </c>
      <c r="Q58" s="136">
        <f>'LCI_AD-a'!$E17*'IW+_end'!M14</f>
        <v>0</v>
      </c>
      <c r="R58" s="136">
        <f>'LCI_AD-a'!$E17*'IW+_end'!N14</f>
        <v>0</v>
      </c>
      <c r="S58" s="136">
        <f>'LCI_AD-a'!$E17*'IW+_end'!O14</f>
        <v>0</v>
      </c>
      <c r="T58" s="136">
        <f>'LCI_AD-a'!$E17*'IW+_end'!P14</f>
        <v>0</v>
      </c>
      <c r="U58" s="136">
        <f>'LCI_AD-a'!$E17*'IW+_end'!Q14</f>
        <v>0</v>
      </c>
      <c r="V58" s="136">
        <f>'LCI_AD-a'!$E17*'IW+_end'!R14</f>
        <v>0</v>
      </c>
      <c r="W58" s="136">
        <f>'LCI_AD-a'!$E17*'IW+_end'!S14</f>
        <v>0</v>
      </c>
      <c r="X58" s="136">
        <f>'LCI_AD-a'!$E17*'IW+_end'!T14</f>
        <v>0</v>
      </c>
      <c r="Y58" s="136">
        <f>'LCI_AD-a'!$E17*'IW+_end'!U14</f>
        <v>0</v>
      </c>
      <c r="Z58" s="136">
        <f>'LCI_AD-a'!$E17*'IW+_end'!V14</f>
        <v>0</v>
      </c>
      <c r="AA58" s="136">
        <f>'LCI_AD-a'!$E17*'IW+_end'!W14</f>
        <v>0</v>
      </c>
      <c r="AB58" s="136">
        <f>'LCI_AD-a'!$E17*'IW+_end'!X14</f>
        <v>0</v>
      </c>
      <c r="AC58" s="136">
        <f>'LCI_AD-a'!$E17*'IW+_end'!Y14</f>
        <v>0</v>
      </c>
      <c r="AD58" s="136">
        <f>'LCI_AD-a'!$E17*'IW+_end'!Z14</f>
        <v>0</v>
      </c>
      <c r="AE58" s="136">
        <f>'LCI_AD-a'!$E17*'IW+_end'!AA14</f>
        <v>0</v>
      </c>
      <c r="AF58" s="136">
        <f>'LCI_AD-a'!$E17*'IW+_end'!AB14</f>
        <v>0</v>
      </c>
      <c r="AG58" s="136">
        <f>'LCI_AD-a'!$E17*'IW+_end'!AC14</f>
        <v>0</v>
      </c>
      <c r="AH58" s="136">
        <f>'LCI_AD-a'!$E17*'IW+_end'!AD14</f>
        <v>0</v>
      </c>
      <c r="AI58" s="136">
        <f>'LCI_AD-a'!$E17*'IW+_end'!AE14</f>
        <v>0</v>
      </c>
      <c r="AJ58" s="136">
        <f>'LCI_AD-a'!$E17*'IW+_end'!AF14</f>
        <v>0</v>
      </c>
      <c r="AK58" s="136">
        <f>'LCI_AD-a'!$E17*'IW+_end'!AG14</f>
        <v>0</v>
      </c>
    </row>
    <row r="59" spans="1:38" x14ac:dyDescent="0.35">
      <c r="A59" s="136"/>
      <c r="B59" s="136" t="s">
        <v>52</v>
      </c>
      <c r="C59" s="136" t="e">
        <f>'LCI_AD-a'!$E18*'IW+_end'!#REF!</f>
        <v>#REF!</v>
      </c>
      <c r="D59" s="136" t="e">
        <f>'LCI_AD-a'!$E18*'IW+_end'!#REF!</f>
        <v>#REF!</v>
      </c>
      <c r="E59" s="136" t="e">
        <f>'LCI_AD-a'!$E18*'IW+_end'!#REF!</f>
        <v>#REF!</v>
      </c>
      <c r="F59" s="136" t="e">
        <f>'LCI_AD-a'!$E18*'IW+_end'!#REF!</f>
        <v>#REF!</v>
      </c>
      <c r="G59" s="136">
        <f>'LCI_AD-a'!$E18*'IW+_end'!C15</f>
        <v>0</v>
      </c>
      <c r="H59" s="136">
        <f>'LCI_AD-a'!$E18*'IW+_end'!D15</f>
        <v>7.5301896698104316E-3</v>
      </c>
      <c r="I59" s="136">
        <f>'LCI_AD-a'!$E18*'IW+_end'!E15</f>
        <v>0</v>
      </c>
      <c r="J59" s="136">
        <f>'LCI_AD-a'!$E18*'IW+_end'!F15</f>
        <v>0</v>
      </c>
      <c r="K59" s="136">
        <f>'LCI_AD-a'!$E18*'IW+_end'!G15</f>
        <v>0</v>
      </c>
      <c r="L59" s="136">
        <f>'LCI_AD-a'!$E18*'IW+_end'!H15</f>
        <v>0</v>
      </c>
      <c r="M59" s="136">
        <f>'LCI_AD-a'!$E18*'IW+_end'!I15</f>
        <v>0</v>
      </c>
      <c r="N59" s="136">
        <f>'LCI_AD-a'!$E18*'IW+_end'!J15</f>
        <v>0</v>
      </c>
      <c r="O59" s="136">
        <f>'LCI_AD-a'!$E18*'IW+_end'!K15</f>
        <v>0</v>
      </c>
      <c r="P59" s="136">
        <f>'LCI_AD-a'!$E18*'IW+_end'!L15</f>
        <v>0</v>
      </c>
      <c r="Q59" s="136">
        <f>'LCI_AD-a'!$E18*'IW+_end'!M15</f>
        <v>0</v>
      </c>
      <c r="R59" s="136">
        <f>'LCI_AD-a'!$E18*'IW+_end'!N15</f>
        <v>0</v>
      </c>
      <c r="S59" s="136">
        <f>'LCI_AD-a'!$E18*'IW+_end'!O15</f>
        <v>0</v>
      </c>
      <c r="T59" s="136">
        <f>'LCI_AD-a'!$E18*'IW+_end'!P15</f>
        <v>0</v>
      </c>
      <c r="U59" s="136">
        <f>'LCI_AD-a'!$E18*'IW+_end'!Q15</f>
        <v>0</v>
      </c>
      <c r="V59" s="136">
        <f>'LCI_AD-a'!$E18*'IW+_end'!R15</f>
        <v>0</v>
      </c>
      <c r="W59" s="136">
        <f>'LCI_AD-a'!$E18*'IW+_end'!S15</f>
        <v>0</v>
      </c>
      <c r="X59" s="136">
        <f>'LCI_AD-a'!$E18*'IW+_end'!T15</f>
        <v>0</v>
      </c>
      <c r="Y59" s="136">
        <f>'LCI_AD-a'!$E18*'IW+_end'!U15</f>
        <v>0</v>
      </c>
      <c r="Z59" s="136">
        <f>'LCI_AD-a'!$E18*'IW+_end'!V15</f>
        <v>2.9229407484295913E-7</v>
      </c>
      <c r="AA59" s="136">
        <f>'LCI_AD-a'!$E18*'IW+_end'!W15</f>
        <v>0</v>
      </c>
      <c r="AB59" s="136">
        <f>'LCI_AD-a'!$E18*'IW+_end'!X15</f>
        <v>0</v>
      </c>
      <c r="AC59" s="136">
        <f>'LCI_AD-a'!$E18*'IW+_end'!Y15</f>
        <v>4.4870051656323025E-2</v>
      </c>
      <c r="AD59" s="136">
        <f>'LCI_AD-a'!$E18*'IW+_end'!Z15</f>
        <v>0</v>
      </c>
      <c r="AE59" s="136">
        <f>'LCI_AD-a'!$E18*'IW+_end'!AA15</f>
        <v>0</v>
      </c>
      <c r="AF59" s="136">
        <f>'LCI_AD-a'!$E18*'IW+_end'!AB15</f>
        <v>0</v>
      </c>
      <c r="AG59" s="136">
        <f>'LCI_AD-a'!$E18*'IW+_end'!AC15</f>
        <v>5.2400241326133461E-2</v>
      </c>
      <c r="AH59" s="136">
        <f>'LCI_AD-a'!$E18*'IW+_end'!AD15</f>
        <v>2.9229407484295913E-7</v>
      </c>
      <c r="AI59" s="136">
        <f>'LCI_AD-a'!$E18*'IW+_end'!AE15</f>
        <v>0</v>
      </c>
      <c r="AJ59" s="136">
        <f>'LCI_AD-a'!$E18*'IW+_end'!AF15</f>
        <v>0</v>
      </c>
      <c r="AK59" s="136">
        <f>'LCI_AD-a'!$E18*'IW+_end'!AG15</f>
        <v>0</v>
      </c>
    </row>
    <row r="60" spans="1:38" x14ac:dyDescent="0.35">
      <c r="A60" s="136"/>
      <c r="B60" s="136" t="s">
        <v>53</v>
      </c>
      <c r="C60" s="136" t="e">
        <f>'LCI_AD-a'!$E19*'IW+_end'!#REF!</f>
        <v>#REF!</v>
      </c>
      <c r="D60" s="136" t="e">
        <f>'LCI_AD-a'!$E19*'IW+_end'!#REF!</f>
        <v>#REF!</v>
      </c>
      <c r="E60" s="136" t="e">
        <f>'LCI_AD-a'!$E19*'IW+_end'!#REF!</f>
        <v>#REF!</v>
      </c>
      <c r="F60" s="136" t="e">
        <f>'LCI_AD-a'!$E19*'IW+_end'!#REF!</f>
        <v>#REF!</v>
      </c>
      <c r="G60" s="136">
        <f>'LCI_AD-a'!$E19*'IW+_end'!C22</f>
        <v>0</v>
      </c>
      <c r="H60" s="136">
        <f>'LCI_AD-a'!$E19*'IW+_end'!D22</f>
        <v>0</v>
      </c>
      <c r="I60" s="136">
        <f>'LCI_AD-a'!$E19*'IW+_end'!E22</f>
        <v>0</v>
      </c>
      <c r="J60" s="136">
        <f>'LCI_AD-a'!$E19*'IW+_end'!F22</f>
        <v>0</v>
      </c>
      <c r="K60" s="136">
        <f>'LCI_AD-a'!$E19*'IW+_end'!G22</f>
        <v>0</v>
      </c>
      <c r="L60" s="136">
        <f>'LCI_AD-a'!$E19*'IW+_end'!H22</f>
        <v>0</v>
      </c>
      <c r="M60" s="136">
        <f>'LCI_AD-a'!$E19*'IW+_end'!I22</f>
        <v>0</v>
      </c>
      <c r="N60" s="136">
        <f>'LCI_AD-a'!$E19*'IW+_end'!J22</f>
        <v>0</v>
      </c>
      <c r="O60" s="136">
        <f>'LCI_AD-a'!$E19*'IW+_end'!K22</f>
        <v>0</v>
      </c>
      <c r="P60" s="136">
        <f>'LCI_AD-a'!$E19*'IW+_end'!L22</f>
        <v>0</v>
      </c>
      <c r="Q60" s="136">
        <f>'LCI_AD-a'!$E19*'IW+_end'!M22</f>
        <v>0</v>
      </c>
      <c r="R60" s="136">
        <f>'LCI_AD-a'!$E19*'IW+_end'!N22</f>
        <v>0</v>
      </c>
      <c r="S60" s="136">
        <f>'LCI_AD-a'!$E19*'IW+_end'!O22</f>
        <v>0</v>
      </c>
      <c r="T60" s="136">
        <f>'LCI_AD-a'!$E19*'IW+_end'!P22</f>
        <v>0</v>
      </c>
      <c r="U60" s="136">
        <f>'LCI_AD-a'!$E19*'IW+_end'!Q22</f>
        <v>0</v>
      </c>
      <c r="V60" s="136">
        <f>'LCI_AD-a'!$E19*'IW+_end'!R22</f>
        <v>0</v>
      </c>
      <c r="W60" s="136">
        <f>'LCI_AD-a'!$E19*'IW+_end'!S22</f>
        <v>0</v>
      </c>
      <c r="X60" s="136">
        <f>'LCI_AD-a'!$E19*'IW+_end'!T22</f>
        <v>0</v>
      </c>
      <c r="Y60" s="136">
        <f>'LCI_AD-a'!$E19*'IW+_end'!U22</f>
        <v>0</v>
      </c>
      <c r="Z60" s="136">
        <f>'LCI_AD-a'!$E19*'IW+_end'!V22</f>
        <v>1.0521444232463526E-5</v>
      </c>
      <c r="AA60" s="136">
        <f>'LCI_AD-a'!$E19*'IW+_end'!W22</f>
        <v>0</v>
      </c>
      <c r="AB60" s="136">
        <f>'LCI_AD-a'!$E19*'IW+_end'!X22</f>
        <v>0</v>
      </c>
      <c r="AC60" s="136">
        <f>'LCI_AD-a'!$E19*'IW+_end'!Y22</f>
        <v>0</v>
      </c>
      <c r="AD60" s="136">
        <f>'LCI_AD-a'!$E19*'IW+_end'!Z22</f>
        <v>0</v>
      </c>
      <c r="AE60" s="136">
        <f>'LCI_AD-a'!$E19*'IW+_end'!AA22</f>
        <v>0</v>
      </c>
      <c r="AF60" s="136">
        <f>'LCI_AD-a'!$E19*'IW+_end'!AB22</f>
        <v>0</v>
      </c>
      <c r="AG60" s="136">
        <f>'LCI_AD-a'!$E19*'IW+_end'!AC22</f>
        <v>0</v>
      </c>
      <c r="AH60" s="136">
        <f>'LCI_AD-a'!$E19*'IW+_end'!AD22</f>
        <v>1.0521444232463526E-5</v>
      </c>
      <c r="AI60" s="136">
        <f>'LCI_AD-a'!$E19*'IW+_end'!AE22</f>
        <v>0</v>
      </c>
      <c r="AJ60" s="136">
        <f>'LCI_AD-a'!$E19*'IW+_end'!AF22</f>
        <v>0</v>
      </c>
      <c r="AK60" s="136">
        <f>'LCI_AD-a'!$E19*'IW+_end'!AG22</f>
        <v>0</v>
      </c>
    </row>
    <row r="61" spans="1:38" x14ac:dyDescent="0.35">
      <c r="A61" s="136"/>
      <c r="B61" s="136" t="s">
        <v>54</v>
      </c>
      <c r="C61" s="136" t="e">
        <f>'LCI_AD-a'!$E20*'IW+_end'!#REF!</f>
        <v>#REF!</v>
      </c>
      <c r="D61" s="136" t="e">
        <f>'LCI_AD-a'!$E20*'IW+_end'!#REF!</f>
        <v>#REF!</v>
      </c>
      <c r="E61" s="136" t="e">
        <f>'LCI_AD-a'!$E20*'IW+_end'!#REF!</f>
        <v>#REF!</v>
      </c>
      <c r="F61" s="136" t="e">
        <f>'LCI_AD-a'!$E20*'IW+_end'!#REF!</f>
        <v>#REF!</v>
      </c>
      <c r="G61" s="136">
        <f>'LCI_AD-a'!$E20*'IW+_end'!C17</f>
        <v>0</v>
      </c>
      <c r="H61" s="136">
        <f>'LCI_AD-a'!$E20*'IW+_end'!D17</f>
        <v>0</v>
      </c>
      <c r="I61" s="136">
        <f>'LCI_AD-a'!$E20*'IW+_end'!E17</f>
        <v>0</v>
      </c>
      <c r="J61" s="136">
        <f>'LCI_AD-a'!$E20*'IW+_end'!F17</f>
        <v>0</v>
      </c>
      <c r="K61" s="136">
        <f>'LCI_AD-a'!$E20*'IW+_end'!G17</f>
        <v>0</v>
      </c>
      <c r="L61" s="136">
        <f>'LCI_AD-a'!$E20*'IW+_end'!H17</f>
        <v>0</v>
      </c>
      <c r="M61" s="136">
        <f>'LCI_AD-a'!$E20*'IW+_end'!I17</f>
        <v>0</v>
      </c>
      <c r="N61" s="136">
        <f>'LCI_AD-a'!$E20*'IW+_end'!J17</f>
        <v>0</v>
      </c>
      <c r="O61" s="136">
        <f>'LCI_AD-a'!$E20*'IW+_end'!K17</f>
        <v>0</v>
      </c>
      <c r="P61" s="136">
        <f>'LCI_AD-a'!$E20*'IW+_end'!L17</f>
        <v>0</v>
      </c>
      <c r="Q61" s="136">
        <f>'LCI_AD-a'!$E20*'IW+_end'!M17</f>
        <v>0</v>
      </c>
      <c r="R61" s="136">
        <f>'LCI_AD-a'!$E20*'IW+_end'!N17</f>
        <v>0</v>
      </c>
      <c r="S61" s="136">
        <f>'LCI_AD-a'!$E20*'IW+_end'!O17</f>
        <v>0</v>
      </c>
      <c r="T61" s="136">
        <f>'LCI_AD-a'!$E20*'IW+_end'!P17</f>
        <v>0</v>
      </c>
      <c r="U61" s="136">
        <f>'LCI_AD-a'!$E20*'IW+_end'!Q17</f>
        <v>0</v>
      </c>
      <c r="V61" s="136">
        <f>'LCI_AD-a'!$E20*'IW+_end'!R17</f>
        <v>0</v>
      </c>
      <c r="W61" s="136">
        <f>'LCI_AD-a'!$E20*'IW+_end'!S17</f>
        <v>0</v>
      </c>
      <c r="X61" s="136">
        <f>'LCI_AD-a'!$E20*'IW+_end'!T17</f>
        <v>0</v>
      </c>
      <c r="Y61" s="136">
        <f>'LCI_AD-a'!$E20*'IW+_end'!U17</f>
        <v>0</v>
      </c>
      <c r="Z61" s="136">
        <f>'LCI_AD-a'!$E20*'IW+_end'!V17</f>
        <v>0</v>
      </c>
      <c r="AA61" s="136">
        <f>'LCI_AD-a'!$E20*'IW+_end'!W17</f>
        <v>0</v>
      </c>
      <c r="AB61" s="136">
        <f>'LCI_AD-a'!$E20*'IW+_end'!X17</f>
        <v>0</v>
      </c>
      <c r="AC61" s="136">
        <f>'LCI_AD-a'!$E20*'IW+_end'!Y17</f>
        <v>0</v>
      </c>
      <c r="AD61" s="136">
        <f>'LCI_AD-a'!$E20*'IW+_end'!Z17</f>
        <v>0</v>
      </c>
      <c r="AE61" s="136">
        <f>'LCI_AD-a'!$E20*'IW+_end'!AA17</f>
        <v>0</v>
      </c>
      <c r="AF61" s="136">
        <f>'LCI_AD-a'!$E20*'IW+_end'!AB17</f>
        <v>0</v>
      </c>
      <c r="AG61" s="136">
        <f>'LCI_AD-a'!$E20*'IW+_end'!AC17</f>
        <v>0</v>
      </c>
      <c r="AH61" s="136">
        <f>'LCI_AD-a'!$E20*'IW+_end'!AD17</f>
        <v>0</v>
      </c>
      <c r="AI61" s="136">
        <f>'LCI_AD-a'!$E20*'IW+_end'!AE17</f>
        <v>0</v>
      </c>
      <c r="AJ61" s="136">
        <f>'LCI_AD-a'!$E20*'IW+_end'!AF17</f>
        <v>0</v>
      </c>
      <c r="AK61" s="136">
        <f>'LCI_AD-a'!$E20*'IW+_end'!AG17</f>
        <v>0</v>
      </c>
    </row>
    <row r="62" spans="1:38" x14ac:dyDescent="0.35">
      <c r="A62" s="136"/>
      <c r="B62" s="136" t="s">
        <v>55</v>
      </c>
      <c r="C62" s="136" t="e">
        <f>'LCI_AD-a'!$E21*'IW+_end'!#REF!</f>
        <v>#REF!</v>
      </c>
      <c r="D62" s="136" t="e">
        <f>'LCI_AD-a'!$E21*'IW+_end'!#REF!</f>
        <v>#REF!</v>
      </c>
      <c r="E62" s="136" t="e">
        <f>'LCI_AD-a'!$E21*'IW+_end'!#REF!</f>
        <v>#REF!</v>
      </c>
      <c r="F62" s="136" t="e">
        <f>'LCI_AD-a'!$E21*'IW+_end'!#REF!</f>
        <v>#REF!</v>
      </c>
      <c r="G62" s="136">
        <f>'LCI_AD-a'!$E21*'IW+_end'!C18</f>
        <v>0</v>
      </c>
      <c r="H62" s="136">
        <f>'LCI_AD-a'!$E21*'IW+_end'!D18</f>
        <v>2.64775553315998E-2</v>
      </c>
      <c r="I62" s="136">
        <f>'LCI_AD-a'!$E21*'IW+_end'!E18</f>
        <v>0</v>
      </c>
      <c r="J62" s="136">
        <f>'LCI_AD-a'!$E21*'IW+_end'!F18</f>
        <v>0</v>
      </c>
      <c r="K62" s="136">
        <f>'LCI_AD-a'!$E21*'IW+_end'!G18</f>
        <v>0</v>
      </c>
      <c r="L62" s="136">
        <f>'LCI_AD-a'!$E21*'IW+_end'!H18</f>
        <v>0</v>
      </c>
      <c r="M62" s="136">
        <f>'LCI_AD-a'!$E21*'IW+_end'!I18</f>
        <v>0</v>
      </c>
      <c r="N62" s="136">
        <f>'LCI_AD-a'!$E21*'IW+_end'!J18</f>
        <v>0</v>
      </c>
      <c r="O62" s="136">
        <f>'LCI_AD-a'!$E21*'IW+_end'!K18</f>
        <v>0</v>
      </c>
      <c r="P62" s="136">
        <f>'LCI_AD-a'!$E21*'IW+_end'!L18</f>
        <v>0</v>
      </c>
      <c r="Q62" s="136">
        <f>'LCI_AD-a'!$E21*'IW+_end'!M18</f>
        <v>0</v>
      </c>
      <c r="R62" s="136">
        <f>'LCI_AD-a'!$E21*'IW+_end'!N18</f>
        <v>0</v>
      </c>
      <c r="S62" s="136">
        <f>'LCI_AD-a'!$E21*'IW+_end'!O18</f>
        <v>0</v>
      </c>
      <c r="T62" s="136">
        <f>'LCI_AD-a'!$E21*'IW+_end'!P18</f>
        <v>0</v>
      </c>
      <c r="U62" s="136">
        <f>'LCI_AD-a'!$E21*'IW+_end'!Q18</f>
        <v>0</v>
      </c>
      <c r="V62" s="136">
        <f>'LCI_AD-a'!$E21*'IW+_end'!R18</f>
        <v>0</v>
      </c>
      <c r="W62" s="136">
        <f>'LCI_AD-a'!$E21*'IW+_end'!S18</f>
        <v>0</v>
      </c>
      <c r="X62" s="136">
        <f>'LCI_AD-a'!$E21*'IW+_end'!T18</f>
        <v>1.0164650294236277E-2</v>
      </c>
      <c r="Y62" s="136">
        <f>'LCI_AD-a'!$E21*'IW+_end'!U18</f>
        <v>0</v>
      </c>
      <c r="Z62" s="136">
        <f>'LCI_AD-a'!$E21*'IW+_end'!V18</f>
        <v>2.5434328360242584E-6</v>
      </c>
      <c r="AA62" s="136">
        <f>'LCI_AD-a'!$E21*'IW+_end'!W18</f>
        <v>0</v>
      </c>
      <c r="AB62" s="136">
        <f>'LCI_AD-a'!$E21*'IW+_end'!X18</f>
        <v>0</v>
      </c>
      <c r="AC62" s="136">
        <f>'LCI_AD-a'!$E21*'IW+_end'!Y18</f>
        <v>0.3413663755755999</v>
      </c>
      <c r="AD62" s="136">
        <f>'LCI_AD-a'!$E21*'IW+_end'!Z18</f>
        <v>0</v>
      </c>
      <c r="AE62" s="136">
        <f>'LCI_AD-a'!$E21*'IW+_end'!AA18</f>
        <v>0</v>
      </c>
      <c r="AF62" s="136">
        <f>'LCI_AD-a'!$E21*'IW+_end'!AB18</f>
        <v>0</v>
      </c>
      <c r="AG62" s="136">
        <f>'LCI_AD-a'!$E21*'IW+_end'!AC18</f>
        <v>0.37800858120143599</v>
      </c>
      <c r="AH62" s="136">
        <f>'LCI_AD-a'!$E21*'IW+_end'!AD18</f>
        <v>2.5434328360242584E-6</v>
      </c>
      <c r="AI62" s="136">
        <f>'LCI_AD-a'!$E21*'IW+_end'!AE18</f>
        <v>0</v>
      </c>
      <c r="AJ62" s="136">
        <f>'LCI_AD-a'!$E21*'IW+_end'!AF18</f>
        <v>0</v>
      </c>
      <c r="AK62" s="136">
        <f>'LCI_AD-a'!$E21*'IW+_end'!AG18</f>
        <v>0</v>
      </c>
    </row>
    <row r="63" spans="1:38" x14ac:dyDescent="0.35">
      <c r="A63" s="136"/>
      <c r="B63" s="136" t="s">
        <v>58</v>
      </c>
      <c r="C63" s="136" t="e">
        <f>'LCI_AD-a'!$E22*'IW+_end'!#REF!</f>
        <v>#REF!</v>
      </c>
      <c r="D63" s="136" t="e">
        <f>'LCI_AD-a'!$E22*'IW+_end'!#REF!</f>
        <v>#REF!</v>
      </c>
      <c r="E63" s="136" t="e">
        <f>'LCI_AD-a'!$E22*'IW+_end'!#REF!</f>
        <v>#REF!</v>
      </c>
      <c r="F63" s="136" t="e">
        <f>'LCI_AD-a'!$E22*'IW+_end'!#REF!</f>
        <v>#REF!</v>
      </c>
      <c r="G63" s="136">
        <f>'LCI_AD-a'!$E22*'IW+_end'!C12</f>
        <v>0</v>
      </c>
      <c r="H63" s="136">
        <f>'LCI_AD-a'!$E22*'IW+_end'!D12</f>
        <v>0</v>
      </c>
      <c r="I63" s="136">
        <f>'LCI_AD-a'!$E22*'IW+_end'!E12</f>
        <v>0</v>
      </c>
      <c r="J63" s="136">
        <f>'LCI_AD-a'!$E22*'IW+_end'!F12</f>
        <v>0</v>
      </c>
      <c r="K63" s="136">
        <f>'LCI_AD-a'!$E22*'IW+_end'!G12</f>
        <v>0</v>
      </c>
      <c r="L63" s="136">
        <f>'LCI_AD-a'!$E22*'IW+_end'!H12</f>
        <v>0</v>
      </c>
      <c r="M63" s="136">
        <f>'LCI_AD-a'!$E22*'IW+_end'!I12</f>
        <v>0</v>
      </c>
      <c r="N63" s="136">
        <f>'LCI_AD-a'!$E22*'IW+_end'!J12</f>
        <v>0</v>
      </c>
      <c r="O63" s="136">
        <f>'LCI_AD-a'!$E22*'IW+_end'!K12</f>
        <v>0</v>
      </c>
      <c r="P63" s="136">
        <f>'LCI_AD-a'!$E22*'IW+_end'!L12</f>
        <v>0</v>
      </c>
      <c r="Q63" s="136">
        <f>'LCI_AD-a'!$E22*'IW+_end'!M12</f>
        <v>0</v>
      </c>
      <c r="R63" s="136">
        <f>'LCI_AD-a'!$E22*'IW+_end'!N12</f>
        <v>0</v>
      </c>
      <c r="S63" s="136">
        <f>'LCI_AD-a'!$E22*'IW+_end'!O12</f>
        <v>0</v>
      </c>
      <c r="T63" s="136">
        <f>'LCI_AD-a'!$E22*'IW+_end'!P12</f>
        <v>0</v>
      </c>
      <c r="U63" s="136">
        <f>'LCI_AD-a'!$E22*'IW+_end'!Q12</f>
        <v>0</v>
      </c>
      <c r="V63" s="136">
        <f>'LCI_AD-a'!$E22*'IW+_end'!R12</f>
        <v>0</v>
      </c>
      <c r="W63" s="136">
        <f>'LCI_AD-a'!$E22*'IW+_end'!S12</f>
        <v>0</v>
      </c>
      <c r="X63" s="136">
        <f>'LCI_AD-a'!$E22*'IW+_end'!T12</f>
        <v>0</v>
      </c>
      <c r="Y63" s="136">
        <f>'LCI_AD-a'!$E22*'IW+_end'!U12</f>
        <v>0</v>
      </c>
      <c r="Z63" s="136">
        <f>'LCI_AD-a'!$E22*'IW+_end'!V12</f>
        <v>0</v>
      </c>
      <c r="AA63" s="136">
        <f>'LCI_AD-a'!$E22*'IW+_end'!W12</f>
        <v>0</v>
      </c>
      <c r="AB63" s="136">
        <f>'LCI_AD-a'!$E22*'IW+_end'!X12</f>
        <v>0</v>
      </c>
      <c r="AC63" s="136">
        <f>'LCI_AD-a'!$E22*'IW+_end'!Y12</f>
        <v>0</v>
      </c>
      <c r="AD63" s="136">
        <f>'LCI_AD-a'!$E22*'IW+_end'!Z12</f>
        <v>0</v>
      </c>
      <c r="AE63" s="136">
        <f>'LCI_AD-a'!$E22*'IW+_end'!AA12</f>
        <v>0</v>
      </c>
      <c r="AF63" s="136">
        <f>'LCI_AD-a'!$E22*'IW+_end'!AB12</f>
        <v>0</v>
      </c>
      <c r="AG63" s="136">
        <f>'LCI_AD-a'!$E22*'IW+_end'!AC12</f>
        <v>0</v>
      </c>
      <c r="AH63" s="136">
        <f>'LCI_AD-a'!$E22*'IW+_end'!AD12</f>
        <v>0</v>
      </c>
      <c r="AI63" s="136">
        <f>'LCI_AD-a'!$E22*'IW+_end'!AE12</f>
        <v>0</v>
      </c>
      <c r="AJ63" s="136">
        <f>'LCI_AD-a'!$E22*'IW+_end'!AF12</f>
        <v>0</v>
      </c>
      <c r="AK63" s="136">
        <f>'LCI_AD-a'!$E22*'IW+_end'!AG12</f>
        <v>0</v>
      </c>
    </row>
    <row r="64" spans="1:38" x14ac:dyDescent="0.35">
      <c r="A64" s="136"/>
      <c r="B64" s="136" t="s">
        <v>59</v>
      </c>
      <c r="C64" s="136" t="e">
        <f>'LCI_AD-a'!$E23*'IW+_end'!#REF!</f>
        <v>#REF!</v>
      </c>
      <c r="D64" s="136" t="e">
        <f>'LCI_AD-a'!$E23*'IW+_end'!#REF!</f>
        <v>#REF!</v>
      </c>
      <c r="E64" s="136" t="e">
        <f>'LCI_AD-a'!$E23*'IW+_end'!#REF!</f>
        <v>#REF!</v>
      </c>
      <c r="F64" s="136" t="e">
        <f>'LCI_AD-a'!$E23*'IW+_end'!#REF!</f>
        <v>#REF!</v>
      </c>
      <c r="G64" s="136">
        <f>'LCI_AD-a'!$E23*'IW+_end'!C20</f>
        <v>0</v>
      </c>
      <c r="H64" s="136">
        <f>'LCI_AD-a'!$E23*'IW+_end'!D20</f>
        <v>0</v>
      </c>
      <c r="I64" s="136">
        <f>'LCI_AD-a'!$E23*'IW+_end'!E20</f>
        <v>0</v>
      </c>
      <c r="J64" s="136">
        <f>'LCI_AD-a'!$E23*'IW+_end'!F20</f>
        <v>0</v>
      </c>
      <c r="K64" s="136">
        <f>'LCI_AD-a'!$E23*'IW+_end'!G20</f>
        <v>0</v>
      </c>
      <c r="L64" s="136">
        <f>'LCI_AD-a'!$E23*'IW+_end'!H20</f>
        <v>0</v>
      </c>
      <c r="M64" s="136">
        <f>'LCI_AD-a'!$E23*'IW+_end'!I20</f>
        <v>0</v>
      </c>
      <c r="N64" s="136">
        <f>'LCI_AD-a'!$E23*'IW+_end'!J20</f>
        <v>0</v>
      </c>
      <c r="O64" s="136">
        <f>'LCI_AD-a'!$E23*'IW+_end'!K20</f>
        <v>0</v>
      </c>
      <c r="P64" s="136">
        <f>'LCI_AD-a'!$E23*'IW+_end'!L20</f>
        <v>0</v>
      </c>
      <c r="Q64" s="136">
        <f>'LCI_AD-a'!$E23*'IW+_end'!M20</f>
        <v>0</v>
      </c>
      <c r="R64" s="136">
        <f>'LCI_AD-a'!$E23*'IW+_end'!N20</f>
        <v>0</v>
      </c>
      <c r="S64" s="136">
        <f>'LCI_AD-a'!$E23*'IW+_end'!O20</f>
        <v>0</v>
      </c>
      <c r="T64" s="136">
        <f>'LCI_AD-a'!$E23*'IW+_end'!P20</f>
        <v>0</v>
      </c>
      <c r="U64" s="136">
        <f>'LCI_AD-a'!$E23*'IW+_end'!Q20</f>
        <v>0</v>
      </c>
      <c r="V64" s="136">
        <f>'LCI_AD-a'!$E23*'IW+_end'!R20</f>
        <v>0</v>
      </c>
      <c r="W64" s="136">
        <f>'LCI_AD-a'!$E23*'IW+_end'!S20</f>
        <v>0</v>
      </c>
      <c r="X64" s="136">
        <f>'LCI_AD-a'!$E23*'IW+_end'!T20</f>
        <v>0</v>
      </c>
      <c r="Y64" s="136">
        <f>'LCI_AD-a'!$E23*'IW+_end'!U20</f>
        <v>0</v>
      </c>
      <c r="Z64" s="136">
        <f>'LCI_AD-a'!$E23*'IW+_end'!V20</f>
        <v>0</v>
      </c>
      <c r="AA64" s="136">
        <f>'LCI_AD-a'!$E23*'IW+_end'!W20</f>
        <v>0</v>
      </c>
      <c r="AB64" s="136">
        <f>'LCI_AD-a'!$E23*'IW+_end'!X20</f>
        <v>0</v>
      </c>
      <c r="AC64" s="136">
        <f>'LCI_AD-a'!$E23*'IW+_end'!Y20</f>
        <v>0</v>
      </c>
      <c r="AD64" s="136">
        <f>'LCI_AD-a'!$E23*'IW+_end'!Z20</f>
        <v>0</v>
      </c>
      <c r="AE64" s="136">
        <f>'LCI_AD-a'!$E23*'IW+_end'!AA20</f>
        <v>0</v>
      </c>
      <c r="AF64" s="136">
        <f>'LCI_AD-a'!$E23*'IW+_end'!AB20</f>
        <v>0</v>
      </c>
      <c r="AG64" s="136">
        <f>'LCI_AD-a'!$E23*'IW+_end'!AC20</f>
        <v>0</v>
      </c>
      <c r="AH64" s="136">
        <f>'LCI_AD-a'!$E23*'IW+_end'!AD20</f>
        <v>0</v>
      </c>
      <c r="AI64" s="136">
        <f>'LCI_AD-a'!$E23*'IW+_end'!AE20</f>
        <v>0</v>
      </c>
      <c r="AJ64" s="136">
        <f>'LCI_AD-a'!$E23*'IW+_end'!AF20</f>
        <v>0</v>
      </c>
      <c r="AK64" s="136">
        <f>'LCI_AD-a'!$E23*'IW+_end'!AG20</f>
        <v>0</v>
      </c>
    </row>
    <row r="65" spans="1:41" x14ac:dyDescent="0.35">
      <c r="A65" s="141" t="s">
        <v>100</v>
      </c>
      <c r="B65" s="136"/>
      <c r="C65" s="136"/>
      <c r="D65" s="136"/>
      <c r="E65" s="136"/>
      <c r="F65" s="136"/>
      <c r="G65" s="136"/>
      <c r="H65" s="136"/>
      <c r="I65" s="136"/>
      <c r="J65" s="136"/>
      <c r="K65" s="136"/>
      <c r="L65" s="136"/>
      <c r="M65" s="136"/>
      <c r="N65" s="136"/>
      <c r="O65" s="136"/>
      <c r="P65" s="136"/>
      <c r="Q65" s="136"/>
      <c r="R65" s="136"/>
      <c r="S65" s="136"/>
      <c r="T65" s="136"/>
      <c r="U65" s="136"/>
      <c r="V65" s="136"/>
      <c r="W65" s="136"/>
      <c r="X65" s="136"/>
      <c r="Y65" s="136"/>
      <c r="Z65" s="136"/>
      <c r="AA65" s="136"/>
      <c r="AB65" s="136"/>
      <c r="AC65" s="136"/>
      <c r="AD65" s="136"/>
      <c r="AE65" s="136"/>
      <c r="AF65" s="136"/>
      <c r="AG65" s="136"/>
      <c r="AH65" s="136"/>
      <c r="AI65" s="136"/>
      <c r="AJ65" s="136"/>
      <c r="AK65" s="136"/>
    </row>
    <row r="66" spans="1:41" x14ac:dyDescent="0.35">
      <c r="A66" s="136"/>
      <c r="B66" s="136" t="s">
        <v>96</v>
      </c>
      <c r="C66" s="136" t="e">
        <f>'LCI_AD-a'!$E27*'IW+_end'!#REF!</f>
        <v>#REF!</v>
      </c>
      <c r="D66" s="136" t="e">
        <f>'LCI_AD-a'!$E27*'IW+_end'!#REF!</f>
        <v>#REF!</v>
      </c>
      <c r="E66" s="136" t="e">
        <f>'LCI_AD-a'!$E27*'IW+_end'!#REF!</f>
        <v>#REF!</v>
      </c>
      <c r="F66" s="136" t="e">
        <f>'LCI_AD-a'!$E27*'IW+_end'!#REF!</f>
        <v>#REF!</v>
      </c>
      <c r="G66" s="136">
        <f>'LCI_AD-a'!$E27*'IW+_end'!C12</f>
        <v>0</v>
      </c>
      <c r="H66" s="136">
        <f>'LCI_AD-a'!$E27*'IW+_end'!D12</f>
        <v>0</v>
      </c>
      <c r="I66" s="136">
        <f>'LCI_AD-a'!$E27*'IW+_end'!E12</f>
        <v>0</v>
      </c>
      <c r="J66" s="136">
        <f>'LCI_AD-a'!$E27*'IW+_end'!F12</f>
        <v>0</v>
      </c>
      <c r="K66" s="136">
        <f>'LCI_AD-a'!$E27*'IW+_end'!G12</f>
        <v>0</v>
      </c>
      <c r="L66" s="136">
        <f>'LCI_AD-a'!$E27*'IW+_end'!H12</f>
        <v>0</v>
      </c>
      <c r="M66" s="136">
        <f>'LCI_AD-a'!$E27*'IW+_end'!I12</f>
        <v>0</v>
      </c>
      <c r="N66" s="136">
        <f>'LCI_AD-a'!$E27*'IW+_end'!J12</f>
        <v>0</v>
      </c>
      <c r="O66" s="136">
        <f>'LCI_AD-a'!$E27*'IW+_end'!K12</f>
        <v>0</v>
      </c>
      <c r="P66" s="136">
        <f>'LCI_AD-a'!$E27*'IW+_end'!L12</f>
        <v>0</v>
      </c>
      <c r="Q66" s="136">
        <f>'LCI_AD-a'!$E27*'IW+_end'!M12</f>
        <v>0</v>
      </c>
      <c r="R66" s="136">
        <f>'LCI_AD-a'!$E27*'IW+_end'!N12</f>
        <v>0</v>
      </c>
      <c r="S66" s="136">
        <f>'LCI_AD-a'!$E27*'IW+_end'!O12</f>
        <v>0</v>
      </c>
      <c r="T66" s="136">
        <f>'LCI_AD-a'!$E27*'IW+_end'!P12</f>
        <v>0</v>
      </c>
      <c r="U66" s="136">
        <f>'LCI_AD-a'!$E27*'IW+_end'!Q12</f>
        <v>0</v>
      </c>
      <c r="V66" s="136">
        <f>'LCI_AD-a'!$E27*'IW+_end'!R12</f>
        <v>0</v>
      </c>
      <c r="W66" s="136">
        <f>'LCI_AD-a'!$E27*'IW+_end'!S12</f>
        <v>0</v>
      </c>
      <c r="X66" s="136">
        <f>'LCI_AD-a'!$E27*'IW+_end'!T12</f>
        <v>0</v>
      </c>
      <c r="Y66" s="136">
        <f>'LCI_AD-a'!$E27*'IW+_end'!U12</f>
        <v>0</v>
      </c>
      <c r="Z66" s="136">
        <f>'LCI_AD-a'!$E27*'IW+_end'!V12</f>
        <v>0</v>
      </c>
      <c r="AA66" s="136">
        <f>'LCI_AD-a'!$E27*'IW+_end'!W12</f>
        <v>0</v>
      </c>
      <c r="AB66" s="136">
        <f>'LCI_AD-a'!$E27*'IW+_end'!X12</f>
        <v>0</v>
      </c>
      <c r="AC66" s="136">
        <f>'LCI_AD-a'!$E27*'IW+_end'!Y12</f>
        <v>0</v>
      </c>
      <c r="AD66" s="136">
        <f>'LCI_AD-a'!$E27*'IW+_end'!Z12</f>
        <v>0</v>
      </c>
      <c r="AE66" s="136">
        <f>'LCI_AD-a'!$E27*'IW+_end'!AA12</f>
        <v>0</v>
      </c>
      <c r="AF66" s="136">
        <f>'LCI_AD-a'!$E27*'IW+_end'!AB12</f>
        <v>0</v>
      </c>
      <c r="AG66" s="136">
        <f>'LCI_AD-a'!$E27*'IW+_end'!AC12</f>
        <v>0</v>
      </c>
      <c r="AH66" s="136">
        <f>'LCI_AD-a'!$E27*'IW+_end'!AD12</f>
        <v>0</v>
      </c>
      <c r="AI66" s="136">
        <f>'LCI_AD-a'!$E27*'IW+_end'!AE12</f>
        <v>0</v>
      </c>
      <c r="AJ66" s="136">
        <f>'LCI_AD-a'!$E27*'IW+_end'!AF12</f>
        <v>0</v>
      </c>
      <c r="AK66" s="136">
        <f>'LCI_AD-a'!$E27*'IW+_end'!AG12</f>
        <v>0</v>
      </c>
    </row>
    <row r="67" spans="1:41" x14ac:dyDescent="0.35">
      <c r="A67" s="142" t="s">
        <v>108</v>
      </c>
      <c r="B67" s="136"/>
      <c r="C67" s="141" t="e">
        <f>SUM(C68:C72)</f>
        <v>#REF!</v>
      </c>
      <c r="D67" s="141" t="e">
        <f t="shared" ref="D67:AK67" si="10">SUM(D68:D72)</f>
        <v>#REF!</v>
      </c>
      <c r="E67" s="141" t="e">
        <f t="shared" si="10"/>
        <v>#REF!</v>
      </c>
      <c r="F67" s="141" t="e">
        <f t="shared" si="10"/>
        <v>#REF!</v>
      </c>
      <c r="G67" s="141">
        <f t="shared" si="10"/>
        <v>0</v>
      </c>
      <c r="H67" s="141">
        <f t="shared" si="10"/>
        <v>7.9951774603777057</v>
      </c>
      <c r="I67" s="141">
        <f t="shared" si="10"/>
        <v>0</v>
      </c>
      <c r="J67" s="141">
        <f t="shared" si="10"/>
        <v>0</v>
      </c>
      <c r="K67" s="141">
        <f t="shared" si="10"/>
        <v>-0.19421069896461307</v>
      </c>
      <c r="L67" s="141">
        <f t="shared" si="10"/>
        <v>0</v>
      </c>
      <c r="M67" s="141">
        <f t="shared" si="10"/>
        <v>0</v>
      </c>
      <c r="N67" s="141">
        <f t="shared" si="10"/>
        <v>0</v>
      </c>
      <c r="O67" s="141">
        <f t="shared" si="10"/>
        <v>0</v>
      </c>
      <c r="P67" s="141">
        <f t="shared" si="10"/>
        <v>0</v>
      </c>
      <c r="Q67" s="141">
        <f t="shared" si="10"/>
        <v>0</v>
      </c>
      <c r="R67" s="141">
        <f t="shared" si="10"/>
        <v>0</v>
      </c>
      <c r="S67" s="141">
        <f t="shared" si="10"/>
        <v>0</v>
      </c>
      <c r="T67" s="141">
        <f t="shared" si="10"/>
        <v>-17.533492041158077</v>
      </c>
      <c r="U67" s="141">
        <f t="shared" si="10"/>
        <v>-1.9033067018362388</v>
      </c>
      <c r="V67" s="141">
        <f t="shared" si="10"/>
        <v>0</v>
      </c>
      <c r="W67" s="141">
        <f t="shared" si="10"/>
        <v>0</v>
      </c>
      <c r="X67" s="141">
        <f t="shared" si="10"/>
        <v>-0.67393084886835064</v>
      </c>
      <c r="Y67" s="141">
        <f t="shared" si="10"/>
        <v>0</v>
      </c>
      <c r="Z67" s="141">
        <f t="shared" si="10"/>
        <v>7.6801640589139021E-4</v>
      </c>
      <c r="AA67" s="141">
        <f t="shared" si="10"/>
        <v>0</v>
      </c>
      <c r="AB67" s="141">
        <f t="shared" si="10"/>
        <v>0</v>
      </c>
      <c r="AC67" s="141">
        <f t="shared" si="10"/>
        <v>103.07918225651237</v>
      </c>
      <c r="AD67" s="141">
        <f t="shared" si="10"/>
        <v>0</v>
      </c>
      <c r="AE67" s="141">
        <f t="shared" si="10"/>
        <v>0</v>
      </c>
      <c r="AF67" s="141">
        <f t="shared" si="10"/>
        <v>0</v>
      </c>
      <c r="AG67" s="141">
        <f t="shared" si="10"/>
        <v>90.769419426062811</v>
      </c>
      <c r="AH67" s="141">
        <f t="shared" si="10"/>
        <v>7.6801640589139021E-4</v>
      </c>
      <c r="AI67" s="141">
        <f t="shared" si="10"/>
        <v>0</v>
      </c>
      <c r="AJ67" s="141">
        <f t="shared" si="10"/>
        <v>0</v>
      </c>
      <c r="AK67" s="141">
        <f t="shared" si="10"/>
        <v>0</v>
      </c>
    </row>
    <row r="68" spans="1:41" x14ac:dyDescent="0.35">
      <c r="A68" s="136"/>
      <c r="B68" s="143" t="s">
        <v>111</v>
      </c>
      <c r="C68" s="136" t="e">
        <f>'LCI_AD-a'!$E30*'IW+_end'!#REF!</f>
        <v>#REF!</v>
      </c>
      <c r="D68" s="136" t="e">
        <f>'LCI_AD-a'!$E30*'IW+_end'!#REF!</f>
        <v>#REF!</v>
      </c>
      <c r="E68" s="136" t="e">
        <f>'LCI_AD-a'!$E30*'IW+_end'!#REF!</f>
        <v>#REF!</v>
      </c>
      <c r="F68" s="136" t="e">
        <f>'LCI_AD-a'!$E30*'IW+_end'!#REF!</f>
        <v>#REF!</v>
      </c>
      <c r="G68" s="136">
        <f>'LCI_AD-a'!$E30*'IW+_end'!C20</f>
        <v>0</v>
      </c>
      <c r="H68" s="136">
        <f>'LCI_AD-a'!$E30*'IW+_end'!D20</f>
        <v>0</v>
      </c>
      <c r="I68" s="136">
        <f>'LCI_AD-a'!$E30*'IW+_end'!E20</f>
        <v>0</v>
      </c>
      <c r="J68" s="136">
        <f>'LCI_AD-a'!$E30*'IW+_end'!F20</f>
        <v>0</v>
      </c>
      <c r="K68" s="136">
        <f>'LCI_AD-a'!$E30*'IW+_end'!G20</f>
        <v>0</v>
      </c>
      <c r="L68" s="136">
        <f>'LCI_AD-a'!$E30*'IW+_end'!H20</f>
        <v>0</v>
      </c>
      <c r="M68" s="136">
        <f>'LCI_AD-a'!$E30*'IW+_end'!I20</f>
        <v>0</v>
      </c>
      <c r="N68" s="136">
        <f>'LCI_AD-a'!$E30*'IW+_end'!J20</f>
        <v>0</v>
      </c>
      <c r="O68" s="136">
        <f>'LCI_AD-a'!$E30*'IW+_end'!K20</f>
        <v>0</v>
      </c>
      <c r="P68" s="136">
        <f>'LCI_AD-a'!$E30*'IW+_end'!L20</f>
        <v>0</v>
      </c>
      <c r="Q68" s="136">
        <f>'LCI_AD-a'!$E30*'IW+_end'!M20</f>
        <v>0</v>
      </c>
      <c r="R68" s="136">
        <f>'LCI_AD-a'!$E30*'IW+_end'!N20</f>
        <v>0</v>
      </c>
      <c r="S68" s="136">
        <f>'LCI_AD-a'!$E30*'IW+_end'!O20</f>
        <v>0</v>
      </c>
      <c r="T68" s="136">
        <f>'LCI_AD-a'!$E30*'IW+_end'!P20</f>
        <v>0</v>
      </c>
      <c r="U68" s="136">
        <f>'LCI_AD-a'!$E30*'IW+_end'!Q20</f>
        <v>0</v>
      </c>
      <c r="V68" s="136">
        <f>'LCI_AD-a'!$E30*'IW+_end'!R20</f>
        <v>0</v>
      </c>
      <c r="W68" s="136">
        <f>'LCI_AD-a'!$E30*'IW+_end'!S20</f>
        <v>0</v>
      </c>
      <c r="X68" s="136">
        <f>'LCI_AD-a'!$E30*'IW+_end'!T20</f>
        <v>0</v>
      </c>
      <c r="Y68" s="136">
        <f>'LCI_AD-a'!$E30*'IW+_end'!U20</f>
        <v>0</v>
      </c>
      <c r="Z68" s="136">
        <f>'LCI_AD-a'!$E30*'IW+_end'!V20</f>
        <v>0</v>
      </c>
      <c r="AA68" s="136">
        <f>'LCI_AD-a'!$E30*'IW+_end'!W20</f>
        <v>0</v>
      </c>
      <c r="AB68" s="136">
        <f>'LCI_AD-a'!$E30*'IW+_end'!X20</f>
        <v>0</v>
      </c>
      <c r="AC68" s="136">
        <f>'LCI_AD-a'!$E30*'IW+_end'!Y20</f>
        <v>0</v>
      </c>
      <c r="AD68" s="136">
        <f>'LCI_AD-a'!$E30*'IW+_end'!Z20</f>
        <v>0</v>
      </c>
      <c r="AE68" s="136">
        <f>'LCI_AD-a'!$E30*'IW+_end'!AA20</f>
        <v>0</v>
      </c>
      <c r="AF68" s="136">
        <f>'LCI_AD-a'!$E30*'IW+_end'!AB20</f>
        <v>0</v>
      </c>
      <c r="AG68" s="136">
        <f>'LCI_AD-a'!$E30*'IW+_end'!AC20</f>
        <v>0</v>
      </c>
      <c r="AH68" s="136">
        <f>'LCI_AD-a'!$E30*'IW+_end'!AD20</f>
        <v>0</v>
      </c>
      <c r="AI68" s="136">
        <f>'LCI_AD-a'!$E30*'IW+_end'!AE20</f>
        <v>0</v>
      </c>
      <c r="AJ68" s="136">
        <f>'LCI_AD-a'!$E30*'IW+_end'!AF20</f>
        <v>0</v>
      </c>
      <c r="AK68" s="136">
        <f>'LCI_AD-a'!$E30*'IW+_end'!AG20</f>
        <v>0</v>
      </c>
    </row>
    <row r="69" spans="1:41" x14ac:dyDescent="0.35">
      <c r="A69" s="136"/>
      <c r="B69" s="143" t="s">
        <v>110</v>
      </c>
      <c r="C69" s="136" t="e">
        <f>'LCI_AD-a'!$E31*'IW+_end'!#REF!</f>
        <v>#REF!</v>
      </c>
      <c r="D69" s="136" t="e">
        <f>'LCI_AD-a'!$E31*'IW+_end'!#REF!</f>
        <v>#REF!</v>
      </c>
      <c r="E69" s="136" t="e">
        <f>'LCI_AD-a'!$E31*'IW+_end'!#REF!</f>
        <v>#REF!</v>
      </c>
      <c r="F69" s="136" t="e">
        <f>'LCI_AD-a'!$E31*'IW+_end'!#REF!</f>
        <v>#REF!</v>
      </c>
      <c r="G69" s="136">
        <f>'LCI_AD-a'!$E31*'IW+_end'!C18</f>
        <v>0</v>
      </c>
      <c r="H69" s="136">
        <f>'LCI_AD-a'!$E31*'IW+_end'!D18</f>
        <v>7.9951774603777057</v>
      </c>
      <c r="I69" s="136">
        <f>'LCI_AD-a'!$E31*'IW+_end'!E18</f>
        <v>0</v>
      </c>
      <c r="J69" s="136">
        <f>'LCI_AD-a'!$E31*'IW+_end'!F18</f>
        <v>0</v>
      </c>
      <c r="K69" s="136">
        <f>'LCI_AD-a'!$E31*'IW+_end'!G18</f>
        <v>0</v>
      </c>
      <c r="L69" s="136">
        <f>'LCI_AD-a'!$E31*'IW+_end'!H18</f>
        <v>0</v>
      </c>
      <c r="M69" s="136">
        <f>'LCI_AD-a'!$E31*'IW+_end'!I18</f>
        <v>0</v>
      </c>
      <c r="N69" s="136">
        <f>'LCI_AD-a'!$E31*'IW+_end'!J18</f>
        <v>0</v>
      </c>
      <c r="O69" s="136">
        <f>'LCI_AD-a'!$E31*'IW+_end'!K18</f>
        <v>0</v>
      </c>
      <c r="P69" s="136">
        <f>'LCI_AD-a'!$E31*'IW+_end'!L18</f>
        <v>0</v>
      </c>
      <c r="Q69" s="136">
        <f>'LCI_AD-a'!$E31*'IW+_end'!M18</f>
        <v>0</v>
      </c>
      <c r="R69" s="136">
        <f>'LCI_AD-a'!$E31*'IW+_end'!N18</f>
        <v>0</v>
      </c>
      <c r="S69" s="136">
        <f>'LCI_AD-a'!$E31*'IW+_end'!O18</f>
        <v>0</v>
      </c>
      <c r="T69" s="136">
        <f>'LCI_AD-a'!$E31*'IW+_end'!P18</f>
        <v>0</v>
      </c>
      <c r="U69" s="136">
        <f>'LCI_AD-a'!$E31*'IW+_end'!Q18</f>
        <v>0</v>
      </c>
      <c r="V69" s="136">
        <f>'LCI_AD-a'!$E31*'IW+_end'!R18</f>
        <v>0</v>
      </c>
      <c r="W69" s="136">
        <f>'LCI_AD-a'!$E31*'IW+_end'!S18</f>
        <v>0</v>
      </c>
      <c r="X69" s="136">
        <f>'LCI_AD-a'!$E31*'IW+_end'!T18</f>
        <v>3.0693235046556389</v>
      </c>
      <c r="Y69" s="136">
        <f>'LCI_AD-a'!$E31*'IW+_end'!U18</f>
        <v>0</v>
      </c>
      <c r="Z69" s="136">
        <f>'LCI_AD-a'!$E31*'IW+_end'!V18</f>
        <v>7.6801640589139021E-4</v>
      </c>
      <c r="AA69" s="136">
        <f>'LCI_AD-a'!$E31*'IW+_end'!W18</f>
        <v>0</v>
      </c>
      <c r="AB69" s="136">
        <f>'LCI_AD-a'!$E31*'IW+_end'!X18</f>
        <v>0</v>
      </c>
      <c r="AC69" s="136">
        <f>'LCI_AD-a'!$E31*'IW+_end'!Y18</f>
        <v>103.07918225651237</v>
      </c>
      <c r="AD69" s="136">
        <f>'LCI_AD-a'!$E31*'IW+_end'!Z18</f>
        <v>0</v>
      </c>
      <c r="AE69" s="136">
        <f>'LCI_AD-a'!$E31*'IW+_end'!AA18</f>
        <v>0</v>
      </c>
      <c r="AF69" s="136">
        <f>'LCI_AD-a'!$E31*'IW+_end'!AB18</f>
        <v>0</v>
      </c>
      <c r="AG69" s="136">
        <f>'LCI_AD-a'!$E31*'IW+_end'!AC18</f>
        <v>114.14368322154573</v>
      </c>
      <c r="AH69" s="136">
        <f>'LCI_AD-a'!$E31*'IW+_end'!AD18</f>
        <v>7.6801640589139021E-4</v>
      </c>
      <c r="AI69" s="136">
        <f>'LCI_AD-a'!$E31*'IW+_end'!AE18</f>
        <v>0</v>
      </c>
      <c r="AJ69" s="136">
        <f>'LCI_AD-a'!$E31*'IW+_end'!AF18</f>
        <v>0</v>
      </c>
      <c r="AK69" s="136">
        <f>'LCI_AD-a'!$E31*'IW+_end'!AG18</f>
        <v>0</v>
      </c>
    </row>
    <row r="70" spans="1:41" x14ac:dyDescent="0.35">
      <c r="A70" s="136"/>
      <c r="B70" s="143" t="s">
        <v>114</v>
      </c>
      <c r="C70" s="136" t="e">
        <f>'LCI_AD-a'!$E32*'IW+_end'!#REF!</f>
        <v>#REF!</v>
      </c>
      <c r="D70" s="136" t="e">
        <f>'LCI_AD-a'!$E32*'IW+_end'!#REF!</f>
        <v>#REF!</v>
      </c>
      <c r="E70" s="136" t="e">
        <f>'LCI_AD-a'!$E32*'IW+_end'!#REF!</f>
        <v>#REF!</v>
      </c>
      <c r="F70" s="136" t="e">
        <f>'LCI_AD-a'!$E32*'IW+_end'!#REF!</f>
        <v>#REF!</v>
      </c>
      <c r="G70" s="136">
        <f>'LCI_AD-a'!$E32*'IW+_end'!C21</f>
        <v>0</v>
      </c>
      <c r="H70" s="136">
        <f>'LCI_AD-a'!$E32*'IW+_end'!D21</f>
        <v>0</v>
      </c>
      <c r="I70" s="136">
        <f>'LCI_AD-a'!$E32*'IW+_end'!E21</f>
        <v>0</v>
      </c>
      <c r="J70" s="136">
        <f>'LCI_AD-a'!$E32*'IW+_end'!F21</f>
        <v>0</v>
      </c>
      <c r="K70" s="136">
        <f>'LCI_AD-a'!$E32*'IW+_end'!G21</f>
        <v>0</v>
      </c>
      <c r="L70" s="136">
        <f>'LCI_AD-a'!$E32*'IW+_end'!H21</f>
        <v>0</v>
      </c>
      <c r="M70" s="136">
        <f>'LCI_AD-a'!$E32*'IW+_end'!I21</f>
        <v>0</v>
      </c>
      <c r="N70" s="136">
        <f>'LCI_AD-a'!$E32*'IW+_end'!J21</f>
        <v>0</v>
      </c>
      <c r="O70" s="136">
        <f>'LCI_AD-a'!$E32*'IW+_end'!K21</f>
        <v>0</v>
      </c>
      <c r="P70" s="136">
        <f>'LCI_AD-a'!$E32*'IW+_end'!L21</f>
        <v>0</v>
      </c>
      <c r="Q70" s="136">
        <f>'LCI_AD-a'!$E32*'IW+_end'!M21</f>
        <v>0</v>
      </c>
      <c r="R70" s="136">
        <f>'LCI_AD-a'!$E32*'IW+_end'!N21</f>
        <v>0</v>
      </c>
      <c r="S70" s="136">
        <f>'LCI_AD-a'!$E32*'IW+_end'!O21</f>
        <v>0</v>
      </c>
      <c r="T70" s="136">
        <f>'LCI_AD-a'!$E32*'IW+_end'!P21</f>
        <v>0</v>
      </c>
      <c r="U70" s="136">
        <f>'LCI_AD-a'!$E32*'IW+_end'!Q21</f>
        <v>0</v>
      </c>
      <c r="V70" s="136">
        <f>'LCI_AD-a'!$E32*'IW+_end'!R21</f>
        <v>0</v>
      </c>
      <c r="W70" s="136">
        <f>'LCI_AD-a'!$E32*'IW+_end'!S21</f>
        <v>0</v>
      </c>
      <c r="X70" s="136">
        <f>'LCI_AD-a'!$E32*'IW+_end'!T21</f>
        <v>-3.7432543535239895</v>
      </c>
      <c r="Y70" s="136">
        <f>'LCI_AD-a'!$E32*'IW+_end'!U21</f>
        <v>0</v>
      </c>
      <c r="Z70" s="136">
        <f>'LCI_AD-a'!$E32*'IW+_end'!V21</f>
        <v>0</v>
      </c>
      <c r="AA70" s="136">
        <f>'LCI_AD-a'!$E32*'IW+_end'!W21</f>
        <v>0</v>
      </c>
      <c r="AB70" s="136">
        <f>'LCI_AD-a'!$E32*'IW+_end'!X21</f>
        <v>0</v>
      </c>
      <c r="AC70" s="136">
        <f>'LCI_AD-a'!$E32*'IW+_end'!Y21</f>
        <v>0</v>
      </c>
      <c r="AD70" s="136">
        <f>'LCI_AD-a'!$E32*'IW+_end'!Z21</f>
        <v>0</v>
      </c>
      <c r="AE70" s="136">
        <f>'LCI_AD-a'!$E32*'IW+_end'!AA21</f>
        <v>0</v>
      </c>
      <c r="AF70" s="136">
        <f>'LCI_AD-a'!$E32*'IW+_end'!AB21</f>
        <v>0</v>
      </c>
      <c r="AG70" s="136">
        <f>'LCI_AD-a'!$E32*'IW+_end'!AC21</f>
        <v>-3.7432543535239895</v>
      </c>
      <c r="AH70" s="136">
        <f>'LCI_AD-a'!$E32*'IW+_end'!AD21</f>
        <v>0</v>
      </c>
      <c r="AI70" s="136">
        <f>'LCI_AD-a'!$E32*'IW+_end'!AE21</f>
        <v>0</v>
      </c>
      <c r="AJ70" s="136">
        <f>'LCI_AD-a'!$E32*'IW+_end'!AF21</f>
        <v>0</v>
      </c>
      <c r="AK70" s="136">
        <f>'LCI_AD-a'!$E32*'IW+_end'!AG21</f>
        <v>0</v>
      </c>
    </row>
    <row r="71" spans="1:41" x14ac:dyDescent="0.35">
      <c r="A71" s="136"/>
      <c r="B71" s="143" t="s">
        <v>414</v>
      </c>
      <c r="C71" s="138" t="e">
        <f>'LCI_AD-a'!$E33*'IW+_end'!#REF!</f>
        <v>#REF!</v>
      </c>
      <c r="D71" s="138" t="e">
        <f>'LCI_AD-a'!$E33*'IW+_end'!#REF!</f>
        <v>#REF!</v>
      </c>
      <c r="E71" s="138" t="e">
        <f>'LCI_AD-a'!$E33*'IW+_end'!#REF!</f>
        <v>#REF!</v>
      </c>
      <c r="F71" s="138" t="e">
        <f>'LCI_AD-a'!$E33*'IW+_end'!#REF!</f>
        <v>#REF!</v>
      </c>
      <c r="G71" s="138">
        <f>'LCI_AD-a'!$E33*'IW+_end'!C25</f>
        <v>0</v>
      </c>
      <c r="H71" s="138">
        <f>'LCI_AD-a'!$E33*'IW+_end'!D25</f>
        <v>0</v>
      </c>
      <c r="I71" s="138">
        <f>'LCI_AD-a'!$E33*'IW+_end'!E25</f>
        <v>0</v>
      </c>
      <c r="J71" s="138">
        <f>'LCI_AD-a'!$E33*'IW+_end'!F25</f>
        <v>0</v>
      </c>
      <c r="K71" s="138">
        <f>'LCI_AD-a'!$E33*'IW+_end'!G25</f>
        <v>-0.19421069896461307</v>
      </c>
      <c r="L71" s="138">
        <f>'LCI_AD-a'!$E33*'IW+_end'!H25</f>
        <v>0</v>
      </c>
      <c r="M71" s="138">
        <f>'LCI_AD-a'!$E33*'IW+_end'!I25</f>
        <v>0</v>
      </c>
      <c r="N71" s="138">
        <f>'LCI_AD-a'!$E33*'IW+_end'!J25</f>
        <v>0</v>
      </c>
      <c r="O71" s="138">
        <f>'LCI_AD-a'!$E33*'IW+_end'!K25</f>
        <v>0</v>
      </c>
      <c r="P71" s="138">
        <f>'LCI_AD-a'!$E33*'IW+_end'!L25</f>
        <v>0</v>
      </c>
      <c r="Q71" s="138">
        <f>'LCI_AD-a'!$E33*'IW+_end'!M25</f>
        <v>0</v>
      </c>
      <c r="R71" s="138">
        <f>'LCI_AD-a'!$E33*'IW+_end'!N25</f>
        <v>0</v>
      </c>
      <c r="S71" s="138">
        <f>'LCI_AD-a'!$E33*'IW+_end'!O25</f>
        <v>0</v>
      </c>
      <c r="T71" s="138">
        <f>'LCI_AD-a'!$E33*'IW+_end'!P25</f>
        <v>0</v>
      </c>
      <c r="U71" s="138">
        <f>'LCI_AD-a'!$E33*'IW+_end'!Q25</f>
        <v>0</v>
      </c>
      <c r="V71" s="138">
        <f>'LCI_AD-a'!$E33*'IW+_end'!R25</f>
        <v>0</v>
      </c>
      <c r="W71" s="138">
        <f>'LCI_AD-a'!$E33*'IW+_end'!S25</f>
        <v>0</v>
      </c>
      <c r="X71" s="138">
        <f>'LCI_AD-a'!$E33*'IW+_end'!T25</f>
        <v>0</v>
      </c>
      <c r="Y71" s="138">
        <f>'LCI_AD-a'!$E33*'IW+_end'!U25</f>
        <v>0</v>
      </c>
      <c r="Z71" s="138">
        <f>'LCI_AD-a'!$E33*'IW+_end'!V25</f>
        <v>0</v>
      </c>
      <c r="AA71" s="138">
        <f>'LCI_AD-a'!$E33*'IW+_end'!W25</f>
        <v>0</v>
      </c>
      <c r="AB71" s="138">
        <f>'LCI_AD-a'!$E33*'IW+_end'!X25</f>
        <v>0</v>
      </c>
      <c r="AC71" s="138">
        <f>'LCI_AD-a'!$E33*'IW+_end'!Y25</f>
        <v>0</v>
      </c>
      <c r="AD71" s="138">
        <f>'LCI_AD-a'!$E33*'IW+_end'!Z25</f>
        <v>0</v>
      </c>
      <c r="AE71" s="138">
        <f>'LCI_AD-a'!$E33*'IW+_end'!AA25</f>
        <v>0</v>
      </c>
      <c r="AF71" s="138">
        <f>'LCI_AD-a'!$E33*'IW+_end'!AB25</f>
        <v>0</v>
      </c>
      <c r="AG71" s="138">
        <f>'LCI_AD-a'!$E33*'IW+_end'!AC25</f>
        <v>-0.19421069896461307</v>
      </c>
      <c r="AH71" s="138">
        <f>'LCI_AD-a'!$E33*'IW+_end'!AD25</f>
        <v>0</v>
      </c>
      <c r="AI71" s="138">
        <f>'LCI_AD-a'!$E33*'IW+_end'!AE25</f>
        <v>0</v>
      </c>
      <c r="AJ71" s="138">
        <f>'LCI_AD-a'!$E33*'IW+_end'!AF25</f>
        <v>0</v>
      </c>
      <c r="AK71" s="138">
        <f>'LCI_AD-a'!$E33*'IW+_end'!AG25</f>
        <v>0</v>
      </c>
    </row>
    <row r="72" spans="1:41" x14ac:dyDescent="0.35">
      <c r="A72" s="136"/>
      <c r="B72" s="143" t="s">
        <v>415</v>
      </c>
      <c r="C72" s="138" t="e">
        <f>'LCI_AD-a'!$E34*'IW+_end'!#REF!</f>
        <v>#REF!</v>
      </c>
      <c r="D72" s="138" t="e">
        <f>'LCI_AD-a'!$E34*'IW+_end'!#REF!</f>
        <v>#REF!</v>
      </c>
      <c r="E72" s="138" t="e">
        <f>'LCI_AD-a'!$E34*'IW+_end'!#REF!</f>
        <v>#REF!</v>
      </c>
      <c r="F72" s="138" t="e">
        <f>'LCI_AD-a'!$E34*'IW+_end'!#REF!</f>
        <v>#REF!</v>
      </c>
      <c r="G72" s="138">
        <f>'LCI_AD-a'!$E34*'IW+_end'!C26</f>
        <v>0</v>
      </c>
      <c r="H72" s="138">
        <f>'LCI_AD-a'!$E34*'IW+_end'!D26</f>
        <v>0</v>
      </c>
      <c r="I72" s="138">
        <f>'LCI_AD-a'!$E34*'IW+_end'!E26</f>
        <v>0</v>
      </c>
      <c r="J72" s="138">
        <f>'LCI_AD-a'!$E34*'IW+_end'!F26</f>
        <v>0</v>
      </c>
      <c r="K72" s="138">
        <f>'LCI_AD-a'!$E34*'IW+_end'!G26</f>
        <v>0</v>
      </c>
      <c r="L72" s="138">
        <f>'LCI_AD-a'!$E34*'IW+_end'!H26</f>
        <v>0</v>
      </c>
      <c r="M72" s="138">
        <f>'LCI_AD-a'!$E34*'IW+_end'!I26</f>
        <v>0</v>
      </c>
      <c r="N72" s="138">
        <f>'LCI_AD-a'!$E34*'IW+_end'!J26</f>
        <v>0</v>
      </c>
      <c r="O72" s="138">
        <f>'LCI_AD-a'!$E34*'IW+_end'!K26</f>
        <v>0</v>
      </c>
      <c r="P72" s="138">
        <f>'LCI_AD-a'!$E34*'IW+_end'!L26</f>
        <v>0</v>
      </c>
      <c r="Q72" s="138">
        <f>'LCI_AD-a'!$E34*'IW+_end'!M26</f>
        <v>0</v>
      </c>
      <c r="R72" s="138">
        <f>'LCI_AD-a'!$E34*'IW+_end'!N26</f>
        <v>0</v>
      </c>
      <c r="S72" s="138">
        <f>'LCI_AD-a'!$E34*'IW+_end'!O26</f>
        <v>0</v>
      </c>
      <c r="T72" s="138">
        <f>'LCI_AD-a'!$E34*'IW+_end'!P26</f>
        <v>-17.533492041158077</v>
      </c>
      <c r="U72" s="138">
        <f>'LCI_AD-a'!$E34*'IW+_end'!Q26</f>
        <v>-1.9033067018362388</v>
      </c>
      <c r="V72" s="138">
        <f>'LCI_AD-a'!$E34*'IW+_end'!R26</f>
        <v>0</v>
      </c>
      <c r="W72" s="138">
        <f>'LCI_AD-a'!$E34*'IW+_end'!S26</f>
        <v>0</v>
      </c>
      <c r="X72" s="138">
        <f>'LCI_AD-a'!$E34*'IW+_end'!T26</f>
        <v>0</v>
      </c>
      <c r="Y72" s="138">
        <f>'LCI_AD-a'!$E34*'IW+_end'!U26</f>
        <v>0</v>
      </c>
      <c r="Z72" s="138">
        <f>'LCI_AD-a'!$E34*'IW+_end'!V26</f>
        <v>0</v>
      </c>
      <c r="AA72" s="138">
        <f>'LCI_AD-a'!$E34*'IW+_end'!W26</f>
        <v>0</v>
      </c>
      <c r="AB72" s="138">
        <f>'LCI_AD-a'!$E34*'IW+_end'!X26</f>
        <v>0</v>
      </c>
      <c r="AC72" s="138">
        <f>'LCI_AD-a'!$E34*'IW+_end'!Y26</f>
        <v>0</v>
      </c>
      <c r="AD72" s="138">
        <f>'LCI_AD-a'!$E34*'IW+_end'!Z26</f>
        <v>0</v>
      </c>
      <c r="AE72" s="138">
        <f>'LCI_AD-a'!$E34*'IW+_end'!AA26</f>
        <v>0</v>
      </c>
      <c r="AF72" s="138">
        <f>'LCI_AD-a'!$E34*'IW+_end'!AB26</f>
        <v>0</v>
      </c>
      <c r="AG72" s="138">
        <f>'LCI_AD-a'!$E34*'IW+_end'!AC26</f>
        <v>-19.436798742994313</v>
      </c>
      <c r="AH72" s="138">
        <f>'LCI_AD-a'!$E34*'IW+_end'!AD26</f>
        <v>0</v>
      </c>
      <c r="AI72" s="138">
        <f>'LCI_AD-a'!$E34*'IW+_end'!AE26</f>
        <v>0</v>
      </c>
      <c r="AJ72" s="138">
        <f>'LCI_AD-a'!$E34*'IW+_end'!AF26</f>
        <v>0</v>
      </c>
      <c r="AK72" s="138">
        <f>'LCI_AD-a'!$E34*'IW+_end'!AG26</f>
        <v>0</v>
      </c>
    </row>
    <row r="73" spans="1:41" x14ac:dyDescent="0.35">
      <c r="A73" s="142" t="s">
        <v>421</v>
      </c>
      <c r="B73" s="136"/>
      <c r="C73" s="141" t="e">
        <f>SUM(C74:C79)</f>
        <v>#REF!</v>
      </c>
      <c r="D73" s="141" t="e">
        <f t="shared" ref="D73:AK73" si="11">SUM(D74:D79)</f>
        <v>#REF!</v>
      </c>
      <c r="E73" s="141" t="e">
        <f t="shared" si="11"/>
        <v>#REF!</v>
      </c>
      <c r="F73" s="141" t="e">
        <f t="shared" si="11"/>
        <v>#REF!</v>
      </c>
      <c r="G73" s="141">
        <f t="shared" si="11"/>
        <v>2.2943740733549194E-16</v>
      </c>
      <c r="H73" s="141">
        <f t="shared" si="11"/>
        <v>1.8259597616026171</v>
      </c>
      <c r="I73" s="141">
        <f t="shared" si="11"/>
        <v>23.830191578227996</v>
      </c>
      <c r="J73" s="141">
        <f t="shared" si="11"/>
        <v>4.546207123699598</v>
      </c>
      <c r="K73" s="141">
        <f t="shared" si="11"/>
        <v>0.16503407273318341</v>
      </c>
      <c r="L73" s="141">
        <f t="shared" si="11"/>
        <v>1.2393279883366431E-6</v>
      </c>
      <c r="M73" s="141">
        <f t="shared" si="11"/>
        <v>3.8235056792362929E-5</v>
      </c>
      <c r="N73" s="141">
        <f t="shared" si="11"/>
        <v>3.9543135699425232E-5</v>
      </c>
      <c r="O73" s="141">
        <f t="shared" si="11"/>
        <v>4.0868093759526919E-5</v>
      </c>
      <c r="P73" s="141">
        <f t="shared" si="11"/>
        <v>1.377470783409732E-8</v>
      </c>
      <c r="Q73" s="141">
        <f t="shared" si="11"/>
        <v>2.5998444962597389E-7</v>
      </c>
      <c r="R73" s="141">
        <f t="shared" si="11"/>
        <v>18.980569023050879</v>
      </c>
      <c r="S73" s="141">
        <f t="shared" si="11"/>
        <v>6.5143349540341013</v>
      </c>
      <c r="T73" s="141">
        <f t="shared" si="11"/>
        <v>39.195111195834144</v>
      </c>
      <c r="U73" s="141">
        <f t="shared" si="11"/>
        <v>4.254721685821365</v>
      </c>
      <c r="V73" s="141">
        <f t="shared" si="11"/>
        <v>8.9493233606324421E-5</v>
      </c>
      <c r="W73" s="141">
        <f t="shared" si="11"/>
        <v>8.5438376386051399E-5</v>
      </c>
      <c r="X73" s="141">
        <f t="shared" si="11"/>
        <v>0.2715330108838781</v>
      </c>
      <c r="Y73" s="141">
        <f t="shared" si="11"/>
        <v>9.5410393335922052E-9</v>
      </c>
      <c r="Z73" s="141">
        <f t="shared" si="11"/>
        <v>1.5157288289019898E-4</v>
      </c>
      <c r="AA73" s="141">
        <f t="shared" si="11"/>
        <v>4.3459443562121898</v>
      </c>
      <c r="AB73" s="141">
        <f t="shared" si="11"/>
        <v>4.1257687118459287E-7</v>
      </c>
      <c r="AC73" s="141">
        <f t="shared" si="11"/>
        <v>12.237523762402454</v>
      </c>
      <c r="AD73" s="141">
        <f t="shared" si="11"/>
        <v>3.2665357127441963</v>
      </c>
      <c r="AE73" s="141">
        <f t="shared" si="11"/>
        <v>3.1185007380908756</v>
      </c>
      <c r="AF73" s="141">
        <f t="shared" si="11"/>
        <v>1.9228904750283857E-2</v>
      </c>
      <c r="AG73" s="141">
        <f t="shared" si="11"/>
        <v>122.60376471568675</v>
      </c>
      <c r="AH73" s="141">
        <f t="shared" si="11"/>
        <v>3.8227304655040576E-4</v>
      </c>
      <c r="AI73" s="141">
        <f t="shared" si="11"/>
        <v>9.0167260133417382E-4</v>
      </c>
      <c r="AJ73" s="141">
        <f t="shared" si="11"/>
        <v>1.1013244706041086E-4</v>
      </c>
      <c r="AK73" s="141">
        <f t="shared" si="11"/>
        <v>3.1292217612951548E-2</v>
      </c>
    </row>
    <row r="74" spans="1:41" x14ac:dyDescent="0.35">
      <c r="A74" s="136"/>
      <c r="B74" s="136" t="s">
        <v>228</v>
      </c>
      <c r="C74" s="136" t="e">
        <f>'LCI_AD-a'!$E36*'IW+_end'!#REF!</f>
        <v>#REF!</v>
      </c>
      <c r="D74" s="136" t="e">
        <f>'LCI_AD-a'!$E36*'IW+_end'!#REF!</f>
        <v>#REF!</v>
      </c>
      <c r="E74" s="136" t="e">
        <f>'LCI_AD-a'!$E36*'IW+_end'!#REF!</f>
        <v>#REF!</v>
      </c>
      <c r="F74" s="136" t="e">
        <f>'LCI_AD-a'!$E36*'IW+_end'!#REF!</f>
        <v>#REF!</v>
      </c>
      <c r="G74" s="136">
        <f>'LCI_AD-a'!$E36*'IW+_end'!C28</f>
        <v>7.1839059451077027E-17</v>
      </c>
      <c r="H74" s="136">
        <f>'LCI_AD-a'!$E36*'IW+_end'!D28</f>
        <v>0.15976538150591041</v>
      </c>
      <c r="I74" s="136">
        <f>'LCI_AD-a'!$E36*'IW+_end'!E28</f>
        <v>1.3286838950285187</v>
      </c>
      <c r="J74" s="136">
        <f>'LCI_AD-a'!$E36*'IW+_end'!F28</f>
        <v>0.44167281808898784</v>
      </c>
      <c r="K74" s="136">
        <f>'LCI_AD-a'!$E36*'IW+_end'!G28</f>
        <v>6.4966943598052953E-4</v>
      </c>
      <c r="L74" s="136">
        <f>'LCI_AD-a'!$E36*'IW+_end'!H28</f>
        <v>9.9178611616952431E-8</v>
      </c>
      <c r="M74" s="136">
        <f>'LCI_AD-a'!$E36*'IW+_end'!I28</f>
        <v>4.6569101689615966E-6</v>
      </c>
      <c r="N74" s="136">
        <f>'LCI_AD-a'!$E36*'IW+_end'!J28</f>
        <v>3.2305737622603584E-6</v>
      </c>
      <c r="O74" s="136">
        <f>'LCI_AD-a'!$E36*'IW+_end'!K28</f>
        <v>3.2697442520780137E-6</v>
      </c>
      <c r="P74" s="136">
        <f>'LCI_AD-a'!$E36*'IW+_end'!L28</f>
        <v>1.3965488787624792E-9</v>
      </c>
      <c r="Q74" s="136">
        <f>'LCI_AD-a'!$E36*'IW+_end'!M28</f>
        <v>2.522741482903371E-8</v>
      </c>
      <c r="R74" s="136">
        <f>'LCI_AD-a'!$E36*'IW+_end'!N28</f>
        <v>0.18924733002891919</v>
      </c>
      <c r="S74" s="136">
        <f>'LCI_AD-a'!$E36*'IW+_end'!O28</f>
        <v>0.34162924878201517</v>
      </c>
      <c r="T74" s="136">
        <f>'LCI_AD-a'!$E36*'IW+_end'!P28</f>
        <v>3.5833262224005518</v>
      </c>
      <c r="U74" s="136">
        <f>'LCI_AD-a'!$E36*'IW+_end'!Q28</f>
        <v>0.38897871107892706</v>
      </c>
      <c r="V74" s="136">
        <f>'LCI_AD-a'!$E36*'IW+_end'!R28</f>
        <v>6.9458050003459681E-6</v>
      </c>
      <c r="W74" s="136">
        <f>'LCI_AD-a'!$E36*'IW+_end'!S28</f>
        <v>9.4523840991512821E-6</v>
      </c>
      <c r="X74" s="136">
        <f>'LCI_AD-a'!$E36*'IW+_end'!T28</f>
        <v>6.5295283178198271E-2</v>
      </c>
      <c r="Y74" s="136">
        <f>'LCI_AD-a'!$E36*'IW+_end'!U28</f>
        <v>1.0847755754146297E-9</v>
      </c>
      <c r="Z74" s="136">
        <f>'LCI_AD-a'!$E36*'IW+_end'!V28</f>
        <v>1.2853779227979255E-5</v>
      </c>
      <c r="AA74" s="136">
        <f>'LCI_AD-a'!$E36*'IW+_end'!W28</f>
        <v>0.37169565680962818</v>
      </c>
      <c r="AB74" s="136">
        <f>'LCI_AD-a'!$E36*'IW+_end'!X28</f>
        <v>3.5745885416060553E-8</v>
      </c>
      <c r="AC74" s="136">
        <f>'LCI_AD-a'!$E36*'IW+_end'!Y28</f>
        <v>1.4643983888361911</v>
      </c>
      <c r="AD74" s="136">
        <f>'LCI_AD-a'!$E36*'IW+_end'!Z28</f>
        <v>0.25352298793489464</v>
      </c>
      <c r="AE74" s="136">
        <f>'LCI_AD-a'!$E36*'IW+_end'!AA28</f>
        <v>0.34501201961902173</v>
      </c>
      <c r="AF74" s="136">
        <f>'LCI_AD-a'!$E36*'IW+_end'!AB28</f>
        <v>1.5683596768609758E-3</v>
      </c>
      <c r="AG74" s="136">
        <f>'LCI_AD-a'!$E36*'IW+_end'!AC28</f>
        <v>8.9363858406077341</v>
      </c>
      <c r="AH74" s="136">
        <f>'LCI_AD-a'!$E36*'IW+_end'!AD28</f>
        <v>6.6058012664428612E-5</v>
      </c>
      <c r="AI74" s="136">
        <f>'LCI_AD-a'!$E36*'IW+_end'!AE28</f>
        <v>3.4292573087756539E-4</v>
      </c>
      <c r="AJ74" s="136">
        <f>'LCI_AD-a'!$E36*'IW+_end'!AF28</f>
        <v>4.1885768565711923E-5</v>
      </c>
      <c r="AK74" s="136">
        <f>'LCI_AD-a'!$E36*'IW+_end'!AG28</f>
        <v>5.8054288660261226E-4</v>
      </c>
    </row>
    <row r="75" spans="1:41" x14ac:dyDescent="0.35">
      <c r="A75" s="136"/>
      <c r="B75" s="136" t="s">
        <v>230</v>
      </c>
      <c r="C75" s="136" t="e">
        <f>'LCI_AD-a'!$E37*'IW+_end'!#REF!</f>
        <v>#REF!</v>
      </c>
      <c r="D75" s="136" t="e">
        <f>'LCI_AD-a'!$E37*'IW+_end'!#REF!</f>
        <v>#REF!</v>
      </c>
      <c r="E75" s="136" t="e">
        <f>'LCI_AD-a'!$E37*'IW+_end'!#REF!</f>
        <v>#REF!</v>
      </c>
      <c r="F75" s="136" t="e">
        <f>'LCI_AD-a'!$E37*'IW+_end'!#REF!</f>
        <v>#REF!</v>
      </c>
      <c r="G75" s="136">
        <f>'LCI_AD-a'!$E37*'IW+_end'!C30</f>
        <v>1.1497481230567759E-16</v>
      </c>
      <c r="H75" s="136">
        <f>'LCI_AD-a'!$E37*'IW+_end'!D30</f>
        <v>0.70476902100808392</v>
      </c>
      <c r="I75" s="136">
        <f>'LCI_AD-a'!$E37*'IW+_end'!E30</f>
        <v>3.6906910779461204</v>
      </c>
      <c r="J75" s="136">
        <f>'LCI_AD-a'!$E37*'IW+_end'!F30</f>
        <v>0.33849636256650795</v>
      </c>
      <c r="K75" s="136">
        <f>'LCI_AD-a'!$E37*'IW+_end'!G30</f>
        <v>0.15668966620926444</v>
      </c>
      <c r="L75" s="136">
        <f>'LCI_AD-a'!$E37*'IW+_end'!H30</f>
        <v>1.9633790233167265E-7</v>
      </c>
      <c r="M75" s="136">
        <f>'LCI_AD-a'!$E37*'IW+_end'!I30</f>
        <v>7.3548680496487088E-6</v>
      </c>
      <c r="N75" s="136">
        <f>'LCI_AD-a'!$E37*'IW+_end'!J30</f>
        <v>6.3051199392739216E-6</v>
      </c>
      <c r="O75" s="136">
        <f>'LCI_AD-a'!$E37*'IW+_end'!K30</f>
        <v>1.1017961092851991E-5</v>
      </c>
      <c r="P75" s="136">
        <f>'LCI_AD-a'!$E37*'IW+_end'!L30</f>
        <v>7.3071772848713008E-9</v>
      </c>
      <c r="Q75" s="136">
        <f>'LCI_AD-a'!$E37*'IW+_end'!M30</f>
        <v>1.4867259719273959E-7</v>
      </c>
      <c r="R75" s="136">
        <f>'LCI_AD-a'!$E37*'IW+_end'!N30</f>
        <v>1.0741998489157791</v>
      </c>
      <c r="S75" s="136">
        <f>'LCI_AD-a'!$E37*'IW+_end'!O30</f>
        <v>1.2438454860455115</v>
      </c>
      <c r="T75" s="136">
        <f>'LCI_AD-a'!$E37*'IW+_end'!P30</f>
        <v>2.7219878231228605</v>
      </c>
      <c r="U75" s="136">
        <f>'LCI_AD-a'!$E37*'IW+_end'!Q30</f>
        <v>0.29547782338190726</v>
      </c>
      <c r="V75" s="136">
        <f>'LCI_AD-a'!$E37*'IW+_end'!R30</f>
        <v>1.1380329385058165E-5</v>
      </c>
      <c r="W75" s="136">
        <f>'LCI_AD-a'!$E37*'IW+_end'!S30</f>
        <v>1.5101048836186786E-5</v>
      </c>
      <c r="X75" s="136">
        <f>'LCI_AD-a'!$E37*'IW+_end'!T30</f>
        <v>2.2656385776052428E-2</v>
      </c>
      <c r="Y75" s="136">
        <f>'LCI_AD-a'!$E37*'IW+_end'!U30</f>
        <v>6.0126879000854583E-10</v>
      </c>
      <c r="Z75" s="136">
        <f>'LCI_AD-a'!$E37*'IW+_end'!V30</f>
        <v>5.6746972480412308E-5</v>
      </c>
      <c r="AA75" s="136">
        <f>'LCI_AD-a'!$E37*'IW+_end'!W30</f>
        <v>0.43384146164752557</v>
      </c>
      <c r="AB75" s="136">
        <f>'LCI_AD-a'!$E37*'IW+_end'!X30</f>
        <v>4.3409608990377984E-8</v>
      </c>
      <c r="AC75" s="136">
        <f>'LCI_AD-a'!$E37*'IW+_end'!Y30</f>
        <v>4.2975468876606771</v>
      </c>
      <c r="AD75" s="136">
        <f>'LCI_AD-a'!$E37*'IW+_end'!Z30</f>
        <v>0.41538780694478905</v>
      </c>
      <c r="AE75" s="136">
        <f>'LCI_AD-a'!$E37*'IW+_end'!AA30</f>
        <v>0.55118828252081775</v>
      </c>
      <c r="AF75" s="136">
        <f>'LCI_AD-a'!$E37*'IW+_end'!AB30</f>
        <v>6.0768319209760883E-3</v>
      </c>
      <c r="AG75" s="136">
        <f>'LCI_AD-a'!$E37*'IW+_end'!AC30</f>
        <v>15.958650340166795</v>
      </c>
      <c r="AH75" s="136">
        <f>'LCI_AD-a'!$E37*'IW+_end'!AD30</f>
        <v>1.2728497718566826E-4</v>
      </c>
      <c r="AI75" s="136">
        <f>'LCI_AD-a'!$E37*'IW+_end'!AE30</f>
        <v>3.7227889535239046E-4</v>
      </c>
      <c r="AJ75" s="136">
        <f>'LCI_AD-a'!$E37*'IW+_end'!AF30</f>
        <v>4.5471034246176504E-5</v>
      </c>
      <c r="AK75" s="136">
        <f>'LCI_AD-a'!$E37*'IW+_end'!AG30</f>
        <v>5.3968069191696767E-3</v>
      </c>
    </row>
    <row r="76" spans="1:41" x14ac:dyDescent="0.35">
      <c r="A76" s="136"/>
      <c r="B76" s="136" t="s">
        <v>229</v>
      </c>
      <c r="C76" s="136" t="e">
        <f>'LCI_AD-a'!$E38*'IW+_end'!#REF!</f>
        <v>#REF!</v>
      </c>
      <c r="D76" s="136" t="e">
        <f>'LCI_AD-a'!$E38*'IW+_end'!#REF!</f>
        <v>#REF!</v>
      </c>
      <c r="E76" s="136" t="e">
        <f>'LCI_AD-a'!$E38*'IW+_end'!#REF!</f>
        <v>#REF!</v>
      </c>
      <c r="F76" s="136" t="e">
        <f>'LCI_AD-a'!$E38*'IW+_end'!#REF!</f>
        <v>#REF!</v>
      </c>
      <c r="G76" s="136">
        <f>'LCI_AD-a'!$E38*'IW+_end'!C29</f>
        <v>3.8351252146686007E-17</v>
      </c>
      <c r="H76" s="136">
        <f>'LCI_AD-a'!$E38*'IW+_end'!D29</f>
        <v>9.0501306253378364E-2</v>
      </c>
      <c r="I76" s="136">
        <f>'LCI_AD-a'!$E38*'IW+_end'!E29</f>
        <v>2.4469188380433797</v>
      </c>
      <c r="J76" s="136">
        <f>'LCI_AD-a'!$E38*'IW+_end'!F29</f>
        <v>0.25452117604786123</v>
      </c>
      <c r="K76" s="136">
        <f>'LCI_AD-a'!$E38*'IW+_end'!G29</f>
        <v>4.6061135544141327E-4</v>
      </c>
      <c r="L76" s="136">
        <f>'LCI_AD-a'!$E38*'IW+_end'!H29</f>
        <v>6.7954840852507947E-8</v>
      </c>
      <c r="M76" s="136">
        <f>'LCI_AD-a'!$E38*'IW+_end'!I29</f>
        <v>3.3822653762640168E-6</v>
      </c>
      <c r="N76" s="136">
        <f>'LCI_AD-a'!$E38*'IW+_end'!J29</f>
        <v>2.2580610786893007E-6</v>
      </c>
      <c r="O76" s="136">
        <f>'LCI_AD-a'!$E38*'IW+_end'!K29</f>
        <v>2.1001054301561887E-6</v>
      </c>
      <c r="P76" s="136">
        <f>'LCI_AD-a'!$E38*'IW+_end'!L29</f>
        <v>8.4101397978904736E-10</v>
      </c>
      <c r="Q76" s="136">
        <f>'LCI_AD-a'!$E38*'IW+_end'!M29</f>
        <v>1.4609866583635377E-8</v>
      </c>
      <c r="R76" s="136">
        <f>'LCI_AD-a'!$E38*'IW+_end'!N29</f>
        <v>0.43774715871875158</v>
      </c>
      <c r="S76" s="136">
        <f>'LCI_AD-a'!$E38*'IW+_end'!O29</f>
        <v>0.80750302297936827</v>
      </c>
      <c r="T76" s="136">
        <f>'LCI_AD-a'!$E38*'IW+_end'!P29</f>
        <v>1.6899583886444969</v>
      </c>
      <c r="U76" s="136">
        <f>'LCI_AD-a'!$E38*'IW+_end'!Q29</f>
        <v>0.18344835910684987</v>
      </c>
      <c r="V76" s="136">
        <f>'LCI_AD-a'!$E38*'IW+_end'!R29</f>
        <v>4.1839195543371516E-6</v>
      </c>
      <c r="W76" s="136">
        <f>'LCI_AD-a'!$E38*'IW+_end'!S29</f>
        <v>5.2373234079643975E-6</v>
      </c>
      <c r="X76" s="136">
        <f>'LCI_AD-a'!$E38*'IW+_end'!T29</f>
        <v>1.4808884601528851E-2</v>
      </c>
      <c r="Y76" s="136">
        <f>'LCI_AD-a'!$E38*'IW+_end'!U29</f>
        <v>4.9916504449657591E-10</v>
      </c>
      <c r="Z76" s="136">
        <f>'LCI_AD-a'!$E38*'IW+_end'!V29</f>
        <v>8.31333748111013E-6</v>
      </c>
      <c r="AA76" s="136">
        <f>'LCI_AD-a'!$E38*'IW+_end'!W29</f>
        <v>0.40037884805765755</v>
      </c>
      <c r="AB76" s="136">
        <f>'LCI_AD-a'!$E38*'IW+_end'!X29</f>
        <v>3.9818577660412446E-8</v>
      </c>
      <c r="AC76" s="136">
        <f>'LCI_AD-a'!$E38*'IW+_end'!Y29</f>
        <v>0.62383457282664401</v>
      </c>
      <c r="AD76" s="136">
        <f>'LCI_AD-a'!$E38*'IW+_end'!Z29</f>
        <v>0.1527138918650883</v>
      </c>
      <c r="AE76" s="136">
        <f>'LCI_AD-a'!$E38*'IW+_end'!AA29</f>
        <v>0.19116230439070045</v>
      </c>
      <c r="AF76" s="136">
        <f>'LCI_AD-a'!$E38*'IW+_end'!AB29</f>
        <v>9.4055367393750227E-4</v>
      </c>
      <c r="AG76" s="136">
        <f>'LCI_AD-a'!$E38*'IW+_end'!AC29</f>
        <v>7.2952399512863906</v>
      </c>
      <c r="AH76" s="136">
        <f>'LCI_AD-a'!$E38*'IW+_end'!AD29</f>
        <v>2.1865133731379996E-5</v>
      </c>
      <c r="AI76" s="136">
        <f>'LCI_AD-a'!$E38*'IW+_end'!AE29</f>
        <v>4.6572544448635516E-5</v>
      </c>
      <c r="AJ76" s="136">
        <f>'LCI_AD-a'!$E38*'IW+_end'!AF29</f>
        <v>5.6884819150193094E-6</v>
      </c>
      <c r="AK76" s="136">
        <f>'LCI_AD-a'!$E38*'IW+_end'!AG29</f>
        <v>2.8604009288160393E-4</v>
      </c>
    </row>
    <row r="77" spans="1:41" x14ac:dyDescent="0.35">
      <c r="A77" s="136"/>
      <c r="B77" s="136" t="s">
        <v>231</v>
      </c>
      <c r="C77" s="138" t="e">
        <f>'LCI_AD-a'!$E39*'IW+_end'!#REF!</f>
        <v>#REF!</v>
      </c>
      <c r="D77" s="138" t="e">
        <f>'LCI_AD-a'!$E39*'IW+_end'!#REF!</f>
        <v>#REF!</v>
      </c>
      <c r="E77" s="138" t="e">
        <f>'LCI_AD-a'!$E39*'IW+_end'!#REF!</f>
        <v>#REF!</v>
      </c>
      <c r="F77" s="138" t="e">
        <f>'LCI_AD-a'!$E39*'IW+_end'!#REF!</f>
        <v>#REF!</v>
      </c>
      <c r="G77" s="138">
        <f>'LCI_AD-a'!$E39*'IW+_end'!C31</f>
        <v>3.0491391466362166E-19</v>
      </c>
      <c r="H77" s="138">
        <f>'LCI_AD-a'!$E39*'IW+_end'!D31</f>
        <v>1.046146153532156E-2</v>
      </c>
      <c r="I77" s="138">
        <f>'LCI_AD-a'!$E39*'IW+_end'!E31</f>
        <v>0.11901578469016609</v>
      </c>
      <c r="J77" s="138">
        <f>'LCI_AD-a'!$E39*'IW+_end'!F31</f>
        <v>4.908992412564956E-2</v>
      </c>
      <c r="K77" s="138">
        <f>'LCI_AD-a'!$E39*'IW+_end'!G31</f>
        <v>5.6691689946885326E-5</v>
      </c>
      <c r="L77" s="138">
        <f>'LCI_AD-a'!$E39*'IW+_end'!H31</f>
        <v>6.7550671281044935E-9</v>
      </c>
      <c r="M77" s="138">
        <f>'LCI_AD-a'!$E39*'IW+_end'!I31</f>
        <v>5.0618565452077096E-7</v>
      </c>
      <c r="N77" s="138">
        <f>'LCI_AD-a'!$E39*'IW+_end'!J31</f>
        <v>2.1467934456613754E-7</v>
      </c>
      <c r="O77" s="138">
        <f>'LCI_AD-a'!$E39*'IW+_end'!K31</f>
        <v>1.7957782371438014E-7</v>
      </c>
      <c r="P77" s="138">
        <f>'LCI_AD-a'!$E39*'IW+_end'!L31</f>
        <v>1.6022314895915818E-9</v>
      </c>
      <c r="Q77" s="138">
        <f>'LCI_AD-a'!$E39*'IW+_end'!M31</f>
        <v>2.0177684973598105E-8</v>
      </c>
      <c r="R77" s="138">
        <f>'LCI_AD-a'!$E39*'IW+_end'!N31</f>
        <v>0.11921370434443354</v>
      </c>
      <c r="S77" s="138">
        <f>'LCI_AD-a'!$E39*'IW+_end'!O31</f>
        <v>0.61820534214003264</v>
      </c>
      <c r="T77" s="138">
        <f>'LCI_AD-a'!$E39*'IW+_end'!P31</f>
        <v>0.17230378437011609</v>
      </c>
      <c r="U77" s="138">
        <f>'LCI_AD-a'!$E39*'IW+_end'!Q31</f>
        <v>1.8703882311647237E-2</v>
      </c>
      <c r="V77" s="138">
        <f>'LCI_AD-a'!$E39*'IW+_end'!R31</f>
        <v>4.3247977508719187E-7</v>
      </c>
      <c r="W77" s="138">
        <f>'LCI_AD-a'!$E39*'IW+_end'!S31</f>
        <v>2.8867790436279976E-7</v>
      </c>
      <c r="X77" s="138">
        <f>'LCI_AD-a'!$E39*'IW+_end'!T31</f>
        <v>2.2910853538287757E-3</v>
      </c>
      <c r="Y77" s="138">
        <f>'LCI_AD-a'!$E39*'IW+_end'!U31</f>
        <v>3.075983958431578E-11</v>
      </c>
      <c r="Z77" s="138">
        <f>'LCI_AD-a'!$E39*'IW+_end'!V31</f>
        <v>1.094512707880644E-6</v>
      </c>
      <c r="AA77" s="138">
        <f>'LCI_AD-a'!$E39*'IW+_end'!W31</f>
        <v>6.810018375812045E-2</v>
      </c>
      <c r="AB77" s="138">
        <f>'LCI_AD-a'!$E39*'IW+_end'!X31</f>
        <v>6.895530787489346E-9</v>
      </c>
      <c r="AC77" s="138">
        <f>'LCI_AD-a'!$E39*'IW+_end'!Y31</f>
        <v>7.5961335576372038E-2</v>
      </c>
      <c r="AD77" s="138">
        <f>'LCI_AD-a'!$E39*'IW+_end'!Z31</f>
        <v>1.5785724432708065E-2</v>
      </c>
      <c r="AE77" s="138">
        <f>'LCI_AD-a'!$E39*'IW+_end'!AA31</f>
        <v>1.053674350924219E-2</v>
      </c>
      <c r="AF77" s="138">
        <f>'LCI_AD-a'!$E39*'IW+_end'!AB31</f>
        <v>1.2384486383477695E-3</v>
      </c>
      <c r="AG77" s="138">
        <f>'LCI_AD-a'!$E39*'IW+_end'!AC31</f>
        <v>1.3042077930147324</v>
      </c>
      <c r="AH77" s="138">
        <f>'LCI_AD-a'!$E39*'IW+_end'!AD31</f>
        <v>6.9685299936620097E-6</v>
      </c>
      <c r="AI77" s="138">
        <f>'LCI_AD-a'!$E39*'IW+_end'!AE31</f>
        <v>4.0442269028901048E-5</v>
      </c>
      <c r="AJ77" s="138">
        <f>'LCI_AD-a'!$E39*'IW+_end'!AF31</f>
        <v>4.9397154202513011E-6</v>
      </c>
      <c r="AK77" s="138">
        <f>'LCI_AD-a'!$E39*'IW+_end'!AG31</f>
        <v>2.3202531509859688E-2</v>
      </c>
      <c r="AL77" s="5"/>
      <c r="AM77" s="5"/>
      <c r="AN77" s="5"/>
      <c r="AO77" s="5"/>
    </row>
    <row r="78" spans="1:41" x14ac:dyDescent="0.35">
      <c r="A78" s="136"/>
      <c r="B78" s="136" t="s">
        <v>423</v>
      </c>
      <c r="C78" s="136" t="e">
        <f>'LCI_AD-a'!$E40*'IW+_end'!#REF!</f>
        <v>#REF!</v>
      </c>
      <c r="D78" s="136" t="e">
        <f>'LCI_AD-a'!$E40*'IW+_end'!#REF!</f>
        <v>#REF!</v>
      </c>
      <c r="E78" s="136" t="e">
        <f>'LCI_AD-a'!$E40*'IW+_end'!#REF!</f>
        <v>#REF!</v>
      </c>
      <c r="F78" s="136" t="e">
        <f>'LCI_AD-a'!$E40*'IW+_end'!#REF!</f>
        <v>#REF!</v>
      </c>
      <c r="G78" s="136">
        <f>'LCI_AD-a'!$E40*'IW+_end'!C39</f>
        <v>3.9673695173877574E-18</v>
      </c>
      <c r="H78" s="136">
        <f>'LCI_AD-a'!$E40*'IW+_end'!D39</f>
        <v>0.6238370824175532</v>
      </c>
      <c r="I78" s="136">
        <f>'LCI_AD-a'!$E40*'IW+_end'!E39</f>
        <v>4.1365669496789703</v>
      </c>
      <c r="J78" s="136">
        <f>'LCI_AD-a'!$E40*'IW+_end'!F39</f>
        <v>2.0252631543595361</v>
      </c>
      <c r="K78" s="136">
        <f>'LCI_AD-a'!$E40*'IW+_end'!G39</f>
        <v>3.1152090869692628E-3</v>
      </c>
      <c r="L78" s="136">
        <f>'LCI_AD-a'!$E40*'IW+_end'!H39</f>
        <v>3.2448595735356284E-7</v>
      </c>
      <c r="M78" s="136">
        <f>'LCI_AD-a'!$E40*'IW+_end'!I39</f>
        <v>9.0034625458115586E-6</v>
      </c>
      <c r="N78" s="136">
        <f>'LCI_AD-a'!$E40*'IW+_end'!J39</f>
        <v>8.6478447897322669E-6</v>
      </c>
      <c r="O78" s="136">
        <f>'LCI_AD-a'!$E40*'IW+_end'!K39</f>
        <v>4.7770483376190579E-6</v>
      </c>
      <c r="P78" s="136">
        <f>'LCI_AD-a'!$E40*'IW+_end'!L39</f>
        <v>2.5015931046411975E-9</v>
      </c>
      <c r="Q78" s="136">
        <f>'LCI_AD-a'!$E40*'IW+_end'!M39</f>
        <v>4.7010917339658551E-8</v>
      </c>
      <c r="R78" s="136">
        <f>'LCI_AD-a'!$E40*'IW+_end'!N39</f>
        <v>0.26251724143939015</v>
      </c>
      <c r="S78" s="136">
        <f>'LCI_AD-a'!$E40*'IW+_end'!O39</f>
        <v>2.1515011718787056</v>
      </c>
      <c r="T78" s="136">
        <f>'LCI_AD-a'!$E40*'IW+_end'!P39</f>
        <v>28.68629001170623</v>
      </c>
      <c r="U78" s="136">
        <f>'LCI_AD-a'!$E40*'IW+_end'!Q39</f>
        <v>3.1139692488580235</v>
      </c>
      <c r="V78" s="136">
        <f>'LCI_AD-a'!$E40*'IW+_end'!R39</f>
        <v>4.2289696907459561E-6</v>
      </c>
      <c r="W78" s="136">
        <f>'LCI_AD-a'!$E40*'IW+_end'!S39</f>
        <v>3.8397116961518526E-6</v>
      </c>
      <c r="X78" s="136">
        <f>'LCI_AD-a'!$E40*'IW+_end'!T39</f>
        <v>0.1196013427043396</v>
      </c>
      <c r="Y78" s="136">
        <f>'LCI_AD-a'!$E40*'IW+_end'!U39</f>
        <v>6.4525463139700086E-9</v>
      </c>
      <c r="Z78" s="136">
        <f>'LCI_AD-a'!$E40*'IW+_end'!V39</f>
        <v>3.6104827515428799E-5</v>
      </c>
      <c r="AA78" s="136">
        <f>'LCI_AD-a'!$E40*'IW+_end'!W39</f>
        <v>2.0236362875930318</v>
      </c>
      <c r="AB78" s="136">
        <f>'LCI_AD-a'!$E40*'IW+_end'!X39</f>
        <v>1.8097229525607338E-7</v>
      </c>
      <c r="AC78" s="136">
        <f>'LCI_AD-a'!$E40*'IW+_end'!Y39</f>
        <v>3.9862288094108491</v>
      </c>
      <c r="AD78" s="136">
        <f>'LCI_AD-a'!$E40*'IW+_end'!Z39</f>
        <v>0.15437581603743655</v>
      </c>
      <c r="AE78" s="136">
        <f>'LCI_AD-a'!$E40*'IW+_end'!AA39</f>
        <v>0.14014947690954263</v>
      </c>
      <c r="AF78" s="136">
        <f>'LCI_AD-a'!$E40*'IW+_end'!AB39</f>
        <v>2.2461447721529837E-3</v>
      </c>
      <c r="AG78" s="136">
        <f>'LCI_AD-a'!$E40*'IW+_end'!AC39</f>
        <v>47.429851259571443</v>
      </c>
      <c r="AH78" s="136">
        <f>'LCI_AD-a'!$E40*'IW+_end'!AD39</f>
        <v>6.4404849186924177E-5</v>
      </c>
      <c r="AI78" s="136">
        <f>'LCI_AD-a'!$E40*'IW+_end'!AE39</f>
        <v>4.3496318159612132E-5</v>
      </c>
      <c r="AJ78" s="136">
        <f>'LCI_AD-a'!$E40*'IW+_end'!AF39</f>
        <v>5.3127442820692258E-6</v>
      </c>
      <c r="AK78" s="136">
        <f>'LCI_AD-a'!$E40*'IW+_end'!AG39</f>
        <v>5.0174521756887942E-4</v>
      </c>
    </row>
    <row r="79" spans="1:41" x14ac:dyDescent="0.35">
      <c r="A79" s="136"/>
      <c r="B79" s="136" t="s">
        <v>424</v>
      </c>
      <c r="C79" s="136" t="e">
        <f>'LCI_AD-a'!$E41*'IW+_end'!#REF!</f>
        <v>#REF!</v>
      </c>
      <c r="D79" s="136" t="e">
        <f>'LCI_AD-a'!$E41*'IW+_end'!#REF!</f>
        <v>#REF!</v>
      </c>
      <c r="E79" s="136" t="e">
        <f>'LCI_AD-a'!$E41*'IW+_end'!#REF!</f>
        <v>#REF!</v>
      </c>
      <c r="F79" s="136" t="e">
        <f>'LCI_AD-a'!$E41*'IW+_end'!#REF!</f>
        <v>#REF!</v>
      </c>
      <c r="G79" s="136">
        <f>'LCI_AD-a'!$E41*'IW+_end'!C37</f>
        <v>0</v>
      </c>
      <c r="H79" s="136">
        <f>'LCI_AD-a'!$E41*'IW+_end'!D37</f>
        <v>0.23662550888236969</v>
      </c>
      <c r="I79" s="136">
        <f>'LCI_AD-a'!$E41*'IW+_end'!E37</f>
        <v>12.108315032840842</v>
      </c>
      <c r="J79" s="136">
        <f>'LCI_AD-a'!$E41*'IW+_end'!F37</f>
        <v>1.4371636885110552</v>
      </c>
      <c r="K79" s="136">
        <f>'LCI_AD-a'!$E41*'IW+_end'!G37</f>
        <v>4.0622249555808555E-3</v>
      </c>
      <c r="L79" s="136">
        <f>'LCI_AD-a'!$E41*'IW+_end'!H37</f>
        <v>5.4461560905384284E-7</v>
      </c>
      <c r="M79" s="136">
        <f>'LCI_AD-a'!$E41*'IW+_end'!I37</f>
        <v>1.3331364997156277E-5</v>
      </c>
      <c r="N79" s="136">
        <f>'LCI_AD-a'!$E41*'IW+_end'!J37</f>
        <v>1.8886856784903247E-5</v>
      </c>
      <c r="O79" s="136">
        <f>'LCI_AD-a'!$E41*'IW+_end'!K37</f>
        <v>1.9523656823107286E-5</v>
      </c>
      <c r="P79" s="136">
        <f>'LCI_AD-a'!$E41*'IW+_end'!L37</f>
        <v>1.2614309644171173E-10</v>
      </c>
      <c r="Q79" s="136">
        <f>'LCI_AD-a'!$E41*'IW+_end'!M37</f>
        <v>4.285968707308519E-9</v>
      </c>
      <c r="R79" s="136">
        <f>'LCI_AD-a'!$E41*'IW+_end'!N37</f>
        <v>16.897643739603605</v>
      </c>
      <c r="S79" s="136">
        <f>'LCI_AD-a'!$E41*'IW+_end'!O37</f>
        <v>1.3516506822084688</v>
      </c>
      <c r="T79" s="136">
        <f>'LCI_AD-a'!$E41*'IW+_end'!P37</f>
        <v>2.3412449655898837</v>
      </c>
      <c r="U79" s="136">
        <f>'LCI_AD-a'!$E41*'IW+_end'!Q37</f>
        <v>0.25414366108400965</v>
      </c>
      <c r="V79" s="136">
        <f>'LCI_AD-a'!$E41*'IW+_end'!R37</f>
        <v>6.2321730200749992E-5</v>
      </c>
      <c r="W79" s="136">
        <f>'LCI_AD-a'!$E41*'IW+_end'!S37</f>
        <v>5.1519230442234284E-5</v>
      </c>
      <c r="X79" s="136">
        <f>'LCI_AD-a'!$E41*'IW+_end'!T37</f>
        <v>4.6880029269930179E-2</v>
      </c>
      <c r="Y79" s="136">
        <f>'LCI_AD-a'!$E41*'IW+_end'!U37</f>
        <v>8.7252377011813012E-10</v>
      </c>
      <c r="Z79" s="136">
        <f>'LCI_AD-a'!$E41*'IW+_end'!V37</f>
        <v>3.6459453477387854E-5</v>
      </c>
      <c r="AA79" s="136">
        <f>'LCI_AD-a'!$E41*'IW+_end'!W37</f>
        <v>1.0482919183462258</v>
      </c>
      <c r="AB79" s="136">
        <f>'LCI_AD-a'!$E41*'IW+_end'!X37</f>
        <v>1.0573497307417912E-7</v>
      </c>
      <c r="AC79" s="136">
        <f>'LCI_AD-a'!$E41*'IW+_end'!Y37</f>
        <v>1.7895537680917204</v>
      </c>
      <c r="AD79" s="136">
        <f>'LCI_AD-a'!$E41*'IW+_end'!Z37</f>
        <v>2.2747494855292798</v>
      </c>
      <c r="AE79" s="136">
        <f>'LCI_AD-a'!$E41*'IW+_end'!AA37</f>
        <v>1.880451911141551</v>
      </c>
      <c r="AF79" s="136">
        <f>'LCI_AD-a'!$E41*'IW+_end'!AB37</f>
        <v>7.1585660680085388E-3</v>
      </c>
      <c r="AG79" s="136">
        <f>'LCI_AD-a'!$E41*'IW+_end'!AC37</f>
        <v>41.679429531039659</v>
      </c>
      <c r="AH79" s="136">
        <f>'LCI_AD-a'!$E41*'IW+_end'!AD37</f>
        <v>9.56915437883427E-5</v>
      </c>
      <c r="AI79" s="136">
        <f>'LCI_AD-a'!$E41*'IW+_end'!AE37</f>
        <v>5.5956843467069346E-5</v>
      </c>
      <c r="AJ79" s="136">
        <f>'LCI_AD-a'!$E41*'IW+_end'!AF37</f>
        <v>6.8347026311825982E-6</v>
      </c>
      <c r="AK79" s="136">
        <f>'LCI_AD-a'!$E41*'IW+_end'!AG37</f>
        <v>1.3245509868690863E-3</v>
      </c>
    </row>
    <row r="81" spans="3:37" x14ac:dyDescent="0.35">
      <c r="C81" s="40" t="e">
        <f>C45+C67-C73</f>
        <v>#REF!</v>
      </c>
      <c r="D81" s="40" t="e">
        <f t="shared" ref="D81:AK81" si="12">D45+D67-D73</f>
        <v>#REF!</v>
      </c>
      <c r="E81" s="40" t="e">
        <f t="shared" si="12"/>
        <v>#REF!</v>
      </c>
      <c r="F81" s="40" t="e">
        <f t="shared" si="12"/>
        <v>#REF!</v>
      </c>
      <c r="G81" s="40">
        <f t="shared" si="12"/>
        <v>-2.003024806018891E-16</v>
      </c>
      <c r="H81" s="40">
        <f t="shared" si="12"/>
        <v>6.3613384032127804</v>
      </c>
      <c r="I81" s="40">
        <f t="shared" si="12"/>
        <v>-20.954292225506993</v>
      </c>
      <c r="J81" s="40">
        <f t="shared" si="12"/>
        <v>-4.2343379624033526</v>
      </c>
      <c r="K81" s="40">
        <f t="shared" si="12"/>
        <v>-0.35274067201439496</v>
      </c>
      <c r="L81" s="40">
        <f t="shared" si="12"/>
        <v>-1.1095332565439104E-6</v>
      </c>
      <c r="M81" s="40">
        <f t="shared" si="12"/>
        <v>-2.7433113137575155E-5</v>
      </c>
      <c r="N81" s="40">
        <f t="shared" si="12"/>
        <v>-3.5953044095272755E-5</v>
      </c>
      <c r="O81" s="40">
        <f t="shared" si="12"/>
        <v>-1.9121159813512076E-5</v>
      </c>
      <c r="P81" s="40">
        <f t="shared" si="12"/>
        <v>1.5072323119544782E-10</v>
      </c>
      <c r="Q81" s="40">
        <f t="shared" si="12"/>
        <v>1.6160558802643782E-7</v>
      </c>
      <c r="R81" s="40">
        <f t="shared" si="12"/>
        <v>-17.56210608383028</v>
      </c>
      <c r="S81" s="40">
        <f t="shared" si="12"/>
        <v>-6.0414583174940031</v>
      </c>
      <c r="T81" s="40">
        <f t="shared" si="12"/>
        <v>-54.224328868720747</v>
      </c>
      <c r="U81" s="40">
        <f t="shared" si="12"/>
        <v>-5.8861839541556762</v>
      </c>
      <c r="V81" s="40">
        <f t="shared" si="12"/>
        <v>-8.1029590567539099E-5</v>
      </c>
      <c r="W81" s="40">
        <f t="shared" si="12"/>
        <v>-8.0484930470418783E-5</v>
      </c>
      <c r="X81" s="40">
        <f t="shared" si="12"/>
        <v>-0.87723091439723189</v>
      </c>
      <c r="Y81" s="40">
        <f t="shared" si="12"/>
        <v>-8.4793134399301125E-9</v>
      </c>
      <c r="Z81" s="40">
        <f t="shared" si="12"/>
        <v>6.8298389011803534E-4</v>
      </c>
      <c r="AA81" s="40">
        <f t="shared" si="12"/>
        <v>-3.1382971982165744</v>
      </c>
      <c r="AB81" s="40">
        <f t="shared" si="12"/>
        <v>-2.8861740742683993E-7</v>
      </c>
      <c r="AC81" s="40">
        <f t="shared" si="12"/>
        <v>92.416980034635856</v>
      </c>
      <c r="AD81" s="40">
        <f t="shared" si="12"/>
        <v>-2.9575983500088761</v>
      </c>
      <c r="AE81" s="40">
        <f t="shared" si="12"/>
        <v>-2.9376999621702851</v>
      </c>
      <c r="AF81" s="40">
        <f t="shared" si="12"/>
        <v>-1.2245242732308608E-2</v>
      </c>
      <c r="AG81" s="40">
        <f t="shared" si="12"/>
        <v>-20.43202711291886</v>
      </c>
      <c r="AH81" s="40">
        <f t="shared" si="12"/>
        <v>5.0435651618372279E-4</v>
      </c>
      <c r="AI81" s="40">
        <f t="shared" si="12"/>
        <v>-7.7675761901233932E-4</v>
      </c>
      <c r="AJ81" s="40">
        <f t="shared" si="12"/>
        <v>-9.4875032498568265E-5</v>
      </c>
      <c r="AK81" s="40">
        <f t="shared" si="12"/>
        <v>-3.0887527127466109E-2</v>
      </c>
    </row>
  </sheetData>
  <mergeCells count="2">
    <mergeCell ref="A3:G3"/>
    <mergeCell ref="A43:AK43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9C4D1-8AB5-47BD-9863-945ED9514357}">
  <dimension ref="A1:AQ84"/>
  <sheetViews>
    <sheetView topLeftCell="AD57" workbookViewId="0">
      <selection activeCell="AH84" sqref="AH84"/>
    </sheetView>
  </sheetViews>
  <sheetFormatPr baseColWidth="10" defaultRowHeight="14.5" x14ac:dyDescent="0.35"/>
  <cols>
    <col min="1" max="1" width="16.6328125" bestFit="1" customWidth="1"/>
    <col min="2" max="2" width="30.26953125" customWidth="1"/>
    <col min="3" max="3" width="12.453125" bestFit="1" customWidth="1"/>
    <col min="4" max="4" width="11.81640625" bestFit="1" customWidth="1"/>
    <col min="5" max="5" width="13.08984375" bestFit="1" customWidth="1"/>
    <col min="6" max="6" width="11.81640625" bestFit="1" customWidth="1"/>
    <col min="7" max="7" width="12.453125" bestFit="1" customWidth="1"/>
    <col min="8" max="8" width="13.1796875" bestFit="1" customWidth="1"/>
    <col min="9" max="9" width="12" bestFit="1" customWidth="1"/>
    <col min="10" max="10" width="11.81640625" bestFit="1" customWidth="1"/>
    <col min="11" max="12" width="13.08984375" bestFit="1" customWidth="1"/>
    <col min="13" max="16" width="11.81640625" bestFit="1" customWidth="1"/>
    <col min="17" max="17" width="15.26953125" bestFit="1" customWidth="1"/>
    <col min="18" max="19" width="19.90625" bestFit="1" customWidth="1"/>
    <col min="20" max="32" width="11.81640625" bestFit="1" customWidth="1"/>
  </cols>
  <sheetData>
    <row r="1" spans="1:20" ht="87" x14ac:dyDescent="0.35">
      <c r="A1" s="34" t="s">
        <v>0</v>
      </c>
      <c r="B1" s="30"/>
      <c r="C1" s="32" t="s">
        <v>32</v>
      </c>
      <c r="D1" s="32" t="s">
        <v>33</v>
      </c>
      <c r="E1" s="32" t="s">
        <v>34</v>
      </c>
      <c r="F1" s="32" t="s">
        <v>35</v>
      </c>
      <c r="G1" s="32" t="s">
        <v>36</v>
      </c>
      <c r="H1" s="32" t="s">
        <v>37</v>
      </c>
      <c r="I1" s="32" t="s">
        <v>38</v>
      </c>
      <c r="J1" s="32" t="s">
        <v>39</v>
      </c>
      <c r="K1" s="32" t="s">
        <v>40</v>
      </c>
      <c r="L1" s="32" t="s">
        <v>41</v>
      </c>
      <c r="M1" s="32" t="s">
        <v>42</v>
      </c>
      <c r="N1" s="32" t="s">
        <v>43</v>
      </c>
      <c r="O1" s="32" t="s">
        <v>44</v>
      </c>
      <c r="P1" s="32" t="s">
        <v>45</v>
      </c>
      <c r="Q1" s="32" t="s">
        <v>46</v>
      </c>
      <c r="R1" s="32" t="s">
        <v>47</v>
      </c>
      <c r="S1" s="32" t="s">
        <v>48</v>
      </c>
      <c r="T1" s="32" t="s">
        <v>49</v>
      </c>
    </row>
    <row r="2" spans="1:20" x14ac:dyDescent="0.35">
      <c r="A2" t="s">
        <v>5</v>
      </c>
    </row>
    <row r="3" spans="1:20" x14ac:dyDescent="0.35">
      <c r="B3" t="s">
        <v>249</v>
      </c>
      <c r="C3">
        <f>LCI!$E102*impact_process_mid!C2</f>
        <v>9.0312821927291157E-4</v>
      </c>
      <c r="D3">
        <f>LCI!$E102*impact_process_mid!D2</f>
        <v>0.79247376131455494</v>
      </c>
      <c r="E3">
        <f>LCI!$E102*impact_process_mid!E2</f>
        <v>6.1910242536206021E-2</v>
      </c>
      <c r="F3">
        <f>LCI!$E102*impact_process_mid!F2</f>
        <v>7.8345670962325933E-2</v>
      </c>
      <c r="G3">
        <f>LCI!$E102*impact_process_mid!G2</f>
        <v>5.6623344657000505</v>
      </c>
      <c r="H3">
        <f>LCI!$E102*impact_process_mid!H2</f>
        <v>0.24326940164457148</v>
      </c>
      <c r="I3">
        <f>LCI!$E102*impact_process_mid!I2</f>
        <v>1.5313456823503233E-4</v>
      </c>
      <c r="J3">
        <f>LCI!$E102*impact_process_mid!J2</f>
        <v>1.1543479523576296E-4</v>
      </c>
      <c r="K3">
        <f>LCI!$E102*impact_process_mid!K2</f>
        <v>5.902930824914978E-2</v>
      </c>
      <c r="L3">
        <f>LCI!$E102*impact_process_mid!L2</f>
        <v>1.2768809947849726</v>
      </c>
      <c r="M3">
        <f>LCI!$E102*impact_process_mid!M2</f>
        <v>5.4896610827526633</v>
      </c>
      <c r="N3">
        <f>LCI!$E102*impact_process_mid!N2</f>
        <v>2.8448734985388312E-2</v>
      </c>
      <c r="O3">
        <f>LCI!$E102*impact_process_mid!O2</f>
        <v>1.7691736994575557E-2</v>
      </c>
      <c r="P3">
        <f>LCI!$E102*impact_process_mid!P2</f>
        <v>8.628622072860003E-7</v>
      </c>
      <c r="Q3">
        <f>LCI!$E102*impact_process_mid!Q2</f>
        <v>5.0090706833172773E-4</v>
      </c>
      <c r="R3">
        <f>LCI!$E102*impact_process_mid!R2</f>
        <v>8.1527565031312655E-4</v>
      </c>
      <c r="S3">
        <f>LCI!$E102*impact_process_mid!S2</f>
        <v>9.0017742771662421E-4</v>
      </c>
      <c r="T3">
        <f>LCI!$E102*impact_process_mid!T2</f>
        <v>3.1289649930023082E-2</v>
      </c>
    </row>
    <row r="4" spans="1:20" x14ac:dyDescent="0.35">
      <c r="B4" t="s">
        <v>250</v>
      </c>
      <c r="C4">
        <f>LCI!E$103*impact_process_mid!C3</f>
        <v>0</v>
      </c>
      <c r="D4">
        <f>LCI!F$103*impact_process_mid!D3</f>
        <v>0</v>
      </c>
      <c r="E4">
        <f>LCI!G$103*impact_process_mid!E3</f>
        <v>0</v>
      </c>
      <c r="F4">
        <f>LCI!H$103*impact_process_mid!F3</f>
        <v>0</v>
      </c>
      <c r="G4">
        <f>LCI!I$103*impact_process_mid!G3</f>
        <v>0</v>
      </c>
      <c r="H4">
        <f>LCI!J$103*impact_process_mid!H3</f>
        <v>0</v>
      </c>
      <c r="I4">
        <f>LCI!K$103*impact_process_mid!I3</f>
        <v>0</v>
      </c>
      <c r="J4">
        <f>LCI!L$103*impact_process_mid!J3</f>
        <v>0</v>
      </c>
      <c r="K4">
        <f>LCI!M$103*impact_process_mid!K3</f>
        <v>0</v>
      </c>
      <c r="L4">
        <f>LCI!N$103*impact_process_mid!L3</f>
        <v>0</v>
      </c>
      <c r="M4">
        <f>LCI!O$103*impact_process_mid!M3</f>
        <v>0</v>
      </c>
      <c r="N4">
        <f>LCI!P$103*impact_process_mid!N3</f>
        <v>0</v>
      </c>
      <c r="O4">
        <f>LCI!Q$103*impact_process_mid!O3</f>
        <v>0</v>
      </c>
      <c r="P4">
        <f>LCI!R$103*impact_process_mid!P3</f>
        <v>0</v>
      </c>
      <c r="Q4">
        <f>LCI!S$103*impact_process_mid!Q3</f>
        <v>0</v>
      </c>
      <c r="R4">
        <f>LCI!T$103*impact_process_mid!R3</f>
        <v>0</v>
      </c>
      <c r="S4">
        <f>LCI!U$103*impact_process_mid!S3</f>
        <v>0</v>
      </c>
      <c r="T4">
        <f>LCI!V$103*impact_process_mid!T3</f>
        <v>0</v>
      </c>
    </row>
    <row r="5" spans="1:20" x14ac:dyDescent="0.35">
      <c r="A5" t="s">
        <v>235</v>
      </c>
    </row>
    <row r="6" spans="1:20" x14ac:dyDescent="0.35">
      <c r="B6" t="s">
        <v>235</v>
      </c>
      <c r="C6">
        <f>LCI!$E105*impact_process_mid!C4</f>
        <v>3.136868825731589E-2</v>
      </c>
      <c r="D6">
        <f>LCI!$E105*impact_process_mid!D4</f>
        <v>9.4255904120400142</v>
      </c>
      <c r="E6">
        <f>LCI!$E105*impact_process_mid!E4</f>
        <v>1.5611552242218518</v>
      </c>
      <c r="F6">
        <f>LCI!$E105*impact_process_mid!F4</f>
        <v>2.0858238050040208</v>
      </c>
      <c r="G6">
        <f>LCI!$E105*impact_process_mid!G4</f>
        <v>21.548877259610556</v>
      </c>
      <c r="H6">
        <f>LCI!$E105*impact_process_mid!H4</f>
        <v>1.3294787034626672</v>
      </c>
      <c r="I6">
        <f>LCI!$E105*impact_process_mid!I4</f>
        <v>1.1197025726516924E-2</v>
      </c>
      <c r="J6">
        <f>LCI!$E105*impact_process_mid!J4</f>
        <v>2.7794864281369667E-3</v>
      </c>
      <c r="K6">
        <f>LCI!$E105*impact_process_mid!K4</f>
        <v>2.4266598230865393</v>
      </c>
      <c r="L6">
        <f>LCI!$E105*impact_process_mid!L4</f>
        <v>69.7281472144969</v>
      </c>
      <c r="M6">
        <f>LCI!$E105*impact_process_mid!M4</f>
        <v>8.7992078302411347E-2</v>
      </c>
      <c r="N6">
        <f>LCI!$E105*impact_process_mid!N4</f>
        <v>0.18236019814038193</v>
      </c>
      <c r="O6">
        <f>LCI!$E105*impact_process_mid!O4</f>
        <v>0.26656717341724856</v>
      </c>
      <c r="P6">
        <f>LCI!$E105*impact_process_mid!P4</f>
        <v>1.3290851713605362E-4</v>
      </c>
      <c r="Q6">
        <f>LCI!$E105*impact_process_mid!Q4</f>
        <v>1.2432831017476624E-2</v>
      </c>
      <c r="R6">
        <f>LCI!$E105*impact_process_mid!R4</f>
        <v>5.9315702886485758E-2</v>
      </c>
      <c r="S6">
        <f>LCI!$E105*impact_process_mid!S4</f>
        <v>6.0004988619273968E-2</v>
      </c>
      <c r="T6">
        <f>LCI!$E105*impact_process_mid!T4</f>
        <v>0.41857403055794579</v>
      </c>
    </row>
    <row r="7" spans="1:20" x14ac:dyDescent="0.35">
      <c r="A7" t="s">
        <v>300</v>
      </c>
    </row>
    <row r="8" spans="1:20" x14ac:dyDescent="0.35">
      <c r="B8" t="s">
        <v>301</v>
      </c>
      <c r="C8">
        <f>LCI!$E108*impact_process_mid!C33</f>
        <v>1.1007509212333287E-2</v>
      </c>
      <c r="D8">
        <f>LCI!$E108*impact_process_mid!D33</f>
        <v>4.4318594938060549</v>
      </c>
      <c r="E8">
        <f>LCI!$E108*impact_process_mid!E33</f>
        <v>9.9567826162909726E-2</v>
      </c>
      <c r="F8">
        <f>LCI!$E108*impact_process_mid!F33</f>
        <v>0.15522085803209926</v>
      </c>
      <c r="G8">
        <f>LCI!$E108*impact_process_mid!G33</f>
        <v>44.455753501337973</v>
      </c>
      <c r="H8">
        <f>LCI!$E108*impact_process_mid!H33</f>
        <v>1.3377300395890046</v>
      </c>
      <c r="I8">
        <f>LCI!$E108*impact_process_mid!I33</f>
        <v>1.5219498301338365E-3</v>
      </c>
      <c r="J8">
        <f>LCI!$E108*impact_process_mid!J33</f>
        <v>2.4301467071871353E-4</v>
      </c>
      <c r="K8">
        <f>LCI!$E108*impact_process_mid!K33</f>
        <v>0.30827398320100219</v>
      </c>
      <c r="L8">
        <f>LCI!$E108*impact_process_mid!L33</f>
        <v>2.6693464213447253</v>
      </c>
      <c r="M8">
        <f>LCI!$E108*impact_process_mid!M33</f>
        <v>0.38281550147864518</v>
      </c>
      <c r="N8">
        <f>LCI!$E108*impact_process_mid!N33</f>
        <v>45.177499794994844</v>
      </c>
      <c r="O8">
        <f>LCI!$E108*impact_process_mid!O33</f>
        <v>8.0385105116385233E-2</v>
      </c>
      <c r="P8">
        <f>LCI!$E108*impact_process_mid!P33</f>
        <v>1.6405995294956135E-6</v>
      </c>
      <c r="Q8">
        <f>LCI!$E108*impact_process_mid!Q33</f>
        <v>4.8381727669149187E-3</v>
      </c>
      <c r="R8">
        <f>LCI!$E108*impact_process_mid!R33</f>
        <v>1.988725100533794E-2</v>
      </c>
      <c r="S8">
        <f>LCI!$E108*impact_process_mid!S33</f>
        <v>2.180913403404932E-2</v>
      </c>
      <c r="T8">
        <f>LCI!$E108*impact_process_mid!T33</f>
        <v>2.0737906588186989E-2</v>
      </c>
    </row>
    <row r="9" spans="1:20" x14ac:dyDescent="0.35">
      <c r="A9" t="s">
        <v>302</v>
      </c>
    </row>
    <row r="10" spans="1:20" x14ac:dyDescent="0.35">
      <c r="B10" t="s">
        <v>303</v>
      </c>
      <c r="C10" s="5">
        <f>LCI!$E112*impact_process_mid!C11</f>
        <v>0</v>
      </c>
      <c r="D10" s="5">
        <f>LCI!$E112*impact_process_mid!D11</f>
        <v>4.7946052000000003</v>
      </c>
      <c r="E10" s="5">
        <f>LCI!$E112*impact_process_mid!E11</f>
        <v>0</v>
      </c>
      <c r="F10" s="5">
        <f>LCI!$E112*impact_process_mid!F11</f>
        <v>0</v>
      </c>
      <c r="G10" s="5">
        <f>LCI!$E112*impact_process_mid!G11</f>
        <v>0</v>
      </c>
      <c r="H10" s="5">
        <f>LCI!$E112*impact_process_mid!H11</f>
        <v>0</v>
      </c>
      <c r="I10" s="5">
        <f>LCI!$E112*impact_process_mid!I11</f>
        <v>0</v>
      </c>
      <c r="J10" s="5">
        <f>LCI!$E112*impact_process_mid!J11</f>
        <v>0</v>
      </c>
      <c r="K10" s="5">
        <f>LCI!$E112*impact_process_mid!K11</f>
        <v>0</v>
      </c>
      <c r="L10" s="5">
        <f>LCI!$E112*impact_process_mid!L11</f>
        <v>0</v>
      </c>
      <c r="M10" s="5">
        <f>LCI!$E112*impact_process_mid!M11</f>
        <v>0</v>
      </c>
      <c r="N10" s="5">
        <f>LCI!$E112*impact_process_mid!N11</f>
        <v>0</v>
      </c>
      <c r="O10" s="5">
        <f>LCI!$E112*impact_process_mid!O11</f>
        <v>0</v>
      </c>
      <c r="P10" s="5">
        <f>LCI!$E112*impact_process_mid!P11</f>
        <v>0</v>
      </c>
      <c r="Q10" s="5">
        <f>LCI!$E112*impact_process_mid!Q11</f>
        <v>0</v>
      </c>
      <c r="R10" s="5">
        <f>LCI!$E112*impact_process_mid!R11</f>
        <v>0</v>
      </c>
      <c r="S10" s="5">
        <f>LCI!$E112*impact_process_mid!S11</f>
        <v>0</v>
      </c>
      <c r="T10" s="5">
        <f>LCI!$E112*impact_process_mid!T11</f>
        <v>0</v>
      </c>
    </row>
    <row r="11" spans="1:20" x14ac:dyDescent="0.35">
      <c r="B11" t="s">
        <v>304</v>
      </c>
      <c r="C11" s="5">
        <f>LCI!$E113*impact_process_mid!C17</f>
        <v>0.37877901599999997</v>
      </c>
      <c r="D11" s="5">
        <f>LCI!$E113*impact_process_mid!D17</f>
        <v>0</v>
      </c>
      <c r="E11" s="5">
        <f>LCI!$E113*impact_process_mid!E17</f>
        <v>0</v>
      </c>
      <c r="F11" s="5">
        <f>LCI!$E113*impact_process_mid!F17</f>
        <v>0</v>
      </c>
      <c r="G11" s="5">
        <f>LCI!$E113*impact_process_mid!G17</f>
        <v>0</v>
      </c>
      <c r="H11" s="5">
        <f>LCI!$E113*impact_process_mid!H17</f>
        <v>0</v>
      </c>
      <c r="I11" s="5">
        <f>LCI!$E113*impact_process_mid!I17</f>
        <v>0</v>
      </c>
      <c r="J11" s="5">
        <f>LCI!$E113*impact_process_mid!J17</f>
        <v>0</v>
      </c>
      <c r="K11" s="5">
        <f>LCI!$E113*impact_process_mid!K17</f>
        <v>0</v>
      </c>
      <c r="L11" s="5">
        <f>LCI!$E113*impact_process_mid!L17</f>
        <v>0</v>
      </c>
      <c r="M11" s="5">
        <f>LCI!$E113*impact_process_mid!M17</f>
        <v>0</v>
      </c>
      <c r="N11" s="5">
        <f>LCI!$E113*impact_process_mid!N17</f>
        <v>0</v>
      </c>
      <c r="O11" s="5">
        <f>LCI!$E113*impact_process_mid!O17</f>
        <v>0</v>
      </c>
      <c r="P11" s="5">
        <f>LCI!$E113*impact_process_mid!P17</f>
        <v>0</v>
      </c>
      <c r="Q11" s="5">
        <f>LCI!$E113*impact_process_mid!Q17</f>
        <v>4.6381103999999999E-2</v>
      </c>
      <c r="R11" s="5">
        <f>LCI!$E113*impact_process_mid!R17</f>
        <v>0</v>
      </c>
      <c r="S11" s="5">
        <f>LCI!$E113*impact_process_mid!S17</f>
        <v>0</v>
      </c>
      <c r="T11" s="5">
        <f>LCI!$E113*impact_process_mid!T17</f>
        <v>0</v>
      </c>
    </row>
    <row r="12" spans="1:20" x14ac:dyDescent="0.35">
      <c r="B12" t="s">
        <v>305</v>
      </c>
      <c r="C12" s="5">
        <f>LCI!$E114*impact_process_mid!C19</f>
        <v>0</v>
      </c>
      <c r="D12" s="5">
        <f>LCI!$E114*impact_process_mid!D19</f>
        <v>17.9082057</v>
      </c>
      <c r="E12" s="5">
        <f>LCI!$E114*impact_process_mid!E19</f>
        <v>0</v>
      </c>
      <c r="F12" s="5">
        <f>LCI!$E114*impact_process_mid!F19</f>
        <v>0</v>
      </c>
      <c r="G12" s="5">
        <f>LCI!$E114*impact_process_mid!G19</f>
        <v>0</v>
      </c>
      <c r="H12" s="5">
        <f>LCI!$E114*impact_process_mid!H19</f>
        <v>0</v>
      </c>
      <c r="I12" s="5">
        <f>LCI!$E114*impact_process_mid!I19</f>
        <v>0</v>
      </c>
      <c r="J12" s="5">
        <f>LCI!$E114*impact_process_mid!J19</f>
        <v>0</v>
      </c>
      <c r="K12" s="5">
        <f>LCI!$E114*impact_process_mid!K19</f>
        <v>0</v>
      </c>
      <c r="L12" s="5">
        <f>LCI!$E114*impact_process_mid!L19</f>
        <v>0</v>
      </c>
      <c r="M12" s="5">
        <f>LCI!$E114*impact_process_mid!M19</f>
        <v>0</v>
      </c>
      <c r="N12" s="5">
        <f>LCI!$E114*impact_process_mid!N19</f>
        <v>0</v>
      </c>
      <c r="O12" s="5">
        <f>LCI!$E114*impact_process_mid!O19</f>
        <v>0</v>
      </c>
      <c r="P12" s="5">
        <f>LCI!$E114*impact_process_mid!P19</f>
        <v>6.6104114999999996E-4</v>
      </c>
      <c r="Q12" s="5">
        <f>LCI!$E114*impact_process_mid!Q19</f>
        <v>0</v>
      </c>
      <c r="R12" s="5">
        <f>LCI!$E114*impact_process_mid!R19</f>
        <v>0</v>
      </c>
      <c r="S12" s="5">
        <f>LCI!$E114*impact_process_mid!S19</f>
        <v>0</v>
      </c>
      <c r="T12" s="5">
        <f>LCI!$E114*impact_process_mid!T19</f>
        <v>0</v>
      </c>
    </row>
    <row r="13" spans="1:20" x14ac:dyDescent="0.35">
      <c r="B13" t="s">
        <v>249</v>
      </c>
      <c r="C13" s="5">
        <f>LCI!$E116*impact_process_mid!C2</f>
        <v>6.2712210015644057E-4</v>
      </c>
      <c r="D13" s="5">
        <f>LCI!$E116*impact_process_mid!D2</f>
        <v>0.55028488636371398</v>
      </c>
      <c r="E13" s="5">
        <f>LCI!$E116*impact_process_mid!E2</f>
        <v>4.2989777632856482E-2</v>
      </c>
      <c r="F13" s="5">
        <f>LCI!$E116*impact_process_mid!F2</f>
        <v>5.4402354686264399E-2</v>
      </c>
      <c r="G13" s="5">
        <f>LCI!$E116*impact_process_mid!G2</f>
        <v>3.9318615077456256</v>
      </c>
      <c r="H13" s="5">
        <f>LCI!$E116*impact_process_mid!H2</f>
        <v>0.16892354242453708</v>
      </c>
      <c r="I13" s="5">
        <f>LCI!$E116*impact_process_mid!I2</f>
        <v>1.0633492563815371E-4</v>
      </c>
      <c r="J13" s="5">
        <f>LCI!$E116*impact_process_mid!J2</f>
        <v>8.0156626351085889E-5</v>
      </c>
      <c r="K13" s="5">
        <f>LCI!$E116*impact_process_mid!K2</f>
        <v>4.0989289195050897E-2</v>
      </c>
      <c r="L13" s="5">
        <f>LCI!$E116*impact_process_mid!L2</f>
        <v>0.88665183305209017</v>
      </c>
      <c r="M13" s="5">
        <f>LCI!$E116*impact_process_mid!M2</f>
        <v>3.8119590484444847</v>
      </c>
      <c r="N13" s="5">
        <f>LCI!$E116*impact_process_mid!N2</f>
        <v>1.9754482309493088E-2</v>
      </c>
      <c r="O13" s="5">
        <f>LCI!$E116*impact_process_mid!O2</f>
        <v>1.228494362448984E-2</v>
      </c>
      <c r="P13" s="5">
        <f>LCI!$E116*impact_process_mid!P2</f>
        <v>5.9916183331582984E-7</v>
      </c>
      <c r="Q13" s="5">
        <f>LCI!$E116*impact_process_mid!Q2</f>
        <v>3.4782424684758241E-4</v>
      </c>
      <c r="R13" s="5">
        <f>LCI!$E116*impact_process_mid!R2</f>
        <v>5.661182621913794E-4</v>
      </c>
      <c r="S13" s="5">
        <f>LCI!$E116*impact_process_mid!S2</f>
        <v>6.2507310361485028E-4</v>
      </c>
      <c r="T13" s="5">
        <f>LCI!$E116*impact_process_mid!T2</f>
        <v>2.1727181765036067E-2</v>
      </c>
    </row>
    <row r="14" spans="1:20" x14ac:dyDescent="0.35">
      <c r="A14" s="37" t="s">
        <v>306</v>
      </c>
    </row>
    <row r="15" spans="1:20" x14ac:dyDescent="0.35">
      <c r="B15" t="s">
        <v>307</v>
      </c>
    </row>
    <row r="16" spans="1:20" x14ac:dyDescent="0.35">
      <c r="B16" t="s">
        <v>308</v>
      </c>
    </row>
    <row r="17" spans="1:7" x14ac:dyDescent="0.35">
      <c r="B17" t="s">
        <v>309</v>
      </c>
    </row>
    <row r="18" spans="1:7" x14ac:dyDescent="0.35">
      <c r="B18" t="s">
        <v>310</v>
      </c>
    </row>
    <row r="19" spans="1:7" x14ac:dyDescent="0.35">
      <c r="A19" s="37" t="s">
        <v>316</v>
      </c>
    </row>
    <row r="20" spans="1:7" x14ac:dyDescent="0.35">
      <c r="B20" t="s">
        <v>311</v>
      </c>
    </row>
    <row r="21" spans="1:7" x14ac:dyDescent="0.35">
      <c r="B21" t="s">
        <v>312</v>
      </c>
    </row>
    <row r="22" spans="1:7" x14ac:dyDescent="0.35">
      <c r="B22" t="s">
        <v>313</v>
      </c>
    </row>
    <row r="23" spans="1:7" x14ac:dyDescent="0.35">
      <c r="B23" t="s">
        <v>314</v>
      </c>
    </row>
    <row r="24" spans="1:7" x14ac:dyDescent="0.35">
      <c r="B24" t="s">
        <v>315</v>
      </c>
    </row>
    <row r="27" spans="1:7" x14ac:dyDescent="0.35">
      <c r="A27" s="154" t="s">
        <v>420</v>
      </c>
      <c r="B27" s="155"/>
      <c r="C27" s="155"/>
      <c r="D27" s="155"/>
      <c r="E27" s="155"/>
      <c r="F27" s="155"/>
      <c r="G27" s="156"/>
    </row>
    <row r="28" spans="1:7" ht="43.5" x14ac:dyDescent="0.35">
      <c r="A28" s="108" t="s">
        <v>0</v>
      </c>
      <c r="B28" s="108"/>
      <c r="C28" s="108" t="s">
        <v>403</v>
      </c>
      <c r="D28" s="108" t="s">
        <v>404</v>
      </c>
      <c r="E28" s="108" t="s">
        <v>405</v>
      </c>
      <c r="F28" s="108" t="s">
        <v>406</v>
      </c>
      <c r="G28" s="108" t="s">
        <v>407</v>
      </c>
    </row>
    <row r="29" spans="1:7" x14ac:dyDescent="0.35">
      <c r="A29" s="109" t="s">
        <v>294</v>
      </c>
      <c r="B29" s="110"/>
      <c r="C29" s="111">
        <f>SUM(C30,C33,C36,C38)</f>
        <v>35.421319139716672</v>
      </c>
      <c r="D29" s="111">
        <f t="shared" ref="D29:G29" si="0">SUM(D30,D33,D36,D38)</f>
        <v>32.067942378795308</v>
      </c>
      <c r="E29" s="111">
        <f t="shared" si="0"/>
        <v>337.21257014819105</v>
      </c>
      <c r="F29" s="111">
        <f t="shared" si="0"/>
        <v>7.8437449326508788E-5</v>
      </c>
      <c r="G29" s="111">
        <f t="shared" si="0"/>
        <v>13.278828638799126</v>
      </c>
    </row>
    <row r="30" spans="1:7" x14ac:dyDescent="0.35">
      <c r="A30" s="112" t="s">
        <v>5</v>
      </c>
      <c r="B30" s="113"/>
      <c r="C30" s="114">
        <f>SUM(C31:C32)</f>
        <v>0.77610650091942801</v>
      </c>
      <c r="D30" s="114">
        <f t="shared" ref="D30:G30" si="1">SUM(D31:D32)</f>
        <v>0.11916920601637257</v>
      </c>
      <c r="E30" s="114">
        <f t="shared" si="1"/>
        <v>116.96082759610819</v>
      </c>
      <c r="F30" s="114">
        <f t="shared" si="1"/>
        <v>7.7420482538410759E-7</v>
      </c>
      <c r="G30" s="114">
        <f t="shared" si="1"/>
        <v>1.2592266934323948</v>
      </c>
    </row>
    <row r="31" spans="1:7" x14ac:dyDescent="0.35">
      <c r="A31" s="113"/>
      <c r="B31" s="113" t="s">
        <v>249</v>
      </c>
      <c r="C31" s="113">
        <f>LCI_IC!$E4*'IW+f'!C2</f>
        <v>0.77610650091942801</v>
      </c>
      <c r="D31" s="113">
        <f>LCI_IC!$E4*'IW+f'!D2</f>
        <v>0.11916920601637257</v>
      </c>
      <c r="E31" s="113">
        <f>LCI_IC!$E4*'IW+f'!E2</f>
        <v>116.96082759610819</v>
      </c>
      <c r="F31" s="113">
        <f>LCI_IC!$E4*'IW+f'!F2</f>
        <v>7.7420482538410759E-7</v>
      </c>
      <c r="G31" s="113">
        <f>LCI_IC!$E4*'IW+f'!G2</f>
        <v>1.2592266934323948</v>
      </c>
    </row>
    <row r="32" spans="1:7" x14ac:dyDescent="0.35">
      <c r="A32" s="113"/>
      <c r="B32" s="113" t="s">
        <v>250</v>
      </c>
      <c r="C32" s="113">
        <f>LCI_IC!$E5*'IW+f'!C3</f>
        <v>0</v>
      </c>
      <c r="D32" s="113">
        <f>LCI_IC!$E5*'IW+f'!D3</f>
        <v>0</v>
      </c>
      <c r="E32" s="113">
        <f>LCI_IC!$E5*'IW+f'!E3</f>
        <v>0</v>
      </c>
      <c r="F32" s="113">
        <f>LCI_IC!$E5*'IW+f'!F3</f>
        <v>0</v>
      </c>
      <c r="G32" s="113">
        <f>LCI_IC!$E5*'IW+f'!G3</f>
        <v>0</v>
      </c>
    </row>
    <row r="33" spans="1:7" x14ac:dyDescent="0.35">
      <c r="A33" s="112" t="s">
        <v>235</v>
      </c>
      <c r="B33" s="113"/>
      <c r="C33" s="111">
        <f>SUM(C34:C35)</f>
        <v>9.4912725301666416</v>
      </c>
      <c r="D33" s="111">
        <f t="shared" ref="D33:G33" si="2">SUM(D34:D35)</f>
        <v>1.776054546690981</v>
      </c>
      <c r="E33" s="111">
        <f t="shared" si="2"/>
        <v>70.109593887244714</v>
      </c>
      <c r="F33" s="111">
        <f t="shared" si="2"/>
        <v>3.9183035816743554E-5</v>
      </c>
      <c r="G33" s="111">
        <f t="shared" si="2"/>
        <v>10.018540305643455</v>
      </c>
    </row>
    <row r="34" spans="1:7" x14ac:dyDescent="0.35">
      <c r="A34" s="113"/>
      <c r="B34" s="113" t="s">
        <v>286</v>
      </c>
      <c r="C34" s="115">
        <f>LCI_IC!$E8*'IW+f'!C4</f>
        <v>0.43472978582596905</v>
      </c>
      <c r="D34" s="115">
        <f>LCI_IC!$E8*'IW+f'!D4</f>
        <v>6.359420180299287E-2</v>
      </c>
      <c r="E34" s="115">
        <f>LCI_IC!$E8*'IW+f'!E4</f>
        <v>6.5761119524385903</v>
      </c>
      <c r="F34" s="115">
        <f>LCI_IC!$E8*'IW+f'!F4</f>
        <v>3.4579966311397133E-7</v>
      </c>
      <c r="G34" s="115">
        <f>LCI_IC!$E8*'IW+f'!G4</f>
        <v>3.9223403259142219E-2</v>
      </c>
    </row>
    <row r="35" spans="1:7" x14ac:dyDescent="0.35">
      <c r="A35" s="113"/>
      <c r="B35" s="113" t="s">
        <v>235</v>
      </c>
      <c r="C35" s="113">
        <f>LCI_IC!$E7*'IW+f'!C5</f>
        <v>9.056542744340673</v>
      </c>
      <c r="D35" s="113">
        <f>LCI_IC!$E7*'IW+f'!D5</f>
        <v>1.712460344887988</v>
      </c>
      <c r="E35" s="113">
        <f>LCI_IC!$E7*'IW+f'!E5</f>
        <v>63.533481934806119</v>
      </c>
      <c r="F35" s="113">
        <f>LCI_IC!$E7*'IW+f'!F5</f>
        <v>3.8837236153629584E-5</v>
      </c>
      <c r="G35" s="113">
        <f>LCI_IC!$E7*'IW+f'!G5</f>
        <v>9.9793169023843138</v>
      </c>
    </row>
    <row r="36" spans="1:7" x14ac:dyDescent="0.35">
      <c r="A36" s="112" t="s">
        <v>300</v>
      </c>
      <c r="B36" s="113"/>
      <c r="C36" s="114">
        <f>C37</f>
        <v>4.4017004142045844</v>
      </c>
      <c r="D36" s="114">
        <f t="shared" ref="D36:G36" si="3">D37</f>
        <v>24.994858397394534</v>
      </c>
      <c r="E36" s="114">
        <f t="shared" si="3"/>
        <v>68.925862568542556</v>
      </c>
      <c r="F36" s="114">
        <f t="shared" si="3"/>
        <v>3.6601304780886087E-6</v>
      </c>
      <c r="G36" s="114">
        <f t="shared" si="3"/>
        <v>1.1266687554059929</v>
      </c>
    </row>
    <row r="37" spans="1:7" x14ac:dyDescent="0.35">
      <c r="A37" s="113"/>
      <c r="B37" s="113" t="s">
        <v>301</v>
      </c>
      <c r="C37" s="113">
        <f>LCI_IC!$E10*'IW+f'!C35</f>
        <v>4.4017004142045844</v>
      </c>
      <c r="D37" s="113">
        <f>LCI_IC!$E10*'IW+f'!D35</f>
        <v>24.994858397394534</v>
      </c>
      <c r="E37" s="113">
        <f>LCI_IC!$E10*'IW+f'!E35</f>
        <v>68.925862568542556</v>
      </c>
      <c r="F37" s="113">
        <f>LCI_IC!$E10*'IW+f'!F35</f>
        <v>3.6601304780886087E-6</v>
      </c>
      <c r="G37" s="113">
        <f>LCI_IC!$E10*'IW+f'!G35</f>
        <v>1.1266687554059929</v>
      </c>
    </row>
    <row r="38" spans="1:7" x14ac:dyDescent="0.35">
      <c r="A38" s="112" t="s">
        <v>302</v>
      </c>
      <c r="B38" s="113"/>
      <c r="C38" s="114">
        <f>SUM(C39:C42)</f>
        <v>20.752239694426017</v>
      </c>
      <c r="D38" s="114">
        <f t="shared" ref="D38:G38" si="4">SUM(D39:D42)</f>
        <v>5.1778602286934197</v>
      </c>
      <c r="E38" s="114">
        <f t="shared" si="4"/>
        <v>81.216286096295562</v>
      </c>
      <c r="F38" s="114">
        <f t="shared" si="4"/>
        <v>3.4820078206292518E-5</v>
      </c>
      <c r="G38" s="114">
        <f t="shared" si="4"/>
        <v>0.87439288431728412</v>
      </c>
    </row>
    <row r="39" spans="1:7" x14ac:dyDescent="0.35">
      <c r="A39" s="113"/>
      <c r="B39" s="113" t="s">
        <v>96</v>
      </c>
      <c r="C39" s="113">
        <f>LCI_IC!$E13*'IW+f'!C12</f>
        <v>3.8074805999999999</v>
      </c>
      <c r="D39" s="113">
        <f>LCI_IC!$E13*'IW+f'!D12</f>
        <v>0</v>
      </c>
      <c r="E39" s="113">
        <f>LCI_IC!$E13*'IW+f'!E12</f>
        <v>0</v>
      </c>
      <c r="F39" s="113">
        <f>LCI_IC!$E13*'IW+f'!F12</f>
        <v>0</v>
      </c>
      <c r="G39" s="113">
        <f>LCI_IC!$E13*'IW+f'!G12</f>
        <v>0</v>
      </c>
    </row>
    <row r="40" spans="1:7" x14ac:dyDescent="0.35">
      <c r="A40" s="113"/>
      <c r="B40" s="113" t="s">
        <v>110</v>
      </c>
      <c r="C40" s="116">
        <f>LCI_IC!$E14*'IW+f'!C18</f>
        <v>0</v>
      </c>
      <c r="D40" s="116">
        <f>LCI_IC!$E14*'IW+f'!D18</f>
        <v>5.0951104694054976</v>
      </c>
      <c r="E40" s="116">
        <f>LCI_IC!$E14*'IW+f'!E18</f>
        <v>0</v>
      </c>
      <c r="F40" s="116">
        <f>LCI_IC!$E14*'IW+f'!F18</f>
        <v>3.4282479064016783E-5</v>
      </c>
      <c r="G40" s="116">
        <f>LCI_IC!$E14*'IW+f'!G18</f>
        <v>0</v>
      </c>
    </row>
    <row r="41" spans="1:7" x14ac:dyDescent="0.35">
      <c r="A41" s="113"/>
      <c r="B41" s="113" t="s">
        <v>111</v>
      </c>
      <c r="C41" s="113">
        <f>LCI_IC!$E15*'IW+f'!C20</f>
        <v>16.405839449999998</v>
      </c>
      <c r="D41" s="113">
        <f>LCI_IC!$E15*'IW+f'!D20</f>
        <v>0</v>
      </c>
      <c r="E41" s="113">
        <f>LCI_IC!$E15*'IW+f'!E20</f>
        <v>0</v>
      </c>
      <c r="F41" s="113">
        <f>LCI_IC!$E15*'IW+f'!F20</f>
        <v>0</v>
      </c>
      <c r="G41" s="113">
        <f>LCI_IC!$E15*'IW+f'!G20</f>
        <v>0</v>
      </c>
    </row>
    <row r="42" spans="1:7" x14ac:dyDescent="0.35">
      <c r="A42" s="113"/>
      <c r="B42" s="113" t="s">
        <v>249</v>
      </c>
      <c r="C42" s="113">
        <f>LCI_IC!$E17*'IW+f'!C2</f>
        <v>0.53891964442601559</v>
      </c>
      <c r="D42" s="113">
        <f>LCI_IC!$E17*'IW+f'!D2</f>
        <v>8.2749759287922026E-2</v>
      </c>
      <c r="E42" s="113">
        <f>LCI_IC!$E17*'IW+f'!E2</f>
        <v>81.216286096295562</v>
      </c>
      <c r="F42" s="113">
        <f>LCI_IC!$E17*'IW+f'!F2</f>
        <v>5.3759914227573803E-7</v>
      </c>
      <c r="G42" s="113">
        <f>LCI_IC!$E17*'IW+f'!G2</f>
        <v>0.87439288431728412</v>
      </c>
    </row>
    <row r="43" spans="1:7" x14ac:dyDescent="0.35">
      <c r="A43" s="112" t="s">
        <v>351</v>
      </c>
      <c r="B43" s="113"/>
      <c r="C43" s="117">
        <f>SUM(C44:C48)</f>
        <v>-264.03464255865981</v>
      </c>
      <c r="D43" s="117">
        <f t="shared" ref="D43:G43" si="5">SUM(D44:D48)</f>
        <v>22.918927889093091</v>
      </c>
      <c r="E43" s="117">
        <f t="shared" si="5"/>
        <v>0</v>
      </c>
      <c r="F43" s="117">
        <f t="shared" si="5"/>
        <v>5.0112026067618947E-5</v>
      </c>
      <c r="G43" s="117">
        <f t="shared" si="5"/>
        <v>0</v>
      </c>
    </row>
    <row r="44" spans="1:7" x14ac:dyDescent="0.35">
      <c r="A44" s="113"/>
      <c r="B44" s="113" t="s">
        <v>110</v>
      </c>
      <c r="C44" s="116">
        <f>LCI_IC!$E19*'IW+f'!C18</f>
        <v>0</v>
      </c>
      <c r="D44" s="116">
        <f>LCI_IC!$E19*'IW+f'!D18</f>
        <v>7.4477201075064441</v>
      </c>
      <c r="E44" s="116">
        <f>LCI_IC!$E19*'IW+f'!E18</f>
        <v>0</v>
      </c>
      <c r="F44" s="116">
        <f>LCI_IC!$E19*'IW+f'!F18</f>
        <v>5.0112026067618947E-5</v>
      </c>
      <c r="G44" s="116">
        <f>LCI_IC!$E19*'IW+f'!G18</f>
        <v>0</v>
      </c>
    </row>
    <row r="45" spans="1:7" x14ac:dyDescent="0.35">
      <c r="A45" s="113"/>
      <c r="B45" s="113" t="s">
        <v>111</v>
      </c>
      <c r="C45" s="116">
        <f>LCI_IC!$E20*'IW+f'!C20</f>
        <v>27.051024108006885</v>
      </c>
      <c r="D45" s="116">
        <f>LCI_IC!$E20*'IW+f'!D20</f>
        <v>0</v>
      </c>
      <c r="E45" s="116">
        <f>LCI_IC!$E20*'IW+f'!E20</f>
        <v>0</v>
      </c>
      <c r="F45" s="116">
        <f>LCI_IC!$E20*'IW+f'!F20</f>
        <v>0</v>
      </c>
      <c r="G45" s="116">
        <f>LCI_IC!$E20*'IW+f'!G20</f>
        <v>0</v>
      </c>
    </row>
    <row r="46" spans="1:7" x14ac:dyDescent="0.35">
      <c r="A46" s="113"/>
      <c r="B46" s="113" t="s">
        <v>114</v>
      </c>
      <c r="C46" s="116">
        <f>LCI_IC!$E21*'IW+f'!C21</f>
        <v>0</v>
      </c>
      <c r="D46" s="116">
        <f>LCI_IC!$E21*'IW+f'!D21</f>
        <v>20.469849149257051</v>
      </c>
      <c r="E46" s="116">
        <f>LCI_IC!$E21*'IW+f'!E21</f>
        <v>0</v>
      </c>
      <c r="F46" s="116">
        <f>LCI_IC!$E21*'IW+f'!F21</f>
        <v>0</v>
      </c>
      <c r="G46" s="116">
        <f>LCI_IC!$E21*'IW+f'!G21</f>
        <v>0</v>
      </c>
    </row>
    <row r="47" spans="1:7" x14ac:dyDescent="0.35">
      <c r="A47" s="113"/>
      <c r="B47" s="113" t="s">
        <v>414</v>
      </c>
      <c r="C47" s="116">
        <f>LCI_IC!$E22*'IW+f'!C25</f>
        <v>0</v>
      </c>
      <c r="D47" s="116">
        <f>LCI_IC!$E22*'IW+f'!D25</f>
        <v>-0.19572786767040548</v>
      </c>
      <c r="E47" s="116">
        <f>LCI_IC!$E22*'IW+f'!E25</f>
        <v>0</v>
      </c>
      <c r="F47" s="116">
        <f>LCI_IC!$E22*'IW+f'!F25</f>
        <v>0</v>
      </c>
      <c r="G47" s="116">
        <f>LCI_IC!$E22*'IW+f'!G25</f>
        <v>0</v>
      </c>
    </row>
    <row r="48" spans="1:7" x14ac:dyDescent="0.35">
      <c r="A48" s="113"/>
      <c r="B48" s="113" t="s">
        <v>415</v>
      </c>
      <c r="C48" s="116">
        <f>LCI_IC!$E23*'IW+f'!C26</f>
        <v>-291.08566666666667</v>
      </c>
      <c r="D48" s="116">
        <f>LCI_IC!$E23*'IW+f'!D26</f>
        <v>-4.8029134999999998</v>
      </c>
      <c r="E48" s="116">
        <f>LCI_IC!$E23*'IW+f'!E26</f>
        <v>0</v>
      </c>
      <c r="F48" s="116">
        <f>LCI_IC!$E23*'IW+f'!F26</f>
        <v>0</v>
      </c>
      <c r="G48" s="116">
        <f>LCI_IC!$E23*'IW+f'!G26</f>
        <v>0</v>
      </c>
    </row>
    <row r="49" spans="1:37" x14ac:dyDescent="0.35">
      <c r="A49" s="112" t="s">
        <v>421</v>
      </c>
      <c r="B49" s="113"/>
      <c r="C49" s="117">
        <f>SUM(C50:C53)</f>
        <v>23.174036130287757</v>
      </c>
      <c r="D49" s="117">
        <f t="shared" ref="D49:G49" si="6">SUM(D50:D53)</f>
        <v>5.2361185509122059</v>
      </c>
      <c r="E49" s="117">
        <f t="shared" si="6"/>
        <v>3878.0272233170053</v>
      </c>
      <c r="F49" s="117">
        <f t="shared" si="6"/>
        <v>2.1552235381983263E-5</v>
      </c>
      <c r="G49" s="117">
        <f t="shared" si="6"/>
        <v>36.87272461273961</v>
      </c>
    </row>
    <row r="50" spans="1:37" x14ac:dyDescent="0.35">
      <c r="A50" s="113"/>
      <c r="B50" s="113" t="s">
        <v>228</v>
      </c>
      <c r="C50" s="116">
        <f>LCI_IC!$E25*'IW+f'!C28</f>
        <v>14.453532589305759</v>
      </c>
      <c r="D50" s="116">
        <f>LCI_IC!$E25*'IW+f'!D28</f>
        <v>1.9178278341031123</v>
      </c>
      <c r="E50" s="116">
        <f>LCI_IC!$E25*'IW+f'!E28</f>
        <v>212.54570293706664</v>
      </c>
      <c r="F50" s="116">
        <f>LCI_IC!$E25*'IW+f'!F28</f>
        <v>1.0602953419276994E-5</v>
      </c>
      <c r="G50" s="116">
        <f>LCI_IC!$E25*'IW+f'!G28</f>
        <v>21.76383703029542</v>
      </c>
    </row>
    <row r="51" spans="1:37" x14ac:dyDescent="0.35">
      <c r="A51" s="113"/>
      <c r="B51" s="113" t="s">
        <v>230</v>
      </c>
      <c r="C51" s="116">
        <f>LCI_IC!$E26*'IW+f'!C30</f>
        <v>1.0270783701439827</v>
      </c>
      <c r="D51" s="116">
        <f>LCI_IC!$E26*'IW+f'!D30</f>
        <v>0.47868540874824567</v>
      </c>
      <c r="E51" s="116">
        <f>LCI_IC!$E26*'IW+f'!E30</f>
        <v>18.007860043914683</v>
      </c>
      <c r="F51" s="116">
        <f>LCI_IC!$E26*'IW+f'!F30</f>
        <v>3.9508783978181153E-6</v>
      </c>
      <c r="G51" s="116">
        <f>LCI_IC!$E26*'IW+f'!G30</f>
        <v>2.4364262938749346</v>
      </c>
    </row>
    <row r="52" spans="1:37" x14ac:dyDescent="0.35">
      <c r="A52" s="113"/>
      <c r="B52" s="113" t="s">
        <v>229</v>
      </c>
      <c r="C52" s="116">
        <f>LCI_IC!$E27*'IW+f'!C29</f>
        <v>2.5797669778187684</v>
      </c>
      <c r="D52" s="116">
        <f>LCI_IC!$E27*'IW+f'!D29</f>
        <v>0.62786251145501704</v>
      </c>
      <c r="E52" s="116">
        <f>LCI_IC!$E27*'IW+f'!E29</f>
        <v>41.825159411984195</v>
      </c>
      <c r="F52" s="116">
        <f>LCI_IC!$E27*'IW+f'!F29</f>
        <v>2.8936413040455602E-6</v>
      </c>
      <c r="G52" s="116">
        <f>LCI_IC!$E27*'IW+f'!G29</f>
        <v>1.2138446949661026</v>
      </c>
    </row>
    <row r="53" spans="1:37" x14ac:dyDescent="0.35">
      <c r="A53" s="113"/>
      <c r="B53" s="113" t="s">
        <v>231</v>
      </c>
      <c r="C53" s="116">
        <f>LCI_IC!$E28*'IW+f'!C31</f>
        <v>5.1136581930192486</v>
      </c>
      <c r="D53" s="116">
        <f>LCI_IC!$E28*'IW+f'!D31</f>
        <v>2.2117427966058312</v>
      </c>
      <c r="E53" s="116">
        <f>LCI_IC!$E28*'IW+f'!E31</f>
        <v>3605.6485009240396</v>
      </c>
      <c r="F53" s="116">
        <f>LCI_IC!$E28*'IW+f'!F31</f>
        <v>4.1047622608425945E-6</v>
      </c>
      <c r="G53" s="116">
        <f>LCI_IC!$E28*'IW+f'!G31</f>
        <v>11.458616593603153</v>
      </c>
    </row>
    <row r="54" spans="1:37" x14ac:dyDescent="0.35">
      <c r="A54" s="113"/>
      <c r="B54" s="113"/>
      <c r="C54" s="113"/>
      <c r="D54" s="113"/>
      <c r="E54" s="113"/>
      <c r="F54" s="113"/>
      <c r="G54" s="113"/>
    </row>
    <row r="55" spans="1:37" x14ac:dyDescent="0.35">
      <c r="A55" s="112" t="s">
        <v>494</v>
      </c>
      <c r="B55" s="113"/>
      <c r="C55" s="114">
        <f>C29+C43-C49</f>
        <v>-251.7873595492309</v>
      </c>
      <c r="D55" s="114">
        <f t="shared" ref="D55:G55" si="7">D29+D43-D49</f>
        <v>49.750751716976197</v>
      </c>
      <c r="E55" s="114">
        <f t="shared" si="7"/>
        <v>-3540.8146531688144</v>
      </c>
      <c r="F55" s="114">
        <f t="shared" si="7"/>
        <v>1.0699724001214447E-4</v>
      </c>
      <c r="G55" s="114">
        <f t="shared" si="7"/>
        <v>-23.593895973940484</v>
      </c>
    </row>
    <row r="57" spans="1:37" ht="18.5" x14ac:dyDescent="0.45">
      <c r="A57" s="169" t="s">
        <v>426</v>
      </c>
      <c r="B57" s="170"/>
      <c r="C57" s="170"/>
      <c r="D57" s="170"/>
      <c r="E57" s="170"/>
      <c r="F57" s="170"/>
      <c r="G57" s="170"/>
      <c r="H57" s="170"/>
      <c r="I57" s="170"/>
      <c r="J57" s="170"/>
      <c r="K57" s="170"/>
      <c r="L57" s="170"/>
      <c r="M57" s="170"/>
      <c r="N57" s="170"/>
      <c r="O57" s="170"/>
      <c r="P57" s="170"/>
      <c r="Q57" s="170"/>
      <c r="R57" s="170"/>
      <c r="S57" s="170"/>
      <c r="T57" s="170"/>
      <c r="U57" s="170"/>
      <c r="V57" s="170"/>
      <c r="W57" s="170"/>
      <c r="X57" s="170"/>
      <c r="Y57" s="170"/>
      <c r="Z57" s="170"/>
      <c r="AA57" s="170"/>
      <c r="AB57" s="170"/>
      <c r="AC57" s="170"/>
      <c r="AD57" s="170"/>
      <c r="AE57" s="170"/>
      <c r="AF57" s="170"/>
      <c r="AG57" s="170"/>
      <c r="AH57" s="170"/>
      <c r="AI57" s="170"/>
      <c r="AJ57" s="170"/>
      <c r="AK57" s="171"/>
    </row>
    <row r="58" spans="1:37" ht="72.5" x14ac:dyDescent="0.35">
      <c r="A58" s="136" t="s">
        <v>0</v>
      </c>
      <c r="B58" s="136"/>
      <c r="C58" s="137" t="s">
        <v>376</v>
      </c>
      <c r="D58" s="137" t="s">
        <v>377</v>
      </c>
      <c r="E58" s="137" t="s">
        <v>378</v>
      </c>
      <c r="F58" s="137" t="s">
        <v>379</v>
      </c>
      <c r="G58" s="137" t="s">
        <v>380</v>
      </c>
      <c r="H58" s="137" t="s">
        <v>361</v>
      </c>
      <c r="I58" s="137" t="s">
        <v>381</v>
      </c>
      <c r="J58" s="137" t="s">
        <v>382</v>
      </c>
      <c r="K58" s="137" t="s">
        <v>363</v>
      </c>
      <c r="L58" s="137" t="s">
        <v>383</v>
      </c>
      <c r="M58" s="137" t="s">
        <v>384</v>
      </c>
      <c r="N58" s="137" t="s">
        <v>385</v>
      </c>
      <c r="O58" s="137" t="s">
        <v>386</v>
      </c>
      <c r="P58" s="137" t="s">
        <v>387</v>
      </c>
      <c r="Q58" s="137" t="s">
        <v>388</v>
      </c>
      <c r="R58" s="137" t="s">
        <v>367</v>
      </c>
      <c r="S58" s="137" t="s">
        <v>368</v>
      </c>
      <c r="T58" s="137" t="s">
        <v>389</v>
      </c>
      <c r="U58" s="137" t="s">
        <v>390</v>
      </c>
      <c r="V58" s="137" t="s">
        <v>391</v>
      </c>
      <c r="W58" s="137" t="s">
        <v>392</v>
      </c>
      <c r="X58" s="137" t="s">
        <v>369</v>
      </c>
      <c r="Y58" s="137" t="s">
        <v>371</v>
      </c>
      <c r="Z58" s="137" t="s">
        <v>372</v>
      </c>
      <c r="AA58" s="137" t="s">
        <v>393</v>
      </c>
      <c r="AB58" s="137" t="s">
        <v>394</v>
      </c>
      <c r="AC58" s="137" t="s">
        <v>374</v>
      </c>
      <c r="AD58" s="137" t="s">
        <v>395</v>
      </c>
      <c r="AE58" s="137" t="s">
        <v>396</v>
      </c>
      <c r="AF58" s="137" t="s">
        <v>397</v>
      </c>
      <c r="AG58" s="137" t="s">
        <v>398</v>
      </c>
      <c r="AH58" s="137" t="s">
        <v>399</v>
      </c>
      <c r="AI58" s="137" t="s">
        <v>400</v>
      </c>
      <c r="AJ58" s="137" t="s">
        <v>401</v>
      </c>
      <c r="AK58" s="137" t="s">
        <v>402</v>
      </c>
    </row>
    <row r="59" spans="1:37" x14ac:dyDescent="0.35">
      <c r="A59" s="136" t="s">
        <v>294</v>
      </c>
      <c r="B59" s="136"/>
      <c r="C59" s="136"/>
      <c r="D59" s="136"/>
      <c r="E59" s="136"/>
      <c r="F59" s="136"/>
      <c r="G59" s="136"/>
      <c r="H59" s="136"/>
      <c r="I59" s="136"/>
      <c r="J59" s="136"/>
      <c r="K59" s="136"/>
      <c r="L59" s="136"/>
      <c r="M59" s="136"/>
      <c r="N59" s="136"/>
      <c r="O59" s="136"/>
      <c r="P59" s="136"/>
      <c r="Q59" s="136"/>
      <c r="R59" s="136"/>
      <c r="S59" s="136"/>
      <c r="T59" s="136"/>
      <c r="U59" s="136"/>
      <c r="V59" s="136"/>
      <c r="W59" s="136"/>
      <c r="X59" s="136"/>
      <c r="Y59" s="136"/>
      <c r="Z59" s="136"/>
      <c r="AA59" s="136"/>
      <c r="AB59" s="136"/>
      <c r="AC59" s="136"/>
      <c r="AD59" s="136"/>
      <c r="AE59" s="136"/>
      <c r="AF59" s="136"/>
      <c r="AG59" s="141">
        <f>SUM(AG61:AG72)</f>
        <v>35.594256285885407</v>
      </c>
      <c r="AH59" s="141">
        <f>SUM(AH61:AH72)</f>
        <v>9.4362939915935531E-5</v>
      </c>
      <c r="AI59" s="136"/>
      <c r="AJ59" s="136"/>
      <c r="AK59" s="136"/>
    </row>
    <row r="60" spans="1:37" x14ac:dyDescent="0.35">
      <c r="A60" s="136" t="s">
        <v>5</v>
      </c>
      <c r="B60" s="136"/>
      <c r="C60" s="136"/>
      <c r="D60" s="136"/>
      <c r="E60" s="136"/>
      <c r="F60" s="136"/>
      <c r="G60" s="136"/>
      <c r="H60" s="136"/>
      <c r="I60" s="136"/>
      <c r="J60" s="136"/>
      <c r="K60" s="136"/>
      <c r="L60" s="136"/>
      <c r="M60" s="136"/>
      <c r="N60" s="136"/>
      <c r="O60" s="136"/>
      <c r="P60" s="136"/>
      <c r="Q60" s="136"/>
      <c r="R60" s="136"/>
      <c r="S60" s="136"/>
      <c r="T60" s="136"/>
      <c r="U60" s="136"/>
      <c r="V60" s="136"/>
      <c r="W60" s="136"/>
      <c r="X60" s="136"/>
      <c r="Y60" s="136"/>
      <c r="Z60" s="136"/>
      <c r="AA60" s="136"/>
      <c r="AB60" s="136"/>
      <c r="AC60" s="136"/>
      <c r="AD60" s="136"/>
      <c r="AE60" s="136"/>
      <c r="AF60" s="136"/>
      <c r="AG60" s="136"/>
      <c r="AH60" s="136"/>
      <c r="AI60" s="136"/>
      <c r="AJ60" s="136"/>
      <c r="AK60" s="136"/>
    </row>
    <row r="61" spans="1:37" x14ac:dyDescent="0.35">
      <c r="A61" s="136"/>
      <c r="B61" s="136" t="s">
        <v>249</v>
      </c>
      <c r="C61" s="136" t="e">
        <f>LCI_IC!$E4*'IW+_end'!#REF!</f>
        <v>#REF!</v>
      </c>
      <c r="D61" s="136" t="e">
        <f>LCI_IC!$E4*'IW+_end'!#REF!</f>
        <v>#REF!</v>
      </c>
      <c r="E61" s="136" t="e">
        <f>LCI_IC!$E4*'IW+_end'!#REF!</f>
        <v>#REF!</v>
      </c>
      <c r="F61" s="136" t="e">
        <f>LCI_IC!$E4*'IW+_end'!#REF!</f>
        <v>#REF!</v>
      </c>
      <c r="G61" s="136">
        <f>LCI_IC!$E4*'IW+_end'!C2</f>
        <v>9.0040097542142219E-20</v>
      </c>
      <c r="H61" s="136">
        <f>LCI_IC!$E4*'IW+_end'!D2</f>
        <v>5.1931114803604956E-3</v>
      </c>
      <c r="I61" s="136">
        <f>LCI_IC!$E4*'IW+_end'!E2</f>
        <v>0.24839018720173295</v>
      </c>
      <c r="J61" s="136">
        <f>LCI_IC!$E4*'IW+_end'!F2</f>
        <v>1.234083364332369E-2</v>
      </c>
      <c r="K61" s="136">
        <f>LCI_IC!$E4*'IW+_end'!G2</f>
        <v>2.1439753416220663E-5</v>
      </c>
      <c r="L61" s="136">
        <f>LCI_IC!$E4*'IW+_end'!H2</f>
        <v>8.7015032149142414E-9</v>
      </c>
      <c r="M61" s="136">
        <f>LCI_IC!$E4*'IW+_end'!I2</f>
        <v>1.6596905236710246E-7</v>
      </c>
      <c r="N61" s="136">
        <f>LCI_IC!$E4*'IW+_end'!J2</f>
        <v>1.9676602640470916E-7</v>
      </c>
      <c r="O61" s="136">
        <f>LCI_IC!$E4*'IW+_end'!K2</f>
        <v>1.0474046667854858E-7</v>
      </c>
      <c r="P61" s="136">
        <f>LCI_IC!$E4*'IW+_end'!L2</f>
        <v>4.1389310905179983E-9</v>
      </c>
      <c r="Q61" s="136">
        <f>LCI_IC!$E4*'IW+_end'!M2</f>
        <v>1.2763337153218512E-7</v>
      </c>
      <c r="R61" s="136">
        <f>LCI_IC!$E4*'IW+_end'!N2</f>
        <v>1.6534106080479432E-2</v>
      </c>
      <c r="S61" s="136">
        <f>LCI_IC!$E4*'IW+_end'!O2</f>
        <v>1.1656841267618703E-2</v>
      </c>
      <c r="T61" s="136">
        <f>LCI_IC!$E4*'IW+_end'!P2</f>
        <v>0.10249049260823448</v>
      </c>
      <c r="U61" s="136">
        <f>LCI_IC!$E4*'IW+_end'!Q2</f>
        <v>1.1125576504552512E-2</v>
      </c>
      <c r="V61" s="136">
        <f>LCI_IC!$E4*'IW+_end'!R2</f>
        <v>9.6489525909131685E-7</v>
      </c>
      <c r="W61" s="136">
        <f>LCI_IC!$E4*'IW+_end'!S2</f>
        <v>2.6554776215088471E-7</v>
      </c>
      <c r="X61" s="136">
        <f>LCI_IC!$E4*'IW+_end'!T2</f>
        <v>6.7963986332143073E-4</v>
      </c>
      <c r="Y61" s="136">
        <f>LCI_IC!$E4*'IW+_end'!U2</f>
        <v>4.6233568878889853E-11</v>
      </c>
      <c r="Z61" s="136">
        <f>LCI_IC!$E4*'IW+_end'!V2</f>
        <v>3.7424948947123667E-7</v>
      </c>
      <c r="AA61" s="136">
        <f>LCI_IC!$E4*'IW+_end'!W2</f>
        <v>1.5755418847462184E-2</v>
      </c>
      <c r="AB61" s="136">
        <f>LCI_IC!$E4*'IW+_end'!X2</f>
        <v>1.5662117661554336E-9</v>
      </c>
      <c r="AC61" s="136">
        <f>LCI_IC!$E4*'IW+_end'!Y2</f>
        <v>3.4269056902659287E-2</v>
      </c>
      <c r="AD61" s="136">
        <f>LCI_IC!$E4*'IW+_end'!Z2</f>
        <v>3.5220034139757453E-2</v>
      </c>
      <c r="AE61" s="136">
        <f>LCI_IC!$E4*'IW+_end'!AA2</f>
        <v>9.6924933185072934E-3</v>
      </c>
      <c r="AF61" s="136">
        <f>LCI_IC!$E4*'IW+_end'!AB2</f>
        <v>1.9004186679781043E-3</v>
      </c>
      <c r="AG61" s="136">
        <f>LCI_IC!$E4*'IW+_end'!AC2</f>
        <v>0.5052956935927394</v>
      </c>
      <c r="AH61" s="136">
        <f>LCI_IC!$E4*'IW+_end'!AD2</f>
        <v>2.2125278087823061E-6</v>
      </c>
      <c r="AI61" s="136">
        <f>LCI_IC!$E4*'IW+_end'!AE2</f>
        <v>1.0093591977195651E-5</v>
      </c>
      <c r="AJ61" s="136">
        <f>LCI_IC!$E4*'IW+_end'!AF2</f>
        <v>1.2328554537785757E-6</v>
      </c>
      <c r="AK61" s="136">
        <f>LCI_IC!$E4*'IW+_end'!AG2</f>
        <v>1.4715139405635514E-5</v>
      </c>
    </row>
    <row r="62" spans="1:37" x14ac:dyDescent="0.35">
      <c r="A62" s="136"/>
      <c r="B62" s="136" t="s">
        <v>250</v>
      </c>
      <c r="C62" s="136" t="e">
        <f>LCI_IC!$E5*'IW+_end'!#REF!</f>
        <v>#REF!</v>
      </c>
      <c r="D62" s="136" t="e">
        <f>LCI_IC!$E5*'IW+_end'!#REF!</f>
        <v>#REF!</v>
      </c>
      <c r="E62" s="136" t="e">
        <f>LCI_IC!$E5*'IW+_end'!#REF!</f>
        <v>#REF!</v>
      </c>
      <c r="F62" s="136" t="e">
        <f>LCI_IC!$E5*'IW+_end'!#REF!</f>
        <v>#REF!</v>
      </c>
      <c r="G62" s="136">
        <f>LCI_IC!$E5*'IW+_end'!C3</f>
        <v>0</v>
      </c>
      <c r="H62" s="136">
        <f>LCI_IC!$E5*'IW+_end'!D3</f>
        <v>0</v>
      </c>
      <c r="I62" s="136">
        <f>LCI_IC!$E5*'IW+_end'!E3</f>
        <v>0</v>
      </c>
      <c r="J62" s="136">
        <f>LCI_IC!$E5*'IW+_end'!F3</f>
        <v>0</v>
      </c>
      <c r="K62" s="136">
        <f>LCI_IC!$E5*'IW+_end'!G3</f>
        <v>0</v>
      </c>
      <c r="L62" s="136">
        <f>LCI_IC!$E5*'IW+_end'!H3</f>
        <v>0</v>
      </c>
      <c r="M62" s="136">
        <f>LCI_IC!$E5*'IW+_end'!I3</f>
        <v>0</v>
      </c>
      <c r="N62" s="136">
        <f>LCI_IC!$E5*'IW+_end'!J3</f>
        <v>0</v>
      </c>
      <c r="O62" s="136">
        <f>LCI_IC!$E5*'IW+_end'!K3</f>
        <v>0</v>
      </c>
      <c r="P62" s="136">
        <f>LCI_IC!$E5*'IW+_end'!L3</f>
        <v>0</v>
      </c>
      <c r="Q62" s="136">
        <f>LCI_IC!$E5*'IW+_end'!M3</f>
        <v>0</v>
      </c>
      <c r="R62" s="136">
        <f>LCI_IC!$E5*'IW+_end'!N3</f>
        <v>0</v>
      </c>
      <c r="S62" s="136">
        <f>LCI_IC!$E5*'IW+_end'!O3</f>
        <v>0</v>
      </c>
      <c r="T62" s="136">
        <f>LCI_IC!$E5*'IW+_end'!P3</f>
        <v>0</v>
      </c>
      <c r="U62" s="136">
        <f>LCI_IC!$E5*'IW+_end'!Q3</f>
        <v>0</v>
      </c>
      <c r="V62" s="136">
        <f>LCI_IC!$E5*'IW+_end'!R3</f>
        <v>0</v>
      </c>
      <c r="W62" s="136">
        <f>LCI_IC!$E5*'IW+_end'!S3</f>
        <v>0</v>
      </c>
      <c r="X62" s="136">
        <f>LCI_IC!$E5*'IW+_end'!T3</f>
        <v>0</v>
      </c>
      <c r="Y62" s="136">
        <f>LCI_IC!$E5*'IW+_end'!U3</f>
        <v>0</v>
      </c>
      <c r="Z62" s="136">
        <f>LCI_IC!$E5*'IW+_end'!V3</f>
        <v>0</v>
      </c>
      <c r="AA62" s="136">
        <f>LCI_IC!$E5*'IW+_end'!W3</f>
        <v>0</v>
      </c>
      <c r="AB62" s="136">
        <f>LCI_IC!$E5*'IW+_end'!X3</f>
        <v>0</v>
      </c>
      <c r="AC62" s="136">
        <f>LCI_IC!$E5*'IW+_end'!Y3</f>
        <v>0</v>
      </c>
      <c r="AD62" s="136">
        <f>LCI_IC!$E5*'IW+_end'!Z3</f>
        <v>0</v>
      </c>
      <c r="AE62" s="136">
        <f>LCI_IC!$E5*'IW+_end'!AA3</f>
        <v>0</v>
      </c>
      <c r="AF62" s="136">
        <f>LCI_IC!$E5*'IW+_end'!AB3</f>
        <v>0</v>
      </c>
      <c r="AG62" s="136">
        <f>LCI_IC!$E5*'IW+_end'!AC3</f>
        <v>0</v>
      </c>
      <c r="AH62" s="136">
        <f>LCI_IC!$E5*'IW+_end'!AD3</f>
        <v>0</v>
      </c>
      <c r="AI62" s="136">
        <f>LCI_IC!$E5*'IW+_end'!AE3</f>
        <v>0</v>
      </c>
      <c r="AJ62" s="136">
        <f>LCI_IC!$E5*'IW+_end'!AF3</f>
        <v>0</v>
      </c>
      <c r="AK62" s="136">
        <f>LCI_IC!$E5*'IW+_end'!AG3</f>
        <v>0</v>
      </c>
    </row>
    <row r="63" spans="1:37" x14ac:dyDescent="0.35">
      <c r="A63" s="136" t="s">
        <v>235</v>
      </c>
      <c r="B63" s="136"/>
      <c r="C63" s="136"/>
      <c r="D63" s="136"/>
      <c r="E63" s="136"/>
      <c r="F63" s="136"/>
      <c r="G63" s="136"/>
      <c r="H63" s="136"/>
      <c r="I63" s="136"/>
      <c r="J63" s="136"/>
      <c r="K63" s="136"/>
      <c r="L63" s="136"/>
      <c r="M63" s="136"/>
      <c r="N63" s="136"/>
      <c r="O63" s="136"/>
      <c r="P63" s="136"/>
      <c r="Q63" s="136"/>
      <c r="R63" s="136"/>
      <c r="S63" s="136"/>
      <c r="T63" s="136"/>
      <c r="U63" s="136"/>
      <c r="V63" s="136"/>
      <c r="W63" s="136"/>
      <c r="X63" s="136"/>
      <c r="Y63" s="136"/>
      <c r="Z63" s="136"/>
      <c r="AA63" s="136"/>
      <c r="AB63" s="136"/>
      <c r="AC63" s="136"/>
      <c r="AD63" s="136"/>
      <c r="AE63" s="136"/>
      <c r="AF63" s="136"/>
      <c r="AG63" s="136"/>
      <c r="AH63" s="136"/>
      <c r="AI63" s="136"/>
      <c r="AJ63" s="136"/>
      <c r="AK63" s="136"/>
    </row>
    <row r="64" spans="1:37" x14ac:dyDescent="0.35">
      <c r="A64" s="136"/>
      <c r="B64" s="136" t="s">
        <v>286</v>
      </c>
      <c r="C64" s="138" t="e">
        <f>LCI_IC!$E8*'IW+_end'!#REF!</f>
        <v>#REF!</v>
      </c>
      <c r="D64" s="138" t="e">
        <f>LCI_IC!$E8*'IW+_end'!#REF!</f>
        <v>#REF!</v>
      </c>
      <c r="E64" s="138" t="e">
        <f>LCI_IC!$E8*'IW+_end'!#REF!</f>
        <v>#REF!</v>
      </c>
      <c r="F64" s="138" t="e">
        <f>LCI_IC!$E8*'IW+_end'!#REF!</f>
        <v>#REF!</v>
      </c>
      <c r="G64" s="138">
        <f>LCI_IC!$E8*'IW+_end'!C5</f>
        <v>3.4259653114390555E-19</v>
      </c>
      <c r="H64" s="138">
        <f>LCI_IC!$E8*'IW+_end'!D5</f>
        <v>1.9088748614477355E-3</v>
      </c>
      <c r="I64" s="138">
        <f>LCI_IC!$E8*'IW+_end'!E5</f>
        <v>2.1165975185515697E-2</v>
      </c>
      <c r="J64" s="138">
        <f>LCI_IC!$E8*'IW+_end'!F5</f>
        <v>7.7842440064621963E-3</v>
      </c>
      <c r="K64" s="138">
        <f>LCI_IC!$E8*'IW+_end'!G5</f>
        <v>1.2090234903629117E-5</v>
      </c>
      <c r="L64" s="138">
        <f>LCI_IC!$E8*'IW+_end'!H5</f>
        <v>1.3807900143766815E-9</v>
      </c>
      <c r="M64" s="138">
        <f>LCI_IC!$E8*'IW+_end'!I5</f>
        <v>7.8521018154124293E-8</v>
      </c>
      <c r="N64" s="138">
        <f>LCI_IC!$E8*'IW+_end'!J5</f>
        <v>5.1916740498462542E-8</v>
      </c>
      <c r="O64" s="138">
        <f>LCI_IC!$E8*'IW+_end'!K5</f>
        <v>3.4957298081958831E-8</v>
      </c>
      <c r="P64" s="138">
        <f>LCI_IC!$E8*'IW+_end'!L5</f>
        <v>1.6087202212299374E-11</v>
      </c>
      <c r="Q64" s="138">
        <f>LCI_IC!$E8*'IW+_end'!M5</f>
        <v>1.9821700798180701E-10</v>
      </c>
      <c r="R64" s="138">
        <f>LCI_IC!$E8*'IW+_end'!N5</f>
        <v>9.3882236600461508E-3</v>
      </c>
      <c r="S64" s="138">
        <f>LCI_IC!$E8*'IW+_end'!O5</f>
        <v>1.0847515163367839E-2</v>
      </c>
      <c r="T64" s="138">
        <f>LCI_IC!$E8*'IW+_end'!P5</f>
        <v>5.9340583237830792E-2</v>
      </c>
      <c r="U64" s="138">
        <f>LCI_IC!$E8*'IW+_end'!Q5</f>
        <v>6.4415394809225063E-3</v>
      </c>
      <c r="V64" s="138">
        <f>LCI_IC!$E8*'IW+_end'!R5</f>
        <v>2.2361093064658549E-8</v>
      </c>
      <c r="W64" s="138">
        <f>LCI_IC!$E8*'IW+_end'!S5</f>
        <v>1.8378519819012135E-8</v>
      </c>
      <c r="X64" s="138">
        <f>LCI_IC!$E8*'IW+_end'!T5</f>
        <v>4.9087972213900696E-4</v>
      </c>
      <c r="Y64" s="138">
        <f>LCI_IC!$E8*'IW+_end'!U5</f>
        <v>1.4130656214684504E-11</v>
      </c>
      <c r="Z64" s="138">
        <f>LCI_IC!$E8*'IW+_end'!V5</f>
        <v>2.3089230034193365E-7</v>
      </c>
      <c r="AA64" s="138">
        <f>LCI_IC!$E8*'IW+_end'!W5</f>
        <v>1.24610140420619E-2</v>
      </c>
      <c r="AB64" s="138">
        <f>LCI_IC!$E8*'IW+_end'!X5</f>
        <v>1.2166988717580699E-9</v>
      </c>
      <c r="AC64" s="138">
        <f>LCI_IC!$E8*'IW+_end'!Y5</f>
        <v>1.357355809150523E-2</v>
      </c>
      <c r="AD64" s="138">
        <f>LCI_IC!$E8*'IW+_end'!Z5</f>
        <v>8.1619861313748173E-4</v>
      </c>
      <c r="AE64" s="138">
        <f>LCI_IC!$E8*'IW+_end'!AA5</f>
        <v>6.7081597339394266E-4</v>
      </c>
      <c r="AF64" s="138">
        <f>LCI_IC!$E8*'IW+_end'!AB5</f>
        <v>1.5428172135718716E-5</v>
      </c>
      <c r="AG64" s="138">
        <f>LCI_IC!$E8*'IW+_end'!AC5</f>
        <v>0.1449237168411589</v>
      </c>
      <c r="AH64" s="138">
        <f>LCI_IC!$E8*'IW+_end'!AD5</f>
        <v>4.374991643569647E-7</v>
      </c>
      <c r="AI64" s="138">
        <f>LCI_IC!$E8*'IW+_end'!AE5</f>
        <v>3.14403300469906E-7</v>
      </c>
      <c r="AJ64" s="138">
        <f>LCI_IC!$E8*'IW+_end'!AF5</f>
        <v>3.8401970730154165E-8</v>
      </c>
      <c r="AK64" s="138">
        <f>LCI_IC!$E8*'IW+_end'!AG5</f>
        <v>6.4212372885133327E-6</v>
      </c>
    </row>
    <row r="65" spans="1:43" x14ac:dyDescent="0.35">
      <c r="A65" s="136"/>
      <c r="B65" s="136" t="s">
        <v>235</v>
      </c>
      <c r="C65" s="136" t="e">
        <f>LCI_IC!$E7*'IW+_end'!#REF!</f>
        <v>#REF!</v>
      </c>
      <c r="D65" s="136" t="e">
        <f>LCI_IC!$E7*'IW+_end'!#REF!</f>
        <v>#REF!</v>
      </c>
      <c r="E65" s="136" t="e">
        <f>LCI_IC!$E7*'IW+_end'!#REF!</f>
        <v>#REF!</v>
      </c>
      <c r="F65" s="136" t="e">
        <f>LCI_IC!$E7*'IW+_end'!#REF!</f>
        <v>#REF!</v>
      </c>
      <c r="G65" s="136">
        <f>LCI_IC!$E7*'IW+_end'!C4</f>
        <v>1.3417014761931066E-18</v>
      </c>
      <c r="H65" s="136">
        <f>LCI_IC!$E7*'IW+_end'!D4</f>
        <v>7.0661974280644954E-2</v>
      </c>
      <c r="I65" s="136">
        <f>LCI_IC!$E7*'IW+_end'!E4</f>
        <v>0.93416719125512804</v>
      </c>
      <c r="J65" s="136">
        <f>LCI_IC!$E7*'IW+_end'!F4</f>
        <v>0.11947233209536294</v>
      </c>
      <c r="K65" s="136">
        <f>LCI_IC!$E7*'IW+_end'!G4</f>
        <v>5.8252778621848689E-3</v>
      </c>
      <c r="L65" s="136">
        <f>LCI_IC!$E7*'IW+_end'!H4</f>
        <v>7.543227881230801E-8</v>
      </c>
      <c r="M65" s="136">
        <f>LCI_IC!$E7*'IW+_end'!I4</f>
        <v>9.2358423028085057E-6</v>
      </c>
      <c r="N65" s="136">
        <f>LCI_IC!$E7*'IW+_end'!J4</f>
        <v>2.0141902382323624E-6</v>
      </c>
      <c r="O65" s="136">
        <f>LCI_IC!$E7*'IW+_end'!K4</f>
        <v>2.073338334217323E-5</v>
      </c>
      <c r="P65" s="136">
        <f>LCI_IC!$E7*'IW+_end'!L4</f>
        <v>1.6721138820675336E-10</v>
      </c>
      <c r="Q65" s="136">
        <f>LCI_IC!$E7*'IW+_end'!M4</f>
        <v>2.5414819458518307E-9</v>
      </c>
      <c r="R65" s="136">
        <f>LCI_IC!$E7*'IW+_end'!N4</f>
        <v>0.10325709629067527</v>
      </c>
      <c r="S65" s="136">
        <f>LCI_IC!$E7*'IW+_end'!O4</f>
        <v>0.20192306813671582</v>
      </c>
      <c r="T65" s="136">
        <f>LCI_IC!$E7*'IW+_end'!P4</f>
        <v>0.81381304343515604</v>
      </c>
      <c r="U65" s="136">
        <f>LCI_IC!$E7*'IW+_end'!Q4</f>
        <v>8.8340903369667073E-2</v>
      </c>
      <c r="V65" s="136">
        <f>LCI_IC!$E7*'IW+_end'!R4</f>
        <v>4.1790110398157114E-7</v>
      </c>
      <c r="W65" s="136">
        <f>LCI_IC!$E7*'IW+_end'!S4</f>
        <v>9.1166986820938597E-7</v>
      </c>
      <c r="X65" s="136">
        <f>LCI_IC!$E7*'IW+_end'!T4</f>
        <v>3.6914893888666471E-2</v>
      </c>
      <c r="Y65" s="136">
        <f>LCI_IC!$E7*'IW+_end'!U4</f>
        <v>3.4271490621614475E-10</v>
      </c>
      <c r="Z65" s="136">
        <f>LCI_IC!$E7*'IW+_end'!V4</f>
        <v>8.8111435597395313E-6</v>
      </c>
      <c r="AA65" s="136">
        <f>LCI_IC!$E7*'IW+_end'!W4</f>
        <v>0.52310036021523809</v>
      </c>
      <c r="AB65" s="136">
        <f>LCI_IC!$E7*'IW+_end'!X4</f>
        <v>5.3982752056258097E-8</v>
      </c>
      <c r="AC65" s="136">
        <f>LCI_IC!$E7*'IW+_end'!Y4</f>
        <v>0.52930584039175488</v>
      </c>
      <c r="AD65" s="136">
        <f>LCI_IC!$E7*'IW+_end'!Z4</f>
        <v>1.5262636374080941E-2</v>
      </c>
      <c r="AE65" s="136">
        <f>LCI_IC!$E7*'IW+_end'!AA4</f>
        <v>3.3275950189642592E-2</v>
      </c>
      <c r="AF65" s="136">
        <f>LCI_IC!$E7*'IW+_end'!AB4</f>
        <v>3.8173633035694057E-4</v>
      </c>
      <c r="AG65" s="136">
        <f>LCI_IC!$E7*'IW+_end'!AC4</f>
        <v>3.4759974820656048</v>
      </c>
      <c r="AH65" s="136">
        <f>LCI_IC!$E7*'IW+_end'!AD4</f>
        <v>5.0697184643165686E-5</v>
      </c>
      <c r="AI65" s="136">
        <f>LCI_IC!$E7*'IW+_end'!AE4</f>
        <v>7.999127841649449E-5</v>
      </c>
      <c r="AJ65" s="136">
        <f>LCI_IC!$E7*'IW+_end'!AF4</f>
        <v>9.7703259724914291E-6</v>
      </c>
      <c r="AK65" s="136">
        <f>LCI_IC!$E7*'IW+_end'!AG4</f>
        <v>2.1385693372968594E-4</v>
      </c>
    </row>
    <row r="66" spans="1:43" x14ac:dyDescent="0.35">
      <c r="A66" s="136" t="s">
        <v>300</v>
      </c>
      <c r="B66" s="136"/>
      <c r="C66" s="136"/>
      <c r="D66" s="136"/>
      <c r="E66" s="136"/>
      <c r="F66" s="136"/>
      <c r="G66" s="136"/>
      <c r="H66" s="136"/>
      <c r="I66" s="136"/>
      <c r="J66" s="136"/>
      <c r="K66" s="136"/>
      <c r="L66" s="136"/>
      <c r="M66" s="136"/>
      <c r="N66" s="136"/>
      <c r="O66" s="136"/>
      <c r="P66" s="136"/>
      <c r="Q66" s="136"/>
      <c r="R66" s="136"/>
      <c r="S66" s="136"/>
      <c r="T66" s="136"/>
      <c r="U66" s="136"/>
      <c r="V66" s="136"/>
      <c r="W66" s="136"/>
      <c r="X66" s="136"/>
      <c r="Y66" s="136"/>
      <c r="Z66" s="136"/>
      <c r="AA66" s="136"/>
      <c r="AB66" s="136"/>
      <c r="AC66" s="136"/>
      <c r="AD66" s="136"/>
      <c r="AE66" s="136"/>
      <c r="AF66" s="136"/>
      <c r="AG66" s="136"/>
      <c r="AH66" s="136"/>
      <c r="AI66" s="136"/>
      <c r="AJ66" s="136"/>
      <c r="AK66" s="136"/>
    </row>
    <row r="67" spans="1:43" x14ac:dyDescent="0.35">
      <c r="A67" s="136"/>
      <c r="B67" s="136" t="s">
        <v>301</v>
      </c>
      <c r="C67" s="136" t="e">
        <f>LCI_IC!$E10*'IW+_end'!#REF!</f>
        <v>#REF!</v>
      </c>
      <c r="D67" s="136" t="e">
        <f>LCI_IC!$E10*'IW+_end'!#REF!</f>
        <v>#REF!</v>
      </c>
      <c r="E67" s="136" t="e">
        <f>LCI_IC!$E10*'IW+_end'!#REF!</f>
        <v>#REF!</v>
      </c>
      <c r="F67" s="136" t="e">
        <f>LCI_IC!$E10*'IW+_end'!#REF!</f>
        <v>#REF!</v>
      </c>
      <c r="G67" s="136">
        <f>LCI_IC!$E10*'IW+_end'!C35</f>
        <v>4.3333901754761425E-18</v>
      </c>
      <c r="H67" s="136">
        <f>LCI_IC!$E10*'IW+_end'!D35</f>
        <v>2.495593568506508E-2</v>
      </c>
      <c r="I67" s="136">
        <f>LCI_IC!$E10*'IW+_end'!E35</f>
        <v>0.39389429210808058</v>
      </c>
      <c r="J67" s="136">
        <f>LCI_IC!$E10*'IW+_end'!F35</f>
        <v>6.7029319550731117E-2</v>
      </c>
      <c r="K67" s="136">
        <f>LCI_IC!$E10*'IW+_end'!G35</f>
        <v>1.3227472847376623E-2</v>
      </c>
      <c r="L67" s="136">
        <f>LCI_IC!$E10*'IW+_end'!H35</f>
        <v>1.2741441376363931E-8</v>
      </c>
      <c r="M67" s="136">
        <f>LCI_IC!$E10*'IW+_end'!I35</f>
        <v>1.0361858495461141E-6</v>
      </c>
      <c r="N67" s="136">
        <f>LCI_IC!$E10*'IW+_end'!J35</f>
        <v>4.2094923747696886E-7</v>
      </c>
      <c r="O67" s="136">
        <f>LCI_IC!$E10*'IW+_end'!K35</f>
        <v>2.7379013551440849E-7</v>
      </c>
      <c r="P67" s="136">
        <f>LCI_IC!$E10*'IW+_end'!L35</f>
        <v>5.7739233933437292E-10</v>
      </c>
      <c r="Q67" s="136">
        <f>LCI_IC!$E10*'IW+_end'!M35</f>
        <v>1.0136355764856495E-8</v>
      </c>
      <c r="R67" s="136">
        <f>LCI_IC!$E10*'IW+_end'!N35</f>
        <v>24.23257003073666</v>
      </c>
      <c r="S67" s="136">
        <f>LCI_IC!$E10*'IW+_end'!O35</f>
        <v>0.18275150808402318</v>
      </c>
      <c r="T67" s="136">
        <f>LCI_IC!$E10*'IW+_end'!P35</f>
        <v>0.60026385749342459</v>
      </c>
      <c r="U67" s="136">
        <f>LCI_IC!$E10*'IW+_end'!Q35</f>
        <v>6.5157375370135551E-2</v>
      </c>
      <c r="V67" s="136">
        <f>LCI_IC!$E10*'IW+_end'!R35</f>
        <v>8.9773711251486744E-7</v>
      </c>
      <c r="W67" s="136">
        <f>LCI_IC!$E10*'IW+_end'!S35</f>
        <v>6.7295879022802748E-7</v>
      </c>
      <c r="X67" s="136">
        <f>LCI_IC!$E10*'IW+_end'!T35</f>
        <v>6.19419661143558E-3</v>
      </c>
      <c r="Y67" s="136">
        <f>LCI_IC!$E10*'IW+_end'!U35</f>
        <v>1.3310269112425958E-10</v>
      </c>
      <c r="Z67" s="136">
        <f>LCI_IC!$E10*'IW+_end'!V35</f>
        <v>2.3213179468259162E-6</v>
      </c>
      <c r="AA67" s="136">
        <f>LCI_IC!$E10*'IW+_end'!W35</f>
        <v>0.19734284744008171</v>
      </c>
      <c r="AB67" s="136">
        <f>LCI_IC!$E10*'IW+_end'!X35</f>
        <v>1.8567087746188296E-8</v>
      </c>
      <c r="AC67" s="136">
        <f>LCI_IC!$E10*'IW+_end'!Y35</f>
        <v>0.18042544447611356</v>
      </c>
      <c r="AD67" s="136">
        <f>LCI_IC!$E10*'IW+_end'!Z35</f>
        <v>3.2768020775961776E-2</v>
      </c>
      <c r="AE67" s="136">
        <f>LCI_IC!$E10*'IW+_end'!AA35</f>
        <v>2.4562995843323009E-2</v>
      </c>
      <c r="AF67" s="136">
        <f>LCI_IC!$E10*'IW+_end'!AB35</f>
        <v>6.4059721338951951E-4</v>
      </c>
      <c r="AG67" s="136">
        <f>LCI_IC!$E10*'IW+_end'!AC35</f>
        <v>26.022057265002683</v>
      </c>
      <c r="AH67" s="136">
        <f>LCI_IC!$E10*'IW+_end'!AD35</f>
        <v>5.196894755166757E-6</v>
      </c>
      <c r="AI67" s="136">
        <f>LCI_IC!$E10*'IW+_end'!AE35</f>
        <v>9.0310464111356095E-6</v>
      </c>
      <c r="AJ67" s="136">
        <f>LCI_IC!$E10*'IW+_end'!AF35</f>
        <v>1.1030735982248163E-6</v>
      </c>
      <c r="AK67" s="136">
        <f>LCI_IC!$E10*'IW+_end'!AG35</f>
        <v>2.6276844716575351E-4</v>
      </c>
    </row>
    <row r="68" spans="1:43" x14ac:dyDescent="0.35">
      <c r="A68" s="136" t="s">
        <v>302</v>
      </c>
      <c r="B68" s="136"/>
      <c r="C68" s="136"/>
      <c r="D68" s="136"/>
      <c r="E68" s="136"/>
      <c r="F68" s="136"/>
      <c r="G68" s="136"/>
      <c r="H68" s="136"/>
      <c r="I68" s="136"/>
      <c r="J68" s="136"/>
      <c r="K68" s="136"/>
      <c r="L68" s="136"/>
      <c r="M68" s="136"/>
      <c r="N68" s="136"/>
      <c r="O68" s="136"/>
      <c r="P68" s="136"/>
      <c r="Q68" s="136"/>
      <c r="R68" s="136"/>
      <c r="S68" s="136"/>
      <c r="T68" s="136"/>
      <c r="U68" s="136"/>
      <c r="V68" s="136"/>
      <c r="W68" s="136"/>
      <c r="X68" s="136"/>
      <c r="Y68" s="136"/>
      <c r="Z68" s="136"/>
      <c r="AA68" s="136"/>
      <c r="AB68" s="136"/>
      <c r="AC68" s="136"/>
      <c r="AD68" s="136"/>
      <c r="AE68" s="136"/>
      <c r="AF68" s="136"/>
      <c r="AG68" s="136"/>
      <c r="AH68" s="136"/>
      <c r="AI68" s="136"/>
      <c r="AJ68" s="136"/>
      <c r="AK68" s="136"/>
    </row>
    <row r="69" spans="1:43" x14ac:dyDescent="0.35">
      <c r="A69" s="136"/>
      <c r="B69" s="136" t="s">
        <v>96</v>
      </c>
      <c r="C69" s="136" t="e">
        <f>LCI_IC!$E13*'IW+_end'!#REF!</f>
        <v>#REF!</v>
      </c>
      <c r="D69" s="136" t="e">
        <f>LCI_IC!$E13*'IW+_end'!#REF!</f>
        <v>#REF!</v>
      </c>
      <c r="E69" s="136" t="e">
        <f>LCI_IC!$E13*'IW+_end'!#REF!</f>
        <v>#REF!</v>
      </c>
      <c r="F69" s="136" t="e">
        <f>LCI_IC!$E13*'IW+_end'!#REF!</f>
        <v>#REF!</v>
      </c>
      <c r="G69" s="136">
        <f>LCI_IC!$E13*'IW+_end'!C12</f>
        <v>0</v>
      </c>
      <c r="H69" s="136">
        <f>LCI_IC!$E13*'IW+_end'!D12</f>
        <v>0</v>
      </c>
      <c r="I69" s="136">
        <f>LCI_IC!$E13*'IW+_end'!E12</f>
        <v>0</v>
      </c>
      <c r="J69" s="136">
        <f>LCI_IC!$E13*'IW+_end'!F12</f>
        <v>0</v>
      </c>
      <c r="K69" s="136">
        <f>LCI_IC!$E13*'IW+_end'!G12</f>
        <v>0</v>
      </c>
      <c r="L69" s="136">
        <f>LCI_IC!$E13*'IW+_end'!H12</f>
        <v>0</v>
      </c>
      <c r="M69" s="136">
        <f>LCI_IC!$E13*'IW+_end'!I12</f>
        <v>0</v>
      </c>
      <c r="N69" s="136">
        <f>LCI_IC!$E13*'IW+_end'!J12</f>
        <v>0</v>
      </c>
      <c r="O69" s="136">
        <f>LCI_IC!$E13*'IW+_end'!K12</f>
        <v>0</v>
      </c>
      <c r="P69" s="136">
        <f>LCI_IC!$E13*'IW+_end'!L12</f>
        <v>0</v>
      </c>
      <c r="Q69" s="136">
        <f>LCI_IC!$E13*'IW+_end'!M12</f>
        <v>0</v>
      </c>
      <c r="R69" s="136">
        <f>LCI_IC!$E13*'IW+_end'!N12</f>
        <v>0</v>
      </c>
      <c r="S69" s="136">
        <f>LCI_IC!$E13*'IW+_end'!O12</f>
        <v>0</v>
      </c>
      <c r="T69" s="136">
        <f>LCI_IC!$E13*'IW+_end'!P12</f>
        <v>0</v>
      </c>
      <c r="U69" s="136">
        <f>LCI_IC!$E13*'IW+_end'!Q12</f>
        <v>0</v>
      </c>
      <c r="V69" s="136">
        <f>LCI_IC!$E13*'IW+_end'!R12</f>
        <v>0</v>
      </c>
      <c r="W69" s="136">
        <f>LCI_IC!$E13*'IW+_end'!S12</f>
        <v>0</v>
      </c>
      <c r="X69" s="136">
        <f>LCI_IC!$E13*'IW+_end'!T12</f>
        <v>0</v>
      </c>
      <c r="Y69" s="136">
        <f>LCI_IC!$E13*'IW+_end'!U12</f>
        <v>0</v>
      </c>
      <c r="Z69" s="136">
        <f>LCI_IC!$E13*'IW+_end'!V12</f>
        <v>0</v>
      </c>
      <c r="AA69" s="136">
        <f>LCI_IC!$E13*'IW+_end'!W12</f>
        <v>0</v>
      </c>
      <c r="AB69" s="136">
        <f>LCI_IC!$E13*'IW+_end'!X12</f>
        <v>0</v>
      </c>
      <c r="AC69" s="136">
        <f>LCI_IC!$E13*'IW+_end'!Y12</f>
        <v>0</v>
      </c>
      <c r="AD69" s="136">
        <f>LCI_IC!$E13*'IW+_end'!Z12</f>
        <v>0</v>
      </c>
      <c r="AE69" s="136">
        <f>LCI_IC!$E13*'IW+_end'!AA12</f>
        <v>0</v>
      </c>
      <c r="AF69" s="136">
        <f>LCI_IC!$E13*'IW+_end'!AB12</f>
        <v>0</v>
      </c>
      <c r="AG69" s="136">
        <f>LCI_IC!$E13*'IW+_end'!AC12</f>
        <v>0</v>
      </c>
      <c r="AH69" s="136">
        <f>LCI_IC!$E13*'IW+_end'!AD12</f>
        <v>0</v>
      </c>
      <c r="AI69" s="136">
        <f>LCI_IC!$E13*'IW+_end'!AE12</f>
        <v>0</v>
      </c>
      <c r="AJ69" s="136">
        <f>LCI_IC!$E13*'IW+_end'!AF12</f>
        <v>0</v>
      </c>
      <c r="AK69" s="136">
        <f>LCI_IC!$E13*'IW+_end'!AG12</f>
        <v>0</v>
      </c>
    </row>
    <row r="70" spans="1:43" x14ac:dyDescent="0.35">
      <c r="A70" s="136"/>
      <c r="B70" s="136" t="s">
        <v>110</v>
      </c>
      <c r="C70" s="138" t="e">
        <f>LCI_IC!$E14*'IW+_end'!#REF!</f>
        <v>#REF!</v>
      </c>
      <c r="D70" s="138" t="e">
        <f>LCI_IC!$E14*'IW+_end'!#REF!</f>
        <v>#REF!</v>
      </c>
      <c r="E70" s="138" t="e">
        <f>LCI_IC!$E14*'IW+_end'!#REF!</f>
        <v>#REF!</v>
      </c>
      <c r="F70" s="138" t="e">
        <f>LCI_IC!$E14*'IW+_end'!#REF!</f>
        <v>#REF!</v>
      </c>
      <c r="G70" s="138">
        <f>LCI_IC!$E14*'IW+_end'!C18</f>
        <v>0</v>
      </c>
      <c r="H70" s="138">
        <f>LCI_IC!$E14*'IW+_end'!D18</f>
        <v>0.35688626153808867</v>
      </c>
      <c r="I70" s="138">
        <f>LCI_IC!$E14*'IW+_end'!E18</f>
        <v>0</v>
      </c>
      <c r="J70" s="138">
        <f>LCI_IC!$E14*'IW+_end'!F18</f>
        <v>0</v>
      </c>
      <c r="K70" s="138">
        <f>LCI_IC!$E14*'IW+_end'!G18</f>
        <v>0</v>
      </c>
      <c r="L70" s="138">
        <f>LCI_IC!$E14*'IW+_end'!H18</f>
        <v>0</v>
      </c>
      <c r="M70" s="138">
        <f>LCI_IC!$E14*'IW+_end'!I18</f>
        <v>0</v>
      </c>
      <c r="N70" s="138">
        <f>LCI_IC!$E14*'IW+_end'!J18</f>
        <v>0</v>
      </c>
      <c r="O70" s="138">
        <f>LCI_IC!$E14*'IW+_end'!K18</f>
        <v>0</v>
      </c>
      <c r="P70" s="138">
        <f>LCI_IC!$E14*'IW+_end'!L18</f>
        <v>0</v>
      </c>
      <c r="Q70" s="138">
        <f>LCI_IC!$E14*'IW+_end'!M18</f>
        <v>0</v>
      </c>
      <c r="R70" s="138">
        <f>LCI_IC!$E14*'IW+_end'!N18</f>
        <v>0</v>
      </c>
      <c r="S70" s="138">
        <f>LCI_IC!$E14*'IW+_end'!O18</f>
        <v>0</v>
      </c>
      <c r="T70" s="138">
        <f>LCI_IC!$E14*'IW+_end'!P18</f>
        <v>0</v>
      </c>
      <c r="U70" s="138">
        <f>LCI_IC!$E14*'IW+_end'!Q18</f>
        <v>0</v>
      </c>
      <c r="V70" s="138">
        <f>LCI_IC!$E14*'IW+_end'!R18</f>
        <v>0</v>
      </c>
      <c r="W70" s="138">
        <f>LCI_IC!$E14*'IW+_end'!S18</f>
        <v>0</v>
      </c>
      <c r="X70" s="138">
        <f>LCI_IC!$E14*'IW+_end'!T18</f>
        <v>0.13700751439928474</v>
      </c>
      <c r="Y70" s="138">
        <f>LCI_IC!$E14*'IW+_end'!U18</f>
        <v>0</v>
      </c>
      <c r="Z70" s="138">
        <f>LCI_IC!$E14*'IW+_end'!V18</f>
        <v>3.4282479064016783E-5</v>
      </c>
      <c r="AA70" s="138">
        <f>LCI_IC!$E14*'IW+_end'!W18</f>
        <v>0</v>
      </c>
      <c r="AB70" s="138">
        <f>LCI_IC!$E14*'IW+_end'!X18</f>
        <v>0</v>
      </c>
      <c r="AC70" s="138">
        <f>LCI_IC!$E14*'IW+_end'!Y18</f>
        <v>4.6012166934681247</v>
      </c>
      <c r="AD70" s="138">
        <f>LCI_IC!$E14*'IW+_end'!Z18</f>
        <v>0</v>
      </c>
      <c r="AE70" s="138">
        <f>LCI_IC!$E14*'IW+_end'!AA18</f>
        <v>0</v>
      </c>
      <c r="AF70" s="138">
        <f>LCI_IC!$E14*'IW+_end'!AB18</f>
        <v>0</v>
      </c>
      <c r="AG70" s="138">
        <f>LCI_IC!$E14*'IW+_end'!AC18</f>
        <v>5.0951104694054985</v>
      </c>
      <c r="AH70" s="138">
        <f>LCI_IC!$E14*'IW+_end'!AD18</f>
        <v>3.4282479064016783E-5</v>
      </c>
      <c r="AI70" s="138">
        <f>LCI_IC!$E14*'IW+_end'!AE18</f>
        <v>0</v>
      </c>
      <c r="AJ70" s="138">
        <f>LCI_IC!$E14*'IW+_end'!AF18</f>
        <v>0</v>
      </c>
      <c r="AK70" s="138">
        <f>LCI_IC!$E14*'IW+_end'!AG18</f>
        <v>0</v>
      </c>
    </row>
    <row r="71" spans="1:43" x14ac:dyDescent="0.35">
      <c r="A71" s="136"/>
      <c r="B71" s="136" t="s">
        <v>111</v>
      </c>
      <c r="C71" s="136" t="e">
        <f>LCI_IC!$E15*'IW+_end'!#REF!</f>
        <v>#REF!</v>
      </c>
      <c r="D71" s="136" t="e">
        <f>LCI_IC!$E15*'IW+_end'!#REF!</f>
        <v>#REF!</v>
      </c>
      <c r="E71" s="136" t="e">
        <f>LCI_IC!$E15*'IW+_end'!#REF!</f>
        <v>#REF!</v>
      </c>
      <c r="F71" s="136" t="e">
        <f>LCI_IC!$E15*'IW+_end'!#REF!</f>
        <v>#REF!</v>
      </c>
      <c r="G71" s="136">
        <f>LCI_IC!$E15*'IW+_end'!C20</f>
        <v>0</v>
      </c>
      <c r="H71" s="136">
        <f>LCI_IC!$E15*'IW+_end'!D20</f>
        <v>0</v>
      </c>
      <c r="I71" s="136">
        <f>LCI_IC!$E15*'IW+_end'!E20</f>
        <v>0</v>
      </c>
      <c r="J71" s="136">
        <f>LCI_IC!$E15*'IW+_end'!F20</f>
        <v>0</v>
      </c>
      <c r="K71" s="136">
        <f>LCI_IC!$E15*'IW+_end'!G20</f>
        <v>0</v>
      </c>
      <c r="L71" s="136">
        <f>LCI_IC!$E15*'IW+_end'!H20</f>
        <v>0</v>
      </c>
      <c r="M71" s="136">
        <f>LCI_IC!$E15*'IW+_end'!I20</f>
        <v>0</v>
      </c>
      <c r="N71" s="136">
        <f>LCI_IC!$E15*'IW+_end'!J20</f>
        <v>0</v>
      </c>
      <c r="O71" s="136">
        <f>LCI_IC!$E15*'IW+_end'!K20</f>
        <v>0</v>
      </c>
      <c r="P71" s="136">
        <f>LCI_IC!$E15*'IW+_end'!L20</f>
        <v>0</v>
      </c>
      <c r="Q71" s="136">
        <f>LCI_IC!$E15*'IW+_end'!M20</f>
        <v>0</v>
      </c>
      <c r="R71" s="136">
        <f>LCI_IC!$E15*'IW+_end'!N20</f>
        <v>0</v>
      </c>
      <c r="S71" s="136">
        <f>LCI_IC!$E15*'IW+_end'!O20</f>
        <v>0</v>
      </c>
      <c r="T71" s="136">
        <f>LCI_IC!$E15*'IW+_end'!P20</f>
        <v>0</v>
      </c>
      <c r="U71" s="136">
        <f>LCI_IC!$E15*'IW+_end'!Q20</f>
        <v>0</v>
      </c>
      <c r="V71" s="136">
        <f>LCI_IC!$E15*'IW+_end'!R20</f>
        <v>0</v>
      </c>
      <c r="W71" s="136">
        <f>LCI_IC!$E15*'IW+_end'!S20</f>
        <v>0</v>
      </c>
      <c r="X71" s="136">
        <f>LCI_IC!$E15*'IW+_end'!T20</f>
        <v>0</v>
      </c>
      <c r="Y71" s="136">
        <f>LCI_IC!$E15*'IW+_end'!U20</f>
        <v>0</v>
      </c>
      <c r="Z71" s="136">
        <f>LCI_IC!$E15*'IW+_end'!V20</f>
        <v>0</v>
      </c>
      <c r="AA71" s="136">
        <f>LCI_IC!$E15*'IW+_end'!W20</f>
        <v>0</v>
      </c>
      <c r="AB71" s="136">
        <f>LCI_IC!$E15*'IW+_end'!X20</f>
        <v>0</v>
      </c>
      <c r="AC71" s="136">
        <f>LCI_IC!$E15*'IW+_end'!Y20</f>
        <v>0</v>
      </c>
      <c r="AD71" s="136">
        <f>LCI_IC!$E15*'IW+_end'!Z20</f>
        <v>0</v>
      </c>
      <c r="AE71" s="136">
        <f>LCI_IC!$E15*'IW+_end'!AA20</f>
        <v>0</v>
      </c>
      <c r="AF71" s="136">
        <f>LCI_IC!$E15*'IW+_end'!AB20</f>
        <v>0</v>
      </c>
      <c r="AG71" s="136">
        <f>LCI_IC!$E15*'IW+_end'!AC20</f>
        <v>0</v>
      </c>
      <c r="AH71" s="136">
        <f>LCI_IC!$E15*'IW+_end'!AD20</f>
        <v>0</v>
      </c>
      <c r="AI71" s="136">
        <f>LCI_IC!$E15*'IW+_end'!AE20</f>
        <v>0</v>
      </c>
      <c r="AJ71" s="136">
        <f>LCI_IC!$E15*'IW+_end'!AF20</f>
        <v>0</v>
      </c>
      <c r="AK71" s="136">
        <f>LCI_IC!$E15*'IW+_end'!AG20</f>
        <v>0</v>
      </c>
    </row>
    <row r="72" spans="1:43" x14ac:dyDescent="0.35">
      <c r="A72" s="136"/>
      <c r="B72" s="136" t="s">
        <v>249</v>
      </c>
      <c r="C72" s="136" t="e">
        <f>LCI_IC!$E17*'IW+_end'!#REF!</f>
        <v>#REF!</v>
      </c>
      <c r="D72" s="136" t="e">
        <f>LCI_IC!$E17*'IW+_end'!#REF!</f>
        <v>#REF!</v>
      </c>
      <c r="E72" s="136" t="e">
        <f>LCI_IC!$E17*'IW+_end'!#REF!</f>
        <v>#REF!</v>
      </c>
      <c r="F72" s="136" t="e">
        <f>LCI_IC!$E17*'IW+_end'!#REF!</f>
        <v>#REF!</v>
      </c>
      <c r="G72" s="136">
        <f>LCI_IC!$E17*'IW+_end'!C2</f>
        <v>6.252283326323102E-20</v>
      </c>
      <c r="H72" s="136">
        <f>LCI_IC!$E17*'IW+_end'!D2</f>
        <v>3.606038332554933E-3</v>
      </c>
      <c r="I72" s="136">
        <f>LCI_IC!$E17*'IW+_end'!E2</f>
        <v>0.17247935844769632</v>
      </c>
      <c r="J72" s="136">
        <f>LCI_IC!$E17*'IW+_end'!F2</f>
        <v>8.5693363875985126E-3</v>
      </c>
      <c r="K72" s="136">
        <f>LCI_IC!$E17*'IW+_end'!G2</f>
        <v>1.4887524165772464E-5</v>
      </c>
      <c r="L72" s="136">
        <f>LCI_IC!$E17*'IW+_end'!H2</f>
        <v>6.0422261802961613E-9</v>
      </c>
      <c r="M72" s="136">
        <f>LCI_IC!$E17*'IW+_end'!I2</f>
        <v>1.1524704738517235E-7</v>
      </c>
      <c r="N72" s="136">
        <f>LCI_IC!$E17*'IW+_end'!J2</f>
        <v>1.3663212053954253E-7</v>
      </c>
      <c r="O72" s="136">
        <f>LCI_IC!$E17*'IW+_end'!K2</f>
        <v>7.2730604617469096E-8</v>
      </c>
      <c r="P72" s="136">
        <f>LCI_IC!$E17*'IW+_end'!L2</f>
        <v>2.8740273003296317E-9</v>
      </c>
      <c r="Q72" s="136">
        <f>LCI_IC!$E17*'IW+_end'!M2</f>
        <v>8.862718083347123E-8</v>
      </c>
      <c r="R72" s="136">
        <f>LCI_IC!$E17*'IW+_end'!N2</f>
        <v>1.1481097709190627E-2</v>
      </c>
      <c r="S72" s="136">
        <f>LCI_IC!$E17*'IW+_end'!O2</f>
        <v>8.0943797579757122E-3</v>
      </c>
      <c r="T72" s="136">
        <f>LCI_IC!$E17*'IW+_end'!P2</f>
        <v>7.1168247873253002E-2</v>
      </c>
      <c r="U72" s="136">
        <f>LCI_IC!$E17*'IW+_end'!Q2</f>
        <v>7.7254754685920739E-3</v>
      </c>
      <c r="V72" s="136">
        <f>LCI_IC!$E17*'IW+_end'!R2</f>
        <v>6.7001243942914083E-7</v>
      </c>
      <c r="W72" s="136">
        <f>LCI_IC!$E17*'IW+_end'!S2</f>
        <v>1.8439338594244798E-7</v>
      </c>
      <c r="X72" s="136">
        <f>LCI_IC!$E17*'IW+_end'!T2</f>
        <v>4.719342938694904E-4</v>
      </c>
      <c r="Y72" s="136">
        <f>LCI_IC!$E17*'IW+_end'!U2</f>
        <v>3.2104071375822308E-11</v>
      </c>
      <c r="Z72" s="136">
        <f>LCI_IC!$E17*'IW+_end'!V2</f>
        <v>2.5987464549455609E-7</v>
      </c>
      <c r="AA72" s="136">
        <f>LCI_IC!$E17*'IW+_end'!W2</f>
        <v>1.0940386033358009E-2</v>
      </c>
      <c r="AB72" s="136">
        <f>LCI_IC!$E17*'IW+_end'!X2</f>
        <v>1.0875598736931017E-9</v>
      </c>
      <c r="AC72" s="136">
        <f>LCI_IC!$E17*'IW+_end'!Y2</f>
        <v>2.3796048530604092E-2</v>
      </c>
      <c r="AD72" s="136">
        <f>LCI_IC!$E17*'IW+_end'!Z2</f>
        <v>2.4456396451755423E-2</v>
      </c>
      <c r="AE72" s="136">
        <f>LCI_IC!$E17*'IW+_end'!AA2</f>
        <v>6.7303585868993517E-3</v>
      </c>
      <c r="AF72" s="136">
        <f>LCI_IC!$E17*'IW+_end'!AB2</f>
        <v>1.3196293957002266E-3</v>
      </c>
      <c r="AG72" s="136">
        <f>LCI_IC!$E17*'IW+_end'!AC2</f>
        <v>0.35087165897772382</v>
      </c>
      <c r="AH72" s="136">
        <f>LCI_IC!$E17*'IW+_end'!AD2</f>
        <v>1.5363544804470323E-6</v>
      </c>
      <c r="AI72" s="136">
        <f>LCI_IC!$E17*'IW+_end'!AE2</f>
        <v>7.0088769941849565E-6</v>
      </c>
      <c r="AJ72" s="136">
        <f>LCI_IC!$E17*'IW+_end'!AF2</f>
        <v>8.5608099145145577E-7</v>
      </c>
      <c r="AK72" s="136">
        <f>LCI_IC!$E17*'IW+_end'!AG2</f>
        <v>1.0218027663432276E-5</v>
      </c>
    </row>
    <row r="73" spans="1:43" x14ac:dyDescent="0.35">
      <c r="A73" s="136" t="s">
        <v>351</v>
      </c>
      <c r="B73" s="136"/>
      <c r="C73" s="136"/>
      <c r="D73" s="136"/>
      <c r="E73" s="136"/>
      <c r="F73" s="136"/>
      <c r="G73" s="136"/>
      <c r="H73" s="136"/>
      <c r="I73" s="136"/>
      <c r="J73" s="136"/>
      <c r="K73" s="136"/>
      <c r="L73" s="136"/>
      <c r="M73" s="136"/>
      <c r="N73" s="136"/>
      <c r="O73" s="136"/>
      <c r="P73" s="136"/>
      <c r="Q73" s="136"/>
      <c r="R73" s="136"/>
      <c r="S73" s="136"/>
      <c r="T73" s="136"/>
      <c r="U73" s="136"/>
      <c r="V73" s="136"/>
      <c r="W73" s="136"/>
      <c r="X73" s="136"/>
      <c r="Y73" s="136"/>
      <c r="Z73" s="136"/>
      <c r="AA73" s="136"/>
      <c r="AB73" s="136"/>
      <c r="AC73" s="136"/>
      <c r="AD73" s="136"/>
      <c r="AE73" s="136"/>
      <c r="AF73" s="136"/>
      <c r="AG73" s="146">
        <f>SUM(AG74:AG78)</f>
        <v>-21.326093444240239</v>
      </c>
      <c r="AH73" s="146">
        <f>SUM(AH74:AH78)</f>
        <v>5.0112026067618947E-5</v>
      </c>
      <c r="AI73" s="136"/>
      <c r="AJ73" s="136"/>
      <c r="AK73" s="136"/>
    </row>
    <row r="74" spans="1:43" x14ac:dyDescent="0.35">
      <c r="A74" s="136"/>
      <c r="B74" s="136" t="s">
        <v>110</v>
      </c>
      <c r="C74" s="138" t="e">
        <f>LCI_IC!$E19*'IW+_end'!#REF!</f>
        <v>#REF!</v>
      </c>
      <c r="D74" s="138" t="e">
        <f>LCI_IC!$E19*'IW+_end'!#REF!</f>
        <v>#REF!</v>
      </c>
      <c r="E74" s="138" t="e">
        <f>LCI_IC!$E19*'IW+_end'!#REF!</f>
        <v>#REF!</v>
      </c>
      <c r="F74" s="138" t="e">
        <f>LCI_IC!$E19*'IW+_end'!#REF!</f>
        <v>#REF!</v>
      </c>
      <c r="G74" s="138">
        <f>LCI_IC!$E19*'IW+_end'!C18</f>
        <v>0</v>
      </c>
      <c r="H74" s="138">
        <f>LCI_IC!$E19*'IW+_end'!D18</f>
        <v>0.52167445673855295</v>
      </c>
      <c r="I74" s="138">
        <f>LCI_IC!$E19*'IW+_end'!E18</f>
        <v>0</v>
      </c>
      <c r="J74" s="138">
        <f>LCI_IC!$E19*'IW+_end'!F18</f>
        <v>0</v>
      </c>
      <c r="K74" s="138">
        <f>LCI_IC!$E19*'IW+_end'!G18</f>
        <v>0</v>
      </c>
      <c r="L74" s="138">
        <f>LCI_IC!$E19*'IW+_end'!H18</f>
        <v>0</v>
      </c>
      <c r="M74" s="138">
        <f>LCI_IC!$E19*'IW+_end'!I18</f>
        <v>0</v>
      </c>
      <c r="N74" s="138">
        <f>LCI_IC!$E19*'IW+_end'!J18</f>
        <v>0</v>
      </c>
      <c r="O74" s="138">
        <f>LCI_IC!$E19*'IW+_end'!K18</f>
        <v>0</v>
      </c>
      <c r="P74" s="138">
        <f>LCI_IC!$E19*'IW+_end'!L18</f>
        <v>0</v>
      </c>
      <c r="Q74" s="138">
        <f>LCI_IC!$E19*'IW+_end'!M18</f>
        <v>0</v>
      </c>
      <c r="R74" s="138">
        <f>LCI_IC!$E19*'IW+_end'!N18</f>
        <v>0</v>
      </c>
      <c r="S74" s="138">
        <f>LCI_IC!$E19*'IW+_end'!O18</f>
        <v>0</v>
      </c>
      <c r="T74" s="138">
        <f>LCI_IC!$E19*'IW+_end'!P18</f>
        <v>0</v>
      </c>
      <c r="U74" s="138">
        <f>LCI_IC!$E19*'IW+_end'!Q18</f>
        <v>0</v>
      </c>
      <c r="V74" s="138">
        <f>LCI_IC!$E19*'IW+_end'!R18</f>
        <v>0</v>
      </c>
      <c r="W74" s="138">
        <f>LCI_IC!$E19*'IW+_end'!S18</f>
        <v>0</v>
      </c>
      <c r="X74" s="138">
        <f>LCI_IC!$E19*'IW+_end'!T18</f>
        <v>0.20026918474057975</v>
      </c>
      <c r="Y74" s="138">
        <f>LCI_IC!$E19*'IW+_end'!U18</f>
        <v>0</v>
      </c>
      <c r="Z74" s="138">
        <f>LCI_IC!$E19*'IW+_end'!V18</f>
        <v>5.0112026067618947E-5</v>
      </c>
      <c r="AA74" s="138">
        <f>LCI_IC!$E19*'IW+_end'!W18</f>
        <v>0</v>
      </c>
      <c r="AB74" s="138">
        <f>LCI_IC!$E19*'IW+_end'!X18</f>
        <v>0</v>
      </c>
      <c r="AC74" s="138">
        <f>LCI_IC!$E19*'IW+_end'!Y18</f>
        <v>6.7257764660273125</v>
      </c>
      <c r="AD74" s="138">
        <f>LCI_IC!$E19*'IW+_end'!Z18</f>
        <v>0</v>
      </c>
      <c r="AE74" s="138">
        <f>LCI_IC!$E19*'IW+_end'!AA18</f>
        <v>0</v>
      </c>
      <c r="AF74" s="138">
        <f>LCI_IC!$E19*'IW+_end'!AB18</f>
        <v>0</v>
      </c>
      <c r="AG74" s="138">
        <f>LCI_IC!$E19*'IW+_end'!AC18</f>
        <v>7.4477201075064459</v>
      </c>
      <c r="AH74" s="138">
        <f>LCI_IC!$E19*'IW+_end'!AD18</f>
        <v>5.0112026067618947E-5</v>
      </c>
      <c r="AI74" s="138">
        <f>LCI_IC!$E19*'IW+_end'!AE18</f>
        <v>0</v>
      </c>
      <c r="AJ74" s="138">
        <f>LCI_IC!$E19*'IW+_end'!AF18</f>
        <v>0</v>
      </c>
      <c r="AK74" s="138">
        <f>LCI_IC!$E19*'IW+_end'!AG18</f>
        <v>0</v>
      </c>
    </row>
    <row r="75" spans="1:43" x14ac:dyDescent="0.35">
      <c r="A75" s="136"/>
      <c r="B75" s="136" t="s">
        <v>111</v>
      </c>
      <c r="C75" s="138" t="e">
        <f>LCI_IC!$E20*'IW+_end'!#REF!</f>
        <v>#REF!</v>
      </c>
      <c r="D75" s="138" t="e">
        <f>LCI_IC!$E20*'IW+_end'!#REF!</f>
        <v>#REF!</v>
      </c>
      <c r="E75" s="138" t="e">
        <f>LCI_IC!$E20*'IW+_end'!#REF!</f>
        <v>#REF!</v>
      </c>
      <c r="F75" s="138" t="e">
        <f>LCI_IC!$E20*'IW+_end'!#REF!</f>
        <v>#REF!</v>
      </c>
      <c r="G75" s="138">
        <f>LCI_IC!$E20*'IW+_end'!C20</f>
        <v>0</v>
      </c>
      <c r="H75" s="138">
        <f>LCI_IC!$E20*'IW+_end'!D20</f>
        <v>0</v>
      </c>
      <c r="I75" s="138">
        <f>LCI_IC!$E20*'IW+_end'!E20</f>
        <v>0</v>
      </c>
      <c r="J75" s="138">
        <f>LCI_IC!$E20*'IW+_end'!F20</f>
        <v>0</v>
      </c>
      <c r="K75" s="138">
        <f>LCI_IC!$E20*'IW+_end'!G20</f>
        <v>0</v>
      </c>
      <c r="L75" s="138">
        <f>LCI_IC!$E20*'IW+_end'!H20</f>
        <v>0</v>
      </c>
      <c r="M75" s="138">
        <f>LCI_IC!$E20*'IW+_end'!I20</f>
        <v>0</v>
      </c>
      <c r="N75" s="138">
        <f>LCI_IC!$E20*'IW+_end'!J20</f>
        <v>0</v>
      </c>
      <c r="O75" s="138">
        <f>LCI_IC!$E20*'IW+_end'!K20</f>
        <v>0</v>
      </c>
      <c r="P75" s="138">
        <f>LCI_IC!$E20*'IW+_end'!L20</f>
        <v>0</v>
      </c>
      <c r="Q75" s="138">
        <f>LCI_IC!$E20*'IW+_end'!M20</f>
        <v>0</v>
      </c>
      <c r="R75" s="138">
        <f>LCI_IC!$E20*'IW+_end'!N20</f>
        <v>0</v>
      </c>
      <c r="S75" s="138">
        <f>LCI_IC!$E20*'IW+_end'!O20</f>
        <v>0</v>
      </c>
      <c r="T75" s="138">
        <f>LCI_IC!$E20*'IW+_end'!P20</f>
        <v>0</v>
      </c>
      <c r="U75" s="138">
        <f>LCI_IC!$E20*'IW+_end'!Q20</f>
        <v>0</v>
      </c>
      <c r="V75" s="138">
        <f>LCI_IC!$E20*'IW+_end'!R20</f>
        <v>0</v>
      </c>
      <c r="W75" s="138">
        <f>LCI_IC!$E20*'IW+_end'!S20</f>
        <v>0</v>
      </c>
      <c r="X75" s="138">
        <f>LCI_IC!$E20*'IW+_end'!T20</f>
        <v>0</v>
      </c>
      <c r="Y75" s="138">
        <f>LCI_IC!$E20*'IW+_end'!U20</f>
        <v>0</v>
      </c>
      <c r="Z75" s="138">
        <f>LCI_IC!$E20*'IW+_end'!V20</f>
        <v>0</v>
      </c>
      <c r="AA75" s="138">
        <f>LCI_IC!$E20*'IW+_end'!W20</f>
        <v>0</v>
      </c>
      <c r="AB75" s="138">
        <f>LCI_IC!$E20*'IW+_end'!X20</f>
        <v>0</v>
      </c>
      <c r="AC75" s="138">
        <f>LCI_IC!$E20*'IW+_end'!Y20</f>
        <v>0</v>
      </c>
      <c r="AD75" s="138">
        <f>LCI_IC!$E20*'IW+_end'!Z20</f>
        <v>0</v>
      </c>
      <c r="AE75" s="138">
        <f>LCI_IC!$E20*'IW+_end'!AA20</f>
        <v>0</v>
      </c>
      <c r="AF75" s="138">
        <f>LCI_IC!$E20*'IW+_end'!AB20</f>
        <v>0</v>
      </c>
      <c r="AG75" s="138">
        <f>LCI_IC!$E20*'IW+_end'!AC20</f>
        <v>0</v>
      </c>
      <c r="AH75" s="138">
        <f>LCI_IC!$E20*'IW+_end'!AD20</f>
        <v>0</v>
      </c>
      <c r="AI75" s="138">
        <f>LCI_IC!$E20*'IW+_end'!AE20</f>
        <v>0</v>
      </c>
      <c r="AJ75" s="138">
        <f>LCI_IC!$E20*'IW+_end'!AF20</f>
        <v>0</v>
      </c>
      <c r="AK75" s="138">
        <f>LCI_IC!$E20*'IW+_end'!AG20</f>
        <v>0</v>
      </c>
    </row>
    <row r="76" spans="1:43" x14ac:dyDescent="0.35">
      <c r="A76" s="136"/>
      <c r="B76" s="136" t="s">
        <v>114</v>
      </c>
      <c r="C76" s="138" t="e">
        <f>LCI_IC!$E21*'IW+_end'!#REF!</f>
        <v>#REF!</v>
      </c>
      <c r="D76" s="138" t="e">
        <f>LCI_IC!$E21*'IW+_end'!#REF!</f>
        <v>#REF!</v>
      </c>
      <c r="E76" s="138" t="e">
        <f>LCI_IC!$E21*'IW+_end'!#REF!</f>
        <v>#REF!</v>
      </c>
      <c r="F76" s="138" t="e">
        <f>LCI_IC!$E21*'IW+_end'!#REF!</f>
        <v>#REF!</v>
      </c>
      <c r="G76" s="138">
        <f>LCI_IC!$E21*'IW+_end'!C21</f>
        <v>0</v>
      </c>
      <c r="H76" s="138">
        <f>LCI_IC!$E21*'IW+_end'!D21</f>
        <v>0</v>
      </c>
      <c r="I76" s="138">
        <f>LCI_IC!$E21*'IW+_end'!E21</f>
        <v>0</v>
      </c>
      <c r="J76" s="138">
        <f>LCI_IC!$E21*'IW+_end'!F21</f>
        <v>0</v>
      </c>
      <c r="K76" s="138">
        <f>LCI_IC!$E21*'IW+_end'!G21</f>
        <v>0</v>
      </c>
      <c r="L76" s="138">
        <f>LCI_IC!$E21*'IW+_end'!H21</f>
        <v>0</v>
      </c>
      <c r="M76" s="138">
        <f>LCI_IC!$E21*'IW+_end'!I21</f>
        <v>0</v>
      </c>
      <c r="N76" s="138">
        <f>LCI_IC!$E21*'IW+_end'!J21</f>
        <v>0</v>
      </c>
      <c r="O76" s="138">
        <f>LCI_IC!$E21*'IW+_end'!K21</f>
        <v>0</v>
      </c>
      <c r="P76" s="138">
        <f>LCI_IC!$E21*'IW+_end'!L21</f>
        <v>0</v>
      </c>
      <c r="Q76" s="138">
        <f>LCI_IC!$E21*'IW+_end'!M21</f>
        <v>0</v>
      </c>
      <c r="R76" s="138">
        <f>LCI_IC!$E21*'IW+_end'!N21</f>
        <v>0</v>
      </c>
      <c r="S76" s="138">
        <f>LCI_IC!$E21*'IW+_end'!O21</f>
        <v>0</v>
      </c>
      <c r="T76" s="138">
        <f>LCI_IC!$E21*'IW+_end'!P21</f>
        <v>0</v>
      </c>
      <c r="U76" s="138">
        <f>LCI_IC!$E21*'IW+_end'!Q21</f>
        <v>0</v>
      </c>
      <c r="V76" s="138">
        <f>LCI_IC!$E21*'IW+_end'!R21</f>
        <v>0</v>
      </c>
      <c r="W76" s="138">
        <f>LCI_IC!$E21*'IW+_end'!S21</f>
        <v>0</v>
      </c>
      <c r="X76" s="138">
        <f>LCI_IC!$E21*'IW+_end'!T21</f>
        <v>20.469849149257051</v>
      </c>
      <c r="Y76" s="138">
        <f>LCI_IC!$E21*'IW+_end'!U21</f>
        <v>0</v>
      </c>
      <c r="Z76" s="138">
        <f>LCI_IC!$E21*'IW+_end'!V21</f>
        <v>0</v>
      </c>
      <c r="AA76" s="138">
        <f>LCI_IC!$E21*'IW+_end'!W21</f>
        <v>0</v>
      </c>
      <c r="AB76" s="138">
        <f>LCI_IC!$E21*'IW+_end'!X21</f>
        <v>0</v>
      </c>
      <c r="AC76" s="138">
        <f>LCI_IC!$E21*'IW+_end'!Y21</f>
        <v>0</v>
      </c>
      <c r="AD76" s="138">
        <f>LCI_IC!$E21*'IW+_end'!Z21</f>
        <v>0</v>
      </c>
      <c r="AE76" s="138">
        <f>LCI_IC!$E21*'IW+_end'!AA21</f>
        <v>0</v>
      </c>
      <c r="AF76" s="138">
        <f>LCI_IC!$E21*'IW+_end'!AB21</f>
        <v>0</v>
      </c>
      <c r="AG76" s="138">
        <f>LCI_IC!$E21*'IW+_end'!AC21</f>
        <v>20.469849149257051</v>
      </c>
      <c r="AH76" s="138">
        <f>LCI_IC!$E21*'IW+_end'!AD21</f>
        <v>0</v>
      </c>
      <c r="AI76" s="138">
        <f>LCI_IC!$E21*'IW+_end'!AE21</f>
        <v>0</v>
      </c>
      <c r="AJ76" s="138">
        <f>LCI_IC!$E21*'IW+_end'!AF21</f>
        <v>0</v>
      </c>
      <c r="AK76" s="138">
        <f>LCI_IC!$E21*'IW+_end'!AG21</f>
        <v>0</v>
      </c>
      <c r="AL76" s="5"/>
      <c r="AM76" s="5"/>
      <c r="AN76" s="5"/>
      <c r="AO76" s="5"/>
      <c r="AP76" s="5"/>
      <c r="AQ76" s="5"/>
    </row>
    <row r="77" spans="1:43" x14ac:dyDescent="0.35">
      <c r="A77" s="136"/>
      <c r="B77" s="136" t="s">
        <v>414</v>
      </c>
      <c r="C77" s="138" t="e">
        <f>LCI_IC!$E22*'IW+_end'!#REF!</f>
        <v>#REF!</v>
      </c>
      <c r="D77" s="138" t="e">
        <f>LCI_IC!$E22*'IW+_end'!#REF!</f>
        <v>#REF!</v>
      </c>
      <c r="E77" s="138" t="e">
        <f>LCI_IC!$E22*'IW+_end'!#REF!</f>
        <v>#REF!</v>
      </c>
      <c r="F77" s="138" t="e">
        <f>LCI_IC!$E22*'IW+_end'!#REF!</f>
        <v>#REF!</v>
      </c>
      <c r="G77" s="138">
        <f>LCI_IC!$E22*'IW+_end'!C25</f>
        <v>0</v>
      </c>
      <c r="H77" s="138">
        <f>LCI_IC!$E22*'IW+_end'!D25</f>
        <v>0</v>
      </c>
      <c r="I77" s="138">
        <f>LCI_IC!$E22*'IW+_end'!E25</f>
        <v>0</v>
      </c>
      <c r="J77" s="138">
        <f>LCI_IC!$E22*'IW+_end'!F25</f>
        <v>0</v>
      </c>
      <c r="K77" s="138">
        <f>LCI_IC!$E22*'IW+_end'!G25</f>
        <v>-0.19572786767040548</v>
      </c>
      <c r="L77" s="138">
        <f>LCI_IC!$E22*'IW+_end'!H25</f>
        <v>0</v>
      </c>
      <c r="M77" s="138">
        <f>LCI_IC!$E22*'IW+_end'!I25</f>
        <v>0</v>
      </c>
      <c r="N77" s="138">
        <f>LCI_IC!$E22*'IW+_end'!J25</f>
        <v>0</v>
      </c>
      <c r="O77" s="138">
        <f>LCI_IC!$E22*'IW+_end'!K25</f>
        <v>0</v>
      </c>
      <c r="P77" s="138">
        <f>LCI_IC!$E22*'IW+_end'!L25</f>
        <v>0</v>
      </c>
      <c r="Q77" s="138">
        <f>LCI_IC!$E22*'IW+_end'!M25</f>
        <v>0</v>
      </c>
      <c r="R77" s="138">
        <f>LCI_IC!$E22*'IW+_end'!N25</f>
        <v>0</v>
      </c>
      <c r="S77" s="138">
        <f>LCI_IC!$E22*'IW+_end'!O25</f>
        <v>0</v>
      </c>
      <c r="T77" s="138">
        <f>LCI_IC!$E22*'IW+_end'!P25</f>
        <v>0</v>
      </c>
      <c r="U77" s="138">
        <f>LCI_IC!$E22*'IW+_end'!Q25</f>
        <v>0</v>
      </c>
      <c r="V77" s="138">
        <f>LCI_IC!$E22*'IW+_end'!R25</f>
        <v>0</v>
      </c>
      <c r="W77" s="138">
        <f>LCI_IC!$E22*'IW+_end'!S25</f>
        <v>0</v>
      </c>
      <c r="X77" s="138">
        <f>LCI_IC!$E22*'IW+_end'!T25</f>
        <v>0</v>
      </c>
      <c r="Y77" s="138">
        <f>LCI_IC!$E22*'IW+_end'!U25</f>
        <v>0</v>
      </c>
      <c r="Z77" s="138">
        <f>LCI_IC!$E22*'IW+_end'!V25</f>
        <v>0</v>
      </c>
      <c r="AA77" s="138">
        <f>LCI_IC!$E22*'IW+_end'!W25</f>
        <v>0</v>
      </c>
      <c r="AB77" s="138">
        <f>LCI_IC!$E22*'IW+_end'!X25</f>
        <v>0</v>
      </c>
      <c r="AC77" s="138">
        <f>LCI_IC!$E22*'IW+_end'!Y25</f>
        <v>0</v>
      </c>
      <c r="AD77" s="138">
        <f>LCI_IC!$E22*'IW+_end'!Z25</f>
        <v>0</v>
      </c>
      <c r="AE77" s="138">
        <f>LCI_IC!$E22*'IW+_end'!AA25</f>
        <v>0</v>
      </c>
      <c r="AF77" s="138">
        <f>LCI_IC!$E22*'IW+_end'!AB25</f>
        <v>0</v>
      </c>
      <c r="AG77" s="138">
        <f>LCI_IC!$E22*'IW+_end'!AC25</f>
        <v>-0.19572786767040548</v>
      </c>
      <c r="AH77" s="138">
        <f>LCI_IC!$E22*'IW+_end'!AD25</f>
        <v>0</v>
      </c>
      <c r="AI77" s="138">
        <f>LCI_IC!$E22*'IW+_end'!AE25</f>
        <v>0</v>
      </c>
      <c r="AJ77" s="138">
        <f>LCI_IC!$E22*'IW+_end'!AF25</f>
        <v>0</v>
      </c>
      <c r="AK77" s="138">
        <f>LCI_IC!$E22*'IW+_end'!AG25</f>
        <v>0</v>
      </c>
      <c r="AL77" s="5"/>
      <c r="AM77" s="5"/>
      <c r="AN77" s="5"/>
    </row>
    <row r="78" spans="1:43" x14ac:dyDescent="0.35">
      <c r="A78" s="136"/>
      <c r="B78" s="136" t="s">
        <v>415</v>
      </c>
      <c r="C78" s="138" t="e">
        <f>LCI_IC!$E23*'IW+_end'!#REF!</f>
        <v>#REF!</v>
      </c>
      <c r="D78" s="138" t="e">
        <f>LCI_IC!$E23*'IW+_end'!#REF!</f>
        <v>#REF!</v>
      </c>
      <c r="E78" s="138" t="e">
        <f>LCI_IC!$E23*'IW+_end'!#REF!</f>
        <v>#REF!</v>
      </c>
      <c r="F78" s="138" t="e">
        <f>LCI_IC!$E23*'IW+_end'!#REF!</f>
        <v>#REF!</v>
      </c>
      <c r="G78" s="138">
        <f>LCI_IC!$E23*'IW+_end'!C26</f>
        <v>0</v>
      </c>
      <c r="H78" s="138">
        <f>LCI_IC!$E23*'IW+_end'!D26</f>
        <v>0</v>
      </c>
      <c r="I78" s="138">
        <f>LCI_IC!$E23*'IW+_end'!E26</f>
        <v>0</v>
      </c>
      <c r="J78" s="138">
        <f>LCI_IC!$E23*'IW+_end'!F26</f>
        <v>0</v>
      </c>
      <c r="K78" s="138">
        <f>LCI_IC!$E23*'IW+_end'!G26</f>
        <v>0</v>
      </c>
      <c r="L78" s="138">
        <f>LCI_IC!$E23*'IW+_end'!H26</f>
        <v>0</v>
      </c>
      <c r="M78" s="138">
        <f>LCI_IC!$E23*'IW+_end'!I26</f>
        <v>0</v>
      </c>
      <c r="N78" s="138">
        <f>LCI_IC!$E23*'IW+_end'!J26</f>
        <v>0</v>
      </c>
      <c r="O78" s="138">
        <f>LCI_IC!$E23*'IW+_end'!K26</f>
        <v>0</v>
      </c>
      <c r="P78" s="138">
        <f>LCI_IC!$E23*'IW+_end'!L26</f>
        <v>0</v>
      </c>
      <c r="Q78" s="138">
        <f>LCI_IC!$E23*'IW+_end'!M26</f>
        <v>0</v>
      </c>
      <c r="R78" s="138">
        <f>LCI_IC!$E23*'IW+_end'!N26</f>
        <v>0</v>
      </c>
      <c r="S78" s="138">
        <f>LCI_IC!$E23*'IW+_end'!O26</f>
        <v>0</v>
      </c>
      <c r="T78" s="138">
        <f>LCI_IC!$E23*'IW+_end'!P26</f>
        <v>-44.245021333333334</v>
      </c>
      <c r="U78" s="138">
        <f>LCI_IC!$E23*'IW+_end'!Q26</f>
        <v>-4.8029134999999998</v>
      </c>
      <c r="V78" s="138">
        <f>LCI_IC!$E23*'IW+_end'!R26</f>
        <v>0</v>
      </c>
      <c r="W78" s="138">
        <f>LCI_IC!$E23*'IW+_end'!S26</f>
        <v>0</v>
      </c>
      <c r="X78" s="138">
        <f>LCI_IC!$E23*'IW+_end'!T26</f>
        <v>0</v>
      </c>
      <c r="Y78" s="138">
        <f>LCI_IC!$E23*'IW+_end'!U26</f>
        <v>0</v>
      </c>
      <c r="Z78" s="138">
        <f>LCI_IC!$E23*'IW+_end'!V26</f>
        <v>0</v>
      </c>
      <c r="AA78" s="138">
        <f>LCI_IC!$E23*'IW+_end'!W26</f>
        <v>0</v>
      </c>
      <c r="AB78" s="138">
        <f>LCI_IC!$E23*'IW+_end'!X26</f>
        <v>0</v>
      </c>
      <c r="AC78" s="138">
        <f>LCI_IC!$E23*'IW+_end'!Y26</f>
        <v>0</v>
      </c>
      <c r="AD78" s="138">
        <f>LCI_IC!$E23*'IW+_end'!Z26</f>
        <v>0</v>
      </c>
      <c r="AE78" s="138">
        <f>LCI_IC!$E23*'IW+_end'!AA26</f>
        <v>0</v>
      </c>
      <c r="AF78" s="138">
        <f>LCI_IC!$E23*'IW+_end'!AB26</f>
        <v>0</v>
      </c>
      <c r="AG78" s="138">
        <f>LCI_IC!$E23*'IW+_end'!AC26</f>
        <v>-49.047934833333329</v>
      </c>
      <c r="AH78" s="138">
        <f>LCI_IC!$E23*'IW+_end'!AD26</f>
        <v>0</v>
      </c>
      <c r="AI78" s="138">
        <f>LCI_IC!$E23*'IW+_end'!AE26</f>
        <v>0</v>
      </c>
      <c r="AJ78" s="138">
        <f>LCI_IC!$E23*'IW+_end'!AF26</f>
        <v>0</v>
      </c>
      <c r="AK78" s="138">
        <f>LCI_IC!$E23*'IW+_end'!AG26</f>
        <v>0</v>
      </c>
    </row>
    <row r="79" spans="1:43" x14ac:dyDescent="0.35">
      <c r="A79" s="136" t="s">
        <v>421</v>
      </c>
      <c r="B79" s="136"/>
      <c r="C79" s="136"/>
      <c r="D79" s="136"/>
      <c r="E79" s="136"/>
      <c r="F79" s="136"/>
      <c r="G79" s="136"/>
      <c r="H79" s="136"/>
      <c r="I79" s="136"/>
      <c r="J79" s="136"/>
      <c r="K79" s="136"/>
      <c r="L79" s="136"/>
      <c r="M79" s="136"/>
      <c r="N79" s="136"/>
      <c r="O79" s="136"/>
      <c r="P79" s="136"/>
      <c r="Q79" s="136"/>
      <c r="R79" s="136"/>
      <c r="S79" s="136"/>
      <c r="T79" s="136"/>
      <c r="U79" s="136"/>
      <c r="V79" s="136"/>
      <c r="W79" s="136"/>
      <c r="X79" s="136"/>
      <c r="Y79" s="136"/>
      <c r="Z79" s="136"/>
      <c r="AA79" s="136"/>
      <c r="AB79" s="136"/>
      <c r="AC79" s="136"/>
      <c r="AD79" s="136"/>
      <c r="AE79" s="136"/>
      <c r="AF79" s="136"/>
      <c r="AG79" s="146">
        <f>SUM(AG80:AG83)</f>
        <v>9.8693946650091373</v>
      </c>
      <c r="AH79" s="146">
        <f>SUM(AH80:AH83)</f>
        <v>6.0676574859034215E-5</v>
      </c>
      <c r="AI79" s="136"/>
      <c r="AJ79" s="136"/>
      <c r="AK79" s="136"/>
    </row>
    <row r="80" spans="1:43" x14ac:dyDescent="0.35">
      <c r="A80" s="136"/>
      <c r="B80" s="136" t="s">
        <v>228</v>
      </c>
      <c r="C80" s="138" t="e">
        <f>LCI_IC!$E25*'IW+_end'!#REF!</f>
        <v>#REF!</v>
      </c>
      <c r="D80" s="138" t="e">
        <f>LCI_IC!$E25*'IW+_end'!#REF!</f>
        <v>#REF!</v>
      </c>
      <c r="E80" s="138" t="e">
        <f>LCI_IC!$E25*'IW+_end'!#REF!</f>
        <v>#REF!</v>
      </c>
      <c r="F80" s="138" t="e">
        <f>LCI_IC!$E25*'IW+_end'!#REF!</f>
        <v>#REF!</v>
      </c>
      <c r="G80" s="138">
        <f>LCI_IC!$E25*'IW+_end'!C28</f>
        <v>3.6545832000339221E-17</v>
      </c>
      <c r="H80" s="138">
        <f>LCI_IC!$E25*'IW+_end'!D28</f>
        <v>8.1275546152735273E-2</v>
      </c>
      <c r="I80" s="138">
        <f>LCI_IC!$E25*'IW+_end'!E28</f>
        <v>0.67592558672537861</v>
      </c>
      <c r="J80" s="138">
        <f>LCI_IC!$E25*'IW+_end'!F28</f>
        <v>0.22468697018491576</v>
      </c>
      <c r="K80" s="138">
        <f>LCI_IC!$E25*'IW+_end'!G28</f>
        <v>3.304986207296957E-4</v>
      </c>
      <c r="L80" s="138">
        <f>LCI_IC!$E25*'IW+_end'!H28</f>
        <v>5.0453957859072375E-8</v>
      </c>
      <c r="M80" s="138">
        <f>LCI_IC!$E25*'IW+_end'!I28</f>
        <v>2.3690546337322672E-6</v>
      </c>
      <c r="N80" s="138">
        <f>LCI_IC!$E25*'IW+_end'!J28</f>
        <v>1.643451443857967E-6</v>
      </c>
      <c r="O80" s="138">
        <f>LCI_IC!$E25*'IW+_end'!K28</f>
        <v>1.6633781821976012E-6</v>
      </c>
      <c r="P80" s="138">
        <f>LCI_IC!$E25*'IW+_end'!L28</f>
        <v>7.1044973435757444E-10</v>
      </c>
      <c r="Q80" s="138">
        <f>LCI_IC!$E25*'IW+_end'!M28</f>
        <v>1.2833643301978255E-8</v>
      </c>
      <c r="R80" s="138">
        <f>LCI_IC!$E25*'IW+_end'!N28</f>
        <v>9.6273547880448243E-2</v>
      </c>
      <c r="S80" s="138">
        <f>LCI_IC!$E25*'IW+_end'!O28</f>
        <v>0.17379299266706141</v>
      </c>
      <c r="T80" s="138">
        <f>LCI_IC!$E25*'IW+_end'!P28</f>
        <v>1.8229030158091446</v>
      </c>
      <c r="U80" s="138">
        <f>LCI_IC!$E25*'IW+_end'!Q28</f>
        <v>0.19788052259342093</v>
      </c>
      <c r="V80" s="138">
        <f>LCI_IC!$E25*'IW+_end'!R28</f>
        <v>3.5334569326123635E-6</v>
      </c>
      <c r="W80" s="138">
        <f>LCI_IC!$E25*'IW+_end'!S28</f>
        <v>4.8085991649920127E-6</v>
      </c>
      <c r="X80" s="138">
        <f>LCI_IC!$E25*'IW+_end'!T28</f>
        <v>3.32168943702566E-2</v>
      </c>
      <c r="Y80" s="138">
        <f>LCI_IC!$E25*'IW+_end'!U28</f>
        <v>5.5184500242757582E-10</v>
      </c>
      <c r="Z80" s="138">
        <f>LCI_IC!$E25*'IW+_end'!V28</f>
        <v>6.5389505350509874E-6</v>
      </c>
      <c r="AA80" s="138">
        <f>LCI_IC!$E25*'IW+_end'!W28</f>
        <v>0.18908831954114289</v>
      </c>
      <c r="AB80" s="138">
        <f>LCI_IC!$E25*'IW+_end'!X28</f>
        <v>1.8184579991729549E-8</v>
      </c>
      <c r="AC80" s="138">
        <f>LCI_IC!$E25*'IW+_end'!Y28</f>
        <v>0.74496601025826104</v>
      </c>
      <c r="AD80" s="138">
        <f>LCI_IC!$E25*'IW+_end'!Z28</f>
        <v>0.12897174038869993</v>
      </c>
      <c r="AE80" s="138">
        <f>LCI_IC!$E25*'IW+_end'!AA28</f>
        <v>0.1755138695222084</v>
      </c>
      <c r="AF80" s="138">
        <f>LCI_IC!$E25*'IW+_end'!AB28</f>
        <v>7.9785300231694802E-4</v>
      </c>
      <c r="AG80" s="138">
        <f>LCI_IC!$E25*'IW+_end'!AC28</f>
        <v>4.5461014957116639</v>
      </c>
      <c r="AH80" s="138">
        <f>LCI_IC!$E25*'IW+_end'!AD28</f>
        <v>3.3604908688351363E-5</v>
      </c>
      <c r="AI80" s="138">
        <f>LCI_IC!$E25*'IW+_end'!AE28</f>
        <v>1.7445253661456663E-4</v>
      </c>
      <c r="AJ80" s="138">
        <f>LCI_IC!$E25*'IW+_end'!AF28</f>
        <v>2.1308049867357334E-5</v>
      </c>
      <c r="AK80" s="138">
        <f>LCI_IC!$E25*'IW+_end'!AG28</f>
        <v>2.9533269178196308E-4</v>
      </c>
    </row>
    <row r="81" spans="1:38" x14ac:dyDescent="0.35">
      <c r="A81" s="136"/>
      <c r="B81" s="136" t="s">
        <v>230</v>
      </c>
      <c r="C81" s="138" t="e">
        <f>LCI_IC!$E26*'IW+_end'!#REF!</f>
        <v>#REF!</v>
      </c>
      <c r="D81" s="138" t="e">
        <f>LCI_IC!$E26*'IW+_end'!#REF!</f>
        <v>#REF!</v>
      </c>
      <c r="E81" s="138" t="e">
        <f>LCI_IC!$E26*'IW+_end'!#REF!</f>
        <v>#REF!</v>
      </c>
      <c r="F81" s="138" t="e">
        <f>LCI_IC!$E26*'IW+_end'!#REF!</f>
        <v>#REF!</v>
      </c>
      <c r="G81" s="138">
        <f>LCI_IC!$E26*'IW+_end'!C30</f>
        <v>6.0315564098208772E-18</v>
      </c>
      <c r="H81" s="138">
        <f>LCI_IC!$E26*'IW+_end'!D30</f>
        <v>3.6972046493130739E-2</v>
      </c>
      <c r="I81" s="138">
        <f>LCI_IC!$E26*'IW+_end'!E30</f>
        <v>0.19361293992523776</v>
      </c>
      <c r="J81" s="138">
        <f>LCI_IC!$E26*'IW+_end'!F30</f>
        <v>1.7757453692648931E-2</v>
      </c>
      <c r="K81" s="138">
        <f>LCI_IC!$E26*'IW+_end'!G30</f>
        <v>8.2199095751906114E-3</v>
      </c>
      <c r="L81" s="138">
        <f>LCI_IC!$E26*'IW+_end'!H30</f>
        <v>1.0299848371580312E-8</v>
      </c>
      <c r="M81" s="138">
        <f>LCI_IC!$E26*'IW+_end'!I30</f>
        <v>3.8583495496652206E-7</v>
      </c>
      <c r="N81" s="138">
        <f>LCI_IC!$E26*'IW+_end'!J30</f>
        <v>3.3076537218699235E-7</v>
      </c>
      <c r="O81" s="138">
        <f>LCI_IC!$E26*'IW+_end'!K30</f>
        <v>5.7800010732843616E-7</v>
      </c>
      <c r="P81" s="138">
        <f>LCI_IC!$E26*'IW+_end'!L30</f>
        <v>3.8333310667284813E-10</v>
      </c>
      <c r="Q81" s="138">
        <f>LCI_IC!$E26*'IW+_end'!M30</f>
        <v>7.7993356856152418E-9</v>
      </c>
      <c r="R81" s="138">
        <f>LCI_IC!$E26*'IW+_end'!N30</f>
        <v>5.6352316252806255E-2</v>
      </c>
      <c r="S81" s="138">
        <f>LCI_IC!$E26*'IW+_end'!O30</f>
        <v>6.5251893555942728E-2</v>
      </c>
      <c r="T81" s="138">
        <f>LCI_IC!$E26*'IW+_end'!P30</f>
        <v>0.14279495458850452</v>
      </c>
      <c r="U81" s="138">
        <f>LCI_IC!$E26*'IW+_end'!Q30</f>
        <v>1.550070944965619E-2</v>
      </c>
      <c r="V81" s="138">
        <f>LCI_IC!$E26*'IW+_end'!R30</f>
        <v>5.9700987783157153E-7</v>
      </c>
      <c r="W81" s="138">
        <f>LCI_IC!$E26*'IW+_end'!S30</f>
        <v>7.9219810040448936E-7</v>
      </c>
      <c r="X81" s="138">
        <f>LCI_IC!$E26*'IW+_end'!T30</f>
        <v>1.1885496145678462E-3</v>
      </c>
      <c r="Y81" s="138">
        <f>LCI_IC!$E26*'IW+_end'!U30</f>
        <v>3.154244439868681E-11</v>
      </c>
      <c r="Z81" s="138">
        <f>LCI_IC!$E26*'IW+_end'!V30</f>
        <v>2.9769351977038009E-6</v>
      </c>
      <c r="AA81" s="138">
        <f>LCI_IC!$E26*'IW+_end'!W30</f>
        <v>2.2759239144389307E-2</v>
      </c>
      <c r="AB81" s="138">
        <f>LCI_IC!$E26*'IW+_end'!X30</f>
        <v>2.2772596893450455E-9</v>
      </c>
      <c r="AC81" s="138">
        <f>LCI_IC!$E26*'IW+_end'!Y30</f>
        <v>0.22544847829680265</v>
      </c>
      <c r="AD81" s="138">
        <f>LCI_IC!$E26*'IW+_end'!Z30</f>
        <v>2.1791163988841386E-2</v>
      </c>
      <c r="AE81" s="138">
        <f>LCI_IC!$E26*'IW+_end'!AA30</f>
        <v>2.8915230664763869E-2</v>
      </c>
      <c r="AF81" s="138">
        <f>LCI_IC!$E26*'IW+_end'!AB30</f>
        <v>3.187894269130934E-4</v>
      </c>
      <c r="AG81" s="138">
        <f>LCI_IC!$E26*'IW+_end'!AC30</f>
        <v>0.83718770938641429</v>
      </c>
      <c r="AH81" s="138">
        <f>LCI_IC!$E26*'IW+_end'!AD30</f>
        <v>6.6773452778249078E-6</v>
      </c>
      <c r="AI81" s="138">
        <f>LCI_IC!$E26*'IW+_end'!AE30</f>
        <v>1.952967882681957E-5</v>
      </c>
      <c r="AJ81" s="138">
        <f>LCI_IC!$E26*'IW+_end'!AF30</f>
        <v>2.3854016594482158E-6</v>
      </c>
      <c r="AK81" s="138">
        <f>LCI_IC!$E26*'IW+_end'!AG30</f>
        <v>2.8311544688015209E-4</v>
      </c>
      <c r="AL81" s="5"/>
    </row>
    <row r="82" spans="1:38" x14ac:dyDescent="0.35">
      <c r="A82" s="136"/>
      <c r="B82" s="136" t="s">
        <v>229</v>
      </c>
      <c r="C82" s="138" t="e">
        <f>LCI_IC!$E27*'IW+_end'!#REF!</f>
        <v>#REF!</v>
      </c>
      <c r="D82" s="138" t="e">
        <f>LCI_IC!$E27*'IW+_end'!#REF!</f>
        <v>#REF!</v>
      </c>
      <c r="E82" s="138" t="e">
        <f>LCI_IC!$E27*'IW+_end'!#REF!</f>
        <v>#REF!</v>
      </c>
      <c r="F82" s="138" t="e">
        <f>LCI_IC!$E27*'IW+_end'!#REF!</f>
        <v>#REF!</v>
      </c>
      <c r="G82" s="138">
        <f>LCI_IC!$E27*'IW+_end'!C29</f>
        <v>8.0122507082151047E-18</v>
      </c>
      <c r="H82" s="138">
        <f>LCI_IC!$E27*'IW+_end'!D29</f>
        <v>1.8907313699943473E-2</v>
      </c>
      <c r="I82" s="138">
        <f>LCI_IC!$E27*'IW+_end'!E29</f>
        <v>0.51120435698087308</v>
      </c>
      <c r="J82" s="138">
        <f>LCI_IC!$E27*'IW+_end'!F29</f>
        <v>5.3173947626151644E-2</v>
      </c>
      <c r="K82" s="138">
        <f>LCI_IC!$E27*'IW+_end'!G29</f>
        <v>9.6229808735626593E-5</v>
      </c>
      <c r="L82" s="138">
        <f>LCI_IC!$E27*'IW+_end'!H29</f>
        <v>1.4196960758012698E-8</v>
      </c>
      <c r="M82" s="138">
        <f>LCI_IC!$E27*'IW+_end'!I29</f>
        <v>7.0661469025032901E-7</v>
      </c>
      <c r="N82" s="138">
        <f>LCI_IC!$E27*'IW+_end'!J29</f>
        <v>4.7174865132753393E-7</v>
      </c>
      <c r="O82" s="138">
        <f>LCI_IC!$E27*'IW+_end'!K29</f>
        <v>4.3874893981914798E-7</v>
      </c>
      <c r="P82" s="138">
        <f>LCI_IC!$E27*'IW+_end'!L29</f>
        <v>1.7570260364408665E-10</v>
      </c>
      <c r="Q82" s="138">
        <f>LCI_IC!$E27*'IW+_end'!M29</f>
        <v>3.0522579402085028E-9</v>
      </c>
      <c r="R82" s="138">
        <f>LCI_IC!$E27*'IW+_end'!N29</f>
        <v>9.1453076135521755E-2</v>
      </c>
      <c r="S82" s="138">
        <f>LCI_IC!$E27*'IW+_end'!O29</f>
        <v>0.16870157571403721</v>
      </c>
      <c r="T82" s="138">
        <f>LCI_IC!$E27*'IW+_end'!P29</f>
        <v>0.35306201332049525</v>
      </c>
      <c r="U82" s="138">
        <f>LCI_IC!$E27*'IW+_end'!Q29</f>
        <v>3.8325586855754525E-2</v>
      </c>
      <c r="V82" s="138">
        <f>LCI_IC!$E27*'IW+_end'!R29</f>
        <v>8.740943394529977E-7</v>
      </c>
      <c r="W82" s="138">
        <f>LCI_IC!$E27*'IW+_end'!S29</f>
        <v>1.0941689211114937E-6</v>
      </c>
      <c r="X82" s="138">
        <f>LCI_IC!$E27*'IW+_end'!T29</f>
        <v>3.0938363024668085E-3</v>
      </c>
      <c r="Y82" s="138">
        <f>LCI_IC!$E27*'IW+_end'!U29</f>
        <v>1.0428435207243975E-10</v>
      </c>
      <c r="Z82" s="138">
        <f>LCI_IC!$E27*'IW+_end'!V29</f>
        <v>1.7368023308832582E-6</v>
      </c>
      <c r="AA82" s="138">
        <f>LCI_IC!$E27*'IW+_end'!W29</f>
        <v>8.3646179181701572E-2</v>
      </c>
      <c r="AB82" s="138">
        <f>LCI_IC!$E27*'IW+_end'!X29</f>
        <v>8.3188008005450799E-9</v>
      </c>
      <c r="AC82" s="138">
        <f>LCI_IC!$E27*'IW+_end'!Y29</f>
        <v>0.13033000797005942</v>
      </c>
      <c r="AD82" s="138">
        <f>LCI_IC!$E27*'IW+_end'!Z29</f>
        <v>3.1904616401320557E-2</v>
      </c>
      <c r="AE82" s="138">
        <f>LCI_IC!$E27*'IW+_end'!AA29</f>
        <v>3.9937165620569509E-2</v>
      </c>
      <c r="AF82" s="138">
        <f>LCI_IC!$E27*'IW+_end'!AB29</f>
        <v>1.9649819545126027E-4</v>
      </c>
      <c r="AG82" s="138">
        <f>LCI_IC!$E27*'IW+_end'!AC29</f>
        <v>1.5241038608786175</v>
      </c>
      <c r="AH82" s="138">
        <f>LCI_IC!$E27*'IW+_end'!AD29</f>
        <v>4.5680107797889912E-6</v>
      </c>
      <c r="AI82" s="138">
        <f>LCI_IC!$E27*'IW+_end'!AE29</f>
        <v>9.7298231832100408E-6</v>
      </c>
      <c r="AJ82" s="138">
        <f>LCI_IC!$E27*'IW+_end'!AF29</f>
        <v>1.1884238636578835E-6</v>
      </c>
      <c r="AK82" s="138">
        <f>LCI_IC!$E27*'IW+_end'!AG29</f>
        <v>5.9758803389333032E-5</v>
      </c>
      <c r="AL82" s="5"/>
    </row>
    <row r="83" spans="1:38" x14ac:dyDescent="0.35">
      <c r="A83" s="136"/>
      <c r="B83" s="136" t="s">
        <v>231</v>
      </c>
      <c r="C83" s="138" t="e">
        <f>LCI_IC!$E28*'IW+_end'!#REF!</f>
        <v>#REF!</v>
      </c>
      <c r="D83" s="138" t="e">
        <f>LCI_IC!$E28*'IW+_end'!#REF!</f>
        <v>#REF!</v>
      </c>
      <c r="E83" s="138" t="e">
        <f>LCI_IC!$E28*'IW+_end'!#REF!</f>
        <v>#REF!</v>
      </c>
      <c r="F83" s="138" t="e">
        <f>LCI_IC!$E28*'IW+_end'!#REF!</f>
        <v>#REF!</v>
      </c>
      <c r="G83" s="138">
        <f>LCI_IC!$E28*'IW+_end'!C31</f>
        <v>6.92493564014984E-19</v>
      </c>
      <c r="H83" s="138">
        <f>LCI_IC!$E28*'IW+_end'!D31</f>
        <v>2.3759147861102229E-2</v>
      </c>
      <c r="I83" s="138">
        <f>LCI_IC!$E28*'IW+_end'!E31</f>
        <v>0.27029814301867966</v>
      </c>
      <c r="J83" s="138">
        <f>LCI_IC!$E28*'IW+_end'!F31</f>
        <v>0.11148870182752597</v>
      </c>
      <c r="K83" s="138">
        <f>LCI_IC!$E28*'IW+_end'!G31</f>
        <v>1.2875316124769456E-4</v>
      </c>
      <c r="L83" s="138">
        <f>LCI_IC!$E28*'IW+_end'!H31</f>
        <v>1.5341512098134636E-8</v>
      </c>
      <c r="M83" s="138">
        <f>LCI_IC!$E28*'IW+_end'!I31</f>
        <v>1.1496041705379304E-6</v>
      </c>
      <c r="N83" s="138">
        <f>LCI_IC!$E28*'IW+_end'!J31</f>
        <v>4.8756077466326926E-7</v>
      </c>
      <c r="O83" s="138">
        <f>LCI_IC!$E28*'IW+_end'!K31</f>
        <v>4.0784129940155273E-7</v>
      </c>
      <c r="P83" s="138">
        <f>LCI_IC!$E28*'IW+_end'!L31</f>
        <v>3.6388467080236088E-9</v>
      </c>
      <c r="Q83" s="138">
        <f>LCI_IC!$E28*'IW+_end'!M31</f>
        <v>4.5825776748671303E-8</v>
      </c>
      <c r="R83" s="138">
        <f>LCI_IC!$E28*'IW+_end'!N31</f>
        <v>0.2707476406643462</v>
      </c>
      <c r="S83" s="138">
        <f>LCI_IC!$E28*'IW+_end'!O31</f>
        <v>1.4040133955314353</v>
      </c>
      <c r="T83" s="138">
        <f>LCI_IC!$E28*'IW+_end'!P31</f>
        <v>0.39132114342293278</v>
      </c>
      <c r="U83" s="138">
        <f>LCI_IC!$E28*'IW+_end'!Q31</f>
        <v>4.247860625579615E-2</v>
      </c>
      <c r="V83" s="138">
        <f>LCI_IC!$E28*'IW+_end'!R31</f>
        <v>9.8220988420591536E-7</v>
      </c>
      <c r="W83" s="138">
        <f>LCI_IC!$E28*'IW+_end'!S31</f>
        <v>6.5561977079697452E-7</v>
      </c>
      <c r="X83" s="138">
        <f>LCI_IC!$E28*'IW+_end'!T31</f>
        <v>5.2033107898198103E-3</v>
      </c>
      <c r="Y83" s="138">
        <f>LCI_IC!$E28*'IW+_end'!U31</f>
        <v>6.9859032067365914E-11</v>
      </c>
      <c r="Z83" s="138">
        <f>LCI_IC!$E28*'IW+_end'!V31</f>
        <v>2.4857606343617158E-6</v>
      </c>
      <c r="AA83" s="138">
        <f>LCI_IC!$E28*'IW+_end'!W31</f>
        <v>0.15466312520621264</v>
      </c>
      <c r="AB83" s="138">
        <f>LCI_IC!$E28*'IW+_end'!X31</f>
        <v>1.5660520760659303E-8</v>
      </c>
      <c r="AC83" s="138">
        <f>LCI_IC!$E28*'IW+_end'!Y31</f>
        <v>0.17251667920321362</v>
      </c>
      <c r="AD83" s="138">
        <f>LCI_IC!$E28*'IW+_end'!Z31</f>
        <v>3.5851143707311517E-2</v>
      </c>
      <c r="AE83" s="138">
        <f>LCI_IC!$E28*'IW+_end'!AA31</f>
        <v>2.3930121634089571E-2</v>
      </c>
      <c r="AF83" s="138">
        <f>LCI_IC!$E28*'IW+_end'!AB31</f>
        <v>2.8126552124230447E-3</v>
      </c>
      <c r="AG83" s="138">
        <f>LCI_IC!$E28*'IW+_end'!AC31</f>
        <v>2.9620015990324409</v>
      </c>
      <c r="AH83" s="138">
        <f>LCI_IC!$E28*'IW+_end'!AD31</f>
        <v>1.5826310113068953E-5</v>
      </c>
      <c r="AI83" s="138">
        <f>LCI_IC!$E28*'IW+_end'!AE31</f>
        <v>9.1848911019926644E-5</v>
      </c>
      <c r="AJ83" s="138">
        <f>LCI_IC!$E28*'IW+_end'!AF31</f>
        <v>1.1218645565464951E-5</v>
      </c>
      <c r="AK83" s="138">
        <f>LCI_IC!$E28*'IW+_end'!AG31</f>
        <v>5.269554115678303E-2</v>
      </c>
    </row>
    <row r="84" spans="1:38" x14ac:dyDescent="0.35">
      <c r="A84" t="s">
        <v>499</v>
      </c>
      <c r="AG84" s="147">
        <f>AG59+AG73-AG79</f>
        <v>4.3987681766360307</v>
      </c>
      <c r="AH84" s="147">
        <f>AH59+AH73-AH79</f>
        <v>8.3798391124520249E-5</v>
      </c>
    </row>
  </sheetData>
  <mergeCells count="2">
    <mergeCell ref="A27:G27"/>
    <mergeCell ref="A57:AK57"/>
  </mergeCells>
  <pageMargins left="0.7" right="0.7" top="0.75" bottom="0.75" header="0.3" footer="0.3"/>
  <pageSetup paperSize="9" orientation="portrait" verticalDpi="597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2DA51-7A5A-4A32-8E2F-7753B40127CC}">
  <dimension ref="A1:G28"/>
  <sheetViews>
    <sheetView topLeftCell="A7" workbookViewId="0">
      <selection activeCell="E15" sqref="E15"/>
    </sheetView>
  </sheetViews>
  <sheetFormatPr baseColWidth="10" defaultRowHeight="14.5" x14ac:dyDescent="0.35"/>
  <cols>
    <col min="1" max="1" width="18.54296875" customWidth="1"/>
    <col min="3" max="3" width="21.54296875" customWidth="1"/>
    <col min="4" max="4" width="22.90625" customWidth="1"/>
    <col min="5" max="5" width="14" customWidth="1"/>
  </cols>
  <sheetData>
    <row r="1" spans="1:7" x14ac:dyDescent="0.35">
      <c r="A1" s="40" t="s">
        <v>317</v>
      </c>
    </row>
    <row r="2" spans="1:7" x14ac:dyDescent="0.35">
      <c r="A2" s="61" t="s">
        <v>0</v>
      </c>
      <c r="B2" s="62" t="s">
        <v>10</v>
      </c>
      <c r="C2" s="62" t="s">
        <v>11</v>
      </c>
      <c r="D2" s="62" t="s">
        <v>12</v>
      </c>
      <c r="E2" s="62" t="s">
        <v>1</v>
      </c>
      <c r="F2" s="63" t="s">
        <v>2</v>
      </c>
    </row>
    <row r="3" spans="1:7" x14ac:dyDescent="0.35">
      <c r="A3" s="42" t="s">
        <v>5</v>
      </c>
      <c r="B3" s="43" t="s">
        <v>3</v>
      </c>
      <c r="C3" s="43" t="s">
        <v>15</v>
      </c>
      <c r="D3" s="43" t="s">
        <v>13</v>
      </c>
      <c r="E3" s="43">
        <v>1</v>
      </c>
      <c r="F3" s="44" t="s">
        <v>14</v>
      </c>
    </row>
    <row r="4" spans="1:7" x14ac:dyDescent="0.35">
      <c r="A4" s="54"/>
      <c r="B4" s="46" t="s">
        <v>3</v>
      </c>
      <c r="C4" s="46" t="s">
        <v>15</v>
      </c>
      <c r="D4" s="46" t="s">
        <v>8</v>
      </c>
      <c r="E4" s="46">
        <f>E3*Parameters!C3</f>
        <v>9.98</v>
      </c>
      <c r="F4" s="47" t="s">
        <v>128</v>
      </c>
    </row>
    <row r="5" spans="1:7" x14ac:dyDescent="0.35">
      <c r="A5" s="54"/>
      <c r="B5" s="46" t="s">
        <v>3</v>
      </c>
      <c r="C5" s="46" t="s">
        <v>15</v>
      </c>
      <c r="D5" s="46" t="s">
        <v>9</v>
      </c>
      <c r="E5" s="46"/>
      <c r="F5" s="47"/>
    </row>
    <row r="6" spans="1:7" x14ac:dyDescent="0.35">
      <c r="A6" s="54"/>
      <c r="B6" s="46" t="s">
        <v>4</v>
      </c>
      <c r="C6" s="46" t="s">
        <v>17</v>
      </c>
      <c r="D6" s="46" t="s">
        <v>236</v>
      </c>
      <c r="E6" s="46">
        <f>E3*Parameters!C5</f>
        <v>0.77</v>
      </c>
      <c r="F6" s="47" t="s">
        <v>14</v>
      </c>
    </row>
    <row r="7" spans="1:7" x14ac:dyDescent="0.35">
      <c r="A7" s="42" t="s">
        <v>235</v>
      </c>
      <c r="B7" s="43" t="s">
        <v>3</v>
      </c>
      <c r="C7" s="43" t="s">
        <v>17</v>
      </c>
      <c r="D7" s="43" t="s">
        <v>237</v>
      </c>
      <c r="E7" s="43">
        <f>E3*(1-Parameters!C5)*1000</f>
        <v>229.99999999999997</v>
      </c>
      <c r="F7" s="44" t="s">
        <v>88</v>
      </c>
    </row>
    <row r="8" spans="1:7" x14ac:dyDescent="0.35">
      <c r="A8" s="55"/>
      <c r="B8" s="49" t="s">
        <v>3</v>
      </c>
      <c r="C8" s="49" t="s">
        <v>17</v>
      </c>
      <c r="D8" s="59" t="s">
        <v>418</v>
      </c>
      <c r="E8" s="65">
        <f>E7*0.001*Parameters!C6</f>
        <v>2.2999999999999998</v>
      </c>
      <c r="F8" s="60" t="s">
        <v>284</v>
      </c>
    </row>
    <row r="9" spans="1:7" x14ac:dyDescent="0.35">
      <c r="A9" s="45" t="s">
        <v>300</v>
      </c>
      <c r="B9" s="46" t="s">
        <v>3</v>
      </c>
      <c r="C9" s="46" t="s">
        <v>15</v>
      </c>
      <c r="D9" s="46" t="s">
        <v>236</v>
      </c>
      <c r="E9" s="46">
        <f>E6</f>
        <v>0.77</v>
      </c>
      <c r="F9" s="47" t="s">
        <v>14</v>
      </c>
    </row>
    <row r="10" spans="1:7" x14ac:dyDescent="0.35">
      <c r="A10" s="54"/>
      <c r="B10" s="46" t="s">
        <v>3</v>
      </c>
      <c r="C10" s="46" t="s">
        <v>15</v>
      </c>
      <c r="D10" s="46" t="s">
        <v>301</v>
      </c>
      <c r="E10" s="46">
        <f>E9*(1/8)*1000</f>
        <v>96.25</v>
      </c>
      <c r="F10" s="47" t="s">
        <v>88</v>
      </c>
    </row>
    <row r="11" spans="1:7" x14ac:dyDescent="0.35">
      <c r="A11" s="55"/>
      <c r="B11" s="49" t="s">
        <v>4</v>
      </c>
      <c r="C11" s="49" t="s">
        <v>15</v>
      </c>
      <c r="D11" s="49" t="s">
        <v>334</v>
      </c>
      <c r="E11" s="49">
        <f>E9+(E10/1000)</f>
        <v>0.86624999999999996</v>
      </c>
      <c r="F11" s="50" t="s">
        <v>14</v>
      </c>
    </row>
    <row r="12" spans="1:7" x14ac:dyDescent="0.35">
      <c r="A12" s="42" t="s">
        <v>302</v>
      </c>
      <c r="B12" s="43" t="s">
        <v>3</v>
      </c>
      <c r="C12" s="43" t="s">
        <v>15</v>
      </c>
      <c r="D12" s="43" t="s">
        <v>334</v>
      </c>
      <c r="E12" s="43">
        <f>E11</f>
        <v>0.86624999999999996</v>
      </c>
      <c r="F12" s="44" t="s">
        <v>14</v>
      </c>
    </row>
    <row r="13" spans="1:7" x14ac:dyDescent="0.35">
      <c r="A13" s="54"/>
      <c r="B13" s="46" t="s">
        <v>4</v>
      </c>
      <c r="C13" s="46" t="s">
        <v>20</v>
      </c>
      <c r="D13" s="46" t="s">
        <v>96</v>
      </c>
      <c r="E13" s="46">
        <f>[4]LCI!C4*1000</f>
        <v>0.1410178</v>
      </c>
      <c r="F13" s="47" t="s">
        <v>88</v>
      </c>
      <c r="G13" t="s">
        <v>337</v>
      </c>
    </row>
    <row r="14" spans="1:7" x14ac:dyDescent="0.35">
      <c r="A14" s="54"/>
      <c r="B14" s="46" t="s">
        <v>4</v>
      </c>
      <c r="C14" s="46" t="s">
        <v>20</v>
      </c>
      <c r="D14" s="46" t="s">
        <v>110</v>
      </c>
      <c r="E14" s="67">
        <f>[4]LCI!C5*1000</f>
        <v>0.1932546</v>
      </c>
      <c r="F14" s="47" t="s">
        <v>88</v>
      </c>
      <c r="G14" t="s">
        <v>337</v>
      </c>
    </row>
    <row r="15" spans="1:7" x14ac:dyDescent="0.35">
      <c r="A15" s="54"/>
      <c r="B15" s="46" t="s">
        <v>4</v>
      </c>
      <c r="C15" s="46" t="s">
        <v>20</v>
      </c>
      <c r="D15" s="46" t="s">
        <v>111</v>
      </c>
      <c r="E15" s="46">
        <f>[4]LCI!C6*1000</f>
        <v>6.0094649999999999E-2</v>
      </c>
      <c r="F15" s="47" t="s">
        <v>88</v>
      </c>
      <c r="G15" t="s">
        <v>337</v>
      </c>
    </row>
    <row r="16" spans="1:7" x14ac:dyDescent="0.35">
      <c r="A16" s="54"/>
      <c r="B16" s="46" t="s">
        <v>4</v>
      </c>
      <c r="C16" s="46" t="s">
        <v>20</v>
      </c>
      <c r="D16" s="46" t="s">
        <v>97</v>
      </c>
      <c r="E16" s="46">
        <f>[4]LCI!C7*1000</f>
        <v>314.00600000000003</v>
      </c>
      <c r="F16" s="47" t="s">
        <v>88</v>
      </c>
      <c r="G16" t="s">
        <v>337</v>
      </c>
    </row>
    <row r="17" spans="1:7" x14ac:dyDescent="0.35">
      <c r="A17" s="54"/>
      <c r="B17" s="46" t="s">
        <v>4</v>
      </c>
      <c r="C17" s="46" t="s">
        <v>15</v>
      </c>
      <c r="D17" s="46" t="s">
        <v>338</v>
      </c>
      <c r="E17" s="46">
        <f>[4]LCI!$C$31*1000</f>
        <v>6.93</v>
      </c>
      <c r="F17" s="47" t="s">
        <v>128</v>
      </c>
      <c r="G17" t="s">
        <v>337</v>
      </c>
    </row>
    <row r="18" spans="1:7" x14ac:dyDescent="0.35">
      <c r="A18" s="55"/>
      <c r="B18" s="49" t="s">
        <v>4</v>
      </c>
      <c r="C18" s="49" t="s">
        <v>15</v>
      </c>
      <c r="D18" s="49" t="s">
        <v>227</v>
      </c>
      <c r="E18" s="49">
        <f>[4]LCI!$C$34*1000</f>
        <v>0</v>
      </c>
      <c r="F18" s="50" t="s">
        <v>339</v>
      </c>
      <c r="G18" t="s">
        <v>337</v>
      </c>
    </row>
    <row r="19" spans="1:7" x14ac:dyDescent="0.35">
      <c r="A19" s="42" t="s">
        <v>351</v>
      </c>
      <c r="B19" s="43" t="s">
        <v>4</v>
      </c>
      <c r="C19" s="43" t="s">
        <v>20</v>
      </c>
      <c r="D19" s="43" t="s">
        <v>110</v>
      </c>
      <c r="E19" s="107">
        <f>[4]LCI!C18*1000</f>
        <v>0.28248772601314265</v>
      </c>
      <c r="F19" s="44" t="s">
        <v>88</v>
      </c>
      <c r="G19" t="s">
        <v>337</v>
      </c>
    </row>
    <row r="20" spans="1:7" x14ac:dyDescent="0.35">
      <c r="A20" s="54"/>
      <c r="B20" s="46" t="s">
        <v>4</v>
      </c>
      <c r="C20" s="46" t="s">
        <v>20</v>
      </c>
      <c r="D20" s="46" t="s">
        <v>111</v>
      </c>
      <c r="E20" s="67">
        <f>[4]LCI!C19*1000</f>
        <v>9.9088000395629622E-2</v>
      </c>
      <c r="F20" s="47" t="s">
        <v>88</v>
      </c>
      <c r="G20" t="s">
        <v>337</v>
      </c>
    </row>
    <row r="21" spans="1:7" x14ac:dyDescent="0.35">
      <c r="A21" s="54"/>
      <c r="B21" s="46" t="s">
        <v>4</v>
      </c>
      <c r="C21" s="46" t="s">
        <v>20</v>
      </c>
      <c r="D21" s="46" t="s">
        <v>114</v>
      </c>
      <c r="E21" s="67">
        <f>[4]LCI!C20*1000</f>
        <v>10.355959855438968</v>
      </c>
      <c r="F21" s="47" t="s">
        <v>88</v>
      </c>
      <c r="G21" t="s">
        <v>337</v>
      </c>
    </row>
    <row r="22" spans="1:7" x14ac:dyDescent="0.35">
      <c r="A22" s="54"/>
      <c r="B22" s="46" t="s">
        <v>4</v>
      </c>
      <c r="C22" s="46" t="s">
        <v>20</v>
      </c>
      <c r="D22" s="46" t="s">
        <v>414</v>
      </c>
      <c r="E22" s="67">
        <f>[4]LCI!$C$22*1000</f>
        <v>-6.2584498828987409E-2</v>
      </c>
      <c r="F22" s="47" t="s">
        <v>88</v>
      </c>
      <c r="G22" t="s">
        <v>337</v>
      </c>
    </row>
    <row r="23" spans="1:7" x14ac:dyDescent="0.35">
      <c r="A23" s="54"/>
      <c r="B23" s="46" t="s">
        <v>4</v>
      </c>
      <c r="C23" s="46" t="s">
        <v>20</v>
      </c>
      <c r="D23" s="46" t="s">
        <v>415</v>
      </c>
      <c r="E23" s="67">
        <f>[4]LCI!$C$26*1000</f>
        <v>-291.08566666666667</v>
      </c>
      <c r="F23" s="47" t="s">
        <v>88</v>
      </c>
      <c r="G23" t="s">
        <v>337</v>
      </c>
    </row>
    <row r="24" spans="1:7" x14ac:dyDescent="0.35">
      <c r="A24" s="42" t="s">
        <v>413</v>
      </c>
      <c r="B24" s="43"/>
      <c r="C24" s="43"/>
      <c r="D24" s="43"/>
      <c r="E24" s="43"/>
      <c r="F24" s="44"/>
    </row>
    <row r="25" spans="1:7" x14ac:dyDescent="0.35">
      <c r="A25" s="54"/>
      <c r="B25" s="46"/>
      <c r="C25" s="46" t="s">
        <v>15</v>
      </c>
      <c r="D25" s="46" t="s">
        <v>228</v>
      </c>
      <c r="E25" s="67">
        <f>[4]LCI!$C$17*1000</f>
        <v>9.1614439984537466</v>
      </c>
      <c r="F25" s="47" t="s">
        <v>88</v>
      </c>
    </row>
    <row r="26" spans="1:7" x14ac:dyDescent="0.35">
      <c r="A26" s="54"/>
      <c r="B26" s="46"/>
      <c r="C26" s="46" t="s">
        <v>15</v>
      </c>
      <c r="D26" s="46" t="s">
        <v>230</v>
      </c>
      <c r="E26" s="67">
        <f>[4]LCI!$C$21*1000</f>
        <v>2.6344181375921796</v>
      </c>
      <c r="F26" s="47" t="s">
        <v>88</v>
      </c>
    </row>
    <row r="27" spans="1:7" x14ac:dyDescent="0.35">
      <c r="A27" s="54"/>
      <c r="B27" s="46"/>
      <c r="C27" s="46" t="s">
        <v>15</v>
      </c>
      <c r="D27" s="46" t="s">
        <v>229</v>
      </c>
      <c r="E27" s="67">
        <f>[4]LCI!$C$23*1000</f>
        <v>3.8668590170881956</v>
      </c>
      <c r="F27" s="47" t="s">
        <v>88</v>
      </c>
    </row>
    <row r="28" spans="1:7" x14ac:dyDescent="0.35">
      <c r="A28" s="55"/>
      <c r="B28" s="49"/>
      <c r="C28" s="49" t="s">
        <v>15</v>
      </c>
      <c r="D28" s="49" t="s">
        <v>231</v>
      </c>
      <c r="E28" s="95">
        <f>[4]LCI!$C$24*1000</f>
        <v>357.9861111111112</v>
      </c>
      <c r="F28" s="50" t="s">
        <v>88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F9297-6EEB-40E7-A1DE-3B564F50E2F0}">
  <dimension ref="A1:AC75"/>
  <sheetViews>
    <sheetView workbookViewId="0">
      <selection activeCell="A3" sqref="A3"/>
    </sheetView>
  </sheetViews>
  <sheetFormatPr baseColWidth="10" defaultRowHeight="14.5" x14ac:dyDescent="0.35"/>
  <cols>
    <col min="1" max="1" width="30.36328125" customWidth="1"/>
    <col min="2" max="2" width="36.453125" customWidth="1"/>
    <col min="3" max="27" width="15.6328125" style="22" customWidth="1"/>
  </cols>
  <sheetData>
    <row r="1" spans="1:27" ht="87" x14ac:dyDescent="0.35">
      <c r="A1" t="s">
        <v>0</v>
      </c>
      <c r="C1" s="21" t="s">
        <v>186</v>
      </c>
      <c r="D1" s="21" t="s">
        <v>187</v>
      </c>
      <c r="E1" s="21" t="s">
        <v>188</v>
      </c>
      <c r="F1" s="21" t="s">
        <v>189</v>
      </c>
      <c r="G1" s="21" t="s">
        <v>190</v>
      </c>
      <c r="H1" s="21" t="s">
        <v>191</v>
      </c>
      <c r="I1" s="21" t="s">
        <v>192</v>
      </c>
      <c r="J1" s="21" t="s">
        <v>193</v>
      </c>
      <c r="K1" s="21" t="s">
        <v>194</v>
      </c>
      <c r="L1" s="21" t="s">
        <v>195</v>
      </c>
      <c r="M1" s="21" t="s">
        <v>196</v>
      </c>
      <c r="N1" s="21" t="s">
        <v>197</v>
      </c>
      <c r="O1" s="21" t="s">
        <v>198</v>
      </c>
      <c r="P1" s="21" t="s">
        <v>199</v>
      </c>
      <c r="Q1" s="21" t="s">
        <v>200</v>
      </c>
      <c r="R1" s="21" t="s">
        <v>201</v>
      </c>
      <c r="S1" s="21" t="s">
        <v>202</v>
      </c>
      <c r="T1" s="21" t="s">
        <v>203</v>
      </c>
      <c r="U1" s="21" t="s">
        <v>204</v>
      </c>
      <c r="V1" s="21" t="s">
        <v>205</v>
      </c>
      <c r="W1" s="21" t="s">
        <v>206</v>
      </c>
      <c r="X1" s="21" t="s">
        <v>207</v>
      </c>
      <c r="Y1" s="21" t="s">
        <v>208</v>
      </c>
      <c r="Z1" s="21" t="s">
        <v>209</v>
      </c>
      <c r="AA1" s="21" t="s">
        <v>210</v>
      </c>
    </row>
    <row r="2" spans="1:27" x14ac:dyDescent="0.35">
      <c r="A2" t="s">
        <v>5</v>
      </c>
    </row>
    <row r="3" spans="1:27" x14ac:dyDescent="0.35">
      <c r="B3" t="s">
        <v>249</v>
      </c>
      <c r="C3" s="22">
        <f>LCI!$E4*impact_process_end!C2</f>
        <v>1.9146069813511494E-10</v>
      </c>
      <c r="D3" s="22">
        <f>LCI!$E4*impact_process_end!D2</f>
        <v>6.0617469578201135E-14</v>
      </c>
      <c r="E3" s="22">
        <f>LCI!$E4*impact_process_end!E2</f>
        <v>2.2193168919214659E-9</v>
      </c>
      <c r="F3" s="22">
        <f>LCI!$E4*impact_process_end!F2</f>
        <v>4.2836723816587511E-11</v>
      </c>
      <c r="G3" s="22">
        <f>LCI!$E4*impact_process_end!G2</f>
        <v>8.2374885215309683E-12</v>
      </c>
      <c r="H3" s="22">
        <f>LCI!$E4*impact_process_end!H2</f>
        <v>6.4653075335177696E-11</v>
      </c>
      <c r="I3" s="22">
        <f>LCI!$E4*impact_process_end!I2</f>
        <v>1.0255522295534873E-10</v>
      </c>
      <c r="J3" s="22">
        <f>LCI!$E4*impact_process_end!J2</f>
        <v>1.9615448259816176E-13</v>
      </c>
      <c r="K3" s="22">
        <f>LCI!$E4*impact_process_end!K2</f>
        <v>2.522937685008158E-10</v>
      </c>
      <c r="L3" s="22">
        <f>LCI!$E4*impact_process_end!L2</f>
        <v>1.1611681992412064E-10</v>
      </c>
      <c r="M3" s="22">
        <f>LCI!$E4*impact_process_end!M2</f>
        <v>1.889894855773394E-14</v>
      </c>
      <c r="N3" s="22">
        <f>LCI!$E4*impact_process_end!N2</f>
        <v>4.2241027405531159E-10</v>
      </c>
      <c r="O3" s="22">
        <f>LCI!$E4*impact_process_end!O2</f>
        <v>7.3542953131087735E-7</v>
      </c>
      <c r="P3" s="22">
        <f>LCI!$E4*impact_process_end!P2</f>
        <v>1.9594919387274766E-7</v>
      </c>
      <c r="Q3" s="22">
        <f>LCI!$E4*impact_process_end!Q2</f>
        <v>2.9095418787134199E-7</v>
      </c>
      <c r="R3" s="22">
        <f>LCI!$E4*impact_process_end!R2</f>
        <v>4.6570229644264042E-8</v>
      </c>
      <c r="S3" s="22">
        <f>LCI!$E4*impact_process_end!S2</f>
        <v>4.5808265351072022E-10</v>
      </c>
      <c r="T3" s="22">
        <f>LCI!$E4*impact_process_end!T2</f>
        <v>3.1482625253983033E-7</v>
      </c>
      <c r="U3" s="22">
        <f>LCI!$E4*impact_process_end!U2</f>
        <v>7.4204922421251216E-10</v>
      </c>
      <c r="V3" s="22">
        <f>LCI!$E4*impact_process_end!V2</f>
        <v>6.9463022844651241E-8</v>
      </c>
      <c r="W3" s="22">
        <f>LCI!$E4*impact_process_end!W2</f>
        <v>8.1643907060922241E-2</v>
      </c>
      <c r="X3" s="22">
        <f>LCI!$E4*impact_process_end!X2</f>
        <v>4.0923400413744688E-3</v>
      </c>
      <c r="Y3" s="22">
        <f>LCI!$E4*impact_process_end!Y2</f>
        <v>2.9977425478334076E-9</v>
      </c>
      <c r="Z3" s="22">
        <f>LCI!$E4*impact_process_end!Z2</f>
        <v>1.6543903076544315E-6</v>
      </c>
      <c r="AA3" s="22">
        <f>LCI!$E4*impact_process_end!AA2</f>
        <v>8.5736247524707002E-2</v>
      </c>
    </row>
    <row r="4" spans="1:27" x14ac:dyDescent="0.35">
      <c r="B4" t="s">
        <v>250</v>
      </c>
      <c r="C4" s="22">
        <f>LCI!$E5*impact_process_end!C3</f>
        <v>0</v>
      </c>
      <c r="D4" s="22">
        <f>LCI!$E5*impact_process_end!D3</f>
        <v>0</v>
      </c>
      <c r="E4" s="22">
        <f>LCI!$E5*impact_process_end!E3</f>
        <v>0</v>
      </c>
      <c r="F4" s="22">
        <f>LCI!$E5*impact_process_end!F3</f>
        <v>0</v>
      </c>
      <c r="G4" s="22">
        <f>LCI!$E5*impact_process_end!G3</f>
        <v>0</v>
      </c>
      <c r="H4" s="22">
        <f>LCI!$E5*impact_process_end!H3</f>
        <v>0</v>
      </c>
      <c r="I4" s="22">
        <f>LCI!$E5*impact_process_end!I3</f>
        <v>0</v>
      </c>
      <c r="J4" s="22">
        <f>LCI!$E5*impact_process_end!J3</f>
        <v>0</v>
      </c>
      <c r="K4" s="22">
        <f>LCI!$E5*impact_process_end!K3</f>
        <v>0</v>
      </c>
      <c r="L4" s="22">
        <f>LCI!$E5*impact_process_end!L3</f>
        <v>0</v>
      </c>
      <c r="M4" s="22">
        <f>LCI!$E5*impact_process_end!M3</f>
        <v>0</v>
      </c>
      <c r="N4" s="22">
        <f>LCI!$E5*impact_process_end!N3</f>
        <v>0</v>
      </c>
      <c r="O4" s="22">
        <f>LCI!$E5*impact_process_end!O3</f>
        <v>0</v>
      </c>
      <c r="P4" s="22">
        <f>LCI!$E5*impact_process_end!P3</f>
        <v>0</v>
      </c>
      <c r="Q4" s="22">
        <f>LCI!$E5*impact_process_end!Q3</f>
        <v>0</v>
      </c>
      <c r="R4" s="22">
        <f>LCI!$E5*impact_process_end!R3</f>
        <v>0</v>
      </c>
      <c r="S4" s="22">
        <f>LCI!$E5*impact_process_end!S3</f>
        <v>0</v>
      </c>
      <c r="T4" s="22">
        <f>LCI!$E5*impact_process_end!T3</f>
        <v>0</v>
      </c>
      <c r="U4" s="22">
        <f>LCI!$E5*impact_process_end!U3</f>
        <v>0</v>
      </c>
      <c r="V4" s="22">
        <f>LCI!$E5*impact_process_end!V3</f>
        <v>0</v>
      </c>
      <c r="W4" s="22">
        <f>LCI!$E5*impact_process_end!W3</f>
        <v>0</v>
      </c>
      <c r="X4" s="22">
        <f>LCI!$E5*impact_process_end!X3</f>
        <v>0</v>
      </c>
      <c r="Y4" s="22">
        <f>LCI!$E5*impact_process_end!Y3</f>
        <v>0</v>
      </c>
      <c r="Z4" s="22">
        <f>LCI!$E5*impact_process_end!Z3</f>
        <v>0</v>
      </c>
      <c r="AA4" s="22">
        <f>LCI!$E5*impact_process_end!AA3</f>
        <v>0</v>
      </c>
    </row>
    <row r="5" spans="1:27" x14ac:dyDescent="0.35">
      <c r="A5" t="s">
        <v>235</v>
      </c>
    </row>
    <row r="6" spans="1:27" x14ac:dyDescent="0.35">
      <c r="B6" t="s">
        <v>235</v>
      </c>
      <c r="C6" s="22">
        <f>LCI!$E7*impact_process_end!C4</f>
        <v>6.649149277728062E-9</v>
      </c>
      <c r="D6" s="22">
        <f>LCI!$E7*impact_process_end!D4</f>
        <v>7.210455075453735E-13</v>
      </c>
      <c r="E6" s="22">
        <f>LCI!$E7*impact_process_end!E4</f>
        <v>2.6389924783258899E-8</v>
      </c>
      <c r="F6" s="22">
        <f>LCI!$E7*impact_process_end!F4</f>
        <v>1.0807282494783058E-9</v>
      </c>
      <c r="G6" s="22">
        <f>LCI!$E7*impact_process_end!G4</f>
        <v>2.1919200690513944E-10</v>
      </c>
      <c r="H6" s="22">
        <f>LCI!$E7*impact_process_end!H4</f>
        <v>2.4572038093003312E-10</v>
      </c>
      <c r="I6" s="22">
        <f>LCI!$E7*impact_process_end!I4</f>
        <v>7.4986253883336063E-9</v>
      </c>
      <c r="J6" s="22">
        <f>LCI!$E7*impact_process_end!J4</f>
        <v>4.7223915393038649E-12</v>
      </c>
      <c r="K6" s="22">
        <f>LCI!$E7*impact_process_end!K4</f>
        <v>1.6184656043116963E-9</v>
      </c>
      <c r="L6" s="22">
        <f>LCI!$E7*impact_process_end!L4</f>
        <v>7.740590143350547E-9</v>
      </c>
      <c r="M6" s="22">
        <f>LCI!$E7*impact_process_end!M4</f>
        <v>2.5281871445699921E-13</v>
      </c>
      <c r="N6" s="22">
        <f>LCI!$E7*impact_process_end!N4</f>
        <v>5.6507494125322685E-9</v>
      </c>
      <c r="O6" s="22">
        <f>LCI!$E7*impact_process_end!O4</f>
        <v>8.7524532672828231E-6</v>
      </c>
      <c r="P6" s="22">
        <f>LCI!$E7*impact_process_end!P4</f>
        <v>8.0541488477868482E-6</v>
      </c>
      <c r="Q6" s="22">
        <f>LCI!$E7*impact_process_end!Q4</f>
        <v>1.5891331666583501E-5</v>
      </c>
      <c r="R6" s="22">
        <f>LCI!$E7*impact_process_end!R4</f>
        <v>7.465148381406662E-10</v>
      </c>
      <c r="S6" s="22">
        <f>LCI!$E7*impact_process_end!S4</f>
        <v>7.0562250453079327E-8</v>
      </c>
      <c r="T6" s="22">
        <f>LCI!$E7*impact_process_end!T4</f>
        <v>7.8168253757812199E-6</v>
      </c>
      <c r="U6" s="22">
        <f>LCI!$E7*impact_process_end!U4</f>
        <v>5.3978490146889052E-8</v>
      </c>
      <c r="V6" s="22">
        <f>LCI!$E7*impact_process_end!V4</f>
        <v>9.2923434783863971E-7</v>
      </c>
      <c r="W6" s="22">
        <f>LCI!$E7*impact_process_end!W4</f>
        <v>0.44068378170376005</v>
      </c>
      <c r="X6" s="22">
        <f>LCI!$E7*impact_process_end!X4</f>
        <v>6.1662478842940578E-2</v>
      </c>
      <c r="Y6" s="22">
        <f>LCI!$E7*impact_process_end!Y4</f>
        <v>5.1447967644781786E-8</v>
      </c>
      <c r="Z6" s="22">
        <f>LCI!$E7*impact_process_end!Z4</f>
        <v>4.1569231407021523E-5</v>
      </c>
      <c r="AA6" s="22">
        <f>LCI!$E7*impact_process_end!AA4</f>
        <v>0.50234626619745015</v>
      </c>
    </row>
    <row r="7" spans="1:27" x14ac:dyDescent="0.35">
      <c r="A7" t="s">
        <v>6</v>
      </c>
    </row>
    <row r="8" spans="1:27" x14ac:dyDescent="0.35">
      <c r="B8" t="s">
        <v>249</v>
      </c>
      <c r="C8" s="22">
        <f>LCI!$E10*impact_process_end!C2</f>
        <v>4.2838851596764695E-10</v>
      </c>
      <c r="D8" s="22">
        <f>LCI!$E10*impact_process_end!D2</f>
        <v>1.3563006970753824E-13</v>
      </c>
      <c r="E8" s="22">
        <f>LCI!$E10*impact_process_end!E2</f>
        <v>4.9656659515637608E-9</v>
      </c>
      <c r="F8" s="22">
        <f>LCI!$E10*impact_process_end!F2</f>
        <v>9.5846096475390694E-11</v>
      </c>
      <c r="G8" s="22">
        <f>LCI!$E10*impact_process_end!G2</f>
        <v>1.8431174217012679E-11</v>
      </c>
      <c r="H8" s="22">
        <f>LCI!$E10*impact_process_end!H2</f>
        <v>1.4465963649644469E-10</v>
      </c>
      <c r="I8" s="22">
        <f>LCI!$E10*impact_process_end!I2</f>
        <v>2.2946474234398167E-10</v>
      </c>
      <c r="J8" s="22">
        <f>LCI!$E10*impact_process_end!J2</f>
        <v>4.3889074112394307E-13</v>
      </c>
      <c r="K8" s="22">
        <f>LCI!$E10*impact_process_end!K2</f>
        <v>5.645009870363945E-10</v>
      </c>
      <c r="L8" s="22">
        <f>LCI!$E10*impact_process_end!L2</f>
        <v>2.5980847584224588E-10</v>
      </c>
      <c r="M8" s="22">
        <f>LCI!$E10*impact_process_end!M2</f>
        <v>4.228592397737464E-14</v>
      </c>
      <c r="N8" s="22">
        <f>LCI!$E10*impact_process_end!N2</f>
        <v>9.4513240677906892E-10</v>
      </c>
      <c r="O8" s="22">
        <f>LCI!$E10*impact_process_end!O2</f>
        <v>1.6455051537246383E-6</v>
      </c>
      <c r="P8" s="22">
        <f>LCI!$E10*impact_process_end!P2</f>
        <v>4.3843141274333221E-7</v>
      </c>
      <c r="Q8" s="22">
        <f>LCI!$E10*impact_process_end!Q2</f>
        <v>6.5100270693056783E-7</v>
      </c>
      <c r="R8" s="22">
        <f>LCI!$E10*impact_process_end!R2</f>
        <v>1.0419972224012185E-7</v>
      </c>
      <c r="S8" s="22">
        <f>LCI!$E10*impact_process_end!S2</f>
        <v>1.024948462213866E-9</v>
      </c>
      <c r="T8" s="22">
        <f>LCI!$E10*impact_process_end!T2</f>
        <v>7.0441585362869855E-7</v>
      </c>
      <c r="U8" s="22">
        <f>LCI!$E10*impact_process_end!U2</f>
        <v>1.6603165507680759E-9</v>
      </c>
      <c r="V8" s="22">
        <f>LCI!$E10*impact_process_end!V2</f>
        <v>1.5542177355922468E-7</v>
      </c>
      <c r="W8" s="22">
        <f>LCI!$E10*impact_process_end!W2</f>
        <v>0.18267619686076089</v>
      </c>
      <c r="X8" s="22">
        <f>LCI!$E10*impact_process_end!X2</f>
        <v>9.1565083290472832E-3</v>
      </c>
      <c r="Y8" s="22">
        <f>LCI!$E10*impact_process_end!Y2</f>
        <v>6.7073738570260508E-9</v>
      </c>
      <c r="Z8" s="22">
        <f>LCI!$E10*impact_process_end!Z2</f>
        <v>3.7016568707338131E-6</v>
      </c>
      <c r="AA8" s="22">
        <f>LCI!$E10*impact_process_end!AA2</f>
        <v>0.19183270613494061</v>
      </c>
    </row>
    <row r="9" spans="1:27" x14ac:dyDescent="0.35">
      <c r="B9" t="s">
        <v>251</v>
      </c>
      <c r="C9" s="22">
        <f>LCI!$E11*impact_process_end!C10</f>
        <v>3.411862899961242E-9</v>
      </c>
      <c r="D9" s="22">
        <f>LCI!$E11*impact_process_end!D10</f>
        <v>7.5676845189463713E-13</v>
      </c>
      <c r="E9" s="22">
        <f>LCI!$E11*impact_process_end!E10</f>
        <v>2.7710865859985284E-8</v>
      </c>
      <c r="F9" s="22">
        <f>LCI!$E11*impact_process_end!F10</f>
        <v>8.874266221027087E-11</v>
      </c>
      <c r="G9" s="22">
        <f>LCI!$E11*impact_process_end!G10</f>
        <v>1.846644246035978E-11</v>
      </c>
      <c r="H9" s="22">
        <f>LCI!$E11*impact_process_end!H10</f>
        <v>2.0656821524464668E-10</v>
      </c>
      <c r="I9" s="22">
        <f>LCI!$E11*impact_process_end!I10</f>
        <v>5.4661922664878849E-10</v>
      </c>
      <c r="J9" s="22">
        <f>LCI!$E11*impact_process_end!J10</f>
        <v>1.4750286926389279E-13</v>
      </c>
      <c r="K9" s="22">
        <f>LCI!$E11*impact_process_end!K10</f>
        <v>2.0635794014742712E-8</v>
      </c>
      <c r="L9" s="22">
        <f>LCI!$E11*impact_process_end!L10</f>
        <v>4.2750007596027849E-9</v>
      </c>
      <c r="M9" s="22">
        <f>LCI!$E11*impact_process_end!M10</f>
        <v>2.1374582172992495E-14</v>
      </c>
      <c r="N9" s="22">
        <f>LCI!$E11*impact_process_end!N10</f>
        <v>4.7774314459503098E-10</v>
      </c>
      <c r="O9" s="22">
        <f>LCI!$E11*impact_process_end!O10</f>
        <v>9.1818170657654292E-6</v>
      </c>
      <c r="P9" s="22">
        <f>LCI!$E11*impact_process_end!P10</f>
        <v>9.5413555790908131E-7</v>
      </c>
      <c r="Q9" s="22">
        <f>LCI!$E11*impact_process_end!Q10</f>
        <v>1.0098384124905173E-6</v>
      </c>
      <c r="R9" s="22">
        <f>LCI!$E11*impact_process_end!R10</f>
        <v>1.7275857056057041E-9</v>
      </c>
      <c r="S9" s="22">
        <f>LCI!$E11*impact_process_end!S10</f>
        <v>2.6833835563690597E-9</v>
      </c>
      <c r="T9" s="22">
        <f>LCI!$E11*impact_process_end!T10</f>
        <v>1.0414827202891165E-5</v>
      </c>
      <c r="U9" s="22">
        <f>LCI!$E11*impact_process_end!U10</f>
        <v>2.9012180687301634E-8</v>
      </c>
      <c r="V9" s="22">
        <f>LCI!$E11*impact_process_end!V10</f>
        <v>7.8562206000071751E-8</v>
      </c>
      <c r="W9" s="22">
        <f>LCI!$E11*impact_process_end!W10</f>
        <v>1.0884498133657015</v>
      </c>
      <c r="X9" s="22">
        <f>LCI!$E11*impact_process_end!X10</f>
        <v>1.7377842183417924E-2</v>
      </c>
      <c r="Y9" s="22">
        <f>LCI!$E11*impact_process_end!Y10</f>
        <v>5.6894665176088108E-8</v>
      </c>
      <c r="Z9" s="22">
        <f>LCI!$E11*impact_process_end!Z10</f>
        <v>2.1672530969703486E-5</v>
      </c>
      <c r="AA9" s="22">
        <f>LCI!$E11*impact_process_end!AA10</f>
        <v>1.1058276560268632</v>
      </c>
    </row>
    <row r="10" spans="1:27" x14ac:dyDescent="0.35">
      <c r="B10" t="s">
        <v>24</v>
      </c>
      <c r="C10" s="22">
        <f>LCI!$E12*impact_process_end!C11</f>
        <v>0</v>
      </c>
      <c r="D10" s="22">
        <f>LCI!$E12*impact_process_end!D11</f>
        <v>3.9307980146152764E-12</v>
      </c>
      <c r="E10" s="22">
        <f>LCI!$E12*impact_process_end!E11</f>
        <v>1.4392768115052861E-7</v>
      </c>
      <c r="F10" s="22">
        <f>LCI!$E12*impact_process_end!F11</f>
        <v>0</v>
      </c>
      <c r="G10" s="22">
        <f>LCI!$E12*impact_process_end!G11</f>
        <v>0</v>
      </c>
      <c r="H10" s="22">
        <f>LCI!$E12*impact_process_end!H11</f>
        <v>0</v>
      </c>
      <c r="I10" s="22">
        <f>LCI!$E12*impact_process_end!I11</f>
        <v>0</v>
      </c>
      <c r="J10" s="22">
        <f>LCI!$E12*impact_process_end!J11</f>
        <v>0</v>
      </c>
      <c r="K10" s="22">
        <f>LCI!$E12*impact_process_end!K11</f>
        <v>0</v>
      </c>
      <c r="L10" s="22">
        <f>LCI!$E12*impact_process_end!L11</f>
        <v>0</v>
      </c>
      <c r="M10" s="22">
        <f>LCI!$E12*impact_process_end!M11</f>
        <v>0</v>
      </c>
      <c r="N10" s="22">
        <f>LCI!$E12*impact_process_end!N11</f>
        <v>0</v>
      </c>
      <c r="O10" s="22">
        <f>LCI!$E12*impact_process_end!O11</f>
        <v>4.7774314331477981E-5</v>
      </c>
      <c r="P10" s="22">
        <f>LCI!$E12*impact_process_end!P11</f>
        <v>0</v>
      </c>
      <c r="Q10" s="22">
        <f>LCI!$E12*impact_process_end!Q11</f>
        <v>0</v>
      </c>
      <c r="R10" s="22">
        <f>LCI!$E12*impact_process_end!R11</f>
        <v>0</v>
      </c>
      <c r="S10" s="22">
        <f>LCI!$E12*impact_process_end!S11</f>
        <v>0</v>
      </c>
      <c r="T10" s="22">
        <f>LCI!$E12*impact_process_end!T11</f>
        <v>0</v>
      </c>
      <c r="U10" s="22">
        <f>LCI!$E12*impact_process_end!U11</f>
        <v>0</v>
      </c>
      <c r="V10" s="22">
        <f>LCI!$E12*impact_process_end!V11</f>
        <v>0</v>
      </c>
      <c r="W10" s="22">
        <f>LCI!$E12*impact_process_end!W11</f>
        <v>0</v>
      </c>
      <c r="X10" s="22">
        <f>LCI!$E12*impact_process_end!X11</f>
        <v>0</v>
      </c>
      <c r="Y10" s="22">
        <f>LCI!$E12*impact_process_end!Y11</f>
        <v>1.4393161194854322E-7</v>
      </c>
      <c r="Z10" s="22">
        <f>LCI!$E12*impact_process_end!Z11</f>
        <v>4.7774314331477981E-5</v>
      </c>
      <c r="AA10" s="22">
        <f>LCI!$E12*impact_process_end!AA11</f>
        <v>0</v>
      </c>
    </row>
    <row r="11" spans="1:27" x14ac:dyDescent="0.35">
      <c r="A11" t="s">
        <v>7</v>
      </c>
    </row>
    <row r="12" spans="1:27" x14ac:dyDescent="0.35">
      <c r="B12" t="s">
        <v>25</v>
      </c>
      <c r="C12" s="23">
        <f>LCI!$E15*impact_process_end!C12</f>
        <v>2.8016112634814233E-9</v>
      </c>
      <c r="D12" s="23">
        <f>LCI!$E15*impact_process_end!D12</f>
        <v>0</v>
      </c>
      <c r="E12" s="23">
        <f>LCI!$E15*impact_process_end!E12</f>
        <v>0</v>
      </c>
      <c r="F12" s="23">
        <f>LCI!$E15*impact_process_end!F12</f>
        <v>0</v>
      </c>
      <c r="G12" s="23">
        <f>LCI!$E15*impact_process_end!G12</f>
        <v>0</v>
      </c>
      <c r="H12" s="23">
        <f>LCI!$E15*impact_process_end!H12</f>
        <v>0</v>
      </c>
      <c r="I12" s="23">
        <f>LCI!$E15*impact_process_end!I12</f>
        <v>0</v>
      </c>
      <c r="J12" s="23">
        <f>LCI!$E15*impact_process_end!J12</f>
        <v>0</v>
      </c>
      <c r="K12" s="23">
        <f>LCI!$E15*impact_process_end!K12</f>
        <v>0</v>
      </c>
      <c r="L12" s="23">
        <f>LCI!$E15*impact_process_end!L12</f>
        <v>4.7366691086383175E-9</v>
      </c>
      <c r="M12" s="23">
        <f>LCI!$E15*impact_process_end!M12</f>
        <v>0</v>
      </c>
      <c r="N12" s="23">
        <f>LCI!$E15*impact_process_end!N12</f>
        <v>0</v>
      </c>
      <c r="O12" s="23">
        <f>LCI!$E15*impact_process_end!O12</f>
        <v>0</v>
      </c>
      <c r="P12" s="23">
        <f>LCI!$E15*impact_process_end!P12</f>
        <v>0</v>
      </c>
      <c r="Q12" s="23">
        <f>LCI!$E15*impact_process_end!Q12</f>
        <v>0</v>
      </c>
      <c r="R12" s="23">
        <f>LCI!$E15*impact_process_end!R12</f>
        <v>0</v>
      </c>
      <c r="S12" s="23">
        <f>LCI!$E15*impact_process_end!S12</f>
        <v>0</v>
      </c>
      <c r="T12" s="23">
        <f>LCI!$E15*impact_process_end!T12</f>
        <v>2.5409108706803999E-6</v>
      </c>
      <c r="U12" s="23">
        <f>LCI!$E15*impact_process_end!U12</f>
        <v>3.341371231675092E-8</v>
      </c>
      <c r="V12" s="23">
        <f>LCI!$E15*impact_process_end!V12</f>
        <v>0</v>
      </c>
      <c r="W12" s="23">
        <f>LCI!$E15*impact_process_end!W12</f>
        <v>0</v>
      </c>
      <c r="X12" s="23">
        <f>LCI!$E15*impact_process_end!X12</f>
        <v>0</v>
      </c>
      <c r="Y12" s="23">
        <f>LCI!$E15*impact_process_end!Y12</f>
        <v>7.5382803721197412E-9</v>
      </c>
      <c r="Z12" s="23">
        <f>LCI!$E15*impact_process_end!Z12</f>
        <v>2.574324582997151E-6</v>
      </c>
      <c r="AA12" s="23">
        <f>LCI!$E15*impact_process_end!AA12</f>
        <v>0</v>
      </c>
    </row>
    <row r="13" spans="1:27" x14ac:dyDescent="0.35">
      <c r="B13" t="s">
        <v>26</v>
      </c>
      <c r="C13" s="22">
        <f>LCI!$E16*impact_process_end!C13</f>
        <v>0</v>
      </c>
      <c r="D13" s="22">
        <f>LCI!$E16*impact_process_end!D13</f>
        <v>0</v>
      </c>
      <c r="E13" s="22">
        <f>LCI!$E16*impact_process_end!E13</f>
        <v>0</v>
      </c>
      <c r="F13" s="22">
        <f>LCI!$E16*impact_process_end!F13</f>
        <v>0</v>
      </c>
      <c r="G13" s="22">
        <f>LCI!$E16*impact_process_end!G13</f>
        <v>0</v>
      </c>
      <c r="H13" s="22">
        <f>LCI!$E16*impact_process_end!H13</f>
        <v>0</v>
      </c>
      <c r="I13" s="22">
        <f>LCI!$E16*impact_process_end!I13</f>
        <v>0</v>
      </c>
      <c r="J13" s="22">
        <f>LCI!$E16*impact_process_end!J13</f>
        <v>0</v>
      </c>
      <c r="K13" s="22">
        <f>LCI!$E16*impact_process_end!K13</f>
        <v>0</v>
      </c>
      <c r="L13" s="22">
        <f>LCI!$E16*impact_process_end!L13</f>
        <v>1.3235676763309669E-8</v>
      </c>
      <c r="M13" s="22">
        <f>LCI!$E16*impact_process_end!M13</f>
        <v>0</v>
      </c>
      <c r="N13" s="22">
        <f>LCI!$E16*impact_process_end!N13</f>
        <v>0</v>
      </c>
      <c r="O13" s="22">
        <f>LCI!$E16*impact_process_end!O13</f>
        <v>0</v>
      </c>
      <c r="P13" s="22">
        <f>LCI!$E16*impact_process_end!P13</f>
        <v>0</v>
      </c>
      <c r="Q13" s="22">
        <f>LCI!$E16*impact_process_end!Q13</f>
        <v>0</v>
      </c>
      <c r="R13" s="22">
        <f>LCI!$E16*impact_process_end!R13</f>
        <v>0</v>
      </c>
      <c r="S13" s="22">
        <f>LCI!$E16*impact_process_end!S13</f>
        <v>0</v>
      </c>
      <c r="T13" s="22">
        <f>LCI!$E16*impact_process_end!T13</f>
        <v>0</v>
      </c>
      <c r="U13" s="22">
        <f>LCI!$E16*impact_process_end!U13</f>
        <v>5.8038796502213526E-8</v>
      </c>
      <c r="V13" s="22">
        <f>LCI!$E16*impact_process_end!V13</f>
        <v>0</v>
      </c>
      <c r="W13" s="22">
        <f>LCI!$E16*impact_process_end!W13</f>
        <v>0</v>
      </c>
      <c r="X13" s="22">
        <f>LCI!$E16*impact_process_end!X13</f>
        <v>0</v>
      </c>
      <c r="Y13" s="22">
        <f>LCI!$E16*impact_process_end!Y13</f>
        <v>1.3235676763309669E-8</v>
      </c>
      <c r="Z13" s="22">
        <f>LCI!$E16*impact_process_end!Z13</f>
        <v>5.8038796502213526E-8</v>
      </c>
      <c r="AA13" s="22">
        <f>LCI!$E16*impact_process_end!AA13</f>
        <v>0</v>
      </c>
    </row>
    <row r="14" spans="1:27" x14ac:dyDescent="0.35">
      <c r="B14" t="s">
        <v>27</v>
      </c>
      <c r="C14" s="23">
        <f>LCI!$E17*impact_process_end!C14</f>
        <v>6.6722515018692243E-10</v>
      </c>
      <c r="D14" s="23">
        <f>LCI!$E17*impact_process_end!D14</f>
        <v>0</v>
      </c>
      <c r="E14" s="23">
        <f>LCI!$E17*impact_process_end!E14</f>
        <v>0</v>
      </c>
      <c r="F14" s="23">
        <f>LCI!$E17*impact_process_end!F14</f>
        <v>0</v>
      </c>
      <c r="G14" s="23">
        <f>LCI!$E17*impact_process_end!G14</f>
        <v>0</v>
      </c>
      <c r="H14" s="23">
        <f>LCI!$E17*impact_process_end!H14</f>
        <v>0</v>
      </c>
      <c r="I14" s="23">
        <f>LCI!$E17*impact_process_end!I14</f>
        <v>0</v>
      </c>
      <c r="J14" s="23">
        <f>LCI!$E17*impact_process_end!J14</f>
        <v>0</v>
      </c>
      <c r="K14" s="23">
        <f>LCI!$E17*impact_process_end!K14</f>
        <v>0</v>
      </c>
      <c r="L14" s="23">
        <f>LCI!$E17*impact_process_end!L14</f>
        <v>0</v>
      </c>
      <c r="M14" s="23">
        <f>LCI!$E17*impact_process_end!M14</f>
        <v>0</v>
      </c>
      <c r="N14" s="23">
        <f>LCI!$E17*impact_process_end!N14</f>
        <v>0</v>
      </c>
      <c r="O14" s="23">
        <f>LCI!$E17*impact_process_end!O14</f>
        <v>0</v>
      </c>
      <c r="P14" s="23">
        <f>LCI!$E17*impact_process_end!P14</f>
        <v>0</v>
      </c>
      <c r="Q14" s="23">
        <f>LCI!$E17*impact_process_end!Q14</f>
        <v>0</v>
      </c>
      <c r="R14" s="23">
        <f>LCI!$E17*impact_process_end!R14</f>
        <v>0</v>
      </c>
      <c r="S14" s="23">
        <f>LCI!$E17*impact_process_end!S14</f>
        <v>0</v>
      </c>
      <c r="T14" s="23">
        <f>LCI!$E17*impact_process_end!T14</f>
        <v>5.6651191997002852E-7</v>
      </c>
      <c r="U14" s="23">
        <f>LCI!$E17*impact_process_end!U14</f>
        <v>0</v>
      </c>
      <c r="V14" s="23">
        <f>LCI!$E17*impact_process_end!V14</f>
        <v>0</v>
      </c>
      <c r="W14" s="23">
        <f>LCI!$E17*impact_process_end!W14</f>
        <v>0</v>
      </c>
      <c r="X14" s="23">
        <f>LCI!$E17*impact_process_end!X14</f>
        <v>0</v>
      </c>
      <c r="Y14" s="23">
        <f>LCI!$E17*impact_process_end!Y14</f>
        <v>6.6722515018692243E-10</v>
      </c>
      <c r="Z14" s="23">
        <f>LCI!$E17*impact_process_end!Z14</f>
        <v>5.6651191997002852E-7</v>
      </c>
      <c r="AA14" s="23">
        <f>LCI!$E17*impact_process_end!AA14</f>
        <v>0</v>
      </c>
    </row>
    <row r="15" spans="1:27" x14ac:dyDescent="0.35">
      <c r="B15" t="s">
        <v>28</v>
      </c>
      <c r="C15" s="22">
        <f>LCI!$E18*impact_process_end!C21</f>
        <v>0</v>
      </c>
      <c r="D15" s="22">
        <f>LCI!$E18*impact_process_end!D21</f>
        <v>0</v>
      </c>
      <c r="E15" s="22">
        <f>LCI!$E18*impact_process_end!E21</f>
        <v>0</v>
      </c>
      <c r="F15" s="22">
        <f>LCI!$E18*impact_process_end!F21</f>
        <v>0</v>
      </c>
      <c r="G15" s="22">
        <f>LCI!$E18*impact_process_end!G21</f>
        <v>0</v>
      </c>
      <c r="H15" s="22">
        <f>LCI!$E18*impact_process_end!H21</f>
        <v>0</v>
      </c>
      <c r="I15" s="22">
        <f>LCI!$E18*impact_process_end!I21</f>
        <v>0</v>
      </c>
      <c r="J15" s="22">
        <f>LCI!$E18*impact_process_end!J21</f>
        <v>0</v>
      </c>
      <c r="K15" s="22">
        <f>LCI!$E18*impact_process_end!K21</f>
        <v>0</v>
      </c>
      <c r="L15" s="22">
        <f>LCI!$E18*impact_process_end!L21</f>
        <v>0</v>
      </c>
      <c r="M15" s="22">
        <f>LCI!$E18*impact_process_end!M21</f>
        <v>0</v>
      </c>
      <c r="N15" s="22">
        <f>LCI!$E18*impact_process_end!N21</f>
        <v>0</v>
      </c>
      <c r="O15" s="22">
        <f>LCI!$E18*impact_process_end!O21</f>
        <v>0</v>
      </c>
      <c r="P15" s="22">
        <f>LCI!$E18*impact_process_end!P21</f>
        <v>0</v>
      </c>
      <c r="Q15" s="22">
        <f>LCI!$E18*impact_process_end!Q21</f>
        <v>0</v>
      </c>
      <c r="R15" s="22">
        <f>LCI!$E18*impact_process_end!R21</f>
        <v>0</v>
      </c>
      <c r="S15" s="22">
        <f>LCI!$E18*impact_process_end!S21</f>
        <v>0</v>
      </c>
      <c r="T15" s="22">
        <f>LCI!$E18*impact_process_end!T21</f>
        <v>4.8468242041880337E-6</v>
      </c>
      <c r="U15" s="22">
        <f>LCI!$E18*impact_process_end!U21</f>
        <v>0</v>
      </c>
      <c r="V15" s="22">
        <f>LCI!$E18*impact_process_end!V21</f>
        <v>0</v>
      </c>
      <c r="W15" s="22">
        <f>LCI!$E18*impact_process_end!W21</f>
        <v>0</v>
      </c>
      <c r="X15" s="22">
        <f>LCI!$E18*impact_process_end!X21</f>
        <v>0</v>
      </c>
      <c r="Y15" s="22">
        <f>LCI!$E18*impact_process_end!Y21</f>
        <v>0</v>
      </c>
      <c r="Z15" s="22">
        <f>LCI!$E18*impact_process_end!Z21</f>
        <v>4.8468242041880337E-6</v>
      </c>
      <c r="AA15" s="22">
        <f>LCI!$E18*impact_process_end!AA21</f>
        <v>0</v>
      </c>
    </row>
    <row r="16" spans="1:27" x14ac:dyDescent="0.35">
      <c r="B16" t="s">
        <v>29</v>
      </c>
      <c r="C16" s="22">
        <f>LCI!$E19*impact_process_end!C16</f>
        <v>0</v>
      </c>
      <c r="D16" s="22">
        <f>LCI!$E19*impact_process_end!D16</f>
        <v>0</v>
      </c>
      <c r="E16" s="22">
        <f>LCI!$E19*impact_process_end!E16</f>
        <v>0</v>
      </c>
      <c r="F16" s="22">
        <f>LCI!$E19*impact_process_end!F16</f>
        <v>0</v>
      </c>
      <c r="G16" s="22">
        <f>LCI!$E19*impact_process_end!G16</f>
        <v>0</v>
      </c>
      <c r="H16" s="22">
        <f>LCI!$E19*impact_process_end!H16</f>
        <v>0</v>
      </c>
      <c r="I16" s="22">
        <f>LCI!$E19*impact_process_end!I16</f>
        <v>0</v>
      </c>
      <c r="J16" s="22">
        <f>LCI!$E19*impact_process_end!J16</f>
        <v>0</v>
      </c>
      <c r="K16" s="22">
        <f>LCI!$E19*impact_process_end!K16</f>
        <v>0</v>
      </c>
      <c r="L16" s="22">
        <f>LCI!$E19*impact_process_end!L16</f>
        <v>0</v>
      </c>
      <c r="M16" s="22">
        <f>LCI!$E19*impact_process_end!M16</f>
        <v>0</v>
      </c>
      <c r="N16" s="22">
        <f>LCI!$E19*impact_process_end!N16</f>
        <v>0</v>
      </c>
      <c r="O16" s="22">
        <f>LCI!$E19*impact_process_end!O16</f>
        <v>0</v>
      </c>
      <c r="P16" s="22">
        <f>LCI!$E19*impact_process_end!P16</f>
        <v>0</v>
      </c>
      <c r="Q16" s="22">
        <f>LCI!$E19*impact_process_end!Q16</f>
        <v>0</v>
      </c>
      <c r="R16" s="22">
        <f>LCI!$E19*impact_process_end!R16</f>
        <v>0</v>
      </c>
      <c r="S16" s="22">
        <f>LCI!$E19*impact_process_end!S16</f>
        <v>0</v>
      </c>
      <c r="T16" s="22">
        <f>LCI!$E19*impact_process_end!T16</f>
        <v>0</v>
      </c>
      <c r="U16" s="22">
        <f>LCI!$E19*impact_process_end!U16</f>
        <v>0</v>
      </c>
      <c r="V16" s="22">
        <f>LCI!$E19*impact_process_end!V16</f>
        <v>0</v>
      </c>
      <c r="W16" s="22">
        <f>LCI!$E19*impact_process_end!W16</f>
        <v>0</v>
      </c>
      <c r="X16" s="22">
        <f>LCI!$E19*impact_process_end!X16</f>
        <v>0</v>
      </c>
      <c r="Y16" s="22">
        <f>LCI!$E19*impact_process_end!Y16</f>
        <v>0</v>
      </c>
      <c r="Z16" s="22">
        <f>LCI!$E19*impact_process_end!Z16</f>
        <v>0</v>
      </c>
      <c r="AA16" s="22">
        <f>LCI!$E19*impact_process_end!AA16</f>
        <v>0</v>
      </c>
    </row>
    <row r="17" spans="1:29" x14ac:dyDescent="0.35">
      <c r="B17" t="s">
        <v>30</v>
      </c>
      <c r="C17" s="23">
        <f>LCI!$E20*impact_process_end!C17</f>
        <v>5.9644613006227341E-9</v>
      </c>
      <c r="D17" s="23">
        <f>LCI!$E20*impact_process_end!D17</f>
        <v>0</v>
      </c>
      <c r="E17" s="23">
        <f>LCI!$E20*impact_process_end!E17</f>
        <v>0</v>
      </c>
      <c r="F17" s="23">
        <f>LCI!$E20*impact_process_end!F17</f>
        <v>0</v>
      </c>
      <c r="G17" s="23">
        <f>LCI!$E20*impact_process_end!G17</f>
        <v>0</v>
      </c>
      <c r="H17" s="23">
        <f>LCI!$E20*impact_process_end!H17</f>
        <v>0</v>
      </c>
      <c r="I17" s="23">
        <f>LCI!$E20*impact_process_end!I17</f>
        <v>0</v>
      </c>
      <c r="J17" s="23">
        <f>LCI!$E20*impact_process_end!J17</f>
        <v>0</v>
      </c>
      <c r="K17" s="23">
        <f>LCI!$E20*impact_process_end!K17</f>
        <v>0</v>
      </c>
      <c r="L17" s="23">
        <f>LCI!$E20*impact_process_end!L17</f>
        <v>0</v>
      </c>
      <c r="M17" s="23">
        <f>LCI!$E20*impact_process_end!M17</f>
        <v>0</v>
      </c>
      <c r="N17" s="23">
        <f>LCI!$E20*impact_process_end!N17</f>
        <v>0</v>
      </c>
      <c r="O17" s="23">
        <f>LCI!$E20*impact_process_end!O17</f>
        <v>0</v>
      </c>
      <c r="P17" s="23">
        <f>LCI!$E20*impact_process_end!P17</f>
        <v>0</v>
      </c>
      <c r="Q17" s="23">
        <f>LCI!$E20*impact_process_end!Q17</f>
        <v>0</v>
      </c>
      <c r="R17" s="23">
        <f>LCI!$E20*impact_process_end!R17</f>
        <v>0</v>
      </c>
      <c r="S17" s="23">
        <f>LCI!$E20*impact_process_end!S17</f>
        <v>0</v>
      </c>
      <c r="T17" s="23">
        <f>LCI!$E20*impact_process_end!T17</f>
        <v>2.150647103589928E-6</v>
      </c>
      <c r="U17" s="23">
        <f>LCI!$E20*impact_process_end!U17</f>
        <v>0</v>
      </c>
      <c r="V17" s="23">
        <f>LCI!$E20*impact_process_end!V17</f>
        <v>0</v>
      </c>
      <c r="W17" s="23">
        <f>LCI!$E20*impact_process_end!W17</f>
        <v>0</v>
      </c>
      <c r="X17" s="23">
        <f>LCI!$E20*impact_process_end!X17</f>
        <v>0</v>
      </c>
      <c r="Y17" s="23">
        <f>LCI!$E20*impact_process_end!Y17</f>
        <v>5.9644613006227341E-9</v>
      </c>
      <c r="Z17" s="23">
        <f>LCI!$E20*impact_process_end!Z17</f>
        <v>2.150647103589928E-6</v>
      </c>
      <c r="AA17" s="23">
        <f>LCI!$E20*impact_process_end!AA17</f>
        <v>0</v>
      </c>
    </row>
    <row r="18" spans="1:29" x14ac:dyDescent="0.35">
      <c r="B18" t="s">
        <v>19</v>
      </c>
      <c r="C18" s="22">
        <f>LCI!$E21*impact_process_end!C11</f>
        <v>0</v>
      </c>
      <c r="D18" s="22">
        <f>LCI!$E21*impact_process_end!D11</f>
        <v>2.5035086908180704E-12</v>
      </c>
      <c r="E18" s="22">
        <f>LCI!$E21*impact_process_end!E11</f>
        <v>9.1666933602261672E-8</v>
      </c>
      <c r="F18" s="22">
        <f>LCI!$E21*impact_process_end!F11</f>
        <v>0</v>
      </c>
      <c r="G18" s="22">
        <f>LCI!$E21*impact_process_end!G11</f>
        <v>0</v>
      </c>
      <c r="H18" s="22">
        <f>LCI!$E21*impact_process_end!H11</f>
        <v>0</v>
      </c>
      <c r="I18" s="22">
        <f>LCI!$E21*impact_process_end!I11</f>
        <v>0</v>
      </c>
      <c r="J18" s="22">
        <f>LCI!$E21*impact_process_end!J11</f>
        <v>0</v>
      </c>
      <c r="K18" s="22">
        <f>LCI!$E21*impact_process_end!K11</f>
        <v>0</v>
      </c>
      <c r="L18" s="22">
        <f>LCI!$E21*impact_process_end!L11</f>
        <v>0</v>
      </c>
      <c r="M18" s="22">
        <f>LCI!$E21*impact_process_end!M11</f>
        <v>0</v>
      </c>
      <c r="N18" s="22">
        <f>LCI!$E21*impact_process_end!N11</f>
        <v>0</v>
      </c>
      <c r="O18" s="22">
        <f>LCI!$E21*impact_process_end!O11</f>
        <v>3.0427259473019631E-5</v>
      </c>
      <c r="P18" s="22">
        <f>LCI!$E21*impact_process_end!P11</f>
        <v>0</v>
      </c>
      <c r="Q18" s="22">
        <f>LCI!$E21*impact_process_end!Q11</f>
        <v>0</v>
      </c>
      <c r="R18" s="22">
        <f>LCI!$E21*impact_process_end!R11</f>
        <v>0</v>
      </c>
      <c r="S18" s="22">
        <f>LCI!$E21*impact_process_end!S11</f>
        <v>0</v>
      </c>
      <c r="T18" s="22">
        <f>LCI!$E21*impact_process_end!T11</f>
        <v>0</v>
      </c>
      <c r="U18" s="22">
        <f>LCI!$E21*impact_process_end!U11</f>
        <v>0</v>
      </c>
      <c r="V18" s="22">
        <f>LCI!$E21*impact_process_end!V11</f>
        <v>0</v>
      </c>
      <c r="W18" s="22">
        <f>LCI!$E21*impact_process_end!W11</f>
        <v>0</v>
      </c>
      <c r="X18" s="22">
        <f>LCI!$E21*impact_process_end!X11</f>
        <v>0</v>
      </c>
      <c r="Y18" s="22">
        <f>LCI!$E21*impact_process_end!Y11</f>
        <v>9.1669437110952484E-8</v>
      </c>
      <c r="Z18" s="22">
        <f>LCI!$E21*impact_process_end!Z11</f>
        <v>3.0427259473019631E-5</v>
      </c>
      <c r="AA18" s="22">
        <f>LCI!$E21*impact_process_end!AA11</f>
        <v>0</v>
      </c>
    </row>
    <row r="19" spans="1:29" x14ac:dyDescent="0.35">
      <c r="B19" t="s">
        <v>31</v>
      </c>
      <c r="C19" s="22">
        <f>LCI!$E22*impact_process_end!C19</f>
        <v>0</v>
      </c>
      <c r="D19" s="22">
        <f>LCI!$E22*impact_process_end!D19</f>
        <v>5.2271060577520161E-13</v>
      </c>
      <c r="E19" s="22">
        <f>LCI!$E22*impact_process_end!E19</f>
        <v>1.9120203737566585E-8</v>
      </c>
      <c r="F19" s="22">
        <f>LCI!$E22*impact_process_end!F19</f>
        <v>0</v>
      </c>
      <c r="G19" s="22">
        <f>LCI!$E22*impact_process_end!G19</f>
        <v>0</v>
      </c>
      <c r="H19" s="22">
        <f>LCI!$E22*impact_process_end!H19</f>
        <v>0</v>
      </c>
      <c r="I19" s="22">
        <f>LCI!$E22*impact_process_end!I19</f>
        <v>0</v>
      </c>
      <c r="J19" s="22">
        <f>LCI!$E22*impact_process_end!J19</f>
        <v>0</v>
      </c>
      <c r="K19" s="22">
        <f>LCI!$E22*impact_process_end!K19</f>
        <v>0</v>
      </c>
      <c r="L19" s="22">
        <f>LCI!$E22*impact_process_end!L19</f>
        <v>0</v>
      </c>
      <c r="M19" s="22">
        <f>LCI!$E22*impact_process_end!M19</f>
        <v>0</v>
      </c>
      <c r="N19" s="22">
        <f>LCI!$E22*impact_process_end!N19</f>
        <v>0</v>
      </c>
      <c r="O19" s="22">
        <f>LCI!$E22*impact_process_end!O19</f>
        <v>6.4192530533796676E-6</v>
      </c>
      <c r="P19" s="22">
        <f>LCI!$E22*impact_process_end!P19</f>
        <v>0</v>
      </c>
      <c r="Q19" s="22">
        <f>LCI!$E22*impact_process_end!Q19</f>
        <v>0</v>
      </c>
      <c r="R19" s="22">
        <f>LCI!$E22*impact_process_end!R19</f>
        <v>0</v>
      </c>
      <c r="S19" s="22">
        <f>LCI!$E22*impact_process_end!S19</f>
        <v>1.3388727797049023E-7</v>
      </c>
      <c r="T19" s="22">
        <f>LCI!$E22*impact_process_end!T19</f>
        <v>0</v>
      </c>
      <c r="U19" s="22">
        <f>LCI!$E22*impact_process_end!U19</f>
        <v>0</v>
      </c>
      <c r="V19" s="22">
        <f>LCI!$E22*impact_process_end!V19</f>
        <v>0</v>
      </c>
      <c r="W19" s="22">
        <f>LCI!$E22*impact_process_end!W19</f>
        <v>0</v>
      </c>
      <c r="X19" s="22">
        <f>LCI!$E22*impact_process_end!X19</f>
        <v>0</v>
      </c>
      <c r="Y19" s="22">
        <f>LCI!$E22*impact_process_end!Y19</f>
        <v>1.912072644817236E-8</v>
      </c>
      <c r="Z19" s="22">
        <f>LCI!$E22*impact_process_end!Z19</f>
        <v>6.5531403313501582E-6</v>
      </c>
      <c r="AA19" s="22">
        <f>LCI!$E22*impact_process_end!AA19</f>
        <v>0</v>
      </c>
    </row>
    <row r="20" spans="1:29" x14ac:dyDescent="0.35">
      <c r="A20" t="s">
        <v>257</v>
      </c>
    </row>
    <row r="21" spans="1:29" x14ac:dyDescent="0.35">
      <c r="B21" s="20" t="s">
        <v>257</v>
      </c>
      <c r="C21" s="24">
        <f>SUM(C3:C4,C6,C8:C10,C12:C19)</f>
        <v>2.0114159106083146E-8</v>
      </c>
      <c r="D21" s="24">
        <f>SUM(D3:D4,D6,D8:D10,D12:D19)</f>
        <v>8.6310788099342979E-12</v>
      </c>
      <c r="E21" s="24">
        <f t="shared" ref="E21:AA21" si="0">SUM(E3:E4,E6,E8:E10,E12:E19)</f>
        <v>3.1600059197708628E-7</v>
      </c>
      <c r="F21" s="24">
        <f t="shared" si="0"/>
        <v>1.3081537319805549E-9</v>
      </c>
      <c r="G21" s="24">
        <f t="shared" si="0"/>
        <v>2.6432711210404287E-10</v>
      </c>
      <c r="H21" s="24">
        <f t="shared" si="0"/>
        <v>6.6160130800630221E-10</v>
      </c>
      <c r="I21" s="24">
        <f t="shared" si="0"/>
        <v>8.3772645802817259E-9</v>
      </c>
      <c r="J21" s="24">
        <f t="shared" si="0"/>
        <v>5.5049396322898631E-12</v>
      </c>
      <c r="K21" s="24">
        <f t="shared" si="0"/>
        <v>2.3071054374591618E-8</v>
      </c>
      <c r="L21" s="24">
        <f t="shared" si="0"/>
        <v>3.0363862070667683E-8</v>
      </c>
      <c r="M21" s="24">
        <f t="shared" si="0"/>
        <v>3.3537816916510031E-13</v>
      </c>
      <c r="N21" s="24">
        <f t="shared" si="0"/>
        <v>7.4960352379616801E-9</v>
      </c>
      <c r="O21" s="24">
        <f t="shared" si="0"/>
        <v>1.0493603187596104E-4</v>
      </c>
      <c r="P21" s="24">
        <f t="shared" si="0"/>
        <v>9.6426650123120094E-6</v>
      </c>
      <c r="Q21" s="24">
        <f t="shared" si="0"/>
        <v>1.7843126973875924E-5</v>
      </c>
      <c r="R21" s="24">
        <f t="shared" si="0"/>
        <v>1.5324405242813227E-7</v>
      </c>
      <c r="S21" s="24">
        <f t="shared" si="0"/>
        <v>2.0861594309566321E-7</v>
      </c>
      <c r="T21" s="24">
        <f t="shared" si="0"/>
        <v>2.9355788783269308E-5</v>
      </c>
      <c r="U21" s="24">
        <f t="shared" si="0"/>
        <v>1.7684554542813573E-7</v>
      </c>
      <c r="V21" s="24">
        <f t="shared" si="0"/>
        <v>1.2326813502425872E-6</v>
      </c>
      <c r="W21" s="24">
        <f t="shared" si="0"/>
        <v>1.7934536989911445</v>
      </c>
      <c r="X21" s="24">
        <f t="shared" si="0"/>
        <v>9.2289169396780252E-2</v>
      </c>
      <c r="Y21" s="24">
        <f t="shared" si="0"/>
        <v>4.0017516831963653E-7</v>
      </c>
      <c r="Z21" s="24">
        <f t="shared" si="0"/>
        <v>1.6354887029820838E-4</v>
      </c>
      <c r="AA21" s="24">
        <f t="shared" si="0"/>
        <v>1.8857428758839609</v>
      </c>
    </row>
    <row r="23" spans="1:29" x14ac:dyDescent="0.35">
      <c r="A23" t="s">
        <v>122</v>
      </c>
    </row>
    <row r="24" spans="1:29" x14ac:dyDescent="0.35">
      <c r="B24" t="s">
        <v>97</v>
      </c>
    </row>
    <row r="25" spans="1:29" x14ac:dyDescent="0.35">
      <c r="B25" t="s">
        <v>96</v>
      </c>
      <c r="C25" s="23">
        <f>LCI!$E29*impact_process_end!C11</f>
        <v>0</v>
      </c>
      <c r="D25" s="23">
        <f>LCI!$E29*impact_process_end!D11</f>
        <v>1.4905279246712453E-14</v>
      </c>
      <c r="E25" s="23">
        <f>LCI!$E29*impact_process_end!E11</f>
        <v>5.4576253241808683E-10</v>
      </c>
      <c r="F25" s="23">
        <f>LCI!$E29*impact_process_end!F11</f>
        <v>0</v>
      </c>
      <c r="G25" s="23">
        <f>LCI!$E29*impact_process_end!G11</f>
        <v>0</v>
      </c>
      <c r="H25" s="23">
        <f>LCI!$E29*impact_process_end!H11</f>
        <v>0</v>
      </c>
      <c r="I25" s="23">
        <f>LCI!$E29*impact_process_end!I11</f>
        <v>0</v>
      </c>
      <c r="J25" s="23">
        <f>LCI!$E29*impact_process_end!J11</f>
        <v>0</v>
      </c>
      <c r="K25" s="23">
        <f>LCI!$E29*impact_process_end!K11</f>
        <v>0</v>
      </c>
      <c r="L25" s="23">
        <f>LCI!$E29*impact_process_end!L11</f>
        <v>0</v>
      </c>
      <c r="M25" s="23">
        <f>LCI!$E29*impact_process_end!M11</f>
        <v>0</v>
      </c>
      <c r="N25" s="23">
        <f>LCI!$E29*impact_process_end!N11</f>
        <v>0</v>
      </c>
      <c r="O25" s="23">
        <f>LCI!$E29*impact_process_end!O11</f>
        <v>1.8115647084465908E-7</v>
      </c>
      <c r="P25" s="23">
        <f>LCI!$E29*impact_process_end!P11</f>
        <v>0</v>
      </c>
      <c r="Q25" s="23">
        <f>LCI!$E29*impact_process_end!Q11</f>
        <v>0</v>
      </c>
      <c r="R25" s="23">
        <f>LCI!$E29*impact_process_end!R11</f>
        <v>0</v>
      </c>
      <c r="S25" s="23">
        <f>LCI!$E29*impact_process_end!S11</f>
        <v>0</v>
      </c>
      <c r="T25" s="23">
        <f>LCI!$E29*impact_process_end!T11</f>
        <v>0</v>
      </c>
      <c r="U25" s="23">
        <f>LCI!$E29*impact_process_end!U11</f>
        <v>0</v>
      </c>
      <c r="V25" s="23">
        <f>LCI!$E29*impact_process_end!V11</f>
        <v>0</v>
      </c>
      <c r="W25" s="23">
        <f>LCI!$E29*impact_process_end!W11</f>
        <v>0</v>
      </c>
      <c r="X25" s="23">
        <f>LCI!$E29*impact_process_end!X11</f>
        <v>0</v>
      </c>
      <c r="Y25" s="23">
        <f>LCI!$E29*impact_process_end!Y11</f>
        <v>5.4577743769733351E-10</v>
      </c>
      <c r="Z25" s="23">
        <f>LCI!$E29*impact_process_end!Z11</f>
        <v>1.8115647084465908E-7</v>
      </c>
      <c r="AA25" s="23">
        <f>LCI!$E29*impact_process_end!AA11</f>
        <v>0</v>
      </c>
    </row>
    <row r="26" spans="1:29" x14ac:dyDescent="0.35">
      <c r="B26" t="s">
        <v>111</v>
      </c>
      <c r="C26" s="23">
        <f>LCI!$E30*impact_process_end!C19</f>
        <v>0</v>
      </c>
      <c r="D26" s="23">
        <f>LCI!$E30*impact_process_end!D19</f>
        <v>1.307078333942477E-13</v>
      </c>
      <c r="E26" s="23">
        <f>LCI!$E30*impact_process_end!E19</f>
        <v>4.7811549583685338E-9</v>
      </c>
      <c r="F26" s="23">
        <f>LCI!$E30*impact_process_end!F19</f>
        <v>0</v>
      </c>
      <c r="G26" s="23">
        <f>LCI!$E30*impact_process_end!G19</f>
        <v>0</v>
      </c>
      <c r="H26" s="23">
        <f>LCI!$E30*impact_process_end!H19</f>
        <v>0</v>
      </c>
      <c r="I26" s="23">
        <f>LCI!$E30*impact_process_end!I19</f>
        <v>0</v>
      </c>
      <c r="J26" s="23">
        <f>LCI!$E30*impact_process_end!J19</f>
        <v>0</v>
      </c>
      <c r="K26" s="23">
        <f>LCI!$E30*impact_process_end!K19</f>
        <v>0</v>
      </c>
      <c r="L26" s="23">
        <f>LCI!$E30*impact_process_end!L19</f>
        <v>0</v>
      </c>
      <c r="M26" s="23">
        <f>LCI!$E30*impact_process_end!M19</f>
        <v>0</v>
      </c>
      <c r="N26" s="23">
        <f>LCI!$E30*impact_process_end!N19</f>
        <v>0</v>
      </c>
      <c r="O26" s="23">
        <f>LCI!$E30*impact_process_end!O19</f>
        <v>1.6051839188767259E-6</v>
      </c>
      <c r="P26" s="23">
        <f>LCI!$E30*impact_process_end!P19</f>
        <v>0</v>
      </c>
      <c r="Q26" s="23">
        <f>LCI!$E30*impact_process_end!Q19</f>
        <v>0</v>
      </c>
      <c r="R26" s="23">
        <f>LCI!$E30*impact_process_end!R19</f>
        <v>0</v>
      </c>
      <c r="S26" s="23">
        <f>LCI!$E30*impact_process_end!S19</f>
        <v>3.3479550308000286E-8</v>
      </c>
      <c r="T26" s="23">
        <f>LCI!$E30*impact_process_end!T19</f>
        <v>0</v>
      </c>
      <c r="U26" s="23">
        <f>LCI!$E30*impact_process_end!U19</f>
        <v>0</v>
      </c>
      <c r="V26" s="23">
        <f>LCI!$E30*impact_process_end!V19</f>
        <v>0</v>
      </c>
      <c r="W26" s="23">
        <f>LCI!$E30*impact_process_end!W19</f>
        <v>0</v>
      </c>
      <c r="X26" s="23">
        <f>LCI!$E30*impact_process_end!X19</f>
        <v>0</v>
      </c>
      <c r="Y26" s="23">
        <f>LCI!$E30*impact_process_end!Y19</f>
        <v>4.7812856662019279E-9</v>
      </c>
      <c r="Z26" s="23">
        <f>LCI!$E30*impact_process_end!Z19</f>
        <v>1.6386634691847263E-6</v>
      </c>
      <c r="AA26" s="23">
        <f>LCI!$E30*impact_process_end!AA19</f>
        <v>0</v>
      </c>
    </row>
    <row r="27" spans="1:29" x14ac:dyDescent="0.35">
      <c r="B27" t="s">
        <v>142</v>
      </c>
      <c r="C27" s="23">
        <f>LCI!$E31*impact_process_end!C18</f>
        <v>8.431515173885516E-9</v>
      </c>
      <c r="D27" s="23">
        <f>LCI!$E31*impact_process_end!D18</f>
        <v>0</v>
      </c>
      <c r="E27" s="23">
        <f>LCI!$E31*impact_process_end!E18</f>
        <v>0</v>
      </c>
      <c r="F27" s="23">
        <f>LCI!$E31*impact_process_end!F18</f>
        <v>0</v>
      </c>
      <c r="G27" s="23">
        <f>LCI!$E31*impact_process_end!G18</f>
        <v>0</v>
      </c>
      <c r="H27" s="23">
        <f>LCI!$E31*impact_process_end!H18</f>
        <v>0</v>
      </c>
      <c r="I27" s="23">
        <f>LCI!$E31*impact_process_end!I18</f>
        <v>0</v>
      </c>
      <c r="J27" s="23">
        <f>LCI!$E31*impact_process_end!J18</f>
        <v>0</v>
      </c>
      <c r="K27" s="23">
        <f>LCI!$E31*impact_process_end!K18</f>
        <v>0</v>
      </c>
      <c r="L27" s="23">
        <f>LCI!$E31*impact_process_end!L18</f>
        <v>0</v>
      </c>
      <c r="M27" s="23">
        <f>LCI!$E31*impact_process_end!M18</f>
        <v>0</v>
      </c>
      <c r="N27" s="23">
        <f>LCI!$E31*impact_process_end!N18</f>
        <v>0</v>
      </c>
      <c r="O27" s="23">
        <f>LCI!$E31*impact_process_end!O18</f>
        <v>0</v>
      </c>
      <c r="P27" s="23">
        <f>LCI!$E31*impact_process_end!P18</f>
        <v>0</v>
      </c>
      <c r="Q27" s="23">
        <f>LCI!$E31*impact_process_end!Q18</f>
        <v>0</v>
      </c>
      <c r="R27" s="23">
        <f>LCI!$E31*impact_process_end!R18</f>
        <v>0</v>
      </c>
      <c r="S27" s="23">
        <f>LCI!$E31*impact_process_end!S18</f>
        <v>0</v>
      </c>
      <c r="T27" s="23">
        <f>LCI!$E31*impact_process_end!T18</f>
        <v>7.1588336382046849E-6</v>
      </c>
      <c r="U27" s="23">
        <f>LCI!$E31*impact_process_end!U18</f>
        <v>0</v>
      </c>
      <c r="V27" s="23">
        <f>LCI!$E31*impact_process_end!V18</f>
        <v>0</v>
      </c>
      <c r="W27" s="23">
        <f>LCI!$E31*impact_process_end!W18</f>
        <v>0</v>
      </c>
      <c r="X27" s="23">
        <f>LCI!$E31*impact_process_end!X18</f>
        <v>0</v>
      </c>
      <c r="Y27" s="23">
        <f>LCI!$E31*impact_process_end!Y18</f>
        <v>8.431515173885516E-9</v>
      </c>
      <c r="Z27" s="23">
        <f>LCI!$E31*impact_process_end!Z18</f>
        <v>7.1588336382046849E-6</v>
      </c>
      <c r="AA27" s="23">
        <f>LCI!$E31*impact_process_end!AA18</f>
        <v>0</v>
      </c>
    </row>
    <row r="28" spans="1:29" x14ac:dyDescent="0.35">
      <c r="B28" t="s">
        <v>143</v>
      </c>
      <c r="C28" s="23">
        <f>LCI!$E32*impact_process_end!C15</f>
        <v>0</v>
      </c>
      <c r="D28" s="23">
        <f>LCI!$E32*impact_process_end!D15</f>
        <v>0</v>
      </c>
      <c r="E28" s="23">
        <f>LCI!$E32*impact_process_end!E15</f>
        <v>0</v>
      </c>
      <c r="F28" s="23">
        <f>LCI!$E32*impact_process_end!F15</f>
        <v>0</v>
      </c>
      <c r="G28" s="23">
        <f>LCI!$E32*impact_process_end!G15</f>
        <v>0</v>
      </c>
      <c r="H28" s="23">
        <f>LCI!$E32*impact_process_end!H15</f>
        <v>0</v>
      </c>
      <c r="I28" s="23">
        <f>LCI!$E32*impact_process_end!I15</f>
        <v>0</v>
      </c>
      <c r="J28" s="23">
        <f>LCI!$E32*impact_process_end!J15</f>
        <v>0</v>
      </c>
      <c r="K28" s="23">
        <f>LCI!$E32*impact_process_end!K15</f>
        <v>0</v>
      </c>
      <c r="L28" s="23">
        <f>LCI!$E32*impact_process_end!L15</f>
        <v>0</v>
      </c>
      <c r="M28" s="23">
        <f>LCI!$E32*impact_process_end!M15</f>
        <v>0</v>
      </c>
      <c r="N28" s="23">
        <f>LCI!$E32*impact_process_end!N15</f>
        <v>0</v>
      </c>
      <c r="O28" s="23">
        <f>LCI!$E32*impact_process_end!O15</f>
        <v>0</v>
      </c>
      <c r="P28" s="23">
        <f>LCI!$E32*impact_process_end!P15</f>
        <v>0</v>
      </c>
      <c r="Q28" s="23">
        <f>LCI!$E32*impact_process_end!Q15</f>
        <v>0</v>
      </c>
      <c r="R28" s="23">
        <f>LCI!$E32*impact_process_end!R15</f>
        <v>0</v>
      </c>
      <c r="S28" s="23">
        <f>LCI!$E32*impact_process_end!S15</f>
        <v>0</v>
      </c>
      <c r="T28" s="23">
        <f>LCI!$E32*impact_process_end!T15</f>
        <v>0</v>
      </c>
      <c r="U28" s="23">
        <f>LCI!$E32*impact_process_end!U15</f>
        <v>0</v>
      </c>
      <c r="V28" s="23">
        <f>LCI!$E32*impact_process_end!V15</f>
        <v>0</v>
      </c>
      <c r="W28" s="23">
        <f>LCI!$E32*impact_process_end!W15</f>
        <v>0</v>
      </c>
      <c r="X28" s="23">
        <f>LCI!$E32*impact_process_end!X15</f>
        <v>0</v>
      </c>
      <c r="Y28" s="23">
        <f>LCI!$E32*impact_process_end!Y15</f>
        <v>0</v>
      </c>
      <c r="Z28" s="23">
        <f>LCI!$E32*impact_process_end!Z15</f>
        <v>0</v>
      </c>
      <c r="AA28" s="23">
        <f>LCI!$E32*impact_process_end!AA15</f>
        <v>0</v>
      </c>
    </row>
    <row r="29" spans="1:29" x14ac:dyDescent="0.35">
      <c r="B29" t="s">
        <v>144</v>
      </c>
      <c r="C29" s="23">
        <f>LCI!$E33*impact_process_end!C21</f>
        <v>0</v>
      </c>
      <c r="D29" s="23">
        <f>LCI!$E33*impact_process_end!D21</f>
        <v>0</v>
      </c>
      <c r="E29" s="23">
        <f>LCI!$E33*impact_process_end!E21</f>
        <v>0</v>
      </c>
      <c r="F29" s="23">
        <f>LCI!$E33*impact_process_end!F21</f>
        <v>0</v>
      </c>
      <c r="G29" s="23">
        <f>LCI!$E33*impact_process_end!G21</f>
        <v>0</v>
      </c>
      <c r="H29" s="23">
        <f>LCI!$E33*impact_process_end!H21</f>
        <v>0</v>
      </c>
      <c r="I29" s="23">
        <f>LCI!$E33*impact_process_end!I21</f>
        <v>0</v>
      </c>
      <c r="J29" s="23">
        <f>LCI!$E33*impact_process_end!J21</f>
        <v>0</v>
      </c>
      <c r="K29" s="23">
        <f>LCI!$E33*impact_process_end!K21</f>
        <v>0</v>
      </c>
      <c r="L29" s="23">
        <f>LCI!$E33*impact_process_end!L21</f>
        <v>0</v>
      </c>
      <c r="M29" s="23">
        <f>LCI!$E33*impact_process_end!M21</f>
        <v>0</v>
      </c>
      <c r="N29" s="23">
        <f>LCI!$E33*impact_process_end!N21</f>
        <v>0</v>
      </c>
      <c r="O29" s="23">
        <f>LCI!$E33*impact_process_end!O21</f>
        <v>0</v>
      </c>
      <c r="P29" s="23">
        <f>LCI!$E33*impact_process_end!P21</f>
        <v>0</v>
      </c>
      <c r="Q29" s="23">
        <f>LCI!$E33*impact_process_end!Q21</f>
        <v>0</v>
      </c>
      <c r="R29" s="23">
        <f>LCI!$E33*impact_process_end!R21</f>
        <v>0</v>
      </c>
      <c r="S29" s="23">
        <f>LCI!$E33*impact_process_end!S21</f>
        <v>0</v>
      </c>
      <c r="T29" s="23">
        <f>LCI!$E33*impact_process_end!T21</f>
        <v>1.8374339671392024E-5</v>
      </c>
      <c r="U29" s="23">
        <f>LCI!$E33*impact_process_end!U21</f>
        <v>0</v>
      </c>
      <c r="V29" s="23">
        <f>LCI!$E33*impact_process_end!V21</f>
        <v>0</v>
      </c>
      <c r="W29" s="23">
        <f>LCI!$E33*impact_process_end!W21</f>
        <v>0</v>
      </c>
      <c r="X29" s="23">
        <f>LCI!$E33*impact_process_end!X21</f>
        <v>0</v>
      </c>
      <c r="Y29" s="23">
        <f>LCI!$E33*impact_process_end!Y21</f>
        <v>0</v>
      </c>
      <c r="Z29" s="23">
        <f>LCI!$E33*impact_process_end!Z21</f>
        <v>1.8374339671392024E-5</v>
      </c>
      <c r="AA29" s="23">
        <f>LCI!$E33*impact_process_end!AA21</f>
        <v>0</v>
      </c>
    </row>
    <row r="30" spans="1:29" x14ac:dyDescent="0.35">
      <c r="B30" t="s">
        <v>124</v>
      </c>
      <c r="C30" s="23">
        <f>LCI!$E34*impact_process_end!C12</f>
        <v>2.9251968821655085E-8</v>
      </c>
      <c r="D30" s="23">
        <f>LCI!$E34*impact_process_end!D12</f>
        <v>0</v>
      </c>
      <c r="E30" s="23">
        <f>LCI!$E34*impact_process_end!E12</f>
        <v>0</v>
      </c>
      <c r="F30" s="23">
        <f>LCI!$E34*impact_process_end!F12</f>
        <v>0</v>
      </c>
      <c r="G30" s="23">
        <f>LCI!$E34*impact_process_end!G12</f>
        <v>0</v>
      </c>
      <c r="H30" s="23">
        <f>LCI!$E34*impact_process_end!H12</f>
        <v>0</v>
      </c>
      <c r="I30" s="23">
        <f>LCI!$E34*impact_process_end!I12</f>
        <v>0</v>
      </c>
      <c r="J30" s="23">
        <f>LCI!$E34*impact_process_end!J12</f>
        <v>0</v>
      </c>
      <c r="K30" s="23">
        <f>LCI!$E34*impact_process_end!K12</f>
        <v>0</v>
      </c>
      <c r="L30" s="23">
        <f>LCI!$E34*impact_process_end!L12</f>
        <v>4.9456146500570197E-8</v>
      </c>
      <c r="M30" s="23">
        <f>LCI!$E34*impact_process_end!M12</f>
        <v>0</v>
      </c>
      <c r="N30" s="23">
        <f>LCI!$E34*impact_process_end!N12</f>
        <v>0</v>
      </c>
      <c r="O30" s="23">
        <f>LCI!$E34*impact_process_end!O12</f>
        <v>0</v>
      </c>
      <c r="P30" s="23">
        <f>LCI!$E34*impact_process_end!P12</f>
        <v>0</v>
      </c>
      <c r="Q30" s="23">
        <f>LCI!$E34*impact_process_end!Q12</f>
        <v>0</v>
      </c>
      <c r="R30" s="23">
        <f>LCI!$E34*impact_process_end!R12</f>
        <v>0</v>
      </c>
      <c r="S30" s="23">
        <f>LCI!$E34*impact_process_end!S12</f>
        <v>0</v>
      </c>
      <c r="T30" s="23">
        <f>LCI!$E34*impact_process_end!T12</f>
        <v>2.65299638592206E-5</v>
      </c>
      <c r="U30" s="23">
        <f>LCI!$E34*impact_process_end!U12</f>
        <v>3.4887669236836335E-7</v>
      </c>
      <c r="V30" s="23">
        <f>LCI!$E34*impact_process_end!V12</f>
        <v>0</v>
      </c>
      <c r="W30" s="23">
        <f>LCI!$E34*impact_process_end!W12</f>
        <v>0</v>
      </c>
      <c r="X30" s="23">
        <f>LCI!$E34*impact_process_end!X12</f>
        <v>0</v>
      </c>
      <c r="Y30" s="23">
        <f>LCI!$E34*impact_process_end!Y12</f>
        <v>7.8708115322225282E-8</v>
      </c>
      <c r="Z30" s="23">
        <f>LCI!$E34*impact_process_end!Z12</f>
        <v>2.6878840551588967E-5</v>
      </c>
      <c r="AA30" s="23">
        <f>LCI!$E34*impact_process_end!AA12</f>
        <v>0</v>
      </c>
      <c r="AB30" s="5"/>
      <c r="AC30" s="5"/>
    </row>
    <row r="31" spans="1:29" x14ac:dyDescent="0.35">
      <c r="B31" t="s">
        <v>110</v>
      </c>
      <c r="C31" s="23">
        <f>LCI!$E35*impact_process_end!C17</f>
        <v>5.0379843853888092E-9</v>
      </c>
      <c r="D31" s="23">
        <f>LCI!$E35*impact_process_end!D17</f>
        <v>0</v>
      </c>
      <c r="E31" s="23">
        <f>LCI!$E35*impact_process_end!E17</f>
        <v>0</v>
      </c>
      <c r="F31" s="23">
        <f>LCI!$E35*impact_process_end!F17</f>
        <v>0</v>
      </c>
      <c r="G31" s="23">
        <f>LCI!$E35*impact_process_end!G17</f>
        <v>0</v>
      </c>
      <c r="H31" s="23">
        <f>LCI!$E35*impact_process_end!H17</f>
        <v>0</v>
      </c>
      <c r="I31" s="23">
        <f>LCI!$E35*impact_process_end!I17</f>
        <v>0</v>
      </c>
      <c r="J31" s="23">
        <f>LCI!$E35*impact_process_end!J17</f>
        <v>0</v>
      </c>
      <c r="K31" s="23">
        <f>LCI!$E35*impact_process_end!K17</f>
        <v>0</v>
      </c>
      <c r="L31" s="23">
        <f>LCI!$E35*impact_process_end!L17</f>
        <v>0</v>
      </c>
      <c r="M31" s="23">
        <f>LCI!$E35*impact_process_end!M17</f>
        <v>0</v>
      </c>
      <c r="N31" s="23">
        <f>LCI!$E35*impact_process_end!N17</f>
        <v>0</v>
      </c>
      <c r="O31" s="23">
        <f>LCI!$E35*impact_process_end!O17</f>
        <v>0</v>
      </c>
      <c r="P31" s="23">
        <f>LCI!$E35*impact_process_end!P17</f>
        <v>0</v>
      </c>
      <c r="Q31" s="23">
        <f>LCI!$E35*impact_process_end!Q17</f>
        <v>0</v>
      </c>
      <c r="R31" s="23">
        <f>LCI!$E35*impact_process_end!R17</f>
        <v>0</v>
      </c>
      <c r="S31" s="23">
        <f>LCI!$E35*impact_process_end!S17</f>
        <v>0</v>
      </c>
      <c r="T31" s="23">
        <f>LCI!$E35*impact_process_end!T17</f>
        <v>1.8165809081930802E-6</v>
      </c>
      <c r="U31" s="23">
        <f>LCI!$E35*impact_process_end!U17</f>
        <v>0</v>
      </c>
      <c r="V31" s="23">
        <f>LCI!$E35*impact_process_end!V17</f>
        <v>0</v>
      </c>
      <c r="W31" s="23">
        <f>LCI!$E35*impact_process_end!W17</f>
        <v>0</v>
      </c>
      <c r="X31" s="23">
        <f>LCI!$E35*impact_process_end!X17</f>
        <v>0</v>
      </c>
      <c r="Y31" s="23">
        <f>LCI!$E35*impact_process_end!Y17</f>
        <v>5.0379843853888092E-9</v>
      </c>
      <c r="Z31" s="23">
        <f>LCI!$E35*impact_process_end!Z17</f>
        <v>1.8165809081930802E-6</v>
      </c>
      <c r="AA31" s="23">
        <f>LCI!$E35*impact_process_end!AA17</f>
        <v>0</v>
      </c>
    </row>
    <row r="32" spans="1:29" x14ac:dyDescent="0.35">
      <c r="B32" t="s">
        <v>123</v>
      </c>
      <c r="C32" s="23">
        <f>LCI!$E36*impact_process_end!C16</f>
        <v>0</v>
      </c>
      <c r="D32" s="23">
        <f>LCI!$E36*impact_process_end!D16</f>
        <v>0</v>
      </c>
      <c r="E32" s="23">
        <f>LCI!$E36*impact_process_end!E16</f>
        <v>0</v>
      </c>
      <c r="F32" s="23">
        <f>LCI!$E36*impact_process_end!F16</f>
        <v>0</v>
      </c>
      <c r="G32" s="23">
        <f>LCI!$E36*impact_process_end!G16</f>
        <v>0</v>
      </c>
      <c r="H32" s="23">
        <f>LCI!$E36*impact_process_end!H16</f>
        <v>0</v>
      </c>
      <c r="I32" s="23">
        <f>LCI!$E36*impact_process_end!I16</f>
        <v>0</v>
      </c>
      <c r="J32" s="23">
        <f>LCI!$E36*impact_process_end!J16</f>
        <v>0</v>
      </c>
      <c r="K32" s="23">
        <f>LCI!$E36*impact_process_end!K16</f>
        <v>0</v>
      </c>
      <c r="L32" s="23">
        <f>LCI!$E36*impact_process_end!L16</f>
        <v>0</v>
      </c>
      <c r="M32" s="23">
        <f>LCI!$E36*impact_process_end!M16</f>
        <v>0</v>
      </c>
      <c r="N32" s="23">
        <f>LCI!$E36*impact_process_end!N16</f>
        <v>0</v>
      </c>
      <c r="O32" s="23">
        <f>LCI!$E36*impact_process_end!O16</f>
        <v>0</v>
      </c>
      <c r="P32" s="23">
        <f>LCI!$E36*impact_process_end!P16</f>
        <v>0</v>
      </c>
      <c r="Q32" s="23">
        <f>LCI!$E36*impact_process_end!Q16</f>
        <v>0</v>
      </c>
      <c r="R32" s="23">
        <f>LCI!$E36*impact_process_end!R16</f>
        <v>0</v>
      </c>
      <c r="S32" s="23">
        <f>LCI!$E36*impact_process_end!S16</f>
        <v>0</v>
      </c>
      <c r="T32" s="23">
        <f>LCI!$E36*impact_process_end!T16</f>
        <v>0</v>
      </c>
      <c r="U32" s="23">
        <f>LCI!$E36*impact_process_end!U16</f>
        <v>0</v>
      </c>
      <c r="V32" s="23">
        <f>LCI!$E36*impact_process_end!V16</f>
        <v>0</v>
      </c>
      <c r="W32" s="23">
        <f>LCI!$E36*impact_process_end!W16</f>
        <v>0</v>
      </c>
      <c r="X32" s="23">
        <f>LCI!$E36*impact_process_end!X16</f>
        <v>0</v>
      </c>
      <c r="Y32" s="23">
        <f>LCI!$E36*impact_process_end!Y16</f>
        <v>0</v>
      </c>
      <c r="Z32" s="23">
        <f>LCI!$E36*impact_process_end!Z16</f>
        <v>0</v>
      </c>
      <c r="AA32" s="23">
        <f>LCI!$E36*impact_process_end!AA16</f>
        <v>0</v>
      </c>
    </row>
    <row r="33" spans="1:29" x14ac:dyDescent="0.35">
      <c r="B33" t="s">
        <v>145</v>
      </c>
      <c r="C33" s="23">
        <f>LCI!$E37*impact_process_end!C13</f>
        <v>0</v>
      </c>
      <c r="D33" s="23">
        <f>LCI!$E37*impact_process_end!D13</f>
        <v>0</v>
      </c>
      <c r="E33" s="23">
        <f>LCI!$E37*impact_process_end!E13</f>
        <v>0</v>
      </c>
      <c r="F33" s="23">
        <f>LCI!$E37*impact_process_end!F13</f>
        <v>0</v>
      </c>
      <c r="G33" s="23">
        <f>LCI!$E37*impact_process_end!G13</f>
        <v>0</v>
      </c>
      <c r="H33" s="23">
        <f>LCI!$E37*impact_process_end!H13</f>
        <v>0</v>
      </c>
      <c r="I33" s="23">
        <f>LCI!$E37*impact_process_end!I13</f>
        <v>0</v>
      </c>
      <c r="J33" s="23">
        <f>LCI!$E37*impact_process_end!J13</f>
        <v>0</v>
      </c>
      <c r="K33" s="23">
        <f>LCI!$E37*impact_process_end!K13</f>
        <v>0</v>
      </c>
      <c r="L33" s="23">
        <f>LCI!$E37*impact_process_end!L13</f>
        <v>7.2094255956478515E-10</v>
      </c>
      <c r="M33" s="23">
        <f>LCI!$E37*impact_process_end!M13</f>
        <v>0</v>
      </c>
      <c r="N33" s="23">
        <f>LCI!$E37*impact_process_end!N13</f>
        <v>0</v>
      </c>
      <c r="O33" s="23">
        <f>LCI!$E37*impact_process_end!O13</f>
        <v>0</v>
      </c>
      <c r="P33" s="23">
        <f>LCI!$E37*impact_process_end!P13</f>
        <v>0</v>
      </c>
      <c r="Q33" s="23">
        <f>LCI!$E37*impact_process_end!Q13</f>
        <v>0</v>
      </c>
      <c r="R33" s="23">
        <f>LCI!$E37*impact_process_end!R13</f>
        <v>0</v>
      </c>
      <c r="S33" s="23">
        <f>LCI!$E37*impact_process_end!S13</f>
        <v>0</v>
      </c>
      <c r="T33" s="23">
        <f>LCI!$E37*impact_process_end!T13</f>
        <v>0</v>
      </c>
      <c r="U33" s="23">
        <f>LCI!$E37*impact_process_end!U13</f>
        <v>3.1613524002306088E-9</v>
      </c>
      <c r="V33" s="23">
        <f>LCI!$E37*impact_process_end!V13</f>
        <v>0</v>
      </c>
      <c r="W33" s="23">
        <f>LCI!$E37*impact_process_end!W13</f>
        <v>0</v>
      </c>
      <c r="X33" s="23">
        <f>LCI!$E37*impact_process_end!X13</f>
        <v>0</v>
      </c>
      <c r="Y33" s="23">
        <f>LCI!$E37*impact_process_end!Y13</f>
        <v>7.2094255956478515E-10</v>
      </c>
      <c r="Z33" s="23">
        <f>LCI!$E37*impact_process_end!Z13</f>
        <v>3.1613524002306088E-9</v>
      </c>
      <c r="AA33" s="23">
        <f>LCI!$E37*impact_process_end!AA13</f>
        <v>0</v>
      </c>
    </row>
    <row r="34" spans="1:29" x14ac:dyDescent="0.35">
      <c r="B34" t="s">
        <v>249</v>
      </c>
      <c r="C34" s="23">
        <f>LCI!$E38*impact_process_end!C2</f>
        <v>1.1675641318029139E-11</v>
      </c>
      <c r="D34" s="23">
        <f>LCI!$E38*impact_process_end!D2</f>
        <v>3.6965697884490001E-15</v>
      </c>
      <c r="E34" s="23">
        <f>LCI!$E38*impact_process_end!E2</f>
        <v>1.3533820911293273E-10</v>
      </c>
      <c r="F34" s="23">
        <f>LCI!$E38*impact_process_end!F2</f>
        <v>2.6122657411861932E-12</v>
      </c>
      <c r="G34" s="23">
        <f>LCI!$E38*impact_process_end!G2</f>
        <v>5.0233788070126224E-13</v>
      </c>
      <c r="H34" s="23">
        <f>LCI!$E38*impact_process_end!H2</f>
        <v>3.9426687830644907E-12</v>
      </c>
      <c r="I34" s="23">
        <f>LCI!$E38*impact_process_end!I2</f>
        <v>6.2540145846128131E-12</v>
      </c>
      <c r="J34" s="23">
        <f>LCI!$E38*impact_process_end!J2</f>
        <v>1.1961877315016876E-14</v>
      </c>
      <c r="K34" s="23">
        <f>LCI!$E38*impact_process_end!K2</f>
        <v>1.5385358856837616E-11</v>
      </c>
      <c r="L34" s="23">
        <f>LCI!$E38*impact_process_end!L2</f>
        <v>7.0810268302033437E-12</v>
      </c>
      <c r="M34" s="23">
        <f>LCI!$E38*impact_process_end!M2</f>
        <v>1.1524942027123834E-15</v>
      </c>
      <c r="N34" s="23">
        <f>LCI!$E38*impact_process_end!N2</f>
        <v>2.5759390292412544E-11</v>
      </c>
      <c r="O34" s="23">
        <f>LCI!$E38*impact_process_end!O2</f>
        <v>4.4847906154674425E-8</v>
      </c>
      <c r="P34" s="23">
        <f>LCI!$E38*impact_process_end!P2</f>
        <v>1.194935841402092E-8</v>
      </c>
      <c r="Q34" s="23">
        <f>LCI!$E38*impact_process_end!Q2</f>
        <v>1.7742945526955702E-8</v>
      </c>
      <c r="R34" s="23">
        <f>LCI!$E38*impact_process_end!R2</f>
        <v>2.8399421015427207E-9</v>
      </c>
      <c r="S34" s="23">
        <f>LCI!$E38*impact_process_end!S2</f>
        <v>2.7934760546145026E-11</v>
      </c>
      <c r="T34" s="23">
        <f>LCI!$E38*impact_process_end!T2</f>
        <v>1.9198709907347601E-8</v>
      </c>
      <c r="U34" s="23">
        <f>LCI!$E38*impact_process_end!U2</f>
        <v>4.52515877494237E-11</v>
      </c>
      <c r="V34" s="23">
        <f>LCI!$E38*impact_process_end!V2</f>
        <v>4.2359886258633962E-9</v>
      </c>
      <c r="W34" s="23">
        <f>LCI!$E38*impact_process_end!W2</f>
        <v>4.9788023543773157E-3</v>
      </c>
      <c r="X34" s="23">
        <f>LCI!$E38*impact_process_end!X2</f>
        <v>2.495587603090098E-4</v>
      </c>
      <c r="Y34" s="23">
        <f>LCI!$E38*impact_process_end!Y2</f>
        <v>1.8280810157496435E-10</v>
      </c>
      <c r="Z34" s="23">
        <f>LCI!$E38*impact_process_end!Z2</f>
        <v>1.0088790033850999E-7</v>
      </c>
      <c r="AA34" s="23">
        <f>LCI!$E38*impact_process_end!AA2</f>
        <v>5.2283611404457166E-3</v>
      </c>
    </row>
    <row r="36" spans="1:29" x14ac:dyDescent="0.35">
      <c r="A36" t="s">
        <v>258</v>
      </c>
    </row>
    <row r="37" spans="1:29" x14ac:dyDescent="0.35">
      <c r="B37" s="2" t="s">
        <v>97</v>
      </c>
    </row>
    <row r="38" spans="1:29" x14ac:dyDescent="0.35">
      <c r="B38" s="2" t="s">
        <v>96</v>
      </c>
      <c r="C38" s="22">
        <f>LCI!$E44*impact_process_end!C11</f>
        <v>0</v>
      </c>
      <c r="D38" s="22">
        <f>LCI!$E44*impact_process_end!D11</f>
        <v>4.5236848735989349E-12</v>
      </c>
      <c r="E38" s="22">
        <f>LCI!$E44*impact_process_end!E11</f>
        <v>1.6563646152562256E-7</v>
      </c>
      <c r="F38" s="22">
        <f>LCI!$E44*impact_process_end!F11</f>
        <v>0</v>
      </c>
      <c r="G38" s="22">
        <f>LCI!$E44*impact_process_end!G11</f>
        <v>0</v>
      </c>
      <c r="H38" s="22">
        <f>LCI!$E44*impact_process_end!H11</f>
        <v>0</v>
      </c>
      <c r="I38" s="22">
        <f>LCI!$E44*impact_process_end!I11</f>
        <v>0</v>
      </c>
      <c r="J38" s="22">
        <f>LCI!$E44*impact_process_end!J11</f>
        <v>0</v>
      </c>
      <c r="K38" s="22">
        <f>LCI!$E44*impact_process_end!K11</f>
        <v>0</v>
      </c>
      <c r="L38" s="22">
        <f>LCI!$E44*impact_process_end!L11</f>
        <v>0</v>
      </c>
      <c r="M38" s="22">
        <f>LCI!$E44*impact_process_end!M11</f>
        <v>0</v>
      </c>
      <c r="N38" s="22">
        <f>LCI!$E44*impact_process_end!N11</f>
        <v>0</v>
      </c>
      <c r="O38" s="22">
        <f>LCI!$E44*impact_process_end!O11</f>
        <v>5.4980170002202452E-5</v>
      </c>
      <c r="P38" s="22">
        <f>LCI!$E44*impact_process_end!P11</f>
        <v>0</v>
      </c>
      <c r="Q38" s="22">
        <f>LCI!$E44*impact_process_end!Q11</f>
        <v>0</v>
      </c>
      <c r="R38" s="22">
        <f>LCI!$E44*impact_process_end!R11</f>
        <v>0</v>
      </c>
      <c r="S38" s="22">
        <f>LCI!$E44*impact_process_end!S11</f>
        <v>0</v>
      </c>
      <c r="T38" s="22">
        <f>LCI!$E44*impact_process_end!T11</f>
        <v>0</v>
      </c>
      <c r="U38" s="22">
        <f>LCI!$E44*impact_process_end!U11</f>
        <v>0</v>
      </c>
      <c r="V38" s="22">
        <f>LCI!$E44*impact_process_end!V11</f>
        <v>0</v>
      </c>
      <c r="W38" s="22">
        <f>LCI!$E44*impact_process_end!W11</f>
        <v>0</v>
      </c>
      <c r="X38" s="22">
        <f>LCI!$E44*impact_process_end!X11</f>
        <v>0</v>
      </c>
      <c r="Y38" s="22">
        <f>LCI!$E44*impact_process_end!Y11</f>
        <v>1.6564098521049615E-7</v>
      </c>
      <c r="Z38" s="22">
        <f>LCI!$E44*impact_process_end!Z11</f>
        <v>5.4980170002202452E-5</v>
      </c>
      <c r="AA38" s="22">
        <f>LCI!$E44*impact_process_end!AA11</f>
        <v>0</v>
      </c>
    </row>
    <row r="39" spans="1:29" x14ac:dyDescent="0.35">
      <c r="B39" s="2" t="s">
        <v>141</v>
      </c>
      <c r="C39" s="23">
        <f>LCI!$E45*impact_process_end!C23</f>
        <v>0</v>
      </c>
      <c r="D39" s="23">
        <f>LCI!$E45*impact_process_end!D23</f>
        <v>0</v>
      </c>
      <c r="E39" s="23">
        <f>LCI!$E45*impact_process_end!E23</f>
        <v>0</v>
      </c>
      <c r="F39" s="23">
        <f>LCI!$E45*impact_process_end!F23</f>
        <v>0</v>
      </c>
      <c r="G39" s="23">
        <f>LCI!$E45*impact_process_end!G23</f>
        <v>0</v>
      </c>
      <c r="H39" s="23">
        <f>LCI!$E45*impact_process_end!H23</f>
        <v>0</v>
      </c>
      <c r="I39" s="23">
        <f>LCI!$E45*impact_process_end!I23</f>
        <v>0</v>
      </c>
      <c r="J39" s="23">
        <f>LCI!$E45*impact_process_end!J23</f>
        <v>0</v>
      </c>
      <c r="K39" s="23">
        <f>LCI!$E45*impact_process_end!K23</f>
        <v>0</v>
      </c>
      <c r="L39" s="23">
        <f>LCI!$E45*impact_process_end!L23</f>
        <v>0</v>
      </c>
      <c r="M39" s="23">
        <f>LCI!$E45*impact_process_end!M23</f>
        <v>0</v>
      </c>
      <c r="N39" s="23">
        <f>LCI!$E45*impact_process_end!N23</f>
        <v>0</v>
      </c>
      <c r="O39" s="23">
        <f>LCI!$E45*impact_process_end!O23</f>
        <v>0</v>
      </c>
      <c r="P39" s="23">
        <f>LCI!$E45*impact_process_end!P23</f>
        <v>0</v>
      </c>
      <c r="Q39" s="23">
        <f>LCI!$E45*impact_process_end!Q23</f>
        <v>0</v>
      </c>
      <c r="R39" s="23">
        <f>LCI!$E45*impact_process_end!R23</f>
        <v>0</v>
      </c>
      <c r="S39" s="23">
        <f>LCI!$E45*impact_process_end!S23</f>
        <v>0</v>
      </c>
      <c r="T39" s="23">
        <f>LCI!$E45*impact_process_end!T23</f>
        <v>0</v>
      </c>
      <c r="U39" s="23">
        <f>LCI!$E45*impact_process_end!U23</f>
        <v>0</v>
      </c>
      <c r="V39" s="23">
        <f>LCI!$E45*impact_process_end!V23</f>
        <v>0</v>
      </c>
      <c r="W39" s="23">
        <f>LCI!$E45*impact_process_end!W23</f>
        <v>0</v>
      </c>
      <c r="X39" s="23">
        <f>LCI!$E45*impact_process_end!X23</f>
        <v>0</v>
      </c>
      <c r="Y39" s="23">
        <f>LCI!$E45*impact_process_end!Y23</f>
        <v>0</v>
      </c>
      <c r="Z39" s="23">
        <f>LCI!$E45*impact_process_end!Z23</f>
        <v>0</v>
      </c>
      <c r="AA39" s="23">
        <f>LCI!$E45*impact_process_end!AA23</f>
        <v>0</v>
      </c>
    </row>
    <row r="40" spans="1:29" x14ac:dyDescent="0.35">
      <c r="B40" s="2" t="s">
        <v>142</v>
      </c>
      <c r="C40" s="23">
        <f>LCI!$E46*impact_process_end!C18</f>
        <v>3.1307078363107551E-10</v>
      </c>
      <c r="D40" s="23">
        <f>LCI!$E46*impact_process_end!D18</f>
        <v>0</v>
      </c>
      <c r="E40" s="23">
        <f>LCI!$E46*impact_process_end!E18</f>
        <v>0</v>
      </c>
      <c r="F40" s="23">
        <f>LCI!$E46*impact_process_end!F18</f>
        <v>0</v>
      </c>
      <c r="G40" s="23">
        <f>LCI!$E46*impact_process_end!G18</f>
        <v>0</v>
      </c>
      <c r="H40" s="23">
        <f>LCI!$E46*impact_process_end!H18</f>
        <v>0</v>
      </c>
      <c r="I40" s="23">
        <f>LCI!$E46*impact_process_end!I18</f>
        <v>0</v>
      </c>
      <c r="J40" s="23">
        <f>LCI!$E46*impact_process_end!J18</f>
        <v>0</v>
      </c>
      <c r="K40" s="23">
        <f>LCI!$E46*impact_process_end!K18</f>
        <v>0</v>
      </c>
      <c r="L40" s="23">
        <f>LCI!$E46*impact_process_end!L18</f>
        <v>0</v>
      </c>
      <c r="M40" s="23">
        <f>LCI!$E46*impact_process_end!M18</f>
        <v>0</v>
      </c>
      <c r="N40" s="23">
        <f>LCI!$E46*impact_process_end!N18</f>
        <v>0</v>
      </c>
      <c r="O40" s="23">
        <f>LCI!$E46*impact_process_end!O18</f>
        <v>0</v>
      </c>
      <c r="P40" s="23">
        <f>LCI!$E46*impact_process_end!P18</f>
        <v>0</v>
      </c>
      <c r="Q40" s="23">
        <f>LCI!$E46*impact_process_end!Q18</f>
        <v>0</v>
      </c>
      <c r="R40" s="23">
        <f>LCI!$E46*impact_process_end!R18</f>
        <v>0</v>
      </c>
      <c r="S40" s="23">
        <f>LCI!$E46*impact_process_end!S18</f>
        <v>0</v>
      </c>
      <c r="T40" s="23">
        <f>LCI!$E46*impact_process_end!T18</f>
        <v>2.6581481629053587E-7</v>
      </c>
      <c r="U40" s="23">
        <f>LCI!$E46*impact_process_end!U18</f>
        <v>0</v>
      </c>
      <c r="V40" s="23">
        <f>LCI!$E46*impact_process_end!V18</f>
        <v>0</v>
      </c>
      <c r="W40" s="23">
        <f>LCI!$E46*impact_process_end!W18</f>
        <v>0</v>
      </c>
      <c r="X40" s="23">
        <f>LCI!$E46*impact_process_end!X18</f>
        <v>0</v>
      </c>
      <c r="Y40" s="23">
        <f>LCI!$E46*impact_process_end!Y18</f>
        <v>3.1307078363107551E-10</v>
      </c>
      <c r="Z40" s="23">
        <f>LCI!$E46*impact_process_end!Z18</f>
        <v>2.6581481629053587E-7</v>
      </c>
      <c r="AA40" s="23">
        <f>LCI!$E46*impact_process_end!AA18</f>
        <v>0</v>
      </c>
    </row>
    <row r="41" spans="1:29" x14ac:dyDescent="0.35">
      <c r="B41" s="2" t="s">
        <v>8</v>
      </c>
      <c r="C41" s="22">
        <f>LCI!$E47*impact_process_end!C2</f>
        <v>1.4594551647536424E-9</v>
      </c>
      <c r="D41" s="22">
        <f>LCI!$E47*impact_process_end!D2</f>
        <v>4.6207122355612501E-13</v>
      </c>
      <c r="E41" s="22">
        <f>LCI!$E47*impact_process_end!E2</f>
        <v>1.6917276139116593E-8</v>
      </c>
      <c r="F41" s="22">
        <f>LCI!$E47*impact_process_end!F2</f>
        <v>3.2653321764827416E-10</v>
      </c>
      <c r="G41" s="22">
        <f>LCI!$E47*impact_process_end!G2</f>
        <v>6.2792235087657778E-11</v>
      </c>
      <c r="H41" s="22">
        <f>LCI!$E47*impact_process_end!H2</f>
        <v>4.9283359788306134E-10</v>
      </c>
      <c r="I41" s="22">
        <f>LCI!$E47*impact_process_end!I2</f>
        <v>7.8175182307660167E-10</v>
      </c>
      <c r="J41" s="22">
        <f>LCI!$E47*impact_process_end!J2</f>
        <v>1.4952346643771094E-12</v>
      </c>
      <c r="K41" s="22">
        <f>LCI!$E47*impact_process_end!K2</f>
        <v>1.9231698571047019E-9</v>
      </c>
      <c r="L41" s="22">
        <f>LCI!$E47*impact_process_end!L2</f>
        <v>8.8512835377541797E-10</v>
      </c>
      <c r="M41" s="22">
        <f>LCI!$E47*impact_process_end!M2</f>
        <v>1.4406177533904793E-13</v>
      </c>
      <c r="N41" s="22">
        <f>LCI!$E47*impact_process_end!N2</f>
        <v>3.2199237865515679E-9</v>
      </c>
      <c r="O41" s="22">
        <f>LCI!$E47*impact_process_end!O2</f>
        <v>5.6059882693343035E-6</v>
      </c>
      <c r="P41" s="22">
        <f>LCI!$E47*impact_process_end!P2</f>
        <v>1.4936698017526148E-6</v>
      </c>
      <c r="Q41" s="22">
        <f>LCI!$E47*impact_process_end!Q2</f>
        <v>2.2178681908694624E-6</v>
      </c>
      <c r="R41" s="22">
        <f>LCI!$E47*impact_process_end!R2</f>
        <v>3.5499276269284007E-7</v>
      </c>
      <c r="S41" s="22">
        <f>LCI!$E47*impact_process_end!S2</f>
        <v>3.4918450682681281E-9</v>
      </c>
      <c r="T41" s="22">
        <f>LCI!$E47*impact_process_end!T2</f>
        <v>2.3998387384184499E-6</v>
      </c>
      <c r="U41" s="22">
        <f>LCI!$E47*impact_process_end!U2</f>
        <v>5.6564484686779626E-9</v>
      </c>
      <c r="V41" s="22">
        <f>LCI!$E47*impact_process_end!V2</f>
        <v>5.2949857823292453E-7</v>
      </c>
      <c r="W41" s="22">
        <f>LCI!$E47*impact_process_end!W2</f>
        <v>0.62235029429716437</v>
      </c>
      <c r="X41" s="22">
        <f>LCI!$E47*impact_process_end!X2</f>
        <v>3.1194845038626223E-2</v>
      </c>
      <c r="Y41" s="22">
        <f>LCI!$E47*impact_process_end!Y2</f>
        <v>2.2851012696870541E-8</v>
      </c>
      <c r="Z41" s="22">
        <f>LCI!$E47*impact_process_end!Z2</f>
        <v>1.2610987542313749E-5</v>
      </c>
      <c r="AA41" s="22">
        <f>LCI!$E47*impact_process_end!AA2</f>
        <v>0.6535451425557145</v>
      </c>
    </row>
    <row r="42" spans="1:29" x14ac:dyDescent="0.35">
      <c r="B42" s="2" t="s">
        <v>127</v>
      </c>
      <c r="C42" s="23">
        <f>LCI!$E48*impact_process_end!C30</f>
        <v>6.5884186487218271E-10</v>
      </c>
      <c r="D42" s="23">
        <f>LCI!$E48*impact_process_end!D30</f>
        <v>5.1785893710388797E-14</v>
      </c>
      <c r="E42" s="23">
        <f>LCI!$E48*impact_process_end!E30</f>
        <v>1.8961812324160067E-9</v>
      </c>
      <c r="F42" s="23">
        <f>LCI!$E48*impact_process_end!F30</f>
        <v>7.6277221674632713E-12</v>
      </c>
      <c r="G42" s="23">
        <f>LCI!$E48*impact_process_end!G30</f>
        <v>1.6038696843258282E-12</v>
      </c>
      <c r="H42" s="23">
        <f>LCI!$E48*impact_process_end!H30</f>
        <v>8.624951086761674E-12</v>
      </c>
      <c r="I42" s="23">
        <f>LCI!$E48*impact_process_end!I30</f>
        <v>1.8022961945768469E-10</v>
      </c>
      <c r="J42" s="23">
        <f>LCI!$E48*impact_process_end!J30</f>
        <v>3.09730792936945E-14</v>
      </c>
      <c r="K42" s="23">
        <f>LCI!$E48*impact_process_end!K30</f>
        <v>6.967154848049551E-11</v>
      </c>
      <c r="L42" s="23">
        <f>LCI!$E48*impact_process_end!L30</f>
        <v>2.0362555053957767E-10</v>
      </c>
      <c r="M42" s="23">
        <f>LCI!$E48*impact_process_end!M30</f>
        <v>1.0924512564082287E-15</v>
      </c>
      <c r="N42" s="23">
        <f>LCI!$E48*impact_process_end!N30</f>
        <v>2.4417370797203793E-11</v>
      </c>
      <c r="O42" s="23">
        <f>LCI!$E48*impact_process_end!O30</f>
        <v>6.2829293637230939E-7</v>
      </c>
      <c r="P42" s="23">
        <f>LCI!$E48*impact_process_end!P30</f>
        <v>8.1033972364567177E-8</v>
      </c>
      <c r="Q42" s="23">
        <f>LCI!$E48*impact_process_end!Q30</f>
        <v>1.0830568265318656E-7</v>
      </c>
      <c r="R42" s="23">
        <f>LCI!$E48*impact_process_end!R30</f>
        <v>2.0580532644476257E-10</v>
      </c>
      <c r="S42" s="23">
        <f>LCI!$E48*impact_process_end!S30</f>
        <v>6.7631622985483681E-11</v>
      </c>
      <c r="T42" s="23">
        <f>LCI!$E48*impact_process_end!T30</f>
        <v>7.4742824076870398E-7</v>
      </c>
      <c r="U42" s="23">
        <f>LCI!$E48*impact_process_end!U30</f>
        <v>1.4093917721150411E-9</v>
      </c>
      <c r="V42" s="23">
        <f>LCI!$E48*impact_process_end!V30</f>
        <v>4.015300975540179E-9</v>
      </c>
      <c r="W42" s="23">
        <f>LCI!$E48*impact_process_end!W30</f>
        <v>2.8422636104881629E-2</v>
      </c>
      <c r="X42" s="23">
        <f>LCI!$E48*impact_process_end!X30</f>
        <v>4.7350867269646031E-4</v>
      </c>
      <c r="Y42" s="23">
        <f>LCI!$E48*impact_process_end!Y30</f>
        <v>3.0264707474559812E-9</v>
      </c>
      <c r="Z42" s="23">
        <f>LCI!$E48*impact_process_end!Z30</f>
        <v>1.5707516410510342E-6</v>
      </c>
      <c r="AA42" s="23">
        <f>LCI!$E48*impact_process_end!AA30</f>
        <v>2.8896144801995462E-2</v>
      </c>
      <c r="AB42" s="23"/>
    </row>
    <row r="43" spans="1:29" x14ac:dyDescent="0.35">
      <c r="B43" s="2" t="s">
        <v>134</v>
      </c>
      <c r="C43" s="23">
        <f>LCI!$E49*impact_process_end!C31</f>
        <v>1.2095879844313676E-8</v>
      </c>
      <c r="D43" s="23">
        <f>LCI!$E49*impact_process_end!D31</f>
        <v>1.0799137421661179E-12</v>
      </c>
      <c r="E43" s="23">
        <f>LCI!$E49*impact_process_end!E31</f>
        <v>3.9540724993470645E-8</v>
      </c>
      <c r="F43" s="23">
        <f>LCI!$E49*impact_process_end!F31</f>
        <v>7.3008329897713786E-10</v>
      </c>
      <c r="G43" s="23">
        <f>LCI!$E49*impact_process_end!G31</f>
        <v>1.4965971804039817E-10</v>
      </c>
      <c r="H43" s="23">
        <f>LCI!$E49*impact_process_end!H31</f>
        <v>1.0371591350261682E-9</v>
      </c>
      <c r="I43" s="23">
        <f>LCI!$E49*impact_process_end!I31</f>
        <v>3.5508730021655939E-9</v>
      </c>
      <c r="J43" s="23">
        <f>LCI!$E49*impact_process_end!J31</f>
        <v>1.1520616144062349E-12</v>
      </c>
      <c r="K43" s="23">
        <f>LCI!$E49*impact_process_end!K31</f>
        <v>2.8937095797018065E-9</v>
      </c>
      <c r="L43" s="23">
        <f>LCI!$E49*impact_process_end!L31</f>
        <v>5.1333262732240587E-9</v>
      </c>
      <c r="M43" s="23">
        <f>LCI!$E49*impact_process_end!M31</f>
        <v>1.1952125739712959E-13</v>
      </c>
      <c r="N43" s="23">
        <f>LCI!$E49*impact_process_end!N31</f>
        <v>2.6714188325517383E-9</v>
      </c>
      <c r="O43" s="23">
        <f>LCI!$E49*impact_process_end!O31</f>
        <v>1.3101965581928228E-5</v>
      </c>
      <c r="P43" s="23">
        <f>LCI!$E49*impact_process_end!P31</f>
        <v>1.555208202711014E-5</v>
      </c>
      <c r="Q43" s="23">
        <f>LCI!$E49*impact_process_end!Q31</f>
        <v>5.3412563376931215E-6</v>
      </c>
      <c r="R43" s="23">
        <f>LCI!$E49*impact_process_end!R31</f>
        <v>6.5037463774812661E-9</v>
      </c>
      <c r="S43" s="23">
        <f>LCI!$E49*impact_process_end!S31</f>
        <v>3.4153988317145502E-9</v>
      </c>
      <c r="T43" s="23">
        <f>LCI!$E49*impact_process_end!T31</f>
        <v>1.5591739760882712E-5</v>
      </c>
      <c r="U43" s="23">
        <f>LCI!$E49*impact_process_end!U31</f>
        <v>3.5121396929899062E-8</v>
      </c>
      <c r="V43" s="23">
        <f>LCI!$E49*impact_process_end!V31</f>
        <v>4.3929998579739689E-7</v>
      </c>
      <c r="W43" s="23">
        <f>LCI!$E49*impact_process_end!W31</f>
        <v>0.97367008600257432</v>
      </c>
      <c r="X43" s="23">
        <f>LCI!$E49*impact_process_end!X31</f>
        <v>0.21717202650701026</v>
      </c>
      <c r="Y43" s="23">
        <f>LCI!$E49*impact_process_end!Y31</f>
        <v>6.5132824785905149E-8</v>
      </c>
      <c r="Z43" s="23">
        <f>LCI!$E49*impact_process_end!Z31</f>
        <v>5.0071053854181831E-5</v>
      </c>
      <c r="AA43" s="23">
        <f>LCI!$E49*impact_process_end!AA31</f>
        <v>1.1908421151810034</v>
      </c>
    </row>
    <row r="45" spans="1:29" x14ac:dyDescent="0.35">
      <c r="A45" t="s">
        <v>129</v>
      </c>
    </row>
    <row r="46" spans="1:29" x14ac:dyDescent="0.35">
      <c r="B46" t="s">
        <v>50</v>
      </c>
      <c r="C46" s="23">
        <f>LCI!$E53*impact_process_end!C12</f>
        <v>4.9977106760426562E-7</v>
      </c>
      <c r="D46" s="23">
        <f>LCI!$E53*impact_process_end!D12</f>
        <v>0</v>
      </c>
      <c r="E46" s="23">
        <f>LCI!$E53*impact_process_end!E12</f>
        <v>0</v>
      </c>
      <c r="F46" s="23">
        <f>LCI!$E53*impact_process_end!F12</f>
        <v>0</v>
      </c>
      <c r="G46" s="23">
        <f>LCI!$E53*impact_process_end!G12</f>
        <v>0</v>
      </c>
      <c r="H46" s="23">
        <f>LCI!$E53*impact_process_end!H12</f>
        <v>0</v>
      </c>
      <c r="I46" s="23">
        <f>LCI!$E53*impact_process_end!I12</f>
        <v>0</v>
      </c>
      <c r="J46" s="23">
        <f>LCI!$E53*impact_process_end!J12</f>
        <v>0</v>
      </c>
      <c r="K46" s="23">
        <f>LCI!$E53*impact_process_end!K12</f>
        <v>0</v>
      </c>
      <c r="L46" s="23">
        <f>LCI!$E53*impact_process_end!L12</f>
        <v>8.4496025846592752E-7</v>
      </c>
      <c r="M46" s="23">
        <f>LCI!$E53*impact_process_end!M12</f>
        <v>0</v>
      </c>
      <c r="N46" s="23">
        <f>LCI!$E53*impact_process_end!N12</f>
        <v>0</v>
      </c>
      <c r="O46" s="23">
        <f>LCI!$E53*impact_process_end!O12</f>
        <v>0</v>
      </c>
      <c r="P46" s="23">
        <f>LCI!$E53*impact_process_end!P12</f>
        <v>0</v>
      </c>
      <c r="Q46" s="23">
        <f>LCI!$E53*impact_process_end!Q12</f>
        <v>0</v>
      </c>
      <c r="R46" s="23">
        <f>LCI!$E53*impact_process_end!R12</f>
        <v>0</v>
      </c>
      <c r="S46" s="23">
        <f>LCI!$E53*impact_process_end!S12</f>
        <v>0</v>
      </c>
      <c r="T46" s="23">
        <f>LCI!$E53*impact_process_end!T12</f>
        <v>4.5326550299102465E-4</v>
      </c>
      <c r="U46" s="23">
        <f>LCI!$E53*impact_process_end!U12</f>
        <v>5.9605723659224339E-6</v>
      </c>
      <c r="V46" s="23">
        <f>LCI!$E53*impact_process_end!V12</f>
        <v>0</v>
      </c>
      <c r="W46" s="23">
        <f>LCI!$E53*impact_process_end!W12</f>
        <v>0</v>
      </c>
      <c r="X46" s="23">
        <f>LCI!$E53*impact_process_end!X12</f>
        <v>0</v>
      </c>
      <c r="Y46" s="23">
        <f>LCI!$E53*impact_process_end!Y12</f>
        <v>1.3447313260701931E-6</v>
      </c>
      <c r="Z46" s="23">
        <f>LCI!$E53*impact_process_end!Z12</f>
        <v>4.5922607535694711E-4</v>
      </c>
      <c r="AA46" s="23">
        <f>LCI!$E53*impact_process_end!AA12</f>
        <v>0</v>
      </c>
      <c r="AB46" s="23"/>
      <c r="AC46" s="23"/>
    </row>
    <row r="47" spans="1:29" x14ac:dyDescent="0.35">
      <c r="B47" t="s">
        <v>51</v>
      </c>
      <c r="C47" s="22">
        <f>LCI!$E54*impact_process_end!C13</f>
        <v>0</v>
      </c>
      <c r="D47" s="22">
        <f>LCI!$E54*impact_process_end!D13</f>
        <v>0</v>
      </c>
      <c r="E47" s="22">
        <f>LCI!$E54*impact_process_end!E13</f>
        <v>0</v>
      </c>
      <c r="F47" s="22">
        <f>LCI!$E54*impact_process_end!F13</f>
        <v>0</v>
      </c>
      <c r="G47" s="22">
        <f>LCI!$E54*impact_process_end!G13</f>
        <v>0</v>
      </c>
      <c r="H47" s="22">
        <f>LCI!$E54*impact_process_end!H13</f>
        <v>0</v>
      </c>
      <c r="I47" s="22">
        <f>LCI!$E54*impact_process_end!I13</f>
        <v>0</v>
      </c>
      <c r="J47" s="22">
        <f>LCI!$E54*impact_process_end!J13</f>
        <v>0</v>
      </c>
      <c r="K47" s="22">
        <f>LCI!$E54*impact_process_end!K13</f>
        <v>0</v>
      </c>
      <c r="L47" s="22">
        <f>LCI!$E54*impact_process_end!L13</f>
        <v>9.2734248893333368E-9</v>
      </c>
      <c r="M47" s="22">
        <f>LCI!$E54*impact_process_end!M13</f>
        <v>0</v>
      </c>
      <c r="N47" s="22">
        <f>LCI!$E54*impact_process_end!N13</f>
        <v>0</v>
      </c>
      <c r="O47" s="22">
        <f>LCI!$E54*impact_process_end!O13</f>
        <v>0</v>
      </c>
      <c r="P47" s="22">
        <f>LCI!$E54*impact_process_end!P13</f>
        <v>0</v>
      </c>
      <c r="Q47" s="22">
        <f>LCI!$E54*impact_process_end!Q13</f>
        <v>0</v>
      </c>
      <c r="R47" s="22">
        <f>LCI!$E54*impact_process_end!R13</f>
        <v>0</v>
      </c>
      <c r="S47" s="22">
        <f>LCI!$E54*impact_process_end!S13</f>
        <v>0</v>
      </c>
      <c r="T47" s="22">
        <f>LCI!$E54*impact_process_end!T13</f>
        <v>0</v>
      </c>
      <c r="U47" s="22">
        <f>LCI!$E54*impact_process_end!U13</f>
        <v>4.066421609226384E-8</v>
      </c>
      <c r="V47" s="22">
        <f>LCI!$E54*impact_process_end!V13</f>
        <v>0</v>
      </c>
      <c r="W47" s="22">
        <f>LCI!$E54*impact_process_end!W13</f>
        <v>0</v>
      </c>
      <c r="X47" s="22">
        <f>LCI!$E54*impact_process_end!X13</f>
        <v>0</v>
      </c>
      <c r="Y47" s="22">
        <f>LCI!$E54*impact_process_end!Y13</f>
        <v>9.2734248893333368E-9</v>
      </c>
      <c r="Z47" s="22">
        <f>LCI!$E54*impact_process_end!Z13</f>
        <v>4.066421609226384E-8</v>
      </c>
      <c r="AA47" s="22">
        <f>LCI!$E54*impact_process_end!AA13</f>
        <v>0</v>
      </c>
    </row>
    <row r="48" spans="1:29" x14ac:dyDescent="0.35">
      <c r="B48" t="s">
        <v>52</v>
      </c>
      <c r="C48" s="23">
        <f>LCI!$E55*impact_process_end!C14</f>
        <v>2.5757309558929071E-10</v>
      </c>
      <c r="D48" s="23">
        <f>LCI!$E55*impact_process_end!D14</f>
        <v>0</v>
      </c>
      <c r="E48" s="23">
        <f>LCI!$E55*impact_process_end!E14</f>
        <v>0</v>
      </c>
      <c r="F48" s="23">
        <f>LCI!$E55*impact_process_end!F14</f>
        <v>0</v>
      </c>
      <c r="G48" s="23">
        <f>LCI!$E55*impact_process_end!G14</f>
        <v>0</v>
      </c>
      <c r="H48" s="23">
        <f>LCI!$E55*impact_process_end!H14</f>
        <v>0</v>
      </c>
      <c r="I48" s="23">
        <f>LCI!$E55*impact_process_end!I14</f>
        <v>0</v>
      </c>
      <c r="J48" s="23">
        <f>LCI!$E55*impact_process_end!J14</f>
        <v>0</v>
      </c>
      <c r="K48" s="23">
        <f>LCI!$E55*impact_process_end!K14</f>
        <v>0</v>
      </c>
      <c r="L48" s="23">
        <f>LCI!$E55*impact_process_end!L14</f>
        <v>0</v>
      </c>
      <c r="M48" s="23">
        <f>LCI!$E55*impact_process_end!M14</f>
        <v>0</v>
      </c>
      <c r="N48" s="23">
        <f>LCI!$E55*impact_process_end!N14</f>
        <v>0</v>
      </c>
      <c r="O48" s="23">
        <f>LCI!$E55*impact_process_end!O14</f>
        <v>0</v>
      </c>
      <c r="P48" s="23">
        <f>LCI!$E55*impact_process_end!P14</f>
        <v>0</v>
      </c>
      <c r="Q48" s="23">
        <f>LCI!$E55*impact_process_end!Q14</f>
        <v>0</v>
      </c>
      <c r="R48" s="23">
        <f>LCI!$E55*impact_process_end!R14</f>
        <v>0</v>
      </c>
      <c r="S48" s="23">
        <f>LCI!$E55*impact_process_end!S14</f>
        <v>0</v>
      </c>
      <c r="T48" s="23">
        <f>LCI!$E55*impact_process_end!T14</f>
        <v>2.1869413776449211E-7</v>
      </c>
      <c r="U48" s="23">
        <f>LCI!$E55*impact_process_end!U14</f>
        <v>0</v>
      </c>
      <c r="V48" s="23">
        <f>LCI!$E55*impact_process_end!V14</f>
        <v>0</v>
      </c>
      <c r="W48" s="23">
        <f>LCI!$E55*impact_process_end!W14</f>
        <v>0</v>
      </c>
      <c r="X48" s="23">
        <f>LCI!$E55*impact_process_end!X14</f>
        <v>0</v>
      </c>
      <c r="Y48" s="23">
        <f>LCI!$E55*impact_process_end!Y14</f>
        <v>2.5757309558929071E-10</v>
      </c>
      <c r="Z48" s="23">
        <f>LCI!$E55*impact_process_end!Z14</f>
        <v>2.1869413776449211E-7</v>
      </c>
      <c r="AA48" s="23">
        <f>LCI!$E55*impact_process_end!AA14</f>
        <v>0</v>
      </c>
    </row>
    <row r="49" spans="1:29" x14ac:dyDescent="0.35">
      <c r="B49" t="s">
        <v>53</v>
      </c>
      <c r="C49" s="22">
        <f>LCI!$E56*impact_process_end!C21</f>
        <v>0</v>
      </c>
      <c r="D49" s="22">
        <f>LCI!$E56*impact_process_end!D21</f>
        <v>0</v>
      </c>
      <c r="E49" s="22">
        <f>LCI!$E56*impact_process_end!E21</f>
        <v>0</v>
      </c>
      <c r="F49" s="22">
        <f>LCI!$E56*impact_process_end!F21</f>
        <v>0</v>
      </c>
      <c r="G49" s="22">
        <f>LCI!$E56*impact_process_end!G21</f>
        <v>0</v>
      </c>
      <c r="H49" s="22">
        <f>LCI!$E56*impact_process_end!H21</f>
        <v>0</v>
      </c>
      <c r="I49" s="22">
        <f>LCI!$E56*impact_process_end!I21</f>
        <v>0</v>
      </c>
      <c r="J49" s="22">
        <f>LCI!$E56*impact_process_end!J21</f>
        <v>0</v>
      </c>
      <c r="K49" s="22">
        <f>LCI!$E56*impact_process_end!K21</f>
        <v>0</v>
      </c>
      <c r="L49" s="22">
        <f>LCI!$E56*impact_process_end!L21</f>
        <v>0</v>
      </c>
      <c r="M49" s="22">
        <f>LCI!$E56*impact_process_end!M21</f>
        <v>0</v>
      </c>
      <c r="N49" s="22">
        <f>LCI!$E56*impact_process_end!N21</f>
        <v>0</v>
      </c>
      <c r="O49" s="22">
        <f>LCI!$E56*impact_process_end!O21</f>
        <v>0</v>
      </c>
      <c r="P49" s="22">
        <f>LCI!$E56*impact_process_end!P21</f>
        <v>0</v>
      </c>
      <c r="Q49" s="22">
        <f>LCI!$E56*impact_process_end!Q21</f>
        <v>0</v>
      </c>
      <c r="R49" s="22">
        <f>LCI!$E56*impact_process_end!R21</f>
        <v>0</v>
      </c>
      <c r="S49" s="22">
        <f>LCI!$E56*impact_process_end!S21</f>
        <v>0</v>
      </c>
      <c r="T49" s="22">
        <f>LCI!$E56*impact_process_end!T21</f>
        <v>5.627598970057593E-4</v>
      </c>
      <c r="U49" s="22">
        <f>LCI!$E56*impact_process_end!U21</f>
        <v>0</v>
      </c>
      <c r="V49" s="22">
        <f>LCI!$E56*impact_process_end!V21</f>
        <v>0</v>
      </c>
      <c r="W49" s="22">
        <f>LCI!$E56*impact_process_end!W21</f>
        <v>0</v>
      </c>
      <c r="X49" s="22">
        <f>LCI!$E56*impact_process_end!X21</f>
        <v>0</v>
      </c>
      <c r="Y49" s="22">
        <f>LCI!$E56*impact_process_end!Y21</f>
        <v>0</v>
      </c>
      <c r="Z49" s="22">
        <f>LCI!$E56*impact_process_end!Z21</f>
        <v>5.627598970057593E-4</v>
      </c>
      <c r="AA49" s="22">
        <f>LCI!$E56*impact_process_end!AA21</f>
        <v>0</v>
      </c>
    </row>
    <row r="50" spans="1:29" x14ac:dyDescent="0.35">
      <c r="B50" t="s">
        <v>54</v>
      </c>
      <c r="C50" s="22">
        <f>LCI!$E57*impact_process_end!C16</f>
        <v>0</v>
      </c>
      <c r="D50" s="22">
        <f>LCI!$E57*impact_process_end!D16</f>
        <v>0</v>
      </c>
      <c r="E50" s="22">
        <f>LCI!$E57*impact_process_end!E16</f>
        <v>0</v>
      </c>
      <c r="F50" s="22">
        <f>LCI!$E57*impact_process_end!F16</f>
        <v>0</v>
      </c>
      <c r="G50" s="22">
        <f>LCI!$E57*impact_process_end!G16</f>
        <v>0</v>
      </c>
      <c r="H50" s="22">
        <f>LCI!$E57*impact_process_end!H16</f>
        <v>0</v>
      </c>
      <c r="I50" s="22">
        <f>LCI!$E57*impact_process_end!I16</f>
        <v>0</v>
      </c>
      <c r="J50" s="22">
        <f>LCI!$E57*impact_process_end!J16</f>
        <v>0</v>
      </c>
      <c r="K50" s="22">
        <f>LCI!$E57*impact_process_end!K16</f>
        <v>0</v>
      </c>
      <c r="L50" s="22">
        <f>LCI!$E57*impact_process_end!L16</f>
        <v>0</v>
      </c>
      <c r="M50" s="22">
        <f>LCI!$E57*impact_process_end!M16</f>
        <v>0</v>
      </c>
      <c r="N50" s="22">
        <f>LCI!$E57*impact_process_end!N16</f>
        <v>0</v>
      </c>
      <c r="O50" s="22">
        <f>LCI!$E57*impact_process_end!O16</f>
        <v>0</v>
      </c>
      <c r="P50" s="22">
        <f>LCI!$E57*impact_process_end!P16</f>
        <v>0</v>
      </c>
      <c r="Q50" s="22">
        <f>LCI!$E57*impact_process_end!Q16</f>
        <v>0</v>
      </c>
      <c r="R50" s="22">
        <f>LCI!$E57*impact_process_end!R16</f>
        <v>0</v>
      </c>
      <c r="S50" s="22">
        <f>LCI!$E57*impact_process_end!S16</f>
        <v>0</v>
      </c>
      <c r="T50" s="22">
        <f>LCI!$E57*impact_process_end!T16</f>
        <v>0</v>
      </c>
      <c r="U50" s="22">
        <f>LCI!$E57*impact_process_end!U16</f>
        <v>0</v>
      </c>
      <c r="V50" s="22">
        <f>LCI!$E57*impact_process_end!V16</f>
        <v>0</v>
      </c>
      <c r="W50" s="22">
        <f>LCI!$E57*impact_process_end!W16</f>
        <v>0</v>
      </c>
      <c r="X50" s="22">
        <f>LCI!$E57*impact_process_end!X16</f>
        <v>0</v>
      </c>
      <c r="Y50" s="22">
        <f>LCI!$E57*impact_process_end!Y16</f>
        <v>0</v>
      </c>
      <c r="Z50" s="22">
        <f>LCI!$E57*impact_process_end!Z16</f>
        <v>0</v>
      </c>
      <c r="AA50" s="22">
        <f>LCI!$E57*impact_process_end!AA16</f>
        <v>0</v>
      </c>
    </row>
    <row r="51" spans="1:29" x14ac:dyDescent="0.35">
      <c r="B51" t="s">
        <v>58</v>
      </c>
      <c r="C51" s="22">
        <f>LCI!$E58*impact_process_end!C11</f>
        <v>0</v>
      </c>
      <c r="D51" s="22">
        <f>LCI!$E58*impact_process_end!D11</f>
        <v>7.7898422087314349E-12</v>
      </c>
      <c r="E51" s="22">
        <f>LCI!$E58*impact_process_end!E11</f>
        <v>2.8522806856585872E-7</v>
      </c>
      <c r="F51" s="22">
        <f>LCI!$E58*impact_process_end!F11</f>
        <v>0</v>
      </c>
      <c r="G51" s="22">
        <f>LCI!$E58*impact_process_end!G11</f>
        <v>0</v>
      </c>
      <c r="H51" s="22">
        <f>LCI!$E58*impact_process_end!H11</f>
        <v>0</v>
      </c>
      <c r="I51" s="22">
        <f>LCI!$E58*impact_process_end!I11</f>
        <v>0</v>
      </c>
      <c r="J51" s="22">
        <f>LCI!$E58*impact_process_end!J11</f>
        <v>0</v>
      </c>
      <c r="K51" s="22">
        <f>LCI!$E58*impact_process_end!K11</f>
        <v>0</v>
      </c>
      <c r="L51" s="22">
        <f>LCI!$E58*impact_process_end!L11</f>
        <v>0</v>
      </c>
      <c r="M51" s="22">
        <f>LCI!$E58*impact_process_end!M11</f>
        <v>0</v>
      </c>
      <c r="N51" s="22">
        <f>LCI!$E58*impact_process_end!N11</f>
        <v>0</v>
      </c>
      <c r="O51" s="22">
        <f>LCI!$E58*impact_process_end!O11</f>
        <v>9.4676543767658992E-5</v>
      </c>
      <c r="P51" s="22">
        <f>LCI!$E58*impact_process_end!P11</f>
        <v>0</v>
      </c>
      <c r="Q51" s="22">
        <f>LCI!$E58*impact_process_end!Q11</f>
        <v>0</v>
      </c>
      <c r="R51" s="22">
        <f>LCI!$E58*impact_process_end!R11</f>
        <v>0</v>
      </c>
      <c r="S51" s="22">
        <f>LCI!$E58*impact_process_end!S11</f>
        <v>0</v>
      </c>
      <c r="T51" s="22">
        <f>LCI!$E58*impact_process_end!T11</f>
        <v>0</v>
      </c>
      <c r="U51" s="22">
        <f>LCI!$E58*impact_process_end!U11</f>
        <v>0</v>
      </c>
      <c r="V51" s="22">
        <f>LCI!$E58*impact_process_end!V11</f>
        <v>0</v>
      </c>
      <c r="W51" s="22">
        <f>LCI!$E58*impact_process_end!W11</f>
        <v>0</v>
      </c>
      <c r="X51" s="22">
        <f>LCI!$E58*impact_process_end!X11</f>
        <v>0</v>
      </c>
      <c r="Y51" s="22">
        <f>LCI!$E58*impact_process_end!Y11</f>
        <v>2.8523585840806743E-7</v>
      </c>
      <c r="Z51" s="22">
        <f>LCI!$E58*impact_process_end!Z11</f>
        <v>9.4676543767658992E-5</v>
      </c>
      <c r="AA51" s="22">
        <f>LCI!$E58*impact_process_end!AA11</f>
        <v>0</v>
      </c>
    </row>
    <row r="53" spans="1:29" x14ac:dyDescent="0.35">
      <c r="A53" t="s">
        <v>100</v>
      </c>
    </row>
    <row r="54" spans="1:29" x14ac:dyDescent="0.35">
      <c r="B54" t="s">
        <v>96</v>
      </c>
      <c r="C54" s="22">
        <f>LCI!$E63*impact_process_end!C11</f>
        <v>0</v>
      </c>
      <c r="D54" s="22">
        <f>LCI!$E63*impact_process_end!D11</f>
        <v>4.5180468696736608E-12</v>
      </c>
      <c r="E54" s="22">
        <f>LCI!$E63*impact_process_end!E11</f>
        <v>1.654300238434356E-7</v>
      </c>
      <c r="F54" s="22">
        <f>LCI!$E63*impact_process_end!F11</f>
        <v>0</v>
      </c>
      <c r="G54" s="22">
        <f>LCI!$E63*impact_process_end!G11</f>
        <v>0</v>
      </c>
      <c r="H54" s="22">
        <f>LCI!$E63*impact_process_end!H11</f>
        <v>0</v>
      </c>
      <c r="I54" s="22">
        <f>LCI!$E63*impact_process_end!I11</f>
        <v>0</v>
      </c>
      <c r="J54" s="22">
        <f>LCI!$E63*impact_process_end!J11</f>
        <v>0</v>
      </c>
      <c r="K54" s="22">
        <f>LCI!$E63*impact_process_end!K11</f>
        <v>0</v>
      </c>
      <c r="L54" s="22">
        <f>LCI!$E63*impact_process_end!L11</f>
        <v>0</v>
      </c>
      <c r="M54" s="22">
        <f>LCI!$E63*impact_process_end!M11</f>
        <v>0</v>
      </c>
      <c r="N54" s="22">
        <f>LCI!$E63*impact_process_end!N11</f>
        <v>0</v>
      </c>
      <c r="O54" s="22">
        <f>LCI!$E63*impact_process_end!O11</f>
        <v>5.4911646569879888E-5</v>
      </c>
      <c r="P54" s="22">
        <f>LCI!$E63*impact_process_end!P11</f>
        <v>0</v>
      </c>
      <c r="Q54" s="22">
        <f>LCI!$E63*impact_process_end!Q11</f>
        <v>0</v>
      </c>
      <c r="R54" s="22">
        <f>LCI!$E63*impact_process_end!R11</f>
        <v>0</v>
      </c>
      <c r="S54" s="22">
        <f>LCI!$E63*impact_process_end!S11</f>
        <v>0</v>
      </c>
      <c r="T54" s="22">
        <f>LCI!$E63*impact_process_end!T11</f>
        <v>0</v>
      </c>
      <c r="U54" s="22">
        <f>LCI!$E63*impact_process_end!U11</f>
        <v>0</v>
      </c>
      <c r="V54" s="22">
        <f>LCI!$E63*impact_process_end!V11</f>
        <v>0</v>
      </c>
      <c r="W54" s="22">
        <f>LCI!$E63*impact_process_end!W11</f>
        <v>0</v>
      </c>
      <c r="X54" s="22">
        <f>LCI!$E63*impact_process_end!X11</f>
        <v>0</v>
      </c>
      <c r="Y54" s="22">
        <f>LCI!$E63*impact_process_end!Y11</f>
        <v>1.6543454189030527E-7</v>
      </c>
      <c r="Z54" s="22">
        <f>LCI!$E63*impact_process_end!Z11</f>
        <v>5.4911646569879888E-5</v>
      </c>
      <c r="AA54" s="22">
        <f>LCI!$E63*impact_process_end!AA11</f>
        <v>0</v>
      </c>
      <c r="AB54" s="22"/>
      <c r="AC54" s="22"/>
    </row>
    <row r="56" spans="1:29" x14ac:dyDescent="0.35">
      <c r="A56" t="s">
        <v>269</v>
      </c>
    </row>
    <row r="57" spans="1:29" x14ac:dyDescent="0.35">
      <c r="B57" t="s">
        <v>111</v>
      </c>
      <c r="C57" s="22">
        <f>LCI!$E67*impact_process_end!C19</f>
        <v>0</v>
      </c>
      <c r="D57" s="22">
        <f>LCI!$E67*impact_process_end!D19</f>
        <v>4.2921431704199488E-12</v>
      </c>
      <c r="E57" s="22">
        <f>LCI!$E67*impact_process_end!E19</f>
        <v>1.5700207912851918E-7</v>
      </c>
      <c r="F57" s="22">
        <f>LCI!$E67*impact_process_end!F19</f>
        <v>0</v>
      </c>
      <c r="G57" s="22">
        <f>LCI!$E67*impact_process_end!G19</f>
        <v>0</v>
      </c>
      <c r="H57" s="22">
        <f>LCI!$E67*impact_process_end!H19</f>
        <v>0</v>
      </c>
      <c r="I57" s="22">
        <f>LCI!$E67*impact_process_end!I19</f>
        <v>0</v>
      </c>
      <c r="J57" s="22">
        <f>LCI!$E67*impact_process_end!J19</f>
        <v>0</v>
      </c>
      <c r="K57" s="22">
        <f>LCI!$E67*impact_process_end!K19</f>
        <v>0</v>
      </c>
      <c r="L57" s="22">
        <f>LCI!$E67*impact_process_end!L19</f>
        <v>0</v>
      </c>
      <c r="M57" s="22">
        <f>LCI!$E67*impact_process_end!M19</f>
        <v>0</v>
      </c>
      <c r="N57" s="22">
        <f>LCI!$E67*impact_process_end!N19</f>
        <v>0</v>
      </c>
      <c r="O57" s="22">
        <f>LCI!$E67*impact_process_end!O19</f>
        <v>5.2710530163051997E-5</v>
      </c>
      <c r="P57" s="22">
        <f>LCI!$E67*impact_process_end!P19</f>
        <v>0</v>
      </c>
      <c r="Q57" s="22">
        <f>LCI!$E67*impact_process_end!Q19</f>
        <v>0</v>
      </c>
      <c r="R57" s="22">
        <f>LCI!$E67*impact_process_end!R19</f>
        <v>0</v>
      </c>
      <c r="S57" s="22">
        <f>LCI!$E67*impact_process_end!S19</f>
        <v>1.0993910576865131E-6</v>
      </c>
      <c r="T57" s="22">
        <f>LCI!$E67*impact_process_end!T19</f>
        <v>0</v>
      </c>
      <c r="U57" s="22">
        <f>LCI!$E67*impact_process_end!U19</f>
        <v>0</v>
      </c>
      <c r="V57" s="22">
        <f>LCI!$E67*impact_process_end!V19</f>
        <v>0</v>
      </c>
      <c r="W57" s="22">
        <f>LCI!$E67*impact_process_end!W19</f>
        <v>0</v>
      </c>
      <c r="X57" s="22">
        <f>LCI!$E67*impact_process_end!X19</f>
        <v>0</v>
      </c>
      <c r="Y57" s="22">
        <f>LCI!$E67*impact_process_end!Y19</f>
        <v>1.570063712716896E-7</v>
      </c>
      <c r="Z57" s="22">
        <f>LCI!$E67*impact_process_end!Z19</f>
        <v>5.3809921220738513E-5</v>
      </c>
      <c r="AA57" s="22">
        <f>LCI!$E67*impact_process_end!AA19</f>
        <v>0</v>
      </c>
    </row>
    <row r="58" spans="1:29" x14ac:dyDescent="0.35">
      <c r="B58" t="s">
        <v>110</v>
      </c>
      <c r="C58" s="23">
        <f>LCI!$E68*impact_process_end!C17</f>
        <v>1.8619823642013174E-6</v>
      </c>
      <c r="D58" s="23">
        <f>LCI!$E68*impact_process_end!D17</f>
        <v>0</v>
      </c>
      <c r="E58" s="23">
        <f>LCI!$E68*impact_process_end!E17</f>
        <v>0</v>
      </c>
      <c r="F58" s="23">
        <f>LCI!$E68*impact_process_end!F17</f>
        <v>0</v>
      </c>
      <c r="G58" s="23">
        <f>LCI!$E68*impact_process_end!G17</f>
        <v>0</v>
      </c>
      <c r="H58" s="23">
        <f>LCI!$E68*impact_process_end!H17</f>
        <v>0</v>
      </c>
      <c r="I58" s="23">
        <f>LCI!$E68*impact_process_end!I17</f>
        <v>0</v>
      </c>
      <c r="J58" s="23">
        <f>LCI!$E68*impact_process_end!J17</f>
        <v>0</v>
      </c>
      <c r="K58" s="23">
        <f>LCI!$E68*impact_process_end!K17</f>
        <v>0</v>
      </c>
      <c r="L58" s="23">
        <f>LCI!$E68*impact_process_end!L17</f>
        <v>0</v>
      </c>
      <c r="M58" s="23">
        <f>LCI!$E68*impact_process_end!M17</f>
        <v>0</v>
      </c>
      <c r="N58" s="23">
        <f>LCI!$E68*impact_process_end!N17</f>
        <v>0</v>
      </c>
      <c r="O58" s="23">
        <f>LCI!$E68*impact_process_end!O17</f>
        <v>0</v>
      </c>
      <c r="P58" s="23">
        <f>LCI!$E68*impact_process_end!P17</f>
        <v>0</v>
      </c>
      <c r="Q58" s="23">
        <f>LCI!$E68*impact_process_end!Q17</f>
        <v>0</v>
      </c>
      <c r="R58" s="23">
        <f>LCI!$E68*impact_process_end!R17</f>
        <v>0</v>
      </c>
      <c r="S58" s="23">
        <f>LCI!$E68*impact_process_end!S17</f>
        <v>0</v>
      </c>
      <c r="T58" s="23">
        <f>LCI!$E68*impact_process_end!T17</f>
        <v>6.7138787170720573E-4</v>
      </c>
      <c r="U58" s="23">
        <f>LCI!$E68*impact_process_end!U17</f>
        <v>0</v>
      </c>
      <c r="V58" s="23">
        <f>LCI!$E68*impact_process_end!V17</f>
        <v>0</v>
      </c>
      <c r="W58" s="23">
        <f>LCI!$E68*impact_process_end!W17</f>
        <v>0</v>
      </c>
      <c r="X58" s="23">
        <f>LCI!$E68*impact_process_end!X17</f>
        <v>0</v>
      </c>
      <c r="Y58" s="23">
        <f>LCI!$E68*impact_process_end!Y17</f>
        <v>1.8619823642013174E-6</v>
      </c>
      <c r="Z58" s="23">
        <f>LCI!$E68*impact_process_end!Z17</f>
        <v>6.7138787170720573E-4</v>
      </c>
      <c r="AA58" s="23">
        <f>LCI!$E68*impact_process_end!AA17</f>
        <v>0</v>
      </c>
    </row>
    <row r="59" spans="1:29" x14ac:dyDescent="0.35">
      <c r="B59" t="s">
        <v>114</v>
      </c>
      <c r="C59" s="22">
        <f>LCI!$E69*impact_process_end!C20</f>
        <v>0</v>
      </c>
      <c r="D59" s="22">
        <f>LCI!$E69*impact_process_end!D20</f>
        <v>0</v>
      </c>
      <c r="E59" s="22">
        <f>LCI!$E69*impact_process_end!E20</f>
        <v>0</v>
      </c>
      <c r="F59" s="22">
        <f>LCI!$E69*impact_process_end!F20</f>
        <v>0</v>
      </c>
      <c r="G59" s="22">
        <f>LCI!$E69*impact_process_end!G20</f>
        <v>0</v>
      </c>
      <c r="H59" s="22">
        <f>LCI!$E69*impact_process_end!H20</f>
        <v>0</v>
      </c>
      <c r="I59" s="22">
        <f>LCI!$E69*impact_process_end!I20</f>
        <v>0</v>
      </c>
      <c r="J59" s="22">
        <f>LCI!$E69*impact_process_end!J20</f>
        <v>6.9784845253331336E-10</v>
      </c>
      <c r="K59" s="22">
        <f>LCI!$E69*impact_process_end!K20</f>
        <v>0</v>
      </c>
      <c r="L59" s="22">
        <f>LCI!$E69*impact_process_end!L20</f>
        <v>0</v>
      </c>
      <c r="M59" s="22">
        <f>LCI!$E69*impact_process_end!M20</f>
        <v>0</v>
      </c>
      <c r="N59" s="22">
        <f>LCI!$E69*impact_process_end!N20</f>
        <v>0</v>
      </c>
      <c r="O59" s="22">
        <f>LCI!$E69*impact_process_end!O20</f>
        <v>0</v>
      </c>
      <c r="P59" s="22">
        <f>LCI!$E69*impact_process_end!P20</f>
        <v>0</v>
      </c>
      <c r="Q59" s="22">
        <f>LCI!$E69*impact_process_end!Q20</f>
        <v>0</v>
      </c>
      <c r="R59" s="22">
        <f>LCI!$E69*impact_process_end!R20</f>
        <v>0</v>
      </c>
      <c r="S59" s="22">
        <f>LCI!$E69*impact_process_end!S20</f>
        <v>0</v>
      </c>
      <c r="T59" s="22">
        <f>LCI!$E69*impact_process_end!T20</f>
        <v>0</v>
      </c>
      <c r="U59" s="22">
        <f>LCI!$E69*impact_process_end!U20</f>
        <v>0</v>
      </c>
      <c r="V59" s="22">
        <f>LCI!$E69*impact_process_end!V20</f>
        <v>0</v>
      </c>
      <c r="W59" s="22">
        <f>LCI!$E69*impact_process_end!W20</f>
        <v>0</v>
      </c>
      <c r="X59" s="22">
        <f>LCI!$E69*impact_process_end!X20</f>
        <v>0</v>
      </c>
      <c r="Y59" s="22">
        <f>LCI!$E69*impact_process_end!Y20</f>
        <v>6.9784845253331336E-10</v>
      </c>
      <c r="Z59" s="22">
        <f>LCI!$E69*impact_process_end!Z20</f>
        <v>0</v>
      </c>
      <c r="AA59" s="22">
        <f>LCI!$E69*impact_process_end!AA20</f>
        <v>0</v>
      </c>
    </row>
    <row r="61" spans="1:29" x14ac:dyDescent="0.35">
      <c r="A61" t="s">
        <v>272</v>
      </c>
    </row>
    <row r="62" spans="1:29" x14ac:dyDescent="0.35">
      <c r="B62" t="s">
        <v>8</v>
      </c>
      <c r="C62" s="22">
        <f>LCI!$E73*impact_process_end!C2</f>
        <v>5.0290017023334421E-11</v>
      </c>
      <c r="D62" s="22">
        <f>LCI!$E73*impact_process_end!D2</f>
        <v>1.592208535063358E-14</v>
      </c>
      <c r="E62" s="22">
        <f>LCI!$E73*impact_process_end!E2</f>
        <v>5.829367873512124E-10</v>
      </c>
      <c r="F62" s="22">
        <f>LCI!$E73*impact_process_end!F2</f>
        <v>1.1251706438674882E-11</v>
      </c>
      <c r="G62" s="22">
        <f>LCI!$E73*impact_process_end!G2</f>
        <v>2.1636996104807168E-12</v>
      </c>
      <c r="H62" s="22">
        <f>LCI!$E73*impact_process_end!H2</f>
        <v>1.698209758392542E-11</v>
      </c>
      <c r="I62" s="22">
        <f>LCI!$E73*impact_process_end!I2</f>
        <v>2.6937663752885012E-11</v>
      </c>
      <c r="J62" s="22">
        <f>LCI!$E73*impact_process_end!J2</f>
        <v>5.1522909741525103E-14</v>
      </c>
      <c r="K62" s="22">
        <f>LCI!$E73*impact_process_end!K2</f>
        <v>6.6268733146649888E-11</v>
      </c>
      <c r="L62" s="22">
        <f>LCI!$E73*impact_process_end!L2</f>
        <v>3.0499820106988766E-11</v>
      </c>
      <c r="M62" s="22">
        <f>LCI!$E73*impact_process_end!M2</f>
        <v>4.9640916070453186E-15</v>
      </c>
      <c r="N62" s="22">
        <f>LCI!$E73*impact_process_end!N2</f>
        <v>1.1095237863429107E-10</v>
      </c>
      <c r="O62" s="22">
        <f>LCI!$E73*impact_process_end!O2</f>
        <v>1.9317156998449107E-7</v>
      </c>
      <c r="P62" s="22">
        <f>LCI!$E73*impact_process_end!P2</f>
        <v>5.1468987586240326E-8</v>
      </c>
      <c r="Q62" s="22">
        <f>LCI!$E73*impact_process_end!Q2</f>
        <v>7.6423470736194007E-8</v>
      </c>
      <c r="R62" s="22">
        <f>LCI!$E73*impact_process_end!R2</f>
        <v>1.2232367605480351E-8</v>
      </c>
      <c r="S62" s="22">
        <f>LCI!$E73*impact_process_end!S2</f>
        <v>1.2032226283271458E-10</v>
      </c>
      <c r="T62" s="22">
        <f>LCI!$E73*impact_process_end!T2</f>
        <v>8.2693825698094326E-8</v>
      </c>
      <c r="U62" s="22">
        <f>LCI!$E73*impact_process_end!U2</f>
        <v>1.9491033136975216E-10</v>
      </c>
      <c r="V62" s="22">
        <f>LCI!$E73*impact_process_end!V2</f>
        <v>1.8245502264305643E-8</v>
      </c>
      <c r="W62" s="22">
        <f>LCI!$E73*impact_process_end!W2</f>
        <v>2.1444993755573658E-2</v>
      </c>
      <c r="X62" s="22">
        <f>LCI!$E73*impact_process_end!X2</f>
        <v>1.0749143419541808E-3</v>
      </c>
      <c r="Y62" s="22">
        <f>LCI!$E73*impact_process_end!Y2</f>
        <v>7.8740193277539496E-10</v>
      </c>
      <c r="Z62" s="22">
        <f>LCI!$E73*impact_process_end!Z2</f>
        <v>4.3455036749352384E-7</v>
      </c>
      <c r="AA62" s="22">
        <f>LCI!$E73*impact_process_end!AA2</f>
        <v>2.2519908208480221E-2</v>
      </c>
      <c r="AB62" s="22"/>
      <c r="AC62" s="22"/>
    </row>
    <row r="64" spans="1:29" x14ac:dyDescent="0.35">
      <c r="A64" t="s">
        <v>285</v>
      </c>
    </row>
    <row r="65" spans="1:28" x14ac:dyDescent="0.35">
      <c r="B65" t="s">
        <v>286</v>
      </c>
    </row>
    <row r="66" spans="1:28" x14ac:dyDescent="0.35">
      <c r="B66" t="s">
        <v>285</v>
      </c>
      <c r="C66" s="22">
        <f>LCI!$E78*impact_process_end!C32</f>
        <v>1.0425064475016967E-10</v>
      </c>
      <c r="D66" s="22">
        <f>LCI!$E78*impact_process_end!D32</f>
        <v>1.2462581549250333E-14</v>
      </c>
      <c r="E66" s="22">
        <f>LCI!$E78*impact_process_end!E32</f>
        <v>4.5627940916282049E-10</v>
      </c>
      <c r="F66" s="22">
        <f>LCI!$E78*impact_process_end!F32</f>
        <v>6.644417643287729E-12</v>
      </c>
      <c r="G66" s="22">
        <f>LCI!$E78*impact_process_end!G32</f>
        <v>1.3602919873373804E-12</v>
      </c>
      <c r="H66" s="22">
        <f>LCI!$E78*impact_process_end!H32</f>
        <v>6.8646697245426922E-12</v>
      </c>
      <c r="I66" s="22">
        <f>LCI!$E78*impact_process_end!I32</f>
        <v>4.0786624123043996E-10</v>
      </c>
      <c r="J66" s="22">
        <f>LCI!$E78*impact_process_end!J32</f>
        <v>3.131607443792251E-12</v>
      </c>
      <c r="K66" s="22">
        <f>LCI!$E78*impact_process_end!K32</f>
        <v>2.5491332405655163E-11</v>
      </c>
      <c r="L66" s="22">
        <f>LCI!$E78*impact_process_end!L32</f>
        <v>4.9292500633126782E-11</v>
      </c>
      <c r="M66" s="22">
        <f>LCI!$E78*impact_process_end!M32</f>
        <v>6.0847352892492602E-16</v>
      </c>
      <c r="N66" s="22">
        <f>LCI!$E78*impact_process_end!N32</f>
        <v>1.3599987815375003E-11</v>
      </c>
      <c r="O66" s="22">
        <f>LCI!$E78*impact_process_end!O32</f>
        <v>1.5127490778488459E-7</v>
      </c>
      <c r="P66" s="22">
        <f>LCI!$E78*impact_process_end!P32</f>
        <v>3.737287279478847E-8</v>
      </c>
      <c r="Q66" s="22">
        <f>LCI!$E78*impact_process_end!Q32</f>
        <v>2.6369529592172383E-7</v>
      </c>
      <c r="R66" s="22">
        <f>LCI!$E78*impact_process_end!R32</f>
        <v>5.5264830347418159E-11</v>
      </c>
      <c r="S66" s="22">
        <f>LCI!$E78*impact_process_end!S32</f>
        <v>3.4945412243746626E-10</v>
      </c>
      <c r="T66" s="22">
        <f>LCI!$E78*impact_process_end!T32</f>
        <v>1.4661752391937635E-7</v>
      </c>
      <c r="U66" s="22">
        <f>LCI!$E78*impact_process_end!U32</f>
        <v>3.3932381279087801E-10</v>
      </c>
      <c r="V66" s="22">
        <f>LCI!$E78*impact_process_end!V32</f>
        <v>2.2364424407505559E-9</v>
      </c>
      <c r="W66" s="22">
        <f>LCI!$E78*impact_process_end!W32</f>
        <v>7.2058350981540021E-3</v>
      </c>
      <c r="X66" s="22">
        <f>LCI!$E78*impact_process_end!X32</f>
        <v>5.1558797444681672E-4</v>
      </c>
      <c r="Y66" s="22">
        <f>LCI!$E78*impact_process_end!Y32</f>
        <v>1.0611793989174752E-9</v>
      </c>
      <c r="Z66" s="22">
        <f>LCI!$E78*impact_process_end!Z32</f>
        <v>6.0193603370474048E-7</v>
      </c>
      <c r="AA66" s="22">
        <f>LCI!$E78*impact_process_end!AA32</f>
        <v>7.7214230862008059E-3</v>
      </c>
      <c r="AB66" s="22"/>
    </row>
    <row r="68" spans="1:28" x14ac:dyDescent="0.35">
      <c r="A68" t="s">
        <v>287</v>
      </c>
    </row>
    <row r="69" spans="1:28" x14ac:dyDescent="0.35">
      <c r="B69" t="s">
        <v>96</v>
      </c>
      <c r="C69">
        <f>LCI!$E83*impact_process_end!C11</f>
        <v>0</v>
      </c>
      <c r="D69">
        <f>LCI!$E83*impact_process_end!D11</f>
        <v>2.2939425933492499E-13</v>
      </c>
      <c r="E69">
        <f>LCI!$E83*impact_process_end!E11</f>
        <v>8.3993590341095618E-9</v>
      </c>
      <c r="F69">
        <f>LCI!$E83*impact_process_end!F11</f>
        <v>0</v>
      </c>
      <c r="G69">
        <f>LCI!$E83*impact_process_end!G11</f>
        <v>0</v>
      </c>
      <c r="H69">
        <f>LCI!$E83*impact_process_end!H11</f>
        <v>0</v>
      </c>
      <c r="I69">
        <f>LCI!$E83*impact_process_end!I11</f>
        <v>0</v>
      </c>
      <c r="J69">
        <f>LCI!$E83*impact_process_end!J11</f>
        <v>0</v>
      </c>
      <c r="K69">
        <f>LCI!$E83*impact_process_end!K11</f>
        <v>0</v>
      </c>
      <c r="L69">
        <f>LCI!$E83*impact_process_end!L11</f>
        <v>0</v>
      </c>
      <c r="M69">
        <f>LCI!$E83*impact_process_end!M11</f>
        <v>0</v>
      </c>
      <c r="N69">
        <f>LCI!$E83*impact_process_end!N11</f>
        <v>0</v>
      </c>
      <c r="O69">
        <f>LCI!$E83*impact_process_end!O11</f>
        <v>2.7880225365321656E-6</v>
      </c>
      <c r="P69">
        <f>LCI!$E83*impact_process_end!P11</f>
        <v>0</v>
      </c>
      <c r="Q69">
        <f>LCI!$E83*impact_process_end!Q11</f>
        <v>0</v>
      </c>
      <c r="R69">
        <f>LCI!$E83*impact_process_end!R11</f>
        <v>0</v>
      </c>
      <c r="S69">
        <f>LCI!$E83*impact_process_end!S11</f>
        <v>0</v>
      </c>
      <c r="T69">
        <f>LCI!$E83*impact_process_end!T11</f>
        <v>0</v>
      </c>
      <c r="U69">
        <f>LCI!$E83*impact_process_end!U11</f>
        <v>0</v>
      </c>
      <c r="V69">
        <f>LCI!$E83*impact_process_end!V11</f>
        <v>0</v>
      </c>
      <c r="W69">
        <f>LCI!$E83*impact_process_end!W11</f>
        <v>0</v>
      </c>
      <c r="X69">
        <f>LCI!$E83*impact_process_end!X11</f>
        <v>0</v>
      </c>
      <c r="Y69">
        <f>LCI!$E83*impact_process_end!Y11</f>
        <v>8.3995884283688956E-9</v>
      </c>
      <c r="Z69">
        <f>LCI!$E83*impact_process_end!Z11</f>
        <v>2.7880225365321656E-6</v>
      </c>
      <c r="AA69">
        <f>LCI!$E83*impact_process_end!AA11</f>
        <v>0</v>
      </c>
    </row>
    <row r="70" spans="1:28" x14ac:dyDescent="0.35">
      <c r="B70" t="s">
        <v>111</v>
      </c>
      <c r="C70">
        <f>LCI!$E84*impact_process_end!C19</f>
        <v>0</v>
      </c>
      <c r="D70">
        <f>LCI!$E84*impact_process_end!D19</f>
        <v>1.4208644718386351E-12</v>
      </c>
      <c r="E70">
        <f>LCI!$E84*impact_process_end!E19</f>
        <v>5.1973726733044803E-8</v>
      </c>
      <c r="F70">
        <f>LCI!$E84*impact_process_end!F19</f>
        <v>0</v>
      </c>
      <c r="G70">
        <f>LCI!$E84*impact_process_end!G19</f>
        <v>0</v>
      </c>
      <c r="H70">
        <f>LCI!$E84*impact_process_end!H19</f>
        <v>0</v>
      </c>
      <c r="I70">
        <f>LCI!$E84*impact_process_end!I19</f>
        <v>0</v>
      </c>
      <c r="J70">
        <f>LCI!$E84*impact_process_end!J19</f>
        <v>0</v>
      </c>
      <c r="K70">
        <f>LCI!$E84*impact_process_end!K19</f>
        <v>0</v>
      </c>
      <c r="L70">
        <f>LCI!$E84*impact_process_end!L19</f>
        <v>0</v>
      </c>
      <c r="M70">
        <f>LCI!$E84*impact_process_end!M19</f>
        <v>0</v>
      </c>
      <c r="N70">
        <f>LCI!$E84*impact_process_end!N19</f>
        <v>0</v>
      </c>
      <c r="O70">
        <f>LCI!$E84*impact_process_end!O19</f>
        <v>1.7449212812053409E-5</v>
      </c>
      <c r="P70">
        <f>LCI!$E84*impact_process_end!P19</f>
        <v>0</v>
      </c>
      <c r="Q70">
        <f>LCI!$E84*impact_process_end!Q19</f>
        <v>0</v>
      </c>
      <c r="R70">
        <f>LCI!$E84*impact_process_end!R19</f>
        <v>0</v>
      </c>
      <c r="S70">
        <f>LCI!$E84*impact_process_end!S19</f>
        <v>3.6394072436568545E-7</v>
      </c>
      <c r="T70">
        <f>LCI!$E84*impact_process_end!T19</f>
        <v>0</v>
      </c>
      <c r="U70">
        <f>LCI!$E84*impact_process_end!U19</f>
        <v>0</v>
      </c>
      <c r="V70">
        <f>LCI!$E84*impact_process_end!V19</f>
        <v>0</v>
      </c>
      <c r="W70">
        <f>LCI!$E84*impact_process_end!W19</f>
        <v>0</v>
      </c>
      <c r="X70">
        <f>LCI!$E84*impact_process_end!X19</f>
        <v>0</v>
      </c>
      <c r="Y70">
        <f>LCI!$E84*impact_process_end!Y19</f>
        <v>5.197514759751664E-8</v>
      </c>
      <c r="Z70">
        <f>LCI!$E84*impact_process_end!Z19</f>
        <v>1.7813153536419097E-5</v>
      </c>
      <c r="AA70">
        <f>LCI!$E84*impact_process_end!AA19</f>
        <v>0</v>
      </c>
    </row>
    <row r="71" spans="1:28" x14ac:dyDescent="0.35">
      <c r="B71" t="s">
        <v>110</v>
      </c>
      <c r="C71" s="5">
        <f>LCI!$E85*impact_process_end!C17</f>
        <v>8.4347801098319695E-8</v>
      </c>
      <c r="D71" s="5">
        <f>LCI!$E85*impact_process_end!D17</f>
        <v>0</v>
      </c>
      <c r="E71" s="5">
        <f>LCI!$E85*impact_process_end!E17</f>
        <v>0</v>
      </c>
      <c r="F71" s="5">
        <f>LCI!$E85*impact_process_end!F17</f>
        <v>0</v>
      </c>
      <c r="G71" s="5">
        <f>LCI!$E85*impact_process_end!G17</f>
        <v>0</v>
      </c>
      <c r="H71" s="5">
        <f>LCI!$E85*impact_process_end!H17</f>
        <v>0</v>
      </c>
      <c r="I71" s="5">
        <f>LCI!$E85*impact_process_end!I17</f>
        <v>0</v>
      </c>
      <c r="J71" s="5">
        <f>LCI!$E85*impact_process_end!J17</f>
        <v>0</v>
      </c>
      <c r="K71" s="5">
        <f>LCI!$E85*impact_process_end!K17</f>
        <v>0</v>
      </c>
      <c r="L71" s="5">
        <f>LCI!$E85*impact_process_end!L17</f>
        <v>0</v>
      </c>
      <c r="M71" s="5">
        <f>LCI!$E85*impact_process_end!M17</f>
        <v>0</v>
      </c>
      <c r="N71" s="5">
        <f>LCI!$E85*impact_process_end!N17</f>
        <v>0</v>
      </c>
      <c r="O71" s="5">
        <f>LCI!$E85*impact_process_end!O17</f>
        <v>0</v>
      </c>
      <c r="P71" s="5">
        <f>LCI!$E85*impact_process_end!P17</f>
        <v>0</v>
      </c>
      <c r="Q71" s="5">
        <f>LCI!$E85*impact_process_end!Q17</f>
        <v>0</v>
      </c>
      <c r="R71" s="5">
        <f>LCI!$E85*impact_process_end!R17</f>
        <v>0</v>
      </c>
      <c r="S71" s="5">
        <f>LCI!$E85*impact_process_end!S17</f>
        <v>0</v>
      </c>
      <c r="T71" s="5">
        <f>LCI!$E85*impact_process_end!T17</f>
        <v>3.0413870588336425E-5</v>
      </c>
      <c r="U71" s="5">
        <f>LCI!$E85*impact_process_end!U17</f>
        <v>0</v>
      </c>
      <c r="V71" s="5">
        <f>LCI!$E85*impact_process_end!V17</f>
        <v>0</v>
      </c>
      <c r="W71" s="5">
        <f>LCI!$E85*impact_process_end!W17</f>
        <v>0</v>
      </c>
      <c r="X71" s="5">
        <f>LCI!$E85*impact_process_end!X17</f>
        <v>0</v>
      </c>
      <c r="Y71" s="5">
        <f>LCI!$E85*impact_process_end!Y17</f>
        <v>8.4347801098319695E-8</v>
      </c>
      <c r="Z71" s="5">
        <f>LCI!$E85*impact_process_end!Z17</f>
        <v>3.0413870588336425E-5</v>
      </c>
      <c r="AA71" s="5">
        <f>LCI!$E85*impact_process_end!AA17</f>
        <v>0</v>
      </c>
    </row>
    <row r="72" spans="1:28" x14ac:dyDescent="0.35">
      <c r="B72" t="s">
        <v>288</v>
      </c>
      <c r="C72">
        <f>LCI!$E86*impact_process_end!C22</f>
        <v>0</v>
      </c>
      <c r="D72">
        <f>LCI!$E86*impact_process_end!D22</f>
        <v>0</v>
      </c>
      <c r="E72">
        <f>LCI!$E86*impact_process_end!E22</f>
        <v>0</v>
      </c>
      <c r="F72">
        <f>LCI!$E86*impact_process_end!F22</f>
        <v>0</v>
      </c>
      <c r="G72">
        <f>LCI!$E86*impact_process_end!G22</f>
        <v>0</v>
      </c>
      <c r="H72">
        <f>LCI!$E86*impact_process_end!H22</f>
        <v>0</v>
      </c>
      <c r="I72">
        <f>LCI!$E86*impact_process_end!I22</f>
        <v>0</v>
      </c>
      <c r="J72">
        <f>LCI!$E86*impact_process_end!J22</f>
        <v>0</v>
      </c>
      <c r="K72">
        <f>LCI!$E86*impact_process_end!K22</f>
        <v>0</v>
      </c>
      <c r="L72">
        <f>LCI!$E86*impact_process_end!L22</f>
        <v>0.15002940039185075</v>
      </c>
      <c r="M72">
        <f>LCI!$E86*impact_process_end!M22</f>
        <v>0</v>
      </c>
      <c r="N72">
        <f>LCI!$E86*impact_process_end!N22</f>
        <v>0</v>
      </c>
      <c r="O72">
        <f>LCI!$E86*impact_process_end!O22</f>
        <v>0</v>
      </c>
      <c r="P72">
        <f>LCI!$E86*impact_process_end!P22</f>
        <v>0</v>
      </c>
      <c r="Q72">
        <f>LCI!$E86*impact_process_end!Q22</f>
        <v>0</v>
      </c>
      <c r="R72">
        <f>LCI!$E86*impact_process_end!R22</f>
        <v>0</v>
      </c>
      <c r="S72">
        <f>LCI!$E86*impact_process_end!S22</f>
        <v>0</v>
      </c>
      <c r="T72">
        <f>LCI!$E86*impact_process_end!T22</f>
        <v>0</v>
      </c>
      <c r="U72">
        <f>LCI!$E86*impact_process_end!U22</f>
        <v>6.5788293219955943E-9</v>
      </c>
      <c r="V72">
        <f>LCI!$E86*impact_process_end!V22</f>
        <v>0</v>
      </c>
      <c r="W72">
        <f>LCI!$E86*impact_process_end!W22</f>
        <v>0</v>
      </c>
      <c r="X72">
        <f>LCI!$E86*impact_process_end!X22</f>
        <v>0</v>
      </c>
      <c r="Y72">
        <f>LCI!$E86*impact_process_end!Y22</f>
        <v>0.15002940039185075</v>
      </c>
      <c r="Z72">
        <f>LCI!$E86*impact_process_end!Z22</f>
        <v>6.5788293219955943E-9</v>
      </c>
      <c r="AA72">
        <f>LCI!$E86*impact_process_end!AA22</f>
        <v>0</v>
      </c>
    </row>
    <row r="73" spans="1:28" x14ac:dyDescent="0.35">
      <c r="B73" t="s">
        <v>123</v>
      </c>
      <c r="C73">
        <f>LCI!$E87*impact_process_end!C16</f>
        <v>0</v>
      </c>
      <c r="D73">
        <f>LCI!$E87*impact_process_end!D16</f>
        <v>0</v>
      </c>
      <c r="E73">
        <f>LCI!$E87*impact_process_end!E16</f>
        <v>0</v>
      </c>
      <c r="F73">
        <f>LCI!$E87*impact_process_end!F16</f>
        <v>0</v>
      </c>
      <c r="G73">
        <f>LCI!$E87*impact_process_end!G16</f>
        <v>0</v>
      </c>
      <c r="H73">
        <f>LCI!$E87*impact_process_end!H16</f>
        <v>0</v>
      </c>
      <c r="I73">
        <f>LCI!$E87*impact_process_end!I16</f>
        <v>0</v>
      </c>
      <c r="J73">
        <f>LCI!$E87*impact_process_end!J16</f>
        <v>0</v>
      </c>
      <c r="K73">
        <f>LCI!$E87*impact_process_end!K16</f>
        <v>0</v>
      </c>
      <c r="L73">
        <f>LCI!$E87*impact_process_end!L16</f>
        <v>0</v>
      </c>
      <c r="M73">
        <f>LCI!$E87*impact_process_end!M16</f>
        <v>0</v>
      </c>
      <c r="N73">
        <f>LCI!$E87*impact_process_end!N16</f>
        <v>0</v>
      </c>
      <c r="O73">
        <f>LCI!$E87*impact_process_end!O16</f>
        <v>0</v>
      </c>
      <c r="P73">
        <f>LCI!$E87*impact_process_end!P16</f>
        <v>0</v>
      </c>
      <c r="Q73">
        <f>LCI!$E87*impact_process_end!Q16</f>
        <v>0</v>
      </c>
      <c r="R73">
        <f>LCI!$E87*impact_process_end!R16</f>
        <v>0</v>
      </c>
      <c r="S73">
        <f>LCI!$E87*impact_process_end!S16</f>
        <v>0</v>
      </c>
      <c r="T73">
        <f>LCI!$E87*impact_process_end!T16</f>
        <v>0</v>
      </c>
      <c r="U73">
        <f>LCI!$E87*impact_process_end!U16</f>
        <v>0</v>
      </c>
      <c r="V73">
        <f>LCI!$E87*impact_process_end!V16</f>
        <v>0</v>
      </c>
      <c r="W73">
        <f>LCI!$E87*impact_process_end!W16</f>
        <v>0</v>
      </c>
      <c r="X73">
        <f>LCI!$E87*impact_process_end!X16</f>
        <v>0</v>
      </c>
      <c r="Y73">
        <f>LCI!$E87*impact_process_end!Y16</f>
        <v>0</v>
      </c>
      <c r="Z73">
        <f>LCI!$E87*impact_process_end!Z16</f>
        <v>0</v>
      </c>
      <c r="AA73">
        <f>LCI!$E87*impact_process_end!AA16</f>
        <v>0</v>
      </c>
    </row>
    <row r="74" spans="1:28" x14ac:dyDescent="0.35">
      <c r="B74" t="s">
        <v>273</v>
      </c>
      <c r="C74">
        <f>LCI!$E89*impact_process_end!C2</f>
        <v>7.7870731505216638E-11</v>
      </c>
      <c r="D74">
        <f>LCI!$E89*impact_process_end!D2</f>
        <v>2.465428541746242E-14</v>
      </c>
      <c r="E74">
        <f>LCI!$E89*impact_process_end!E2</f>
        <v>9.0263866944561339E-10</v>
      </c>
      <c r="F74">
        <f>LCI!$E89*impact_process_end!F2</f>
        <v>1.7422515698394469E-11</v>
      </c>
      <c r="G74">
        <f>LCI!$E89*impact_process_end!G2</f>
        <v>3.3503442909456044E-12</v>
      </c>
      <c r="H74">
        <f>LCI!$E89*impact_process_end!H2</f>
        <v>2.6295643541732168E-11</v>
      </c>
      <c r="I74">
        <f>LCI!$E89*impact_process_end!I2</f>
        <v>4.1711172627072467E-11</v>
      </c>
      <c r="J74">
        <f>LCI!$E89*impact_process_end!J2</f>
        <v>7.977978351027793E-14</v>
      </c>
      <c r="K74">
        <f>LCI!$E89*impact_process_end!K2</f>
        <v>1.0261270589069827E-10</v>
      </c>
      <c r="L74">
        <f>LCI!$E89*impact_process_end!L2</f>
        <v>4.7226933755196714E-11</v>
      </c>
      <c r="M74">
        <f>LCI!$E89*impact_process_end!M2</f>
        <v>7.6865642045848565E-15</v>
      </c>
      <c r="N74">
        <f>LCI!$E89*impact_process_end!N2</f>
        <v>1.7180234563227742E-10</v>
      </c>
      <c r="O74">
        <f>LCI!$E89*impact_process_end!O2</f>
        <v>2.9911327040760066E-7</v>
      </c>
      <c r="P74">
        <f>LCI!$E89*impact_process_end!P2</f>
        <v>7.969628865533654E-8</v>
      </c>
      <c r="Q74">
        <f>LCI!$E89*impact_process_end!Q2</f>
        <v>1.1833663861425275E-7</v>
      </c>
      <c r="R74">
        <f>LCI!$E89*impact_process_end!R2</f>
        <v>1.8941003997622288E-8</v>
      </c>
      <c r="S74">
        <f>LCI!$E89*impact_process_end!S2</f>
        <v>1.8631098531541487E-10</v>
      </c>
      <c r="T74">
        <f>LCI!$E89*impact_process_end!T2</f>
        <v>1.2804586435291145E-7</v>
      </c>
      <c r="U74">
        <f>LCI!$E89*impact_process_end!U2</f>
        <v>3.0180562624674225E-10</v>
      </c>
      <c r="V74">
        <f>LCI!$E89*impact_process_end!V2</f>
        <v>2.8251941281752286E-8</v>
      </c>
      <c r="W74">
        <f>LCI!$E89*impact_process_end!W2</f>
        <v>3.3206140099266174E-2</v>
      </c>
      <c r="X74">
        <f>LCI!$E89*impact_process_end!X2</f>
        <v>1.6644330439296144E-3</v>
      </c>
      <c r="Y74">
        <f>LCI!$E89*impact_process_end!Y2</f>
        <v>1.2192392869024319E-9</v>
      </c>
      <c r="Z74">
        <f>LCI!$E89*impact_process_end!Z2</f>
        <v>6.7287221193184989E-7</v>
      </c>
      <c r="AA74">
        <f>LCI!$E89*impact_process_end!AA2</f>
        <v>3.4870573314998141E-2</v>
      </c>
    </row>
    <row r="75" spans="1:28" x14ac:dyDescent="0.35">
      <c r="B75" t="s">
        <v>289</v>
      </c>
      <c r="C75">
        <f>LCI!$E90*impact_process_end!C25</f>
        <v>2.9049653214183182E-10</v>
      </c>
      <c r="D75">
        <f>LCI!$E90*impact_process_end!D25</f>
        <v>4.1388163127932296E-14</v>
      </c>
      <c r="E75">
        <f>LCI!$E90*impact_process_end!E25</f>
        <v>1.5172022862566173E-9</v>
      </c>
      <c r="F75">
        <f>LCI!$E90*impact_process_end!F25</f>
        <v>3.2732132849186826E-12</v>
      </c>
      <c r="G75">
        <f>LCI!$E90*impact_process_end!G25</f>
        <v>8.8500133727361487E-13</v>
      </c>
      <c r="H75">
        <f>LCI!$E90*impact_process_end!H25</f>
        <v>1.2326604009440529E-11</v>
      </c>
      <c r="I75">
        <f>LCI!$E90*impact_process_end!I25</f>
        <v>1.9747145340564407E-11</v>
      </c>
      <c r="J75">
        <f>LCI!$E90*impact_process_end!J25</f>
        <v>9.4303818547038428E-14</v>
      </c>
      <c r="K75">
        <f>LCI!$E90*impact_process_end!K25</f>
        <v>4.246726197606063E-11</v>
      </c>
      <c r="L75">
        <f>LCI!$E90*impact_process_end!L25</f>
        <v>2.3277792086481173E-10</v>
      </c>
      <c r="M75">
        <f>LCI!$E90*impact_process_end!M25</f>
        <v>5.5624427558923853E-16</v>
      </c>
      <c r="N75">
        <f>LCI!$E90*impact_process_end!N25</f>
        <v>1.2432612119958147E-11</v>
      </c>
      <c r="O75">
        <f>LCI!$E90*impact_process_end!O25</f>
        <v>5.0234645675413885E-7</v>
      </c>
      <c r="P75">
        <f>LCI!$E90*impact_process_end!P25</f>
        <v>6.4241545351601687E-8</v>
      </c>
      <c r="Q75">
        <f>LCI!$E90*impact_process_end!Q25</f>
        <v>3.1498529067770717E-8</v>
      </c>
      <c r="R75">
        <f>LCI!$E90*impact_process_end!R25</f>
        <v>9.1933697910455749E-11</v>
      </c>
      <c r="S75">
        <f>LCI!$E90*impact_process_end!S25</f>
        <v>6.975588928036307E-11</v>
      </c>
      <c r="T75">
        <f>LCI!$E90*impact_process_end!T25</f>
        <v>3.1181265811774218E-7</v>
      </c>
      <c r="U75">
        <f>LCI!$E90*impact_process_end!U25</f>
        <v>1.2960010574563551E-9</v>
      </c>
      <c r="V75">
        <f>LCI!$E90*impact_process_end!V25</f>
        <v>2.0444739930597844E-9</v>
      </c>
      <c r="W75">
        <f>LCI!$E90*impact_process_end!W25</f>
        <v>0.31281366828634277</v>
      </c>
      <c r="X75">
        <f>LCI!$E90*impact_process_end!X25</f>
        <v>2.3759382294731937E-3</v>
      </c>
      <c r="Y75">
        <f>LCI!$E90*impact_process_end!Y25</f>
        <v>2.1193117158026031E-9</v>
      </c>
      <c r="Z75">
        <f>LCI!$E90*impact_process_end!Z25</f>
        <v>9.1340028492503704E-7</v>
      </c>
      <c r="AA75">
        <f>LCI!$E90*impact_process_end!AA25</f>
        <v>0.31518960652824857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06C18-CAF6-4AE2-A26F-53457FB6E759}">
  <dimension ref="A1:AA37"/>
  <sheetViews>
    <sheetView workbookViewId="0">
      <selection activeCell="C36" sqref="C36"/>
    </sheetView>
  </sheetViews>
  <sheetFormatPr baseColWidth="10" defaultRowHeight="14.5" x14ac:dyDescent="0.35"/>
  <cols>
    <col min="1" max="1" width="17.90625" customWidth="1"/>
    <col min="2" max="2" width="13.453125" customWidth="1"/>
    <col min="3" max="3" width="21.36328125" customWidth="1"/>
    <col min="4" max="4" width="25.1796875" customWidth="1"/>
    <col min="5" max="14" width="8.6328125" customWidth="1"/>
  </cols>
  <sheetData>
    <row r="1" spans="1:27" x14ac:dyDescent="0.35">
      <c r="A1" t="s">
        <v>0</v>
      </c>
      <c r="B1" t="s">
        <v>184</v>
      </c>
      <c r="C1" t="s">
        <v>186</v>
      </c>
      <c r="D1" t="s">
        <v>187</v>
      </c>
      <c r="E1" t="s">
        <v>188</v>
      </c>
      <c r="F1" t="s">
        <v>189</v>
      </c>
      <c r="G1" t="s">
        <v>190</v>
      </c>
      <c r="H1" t="s">
        <v>191</v>
      </c>
      <c r="I1" t="s">
        <v>192</v>
      </c>
      <c r="J1" t="s">
        <v>193</v>
      </c>
      <c r="K1" t="s">
        <v>194</v>
      </c>
      <c r="L1" t="s">
        <v>195</v>
      </c>
      <c r="M1" t="s">
        <v>196</v>
      </c>
      <c r="N1" t="s">
        <v>197</v>
      </c>
      <c r="O1" t="s">
        <v>198</v>
      </c>
      <c r="P1" t="s">
        <v>199</v>
      </c>
      <c r="Q1" t="s">
        <v>200</v>
      </c>
      <c r="R1" t="s">
        <v>201</v>
      </c>
      <c r="S1" t="s">
        <v>202</v>
      </c>
      <c r="T1" t="s">
        <v>203</v>
      </c>
      <c r="U1" t="s">
        <v>204</v>
      </c>
      <c r="V1" t="s">
        <v>205</v>
      </c>
      <c r="W1" t="s">
        <v>206</v>
      </c>
      <c r="X1" t="s">
        <v>207</v>
      </c>
      <c r="Y1" t="s">
        <v>208</v>
      </c>
      <c r="Z1" t="s">
        <v>209</v>
      </c>
      <c r="AA1" t="s">
        <v>210</v>
      </c>
    </row>
    <row r="2" spans="1:27" x14ac:dyDescent="0.35">
      <c r="A2" t="s">
        <v>22</v>
      </c>
      <c r="B2" t="s">
        <v>128</v>
      </c>
      <c r="C2">
        <v>1.918443869089328E-11</v>
      </c>
      <c r="D2">
        <v>6.0738947473147432E-15</v>
      </c>
      <c r="E2">
        <v>2.2237644207629918E-10</v>
      </c>
      <c r="F2">
        <v>4.2922568954496499E-12</v>
      </c>
      <c r="G2">
        <v>8.2539965145600882E-13</v>
      </c>
      <c r="H2">
        <v>6.4782640616410519E-12</v>
      </c>
      <c r="I2">
        <v>1.027607444442372E-11</v>
      </c>
      <c r="J2">
        <v>1.9654757775366908E-14</v>
      </c>
      <c r="K2">
        <v>2.5279936723528637E-11</v>
      </c>
      <c r="L2">
        <v>1.1634951896204472E-11</v>
      </c>
      <c r="M2">
        <v>1.8936822202138216E-15</v>
      </c>
      <c r="N2">
        <v>4.2325678763057271E-11</v>
      </c>
      <c r="O2">
        <v>7.3690333798685098E-8</v>
      </c>
      <c r="P2">
        <v>1.9634187762800367E-8</v>
      </c>
      <c r="Q2">
        <v>2.9153726239613424E-8</v>
      </c>
      <c r="R2">
        <v>4.6663556757779599E-9</v>
      </c>
      <c r="S2">
        <v>4.5900065482036093E-11</v>
      </c>
      <c r="T2">
        <v>3.1545716687357746E-8</v>
      </c>
      <c r="U2">
        <v>7.4353629680612443E-11</v>
      </c>
      <c r="V2">
        <v>6.960222729924974E-9</v>
      </c>
      <c r="W2">
        <v>8.1807522105132504E-3</v>
      </c>
      <c r="X2">
        <v>4.1005411236217119E-4</v>
      </c>
      <c r="Y2">
        <v>3.0037500479292658E-10</v>
      </c>
      <c r="Z2">
        <v>1.6577057190926167E-7</v>
      </c>
      <c r="AA2">
        <v>8.5908063652011014E-3</v>
      </c>
    </row>
    <row r="3" spans="1:27" x14ac:dyDescent="0.35">
      <c r="A3" t="s">
        <v>23</v>
      </c>
      <c r="B3" t="s">
        <v>88</v>
      </c>
      <c r="C3">
        <v>1.4700901171492109E-13</v>
      </c>
      <c r="D3">
        <v>2.4055506482087138E-17</v>
      </c>
      <c r="E3">
        <v>8.807344062823238E-13</v>
      </c>
      <c r="F3">
        <v>1.1327354096216422E-14</v>
      </c>
      <c r="G3">
        <v>2.3642652958089726E-15</v>
      </c>
      <c r="H3">
        <v>1.317555817611348E-14</v>
      </c>
      <c r="I3">
        <v>1.3639079316096409E-13</v>
      </c>
      <c r="J3">
        <v>3.6072826234006858E-17</v>
      </c>
      <c r="K3">
        <v>7.3405020798223473E-14</v>
      </c>
      <c r="L3">
        <v>7.3964668586197515E-14</v>
      </c>
      <c r="M3">
        <v>2.0853884548003951E-18</v>
      </c>
      <c r="N3">
        <v>4.6610503542724067E-14</v>
      </c>
      <c r="O3">
        <v>2.9184760142128638E-10</v>
      </c>
      <c r="P3">
        <v>8.6309672145252969E-10</v>
      </c>
      <c r="Q3">
        <v>8.5961448143951969E-11</v>
      </c>
      <c r="R3">
        <v>9.1793574882002342E-13</v>
      </c>
      <c r="S3">
        <v>6.4138568080532195E-14</v>
      </c>
      <c r="T3">
        <v>2.4362280465557954E-10</v>
      </c>
      <c r="U3">
        <v>4.9032547035475624E-13</v>
      </c>
      <c r="V3">
        <v>7.6648383603590677E-12</v>
      </c>
      <c r="W3">
        <v>1.8110008148318589E-5</v>
      </c>
      <c r="X3">
        <v>8.0391234223411987E-6</v>
      </c>
      <c r="Y3">
        <v>1.3384275704840618E-12</v>
      </c>
      <c r="Z3">
        <v>1.4936635248384027E-9</v>
      </c>
      <c r="AA3">
        <v>2.6149131617270288E-5</v>
      </c>
    </row>
    <row r="4" spans="1:27" x14ac:dyDescent="0.35">
      <c r="A4" t="s">
        <v>235</v>
      </c>
      <c r="B4" t="s">
        <v>88</v>
      </c>
      <c r="C4">
        <v>2.8909344685774187E-11</v>
      </c>
      <c r="D4">
        <v>3.1349804675885806E-15</v>
      </c>
      <c r="E4">
        <v>1.1473880340547349E-10</v>
      </c>
      <c r="F4">
        <v>4.698818475992634E-12</v>
      </c>
      <c r="G4">
        <v>9.5300872567451941E-13</v>
      </c>
      <c r="H4">
        <v>1.068349482304492E-12</v>
      </c>
      <c r="I4">
        <v>3.2602719079711339E-11</v>
      </c>
      <c r="J4">
        <v>2.053213712740811E-14</v>
      </c>
      <c r="K4">
        <v>7.0368069752682457E-12</v>
      </c>
      <c r="L4">
        <v>3.3654739753698033E-11</v>
      </c>
      <c r="M4">
        <v>1.0992118019869533E-15</v>
      </c>
      <c r="N4">
        <v>2.4568475706662039E-11</v>
      </c>
      <c r="O4">
        <v>3.8054144640360102E-8</v>
      </c>
      <c r="P4">
        <v>3.5018038468638476E-8</v>
      </c>
      <c r="Q4">
        <v>6.9092746376450016E-8</v>
      </c>
      <c r="R4">
        <v>3.2457166875681145E-12</v>
      </c>
      <c r="S4">
        <v>3.06792393274258E-10</v>
      </c>
      <c r="T4">
        <v>3.3986197286005311E-8</v>
      </c>
      <c r="U4">
        <v>2.3468908759516983E-10</v>
      </c>
      <c r="V4">
        <v>4.0401493384288688E-9</v>
      </c>
      <c r="W4">
        <v>1.9160164421902614E-3</v>
      </c>
      <c r="X4">
        <v>2.6809773409974168E-4</v>
      </c>
      <c r="Y4">
        <v>2.2368681584687737E-10</v>
      </c>
      <c r="Z4">
        <v>1.8073578872618057E-7</v>
      </c>
      <c r="AA4">
        <v>2.1841142008584792E-3</v>
      </c>
    </row>
    <row r="5" spans="1:27" x14ac:dyDescent="0.35">
      <c r="A5" t="s">
        <v>218</v>
      </c>
      <c r="B5" t="s">
        <v>219</v>
      </c>
      <c r="C5">
        <v>5.8596787951819557E-12</v>
      </c>
      <c r="D5">
        <v>6.0095664499812214E-15</v>
      </c>
      <c r="E5">
        <v>2.2005784625185532E-10</v>
      </c>
      <c r="F5">
        <v>3.9423615922780825E-13</v>
      </c>
      <c r="G5">
        <v>7.9041745260645618E-14</v>
      </c>
      <c r="H5">
        <v>4.6652180968404511E-13</v>
      </c>
      <c r="I5">
        <v>1.8329100458217691E-12</v>
      </c>
      <c r="J5">
        <v>4.8327958756595726E-16</v>
      </c>
      <c r="K5">
        <v>1.39672886718159E-12</v>
      </c>
      <c r="L5">
        <v>7.5957621185191517E-12</v>
      </c>
      <c r="M5">
        <v>3.7336098195370812E-17</v>
      </c>
      <c r="N5">
        <v>8.3449888350580462E-13</v>
      </c>
      <c r="O5">
        <v>7.2912599178210055E-8</v>
      </c>
      <c r="P5">
        <v>5.2224808104013278E-9</v>
      </c>
      <c r="Q5">
        <v>2.006982954380527E-9</v>
      </c>
      <c r="R5">
        <v>8.8919636899973028E-12</v>
      </c>
      <c r="S5">
        <v>6.5205911668061856E-12</v>
      </c>
      <c r="T5">
        <v>7.4836522056942048E-9</v>
      </c>
      <c r="U5">
        <v>4.5712088006331764E-11</v>
      </c>
      <c r="V5">
        <v>1.3722870528762119E-10</v>
      </c>
      <c r="W5">
        <v>9.2754794783091558E-3</v>
      </c>
      <c r="X5">
        <v>1.2178731815850614E-4</v>
      </c>
      <c r="Y5">
        <v>2.3768933510413291E-10</v>
      </c>
      <c r="Z5">
        <v>8.7823991897074264E-8</v>
      </c>
      <c r="AA5">
        <v>9.3972667973021614E-3</v>
      </c>
    </row>
    <row r="6" spans="1:27" x14ac:dyDescent="0.35">
      <c r="A6" t="s">
        <v>220</v>
      </c>
      <c r="B6" t="s">
        <v>219</v>
      </c>
      <c r="C6">
        <v>2.5557964684850085E-11</v>
      </c>
      <c r="D6">
        <v>7.5116871836677947E-15</v>
      </c>
      <c r="E6">
        <v>2.7503277973328482E-10</v>
      </c>
      <c r="F6">
        <v>6.2377907440142109E-13</v>
      </c>
      <c r="G6">
        <v>1.3175299456678184E-13</v>
      </c>
      <c r="H6">
        <v>1.1552019318800332E-12</v>
      </c>
      <c r="I6">
        <v>2.2289549431062543E-12</v>
      </c>
      <c r="J6">
        <v>4.0447552919368049E-15</v>
      </c>
      <c r="K6">
        <v>2.30983995067826E-12</v>
      </c>
      <c r="L6">
        <v>1.3620409807585548E-11</v>
      </c>
      <c r="M6">
        <v>3.8122116947697777E-17</v>
      </c>
      <c r="N6">
        <v>8.5206718343364243E-13</v>
      </c>
      <c r="O6">
        <v>9.1133854178716805E-8</v>
      </c>
      <c r="P6">
        <v>5.9911272617032174E-9</v>
      </c>
      <c r="Q6">
        <v>3.6663062028965201E-9</v>
      </c>
      <c r="R6">
        <v>1.0444772132394388E-11</v>
      </c>
      <c r="S6">
        <v>7.3726802472939697E-12</v>
      </c>
      <c r="T6">
        <v>2.5830515366122361E-8</v>
      </c>
      <c r="U6">
        <v>8.1956371482850358E-11</v>
      </c>
      <c r="V6">
        <v>1.4011771460908787E-10</v>
      </c>
      <c r="W6">
        <v>1.2632577920545673E-2</v>
      </c>
      <c r="X6">
        <v>1.4576258039277843E-4</v>
      </c>
      <c r="Y6">
        <v>3.2067246330245391E-10</v>
      </c>
      <c r="Z6">
        <v>1.2686163102879661E-7</v>
      </c>
      <c r="AA6">
        <v>1.277834050179052E-2</v>
      </c>
    </row>
    <row r="7" spans="1:27" x14ac:dyDescent="0.35">
      <c r="A7" t="s">
        <v>221</v>
      </c>
      <c r="B7" t="s">
        <v>219</v>
      </c>
      <c r="C7">
        <v>7.5743371239568775E-11</v>
      </c>
      <c r="D7">
        <v>4.7762183719251697E-15</v>
      </c>
      <c r="E7">
        <v>1.7488519488161226E-10</v>
      </c>
      <c r="F7">
        <v>5.7629575027679314E-13</v>
      </c>
      <c r="G7">
        <v>1.2216986329542107E-13</v>
      </c>
      <c r="H7">
        <v>3.8727287168213072E-13</v>
      </c>
      <c r="I7">
        <v>1.5257465083922899E-11</v>
      </c>
      <c r="J7">
        <v>2.4714321617892296E-15</v>
      </c>
      <c r="K7">
        <v>5.6606331335548377E-12</v>
      </c>
      <c r="L7">
        <v>2.1111120221230682E-11</v>
      </c>
      <c r="M7">
        <v>3.2426284296766989E-17</v>
      </c>
      <c r="N7">
        <v>7.2475966557343434E-13</v>
      </c>
      <c r="O7">
        <v>5.7947500135252742E-8</v>
      </c>
      <c r="P7">
        <v>7.7270311459426405E-9</v>
      </c>
      <c r="Q7">
        <v>8.9554148232401932E-9</v>
      </c>
      <c r="R7">
        <v>8.5960470978780108E-13</v>
      </c>
      <c r="S7">
        <v>5.0940977824307757E-12</v>
      </c>
      <c r="T7">
        <v>8.134280713717429E-8</v>
      </c>
      <c r="U7">
        <v>1.4841023450948083E-10</v>
      </c>
      <c r="V7">
        <v>1.1918270056096474E-10</v>
      </c>
      <c r="W7">
        <v>1.2654872090076786E-3</v>
      </c>
      <c r="X7">
        <v>1.9291145027346424E-5</v>
      </c>
      <c r="Y7">
        <v>2.9375095753017929E-10</v>
      </c>
      <c r="Z7">
        <v>1.5624627059862186E-7</v>
      </c>
      <c r="AA7">
        <v>1.2847783547597844E-3</v>
      </c>
    </row>
    <row r="8" spans="1:27" x14ac:dyDescent="0.35">
      <c r="A8" t="s">
        <v>222</v>
      </c>
      <c r="B8" t="s">
        <v>219</v>
      </c>
      <c r="C8">
        <v>3.3507688042109567E-11</v>
      </c>
      <c r="D8">
        <v>1.3205747459206228E-15</v>
      </c>
      <c r="E8">
        <v>4.8351766771074494E-11</v>
      </c>
      <c r="F8">
        <v>5.6192731293099823E-13</v>
      </c>
      <c r="G8">
        <v>1.2082046399135679E-13</v>
      </c>
      <c r="H8">
        <v>1.9032051880962599E-12</v>
      </c>
      <c r="I8">
        <v>4.1991826902022741E-12</v>
      </c>
      <c r="J8">
        <v>1.1328756462716112E-15</v>
      </c>
      <c r="K8">
        <v>2.5003581975342954E-10</v>
      </c>
      <c r="L8">
        <v>4.2086658864932725E-11</v>
      </c>
      <c r="M8">
        <v>2.1177241749973203E-16</v>
      </c>
      <c r="N8">
        <v>4.7333239010701695E-12</v>
      </c>
      <c r="O8">
        <v>1.6023832958189979E-8</v>
      </c>
      <c r="P8">
        <v>4.7549023226597837E-9</v>
      </c>
      <c r="Q8">
        <v>9.6440320746455416E-9</v>
      </c>
      <c r="R8">
        <v>9.404697910837918E-12</v>
      </c>
      <c r="S8">
        <v>2.4170687297281508E-11</v>
      </c>
      <c r="T8">
        <v>1.1684551283769571E-7</v>
      </c>
      <c r="U8">
        <v>2.9328763607358354E-10</v>
      </c>
      <c r="V8">
        <v>7.7836881928709458E-10</v>
      </c>
      <c r="W8">
        <v>1.0861877048480733E-3</v>
      </c>
      <c r="X8">
        <v>5.2055300077671637E-5</v>
      </c>
      <c r="Y8">
        <v>3.807674251513107E-10</v>
      </c>
      <c r="Z8">
        <v>1.4837272607779618E-7</v>
      </c>
      <c r="AA8">
        <v>1.1382430096590691E-3</v>
      </c>
    </row>
    <row r="9" spans="1:27" x14ac:dyDescent="0.35">
      <c r="A9" s="17" t="s">
        <v>255</v>
      </c>
      <c r="B9" t="s">
        <v>219</v>
      </c>
    </row>
    <row r="10" spans="1:27" x14ac:dyDescent="0.35">
      <c r="A10" s="17" t="s">
        <v>256</v>
      </c>
      <c r="B10" t="s">
        <v>219</v>
      </c>
      <c r="C10">
        <f>(C5*Parameters!$C115)+(C6*Parameters!$C117)+(C7*Parameters!$C116)+(C8*Parameters!$C118)+(C9*Parameters!$C119)</f>
        <v>1.5020307726001505E-11</v>
      </c>
      <c r="D10">
        <f>(D5*Parameters!$C115)+(D6*Parameters!$C117)+(D7*Parameters!$C116)+(D8*Parameters!$C118)+(D9*Parameters!$C119)</f>
        <v>3.3315802416669033E-15</v>
      </c>
      <c r="E10">
        <f>(E5*Parameters!$C115)+(E6*Parameters!$C117)+(E7*Parameters!$C116)+(E8*Parameters!$C118)+(E9*Parameters!$C119)</f>
        <v>1.2199368637457753E-10</v>
      </c>
      <c r="F10">
        <f>(F5*Parameters!$C115)+(F6*Parameters!$C117)+(F7*Parameters!$C116)+(F8*Parameters!$C118)+(F9*Parameters!$C119)</f>
        <v>3.9067868021250655E-13</v>
      </c>
      <c r="G10">
        <f>(G5*Parameters!$C115)+(G6*Parameters!$C117)+(G7*Parameters!$C116)+(G8*Parameters!$C118)+(G9*Parameters!$C119)</f>
        <v>8.1296246798854409E-14</v>
      </c>
      <c r="H10">
        <f>(H5*Parameters!$C115)+(H6*Parameters!$C117)+(H7*Parameters!$C116)+(H8*Parameters!$C118)+(H9*Parameters!$C119)</f>
        <v>9.093912183343459E-13</v>
      </c>
      <c r="I10">
        <f>(I5*Parameters!$C115)+(I6*Parameters!$C117)+(I7*Parameters!$C116)+(I8*Parameters!$C118)+(I9*Parameters!$C119)</f>
        <v>2.4064240662504447E-12</v>
      </c>
      <c r="J10">
        <f>(J5*Parameters!$C115)+(J6*Parameters!$C117)+(J7*Parameters!$C116)+(J8*Parameters!$C118)+(J9*Parameters!$C119)</f>
        <v>6.4936328093283193E-16</v>
      </c>
      <c r="K10">
        <f>(K5*Parameters!$C115)+(K6*Parameters!$C117)+(K7*Parameters!$C116)+(K8*Parameters!$C118)+(K9*Parameters!$C119)</f>
        <v>9.0846550802301166E-11</v>
      </c>
      <c r="L10">
        <f>(L5*Parameters!$C115)+(L6*Parameters!$C117)+(L7*Parameters!$C116)+(L8*Parameters!$C118)+(L9*Parameters!$C119)</f>
        <v>1.8820166232017543E-11</v>
      </c>
      <c r="M10">
        <f>(M5*Parameters!$C115)+(M6*Parameters!$C117)+(M7*Parameters!$C116)+(M8*Parameters!$C118)+(M9*Parameters!$C119)</f>
        <v>9.409897500767112E-17</v>
      </c>
      <c r="N10">
        <f>(N5*Parameters!$C115)+(N6*Parameters!$C117)+(N7*Parameters!$C116)+(N8*Parameters!$C118)+(N9*Parameters!$C119)</f>
        <v>2.1032055672244374E-12</v>
      </c>
      <c r="O10">
        <f>(O5*Parameters!$C115)+(O6*Parameters!$C117)+(O7*Parameters!$C116)+(O8*Parameters!$C118)+(O9*Parameters!$C119)</f>
        <v>4.0421822873719699E-8</v>
      </c>
      <c r="P10">
        <f>(P5*Parameters!$C115)+(P6*Parameters!$C117)+(P7*Parameters!$C116)+(P8*Parameters!$C118)+(P9*Parameters!$C119)</f>
        <v>4.2004647057410574E-9</v>
      </c>
      <c r="Q10">
        <f>(Q5*Parameters!$C115)+(Q6*Parameters!$C117)+(Q7*Parameters!$C116)+(Q8*Parameters!$C118)+(Q9*Parameters!$C119)</f>
        <v>4.4456896873894662E-9</v>
      </c>
      <c r="R10">
        <f>(R5*Parameters!$C115)+(R6*Parameters!$C117)+(R7*Parameters!$C116)+(R8*Parameters!$C118)+(R9*Parameters!$C119)</f>
        <v>7.6054840660607705E-12</v>
      </c>
      <c r="S10">
        <f>(S5*Parameters!$C115)+(S6*Parameters!$C117)+(S7*Parameters!$C116)+(S8*Parameters!$C118)+(S9*Parameters!$C119)</f>
        <v>1.1813266812102398E-11</v>
      </c>
      <c r="T10">
        <f>(T5*Parameters!$C115)+(T6*Parameters!$C117)+(T7*Parameters!$C116)+(T8*Parameters!$C118)+(T9*Parameters!$C119)</f>
        <v>4.584999869201481E-8</v>
      </c>
      <c r="U10">
        <f>(U5*Parameters!$C115)+(U6*Parameters!$C117)+(U7*Parameters!$C116)+(U8*Parameters!$C118)+(U9*Parameters!$C119)</f>
        <v>1.2772256520934023E-10</v>
      </c>
      <c r="V10">
        <f>(V5*Parameters!$C115)+(V6*Parameters!$C117)+(V7*Parameters!$C116)+(V8*Parameters!$C118)+(V9*Parameters!$C119)</f>
        <v>3.4586047105468522E-10</v>
      </c>
      <c r="W10">
        <f>(W5*Parameters!$C115)+(W6*Parameters!$C117)+(W7*Parameters!$C116)+(W8*Parameters!$C118)+(W9*Parameters!$C119)</f>
        <v>4.7917667328448224E-3</v>
      </c>
      <c r="X10">
        <f>(X5*Parameters!$C115)+(X6*Parameters!$C117)+(X7*Parameters!$C116)+(X8*Parameters!$C118)+(X9*Parameters!$C119)</f>
        <v>7.6503817668579894E-5</v>
      </c>
      <c r="Y10">
        <f>(Y5*Parameters!$C115)+(Y6*Parameters!$C117)+(Y7*Parameters!$C116)+(Y8*Parameters!$C118)+(Y9*Parameters!$C119)</f>
        <v>2.5047178153681755E-10</v>
      </c>
      <c r="Z10">
        <f>(Z5*Parameters!$C115)+(Z6*Parameters!$C117)+(Z7*Parameters!$C116)+(Z8*Parameters!$C118)+(Z9*Parameters!$C119)</f>
        <v>9.5410658022027234E-8</v>
      </c>
      <c r="AA10">
        <f>(AA5*Parameters!$C115)+(AA6*Parameters!$C117)+(AA7*Parameters!$C116)+(AA8*Parameters!$C118)+(AA9*Parameters!$C119)</f>
        <v>4.8682705526166105E-3</v>
      </c>
    </row>
    <row r="11" spans="1:27" x14ac:dyDescent="0.35">
      <c r="A11" t="s">
        <v>96</v>
      </c>
      <c r="B11" t="s">
        <v>88</v>
      </c>
      <c r="C11">
        <v>0</v>
      </c>
      <c r="D11">
        <v>2.5999999999999998E-12</v>
      </c>
      <c r="E11" s="5">
        <v>9.5200000000000005E-8</v>
      </c>
      <c r="O11">
        <v>3.1600000000000002E-5</v>
      </c>
      <c r="Y11" s="5">
        <f>SUM(D11:E11)</f>
        <v>9.52026E-8</v>
      </c>
      <c r="Z11">
        <v>3.1600000000000002E-5</v>
      </c>
      <c r="AA11">
        <v>0</v>
      </c>
    </row>
    <row r="12" spans="1:27" x14ac:dyDescent="0.35">
      <c r="A12" t="s">
        <v>25</v>
      </c>
      <c r="B12" t="s">
        <v>88</v>
      </c>
      <c r="C12" s="5">
        <v>7.6300000000000002E-8</v>
      </c>
      <c r="L12" s="5">
        <v>1.29E-7</v>
      </c>
      <c r="T12" s="5">
        <v>6.9200000000000002E-5</v>
      </c>
      <c r="U12" s="5">
        <v>9.0999999999999997E-7</v>
      </c>
      <c r="Y12" s="5">
        <f>SUM(C12:N12)</f>
        <v>2.0530000000000002E-7</v>
      </c>
      <c r="Z12">
        <f>SUM(O12:V12)</f>
        <v>7.0110000000000005E-5</v>
      </c>
    </row>
    <row r="13" spans="1:27" x14ac:dyDescent="0.35">
      <c r="A13" t="s">
        <v>26</v>
      </c>
      <c r="B13" t="s">
        <v>88</v>
      </c>
      <c r="L13" s="5">
        <v>3.7399999999999997E-8</v>
      </c>
      <c r="U13" s="5">
        <v>1.6400000000000001E-7</v>
      </c>
      <c r="Y13" s="5">
        <f t="shared" ref="Y13:Y22" si="0">SUM(C13:N13)</f>
        <v>3.7399999999999997E-8</v>
      </c>
      <c r="Z13">
        <f t="shared" ref="Z13:Z22" si="1">SUM(O13:V13)</f>
        <v>1.6400000000000001E-7</v>
      </c>
    </row>
    <row r="14" spans="1:27" x14ac:dyDescent="0.35">
      <c r="A14" t="s">
        <v>27</v>
      </c>
      <c r="B14" t="s">
        <v>88</v>
      </c>
      <c r="C14" s="5">
        <v>2.1199999999999999E-7</v>
      </c>
      <c r="T14">
        <v>1.8000000000000001E-4</v>
      </c>
      <c r="Y14" s="5">
        <f t="shared" si="0"/>
        <v>2.1199999999999999E-7</v>
      </c>
      <c r="Z14">
        <f t="shared" si="1"/>
        <v>1.8000000000000001E-4</v>
      </c>
    </row>
    <row r="15" spans="1:27" x14ac:dyDescent="0.35">
      <c r="A15" t="s">
        <v>28</v>
      </c>
      <c r="B15" t="s">
        <v>88</v>
      </c>
      <c r="Y15" s="5">
        <f t="shared" si="0"/>
        <v>0</v>
      </c>
      <c r="Z15">
        <f t="shared" si="1"/>
        <v>0</v>
      </c>
    </row>
    <row r="16" spans="1:27" x14ac:dyDescent="0.35">
      <c r="A16" t="s">
        <v>29</v>
      </c>
      <c r="B16" t="s">
        <v>88</v>
      </c>
      <c r="Y16" s="5">
        <f t="shared" si="0"/>
        <v>0</v>
      </c>
      <c r="Z16">
        <f t="shared" si="1"/>
        <v>0</v>
      </c>
    </row>
    <row r="17" spans="1:27" x14ac:dyDescent="0.35">
      <c r="A17" t="s">
        <v>30</v>
      </c>
      <c r="B17" t="s">
        <v>88</v>
      </c>
      <c r="C17" s="5">
        <v>4.1600000000000002E-7</v>
      </c>
      <c r="T17">
        <v>1.4999999999999999E-4</v>
      </c>
      <c r="Y17" s="5">
        <f t="shared" si="0"/>
        <v>4.1600000000000002E-7</v>
      </c>
      <c r="Z17">
        <f t="shared" si="1"/>
        <v>1.4999999999999999E-4</v>
      </c>
    </row>
    <row r="18" spans="1:27" x14ac:dyDescent="0.35">
      <c r="A18" t="s">
        <v>223</v>
      </c>
      <c r="B18" t="s">
        <v>88</v>
      </c>
      <c r="C18" s="5">
        <v>2.1199999999999999E-7</v>
      </c>
      <c r="T18">
        <v>1.8000000000000001E-4</v>
      </c>
      <c r="Y18" s="5">
        <f t="shared" si="0"/>
        <v>2.1199999999999999E-7</v>
      </c>
      <c r="Z18">
        <f t="shared" si="1"/>
        <v>1.8000000000000001E-4</v>
      </c>
    </row>
    <row r="19" spans="1:27" x14ac:dyDescent="0.35">
      <c r="A19" t="s">
        <v>224</v>
      </c>
      <c r="B19" t="s">
        <v>88</v>
      </c>
      <c r="D19" s="5">
        <v>2.2800000000000001E-11</v>
      </c>
      <c r="E19" s="5">
        <v>8.3399999999999998E-7</v>
      </c>
      <c r="O19">
        <v>2.7999999999999998E-4</v>
      </c>
      <c r="S19" s="5">
        <v>5.84E-6</v>
      </c>
      <c r="Y19" s="5">
        <f t="shared" si="0"/>
        <v>8.3402279999999999E-7</v>
      </c>
      <c r="Z19">
        <f t="shared" si="1"/>
        <v>2.8583999999999999E-4</v>
      </c>
    </row>
    <row r="20" spans="1:27" x14ac:dyDescent="0.35">
      <c r="A20" t="s">
        <v>225</v>
      </c>
      <c r="B20" t="s">
        <v>88</v>
      </c>
      <c r="J20" s="5">
        <v>1.1399999999999999E-10</v>
      </c>
      <c r="Y20" s="5">
        <f t="shared" si="0"/>
        <v>1.1399999999999999E-10</v>
      </c>
      <c r="Z20">
        <f t="shared" si="1"/>
        <v>0</v>
      </c>
    </row>
    <row r="21" spans="1:27" x14ac:dyDescent="0.35">
      <c r="A21" t="s">
        <v>144</v>
      </c>
      <c r="B21" t="s">
        <v>88</v>
      </c>
      <c r="T21">
        <v>6.3000000000000003E-4</v>
      </c>
      <c r="Y21" s="5">
        <f t="shared" si="0"/>
        <v>0</v>
      </c>
      <c r="Z21">
        <f t="shared" si="1"/>
        <v>6.3000000000000003E-4</v>
      </c>
    </row>
    <row r="22" spans="1:27" x14ac:dyDescent="0.35">
      <c r="A22" t="s">
        <v>226</v>
      </c>
      <c r="B22" t="s">
        <v>88</v>
      </c>
      <c r="L22">
        <v>3.74</v>
      </c>
      <c r="U22" s="5">
        <v>1.6400000000000001E-7</v>
      </c>
      <c r="Y22" s="5">
        <f t="shared" si="0"/>
        <v>3.74</v>
      </c>
      <c r="Z22">
        <f t="shared" si="1"/>
        <v>1.6400000000000001E-7</v>
      </c>
    </row>
    <row r="23" spans="1:27" x14ac:dyDescent="0.35">
      <c r="A23" t="s">
        <v>141</v>
      </c>
      <c r="B23" t="s">
        <v>88</v>
      </c>
      <c r="U23" s="5"/>
      <c r="Y23" s="5"/>
    </row>
    <row r="24" spans="1:27" x14ac:dyDescent="0.35">
      <c r="A24" t="s">
        <v>414</v>
      </c>
      <c r="B24" t="s">
        <v>88</v>
      </c>
      <c r="U24" s="5"/>
      <c r="Y24" s="5"/>
    </row>
    <row r="25" spans="1:27" x14ac:dyDescent="0.35">
      <c r="A25" t="s">
        <v>227</v>
      </c>
      <c r="B25" t="s">
        <v>88</v>
      </c>
      <c r="C25">
        <v>4.983669829089901E-10</v>
      </c>
      <c r="D25">
        <v>7.1004269256274852E-14</v>
      </c>
      <c r="E25">
        <v>2.6028659285170504E-9</v>
      </c>
      <c r="F25">
        <v>5.6154247942144196E-12</v>
      </c>
      <c r="G25">
        <v>1.5182812788695612E-12</v>
      </c>
      <c r="H25">
        <v>2.1147145559381063E-11</v>
      </c>
      <c r="I25">
        <v>3.3877599749237226E-11</v>
      </c>
      <c r="J25">
        <v>1.6178475240158179E-13</v>
      </c>
      <c r="K25">
        <v>7.2855538299788649E-11</v>
      </c>
      <c r="L25">
        <v>3.9934669530782491E-10</v>
      </c>
      <c r="M25">
        <v>9.5427569940992946E-16</v>
      </c>
      <c r="N25">
        <v>2.1329009837804719E-11</v>
      </c>
      <c r="O25">
        <v>8.6181024668944941E-7</v>
      </c>
      <c r="P25">
        <v>1.1021083418186001E-7</v>
      </c>
      <c r="Q25">
        <v>5.4037914951465654E-8</v>
      </c>
      <c r="R25">
        <v>1.5771864578724416E-10</v>
      </c>
      <c r="S25">
        <v>1.1967107429638763E-10</v>
      </c>
      <c r="T25">
        <v>5.3493627794186754E-7</v>
      </c>
      <c r="U25">
        <v>2.2233798527275997E-9</v>
      </c>
      <c r="V25">
        <v>3.507437173327887E-9</v>
      </c>
      <c r="W25">
        <v>0.53665358043050149</v>
      </c>
      <c r="X25">
        <v>4.0760870991140251E-3</v>
      </c>
      <c r="Y25">
        <v>3.6358264859855284E-9</v>
      </c>
      <c r="Z25">
        <v>1.5670016465602831E-6</v>
      </c>
      <c r="AA25">
        <v>0.54072966755094443</v>
      </c>
    </row>
    <row r="26" spans="1:27" x14ac:dyDescent="0.35">
      <c r="A26" t="s">
        <v>228</v>
      </c>
      <c r="B26" t="s">
        <v>88</v>
      </c>
      <c r="C26">
        <v>1.2903560550158734E-9</v>
      </c>
      <c r="D26">
        <v>1.236910881897954E-13</v>
      </c>
      <c r="E26">
        <v>4.5285501912416265E-9</v>
      </c>
      <c r="F26">
        <v>5.4939864435666631E-11</v>
      </c>
      <c r="G26">
        <v>1.090960398967503E-11</v>
      </c>
      <c r="H26">
        <v>9.0318774920851277E-11</v>
      </c>
      <c r="I26">
        <v>1.3531373967999025E-10</v>
      </c>
      <c r="J26">
        <v>3.1878816295025403E-13</v>
      </c>
      <c r="K26">
        <v>1.6575235202980951E-10</v>
      </c>
      <c r="L26">
        <v>3.0534653768778237E-10</v>
      </c>
      <c r="M26">
        <v>1.4978970746935654E-14</v>
      </c>
      <c r="N26">
        <v>3.3479487596627707E-10</v>
      </c>
      <c r="O26">
        <v>1.5008620752103469E-6</v>
      </c>
      <c r="P26">
        <v>2.5680399730187202E-7</v>
      </c>
      <c r="Q26">
        <v>2.8870746017828656E-7</v>
      </c>
      <c r="R26">
        <v>4.4847747973617253E-10</v>
      </c>
      <c r="S26">
        <v>3.0200038604066297E-9</v>
      </c>
      <c r="T26">
        <v>8.4635306132914434E-7</v>
      </c>
      <c r="U26">
        <v>1.9847696362535121E-9</v>
      </c>
      <c r="V26">
        <v>5.5055157381121117E-8</v>
      </c>
      <c r="W26">
        <v>0.16256298786445972</v>
      </c>
      <c r="X26">
        <v>4.5505917491983966E-3</v>
      </c>
      <c r="Y26">
        <v>6.5819389812091905E-9</v>
      </c>
      <c r="Z26">
        <v>2.9532312261186565E-6</v>
      </c>
      <c r="AA26">
        <v>0.16711357994845299</v>
      </c>
    </row>
    <row r="27" spans="1:27" x14ac:dyDescent="0.35">
      <c r="A27" t="s">
        <v>229</v>
      </c>
      <c r="B27" t="s">
        <v>88</v>
      </c>
      <c r="C27">
        <v>4.5731349930453924E-10</v>
      </c>
      <c r="D27">
        <v>5.1939993614940431E-14</v>
      </c>
      <c r="E27">
        <v>1.901807155086487E-9</v>
      </c>
      <c r="F27">
        <v>3.0914422636337489E-11</v>
      </c>
      <c r="G27">
        <v>6.4039124253608989E-12</v>
      </c>
      <c r="H27">
        <v>9.0270488752674063E-11</v>
      </c>
      <c r="I27">
        <v>9.2436064204234611E-11</v>
      </c>
      <c r="J27">
        <v>3.1650790071921729E-14</v>
      </c>
      <c r="K27">
        <v>3.7025811887953699E-10</v>
      </c>
      <c r="L27">
        <v>3.200923558887861E-10</v>
      </c>
      <c r="M27">
        <v>3.9724300620285287E-15</v>
      </c>
      <c r="N27">
        <v>8.8787758008915788E-11</v>
      </c>
      <c r="O27">
        <v>6.3016516199824607E-7</v>
      </c>
      <c r="P27">
        <v>1.8056663242885164E-7</v>
      </c>
      <c r="Q27">
        <v>1.8866752534512601E-7</v>
      </c>
      <c r="R27">
        <v>2.5133908544392968E-10</v>
      </c>
      <c r="S27">
        <v>1.1007191877505638E-10</v>
      </c>
      <c r="T27">
        <v>5.3378601298177583E-7</v>
      </c>
      <c r="U27">
        <v>2.1513031673355926E-9</v>
      </c>
      <c r="V27">
        <v>1.4600653539243928E-8</v>
      </c>
      <c r="W27">
        <v>8.230656580151946E-2</v>
      </c>
      <c r="X27">
        <v>4.4666042039065001E-3</v>
      </c>
      <c r="Y27">
        <v>3.2695771673340732E-9</v>
      </c>
      <c r="Z27">
        <v>1.5502957078290348E-6</v>
      </c>
      <c r="AA27">
        <v>8.6773170094213717E-2</v>
      </c>
    </row>
    <row r="28" spans="1:27" x14ac:dyDescent="0.35">
      <c r="A28" t="s">
        <v>230</v>
      </c>
      <c r="B28" t="s">
        <v>88</v>
      </c>
      <c r="C28">
        <v>1.0872882259128413E-9</v>
      </c>
      <c r="D28">
        <v>3.0276303792831464E-14</v>
      </c>
      <c r="E28">
        <v>1.1084688728328024E-9</v>
      </c>
      <c r="F28">
        <v>3.6151530155673818E-11</v>
      </c>
      <c r="G28">
        <v>7.2919004945323216E-12</v>
      </c>
      <c r="H28">
        <v>6.7357210708671318E-11</v>
      </c>
      <c r="I28">
        <v>3.7084478211904609E-10</v>
      </c>
      <c r="J28">
        <v>5.109720493595031E-14</v>
      </c>
      <c r="K28">
        <v>3.4844915796198512E-10</v>
      </c>
      <c r="L28">
        <v>1.2775223802998283E-10</v>
      </c>
      <c r="M28">
        <v>6.6683348895333295E-15</v>
      </c>
      <c r="N28">
        <v>1.4904390895480126E-10</v>
      </c>
      <c r="O28">
        <v>3.6731737833972353E-7</v>
      </c>
      <c r="P28">
        <v>1.5680442823113004E-7</v>
      </c>
      <c r="Q28">
        <v>2.5835835034676093E-7</v>
      </c>
      <c r="R28">
        <v>9.0684647452624341E-10</v>
      </c>
      <c r="S28">
        <v>7.6643703289934319E-11</v>
      </c>
      <c r="T28">
        <v>1.121714368220729E-6</v>
      </c>
      <c r="U28">
        <v>8.6403548311122312E-10</v>
      </c>
      <c r="V28">
        <v>2.450944280590065E-8</v>
      </c>
      <c r="W28">
        <v>2.9816667827586067E-2</v>
      </c>
      <c r="X28">
        <v>5.6418414094700766E-3</v>
      </c>
      <c r="Y28">
        <v>3.1535829950125913E-9</v>
      </c>
      <c r="Z28">
        <v>1.9305148860858658E-6</v>
      </c>
      <c r="AA28">
        <v>3.5458509386100054E-2</v>
      </c>
    </row>
    <row r="29" spans="1:27" x14ac:dyDescent="0.35">
      <c r="A29" t="s">
        <v>231</v>
      </c>
      <c r="B29" t="s">
        <v>88</v>
      </c>
      <c r="C29">
        <v>6.2097949197681294E-12</v>
      </c>
      <c r="D29">
        <v>1.2091191114195552E-15</v>
      </c>
      <c r="E29">
        <v>4.4341963954036651E-11</v>
      </c>
      <c r="F29">
        <v>3.0961020881446543E-13</v>
      </c>
      <c r="G29">
        <v>6.4194149839875764E-14</v>
      </c>
      <c r="H29">
        <v>8.7185554408125073E-13</v>
      </c>
      <c r="I29">
        <v>1.1915217478114802E-12</v>
      </c>
      <c r="J29">
        <v>4.9735637749715845E-16</v>
      </c>
      <c r="K29">
        <v>1.1597873956364744E-11</v>
      </c>
      <c r="L29">
        <v>6.3920644667171888E-12</v>
      </c>
      <c r="M29">
        <v>4.8920948847619388E-16</v>
      </c>
      <c r="N29">
        <v>1.0934318037133472E-11</v>
      </c>
      <c r="O29">
        <v>1.467782178053898E-8</v>
      </c>
      <c r="P29">
        <v>3.1294078280269392E-9</v>
      </c>
      <c r="Q29">
        <v>1.9605176163020427E-9</v>
      </c>
      <c r="R29">
        <v>3.5221544095291014E-11</v>
      </c>
      <c r="S29">
        <v>2.224020707763221E-12</v>
      </c>
      <c r="T29">
        <v>8.3868789448432746E-9</v>
      </c>
      <c r="U29">
        <v>4.3740134084856118E-11</v>
      </c>
      <c r="V29">
        <v>1.798087854995282E-9</v>
      </c>
      <c r="W29">
        <v>7.5517092524453127E-4</v>
      </c>
      <c r="X29">
        <v>6.6423091520455708E-5</v>
      </c>
      <c r="Y29">
        <v>7.0981050916573022E-11</v>
      </c>
      <c r="Z29">
        <v>3.0033863361540094E-8</v>
      </c>
      <c r="AA29">
        <v>8.2159402769930512E-4</v>
      </c>
    </row>
    <row r="30" spans="1:27" x14ac:dyDescent="0.35">
      <c r="A30" t="s">
        <v>127</v>
      </c>
      <c r="B30" t="s">
        <v>88</v>
      </c>
      <c r="C30">
        <v>3.3084794185414775E-9</v>
      </c>
      <c r="D30">
        <v>2.6005111794897385E-13</v>
      </c>
      <c r="E30">
        <v>9.5219762370292677E-9</v>
      </c>
      <c r="F30">
        <v>3.8303822429834074E-11</v>
      </c>
      <c r="G30">
        <v>8.0540872150619489E-12</v>
      </c>
      <c r="H30">
        <v>4.3311566368075161E-11</v>
      </c>
      <c r="I30">
        <v>9.0505175578512102E-10</v>
      </c>
      <c r="J30">
        <v>1.5553625359238771E-13</v>
      </c>
      <c r="K30">
        <v>3.4986678366341091E-10</v>
      </c>
      <c r="L30">
        <v>1.0225381521255759E-9</v>
      </c>
      <c r="M30">
        <v>5.4859180788209292E-15</v>
      </c>
      <c r="N30">
        <v>1.2261571864914331E-10</v>
      </c>
      <c r="O30">
        <v>3.1550731057536067E-6</v>
      </c>
      <c r="P30">
        <v>4.0692500593119021E-7</v>
      </c>
      <c r="Q30">
        <v>5.438742452085509E-7</v>
      </c>
      <c r="R30">
        <v>1.0334842442060117E-9</v>
      </c>
      <c r="S30">
        <v>3.3962297270444272E-10</v>
      </c>
      <c r="T30">
        <v>3.7533300223713947E-6</v>
      </c>
      <c r="U30">
        <v>7.0774853865865652E-9</v>
      </c>
      <c r="V30">
        <v>2.0163473733414676E-8</v>
      </c>
      <c r="W30">
        <v>0.14272879667708727</v>
      </c>
      <c r="X30">
        <v>2.3777992590392773E-3</v>
      </c>
      <c r="Y30">
        <v>1.5197905161534491E-8</v>
      </c>
      <c r="Z30">
        <v>7.8877796830136044E-6</v>
      </c>
      <c r="AA30">
        <v>0.14510659605874227</v>
      </c>
    </row>
    <row r="31" spans="1:27" x14ac:dyDescent="0.35">
      <c r="A31" t="s">
        <v>253</v>
      </c>
      <c r="B31" t="s">
        <v>88</v>
      </c>
      <c r="C31">
        <v>4.5428433234108039E-9</v>
      </c>
      <c r="D31">
        <v>4.0558264438822112E-13</v>
      </c>
      <c r="E31">
        <v>1.4850289590455413E-8</v>
      </c>
      <c r="F31">
        <v>2.7419700616910455E-10</v>
      </c>
      <c r="G31">
        <v>5.6207622730559858E-11</v>
      </c>
      <c r="H31">
        <v>3.8952531874588023E-10</v>
      </c>
      <c r="I31">
        <v>1.3335995328815145E-9</v>
      </c>
      <c r="J31">
        <v>4.3267918336867326E-13</v>
      </c>
      <c r="K31">
        <v>1.0867890069376035E-9</v>
      </c>
      <c r="L31">
        <v>1.9279206876519991E-9</v>
      </c>
      <c r="M31">
        <v>4.4888536688586988E-14</v>
      </c>
      <c r="N31">
        <v>1.0033033862515306E-9</v>
      </c>
      <c r="O31">
        <v>4.9206984223972336E-6</v>
      </c>
      <c r="P31">
        <v>5.8408873857330551E-6</v>
      </c>
      <c r="Q31">
        <v>2.0060128741872115E-6</v>
      </c>
      <c r="R31">
        <v>2.4426086558711506E-9</v>
      </c>
      <c r="S31">
        <v>1.2827195689062224E-9</v>
      </c>
      <c r="T31">
        <v>5.8557816202500278E-6</v>
      </c>
      <c r="U31">
        <v>1.3190524840312319E-8</v>
      </c>
      <c r="V31">
        <v>1.6498766796136279E-7</v>
      </c>
      <c r="W31">
        <v>0.36568076951268635</v>
      </c>
      <c r="X31">
        <v>8.1563185427371815E-2</v>
      </c>
      <c r="Y31">
        <v>2.4461901244218563E-8</v>
      </c>
      <c r="Z31">
        <v>1.8805159742434524E-5</v>
      </c>
      <c r="AA31">
        <v>0.44724395594336153</v>
      </c>
    </row>
    <row r="32" spans="1:27" x14ac:dyDescent="0.35">
      <c r="A32" t="s">
        <v>281</v>
      </c>
      <c r="B32" t="s">
        <v>239</v>
      </c>
      <c r="C32">
        <v>3.0980005472896987E-10</v>
      </c>
      <c r="D32">
        <v>3.7034863959589277E-14</v>
      </c>
      <c r="E32">
        <v>1.3559185774734863E-9</v>
      </c>
      <c r="F32">
        <v>1.9745114809271445E-11</v>
      </c>
      <c r="G32">
        <v>4.04235900060286E-12</v>
      </c>
      <c r="H32">
        <v>2.0399634567786858E-11</v>
      </c>
      <c r="I32">
        <v>1.2120499029823399E-9</v>
      </c>
      <c r="J32">
        <v>9.3061501902597096E-12</v>
      </c>
      <c r="K32">
        <v>7.5752204634432062E-11</v>
      </c>
      <c r="L32">
        <v>1.4648177409805042E-10</v>
      </c>
      <c r="M32">
        <v>1.8081915273887525E-15</v>
      </c>
      <c r="N32">
        <v>4.041487685388768E-11</v>
      </c>
      <c r="O32">
        <v>4.4954134166926432E-7</v>
      </c>
      <c r="P32">
        <v>1.1106039741960881E-7</v>
      </c>
      <c r="Q32">
        <v>7.8361929850979643E-7</v>
      </c>
      <c r="R32">
        <v>1.6422965543519593E-10</v>
      </c>
      <c r="S32">
        <v>1.038467498362546E-9</v>
      </c>
      <c r="T32">
        <v>4.3570106490276566E-7</v>
      </c>
      <c r="U32">
        <v>1.0083634113283089E-9</v>
      </c>
      <c r="V32">
        <v>6.6460019715281962E-9</v>
      </c>
      <c r="W32">
        <v>2.1413470517384101E-2</v>
      </c>
      <c r="X32">
        <v>1.5321649384903453E-3</v>
      </c>
      <c r="Y32">
        <v>3.1534906728848229E-9</v>
      </c>
      <c r="Z32">
        <v>1.7887641523172851E-6</v>
      </c>
      <c r="AA32">
        <v>2.2945635496289321E-2</v>
      </c>
    </row>
    <row r="33" spans="1:27" x14ac:dyDescent="0.35">
      <c r="A33" t="s">
        <v>340</v>
      </c>
      <c r="B33" t="s">
        <v>88</v>
      </c>
      <c r="C33">
        <v>2.4242303809928284E-11</v>
      </c>
      <c r="D33">
        <v>3.5222741298615119E-15</v>
      </c>
      <c r="E33">
        <v>1.2897024547754238E-10</v>
      </c>
      <c r="F33">
        <v>7.1640673848335711E-13</v>
      </c>
      <c r="G33">
        <v>1.6946260084485267E-13</v>
      </c>
      <c r="H33">
        <v>5.26582823651279E-12</v>
      </c>
      <c r="I33">
        <v>1.0598517377935658E-11</v>
      </c>
      <c r="J33">
        <v>4.2925789170707806E-15</v>
      </c>
      <c r="K33">
        <v>4.1619407118702846E-9</v>
      </c>
      <c r="L33">
        <v>2.92282520401614E-11</v>
      </c>
      <c r="M33">
        <v>1.3013709692742795E-16</v>
      </c>
      <c r="N33">
        <v>2.908693391589863E-12</v>
      </c>
      <c r="O33">
        <v>4.2734458113026632E-8</v>
      </c>
      <c r="P33">
        <v>1.0632764746456142E-8</v>
      </c>
      <c r="Q33">
        <v>6.3240027935987894E-9</v>
      </c>
      <c r="R33">
        <v>3.3742245359687264E-11</v>
      </c>
      <c r="S33">
        <v>9.0485983011285028E-12</v>
      </c>
      <c r="T33">
        <v>3.1599478886115938E-8</v>
      </c>
      <c r="U33">
        <v>1.8806070092002051E-10</v>
      </c>
      <c r="V33">
        <v>4.7831846883922196E-10</v>
      </c>
      <c r="W33">
        <v>5.5884150002358151E-3</v>
      </c>
      <c r="X33">
        <v>1.9319061627550541E-4</v>
      </c>
      <c r="Y33">
        <v>4.3611326047756398E-9</v>
      </c>
      <c r="Z33">
        <v>9.199747366442324E-8</v>
      </c>
      <c r="AA33">
        <v>5.781605619420014E-3</v>
      </c>
    </row>
    <row r="35" spans="1:27" x14ac:dyDescent="0.35">
      <c r="A35" t="s">
        <v>341</v>
      </c>
      <c r="B35" t="s">
        <v>128</v>
      </c>
      <c r="C35">
        <v>4.9846823650014406E-11</v>
      </c>
      <c r="D35">
        <v>2.9182754498058836E-15</v>
      </c>
      <c r="E35">
        <v>1.0683408598999516E-10</v>
      </c>
      <c r="F35">
        <v>2.3968473325271964E-11</v>
      </c>
      <c r="G35">
        <v>4.4399280224569569E-12</v>
      </c>
      <c r="H35">
        <v>1.558904173733789E-11</v>
      </c>
      <c r="I35">
        <v>1.2282375454840559E-11</v>
      </c>
      <c r="J35">
        <v>2.8749046893098723E-15</v>
      </c>
      <c r="K35">
        <v>5.4852618860070514E-10</v>
      </c>
      <c r="L35">
        <v>3.0426959614137384E-11</v>
      </c>
      <c r="M35">
        <v>1.9278028517772286E-16</v>
      </c>
      <c r="N35">
        <v>4.3088308773166538E-12</v>
      </c>
      <c r="O35">
        <v>3.5405775661547321E-8</v>
      </c>
      <c r="P35">
        <v>2.5111371101289823E-8</v>
      </c>
      <c r="Q35">
        <v>3.8380388839090897E-8</v>
      </c>
      <c r="R35">
        <v>2.8978415513032786E-12</v>
      </c>
      <c r="S35">
        <v>5.5499351411054477E-11</v>
      </c>
      <c r="T35">
        <v>6.19698329257581E-8</v>
      </c>
      <c r="U35">
        <v>2.0750681548361083E-10</v>
      </c>
      <c r="V35">
        <v>7.0856329982540533E-10</v>
      </c>
      <c r="W35">
        <v>2.405136865189009E-3</v>
      </c>
      <c r="X35">
        <v>8.6647559681086645E-5</v>
      </c>
      <c r="Y35">
        <v>7.919181602178388E-10</v>
      </c>
      <c r="Z35">
        <v>1.6184122589582546E-7</v>
      </c>
      <c r="AA35">
        <v>2.4917844291789267E-3</v>
      </c>
    </row>
    <row r="36" spans="1:27" x14ac:dyDescent="0.35">
      <c r="A36" t="s">
        <v>343</v>
      </c>
      <c r="B36" t="s">
        <v>239</v>
      </c>
      <c r="C36">
        <v>2.3325245138636861E-10</v>
      </c>
      <c r="D36">
        <v>6.108470009980132E-14</v>
      </c>
      <c r="E36">
        <v>2.2394276774909846E-9</v>
      </c>
      <c r="F36">
        <v>1.0676366081585286E-11</v>
      </c>
      <c r="G36">
        <v>2.1475382427494349E-12</v>
      </c>
      <c r="H36">
        <v>1.1590520667208332E-11</v>
      </c>
      <c r="I36">
        <v>4.2057953090261931E-11</v>
      </c>
      <c r="J36">
        <v>1.0235600166236931E-14</v>
      </c>
      <c r="K36">
        <v>5.5578163641785336E-11</v>
      </c>
      <c r="L36">
        <v>2.7948520381965429E-10</v>
      </c>
      <c r="M36">
        <v>1.0544133451368507E-15</v>
      </c>
      <c r="N36">
        <v>2.356718569428392E-11</v>
      </c>
      <c r="O36">
        <v>7.41438773598142E-7</v>
      </c>
      <c r="P36">
        <v>1.6239847135053153E-8</v>
      </c>
      <c r="Q36">
        <v>5.0782027538926271E-8</v>
      </c>
      <c r="R36">
        <v>4.2279757980301447E-11</v>
      </c>
      <c r="S36">
        <v>1.2320084093421672E-10</v>
      </c>
      <c r="T36">
        <v>2.9724331012419835E-7</v>
      </c>
      <c r="U36">
        <v>1.7003728180463486E-9</v>
      </c>
      <c r="V36">
        <v>3.8754927586155773E-9</v>
      </c>
      <c r="W36">
        <v>0.35587280746620498</v>
      </c>
      <c r="X36">
        <v>7.7208637981963501E-4</v>
      </c>
      <c r="Y36">
        <v>2.8742895711901222E-9</v>
      </c>
      <c r="Z36">
        <v>1.1114443851728538E-6</v>
      </c>
      <c r="AA36">
        <v>0.35664489386959181</v>
      </c>
    </row>
    <row r="37" spans="1:27" x14ac:dyDescent="0.35">
      <c r="A37" t="s">
        <v>345</v>
      </c>
      <c r="B37" t="s">
        <v>219</v>
      </c>
      <c r="C37">
        <f>(C8*0.75)+(C5*0.25)</f>
        <v>2.6595685730377663E-11</v>
      </c>
      <c r="D37">
        <f>(D8*0.75)+(D5*0.25)</f>
        <v>2.4928226719357724E-15</v>
      </c>
      <c r="E37">
        <f t="shared" ref="E37:AA37" si="2">(E8*0.75)+(E5*0.25)</f>
        <v>9.1278286641269702E-11</v>
      </c>
      <c r="F37">
        <f t="shared" si="2"/>
        <v>5.2000452450520079E-13</v>
      </c>
      <c r="G37">
        <f t="shared" si="2"/>
        <v>1.1037578430867898E-13</v>
      </c>
      <c r="H37">
        <f t="shared" si="2"/>
        <v>1.5440343434932062E-12</v>
      </c>
      <c r="I37">
        <f t="shared" si="2"/>
        <v>3.6076145291071476E-12</v>
      </c>
      <c r="J37">
        <f t="shared" si="2"/>
        <v>9.704766315951978E-16</v>
      </c>
      <c r="K37">
        <f t="shared" si="2"/>
        <v>1.8787604703186755E-10</v>
      </c>
      <c r="L37">
        <f t="shared" si="2"/>
        <v>3.3463934678329335E-11</v>
      </c>
      <c r="M37">
        <f t="shared" si="2"/>
        <v>1.6816333767364172E-16</v>
      </c>
      <c r="N37">
        <f t="shared" si="2"/>
        <v>3.7586176466790777E-12</v>
      </c>
      <c r="O37">
        <f t="shared" si="2"/>
        <v>3.0246024513195001E-8</v>
      </c>
      <c r="P37">
        <f t="shared" si="2"/>
        <v>4.87179694459517E-9</v>
      </c>
      <c r="Q37">
        <f t="shared" si="2"/>
        <v>7.7347697945792891E-9</v>
      </c>
      <c r="R37">
        <f t="shared" si="2"/>
        <v>9.2765143556277638E-12</v>
      </c>
      <c r="S37">
        <f t="shared" si="2"/>
        <v>1.9758163264662677E-11</v>
      </c>
      <c r="T37">
        <f t="shared" si="2"/>
        <v>8.9505047679695333E-8</v>
      </c>
      <c r="U37">
        <f t="shared" si="2"/>
        <v>2.3139374905677062E-10</v>
      </c>
      <c r="V37">
        <f t="shared" si="2"/>
        <v>6.1808379078722627E-10</v>
      </c>
      <c r="W37">
        <f t="shared" si="2"/>
        <v>3.1335106482133441E-3</v>
      </c>
      <c r="X37">
        <f t="shared" si="2"/>
        <v>6.9488304597880267E-5</v>
      </c>
      <c r="Y37">
        <f t="shared" si="2"/>
        <v>3.4499790263951627E-10</v>
      </c>
      <c r="Z37">
        <f t="shared" si="2"/>
        <v>1.3323554253261572E-7</v>
      </c>
      <c r="AA37">
        <f t="shared" si="2"/>
        <v>3.2029989565698419E-3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A8637-5014-4DAF-B847-849560F6E5D4}">
  <dimension ref="A1:W37"/>
  <sheetViews>
    <sheetView workbookViewId="0">
      <selection activeCell="B24" sqref="B24"/>
    </sheetView>
  </sheetViews>
  <sheetFormatPr baseColWidth="10" defaultRowHeight="14.5" x14ac:dyDescent="0.35"/>
  <cols>
    <col min="1" max="1" width="17.1796875" customWidth="1"/>
    <col min="2" max="2" width="13.453125" customWidth="1"/>
    <col min="3" max="3" width="23.6328125" customWidth="1"/>
    <col min="4" max="4" width="30.36328125" customWidth="1"/>
    <col min="5" max="16" width="8.6328125" customWidth="1"/>
    <col min="20" max="20" width="19.90625" customWidth="1"/>
    <col min="22" max="22" width="40.08984375" customWidth="1"/>
  </cols>
  <sheetData>
    <row r="1" spans="1:23" x14ac:dyDescent="0.35">
      <c r="A1" t="s">
        <v>0</v>
      </c>
      <c r="B1" t="s">
        <v>184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  <c r="M1" t="s">
        <v>42</v>
      </c>
      <c r="N1" t="s">
        <v>43</v>
      </c>
      <c r="O1" t="s">
        <v>44</v>
      </c>
      <c r="P1" t="s">
        <v>45</v>
      </c>
      <c r="Q1" t="s">
        <v>46</v>
      </c>
      <c r="R1" t="s">
        <v>47</v>
      </c>
      <c r="S1" t="s">
        <v>48</v>
      </c>
      <c r="T1" t="s">
        <v>49</v>
      </c>
      <c r="V1" t="s">
        <v>185</v>
      </c>
      <c r="W1" t="s">
        <v>213</v>
      </c>
    </row>
    <row r="2" spans="1:23" x14ac:dyDescent="0.35">
      <c r="A2" t="s">
        <v>8</v>
      </c>
      <c r="B2" t="s">
        <v>211</v>
      </c>
      <c r="C2">
        <v>9.0493809546383924E-5</v>
      </c>
      <c r="D2">
        <v>7.9406188508472433E-2</v>
      </c>
      <c r="E2">
        <v>6.2034311158523066E-3</v>
      </c>
      <c r="F2">
        <v>7.8502676314955843E-3</v>
      </c>
      <c r="G2">
        <v>0.56736818293587676</v>
      </c>
      <c r="H2">
        <v>2.4375691547552251E-2</v>
      </c>
      <c r="I2">
        <v>1.5344145113730694E-5</v>
      </c>
      <c r="J2">
        <v>1.1566612749074444E-5</v>
      </c>
      <c r="K2">
        <v>5.9147603456061902E-3</v>
      </c>
      <c r="L2">
        <v>0.12794398745340407</v>
      </c>
      <c r="M2">
        <v>0.5500662407567799</v>
      </c>
      <c r="N2">
        <v>2.8505746478345003E-3</v>
      </c>
      <c r="O2">
        <v>1.7727191377330217E-3</v>
      </c>
      <c r="P2">
        <v>8.6459139006613258E-8</v>
      </c>
      <c r="Q2">
        <v>5.0191089011195158E-5</v>
      </c>
      <c r="R2">
        <v>8.1690946925162982E-5</v>
      </c>
      <c r="S2">
        <v>9.0198139049761945E-5</v>
      </c>
      <c r="T2">
        <v>3.1352354639301687E-3</v>
      </c>
      <c r="V2" t="s">
        <v>212</v>
      </c>
      <c r="W2" t="s">
        <v>214</v>
      </c>
    </row>
    <row r="3" spans="1:23" x14ac:dyDescent="0.35">
      <c r="A3" t="s">
        <v>9</v>
      </c>
      <c r="B3" t="s">
        <v>88</v>
      </c>
      <c r="C3">
        <v>6.934532966105945E-7</v>
      </c>
      <c r="D3">
        <v>3.1448717726125647E-4</v>
      </c>
      <c r="E3">
        <v>1.6344981574764687E-5</v>
      </c>
      <c r="F3">
        <v>2.2483537297912615E-5</v>
      </c>
      <c r="G3">
        <v>1.1552650907921142E-3</v>
      </c>
      <c r="H3">
        <v>8.279707064577642E-5</v>
      </c>
      <c r="I3">
        <v>2.0365942588921166E-7</v>
      </c>
      <c r="J3">
        <v>2.1221860435064661E-8</v>
      </c>
      <c r="K3">
        <v>2.59978595165373E-4</v>
      </c>
      <c r="L3">
        <v>3.7706261026543845E-4</v>
      </c>
      <c r="M3">
        <v>1.0820090835391727E-4</v>
      </c>
      <c r="N3">
        <v>8.2753463188986408E-6</v>
      </c>
      <c r="O3">
        <v>3.4750838704280001E-5</v>
      </c>
      <c r="P3">
        <v>1.2081554222521422E-10</v>
      </c>
      <c r="Q3">
        <v>3.8763074291245785E-7</v>
      </c>
      <c r="R3">
        <v>5.3875424494093255E-7</v>
      </c>
      <c r="S3">
        <v>5.7339185661175926E-7</v>
      </c>
      <c r="T3">
        <v>3.4526298920536348E-6</v>
      </c>
      <c r="V3" t="s">
        <v>215</v>
      </c>
      <c r="W3" t="s">
        <v>216</v>
      </c>
    </row>
    <row r="4" spans="1:23" x14ac:dyDescent="0.35">
      <c r="A4" t="s">
        <v>235</v>
      </c>
      <c r="B4" t="s">
        <v>88</v>
      </c>
      <c r="C4">
        <v>1.3638560111876475E-4</v>
      </c>
      <c r="D4">
        <v>4.098082787843485E-2</v>
      </c>
      <c r="E4">
        <v>6.7876314096602264E-3</v>
      </c>
      <c r="F4">
        <v>9.0687991521913956E-3</v>
      </c>
      <c r="G4">
        <v>9.3690770693958952E-2</v>
      </c>
      <c r="H4">
        <v>5.7803421889681189E-3</v>
      </c>
      <c r="I4">
        <v>4.8682720550073593E-5</v>
      </c>
      <c r="J4">
        <v>1.2084723600595509E-5</v>
      </c>
      <c r="K4">
        <v>1.0550694882984955E-2</v>
      </c>
      <c r="L4">
        <v>0.30316585745433439</v>
      </c>
      <c r="M4">
        <v>3.8257425348874502E-4</v>
      </c>
      <c r="N4">
        <v>7.9287042669731289E-4</v>
      </c>
      <c r="O4">
        <v>1.1589877105097764E-3</v>
      </c>
      <c r="P4">
        <v>5.7786311798284191E-7</v>
      </c>
      <c r="Q4">
        <v>5.4055787032507067E-5</v>
      </c>
      <c r="R4">
        <v>2.5789436037602508E-4</v>
      </c>
      <c r="S4">
        <v>2.608912548664086E-4</v>
      </c>
      <c r="T4">
        <v>1.8198870893823733E-3</v>
      </c>
    </row>
    <row r="5" spans="1:23" x14ac:dyDescent="0.35">
      <c r="A5" t="s">
        <v>218</v>
      </c>
      <c r="B5" t="s">
        <v>219</v>
      </c>
      <c r="C5">
        <v>2.7642788689355263E-5</v>
      </c>
      <c r="D5">
        <v>7.8571531753488313E-2</v>
      </c>
      <c r="E5">
        <v>5.694979195030544E-4</v>
      </c>
      <c r="F5">
        <v>7.5180928866173209E-4</v>
      </c>
      <c r="G5">
        <v>4.0860748246129071E-2</v>
      </c>
      <c r="H5">
        <v>2.6216279432500204E-2</v>
      </c>
      <c r="I5">
        <v>2.7368310510750118E-6</v>
      </c>
      <c r="J5">
        <v>2.8430162675997606E-7</v>
      </c>
      <c r="K5">
        <v>1.5731325869756143E-3</v>
      </c>
      <c r="L5">
        <v>8.8030326930821062E-3</v>
      </c>
      <c r="M5">
        <v>1.0481272491291609E-3</v>
      </c>
      <c r="N5">
        <v>1.5742974494650552E-4</v>
      </c>
      <c r="O5">
        <v>5.2648906111910239E-4</v>
      </c>
      <c r="P5">
        <v>1.2286716884760969E-8</v>
      </c>
      <c r="Q5">
        <v>1.1906329914763686E-5</v>
      </c>
      <c r="R5">
        <v>5.0216773077029545E-5</v>
      </c>
      <c r="S5">
        <v>5.8886240464897118E-5</v>
      </c>
      <c r="T5">
        <v>6.1814732111541083E-5</v>
      </c>
    </row>
    <row r="6" spans="1:23" x14ac:dyDescent="0.35">
      <c r="A6" t="s">
        <v>220</v>
      </c>
      <c r="B6" t="s">
        <v>219</v>
      </c>
      <c r="C6">
        <v>1.2056147547827981E-4</v>
      </c>
      <c r="D6">
        <v>9.8206281458091446E-2</v>
      </c>
      <c r="E6">
        <v>9.0128215357574825E-4</v>
      </c>
      <c r="F6">
        <v>1.2533521609756914E-3</v>
      </c>
      <c r="G6">
        <v>0.10124154664186366</v>
      </c>
      <c r="H6">
        <v>2.8615023291175622E-2</v>
      </c>
      <c r="I6">
        <v>3.3282225684058629E-6</v>
      </c>
      <c r="J6">
        <v>2.3768028978709698E-6</v>
      </c>
      <c r="K6">
        <v>1.8046052903946484E-3</v>
      </c>
      <c r="L6">
        <v>1.6080339254278264E-2</v>
      </c>
      <c r="M6">
        <v>1.2311628212593837E-3</v>
      </c>
      <c r="N6">
        <v>2.6029535988842631E-4</v>
      </c>
      <c r="O6">
        <v>6.301423481243323E-4</v>
      </c>
      <c r="P6">
        <v>1.3890747733206185E-8</v>
      </c>
      <c r="Q6">
        <v>4.1127784251817582E-5</v>
      </c>
      <c r="R6">
        <v>9.0031824332683649E-5</v>
      </c>
      <c r="S6">
        <v>1.0559271464040125E-4</v>
      </c>
      <c r="T6">
        <v>6.3116087661751295E-5</v>
      </c>
    </row>
    <row r="7" spans="1:23" x14ac:dyDescent="0.35">
      <c r="A7" t="s">
        <v>221</v>
      </c>
      <c r="B7" t="s">
        <v>219</v>
      </c>
      <c r="C7">
        <v>3.5729226107581591E-4</v>
      </c>
      <c r="D7">
        <v>6.2444665549662048E-2</v>
      </c>
      <c r="E7">
        <v>8.314441144369743E-4</v>
      </c>
      <c r="F7">
        <v>1.1627960506551791E-3</v>
      </c>
      <c r="G7">
        <v>3.3957795824157526E-2</v>
      </c>
      <c r="H7">
        <v>1.2997135166830195E-2</v>
      </c>
      <c r="I7">
        <v>2.2782621313003704E-5</v>
      </c>
      <c r="J7">
        <v>1.4545928958429576E-6</v>
      </c>
      <c r="K7">
        <v>2.3277124251668956E-3</v>
      </c>
      <c r="L7">
        <v>3.9289368319532565E-2</v>
      </c>
      <c r="M7">
        <v>1.0130399511855428E-4</v>
      </c>
      <c r="N7">
        <v>6.379504666351219E-4</v>
      </c>
      <c r="O7">
        <v>8.3398518346849509E-5</v>
      </c>
      <c r="P7">
        <v>9.5950858043837678E-9</v>
      </c>
      <c r="Q7">
        <v>1.295112701003725E-4</v>
      </c>
      <c r="R7">
        <v>1.630870716155334E-4</v>
      </c>
      <c r="S7">
        <v>1.6365244890544705E-4</v>
      </c>
      <c r="T7">
        <v>5.3685901153587731E-5</v>
      </c>
    </row>
    <row r="8" spans="1:23" x14ac:dyDescent="0.35">
      <c r="A8" t="s">
        <v>222</v>
      </c>
      <c r="B8" t="s">
        <v>219</v>
      </c>
      <c r="C8">
        <v>1.5807715217306089E-4</v>
      </c>
      <c r="D8">
        <v>1.7263471168852532E-2</v>
      </c>
      <c r="E8">
        <v>8.1184821417312129E-4</v>
      </c>
      <c r="F8">
        <v>1.149549358113269E-3</v>
      </c>
      <c r="G8">
        <v>0.16689692022057404</v>
      </c>
      <c r="H8">
        <v>4.4475402801423891E-3</v>
      </c>
      <c r="I8">
        <v>6.2691843716888498E-6</v>
      </c>
      <c r="J8">
        <v>6.6643957411832433E-7</v>
      </c>
      <c r="K8">
        <v>1.4328128082663318E-3</v>
      </c>
      <c r="L8">
        <v>4.2289362734577361E-2</v>
      </c>
      <c r="M8">
        <v>1.1085274474685177E-3</v>
      </c>
      <c r="N8">
        <v>2.8197779700414888E-2</v>
      </c>
      <c r="O8">
        <v>2.2504370322921395E-4</v>
      </c>
      <c r="P8">
        <v>4.5527190967437538E-8</v>
      </c>
      <c r="Q8">
        <v>1.8578324246341335E-4</v>
      </c>
      <c r="R8">
        <v>3.2228754793010514E-4</v>
      </c>
      <c r="S8">
        <v>3.2625557332127708E-4</v>
      </c>
      <c r="T8">
        <v>3.5061658526445701E-4</v>
      </c>
    </row>
    <row r="9" spans="1:23" x14ac:dyDescent="0.35">
      <c r="A9" s="17" t="s">
        <v>247</v>
      </c>
      <c r="B9" t="s">
        <v>219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3" x14ac:dyDescent="0.35">
      <c r="A10" s="17" t="s">
        <v>240</v>
      </c>
      <c r="B10" t="s">
        <v>219</v>
      </c>
      <c r="C10">
        <f>(C5*Parameters!$C115)+(impact_process_mid!C6*Parameters!$C117)+(impact_process_mid!C7*Parameters!$C116)+(impact_process_mid!C8*Parameters!$C118)+(impact_process_mid!C9*Parameters!$C119)</f>
        <v>7.0859796205647902E-5</v>
      </c>
      <c r="D10">
        <f>(D5*Parameters!$C115)+(impact_process_mid!D6*Parameters!$C117)+(impact_process_mid!D7*Parameters!$C116)+(impact_process_mid!D8*Parameters!$C118)+(impact_process_mid!D9*Parameters!$C119)</f>
        <v>4.3557614437502765E-2</v>
      </c>
      <c r="E10">
        <f>(E5*Parameters!$C115)+(impact_process_mid!E6*Parameters!$C117)+(impact_process_mid!E7*Parameters!$C116)+(impact_process_mid!E8*Parameters!$C118)+(impact_process_mid!E9*Parameters!$C119)</f>
        <v>5.643975413442148E-4</v>
      </c>
      <c r="F10">
        <f>(F5*Parameters!$C115)+(impact_process_mid!F6*Parameters!$C117)+(impact_process_mid!F7*Parameters!$C116)+(impact_process_mid!F8*Parameters!$C118)+(impact_process_mid!F9*Parameters!$C119)</f>
        <v>7.7338445244801136E-4</v>
      </c>
      <c r="G10">
        <f>(G5*Parameters!$C115)+(impact_process_mid!G6*Parameters!$C117)+(impact_process_mid!G7*Parameters!$C116)+(impact_process_mid!G8*Parameters!$C118)+(impact_process_mid!G9*Parameters!$C119)</f>
        <v>7.9723262650306825E-2</v>
      </c>
      <c r="H10">
        <f>(H5*Parameters!$C115)+(impact_process_mid!H6*Parameters!$C117)+(impact_process_mid!H7*Parameters!$C116)+(impact_process_mid!H8*Parameters!$C118)+(impact_process_mid!H9*Parameters!$C119)</f>
        <v>1.403841285559273E-2</v>
      </c>
      <c r="I10">
        <f>(I5*Parameters!$C115)+(impact_process_mid!I6*Parameters!$C117)+(impact_process_mid!I7*Parameters!$C116)+(impact_process_mid!I8*Parameters!$C118)+(impact_process_mid!I9*Parameters!$C119)</f>
        <v>3.5928661340940148E-6</v>
      </c>
      <c r="J10">
        <f>(J5*Parameters!$C115)+(impact_process_mid!J6*Parameters!$C117)+(impact_process_mid!J7*Parameters!$C116)+(impact_process_mid!J8*Parameters!$C118)+(impact_process_mid!J9*Parameters!$C119)</f>
        <v>3.8199833616392333E-7</v>
      </c>
      <c r="K10">
        <f>(K5*Parameters!$C115)+(impact_process_mid!K6*Parameters!$C117)+(impact_process_mid!K7*Parameters!$C116)+(impact_process_mid!K8*Parameters!$C118)+(impact_process_mid!K9*Parameters!$C119)</f>
        <v>1.2654672781481815E-3</v>
      </c>
      <c r="L10">
        <f>(L5*Parameters!$C115)+(impact_process_mid!L6*Parameters!$C117)+(impact_process_mid!L7*Parameters!$C116)+(impact_process_mid!L8*Parameters!$C118)+(impact_process_mid!L9*Parameters!$C119)</f>
        <v>1.9495626238510887E-2</v>
      </c>
      <c r="M10">
        <f>(M5*Parameters!$C115)+(impact_process_mid!M6*Parameters!$C117)+(impact_process_mid!M7*Parameters!$C116)+(impact_process_mid!M8*Parameters!$C118)+(impact_process_mid!M9*Parameters!$C119)</f>
        <v>8.9647174914883783E-4</v>
      </c>
      <c r="N10">
        <f>(N5*Parameters!$C115)+(impact_process_mid!N6*Parameters!$C117)+(impact_process_mid!N7*Parameters!$C116)+(impact_process_mid!N8*Parameters!$C118)+(impact_process_mid!N9*Parameters!$C119)</f>
        <v>1.0245174418695643E-2</v>
      </c>
      <c r="O10">
        <f>(O5*Parameters!$C115)+(impact_process_mid!O6*Parameters!$C117)+(impact_process_mid!O7*Parameters!$C116)+(impact_process_mid!O8*Parameters!$C118)+(impact_process_mid!O9*Parameters!$C119)</f>
        <v>3.3073031970681565E-4</v>
      </c>
      <c r="P10">
        <f>(P5*Parameters!$C115)+(impact_process_mid!P6*Parameters!$C117)+(impact_process_mid!P7*Parameters!$C116)+(impact_process_mid!P8*Parameters!$C118)+(impact_process_mid!P9*Parameters!$C119)</f>
        <v>2.2253353617823675E-8</v>
      </c>
      <c r="Q10">
        <f>(Q5*Parameters!$C115)+(impact_process_mid!Q6*Parameters!$C117)+(impact_process_mid!Q7*Parameters!$C116)+(impact_process_mid!Q8*Parameters!$C118)+(impact_process_mid!Q9*Parameters!$C119)</f>
        <v>7.2904946218519531E-5</v>
      </c>
      <c r="R10">
        <f>(R5*Parameters!$C115)+(impact_process_mid!R6*Parameters!$C117)+(impact_process_mid!R7*Parameters!$C116)+(impact_process_mid!R8*Parameters!$C118)+(impact_process_mid!R9*Parameters!$C119)</f>
        <v>1.4034435779950713E-4</v>
      </c>
      <c r="S10">
        <f>(S5*Parameters!$C115)+(impact_process_mid!S6*Parameters!$C117)+(impact_process_mid!S7*Parameters!$C116)+(impact_process_mid!S8*Parameters!$C118)+(impact_process_mid!S9*Parameters!$C119)</f>
        <v>1.4589570309846291E-4</v>
      </c>
      <c r="T10">
        <f>(T5*Parameters!$C115)+(impact_process_mid!T6*Parameters!$C117)+(impact_process_mid!T7*Parameters!$C116)+(impact_process_mid!T8*Parameters!$C118)+(impact_process_mid!T9*Parameters!$C119)</f>
        <v>1.5579300497958797E-4</v>
      </c>
    </row>
    <row r="11" spans="1:23" x14ac:dyDescent="0.35">
      <c r="A11" t="s">
        <v>96</v>
      </c>
      <c r="B11" t="s">
        <v>88</v>
      </c>
      <c r="D11">
        <v>34</v>
      </c>
    </row>
    <row r="12" spans="1:23" x14ac:dyDescent="0.35">
      <c r="A12" t="s">
        <v>25</v>
      </c>
      <c r="B12" t="s">
        <v>88</v>
      </c>
      <c r="C12">
        <v>0.36</v>
      </c>
      <c r="Q12">
        <v>0.11</v>
      </c>
      <c r="R12">
        <v>1</v>
      </c>
      <c r="S12">
        <v>1</v>
      </c>
    </row>
    <row r="13" spans="1:23" x14ac:dyDescent="0.35">
      <c r="A13" t="s">
        <v>26</v>
      </c>
      <c r="B13" t="s">
        <v>88</v>
      </c>
      <c r="R13">
        <v>0.18</v>
      </c>
      <c r="S13">
        <v>0.28999999999999998</v>
      </c>
    </row>
    <row r="14" spans="1:23" x14ac:dyDescent="0.35">
      <c r="A14" t="s">
        <v>27</v>
      </c>
      <c r="B14" t="s">
        <v>88</v>
      </c>
      <c r="C14">
        <v>1</v>
      </c>
      <c r="Q14">
        <v>0.28999999999999998</v>
      </c>
    </row>
    <row r="15" spans="1:23" x14ac:dyDescent="0.35">
      <c r="A15" t="s">
        <v>28</v>
      </c>
      <c r="B15" t="s">
        <v>88</v>
      </c>
    </row>
    <row r="16" spans="1:23" x14ac:dyDescent="0.35">
      <c r="A16" t="s">
        <v>29</v>
      </c>
      <c r="B16" t="s">
        <v>88</v>
      </c>
    </row>
    <row r="17" spans="1:20" x14ac:dyDescent="0.35">
      <c r="A17" t="s">
        <v>30</v>
      </c>
      <c r="B17" t="s">
        <v>88</v>
      </c>
      <c r="C17">
        <v>1.96</v>
      </c>
      <c r="Q17">
        <v>0.24</v>
      </c>
    </row>
    <row r="18" spans="1:20" x14ac:dyDescent="0.35">
      <c r="A18" t="s">
        <v>223</v>
      </c>
      <c r="B18" t="s">
        <v>88</v>
      </c>
      <c r="C18">
        <v>1</v>
      </c>
      <c r="Q18">
        <v>0.28999999999999998</v>
      </c>
    </row>
    <row r="19" spans="1:20" x14ac:dyDescent="0.35">
      <c r="A19" t="s">
        <v>224</v>
      </c>
      <c r="B19" t="s">
        <v>88</v>
      </c>
      <c r="D19">
        <v>298</v>
      </c>
      <c r="P19">
        <v>1.0999999999999999E-2</v>
      </c>
    </row>
    <row r="20" spans="1:20" x14ac:dyDescent="0.35">
      <c r="A20" t="s">
        <v>225</v>
      </c>
      <c r="B20" t="s">
        <v>88</v>
      </c>
      <c r="J20">
        <v>6.7100000000000007E-2</v>
      </c>
    </row>
    <row r="21" spans="1:20" x14ac:dyDescent="0.35">
      <c r="A21" t="s">
        <v>144</v>
      </c>
      <c r="B21" t="s">
        <v>88</v>
      </c>
      <c r="Q21">
        <v>1</v>
      </c>
    </row>
    <row r="22" spans="1:20" x14ac:dyDescent="0.35">
      <c r="A22" t="s">
        <v>226</v>
      </c>
      <c r="B22" t="s">
        <v>88</v>
      </c>
      <c r="R22">
        <v>0.18</v>
      </c>
      <c r="S22">
        <v>0.28999999999999998</v>
      </c>
    </row>
    <row r="23" spans="1:20" x14ac:dyDescent="0.35">
      <c r="A23" t="s">
        <v>141</v>
      </c>
      <c r="B23" t="s">
        <v>88</v>
      </c>
    </row>
    <row r="24" spans="1:20" x14ac:dyDescent="0.35">
      <c r="A24" t="s">
        <v>414</v>
      </c>
      <c r="B24" t="s">
        <v>88</v>
      </c>
    </row>
    <row r="25" spans="1:20" x14ac:dyDescent="0.35">
      <c r="A25" t="s">
        <v>227</v>
      </c>
      <c r="B25" t="s">
        <v>88</v>
      </c>
      <c r="C25">
        <v>2.3508892068714723E-3</v>
      </c>
      <c r="D25">
        <v>0.92876412263984243</v>
      </c>
      <c r="E25">
        <v>8.1038342049896805E-3</v>
      </c>
      <c r="F25">
        <v>1.4449950319830526E-2</v>
      </c>
      <c r="G25">
        <v>1.8555052622404875</v>
      </c>
      <c r="H25">
        <v>1.202519724435275</v>
      </c>
      <c r="I25">
        <v>5.0584011396038365E-5</v>
      </c>
      <c r="J25">
        <v>9.5059369061846702E-5</v>
      </c>
      <c r="K25">
        <v>3.3196741127544178E-2</v>
      </c>
      <c r="L25">
        <v>0.23697936246863915</v>
      </c>
      <c r="M25">
        <v>1.8590728114404785E-2</v>
      </c>
      <c r="N25">
        <v>8.2089583442796071E-3</v>
      </c>
      <c r="O25">
        <v>1.7620036623726448E-2</v>
      </c>
      <c r="P25">
        <v>2.255715192956352E-7</v>
      </c>
      <c r="Q25">
        <v>8.5162724798920457E-4</v>
      </c>
      <c r="R25">
        <v>2.4420029238229964E-3</v>
      </c>
      <c r="S25">
        <v>3.0960543994018172E-3</v>
      </c>
      <c r="T25">
        <v>1.5799266546522013E-3</v>
      </c>
    </row>
    <row r="26" spans="1:20" x14ac:dyDescent="0.35">
      <c r="A26" t="s">
        <v>228</v>
      </c>
      <c r="B26" t="s">
        <v>88</v>
      </c>
      <c r="C26">
        <v>6.0823244618061455E-3</v>
      </c>
      <c r="D26">
        <v>1.6170842261451377</v>
      </c>
      <c r="E26">
        <v>7.9410017883265849E-2</v>
      </c>
      <c r="F26">
        <v>0.10377325450567465</v>
      </c>
      <c r="G26">
        <v>7.9107315335596873</v>
      </c>
      <c r="H26">
        <v>0.46888006100055135</v>
      </c>
      <c r="I26">
        <v>2.0204942266636769E-4</v>
      </c>
      <c r="J26">
        <v>1.8735552266588054E-4</v>
      </c>
      <c r="K26">
        <v>7.7351703639702091E-2</v>
      </c>
      <c r="L26">
        <v>1.2662508064089064</v>
      </c>
      <c r="M26">
        <v>5.2863554921052408E-2</v>
      </c>
      <c r="N26">
        <v>1.8683906218635121E-2</v>
      </c>
      <c r="O26">
        <v>1.9675109008478291E-2</v>
      </c>
      <c r="P26">
        <v>5.6884221531923381E-6</v>
      </c>
      <c r="Q26">
        <v>1.3464194122843908E-3</v>
      </c>
      <c r="R26">
        <v>2.1807020987069077E-3</v>
      </c>
      <c r="S26">
        <v>2.3671436456623725E-3</v>
      </c>
      <c r="T26">
        <v>2.479962044194645E-2</v>
      </c>
    </row>
    <row r="27" spans="1:20" x14ac:dyDescent="0.35">
      <c r="A27" t="s">
        <v>229</v>
      </c>
      <c r="B27" t="s">
        <v>88</v>
      </c>
      <c r="C27">
        <v>2.1572232175000976E-3</v>
      </c>
      <c r="D27">
        <v>0.67905931834366795</v>
      </c>
      <c r="E27">
        <v>4.4678445173171183E-2</v>
      </c>
      <c r="F27">
        <v>6.0921908638466353E-2</v>
      </c>
      <c r="G27">
        <v>7.9126646349313097</v>
      </c>
      <c r="H27">
        <v>0.22057814828811212</v>
      </c>
      <c r="I27">
        <v>1.3802493297251204E-4</v>
      </c>
      <c r="J27">
        <v>1.8609398790712144E-5</v>
      </c>
      <c r="K27">
        <v>5.4389197730959592E-2</v>
      </c>
      <c r="L27">
        <v>0.82745426225108987</v>
      </c>
      <c r="M27">
        <v>2.9626145867297938E-2</v>
      </c>
      <c r="N27">
        <v>4.1719554357316516E-2</v>
      </c>
      <c r="O27">
        <v>1.9310072421588376E-2</v>
      </c>
      <c r="P27">
        <v>2.0735442690691392E-7</v>
      </c>
      <c r="Q27">
        <v>8.4941694855708658E-4</v>
      </c>
      <c r="R27">
        <v>2.3638430209697069E-3</v>
      </c>
      <c r="S27">
        <v>2.481403473676984E-3</v>
      </c>
      <c r="T27">
        <v>6.5768709636233914E-3</v>
      </c>
    </row>
    <row r="28" spans="1:20" x14ac:dyDescent="0.35">
      <c r="A28" t="s">
        <v>230</v>
      </c>
      <c r="B28" t="s">
        <v>88</v>
      </c>
      <c r="C28">
        <v>5.1285757611091321E-3</v>
      </c>
      <c r="D28">
        <v>0.39573732593091915</v>
      </c>
      <c r="E28">
        <v>5.2250246699448652E-2</v>
      </c>
      <c r="F28">
        <v>6.9366657609768193E-2</v>
      </c>
      <c r="G28">
        <v>5.9021895266360316</v>
      </c>
      <c r="H28">
        <v>0.1040188076296044</v>
      </c>
      <c r="I28">
        <v>5.537120916737293E-4</v>
      </c>
      <c r="J28">
        <v>3.0054435064994306E-5</v>
      </c>
      <c r="K28">
        <v>4.7233399027213463E-2</v>
      </c>
      <c r="L28">
        <v>1.1333035987683322</v>
      </c>
      <c r="M28">
        <v>0.10689343532911376</v>
      </c>
      <c r="N28">
        <v>3.9263548813592189E-2</v>
      </c>
      <c r="O28">
        <v>2.4403217830740506E-2</v>
      </c>
      <c r="P28">
        <v>1.4437295631830634E-7</v>
      </c>
      <c r="Q28">
        <v>1.7863239961440399E-3</v>
      </c>
      <c r="R28">
        <v>9.494111268172809E-4</v>
      </c>
      <c r="S28">
        <v>9.9035079416732422E-4</v>
      </c>
      <c r="T28">
        <v>1.10402895522075E-2</v>
      </c>
    </row>
    <row r="29" spans="1:20" x14ac:dyDescent="0.35">
      <c r="A29" t="s">
        <v>231</v>
      </c>
      <c r="B29" t="s">
        <v>88</v>
      </c>
      <c r="C29">
        <v>2.9294959627633861E-5</v>
      </c>
      <c r="D29">
        <v>1.5818492162931908E-2</v>
      </c>
      <c r="E29">
        <v>4.4732062263311349E-4</v>
      </c>
      <c r="F29">
        <v>6.1066584768839293E-4</v>
      </c>
      <c r="G29">
        <v>7.6419092167694672E-2</v>
      </c>
      <c r="H29">
        <v>0.22209678919729534</v>
      </c>
      <c r="I29">
        <v>1.7791631049227804E-6</v>
      </c>
      <c r="J29">
        <v>2.9251738482008482E-7</v>
      </c>
      <c r="K29">
        <v>9.426358648924884E-4</v>
      </c>
      <c r="L29">
        <v>8.5991837985012025E-3</v>
      </c>
      <c r="M29">
        <v>4.1513436396986162E-3</v>
      </c>
      <c r="N29">
        <v>1.3068928960859958E-3</v>
      </c>
      <c r="O29">
        <v>2.8716041190404674E-4</v>
      </c>
      <c r="P29">
        <v>4.1892753005653279E-9</v>
      </c>
      <c r="Q29">
        <v>1.334084202915355E-5</v>
      </c>
      <c r="R29">
        <v>4.8063180693169036E-5</v>
      </c>
      <c r="S29">
        <v>4.9551779687955279E-5</v>
      </c>
      <c r="T29">
        <v>8.0994948423210907E-4</v>
      </c>
    </row>
    <row r="30" spans="1:20" x14ac:dyDescent="0.35">
      <c r="A30" t="s">
        <v>127</v>
      </c>
      <c r="B30" t="s">
        <v>88</v>
      </c>
      <c r="C30">
        <v>1.5606561618642014E-2</v>
      </c>
      <c r="D30">
        <v>3.3998513340060179</v>
      </c>
      <c r="E30">
        <v>5.5298724879826788E-2</v>
      </c>
      <c r="F30">
        <v>7.6656559591461879E-2</v>
      </c>
      <c r="G30">
        <v>3.7981135304714515</v>
      </c>
      <c r="H30">
        <v>0.86500627340367886</v>
      </c>
      <c r="I30">
        <v>1.351432940256426E-3</v>
      </c>
      <c r="J30">
        <v>9.1536973215464271E-5</v>
      </c>
      <c r="K30">
        <v>0.12258342350941208</v>
      </c>
      <c r="L30">
        <v>2.3857777690883943</v>
      </c>
      <c r="M30">
        <v>0.1218182965626118</v>
      </c>
      <c r="N30">
        <v>3.943102368973242E-2</v>
      </c>
      <c r="O30">
        <v>1.0279412728630062E-2</v>
      </c>
      <c r="P30">
        <v>6.3972763410979841E-7</v>
      </c>
      <c r="Q30">
        <v>5.9753148205587527E-3</v>
      </c>
      <c r="R30">
        <v>7.7772245672956247E-3</v>
      </c>
      <c r="S30">
        <v>7.9267586613403097E-3</v>
      </c>
      <c r="T30">
        <v>9.0826458258624673E-3</v>
      </c>
    </row>
    <row r="31" spans="1:20" x14ac:dyDescent="0.35">
      <c r="A31" t="s">
        <v>253</v>
      </c>
      <c r="B31" t="s">
        <v>88</v>
      </c>
      <c r="C31">
        <v>2.1429326689773345E-2</v>
      </c>
      <c r="D31">
        <v>5.3022918320342791</v>
      </c>
      <c r="E31">
        <v>0.39564253119194481</v>
      </c>
      <c r="F31">
        <v>0.53460719779463484</v>
      </c>
      <c r="G31">
        <v>34.130496960111891</v>
      </c>
      <c r="H31">
        <v>1.3570352547075122</v>
      </c>
      <c r="I31">
        <v>1.9913219082925457E-3</v>
      </c>
      <c r="J31">
        <v>2.5459547677704383E-4</v>
      </c>
      <c r="K31">
        <v>1.7594109263511282</v>
      </c>
      <c r="L31">
        <v>8.8018490516484018</v>
      </c>
      <c r="M31">
        <v>0.28791328589623838</v>
      </c>
      <c r="N31">
        <v>0.12249019922793458</v>
      </c>
      <c r="O31">
        <v>0.35255184774133241</v>
      </c>
      <c r="P31">
        <v>2.4165618145602069E-6</v>
      </c>
      <c r="Q31">
        <v>9.3199076750180194E-3</v>
      </c>
      <c r="R31">
        <v>1.4494237289621719E-2</v>
      </c>
      <c r="S31">
        <v>1.4945390102430576E-2</v>
      </c>
      <c r="T31">
        <v>7.4318769351965214E-2</v>
      </c>
    </row>
    <row r="32" spans="1:20" x14ac:dyDescent="0.35">
      <c r="A32" t="s">
        <v>281</v>
      </c>
      <c r="B32" t="s">
        <v>239</v>
      </c>
      <c r="C32">
        <v>1.460982614686641E-3</v>
      </c>
      <c r="D32">
        <v>0.48416968170481633</v>
      </c>
      <c r="E32">
        <v>2.8523336344082204E-2</v>
      </c>
      <c r="F32">
        <v>3.8469007563487367E-2</v>
      </c>
      <c r="G32">
        <v>1.7882989197631509</v>
      </c>
      <c r="H32">
        <v>8.529659941729692E-2</v>
      </c>
      <c r="I32">
        <v>1.8098477530146013E-3</v>
      </c>
      <c r="J32">
        <v>5.4775031976977253E-3</v>
      </c>
      <c r="K32">
        <v>3.3453794434924931E-2</v>
      </c>
      <c r="L32">
        <v>3.4352601824027893</v>
      </c>
      <c r="M32">
        <v>1.9357562627279768E-2</v>
      </c>
      <c r="N32">
        <v>8.5362147044008713E-3</v>
      </c>
      <c r="O32">
        <v>6.6238358478689831E-3</v>
      </c>
      <c r="P32">
        <v>1.956021278258702E-6</v>
      </c>
      <c r="Q32">
        <v>6.931145387289229E-4</v>
      </c>
      <c r="R32">
        <v>1.1080395016806329E-3</v>
      </c>
      <c r="S32">
        <v>1.1355327145991692E-3</v>
      </c>
      <c r="T32">
        <v>2.993694581769458E-3</v>
      </c>
    </row>
    <row r="33" spans="1:23" x14ac:dyDescent="0.35">
      <c r="A33" t="s">
        <v>340</v>
      </c>
      <c r="B33" t="s">
        <v>88</v>
      </c>
      <c r="C33">
        <v>1.1436373207619E-4</v>
      </c>
      <c r="D33">
        <v>4.6045293442140832E-2</v>
      </c>
      <c r="E33">
        <v>1.0344709211730881E-3</v>
      </c>
      <c r="F33">
        <v>1.6126842392945376E-3</v>
      </c>
      <c r="G33">
        <v>0.46187795845545948</v>
      </c>
      <c r="H33">
        <v>1.389849391780784E-2</v>
      </c>
      <c r="I33">
        <v>1.5812465767624275E-5</v>
      </c>
      <c r="J33">
        <v>2.5248277477268939E-6</v>
      </c>
      <c r="K33">
        <v>3.202846578711711E-3</v>
      </c>
      <c r="L33">
        <v>2.7733469312672471E-2</v>
      </c>
      <c r="M33">
        <v>3.9773039114664437E-3</v>
      </c>
      <c r="N33">
        <v>0.46937662124669965</v>
      </c>
      <c r="O33">
        <v>8.3516992328711937E-4</v>
      </c>
      <c r="P33">
        <v>1.7045189916837543E-8</v>
      </c>
      <c r="Q33">
        <v>5.0266730045869287E-5</v>
      </c>
      <c r="R33">
        <v>2.0662078966584874E-4</v>
      </c>
      <c r="S33">
        <v>2.2658840554856436E-4</v>
      </c>
      <c r="T33">
        <v>2.1545876974739727E-4</v>
      </c>
    </row>
    <row r="35" spans="1:23" x14ac:dyDescent="0.35">
      <c r="A35" t="s">
        <v>341</v>
      </c>
      <c r="B35" t="s">
        <v>128</v>
      </c>
      <c r="C35">
        <v>2.3508351176948199E-4</v>
      </c>
      <c r="D35">
        <v>3.8148844277750546E-2</v>
      </c>
      <c r="E35">
        <v>3.4660986036503687E-2</v>
      </c>
      <c r="F35">
        <v>4.2216682521672301E-2</v>
      </c>
      <c r="G35">
        <v>1.3651434463683783</v>
      </c>
      <c r="H35">
        <v>8.9589279876473998E-3</v>
      </c>
      <c r="I35">
        <v>1.83389517383845E-5</v>
      </c>
      <c r="J35">
        <v>1.691094771957277E-6</v>
      </c>
      <c r="K35">
        <v>7.5637344573896599E-3</v>
      </c>
      <c r="L35">
        <v>0.1683774635647059</v>
      </c>
      <c r="M35">
        <v>3.4158331776592101E-4</v>
      </c>
      <c r="N35">
        <v>6.1861430241219512E-2</v>
      </c>
      <c r="O35">
        <v>3.7516724343257318E-4</v>
      </c>
      <c r="P35">
        <v>1.0453634069903913E-7</v>
      </c>
      <c r="Q35">
        <v>9.8583004283109106E-5</v>
      </c>
      <c r="R35">
        <v>2.2801464966334191E-4</v>
      </c>
      <c r="S35">
        <v>2.3587325315189837E-4</v>
      </c>
      <c r="T35">
        <v>3.1917265757901142E-4</v>
      </c>
      <c r="V35" t="s">
        <v>342</v>
      </c>
      <c r="W35" t="s">
        <v>214</v>
      </c>
    </row>
    <row r="36" spans="1:23" x14ac:dyDescent="0.35">
      <c r="A36" t="s">
        <v>343</v>
      </c>
      <c r="B36" t="s">
        <v>239</v>
      </c>
      <c r="C36">
        <v>1.1003539396039351E-3</v>
      </c>
      <c r="D36">
        <v>0.79904912337184053</v>
      </c>
      <c r="E36">
        <v>1.5418444674587792E-2</v>
      </c>
      <c r="F36">
        <v>2.0428209095952457E-2</v>
      </c>
      <c r="G36">
        <v>1.0152726634394265</v>
      </c>
      <c r="H36">
        <v>1.0009119729680855</v>
      </c>
      <c r="I36">
        <v>6.2801129436945385E-5</v>
      </c>
      <c r="J36">
        <v>6.0197867142480462E-6</v>
      </c>
      <c r="K36">
        <v>4.8915331174941568E-3</v>
      </c>
      <c r="L36">
        <v>0.22271753467472893</v>
      </c>
      <c r="M36">
        <v>4.9837597309471725E-3</v>
      </c>
      <c r="N36">
        <v>6.2650373434139685E-3</v>
      </c>
      <c r="O36">
        <v>3.3415168391828366E-3</v>
      </c>
      <c r="P36">
        <v>2.3226267714459367E-7</v>
      </c>
      <c r="Q36">
        <v>4.7292260388518293E-4</v>
      </c>
      <c r="R36">
        <v>1.8679671165076346E-3</v>
      </c>
      <c r="S36">
        <v>2.1667207738469349E-3</v>
      </c>
      <c r="T36">
        <v>1.7457174588358458E-3</v>
      </c>
      <c r="V36" t="s">
        <v>344</v>
      </c>
      <c r="W36" t="s">
        <v>214</v>
      </c>
    </row>
    <row r="37" spans="1:23" x14ac:dyDescent="0.35">
      <c r="A37" t="s">
        <v>345</v>
      </c>
      <c r="B37" t="s">
        <v>219</v>
      </c>
      <c r="C37">
        <f>(C8*0.75)+(C5*0.25)</f>
        <v>1.2546856130213449E-4</v>
      </c>
      <c r="D37">
        <f t="shared" ref="D37:T37" si="0">(D8*0.75)+(D5*0.25)</f>
        <v>3.2590486315011477E-2</v>
      </c>
      <c r="E37">
        <f t="shared" si="0"/>
        <v>7.5126064050560451E-4</v>
      </c>
      <c r="F37">
        <f t="shared" si="0"/>
        <v>1.0501143407503849E-3</v>
      </c>
      <c r="G37">
        <f t="shared" si="0"/>
        <v>0.1353878772269628</v>
      </c>
      <c r="H37">
        <f t="shared" si="0"/>
        <v>9.8897250682318423E-3</v>
      </c>
      <c r="I37">
        <f t="shared" si="0"/>
        <v>5.3860960415353904E-6</v>
      </c>
      <c r="J37">
        <f t="shared" si="0"/>
        <v>5.709050872787372E-7</v>
      </c>
      <c r="K37">
        <f t="shared" si="0"/>
        <v>1.4678927529436525E-3</v>
      </c>
      <c r="L37">
        <f t="shared" si="0"/>
        <v>3.3917780224203546E-2</v>
      </c>
      <c r="M37">
        <f t="shared" si="0"/>
        <v>1.0934273978836786E-3</v>
      </c>
      <c r="N37">
        <f t="shared" si="0"/>
        <v>2.1187692211547794E-2</v>
      </c>
      <c r="O37">
        <f t="shared" si="0"/>
        <v>3.0040504270168605E-4</v>
      </c>
      <c r="P37">
        <f t="shared" si="0"/>
        <v>3.7217072446768393E-8</v>
      </c>
      <c r="Q37">
        <f t="shared" si="0"/>
        <v>1.4231401432625093E-4</v>
      </c>
      <c r="R37">
        <f t="shared" si="0"/>
        <v>2.5426985421683626E-4</v>
      </c>
      <c r="S37">
        <f t="shared" si="0"/>
        <v>2.5941324010718208E-4</v>
      </c>
      <c r="T37">
        <f t="shared" si="0"/>
        <v>2.7841612197622803E-4</v>
      </c>
    </row>
  </sheetData>
  <pageMargins left="0.7" right="0.7" top="0.75" bottom="0.75" header="0.3" footer="0.3"/>
  <pageSetup paperSize="9" orientation="portrait" verticalDpi="597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C21C7-FADA-4A3C-9605-00743B616739}">
  <dimension ref="A1:T39"/>
  <sheetViews>
    <sheetView workbookViewId="0">
      <pane xSplit="1" ySplit="1" topLeftCell="B28" activePane="bottomRight" state="frozen"/>
      <selection pane="topRight" activeCell="B1" sqref="B1"/>
      <selection pane="bottomLeft" activeCell="A2" sqref="A2"/>
      <selection pane="bottomRight" activeCell="A33" sqref="A33"/>
    </sheetView>
  </sheetViews>
  <sheetFormatPr baseColWidth="10" defaultRowHeight="14.5" x14ac:dyDescent="0.35"/>
  <cols>
    <col min="1" max="1" width="24" bestFit="1" customWidth="1"/>
    <col min="2" max="2" width="10.54296875" customWidth="1"/>
  </cols>
  <sheetData>
    <row r="1" spans="1:20" s="88" customFormat="1" ht="58" x14ac:dyDescent="0.35">
      <c r="A1" s="88" t="s">
        <v>0</v>
      </c>
      <c r="B1" s="88" t="s">
        <v>184</v>
      </c>
      <c r="C1" s="88" t="s">
        <v>358</v>
      </c>
      <c r="D1" s="88" t="s">
        <v>359</v>
      </c>
      <c r="E1" s="88" t="s">
        <v>360</v>
      </c>
      <c r="F1" s="88" t="s">
        <v>361</v>
      </c>
      <c r="G1" s="88" t="s">
        <v>362</v>
      </c>
      <c r="H1" s="88" t="s">
        <v>363</v>
      </c>
      <c r="I1" s="88" t="s">
        <v>364</v>
      </c>
      <c r="J1" s="88" t="s">
        <v>365</v>
      </c>
      <c r="K1" s="88" t="s">
        <v>366</v>
      </c>
      <c r="L1" s="88" t="s">
        <v>367</v>
      </c>
      <c r="M1" s="88" t="s">
        <v>368</v>
      </c>
      <c r="N1" s="88" t="s">
        <v>369</v>
      </c>
      <c r="O1" s="88" t="s">
        <v>370</v>
      </c>
      <c r="P1" s="88" t="s">
        <v>371</v>
      </c>
      <c r="Q1" s="88" t="s">
        <v>372</v>
      </c>
      <c r="R1" s="88" t="s">
        <v>373</v>
      </c>
      <c r="S1" s="88" t="s">
        <v>374</v>
      </c>
      <c r="T1" s="88" t="s">
        <v>375</v>
      </c>
    </row>
    <row r="2" spans="1:20" x14ac:dyDescent="0.35">
      <c r="A2" t="s">
        <v>22</v>
      </c>
      <c r="B2" t="s">
        <v>128</v>
      </c>
      <c r="C2">
        <v>7.2408956727582283E-2</v>
      </c>
      <c r="D2">
        <v>7.7766182456856514E-2</v>
      </c>
      <c r="E2">
        <v>11.719521803217253</v>
      </c>
      <c r="F2">
        <v>2.2652634734033814E-4</v>
      </c>
      <c r="G2">
        <v>46.256047874327415</v>
      </c>
      <c r="H2">
        <v>6.8691556749659739E-7</v>
      </c>
      <c r="I2">
        <v>1.5219182328310236E-9</v>
      </c>
      <c r="J2">
        <v>1.1189285722677122E-8</v>
      </c>
      <c r="K2">
        <v>60.899595158023267</v>
      </c>
      <c r="L2">
        <v>2.5142620639601846E-3</v>
      </c>
      <c r="M2">
        <v>7.2789701556886127E-6</v>
      </c>
      <c r="N2">
        <v>7.7828784806347626E-6</v>
      </c>
      <c r="O2">
        <v>1.3887228590090065E-3</v>
      </c>
      <c r="P2">
        <v>3.4571806956367849E-9</v>
      </c>
      <c r="Q2">
        <v>2.7420289533964412E-5</v>
      </c>
      <c r="R2">
        <v>1.7245609528457282E-4</v>
      </c>
      <c r="S2">
        <v>2.3928688228042641E-4</v>
      </c>
      <c r="T2">
        <v>0.12617501938200348</v>
      </c>
    </row>
    <row r="3" spans="1:20" x14ac:dyDescent="0.35">
      <c r="A3" t="s">
        <v>23</v>
      </c>
      <c r="B3" t="s">
        <v>408</v>
      </c>
      <c r="C3">
        <v>2.9127097545475261E-4</v>
      </c>
      <c r="D3">
        <v>3.1089504229508741E-4</v>
      </c>
      <c r="E3">
        <v>5.8714946300978538E-3</v>
      </c>
      <c r="F3">
        <v>1.1675413910319693E-6</v>
      </c>
      <c r="G3">
        <v>6.0163449133591625E-2</v>
      </c>
      <c r="H3">
        <v>4.0308236315143437E-9</v>
      </c>
      <c r="I3">
        <v>8.1887647356684926E-11</v>
      </c>
      <c r="J3">
        <v>1.7091234983762008E-10</v>
      </c>
      <c r="K3">
        <v>1.33273716128417E-2</v>
      </c>
      <c r="L3">
        <v>7.1778710788021976E-6</v>
      </c>
      <c r="M3">
        <v>3.7834593304865515E-8</v>
      </c>
      <c r="N3">
        <v>2.7513491493543841E-8</v>
      </c>
      <c r="O3">
        <v>3.7734537013341938E-5</v>
      </c>
      <c r="P3">
        <v>9.9335682581167484E-12</v>
      </c>
      <c r="Q3">
        <v>1.7732100193863832E-7</v>
      </c>
      <c r="R3">
        <v>7.5021814378140419E-7</v>
      </c>
      <c r="S3">
        <v>1.2208460835806479E-6</v>
      </c>
      <c r="T3">
        <v>3.9180999023838176E-2</v>
      </c>
    </row>
    <row r="4" spans="1:20" x14ac:dyDescent="0.35">
      <c r="A4" t="s">
        <v>286</v>
      </c>
      <c r="B4" t="s">
        <v>284</v>
      </c>
      <c r="C4">
        <v>0.17515076094305837</v>
      </c>
      <c r="D4">
        <v>0.18901295035911736</v>
      </c>
      <c r="E4">
        <v>2.8591791097559089</v>
      </c>
      <c r="F4">
        <v>3.7710109422776792E-4</v>
      </c>
      <c r="G4">
        <v>22.804687452120813</v>
      </c>
      <c r="H4">
        <v>1.6808192641324388E-6</v>
      </c>
      <c r="I4">
        <v>3.0208623126087337E-9</v>
      </c>
      <c r="J4">
        <v>1.3989378193304569E-8</v>
      </c>
      <c r="K4">
        <v>0.41038718008655706</v>
      </c>
      <c r="L4">
        <v>6.1946383334703266E-3</v>
      </c>
      <c r="M4">
        <v>2.9391518698592118E-5</v>
      </c>
      <c r="N4">
        <v>2.439153898827364E-5</v>
      </c>
      <c r="O4">
        <v>4.1338418400138979E-3</v>
      </c>
      <c r="P4">
        <v>4.5848981877626561E-9</v>
      </c>
      <c r="Q4">
        <v>7.3404549137307218E-5</v>
      </c>
      <c r="R4">
        <v>5.8131814226376982E-4</v>
      </c>
      <c r="S4">
        <v>4.0860933367414635E-4</v>
      </c>
      <c r="T4">
        <v>1.7053653590931361E-2</v>
      </c>
    </row>
    <row r="5" spans="1:20" x14ac:dyDescent="0.35">
      <c r="A5" t="s">
        <v>235</v>
      </c>
      <c r="B5" t="s">
        <v>408</v>
      </c>
      <c r="C5">
        <v>3.5868395718336665E-2</v>
      </c>
      <c r="D5">
        <v>3.9376272801481191E-2</v>
      </c>
      <c r="E5">
        <v>0.27623253015133098</v>
      </c>
      <c r="F5">
        <v>1.4323180487565751E-4</v>
      </c>
      <c r="G5">
        <v>8.0631566180053831</v>
      </c>
      <c r="H5">
        <v>8.0984689939692803E-6</v>
      </c>
      <c r="I5">
        <v>3.5203306546770539E-9</v>
      </c>
      <c r="J5">
        <v>3.6630553269574243E-8</v>
      </c>
      <c r="K5">
        <v>5.261867382716006E-2</v>
      </c>
      <c r="L5">
        <v>6.8132203710399169E-4</v>
      </c>
      <c r="M5">
        <v>5.4711383606628459E-6</v>
      </c>
      <c r="N5">
        <v>1.8342804416728681E-5</v>
      </c>
      <c r="O5">
        <v>2.4425008185763198E-3</v>
      </c>
      <c r="P5">
        <v>1.1119886639070241E-9</v>
      </c>
      <c r="Q5">
        <v>2.8012108651043822E-5</v>
      </c>
      <c r="R5">
        <v>2.579204589405548E-4</v>
      </c>
      <c r="S5">
        <v>1.5880266710915618E-4</v>
      </c>
      <c r="T5">
        <v>4.3388334358192671E-2</v>
      </c>
    </row>
    <row r="6" spans="1:20" x14ac:dyDescent="0.35">
      <c r="A6" t="s">
        <v>218</v>
      </c>
      <c r="B6" t="s">
        <v>219</v>
      </c>
      <c r="C6">
        <v>7.031718721134711E-2</v>
      </c>
      <c r="D6">
        <v>7.6822608039271226E-2</v>
      </c>
      <c r="E6">
        <v>1.2663162185349626</v>
      </c>
      <c r="F6">
        <v>3.936179790246064E-5</v>
      </c>
      <c r="G6">
        <v>3.172608758583447</v>
      </c>
      <c r="H6">
        <v>3.253514212083358E-7</v>
      </c>
      <c r="I6">
        <v>4.8120363234924287E-10</v>
      </c>
      <c r="J6">
        <v>1.2819641322476255E-9</v>
      </c>
      <c r="K6">
        <v>0.13113931574860879</v>
      </c>
      <c r="L6">
        <v>1.3444399086639616E-4</v>
      </c>
      <c r="M6">
        <v>2.6057763012393537E-6</v>
      </c>
      <c r="N6">
        <v>1.5916260540882716E-6</v>
      </c>
      <c r="O6">
        <v>5.8386488689220152E-4</v>
      </c>
      <c r="P6">
        <v>3.7071803934251972E-9</v>
      </c>
      <c r="Q6">
        <v>4.3984362387111939E-6</v>
      </c>
      <c r="R6">
        <v>6.1958422879634446E-5</v>
      </c>
      <c r="S6">
        <v>4.2338424816984935E-5</v>
      </c>
      <c r="T6">
        <v>3.386714243849287E-3</v>
      </c>
    </row>
    <row r="7" spans="1:20" x14ac:dyDescent="0.35">
      <c r="A7" t="s">
        <v>220</v>
      </c>
      <c r="B7" t="s">
        <v>219</v>
      </c>
      <c r="C7">
        <v>8.9093389416403185E-2</v>
      </c>
      <c r="D7">
        <v>9.5243646087661629E-2</v>
      </c>
      <c r="E7">
        <v>1.319382824598772</v>
      </c>
      <c r="F7">
        <v>1.2454523727513278E-4</v>
      </c>
      <c r="G7">
        <v>5.1303917126027603</v>
      </c>
      <c r="H7">
        <v>4.6085196624829944E-7</v>
      </c>
      <c r="I7">
        <v>3.7527395925414908E-10</v>
      </c>
      <c r="J7">
        <v>2.3004203597745905E-9</v>
      </c>
      <c r="K7">
        <v>0.10357133180933947</v>
      </c>
      <c r="L7">
        <v>1.8432248887889445E-4</v>
      </c>
      <c r="M7">
        <v>6.2032789934616472E-6</v>
      </c>
      <c r="N7">
        <v>6.3239456965663104E-6</v>
      </c>
      <c r="O7">
        <v>4.5649307507985372E-4</v>
      </c>
      <c r="P7">
        <v>2.2278526426275811E-9</v>
      </c>
      <c r="Q7">
        <v>1.2214248886897184E-5</v>
      </c>
      <c r="R7">
        <v>9.200911045753924E-5</v>
      </c>
      <c r="S7">
        <v>1.2866976951818364E-4</v>
      </c>
      <c r="T7">
        <v>2.5105611442751696E-3</v>
      </c>
    </row>
    <row r="8" spans="1:20" x14ac:dyDescent="0.35">
      <c r="A8" t="s">
        <v>221</v>
      </c>
      <c r="B8" t="s">
        <v>219</v>
      </c>
      <c r="C8">
        <v>0.12522634909767003</v>
      </c>
      <c r="D8">
        <v>0.1320494166328981</v>
      </c>
      <c r="E8">
        <v>1.2364958754473263</v>
      </c>
      <c r="F8">
        <v>7.8107438873453651E-4</v>
      </c>
      <c r="G8">
        <v>44.123277918654622</v>
      </c>
      <c r="H8">
        <v>1.0475557290850988E-7</v>
      </c>
      <c r="I8">
        <v>4.8905616294412318E-10</v>
      </c>
      <c r="J8">
        <v>9.3808288400346381E-9</v>
      </c>
      <c r="K8">
        <v>0.23718872901479862</v>
      </c>
      <c r="L8">
        <v>8.0608933357856664E-4</v>
      </c>
      <c r="M8">
        <v>6.1237652808799164E-6</v>
      </c>
      <c r="N8">
        <v>1.0036078911408678E-5</v>
      </c>
      <c r="O8">
        <v>2.2203973359938097E-4</v>
      </c>
      <c r="P8">
        <v>1.3046191107202221E-10</v>
      </c>
      <c r="Q8">
        <v>1.2979091496784123E-4</v>
      </c>
      <c r="R8">
        <v>3.2253034810838209E-4</v>
      </c>
      <c r="S8">
        <v>8.0269619009460703E-4</v>
      </c>
      <c r="T8">
        <v>4.4888511676561826E-3</v>
      </c>
    </row>
    <row r="9" spans="1:20" x14ac:dyDescent="0.35">
      <c r="A9" t="s">
        <v>222</v>
      </c>
      <c r="B9" t="s">
        <v>219</v>
      </c>
      <c r="C9">
        <v>1.5240196148992569E-2</v>
      </c>
      <c r="D9">
        <v>1.6806366390672119E-2</v>
      </c>
      <c r="E9">
        <v>0.22657282506095763</v>
      </c>
      <c r="F9">
        <v>1.6756881614493667E-4</v>
      </c>
      <c r="G9">
        <v>21.919289567939121</v>
      </c>
      <c r="H9">
        <v>1.9031357670560078E-6</v>
      </c>
      <c r="I9">
        <v>4.0204709062720999E-10</v>
      </c>
      <c r="J9">
        <v>5.1720993566785803E-9</v>
      </c>
      <c r="K9">
        <v>0.15492206190773072</v>
      </c>
      <c r="L9">
        <v>2.3018831095845745E-2</v>
      </c>
      <c r="M9">
        <v>1.3446765841426078E-5</v>
      </c>
      <c r="N9">
        <v>1.0106369223263669E-5</v>
      </c>
      <c r="O9">
        <v>3.2945600927021632E-4</v>
      </c>
      <c r="P9">
        <v>2.0115923214435499E-10</v>
      </c>
      <c r="Q9">
        <v>3.7064637769451811E-4</v>
      </c>
      <c r="R9">
        <v>3.2323587266456599E-4</v>
      </c>
      <c r="S9">
        <v>1.8879802493055212E-4</v>
      </c>
      <c r="T9">
        <v>1.3711807787024188E-2</v>
      </c>
    </row>
    <row r="10" spans="1:20" x14ac:dyDescent="0.35">
      <c r="A10" s="17" t="s">
        <v>255</v>
      </c>
      <c r="B10" s="17" t="s">
        <v>219</v>
      </c>
    </row>
    <row r="11" spans="1:20" x14ac:dyDescent="0.35">
      <c r="A11" s="17" t="s">
        <v>256</v>
      </c>
      <c r="B11" s="17" t="s">
        <v>219</v>
      </c>
      <c r="C11">
        <f>(C6*Parameters!$C115)+(C7*Parameters!$C117)+(C8*Parameters!$C116)+(C9*Parameters!$C118)+(C10*Parameters!$C119)</f>
        <v>3.9015743162470896E-2</v>
      </c>
      <c r="D11">
        <f>(D6*Parameters!$C115)+(D7*Parameters!$C117)+(D8*Parameters!$C116)+(D9*Parameters!$C118)+(D10*Parameters!$C119)</f>
        <v>4.2669457706434023E-2</v>
      </c>
      <c r="E11">
        <f>(E6*Parameters!$C115)+(E7*Parameters!$C117)+(E8*Parameters!$C116)+(E9*Parameters!$C118)+(E10*Parameters!$C119)</f>
        <v>0.6831217323218679</v>
      </c>
      <c r="F11">
        <f>(F6*Parameters!$C115)+(F7*Parameters!$C117)+(F8*Parameters!$C116)+(F9*Parameters!$C118)+(F10*Parameters!$C119)</f>
        <v>8.046532259043323E-5</v>
      </c>
      <c r="G11">
        <f>(G6*Parameters!$C115)+(G7*Parameters!$C117)+(G8*Parameters!$C116)+(G9*Parameters!$C118)+(G10*Parameters!$C119)</f>
        <v>9.4793525096378772</v>
      </c>
      <c r="H11">
        <f>(H6*Parameters!$C115)+(H7*Parameters!$C117)+(H8*Parameters!$C116)+(H9*Parameters!$C118)+(H10*Parameters!$C119)</f>
        <v>8.4083174428137812E-7</v>
      </c>
      <c r="I11">
        <f>(I6*Parameters!$C115)+(I7*Parameters!$C117)+(I8*Parameters!$C116)+(I9*Parameters!$C118)+(I10*Parameters!$C119)</f>
        <v>3.7327199939106759E-10</v>
      </c>
      <c r="J11">
        <f>(J6*Parameters!$C115)+(J7*Parameters!$C117)+(J8*Parameters!$C116)+(J9*Parameters!$C118)+(J10*Parameters!$C119)</f>
        <v>2.4889055406235435E-9</v>
      </c>
      <c r="K11">
        <f>(K6*Parameters!$C115)+(K7*Parameters!$C117)+(K8*Parameters!$C116)+(K9*Parameters!$C118)+(K10*Parameters!$C119)</f>
        <v>0.11824566506031314</v>
      </c>
      <c r="L11">
        <f>(L6*Parameters!$C115)+(L7*Parameters!$C117)+(L8*Parameters!$C116)+(L9*Parameters!$C118)+(L10*Parameters!$C119)</f>
        <v>8.3666604118118083E-3</v>
      </c>
      <c r="M11">
        <f>(M6*Parameters!$C115)+(M7*Parameters!$C117)+(M8*Parameters!$C116)+(M9*Parameters!$C118)+(M10*Parameters!$C119)</f>
        <v>6.1006740420596806E-6</v>
      </c>
      <c r="N11">
        <f>(N6*Parameters!$C115)+(N7*Parameters!$C117)+(N8*Parameters!$C116)+(N9*Parameters!$C118)+(N10*Parameters!$C119)</f>
        <v>4.4246038847794855E-6</v>
      </c>
      <c r="O11">
        <f>(O6*Parameters!$C115)+(O7*Parameters!$C117)+(O8*Parameters!$C116)+(O9*Parameters!$C118)+(O10*Parameters!$C119)</f>
        <v>3.9522319821044447E-4</v>
      </c>
      <c r="P11">
        <f>(P6*Parameters!$C115)+(P7*Parameters!$C117)+(P8*Parameters!$C116)+(P9*Parameters!$C118)+(P10*Parameters!$C119)</f>
        <v>1.8240307711105171E-9</v>
      </c>
      <c r="Q11">
        <f>(Q6*Parameters!$C115)+(Q7*Parameters!$C117)+(Q8*Parameters!$C116)+(Q9*Parameters!$C118)+(Q10*Parameters!$C119)</f>
        <v>1.3597248335377513E-4</v>
      </c>
      <c r="R11">
        <f>(R6*Parameters!$C115)+(R7*Parameters!$C117)+(R8*Parameters!$C116)+(R9*Parameters!$C118)+(R10*Parameters!$C119)</f>
        <v>1.4646723326948758E-4</v>
      </c>
      <c r="S11">
        <f>(S6*Parameters!$C115)+(S7*Parameters!$C117)+(S8*Parameters!$C116)+(S9*Parameters!$C118)+(S10*Parameters!$C119)</f>
        <v>8.9566471647205018E-5</v>
      </c>
      <c r="T11">
        <f>(T6*Parameters!$C115)+(T7*Parameters!$C117)+(T8*Parameters!$C116)+(T9*Parameters!$C118)+(T10*Parameters!$C119)</f>
        <v>6.5530318678349679E-3</v>
      </c>
    </row>
    <row r="12" spans="1:20" x14ac:dyDescent="0.35">
      <c r="A12" t="s">
        <v>96</v>
      </c>
      <c r="B12" t="s">
        <v>408</v>
      </c>
      <c r="C12">
        <v>4.7</v>
      </c>
      <c r="D12">
        <v>27</v>
      </c>
    </row>
    <row r="13" spans="1:20" x14ac:dyDescent="0.35">
      <c r="A13" t="s">
        <v>25</v>
      </c>
      <c r="F13">
        <v>0.39303802735427901</v>
      </c>
      <c r="N13">
        <v>3.009168412593953E-2</v>
      </c>
      <c r="Q13">
        <v>1.373432512539997E-2</v>
      </c>
      <c r="R13">
        <v>1</v>
      </c>
      <c r="S13">
        <v>0.44924234521484269</v>
      </c>
    </row>
    <row r="14" spans="1:20" x14ac:dyDescent="0.35">
      <c r="A14" t="s">
        <v>26</v>
      </c>
    </row>
    <row r="15" spans="1:20" x14ac:dyDescent="0.35">
      <c r="A15" t="s">
        <v>27</v>
      </c>
      <c r="F15">
        <v>1</v>
      </c>
      <c r="Q15">
        <v>6.7908607564477613E-2</v>
      </c>
      <c r="S15">
        <v>1</v>
      </c>
    </row>
    <row r="16" spans="1:20" x14ac:dyDescent="0.35">
      <c r="A16" t="s">
        <v>28</v>
      </c>
    </row>
    <row r="17" spans="1:20" x14ac:dyDescent="0.35">
      <c r="A17" t="s">
        <v>29</v>
      </c>
    </row>
    <row r="18" spans="1:20" x14ac:dyDescent="0.35">
      <c r="A18" t="s">
        <v>30</v>
      </c>
      <c r="B18" t="s">
        <v>408</v>
      </c>
      <c r="F18">
        <v>0.69488298254553948</v>
      </c>
      <c r="N18">
        <v>8.1022659463901719E-2</v>
      </c>
      <c r="Q18">
        <v>0.12971307062877749</v>
      </c>
      <c r="S18">
        <v>1.693829743725688</v>
      </c>
    </row>
    <row r="19" spans="1:20" x14ac:dyDescent="0.35">
      <c r="A19" t="s">
        <v>223</v>
      </c>
      <c r="B19" t="s">
        <v>408</v>
      </c>
      <c r="F19">
        <v>1</v>
      </c>
      <c r="Q19">
        <v>6.7908607564477613E-2</v>
      </c>
      <c r="S19">
        <v>1</v>
      </c>
    </row>
    <row r="20" spans="1:20" x14ac:dyDescent="0.35">
      <c r="A20" t="s">
        <v>224</v>
      </c>
      <c r="B20" t="s">
        <v>408</v>
      </c>
      <c r="C20">
        <v>233</v>
      </c>
      <c r="D20">
        <v>273</v>
      </c>
    </row>
    <row r="21" spans="1:20" x14ac:dyDescent="0.35">
      <c r="A21" t="s">
        <v>225</v>
      </c>
      <c r="B21" t="s">
        <v>408</v>
      </c>
      <c r="N21">
        <v>0.22589999999999991</v>
      </c>
    </row>
    <row r="22" spans="1:20" x14ac:dyDescent="0.35">
      <c r="A22" t="s">
        <v>144</v>
      </c>
      <c r="B22" t="s">
        <v>408</v>
      </c>
      <c r="Q22">
        <v>1</v>
      </c>
    </row>
    <row r="23" spans="1:20" x14ac:dyDescent="0.35">
      <c r="A23" t="s">
        <v>226</v>
      </c>
      <c r="B23" t="s">
        <v>408</v>
      </c>
      <c r="R23">
        <v>0.18</v>
      </c>
    </row>
    <row r="24" spans="1:20" x14ac:dyDescent="0.35">
      <c r="A24" t="s">
        <v>141</v>
      </c>
    </row>
    <row r="25" spans="1:20" x14ac:dyDescent="0.35">
      <c r="A25" t="s">
        <v>414</v>
      </c>
      <c r="B25" t="s">
        <v>408</v>
      </c>
      <c r="H25">
        <v>1</v>
      </c>
    </row>
    <row r="26" spans="1:20" x14ac:dyDescent="0.35">
      <c r="A26" t="s">
        <v>415</v>
      </c>
      <c r="B26" t="s">
        <v>408</v>
      </c>
      <c r="C26">
        <v>1</v>
      </c>
      <c r="D26">
        <v>1</v>
      </c>
    </row>
    <row r="27" spans="1:20" x14ac:dyDescent="0.35">
      <c r="A27" t="s">
        <v>227</v>
      </c>
      <c r="B27" t="s">
        <v>408</v>
      </c>
      <c r="C27">
        <v>0.59770927310508404</v>
      </c>
      <c r="D27">
        <v>0.8576771851648507</v>
      </c>
      <c r="E27">
        <v>55.79469561158686</v>
      </c>
      <c r="F27">
        <v>2.6083491970290027E-3</v>
      </c>
      <c r="G27">
        <v>169.15107397376769</v>
      </c>
      <c r="H27">
        <v>1.7434249214021174E-5</v>
      </c>
      <c r="I27">
        <v>1.0254786254577803E-8</v>
      </c>
      <c r="J27">
        <v>4.9644906977895192E-8</v>
      </c>
      <c r="K27">
        <v>2.5017708087599804</v>
      </c>
      <c r="L27">
        <v>7.1311726667542723E-3</v>
      </c>
      <c r="M27">
        <v>2.6370907727165369E-4</v>
      </c>
      <c r="N27">
        <v>2.2941581312717406E-4</v>
      </c>
      <c r="O27">
        <v>1.524748639497977E-2</v>
      </c>
      <c r="P27">
        <v>9.473755459546634E-8</v>
      </c>
      <c r="Q27">
        <v>2.6463199611882141E-4</v>
      </c>
      <c r="R27">
        <v>2.5957207453465702E-3</v>
      </c>
      <c r="S27">
        <v>2.7067632452399946E-3</v>
      </c>
      <c r="T27">
        <v>7.7294773442009301E-2</v>
      </c>
    </row>
    <row r="28" spans="1:20" x14ac:dyDescent="0.35">
      <c r="A28" t="s">
        <v>228</v>
      </c>
      <c r="B28" t="s">
        <v>408</v>
      </c>
      <c r="C28">
        <v>1.4562559519007621</v>
      </c>
      <c r="D28">
        <v>1.5776478677100687</v>
      </c>
      <c r="E28">
        <v>23.20002206780282</v>
      </c>
      <c r="F28">
        <v>3.667758693871133E-3</v>
      </c>
      <c r="G28">
        <v>177.08174914347671</v>
      </c>
      <c r="H28">
        <v>1.1535059371332021E-5</v>
      </c>
      <c r="I28">
        <v>2.2964944333910102E-8</v>
      </c>
      <c r="J28">
        <v>1.3368544451733005E-7</v>
      </c>
      <c r="K28">
        <v>6.6706282505893046</v>
      </c>
      <c r="L28">
        <v>1.5947896548755922E-2</v>
      </c>
      <c r="M28">
        <v>1.1821917597415985E-4</v>
      </c>
      <c r="N28">
        <v>4.1436879383846222E-4</v>
      </c>
      <c r="O28">
        <v>4.020571180623856E-2</v>
      </c>
      <c r="P28">
        <v>4.4951934296253118E-8</v>
      </c>
      <c r="Q28">
        <v>5.2189781884413628E-4</v>
      </c>
      <c r="R28">
        <v>2.1812123655767855E-3</v>
      </c>
      <c r="S28">
        <v>5.7306449224497338E-3</v>
      </c>
      <c r="T28">
        <v>2.3755902490883187</v>
      </c>
    </row>
    <row r="29" spans="1:20" x14ac:dyDescent="0.35">
      <c r="A29" t="s">
        <v>229</v>
      </c>
      <c r="B29" t="s">
        <v>408</v>
      </c>
      <c r="C29">
        <v>0.61805037168268695</v>
      </c>
      <c r="D29">
        <v>0.66714792714666193</v>
      </c>
      <c r="E29">
        <v>10.816313505910848</v>
      </c>
      <c r="F29">
        <v>2.1676965080379305E-3</v>
      </c>
      <c r="G29">
        <v>262.02237259392621</v>
      </c>
      <c r="H29">
        <v>7.9572938898804173E-6</v>
      </c>
      <c r="I29">
        <v>1.6209350722055508E-8</v>
      </c>
      <c r="J29">
        <v>8.7208074709757493E-8</v>
      </c>
      <c r="K29">
        <v>3.7587513679216689</v>
      </c>
      <c r="L29">
        <v>3.5892221897860718E-2</v>
      </c>
      <c r="M29">
        <v>2.7188196374774482E-4</v>
      </c>
      <c r="N29">
        <v>9.1438888810780754E-5</v>
      </c>
      <c r="O29">
        <v>2.5066395252754742E-2</v>
      </c>
      <c r="P29">
        <v>2.012593244122057E-8</v>
      </c>
      <c r="Q29">
        <v>3.284228881437495E-4</v>
      </c>
      <c r="R29">
        <v>2.3640736062164607E-3</v>
      </c>
      <c r="S29">
        <v>2.3426144259928194E-3</v>
      </c>
      <c r="T29">
        <v>0.31390973645585518</v>
      </c>
    </row>
    <row r="30" spans="1:20" x14ac:dyDescent="0.35">
      <c r="A30" t="s">
        <v>230</v>
      </c>
      <c r="B30" t="s">
        <v>408</v>
      </c>
      <c r="C30">
        <v>0.36732537242187879</v>
      </c>
      <c r="D30">
        <v>0.38986915383247311</v>
      </c>
      <c r="E30">
        <v>6.8356119277153198</v>
      </c>
      <c r="F30">
        <v>5.9155354072409532E-3</v>
      </c>
      <c r="G30">
        <v>144.35347069926857</v>
      </c>
      <c r="H30">
        <v>9.9769189991783967E-4</v>
      </c>
      <c r="I30">
        <v>1.3075564636667543E-8</v>
      </c>
      <c r="J30">
        <v>1.2776248478746267E-7</v>
      </c>
      <c r="K30">
        <v>14.097873534597703</v>
      </c>
      <c r="L30">
        <v>3.2462908530900947E-2</v>
      </c>
      <c r="M30">
        <v>1.5435759688525055E-4</v>
      </c>
      <c r="N30">
        <v>5.1561382654709185E-5</v>
      </c>
      <c r="O30">
        <v>2.0589049459706264E-2</v>
      </c>
      <c r="P30">
        <v>8.9352321391450534E-9</v>
      </c>
      <c r="Q30">
        <v>8.2627770418767783E-4</v>
      </c>
      <c r="R30">
        <v>9.4991874653265179E-4</v>
      </c>
      <c r="S30">
        <v>5.99409043505718E-3</v>
      </c>
      <c r="T30">
        <v>0.92484418441705429</v>
      </c>
    </row>
    <row r="31" spans="1:20" x14ac:dyDescent="0.35">
      <c r="A31" t="s">
        <v>231</v>
      </c>
      <c r="B31" t="s">
        <v>408</v>
      </c>
      <c r="C31">
        <v>8.6683973774129303E-3</v>
      </c>
      <c r="D31">
        <v>1.4284515611925735E-2</v>
      </c>
      <c r="E31">
        <v>10.072034609758711</v>
      </c>
      <c r="F31">
        <v>3.0403662926691755E-5</v>
      </c>
      <c r="G31">
        <v>1.9113469129536462</v>
      </c>
      <c r="H31">
        <v>1.1500211763635665E-7</v>
      </c>
      <c r="I31">
        <v>2.8297082326081591E-10</v>
      </c>
      <c r="J31">
        <v>9.2637783285076911E-10</v>
      </c>
      <c r="K31">
        <v>0.6095710915716287</v>
      </c>
      <c r="L31">
        <v>1.1477805672065486E-3</v>
      </c>
      <c r="M31">
        <v>2.4441320793069858E-5</v>
      </c>
      <c r="N31">
        <v>1.661137322952036E-6</v>
      </c>
      <c r="O31">
        <v>3.4705921986874245E-4</v>
      </c>
      <c r="P31">
        <v>1.4563024766131548E-10</v>
      </c>
      <c r="Q31">
        <v>5.0773194580050726E-6</v>
      </c>
      <c r="R31">
        <v>4.8072712708987106E-5</v>
      </c>
      <c r="S31">
        <v>3.3332937301910734E-5</v>
      </c>
      <c r="T31">
        <v>3.2008550717339546E-2</v>
      </c>
    </row>
    <row r="32" spans="1:20" x14ac:dyDescent="0.35">
      <c r="A32" t="s">
        <v>127</v>
      </c>
      <c r="B32" t="s">
        <v>408</v>
      </c>
      <c r="C32">
        <v>3.0857549263065684</v>
      </c>
      <c r="D32">
        <v>3.3347072314679833</v>
      </c>
      <c r="E32">
        <v>42.034753047833277</v>
      </c>
      <c r="F32">
        <v>1.6142531203983648E-2</v>
      </c>
      <c r="G32">
        <v>1038.8137503037933</v>
      </c>
      <c r="H32">
        <v>6.2920402707751442E-6</v>
      </c>
      <c r="I32">
        <v>1.5634760873520389E-8</v>
      </c>
      <c r="J32">
        <v>2.0512190743712944E-7</v>
      </c>
      <c r="K32">
        <v>15.926594232163952</v>
      </c>
      <c r="L32">
        <v>3.4861138996680148E-2</v>
      </c>
      <c r="M32">
        <v>2.5353146889927361E-4</v>
      </c>
      <c r="N32">
        <v>2.5242715632565744E-4</v>
      </c>
      <c r="O32">
        <v>1.1972180557121489E-2</v>
      </c>
      <c r="P32">
        <v>2.136369872177908E-8</v>
      </c>
      <c r="Q32">
        <v>3.3014718175019687E-3</v>
      </c>
      <c r="R32">
        <v>8.0228503160407732E-3</v>
      </c>
      <c r="S32">
        <v>1.6662892146383133E-2</v>
      </c>
      <c r="T32">
        <v>0.41818095832445579</v>
      </c>
    </row>
    <row r="33" spans="1:20" x14ac:dyDescent="0.35">
      <c r="A33" t="s">
        <v>253</v>
      </c>
      <c r="B33" t="s">
        <v>408</v>
      </c>
      <c r="C33">
        <v>2.1429326689773345E-2</v>
      </c>
      <c r="D33">
        <v>5.3022918320342791</v>
      </c>
      <c r="E33">
        <v>0.39564253119194481</v>
      </c>
      <c r="F33">
        <v>0.53460719779463484</v>
      </c>
      <c r="G33">
        <v>34.130496960111891</v>
      </c>
      <c r="H33">
        <v>1.3570352547075122</v>
      </c>
      <c r="I33">
        <v>1.9913219082925457E-3</v>
      </c>
      <c r="J33">
        <v>2.5459547677704383E-4</v>
      </c>
      <c r="K33">
        <v>1.7594109263511282</v>
      </c>
      <c r="L33">
        <v>8.8018490516484018</v>
      </c>
      <c r="M33">
        <v>0.28791328589623838</v>
      </c>
      <c r="N33">
        <v>0.12249019922793458</v>
      </c>
      <c r="O33">
        <v>0.35255184774133241</v>
      </c>
      <c r="P33">
        <v>2.4165618145602069E-6</v>
      </c>
      <c r="Q33">
        <v>9.3199076750180194E-3</v>
      </c>
      <c r="R33">
        <v>1.4494237289621719E-2</v>
      </c>
      <c r="S33">
        <v>1.4945390102430576E-2</v>
      </c>
      <c r="T33">
        <v>7.4318769351965214E-2</v>
      </c>
    </row>
    <row r="34" spans="1:20" x14ac:dyDescent="0.35">
      <c r="A34" t="s">
        <v>281</v>
      </c>
      <c r="B34" t="s">
        <v>239</v>
      </c>
      <c r="C34">
        <v>0.25006090346548815</v>
      </c>
      <c r="D34">
        <v>0.3199163799783592</v>
      </c>
      <c r="E34">
        <v>3.71561708465644</v>
      </c>
      <c r="F34">
        <v>8.8145229618010227E-4</v>
      </c>
      <c r="G34">
        <v>5238.4739805109257</v>
      </c>
      <c r="H34">
        <v>4.0770633732519004E-3</v>
      </c>
      <c r="I34">
        <v>1.1927337500199048E-8</v>
      </c>
      <c r="J34">
        <v>5.5823983387785868E-7</v>
      </c>
      <c r="K34">
        <v>7.2048457622371656</v>
      </c>
      <c r="L34">
        <v>6.9801364856454688E-3</v>
      </c>
      <c r="M34">
        <v>6.426149963642849E-5</v>
      </c>
      <c r="N34">
        <v>1.7821397493380773E-2</v>
      </c>
      <c r="O34">
        <v>1.1061053911841198E-2</v>
      </c>
      <c r="P34">
        <v>3.8331644669667563E-9</v>
      </c>
      <c r="Q34">
        <v>1.3379669000837817E-4</v>
      </c>
      <c r="R34">
        <v>7.9131278846749579E-4</v>
      </c>
      <c r="S34">
        <v>1.0923522197060329E-3</v>
      </c>
      <c r="T34">
        <v>-1.7961399781896148E-3</v>
      </c>
    </row>
    <row r="35" spans="1:20" x14ac:dyDescent="0.35">
      <c r="A35" t="s">
        <v>340</v>
      </c>
      <c r="B35" t="s">
        <v>408</v>
      </c>
      <c r="C35">
        <v>4.2287542901268224E-2</v>
      </c>
      <c r="D35">
        <v>4.5731952355372307E-2</v>
      </c>
      <c r="E35">
        <v>0.71611285785498757</v>
      </c>
      <c r="F35">
        <v>1.1852604165553155E-4</v>
      </c>
      <c r="G35">
        <v>8.5463507860606907</v>
      </c>
      <c r="H35">
        <v>4.3943055808041872E-5</v>
      </c>
      <c r="I35">
        <v>9.4764746780122223E-10</v>
      </c>
      <c r="J35">
        <v>2.6733597806306005E-9</v>
      </c>
      <c r="K35">
        <v>0.50148946270162031</v>
      </c>
      <c r="L35">
        <v>0.38208422069322368</v>
      </c>
      <c r="M35">
        <v>1.1832590332776604E-5</v>
      </c>
      <c r="N35">
        <v>7.3548902250812068E-6</v>
      </c>
      <c r="O35">
        <v>9.7323238609940297E-4</v>
      </c>
      <c r="P35">
        <v>1.0320038079027685E-9</v>
      </c>
      <c r="Q35">
        <v>1.7634991385358221E-5</v>
      </c>
      <c r="R35">
        <v>2.1198330522264363E-4</v>
      </c>
      <c r="S35">
        <v>1.2969633159992059E-4</v>
      </c>
      <c r="T35">
        <v>1.170564940681551E-2</v>
      </c>
    </row>
    <row r="37" spans="1:20" x14ac:dyDescent="0.35">
      <c r="A37" t="s">
        <v>341</v>
      </c>
      <c r="B37" t="s">
        <v>128</v>
      </c>
      <c r="C37">
        <v>3.4843290933573655E-2</v>
      </c>
      <c r="D37">
        <v>3.7452427019751884E-2</v>
      </c>
      <c r="E37">
        <v>0.42365828023876678</v>
      </c>
      <c r="F37">
        <v>2.0482073963804662E-4</v>
      </c>
      <c r="G37">
        <v>46.477954253809258</v>
      </c>
      <c r="H37">
        <v>2.5517254141356122E-6</v>
      </c>
      <c r="I37">
        <v>2.3704003303210884E-9</v>
      </c>
      <c r="J37">
        <v>2.7947451130049799E-8</v>
      </c>
      <c r="K37">
        <v>4.0094569639875996E-2</v>
      </c>
      <c r="L37">
        <v>5.0378167829273006E-2</v>
      </c>
      <c r="M37">
        <v>1.6547786937557048E-5</v>
      </c>
      <c r="N37">
        <v>1.0525328913824969E-5</v>
      </c>
      <c r="O37">
        <v>5.5813634078116228E-3</v>
      </c>
      <c r="P37">
        <v>1.2791701725423495E-9</v>
      </c>
      <c r="Q37">
        <v>5.2372990213703683E-5</v>
      </c>
      <c r="R37">
        <v>2.2826173914881374E-4</v>
      </c>
      <c r="S37">
        <v>2.4500865813016789E-4</v>
      </c>
      <c r="T37">
        <v>1.371409771705601E-2</v>
      </c>
    </row>
    <row r="38" spans="1:20" x14ac:dyDescent="0.35">
      <c r="A38" t="s">
        <v>343</v>
      </c>
      <c r="B38" t="s">
        <v>239</v>
      </c>
      <c r="C38">
        <v>0.4999742920435834</v>
      </c>
      <c r="D38">
        <v>0.73571240611880662</v>
      </c>
      <c r="E38">
        <v>47.70035239707839</v>
      </c>
      <c r="F38">
        <v>1.1365276675872383E-3</v>
      </c>
      <c r="G38">
        <v>105.2273365393191</v>
      </c>
      <c r="H38">
        <v>1.2948261814204725E-6</v>
      </c>
      <c r="I38">
        <v>1.2023830984883155E-9</v>
      </c>
      <c r="J38">
        <v>2.7325438235262828E-8</v>
      </c>
      <c r="K38">
        <v>0.58387672154924886</v>
      </c>
      <c r="L38">
        <v>5.2058956311443029E-3</v>
      </c>
      <c r="M38">
        <v>8.9379246174940078E-5</v>
      </c>
      <c r="N38">
        <v>4.5640501448936367E-5</v>
      </c>
      <c r="O38">
        <v>2.6153616971937115E-2</v>
      </c>
      <c r="P38">
        <v>1.6139790950277103E-7</v>
      </c>
      <c r="Q38">
        <v>1.3116762670038431E-4</v>
      </c>
      <c r="R38">
        <v>1.868581165713121E-3</v>
      </c>
      <c r="S38">
        <v>1.224221725085881E-3</v>
      </c>
      <c r="T38">
        <v>7.8893246702014919E-2</v>
      </c>
    </row>
    <row r="39" spans="1:20" x14ac:dyDescent="0.35">
      <c r="A39" t="s">
        <v>345</v>
      </c>
      <c r="B39" t="s">
        <v>219</v>
      </c>
      <c r="C39">
        <f>(C9*0.75)+(C6*0.25)</f>
        <v>2.9009443914581205E-2</v>
      </c>
      <c r="D39">
        <f t="shared" ref="D39:T39" si="0">(D9*0.75)+(D6*0.25)</f>
        <v>3.1810426802821895E-2</v>
      </c>
      <c r="E39">
        <f t="shared" si="0"/>
        <v>0.48650867342945886</v>
      </c>
      <c r="F39">
        <f t="shared" si="0"/>
        <v>1.3551706158431765E-4</v>
      </c>
      <c r="G39">
        <f t="shared" si="0"/>
        <v>17.232619365600204</v>
      </c>
      <c r="H39">
        <f t="shared" si="0"/>
        <v>1.5086896805940897E-6</v>
      </c>
      <c r="I39">
        <f t="shared" si="0"/>
        <v>4.2183622605771823E-10</v>
      </c>
      <c r="J39">
        <f t="shared" si="0"/>
        <v>4.1995655505708415E-9</v>
      </c>
      <c r="K39">
        <f t="shared" si="0"/>
        <v>0.14897637536795025</v>
      </c>
      <c r="L39">
        <f t="shared" si="0"/>
        <v>1.729773431960091E-2</v>
      </c>
      <c r="M39">
        <f t="shared" si="0"/>
        <v>1.0736518456379398E-5</v>
      </c>
      <c r="N39">
        <f t="shared" si="0"/>
        <v>7.9776834309698198E-6</v>
      </c>
      <c r="O39">
        <f t="shared" si="0"/>
        <v>3.9305822867571265E-4</v>
      </c>
      <c r="P39">
        <f t="shared" si="0"/>
        <v>1.0776645224645657E-9</v>
      </c>
      <c r="Q39">
        <f t="shared" si="0"/>
        <v>2.7908439233056639E-4</v>
      </c>
      <c r="R39">
        <f t="shared" si="0"/>
        <v>2.5791651021833309E-4</v>
      </c>
      <c r="S39">
        <f t="shared" si="0"/>
        <v>1.5218312490216033E-4</v>
      </c>
      <c r="T39">
        <f t="shared" si="0"/>
        <v>1.1130534401230463E-2</v>
      </c>
    </row>
  </sheetData>
  <autoFilter ref="A1:A39" xr:uid="{2A92263A-BD5C-4112-BD80-CE8E8BC8F1D7}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D5E66-E6B6-4451-9C50-1A2032390F93}">
  <dimension ref="A1:AA24"/>
  <sheetViews>
    <sheetView workbookViewId="0">
      <selection activeCell="B24" sqref="B24"/>
    </sheetView>
  </sheetViews>
  <sheetFormatPr baseColWidth="10" defaultRowHeight="14.5" x14ac:dyDescent="0.35"/>
  <cols>
    <col min="3" max="27" width="20.6328125" customWidth="1"/>
  </cols>
  <sheetData>
    <row r="1" spans="1:27" ht="58" x14ac:dyDescent="0.35">
      <c r="A1" t="s">
        <v>0</v>
      </c>
      <c r="C1" s="21" t="s">
        <v>186</v>
      </c>
      <c r="D1" s="21" t="s">
        <v>187</v>
      </c>
      <c r="E1" s="21" t="s">
        <v>188</v>
      </c>
      <c r="F1" s="21" t="s">
        <v>189</v>
      </c>
      <c r="G1" s="21" t="s">
        <v>190</v>
      </c>
      <c r="H1" s="21" t="s">
        <v>191</v>
      </c>
      <c r="I1" s="21" t="s">
        <v>192</v>
      </c>
      <c r="J1" s="21" t="s">
        <v>193</v>
      </c>
      <c r="K1" s="21" t="s">
        <v>194</v>
      </c>
      <c r="L1" s="21" t="s">
        <v>195</v>
      </c>
      <c r="M1" s="21" t="s">
        <v>196</v>
      </c>
      <c r="N1" s="21" t="s">
        <v>197</v>
      </c>
      <c r="O1" s="21" t="s">
        <v>198</v>
      </c>
      <c r="P1" s="21" t="s">
        <v>199</v>
      </c>
      <c r="Q1" s="21" t="s">
        <v>200</v>
      </c>
      <c r="R1" s="21" t="s">
        <v>201</v>
      </c>
      <c r="S1" s="21" t="s">
        <v>202</v>
      </c>
      <c r="T1" s="21" t="s">
        <v>203</v>
      </c>
      <c r="U1" s="21" t="s">
        <v>204</v>
      </c>
      <c r="V1" s="21" t="s">
        <v>205</v>
      </c>
      <c r="W1" s="21" t="s">
        <v>206</v>
      </c>
      <c r="X1" s="21" t="s">
        <v>207</v>
      </c>
      <c r="Y1" s="21" t="s">
        <v>208</v>
      </c>
      <c r="Z1" s="21" t="s">
        <v>209</v>
      </c>
      <c r="AA1" s="21" t="s">
        <v>210</v>
      </c>
    </row>
    <row r="2" spans="1:27" x14ac:dyDescent="0.35">
      <c r="A2" t="s">
        <v>5</v>
      </c>
    </row>
    <row r="3" spans="1:27" x14ac:dyDescent="0.35">
      <c r="B3" t="s">
        <v>249</v>
      </c>
      <c r="C3">
        <f>LCI!$E102*impact_process_end!C2</f>
        <v>1.9146069813511494E-10</v>
      </c>
      <c r="D3">
        <f>LCI!$E102*impact_process_end!D2</f>
        <v>6.0617469578201135E-14</v>
      </c>
      <c r="E3">
        <f>LCI!$E102*impact_process_end!E2</f>
        <v>2.2193168919214659E-9</v>
      </c>
      <c r="F3">
        <f>LCI!$E102*impact_process_end!F2</f>
        <v>4.2836723816587511E-11</v>
      </c>
      <c r="G3">
        <f>LCI!$E102*impact_process_end!G2</f>
        <v>8.2374885215309683E-12</v>
      </c>
      <c r="H3">
        <f>LCI!$E102*impact_process_end!H2</f>
        <v>6.4653075335177696E-11</v>
      </c>
      <c r="I3">
        <f>LCI!$E102*impact_process_end!I2</f>
        <v>1.0255522295534873E-10</v>
      </c>
      <c r="J3">
        <f>LCI!$E102*impact_process_end!J2</f>
        <v>1.9615448259816176E-13</v>
      </c>
      <c r="K3">
        <f>LCI!$E102*impact_process_end!K2</f>
        <v>2.522937685008158E-10</v>
      </c>
      <c r="L3">
        <f>LCI!$E102*impact_process_end!L2</f>
        <v>1.1611681992412064E-10</v>
      </c>
      <c r="M3">
        <f>LCI!$E102*impact_process_end!M2</f>
        <v>1.889894855773394E-14</v>
      </c>
      <c r="N3">
        <f>LCI!$E102*impact_process_end!N2</f>
        <v>4.2241027405531159E-10</v>
      </c>
      <c r="O3">
        <f>LCI!$E102*impact_process_end!O2</f>
        <v>7.3542953131087735E-7</v>
      </c>
      <c r="P3">
        <f>LCI!$E102*impact_process_end!P2</f>
        <v>1.9594919387274766E-7</v>
      </c>
      <c r="Q3">
        <f>LCI!$E102*impact_process_end!Q2</f>
        <v>2.9095418787134199E-7</v>
      </c>
      <c r="R3">
        <f>LCI!$E102*impact_process_end!R2</f>
        <v>4.6570229644264042E-8</v>
      </c>
      <c r="S3">
        <f>LCI!$E102*impact_process_end!S2</f>
        <v>4.5808265351072022E-10</v>
      </c>
      <c r="T3">
        <f>LCI!$E102*impact_process_end!T2</f>
        <v>3.1482625253983033E-7</v>
      </c>
      <c r="U3">
        <f>LCI!$E102*impact_process_end!U2</f>
        <v>7.4204922421251216E-10</v>
      </c>
      <c r="V3">
        <f>LCI!$E102*impact_process_end!V2</f>
        <v>6.9463022844651241E-8</v>
      </c>
      <c r="W3">
        <f>LCI!$E102*impact_process_end!W2</f>
        <v>8.1643907060922241E-2</v>
      </c>
      <c r="X3">
        <f>LCI!$E102*impact_process_end!X2</f>
        <v>4.0923400413744688E-3</v>
      </c>
      <c r="Y3">
        <f>LCI!$E102*impact_process_end!Y2</f>
        <v>2.9977425478334076E-9</v>
      </c>
      <c r="Z3">
        <f>LCI!$E102*impact_process_end!Z2</f>
        <v>1.6543903076544315E-6</v>
      </c>
      <c r="AA3">
        <f>LCI!$E102*impact_process_end!AA2</f>
        <v>8.5736247524707002E-2</v>
      </c>
    </row>
    <row r="4" spans="1:27" x14ac:dyDescent="0.35">
      <c r="B4" t="s">
        <v>250</v>
      </c>
      <c r="C4">
        <f>LCI!E$103*impact_process_end!C3</f>
        <v>0</v>
      </c>
      <c r="D4">
        <f>LCI!F$103*impact_process_end!D3</f>
        <v>0</v>
      </c>
      <c r="E4">
        <f>LCI!G$103*impact_process_end!E3</f>
        <v>0</v>
      </c>
      <c r="F4">
        <f>LCI!H$103*impact_process_end!F3</f>
        <v>0</v>
      </c>
      <c r="G4">
        <f>LCI!I$103*impact_process_end!G3</f>
        <v>0</v>
      </c>
      <c r="H4">
        <f>LCI!J$103*impact_process_end!H3</f>
        <v>0</v>
      </c>
      <c r="I4">
        <f>LCI!K$103*impact_process_end!I3</f>
        <v>0</v>
      </c>
      <c r="J4">
        <f>LCI!L$103*impact_process_end!J3</f>
        <v>0</v>
      </c>
      <c r="K4">
        <f>LCI!M$103*impact_process_end!K3</f>
        <v>0</v>
      </c>
      <c r="L4">
        <f>LCI!N$103*impact_process_end!L3</f>
        <v>0</v>
      </c>
      <c r="M4">
        <f>LCI!O$103*impact_process_end!M3</f>
        <v>0</v>
      </c>
      <c r="N4">
        <f>LCI!P$103*impact_process_end!N3</f>
        <v>0</v>
      </c>
      <c r="O4">
        <f>LCI!Q$103*impact_process_end!O3</f>
        <v>0</v>
      </c>
      <c r="P4">
        <f>LCI!R$103*impact_process_end!P3</f>
        <v>0</v>
      </c>
      <c r="Q4">
        <f>LCI!S$103*impact_process_end!Q3</f>
        <v>0</v>
      </c>
      <c r="R4">
        <f>LCI!T$103*impact_process_end!R3</f>
        <v>0</v>
      </c>
      <c r="S4">
        <f>LCI!U$103*impact_process_end!S3</f>
        <v>0</v>
      </c>
      <c r="T4">
        <f>LCI!V$103*impact_process_end!T3</f>
        <v>0</v>
      </c>
      <c r="U4">
        <f>LCI!W$103*impact_process_end!U3</f>
        <v>0</v>
      </c>
      <c r="V4">
        <f>LCI!X$103*impact_process_end!V3</f>
        <v>0</v>
      </c>
      <c r="W4">
        <f>LCI!Y$103*impact_process_end!W3</f>
        <v>0</v>
      </c>
      <c r="X4">
        <f>LCI!Z$103*impact_process_end!X3</f>
        <v>0</v>
      </c>
      <c r="Y4">
        <f>LCI!AA$103*impact_process_end!Y3</f>
        <v>0</v>
      </c>
      <c r="Z4">
        <f>LCI!AB$103*impact_process_end!Z3</f>
        <v>0</v>
      </c>
      <c r="AA4">
        <f>LCI!AC$103*impact_process_end!AA3</f>
        <v>0</v>
      </c>
    </row>
    <row r="5" spans="1:27" x14ac:dyDescent="0.35">
      <c r="A5" t="s">
        <v>235</v>
      </c>
    </row>
    <row r="6" spans="1:27" x14ac:dyDescent="0.35">
      <c r="B6" t="s">
        <v>235</v>
      </c>
      <c r="C6">
        <f>LCI!$E105*impact_process_end!C4</f>
        <v>6.649149277728062E-9</v>
      </c>
      <c r="D6">
        <f>LCI!$E105*impact_process_end!D4</f>
        <v>7.210455075453735E-13</v>
      </c>
      <c r="E6">
        <f>LCI!$E105*impact_process_end!E4</f>
        <v>2.6389924783258899E-8</v>
      </c>
      <c r="F6">
        <f>LCI!$E105*impact_process_end!F4</f>
        <v>1.0807282494783058E-9</v>
      </c>
      <c r="G6">
        <f>LCI!$E105*impact_process_end!G4</f>
        <v>2.1919200690513944E-10</v>
      </c>
      <c r="H6">
        <f>LCI!$E105*impact_process_end!H4</f>
        <v>2.4572038093003312E-10</v>
      </c>
      <c r="I6">
        <f>LCI!$E105*impact_process_end!I4</f>
        <v>7.4986253883336063E-9</v>
      </c>
      <c r="J6">
        <f>LCI!$E105*impact_process_end!J4</f>
        <v>4.7223915393038649E-12</v>
      </c>
      <c r="K6">
        <f>LCI!$E105*impact_process_end!K4</f>
        <v>1.6184656043116963E-9</v>
      </c>
      <c r="L6">
        <f>LCI!$E105*impact_process_end!L4</f>
        <v>7.740590143350547E-9</v>
      </c>
      <c r="M6">
        <f>LCI!$E105*impact_process_end!M4</f>
        <v>2.5281871445699921E-13</v>
      </c>
      <c r="N6">
        <f>LCI!$E105*impact_process_end!N4</f>
        <v>5.6507494125322685E-9</v>
      </c>
      <c r="O6">
        <f>LCI!$E105*impact_process_end!O4</f>
        <v>8.7524532672828231E-6</v>
      </c>
      <c r="P6">
        <f>LCI!$E105*impact_process_end!P4</f>
        <v>8.0541488477868482E-6</v>
      </c>
      <c r="Q6">
        <f>LCI!$E105*impact_process_end!Q4</f>
        <v>1.5891331666583501E-5</v>
      </c>
      <c r="R6">
        <f>LCI!$E105*impact_process_end!R4</f>
        <v>7.465148381406662E-10</v>
      </c>
      <c r="S6">
        <f>LCI!$E105*impact_process_end!S4</f>
        <v>7.0562250453079327E-8</v>
      </c>
      <c r="T6">
        <f>LCI!$E105*impact_process_end!T4</f>
        <v>7.8168253757812199E-6</v>
      </c>
      <c r="U6">
        <f>LCI!$E105*impact_process_end!U4</f>
        <v>5.3978490146889052E-8</v>
      </c>
      <c r="V6">
        <f>LCI!$E105*impact_process_end!V4</f>
        <v>9.2923434783863971E-7</v>
      </c>
      <c r="W6">
        <f>LCI!$E105*impact_process_end!W4</f>
        <v>0.44068378170376005</v>
      </c>
      <c r="X6">
        <f>LCI!$E105*impact_process_end!X4</f>
        <v>6.1662478842940578E-2</v>
      </c>
      <c r="Y6">
        <f>LCI!$E105*impact_process_end!Y4</f>
        <v>5.1447967644781786E-8</v>
      </c>
      <c r="Z6">
        <f>LCI!$E105*impact_process_end!Z4</f>
        <v>4.1569231407021523E-5</v>
      </c>
      <c r="AA6">
        <f>LCI!$E105*impact_process_end!AA4</f>
        <v>0.50234626619745015</v>
      </c>
    </row>
    <row r="7" spans="1:27" x14ac:dyDescent="0.35">
      <c r="A7" t="s">
        <v>300</v>
      </c>
    </row>
    <row r="8" spans="1:27" x14ac:dyDescent="0.35">
      <c r="B8" t="s">
        <v>301</v>
      </c>
      <c r="C8">
        <f>LCI!$E108*impact_process_end!C33</f>
        <v>2.3333217417055975E-9</v>
      </c>
      <c r="D8">
        <f>LCI!$E108*impact_process_end!D33</f>
        <v>3.3901888499917054E-13</v>
      </c>
      <c r="E8">
        <f>LCI!$E108*impact_process_end!E33</f>
        <v>1.2413386127213454E-8</v>
      </c>
      <c r="F8">
        <f>LCI!$E108*impact_process_end!F33</f>
        <v>6.8954148579023115E-11</v>
      </c>
      <c r="G8">
        <f>LCI!$E108*impact_process_end!G33</f>
        <v>1.6310775331317069E-11</v>
      </c>
      <c r="H8">
        <f>LCI!$E108*impact_process_end!H33</f>
        <v>5.0683596776435602E-10</v>
      </c>
      <c r="I8">
        <f>LCI!$E108*impact_process_end!I33</f>
        <v>1.0201072976263071E-9</v>
      </c>
      <c r="J8">
        <f>LCI!$E108*impact_process_end!J33</f>
        <v>4.1316072076806264E-13</v>
      </c>
      <c r="K8">
        <f>LCI!$E108*impact_process_end!K33</f>
        <v>4.0058679351751487E-7</v>
      </c>
      <c r="L8">
        <f>LCI!$E108*impact_process_end!L33</f>
        <v>2.813219258865535E-9</v>
      </c>
      <c r="M8">
        <f>LCI!$E108*impact_process_end!M33</f>
        <v>1.2525695579264941E-14</v>
      </c>
      <c r="N8">
        <f>LCI!$E108*impact_process_end!N33</f>
        <v>2.799617389405243E-10</v>
      </c>
      <c r="O8">
        <f>LCI!$E108*impact_process_end!O33</f>
        <v>4.1131915933788136E-6</v>
      </c>
      <c r="P8">
        <f>LCI!$E108*impact_process_end!P33</f>
        <v>1.0234036068464036E-6</v>
      </c>
      <c r="Q8">
        <f>LCI!$E108*impact_process_end!Q33</f>
        <v>6.0868526888388345E-7</v>
      </c>
      <c r="R8">
        <f>LCI!$E108*impact_process_end!R33</f>
        <v>3.2476911158698992E-9</v>
      </c>
      <c r="S8">
        <f>LCI!$E108*impact_process_end!S33</f>
        <v>8.7092758648361843E-10</v>
      </c>
      <c r="T8">
        <f>LCI!$E108*impact_process_end!T33</f>
        <v>3.0414498427886592E-6</v>
      </c>
      <c r="U8">
        <f>LCI!$E108*impact_process_end!U33</f>
        <v>1.8100842463551973E-8</v>
      </c>
      <c r="V8">
        <f>LCI!$E108*impact_process_end!V33</f>
        <v>4.6038152625775111E-8</v>
      </c>
      <c r="W8">
        <f>LCI!$E108*impact_process_end!W33</f>
        <v>0.53788494377269724</v>
      </c>
      <c r="X8">
        <f>LCI!$E108*impact_process_end!X33</f>
        <v>1.8594596816517397E-2</v>
      </c>
      <c r="Y8">
        <f>LCI!$E108*impact_process_end!Y33</f>
        <v>4.1975901320965533E-7</v>
      </c>
      <c r="Z8">
        <f>LCI!$E108*impact_process_end!Z33</f>
        <v>8.8547568402007371E-6</v>
      </c>
      <c r="AA8">
        <f>LCI!$E108*impact_process_end!AA33</f>
        <v>0.55647954086917639</v>
      </c>
    </row>
    <row r="9" spans="1:27" x14ac:dyDescent="0.35">
      <c r="A9" t="s">
        <v>302</v>
      </c>
    </row>
    <row r="10" spans="1:27" x14ac:dyDescent="0.35">
      <c r="B10" t="s">
        <v>303</v>
      </c>
      <c r="C10" s="5">
        <f>LCI!$E112*impact_process_end!C11</f>
        <v>0</v>
      </c>
      <c r="D10" s="5">
        <f>LCI!$E112*impact_process_end!D11</f>
        <v>3.6664627999999997E-13</v>
      </c>
      <c r="E10" s="5">
        <f>LCI!$E112*impact_process_end!E11</f>
        <v>1.3424894560000001E-8</v>
      </c>
      <c r="F10" s="5">
        <f>LCI!$E112*impact_process_end!F11</f>
        <v>0</v>
      </c>
      <c r="G10" s="5">
        <f>LCI!$E112*impact_process_end!G11</f>
        <v>0</v>
      </c>
      <c r="H10" s="5">
        <f>LCI!$E112*impact_process_end!H11</f>
        <v>0</v>
      </c>
      <c r="I10" s="5">
        <f>LCI!$E112*impact_process_end!I11</f>
        <v>0</v>
      </c>
      <c r="J10" s="5">
        <f>LCI!$E112*impact_process_end!J11</f>
        <v>0</v>
      </c>
      <c r="K10" s="5">
        <f>LCI!$E112*impact_process_end!K11</f>
        <v>0</v>
      </c>
      <c r="L10" s="5">
        <f>LCI!$E112*impact_process_end!L11</f>
        <v>0</v>
      </c>
      <c r="M10" s="5">
        <f>LCI!$E112*impact_process_end!M11</f>
        <v>0</v>
      </c>
      <c r="N10" s="5">
        <f>LCI!$E112*impact_process_end!N11</f>
        <v>0</v>
      </c>
      <c r="O10" s="5">
        <f>LCI!$E112*impact_process_end!O11</f>
        <v>4.4561624800000001E-6</v>
      </c>
      <c r="P10" s="5">
        <f>LCI!$E112*impact_process_end!P11</f>
        <v>0</v>
      </c>
      <c r="Q10" s="5">
        <f>LCI!$E112*impact_process_end!Q11</f>
        <v>0</v>
      </c>
      <c r="R10" s="5">
        <f>LCI!$E112*impact_process_end!R11</f>
        <v>0</v>
      </c>
      <c r="S10" s="5">
        <f>LCI!$E112*impact_process_end!S11</f>
        <v>0</v>
      </c>
      <c r="T10" s="5">
        <f>LCI!$E112*impact_process_end!T11</f>
        <v>0</v>
      </c>
      <c r="U10" s="5">
        <f>LCI!$E112*impact_process_end!U11</f>
        <v>0</v>
      </c>
      <c r="V10" s="5">
        <f>LCI!$E112*impact_process_end!V11</f>
        <v>0</v>
      </c>
      <c r="W10" s="5">
        <f>LCI!$E112*impact_process_end!W11</f>
        <v>0</v>
      </c>
      <c r="X10" s="5">
        <f>LCI!$E112*impact_process_end!X11</f>
        <v>0</v>
      </c>
      <c r="Y10" s="5">
        <f>LCI!$E112*impact_process_end!Y11</f>
        <v>1.342526120628E-8</v>
      </c>
      <c r="Z10" s="5">
        <f>LCI!$E112*impact_process_end!Z11</f>
        <v>4.4561624800000001E-6</v>
      </c>
      <c r="AA10" s="5">
        <f>LCI!$E112*impact_process_end!AA11</f>
        <v>0</v>
      </c>
    </row>
    <row r="11" spans="1:27" x14ac:dyDescent="0.35">
      <c r="B11" t="s">
        <v>304</v>
      </c>
      <c r="C11" s="5">
        <f>LCI!$E113*impact_process_end!C17</f>
        <v>8.0393913599999997E-8</v>
      </c>
      <c r="D11" s="5">
        <f>LCI!$E113*impact_process_end!D17</f>
        <v>0</v>
      </c>
      <c r="E11" s="5">
        <f>LCI!$E113*impact_process_end!E17</f>
        <v>0</v>
      </c>
      <c r="F11" s="5">
        <f>LCI!$E113*impact_process_end!F17</f>
        <v>0</v>
      </c>
      <c r="G11" s="5">
        <f>LCI!$E113*impact_process_end!G17</f>
        <v>0</v>
      </c>
      <c r="H11" s="5">
        <f>LCI!$E113*impact_process_end!H17</f>
        <v>0</v>
      </c>
      <c r="I11" s="5">
        <f>LCI!$E113*impact_process_end!I17</f>
        <v>0</v>
      </c>
      <c r="J11" s="5">
        <f>LCI!$E113*impact_process_end!J17</f>
        <v>0</v>
      </c>
      <c r="K11" s="5">
        <f>LCI!$E113*impact_process_end!K17</f>
        <v>0</v>
      </c>
      <c r="L11" s="5">
        <f>LCI!$E113*impact_process_end!L17</f>
        <v>0</v>
      </c>
      <c r="M11" s="5">
        <f>LCI!$E113*impact_process_end!M17</f>
        <v>0</v>
      </c>
      <c r="N11" s="5">
        <f>LCI!$E113*impact_process_end!N17</f>
        <v>0</v>
      </c>
      <c r="O11" s="5">
        <f>LCI!$E113*impact_process_end!O17</f>
        <v>0</v>
      </c>
      <c r="P11" s="5">
        <f>LCI!$E113*impact_process_end!P17</f>
        <v>0</v>
      </c>
      <c r="Q11" s="5">
        <f>LCI!$E113*impact_process_end!Q17</f>
        <v>0</v>
      </c>
      <c r="R11" s="5">
        <f>LCI!$E113*impact_process_end!R17</f>
        <v>0</v>
      </c>
      <c r="S11" s="5">
        <f>LCI!$E113*impact_process_end!S17</f>
        <v>0</v>
      </c>
      <c r="T11" s="5">
        <f>LCI!$E113*impact_process_end!T17</f>
        <v>2.8988189999999997E-5</v>
      </c>
      <c r="U11" s="5">
        <f>LCI!$E113*impact_process_end!U17</f>
        <v>0</v>
      </c>
      <c r="V11" s="5">
        <f>LCI!$E113*impact_process_end!V17</f>
        <v>0</v>
      </c>
      <c r="W11" s="5">
        <f>LCI!$E113*impact_process_end!W17</f>
        <v>0</v>
      </c>
      <c r="X11" s="5">
        <f>LCI!$E113*impact_process_end!X17</f>
        <v>0</v>
      </c>
      <c r="Y11" s="5">
        <f>LCI!$E113*impact_process_end!Y17</f>
        <v>8.0393913599999997E-8</v>
      </c>
      <c r="Z11" s="5">
        <f>LCI!$E113*impact_process_end!Z17</f>
        <v>2.8988189999999997E-5</v>
      </c>
      <c r="AA11" s="5">
        <f>LCI!$E113*impact_process_end!AA17</f>
        <v>0</v>
      </c>
    </row>
    <row r="12" spans="1:27" x14ac:dyDescent="0.35">
      <c r="B12" t="s">
        <v>305</v>
      </c>
      <c r="C12" s="5">
        <f>LCI!$E114*impact_process_end!C19</f>
        <v>0</v>
      </c>
      <c r="D12" s="5">
        <f>LCI!$E114*impact_process_end!D19</f>
        <v>1.3701580200000001E-12</v>
      </c>
      <c r="E12" s="5">
        <f>LCI!$E114*impact_process_end!E19</f>
        <v>5.0118938099999995E-8</v>
      </c>
      <c r="F12" s="5">
        <f>LCI!$E114*impact_process_end!F19</f>
        <v>0</v>
      </c>
      <c r="G12" s="5">
        <f>LCI!$E114*impact_process_end!G19</f>
        <v>0</v>
      </c>
      <c r="H12" s="5">
        <f>LCI!$E114*impact_process_end!H19</f>
        <v>0</v>
      </c>
      <c r="I12" s="5">
        <f>LCI!$E114*impact_process_end!I19</f>
        <v>0</v>
      </c>
      <c r="J12" s="5">
        <f>LCI!$E114*impact_process_end!J19</f>
        <v>0</v>
      </c>
      <c r="K12" s="5">
        <f>LCI!$E114*impact_process_end!K19</f>
        <v>0</v>
      </c>
      <c r="L12" s="5">
        <f>LCI!$E114*impact_process_end!L19</f>
        <v>0</v>
      </c>
      <c r="M12" s="5">
        <f>LCI!$E114*impact_process_end!M19</f>
        <v>0</v>
      </c>
      <c r="N12" s="5">
        <f>LCI!$E114*impact_process_end!N19</f>
        <v>0</v>
      </c>
      <c r="O12" s="5">
        <f>LCI!$E114*impact_process_end!O19</f>
        <v>1.6826501999999998E-5</v>
      </c>
      <c r="P12" s="5">
        <f>LCI!$E114*impact_process_end!P19</f>
        <v>0</v>
      </c>
      <c r="Q12" s="5">
        <f>LCI!$E114*impact_process_end!Q19</f>
        <v>0</v>
      </c>
      <c r="R12" s="5">
        <f>LCI!$E114*impact_process_end!R19</f>
        <v>0</v>
      </c>
      <c r="S12" s="5">
        <f>LCI!$E114*impact_process_end!S19</f>
        <v>3.5095275599999999E-7</v>
      </c>
      <c r="T12" s="5">
        <f>LCI!$E114*impact_process_end!T19</f>
        <v>0</v>
      </c>
      <c r="U12" s="5">
        <f>LCI!$E114*impact_process_end!U19</f>
        <v>0</v>
      </c>
      <c r="V12" s="5">
        <f>LCI!$E114*impact_process_end!V19</f>
        <v>0</v>
      </c>
      <c r="W12" s="5">
        <f>LCI!$E114*impact_process_end!W19</f>
        <v>0</v>
      </c>
      <c r="X12" s="5">
        <f>LCI!$E114*impact_process_end!X19</f>
        <v>0</v>
      </c>
      <c r="Y12" s="5">
        <f>LCI!$E114*impact_process_end!Y19</f>
        <v>5.012030825802E-8</v>
      </c>
      <c r="Z12" s="5">
        <f>LCI!$E114*impact_process_end!Z19</f>
        <v>1.7177454755999999E-5</v>
      </c>
      <c r="AA12" s="5">
        <f>LCI!$E114*impact_process_end!AA19</f>
        <v>0</v>
      </c>
    </row>
    <row r="13" spans="1:27" x14ac:dyDescent="0.35">
      <c r="B13" t="s">
        <v>249</v>
      </c>
      <c r="C13" s="5">
        <f>LCI!$E116*impact_process_end!C2</f>
        <v>1.3294816012789043E-10</v>
      </c>
      <c r="D13" s="5">
        <f>LCI!$E116*impact_process_end!D2</f>
        <v>4.2092090598891167E-14</v>
      </c>
      <c r="E13" s="5">
        <f>LCI!$E116*impact_process_end!E2</f>
        <v>1.5410687435887532E-9</v>
      </c>
      <c r="F13" s="5">
        <f>LCI!$E116*impact_process_end!F2</f>
        <v>2.9745340285466071E-11</v>
      </c>
      <c r="G13" s="5">
        <f>LCI!$E116*impact_process_end!G2</f>
        <v>5.7200195845901412E-12</v>
      </c>
      <c r="H13" s="5">
        <f>LCI!$E116*impact_process_end!H2</f>
        <v>4.4894369947172487E-11</v>
      </c>
      <c r="I13" s="5">
        <f>LCI!$E116*impact_process_end!I2</f>
        <v>7.1213195899856373E-11</v>
      </c>
      <c r="J13" s="5">
        <f>LCI!$E116*impact_process_end!J2</f>
        <v>1.3620747138329266E-13</v>
      </c>
      <c r="K13" s="5">
        <f>LCI!$E116*impact_process_end!K2</f>
        <v>1.7518996149405344E-10</v>
      </c>
      <c r="L13" s="5">
        <f>LCI!$E116*impact_process_end!L2</f>
        <v>8.0630216640696988E-11</v>
      </c>
      <c r="M13" s="5">
        <f>LCI!$E116*impact_process_end!M2</f>
        <v>1.3123217786081783E-14</v>
      </c>
      <c r="N13" s="5">
        <f>LCI!$E116*impact_process_end!N2</f>
        <v>2.9331695382798687E-10</v>
      </c>
      <c r="O13" s="5">
        <f>LCI!$E116*impact_process_end!O2</f>
        <v>5.1067401322488768E-7</v>
      </c>
      <c r="P13" s="5">
        <f>LCI!$E116*impact_process_end!P2</f>
        <v>1.3606492119620653E-7</v>
      </c>
      <c r="Q13" s="5">
        <f>LCI!$E116*impact_process_end!Q2</f>
        <v>2.0203532284052101E-7</v>
      </c>
      <c r="R13" s="5">
        <f>LCI!$E116*impact_process_end!R2</f>
        <v>3.2337844833141261E-8</v>
      </c>
      <c r="S13" s="5">
        <f>LCI!$E116*impact_process_end!S2</f>
        <v>3.1808745379051013E-10</v>
      </c>
      <c r="T13" s="5">
        <f>LCI!$E116*impact_process_end!T2</f>
        <v>2.1861181664338917E-7</v>
      </c>
      <c r="U13" s="5">
        <f>LCI!$E116*impact_process_end!U2</f>
        <v>5.1527065368664423E-10</v>
      </c>
      <c r="V13" s="5">
        <f>LCI!$E116*impact_process_end!V2</f>
        <v>4.8234343518380068E-8</v>
      </c>
      <c r="W13" s="5">
        <f>LCI!$E116*impact_process_end!W2</f>
        <v>5.6692612818856826E-2</v>
      </c>
      <c r="X13" s="5">
        <f>LCI!$E116*impact_process_end!X2</f>
        <v>2.8416749986698462E-3</v>
      </c>
      <c r="Y13" s="5">
        <f>LCI!$E116*impact_process_end!Y2</f>
        <v>2.0815987832149812E-9</v>
      </c>
      <c r="Z13" s="5">
        <f>LCI!$E116*impact_process_end!Z2</f>
        <v>1.1487900633311833E-6</v>
      </c>
      <c r="AA13" s="5">
        <f>LCI!$E116*impact_process_end!AA2</f>
        <v>5.9534288110843631E-2</v>
      </c>
    </row>
    <row r="14" spans="1:27" x14ac:dyDescent="0.35">
      <c r="A14" s="37" t="s">
        <v>306</v>
      </c>
    </row>
    <row r="15" spans="1:27" x14ac:dyDescent="0.35">
      <c r="B15" t="s">
        <v>307</v>
      </c>
    </row>
    <row r="16" spans="1:27" x14ac:dyDescent="0.35">
      <c r="B16" t="s">
        <v>308</v>
      </c>
    </row>
    <row r="17" spans="1:2" x14ac:dyDescent="0.35">
      <c r="B17" t="s">
        <v>309</v>
      </c>
    </row>
    <row r="18" spans="1:2" x14ac:dyDescent="0.35">
      <c r="B18" t="s">
        <v>310</v>
      </c>
    </row>
    <row r="19" spans="1:2" x14ac:dyDescent="0.35">
      <c r="A19" s="37" t="s">
        <v>316</v>
      </c>
    </row>
    <row r="20" spans="1:2" x14ac:dyDescent="0.35">
      <c r="B20" t="s">
        <v>311</v>
      </c>
    </row>
    <row r="21" spans="1:2" x14ac:dyDescent="0.35">
      <c r="B21" t="s">
        <v>312</v>
      </c>
    </row>
    <row r="22" spans="1:2" x14ac:dyDescent="0.35">
      <c r="B22" t="s">
        <v>313</v>
      </c>
    </row>
    <row r="23" spans="1:2" x14ac:dyDescent="0.35">
      <c r="B23" t="s">
        <v>314</v>
      </c>
    </row>
    <row r="24" spans="1:2" x14ac:dyDescent="0.35">
      <c r="B24" t="s">
        <v>315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51468-0BFB-4CC0-86A8-2F8089FAEBA1}">
  <dimension ref="A1:U75"/>
  <sheetViews>
    <sheetView workbookViewId="0"/>
  </sheetViews>
  <sheetFormatPr baseColWidth="10" defaultRowHeight="14.5" x14ac:dyDescent="0.35"/>
  <cols>
    <col min="1" max="1" width="30" customWidth="1"/>
    <col min="2" max="2" width="24.6328125" bestFit="1" customWidth="1"/>
    <col min="3" max="20" width="20.6328125" customWidth="1"/>
  </cols>
  <sheetData>
    <row r="1" spans="1:20" s="30" customFormat="1" ht="87" x14ac:dyDescent="0.35">
      <c r="A1" s="30" t="s">
        <v>0</v>
      </c>
      <c r="C1" s="31" t="s">
        <v>32</v>
      </c>
      <c r="D1" s="31" t="s">
        <v>33</v>
      </c>
      <c r="E1" s="31" t="s">
        <v>34</v>
      </c>
      <c r="F1" s="31" t="s">
        <v>35</v>
      </c>
      <c r="G1" s="31" t="s">
        <v>36</v>
      </c>
      <c r="H1" s="31" t="s">
        <v>37</v>
      </c>
      <c r="I1" s="31" t="s">
        <v>38</v>
      </c>
      <c r="J1" s="31" t="s">
        <v>39</v>
      </c>
      <c r="K1" s="31" t="s">
        <v>40</v>
      </c>
      <c r="L1" s="31" t="s">
        <v>41</v>
      </c>
      <c r="M1" s="31" t="s">
        <v>42</v>
      </c>
      <c r="N1" s="31" t="s">
        <v>43</v>
      </c>
      <c r="O1" s="31" t="s">
        <v>44</v>
      </c>
      <c r="P1" s="31" t="s">
        <v>45</v>
      </c>
      <c r="Q1" s="31" t="s">
        <v>46</v>
      </c>
      <c r="R1" s="31" t="s">
        <v>47</v>
      </c>
      <c r="S1" s="31" t="s">
        <v>48</v>
      </c>
      <c r="T1" s="31" t="s">
        <v>49</v>
      </c>
    </row>
    <row r="2" spans="1:20" x14ac:dyDescent="0.35">
      <c r="A2" t="s">
        <v>5</v>
      </c>
    </row>
    <row r="3" spans="1:20" x14ac:dyDescent="0.35">
      <c r="B3" t="s">
        <v>249</v>
      </c>
      <c r="C3">
        <f>LCI!$E4*impact_process_mid!C2</f>
        <v>9.0312821927291157E-4</v>
      </c>
      <c r="D3">
        <f>LCI!$E4*impact_process_mid!D2</f>
        <v>0.79247376131455494</v>
      </c>
      <c r="E3">
        <f>LCI!$E4*impact_process_mid!E2</f>
        <v>6.1910242536206021E-2</v>
      </c>
      <c r="F3">
        <f>LCI!$E4*impact_process_mid!F2</f>
        <v>7.8345670962325933E-2</v>
      </c>
      <c r="G3">
        <f>LCI!$E4*impact_process_mid!G2</f>
        <v>5.6623344657000505</v>
      </c>
      <c r="H3">
        <f>LCI!$E4*impact_process_mid!H2</f>
        <v>0.24326940164457148</v>
      </c>
      <c r="I3">
        <f>LCI!$E4*impact_process_mid!I2</f>
        <v>1.5313456823503233E-4</v>
      </c>
      <c r="J3">
        <f>LCI!$E4*impact_process_mid!J2</f>
        <v>1.1543479523576296E-4</v>
      </c>
      <c r="K3">
        <f>LCI!$E4*impact_process_mid!K2</f>
        <v>5.902930824914978E-2</v>
      </c>
      <c r="L3">
        <f>LCI!$E4*impact_process_mid!L2</f>
        <v>1.2768809947849726</v>
      </c>
      <c r="M3">
        <f>LCI!$E4*impact_process_mid!M2</f>
        <v>5.4896610827526633</v>
      </c>
      <c r="N3">
        <f>LCI!$E4*impact_process_mid!N2</f>
        <v>2.8448734985388312E-2</v>
      </c>
      <c r="O3">
        <f>LCI!$E4*impact_process_mid!O2</f>
        <v>1.7691736994575557E-2</v>
      </c>
      <c r="P3">
        <f>LCI!$E4*impact_process_mid!P2</f>
        <v>8.628622072860003E-7</v>
      </c>
      <c r="Q3">
        <f>LCI!$E4*impact_process_mid!Q2</f>
        <v>5.0090706833172773E-4</v>
      </c>
      <c r="R3">
        <f>LCI!$E4*impact_process_mid!R2</f>
        <v>8.1527565031312655E-4</v>
      </c>
      <c r="S3">
        <f>LCI!$E4*impact_process_mid!S2</f>
        <v>9.0017742771662421E-4</v>
      </c>
      <c r="T3">
        <f>LCI!$E4*impact_process_mid!T2</f>
        <v>3.1289649930023082E-2</v>
      </c>
    </row>
    <row r="4" spans="1:20" x14ac:dyDescent="0.35">
      <c r="B4" t="s">
        <v>250</v>
      </c>
      <c r="C4">
        <f>LCI!$E5*impact_process_mid!C3</f>
        <v>0</v>
      </c>
      <c r="D4">
        <f>LCI!$E5*impact_process_mid!D3</f>
        <v>0</v>
      </c>
      <c r="E4">
        <f>LCI!$E5*impact_process_mid!E3</f>
        <v>0</v>
      </c>
      <c r="F4">
        <f>LCI!$E5*impact_process_mid!F3</f>
        <v>0</v>
      </c>
      <c r="G4">
        <f>LCI!$E5*impact_process_mid!G3</f>
        <v>0</v>
      </c>
      <c r="H4">
        <f>LCI!$E5*impact_process_mid!H3</f>
        <v>0</v>
      </c>
      <c r="I4">
        <f>LCI!$E5*impact_process_mid!I3</f>
        <v>0</v>
      </c>
      <c r="J4">
        <f>LCI!$E5*impact_process_mid!J3</f>
        <v>0</v>
      </c>
      <c r="K4">
        <f>LCI!$E5*impact_process_mid!K3</f>
        <v>0</v>
      </c>
      <c r="L4">
        <f>LCI!$E5*impact_process_mid!L3</f>
        <v>0</v>
      </c>
      <c r="M4">
        <f>LCI!$E5*impact_process_mid!M3</f>
        <v>0</v>
      </c>
      <c r="N4">
        <f>LCI!$E5*impact_process_mid!N3</f>
        <v>0</v>
      </c>
      <c r="O4">
        <f>LCI!$E5*impact_process_mid!O3</f>
        <v>0</v>
      </c>
      <c r="P4">
        <f>LCI!$E5*impact_process_mid!P3</f>
        <v>0</v>
      </c>
      <c r="Q4">
        <f>LCI!$E5*impact_process_mid!Q3</f>
        <v>0</v>
      </c>
      <c r="R4">
        <f>LCI!$E5*impact_process_mid!R3</f>
        <v>0</v>
      </c>
      <c r="S4">
        <f>LCI!$E5*impact_process_mid!S3</f>
        <v>0</v>
      </c>
      <c r="T4">
        <f>LCI!$E5*impact_process_mid!T3</f>
        <v>0</v>
      </c>
    </row>
    <row r="5" spans="1:20" x14ac:dyDescent="0.35">
      <c r="A5" t="s">
        <v>235</v>
      </c>
    </row>
    <row r="6" spans="1:20" x14ac:dyDescent="0.35">
      <c r="B6" t="s">
        <v>235</v>
      </c>
      <c r="C6">
        <f>LCI!$E7*impact_process_mid!C4</f>
        <v>3.136868825731589E-2</v>
      </c>
      <c r="D6">
        <f>LCI!$E7*impact_process_mid!D4</f>
        <v>9.4255904120400142</v>
      </c>
      <c r="E6">
        <f>LCI!$E7*impact_process_mid!E4</f>
        <v>1.5611552242218518</v>
      </c>
      <c r="F6">
        <f>LCI!$E7*impact_process_mid!F4</f>
        <v>2.0858238050040208</v>
      </c>
      <c r="G6">
        <f>LCI!$E7*impact_process_mid!G4</f>
        <v>21.548877259610556</v>
      </c>
      <c r="H6">
        <f>LCI!$E7*impact_process_mid!H4</f>
        <v>1.3294787034626672</v>
      </c>
      <c r="I6">
        <f>LCI!$E7*impact_process_mid!I4</f>
        <v>1.1197025726516924E-2</v>
      </c>
      <c r="J6">
        <f>LCI!$E7*impact_process_mid!J4</f>
        <v>2.7794864281369667E-3</v>
      </c>
      <c r="K6">
        <f>LCI!$E7*impact_process_mid!K4</f>
        <v>2.4266598230865393</v>
      </c>
      <c r="L6">
        <f>LCI!$E7*impact_process_mid!L4</f>
        <v>69.7281472144969</v>
      </c>
      <c r="M6">
        <f>LCI!$E7*impact_process_mid!M4</f>
        <v>8.7992078302411347E-2</v>
      </c>
      <c r="N6">
        <f>LCI!$E7*impact_process_mid!N4</f>
        <v>0.18236019814038193</v>
      </c>
      <c r="O6">
        <f>LCI!$E7*impact_process_mid!O4</f>
        <v>0.26656717341724856</v>
      </c>
      <c r="P6">
        <f>LCI!$E7*impact_process_mid!P4</f>
        <v>1.3290851713605362E-4</v>
      </c>
      <c r="Q6">
        <f>LCI!$E7*impact_process_mid!Q4</f>
        <v>1.2432831017476624E-2</v>
      </c>
      <c r="R6">
        <f>LCI!$E7*impact_process_mid!R4</f>
        <v>5.9315702886485758E-2</v>
      </c>
      <c r="S6">
        <f>LCI!$E7*impact_process_mid!S4</f>
        <v>6.0004988619273968E-2</v>
      </c>
      <c r="T6">
        <f>LCI!$E7*impact_process_mid!T4</f>
        <v>0.41857403055794579</v>
      </c>
    </row>
    <row r="7" spans="1:20" x14ac:dyDescent="0.35">
      <c r="A7" t="s">
        <v>6</v>
      </c>
    </row>
    <row r="8" spans="1:20" x14ac:dyDescent="0.35">
      <c r="B8" t="s">
        <v>249</v>
      </c>
      <c r="C8">
        <f>LCI!$E10*impact_process_mid!C2</f>
        <v>2.0207267671707532E-3</v>
      </c>
      <c r="D8">
        <f>LCI!$E10*impact_process_mid!D2</f>
        <v>1.7731401893941896</v>
      </c>
      <c r="E8">
        <f>LCI!$E10*impact_process_mid!E2</f>
        <v>0.13852261681698202</v>
      </c>
      <c r="F8">
        <f>LCI!$E10*impact_process_mid!F2</f>
        <v>0.1752964762112964</v>
      </c>
      <c r="G8">
        <f>LCI!$E10*impact_process_mid!G2</f>
        <v>12.66933152495813</v>
      </c>
      <c r="H8">
        <f>LCI!$E10*impact_process_mid!H2</f>
        <v>0.54430919225684182</v>
      </c>
      <c r="I8">
        <f>LCI!$E10*impact_process_mid!I2</f>
        <v>3.4263476038960645E-4</v>
      </c>
      <c r="J8">
        <f>LCI!$E10*impact_process_mid!J2</f>
        <v>2.5828246268683235E-4</v>
      </c>
      <c r="K8">
        <f>LCI!$E10*impact_process_mid!K2</f>
        <v>0.13207659851738623</v>
      </c>
      <c r="L8">
        <f>LCI!$E10*impact_process_mid!L2</f>
        <v>2.8569892398345131</v>
      </c>
      <c r="M8">
        <f>LCI!$E10*impact_process_mid!M2</f>
        <v>12.282979156098897</v>
      </c>
      <c r="N8">
        <f>LCI!$E10*impact_process_mid!N2</f>
        <v>6.3653331886144401E-2</v>
      </c>
      <c r="O8">
        <f>LCI!$E10*impact_process_mid!O2</f>
        <v>3.9584818345578379E-2</v>
      </c>
      <c r="P8">
        <f>LCI!$E10*impact_process_mid!P2</f>
        <v>1.9306325740176742E-6</v>
      </c>
      <c r="Q8">
        <f>LCI!$E10*impact_process_mid!Q2</f>
        <v>1.1207670176199879E-3</v>
      </c>
      <c r="R8">
        <f>LCI!$E10*impact_process_mid!R2</f>
        <v>1.8241588448388896E-3</v>
      </c>
      <c r="S8">
        <f>LCI!$E10*impact_process_mid!S2</f>
        <v>2.0141244449811842E-3</v>
      </c>
      <c r="T8">
        <f>LCI!$E10*impact_process_mid!T2</f>
        <v>7.000980790956067E-2</v>
      </c>
    </row>
    <row r="9" spans="1:20" x14ac:dyDescent="0.35">
      <c r="B9" t="s">
        <v>251</v>
      </c>
      <c r="C9">
        <f>LCI!$E11*impact_process_mid!C10</f>
        <v>1.6095802708112922E-2</v>
      </c>
      <c r="D9">
        <f>LCI!$E11*impact_process_mid!D10</f>
        <v>9.8941121194787538</v>
      </c>
      <c r="E9">
        <f>LCI!$E11*impact_process_mid!E10</f>
        <v>0.1282029015163384</v>
      </c>
      <c r="F9">
        <f>LCI!$E11*impact_process_mid!F10</f>
        <v>0.17567427837356578</v>
      </c>
      <c r="G9">
        <f>LCI!$E11*impact_process_mid!G10</f>
        <v>18.109139111017196</v>
      </c>
      <c r="H9">
        <f>LCI!$E11*impact_process_mid!H10</f>
        <v>3.188825480147889</v>
      </c>
      <c r="I9">
        <f>LCI!$E11*impact_process_mid!I10</f>
        <v>8.1611954235945555E-4</v>
      </c>
      <c r="J9">
        <f>LCI!$E11*impact_process_mid!J10</f>
        <v>8.6770922059635185E-5</v>
      </c>
      <c r="K9">
        <f>LCI!$E11*impact_process_mid!K10</f>
        <v>0.28745089223135945</v>
      </c>
      <c r="L9">
        <f>LCI!$E11*impact_process_mid!L10</f>
        <v>4.4284315000777479</v>
      </c>
      <c r="M9">
        <f>LCI!$E11*impact_process_mid!M10</f>
        <v>0.20363355781915851</v>
      </c>
      <c r="N9">
        <f>LCI!$E11*impact_process_mid!N10</f>
        <v>2.3271913692067154</v>
      </c>
      <c r="O9">
        <f>LCI!$E11*impact_process_mid!O10</f>
        <v>7.5125392121403178E-2</v>
      </c>
      <c r="P9">
        <f>LCI!$E11*impact_process_mid!P10</f>
        <v>5.0548492742886477E-6</v>
      </c>
      <c r="Q9">
        <f>LCI!$E11*impact_process_mid!Q10</f>
        <v>1.6560358533536712E-2</v>
      </c>
      <c r="R9">
        <f>LCI!$E11*impact_process_mid!R10</f>
        <v>3.1879220874158044E-2</v>
      </c>
      <c r="S9">
        <f>LCI!$E11*impact_process_mid!S10</f>
        <v>3.314020895881585E-2</v>
      </c>
      <c r="T9">
        <f>LCI!$E11*impact_process_mid!T10</f>
        <v>3.5388381081113404E-2</v>
      </c>
    </row>
    <row r="10" spans="1:20" x14ac:dyDescent="0.35">
      <c r="B10" t="s">
        <v>24</v>
      </c>
      <c r="C10">
        <f>LCI!$E12*impact_process_mid!C11</f>
        <v>0</v>
      </c>
      <c r="D10">
        <f>LCI!$E12*impact_process_mid!D11</f>
        <v>51.402743268045924</v>
      </c>
      <c r="E10">
        <f>LCI!$E12*impact_process_mid!E11</f>
        <v>0</v>
      </c>
      <c r="F10">
        <f>LCI!$E12*impact_process_mid!F11</f>
        <v>0</v>
      </c>
      <c r="G10">
        <f>LCI!$E12*impact_process_mid!G11</f>
        <v>0</v>
      </c>
      <c r="H10">
        <f>LCI!$E12*impact_process_mid!H11</f>
        <v>0</v>
      </c>
      <c r="I10">
        <f>LCI!$E12*impact_process_mid!I11</f>
        <v>0</v>
      </c>
      <c r="J10">
        <f>LCI!$E12*impact_process_mid!J11</f>
        <v>0</v>
      </c>
      <c r="K10">
        <f>LCI!$E12*impact_process_mid!K11</f>
        <v>0</v>
      </c>
      <c r="L10">
        <f>LCI!$E12*impact_process_mid!L11</f>
        <v>0</v>
      </c>
      <c r="M10">
        <f>LCI!$E12*impact_process_mid!M11</f>
        <v>0</v>
      </c>
      <c r="N10">
        <f>LCI!$E12*impact_process_mid!N11</f>
        <v>0</v>
      </c>
      <c r="O10">
        <f>LCI!$E12*impact_process_mid!O11</f>
        <v>0</v>
      </c>
      <c r="P10">
        <f>LCI!$E12*impact_process_mid!P11</f>
        <v>0</v>
      </c>
      <c r="Q10">
        <f>LCI!$E12*impact_process_mid!Q11</f>
        <v>0</v>
      </c>
      <c r="R10">
        <f>LCI!$E12*impact_process_mid!R11</f>
        <v>0</v>
      </c>
      <c r="S10">
        <f>LCI!$E12*impact_process_mid!S11</f>
        <v>0</v>
      </c>
      <c r="T10">
        <f>LCI!$E12*impact_process_mid!T11</f>
        <v>0</v>
      </c>
    </row>
    <row r="11" spans="1:20" x14ac:dyDescent="0.35">
      <c r="A11" t="s">
        <v>7</v>
      </c>
    </row>
    <row r="12" spans="1:20" x14ac:dyDescent="0.35">
      <c r="B12" t="s">
        <v>25</v>
      </c>
      <c r="C12">
        <f>LCI!$E15*impact_process_mid!C12</f>
        <v>1.3218611465967397E-2</v>
      </c>
      <c r="D12">
        <f>LCI!$E15*impact_process_mid!D12</f>
        <v>0</v>
      </c>
      <c r="E12">
        <f>LCI!$E15*impact_process_mid!E12</f>
        <v>0</v>
      </c>
      <c r="F12">
        <f>LCI!$E15*impact_process_mid!F12</f>
        <v>0</v>
      </c>
      <c r="G12">
        <f>LCI!$E15*impact_process_mid!G12</f>
        <v>0</v>
      </c>
      <c r="H12">
        <f>LCI!$E15*impact_process_mid!H12</f>
        <v>0</v>
      </c>
      <c r="I12">
        <f>LCI!$E15*impact_process_mid!I12</f>
        <v>0</v>
      </c>
      <c r="J12">
        <f>LCI!$E15*impact_process_mid!J12</f>
        <v>0</v>
      </c>
      <c r="K12">
        <f>LCI!$E15*impact_process_mid!K12</f>
        <v>0</v>
      </c>
      <c r="L12">
        <f>LCI!$E15*impact_process_mid!L12</f>
        <v>0</v>
      </c>
      <c r="M12">
        <f>LCI!$E15*impact_process_mid!M12</f>
        <v>0</v>
      </c>
      <c r="N12">
        <f>LCI!$E15*impact_process_mid!N12</f>
        <v>0</v>
      </c>
      <c r="O12">
        <f>LCI!$E15*impact_process_mid!O12</f>
        <v>0</v>
      </c>
      <c r="P12">
        <f>LCI!$E15*impact_process_mid!P12</f>
        <v>0</v>
      </c>
      <c r="Q12">
        <f>LCI!$E15*impact_process_mid!Q12</f>
        <v>4.0390201701567046E-3</v>
      </c>
      <c r="R12">
        <f>LCI!$E15*impact_process_mid!R12</f>
        <v>3.6718365183242771E-2</v>
      </c>
      <c r="S12">
        <f>LCI!$E15*impact_process_mid!S12</f>
        <v>3.6718365183242771E-2</v>
      </c>
      <c r="T12">
        <f>LCI!$E15*impact_process_mid!T12</f>
        <v>0</v>
      </c>
    </row>
    <row r="13" spans="1:20" x14ac:dyDescent="0.35">
      <c r="B13" t="s">
        <v>26</v>
      </c>
      <c r="C13">
        <f>LCI!$E16*impact_process_mid!C13</f>
        <v>0</v>
      </c>
      <c r="D13">
        <f>LCI!$E16*impact_process_mid!D13</f>
        <v>0</v>
      </c>
      <c r="E13">
        <f>LCI!$E16*impact_process_mid!E13</f>
        <v>0</v>
      </c>
      <c r="F13">
        <f>LCI!$E16*impact_process_mid!F13</f>
        <v>0</v>
      </c>
      <c r="G13">
        <f>LCI!$E16*impact_process_mid!G13</f>
        <v>0</v>
      </c>
      <c r="H13">
        <f>LCI!$E16*impact_process_mid!H13</f>
        <v>0</v>
      </c>
      <c r="I13">
        <f>LCI!$E16*impact_process_mid!I13</f>
        <v>0</v>
      </c>
      <c r="J13">
        <f>LCI!$E16*impact_process_mid!J13</f>
        <v>0</v>
      </c>
      <c r="K13">
        <f>LCI!$E16*impact_process_mid!K13</f>
        <v>0</v>
      </c>
      <c r="L13">
        <f>LCI!$E16*impact_process_mid!L13</f>
        <v>0</v>
      </c>
      <c r="M13">
        <f>LCI!$E16*impact_process_mid!M13</f>
        <v>0</v>
      </c>
      <c r="N13">
        <f>LCI!$E16*impact_process_mid!N13</f>
        <v>0</v>
      </c>
      <c r="O13">
        <f>LCI!$E16*impact_process_mid!O13</f>
        <v>0</v>
      </c>
      <c r="P13">
        <f>LCI!$E16*impact_process_mid!P13</f>
        <v>0</v>
      </c>
      <c r="Q13">
        <f>LCI!$E16*impact_process_mid!Q13</f>
        <v>0</v>
      </c>
      <c r="R13">
        <f>LCI!$E16*impact_process_mid!R13</f>
        <v>6.3701118112185567E-2</v>
      </c>
      <c r="S13">
        <f>LCI!$E16*impact_process_mid!S13</f>
        <v>0.10262957918074342</v>
      </c>
      <c r="T13">
        <f>LCI!$E16*impact_process_mid!T13</f>
        <v>0</v>
      </c>
    </row>
    <row r="14" spans="1:20" x14ac:dyDescent="0.35">
      <c r="B14" t="s">
        <v>27</v>
      </c>
      <c r="C14">
        <f>LCI!$E17*impact_process_mid!C14</f>
        <v>3.1472884442779359E-3</v>
      </c>
      <c r="D14">
        <f>LCI!$E17*impact_process_mid!D14</f>
        <v>0</v>
      </c>
      <c r="E14">
        <f>LCI!$E17*impact_process_mid!E14</f>
        <v>0</v>
      </c>
      <c r="F14">
        <f>LCI!$E17*impact_process_mid!F14</f>
        <v>0</v>
      </c>
      <c r="G14">
        <f>LCI!$E17*impact_process_mid!G14</f>
        <v>0</v>
      </c>
      <c r="H14">
        <f>LCI!$E17*impact_process_mid!H14</f>
        <v>0</v>
      </c>
      <c r="I14">
        <f>LCI!$E17*impact_process_mid!I14</f>
        <v>0</v>
      </c>
      <c r="J14">
        <f>LCI!$E17*impact_process_mid!J14</f>
        <v>0</v>
      </c>
      <c r="K14">
        <f>LCI!$E17*impact_process_mid!K14</f>
        <v>0</v>
      </c>
      <c r="L14">
        <f>LCI!$E17*impact_process_mid!L14</f>
        <v>0</v>
      </c>
      <c r="M14">
        <f>LCI!$E17*impact_process_mid!M14</f>
        <v>0</v>
      </c>
      <c r="N14">
        <f>LCI!$E17*impact_process_mid!N14</f>
        <v>0</v>
      </c>
      <c r="O14">
        <f>LCI!$E17*impact_process_mid!O14</f>
        <v>0</v>
      </c>
      <c r="P14">
        <f>LCI!$E17*impact_process_mid!P14</f>
        <v>0</v>
      </c>
      <c r="Q14">
        <f>LCI!$E17*impact_process_mid!Q14</f>
        <v>9.1271364884060137E-4</v>
      </c>
      <c r="R14">
        <f>LCI!$E17*impact_process_mid!R14</f>
        <v>0</v>
      </c>
      <c r="S14">
        <f>LCI!$E17*impact_process_mid!S14</f>
        <v>0</v>
      </c>
      <c r="T14">
        <f>LCI!$E17*impact_process_mid!T14</f>
        <v>0</v>
      </c>
    </row>
    <row r="15" spans="1:20" x14ac:dyDescent="0.35">
      <c r="B15" t="s">
        <v>28</v>
      </c>
      <c r="C15">
        <f>LCI!$E18*impact_process_mid!C21</f>
        <v>0</v>
      </c>
      <c r="D15">
        <f>LCI!$E18*impact_process_mid!D21</f>
        <v>0</v>
      </c>
      <c r="E15">
        <f>LCI!$E18*impact_process_mid!E21</f>
        <v>0</v>
      </c>
      <c r="F15">
        <f>LCI!$E18*impact_process_mid!F21</f>
        <v>0</v>
      </c>
      <c r="G15">
        <f>LCI!$E18*impact_process_mid!G21</f>
        <v>0</v>
      </c>
      <c r="H15">
        <f>LCI!$E18*impact_process_mid!H21</f>
        <v>0</v>
      </c>
      <c r="I15">
        <f>LCI!$E18*impact_process_mid!I21</f>
        <v>0</v>
      </c>
      <c r="J15">
        <f>LCI!$E18*impact_process_mid!J21</f>
        <v>0</v>
      </c>
      <c r="K15">
        <f>LCI!$E18*impact_process_mid!K21</f>
        <v>0</v>
      </c>
      <c r="L15">
        <f>LCI!$E18*impact_process_mid!L21</f>
        <v>0</v>
      </c>
      <c r="M15">
        <f>LCI!$E18*impact_process_mid!M21</f>
        <v>0</v>
      </c>
      <c r="N15">
        <f>LCI!$E18*impact_process_mid!N21</f>
        <v>0</v>
      </c>
      <c r="O15">
        <f>LCI!$E18*impact_process_mid!O21</f>
        <v>0</v>
      </c>
      <c r="P15">
        <f>LCI!$E18*impact_process_mid!P21</f>
        <v>0</v>
      </c>
      <c r="Q15">
        <f>LCI!$E18*impact_process_mid!Q21</f>
        <v>7.693371752679418E-3</v>
      </c>
      <c r="R15">
        <f>LCI!$E18*impact_process_mid!R21</f>
        <v>0</v>
      </c>
      <c r="S15">
        <f>LCI!$E18*impact_process_mid!S21</f>
        <v>0</v>
      </c>
      <c r="T15">
        <f>LCI!$E18*impact_process_mid!T21</f>
        <v>0</v>
      </c>
    </row>
    <row r="16" spans="1:20" x14ac:dyDescent="0.35">
      <c r="B16" t="s">
        <v>29</v>
      </c>
      <c r="C16">
        <f>LCI!$E19*impact_process_mid!C16</f>
        <v>0</v>
      </c>
      <c r="D16">
        <f>LCI!$E19*impact_process_mid!D16</f>
        <v>0</v>
      </c>
      <c r="E16">
        <f>LCI!$E19*impact_process_mid!E16</f>
        <v>0</v>
      </c>
      <c r="F16">
        <f>LCI!$E19*impact_process_mid!F16</f>
        <v>0</v>
      </c>
      <c r="G16">
        <f>LCI!$E19*impact_process_mid!G16</f>
        <v>0</v>
      </c>
      <c r="H16">
        <f>LCI!$E19*impact_process_mid!H16</f>
        <v>0</v>
      </c>
      <c r="I16">
        <f>LCI!$E19*impact_process_mid!I16</f>
        <v>0</v>
      </c>
      <c r="J16">
        <f>LCI!$E19*impact_process_mid!J16</f>
        <v>0</v>
      </c>
      <c r="K16">
        <f>LCI!$E19*impact_process_mid!K16</f>
        <v>0</v>
      </c>
      <c r="L16">
        <f>LCI!$E19*impact_process_mid!L16</f>
        <v>0</v>
      </c>
      <c r="M16">
        <f>LCI!$E19*impact_process_mid!M16</f>
        <v>0</v>
      </c>
      <c r="N16">
        <f>LCI!$E19*impact_process_mid!N16</f>
        <v>0</v>
      </c>
      <c r="O16">
        <f>LCI!$E19*impact_process_mid!O16</f>
        <v>0</v>
      </c>
      <c r="P16">
        <f>LCI!$E19*impact_process_mid!P16</f>
        <v>0</v>
      </c>
      <c r="Q16">
        <f>LCI!$E19*impact_process_mid!Q16</f>
        <v>0</v>
      </c>
      <c r="R16">
        <f>LCI!$E19*impact_process_mid!R16</f>
        <v>0</v>
      </c>
      <c r="S16">
        <f>LCI!$E19*impact_process_mid!S16</f>
        <v>0</v>
      </c>
      <c r="T16">
        <f>LCI!$E19*impact_process_mid!T16</f>
        <v>0</v>
      </c>
    </row>
    <row r="17" spans="1:21" x14ac:dyDescent="0.35">
      <c r="B17" t="s">
        <v>30</v>
      </c>
      <c r="C17">
        <f>LCI!$E20*impact_process_mid!C17</f>
        <v>2.8101788820241728E-2</v>
      </c>
      <c r="D17">
        <f>LCI!$E20*impact_process_mid!D17</f>
        <v>0</v>
      </c>
      <c r="E17">
        <f>LCI!$E20*impact_process_mid!E17</f>
        <v>0</v>
      </c>
      <c r="F17">
        <f>LCI!$E20*impact_process_mid!F17</f>
        <v>0</v>
      </c>
      <c r="G17">
        <f>LCI!$E20*impact_process_mid!G17</f>
        <v>0</v>
      </c>
      <c r="H17">
        <f>LCI!$E20*impact_process_mid!H17</f>
        <v>0</v>
      </c>
      <c r="I17">
        <f>LCI!$E20*impact_process_mid!I17</f>
        <v>0</v>
      </c>
      <c r="J17">
        <f>LCI!$E20*impact_process_mid!J17</f>
        <v>0</v>
      </c>
      <c r="K17">
        <f>LCI!$E20*impact_process_mid!K17</f>
        <v>0</v>
      </c>
      <c r="L17">
        <f>LCI!$E20*impact_process_mid!L17</f>
        <v>0</v>
      </c>
      <c r="M17">
        <f>LCI!$E20*impact_process_mid!M17</f>
        <v>0</v>
      </c>
      <c r="N17">
        <f>LCI!$E20*impact_process_mid!N17</f>
        <v>0</v>
      </c>
      <c r="O17">
        <f>LCI!$E20*impact_process_mid!O17</f>
        <v>0</v>
      </c>
      <c r="P17">
        <f>LCI!$E20*impact_process_mid!P17</f>
        <v>0</v>
      </c>
      <c r="Q17">
        <f>LCI!$E20*impact_process_mid!Q17</f>
        <v>3.4410353657438847E-3</v>
      </c>
      <c r="R17">
        <f>LCI!$E20*impact_process_mid!R17</f>
        <v>0</v>
      </c>
      <c r="S17">
        <f>LCI!$E20*impact_process_mid!S17</f>
        <v>0</v>
      </c>
      <c r="T17">
        <f>LCI!$E20*impact_process_mid!T17</f>
        <v>0</v>
      </c>
    </row>
    <row r="18" spans="1:21" x14ac:dyDescent="0.35">
      <c r="B18" t="s">
        <v>19</v>
      </c>
      <c r="C18">
        <f>LCI!$E21*impact_process_mid!C11</f>
        <v>0</v>
      </c>
      <c r="D18">
        <f>LCI!$E21*impact_process_mid!D11</f>
        <v>32.738190572236306</v>
      </c>
      <c r="E18">
        <f>LCI!$E21*impact_process_mid!E11</f>
        <v>0</v>
      </c>
      <c r="F18">
        <f>LCI!$E21*impact_process_mid!F11</f>
        <v>0</v>
      </c>
      <c r="G18">
        <f>LCI!$E21*impact_process_mid!G11</f>
        <v>0</v>
      </c>
      <c r="H18">
        <f>LCI!$E21*impact_process_mid!H11</f>
        <v>0</v>
      </c>
      <c r="I18">
        <f>LCI!$E21*impact_process_mid!I11</f>
        <v>0</v>
      </c>
      <c r="J18">
        <f>LCI!$E21*impact_process_mid!J11</f>
        <v>0</v>
      </c>
      <c r="K18">
        <f>LCI!$E21*impact_process_mid!K11</f>
        <v>0</v>
      </c>
      <c r="L18">
        <f>LCI!$E21*impact_process_mid!L11</f>
        <v>0</v>
      </c>
      <c r="M18">
        <f>LCI!$E21*impact_process_mid!M11</f>
        <v>0</v>
      </c>
      <c r="N18">
        <f>LCI!$E21*impact_process_mid!N11</f>
        <v>0</v>
      </c>
      <c r="O18">
        <f>LCI!$E21*impact_process_mid!O11</f>
        <v>0</v>
      </c>
      <c r="P18">
        <f>LCI!$E21*impact_process_mid!P11</f>
        <v>0</v>
      </c>
      <c r="Q18">
        <f>LCI!$E21*impact_process_mid!Q11</f>
        <v>0</v>
      </c>
      <c r="R18">
        <f>LCI!$E21*impact_process_mid!R11</f>
        <v>0</v>
      </c>
      <c r="S18">
        <f>LCI!$E21*impact_process_mid!S11</f>
        <v>0</v>
      </c>
      <c r="T18">
        <f>LCI!$E21*impact_process_mid!T11</f>
        <v>0</v>
      </c>
    </row>
    <row r="19" spans="1:21" x14ac:dyDescent="0.35">
      <c r="B19" t="s">
        <v>31</v>
      </c>
      <c r="C19">
        <f>LCI!$E22*impact_process_mid!C19</f>
        <v>0</v>
      </c>
      <c r="D19">
        <f>LCI!$E22*impact_process_mid!D19</f>
        <v>6.8319193210969331</v>
      </c>
      <c r="E19">
        <f>LCI!$E22*impact_process_mid!E19</f>
        <v>0</v>
      </c>
      <c r="F19">
        <f>LCI!$E22*impact_process_mid!F19</f>
        <v>0</v>
      </c>
      <c r="G19">
        <f>LCI!$E22*impact_process_mid!G19</f>
        <v>0</v>
      </c>
      <c r="H19">
        <f>LCI!$E22*impact_process_mid!H19</f>
        <v>0</v>
      </c>
      <c r="I19">
        <f>LCI!$E22*impact_process_mid!I19</f>
        <v>0</v>
      </c>
      <c r="J19">
        <f>LCI!$E22*impact_process_mid!J19</f>
        <v>0</v>
      </c>
      <c r="K19">
        <f>LCI!$E22*impact_process_mid!K19</f>
        <v>0</v>
      </c>
      <c r="L19">
        <f>LCI!$E22*impact_process_mid!L19</f>
        <v>0</v>
      </c>
      <c r="M19">
        <f>LCI!$E22*impact_process_mid!M19</f>
        <v>0</v>
      </c>
      <c r="N19">
        <f>LCI!$E22*impact_process_mid!N19</f>
        <v>0</v>
      </c>
      <c r="O19">
        <f>LCI!$E22*impact_process_mid!O19</f>
        <v>0</v>
      </c>
      <c r="P19">
        <f>LCI!$E22*impact_process_mid!P19</f>
        <v>2.521849413827727E-4</v>
      </c>
      <c r="Q19">
        <f>LCI!$E22*impact_process_mid!Q19</f>
        <v>0</v>
      </c>
      <c r="R19">
        <f>LCI!$E22*impact_process_mid!R19</f>
        <v>0</v>
      </c>
      <c r="S19">
        <f>LCI!$E22*impact_process_mid!S19</f>
        <v>0</v>
      </c>
      <c r="T19">
        <f>LCI!$E22*impact_process_mid!T19</f>
        <v>0</v>
      </c>
    </row>
    <row r="20" spans="1:21" x14ac:dyDescent="0.35">
      <c r="A20" t="s">
        <v>257</v>
      </c>
    </row>
    <row r="21" spans="1:21" x14ac:dyDescent="0.35">
      <c r="B21" s="20" t="s">
        <v>257</v>
      </c>
      <c r="C21" s="20">
        <f>SUM(C3:C4,C6,C8:C10,C12:C19)</f>
        <v>9.4856034682359522E-2</v>
      </c>
      <c r="D21" s="20">
        <f>SUM(D3:D4,D6,D8:D10,D12:D19)</f>
        <v>112.85816964360667</v>
      </c>
      <c r="E21" s="20">
        <f t="shared" ref="E21:T21" si="0">SUM(E3:E4,E6,E8:E10,E12:E19)</f>
        <v>1.8897909850913781</v>
      </c>
      <c r="F21" s="20">
        <f t="shared" si="0"/>
        <v>2.5151402305512089</v>
      </c>
      <c r="G21" s="20">
        <f t="shared" si="0"/>
        <v>57.989682361285929</v>
      </c>
      <c r="H21" s="20">
        <f t="shared" si="0"/>
        <v>5.3058827775119699</v>
      </c>
      <c r="I21" s="20">
        <f t="shared" si="0"/>
        <v>1.2508914597501019E-2</v>
      </c>
      <c r="J21" s="20">
        <f t="shared" si="0"/>
        <v>3.239974608119197E-3</v>
      </c>
      <c r="K21" s="20">
        <f t="shared" si="0"/>
        <v>2.9052166220844349</v>
      </c>
      <c r="L21" s="20">
        <f t="shared" si="0"/>
        <v>78.290448949194143</v>
      </c>
      <c r="M21" s="20">
        <f t="shared" si="0"/>
        <v>18.064265874973131</v>
      </c>
      <c r="N21" s="20">
        <f t="shared" si="0"/>
        <v>2.6016536342186303</v>
      </c>
      <c r="O21" s="20">
        <f t="shared" si="0"/>
        <v>0.39896912087880565</v>
      </c>
      <c r="P21" s="20">
        <f t="shared" si="0"/>
        <v>3.9294180257441866E-4</v>
      </c>
      <c r="Q21" s="20">
        <f t="shared" si="0"/>
        <v>4.6701004574385654E-2</v>
      </c>
      <c r="R21" s="20">
        <f t="shared" si="0"/>
        <v>0.19425384155122416</v>
      </c>
      <c r="S21" s="20">
        <f t="shared" si="0"/>
        <v>0.23540744381477383</v>
      </c>
      <c r="T21" s="20">
        <f t="shared" si="0"/>
        <v>0.55526186947864298</v>
      </c>
    </row>
    <row r="23" spans="1:21" x14ac:dyDescent="0.35">
      <c r="A23" t="s">
        <v>122</v>
      </c>
    </row>
    <row r="24" spans="1:21" x14ac:dyDescent="0.35">
      <c r="B24" t="s">
        <v>97</v>
      </c>
    </row>
    <row r="25" spans="1:21" x14ac:dyDescent="0.35">
      <c r="B25" t="s">
        <v>96</v>
      </c>
      <c r="C25" s="5">
        <f>LCI!$E29*impact_process_mid!C11</f>
        <v>0</v>
      </c>
      <c r="D25" s="5">
        <f>LCI!$E29*impact_process_mid!D11</f>
        <v>0.19491519014931671</v>
      </c>
      <c r="E25" s="5">
        <f>LCI!$E29*impact_process_mid!E11</f>
        <v>0</v>
      </c>
      <c r="F25" s="5">
        <f>LCI!$E29*impact_process_mid!F11</f>
        <v>0</v>
      </c>
      <c r="G25" s="5">
        <f>LCI!$E29*impact_process_mid!G11</f>
        <v>0</v>
      </c>
      <c r="H25" s="5">
        <f>LCI!$E29*impact_process_mid!H11</f>
        <v>0</v>
      </c>
      <c r="I25" s="5">
        <f>LCI!$E29*impact_process_mid!I11</f>
        <v>0</v>
      </c>
      <c r="J25" s="5">
        <f>LCI!$E29*impact_process_mid!J11</f>
        <v>0</v>
      </c>
      <c r="K25" s="5">
        <f>LCI!$E29*impact_process_mid!K11</f>
        <v>0</v>
      </c>
      <c r="L25" s="5">
        <f>LCI!$E29*impact_process_mid!L11</f>
        <v>0</v>
      </c>
      <c r="M25" s="5">
        <f>LCI!$E29*impact_process_mid!M11</f>
        <v>0</v>
      </c>
      <c r="N25" s="5">
        <f>LCI!$E29*impact_process_mid!N11</f>
        <v>0</v>
      </c>
      <c r="O25" s="5">
        <f>LCI!$E29*impact_process_mid!O11</f>
        <v>0</v>
      </c>
      <c r="P25" s="5">
        <f>LCI!$E29*impact_process_mid!P11</f>
        <v>0</v>
      </c>
      <c r="Q25" s="5">
        <f>LCI!$E29*impact_process_mid!Q11</f>
        <v>0</v>
      </c>
      <c r="R25" s="5">
        <f>LCI!$E29*impact_process_mid!R11</f>
        <v>0</v>
      </c>
      <c r="S25" s="5">
        <f>LCI!$E29*impact_process_mid!S11</f>
        <v>0</v>
      </c>
      <c r="T25" s="5">
        <f>LCI!$E29*impact_process_mid!T11</f>
        <v>0</v>
      </c>
    </row>
    <row r="26" spans="1:21" x14ac:dyDescent="0.35">
      <c r="B26" t="s">
        <v>111</v>
      </c>
      <c r="C26" s="5">
        <f>LCI!$E30*impact_process_mid!C19</f>
        <v>0</v>
      </c>
      <c r="D26" s="5">
        <f>LCI!$E30*impact_process_mid!D19</f>
        <v>1.7083743136616583</v>
      </c>
      <c r="E26" s="5">
        <f>LCI!$E30*impact_process_mid!E19</f>
        <v>0</v>
      </c>
      <c r="F26" s="5">
        <f>LCI!$E30*impact_process_mid!F19</f>
        <v>0</v>
      </c>
      <c r="G26" s="5">
        <f>LCI!$E30*impact_process_mid!G19</f>
        <v>0</v>
      </c>
      <c r="H26" s="5">
        <f>LCI!$E30*impact_process_mid!H19</f>
        <v>0</v>
      </c>
      <c r="I26" s="5">
        <f>LCI!$E30*impact_process_mid!I19</f>
        <v>0</v>
      </c>
      <c r="J26" s="5">
        <f>LCI!$E30*impact_process_mid!J19</f>
        <v>0</v>
      </c>
      <c r="K26" s="5">
        <f>LCI!$E30*impact_process_mid!K19</f>
        <v>0</v>
      </c>
      <c r="L26" s="5">
        <f>LCI!$E30*impact_process_mid!L19</f>
        <v>0</v>
      </c>
      <c r="M26" s="5">
        <f>LCI!$E30*impact_process_mid!M19</f>
        <v>0</v>
      </c>
      <c r="N26" s="5">
        <f>LCI!$E30*impact_process_mid!N19</f>
        <v>0</v>
      </c>
      <c r="O26" s="5">
        <f>LCI!$E30*impact_process_mid!O19</f>
        <v>0</v>
      </c>
      <c r="P26" s="5">
        <f>LCI!$E30*impact_process_mid!P19</f>
        <v>6.3060796813014234E-5</v>
      </c>
      <c r="Q26" s="5">
        <f>LCI!$E30*impact_process_mid!Q19</f>
        <v>0</v>
      </c>
      <c r="R26" s="5">
        <f>LCI!$E30*impact_process_mid!R19</f>
        <v>0</v>
      </c>
      <c r="S26" s="5">
        <f>LCI!$E30*impact_process_mid!S19</f>
        <v>0</v>
      </c>
      <c r="T26" s="5">
        <f>LCI!$E30*impact_process_mid!T19</f>
        <v>0</v>
      </c>
    </row>
    <row r="27" spans="1:21" x14ac:dyDescent="0.35">
      <c r="B27" t="s">
        <v>142</v>
      </c>
      <c r="C27" s="5">
        <f>LCI!$E31*impact_process_mid!C18</f>
        <v>3.9771297990026024E-2</v>
      </c>
      <c r="D27" s="5">
        <f>LCI!$E31*impact_process_mid!D18</f>
        <v>0</v>
      </c>
      <c r="E27" s="5">
        <f>LCI!$E31*impact_process_mid!E18</f>
        <v>0</v>
      </c>
      <c r="F27" s="5">
        <f>LCI!$E31*impact_process_mid!F18</f>
        <v>0</v>
      </c>
      <c r="G27" s="5">
        <f>LCI!$E31*impact_process_mid!G18</f>
        <v>0</v>
      </c>
      <c r="H27" s="5">
        <f>LCI!$E31*impact_process_mid!H18</f>
        <v>0</v>
      </c>
      <c r="I27" s="5">
        <f>LCI!$E31*impact_process_mid!I18</f>
        <v>0</v>
      </c>
      <c r="J27" s="5">
        <f>LCI!$E31*impact_process_mid!J18</f>
        <v>0</v>
      </c>
      <c r="K27" s="5">
        <f>LCI!$E31*impact_process_mid!K18</f>
        <v>0</v>
      </c>
      <c r="L27" s="5">
        <f>LCI!$E31*impact_process_mid!L18</f>
        <v>0</v>
      </c>
      <c r="M27" s="5">
        <f>LCI!$E31*impact_process_mid!M18</f>
        <v>0</v>
      </c>
      <c r="N27" s="5">
        <f>LCI!$E31*impact_process_mid!N18</f>
        <v>0</v>
      </c>
      <c r="O27" s="5">
        <f>LCI!$E31*impact_process_mid!O18</f>
        <v>0</v>
      </c>
      <c r="P27" s="5">
        <f>LCI!$E31*impact_process_mid!P18</f>
        <v>0</v>
      </c>
      <c r="Q27" s="5">
        <f>LCI!$E31*impact_process_mid!Q18</f>
        <v>1.1533676417107546E-2</v>
      </c>
      <c r="R27" s="5">
        <f>LCI!$E31*impact_process_mid!R18</f>
        <v>0</v>
      </c>
      <c r="S27" s="5">
        <f>LCI!$E31*impact_process_mid!S18</f>
        <v>0</v>
      </c>
      <c r="T27" s="5">
        <f>LCI!$E31*impact_process_mid!T18</f>
        <v>0</v>
      </c>
    </row>
    <row r="28" spans="1:21" x14ac:dyDescent="0.35">
      <c r="B28" t="s">
        <v>143</v>
      </c>
      <c r="C28" s="5">
        <f>LCI!$E32*impact_process_mid!C15</f>
        <v>0</v>
      </c>
      <c r="D28" s="5">
        <f>LCI!$E32*impact_process_mid!D15</f>
        <v>0</v>
      </c>
      <c r="E28" s="5">
        <f>LCI!$E32*impact_process_mid!E15</f>
        <v>0</v>
      </c>
      <c r="F28" s="5">
        <f>LCI!$E32*impact_process_mid!F15</f>
        <v>0</v>
      </c>
      <c r="G28" s="5">
        <f>LCI!$E32*impact_process_mid!G15</f>
        <v>0</v>
      </c>
      <c r="H28" s="5">
        <f>LCI!$E32*impact_process_mid!H15</f>
        <v>0</v>
      </c>
      <c r="I28" s="5">
        <f>LCI!$E32*impact_process_mid!I15</f>
        <v>0</v>
      </c>
      <c r="J28" s="5">
        <f>LCI!$E32*impact_process_mid!J15</f>
        <v>0</v>
      </c>
      <c r="K28" s="5">
        <f>LCI!$E32*impact_process_mid!K15</f>
        <v>0</v>
      </c>
      <c r="L28" s="5">
        <f>LCI!$E32*impact_process_mid!L15</f>
        <v>0</v>
      </c>
      <c r="M28" s="5">
        <f>LCI!$E32*impact_process_mid!M15</f>
        <v>0</v>
      </c>
      <c r="N28" s="5">
        <f>LCI!$E32*impact_process_mid!N15</f>
        <v>0</v>
      </c>
      <c r="O28" s="5">
        <f>LCI!$E32*impact_process_mid!O15</f>
        <v>0</v>
      </c>
      <c r="P28" s="5">
        <f>LCI!$E32*impact_process_mid!P15</f>
        <v>0</v>
      </c>
      <c r="Q28" s="5">
        <f>LCI!$E32*impact_process_mid!Q15</f>
        <v>0</v>
      </c>
      <c r="R28" s="5">
        <f>LCI!$E32*impact_process_mid!R15</f>
        <v>0</v>
      </c>
      <c r="S28" s="5">
        <f>LCI!$E32*impact_process_mid!S15</f>
        <v>0</v>
      </c>
      <c r="T28" s="5">
        <f>LCI!$E32*impact_process_mid!T15</f>
        <v>0</v>
      </c>
    </row>
    <row r="29" spans="1:21" x14ac:dyDescent="0.35">
      <c r="B29" t="s">
        <v>144</v>
      </c>
      <c r="C29" s="5">
        <f>LCI!$E33*impact_process_mid!C21</f>
        <v>0</v>
      </c>
      <c r="D29" s="5">
        <f>LCI!$E33*impact_process_mid!D21</f>
        <v>0</v>
      </c>
      <c r="E29" s="5">
        <f>LCI!$E33*impact_process_mid!E21</f>
        <v>0</v>
      </c>
      <c r="F29" s="5">
        <f>LCI!$E33*impact_process_mid!F21</f>
        <v>0</v>
      </c>
      <c r="G29" s="5">
        <f>LCI!$E33*impact_process_mid!G21</f>
        <v>0</v>
      </c>
      <c r="H29" s="5">
        <f>LCI!$E33*impact_process_mid!H21</f>
        <v>0</v>
      </c>
      <c r="I29" s="5">
        <f>LCI!$E33*impact_process_mid!I21</f>
        <v>0</v>
      </c>
      <c r="J29" s="5">
        <f>LCI!$E33*impact_process_mid!J21</f>
        <v>0</v>
      </c>
      <c r="K29" s="5">
        <f>LCI!$E33*impact_process_mid!K21</f>
        <v>0</v>
      </c>
      <c r="L29" s="5">
        <f>LCI!$E33*impact_process_mid!L21</f>
        <v>0</v>
      </c>
      <c r="M29" s="5">
        <f>LCI!$E33*impact_process_mid!M21</f>
        <v>0</v>
      </c>
      <c r="N29" s="5">
        <f>LCI!$E33*impact_process_mid!N21</f>
        <v>0</v>
      </c>
      <c r="O29" s="5">
        <f>LCI!$E33*impact_process_mid!O21</f>
        <v>0</v>
      </c>
      <c r="P29" s="5">
        <f>LCI!$E33*impact_process_mid!P21</f>
        <v>0</v>
      </c>
      <c r="Q29" s="5">
        <f>LCI!$E33*impact_process_mid!Q21</f>
        <v>2.9165618526019083E-2</v>
      </c>
      <c r="R29" s="5">
        <f>LCI!$E33*impact_process_mid!R21</f>
        <v>0</v>
      </c>
      <c r="S29" s="5">
        <f>LCI!$E33*impact_process_mid!S21</f>
        <v>0</v>
      </c>
      <c r="T29" s="5">
        <f>LCI!$E33*impact_process_mid!T21</f>
        <v>0</v>
      </c>
    </row>
    <row r="30" spans="1:21" x14ac:dyDescent="0.35">
      <c r="B30" t="s">
        <v>124</v>
      </c>
      <c r="C30" s="5">
        <f>LCI!$E34*impact_process_mid!C12</f>
        <v>0.13801715302484704</v>
      </c>
      <c r="D30" s="5">
        <f>LCI!$E34*impact_process_mid!D12</f>
        <v>0</v>
      </c>
      <c r="E30" s="5">
        <f>LCI!$E34*impact_process_mid!E12</f>
        <v>0</v>
      </c>
      <c r="F30" s="5">
        <f>LCI!$E34*impact_process_mid!F12</f>
        <v>0</v>
      </c>
      <c r="G30" s="5">
        <f>LCI!$E34*impact_process_mid!G12</f>
        <v>0</v>
      </c>
      <c r="H30" s="5">
        <f>LCI!$E34*impact_process_mid!H12</f>
        <v>0</v>
      </c>
      <c r="I30" s="5">
        <f>LCI!$E34*impact_process_mid!I12</f>
        <v>0</v>
      </c>
      <c r="J30" s="5">
        <f>LCI!$E34*impact_process_mid!J12</f>
        <v>0</v>
      </c>
      <c r="K30" s="5">
        <f>LCI!$E34*impact_process_mid!K12</f>
        <v>0</v>
      </c>
      <c r="L30" s="5">
        <f>LCI!$E34*impact_process_mid!L12</f>
        <v>0</v>
      </c>
      <c r="M30" s="5">
        <f>LCI!$E34*impact_process_mid!M12</f>
        <v>0</v>
      </c>
      <c r="N30" s="5">
        <f>LCI!$E34*impact_process_mid!N12</f>
        <v>0</v>
      </c>
      <c r="O30" s="5">
        <f>LCI!$E34*impact_process_mid!O12</f>
        <v>0</v>
      </c>
      <c r="P30" s="5">
        <f>LCI!$E34*impact_process_mid!P12</f>
        <v>0</v>
      </c>
      <c r="Q30" s="5">
        <f>LCI!$E34*impact_process_mid!Q12</f>
        <v>4.2171907868703264E-2</v>
      </c>
      <c r="R30" s="5">
        <f>LCI!$E34*impact_process_mid!R12</f>
        <v>0.38338098062457515</v>
      </c>
      <c r="S30" s="5">
        <f>LCI!$E34*impact_process_mid!S12</f>
        <v>0.38338098062457515</v>
      </c>
      <c r="T30" s="5">
        <f>LCI!$E34*impact_process_mid!T12</f>
        <v>0</v>
      </c>
      <c r="U30" s="5"/>
    </row>
    <row r="31" spans="1:21" x14ac:dyDescent="0.35">
      <c r="B31" t="s">
        <v>110</v>
      </c>
      <c r="C31" s="5">
        <f>LCI!$E35*impact_process_mid!C17</f>
        <v>2.3736657200389581E-2</v>
      </c>
      <c r="D31" s="5">
        <f>LCI!$E35*impact_process_mid!D17</f>
        <v>0</v>
      </c>
      <c r="E31" s="5">
        <f>LCI!$E35*impact_process_mid!E17</f>
        <v>0</v>
      </c>
      <c r="F31" s="5">
        <f>LCI!$E35*impact_process_mid!F17</f>
        <v>0</v>
      </c>
      <c r="G31" s="5">
        <f>LCI!$E35*impact_process_mid!G17</f>
        <v>0</v>
      </c>
      <c r="H31" s="5">
        <f>LCI!$E35*impact_process_mid!H17</f>
        <v>0</v>
      </c>
      <c r="I31" s="5">
        <f>LCI!$E35*impact_process_mid!I17</f>
        <v>0</v>
      </c>
      <c r="J31" s="5">
        <f>LCI!$E35*impact_process_mid!J17</f>
        <v>0</v>
      </c>
      <c r="K31" s="5">
        <f>LCI!$E35*impact_process_mid!K17</f>
        <v>0</v>
      </c>
      <c r="L31" s="5">
        <f>LCI!$E35*impact_process_mid!L17</f>
        <v>0</v>
      </c>
      <c r="M31" s="5">
        <f>LCI!$E35*impact_process_mid!M17</f>
        <v>0</v>
      </c>
      <c r="N31" s="5">
        <f>LCI!$E35*impact_process_mid!N17</f>
        <v>0</v>
      </c>
      <c r="O31" s="5">
        <f>LCI!$E35*impact_process_mid!O17</f>
        <v>0</v>
      </c>
      <c r="P31" s="5">
        <f>LCI!$E35*impact_process_mid!P17</f>
        <v>0</v>
      </c>
      <c r="Q31" s="5">
        <f>LCI!$E35*impact_process_mid!Q17</f>
        <v>2.9065294531089286E-3</v>
      </c>
      <c r="R31" s="5">
        <f>LCI!$E35*impact_process_mid!R17</f>
        <v>0</v>
      </c>
      <c r="S31" s="5">
        <f>LCI!$E35*impact_process_mid!S17</f>
        <v>0</v>
      </c>
      <c r="T31" s="5">
        <f>LCI!$E35*impact_process_mid!T17</f>
        <v>0</v>
      </c>
    </row>
    <row r="32" spans="1:21" x14ac:dyDescent="0.35">
      <c r="B32" t="s">
        <v>123</v>
      </c>
      <c r="C32" s="5">
        <f>LCI!$E36*impact_process_mid!C16</f>
        <v>0</v>
      </c>
      <c r="D32" s="5">
        <f>LCI!$E36*impact_process_mid!D16</f>
        <v>0</v>
      </c>
      <c r="E32" s="5">
        <f>LCI!$E36*impact_process_mid!E16</f>
        <v>0</v>
      </c>
      <c r="F32" s="5">
        <f>LCI!$E36*impact_process_mid!F16</f>
        <v>0</v>
      </c>
      <c r="G32" s="5">
        <f>LCI!$E36*impact_process_mid!G16</f>
        <v>0</v>
      </c>
      <c r="H32" s="5">
        <f>LCI!$E36*impact_process_mid!H16</f>
        <v>0</v>
      </c>
      <c r="I32" s="5">
        <f>LCI!$E36*impact_process_mid!I16</f>
        <v>0</v>
      </c>
      <c r="J32" s="5">
        <f>LCI!$E36*impact_process_mid!J16</f>
        <v>0</v>
      </c>
      <c r="K32" s="5">
        <f>LCI!$E36*impact_process_mid!K16</f>
        <v>0</v>
      </c>
      <c r="L32" s="5">
        <f>LCI!$E36*impact_process_mid!L16</f>
        <v>0</v>
      </c>
      <c r="M32" s="5">
        <f>LCI!$E36*impact_process_mid!M16</f>
        <v>0</v>
      </c>
      <c r="N32" s="5">
        <f>LCI!$E36*impact_process_mid!N16</f>
        <v>0</v>
      </c>
      <c r="O32" s="5">
        <f>LCI!$E36*impact_process_mid!O16</f>
        <v>0</v>
      </c>
      <c r="P32" s="5">
        <f>LCI!$E36*impact_process_mid!P16</f>
        <v>0</v>
      </c>
      <c r="Q32" s="5">
        <f>LCI!$E36*impact_process_mid!Q16</f>
        <v>0</v>
      </c>
      <c r="R32" s="5">
        <f>LCI!$E36*impact_process_mid!R16</f>
        <v>0</v>
      </c>
      <c r="S32" s="5">
        <f>LCI!$E36*impact_process_mid!S16</f>
        <v>0</v>
      </c>
      <c r="T32" s="5">
        <f>LCI!$E36*impact_process_mid!T16</f>
        <v>0</v>
      </c>
    </row>
    <row r="33" spans="1:21" x14ac:dyDescent="0.35">
      <c r="B33" t="s">
        <v>145</v>
      </c>
      <c r="C33" s="5">
        <f>LCI!$E37*impact_process_mid!C13</f>
        <v>0</v>
      </c>
      <c r="D33" s="5">
        <f>LCI!$E37*impact_process_mid!D13</f>
        <v>0</v>
      </c>
      <c r="E33" s="5">
        <f>LCI!$E37*impact_process_mid!E13</f>
        <v>0</v>
      </c>
      <c r="F33" s="5">
        <f>LCI!$E37*impact_process_mid!F13</f>
        <v>0</v>
      </c>
      <c r="G33" s="5">
        <f>LCI!$E37*impact_process_mid!G13</f>
        <v>0</v>
      </c>
      <c r="H33" s="5">
        <f>LCI!$E37*impact_process_mid!H13</f>
        <v>0</v>
      </c>
      <c r="I33" s="5">
        <f>LCI!$E37*impact_process_mid!I13</f>
        <v>0</v>
      </c>
      <c r="J33" s="5">
        <f>LCI!$E37*impact_process_mid!J13</f>
        <v>0</v>
      </c>
      <c r="K33" s="5">
        <f>LCI!$E37*impact_process_mid!K13</f>
        <v>0</v>
      </c>
      <c r="L33" s="5">
        <f>LCI!$E37*impact_process_mid!L13</f>
        <v>0</v>
      </c>
      <c r="M33" s="5">
        <f>LCI!$E37*impact_process_mid!M13</f>
        <v>0</v>
      </c>
      <c r="N33" s="5">
        <f>LCI!$E37*impact_process_mid!N13</f>
        <v>0</v>
      </c>
      <c r="O33" s="5">
        <f>LCI!$E37*impact_process_mid!O13</f>
        <v>0</v>
      </c>
      <c r="P33" s="5">
        <f>LCI!$E37*impact_process_mid!P13</f>
        <v>0</v>
      </c>
      <c r="Q33" s="5">
        <f>LCI!$E37*impact_process_mid!Q13</f>
        <v>0</v>
      </c>
      <c r="R33" s="5">
        <f>LCI!$E37*impact_process_mid!R13</f>
        <v>3.469777024643351E-3</v>
      </c>
      <c r="S33" s="5">
        <f>LCI!$E37*impact_process_mid!S13</f>
        <v>5.5901963174809543E-3</v>
      </c>
      <c r="T33" s="5">
        <f>LCI!$E37*impact_process_mid!T13</f>
        <v>0</v>
      </c>
    </row>
    <row r="34" spans="1:21" x14ac:dyDescent="0.35">
      <c r="B34" t="s">
        <v>249</v>
      </c>
      <c r="C34" s="5">
        <f>LCI!$E38*impact_process_mid!C2</f>
        <v>5.5074494426942396E-5</v>
      </c>
      <c r="D34" s="5">
        <f>LCI!$E38*impact_process_mid!D2</f>
        <v>4.8326572926880994E-2</v>
      </c>
      <c r="E34" s="5">
        <f>LCI!$E38*impact_process_mid!E2</f>
        <v>3.7754055678561171E-3</v>
      </c>
      <c r="F34" s="5">
        <f>LCI!$E38*impact_process_mid!F2</f>
        <v>4.7776695785936912E-3</v>
      </c>
      <c r="G34" s="5">
        <f>LCI!$E38*impact_process_mid!G2</f>
        <v>0.34530003749162541</v>
      </c>
      <c r="H34" s="5">
        <f>LCI!$E38*impact_process_mid!H2</f>
        <v>1.4835035623076804E-2</v>
      </c>
      <c r="I34" s="5">
        <f>LCI!$E38*impact_process_mid!I2</f>
        <v>9.3384402622502364E-6</v>
      </c>
      <c r="J34" s="5">
        <f>LCI!$E38*impact_process_mid!J2</f>
        <v>7.0394356540044281E-6</v>
      </c>
      <c r="K34" s="5">
        <f>LCI!$E38*impact_process_mid!K2</f>
        <v>3.5997206585033732E-3</v>
      </c>
      <c r="L34" s="5">
        <f>LCI!$E38*impact_process_mid!L2</f>
        <v>7.7866656949075935E-2</v>
      </c>
      <c r="M34" s="5">
        <f>LCI!$E38*impact_process_mid!M2</f>
        <v>0.33477008275887066</v>
      </c>
      <c r="N34" s="5">
        <f>LCI!$E38*impact_process_mid!N2</f>
        <v>1.7348585316797269E-3</v>
      </c>
      <c r="O34" s="5">
        <f>LCI!$E38*impact_process_mid!O2</f>
        <v>1.0788761215933661E-3</v>
      </c>
      <c r="P34" s="5">
        <f>LCI!$E38*impact_process_mid!P2</f>
        <v>5.2618995633477933E-8</v>
      </c>
      <c r="Q34" s="5">
        <f>LCI!$E38*impact_process_mid!Q2</f>
        <v>3.054627566112554E-5</v>
      </c>
      <c r="R34" s="5">
        <f>LCI!$E38*impact_process_mid!R2</f>
        <v>4.9717075938276885E-5</v>
      </c>
      <c r="S34" s="5">
        <f>LCI!$E38*impact_process_mid!S2</f>
        <v>5.4894549487061483E-5</v>
      </c>
      <c r="T34" s="5">
        <f>LCI!$E38*impact_process_mid!T2</f>
        <v>1.9081029846231517E-3</v>
      </c>
    </row>
    <row r="36" spans="1:21" x14ac:dyDescent="0.35">
      <c r="A36" t="s">
        <v>258</v>
      </c>
    </row>
    <row r="37" spans="1:21" x14ac:dyDescent="0.35">
      <c r="B37" s="2" t="s">
        <v>97</v>
      </c>
    </row>
    <row r="38" spans="1:21" x14ac:dyDescent="0.35">
      <c r="B38" s="2" t="s">
        <v>96</v>
      </c>
      <c r="C38">
        <f>LCI!$E44*impact_process_mid!C11</f>
        <v>0</v>
      </c>
      <c r="D38">
        <f>LCI!$E44*impact_process_mid!D11</f>
        <v>59.155879116293768</v>
      </c>
      <c r="E38">
        <f>LCI!$E44*impact_process_mid!E11</f>
        <v>0</v>
      </c>
      <c r="F38">
        <f>LCI!$E44*impact_process_mid!F11</f>
        <v>0</v>
      </c>
      <c r="G38">
        <f>LCI!$E44*impact_process_mid!G11</f>
        <v>0</v>
      </c>
      <c r="H38">
        <f>LCI!$E44*impact_process_mid!H11</f>
        <v>0</v>
      </c>
      <c r="I38">
        <f>LCI!$E44*impact_process_mid!I11</f>
        <v>0</v>
      </c>
      <c r="J38">
        <f>LCI!$E44*impact_process_mid!J11</f>
        <v>0</v>
      </c>
      <c r="K38">
        <f>LCI!$E44*impact_process_mid!K11</f>
        <v>0</v>
      </c>
      <c r="L38">
        <f>LCI!$E44*impact_process_mid!L11</f>
        <v>0</v>
      </c>
      <c r="M38">
        <f>LCI!$E44*impact_process_mid!M11</f>
        <v>0</v>
      </c>
      <c r="N38">
        <f>LCI!$E44*impact_process_mid!N11</f>
        <v>0</v>
      </c>
      <c r="O38">
        <f>LCI!$E44*impact_process_mid!O11</f>
        <v>0</v>
      </c>
      <c r="P38">
        <f>LCI!$E44*impact_process_mid!P11</f>
        <v>0</v>
      </c>
      <c r="Q38">
        <f>LCI!$E44*impact_process_mid!Q11</f>
        <v>0</v>
      </c>
      <c r="R38">
        <f>LCI!$E44*impact_process_mid!R11</f>
        <v>0</v>
      </c>
      <c r="S38">
        <f>LCI!$E44*impact_process_mid!S11</f>
        <v>0</v>
      </c>
      <c r="T38">
        <f>LCI!$E44*impact_process_mid!T11</f>
        <v>0</v>
      </c>
    </row>
    <row r="39" spans="1:21" x14ac:dyDescent="0.35">
      <c r="B39" s="2" t="s">
        <v>141</v>
      </c>
      <c r="C39" s="5">
        <f>LCI!$E45*impact_process_mid!C23</f>
        <v>0</v>
      </c>
      <c r="D39" s="5">
        <f>LCI!$E45*impact_process_mid!D23</f>
        <v>0</v>
      </c>
      <c r="E39" s="5">
        <f>LCI!$E45*impact_process_mid!E23</f>
        <v>0</v>
      </c>
      <c r="F39" s="5">
        <f>LCI!$E45*impact_process_mid!F23</f>
        <v>0</v>
      </c>
      <c r="G39" s="5">
        <f>LCI!$E45*impact_process_mid!G23</f>
        <v>0</v>
      </c>
      <c r="H39" s="5">
        <f>LCI!$E45*impact_process_mid!H23</f>
        <v>0</v>
      </c>
      <c r="I39" s="5">
        <f>LCI!$E45*impact_process_mid!I23</f>
        <v>0</v>
      </c>
      <c r="J39" s="5">
        <f>LCI!$E45*impact_process_mid!J23</f>
        <v>0</v>
      </c>
      <c r="K39" s="5">
        <f>LCI!$E45*impact_process_mid!K23</f>
        <v>0</v>
      </c>
      <c r="L39" s="5">
        <f>LCI!$E45*impact_process_mid!L23</f>
        <v>0</v>
      </c>
      <c r="M39" s="5">
        <f>LCI!$E45*impact_process_mid!M23</f>
        <v>0</v>
      </c>
      <c r="N39" s="5">
        <f>LCI!$E45*impact_process_mid!N23</f>
        <v>0</v>
      </c>
      <c r="O39" s="5">
        <f>LCI!$E45*impact_process_mid!O23</f>
        <v>0</v>
      </c>
      <c r="P39" s="5">
        <f>LCI!$E45*impact_process_mid!P23</f>
        <v>0</v>
      </c>
      <c r="Q39" s="5">
        <f>LCI!$E45*impact_process_mid!Q23</f>
        <v>0</v>
      </c>
      <c r="R39" s="5">
        <f>LCI!$E45*impact_process_mid!R23</f>
        <v>0</v>
      </c>
      <c r="S39" s="5">
        <f>LCI!$E45*impact_process_mid!S23</f>
        <v>0</v>
      </c>
      <c r="T39" s="5">
        <f>LCI!$E45*impact_process_mid!T23</f>
        <v>0</v>
      </c>
    </row>
    <row r="40" spans="1:21" x14ac:dyDescent="0.35">
      <c r="B40" s="2" t="s">
        <v>142</v>
      </c>
      <c r="C40" s="5">
        <f>LCI!$E46*impact_process_mid!C18</f>
        <v>1.4767489793918657E-3</v>
      </c>
      <c r="D40" s="5">
        <f>LCI!$E46*impact_process_mid!D18</f>
        <v>0</v>
      </c>
      <c r="E40" s="5">
        <f>LCI!$E46*impact_process_mid!E18</f>
        <v>0</v>
      </c>
      <c r="F40" s="5">
        <f>LCI!$E46*impact_process_mid!F18</f>
        <v>0</v>
      </c>
      <c r="G40" s="5">
        <f>LCI!$E46*impact_process_mid!G18</f>
        <v>0</v>
      </c>
      <c r="H40" s="5">
        <f>LCI!$E46*impact_process_mid!H18</f>
        <v>0</v>
      </c>
      <c r="I40" s="5">
        <f>LCI!$E46*impact_process_mid!I18</f>
        <v>0</v>
      </c>
      <c r="J40" s="5">
        <f>LCI!$E46*impact_process_mid!J18</f>
        <v>0</v>
      </c>
      <c r="K40" s="5">
        <f>LCI!$E46*impact_process_mid!K18</f>
        <v>0</v>
      </c>
      <c r="L40" s="5">
        <f>LCI!$E46*impact_process_mid!L18</f>
        <v>0</v>
      </c>
      <c r="M40" s="5">
        <f>LCI!$E46*impact_process_mid!M18</f>
        <v>0</v>
      </c>
      <c r="N40" s="5">
        <f>LCI!$E46*impact_process_mid!N18</f>
        <v>0</v>
      </c>
      <c r="O40" s="5">
        <f>LCI!$E46*impact_process_mid!O18</f>
        <v>0</v>
      </c>
      <c r="P40" s="5">
        <f>LCI!$E46*impact_process_mid!P18</f>
        <v>0</v>
      </c>
      <c r="Q40" s="5">
        <f>LCI!$E46*impact_process_mid!Q18</f>
        <v>4.2825720402364106E-4</v>
      </c>
      <c r="R40" s="5">
        <f>LCI!$E46*impact_process_mid!R18</f>
        <v>0</v>
      </c>
      <c r="S40" s="5">
        <f>LCI!$E46*impact_process_mid!S18</f>
        <v>0</v>
      </c>
      <c r="T40" s="5">
        <f>LCI!$E46*impact_process_mid!T18</f>
        <v>0</v>
      </c>
    </row>
    <row r="41" spans="1:21" x14ac:dyDescent="0.35">
      <c r="B41" s="2" t="s">
        <v>8</v>
      </c>
      <c r="C41">
        <f>LCI!$E47*impact_process_mid!C2</f>
        <v>6.8843118033677991E-3</v>
      </c>
      <c r="D41">
        <f>LCI!$E47*impact_process_mid!D2</f>
        <v>6.040821615860124</v>
      </c>
      <c r="E41">
        <f>LCI!$E47*impact_process_mid!E2</f>
        <v>0.47192569598201461</v>
      </c>
      <c r="F41">
        <f>LCI!$E47*impact_process_mid!F2</f>
        <v>0.59720869732421134</v>
      </c>
      <c r="G41">
        <f>LCI!$E47*impact_process_mid!G2</f>
        <v>43.162504686453175</v>
      </c>
      <c r="H41">
        <f>LCI!$E47*impact_process_mid!H2</f>
        <v>1.8543794528846005</v>
      </c>
      <c r="I41">
        <f>LCI!$E47*impact_process_mid!I2</f>
        <v>1.1673050327812796E-3</v>
      </c>
      <c r="J41">
        <f>LCI!$E47*impact_process_mid!J2</f>
        <v>8.799294567505535E-4</v>
      </c>
      <c r="K41">
        <f>LCI!$E47*impact_process_mid!K2</f>
        <v>0.44996508231292165</v>
      </c>
      <c r="L41">
        <f>LCI!$E47*impact_process_mid!L2</f>
        <v>9.7333321186344914</v>
      </c>
      <c r="M41">
        <f>LCI!$E47*impact_process_mid!M2</f>
        <v>41.846260344858834</v>
      </c>
      <c r="N41">
        <f>LCI!$E47*impact_process_mid!N2</f>
        <v>0.21685731645996584</v>
      </c>
      <c r="O41">
        <f>LCI!$E47*impact_process_mid!O2</f>
        <v>0.13485951519917078</v>
      </c>
      <c r="P41">
        <f>LCI!$E47*impact_process_mid!P2</f>
        <v>6.5773744541847419E-6</v>
      </c>
      <c r="Q41">
        <f>LCI!$E47*impact_process_mid!Q2</f>
        <v>3.8182844576406926E-3</v>
      </c>
      <c r="R41">
        <f>LCI!$E47*impact_process_mid!R2</f>
        <v>6.2146344922846108E-3</v>
      </c>
      <c r="S41">
        <f>LCI!$E47*impact_process_mid!S2</f>
        <v>6.8618186858826853E-3</v>
      </c>
      <c r="T41">
        <f>LCI!$E47*impact_process_mid!T2</f>
        <v>0.23851287307789396</v>
      </c>
    </row>
    <row r="42" spans="1:21" x14ac:dyDescent="0.35">
      <c r="B42" s="2" t="s">
        <v>127</v>
      </c>
      <c r="C42" s="5">
        <f>LCI!$E48*impact_process_mid!C30</f>
        <v>3.1078495164408803E-3</v>
      </c>
      <c r="D42" s="5">
        <f>LCI!$E48*impact_process_mid!D30</f>
        <v>0.67703742711271797</v>
      </c>
      <c r="E42" s="5">
        <f>LCI!$E48*impact_process_mid!E30</f>
        <v>1.101204221513343E-2</v>
      </c>
      <c r="F42" s="5">
        <f>LCI!$E48*impact_process_mid!F30</f>
        <v>1.5265185085597106E-2</v>
      </c>
      <c r="G42" s="5">
        <f>LCI!$E48*impact_process_mid!G30</f>
        <v>0.75634631044953848</v>
      </c>
      <c r="H42" s="5">
        <f>LCI!$E48*impact_process_mid!H30</f>
        <v>0.1722550677213083</v>
      </c>
      <c r="I42" s="5">
        <f>LCI!$E48*impact_process_mid!I30</f>
        <v>2.6912079114603033E-4</v>
      </c>
      <c r="J42" s="5">
        <f>LCI!$E48*impact_process_mid!J30</f>
        <v>1.8228431405693343E-5</v>
      </c>
      <c r="K42" s="5">
        <f>LCI!$E48*impact_process_mid!K30</f>
        <v>2.4410939628260263E-2</v>
      </c>
      <c r="L42" s="5">
        <f>LCI!$E48*impact_process_mid!L30</f>
        <v>0.47509749214330427</v>
      </c>
      <c r="M42" s="5">
        <f>LCI!$E48*impact_process_mid!M30</f>
        <v>2.4258574266194301E-2</v>
      </c>
      <c r="N42" s="5">
        <f>LCI!$E48*impact_process_mid!N30</f>
        <v>7.8521900532224319E-3</v>
      </c>
      <c r="O42" s="5">
        <f>LCI!$E48*impact_process_mid!O30</f>
        <v>2.047015137518099E-3</v>
      </c>
      <c r="P42" s="5">
        <f>LCI!$E48*impact_process_mid!P30</f>
        <v>1.2739367369345024E-7</v>
      </c>
      <c r="Q42" s="5">
        <f>LCI!$E48*impact_process_mid!Q30</f>
        <v>1.1899084327116137E-3</v>
      </c>
      <c r="R42" s="5">
        <f>LCI!$E48*impact_process_mid!R30</f>
        <v>1.548735986910165E-3</v>
      </c>
      <c r="S42" s="5">
        <f>LCI!$E48*impact_process_mid!S30</f>
        <v>1.5785138119829907E-3</v>
      </c>
      <c r="T42" s="5">
        <f>LCI!$E48*impact_process_mid!T30</f>
        <v>1.8086941331262067E-3</v>
      </c>
      <c r="U42" s="5"/>
    </row>
    <row r="43" spans="1:21" x14ac:dyDescent="0.35">
      <c r="B43" s="2" t="s">
        <v>134</v>
      </c>
      <c r="C43" s="5">
        <f>LCI!$E49*impact_process_mid!C31</f>
        <v>5.7058221543380923E-2</v>
      </c>
      <c r="D43" s="5">
        <f>LCI!$E49*impact_process_mid!D31</f>
        <v>14.118005032059685</v>
      </c>
      <c r="E43" s="5">
        <f>LCI!$E49*impact_process_mid!E31</f>
        <v>1.0534469665585537</v>
      </c>
      <c r="F43" s="5">
        <f>LCI!$E49*impact_process_mid!F31</f>
        <v>1.4234575062505135</v>
      </c>
      <c r="G43" s="5">
        <f>LCI!$E49*impact_process_mid!G31</f>
        <v>90.876651661907673</v>
      </c>
      <c r="H43" s="5">
        <f>LCI!$E49*impact_process_mid!H31</f>
        <v>3.6132734978664209</v>
      </c>
      <c r="I43" s="5">
        <f>LCI!$E49*impact_process_mid!I31</f>
        <v>5.3021398316619667E-3</v>
      </c>
      <c r="J43" s="5">
        <f>LCI!$E49*impact_process_mid!J31</f>
        <v>6.7789181285008945E-4</v>
      </c>
      <c r="K43" s="5">
        <f>LCI!$E49*impact_process_mid!K31</f>
        <v>4.6846482801298652</v>
      </c>
      <c r="L43" s="5">
        <f>LCI!$E49*impact_process_mid!L31</f>
        <v>23.436007134093661</v>
      </c>
      <c r="M43" s="5">
        <f>LCI!$E49*impact_process_mid!M31</f>
        <v>0.76660458304507251</v>
      </c>
      <c r="N43" s="5">
        <f>LCI!$E49*impact_process_mid!N31</f>
        <v>0.32614524131435885</v>
      </c>
      <c r="O43" s="5">
        <f>LCI!$E49*impact_process_mid!O31</f>
        <v>0.93871271483079932</v>
      </c>
      <c r="P43" s="5">
        <f>LCI!$E49*impact_process_mid!P31</f>
        <v>6.4343934545667836E-6</v>
      </c>
      <c r="Q43" s="5">
        <f>LCI!$E49*impact_process_mid!Q31</f>
        <v>2.4815402022818241E-2</v>
      </c>
      <c r="R43" s="5">
        <f>LCI!$E49*impact_process_mid!R31</f>
        <v>3.8592691891166285E-2</v>
      </c>
      <c r="S43" s="5">
        <f>LCI!$E49*impact_process_mid!S31</f>
        <v>3.9793941819165748E-2</v>
      </c>
      <c r="T43" s="5">
        <f>LCI!$E49*impact_process_mid!T31</f>
        <v>0.19788287648531389</v>
      </c>
      <c r="U43" s="5"/>
    </row>
    <row r="45" spans="1:21" x14ac:dyDescent="0.35">
      <c r="A45" t="s">
        <v>129</v>
      </c>
    </row>
    <row r="46" spans="1:21" x14ac:dyDescent="0.35">
      <c r="B46" t="s">
        <v>50</v>
      </c>
      <c r="C46">
        <f>LCI!$E53*impact_process_mid!C12</f>
        <v>2.3580286282770069</v>
      </c>
      <c r="D46">
        <f>LCI!$E53*impact_process_mid!D12</f>
        <v>0</v>
      </c>
      <c r="E46">
        <f>LCI!$E53*impact_process_mid!E12</f>
        <v>0</v>
      </c>
      <c r="F46">
        <f>LCI!$E53*impact_process_mid!F12</f>
        <v>0</v>
      </c>
      <c r="G46">
        <f>LCI!$E53*impact_process_mid!G12</f>
        <v>0</v>
      </c>
      <c r="H46">
        <f>LCI!$E53*impact_process_mid!H12</f>
        <v>0</v>
      </c>
      <c r="I46">
        <f>LCI!$E53*impact_process_mid!I12</f>
        <v>0</v>
      </c>
      <c r="J46">
        <f>LCI!$E53*impact_process_mid!J12</f>
        <v>0</v>
      </c>
      <c r="K46">
        <f>LCI!$E53*impact_process_mid!K12</f>
        <v>0</v>
      </c>
      <c r="L46">
        <f>LCI!$E53*impact_process_mid!L12</f>
        <v>0</v>
      </c>
      <c r="M46">
        <f>LCI!$E53*impact_process_mid!M12</f>
        <v>0</v>
      </c>
      <c r="N46">
        <f>LCI!$E53*impact_process_mid!N12</f>
        <v>0</v>
      </c>
      <c r="O46">
        <f>LCI!$E53*impact_process_mid!O12</f>
        <v>0</v>
      </c>
      <c r="P46">
        <f>LCI!$E53*impact_process_mid!P12</f>
        <v>0</v>
      </c>
      <c r="Q46">
        <f>LCI!$E53*impact_process_mid!Q12</f>
        <v>0.72050874752908545</v>
      </c>
      <c r="R46">
        <f>LCI!$E53*impact_process_mid!R12</f>
        <v>6.5500795229916857</v>
      </c>
      <c r="S46">
        <f>LCI!$E53*impact_process_mid!S12</f>
        <v>6.5500795229916857</v>
      </c>
      <c r="T46">
        <f>LCI!$E53*impact_process_mid!T12</f>
        <v>0</v>
      </c>
    </row>
    <row r="47" spans="1:21" x14ac:dyDescent="0.35">
      <c r="B47" t="s">
        <v>51</v>
      </c>
      <c r="C47">
        <f>LCI!$E54*impact_process_mid!C13</f>
        <v>0</v>
      </c>
      <c r="D47">
        <f>LCI!$E54*impact_process_mid!D13</f>
        <v>0</v>
      </c>
      <c r="E47">
        <f>LCI!$E54*impact_process_mid!E13</f>
        <v>0</v>
      </c>
      <c r="F47">
        <f>LCI!$E54*impact_process_mid!F13</f>
        <v>0</v>
      </c>
      <c r="G47">
        <f>LCI!$E54*impact_process_mid!G13</f>
        <v>0</v>
      </c>
      <c r="H47">
        <f>LCI!$E54*impact_process_mid!H13</f>
        <v>0</v>
      </c>
      <c r="I47">
        <f>LCI!$E54*impact_process_mid!I13</f>
        <v>0</v>
      </c>
      <c r="J47">
        <f>LCI!$E54*impact_process_mid!J13</f>
        <v>0</v>
      </c>
      <c r="K47">
        <f>LCI!$E54*impact_process_mid!K13</f>
        <v>0</v>
      </c>
      <c r="L47">
        <f>LCI!$E54*impact_process_mid!L13</f>
        <v>0</v>
      </c>
      <c r="M47">
        <f>LCI!$E54*impact_process_mid!M13</f>
        <v>0</v>
      </c>
      <c r="N47">
        <f>LCI!$E54*impact_process_mid!N13</f>
        <v>0</v>
      </c>
      <c r="O47">
        <f>LCI!$E54*impact_process_mid!O13</f>
        <v>0</v>
      </c>
      <c r="P47">
        <f>LCI!$E54*impact_process_mid!P13</f>
        <v>0</v>
      </c>
      <c r="Q47">
        <f>LCI!$E54*impact_process_mid!Q13</f>
        <v>0</v>
      </c>
      <c r="R47">
        <f>LCI!$E54*impact_process_mid!R13</f>
        <v>4.4631456686631037E-2</v>
      </c>
      <c r="S47">
        <f>LCI!$E54*impact_process_mid!S13</f>
        <v>7.1906235772905558E-2</v>
      </c>
      <c r="T47">
        <f>LCI!$E54*impact_process_mid!T13</f>
        <v>0</v>
      </c>
    </row>
    <row r="48" spans="1:21" x14ac:dyDescent="0.35">
      <c r="B48" t="s">
        <v>52</v>
      </c>
      <c r="C48">
        <f>LCI!$E55*impact_process_mid!C14</f>
        <v>1.2149674320249561E-3</v>
      </c>
      <c r="D48">
        <f>LCI!$E55*impact_process_mid!D14</f>
        <v>0</v>
      </c>
      <c r="E48">
        <f>LCI!$E55*impact_process_mid!E14</f>
        <v>0</v>
      </c>
      <c r="F48">
        <f>LCI!$E55*impact_process_mid!F14</f>
        <v>0</v>
      </c>
      <c r="G48">
        <f>LCI!$E55*impact_process_mid!G14</f>
        <v>0</v>
      </c>
      <c r="H48">
        <f>LCI!$E55*impact_process_mid!H14</f>
        <v>0</v>
      </c>
      <c r="I48">
        <f>LCI!$E55*impact_process_mid!I14</f>
        <v>0</v>
      </c>
      <c r="J48">
        <f>LCI!$E55*impact_process_mid!J14</f>
        <v>0</v>
      </c>
      <c r="K48">
        <f>LCI!$E55*impact_process_mid!K14</f>
        <v>0</v>
      </c>
      <c r="L48">
        <f>LCI!$E55*impact_process_mid!L14</f>
        <v>0</v>
      </c>
      <c r="M48">
        <f>LCI!$E55*impact_process_mid!M14</f>
        <v>0</v>
      </c>
      <c r="N48">
        <f>LCI!$E55*impact_process_mid!N14</f>
        <v>0</v>
      </c>
      <c r="O48">
        <f>LCI!$E55*impact_process_mid!O14</f>
        <v>0</v>
      </c>
      <c r="P48">
        <f>LCI!$E55*impact_process_mid!P14</f>
        <v>0</v>
      </c>
      <c r="Q48">
        <f>LCI!$E55*impact_process_mid!Q14</f>
        <v>3.5234055528723723E-4</v>
      </c>
      <c r="R48">
        <f>LCI!$E55*impact_process_mid!R14</f>
        <v>0</v>
      </c>
      <c r="S48">
        <f>LCI!$E55*impact_process_mid!S14</f>
        <v>0</v>
      </c>
      <c r="T48">
        <f>LCI!$E55*impact_process_mid!T14</f>
        <v>0</v>
      </c>
    </row>
    <row r="49" spans="1:20" x14ac:dyDescent="0.35">
      <c r="B49" t="s">
        <v>53</v>
      </c>
      <c r="C49">
        <f>LCI!$E56*impact_process_mid!C21</f>
        <v>0</v>
      </c>
      <c r="D49">
        <f>LCI!$E56*impact_process_mid!D21</f>
        <v>0</v>
      </c>
      <c r="E49">
        <f>LCI!$E56*impact_process_mid!E21</f>
        <v>0</v>
      </c>
      <c r="F49">
        <f>LCI!$E56*impact_process_mid!F21</f>
        <v>0</v>
      </c>
      <c r="G49">
        <f>LCI!$E56*impact_process_mid!G21</f>
        <v>0</v>
      </c>
      <c r="H49">
        <f>LCI!$E56*impact_process_mid!H21</f>
        <v>0</v>
      </c>
      <c r="I49">
        <f>LCI!$E56*impact_process_mid!I21</f>
        <v>0</v>
      </c>
      <c r="J49">
        <f>LCI!$E56*impact_process_mid!J21</f>
        <v>0</v>
      </c>
      <c r="K49">
        <f>LCI!$E56*impact_process_mid!K21</f>
        <v>0</v>
      </c>
      <c r="L49">
        <f>LCI!$E56*impact_process_mid!L21</f>
        <v>0</v>
      </c>
      <c r="M49">
        <f>LCI!$E56*impact_process_mid!M21</f>
        <v>0</v>
      </c>
      <c r="N49">
        <f>LCI!$E56*impact_process_mid!N21</f>
        <v>0</v>
      </c>
      <c r="O49">
        <f>LCI!$E56*impact_process_mid!O21</f>
        <v>0</v>
      </c>
      <c r="P49">
        <f>LCI!$E56*impact_process_mid!P21</f>
        <v>0</v>
      </c>
      <c r="Q49">
        <f>LCI!$E56*impact_process_mid!Q21</f>
        <v>0.89326967778691946</v>
      </c>
      <c r="R49">
        <f>LCI!$E56*impact_process_mid!R21</f>
        <v>0</v>
      </c>
      <c r="S49">
        <f>LCI!$E56*impact_process_mid!S21</f>
        <v>0</v>
      </c>
      <c r="T49">
        <f>LCI!$E56*impact_process_mid!T21</f>
        <v>0</v>
      </c>
    </row>
    <row r="50" spans="1:20" x14ac:dyDescent="0.35">
      <c r="B50" t="s">
        <v>54</v>
      </c>
      <c r="C50">
        <f>LCI!$E57*impact_process_mid!C16</f>
        <v>0</v>
      </c>
      <c r="D50">
        <f>LCI!$E57*impact_process_mid!D16</f>
        <v>0</v>
      </c>
      <c r="E50">
        <f>LCI!$E57*impact_process_mid!E16</f>
        <v>0</v>
      </c>
      <c r="F50">
        <f>LCI!$E57*impact_process_mid!F16</f>
        <v>0</v>
      </c>
      <c r="G50">
        <f>LCI!$E57*impact_process_mid!G16</f>
        <v>0</v>
      </c>
      <c r="H50">
        <f>LCI!$E57*impact_process_mid!H16</f>
        <v>0</v>
      </c>
      <c r="I50">
        <f>LCI!$E57*impact_process_mid!I16</f>
        <v>0</v>
      </c>
      <c r="J50">
        <f>LCI!$E57*impact_process_mid!J16</f>
        <v>0</v>
      </c>
      <c r="K50">
        <f>LCI!$E57*impact_process_mid!K16</f>
        <v>0</v>
      </c>
      <c r="L50">
        <f>LCI!$E57*impact_process_mid!L16</f>
        <v>0</v>
      </c>
      <c r="M50">
        <f>LCI!$E57*impact_process_mid!M16</f>
        <v>0</v>
      </c>
      <c r="N50">
        <f>LCI!$E57*impact_process_mid!N16</f>
        <v>0</v>
      </c>
      <c r="O50">
        <f>LCI!$E57*impact_process_mid!O16</f>
        <v>0</v>
      </c>
      <c r="P50">
        <f>LCI!$E57*impact_process_mid!P16</f>
        <v>0</v>
      </c>
      <c r="Q50">
        <f>LCI!$E57*impact_process_mid!Q16</f>
        <v>0</v>
      </c>
      <c r="R50">
        <f>LCI!$E57*impact_process_mid!R16</f>
        <v>0</v>
      </c>
      <c r="S50">
        <f>LCI!$E57*impact_process_mid!S16</f>
        <v>0</v>
      </c>
      <c r="T50">
        <f>LCI!$E57*impact_process_mid!T16</f>
        <v>0</v>
      </c>
    </row>
    <row r="51" spans="1:20" x14ac:dyDescent="0.35">
      <c r="B51" t="s">
        <v>58</v>
      </c>
      <c r="C51">
        <f>LCI!$E58*impact_process_mid!C11</f>
        <v>0</v>
      </c>
      <c r="D51">
        <f>LCI!$E58*impact_process_mid!D11</f>
        <v>101.86716734494954</v>
      </c>
      <c r="E51">
        <f>LCI!$E58*impact_process_mid!E11</f>
        <v>0</v>
      </c>
      <c r="F51">
        <f>LCI!$E58*impact_process_mid!F11</f>
        <v>0</v>
      </c>
      <c r="G51">
        <f>LCI!$E58*impact_process_mid!G11</f>
        <v>0</v>
      </c>
      <c r="H51">
        <f>LCI!$E58*impact_process_mid!H11</f>
        <v>0</v>
      </c>
      <c r="I51">
        <f>LCI!$E58*impact_process_mid!I11</f>
        <v>0</v>
      </c>
      <c r="J51">
        <f>LCI!$E58*impact_process_mid!J11</f>
        <v>0</v>
      </c>
      <c r="K51">
        <f>LCI!$E58*impact_process_mid!K11</f>
        <v>0</v>
      </c>
      <c r="L51">
        <f>LCI!$E58*impact_process_mid!L11</f>
        <v>0</v>
      </c>
      <c r="M51">
        <f>LCI!$E58*impact_process_mid!M11</f>
        <v>0</v>
      </c>
      <c r="N51">
        <f>LCI!$E58*impact_process_mid!N11</f>
        <v>0</v>
      </c>
      <c r="O51">
        <f>LCI!$E58*impact_process_mid!O11</f>
        <v>0</v>
      </c>
      <c r="P51">
        <f>LCI!$E58*impact_process_mid!P11</f>
        <v>0</v>
      </c>
      <c r="Q51">
        <f>LCI!$E58*impact_process_mid!Q11</f>
        <v>0</v>
      </c>
      <c r="R51">
        <f>LCI!$E58*impact_process_mid!R11</f>
        <v>0</v>
      </c>
      <c r="S51">
        <f>LCI!$E58*impact_process_mid!S11</f>
        <v>0</v>
      </c>
      <c r="T51">
        <f>LCI!$E58*impact_process_mid!T11</f>
        <v>0</v>
      </c>
    </row>
    <row r="53" spans="1:20" x14ac:dyDescent="0.35">
      <c r="A53" t="s">
        <v>100</v>
      </c>
    </row>
    <row r="54" spans="1:20" x14ac:dyDescent="0.35">
      <c r="B54" t="s">
        <v>96</v>
      </c>
      <c r="C54">
        <f>LCI!$E63*impact_process_mid!C11</f>
        <v>0</v>
      </c>
      <c r="D54">
        <f>LCI!$E63*impact_process_mid!D11</f>
        <v>59.082151372655566</v>
      </c>
      <c r="E54">
        <f>LCI!$E63*impact_process_mid!E11</f>
        <v>0</v>
      </c>
      <c r="F54">
        <f>LCI!$E63*impact_process_mid!F11</f>
        <v>0</v>
      </c>
      <c r="G54">
        <f>LCI!$E63*impact_process_mid!G11</f>
        <v>0</v>
      </c>
      <c r="H54">
        <f>LCI!$E63*impact_process_mid!H11</f>
        <v>0</v>
      </c>
      <c r="I54">
        <f>LCI!$E63*impact_process_mid!I11</f>
        <v>0</v>
      </c>
      <c r="J54">
        <f>LCI!$E63*impact_process_mid!J11</f>
        <v>0</v>
      </c>
      <c r="K54">
        <f>LCI!$E63*impact_process_mid!K11</f>
        <v>0</v>
      </c>
      <c r="L54">
        <f>LCI!$E63*impact_process_mid!L11</f>
        <v>0</v>
      </c>
      <c r="M54">
        <f>LCI!$E63*impact_process_mid!M11</f>
        <v>0</v>
      </c>
      <c r="N54">
        <f>LCI!$E63*impact_process_mid!N11</f>
        <v>0</v>
      </c>
      <c r="O54">
        <f>LCI!$E63*impact_process_mid!O11</f>
        <v>0</v>
      </c>
      <c r="P54">
        <f>LCI!$E63*impact_process_mid!P11</f>
        <v>0</v>
      </c>
      <c r="Q54">
        <f>LCI!$E63*impact_process_mid!Q11</f>
        <v>0</v>
      </c>
      <c r="R54">
        <f>LCI!$E63*impact_process_mid!R11</f>
        <v>0</v>
      </c>
      <c r="S54">
        <f>LCI!$E63*impact_process_mid!S11</f>
        <v>0</v>
      </c>
      <c r="T54">
        <f>LCI!$E63*impact_process_mid!T11</f>
        <v>0</v>
      </c>
    </row>
    <row r="56" spans="1:20" x14ac:dyDescent="0.35">
      <c r="A56" t="s">
        <v>269</v>
      </c>
    </row>
    <row r="57" spans="1:20" x14ac:dyDescent="0.35">
      <c r="B57" t="s">
        <v>111</v>
      </c>
      <c r="C57">
        <f>LCI!$E67*impact_process_mid!C19</f>
        <v>0</v>
      </c>
      <c r="D57">
        <f>LCI!$E67*impact_process_mid!D19</f>
        <v>56.099064244962484</v>
      </c>
      <c r="E57">
        <f>LCI!$E67*impact_process_mid!E19</f>
        <v>0</v>
      </c>
      <c r="F57">
        <f>LCI!$E67*impact_process_mid!F19</f>
        <v>0</v>
      </c>
      <c r="G57">
        <f>LCI!$E67*impact_process_mid!G19</f>
        <v>0</v>
      </c>
      <c r="H57">
        <f>LCI!$E67*impact_process_mid!H19</f>
        <v>0</v>
      </c>
      <c r="I57">
        <f>LCI!$E67*impact_process_mid!I19</f>
        <v>0</v>
      </c>
      <c r="J57">
        <f>LCI!$E67*impact_process_mid!J19</f>
        <v>0</v>
      </c>
      <c r="K57">
        <f>LCI!$E67*impact_process_mid!K19</f>
        <v>0</v>
      </c>
      <c r="L57">
        <f>LCI!$E67*impact_process_mid!L19</f>
        <v>0</v>
      </c>
      <c r="M57">
        <f>LCI!$E67*impact_process_mid!M19</f>
        <v>0</v>
      </c>
      <c r="N57">
        <f>LCI!$E67*impact_process_mid!N19</f>
        <v>0</v>
      </c>
      <c r="O57">
        <f>LCI!$E67*impact_process_mid!O19</f>
        <v>0</v>
      </c>
      <c r="P57">
        <f>LCI!$E67*impact_process_mid!P19</f>
        <v>2.0707708278341857E-3</v>
      </c>
      <c r="Q57">
        <f>LCI!$E67*impact_process_mid!Q19</f>
        <v>0</v>
      </c>
      <c r="R57">
        <f>LCI!$E67*impact_process_mid!R19</f>
        <v>0</v>
      </c>
      <c r="S57">
        <f>LCI!$E67*impact_process_mid!S19</f>
        <v>0</v>
      </c>
      <c r="T57">
        <f>LCI!$E67*impact_process_mid!T19</f>
        <v>0</v>
      </c>
    </row>
    <row r="58" spans="1:20" x14ac:dyDescent="0.35">
      <c r="B58" t="s">
        <v>110</v>
      </c>
      <c r="C58">
        <f>LCI!$E68*impact_process_mid!C17</f>
        <v>8.7728015236408226</v>
      </c>
      <c r="D58">
        <f>LCI!$E68*impact_process_mid!D17</f>
        <v>0</v>
      </c>
      <c r="E58">
        <f>LCI!$E68*impact_process_mid!E17</f>
        <v>0</v>
      </c>
      <c r="F58">
        <f>LCI!$E68*impact_process_mid!F17</f>
        <v>0</v>
      </c>
      <c r="G58">
        <f>LCI!$E68*impact_process_mid!G17</f>
        <v>0</v>
      </c>
      <c r="H58">
        <f>LCI!$E68*impact_process_mid!H17</f>
        <v>0</v>
      </c>
      <c r="I58">
        <f>LCI!$E68*impact_process_mid!I17</f>
        <v>0</v>
      </c>
      <c r="J58">
        <f>LCI!$E68*impact_process_mid!J17</f>
        <v>0</v>
      </c>
      <c r="K58">
        <f>LCI!$E68*impact_process_mid!K17</f>
        <v>0</v>
      </c>
      <c r="L58">
        <f>LCI!$E68*impact_process_mid!L17</f>
        <v>0</v>
      </c>
      <c r="M58">
        <f>LCI!$E68*impact_process_mid!M17</f>
        <v>0</v>
      </c>
      <c r="N58">
        <f>LCI!$E68*impact_process_mid!N17</f>
        <v>0</v>
      </c>
      <c r="O58">
        <f>LCI!$E68*impact_process_mid!O17</f>
        <v>0</v>
      </c>
      <c r="P58">
        <f>LCI!$E68*impact_process_mid!P17</f>
        <v>0</v>
      </c>
      <c r="Q58">
        <f>LCI!$E68*impact_process_mid!Q17</f>
        <v>1.0742205947315293</v>
      </c>
      <c r="R58">
        <f>LCI!$E68*impact_process_mid!R17</f>
        <v>0</v>
      </c>
      <c r="S58">
        <f>LCI!$E68*impact_process_mid!S17</f>
        <v>0</v>
      </c>
      <c r="T58">
        <f>LCI!$E68*impact_process_mid!T17</f>
        <v>0</v>
      </c>
    </row>
    <row r="59" spans="1:20" x14ac:dyDescent="0.35">
      <c r="B59" t="s">
        <v>114</v>
      </c>
      <c r="C59">
        <f>LCI!$E69*impact_process_mid!C20</f>
        <v>0</v>
      </c>
      <c r="D59">
        <f>LCI!$E69*impact_process_mid!D20</f>
        <v>0</v>
      </c>
      <c r="E59">
        <f>LCI!$E69*impact_process_mid!E20</f>
        <v>0</v>
      </c>
      <c r="F59">
        <f>LCI!$E69*impact_process_mid!F20</f>
        <v>0</v>
      </c>
      <c r="G59">
        <f>LCI!$E69*impact_process_mid!G20</f>
        <v>0</v>
      </c>
      <c r="H59">
        <f>LCI!$E69*impact_process_mid!H20</f>
        <v>0</v>
      </c>
      <c r="I59">
        <f>LCI!$E69*impact_process_mid!I20</f>
        <v>0</v>
      </c>
      <c r="J59">
        <f>LCI!$E69*impact_process_mid!J20</f>
        <v>0.41075115057004674</v>
      </c>
      <c r="K59">
        <f>LCI!$E69*impact_process_mid!K20</f>
        <v>0</v>
      </c>
      <c r="L59">
        <f>LCI!$E69*impact_process_mid!L20</f>
        <v>0</v>
      </c>
      <c r="M59">
        <f>LCI!$E69*impact_process_mid!M20</f>
        <v>0</v>
      </c>
      <c r="N59">
        <f>LCI!$E69*impact_process_mid!N20</f>
        <v>0</v>
      </c>
      <c r="O59">
        <f>LCI!$E69*impact_process_mid!O20</f>
        <v>0</v>
      </c>
      <c r="P59">
        <f>LCI!$E69*impact_process_mid!P20</f>
        <v>0</v>
      </c>
      <c r="Q59">
        <f>LCI!$E69*impact_process_mid!Q20</f>
        <v>0</v>
      </c>
      <c r="R59">
        <f>LCI!$E69*impact_process_mid!R20</f>
        <v>0</v>
      </c>
      <c r="S59">
        <f>LCI!$E69*impact_process_mid!S20</f>
        <v>0</v>
      </c>
      <c r="T59">
        <f>LCI!$E69*impact_process_mid!T20</f>
        <v>0</v>
      </c>
    </row>
    <row r="61" spans="1:20" x14ac:dyDescent="0.35">
      <c r="A61" t="s">
        <v>272</v>
      </c>
    </row>
    <row r="62" spans="1:20" x14ac:dyDescent="0.35">
      <c r="B62" t="s">
        <v>8</v>
      </c>
      <c r="C62">
        <f>LCI!$E73*impact_process_mid!C2</f>
        <v>2.372201395057927E-4</v>
      </c>
      <c r="D62">
        <f>LCI!$E73*impact_process_mid!D2</f>
        <v>0.20815509049763292</v>
      </c>
      <c r="E62">
        <f>LCI!$E73*impact_process_mid!E2</f>
        <v>1.6261651510679084E-2</v>
      </c>
      <c r="F62">
        <f>LCI!$E73*impact_process_mid!F2</f>
        <v>2.0578662695669499E-2</v>
      </c>
      <c r="G62">
        <f>LCI!$E73*impact_process_mid!G2</f>
        <v>1.4872968679499576</v>
      </c>
      <c r="H62">
        <f>LCI!$E73*impact_process_mid!H2</f>
        <v>6.3898348168187805E-2</v>
      </c>
      <c r="I62">
        <f>LCI!$E73*impact_process_mid!I2</f>
        <v>4.0223085564881851E-5</v>
      </c>
      <c r="J62">
        <f>LCI!$E73*impact_process_mid!J2</f>
        <v>3.0320676118055654E-5</v>
      </c>
      <c r="K62">
        <f>LCI!$E73*impact_process_mid!K2</f>
        <v>1.5504931015296151E-2</v>
      </c>
      <c r="L62">
        <f>LCI!$E73*impact_process_mid!L2</f>
        <v>0.33539189812831466</v>
      </c>
      <c r="M62">
        <f>LCI!$E73*impact_process_mid!M2</f>
        <v>1.4419416203587645</v>
      </c>
      <c r="N62">
        <f>LCI!$E73*impact_process_mid!N2</f>
        <v>7.472485897329505E-3</v>
      </c>
      <c r="O62">
        <f>LCI!$E73*impact_process_mid!O2</f>
        <v>4.6469994275361989E-3</v>
      </c>
      <c r="P62">
        <f>LCI!$E73*impact_process_mid!P2</f>
        <v>2.2664366899248392E-7</v>
      </c>
      <c r="Q62">
        <f>LCI!$E73*impact_process_mid!Q2</f>
        <v>1.3157073612953167E-4</v>
      </c>
      <c r="R62">
        <f>LCI!$E73*impact_process_mid!R2</f>
        <v>2.1414434780773169E-4</v>
      </c>
      <c r="S62">
        <f>LCI!$E73*impact_process_mid!S2</f>
        <v>2.3644506995343329E-4</v>
      </c>
      <c r="T62">
        <f>LCI!$E73*impact_process_mid!T2</f>
        <v>8.2186947136511923E-3</v>
      </c>
    </row>
    <row r="64" spans="1:20" x14ac:dyDescent="0.35">
      <c r="A64" t="s">
        <v>285</v>
      </c>
    </row>
    <row r="65" spans="1:20" x14ac:dyDescent="0.35">
      <c r="B65" t="s">
        <v>286</v>
      </c>
    </row>
    <row r="66" spans="1:20" x14ac:dyDescent="0.35">
      <c r="B66" t="s">
        <v>285</v>
      </c>
      <c r="C66">
        <f>LCI!$E78*impact_process_mid!C32</f>
        <v>4.9163445010724338E-4</v>
      </c>
      <c r="D66">
        <f>LCI!$E78*impact_process_mid!D32</f>
        <v>0.16292767130196228</v>
      </c>
      <c r="E66">
        <f>LCI!$E78*impact_process_mid!E32</f>
        <v>9.5983721077711401E-3</v>
      </c>
      <c r="F66">
        <f>LCI!$E78*impact_process_mid!F32</f>
        <v>1.2945184418709179E-2</v>
      </c>
      <c r="G66">
        <f>LCI!$E78*impact_process_mid!G32</f>
        <v>0.60177947855574387</v>
      </c>
      <c r="H66">
        <f>LCI!$E78*impact_process_mid!H32</f>
        <v>2.8703111405288671E-2</v>
      </c>
      <c r="I66">
        <f>LCI!$E78*impact_process_mid!I32</f>
        <v>6.0903086449253126E-4</v>
      </c>
      <c r="J66">
        <f>LCI!$E78*impact_process_mid!J32</f>
        <v>1.8432315658584218E-3</v>
      </c>
      <c r="K66">
        <f>LCI!$E78*impact_process_mid!K32</f>
        <v>1.1257517827850897E-2</v>
      </c>
      <c r="L66">
        <f>LCI!$E78*impact_process_mid!L32</f>
        <v>1.1559975004310001</v>
      </c>
      <c r="M66">
        <f>LCI!$E78*impact_process_mid!M32</f>
        <v>6.514002673276462E-3</v>
      </c>
      <c r="N66">
        <f>LCI!$E78*impact_process_mid!N32</f>
        <v>2.8725168800832149E-3</v>
      </c>
      <c r="O66">
        <f>LCI!$E78*impact_process_mid!O32</f>
        <v>2.2289833307607061E-3</v>
      </c>
      <c r="P66">
        <f>LCI!$E78*impact_process_mid!P32</f>
        <v>6.582196364746225E-7</v>
      </c>
      <c r="Q66">
        <f>LCI!$E78*impact_process_mid!Q32</f>
        <v>2.3323958935843832E-4</v>
      </c>
      <c r="R66">
        <f>LCI!$E78*impact_process_mid!R32</f>
        <v>3.7286575872273666E-4</v>
      </c>
      <c r="S66">
        <f>LCI!$E78*impact_process_mid!S32</f>
        <v>3.8211748456739019E-4</v>
      </c>
      <c r="T66">
        <f>LCI!$E78*impact_process_mid!T32</f>
        <v>1.0074065048425928E-3</v>
      </c>
    </row>
    <row r="68" spans="1:20" x14ac:dyDescent="0.35">
      <c r="A68" t="s">
        <v>287</v>
      </c>
    </row>
    <row r="69" spans="1:20" x14ac:dyDescent="0.35">
      <c r="B69" t="s">
        <v>96</v>
      </c>
      <c r="C69">
        <f>LCI!$E83*impact_process_mid!C11</f>
        <v>0</v>
      </c>
      <c r="D69">
        <f>LCI!$E83*impact_process_mid!D11</f>
        <v>2.9997710836105576</v>
      </c>
      <c r="E69">
        <f>LCI!$E83*impact_process_mid!E11</f>
        <v>0</v>
      </c>
      <c r="F69">
        <f>LCI!$E83*impact_process_mid!F11</f>
        <v>0</v>
      </c>
      <c r="G69">
        <f>LCI!$E83*impact_process_mid!G11</f>
        <v>0</v>
      </c>
      <c r="H69">
        <f>LCI!$E83*impact_process_mid!H11</f>
        <v>0</v>
      </c>
      <c r="I69">
        <f>LCI!$E83*impact_process_mid!I11</f>
        <v>0</v>
      </c>
      <c r="J69">
        <f>LCI!$E83*impact_process_mid!J11</f>
        <v>0</v>
      </c>
      <c r="K69">
        <f>LCI!$E83*impact_process_mid!K11</f>
        <v>0</v>
      </c>
      <c r="L69">
        <f>LCI!$E83*impact_process_mid!L11</f>
        <v>0</v>
      </c>
      <c r="M69">
        <f>LCI!$E83*impact_process_mid!M11</f>
        <v>0</v>
      </c>
      <c r="N69">
        <f>LCI!$E83*impact_process_mid!N11</f>
        <v>0</v>
      </c>
      <c r="O69">
        <f>LCI!$E83*impact_process_mid!O11</f>
        <v>0</v>
      </c>
      <c r="P69">
        <f>LCI!$E83*impact_process_mid!P11</f>
        <v>0</v>
      </c>
      <c r="Q69">
        <f>LCI!$E83*impact_process_mid!Q11</f>
        <v>0</v>
      </c>
      <c r="R69">
        <f>LCI!$E83*impact_process_mid!R11</f>
        <v>0</v>
      </c>
      <c r="S69">
        <f>LCI!$E83*impact_process_mid!S11</f>
        <v>0</v>
      </c>
      <c r="T69">
        <f>LCI!$E83*impact_process_mid!T11</f>
        <v>0</v>
      </c>
    </row>
    <row r="70" spans="1:20" x14ac:dyDescent="0.35">
      <c r="B70" t="s">
        <v>111</v>
      </c>
      <c r="C70">
        <f>LCI!$E84*impact_process_mid!C19</f>
        <v>0</v>
      </c>
      <c r="D70">
        <f>LCI!$E84*impact_process_mid!D19</f>
        <v>18.570947921399704</v>
      </c>
      <c r="E70">
        <f>LCI!$E84*impact_process_mid!E19</f>
        <v>0</v>
      </c>
      <c r="F70">
        <f>LCI!$E84*impact_process_mid!F19</f>
        <v>0</v>
      </c>
      <c r="G70">
        <f>LCI!$E84*impact_process_mid!G19</f>
        <v>0</v>
      </c>
      <c r="H70">
        <f>LCI!$E84*impact_process_mid!H19</f>
        <v>0</v>
      </c>
      <c r="I70">
        <f>LCI!$E84*impact_process_mid!I19</f>
        <v>0</v>
      </c>
      <c r="J70">
        <f>LCI!$E84*impact_process_mid!J19</f>
        <v>0</v>
      </c>
      <c r="K70">
        <f>LCI!$E84*impact_process_mid!K19</f>
        <v>0</v>
      </c>
      <c r="L70">
        <f>LCI!$E84*impact_process_mid!L19</f>
        <v>0</v>
      </c>
      <c r="M70">
        <f>LCI!$E84*impact_process_mid!M19</f>
        <v>0</v>
      </c>
      <c r="N70">
        <f>LCI!$E84*impact_process_mid!N19</f>
        <v>0</v>
      </c>
      <c r="O70">
        <f>LCI!$E84*impact_process_mid!O19</f>
        <v>0</v>
      </c>
      <c r="P70">
        <f>LCI!$E84*impact_process_mid!P19</f>
        <v>6.8550478904495543E-4</v>
      </c>
      <c r="Q70">
        <f>LCI!$E84*impact_process_mid!Q19</f>
        <v>0</v>
      </c>
      <c r="R70">
        <f>LCI!$E84*impact_process_mid!R19</f>
        <v>0</v>
      </c>
      <c r="S70">
        <f>LCI!$E84*impact_process_mid!S19</f>
        <v>0</v>
      </c>
      <c r="T70">
        <f>LCI!$E84*impact_process_mid!T19</f>
        <v>0</v>
      </c>
    </row>
    <row r="71" spans="1:20" x14ac:dyDescent="0.35">
      <c r="B71" t="s">
        <v>110</v>
      </c>
      <c r="C71">
        <f>LCI!$E85*impact_process_mid!C17</f>
        <v>0.39740790902092932</v>
      </c>
      <c r="D71">
        <f>LCI!$E85*impact_process_mid!D17</f>
        <v>0</v>
      </c>
      <c r="E71">
        <f>LCI!$E85*impact_process_mid!E17</f>
        <v>0</v>
      </c>
      <c r="F71">
        <f>LCI!$E85*impact_process_mid!F17</f>
        <v>0</v>
      </c>
      <c r="G71">
        <f>LCI!$E85*impact_process_mid!G17</f>
        <v>0</v>
      </c>
      <c r="H71">
        <f>LCI!$E85*impact_process_mid!H17</f>
        <v>0</v>
      </c>
      <c r="I71">
        <f>LCI!$E85*impact_process_mid!I17</f>
        <v>0</v>
      </c>
      <c r="J71">
        <f>LCI!$E85*impact_process_mid!J17</f>
        <v>0</v>
      </c>
      <c r="K71">
        <f>LCI!$E85*impact_process_mid!K17</f>
        <v>0</v>
      </c>
      <c r="L71">
        <f>LCI!$E85*impact_process_mid!L17</f>
        <v>0</v>
      </c>
      <c r="M71">
        <f>LCI!$E85*impact_process_mid!M17</f>
        <v>0</v>
      </c>
      <c r="N71">
        <f>LCI!$E85*impact_process_mid!N17</f>
        <v>0</v>
      </c>
      <c r="O71">
        <f>LCI!$E85*impact_process_mid!O17</f>
        <v>0</v>
      </c>
      <c r="P71">
        <f>LCI!$E85*impact_process_mid!P17</f>
        <v>0</v>
      </c>
      <c r="Q71">
        <f>LCI!$E85*impact_process_mid!Q17</f>
        <v>4.8662192941338278E-2</v>
      </c>
      <c r="R71">
        <f>LCI!$E85*impact_process_mid!R17</f>
        <v>0</v>
      </c>
      <c r="S71">
        <f>LCI!$E85*impact_process_mid!S17</f>
        <v>0</v>
      </c>
      <c r="T71">
        <f>LCI!$E85*impact_process_mid!T17</f>
        <v>0</v>
      </c>
    </row>
    <row r="72" spans="1:20" x14ac:dyDescent="0.35">
      <c r="B72" t="s">
        <v>288</v>
      </c>
      <c r="C72">
        <f>LCI!$E86*impact_process_mid!C22</f>
        <v>0</v>
      </c>
      <c r="D72">
        <f>LCI!$E86*impact_process_mid!D22</f>
        <v>0</v>
      </c>
      <c r="E72">
        <f>LCI!$E86*impact_process_mid!E22</f>
        <v>0</v>
      </c>
      <c r="F72">
        <f>LCI!$E86*impact_process_mid!F22</f>
        <v>0</v>
      </c>
      <c r="G72">
        <f>LCI!$E86*impact_process_mid!G22</f>
        <v>0</v>
      </c>
      <c r="H72">
        <f>LCI!$E86*impact_process_mid!H22</f>
        <v>0</v>
      </c>
      <c r="I72">
        <f>LCI!$E86*impact_process_mid!I22</f>
        <v>0</v>
      </c>
      <c r="J72">
        <f>LCI!$E86*impact_process_mid!J22</f>
        <v>0</v>
      </c>
      <c r="K72">
        <f>LCI!$E86*impact_process_mid!K22</f>
        <v>0</v>
      </c>
      <c r="L72">
        <f>LCI!$E86*impact_process_mid!L22</f>
        <v>0</v>
      </c>
      <c r="M72">
        <f>LCI!$E86*impact_process_mid!M22</f>
        <v>0</v>
      </c>
      <c r="N72">
        <f>LCI!$E86*impact_process_mid!N22</f>
        <v>0</v>
      </c>
      <c r="O72">
        <f>LCI!$E86*impact_process_mid!O22</f>
        <v>0</v>
      </c>
      <c r="P72">
        <f>LCI!$E86*impact_process_mid!P22</f>
        <v>0</v>
      </c>
      <c r="Q72">
        <f>LCI!$E86*impact_process_mid!Q22</f>
        <v>0</v>
      </c>
      <c r="R72">
        <f>LCI!$E86*impact_process_mid!R22</f>
        <v>7.2206663290195544E-3</v>
      </c>
      <c r="S72">
        <f>LCI!$E86*impact_process_mid!S22</f>
        <v>1.1633295752309281E-2</v>
      </c>
      <c r="T72">
        <f>LCI!$E86*impact_process_mid!T22</f>
        <v>0</v>
      </c>
    </row>
    <row r="73" spans="1:20" x14ac:dyDescent="0.35">
      <c r="B73" t="s">
        <v>123</v>
      </c>
      <c r="C73">
        <f>LCI!$E87*impact_process_mid!C16</f>
        <v>0</v>
      </c>
      <c r="D73">
        <f>LCI!$E87*impact_process_mid!D16</f>
        <v>0</v>
      </c>
      <c r="E73">
        <f>LCI!$E87*impact_process_mid!E16</f>
        <v>0</v>
      </c>
      <c r="F73">
        <f>LCI!$E87*impact_process_mid!F16</f>
        <v>0</v>
      </c>
      <c r="G73">
        <f>LCI!$E87*impact_process_mid!G16</f>
        <v>0</v>
      </c>
      <c r="H73">
        <f>LCI!$E87*impact_process_mid!H16</f>
        <v>0</v>
      </c>
      <c r="I73">
        <f>LCI!$E87*impact_process_mid!I16</f>
        <v>0</v>
      </c>
      <c r="J73">
        <f>LCI!$E87*impact_process_mid!J16</f>
        <v>0</v>
      </c>
      <c r="K73">
        <f>LCI!$E87*impact_process_mid!K16</f>
        <v>0</v>
      </c>
      <c r="L73">
        <f>LCI!$E87*impact_process_mid!L16</f>
        <v>0</v>
      </c>
      <c r="M73">
        <f>LCI!$E87*impact_process_mid!M16</f>
        <v>0</v>
      </c>
      <c r="N73">
        <f>LCI!$E87*impact_process_mid!N16</f>
        <v>0</v>
      </c>
      <c r="O73">
        <f>LCI!$E87*impact_process_mid!O16</f>
        <v>0</v>
      </c>
      <c r="P73">
        <f>LCI!$E87*impact_process_mid!P16</f>
        <v>0</v>
      </c>
      <c r="Q73">
        <f>LCI!$E87*impact_process_mid!Q16</f>
        <v>0</v>
      </c>
      <c r="R73">
        <f>LCI!$E87*impact_process_mid!R16</f>
        <v>0</v>
      </c>
      <c r="S73">
        <f>LCI!$E87*impact_process_mid!S16</f>
        <v>0</v>
      </c>
      <c r="T73">
        <f>LCI!$E87*impact_process_mid!T16</f>
        <v>0</v>
      </c>
    </row>
    <row r="74" spans="1:20" x14ac:dyDescent="0.35">
      <c r="B74" t="s">
        <v>273</v>
      </c>
      <c r="C74">
        <f>LCI!$E89*impact_process_mid!C2</f>
        <v>3.673195374444679E-4</v>
      </c>
      <c r="D74">
        <f>LCI!$E89*impact_process_mid!D2</f>
        <v>0.32231425087933907</v>
      </c>
      <c r="E74">
        <f>LCI!$E89*impact_process_mid!E2</f>
        <v>2.5180080930016963E-2</v>
      </c>
      <c r="F74">
        <f>LCI!$E89*impact_process_mid!F2</f>
        <v>3.1864684332227472E-2</v>
      </c>
      <c r="G74">
        <f>LCI!$E89*impact_process_mid!G2</f>
        <v>2.3029798343266039</v>
      </c>
      <c r="H74">
        <f>LCI!$E89*impact_process_mid!H2</f>
        <v>9.8942323115998182E-2</v>
      </c>
      <c r="I74">
        <f>LCI!$E89*impact_process_mid!I2</f>
        <v>6.228276070936579E-5</v>
      </c>
      <c r="J74">
        <f>LCI!$E89*impact_process_mid!J2</f>
        <v>4.6949541256870243E-5</v>
      </c>
      <c r="K74">
        <f>LCI!$E89*impact_process_mid!K2</f>
        <v>2.4008349799102508E-2</v>
      </c>
      <c r="L74">
        <f>LCI!$E89*impact_process_mid!L2</f>
        <v>0.5193319468565033</v>
      </c>
      <c r="M74">
        <f>LCI!$E89*impact_process_mid!M2</f>
        <v>2.2327502635971359</v>
      </c>
      <c r="N74">
        <f>LCI!$E89*impact_process_mid!N2</f>
        <v>1.1570645178295912E-2</v>
      </c>
      <c r="O74">
        <f>LCI!$E89*impact_process_mid!O2</f>
        <v>7.1955681494134784E-3</v>
      </c>
      <c r="P74">
        <f>LCI!$E89*impact_process_mid!P2</f>
        <v>3.5094257946426758E-7</v>
      </c>
      <c r="Q74">
        <f>LCI!$E89*impact_process_mid!Q2</f>
        <v>2.0372849470964746E-4</v>
      </c>
      <c r="R74">
        <f>LCI!$E89*impact_process_mid!R2</f>
        <v>3.3158821568420195E-4</v>
      </c>
      <c r="S74">
        <f>LCI!$E89*impact_process_mid!S2</f>
        <v>3.6611939402471838E-4</v>
      </c>
      <c r="T74">
        <f>LCI!$E89*impact_process_mid!T2</f>
        <v>1.2726099676464995E-2</v>
      </c>
    </row>
    <row r="75" spans="1:20" x14ac:dyDescent="0.35">
      <c r="B75" t="s">
        <v>289</v>
      </c>
      <c r="C75">
        <f>LCI!$E90*impact_process_mid!C25</f>
        <v>1.3703258551751559E-3</v>
      </c>
      <c r="D75">
        <f>LCI!$E90*impact_process_mid!D25</f>
        <v>0.54137365848310137</v>
      </c>
      <c r="E75">
        <f>LCI!$E90*impact_process_mid!E25</f>
        <v>4.7236992303556439E-3</v>
      </c>
      <c r="F75">
        <f>LCI!$E90*impact_process_mid!F25</f>
        <v>8.4228301662975184E-3</v>
      </c>
      <c r="G75">
        <f>LCI!$E90*impact_process_mid!G25</f>
        <v>1.0815681265751411</v>
      </c>
      <c r="H75">
        <f>LCI!$E90*impact_process_mid!H25</f>
        <v>0.70094492966118405</v>
      </c>
      <c r="I75">
        <f>LCI!$E90*impact_process_mid!I25</f>
        <v>2.9485259650628773E-5</v>
      </c>
      <c r="J75">
        <f>LCI!$E90*impact_process_mid!J25</f>
        <v>5.540980443541912E-5</v>
      </c>
      <c r="K75">
        <f>LCI!$E90*impact_process_mid!K25</f>
        <v>1.9350275011542597E-2</v>
      </c>
      <c r="L75">
        <f>LCI!$E90*impact_process_mid!L25</f>
        <v>0.13813451803024732</v>
      </c>
      <c r="M75">
        <f>LCI!$E90*impact_process_mid!M25</f>
        <v>1.0836476396777017E-2</v>
      </c>
      <c r="N75">
        <f>LCI!$E90*impact_process_mid!N25</f>
        <v>4.7849757574037755E-3</v>
      </c>
      <c r="O75">
        <f>LCI!$E90*impact_process_mid!O25</f>
        <v>1.0270663408573629E-2</v>
      </c>
      <c r="P75">
        <f>LCI!$E90*impact_process_mid!P25</f>
        <v>1.3148492246187335E-7</v>
      </c>
      <c r="Q75">
        <f>LCI!$E90*impact_process_mid!Q25</f>
        <v>4.964108191403483E-4</v>
      </c>
      <c r="R75">
        <f>LCI!$E90*impact_process_mid!R25</f>
        <v>1.4234357515219684E-3</v>
      </c>
      <c r="S75">
        <f>LCI!$E90*impact_process_mid!S25</f>
        <v>1.8046802801800646E-3</v>
      </c>
      <c r="T75">
        <f>LCI!$E90*impact_process_mid!T25</f>
        <v>9.2093423110801086E-4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29</vt:i4>
      </vt:variant>
      <vt:variant>
        <vt:lpstr>Plages nommées</vt:lpstr>
      </vt:variant>
      <vt:variant>
        <vt:i4>5</vt:i4>
      </vt:variant>
    </vt:vector>
  </HeadingPairs>
  <TitlesOfParts>
    <vt:vector size="34" baseType="lpstr">
      <vt:lpstr>LCIA_AD-f</vt:lpstr>
      <vt:lpstr>IW+_end</vt:lpstr>
      <vt:lpstr>LCI_AD-e</vt:lpstr>
      <vt:lpstr>LCI_AD-f</vt:lpstr>
      <vt:lpstr>Waste_characteristics</vt:lpstr>
      <vt:lpstr>Parameters</vt:lpstr>
      <vt:lpstr>LCI</vt:lpstr>
      <vt:lpstr>LCI_AD-d</vt:lpstr>
      <vt:lpstr>params_HC</vt:lpstr>
      <vt:lpstr>LCI_HC</vt:lpstr>
      <vt:lpstr>LCI_AD-a</vt:lpstr>
      <vt:lpstr>LCI_AD-c</vt:lpstr>
      <vt:lpstr>LCI_AD-b</vt:lpstr>
      <vt:lpstr>LCIA_HC</vt:lpstr>
      <vt:lpstr>LCIA_AD-b</vt:lpstr>
      <vt:lpstr>LCIA_AD-c</vt:lpstr>
      <vt:lpstr>LCIA_AD-d</vt:lpstr>
      <vt:lpstr>LCIA_AD-e</vt:lpstr>
      <vt:lpstr>Figures</vt:lpstr>
      <vt:lpstr>IW+f</vt:lpstr>
      <vt:lpstr>LCIA_AD-a</vt:lpstr>
      <vt:lpstr>LCIA_IC</vt:lpstr>
      <vt:lpstr>LCI_IC</vt:lpstr>
      <vt:lpstr>AD_a_end</vt:lpstr>
      <vt:lpstr>impact_process_end</vt:lpstr>
      <vt:lpstr>impact_process_mid</vt:lpstr>
      <vt:lpstr>IW+_mid</vt:lpstr>
      <vt:lpstr>IC_end</vt:lpstr>
      <vt:lpstr>AD_a_mid</vt:lpstr>
      <vt:lpstr>FW_mass</vt:lpstr>
      <vt:lpstr>H2O_FW</vt:lpstr>
      <vt:lpstr>Mass</vt:lpstr>
      <vt:lpstr>mass_VS_FW</vt:lpstr>
      <vt:lpstr>VS_FW</vt:lpstr>
    </vt:vector>
  </TitlesOfParts>
  <Company>UTC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Nomena Ravoahangy</dc:creator>
  <cp:lastModifiedBy>Nomena Ravoahangy</cp:lastModifiedBy>
  <dcterms:created xsi:type="dcterms:W3CDTF">2025-06-17T09:55:48Z</dcterms:created>
  <dcterms:modified xsi:type="dcterms:W3CDTF">2026-02-17T10:51:54Z</dcterms:modified>
</cp:coreProperties>
</file>