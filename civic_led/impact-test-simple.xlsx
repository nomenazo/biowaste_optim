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82698A87-EA68-4FCC-BC5D-DF19B34CF807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6" i="1"/>
  <c r="F18" i="1" s="1"/>
  <c r="E16" i="1"/>
  <c r="E18" i="1" s="1"/>
  <c r="D14" i="1" l="1"/>
  <c r="D13" i="1" l="1"/>
  <c r="D12" i="1"/>
  <c r="D11" i="1"/>
  <c r="D10" i="1"/>
  <c r="D9" i="1"/>
  <c r="D8" i="1"/>
  <c r="D7" i="1"/>
  <c r="D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<sst xmlns="http://schemas.openxmlformats.org/spreadsheetml/2006/main" count="84" uniqueCount="52">
  <si>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</si>
  <si>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</si>
  <si>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</si>
  <si>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</si>
  <si>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</si>
  <si>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</si>
  <si>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</si>
  <si>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</si>
  <si>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</si>
  <si>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</si>
  <si>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</si>
  <si>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</si>
  <si>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</si>
  <si>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</si>
  <si>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</si>
  <si>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</si>
  <si>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</si>
  <si>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</si>
  <si>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</si>
  <si>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</si>
  <si>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</si>
  <si>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</si>
  <si>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</si>
  <si>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</si>
  <si>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</si>
  <si>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</si>
  <si>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</si>
  <si>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</si>
  <si>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</si>
  <si>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</si>
  <si>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</si>
  <si>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</si>
  <si>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</si>
  <si>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</si>
  <si>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</si>
  <si>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</si>
  <si>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</si>
  <si>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</si>
  <si>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</si>
  <si>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</si>
  <si>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</si>
  <si>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</si>
  <si>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</si>
  <si>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</si>
  <si>
    <t>AD-d</t>
  </si>
  <si>
    <t>AD-e</t>
  </si>
  <si>
    <t>AD-f</t>
  </si>
  <si>
    <t>Inc</t>
  </si>
  <si>
    <t>Total ecosystem quality</t>
  </si>
  <si>
    <t>Total human health</t>
  </si>
  <si>
    <t>PDF.m2.yr</t>
  </si>
  <si>
    <t>DALY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</si>
</sst>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H4">
            <v>4.5290827034624787E-7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/>
      <sheetData sheetId="4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zoomScale="80" zoomScaleNormal="80" zoomScaleSheetLayoutView="90" workbookViewId="0">
      <selection activeCell="F14" sqref="F14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5.26953125" customWidth="1"/>
    <col min="5" max="5" width="21.36328125" bestFit="1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</row>
    <row r="2" spans="1:8" x14ac:dyDescent="0.35">
      <c r="C2" t="s">
        <v>19</v>
      </c>
      <c r="D2" t="s">
        <v>20</v>
      </c>
      <c r="E2" t="s">
        <v>50</v>
      </c>
      <c r="F2" t="s">
        <v>51</v>
      </c>
    </row>
    <row r="3" spans="1:8" x14ac:dyDescent="0.35">
      <c r="A3" s="1" t="s">
        <v>5</v>
      </c>
      <c r="B3" t="s">
        <v>4</v>
      </c>
      <c r="C3">
        <v>0.2</v>
      </c>
      <c r="D3">
        <v>2.1149999999999999E-2</v>
      </c>
      <c r="E3">
        <v>0.2</v>
      </c>
      <c r="F3" s="3">
        <v>9.9999999999999995E-7</v>
      </c>
    </row>
    <row r="4" spans="1:8" x14ac:dyDescent="0.35">
      <c r="A4" s="1" t="s">
        <v>35</v>
      </c>
      <c r="B4" t="s">
        <v>4</v>
      </c>
      <c r="C4">
        <v>1</v>
      </c>
      <c r="D4">
        <v>4.6600000000000003E-2</v>
      </c>
      <c r="E4">
        <v>1.5</v>
      </c>
      <c r="F4" s="3">
        <v>1.0000000000000001E-5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v>-300</v>
      </c>
      <c r="D6">
        <f>[2]LCIA_HC!$G$87</f>
        <v>-44.875110315215267</v>
      </c>
      <c r="E6">
        <v>-200</v>
      </c>
      <c r="F6" s="3">
        <v>-2E-3</v>
      </c>
    </row>
    <row r="7" spans="1:8" x14ac:dyDescent="0.35">
      <c r="A7" t="s">
        <v>10</v>
      </c>
      <c r="B7" t="s">
        <v>12</v>
      </c>
      <c r="C7" s="3">
        <v>-250</v>
      </c>
      <c r="D7" s="3">
        <f>[2]LCIA_IC!$G$55</f>
        <v>-23.593895973940484</v>
      </c>
      <c r="E7" s="3">
        <v>-140</v>
      </c>
      <c r="F7" s="3">
        <v>-1.5E-3</v>
      </c>
      <c r="H7" s="3"/>
    </row>
    <row r="8" spans="1:8" x14ac:dyDescent="0.35">
      <c r="A8" t="s">
        <v>7</v>
      </c>
      <c r="B8" t="s">
        <v>12</v>
      </c>
      <c r="C8" s="3">
        <v>-200</v>
      </c>
      <c r="D8" s="3">
        <f>'[2]LCIA_AD-a'!$G$41</f>
        <v>-94.553331071110051</v>
      </c>
      <c r="E8">
        <v>-200</v>
      </c>
      <c r="F8" s="3">
        <v>-1.5E-3</v>
      </c>
    </row>
    <row r="9" spans="1:8" x14ac:dyDescent="0.35">
      <c r="A9" t="s">
        <v>8</v>
      </c>
      <c r="B9" t="s">
        <v>12</v>
      </c>
      <c r="C9" s="3">
        <v>-100</v>
      </c>
      <c r="D9" s="3">
        <f>'[2]LCIA_AD-b'!$G$50</f>
        <v>-48.942552234255018</v>
      </c>
      <c r="E9">
        <v>-210</v>
      </c>
      <c r="F9" s="3">
        <v>-1.6999999999999999E-3</v>
      </c>
    </row>
    <row r="10" spans="1:8" x14ac:dyDescent="0.35">
      <c r="A10" t="s">
        <v>25</v>
      </c>
      <c r="B10" t="s">
        <v>12</v>
      </c>
      <c r="C10" s="3">
        <v>-350</v>
      </c>
      <c r="D10" s="3">
        <f>'[2]LCIA_AD-c'!$G$40</f>
        <v>-76.086351472237894</v>
      </c>
      <c r="E10">
        <v>-190</v>
      </c>
      <c r="F10" s="3">
        <v>-2.5000000000000001E-3</v>
      </c>
    </row>
    <row r="11" spans="1:8" x14ac:dyDescent="0.35">
      <c r="A11" t="s">
        <v>44</v>
      </c>
      <c r="B11" t="s">
        <v>12</v>
      </c>
      <c r="C11" s="3">
        <v>-260</v>
      </c>
      <c r="D11" s="3">
        <f>'[2]LCIA_AD-d'!$G$49</f>
        <v>-30.475572635382854</v>
      </c>
      <c r="E11">
        <v>-200</v>
      </c>
      <c r="F11" s="3">
        <v>-2E-3</v>
      </c>
    </row>
    <row r="12" spans="1:8" x14ac:dyDescent="0.35">
      <c r="A12" t="s">
        <v>45</v>
      </c>
      <c r="B12" t="s">
        <v>12</v>
      </c>
      <c r="C12" s="3">
        <v>-320</v>
      </c>
      <c r="D12" s="3">
        <f>'[2]LCIA_AD-e'!$G$42</f>
        <v>-89.935802993782033</v>
      </c>
      <c r="E12">
        <v>-260</v>
      </c>
      <c r="F12" s="3">
        <v>-3.0000000000000001E-3</v>
      </c>
    </row>
    <row r="13" spans="1:8" x14ac:dyDescent="0.35">
      <c r="A13" t="s">
        <v>46</v>
      </c>
      <c r="B13" t="s">
        <v>12</v>
      </c>
      <c r="C13" s="3">
        <v>-260</v>
      </c>
      <c r="D13" s="3">
        <f>'[2]LCIA_AD-f'!$G$51</f>
        <v>-44.754073148487684</v>
      </c>
      <c r="E13">
        <v>-270</v>
      </c>
      <c r="F13" s="3">
        <v>-2E-3</v>
      </c>
    </row>
    <row r="14" spans="1:8" x14ac:dyDescent="0.35">
      <c r="A14" t="s">
        <v>47</v>
      </c>
      <c r="B14" t="s">
        <v>12</v>
      </c>
      <c r="C14" s="3">
        <v>40</v>
      </c>
      <c r="D14">
        <f>0.0433883343581927*1000</f>
        <v>43.388334358192701</v>
      </c>
      <c r="E14">
        <v>30</v>
      </c>
      <c r="F14" s="3">
        <f>'[1]IW+_end'!$AH$4*1000</f>
        <v>4.5290827034624785E-4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  <c r="E16">
        <f>E3</f>
        <v>0.2</v>
      </c>
      <c r="F16">
        <f>F3</f>
        <v>9.9999999999999995E-7</v>
      </c>
    </row>
    <row r="17" spans="1:6" x14ac:dyDescent="0.35">
      <c r="A17" t="s">
        <v>36</v>
      </c>
      <c r="B17" t="s">
        <v>4</v>
      </c>
      <c r="C17" s="3">
        <v>0</v>
      </c>
      <c r="D17" s="3">
        <v>0</v>
      </c>
      <c r="E17">
        <v>0</v>
      </c>
      <c r="F17">
        <v>0</v>
      </c>
    </row>
    <row r="18" spans="1:6" x14ac:dyDescent="0.35">
      <c r="A18" t="s">
        <v>22</v>
      </c>
      <c r="B18" t="s">
        <v>4</v>
      </c>
      <c r="C18">
        <v>0.23535</v>
      </c>
      <c r="D18">
        <v>2.1149999999999999E-2</v>
      </c>
      <c r="E18">
        <f>E16</f>
        <v>0.2</v>
      </c>
      <c r="F18">
        <f>F16</f>
        <v>9.9999999999999995E-7</v>
      </c>
    </row>
    <row r="19" spans="1:6" x14ac:dyDescent="0.35">
      <c r="A19" t="s">
        <v>23</v>
      </c>
      <c r="B19" t="s">
        <v>13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26</v>
      </c>
      <c r="B21" t="s">
        <v>34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 t="s">
        <v>15</v>
      </c>
    </row>
    <row r="23" spans="1:6" x14ac:dyDescent="0.35">
      <c r="A23" t="s">
        <v>37</v>
      </c>
      <c r="B23" t="s">
        <v>41</v>
      </c>
      <c r="C23">
        <f>'[3]IW+f'!$C$28</f>
        <v>1.5776478677100687</v>
      </c>
      <c r="D23">
        <f>'[3]IW+f'!$G$28</f>
        <v>2.3755902490883187</v>
      </c>
    </row>
    <row r="24" spans="1:6" x14ac:dyDescent="0.35">
      <c r="A24" t="s">
        <v>38</v>
      </c>
      <c r="B24" t="s">
        <v>41</v>
      </c>
      <c r="C24">
        <f>'[3]IW+f'!$C$30</f>
        <v>0.38986915383247311</v>
      </c>
      <c r="D24">
        <f>'[3]IW+f'!$G$30</f>
        <v>0.92484418441705429</v>
      </c>
    </row>
    <row r="25" spans="1:6" x14ac:dyDescent="0.35">
      <c r="A25" t="s">
        <v>39</v>
      </c>
      <c r="B25" t="s">
        <v>41</v>
      </c>
      <c r="C25">
        <f>'[3]IW+f'!$C$29</f>
        <v>0.66714792714666193</v>
      </c>
      <c r="D25">
        <f>'[3]IW+f'!$G$29</f>
        <v>0.31390973645585518</v>
      </c>
    </row>
    <row r="26" spans="1:6" x14ac:dyDescent="0.35">
      <c r="A26" t="s">
        <v>40</v>
      </c>
      <c r="B26" t="s">
        <v>41</v>
      </c>
      <c r="C26" s="3">
        <f>'[3]IW+f'!$C$31</f>
        <v>1.4284515611925735E-2</v>
      </c>
      <c r="D26" s="3">
        <f>'[3]IW+f'!$G$31</f>
        <v>3.2008550717339546E-2</v>
      </c>
    </row>
    <row r="27" spans="1:6" x14ac:dyDescent="0.35">
      <c r="A27" t="s">
        <v>23</v>
      </c>
      <c r="B27" t="s">
        <v>16</v>
      </c>
      <c r="C27">
        <f>'[3]IW+f'!$C$39</f>
        <v>3.1810426802821895E-2</v>
      </c>
      <c r="D27">
        <f>'[3]IW+f'!$G$39</f>
        <v>1.1130534401230463E-2</v>
      </c>
    </row>
    <row r="28" spans="1:6" x14ac:dyDescent="0.35">
      <c r="A28" t="s">
        <v>24</v>
      </c>
      <c r="B28" t="s">
        <v>17</v>
      </c>
      <c r="C28">
        <f>'[3]IW+f'!$C$37</f>
        <v>3.7452427019751884E-2</v>
      </c>
      <c r="D28">
        <f>'[3]IW+f'!$G$37</f>
        <v>1.371409771705601E-2</v>
      </c>
    </row>
    <row r="29" spans="1:6" x14ac:dyDescent="0.35">
      <c r="A29" t="s">
        <v>27</v>
      </c>
      <c r="B29" t="s">
        <v>33</v>
      </c>
      <c r="C29">
        <f>'[3]IW+f'!$C$38</f>
        <v>0.73571240611880662</v>
      </c>
      <c r="D29">
        <f>'[3]IW+f'!$G$38</f>
        <v>7.8893246702014919E-2</v>
      </c>
    </row>
    <row r="30" spans="1:6" x14ac:dyDescent="0.35">
      <c r="A30" s="2" t="s">
        <v>18</v>
      </c>
    </row>
    <row r="31" spans="1:6" x14ac:dyDescent="0.35">
      <c r="A31" t="s">
        <v>36</v>
      </c>
      <c r="B31" t="s">
        <v>42</v>
      </c>
      <c r="C31" s="3">
        <f>[3]LCIA_HC!$C$75</f>
        <v>-320.64976274672284</v>
      </c>
      <c r="D31">
        <v>0</v>
      </c>
    </row>
    <row r="32" spans="1:6" x14ac:dyDescent="0.35">
      <c r="A32" t="s">
        <v>43</v>
      </c>
      <c r="B32" t="s">
        <v>42</v>
      </c>
      <c r="C32" s="3">
        <f>[3]LCIA_IC!$C$43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2026-01-30T16:38:08Z</dcterms:modified>
</cp:coreProperties>
</file>