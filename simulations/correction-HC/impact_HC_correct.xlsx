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EF11B02A-35D1-41FE-9B6A-515D3990E1E5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6" i="1"/>
  <c r="E6" i="1" l="1"/>
  <c r="D6" i="1"/>
  <c r="C6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F7" i="1" l="1"/>
  <c r="G7" i="1"/>
  <c r="F12" i="1" l="1"/>
  <c r="G12" i="1"/>
  <c r="F8" i="1"/>
  <c r="G8" i="1"/>
  <c r="F10" i="1"/>
  <c r="G10" i="1"/>
  <c r="F13" i="1"/>
  <c r="G13" i="1"/>
  <c r="F11" i="1" l="1"/>
  <c r="F9" i="1"/>
  <c r="G11" i="1"/>
  <c r="G9" i="1"/>
  <c r="C3" i="1" l="1"/>
  <c r="C16" i="1" s="1"/>
  <c r="C18" i="1" s="1"/>
  <c r="E14" i="1" l="1"/>
  <c r="D14" i="1"/>
  <c r="E13" i="1"/>
  <c r="D13" i="1"/>
  <c r="E11" i="1"/>
  <c r="D11" i="1"/>
  <c r="E9" i="1"/>
  <c r="D9" i="1"/>
  <c r="E7" i="1"/>
  <c r="D7" i="1"/>
  <c r="E3" i="1"/>
  <c r="D3" i="1"/>
  <c r="D16" i="1" l="1"/>
  <c r="D18" i="1" s="1"/>
  <c r="E16" i="1"/>
  <c r="E18" i="1" s="1"/>
  <c r="C13" i="1"/>
  <c r="C12" i="1"/>
  <c r="C11" i="1"/>
  <c r="C10" i="1"/>
  <c r="C9" i="1"/>
  <c r="C8" i="1"/>
  <c r="C7" i="1"/>
  <c r="C32" i="1" l="1"/>
  <c r="C31" i="1"/>
  <c r="C29" i="1"/>
  <c r="C28" i="1"/>
  <c r="C27" i="1"/>
  <c r="C26" i="1"/>
  <c r="C25" i="1"/>
  <c r="C24" i="1"/>
  <c r="C23" i="1"/>
  <c r="D12" i="1" l="1"/>
  <c r="E12" i="1"/>
  <c r="D8" i="1"/>
  <c r="E8" i="1"/>
  <c r="D10" i="1"/>
  <c r="E10" i="1"/>
</calcChain>
</file>

<file path=xl/sharedStrings.xml><?xml version="1.0" encoding="utf-8"?>
<sst xmlns="http://schemas.openxmlformats.org/spreadsheetml/2006/main" count="86" uniqueCount="51">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</sst>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CA_HC_correc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CA_Carb_HC_corre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impact_car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  <cell r="AH102">
            <v>-2.6351166163328826E-3</v>
          </cell>
        </row>
      </sheetData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  <cell r="AH99">
            <v>-1.6840731926744631E-3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  <cell r="AH80">
            <v>-2.3811602034215446E-3</v>
          </cell>
        </row>
      </sheetData>
      <sheetData sheetId="16">
        <row r="98">
          <cell r="AG98">
            <v>-202.80044861589312</v>
          </cell>
          <cell r="AH98">
            <v>-2.218309376626741E-3</v>
          </cell>
        </row>
      </sheetData>
      <sheetData sheetId="17">
        <row r="83">
          <cell r="AG83">
            <v>-261.40489126028797</v>
          </cell>
          <cell r="AH83">
            <v>-2.7979674431276862E-3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  <cell r="AH81">
            <v>-1.8469240194692669E-3</v>
          </cell>
        </row>
      </sheetData>
      <sheetData sheetId="22">
        <row r="84">
          <cell r="AG84">
            <v>-140.00263317406106</v>
          </cell>
          <cell r="AH84">
            <v>-1.8622953120821183E-3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 refreshError="1"/>
      <sheetData sheetId="1" refreshError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6">
          <cell r="AG46">
            <v>7.0865175841729453</v>
          </cell>
          <cell r="AH46">
            <v>-2.3526145534246868E-4</v>
          </cell>
        </row>
        <row r="87">
          <cell r="C87">
            <v>-8.8273720278716645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26.234953944788906</v>
          </cell>
          <cell r="AH46">
            <v>2.2801483464610157E-5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</row>
      </sheetData>
      <sheetData sheetId="1"/>
      <sheetData sheetId="2">
        <row r="42">
          <cell r="C42">
            <v>-332.61769502520548</v>
          </cell>
        </row>
      </sheetData>
      <sheetData sheetId="3"/>
      <sheetData sheetId="4"/>
      <sheetData sheetId="5">
        <row r="49">
          <cell r="C49">
            <v>-265.33407220943303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</row>
      </sheetData>
      <sheetData sheetId="16">
        <row r="41">
          <cell r="C41">
            <v>-199.91210764074481</v>
          </cell>
        </row>
      </sheetData>
      <sheetData sheetId="17">
        <row r="50">
          <cell r="C50">
            <v>-114.56471032029754</v>
          </cell>
        </row>
      </sheetData>
      <sheetData sheetId="18">
        <row r="40">
          <cell r="C40">
            <v>-350.6814695298803</v>
          </cell>
        </row>
      </sheetData>
      <sheetData sheetId="19"/>
      <sheetData sheetId="20">
        <row r="55">
          <cell r="C55">
            <v>-251.7873595492309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6">
          <cell r="E6">
            <v>-27.638343758325643</v>
          </cell>
        </row>
        <row r="7">
          <cell r="E7">
            <v>4.3987681766360307</v>
          </cell>
          <cell r="F7">
            <v>8.3798391124520249E-5</v>
          </cell>
        </row>
        <row r="8">
          <cell r="E8">
            <v>-20.43202711291886</v>
          </cell>
          <cell r="F8">
            <v>5.0435651618372279E-4</v>
          </cell>
        </row>
        <row r="9">
          <cell r="E9">
            <v>-85.173709174847033</v>
          </cell>
          <cell r="F9">
            <v>-1.1184831714685595E-4</v>
          </cell>
        </row>
        <row r="10">
          <cell r="E10">
            <v>30.877881801331725</v>
          </cell>
          <cell r="F10">
            <v>6.7464991175762885E-4</v>
          </cell>
        </row>
        <row r="11">
          <cell r="E11">
            <v>-33.86380026059642</v>
          </cell>
          <cell r="F11">
            <v>5.8445078427050051E-5</v>
          </cell>
        </row>
        <row r="12">
          <cell r="E12">
            <v>-10.143327117373119</v>
          </cell>
          <cell r="F12">
            <v>5.8827764828211712E-4</v>
          </cell>
        </row>
        <row r="13">
          <cell r="E13">
            <v>-74.885009179301292</v>
          </cell>
          <cell r="F13">
            <v>-2.7927185048461626E-5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G36"/>
  <sheetViews>
    <sheetView tabSelected="1" zoomScale="80" zoomScaleNormal="80" zoomScaleSheetLayoutView="90" workbookViewId="0">
      <selection activeCell="G6" sqref="G6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7.81640625" customWidth="1"/>
    <col min="5" max="5" width="14.1796875" customWidth="1"/>
    <col min="6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</row>
    <row r="2" spans="1:7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7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7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7" x14ac:dyDescent="0.35">
      <c r="A5" s="2" t="s">
        <v>5</v>
      </c>
    </row>
    <row r="6" spans="1:7" x14ac:dyDescent="0.35">
      <c r="A6" t="s">
        <v>8</v>
      </c>
      <c r="B6" t="s">
        <v>11</v>
      </c>
      <c r="C6" s="3">
        <f>[4]LCIA_HC!$C$87</f>
        <v>-8.8273720278716645</v>
      </c>
      <c r="D6" s="3">
        <f>[4]LCIA_HC!$AG$46</f>
        <v>7.0865175841729453</v>
      </c>
      <c r="E6" s="3">
        <f>[4]LCIA_HC!$AH$46</f>
        <v>-2.3526145534246868E-4</v>
      </c>
      <c r="F6" s="3">
        <f>[5]LCIA_HC!$AG$46</f>
        <v>26.234953944788906</v>
      </c>
      <c r="G6" s="3">
        <f>[5]LCIA_HC!$AH$46</f>
        <v>2.2801483464610157E-5</v>
      </c>
    </row>
    <row r="7" spans="1:7" x14ac:dyDescent="0.35">
      <c r="A7" t="s">
        <v>9</v>
      </c>
      <c r="B7" t="s">
        <v>11</v>
      </c>
      <c r="C7" s="3">
        <f>[6]LCIA_IC!$C$55</f>
        <v>-251.7873595492309</v>
      </c>
      <c r="D7" s="3">
        <f>[1]LCIA_IC!$AG$84</f>
        <v>-140.00263317406106</v>
      </c>
      <c r="E7" s="3">
        <f>[1]LCIA_IC!$AH$84</f>
        <v>-1.8622953120821183E-3</v>
      </c>
      <c r="F7">
        <f>[7]Feuil1!E7</f>
        <v>4.3987681766360307</v>
      </c>
      <c r="G7" s="3">
        <f>[7]Feuil1!F7</f>
        <v>8.3798391124520249E-5</v>
      </c>
    </row>
    <row r="8" spans="1:7" x14ac:dyDescent="0.35">
      <c r="A8" t="s">
        <v>6</v>
      </c>
      <c r="B8" t="s">
        <v>11</v>
      </c>
      <c r="C8" s="3">
        <f>'[6]LCIA_AD-a'!$C$41</f>
        <v>-199.91210764074481</v>
      </c>
      <c r="D8">
        <f>'[1]LCIA_AD-a'!$AG$81</f>
        <v>-194.89855950499845</v>
      </c>
      <c r="E8" s="3">
        <f>'[1]LCIA_AD-a'!$AH$81</f>
        <v>-1.8469240194692669E-3</v>
      </c>
      <c r="F8">
        <f>[7]Feuil1!E8</f>
        <v>-20.43202711291886</v>
      </c>
      <c r="G8">
        <f>[7]Feuil1!F8</f>
        <v>5.0435651618372279E-4</v>
      </c>
    </row>
    <row r="9" spans="1:7" x14ac:dyDescent="0.35">
      <c r="A9" t="s">
        <v>7</v>
      </c>
      <c r="B9" t="s">
        <v>11</v>
      </c>
      <c r="C9" s="3">
        <f>'[6]LCIA_AD-b'!$C$50</f>
        <v>-114.56471032029754</v>
      </c>
      <c r="D9">
        <f>'[1]LCIA_AD-b'!$AG$99</f>
        <v>-201.83380910205278</v>
      </c>
      <c r="E9" s="3">
        <f>'[1]LCIA_AD-b'!$AH$99</f>
        <v>-1.6840731926744631E-3</v>
      </c>
      <c r="F9">
        <f>[7]Feuil1!E9</f>
        <v>-85.173709174847033</v>
      </c>
      <c r="G9">
        <f>[7]Feuil1!F9</f>
        <v>-1.1184831714685595E-4</v>
      </c>
    </row>
    <row r="10" spans="1:7" x14ac:dyDescent="0.35">
      <c r="A10" t="s">
        <v>23</v>
      </c>
      <c r="B10" t="s">
        <v>11</v>
      </c>
      <c r="C10" s="3">
        <f>'[6]LCIA_AD-c'!$C$40</f>
        <v>-350.6814695298803</v>
      </c>
      <c r="D10">
        <f>'[1]LCIA_AD-c'!$AG$80</f>
        <v>-195.86519901883881</v>
      </c>
      <c r="E10" s="3">
        <f>'[1]LCIA_AD-c'!$AH$80</f>
        <v>-2.3811602034215446E-3</v>
      </c>
      <c r="F10">
        <f>[7]Feuil1!E10</f>
        <v>30.877881801331725</v>
      </c>
      <c r="G10">
        <f>[7]Feuil1!F10</f>
        <v>6.7464991175762885E-4</v>
      </c>
    </row>
    <row r="11" spans="1:7" x14ac:dyDescent="0.35">
      <c r="A11" t="s">
        <v>41</v>
      </c>
      <c r="B11" t="s">
        <v>11</v>
      </c>
      <c r="C11" s="3">
        <f>'[6]LCIA_AD-d'!$C$49</f>
        <v>-265.33407220943303</v>
      </c>
      <c r="D11">
        <f>'[1]LCIA_AD-d'!$AG$98</f>
        <v>-202.80044861589312</v>
      </c>
      <c r="E11" s="3">
        <f>'[1]LCIA_AD-d'!$AH$98</f>
        <v>-2.218309376626741E-3</v>
      </c>
      <c r="F11">
        <f>[7]Feuil1!E11</f>
        <v>-33.86380026059642</v>
      </c>
      <c r="G11">
        <f>[7]Feuil1!F11</f>
        <v>5.8445078427050051E-5</v>
      </c>
    </row>
    <row r="12" spans="1:7" x14ac:dyDescent="0.35">
      <c r="A12" t="s">
        <v>42</v>
      </c>
      <c r="B12" t="s">
        <v>11</v>
      </c>
      <c r="C12" s="3">
        <f>'[6]LCIA_AD-e'!$C$42</f>
        <v>-332.61769502520548</v>
      </c>
      <c r="D12">
        <f>'[1]LCIA_AD-e'!$AG$83</f>
        <v>-261.40489126028797</v>
      </c>
      <c r="E12" s="3">
        <f>'[1]LCIA_AD-e'!$AH$83</f>
        <v>-2.7979674431276862E-3</v>
      </c>
      <c r="F12">
        <f>[7]Feuil1!E12</f>
        <v>-10.143327117373119</v>
      </c>
      <c r="G12">
        <f>[7]Feuil1!F12</f>
        <v>5.8827764828211712E-4</v>
      </c>
    </row>
    <row r="13" spans="1:7" x14ac:dyDescent="0.35">
      <c r="A13" t="s">
        <v>43</v>
      </c>
      <c r="B13" t="s">
        <v>11</v>
      </c>
      <c r="C13" s="3">
        <f>'[6]LCIA_AD-f'!$C$51</f>
        <v>-267.29345925553793</v>
      </c>
      <c r="D13">
        <f>'[1]LCIA_AD-f'!$AG$102</f>
        <v>-268.34014085734225</v>
      </c>
      <c r="E13" s="3">
        <f>'[1]LCIA_AD-f'!$AH$102</f>
        <v>-2.6351166163328826E-3</v>
      </c>
      <c r="F13">
        <f>[7]Feuil1!E13</f>
        <v>-74.885009179301292</v>
      </c>
      <c r="G13">
        <f>[7]Feuil1!F13</f>
        <v>-2.7927185048461626E-5</v>
      </c>
    </row>
    <row r="14" spans="1:7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>
        <f>'[2]IW+_end'!$AC$4*1000</f>
        <v>15.113032530720021</v>
      </c>
      <c r="G14">
        <f>'[2]IW+_end'!$AD$4*1000</f>
        <v>2.2042254192680734E-4</v>
      </c>
    </row>
    <row r="15" spans="1:7" x14ac:dyDescent="0.35">
      <c r="A15" s="2" t="s">
        <v>10</v>
      </c>
    </row>
    <row r="16" spans="1:7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'[8]IW+f'!$C$28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'[8]IW+f'!$C$30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'[8]IW+f'!$C$29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'[8]IW+f'!$C$31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'[8]IW+f'!$C$39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'[8]IW+f'!$C$37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'[8]IW+f'!$C$38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[8]LCIA_HC!$C$75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[8]LCIA_IC!$C$43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2026-02-25T15:29:10Z</dcterms:modified>
</cp:coreProperties>
</file>