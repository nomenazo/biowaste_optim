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-HC\"/>
    </mc:Choice>
  </mc:AlternateContent>
  <xr:revisionPtr revIDLastSave="0" documentId="13_ncr:1_{C06CE516-0938-4D64-A37E-982FEF60C4DE}" xr6:coauthVersionLast="36" xr6:coauthVersionMax="36" xr10:uidLastSave="{00000000-0000-0000-0000-000000000000}"/>
  <bookViews>
    <workbookView xWindow="0" yWindow="0" windowWidth="19200" windowHeight="635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O4" i="1" l="1"/>
  <c r="AO5" i="1"/>
  <c r="AO6" i="1"/>
  <c r="AO7" i="1"/>
  <c r="AO8" i="1"/>
  <c r="AO9" i="1"/>
  <c r="AO3" i="1"/>
  <c r="AN9" i="1"/>
  <c r="AM9" i="1"/>
  <c r="AL9" i="1"/>
  <c r="AK9" i="1"/>
  <c r="AN8" i="1"/>
  <c r="AM8" i="1"/>
  <c r="AL8" i="1"/>
  <c r="AK8" i="1"/>
  <c r="AN7" i="1"/>
  <c r="AM7" i="1"/>
  <c r="AL7" i="1"/>
  <c r="AK7" i="1"/>
  <c r="AN6" i="1"/>
  <c r="AM6" i="1"/>
  <c r="AL6" i="1"/>
  <c r="AK6" i="1"/>
  <c r="AN5" i="1"/>
  <c r="AM5" i="1"/>
  <c r="AL5" i="1"/>
  <c r="AK5" i="1"/>
  <c r="AN4" i="1"/>
  <c r="AM4" i="1"/>
  <c r="AL4" i="1"/>
  <c r="AK4" i="1"/>
  <c r="AN3" i="1"/>
  <c r="AM3" i="1"/>
  <c r="AL3" i="1"/>
  <c r="AK3" i="1"/>
</calcChain>
</file>

<file path=xl/sharedStrings.xml><?xml version="1.0" encoding="utf-8"?>
<sst xmlns="http://schemas.openxmlformats.org/spreadsheetml/2006/main" count="56" uniqueCount="46">
  <si>
    <t>HC</t>
  </si>
  <si>
    <t>IC</t>
  </si>
  <si>
    <t>AD-b</t>
  </si>
  <si>
    <t>AD-c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</si>
  <si>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</si>
  <si>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</si>
  <si>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</si>
  <si>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</si>
  <si>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</si>
  <si>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</si>
  <si>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</si>
  <si>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</si>
  <si>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</si>
  <si>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</si>
  <si>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</si>
  <si>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</si>
  <si>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</si>
  <si>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</si>
  <si>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</si>
  <si>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</si>
  <si>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</si>
  <si>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</si>
  <si>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</si>
  <si>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</si>
  <si>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</si>
  <si>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</si>
  <si>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</si>
  <si>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</si>
  <si>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</si>
  <si>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</si>
  <si>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</si>
  <si>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</si>
  <si>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</si>
  <si>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</si>
  <si>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</si>
  <si>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</si>
  <si>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</si>
  <si>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</si>
  <si>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</si>
  <si>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</si>
  <si>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</si>
  <si>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</si>
  <si>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</si>
  <si>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</si>
  <si>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AD-cog-comp</t>
  </si>
  <si>
    <t>AD-biomet-dig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</si>
</sst>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results!$AK$2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results!$AK$3:$AK$9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0-4CF8-B0CC-A5CFDCD9B1A4}"/>
            </c:ext>
          </c:extLst>
        </c:ser>
        <c:ser>
          <c:idx val="1"/>
          <c:order val="1"/>
          <c:tx>
            <c:strRef>
              <c:f>results!$AL$2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results!$AL$3:$AL$9</c:f>
              <c:numCache>
                <c:formatCode>General</c:formatCode>
                <c:ptCount val="7"/>
                <c:pt idx="0">
                  <c:v>22.07</c:v>
                </c:pt>
                <c:pt idx="1">
                  <c:v>0</c:v>
                </c:pt>
                <c:pt idx="2">
                  <c:v>22.07</c:v>
                </c:pt>
                <c:pt idx="3">
                  <c:v>0</c:v>
                </c:pt>
                <c:pt idx="4">
                  <c:v>0</c:v>
                </c:pt>
                <c:pt idx="5">
                  <c:v>100</c:v>
                </c:pt>
                <c:pt idx="6">
                  <c:v>6.49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D0-4CF8-B0CC-A5CFDCD9B1A4}"/>
            </c:ext>
          </c:extLst>
        </c:ser>
        <c:ser>
          <c:idx val="2"/>
          <c:order val="2"/>
          <c:tx>
            <c:strRef>
              <c:f>results!$AM$2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results!$AM$3:$AM$9</c:f>
              <c:numCache>
                <c:formatCode>General</c:formatCode>
                <c:ptCount val="7"/>
                <c:pt idx="0">
                  <c:v>0</c:v>
                </c:pt>
                <c:pt idx="1">
                  <c:v>93.51</c:v>
                </c:pt>
                <c:pt idx="2">
                  <c:v>0</c:v>
                </c:pt>
                <c:pt idx="3">
                  <c:v>22.07</c:v>
                </c:pt>
                <c:pt idx="4">
                  <c:v>93.51</c:v>
                </c:pt>
                <c:pt idx="5">
                  <c:v>0</c:v>
                </c:pt>
                <c:pt idx="6">
                  <c:v>93.51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D0-4CF8-B0CC-A5CFDCD9B1A4}"/>
            </c:ext>
          </c:extLst>
        </c:ser>
        <c:ser>
          <c:idx val="3"/>
          <c:order val="3"/>
          <c:tx>
            <c:strRef>
              <c:f>results!$AN$2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results!$AN$3:$AN$9</c:f>
              <c:numCache>
                <c:formatCode>General</c:formatCode>
                <c:ptCount val="7"/>
                <c:pt idx="0">
                  <c:v>77.930000000000007</c:v>
                </c:pt>
                <c:pt idx="1">
                  <c:v>6.49</c:v>
                </c:pt>
                <c:pt idx="2">
                  <c:v>77.930000000000007</c:v>
                </c:pt>
                <c:pt idx="3">
                  <c:v>77.930000000000007</c:v>
                </c:pt>
                <c:pt idx="4">
                  <c:v>6.49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D0-4CF8-B0CC-A5CFDCD9B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4369600"/>
        <c:axId val="81164335"/>
      </c:barChart>
      <c:catAx>
        <c:axId val="115436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164335"/>
        <c:crosses val="autoZero"/>
        <c:auto val="1"/>
        <c:lblAlgn val="ctr"/>
        <c:lblOffset val="100"/>
        <c:noMultiLvlLbl val="0"/>
      </c:catAx>
      <c:valAx>
        <c:axId val="8116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436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533398</xdr:colOff>
      <xdr:row>11</xdr:row>
      <xdr:rowOff>87312</xdr:rowOff>
    </xdr:from>
    <xdr:to>
      <xdr:col>36</xdr:col>
      <xdr:colOff>609599</xdr:colOff>
      <xdr:row>29</xdr:row>
      <xdr:rowOff>66675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D8F7E9B-7BAD-40CD-B7AE-876ECEB54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"/>
  <sheetViews>
    <sheetView tabSelected="1" topLeftCell="R1" workbookViewId="0">
      <selection activeCell="AR18" sqref="AR18"/>
    </sheetView>
  </sheetViews>
  <sheetFormatPr baseColWidth="10" defaultColWidth="8.7265625" defaultRowHeight="14.5" x14ac:dyDescent="0.35"/>
  <sheetData>
    <row r="1" spans="1:41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6"/>
      <c r="AB1" s="2" t="s">
        <v>2</v>
      </c>
      <c r="AC1" s="5" t="s">
        <v>3</v>
      </c>
      <c r="AD1" s="7"/>
      <c r="AE1" s="7"/>
      <c r="AF1" s="7"/>
      <c r="AG1" s="7"/>
      <c r="AH1" s="6"/>
    </row>
    <row r="2" spans="1:41" ht="15.5" customHeight="1" x14ac:dyDescent="0.35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J2" s="2" t="s">
        <v>4</v>
      </c>
      <c r="AK2" t="s">
        <v>0</v>
      </c>
      <c r="AL2" t="s">
        <v>1</v>
      </c>
      <c r="AM2" t="s">
        <v>44</v>
      </c>
      <c r="AN2" t="s">
        <v>45</v>
      </c>
    </row>
    <row r="3" spans="1:41" x14ac:dyDescent="0.35">
      <c r="A3" s="1">
        <v>0</v>
      </c>
      <c r="B3" t="s">
        <v>37</v>
      </c>
      <c r="C3">
        <v>0.6</v>
      </c>
      <c r="AA3">
        <v>22.07</v>
      </c>
      <c r="AC3" s="3">
        <v>77.930000000000007</v>
      </c>
      <c r="AD3" s="4">
        <v>-818093.70361632097</v>
      </c>
      <c r="AE3" s="4">
        <v>-393131.57978474197</v>
      </c>
      <c r="AF3" s="4">
        <v>-5.000279529603894</v>
      </c>
      <c r="AG3" s="4">
        <v>163042.81900663199</v>
      </c>
      <c r="AH3" s="4">
        <v>2.4952662973280328</v>
      </c>
      <c r="AJ3" t="s">
        <v>37</v>
      </c>
      <c r="AK3">
        <f>SUM(D3:Y3)</f>
        <v>0</v>
      </c>
      <c r="AL3">
        <f>SUM(Z3:AA3)</f>
        <v>22.07</v>
      </c>
      <c r="AM3">
        <f>AB3</f>
        <v>0</v>
      </c>
      <c r="AN3">
        <f>AC3</f>
        <v>77.930000000000007</v>
      </c>
      <c r="AO3">
        <f>SUM(AK3:AN3)</f>
        <v>100</v>
      </c>
    </row>
    <row r="4" spans="1:41" x14ac:dyDescent="0.35">
      <c r="A4" s="1">
        <v>1</v>
      </c>
      <c r="B4" t="s">
        <v>38</v>
      </c>
      <c r="C4">
        <v>0.6</v>
      </c>
      <c r="AB4" s="3">
        <v>93.51</v>
      </c>
      <c r="AC4" s="3">
        <v>6.49</v>
      </c>
      <c r="AD4" s="4">
        <v>-206547.64447281981</v>
      </c>
      <c r="AE4" s="4">
        <v>-472723.10069549771</v>
      </c>
      <c r="AF4" s="4">
        <v>-3.4813193291665132</v>
      </c>
      <c r="AG4" s="4">
        <v>-175282.76632134159</v>
      </c>
      <c r="AH4" s="4">
        <v>0.52727472817421117</v>
      </c>
      <c r="AJ4" t="s">
        <v>38</v>
      </c>
      <c r="AK4">
        <f t="shared" ref="AK4:AK9" si="0">SUM(D4:Y4)</f>
        <v>0</v>
      </c>
      <c r="AL4">
        <f t="shared" ref="AL4:AL9" si="1">SUM(Z4:AA4)</f>
        <v>0</v>
      </c>
      <c r="AM4">
        <f t="shared" ref="AM4:AN9" si="2">AB4</f>
        <v>93.51</v>
      </c>
      <c r="AN4">
        <f t="shared" si="2"/>
        <v>6.49</v>
      </c>
      <c r="AO4">
        <f t="shared" ref="AO4:AO9" si="3">SUM(AK4:AN4)</f>
        <v>100</v>
      </c>
    </row>
    <row r="5" spans="1:41" x14ac:dyDescent="0.35">
      <c r="A5" s="1">
        <v>2</v>
      </c>
      <c r="B5" t="s">
        <v>39</v>
      </c>
      <c r="C5">
        <v>0.6</v>
      </c>
      <c r="AA5">
        <v>22.07</v>
      </c>
      <c r="AC5" s="3">
        <v>77.930000000000007</v>
      </c>
      <c r="AD5" s="4">
        <v>-818093.70361632097</v>
      </c>
      <c r="AE5" s="4">
        <v>-393131.57978474197</v>
      </c>
      <c r="AF5" s="4">
        <v>-5.000279529603894</v>
      </c>
      <c r="AG5" s="4">
        <v>163042.81900663199</v>
      </c>
      <c r="AH5" s="4">
        <v>2.4952662973280328</v>
      </c>
      <c r="AJ5" t="s">
        <v>39</v>
      </c>
      <c r="AK5">
        <f t="shared" si="0"/>
        <v>0</v>
      </c>
      <c r="AL5">
        <f t="shared" si="1"/>
        <v>22.07</v>
      </c>
      <c r="AM5">
        <f t="shared" si="2"/>
        <v>0</v>
      </c>
      <c r="AN5">
        <f t="shared" si="2"/>
        <v>77.930000000000007</v>
      </c>
      <c r="AO5">
        <f t="shared" si="3"/>
        <v>100</v>
      </c>
    </row>
    <row r="6" spans="1:41" x14ac:dyDescent="0.35">
      <c r="A6" s="1">
        <v>3</v>
      </c>
      <c r="B6" t="s">
        <v>40</v>
      </c>
      <c r="C6">
        <v>0.6</v>
      </c>
      <c r="AB6" s="3">
        <v>22.07</v>
      </c>
      <c r="AC6" s="3">
        <v>77.930000000000007</v>
      </c>
      <c r="AD6" s="4">
        <v>-721123.90716989816</v>
      </c>
      <c r="AE6" s="4">
        <v>-437095.04996141582</v>
      </c>
      <c r="AF6" s="4">
        <v>-4.8756795012192589</v>
      </c>
      <c r="AG6" s="4">
        <v>99537.154556529626</v>
      </c>
      <c r="AH6" s="4">
        <v>2.3564966604137632</v>
      </c>
      <c r="AJ6" t="s">
        <v>40</v>
      </c>
      <c r="AK6">
        <f t="shared" si="0"/>
        <v>0</v>
      </c>
      <c r="AL6">
        <f t="shared" si="1"/>
        <v>0</v>
      </c>
      <c r="AM6">
        <f t="shared" si="2"/>
        <v>22.07</v>
      </c>
      <c r="AN6">
        <f t="shared" si="2"/>
        <v>77.930000000000007</v>
      </c>
      <c r="AO6">
        <f t="shared" si="3"/>
        <v>100</v>
      </c>
    </row>
    <row r="7" spans="1:41" x14ac:dyDescent="0.35">
      <c r="A7" s="1">
        <v>4</v>
      </c>
      <c r="B7" t="s">
        <v>41</v>
      </c>
      <c r="C7">
        <v>0.6</v>
      </c>
      <c r="AB7" s="3">
        <v>93.51</v>
      </c>
      <c r="AC7" s="3">
        <v>6.49</v>
      </c>
      <c r="AD7" s="4">
        <v>-206547.64447281981</v>
      </c>
      <c r="AE7" s="4">
        <v>-472723.10069549771</v>
      </c>
      <c r="AF7" s="4">
        <v>-3.4813193291665132</v>
      </c>
      <c r="AG7" s="4">
        <v>-175282.76632134159</v>
      </c>
      <c r="AH7" s="4">
        <v>0.52727472817421117</v>
      </c>
      <c r="AJ7" t="s">
        <v>41</v>
      </c>
      <c r="AK7">
        <f t="shared" si="0"/>
        <v>0</v>
      </c>
      <c r="AL7">
        <f t="shared" si="1"/>
        <v>0</v>
      </c>
      <c r="AM7">
        <f t="shared" si="2"/>
        <v>93.51</v>
      </c>
      <c r="AN7">
        <f t="shared" si="2"/>
        <v>6.49</v>
      </c>
      <c r="AO7">
        <f t="shared" si="3"/>
        <v>100</v>
      </c>
    </row>
    <row r="8" spans="1:41" x14ac:dyDescent="0.35">
      <c r="A8" s="1">
        <v>5</v>
      </c>
      <c r="B8" t="s">
        <v>42</v>
      </c>
      <c r="C8">
        <v>0.6</v>
      </c>
      <c r="Z8" s="3">
        <v>12.64</v>
      </c>
      <c r="AA8">
        <v>87.36</v>
      </c>
      <c r="AD8" s="4">
        <v>-598443.87065936555</v>
      </c>
      <c r="AE8" s="4">
        <v>-276275.10280052898</v>
      </c>
      <c r="AF8" s="4">
        <v>-3.914218080882633</v>
      </c>
      <c r="AG8" s="4">
        <v>87649.014450924733</v>
      </c>
      <c r="AH8" s="4">
        <v>0.99037633251015689</v>
      </c>
      <c r="AJ8" t="s">
        <v>42</v>
      </c>
      <c r="AK8">
        <f t="shared" si="0"/>
        <v>0</v>
      </c>
      <c r="AL8">
        <f t="shared" si="1"/>
        <v>100</v>
      </c>
      <c r="AM8">
        <f t="shared" si="2"/>
        <v>0</v>
      </c>
      <c r="AN8">
        <f t="shared" si="2"/>
        <v>0</v>
      </c>
      <c r="AO8">
        <f t="shared" si="3"/>
        <v>100</v>
      </c>
    </row>
    <row r="9" spans="1:41" x14ac:dyDescent="0.35">
      <c r="A9" s="1">
        <v>6</v>
      </c>
      <c r="B9" t="s">
        <v>43</v>
      </c>
      <c r="C9">
        <v>0.6</v>
      </c>
      <c r="Z9" s="3">
        <v>5.14</v>
      </c>
      <c r="AA9">
        <v>1.35</v>
      </c>
      <c r="AB9" s="3">
        <v>93.51</v>
      </c>
      <c r="AD9" s="4">
        <v>-187749.62716954219</v>
      </c>
      <c r="AE9" s="4">
        <v>-462573.42160036502</v>
      </c>
      <c r="AF9" s="4">
        <v>-3.3870031280894</v>
      </c>
      <c r="AG9" s="4">
        <v>-181393.0198997132</v>
      </c>
      <c r="AH9" s="4">
        <v>0.4024562924109919</v>
      </c>
      <c r="AJ9" t="s">
        <v>43</v>
      </c>
      <c r="AK9">
        <f t="shared" si="0"/>
        <v>0</v>
      </c>
      <c r="AL9">
        <f t="shared" si="1"/>
        <v>6.49</v>
      </c>
      <c r="AM9">
        <f t="shared" si="2"/>
        <v>93.51</v>
      </c>
      <c r="AN9">
        <f t="shared" si="2"/>
        <v>0</v>
      </c>
      <c r="AO9">
        <f t="shared" si="3"/>
        <v>100</v>
      </c>
    </row>
  </sheetData>
  <mergeCells count="4">
    <mergeCell ref="B1:C1"/>
    <mergeCell ref="D1:Y1"/>
    <mergeCell ref="Z1:AA1"/>
    <mergeCell ref="AC1:A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2026-02-09T22:06:12Z</dcterms:created>
  <dcterms:modified xsi:type="dcterms:W3CDTF">2026-02-17T11:30:46Z</dcterms:modified>
</cp:coreProperties>
</file>