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"/>
    </mc:Choice>
  </mc:AlternateContent>
  <xr:revisionPtr revIDLastSave="0" documentId="13_ncr:1_{FA70CB75-1661-4509-B14A-1312559F86D5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externalReferences>
    <externalReference r:id="rId2"/>
  </externalReferences>
  <calcPr calcId="191029"/>
</workbook>
</file>

<file path=xl/calcChain.xml><?xml version="1.0" encoding="utf-8"?>
<calcChain xmlns="http://schemas.openxmlformats.org/spreadsheetml/2006/main">
  <c r="CN4" i="1" l="1"/>
  <c r="CN5" i="1"/>
  <c r="CN3" i="1"/>
  <c r="CM4" i="1"/>
  <c r="CM5" i="1"/>
  <c r="CM3" i="1"/>
  <c r="CL4" i="1"/>
  <c r="CL5" i="1"/>
  <c r="CL3" i="1"/>
  <c r="CK4" i="1"/>
  <c r="CK5" i="1"/>
  <c r="CK3" i="1"/>
  <c r="CJ4" i="1"/>
  <c r="CJ5" i="1"/>
  <c r="CJ3" i="1"/>
  <c r="CI4" i="1"/>
  <c r="CI5" i="1"/>
  <c r="CI3" i="1"/>
  <c r="CH4" i="1"/>
  <c r="CH5" i="1"/>
  <c r="CH3" i="1"/>
  <c r="CG4" i="1"/>
  <c r="CG5" i="1"/>
  <c r="CG3" i="1"/>
  <c r="CD4" i="1"/>
  <c r="CD5" i="1"/>
  <c r="CD3" i="1"/>
  <c r="CC4" i="1"/>
  <c r="CC5" i="1"/>
  <c r="CC3" i="1"/>
  <c r="CB4" i="1"/>
  <c r="CB5" i="1"/>
  <c r="CB3" i="1"/>
  <c r="CA4" i="1"/>
  <c r="CA5" i="1"/>
  <c r="CA3" i="1"/>
  <c r="BZ4" i="1"/>
  <c r="BZ5" i="1"/>
  <c r="BZ3" i="1"/>
  <c r="BY4" i="1"/>
  <c r="BY5" i="1"/>
  <c r="BY3" i="1"/>
  <c r="BX4" i="1"/>
  <c r="BX5" i="1"/>
  <c r="BX3" i="1"/>
  <c r="BW4" i="1"/>
  <c r="BW5" i="1"/>
  <c r="BW3" i="1"/>
  <c r="BT4" i="1"/>
  <c r="BT5" i="1"/>
  <c r="BT3" i="1"/>
  <c r="BS4" i="1"/>
  <c r="BS5" i="1"/>
  <c r="BS3" i="1"/>
  <c r="BR4" i="1"/>
  <c r="BR5" i="1"/>
  <c r="BR3" i="1"/>
  <c r="BQ4" i="1"/>
  <c r="BQ5" i="1"/>
  <c r="BQ3" i="1"/>
  <c r="BP4" i="1"/>
  <c r="BP5" i="1"/>
  <c r="BP3" i="1"/>
  <c r="BO4" i="1"/>
  <c r="BO5" i="1"/>
  <c r="BO3" i="1"/>
  <c r="BN4" i="1"/>
  <c r="BN5" i="1"/>
  <c r="BN3" i="1"/>
  <c r="BM4" i="1"/>
  <c r="BM5" i="1"/>
  <c r="BM3" i="1"/>
  <c r="BD5" i="1"/>
  <c r="BE5" i="1"/>
  <c r="BF5" i="1"/>
  <c r="BG5" i="1"/>
  <c r="BH5" i="1"/>
  <c r="BI5" i="1"/>
  <c r="BJ5" i="1"/>
  <c r="BD4" i="1"/>
  <c r="BE4" i="1"/>
  <c r="BF4" i="1"/>
  <c r="BG4" i="1"/>
  <c r="BH4" i="1"/>
  <c r="BI4" i="1"/>
  <c r="BJ4" i="1"/>
  <c r="BD3" i="1"/>
  <c r="BE3" i="1"/>
  <c r="BF3" i="1"/>
  <c r="BG3" i="1"/>
  <c r="BH3" i="1"/>
  <c r="BI3" i="1"/>
  <c r="BJ3" i="1"/>
  <c r="BC4" i="1"/>
  <c r="BC5" i="1"/>
  <c r="BC3" i="1"/>
  <c r="AY9" i="1" l="1"/>
  <c r="AX9" i="1"/>
  <c r="AW9" i="1"/>
  <c r="AV9" i="1"/>
  <c r="AU9" i="1"/>
  <c r="AT9" i="1"/>
  <c r="AS9" i="1"/>
  <c r="AR9" i="1"/>
  <c r="AZ9" i="1" s="1"/>
  <c r="AY8" i="1"/>
  <c r="AX8" i="1"/>
  <c r="AW8" i="1"/>
  <c r="AV8" i="1"/>
  <c r="AU8" i="1"/>
  <c r="AT8" i="1"/>
  <c r="AS8" i="1"/>
  <c r="AR8" i="1"/>
  <c r="AZ8" i="1" s="1"/>
  <c r="AY7" i="1"/>
  <c r="AX7" i="1"/>
  <c r="AW7" i="1"/>
  <c r="AV7" i="1"/>
  <c r="AU7" i="1"/>
  <c r="AT7" i="1"/>
  <c r="AS7" i="1"/>
  <c r="AR7" i="1"/>
  <c r="AZ7" i="1" s="1"/>
  <c r="AY6" i="1"/>
  <c r="AX6" i="1"/>
  <c r="AW6" i="1"/>
  <c r="AV6" i="1"/>
  <c r="AU6" i="1"/>
  <c r="AT6" i="1"/>
  <c r="AS6" i="1"/>
  <c r="AR6" i="1"/>
  <c r="AZ6" i="1" s="1"/>
  <c r="AY5" i="1"/>
  <c r="AX5" i="1"/>
  <c r="AW5" i="1"/>
  <c r="AV5" i="1"/>
  <c r="AU5" i="1"/>
  <c r="AT5" i="1"/>
  <c r="AS5" i="1"/>
  <c r="AR5" i="1"/>
  <c r="AZ5" i="1" s="1"/>
  <c r="AY4" i="1"/>
  <c r="AX4" i="1"/>
  <c r="AW4" i="1"/>
  <c r="AV4" i="1"/>
  <c r="AU4" i="1"/>
  <c r="AT4" i="1"/>
  <c r="AS4" i="1"/>
  <c r="AR4" i="1"/>
  <c r="AZ4" i="1" s="1"/>
  <c r="AY3" i="1"/>
  <c r="AX3" i="1"/>
  <c r="AW3" i="1"/>
  <c r="AV3" i="1"/>
  <c r="AU3" i="1"/>
  <c r="AT3" i="1"/>
  <c r="AS3" i="1"/>
  <c r="AR3" i="1"/>
  <c r="AZ3" i="1" s="1"/>
</calcChain>
</file>

<file path=xl/sharedStrings.xml><?xml version="1.0" encoding="utf-8"?>
<sst xmlns="http://schemas.openxmlformats.org/spreadsheetml/2006/main" count="125" uniqueCount="60">
  <si>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</si>
  <si>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</si>
  <si>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</si>
  <si>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</si>
  <si>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</si>
  <si>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</si>
  <si>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</si>
  <si>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</si>
  <si>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</si>
  <si>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</si>
  <si>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</si>
  <si>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</si>
  <si>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</si>
  <si>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</si>
  <si>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</si>
  <si>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</si>
  <si>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</si>
  <si>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</si>
  <si>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</si>
  <si>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</si>
  <si>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</si>
  <si>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</si>
  <si>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</si>
  <si>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</si>
  <si>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</si>
  <si>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</si>
  <si>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</si>
  <si>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</si>
  <si>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</si>
  <si>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</si>
  <si>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</si>
  <si>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</si>
  <si>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</si>
  <si>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</si>
  <si>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</si>
  <si>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</si>
  <si>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</si>
  <si>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</si>
  <si>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</si>
  <si>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</si>
  <si>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</si>
  <si>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</si>
  <si>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</si>
  <si>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</si>
  <si>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</si>
  <si>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</si>
  <si>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</si>
  <si>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</si>
  <si>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</si>
  <si>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</si>
  <si>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</si>
  <si>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</si>
  <si>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</si>
  <si>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</si>
  <si>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</si>
  <si>
    <t>minCC</t>
  </si>
  <si>
    <t>Quantité totale</t>
  </si>
  <si>
    <t>Total waste</t>
  </si>
  <si>
    <t>Sorting</t>
  </si>
  <si>
    <t>Climate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</si>
</sst>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results!$AR$3:$AR$5</c:f>
              <c:numCache>
                <c:formatCode>General</c:formatCode>
                <c:ptCount val="3"/>
                <c:pt idx="0">
                  <c:v>6.5</c:v>
                </c:pt>
                <c:pt idx="1">
                  <c:v>0</c:v>
                </c:pt>
                <c:pt idx="2">
                  <c:v>1.29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7D-4EE4-AF54-C039F96A8AAA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results!$AS$3:$AS$5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7D-4EE4-AF54-C039F96A8AAA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results!$AT$3:$AT$5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7D-4EE4-AF54-C039F96A8AAA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results!$AU$3:$AU$5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7D-4EE4-AF54-C039F96A8AAA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results!$AV$3:$AV$5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7D-4EE4-AF54-C039F96A8AAA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results!$AW$3:$AW$5</c:f>
              <c:numCache>
                <c:formatCode>General</c:formatCode>
                <c:ptCount val="3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7D-4EE4-AF54-C039F96A8AAA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results!$AX$3:$AX$5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7D-4EE4-AF54-C039F96A8AAA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results!$AQ$3:$AQ$5</c:f>
              <c:strCache>
                <c:ptCount val="3"/>
                <c:pt idx="0">
                  <c:v>minCC</c:v>
                </c:pt>
                <c:pt idx="1">
                  <c:v>minEQ</c:v>
                </c:pt>
                <c:pt idx="2">
                  <c:v>minHH</c:v>
                </c:pt>
              </c:strCache>
            </c:strRef>
          </c:cat>
          <c:val>
            <c:numRef>
              <c:f>results!$AY$3:$AY$5</c:f>
              <c:numCache>
                <c:formatCode>General</c:formatCode>
                <c:ptCount val="3"/>
                <c:pt idx="0">
                  <c:v>0</c:v>
                </c:pt>
                <c:pt idx="1">
                  <c:v>100</c:v>
                </c:pt>
                <c:pt idx="2">
                  <c:v>98.71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7D-4EE4-AF54-C039F96A8A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4409263"/>
        <c:axId val="259521583"/>
      </c:barChart>
      <c:catAx>
        <c:axId val="33440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59521583"/>
        <c:crosses val="autoZero"/>
        <c:auto val="1"/>
        <c:lblAlgn val="ctr"/>
        <c:lblOffset val="100"/>
        <c:noMultiLvlLbl val="0"/>
      </c:catAx>
      <c:valAx>
        <c:axId val="25952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3440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446088</xdr:colOff>
      <xdr:row>7</xdr:row>
      <xdr:rowOff>103187</xdr:rowOff>
    </xdr:from>
    <xdr:to>
      <xdr:col>31</xdr:col>
      <xdr:colOff>188912</xdr:colOff>
      <xdr:row>22</xdr:row>
      <xdr:rowOff>131763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8FFA2E3-896B-4BAE-9DE5-C73B3D4E8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ction_peat_market/impact_brut_2%20-%20Copi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</sheetNames>
    <sheetDataSet>
      <sheetData sheetId="0">
        <row r="6">
          <cell r="I6">
            <v>34.264521044421535</v>
          </cell>
          <cell r="J6">
            <v>45.531422488575686</v>
          </cell>
          <cell r="K6">
            <v>1.5340506341983027E-4</v>
          </cell>
        </row>
        <row r="7">
          <cell r="I7">
            <v>35.421319139716672</v>
          </cell>
          <cell r="J7">
            <v>48.310093052891858</v>
          </cell>
          <cell r="K7">
            <v>2.6573392590665515E-4</v>
          </cell>
        </row>
        <row r="8">
          <cell r="I8">
            <v>130.89983518703079</v>
          </cell>
          <cell r="J8">
            <v>34.934198842188046</v>
          </cell>
          <cell r="K8">
            <v>4.3575177867047175E-4</v>
          </cell>
        </row>
        <row r="9">
          <cell r="I9">
            <v>115.03586225244955</v>
          </cell>
          <cell r="J9">
            <v>44.143274255280637</v>
          </cell>
          <cell r="K9">
            <v>5.0297485870563373E-4</v>
          </cell>
        </row>
        <row r="10">
          <cell r="I10">
            <v>166.06528020235362</v>
          </cell>
          <cell r="J10">
            <v>76.859354005042192</v>
          </cell>
          <cell r="K10">
            <v>6.3197861038764738E-4</v>
          </cell>
        </row>
        <row r="11">
          <cell r="I11">
            <v>150.20130726777239</v>
          </cell>
          <cell r="J11">
            <v>86.06842941813477</v>
          </cell>
          <cell r="K11">
            <v>6.9920169042280941E-4</v>
          </cell>
        </row>
        <row r="12">
          <cell r="I12">
            <v>100.41025697281384</v>
          </cell>
          <cell r="J12">
            <v>36.829284813246559</v>
          </cell>
          <cell r="K12">
            <v>4.1647733163269646E-4</v>
          </cell>
        </row>
        <row r="13">
          <cell r="I13">
            <v>84.546284038232599</v>
          </cell>
          <cell r="J13">
            <v>46.038360226339158</v>
          </cell>
          <cell r="K13">
            <v>4.8370041166785849E-4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12"/>
  <sheetViews>
    <sheetView tabSelected="1" topLeftCell="AA1" zoomScale="80" zoomScaleNormal="80" workbookViewId="0">
      <selection activeCell="AK3" sqref="AK3"/>
    </sheetView>
  </sheetViews>
  <sheetFormatPr baseColWidth="10" defaultColWidth="8.7265625" defaultRowHeight="14.5" x14ac:dyDescent="0.35"/>
  <cols>
    <col min="37" max="37" width="15.81640625" customWidth="1"/>
    <col min="38" max="40" width="9.54296875" bestFit="1" customWidth="1"/>
    <col min="64" max="64" width="15.54296875" bestFit="1" customWidth="1"/>
    <col min="65" max="66" width="8.81640625" bestFit="1" customWidth="1"/>
    <col min="67" max="67" width="11" bestFit="1" customWidth="1"/>
    <col min="68" max="68" width="13.08984375" bestFit="1" customWidth="1"/>
    <col min="69" max="69" width="14.54296875" bestFit="1" customWidth="1"/>
    <col min="70" max="70" width="16.90625" bestFit="1" customWidth="1"/>
    <col min="71" max="71" width="12.26953125" bestFit="1" customWidth="1"/>
    <col min="72" max="72" width="11.1796875" customWidth="1"/>
    <col min="74" max="74" width="7.453125" bestFit="1" customWidth="1"/>
    <col min="75" max="76" width="8.81640625" bestFit="1" customWidth="1"/>
    <col min="77" max="77" width="11" bestFit="1" customWidth="1"/>
    <col min="78" max="78" width="13.08984375" bestFit="1" customWidth="1"/>
    <col min="79" max="79" width="14.54296875" bestFit="1" customWidth="1"/>
    <col min="80" max="80" width="16.90625" bestFit="1" customWidth="1"/>
    <col min="81" max="81" width="12.26953125" bestFit="1" customWidth="1"/>
    <col min="82" max="82" width="14.26953125" bestFit="1" customWidth="1"/>
    <col min="83" max="83" width="8.90625" customWidth="1"/>
    <col min="90" max="90" width="9.54296875" bestFit="1" customWidth="1"/>
    <col min="92" max="92" width="14.26953125" bestFit="1" customWidth="1"/>
  </cols>
  <sheetData>
    <row r="1" spans="1:92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10"/>
      <c r="AB1" s="9"/>
      <c r="AC1" s="2" t="s">
        <v>2</v>
      </c>
      <c r="AD1" s="8" t="s">
        <v>3</v>
      </c>
      <c r="AE1" s="9"/>
      <c r="AF1" s="8" t="s">
        <v>4</v>
      </c>
      <c r="AG1" s="9"/>
      <c r="AH1" s="2" t="s">
        <v>5</v>
      </c>
      <c r="AI1" s="2" t="s">
        <v>6</v>
      </c>
      <c r="AJ1" s="5" t="s">
        <v>7</v>
      </c>
      <c r="AK1" s="6"/>
      <c r="AL1" s="6"/>
      <c r="AM1" s="6"/>
      <c r="AN1" s="6"/>
      <c r="AO1" s="7"/>
      <c r="BB1" t="s">
        <v>56</v>
      </c>
      <c r="BL1" t="s">
        <v>59</v>
      </c>
      <c r="BV1" t="s">
        <v>38</v>
      </c>
      <c r="CF1" t="s">
        <v>39</v>
      </c>
    </row>
    <row r="2" spans="1:9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Q2" t="s">
        <v>8</v>
      </c>
      <c r="AR2" t="s">
        <v>0</v>
      </c>
      <c r="AS2" t="s">
        <v>1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BB2" t="s">
        <v>8</v>
      </c>
      <c r="BC2" t="s">
        <v>0</v>
      </c>
      <c r="BD2" t="s">
        <v>1</v>
      </c>
      <c r="BE2" t="s">
        <v>49</v>
      </c>
      <c r="BF2" t="s">
        <v>50</v>
      </c>
      <c r="BG2" t="s">
        <v>51</v>
      </c>
      <c r="BH2" t="s">
        <v>52</v>
      </c>
      <c r="BI2" t="s">
        <v>53</v>
      </c>
      <c r="BJ2" t="s">
        <v>54</v>
      </c>
      <c r="BL2" t="s">
        <v>8</v>
      </c>
      <c r="BM2" t="s">
        <v>0</v>
      </c>
      <c r="BN2" t="s">
        <v>1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54</v>
      </c>
      <c r="BV2" t="s">
        <v>8</v>
      </c>
      <c r="BW2" t="s">
        <v>0</v>
      </c>
      <c r="BX2" t="s">
        <v>1</v>
      </c>
      <c r="BY2" t="s">
        <v>49</v>
      </c>
      <c r="BZ2" t="s">
        <v>50</v>
      </c>
      <c r="CA2" t="s">
        <v>51</v>
      </c>
      <c r="CB2" t="s">
        <v>52</v>
      </c>
      <c r="CC2" t="s">
        <v>53</v>
      </c>
      <c r="CD2" t="s">
        <v>54</v>
      </c>
      <c r="CF2" t="s">
        <v>8</v>
      </c>
      <c r="CG2" t="s">
        <v>0</v>
      </c>
      <c r="CH2" t="s">
        <v>1</v>
      </c>
      <c r="CI2" t="s">
        <v>49</v>
      </c>
      <c r="CJ2" t="s">
        <v>50</v>
      </c>
      <c r="CK2" t="s">
        <v>51</v>
      </c>
      <c r="CL2" t="s">
        <v>52</v>
      </c>
      <c r="CM2" t="s">
        <v>53</v>
      </c>
      <c r="CN2" t="s">
        <v>54</v>
      </c>
    </row>
    <row r="3" spans="1:9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H3" s="3">
        <v>93.51</v>
      </c>
      <c r="AK3" s="4">
        <v>-651101.69874275697</v>
      </c>
      <c r="AL3" s="4">
        <v>-479036.53667522129</v>
      </c>
      <c r="AM3" s="4">
        <v>-5.0996868266494699</v>
      </c>
      <c r="AN3" s="4">
        <v>-34562.503224742322</v>
      </c>
      <c r="AO3" s="4">
        <v>0.88092441684732015</v>
      </c>
      <c r="AQ3" t="s">
        <v>55</v>
      </c>
      <c r="AR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0</v>
      </c>
      <c r="AW3">
        <f>AH3</f>
        <v>93.51</v>
      </c>
      <c r="AX3">
        <f>AI3</f>
        <v>0</v>
      </c>
      <c r="AY3">
        <f>AJ3</f>
        <v>0</v>
      </c>
      <c r="AZ3">
        <f>SUM(AR3:AY3)</f>
        <v>100.01</v>
      </c>
      <c r="BB3" t="s">
        <v>55</v>
      </c>
      <c r="BC3">
        <f>$AR$11*$AR$12*AR3/100</f>
        <v>208.53299999999999</v>
      </c>
      <c r="BD3">
        <f t="shared" ref="BD3:BJ5" si="0">$AR$11*$AR$12*AS3/100</f>
        <v>0</v>
      </c>
      <c r="BE3">
        <f t="shared" si="0"/>
        <v>0</v>
      </c>
      <c r="BF3">
        <f t="shared" si="0"/>
        <v>0</v>
      </c>
      <c r="BG3">
        <f t="shared" si="0"/>
        <v>0</v>
      </c>
      <c r="BH3">
        <f t="shared" si="0"/>
        <v>2999.9878200000003</v>
      </c>
      <c r="BI3">
        <f t="shared" si="0"/>
        <v>0</v>
      </c>
      <c r="BJ3">
        <f t="shared" si="0"/>
        <v>0</v>
      </c>
      <c r="BL3" t="s">
        <v>55</v>
      </c>
      <c r="BM3" s="4">
        <f>BC3*[1]Feuil1!$I$6</f>
        <v>7145.2833669563552</v>
      </c>
      <c r="BN3" s="4">
        <f>BD3*[1]Feuil1!$I$7</f>
        <v>0</v>
      </c>
      <c r="BO3" s="4">
        <f>BE3*[1]Feuil1!$I$8</f>
        <v>0</v>
      </c>
      <c r="BP3" s="4">
        <f>BF3*[1]Feuil1!$I$9</f>
        <v>0</v>
      </c>
      <c r="BQ3" s="4">
        <f>BG3*[1]Feuil1!$I$10</f>
        <v>0</v>
      </c>
      <c r="BR3" s="4">
        <f>BH3*[1]Feuil1!$I$11</f>
        <v>450602.09235139471</v>
      </c>
      <c r="BS3" s="4">
        <f>BI3*[1]Feuil1!$I$12</f>
        <v>0</v>
      </c>
      <c r="BT3" s="4">
        <f>BJ3*[1]Feuil1!$I$13</f>
        <v>0</v>
      </c>
      <c r="BV3" t="s">
        <v>55</v>
      </c>
      <c r="BW3" s="4">
        <f>BC3*[1]Feuil1!$J$6</f>
        <v>9494.804125810153</v>
      </c>
      <c r="BX3" s="4">
        <f>BD3*[1]Feuil1!$J$7</f>
        <v>0</v>
      </c>
      <c r="BY3" s="4">
        <f>BE3*[1]Feuil1!$J$8</f>
        <v>0</v>
      </c>
      <c r="BZ3" s="4">
        <f>BF3*[1]Feuil1!$J$9</f>
        <v>0</v>
      </c>
      <c r="CA3" s="4">
        <f>BG3*[1]Feuil1!$J$10</f>
        <v>0</v>
      </c>
      <c r="CB3" s="4">
        <f>BH3*[1]Feuil1!$J$11</f>
        <v>258204.23994093403</v>
      </c>
      <c r="CC3" s="4">
        <f>BI3*[1]Feuil1!$J$12</f>
        <v>0</v>
      </c>
      <c r="CD3" s="4">
        <f>BJ3*[1]Feuil1!$J$13</f>
        <v>0</v>
      </c>
      <c r="CF3" t="s">
        <v>55</v>
      </c>
      <c r="CG3" s="4">
        <f>BC3*[1]Feuil1!$K$6</f>
        <v>3.1990018090127463E-2</v>
      </c>
      <c r="CH3" s="4">
        <f>BD3*[1]Feuil1!$K$7</f>
        <v>0</v>
      </c>
      <c r="CI3" s="4">
        <f>BE3*[1]Feuil1!$K$8</f>
        <v>0</v>
      </c>
      <c r="CJ3" s="4">
        <f>BF3*[1]Feuil1!$K$9</f>
        <v>0</v>
      </c>
      <c r="CK3" s="4">
        <f>BG3*[1]Feuil1!$K$10</f>
        <v>0</v>
      </c>
      <c r="CL3" s="4">
        <f>BH3*[1]Feuil1!$K$11</f>
        <v>2.0975965549918389</v>
      </c>
      <c r="CM3" s="4">
        <f>BI3*[1]Feuil1!$K$12</f>
        <v>0</v>
      </c>
      <c r="CN3" s="4">
        <f>[1]Feuil1!$K$13*BJ3</f>
        <v>0</v>
      </c>
    </row>
    <row r="4" spans="1:92" x14ac:dyDescent="0.35">
      <c r="A4" s="1">
        <v>1</v>
      </c>
      <c r="B4" t="s">
        <v>43</v>
      </c>
      <c r="C4">
        <v>0.6</v>
      </c>
      <c r="AJ4" s="3">
        <v>100</v>
      </c>
      <c r="AK4" s="4">
        <v>-579266.27008729789</v>
      </c>
      <c r="AL4" s="4">
        <v>-684134.54392147798</v>
      </c>
      <c r="AM4" s="4">
        <v>-6.3517927378926764</v>
      </c>
      <c r="AN4" s="4">
        <v>-165147.24454810651</v>
      </c>
      <c r="AO4" s="4">
        <v>0.63665305931573202</v>
      </c>
      <c r="AQ4" t="s">
        <v>43</v>
      </c>
      <c r="AR4">
        <f t="shared" ref="AR4:AR9" si="1">SUM(D4:Y4)</f>
        <v>0</v>
      </c>
      <c r="AS4">
        <f t="shared" ref="AS4:AS9" si="2">SUM(Z4:AB4)</f>
        <v>0</v>
      </c>
      <c r="AT4">
        <f t="shared" ref="AT4:AT9" si="3">AC4</f>
        <v>0</v>
      </c>
      <c r="AU4">
        <f t="shared" ref="AU4:AU9" si="4">SUM(AD4:AE4)</f>
        <v>0</v>
      </c>
      <c r="AV4">
        <f t="shared" ref="AV4:AV9" si="5">SUM(AF4:AG4)</f>
        <v>0</v>
      </c>
      <c r="AW4">
        <f t="shared" ref="AW4:AY9" si="6">AH4</f>
        <v>0</v>
      </c>
      <c r="AX4">
        <f t="shared" si="6"/>
        <v>0</v>
      </c>
      <c r="AY4">
        <f t="shared" si="6"/>
        <v>100</v>
      </c>
      <c r="AZ4">
        <f t="shared" ref="AZ4:AZ9" si="7">SUM(AR4:AY4)</f>
        <v>100</v>
      </c>
      <c r="BB4" t="s">
        <v>43</v>
      </c>
      <c r="BC4">
        <f t="shared" ref="BC4:BC5" si="8">$AR$11*$AR$12*AR4/100</f>
        <v>0</v>
      </c>
      <c r="BD4">
        <f t="shared" si="0"/>
        <v>0</v>
      </c>
      <c r="BE4">
        <f t="shared" si="0"/>
        <v>0</v>
      </c>
      <c r="BF4">
        <f t="shared" si="0"/>
        <v>0</v>
      </c>
      <c r="BG4">
        <f t="shared" si="0"/>
        <v>0</v>
      </c>
      <c r="BH4">
        <f t="shared" si="0"/>
        <v>0</v>
      </c>
      <c r="BI4">
        <f t="shared" si="0"/>
        <v>0</v>
      </c>
      <c r="BJ4">
        <f t="shared" si="0"/>
        <v>3208.2</v>
      </c>
      <c r="BL4" t="s">
        <v>43</v>
      </c>
      <c r="BM4" s="4">
        <f>BC4*[1]Feuil1!$I$6</f>
        <v>0</v>
      </c>
      <c r="BN4" s="4">
        <f>BD4*[1]Feuil1!$I$7</f>
        <v>0</v>
      </c>
      <c r="BO4" s="4">
        <f>BE4*[1]Feuil1!$I$8</f>
        <v>0</v>
      </c>
      <c r="BP4" s="4">
        <f>BF4*[1]Feuil1!$I$9</f>
        <v>0</v>
      </c>
      <c r="BQ4" s="4">
        <f>BG4*[1]Feuil1!$I$10</f>
        <v>0</v>
      </c>
      <c r="BR4" s="4">
        <f>BH4*[1]Feuil1!$I$11</f>
        <v>0</v>
      </c>
      <c r="BS4" s="4">
        <f>BI4*[1]Feuil1!$I$12</f>
        <v>0</v>
      </c>
      <c r="BT4" s="4">
        <f>BJ4*[1]Feuil1!$I$13</f>
        <v>271241.38845145784</v>
      </c>
      <c r="BV4" t="s">
        <v>43</v>
      </c>
      <c r="BW4" s="4">
        <f>BC4*[1]Feuil1!$J$6</f>
        <v>0</v>
      </c>
      <c r="BX4" s="4">
        <f>BD4*[1]Feuil1!$J$7</f>
        <v>0</v>
      </c>
      <c r="BY4" s="4">
        <f>BE4*[1]Feuil1!$J$8</f>
        <v>0</v>
      </c>
      <c r="BZ4" s="4">
        <f>BF4*[1]Feuil1!$J$9</f>
        <v>0</v>
      </c>
      <c r="CA4" s="4">
        <f>BG4*[1]Feuil1!$J$10</f>
        <v>0</v>
      </c>
      <c r="CB4" s="4">
        <f>BH4*[1]Feuil1!$J$11</f>
        <v>0</v>
      </c>
      <c r="CC4" s="4">
        <f>BI4*[1]Feuil1!$J$12</f>
        <v>0</v>
      </c>
      <c r="CD4" s="4">
        <f>BJ4*[1]Feuil1!$J$13</f>
        <v>147700.26727814128</v>
      </c>
      <c r="CF4" t="s">
        <v>43</v>
      </c>
      <c r="CG4" s="4">
        <f>BC4*[1]Feuil1!$K$6</f>
        <v>0</v>
      </c>
      <c r="CH4" s="4">
        <f>BD4*[1]Feuil1!$K$7</f>
        <v>0</v>
      </c>
      <c r="CI4" s="4">
        <f>BE4*[1]Feuil1!$K$8</f>
        <v>0</v>
      </c>
      <c r="CJ4" s="4">
        <f>BF4*[1]Feuil1!$K$9</f>
        <v>0</v>
      </c>
      <c r="CK4" s="4">
        <f>BG4*[1]Feuil1!$K$10</f>
        <v>0</v>
      </c>
      <c r="CL4" s="4">
        <f>BH4*[1]Feuil1!$K$11</f>
        <v>0</v>
      </c>
      <c r="CM4" s="4">
        <f>BI4*[1]Feuil1!$K$12</f>
        <v>0</v>
      </c>
      <c r="CN4" s="4">
        <f>[1]Feuil1!$K$13*BJ4</f>
        <v>1.5518076607128235</v>
      </c>
    </row>
    <row r="5" spans="1:92" x14ac:dyDescent="0.35">
      <c r="A5" s="1">
        <v>2</v>
      </c>
      <c r="B5" t="s">
        <v>44</v>
      </c>
      <c r="C5">
        <v>0.6</v>
      </c>
      <c r="I5">
        <v>1.29</v>
      </c>
      <c r="AJ5" s="3">
        <v>98.71</v>
      </c>
      <c r="AK5" s="4">
        <v>-583481.79089703155</v>
      </c>
      <c r="AL5" s="4">
        <v>-683048.02951931697</v>
      </c>
      <c r="AM5" s="4">
        <v>-6.3578543683243343</v>
      </c>
      <c r="AN5" s="4">
        <v>-163891.8494255149</v>
      </c>
      <c r="AO5" s="4">
        <v>0.63214948940507365</v>
      </c>
      <c r="AQ5" t="s">
        <v>44</v>
      </c>
      <c r="AR5">
        <f t="shared" si="1"/>
        <v>1.29</v>
      </c>
      <c r="AS5">
        <f t="shared" si="2"/>
        <v>0</v>
      </c>
      <c r="AT5">
        <f t="shared" si="3"/>
        <v>0</v>
      </c>
      <c r="AU5">
        <f t="shared" si="4"/>
        <v>0</v>
      </c>
      <c r="AV5">
        <f t="shared" si="5"/>
        <v>0</v>
      </c>
      <c r="AW5">
        <f t="shared" si="6"/>
        <v>0</v>
      </c>
      <c r="AX5">
        <f t="shared" si="6"/>
        <v>0</v>
      </c>
      <c r="AY5">
        <f t="shared" si="6"/>
        <v>98.71</v>
      </c>
      <c r="AZ5">
        <f t="shared" si="7"/>
        <v>100</v>
      </c>
      <c r="BB5" t="s">
        <v>44</v>
      </c>
      <c r="BC5">
        <f t="shared" si="8"/>
        <v>41.385779999999997</v>
      </c>
      <c r="BD5">
        <f t="shared" si="0"/>
        <v>0</v>
      </c>
      <c r="BE5">
        <f t="shared" si="0"/>
        <v>0</v>
      </c>
      <c r="BF5">
        <f t="shared" si="0"/>
        <v>0</v>
      </c>
      <c r="BG5">
        <f t="shared" si="0"/>
        <v>0</v>
      </c>
      <c r="BH5">
        <f t="shared" si="0"/>
        <v>0</v>
      </c>
      <c r="BI5">
        <f t="shared" si="0"/>
        <v>0</v>
      </c>
      <c r="BJ5">
        <f t="shared" si="0"/>
        <v>3166.8142199999998</v>
      </c>
      <c r="BL5" t="s">
        <v>44</v>
      </c>
      <c r="BM5" s="4">
        <f>BC5*[1]Feuil1!$I$6</f>
        <v>1418.0639297497999</v>
      </c>
      <c r="BN5" s="4">
        <f>BD5*[1]Feuil1!$I$7</f>
        <v>0</v>
      </c>
      <c r="BO5" s="4">
        <f>BE5*[1]Feuil1!$I$8</f>
        <v>0</v>
      </c>
      <c r="BP5" s="4">
        <f>BF5*[1]Feuil1!$I$9</f>
        <v>0</v>
      </c>
      <c r="BQ5" s="4">
        <f>BG5*[1]Feuil1!$I$10</f>
        <v>0</v>
      </c>
      <c r="BR5" s="4">
        <f>BH5*[1]Feuil1!$I$11</f>
        <v>0</v>
      </c>
      <c r="BS5" s="4">
        <f>BI5*[1]Feuil1!$I$12</f>
        <v>0</v>
      </c>
      <c r="BT5" s="4">
        <f>BJ5*[1]Feuil1!$I$13</f>
        <v>267742.37454043399</v>
      </c>
      <c r="BV5" t="s">
        <v>44</v>
      </c>
      <c r="BW5" s="4">
        <f>BC5*[1]Feuil1!$J$6</f>
        <v>1884.3534341992456</v>
      </c>
      <c r="BX5" s="4">
        <f>BD5*[1]Feuil1!$J$7</f>
        <v>0</v>
      </c>
      <c r="BY5" s="4">
        <f>BE5*[1]Feuil1!$J$8</f>
        <v>0</v>
      </c>
      <c r="BZ5" s="4">
        <f>BF5*[1]Feuil1!$J$9</f>
        <v>0</v>
      </c>
      <c r="CA5" s="4">
        <f>BG5*[1]Feuil1!$J$10</f>
        <v>0</v>
      </c>
      <c r="CB5" s="4">
        <f>BH5*[1]Feuil1!$J$11</f>
        <v>0</v>
      </c>
      <c r="CC5" s="4">
        <f>BI5*[1]Feuil1!$J$12</f>
        <v>0</v>
      </c>
      <c r="CD5" s="4">
        <f>BJ5*[1]Feuil1!$J$13</f>
        <v>145794.93383025326</v>
      </c>
      <c r="CF5" t="s">
        <v>44</v>
      </c>
      <c r="CG5" s="4">
        <f>BC5*[1]Feuil1!$K$6</f>
        <v>6.3487882055791424E-3</v>
      </c>
      <c r="CH5" s="4">
        <f>BD5*[1]Feuil1!$K$7</f>
        <v>0</v>
      </c>
      <c r="CI5" s="4">
        <f>BE5*[1]Feuil1!$K$8</f>
        <v>0</v>
      </c>
      <c r="CJ5" s="4">
        <f>BF5*[1]Feuil1!$K$9</f>
        <v>0</v>
      </c>
      <c r="CK5" s="4">
        <f>BG5*[1]Feuil1!$K$10</f>
        <v>0</v>
      </c>
      <c r="CL5" s="4">
        <f>BH5*[1]Feuil1!$K$11</f>
        <v>0</v>
      </c>
      <c r="CM5" s="4">
        <f>BI5*[1]Feuil1!$K$12</f>
        <v>0</v>
      </c>
      <c r="CN5" s="4">
        <f>[1]Feuil1!$K$13*BJ5</f>
        <v>1.531789341889628</v>
      </c>
    </row>
    <row r="6" spans="1:92" x14ac:dyDescent="0.35">
      <c r="A6" s="1">
        <v>3</v>
      </c>
      <c r="B6" t="s">
        <v>45</v>
      </c>
      <c r="C6">
        <v>0.6</v>
      </c>
      <c r="AJ6" s="3">
        <v>100</v>
      </c>
      <c r="AK6" s="4">
        <v>-579266.27008729789</v>
      </c>
      <c r="AL6" s="4">
        <v>-684134.54392147821</v>
      </c>
      <c r="AM6" s="4">
        <v>-6.3517927378926764</v>
      </c>
      <c r="AN6" s="4">
        <v>-165147.24454810651</v>
      </c>
      <c r="AO6" s="4">
        <v>0.63665305931573202</v>
      </c>
      <c r="AQ6" t="s">
        <v>45</v>
      </c>
      <c r="AR6">
        <f t="shared" si="1"/>
        <v>0</v>
      </c>
      <c r="AS6">
        <f t="shared" si="2"/>
        <v>0</v>
      </c>
      <c r="AT6">
        <f t="shared" si="3"/>
        <v>0</v>
      </c>
      <c r="AU6">
        <f t="shared" si="4"/>
        <v>0</v>
      </c>
      <c r="AV6">
        <f t="shared" si="5"/>
        <v>0</v>
      </c>
      <c r="AW6">
        <f t="shared" si="6"/>
        <v>0</v>
      </c>
      <c r="AX6">
        <f t="shared" si="6"/>
        <v>0</v>
      </c>
      <c r="AY6">
        <f t="shared" si="6"/>
        <v>100</v>
      </c>
      <c r="AZ6">
        <f t="shared" si="7"/>
        <v>100</v>
      </c>
      <c r="CG6" s="4"/>
    </row>
    <row r="7" spans="1:92" x14ac:dyDescent="0.35">
      <c r="A7" s="1">
        <v>4</v>
      </c>
      <c r="B7" t="s">
        <v>46</v>
      </c>
      <c r="C7">
        <v>0.6</v>
      </c>
      <c r="I7">
        <v>1.29</v>
      </c>
      <c r="AJ7" s="3">
        <v>98.71</v>
      </c>
      <c r="AK7" s="4">
        <v>-583481.79089703155</v>
      </c>
      <c r="AL7" s="4">
        <v>-683048.02951931697</v>
      </c>
      <c r="AM7" s="4">
        <v>-6.3578543683243343</v>
      </c>
      <c r="AN7" s="4">
        <v>-163891.8494255149</v>
      </c>
      <c r="AO7" s="4">
        <v>0.63214948940507365</v>
      </c>
      <c r="AQ7" t="s">
        <v>46</v>
      </c>
      <c r="AR7">
        <f t="shared" si="1"/>
        <v>1.29</v>
      </c>
      <c r="AS7">
        <f t="shared" si="2"/>
        <v>0</v>
      </c>
      <c r="AT7">
        <f t="shared" si="3"/>
        <v>0</v>
      </c>
      <c r="AU7">
        <f t="shared" si="4"/>
        <v>0</v>
      </c>
      <c r="AV7">
        <f t="shared" si="5"/>
        <v>0</v>
      </c>
      <c r="AW7">
        <f t="shared" si="6"/>
        <v>0</v>
      </c>
      <c r="AX7">
        <f t="shared" si="6"/>
        <v>0</v>
      </c>
      <c r="AY7">
        <f t="shared" si="6"/>
        <v>98.71</v>
      </c>
      <c r="AZ7">
        <f t="shared" si="7"/>
        <v>100</v>
      </c>
    </row>
    <row r="8" spans="1:92" x14ac:dyDescent="0.35">
      <c r="A8" s="1">
        <v>5</v>
      </c>
      <c r="B8" t="s">
        <v>47</v>
      </c>
      <c r="C8">
        <v>0.6</v>
      </c>
      <c r="D8" s="3">
        <v>0.37</v>
      </c>
      <c r="E8">
        <v>2.52</v>
      </c>
      <c r="I8">
        <v>1.29</v>
      </c>
      <c r="X8">
        <v>2.3199999999999998</v>
      </c>
      <c r="AH8" s="3">
        <v>93.51</v>
      </c>
      <c r="AK8" s="4">
        <v>-651101.69874275709</v>
      </c>
      <c r="AL8" s="4">
        <v>-479036.53667522129</v>
      </c>
      <c r="AM8" s="4">
        <v>-5.0996868266494699</v>
      </c>
      <c r="AN8" s="4">
        <v>-34562.503224742322</v>
      </c>
      <c r="AO8" s="4">
        <v>0.88092441684732015</v>
      </c>
      <c r="AQ8" t="s">
        <v>47</v>
      </c>
      <c r="AR8">
        <f t="shared" si="1"/>
        <v>6.5</v>
      </c>
      <c r="AS8">
        <f t="shared" si="2"/>
        <v>0</v>
      </c>
      <c r="AT8">
        <f t="shared" si="3"/>
        <v>0</v>
      </c>
      <c r="AU8">
        <f t="shared" si="4"/>
        <v>0</v>
      </c>
      <c r="AV8">
        <f t="shared" si="5"/>
        <v>0</v>
      </c>
      <c r="AW8">
        <f t="shared" si="6"/>
        <v>93.51</v>
      </c>
      <c r="AX8">
        <f t="shared" si="6"/>
        <v>0</v>
      </c>
      <c r="AY8">
        <f t="shared" si="6"/>
        <v>0</v>
      </c>
      <c r="AZ8">
        <f t="shared" si="7"/>
        <v>100.01</v>
      </c>
    </row>
    <row r="9" spans="1:92" x14ac:dyDescent="0.35">
      <c r="A9" s="1">
        <v>6</v>
      </c>
      <c r="B9" t="s">
        <v>48</v>
      </c>
      <c r="C9">
        <v>0.6</v>
      </c>
      <c r="E9">
        <v>2.52</v>
      </c>
      <c r="I9">
        <v>1.29</v>
      </c>
      <c r="X9">
        <v>0.25</v>
      </c>
      <c r="AJ9" s="3">
        <v>95.95</v>
      </c>
      <c r="AK9" s="4">
        <v>-590668.80871520098</v>
      </c>
      <c r="AL9" s="4">
        <v>-679157.28731356631</v>
      </c>
      <c r="AM9" s="4">
        <v>-6.3540898521658029</v>
      </c>
      <c r="AN9" s="4">
        <v>-160576.64178145531</v>
      </c>
      <c r="AO9" s="4">
        <v>0.62661404573419388</v>
      </c>
      <c r="AQ9" t="s">
        <v>48</v>
      </c>
      <c r="AR9">
        <f t="shared" si="1"/>
        <v>4.0600000000000005</v>
      </c>
      <c r="AS9">
        <f t="shared" si="2"/>
        <v>0</v>
      </c>
      <c r="AT9">
        <f t="shared" si="3"/>
        <v>0</v>
      </c>
      <c r="AU9">
        <f t="shared" si="4"/>
        <v>0</v>
      </c>
      <c r="AV9">
        <f t="shared" si="5"/>
        <v>0</v>
      </c>
      <c r="AW9">
        <f t="shared" si="6"/>
        <v>0</v>
      </c>
      <c r="AX9">
        <f t="shared" si="6"/>
        <v>0</v>
      </c>
      <c r="AY9">
        <f t="shared" si="6"/>
        <v>95.95</v>
      </c>
      <c r="AZ9">
        <f t="shared" si="7"/>
        <v>100.01</v>
      </c>
    </row>
    <row r="11" spans="1:92" x14ac:dyDescent="0.35">
      <c r="AQ11" t="s">
        <v>57</v>
      </c>
      <c r="AR11">
        <v>5347</v>
      </c>
    </row>
    <row r="12" spans="1:92" x14ac:dyDescent="0.35">
      <c r="AQ12" t="s">
        <v>58</v>
      </c>
      <c r="AR12">
        <v>0.6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2026-03-19T14:55:29Z</dcterms:created>
  <dcterms:modified xsi:type="dcterms:W3CDTF">2026-04-22T14:41:23Z</dcterms:modified>
</cp:coreProperties>
</file>