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inv\"/>
    </mc:Choice>
  </mc:AlternateContent>
  <xr:revisionPtr revIDLastSave="0" documentId="13_ncr:1_{210B47F2-9333-4090-A60B-081767C54C15}" xr6:coauthVersionLast="36" xr6:coauthVersionMax="36" xr10:uidLastSave="{00000000-0000-0000-0000-000000000000}"/>
  <bookViews>
    <workbookView xWindow="0" yWindow="0" windowWidth="15200" windowHeight="6930" firstSheet="3" activeTab="5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mark_cons" sheetId="14" r:id="rId6"/>
    <sheet name="dist_col" sheetId="13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4" l="1"/>
  <c r="B5" i="14" l="1"/>
  <c r="M16" i="1" l="1"/>
  <c r="G2" i="1"/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<sst xmlns="http://schemas.openxmlformats.org/spreadsheetml/2006/main" count="210" uniqueCount="76">
  <si>
    <t>Home</t>
  </si>
  <si>
    <t>Total</t>
  </si>
  <si>
    <t>municipalities</t>
  </si>
  <si>
    <t>E</t>
  </si>
  <si>
    <t>Building</t>
  </si>
  <si>
    <t>Y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</si>
  <si>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</si>
  <si>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</si>
  <si>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</si>
  <si>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</si>
  <si>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</si>
  <si>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</si>
  <si>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</si>
  <si>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</si>
  <si>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</si>
  <si>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</si>
  <si>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</si>
  <si>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</si>
  <si>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</si>
  <si>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</si>
  <si>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</si>
  <si>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</si>
  <si>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</si>
  <si>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</si>
  <si>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</si>
  <si>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</si>
  <si>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</si>
  <si>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</si>
  <si>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</si>
  <si>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</si>
  <si>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</si>
  <si>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</si>
  <si>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</si>
  <si>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</si>
  <si>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</si>
  <si>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</si>
  <si>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</si>
  <si>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</si>
  <si>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</si>
  <si>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</si>
  <si>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</si>
  <si>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</si>
  <si>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</si>
  <si>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</si>
  <si>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</si>
  <si>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</si>
  <si>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</si>
  <si>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</si>
  <si>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</si>
  <si>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</si>
  <si>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</si>
  <si>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</si>
  <si>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</si>
  <si>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</si>
  <si>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</si>
  <si>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Villiers</t>
  </si>
  <si>
    <t>Refood</t>
  </si>
  <si>
    <t>Biometa</t>
  </si>
  <si>
    <t>Suez</t>
  </si>
  <si>
    <t>Gurdebeke</t>
  </si>
  <si>
    <t>Peat_hobby_mark</t>
  </si>
  <si>
    <t>Peat_pro_mark</t>
  </si>
  <si>
    <t>Heat_mark</t>
  </si>
  <si>
    <t>Elect_mark</t>
  </si>
  <si>
    <t>Gas_mark</t>
  </si>
  <si>
    <t>Nmarket</t>
  </si>
  <si>
    <t>Pmarket</t>
  </si>
  <si>
    <t>Kmarket</t>
  </si>
  <si>
    <t>N-fertilizer</t>
  </si>
  <si>
    <t>P-fertilizer</t>
  </si>
  <si>
    <t>K-fertilizer</t>
  </si>
  <si>
    <t>Peat_dec</t>
  </si>
  <si>
    <t>Peat_ind</t>
  </si>
  <si>
    <t>Peat_hobby_mark_wt_sub</t>
  </si>
  <si>
    <t>Peat_pro_mark_wt_sub</t>
  </si>
  <si>
    <t>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</si>
</sst>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18</v>
      </c>
      <c r="C1" s="2" t="s">
        <v>19</v>
      </c>
    </row>
    <row r="2" spans="1:15" x14ac:dyDescent="0.35">
      <c r="A2" t="s">
        <v>14</v>
      </c>
      <c r="B2" t="s">
        <v>27</v>
      </c>
      <c r="C2" t="s">
        <v>3</v>
      </c>
      <c r="I2" t="s">
        <v>21</v>
      </c>
      <c r="J2" t="s">
        <v>22</v>
      </c>
      <c r="N2" t="s">
        <v>53</v>
      </c>
      <c r="O2" t="s">
        <v>54</v>
      </c>
    </row>
    <row r="3" spans="1:15" x14ac:dyDescent="0.35">
      <c r="A3" t="s">
        <v>15</v>
      </c>
      <c r="B3" t="s">
        <v>51</v>
      </c>
      <c r="I3" t="s">
        <v>5</v>
      </c>
      <c r="J3" t="s">
        <v>27</v>
      </c>
    </row>
    <row r="4" spans="1:15" x14ac:dyDescent="0.35">
      <c r="A4" t="s">
        <v>16</v>
      </c>
      <c r="B4" t="s">
        <v>52</v>
      </c>
      <c r="I4" t="s">
        <v>3</v>
      </c>
      <c r="J4" t="s">
        <v>50</v>
      </c>
    </row>
    <row r="5" spans="1:15" x14ac:dyDescent="0.35">
      <c r="A5" t="s">
        <v>17</v>
      </c>
    </row>
    <row r="6" spans="1:15" x14ac:dyDescent="0.35">
      <c r="A6" t="s">
        <v>28</v>
      </c>
    </row>
    <row r="7" spans="1:15" x14ac:dyDescent="0.35">
      <c r="A7" t="s">
        <v>29</v>
      </c>
    </row>
    <row r="8" spans="1:15" x14ac:dyDescent="0.35">
      <c r="A8" t="s">
        <v>30</v>
      </c>
    </row>
    <row r="9" spans="1:15" x14ac:dyDescent="0.35">
      <c r="A9" t="s">
        <v>31</v>
      </c>
    </row>
    <row r="10" spans="1:15" x14ac:dyDescent="0.35">
      <c r="A10" t="s">
        <v>32</v>
      </c>
    </row>
    <row r="11" spans="1:15" x14ac:dyDescent="0.35">
      <c r="A11" t="s">
        <v>33</v>
      </c>
    </row>
    <row r="12" spans="1:15" x14ac:dyDescent="0.35">
      <c r="A12" t="s">
        <v>34</v>
      </c>
    </row>
    <row r="13" spans="1:15" x14ac:dyDescent="0.35">
      <c r="A13" t="s">
        <v>35</v>
      </c>
    </row>
    <row r="14" spans="1:15" x14ac:dyDescent="0.35">
      <c r="A14" t="s">
        <v>36</v>
      </c>
    </row>
    <row r="15" spans="1:15" x14ac:dyDescent="0.35">
      <c r="A15" t="s">
        <v>37</v>
      </c>
    </row>
    <row r="16" spans="1:15" x14ac:dyDescent="0.35">
      <c r="A16" t="s">
        <v>38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41</v>
      </c>
    </row>
    <row r="20" spans="1:1" x14ac:dyDescent="0.35">
      <c r="A20" t="s">
        <v>42</v>
      </c>
    </row>
    <row r="21" spans="1:1" x14ac:dyDescent="0.35">
      <c r="A21" t="s">
        <v>43</v>
      </c>
    </row>
    <row r="22" spans="1:1" x14ac:dyDescent="0.35">
      <c r="A22" t="s">
        <v>44</v>
      </c>
    </row>
    <row r="23" spans="1:1" x14ac:dyDescent="0.35">
      <c r="A23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M25"/>
  <sheetViews>
    <sheetView workbookViewId="0">
      <selection activeCell="F7" sqref="F7"/>
    </sheetView>
  </sheetViews>
  <sheetFormatPr baseColWidth="10" defaultRowHeight="14.5" x14ac:dyDescent="0.35"/>
  <cols>
    <col min="1" max="1" width="21.81640625" customWidth="1"/>
  </cols>
  <sheetData>
    <row r="1" spans="1:13" x14ac:dyDescent="0.35">
      <c r="B1" t="s">
        <v>0</v>
      </c>
      <c r="C1" t="s">
        <v>4</v>
      </c>
      <c r="D1" t="s">
        <v>1</v>
      </c>
    </row>
    <row r="2" spans="1:13" x14ac:dyDescent="0.35">
      <c r="A2" t="s">
        <v>14</v>
      </c>
      <c r="B2">
        <v>755.47870232939465</v>
      </c>
      <c r="C2">
        <v>2188.5212976706052</v>
      </c>
      <c r="D2">
        <f>SUM(B2:C2)</f>
        <v>2944</v>
      </c>
      <c r="G2">
        <f>B2*0.7*0.5</f>
        <v>264.41754581528812</v>
      </c>
    </row>
    <row r="3" spans="1:13" x14ac:dyDescent="0.35">
      <c r="A3" t="s">
        <v>15</v>
      </c>
      <c r="B3">
        <v>134.53622608695653</v>
      </c>
      <c r="C3">
        <v>51.463773913043475</v>
      </c>
      <c r="D3">
        <f t="shared" ref="D3:D23" si="0">SUM(B3:C3)</f>
        <v>186</v>
      </c>
      <c r="I3" t="s">
        <v>20</v>
      </c>
      <c r="J3" t="s">
        <v>49</v>
      </c>
    </row>
    <row r="4" spans="1:13" x14ac:dyDescent="0.35">
      <c r="A4" t="s">
        <v>16</v>
      </c>
      <c r="B4">
        <v>156.99056470588235</v>
      </c>
      <c r="C4">
        <v>29.009435294117651</v>
      </c>
      <c r="D4">
        <f t="shared" si="0"/>
        <v>186</v>
      </c>
    </row>
    <row r="5" spans="1:13" x14ac:dyDescent="0.35">
      <c r="A5" t="s">
        <v>17</v>
      </c>
      <c r="B5">
        <v>43.83239785330948</v>
      </c>
      <c r="C5">
        <v>4.167602146690518</v>
      </c>
      <c r="D5">
        <f t="shared" si="0"/>
        <v>48</v>
      </c>
    </row>
    <row r="6" spans="1:13" x14ac:dyDescent="0.35">
      <c r="A6" t="s">
        <v>28</v>
      </c>
      <c r="B6">
        <v>113.91003428331933</v>
      </c>
      <c r="C6">
        <v>17.089965716680645</v>
      </c>
      <c r="D6">
        <f t="shared" si="0"/>
        <v>130.99999999999997</v>
      </c>
    </row>
    <row r="7" spans="1:13" x14ac:dyDescent="0.35">
      <c r="A7" t="s">
        <v>29</v>
      </c>
      <c r="B7">
        <v>68.797540238887805</v>
      </c>
      <c r="C7">
        <v>21.202459761112202</v>
      </c>
      <c r="D7">
        <f t="shared" si="0"/>
        <v>90</v>
      </c>
    </row>
    <row r="8" spans="1:13" x14ac:dyDescent="0.35">
      <c r="A8" t="s">
        <v>30</v>
      </c>
      <c r="B8">
        <v>145.23549140271493</v>
      </c>
      <c r="C8">
        <v>3.7645085972850727</v>
      </c>
      <c r="D8">
        <f t="shared" si="0"/>
        <v>149</v>
      </c>
    </row>
    <row r="9" spans="1:13" x14ac:dyDescent="0.35">
      <c r="A9" t="s">
        <v>31</v>
      </c>
      <c r="B9">
        <v>126.52593464788731</v>
      </c>
      <c r="C9">
        <v>44.474065352112696</v>
      </c>
      <c r="D9">
        <f t="shared" si="0"/>
        <v>171</v>
      </c>
    </row>
    <row r="10" spans="1:13" x14ac:dyDescent="0.35">
      <c r="A10" t="s">
        <v>32</v>
      </c>
      <c r="B10">
        <v>47.072259332023577</v>
      </c>
      <c r="C10">
        <v>2.9277406679764231</v>
      </c>
      <c r="D10">
        <f t="shared" si="0"/>
        <v>50</v>
      </c>
    </row>
    <row r="11" spans="1:13" x14ac:dyDescent="0.35">
      <c r="A11" t="s">
        <v>33</v>
      </c>
      <c r="B11">
        <v>29.063999999999997</v>
      </c>
      <c r="C11">
        <v>0.93600000000000105</v>
      </c>
      <c r="D11">
        <f t="shared" si="0"/>
        <v>29.999999999999996</v>
      </c>
    </row>
    <row r="12" spans="1:13" x14ac:dyDescent="0.35">
      <c r="A12" t="s">
        <v>34</v>
      </c>
      <c r="B12">
        <v>179.2884425556858</v>
      </c>
      <c r="C12">
        <v>33.711557444314188</v>
      </c>
      <c r="D12">
        <f t="shared" si="0"/>
        <v>213</v>
      </c>
    </row>
    <row r="13" spans="1:13" x14ac:dyDescent="0.35">
      <c r="A13" t="s">
        <v>35</v>
      </c>
      <c r="B13">
        <v>95.116624345549738</v>
      </c>
      <c r="C13">
        <v>13.883375654450266</v>
      </c>
      <c r="D13">
        <f t="shared" si="0"/>
        <v>109</v>
      </c>
    </row>
    <row r="14" spans="1:13" x14ac:dyDescent="0.35">
      <c r="A14" t="s">
        <v>36</v>
      </c>
      <c r="B14">
        <v>37.915901369863015</v>
      </c>
      <c r="C14">
        <v>3.0840986301369884</v>
      </c>
      <c r="D14">
        <f t="shared" si="0"/>
        <v>41</v>
      </c>
    </row>
    <row r="15" spans="1:13" x14ac:dyDescent="0.35">
      <c r="A15" t="s">
        <v>37</v>
      </c>
      <c r="B15">
        <v>39.790797101449272</v>
      </c>
      <c r="C15">
        <v>1.2092028985507262</v>
      </c>
      <c r="D15">
        <f t="shared" si="0"/>
        <v>41</v>
      </c>
    </row>
    <row r="16" spans="1:13" x14ac:dyDescent="0.35">
      <c r="A16" t="s">
        <v>38</v>
      </c>
      <c r="B16">
        <v>40.11461895261845</v>
      </c>
      <c r="C16">
        <v>1.8853810473815493</v>
      </c>
      <c r="D16">
        <f t="shared" si="0"/>
        <v>42</v>
      </c>
      <c r="M16">
        <f>((254+258+58)*1000*0.15)/36529</f>
        <v>2.3406060937884967</v>
      </c>
    </row>
    <row r="17" spans="1:4" x14ac:dyDescent="0.35">
      <c r="A17" t="s">
        <v>39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40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41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42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43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44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45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8"/>
  <sheetViews>
    <sheetView workbookViewId="0">
      <selection activeCell="E24" sqref="E24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25</v>
      </c>
      <c r="B1" t="s">
        <v>10</v>
      </c>
      <c r="C1" t="s">
        <v>11</v>
      </c>
      <c r="D1" t="s">
        <v>12</v>
      </c>
      <c r="E1" t="s">
        <v>13</v>
      </c>
      <c r="F1" t="s">
        <v>23</v>
      </c>
      <c r="G1" t="s">
        <v>46</v>
      </c>
      <c r="H1" t="s">
        <v>47</v>
      </c>
      <c r="I1" t="s">
        <v>48</v>
      </c>
    </row>
    <row r="2" spans="1:9" x14ac:dyDescent="0.35">
      <c r="A2" t="s">
        <v>14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15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16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17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28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29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30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31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32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33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34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35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36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37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38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39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40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41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43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45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56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57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58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59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55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B28"/>
  <sheetViews>
    <sheetView zoomScaleNormal="100" workbookViewId="0">
      <selection activeCell="G28" sqref="G28"/>
    </sheetView>
  </sheetViews>
  <sheetFormatPr baseColWidth="10" defaultRowHeight="14.5" x14ac:dyDescent="0.35"/>
  <cols>
    <col min="1" max="1" width="22.1796875" bestFit="1" customWidth="1"/>
    <col min="2" max="2" width="10.54296875" bestFit="1" customWidth="1"/>
    <col min="3" max="3" width="7.81640625" bestFit="1" customWidth="1"/>
    <col min="4" max="4" width="4.54296875" bestFit="1" customWidth="1"/>
    <col min="5" max="5" width="10.81640625" bestFit="1" customWidth="1"/>
    <col min="6" max="6" width="8" bestFit="1" customWidth="1"/>
    <col min="7" max="7" width="15.1796875" bestFit="1" customWidth="1"/>
    <col min="8" max="8" width="10.1796875" bestFit="1" customWidth="1"/>
    <col min="9" max="9" width="15.54296875" bestFit="1" customWidth="1"/>
    <col min="10" max="10" width="15.81640625" bestFit="1" customWidth="1"/>
    <col min="11" max="11" width="8.453125" bestFit="1" customWidth="1"/>
    <col min="12" max="12" width="12.54296875" bestFit="1" customWidth="1"/>
    <col min="13" max="13" width="7" bestFit="1" customWidth="1"/>
    <col min="14" max="14" width="6.81640625" bestFit="1" customWidth="1"/>
    <col min="15" max="15" width="9.81640625" bestFit="1" customWidth="1"/>
    <col min="16" max="16" width="7.453125" bestFit="1" customWidth="1"/>
    <col min="17" max="17" width="20.1796875" bestFit="1" customWidth="1"/>
    <col min="18" max="18" width="4.7265625" bestFit="1" customWidth="1"/>
    <col min="19" max="19" width="17.1796875" bestFit="1" customWidth="1"/>
    <col min="20" max="20" width="8.26953125" bestFit="1" customWidth="1"/>
    <col min="21" max="21" width="21.54296875" bestFit="1" customWidth="1"/>
    <col min="22" max="22" width="7.81640625" bestFit="1" customWidth="1"/>
    <col min="23" max="23" width="11.81640625" bestFit="1" customWidth="1"/>
  </cols>
  <sheetData>
    <row r="1" spans="1:28" x14ac:dyDescent="0.35">
      <c r="A1" t="s">
        <v>9</v>
      </c>
      <c r="B1" t="s">
        <v>14</v>
      </c>
      <c r="C1" t="s">
        <v>15</v>
      </c>
      <c r="D1" t="s">
        <v>16</v>
      </c>
      <c r="E1" t="s">
        <v>17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56</v>
      </c>
      <c r="Y1" t="s">
        <v>57</v>
      </c>
      <c r="Z1" t="s">
        <v>58</v>
      </c>
      <c r="AA1" t="s">
        <v>59</v>
      </c>
      <c r="AB1" t="s">
        <v>55</v>
      </c>
    </row>
    <row r="2" spans="1:28" x14ac:dyDescent="0.35">
      <c r="A2" t="s">
        <v>14</v>
      </c>
    </row>
    <row r="3" spans="1:28" x14ac:dyDescent="0.35">
      <c r="A3" t="s">
        <v>15</v>
      </c>
    </row>
    <row r="4" spans="1:28" x14ac:dyDescent="0.35">
      <c r="A4" t="s">
        <v>16</v>
      </c>
    </row>
    <row r="5" spans="1:28" x14ac:dyDescent="0.35">
      <c r="A5" t="s">
        <v>17</v>
      </c>
    </row>
    <row r="6" spans="1:28" x14ac:dyDescent="0.35">
      <c r="A6" t="s">
        <v>28</v>
      </c>
    </row>
    <row r="7" spans="1:28" x14ac:dyDescent="0.35">
      <c r="A7" t="s">
        <v>29</v>
      </c>
    </row>
    <row r="8" spans="1:28" x14ac:dyDescent="0.35">
      <c r="A8" t="s">
        <v>30</v>
      </c>
    </row>
    <row r="9" spans="1:28" x14ac:dyDescent="0.35">
      <c r="A9" t="s">
        <v>31</v>
      </c>
    </row>
    <row r="10" spans="1:28" x14ac:dyDescent="0.35">
      <c r="A10" t="s">
        <v>32</v>
      </c>
    </row>
    <row r="11" spans="1:28" x14ac:dyDescent="0.35">
      <c r="A11" t="s">
        <v>33</v>
      </c>
    </row>
    <row r="12" spans="1:28" x14ac:dyDescent="0.35">
      <c r="A12" t="s">
        <v>34</v>
      </c>
    </row>
    <row r="13" spans="1:28" x14ac:dyDescent="0.35">
      <c r="A13" t="s">
        <v>35</v>
      </c>
    </row>
    <row r="14" spans="1:28" x14ac:dyDescent="0.35">
      <c r="A14" t="s">
        <v>36</v>
      </c>
    </row>
    <row r="15" spans="1:28" x14ac:dyDescent="0.35">
      <c r="A15" t="s">
        <v>37</v>
      </c>
    </row>
    <row r="16" spans="1:28" x14ac:dyDescent="0.35">
      <c r="A16" t="s">
        <v>38</v>
      </c>
    </row>
    <row r="17" spans="1:28" x14ac:dyDescent="0.35">
      <c r="A17" t="s">
        <v>39</v>
      </c>
    </row>
    <row r="18" spans="1:28" x14ac:dyDescent="0.35">
      <c r="A18" t="s">
        <v>40</v>
      </c>
    </row>
    <row r="19" spans="1:28" x14ac:dyDescent="0.35">
      <c r="A19" t="s">
        <v>41</v>
      </c>
    </row>
    <row r="20" spans="1:28" x14ac:dyDescent="0.35">
      <c r="A20" t="s">
        <v>42</v>
      </c>
    </row>
    <row r="21" spans="1:28" x14ac:dyDescent="0.35">
      <c r="A21" t="s">
        <v>43</v>
      </c>
    </row>
    <row r="22" spans="1:28" x14ac:dyDescent="0.35">
      <c r="A22" t="s">
        <v>44</v>
      </c>
    </row>
    <row r="23" spans="1:28" x14ac:dyDescent="0.35">
      <c r="A23" t="s">
        <v>45</v>
      </c>
    </row>
    <row r="24" spans="1:28" x14ac:dyDescent="0.35">
      <c r="A24" t="s">
        <v>56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  <c r="AB24">
        <v>60</v>
      </c>
    </row>
    <row r="25" spans="1:28" x14ac:dyDescent="0.35">
      <c r="A25" t="s">
        <v>57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  <c r="AB25">
        <v>47</v>
      </c>
    </row>
    <row r="26" spans="1:28" x14ac:dyDescent="0.35">
      <c r="A26" t="s">
        <v>58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  <c r="AB26">
        <v>33</v>
      </c>
    </row>
    <row r="27" spans="1:28" x14ac:dyDescent="0.35">
      <c r="A27" t="s">
        <v>59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  <c r="AB27">
        <v>54</v>
      </c>
    </row>
    <row r="28" spans="1:28" x14ac:dyDescent="0.35">
      <c r="A28" t="s">
        <v>55</v>
      </c>
      <c r="B28">
        <v>34</v>
      </c>
      <c r="C28">
        <v>32</v>
      </c>
      <c r="D28">
        <v>28</v>
      </c>
      <c r="E28">
        <v>26</v>
      </c>
      <c r="F28">
        <v>25</v>
      </c>
      <c r="G28">
        <v>26</v>
      </c>
      <c r="H28">
        <v>30</v>
      </c>
      <c r="I28">
        <v>28</v>
      </c>
      <c r="J28">
        <v>29</v>
      </c>
      <c r="K28">
        <v>42</v>
      </c>
      <c r="L28">
        <v>42</v>
      </c>
      <c r="M28">
        <v>40</v>
      </c>
      <c r="N28">
        <v>42</v>
      </c>
      <c r="O28">
        <v>28</v>
      </c>
      <c r="P28">
        <v>30</v>
      </c>
      <c r="Q28">
        <v>37</v>
      </c>
      <c r="R28">
        <v>25</v>
      </c>
      <c r="S28">
        <v>36</v>
      </c>
      <c r="T28">
        <v>25</v>
      </c>
      <c r="U28">
        <v>23</v>
      </c>
      <c r="V28">
        <v>22</v>
      </c>
      <c r="W28">
        <v>43</v>
      </c>
      <c r="X28">
        <v>60</v>
      </c>
      <c r="Y28">
        <v>47</v>
      </c>
      <c r="Z28">
        <v>33</v>
      </c>
      <c r="AA28">
        <v>54</v>
      </c>
      <c r="AB28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M11"/>
  <sheetViews>
    <sheetView workbookViewId="0">
      <selection activeCell="K14" sqref="K14"/>
    </sheetView>
  </sheetViews>
  <sheetFormatPr baseColWidth="10" defaultRowHeight="14.5" x14ac:dyDescent="0.35"/>
  <cols>
    <col min="1" max="1" width="24.54296875" customWidth="1"/>
    <col min="13" max="13" width="22.453125" customWidth="1"/>
  </cols>
  <sheetData>
    <row r="1" spans="1:13" x14ac:dyDescent="0.35">
      <c r="A1" t="s">
        <v>8</v>
      </c>
      <c r="B1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6</v>
      </c>
      <c r="H1" t="s">
        <v>7</v>
      </c>
      <c r="I1" t="s">
        <v>24</v>
      </c>
    </row>
    <row r="2" spans="1:13" x14ac:dyDescent="0.35">
      <c r="A2" t="s">
        <v>65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13" x14ac:dyDescent="0.35">
      <c r="A3" t="s">
        <v>66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13" x14ac:dyDescent="0.35">
      <c r="A4" t="s">
        <v>67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13" x14ac:dyDescent="0.35">
      <c r="A5" t="s">
        <v>60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</row>
    <row r="6" spans="1:13" x14ac:dyDescent="0.35">
      <c r="A6" t="s">
        <v>73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</row>
    <row r="7" spans="1:13" x14ac:dyDescent="0.35">
      <c r="A7" t="s">
        <v>61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</row>
    <row r="8" spans="1:13" x14ac:dyDescent="0.35">
      <c r="A8" t="s">
        <v>74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</row>
    <row r="9" spans="1:13" x14ac:dyDescent="0.35">
      <c r="A9" t="s">
        <v>62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</row>
    <row r="10" spans="1:13" x14ac:dyDescent="0.35">
      <c r="A10" t="s">
        <v>63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M10" s="1"/>
    </row>
    <row r="11" spans="1:13" x14ac:dyDescent="0.35">
      <c r="A11" t="s">
        <v>64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M11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C258-80D7-4D80-A936-EADBD7AF4AB6}">
  <dimension ref="A1:B11"/>
  <sheetViews>
    <sheetView tabSelected="1" workbookViewId="0">
      <selection activeCell="F13" sqref="F13"/>
    </sheetView>
  </sheetViews>
  <sheetFormatPr baseColWidth="10" defaultRowHeight="14.5" x14ac:dyDescent="0.35"/>
  <cols>
    <col min="1" max="1" width="24.7265625" bestFit="1" customWidth="1"/>
  </cols>
  <sheetData>
    <row r="1" spans="1:2" x14ac:dyDescent="0.35">
      <c r="A1" t="s">
        <v>8</v>
      </c>
      <c r="B1" t="s">
        <v>75</v>
      </c>
    </row>
    <row r="2" spans="1:2" x14ac:dyDescent="0.35">
      <c r="A2" t="s">
        <v>65</v>
      </c>
    </row>
    <row r="3" spans="1:2" x14ac:dyDescent="0.35">
      <c r="A3" t="s">
        <v>66</v>
      </c>
    </row>
    <row r="4" spans="1:2" x14ac:dyDescent="0.35">
      <c r="A4" t="s">
        <v>67</v>
      </c>
    </row>
    <row r="5" spans="1:2" x14ac:dyDescent="0.35">
      <c r="A5" t="s">
        <v>60</v>
      </c>
      <c r="B5">
        <f>186611.81*(1+0.1)</f>
        <v>205272.99100000001</v>
      </c>
    </row>
    <row r="6" spans="1:2" x14ac:dyDescent="0.35">
      <c r="A6" t="s">
        <v>73</v>
      </c>
    </row>
    <row r="7" spans="1:2" x14ac:dyDescent="0.35">
      <c r="A7" t="s">
        <v>61</v>
      </c>
      <c r="B7">
        <f>185060.41*(1+0.1)</f>
        <v>203566.45100000003</v>
      </c>
    </row>
    <row r="8" spans="1:2" x14ac:dyDescent="0.35">
      <c r="A8" t="s">
        <v>74</v>
      </c>
    </row>
    <row r="9" spans="1:2" x14ac:dyDescent="0.35">
      <c r="A9" t="s">
        <v>62</v>
      </c>
    </row>
    <row r="10" spans="1:2" x14ac:dyDescent="0.35">
      <c r="A10" t="s">
        <v>63</v>
      </c>
    </row>
    <row r="11" spans="1:2" x14ac:dyDescent="0.35">
      <c r="A11" t="s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3"/>
  <sheetViews>
    <sheetView topLeftCell="A5" workbookViewId="0">
      <selection activeCell="D34" sqref="D34"/>
    </sheetView>
  </sheetViews>
  <sheetFormatPr baseColWidth="10" defaultRowHeight="14.5" x14ac:dyDescent="0.35"/>
  <cols>
    <col min="2" max="2" width="12.7265625" customWidth="1"/>
  </cols>
  <sheetData>
    <row r="1" spans="1:2" x14ac:dyDescent="0.35">
      <c r="B1" t="s">
        <v>26</v>
      </c>
    </row>
    <row r="2" spans="1:2" x14ac:dyDescent="0.35">
      <c r="A2" t="s">
        <v>14</v>
      </c>
      <c r="B2">
        <v>26.086956521739129</v>
      </c>
    </row>
    <row r="3" spans="1:2" x14ac:dyDescent="0.35">
      <c r="A3" t="s">
        <v>15</v>
      </c>
      <c r="B3">
        <v>30</v>
      </c>
    </row>
    <row r="4" spans="1:2" x14ac:dyDescent="0.35">
      <c r="A4" t="s">
        <v>16</v>
      </c>
      <c r="B4">
        <v>24</v>
      </c>
    </row>
    <row r="5" spans="1:2" x14ac:dyDescent="0.35">
      <c r="A5" t="s">
        <v>17</v>
      </c>
      <c r="B5">
        <v>5</v>
      </c>
    </row>
    <row r="6" spans="1:2" x14ac:dyDescent="0.35">
      <c r="A6" t="s">
        <v>28</v>
      </c>
      <c r="B6">
        <v>22</v>
      </c>
    </row>
    <row r="7" spans="1:2" x14ac:dyDescent="0.35">
      <c r="A7" t="s">
        <v>29</v>
      </c>
      <c r="B7">
        <v>46</v>
      </c>
    </row>
    <row r="8" spans="1:2" x14ac:dyDescent="0.35">
      <c r="A8" t="s">
        <v>30</v>
      </c>
      <c r="B8">
        <v>17</v>
      </c>
    </row>
    <row r="9" spans="1:2" x14ac:dyDescent="0.35">
      <c r="A9" t="s">
        <v>31</v>
      </c>
      <c r="B9">
        <v>17</v>
      </c>
    </row>
    <row r="10" spans="1:2" x14ac:dyDescent="0.35">
      <c r="A10" t="s">
        <v>32</v>
      </c>
      <c r="B10">
        <v>12</v>
      </c>
    </row>
    <row r="11" spans="1:2" x14ac:dyDescent="0.35">
      <c r="A11" t="s">
        <v>33</v>
      </c>
      <c r="B11">
        <v>8</v>
      </c>
    </row>
    <row r="12" spans="1:2" x14ac:dyDescent="0.35">
      <c r="A12" t="s">
        <v>34</v>
      </c>
      <c r="B12">
        <v>24</v>
      </c>
    </row>
    <row r="13" spans="1:2" x14ac:dyDescent="0.35">
      <c r="A13" t="s">
        <v>35</v>
      </c>
      <c r="B13">
        <v>18</v>
      </c>
    </row>
    <row r="14" spans="1:2" x14ac:dyDescent="0.35">
      <c r="A14" t="s">
        <v>36</v>
      </c>
      <c r="B14">
        <v>5</v>
      </c>
    </row>
    <row r="15" spans="1:2" x14ac:dyDescent="0.35">
      <c r="A15" t="s">
        <v>37</v>
      </c>
      <c r="B15">
        <v>8</v>
      </c>
    </row>
    <row r="16" spans="1:2" x14ac:dyDescent="0.35">
      <c r="A16" t="s">
        <v>38</v>
      </c>
      <c r="B16">
        <v>8</v>
      </c>
    </row>
    <row r="17" spans="1:2" x14ac:dyDescent="0.35">
      <c r="A17" t="s">
        <v>39</v>
      </c>
      <c r="B17">
        <v>24.981412639405203</v>
      </c>
    </row>
    <row r="18" spans="1:2" x14ac:dyDescent="0.35">
      <c r="A18" t="s">
        <v>40</v>
      </c>
      <c r="B18">
        <v>8</v>
      </c>
    </row>
    <row r="19" spans="1:2" x14ac:dyDescent="0.35">
      <c r="A19" t="s">
        <v>41</v>
      </c>
      <c r="B19">
        <v>14</v>
      </c>
    </row>
    <row r="20" spans="1:2" x14ac:dyDescent="0.35">
      <c r="A20" t="s">
        <v>42</v>
      </c>
      <c r="B20">
        <v>7</v>
      </c>
    </row>
    <row r="21" spans="1:2" x14ac:dyDescent="0.35">
      <c r="A21" t="s">
        <v>43</v>
      </c>
      <c r="B21">
        <v>7</v>
      </c>
    </row>
    <row r="22" spans="1:2" x14ac:dyDescent="0.35">
      <c r="A22" t="s">
        <v>44</v>
      </c>
      <c r="B22">
        <v>31</v>
      </c>
    </row>
    <row r="23" spans="1:2" x14ac:dyDescent="0.35">
      <c r="A23" t="s">
        <v>45</v>
      </c>
      <c r="B23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mun</vt:lpstr>
      <vt:lpstr>waste_gen</vt:lpstr>
      <vt:lpstr>tech_pot</vt:lpstr>
      <vt:lpstr>dist_market</vt:lpstr>
      <vt:lpstr>market</vt:lpstr>
      <vt:lpstr>mark_cons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2026-04-01T09:24:48Z</dcterms:modified>
</cp:coreProperties>
</file>