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marché\AS_marché_hobby\inv\"/>
    </mc:Choice>
  </mc:AlternateContent>
  <xr:revisionPtr revIDLastSave="0" documentId="13_ncr:1_{E7AD8FDE-20A9-4877-9857-69329E58B8BD}" xr6:coauthVersionLast="36" xr6:coauthVersionMax="36" xr10:uidLastSave="{00000000-0000-0000-0000-000000000000}"/>
  <bookViews>
    <workbookView xWindow="0" yWindow="0" windowWidth="14380" windowHeight="4840" xr2:uid="{00000000-000D-0000-FFFF-FFFF00000000}"/>
  </bookViews>
  <sheets>
    <sheet name="results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AM11" i="1" l="1"/>
  <c r="AL11" i="1"/>
  <c r="AK11" i="1"/>
  <c r="AY9" i="1" l="1"/>
  <c r="AX9" i="1"/>
  <c r="AW9" i="1"/>
  <c r="AV9" i="1"/>
  <c r="AU9" i="1"/>
  <c r="AT9" i="1"/>
  <c r="AS9" i="1"/>
  <c r="AR9" i="1"/>
  <c r="AY8" i="1"/>
  <c r="AX8" i="1"/>
  <c r="AW8" i="1"/>
  <c r="AV8" i="1"/>
  <c r="AU8" i="1"/>
  <c r="AT8" i="1"/>
  <c r="AS8" i="1"/>
  <c r="AR8" i="1"/>
  <c r="AY7" i="1"/>
  <c r="AX7" i="1"/>
  <c r="AW7" i="1"/>
  <c r="AV7" i="1"/>
  <c r="AU7" i="1"/>
  <c r="AT7" i="1"/>
  <c r="AS7" i="1"/>
  <c r="AR7" i="1"/>
  <c r="AY6" i="1"/>
  <c r="AX6" i="1"/>
  <c r="AW6" i="1"/>
  <c r="AV6" i="1"/>
  <c r="AU6" i="1"/>
  <c r="AT6" i="1"/>
  <c r="AS6" i="1"/>
  <c r="AR6" i="1"/>
  <c r="AY5" i="1"/>
  <c r="AX5" i="1"/>
  <c r="AW5" i="1"/>
  <c r="AV5" i="1"/>
  <c r="AU5" i="1"/>
  <c r="AT5" i="1"/>
  <c r="AS5" i="1"/>
  <c r="AR5" i="1"/>
  <c r="AY4" i="1"/>
  <c r="AX4" i="1"/>
  <c r="AW4" i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</calcChain>
</file>

<file path=xl/sharedStrings.xml><?xml version="1.0" encoding="utf-8"?>
<sst xmlns="http://schemas.openxmlformats.org/spreadsheetml/2006/main" count="71" uniqueCount="56">
  <si>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</si>
  <si>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</si>
  <si>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</si>
  <si>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</si>
  <si>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</si>
  <si>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</si>
  <si>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</si>
  <si>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</si>
  <si>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</si>
  <si>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</si>
  <si>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</si>
  <si>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</si>
  <si>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</si>
  <si>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</si>
  <si>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</si>
  <si>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</si>
  <si>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</si>
  <si>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</si>
  <si>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</si>
  <si>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</si>
  <si>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</si>
  <si>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</si>
  <si>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</si>
  <si>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</si>
  <si>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</si>
  <si>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</si>
  <si>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</si>
  <si>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</si>
  <si>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</si>
  <si>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</si>
  <si>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</si>
  <si>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</si>
  <si>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</si>
  <si>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</si>
  <si>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</si>
  <si>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</si>
  <si>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</si>
  <si>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</si>
  <si>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</si>
  <si>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</si>
  <si>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</si>
  <si>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</si>
  <si>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</si>
  <si>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</si>
  <si>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</si>
  <si>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</si>
  <si>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</si>
  <si>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</si>
  <si>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</si>
  <si>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</si>
  <si>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</si>
  <si>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</si>
  <si>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</si>
  <si>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</si>
  <si>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</si>
  <si>
    <t>minCC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</si>
</sst>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all_dig_inv2_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-651101.69874275697</v>
          </cell>
        </row>
        <row r="4">
          <cell r="AL4">
            <v>-684134.54392147798</v>
          </cell>
        </row>
        <row r="5">
          <cell r="AM5">
            <v>-6.3578543683243343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"/>
  <sheetViews>
    <sheetView tabSelected="1" topLeftCell="Y1" workbookViewId="0">
      <selection activeCell="AM12" sqref="AM12"/>
    </sheetView>
  </sheetViews>
  <sheetFormatPr baseColWidth="10" defaultColWidth="8.7265625" defaultRowHeight="14.5" x14ac:dyDescent="0.35"/>
  <sheetData>
    <row r="1" spans="1:51" x14ac:dyDescent="0.35">
      <c r="A1" s="2"/>
      <c r="B1" s="5"/>
      <c r="C1" s="7"/>
      <c r="D1" s="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5" t="s">
        <v>1</v>
      </c>
      <c r="AA1" s="6"/>
      <c r="AB1" s="7"/>
      <c r="AC1" s="2" t="s">
        <v>2</v>
      </c>
      <c r="AD1" s="5" t="s">
        <v>3</v>
      </c>
      <c r="AE1" s="7"/>
      <c r="AF1" s="5" t="s">
        <v>4</v>
      </c>
      <c r="AG1" s="7"/>
      <c r="AH1" s="2" t="s">
        <v>5</v>
      </c>
      <c r="AI1" s="2" t="s">
        <v>6</v>
      </c>
      <c r="AJ1" s="8" t="s">
        <v>7</v>
      </c>
      <c r="AK1" s="9"/>
      <c r="AL1" s="9"/>
      <c r="AM1" s="9"/>
      <c r="AN1" s="9"/>
      <c r="AO1" s="10"/>
    </row>
    <row r="2" spans="1:5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1" x14ac:dyDescent="0.35">
      <c r="A3" s="1">
        <v>0</v>
      </c>
      <c r="B3" t="s">
        <v>42</v>
      </c>
      <c r="C3">
        <v>0.6</v>
      </c>
      <c r="AH3" s="3">
        <v>100</v>
      </c>
      <c r="AK3" s="4">
        <v>-591884.61895512952</v>
      </c>
      <c r="AL3" s="4">
        <v>-441842.05494347418</v>
      </c>
      <c r="AM3" s="4">
        <v>-4.6906836541040553</v>
      </c>
      <c r="AN3" s="4">
        <v>-25547.746366081828</v>
      </c>
      <c r="AO3" s="4">
        <v>0.91643881745947664</v>
      </c>
      <c r="AQ3" t="s">
        <v>55</v>
      </c>
      <c r="AR3">
        <f>SUM(D3:Y3)</f>
        <v>0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0</v>
      </c>
      <c r="AW3">
        <f>AH3</f>
        <v>100</v>
      </c>
      <c r="AX3">
        <f>AI3</f>
        <v>0</v>
      </c>
      <c r="AY3">
        <f>AJ3</f>
        <v>0</v>
      </c>
    </row>
    <row r="4" spans="1:51" x14ac:dyDescent="0.35">
      <c r="A4" s="1">
        <v>1</v>
      </c>
      <c r="B4" t="s">
        <v>43</v>
      </c>
      <c r="C4">
        <v>0.6</v>
      </c>
      <c r="AJ4" s="3">
        <v>100</v>
      </c>
      <c r="AK4" s="4">
        <v>-533932.41714359843</v>
      </c>
      <c r="AL4" s="4">
        <v>-652106.4972093557</v>
      </c>
      <c r="AM4" s="4">
        <v>-6.0278846508119326</v>
      </c>
      <c r="AN4" s="4">
        <v>-157151.98983106401</v>
      </c>
      <c r="AO4" s="4">
        <v>0.63933931964653623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</row>
    <row r="5" spans="1:51" x14ac:dyDescent="0.35">
      <c r="A5" s="1">
        <v>2</v>
      </c>
      <c r="B5" t="s">
        <v>44</v>
      </c>
      <c r="C5">
        <v>0.6</v>
      </c>
      <c r="AJ5" s="3">
        <v>100</v>
      </c>
      <c r="AK5" s="4">
        <v>-533932.41714359843</v>
      </c>
      <c r="AL5" s="4">
        <v>-652106.4972093557</v>
      </c>
      <c r="AM5" s="4">
        <v>-6.0278846508119326</v>
      </c>
      <c r="AN5" s="4">
        <v>-157151.98983106401</v>
      </c>
      <c r="AO5" s="4">
        <v>0.63933931964653623</v>
      </c>
      <c r="AQ5" t="s">
        <v>44</v>
      </c>
      <c r="AR5">
        <f t="shared" si="0"/>
        <v>0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100</v>
      </c>
    </row>
    <row r="6" spans="1:51" x14ac:dyDescent="0.35">
      <c r="A6" s="1">
        <v>3</v>
      </c>
      <c r="B6" t="s">
        <v>45</v>
      </c>
      <c r="C6">
        <v>0.6</v>
      </c>
      <c r="AJ6" s="3">
        <v>100</v>
      </c>
      <c r="AK6" s="4">
        <v>-533932.41714359843</v>
      </c>
      <c r="AL6" s="4">
        <v>-652106.4972093557</v>
      </c>
      <c r="AM6" s="4">
        <v>-6.0278846508119326</v>
      </c>
      <c r="AN6" s="4">
        <v>-157151.98983106401</v>
      </c>
      <c r="AO6" s="4">
        <v>0.63933931964653623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100</v>
      </c>
    </row>
    <row r="7" spans="1:51" x14ac:dyDescent="0.35">
      <c r="A7" s="1">
        <v>4</v>
      </c>
      <c r="B7" t="s">
        <v>46</v>
      </c>
      <c r="C7">
        <v>0.6</v>
      </c>
      <c r="AJ7" s="3">
        <v>100</v>
      </c>
      <c r="AK7" s="4">
        <v>-533932.41714359843</v>
      </c>
      <c r="AL7" s="4">
        <v>-652106.4972093557</v>
      </c>
      <c r="AM7" s="4">
        <v>-6.0278846508119326</v>
      </c>
      <c r="AN7" s="4">
        <v>-157151.98983106401</v>
      </c>
      <c r="AO7" s="4">
        <v>0.63933931964653623</v>
      </c>
      <c r="AQ7" t="s">
        <v>46</v>
      </c>
      <c r="AR7">
        <f t="shared" si="0"/>
        <v>0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100</v>
      </c>
    </row>
    <row r="8" spans="1:51" x14ac:dyDescent="0.35">
      <c r="A8" s="1">
        <v>5</v>
      </c>
      <c r="B8" t="s">
        <v>47</v>
      </c>
      <c r="C8">
        <v>0.6</v>
      </c>
      <c r="AH8" s="3">
        <v>100</v>
      </c>
      <c r="AK8" s="4">
        <v>-591884.61895512952</v>
      </c>
      <c r="AL8" s="4">
        <v>-441842.05494347418</v>
      </c>
      <c r="AM8" s="4">
        <v>-4.6906836541040553</v>
      </c>
      <c r="AN8" s="4">
        <v>-25547.746366081828</v>
      </c>
      <c r="AO8" s="4">
        <v>0.91643881745947664</v>
      </c>
      <c r="AQ8" t="s">
        <v>47</v>
      </c>
      <c r="AR8">
        <f t="shared" si="0"/>
        <v>0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100</v>
      </c>
      <c r="AX8">
        <f t="shared" si="5"/>
        <v>0</v>
      </c>
      <c r="AY8">
        <f t="shared" si="5"/>
        <v>0</v>
      </c>
    </row>
    <row r="9" spans="1:51" x14ac:dyDescent="0.35">
      <c r="A9" s="1">
        <v>6</v>
      </c>
      <c r="B9" t="s">
        <v>48</v>
      </c>
      <c r="C9">
        <v>0.6</v>
      </c>
      <c r="AJ9" s="3">
        <v>100</v>
      </c>
      <c r="AK9" s="4">
        <v>-533932.41714359843</v>
      </c>
      <c r="AL9" s="4">
        <v>-652106.4972093557</v>
      </c>
      <c r="AM9" s="4">
        <v>-6.0278846508119326</v>
      </c>
      <c r="AN9" s="4">
        <v>-157151.98983106401</v>
      </c>
      <c r="AO9" s="4">
        <v>0.63933931964653623</v>
      </c>
      <c r="AQ9" t="s">
        <v>48</v>
      </c>
      <c r="AR9">
        <f t="shared" si="0"/>
        <v>0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100</v>
      </c>
    </row>
    <row r="11" spans="1:51" x14ac:dyDescent="0.35">
      <c r="AK11" s="4">
        <f>(AK3-[1]results!$AK$3)/[1]results!$AK$3</f>
        <v>-9.0949048208555594E-2</v>
      </c>
      <c r="AL11" s="4">
        <f>(AL4-[1]results!$AL$4)/[1]results!$AL$4</f>
        <v>-4.6815421026011397E-2</v>
      </c>
      <c r="AM11" s="4">
        <f>(AM5-[1]results!$AM$5)/[1]results!$AM$5</f>
        <v>-5.1899540064389356E-2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2026-04-22T15:57:15Z</dcterms:created>
  <dcterms:modified xsi:type="dcterms:W3CDTF">2026-04-28T13:19:48Z</dcterms:modified>
</cp:coreProperties>
</file>