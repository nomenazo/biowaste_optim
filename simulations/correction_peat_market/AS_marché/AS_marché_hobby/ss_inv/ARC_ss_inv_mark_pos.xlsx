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s\hravoaha\Desktop\Thèse\Thèse 2023\Objectif 2\biowaste_optim\simulations\correction_peat_market\AS_marché\AS_marché_hobby\ss_inv\"/>
    </mc:Choice>
  </mc:AlternateContent>
  <xr:revisionPtr revIDLastSave="0" documentId="13_ncr:1_{FBCFA42A-BBC8-44F9-B3C4-C07A1B9AF0AF}" xr6:coauthVersionLast="36" xr6:coauthVersionMax="36" xr10:uidLastSave="{00000000-0000-0000-0000-000000000000}"/>
  <bookViews>
    <workbookView xWindow="0" yWindow="0" windowWidth="15200" windowHeight="6930" activeTab="5" xr2:uid="{B141029A-C238-484B-8693-F95FDEE8D83E}"/>
  </bookViews>
  <sheets>
    <sheet name="mun" sheetId="3" r:id="rId1"/>
    <sheet name="waste_gen" sheetId="1" r:id="rId2"/>
    <sheet name="tech_pot" sheetId="9" r:id="rId3"/>
    <sheet name="dist_market" sheetId="4" r:id="rId4"/>
    <sheet name="market" sheetId="8" r:id="rId5"/>
    <sheet name="mark_cons" sheetId="14" r:id="rId6"/>
    <sheet name="dist_col" sheetId="13" r:id="rId7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7" i="14" l="1"/>
  <c r="B5" i="14"/>
  <c r="M16" i="1" l="1"/>
  <c r="G2" i="1"/>
  <c r="D25" i="1" l="1"/>
  <c r="C25" i="1"/>
  <c r="B25" i="1"/>
  <c r="D6" i="1" l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3" i="1"/>
  <c r="D4" i="1"/>
  <c r="D5" i="1"/>
  <c r="D2" i="1"/>
</calcChain>
</file>

<file path=xl/sharedStrings.xml><?xml version="1.0" encoding="utf-8"?>
<sst xmlns="http://schemas.openxmlformats.org/spreadsheetml/2006/main" count="207" uniqueCount="75">
  <si>
    <t>Home</t>
  </si>
  <si>
    <t>Total</t>
  </si>
  <si>
    <t>municipalities</t>
  </si>
  <si>
    <t>E</t>
  </si>
  <si>
    <t>Building</t>
  </si>
  <si>
    <t>Y</t>
  </si>
  <si>
    <t>Heat</t>
  </si>
  <si>
    <t>Elect</t>
  </si>
  <si>
    <t>market</t>
  </si>
  <si>
    <t>tech_place</t>
  </si>
  <si>
    <t>HC</t>
  </si>
  <si>
    <t>IC</t>
  </si>
  <si>
    <t>AD-a</t>
  </si>
  <si>
    <t>AD-b</t>
  </si>
  <si>
    <t>Compiègne</t>
  </si>
  <si>
    <t>Venette</t>
  </si>
  <si>
    <t>Jaux</t>
  </si>
  <si>
    <t>Armancourt</t>
  </si>
  <si>
    <t>sites</t>
  </si>
  <si>
    <t>Other markets</t>
  </si>
  <si>
    <t>Hypothèse</t>
  </si>
  <si>
    <t xml:space="preserve">X </t>
  </si>
  <si>
    <t>monchy-humières</t>
  </si>
  <si>
    <t>AD-c</t>
  </si>
  <si>
    <t>Biomet</t>
  </si>
  <si>
    <t>Site</t>
  </si>
  <si>
    <t>dist_col</t>
  </si>
  <si>
    <t>Passel</t>
  </si>
  <si>
    <t>Le Meux</t>
  </si>
  <si>
    <t>La Croix-St-Ouen</t>
  </si>
  <si>
    <t>St-Sauveur</t>
  </si>
  <si>
    <t>Bethisy-St-Pierre</t>
  </si>
  <si>
    <t>Bethisy-St-Martin</t>
  </si>
  <si>
    <t>Bienville</t>
  </si>
  <si>
    <t>Choisy-au-Bac</t>
  </si>
  <si>
    <t>Clairoix</t>
  </si>
  <si>
    <t>Janville</t>
  </si>
  <si>
    <t>Jonquières</t>
  </si>
  <si>
    <t>Lachelle</t>
  </si>
  <si>
    <t>Margny-lès-Compiègne</t>
  </si>
  <si>
    <t>Nery</t>
  </si>
  <si>
    <t>Saint-Jean-aux-Bois</t>
  </si>
  <si>
    <t>Saintines</t>
  </si>
  <si>
    <t>Saint-Vaast de Longmont</t>
  </si>
  <si>
    <t>Verberie</t>
  </si>
  <si>
    <t>Vieux-Moulin</t>
  </si>
  <si>
    <t>AD-d</t>
  </si>
  <si>
    <t>AD-e</t>
  </si>
  <si>
    <t>AD-f</t>
  </si>
  <si>
    <t>Chaque individu génère la même quantité de déchets</t>
  </si>
  <si>
    <t xml:space="preserve">monchy-humières </t>
  </si>
  <si>
    <t>Ivry</t>
  </si>
  <si>
    <t>Emernonville</t>
  </si>
  <si>
    <t xml:space="preserve">Market </t>
  </si>
  <si>
    <t>Les digestats et composts sont valorisés dans un rayon de 20 km</t>
  </si>
  <si>
    <t>Refood</t>
  </si>
  <si>
    <t>Biometa</t>
  </si>
  <si>
    <t>Suez</t>
  </si>
  <si>
    <t>Gurdebeke</t>
  </si>
  <si>
    <t>Peat_hobby_mark</t>
  </si>
  <si>
    <t>Peat_pro_mark</t>
  </si>
  <si>
    <t>Heat_mark</t>
  </si>
  <si>
    <t>Elect_mark</t>
  </si>
  <si>
    <t>Gas_mark</t>
  </si>
  <si>
    <t>Nmarket</t>
  </si>
  <si>
    <t>Pmarket</t>
  </si>
  <si>
    <t>Kmarket</t>
  </si>
  <si>
    <t>N-fertilizer</t>
  </si>
  <si>
    <t>P-fertilizer</t>
  </si>
  <si>
    <t>K-fertilizer</t>
  </si>
  <si>
    <t>Peat_dec</t>
  </si>
  <si>
    <t>Peat_ind</t>
  </si>
  <si>
    <t>Peat_hobby_mark_wt_sub</t>
  </si>
  <si>
    <t>Peat_pro_mark_wt_sub</t>
  </si>
  <si>
    <t>ub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</si>
</sst>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1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525225-AEB8-4ED8-9D1F-2C96755D2114}">
  <dimension ref="A1:O23"/>
  <sheetViews>
    <sheetView workbookViewId="0">
      <selection activeCell="P2" sqref="P2"/>
    </sheetView>
  </sheetViews>
  <sheetFormatPr baseColWidth="10" defaultRowHeight="14.5" x14ac:dyDescent="0.35"/>
  <cols>
    <col min="1" max="1" width="30.453125" customWidth="1"/>
  </cols>
  <sheetData>
    <row r="1" spans="1:15" x14ac:dyDescent="0.35">
      <c r="A1" s="2" t="s">
        <v>2</v>
      </c>
      <c r="B1" s="2" t="s">
        <v>18</v>
      </c>
      <c r="C1" s="2" t="s">
        <v>19</v>
      </c>
    </row>
    <row r="2" spans="1:15" x14ac:dyDescent="0.35">
      <c r="A2" t="s">
        <v>14</v>
      </c>
      <c r="B2" t="s">
        <v>27</v>
      </c>
      <c r="C2" t="s">
        <v>3</v>
      </c>
      <c r="I2" t="s">
        <v>21</v>
      </c>
      <c r="J2" t="s">
        <v>22</v>
      </c>
      <c r="N2" t="s">
        <v>53</v>
      </c>
      <c r="O2" t="s">
        <v>54</v>
      </c>
    </row>
    <row r="3" spans="1:15" x14ac:dyDescent="0.35">
      <c r="A3" t="s">
        <v>15</v>
      </c>
      <c r="B3" t="s">
        <v>51</v>
      </c>
      <c r="I3" t="s">
        <v>5</v>
      </c>
      <c r="J3" t="s">
        <v>27</v>
      </c>
    </row>
    <row r="4" spans="1:15" x14ac:dyDescent="0.35">
      <c r="A4" t="s">
        <v>16</v>
      </c>
      <c r="B4" t="s">
        <v>52</v>
      </c>
      <c r="I4" t="s">
        <v>3</v>
      </c>
      <c r="J4" t="s">
        <v>50</v>
      </c>
    </row>
    <row r="5" spans="1:15" x14ac:dyDescent="0.35">
      <c r="A5" t="s">
        <v>17</v>
      </c>
    </row>
    <row r="6" spans="1:15" x14ac:dyDescent="0.35">
      <c r="A6" t="s">
        <v>28</v>
      </c>
    </row>
    <row r="7" spans="1:15" x14ac:dyDescent="0.35">
      <c r="A7" t="s">
        <v>29</v>
      </c>
    </row>
    <row r="8" spans="1:15" x14ac:dyDescent="0.35">
      <c r="A8" t="s">
        <v>30</v>
      </c>
    </row>
    <row r="9" spans="1:15" x14ac:dyDescent="0.35">
      <c r="A9" t="s">
        <v>31</v>
      </c>
    </row>
    <row r="10" spans="1:15" x14ac:dyDescent="0.35">
      <c r="A10" t="s">
        <v>32</v>
      </c>
    </row>
    <row r="11" spans="1:15" x14ac:dyDescent="0.35">
      <c r="A11" t="s">
        <v>33</v>
      </c>
    </row>
    <row r="12" spans="1:15" x14ac:dyDescent="0.35">
      <c r="A12" t="s">
        <v>34</v>
      </c>
    </row>
    <row r="13" spans="1:15" x14ac:dyDescent="0.35">
      <c r="A13" t="s">
        <v>35</v>
      </c>
    </row>
    <row r="14" spans="1:15" x14ac:dyDescent="0.35">
      <c r="A14" t="s">
        <v>36</v>
      </c>
    </row>
    <row r="15" spans="1:15" x14ac:dyDescent="0.35">
      <c r="A15" t="s">
        <v>37</v>
      </c>
    </row>
    <row r="16" spans="1:15" x14ac:dyDescent="0.35">
      <c r="A16" t="s">
        <v>38</v>
      </c>
    </row>
    <row r="17" spans="1:1" x14ac:dyDescent="0.35">
      <c r="A17" t="s">
        <v>39</v>
      </c>
    </row>
    <row r="18" spans="1:1" x14ac:dyDescent="0.35">
      <c r="A18" t="s">
        <v>40</v>
      </c>
    </row>
    <row r="19" spans="1:1" x14ac:dyDescent="0.35">
      <c r="A19" t="s">
        <v>41</v>
      </c>
    </row>
    <row r="20" spans="1:1" x14ac:dyDescent="0.35">
      <c r="A20" t="s">
        <v>42</v>
      </c>
    </row>
    <row r="21" spans="1:1" x14ac:dyDescent="0.35">
      <c r="A21" t="s">
        <v>43</v>
      </c>
    </row>
    <row r="22" spans="1:1" x14ac:dyDescent="0.35">
      <c r="A22" t="s">
        <v>44</v>
      </c>
    </row>
    <row r="23" spans="1:1" x14ac:dyDescent="0.35">
      <c r="A23" t="s">
        <v>45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A1C762-7C0F-4506-9633-75512DFB1A94}">
  <dimension ref="A1:M25"/>
  <sheetViews>
    <sheetView workbookViewId="0">
      <selection activeCell="G28" sqref="G28"/>
    </sheetView>
  </sheetViews>
  <sheetFormatPr baseColWidth="10" defaultRowHeight="14.5" x14ac:dyDescent="0.35"/>
  <cols>
    <col min="1" max="1" width="21.81640625" customWidth="1"/>
  </cols>
  <sheetData>
    <row r="1" spans="1:13" x14ac:dyDescent="0.35">
      <c r="B1" t="s">
        <v>0</v>
      </c>
      <c r="C1" t="s">
        <v>4</v>
      </c>
      <c r="D1" t="s">
        <v>1</v>
      </c>
    </row>
    <row r="2" spans="1:13" x14ac:dyDescent="0.35">
      <c r="A2" t="s">
        <v>14</v>
      </c>
      <c r="B2">
        <v>755.47870232939465</v>
      </c>
      <c r="C2">
        <v>2188.5212976706052</v>
      </c>
      <c r="D2">
        <f>SUM(B2:C2)</f>
        <v>2944</v>
      </c>
      <c r="G2">
        <f>B2*0.7*0.5</f>
        <v>264.41754581528812</v>
      </c>
    </row>
    <row r="3" spans="1:13" x14ac:dyDescent="0.35">
      <c r="A3" t="s">
        <v>15</v>
      </c>
      <c r="B3">
        <v>134.53622608695653</v>
      </c>
      <c r="C3">
        <v>51.463773913043475</v>
      </c>
      <c r="D3">
        <f t="shared" ref="D3:D23" si="0">SUM(B3:C3)</f>
        <v>186</v>
      </c>
      <c r="I3" t="s">
        <v>20</v>
      </c>
      <c r="J3" t="s">
        <v>49</v>
      </c>
    </row>
    <row r="4" spans="1:13" x14ac:dyDescent="0.35">
      <c r="A4" t="s">
        <v>16</v>
      </c>
      <c r="B4">
        <v>156.99056470588235</v>
      </c>
      <c r="C4">
        <v>29.009435294117651</v>
      </c>
      <c r="D4">
        <f t="shared" si="0"/>
        <v>186</v>
      </c>
    </row>
    <row r="5" spans="1:13" x14ac:dyDescent="0.35">
      <c r="A5" t="s">
        <v>17</v>
      </c>
      <c r="B5">
        <v>43.83239785330948</v>
      </c>
      <c r="C5">
        <v>4.167602146690518</v>
      </c>
      <c r="D5">
        <f t="shared" si="0"/>
        <v>48</v>
      </c>
    </row>
    <row r="6" spans="1:13" x14ac:dyDescent="0.35">
      <c r="A6" t="s">
        <v>28</v>
      </c>
      <c r="B6">
        <v>113.91003428331933</v>
      </c>
      <c r="C6">
        <v>17.089965716680645</v>
      </c>
      <c r="D6">
        <f t="shared" si="0"/>
        <v>130.99999999999997</v>
      </c>
    </row>
    <row r="7" spans="1:13" x14ac:dyDescent="0.35">
      <c r="A7" t="s">
        <v>29</v>
      </c>
      <c r="B7">
        <v>68.797540238887805</v>
      </c>
      <c r="C7">
        <v>21.202459761112202</v>
      </c>
      <c r="D7">
        <f t="shared" si="0"/>
        <v>90</v>
      </c>
    </row>
    <row r="8" spans="1:13" x14ac:dyDescent="0.35">
      <c r="A8" t="s">
        <v>30</v>
      </c>
      <c r="B8">
        <v>145.23549140271493</v>
      </c>
      <c r="C8">
        <v>3.7645085972850727</v>
      </c>
      <c r="D8">
        <f t="shared" si="0"/>
        <v>149</v>
      </c>
    </row>
    <row r="9" spans="1:13" x14ac:dyDescent="0.35">
      <c r="A9" t="s">
        <v>31</v>
      </c>
      <c r="B9">
        <v>126.52593464788731</v>
      </c>
      <c r="C9">
        <v>44.474065352112696</v>
      </c>
      <c r="D9">
        <f t="shared" si="0"/>
        <v>171</v>
      </c>
    </row>
    <row r="10" spans="1:13" x14ac:dyDescent="0.35">
      <c r="A10" t="s">
        <v>32</v>
      </c>
      <c r="B10">
        <v>47.072259332023577</v>
      </c>
      <c r="C10">
        <v>2.9277406679764231</v>
      </c>
      <c r="D10">
        <f t="shared" si="0"/>
        <v>50</v>
      </c>
    </row>
    <row r="11" spans="1:13" x14ac:dyDescent="0.35">
      <c r="A11" t="s">
        <v>33</v>
      </c>
      <c r="B11">
        <v>29.063999999999997</v>
      </c>
      <c r="C11">
        <v>0.93600000000000105</v>
      </c>
      <c r="D11">
        <f t="shared" si="0"/>
        <v>29.999999999999996</v>
      </c>
    </row>
    <row r="12" spans="1:13" x14ac:dyDescent="0.35">
      <c r="A12" t="s">
        <v>34</v>
      </c>
      <c r="B12">
        <v>179.2884425556858</v>
      </c>
      <c r="C12">
        <v>33.711557444314188</v>
      </c>
      <c r="D12">
        <f t="shared" si="0"/>
        <v>213</v>
      </c>
    </row>
    <row r="13" spans="1:13" x14ac:dyDescent="0.35">
      <c r="A13" t="s">
        <v>35</v>
      </c>
      <c r="B13">
        <v>95.116624345549738</v>
      </c>
      <c r="C13">
        <v>13.883375654450266</v>
      </c>
      <c r="D13">
        <f t="shared" si="0"/>
        <v>109</v>
      </c>
    </row>
    <row r="14" spans="1:13" x14ac:dyDescent="0.35">
      <c r="A14" t="s">
        <v>36</v>
      </c>
      <c r="B14">
        <v>37.915901369863015</v>
      </c>
      <c r="C14">
        <v>3.0840986301369884</v>
      </c>
      <c r="D14">
        <f t="shared" si="0"/>
        <v>41</v>
      </c>
    </row>
    <row r="15" spans="1:13" x14ac:dyDescent="0.35">
      <c r="A15" t="s">
        <v>37</v>
      </c>
      <c r="B15">
        <v>39.790797101449272</v>
      </c>
      <c r="C15">
        <v>1.2092028985507262</v>
      </c>
      <c r="D15">
        <f t="shared" si="0"/>
        <v>41</v>
      </c>
    </row>
    <row r="16" spans="1:13" x14ac:dyDescent="0.35">
      <c r="A16" t="s">
        <v>38</v>
      </c>
      <c r="B16">
        <v>40.11461895261845</v>
      </c>
      <c r="C16">
        <v>1.8853810473815493</v>
      </c>
      <c r="D16">
        <f t="shared" si="0"/>
        <v>42</v>
      </c>
      <c r="M16">
        <f>((254+258+58)*1000*0.15)/36529</f>
        <v>2.3406060937884967</v>
      </c>
    </row>
    <row r="17" spans="1:4" x14ac:dyDescent="0.35">
      <c r="A17" t="s">
        <v>39</v>
      </c>
      <c r="B17">
        <v>264.31269544072944</v>
      </c>
      <c r="C17">
        <v>273.68730455927056</v>
      </c>
      <c r="D17">
        <f t="shared" si="0"/>
        <v>538</v>
      </c>
    </row>
    <row r="18" spans="1:4" x14ac:dyDescent="0.35">
      <c r="A18" t="s">
        <v>40</v>
      </c>
      <c r="B18">
        <v>30.935915789473682</v>
      </c>
      <c r="C18">
        <v>1.064084210526318</v>
      </c>
      <c r="D18">
        <f t="shared" si="0"/>
        <v>32</v>
      </c>
    </row>
    <row r="19" spans="1:4" x14ac:dyDescent="0.35">
      <c r="A19" t="s">
        <v>41</v>
      </c>
      <c r="B19">
        <v>19.042357142857139</v>
      </c>
      <c r="C19">
        <v>0.95764285714285902</v>
      </c>
      <c r="D19">
        <f t="shared" si="0"/>
        <v>19.999999999999996</v>
      </c>
    </row>
    <row r="20" spans="1:4" x14ac:dyDescent="0.35">
      <c r="A20" t="s">
        <v>42</v>
      </c>
      <c r="B20">
        <v>49.315776168652619</v>
      </c>
      <c r="C20">
        <v>3.6842238313473863</v>
      </c>
      <c r="D20">
        <f t="shared" si="0"/>
        <v>53.000000000000007</v>
      </c>
    </row>
    <row r="21" spans="1:4" x14ac:dyDescent="0.35">
      <c r="A21" t="s">
        <v>43</v>
      </c>
      <c r="B21">
        <v>31</v>
      </c>
      <c r="C21">
        <v>0</v>
      </c>
      <c r="D21">
        <f t="shared" si="0"/>
        <v>31</v>
      </c>
    </row>
    <row r="22" spans="1:4" x14ac:dyDescent="0.35">
      <c r="A22" t="s">
        <v>44</v>
      </c>
      <c r="B22">
        <v>123.86145497136906</v>
      </c>
      <c r="C22">
        <v>66.138545028630929</v>
      </c>
      <c r="D22">
        <f t="shared" si="0"/>
        <v>190</v>
      </c>
    </row>
    <row r="23" spans="1:4" x14ac:dyDescent="0.35">
      <c r="A23" t="s">
        <v>45</v>
      </c>
      <c r="B23">
        <v>50.381951188589539</v>
      </c>
      <c r="C23">
        <v>1.6180488114104619</v>
      </c>
      <c r="D23">
        <f t="shared" si="0"/>
        <v>52</v>
      </c>
    </row>
    <row r="25" spans="1:4" x14ac:dyDescent="0.35">
      <c r="A25" t="s">
        <v>1</v>
      </c>
      <c r="B25">
        <f>SUM(B2:B23)</f>
        <v>2582.5196859072134</v>
      </c>
      <c r="C25">
        <f>SUM(C2:C23)</f>
        <v>2764.4803140927866</v>
      </c>
      <c r="D25">
        <f>SUM(B25:C25)</f>
        <v>5347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DCAE16-4335-49F9-8C26-3341265BB48C}">
  <dimension ref="A1:I27"/>
  <sheetViews>
    <sheetView workbookViewId="0">
      <selection activeCell="A28" sqref="A28:XFD28"/>
    </sheetView>
  </sheetViews>
  <sheetFormatPr baseColWidth="10" defaultRowHeight="14.5" x14ac:dyDescent="0.35"/>
  <cols>
    <col min="1" max="1" width="24.54296875" customWidth="1"/>
  </cols>
  <sheetData>
    <row r="1" spans="1:9" x14ac:dyDescent="0.35">
      <c r="A1" t="s">
        <v>25</v>
      </c>
      <c r="B1" t="s">
        <v>10</v>
      </c>
      <c r="C1" t="s">
        <v>11</v>
      </c>
      <c r="D1" t="s">
        <v>12</v>
      </c>
      <c r="E1" t="s">
        <v>13</v>
      </c>
      <c r="F1" t="s">
        <v>23</v>
      </c>
      <c r="G1" t="s">
        <v>46</v>
      </c>
      <c r="H1" t="s">
        <v>47</v>
      </c>
      <c r="I1" t="s">
        <v>48</v>
      </c>
    </row>
    <row r="2" spans="1:9" x14ac:dyDescent="0.35">
      <c r="A2" t="s">
        <v>14</v>
      </c>
      <c r="B2">
        <v>1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</row>
    <row r="3" spans="1:9" x14ac:dyDescent="0.35">
      <c r="A3" t="s">
        <v>15</v>
      </c>
      <c r="B3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</row>
    <row r="4" spans="1:9" x14ac:dyDescent="0.35">
      <c r="A4" t="s">
        <v>16</v>
      </c>
      <c r="B4">
        <v>1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</row>
    <row r="5" spans="1:9" x14ac:dyDescent="0.35">
      <c r="A5" t="s">
        <v>17</v>
      </c>
      <c r="B5">
        <v>1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</row>
    <row r="6" spans="1:9" x14ac:dyDescent="0.35">
      <c r="A6" t="s">
        <v>28</v>
      </c>
      <c r="B6">
        <v>1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</row>
    <row r="7" spans="1:9" x14ac:dyDescent="0.35">
      <c r="A7" t="s">
        <v>29</v>
      </c>
      <c r="B7">
        <v>1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</row>
    <row r="8" spans="1:9" x14ac:dyDescent="0.35">
      <c r="A8" t="s">
        <v>30</v>
      </c>
      <c r="B8">
        <v>1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</row>
    <row r="9" spans="1:9" x14ac:dyDescent="0.35">
      <c r="A9" t="s">
        <v>31</v>
      </c>
      <c r="B9">
        <v>1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</row>
    <row r="10" spans="1:9" x14ac:dyDescent="0.35">
      <c r="A10" t="s">
        <v>32</v>
      </c>
      <c r="B10">
        <v>1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</row>
    <row r="11" spans="1:9" x14ac:dyDescent="0.35">
      <c r="A11" t="s">
        <v>33</v>
      </c>
      <c r="B11">
        <v>1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</row>
    <row r="12" spans="1:9" x14ac:dyDescent="0.35">
      <c r="A12" t="s">
        <v>34</v>
      </c>
      <c r="B12">
        <v>1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</row>
    <row r="13" spans="1:9" x14ac:dyDescent="0.35">
      <c r="A13" t="s">
        <v>35</v>
      </c>
      <c r="B13">
        <v>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</row>
    <row r="14" spans="1:9" x14ac:dyDescent="0.35">
      <c r="A14" t="s">
        <v>36</v>
      </c>
      <c r="B14">
        <v>1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</row>
    <row r="15" spans="1:9" x14ac:dyDescent="0.35">
      <c r="A15" t="s">
        <v>37</v>
      </c>
      <c r="B15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</row>
    <row r="16" spans="1:9" x14ac:dyDescent="0.35">
      <c r="A16" t="s">
        <v>38</v>
      </c>
      <c r="B16">
        <v>1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</row>
    <row r="17" spans="1:9" x14ac:dyDescent="0.35">
      <c r="A17" t="s">
        <v>39</v>
      </c>
      <c r="B17">
        <v>1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</row>
    <row r="18" spans="1:9" x14ac:dyDescent="0.35">
      <c r="A18" t="s">
        <v>40</v>
      </c>
      <c r="B18">
        <v>1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</row>
    <row r="19" spans="1:9" x14ac:dyDescent="0.35">
      <c r="A19" t="s">
        <v>41</v>
      </c>
      <c r="B19">
        <v>1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</row>
    <row r="20" spans="1:9" x14ac:dyDescent="0.35">
      <c r="A20" t="s">
        <v>42</v>
      </c>
      <c r="B20">
        <v>1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</row>
    <row r="21" spans="1:9" x14ac:dyDescent="0.35">
      <c r="A21" t="s">
        <v>43</v>
      </c>
      <c r="B21">
        <v>1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</row>
    <row r="22" spans="1:9" x14ac:dyDescent="0.35">
      <c r="A22" t="s">
        <v>44</v>
      </c>
      <c r="B22">
        <v>1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</row>
    <row r="23" spans="1:9" x14ac:dyDescent="0.35">
      <c r="A23" t="s">
        <v>45</v>
      </c>
      <c r="B23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</row>
    <row r="24" spans="1:9" x14ac:dyDescent="0.35">
      <c r="A24" t="s">
        <v>55</v>
      </c>
      <c r="B24">
        <v>0</v>
      </c>
      <c r="C24">
        <v>0</v>
      </c>
      <c r="D24">
        <v>0</v>
      </c>
      <c r="E24">
        <v>1</v>
      </c>
      <c r="F24">
        <v>0</v>
      </c>
      <c r="G24">
        <v>0</v>
      </c>
      <c r="H24">
        <v>0</v>
      </c>
      <c r="I24">
        <v>0</v>
      </c>
    </row>
    <row r="25" spans="1:9" x14ac:dyDescent="0.35">
      <c r="A25" t="s">
        <v>56</v>
      </c>
      <c r="B25">
        <v>0</v>
      </c>
      <c r="C25">
        <v>0</v>
      </c>
      <c r="D25">
        <v>0</v>
      </c>
      <c r="E25">
        <v>0</v>
      </c>
      <c r="F25">
        <v>1</v>
      </c>
      <c r="G25">
        <v>0</v>
      </c>
      <c r="H25">
        <v>0</v>
      </c>
      <c r="I25">
        <v>0</v>
      </c>
    </row>
    <row r="26" spans="1:9" x14ac:dyDescent="0.35">
      <c r="A26" t="s">
        <v>57</v>
      </c>
      <c r="B26">
        <v>0</v>
      </c>
      <c r="C26">
        <v>1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</row>
    <row r="27" spans="1:9" x14ac:dyDescent="0.35">
      <c r="A27" t="s">
        <v>58</v>
      </c>
      <c r="B27">
        <v>0</v>
      </c>
      <c r="C27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958C74-E6C0-46D4-987A-6DEF0A0AB368}">
  <dimension ref="A1:AA27"/>
  <sheetViews>
    <sheetView topLeftCell="G1" zoomScaleNormal="100" workbookViewId="0">
      <selection activeCell="AB1" sqref="AB1:AB1048576"/>
    </sheetView>
  </sheetViews>
  <sheetFormatPr baseColWidth="10" defaultRowHeight="14.5" x14ac:dyDescent="0.35"/>
  <cols>
    <col min="1" max="1" width="22.1796875" bestFit="1" customWidth="1"/>
    <col min="2" max="2" width="10.54296875" bestFit="1" customWidth="1"/>
    <col min="3" max="3" width="7.81640625" bestFit="1" customWidth="1"/>
    <col min="4" max="4" width="4.54296875" bestFit="1" customWidth="1"/>
    <col min="5" max="5" width="10.81640625" bestFit="1" customWidth="1"/>
    <col min="6" max="6" width="8" bestFit="1" customWidth="1"/>
    <col min="7" max="7" width="15.1796875" bestFit="1" customWidth="1"/>
    <col min="8" max="8" width="10.1796875" bestFit="1" customWidth="1"/>
    <col min="9" max="9" width="15.54296875" bestFit="1" customWidth="1"/>
    <col min="10" max="10" width="15.81640625" bestFit="1" customWidth="1"/>
    <col min="11" max="11" width="8.453125" bestFit="1" customWidth="1"/>
    <col min="12" max="12" width="12.54296875" bestFit="1" customWidth="1"/>
    <col min="13" max="13" width="7" bestFit="1" customWidth="1"/>
    <col min="14" max="14" width="6.81640625" bestFit="1" customWidth="1"/>
    <col min="15" max="15" width="9.81640625" bestFit="1" customWidth="1"/>
    <col min="16" max="16" width="7.453125" bestFit="1" customWidth="1"/>
    <col min="17" max="17" width="20.1796875" bestFit="1" customWidth="1"/>
    <col min="18" max="18" width="4.7265625" bestFit="1" customWidth="1"/>
    <col min="19" max="19" width="17.1796875" bestFit="1" customWidth="1"/>
    <col min="20" max="20" width="8.26953125" bestFit="1" customWidth="1"/>
    <col min="21" max="21" width="21.54296875" bestFit="1" customWidth="1"/>
    <col min="22" max="22" width="7.81640625" bestFit="1" customWidth="1"/>
    <col min="23" max="23" width="11.81640625" bestFit="1" customWidth="1"/>
  </cols>
  <sheetData>
    <row r="1" spans="1:27" x14ac:dyDescent="0.35">
      <c r="A1" t="s">
        <v>9</v>
      </c>
      <c r="B1" t="s">
        <v>14</v>
      </c>
      <c r="C1" t="s">
        <v>15</v>
      </c>
      <c r="D1" t="s">
        <v>16</v>
      </c>
      <c r="E1" t="s">
        <v>17</v>
      </c>
      <c r="F1" t="s">
        <v>28</v>
      </c>
      <c r="G1" t="s">
        <v>29</v>
      </c>
      <c r="H1" t="s">
        <v>30</v>
      </c>
      <c r="I1" t="s">
        <v>31</v>
      </c>
      <c r="J1" t="s">
        <v>32</v>
      </c>
      <c r="K1" t="s">
        <v>33</v>
      </c>
      <c r="L1" t="s">
        <v>34</v>
      </c>
      <c r="M1" t="s">
        <v>35</v>
      </c>
      <c r="N1" t="s">
        <v>36</v>
      </c>
      <c r="O1" t="s">
        <v>37</v>
      </c>
      <c r="P1" t="s">
        <v>38</v>
      </c>
      <c r="Q1" t="s">
        <v>39</v>
      </c>
      <c r="R1" t="s">
        <v>40</v>
      </c>
      <c r="S1" t="s">
        <v>41</v>
      </c>
      <c r="T1" t="s">
        <v>42</v>
      </c>
      <c r="U1" t="s">
        <v>43</v>
      </c>
      <c r="V1" t="s">
        <v>44</v>
      </c>
      <c r="W1" t="s">
        <v>45</v>
      </c>
      <c r="X1" t="s">
        <v>55</v>
      </c>
      <c r="Y1" t="s">
        <v>56</v>
      </c>
      <c r="Z1" t="s">
        <v>57</v>
      </c>
      <c r="AA1" t="s">
        <v>58</v>
      </c>
    </row>
    <row r="2" spans="1:27" x14ac:dyDescent="0.35">
      <c r="A2" t="s">
        <v>14</v>
      </c>
    </row>
    <row r="3" spans="1:27" x14ac:dyDescent="0.35">
      <c r="A3" t="s">
        <v>15</v>
      </c>
    </row>
    <row r="4" spans="1:27" x14ac:dyDescent="0.35">
      <c r="A4" t="s">
        <v>16</v>
      </c>
    </row>
    <row r="5" spans="1:27" x14ac:dyDescent="0.35">
      <c r="A5" t="s">
        <v>17</v>
      </c>
    </row>
    <row r="6" spans="1:27" x14ac:dyDescent="0.35">
      <c r="A6" t="s">
        <v>28</v>
      </c>
    </row>
    <row r="7" spans="1:27" x14ac:dyDescent="0.35">
      <c r="A7" t="s">
        <v>29</v>
      </c>
    </row>
    <row r="8" spans="1:27" x14ac:dyDescent="0.35">
      <c r="A8" t="s">
        <v>30</v>
      </c>
    </row>
    <row r="9" spans="1:27" x14ac:dyDescent="0.35">
      <c r="A9" t="s">
        <v>31</v>
      </c>
    </row>
    <row r="10" spans="1:27" x14ac:dyDescent="0.35">
      <c r="A10" t="s">
        <v>32</v>
      </c>
    </row>
    <row r="11" spans="1:27" x14ac:dyDescent="0.35">
      <c r="A11" t="s">
        <v>33</v>
      </c>
    </row>
    <row r="12" spans="1:27" x14ac:dyDescent="0.35">
      <c r="A12" t="s">
        <v>34</v>
      </c>
    </row>
    <row r="13" spans="1:27" x14ac:dyDescent="0.35">
      <c r="A13" t="s">
        <v>35</v>
      </c>
    </row>
    <row r="14" spans="1:27" x14ac:dyDescent="0.35">
      <c r="A14" t="s">
        <v>36</v>
      </c>
    </row>
    <row r="15" spans="1:27" x14ac:dyDescent="0.35">
      <c r="A15" t="s">
        <v>37</v>
      </c>
    </row>
    <row r="16" spans="1:27" x14ac:dyDescent="0.35">
      <c r="A16" t="s">
        <v>38</v>
      </c>
    </row>
    <row r="17" spans="1:27" x14ac:dyDescent="0.35">
      <c r="A17" t="s">
        <v>39</v>
      </c>
    </row>
    <row r="18" spans="1:27" x14ac:dyDescent="0.35">
      <c r="A18" t="s">
        <v>40</v>
      </c>
    </row>
    <row r="19" spans="1:27" x14ac:dyDescent="0.35">
      <c r="A19" t="s">
        <v>41</v>
      </c>
    </row>
    <row r="20" spans="1:27" x14ac:dyDescent="0.35">
      <c r="A20" t="s">
        <v>42</v>
      </c>
    </row>
    <row r="21" spans="1:27" x14ac:dyDescent="0.35">
      <c r="A21" t="s">
        <v>43</v>
      </c>
    </row>
    <row r="22" spans="1:27" x14ac:dyDescent="0.35">
      <c r="A22" t="s">
        <v>44</v>
      </c>
    </row>
    <row r="23" spans="1:27" x14ac:dyDescent="0.35">
      <c r="A23" t="s">
        <v>45</v>
      </c>
    </row>
    <row r="24" spans="1:27" x14ac:dyDescent="0.35">
      <c r="A24" t="s">
        <v>55</v>
      </c>
      <c r="B24">
        <v>24</v>
      </c>
      <c r="C24">
        <v>23</v>
      </c>
      <c r="D24">
        <v>28</v>
      </c>
      <c r="E24">
        <v>30</v>
      </c>
      <c r="F24">
        <v>30</v>
      </c>
      <c r="G24">
        <v>31</v>
      </c>
      <c r="H24">
        <v>36</v>
      </c>
      <c r="I24">
        <v>39</v>
      </c>
      <c r="J24">
        <v>40</v>
      </c>
      <c r="K24">
        <v>24</v>
      </c>
      <c r="L24">
        <v>15</v>
      </c>
      <c r="M24">
        <v>22</v>
      </c>
      <c r="N24">
        <v>16</v>
      </c>
      <c r="O24">
        <v>28</v>
      </c>
      <c r="P24">
        <v>29</v>
      </c>
      <c r="Q24">
        <v>23</v>
      </c>
      <c r="R24">
        <v>40</v>
      </c>
      <c r="S24">
        <v>36</v>
      </c>
      <c r="T24">
        <v>37</v>
      </c>
      <c r="U24">
        <v>39</v>
      </c>
      <c r="V24">
        <v>40</v>
      </c>
      <c r="W24">
        <v>32</v>
      </c>
      <c r="X24">
        <v>10</v>
      </c>
      <c r="Y24">
        <v>100</v>
      </c>
      <c r="Z24">
        <v>65</v>
      </c>
      <c r="AA24">
        <v>17</v>
      </c>
    </row>
    <row r="25" spans="1:27" x14ac:dyDescent="0.35">
      <c r="A25" t="s">
        <v>56</v>
      </c>
      <c r="B25">
        <v>85</v>
      </c>
      <c r="C25">
        <v>84</v>
      </c>
      <c r="D25">
        <v>80</v>
      </c>
      <c r="E25">
        <v>80</v>
      </c>
      <c r="F25">
        <v>82</v>
      </c>
      <c r="G25">
        <v>80</v>
      </c>
      <c r="H25">
        <v>80</v>
      </c>
      <c r="I25">
        <v>77</v>
      </c>
      <c r="J25">
        <v>80</v>
      </c>
      <c r="K25">
        <v>90</v>
      </c>
      <c r="L25">
        <v>89</v>
      </c>
      <c r="M25">
        <v>87</v>
      </c>
      <c r="N25">
        <v>90</v>
      </c>
      <c r="O25">
        <v>80</v>
      </c>
      <c r="P25">
        <v>80</v>
      </c>
      <c r="Q25">
        <v>80</v>
      </c>
      <c r="R25">
        <v>71</v>
      </c>
      <c r="S25">
        <v>90</v>
      </c>
      <c r="T25">
        <v>75</v>
      </c>
      <c r="U25">
        <v>73</v>
      </c>
      <c r="V25">
        <v>72</v>
      </c>
      <c r="W25">
        <v>100</v>
      </c>
      <c r="X25">
        <v>100</v>
      </c>
      <c r="Y25">
        <v>10</v>
      </c>
      <c r="Z25">
        <v>70</v>
      </c>
      <c r="AA25">
        <v>100</v>
      </c>
    </row>
    <row r="26" spans="1:27" x14ac:dyDescent="0.35">
      <c r="A26" t="s">
        <v>57</v>
      </c>
      <c r="B26">
        <v>46</v>
      </c>
      <c r="C26">
        <v>45</v>
      </c>
      <c r="D26">
        <v>42</v>
      </c>
      <c r="E26">
        <v>40</v>
      </c>
      <c r="F26">
        <v>40</v>
      </c>
      <c r="G26">
        <v>34</v>
      </c>
      <c r="H26">
        <v>30</v>
      </c>
      <c r="I26">
        <v>28</v>
      </c>
      <c r="J26">
        <v>29</v>
      </c>
      <c r="K26">
        <v>54</v>
      </c>
      <c r="L26">
        <v>54</v>
      </c>
      <c r="M26">
        <v>52</v>
      </c>
      <c r="N26">
        <v>54</v>
      </c>
      <c r="O26">
        <v>45</v>
      </c>
      <c r="P26">
        <v>48</v>
      </c>
      <c r="Q26">
        <v>49</v>
      </c>
      <c r="R26">
        <v>25</v>
      </c>
      <c r="S26">
        <v>40</v>
      </c>
      <c r="T26">
        <v>30</v>
      </c>
      <c r="U26">
        <v>28</v>
      </c>
      <c r="V26">
        <v>28</v>
      </c>
      <c r="W26">
        <v>46</v>
      </c>
      <c r="X26">
        <v>65</v>
      </c>
      <c r="Y26">
        <v>70</v>
      </c>
      <c r="Z26">
        <v>10</v>
      </c>
      <c r="AA26">
        <v>60</v>
      </c>
    </row>
    <row r="27" spans="1:27" x14ac:dyDescent="0.35">
      <c r="A27" t="s">
        <v>58</v>
      </c>
      <c r="B27">
        <v>21</v>
      </c>
      <c r="C27">
        <v>24</v>
      </c>
      <c r="D27">
        <v>30</v>
      </c>
      <c r="E27">
        <v>30</v>
      </c>
      <c r="F27">
        <v>31</v>
      </c>
      <c r="G27">
        <v>30</v>
      </c>
      <c r="H27">
        <v>35</v>
      </c>
      <c r="I27">
        <v>36</v>
      </c>
      <c r="J27">
        <v>35</v>
      </c>
      <c r="K27">
        <v>20</v>
      </c>
      <c r="L27">
        <v>15</v>
      </c>
      <c r="M27">
        <v>18</v>
      </c>
      <c r="N27">
        <v>18</v>
      </c>
      <c r="O27">
        <v>29</v>
      </c>
      <c r="P27">
        <v>30</v>
      </c>
      <c r="Q27">
        <v>20</v>
      </c>
      <c r="R27">
        <v>39</v>
      </c>
      <c r="S27">
        <v>24</v>
      </c>
      <c r="T27">
        <v>36</v>
      </c>
      <c r="U27">
        <v>40</v>
      </c>
      <c r="V27">
        <v>39</v>
      </c>
      <c r="W27">
        <v>19</v>
      </c>
      <c r="X27">
        <v>17</v>
      </c>
      <c r="Y27">
        <v>100</v>
      </c>
      <c r="Z27">
        <v>60</v>
      </c>
      <c r="AA27">
        <v>10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462B02-F830-4504-8CFB-862612762922}">
  <dimension ref="A1:M11"/>
  <sheetViews>
    <sheetView workbookViewId="0">
      <selection activeCell="A2" sqref="A2:A11"/>
    </sheetView>
  </sheetViews>
  <sheetFormatPr baseColWidth="10" defaultRowHeight="14.5" x14ac:dyDescent="0.35"/>
  <cols>
    <col min="1" max="1" width="27.26953125" customWidth="1"/>
    <col min="13" max="13" width="22.453125" customWidth="1"/>
  </cols>
  <sheetData>
    <row r="1" spans="1:13" x14ac:dyDescent="0.35">
      <c r="A1" t="s">
        <v>8</v>
      </c>
      <c r="B1" t="s">
        <v>67</v>
      </c>
      <c r="C1" t="s">
        <v>68</v>
      </c>
      <c r="D1" t="s">
        <v>69</v>
      </c>
      <c r="E1" t="s">
        <v>70</v>
      </c>
      <c r="F1" t="s">
        <v>71</v>
      </c>
      <c r="G1" t="s">
        <v>6</v>
      </c>
      <c r="H1" t="s">
        <v>7</v>
      </c>
      <c r="I1" t="s">
        <v>24</v>
      </c>
    </row>
    <row r="2" spans="1:13" x14ac:dyDescent="0.35">
      <c r="A2" t="s">
        <v>64</v>
      </c>
      <c r="B2">
        <v>1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</row>
    <row r="3" spans="1:13" x14ac:dyDescent="0.35">
      <c r="A3" t="s">
        <v>65</v>
      </c>
      <c r="B3">
        <v>0</v>
      </c>
      <c r="C3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</row>
    <row r="4" spans="1:13" x14ac:dyDescent="0.35">
      <c r="A4" t="s">
        <v>66</v>
      </c>
      <c r="B4">
        <v>0</v>
      </c>
      <c r="C4">
        <v>0</v>
      </c>
      <c r="D4">
        <v>1</v>
      </c>
      <c r="E4">
        <v>0</v>
      </c>
      <c r="F4">
        <v>0</v>
      </c>
      <c r="G4">
        <v>0</v>
      </c>
      <c r="H4">
        <v>0</v>
      </c>
      <c r="I4">
        <v>0</v>
      </c>
    </row>
    <row r="5" spans="1:13" x14ac:dyDescent="0.35">
      <c r="A5" t="s">
        <v>59</v>
      </c>
      <c r="B5">
        <v>0</v>
      </c>
      <c r="C5">
        <v>0</v>
      </c>
      <c r="D5">
        <v>0</v>
      </c>
      <c r="E5">
        <v>1</v>
      </c>
      <c r="F5">
        <v>1</v>
      </c>
      <c r="G5">
        <v>0</v>
      </c>
      <c r="H5">
        <v>0</v>
      </c>
      <c r="I5">
        <v>0</v>
      </c>
    </row>
    <row r="6" spans="1:13" x14ac:dyDescent="0.35">
      <c r="A6" t="s">
        <v>72</v>
      </c>
      <c r="B6">
        <v>0</v>
      </c>
      <c r="C6">
        <v>0</v>
      </c>
      <c r="D6">
        <v>0</v>
      </c>
      <c r="E6">
        <v>1</v>
      </c>
      <c r="F6">
        <v>1</v>
      </c>
      <c r="G6">
        <v>0</v>
      </c>
      <c r="H6">
        <v>0</v>
      </c>
      <c r="I6">
        <v>0</v>
      </c>
    </row>
    <row r="7" spans="1:13" x14ac:dyDescent="0.35">
      <c r="A7" t="s">
        <v>60</v>
      </c>
      <c r="B7">
        <v>0</v>
      </c>
      <c r="C7">
        <v>0</v>
      </c>
      <c r="D7">
        <v>0</v>
      </c>
      <c r="E7">
        <v>0</v>
      </c>
      <c r="F7">
        <v>1</v>
      </c>
      <c r="G7">
        <v>0</v>
      </c>
      <c r="H7">
        <v>0</v>
      </c>
      <c r="I7">
        <v>0</v>
      </c>
    </row>
    <row r="8" spans="1:13" x14ac:dyDescent="0.35">
      <c r="A8" t="s">
        <v>73</v>
      </c>
      <c r="B8">
        <v>0</v>
      </c>
      <c r="C8">
        <v>0</v>
      </c>
      <c r="D8">
        <v>0</v>
      </c>
      <c r="E8">
        <v>0</v>
      </c>
      <c r="F8">
        <v>1</v>
      </c>
      <c r="G8">
        <v>0</v>
      </c>
      <c r="H8">
        <v>0</v>
      </c>
      <c r="I8">
        <v>0</v>
      </c>
      <c r="M8" s="1"/>
    </row>
    <row r="9" spans="1:13" x14ac:dyDescent="0.35">
      <c r="A9" t="s">
        <v>61</v>
      </c>
      <c r="B9">
        <v>0</v>
      </c>
      <c r="C9">
        <v>0</v>
      </c>
      <c r="D9">
        <v>0</v>
      </c>
      <c r="E9">
        <v>0</v>
      </c>
      <c r="F9">
        <v>0</v>
      </c>
      <c r="G9">
        <v>1</v>
      </c>
      <c r="H9">
        <v>0</v>
      </c>
      <c r="I9">
        <v>0</v>
      </c>
      <c r="M9" s="1"/>
    </row>
    <row r="10" spans="1:13" x14ac:dyDescent="0.35">
      <c r="A10" t="s">
        <v>62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1</v>
      </c>
      <c r="I10">
        <v>0</v>
      </c>
    </row>
    <row r="11" spans="1:13" x14ac:dyDescent="0.35">
      <c r="A11" t="s">
        <v>63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4072A0-4234-4DB1-AEC3-E2ABC6502924}">
  <dimension ref="A1:B11"/>
  <sheetViews>
    <sheetView tabSelected="1" workbookViewId="0">
      <selection activeCell="F13" sqref="F13"/>
    </sheetView>
  </sheetViews>
  <sheetFormatPr baseColWidth="10" defaultRowHeight="14.5" x14ac:dyDescent="0.35"/>
  <cols>
    <col min="1" max="1" width="24.26953125" customWidth="1"/>
  </cols>
  <sheetData>
    <row r="1" spans="1:2" x14ac:dyDescent="0.35">
      <c r="A1" t="s">
        <v>8</v>
      </c>
      <c r="B1" t="s">
        <v>74</v>
      </c>
    </row>
    <row r="2" spans="1:2" x14ac:dyDescent="0.35">
      <c r="A2" t="s">
        <v>64</v>
      </c>
    </row>
    <row r="3" spans="1:2" x14ac:dyDescent="0.35">
      <c r="A3" t="s">
        <v>65</v>
      </c>
    </row>
    <row r="4" spans="1:2" x14ac:dyDescent="0.35">
      <c r="A4" t="s">
        <v>66</v>
      </c>
    </row>
    <row r="5" spans="1:2" x14ac:dyDescent="0.35">
      <c r="A5" t="s">
        <v>59</v>
      </c>
      <c r="B5">
        <f>186611.81*(1+0.1)</f>
        <v>205272.99100000001</v>
      </c>
    </row>
    <row r="6" spans="1:2" x14ac:dyDescent="0.35">
      <c r="A6" t="s">
        <v>72</v>
      </c>
    </row>
    <row r="7" spans="1:2" x14ac:dyDescent="0.35">
      <c r="A7" t="s">
        <v>60</v>
      </c>
      <c r="B7">
        <f>185060.41*(1+0.1)</f>
        <v>203566.45100000003</v>
      </c>
    </row>
    <row r="8" spans="1:2" x14ac:dyDescent="0.35">
      <c r="A8" t="s">
        <v>73</v>
      </c>
    </row>
    <row r="9" spans="1:2" x14ac:dyDescent="0.35">
      <c r="A9" t="s">
        <v>61</v>
      </c>
    </row>
    <row r="10" spans="1:2" x14ac:dyDescent="0.35">
      <c r="A10" t="s">
        <v>62</v>
      </c>
    </row>
    <row r="11" spans="1:2" x14ac:dyDescent="0.35">
      <c r="A11" t="s">
        <v>63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83A381-22AF-46A0-9DDF-5B74B916E2B3}">
  <dimension ref="A1:B23"/>
  <sheetViews>
    <sheetView topLeftCell="A5" workbookViewId="0">
      <selection activeCell="D34" sqref="D34"/>
    </sheetView>
  </sheetViews>
  <sheetFormatPr baseColWidth="10" defaultRowHeight="14.5" x14ac:dyDescent="0.35"/>
  <cols>
    <col min="2" max="2" width="12.7265625" customWidth="1"/>
  </cols>
  <sheetData>
    <row r="1" spans="1:2" x14ac:dyDescent="0.35">
      <c r="B1" t="s">
        <v>26</v>
      </c>
    </row>
    <row r="2" spans="1:2" x14ac:dyDescent="0.35">
      <c r="A2" t="s">
        <v>14</v>
      </c>
      <c r="B2">
        <v>26.086956521739129</v>
      </c>
    </row>
    <row r="3" spans="1:2" x14ac:dyDescent="0.35">
      <c r="A3" t="s">
        <v>15</v>
      </c>
      <c r="B3">
        <v>30</v>
      </c>
    </row>
    <row r="4" spans="1:2" x14ac:dyDescent="0.35">
      <c r="A4" t="s">
        <v>16</v>
      </c>
      <c r="B4">
        <v>24</v>
      </c>
    </row>
    <row r="5" spans="1:2" x14ac:dyDescent="0.35">
      <c r="A5" t="s">
        <v>17</v>
      </c>
      <c r="B5">
        <v>5</v>
      </c>
    </row>
    <row r="6" spans="1:2" x14ac:dyDescent="0.35">
      <c r="A6" t="s">
        <v>28</v>
      </c>
      <c r="B6">
        <v>22</v>
      </c>
    </row>
    <row r="7" spans="1:2" x14ac:dyDescent="0.35">
      <c r="A7" t="s">
        <v>29</v>
      </c>
      <c r="B7">
        <v>46</v>
      </c>
    </row>
    <row r="8" spans="1:2" x14ac:dyDescent="0.35">
      <c r="A8" t="s">
        <v>30</v>
      </c>
      <c r="B8">
        <v>17</v>
      </c>
    </row>
    <row r="9" spans="1:2" x14ac:dyDescent="0.35">
      <c r="A9" t="s">
        <v>31</v>
      </c>
      <c r="B9">
        <v>17</v>
      </c>
    </row>
    <row r="10" spans="1:2" x14ac:dyDescent="0.35">
      <c r="A10" t="s">
        <v>32</v>
      </c>
      <c r="B10">
        <v>12</v>
      </c>
    </row>
    <row r="11" spans="1:2" x14ac:dyDescent="0.35">
      <c r="A11" t="s">
        <v>33</v>
      </c>
      <c r="B11">
        <v>8</v>
      </c>
    </row>
    <row r="12" spans="1:2" x14ac:dyDescent="0.35">
      <c r="A12" t="s">
        <v>34</v>
      </c>
      <c r="B12">
        <v>24</v>
      </c>
    </row>
    <row r="13" spans="1:2" x14ac:dyDescent="0.35">
      <c r="A13" t="s">
        <v>35</v>
      </c>
      <c r="B13">
        <v>18</v>
      </c>
    </row>
    <row r="14" spans="1:2" x14ac:dyDescent="0.35">
      <c r="A14" t="s">
        <v>36</v>
      </c>
      <c r="B14">
        <v>5</v>
      </c>
    </row>
    <row r="15" spans="1:2" x14ac:dyDescent="0.35">
      <c r="A15" t="s">
        <v>37</v>
      </c>
      <c r="B15">
        <v>8</v>
      </c>
    </row>
    <row r="16" spans="1:2" x14ac:dyDescent="0.35">
      <c r="A16" t="s">
        <v>38</v>
      </c>
      <c r="B16">
        <v>8</v>
      </c>
    </row>
    <row r="17" spans="1:2" x14ac:dyDescent="0.35">
      <c r="A17" t="s">
        <v>39</v>
      </c>
      <c r="B17">
        <v>24.981412639405203</v>
      </c>
    </row>
    <row r="18" spans="1:2" x14ac:dyDescent="0.35">
      <c r="A18" t="s">
        <v>40</v>
      </c>
      <c r="B18">
        <v>8</v>
      </c>
    </row>
    <row r="19" spans="1:2" x14ac:dyDescent="0.35">
      <c r="A19" t="s">
        <v>41</v>
      </c>
      <c r="B19">
        <v>14</v>
      </c>
    </row>
    <row r="20" spans="1:2" x14ac:dyDescent="0.35">
      <c r="A20" t="s">
        <v>42</v>
      </c>
      <c r="B20">
        <v>7</v>
      </c>
    </row>
    <row r="21" spans="1:2" x14ac:dyDescent="0.35">
      <c r="A21" t="s">
        <v>43</v>
      </c>
      <c r="B21">
        <v>7</v>
      </c>
    </row>
    <row r="22" spans="1:2" x14ac:dyDescent="0.35">
      <c r="A22" t="s">
        <v>44</v>
      </c>
      <c r="B22">
        <v>31</v>
      </c>
    </row>
    <row r="23" spans="1:2" x14ac:dyDescent="0.35">
      <c r="A23" t="s">
        <v>45</v>
      </c>
      <c r="B23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7</vt:i4>
      </vt:variant>
    </vt:vector>
  </HeadingPairs>
  <TitlesOfParts>
    <vt:vector size="7" baseType="lpstr">
      <vt:lpstr>mun</vt:lpstr>
      <vt:lpstr>waste_gen</vt:lpstr>
      <vt:lpstr>tech_pot</vt:lpstr>
      <vt:lpstr>dist_market</vt:lpstr>
      <vt:lpstr>market</vt:lpstr>
      <vt:lpstr>mark_cons</vt:lpstr>
      <vt:lpstr>dist_col</vt:lpstr>
    </vt:vector>
  </TitlesOfParts>
  <Company>UTC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Nomena Ravoahangy</dc:creator>
  <cp:lastModifiedBy>Nomena Ravoahangy</cp:lastModifiedBy>
  <dcterms:created xsi:type="dcterms:W3CDTF">2025-05-14T22:14:50Z</dcterms:created>
  <dcterms:modified xsi:type="dcterms:W3CDTF">2026-04-01T09:48:55Z</dcterms:modified>
</cp:coreProperties>
</file>