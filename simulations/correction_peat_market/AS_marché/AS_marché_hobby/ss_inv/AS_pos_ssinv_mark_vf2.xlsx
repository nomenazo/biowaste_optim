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548A628C-544D-4599-85CB-54A6DE39C3E6}" xr6:coauthVersionLast="36" xr6:coauthVersionMax="36" xr10:uidLastSave="{00000000-0000-0000-0000-000000000000}"/>
  <bookViews>
    <workbookView minimized="1" xWindow="0" yWindow="0" windowWidth="14380" windowHeight="4840" xr2:uid="{00000000-000D-0000-FFFF-FFFF00000000}"/>
  </bookViews>
  <sheets>
    <sheet name="result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F11" i="1" l="1"/>
  <c r="AE11" i="1"/>
  <c r="AD11" i="1"/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<sst xmlns="http://schemas.openxmlformats.org/spreadsheetml/2006/main" count="56" uniqueCount="47">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</sst>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3">
          <cell r="AD3">
            <v>-544740.82216742123</v>
          </cell>
        </row>
        <row r="4">
          <cell r="AE4">
            <v>-483581.00663625158</v>
          </cell>
        </row>
        <row r="5">
          <cell r="AF5">
            <v>-3.716445296378966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P1" workbookViewId="0">
      <selection activeCell="AF11" sqref="AF11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I3">
        <v>1.29</v>
      </c>
      <c r="S3">
        <v>3.64</v>
      </c>
      <c r="X3">
        <v>2.3199999999999998</v>
      </c>
      <c r="AA3">
        <v>29</v>
      </c>
      <c r="AC3" s="3">
        <v>47.11</v>
      </c>
      <c r="AD3" s="4">
        <v>-579589.90559525276</v>
      </c>
      <c r="AE3" s="4">
        <v>-262588.57155644702</v>
      </c>
      <c r="AF3" s="4">
        <v>-3.5947562180429231</v>
      </c>
      <c r="AG3" s="4">
        <v>138802.16039899029</v>
      </c>
      <c r="AH3" s="4">
        <v>1.7854054294466311</v>
      </c>
      <c r="AJ3" t="s">
        <v>46</v>
      </c>
      <c r="AK3">
        <f>SUM(D3:Y3)</f>
        <v>23.900000000000002</v>
      </c>
      <c r="AL3">
        <f>SUM(Z3:AA3)</f>
        <v>29</v>
      </c>
      <c r="AM3">
        <f>AB3</f>
        <v>0</v>
      </c>
      <c r="AN3">
        <f>AC3</f>
        <v>47.11</v>
      </c>
    </row>
    <row r="4" spans="1:40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I4">
        <v>1.29</v>
      </c>
      <c r="S4">
        <v>3.64</v>
      </c>
      <c r="X4">
        <v>2.3199999999999998</v>
      </c>
      <c r="AB4" s="3">
        <v>76.11</v>
      </c>
      <c r="AD4" s="4">
        <v>-318558.70802823792</v>
      </c>
      <c r="AE4" s="4">
        <v>-489186.00191859028</v>
      </c>
      <c r="AF4" s="4">
        <v>-4.0038099621006857</v>
      </c>
      <c r="AG4" s="4">
        <v>-162077.91495768999</v>
      </c>
      <c r="AH4" s="4">
        <v>0.38535589932776659</v>
      </c>
      <c r="AJ4" t="s">
        <v>38</v>
      </c>
      <c r="AK4">
        <f t="shared" ref="AK4:AK9" si="0">SUM(D4:Y4)</f>
        <v>23.900000000000002</v>
      </c>
      <c r="AL4">
        <f t="shared" ref="AL4:AL9" si="1">SUM(Z4:AA4)</f>
        <v>0</v>
      </c>
      <c r="AM4">
        <f t="shared" ref="AM4:AN9" si="2">AB4</f>
        <v>76.11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I5">
        <v>1.29</v>
      </c>
      <c r="S5">
        <v>3.64</v>
      </c>
      <c r="X5">
        <v>2.3199999999999998</v>
      </c>
      <c r="AB5" s="3">
        <v>76.11</v>
      </c>
      <c r="AD5" s="4">
        <v>-318558.70802823792</v>
      </c>
      <c r="AE5" s="4">
        <v>-489186.00191859028</v>
      </c>
      <c r="AF5" s="4">
        <v>-4.0038099621006857</v>
      </c>
      <c r="AG5" s="4">
        <v>-162077.91495768999</v>
      </c>
      <c r="AH5" s="4">
        <v>0.38535589932776659</v>
      </c>
      <c r="AJ5" t="s">
        <v>39</v>
      </c>
      <c r="AK5">
        <f t="shared" si="0"/>
        <v>23.900000000000002</v>
      </c>
      <c r="AL5">
        <f t="shared" si="1"/>
        <v>0</v>
      </c>
      <c r="AM5">
        <f t="shared" si="2"/>
        <v>76.11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I6">
        <v>1.29</v>
      </c>
      <c r="S6">
        <v>3.64</v>
      </c>
      <c r="X6">
        <v>2.3199999999999998</v>
      </c>
      <c r="AB6" s="3">
        <v>76.11</v>
      </c>
      <c r="AD6" s="4">
        <v>-318558.70802823792</v>
      </c>
      <c r="AE6" s="4">
        <v>-489186.00191859028</v>
      </c>
      <c r="AF6" s="4">
        <v>-4.0038099621006857</v>
      </c>
      <c r="AG6" s="4">
        <v>-162077.91495768999</v>
      </c>
      <c r="AH6" s="4">
        <v>0.38535589932776659</v>
      </c>
      <c r="AJ6" t="s">
        <v>40</v>
      </c>
      <c r="AK6">
        <f t="shared" si="0"/>
        <v>23.900000000000002</v>
      </c>
      <c r="AL6">
        <f t="shared" si="1"/>
        <v>0</v>
      </c>
      <c r="AM6">
        <f t="shared" si="2"/>
        <v>76.11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I7">
        <v>1.29</v>
      </c>
      <c r="S7">
        <v>3.64</v>
      </c>
      <c r="X7">
        <v>2.3199999999999998</v>
      </c>
      <c r="AB7" s="3">
        <v>76.11</v>
      </c>
      <c r="AD7" s="4">
        <v>-318558.70802823792</v>
      </c>
      <c r="AE7" s="4">
        <v>-489186.00191859028</v>
      </c>
      <c r="AF7" s="4">
        <v>-4.0038099621006857</v>
      </c>
      <c r="AG7" s="4">
        <v>-162077.91495768999</v>
      </c>
      <c r="AH7" s="4">
        <v>0.38535589932776659</v>
      </c>
      <c r="AJ7" t="s">
        <v>41</v>
      </c>
      <c r="AK7">
        <f t="shared" si="0"/>
        <v>23.900000000000002</v>
      </c>
      <c r="AL7">
        <f t="shared" si="1"/>
        <v>0</v>
      </c>
      <c r="AM7">
        <f t="shared" si="2"/>
        <v>76.11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I8">
        <v>1.29</v>
      </c>
      <c r="S8">
        <v>3.64</v>
      </c>
      <c r="X8">
        <v>2.3199999999999998</v>
      </c>
      <c r="Z8" s="3">
        <v>10.33</v>
      </c>
      <c r="AA8">
        <v>12.4</v>
      </c>
      <c r="AB8" s="3">
        <v>53.39</v>
      </c>
      <c r="AD8" s="4">
        <v>-397070.18547796051</v>
      </c>
      <c r="AE8" s="4">
        <v>-428947.19146014733</v>
      </c>
      <c r="AF8" s="4">
        <v>-3.968548042116828</v>
      </c>
      <c r="AG8" s="4">
        <v>-93099.279188162007</v>
      </c>
      <c r="AH8" s="4">
        <v>0.52829490778647425</v>
      </c>
      <c r="AJ8" t="s">
        <v>42</v>
      </c>
      <c r="AK8">
        <f t="shared" si="0"/>
        <v>23.900000000000002</v>
      </c>
      <c r="AL8">
        <f t="shared" si="1"/>
        <v>22.73</v>
      </c>
      <c r="AM8">
        <f t="shared" si="2"/>
        <v>53.39</v>
      </c>
      <c r="AN8">
        <f t="shared" si="2"/>
        <v>0</v>
      </c>
    </row>
    <row r="9" spans="1:40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I9">
        <v>1.29</v>
      </c>
      <c r="S9">
        <v>3.64</v>
      </c>
      <c r="X9">
        <v>2.3199999999999998</v>
      </c>
      <c r="AB9" s="3">
        <v>76.11</v>
      </c>
      <c r="AD9" s="4">
        <v>-318558.70802823792</v>
      </c>
      <c r="AE9" s="4">
        <v>-489186.00191859028</v>
      </c>
      <c r="AF9" s="4">
        <v>-4.0038099621006857</v>
      </c>
      <c r="AG9" s="4">
        <v>-162077.91495768999</v>
      </c>
      <c r="AH9" s="4">
        <v>0.38535589932776659</v>
      </c>
      <c r="AJ9" t="s">
        <v>43</v>
      </c>
      <c r="AK9">
        <f t="shared" si="0"/>
        <v>23.900000000000002</v>
      </c>
      <c r="AL9">
        <f t="shared" si="1"/>
        <v>0</v>
      </c>
      <c r="AM9">
        <f t="shared" si="2"/>
        <v>76.11</v>
      </c>
      <c r="AN9">
        <f t="shared" si="2"/>
        <v>0</v>
      </c>
    </row>
    <row r="11" spans="1:40" x14ac:dyDescent="0.35">
      <c r="AD11" s="4">
        <f>(AD3-[1]results!$AD$3)/[1]results!$AD$3</f>
        <v>6.397369539733333E-2</v>
      </c>
      <c r="AE11" s="4">
        <f>(AE4-[1]results!$AE$4)/[1]results!$AE$4</f>
        <v>1.159060261966567E-2</v>
      </c>
      <c r="AF11" s="4">
        <f>(AF5-[1]results!$AF$5)/[1]results!$AF$5</f>
        <v>7.7322452721611951E-2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2026-04-22T15:57:15Z</dcterms:created>
  <dcterms:modified xsi:type="dcterms:W3CDTF">2026-04-23T12:47:57Z</dcterms:modified>
</cp:coreProperties>
</file>