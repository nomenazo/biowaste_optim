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ss_inv\"/>
    </mc:Choice>
  </mc:AlternateContent>
  <xr:revisionPtr revIDLastSave="0" documentId="13_ncr:1_{69A36508-8397-4345-BFED-42A49E8686A0}" xr6:coauthVersionLast="36" xr6:coauthVersionMax="36" xr10:uidLastSave="{00000000-0000-0000-0000-000000000000}"/>
  <bookViews>
    <workbookView xWindow="0" yWindow="0" windowWidth="15200" windowHeight="6930" activeTab="5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mark_cons" sheetId="14" r:id="rId6"/>
    <sheet name="dist_col" sheetId="1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4" l="1"/>
  <c r="B5" i="14"/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<sst xmlns="http://schemas.openxmlformats.org/spreadsheetml/2006/main" count="207" uniqueCount="75">
  <si>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</si>
  <si>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</si>
  <si>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</si>
  <si>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</si>
  <si>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</si>
  <si>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</si>
  <si>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</si>
  <si>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</si>
  <si>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</si>
  <si>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</si>
  <si>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</si>
  <si>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</si>
  <si>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</si>
  <si>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</si>
  <si>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</si>
  <si>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</si>
  <si>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</si>
  <si>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</si>
  <si>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</si>
  <si>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</si>
  <si>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</si>
  <si>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</si>
  <si>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</si>
  <si>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</si>
  <si>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</si>
  <si>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</si>
  <si>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</si>
  <si>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</si>
  <si>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</si>
  <si>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</si>
  <si>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</si>
  <si>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</si>
  <si>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</si>
  <si>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</si>
  <si>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</si>
  <si>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</si>
  <si>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</si>
  <si>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</si>
  <si>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</si>
  <si>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</si>
  <si>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</si>
  <si>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</si>
  <si>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</si>
  <si>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</si>
  <si>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</si>
  <si>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</si>
  <si>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</si>
  <si>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</si>
  <si>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</si>
  <si>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</si>
  <si>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</si>
  <si>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</si>
  <si>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</si>
  <si>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</si>
  <si>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</si>
  <si>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</si>
  <si>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</si>
  <si>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</si>
  <si>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</si>
  <si>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</si>
  <si>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</si>
  <si>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</si>
  <si>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</si>
  <si>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</si>
  <si>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</si>
  <si>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</si>
  <si>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</si>
  <si>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</si>
  <si>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</si>
  <si>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</si>
  <si>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</si>
  <si>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</si>
  <si>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Peat_hobby_mark_wt_sub</t>
  </si>
  <si>
    <t>Peat_pro_mark_wt_sub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</si>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</sst>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18</v>
      </c>
      <c r="C1" s="2" t="s">
        <v>19</v>
      </c>
    </row>
    <row r="2" spans="1:15" x14ac:dyDescent="0.3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35">
      <c r="A3" t="s">
        <v>15</v>
      </c>
      <c r="B3" t="s">
        <v>51</v>
      </c>
      <c r="I3" t="s">
        <v>5</v>
      </c>
      <c r="J3" t="s">
        <v>27</v>
      </c>
    </row>
    <row r="4" spans="1:15" x14ac:dyDescent="0.35">
      <c r="A4" t="s">
        <v>16</v>
      </c>
      <c r="B4" t="s">
        <v>52</v>
      </c>
      <c r="I4" t="s">
        <v>3</v>
      </c>
      <c r="J4" t="s">
        <v>50</v>
      </c>
    </row>
    <row r="5" spans="1:15" x14ac:dyDescent="0.35">
      <c r="A5" t="s">
        <v>17</v>
      </c>
    </row>
    <row r="6" spans="1:15" x14ac:dyDescent="0.35">
      <c r="A6" t="s">
        <v>28</v>
      </c>
    </row>
    <row r="7" spans="1:15" x14ac:dyDescent="0.35">
      <c r="A7" t="s">
        <v>29</v>
      </c>
    </row>
    <row r="8" spans="1:15" x14ac:dyDescent="0.35">
      <c r="A8" t="s">
        <v>30</v>
      </c>
    </row>
    <row r="9" spans="1:15" x14ac:dyDescent="0.35">
      <c r="A9" t="s">
        <v>31</v>
      </c>
    </row>
    <row r="10" spans="1:15" x14ac:dyDescent="0.35">
      <c r="A10" t="s">
        <v>32</v>
      </c>
    </row>
    <row r="11" spans="1:15" x14ac:dyDescent="0.35">
      <c r="A11" t="s">
        <v>33</v>
      </c>
    </row>
    <row r="12" spans="1:15" x14ac:dyDescent="0.35">
      <c r="A12" t="s">
        <v>34</v>
      </c>
    </row>
    <row r="13" spans="1:15" x14ac:dyDescent="0.35">
      <c r="A13" t="s">
        <v>35</v>
      </c>
    </row>
    <row r="14" spans="1:15" x14ac:dyDescent="0.35">
      <c r="A14" t="s">
        <v>36</v>
      </c>
    </row>
    <row r="15" spans="1:15" x14ac:dyDescent="0.35">
      <c r="A15" t="s">
        <v>37</v>
      </c>
    </row>
    <row r="16" spans="1:15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5"/>
  <sheetViews>
    <sheetView workbookViewId="0">
      <selection activeCell="G28" sqref="G28"/>
    </sheetView>
  </sheetViews>
  <sheetFormatPr baseColWidth="10" defaultRowHeight="14.5" x14ac:dyDescent="0.35"/>
  <cols>
    <col min="1" max="1" width="21.81640625" customWidth="1"/>
  </cols>
  <sheetData>
    <row r="1" spans="1:13" x14ac:dyDescent="0.35">
      <c r="B1" t="s">
        <v>0</v>
      </c>
      <c r="C1" t="s">
        <v>4</v>
      </c>
      <c r="D1" t="s">
        <v>1</v>
      </c>
    </row>
    <row r="2" spans="1:13" x14ac:dyDescent="0.3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3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3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3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3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3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3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3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3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3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3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3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3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3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3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4" x14ac:dyDescent="0.3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4" x14ac:dyDescent="0.3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4" x14ac:dyDescent="0.3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4" x14ac:dyDescent="0.3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4" x14ac:dyDescent="0.35">
      <c r="A21" t="s">
        <v>43</v>
      </c>
      <c r="B21">
        <v>31</v>
      </c>
      <c r="C21">
        <v>0</v>
      </c>
      <c r="D21">
        <f t="shared" si="0"/>
        <v>31</v>
      </c>
    </row>
    <row r="22" spans="1:4" x14ac:dyDescent="0.3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4" x14ac:dyDescent="0.3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4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7"/>
  <sheetViews>
    <sheetView workbookViewId="0">
      <selection activeCell="A28" sqref="A28:XFD28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3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57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58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A27"/>
  <sheetViews>
    <sheetView topLeftCell="G1" zoomScaleNormal="100" workbookViewId="0">
      <selection activeCell="AB1" sqref="AB1:AB1048576"/>
    </sheetView>
  </sheetViews>
  <sheetFormatPr baseColWidth="10" defaultRowHeight="14.5" x14ac:dyDescent="0.35"/>
  <cols>
    <col min="1" max="1" width="22.1796875" bestFit="1" customWidth="1"/>
    <col min="2" max="2" width="10.54296875" bestFit="1" customWidth="1"/>
    <col min="3" max="3" width="7.81640625" bestFit="1" customWidth="1"/>
    <col min="4" max="4" width="4.54296875" bestFit="1" customWidth="1"/>
    <col min="5" max="5" width="10.81640625" bestFit="1" customWidth="1"/>
    <col min="6" max="6" width="8" bestFit="1" customWidth="1"/>
    <col min="7" max="7" width="15.1796875" bestFit="1" customWidth="1"/>
    <col min="8" max="8" width="10.1796875" bestFit="1" customWidth="1"/>
    <col min="9" max="9" width="15.54296875" bestFit="1" customWidth="1"/>
    <col min="10" max="10" width="15.81640625" bestFit="1" customWidth="1"/>
    <col min="11" max="11" width="8.453125" bestFit="1" customWidth="1"/>
    <col min="12" max="12" width="12.54296875" bestFit="1" customWidth="1"/>
    <col min="13" max="13" width="7" bestFit="1" customWidth="1"/>
    <col min="14" max="14" width="6.81640625" bestFit="1" customWidth="1"/>
    <col min="15" max="15" width="9.81640625" bestFit="1" customWidth="1"/>
    <col min="16" max="16" width="7.453125" bestFit="1" customWidth="1"/>
    <col min="17" max="17" width="20.1796875" bestFit="1" customWidth="1"/>
    <col min="18" max="18" width="4.7265625" bestFit="1" customWidth="1"/>
    <col min="19" max="19" width="17.1796875" bestFit="1" customWidth="1"/>
    <col min="20" max="20" width="8.26953125" bestFit="1" customWidth="1"/>
    <col min="21" max="21" width="21.54296875" bestFit="1" customWidth="1"/>
    <col min="22" max="22" width="7.81640625" bestFit="1" customWidth="1"/>
    <col min="23" max="23" width="11.81640625" bestFit="1" customWidth="1"/>
  </cols>
  <sheetData>
    <row r="1" spans="1:27" x14ac:dyDescent="0.3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55</v>
      </c>
      <c r="Y1" t="s">
        <v>56</v>
      </c>
      <c r="Z1" t="s">
        <v>57</v>
      </c>
      <c r="AA1" t="s">
        <v>58</v>
      </c>
    </row>
    <row r="2" spans="1:27" x14ac:dyDescent="0.35">
      <c r="A2" t="s">
        <v>14</v>
      </c>
    </row>
    <row r="3" spans="1:27" x14ac:dyDescent="0.35">
      <c r="A3" t="s">
        <v>15</v>
      </c>
    </row>
    <row r="4" spans="1:27" x14ac:dyDescent="0.35">
      <c r="A4" t="s">
        <v>16</v>
      </c>
    </row>
    <row r="5" spans="1:27" x14ac:dyDescent="0.35">
      <c r="A5" t="s">
        <v>17</v>
      </c>
    </row>
    <row r="6" spans="1:27" x14ac:dyDescent="0.35">
      <c r="A6" t="s">
        <v>28</v>
      </c>
    </row>
    <row r="7" spans="1:27" x14ac:dyDescent="0.35">
      <c r="A7" t="s">
        <v>29</v>
      </c>
    </row>
    <row r="8" spans="1:27" x14ac:dyDescent="0.35">
      <c r="A8" t="s">
        <v>30</v>
      </c>
    </row>
    <row r="9" spans="1:27" x14ac:dyDescent="0.35">
      <c r="A9" t="s">
        <v>31</v>
      </c>
    </row>
    <row r="10" spans="1:27" x14ac:dyDescent="0.35">
      <c r="A10" t="s">
        <v>32</v>
      </c>
    </row>
    <row r="11" spans="1:27" x14ac:dyDescent="0.35">
      <c r="A11" t="s">
        <v>33</v>
      </c>
    </row>
    <row r="12" spans="1:27" x14ac:dyDescent="0.35">
      <c r="A12" t="s">
        <v>34</v>
      </c>
    </row>
    <row r="13" spans="1:27" x14ac:dyDescent="0.35">
      <c r="A13" t="s">
        <v>35</v>
      </c>
    </row>
    <row r="14" spans="1:27" x14ac:dyDescent="0.35">
      <c r="A14" t="s">
        <v>36</v>
      </c>
    </row>
    <row r="15" spans="1:27" x14ac:dyDescent="0.35">
      <c r="A15" t="s">
        <v>37</v>
      </c>
    </row>
    <row r="16" spans="1:27" x14ac:dyDescent="0.35">
      <c r="A16" t="s">
        <v>38</v>
      </c>
    </row>
    <row r="17" spans="1:27" x14ac:dyDescent="0.35">
      <c r="A17" t="s">
        <v>39</v>
      </c>
    </row>
    <row r="18" spans="1:27" x14ac:dyDescent="0.35">
      <c r="A18" t="s">
        <v>40</v>
      </c>
    </row>
    <row r="19" spans="1:27" x14ac:dyDescent="0.35">
      <c r="A19" t="s">
        <v>41</v>
      </c>
    </row>
    <row r="20" spans="1:27" x14ac:dyDescent="0.35">
      <c r="A20" t="s">
        <v>42</v>
      </c>
    </row>
    <row r="21" spans="1:27" x14ac:dyDescent="0.35">
      <c r="A21" t="s">
        <v>43</v>
      </c>
    </row>
    <row r="22" spans="1:27" x14ac:dyDescent="0.35">
      <c r="A22" t="s">
        <v>44</v>
      </c>
    </row>
    <row r="23" spans="1:27" x14ac:dyDescent="0.35">
      <c r="A23" t="s">
        <v>45</v>
      </c>
    </row>
    <row r="24" spans="1:27" x14ac:dyDescent="0.35">
      <c r="A24" t="s">
        <v>55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</row>
    <row r="25" spans="1:27" x14ac:dyDescent="0.35">
      <c r="A25" t="s">
        <v>56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</row>
    <row r="26" spans="1:27" x14ac:dyDescent="0.35">
      <c r="A26" t="s">
        <v>57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</row>
    <row r="27" spans="1:27" x14ac:dyDescent="0.35">
      <c r="A27" t="s">
        <v>58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11"/>
  <sheetViews>
    <sheetView workbookViewId="0">
      <selection activeCell="A2" sqref="A2:A11"/>
    </sheetView>
  </sheetViews>
  <sheetFormatPr baseColWidth="10" defaultRowHeight="14.5" x14ac:dyDescent="0.35"/>
  <cols>
    <col min="1" max="1" width="27.26953125" customWidth="1"/>
    <col min="13" max="13" width="22.453125" customWidth="1"/>
  </cols>
  <sheetData>
    <row r="1" spans="1:13" x14ac:dyDescent="0.35">
      <c r="A1" t="s">
        <v>8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6</v>
      </c>
      <c r="H1" t="s">
        <v>7</v>
      </c>
      <c r="I1" t="s">
        <v>24</v>
      </c>
    </row>
    <row r="2" spans="1:13" x14ac:dyDescent="0.35">
      <c r="A2" t="s">
        <v>64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35">
      <c r="A3" t="s">
        <v>65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35">
      <c r="A4" t="s">
        <v>66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35">
      <c r="A5" t="s">
        <v>59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35">
      <c r="A6" t="s">
        <v>72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13" x14ac:dyDescent="0.35">
      <c r="A7" t="s">
        <v>60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 spans="1:13" x14ac:dyDescent="0.35">
      <c r="A8" t="s">
        <v>73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M8" s="1"/>
    </row>
    <row r="9" spans="1:13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M9" s="1"/>
    </row>
    <row r="10" spans="1:13" x14ac:dyDescent="0.35">
      <c r="A10" t="s">
        <v>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1:13" x14ac:dyDescent="0.35">
      <c r="A11" t="s">
        <v>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72A0-4234-4DB1-AEC3-E2ABC6502924}">
  <dimension ref="A1:B11"/>
  <sheetViews>
    <sheetView tabSelected="1" workbookViewId="0">
      <selection activeCell="F17" sqref="F17"/>
    </sheetView>
  </sheetViews>
  <sheetFormatPr baseColWidth="10" defaultRowHeight="14.5" x14ac:dyDescent="0.35"/>
  <cols>
    <col min="1" max="1" width="24.26953125" customWidth="1"/>
  </cols>
  <sheetData>
    <row r="1" spans="1:2" x14ac:dyDescent="0.35">
      <c r="A1" t="s">
        <v>8</v>
      </c>
      <c r="B1" t="s">
        <v>74</v>
      </c>
    </row>
    <row r="2" spans="1:2" x14ac:dyDescent="0.35">
      <c r="A2" t="s">
        <v>64</v>
      </c>
    </row>
    <row r="3" spans="1:2" x14ac:dyDescent="0.35">
      <c r="A3" t="s">
        <v>65</v>
      </c>
    </row>
    <row r="4" spans="1:2" x14ac:dyDescent="0.35">
      <c r="A4" t="s">
        <v>66</v>
      </c>
    </row>
    <row r="5" spans="1:2" x14ac:dyDescent="0.35">
      <c r="A5" t="s">
        <v>59</v>
      </c>
      <c r="B5">
        <f>186611.81*(1-0.1)</f>
        <v>167950.62900000002</v>
      </c>
    </row>
    <row r="6" spans="1:2" x14ac:dyDescent="0.35">
      <c r="A6" t="s">
        <v>72</v>
      </c>
    </row>
    <row r="7" spans="1:2" x14ac:dyDescent="0.35">
      <c r="A7" t="s">
        <v>60</v>
      </c>
      <c r="B7">
        <f>185060.41*(1-0.1)</f>
        <v>166554.36900000001</v>
      </c>
    </row>
    <row r="8" spans="1:2" x14ac:dyDescent="0.35">
      <c r="A8" t="s">
        <v>73</v>
      </c>
    </row>
    <row r="9" spans="1:2" x14ac:dyDescent="0.35">
      <c r="A9" t="s">
        <v>61</v>
      </c>
    </row>
    <row r="10" spans="1:2" x14ac:dyDescent="0.35">
      <c r="A10" t="s">
        <v>62</v>
      </c>
    </row>
    <row r="11" spans="1:2" x14ac:dyDescent="0.35">
      <c r="A11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topLeftCell="A5" workbookViewId="0">
      <selection activeCell="D34" sqref="D3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26</v>
      </c>
    </row>
    <row r="2" spans="1:2" x14ac:dyDescent="0.35">
      <c r="A2" t="s">
        <v>14</v>
      </c>
      <c r="B2">
        <v>26.086956521739129</v>
      </c>
    </row>
    <row r="3" spans="1:2" x14ac:dyDescent="0.35">
      <c r="A3" t="s">
        <v>15</v>
      </c>
      <c r="B3">
        <v>30</v>
      </c>
    </row>
    <row r="4" spans="1:2" x14ac:dyDescent="0.35">
      <c r="A4" t="s">
        <v>16</v>
      </c>
      <c r="B4">
        <v>24</v>
      </c>
    </row>
    <row r="5" spans="1:2" x14ac:dyDescent="0.35">
      <c r="A5" t="s">
        <v>17</v>
      </c>
      <c r="B5">
        <v>5</v>
      </c>
    </row>
    <row r="6" spans="1:2" x14ac:dyDescent="0.35">
      <c r="A6" t="s">
        <v>28</v>
      </c>
      <c r="B6">
        <v>22</v>
      </c>
    </row>
    <row r="7" spans="1:2" x14ac:dyDescent="0.35">
      <c r="A7" t="s">
        <v>29</v>
      </c>
      <c r="B7">
        <v>46</v>
      </c>
    </row>
    <row r="8" spans="1:2" x14ac:dyDescent="0.35">
      <c r="A8" t="s">
        <v>30</v>
      </c>
      <c r="B8">
        <v>17</v>
      </c>
    </row>
    <row r="9" spans="1:2" x14ac:dyDescent="0.35">
      <c r="A9" t="s">
        <v>31</v>
      </c>
      <c r="B9">
        <v>17</v>
      </c>
    </row>
    <row r="10" spans="1:2" x14ac:dyDescent="0.35">
      <c r="A10" t="s">
        <v>32</v>
      </c>
      <c r="B10">
        <v>12</v>
      </c>
    </row>
    <row r="11" spans="1:2" x14ac:dyDescent="0.35">
      <c r="A11" t="s">
        <v>33</v>
      </c>
      <c r="B11">
        <v>8</v>
      </c>
    </row>
    <row r="12" spans="1:2" x14ac:dyDescent="0.35">
      <c r="A12" t="s">
        <v>34</v>
      </c>
      <c r="B12">
        <v>24</v>
      </c>
    </row>
    <row r="13" spans="1:2" x14ac:dyDescent="0.35">
      <c r="A13" t="s">
        <v>35</v>
      </c>
      <c r="B13">
        <v>18</v>
      </c>
    </row>
    <row r="14" spans="1:2" x14ac:dyDescent="0.35">
      <c r="A14" t="s">
        <v>36</v>
      </c>
      <c r="B14">
        <v>5</v>
      </c>
    </row>
    <row r="15" spans="1:2" x14ac:dyDescent="0.35">
      <c r="A15" t="s">
        <v>37</v>
      </c>
      <c r="B15">
        <v>8</v>
      </c>
    </row>
    <row r="16" spans="1:2" x14ac:dyDescent="0.35">
      <c r="A16" t="s">
        <v>38</v>
      </c>
      <c r="B16">
        <v>8</v>
      </c>
    </row>
    <row r="17" spans="1:2" x14ac:dyDescent="0.35">
      <c r="A17" t="s">
        <v>39</v>
      </c>
      <c r="B17">
        <v>24.981412639405203</v>
      </c>
    </row>
    <row r="18" spans="1:2" x14ac:dyDescent="0.35">
      <c r="A18" t="s">
        <v>40</v>
      </c>
      <c r="B18">
        <v>8</v>
      </c>
    </row>
    <row r="19" spans="1:2" x14ac:dyDescent="0.35">
      <c r="A19" t="s">
        <v>41</v>
      </c>
      <c r="B19">
        <v>14</v>
      </c>
    </row>
    <row r="20" spans="1:2" x14ac:dyDescent="0.35">
      <c r="A20" t="s">
        <v>42</v>
      </c>
      <c r="B20">
        <v>7</v>
      </c>
    </row>
    <row r="21" spans="1:2" x14ac:dyDescent="0.35">
      <c r="A21" t="s">
        <v>43</v>
      </c>
      <c r="B21">
        <v>7</v>
      </c>
    </row>
    <row r="22" spans="1:2" x14ac:dyDescent="0.35">
      <c r="A22" t="s">
        <v>44</v>
      </c>
      <c r="B22">
        <v>31</v>
      </c>
    </row>
    <row r="23" spans="1:2" x14ac:dyDescent="0.3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tech_pot</vt:lpstr>
      <vt:lpstr>dist_market</vt:lpstr>
      <vt:lpstr>market</vt:lpstr>
      <vt:lpstr>mark_cons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2026-04-01T09:49:24Z</dcterms:modified>
</cp:coreProperties>
</file>