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ss_inv\"/>
    </mc:Choice>
  </mc:AlternateContent>
  <xr:revisionPtr revIDLastSave="0" documentId="13_ncr:1_{097CDC6D-9C37-4556-ABDE-6B3FB714D838}" xr6:coauthVersionLast="36" xr6:coauthVersionMax="36" xr10:uidLastSave="{00000000-0000-0000-0000-000000000000}"/>
  <bookViews>
    <workbookView xWindow="0" yWindow="0" windowWidth="14380" windowHeight="4840" xr2:uid="{00000000-000D-0000-FFFF-FFFF00000000}"/>
  </bookViews>
  <sheets>
    <sheet name="results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AF11" i="1" l="1"/>
  <c r="AE11" i="1"/>
  <c r="AD11" i="1"/>
  <c r="AN9" i="1" l="1"/>
  <c r="AM9" i="1"/>
  <c r="AL9" i="1"/>
  <c r="AK9" i="1"/>
  <c r="AN8" i="1"/>
  <c r="AM8" i="1"/>
  <c r="AL8" i="1"/>
  <c r="AK8" i="1"/>
  <c r="AN7" i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<sst xmlns="http://schemas.openxmlformats.org/spreadsheetml/2006/main" count="56" uniqueCount="47">
  <si>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</si>
  <si>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</si>
  <si>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</si>
  <si>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</si>
  <si>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</si>
  <si>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</si>
  <si>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</si>
  <si>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</si>
  <si>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</si>
  <si>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</si>
  <si>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</si>
  <si>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</si>
  <si>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</si>
  <si>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</si>
  <si>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</si>
  <si>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</si>
  <si>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</si>
  <si>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</si>
  <si>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</si>
  <si>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</si>
  <si>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</si>
  <si>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</si>
  <si>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</si>
  <si>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</si>
  <si>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</si>
  <si>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</si>
  <si>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</si>
  <si>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</si>
  <si>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</si>
  <si>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</si>
  <si>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</si>
  <si>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</si>
  <si>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</si>
  <si>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</si>
  <si>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</si>
  <si>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</si>
  <si>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</si>
  <si>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</si>
  <si>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</si>
  <si>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</si>
  <si>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</si>
  <si>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</si>
  <si>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</si>
  <si>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</si>
  <si>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minCC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</si>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</sst>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ss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inte de capacité"/>
      <sheetName val="results"/>
      <sheetName val="Feuil1"/>
      <sheetName val="Feuil2"/>
    </sheetNames>
    <sheetDataSet>
      <sheetData sheetId="0"/>
      <sheetData sheetId="1">
        <row r="3">
          <cell r="AD3">
            <v>-544740.82216742123</v>
          </cell>
        </row>
        <row r="4">
          <cell r="AE4">
            <v>-483581.00663625158</v>
          </cell>
        </row>
        <row r="5">
          <cell r="AF5">
            <v>-3.716445296378966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topLeftCell="U1" workbookViewId="0">
      <selection activeCell="AE11" sqref="AE11"/>
    </sheetView>
  </sheetViews>
  <sheetFormatPr baseColWidth="10" defaultColWidth="8.7265625" defaultRowHeight="14.5" x14ac:dyDescent="0.35"/>
  <sheetData>
    <row r="1" spans="1:40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8" t="s">
        <v>3</v>
      </c>
      <c r="AD1" s="9"/>
      <c r="AE1" s="9"/>
      <c r="AF1" s="9"/>
      <c r="AG1" s="9"/>
      <c r="AH1" s="10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45</v>
      </c>
      <c r="AN2" t="s">
        <v>46</v>
      </c>
    </row>
    <row r="3" spans="1:40" x14ac:dyDescent="0.35">
      <c r="A3" s="1">
        <v>0</v>
      </c>
      <c r="B3" t="s">
        <v>37</v>
      </c>
      <c r="C3">
        <v>0.6</v>
      </c>
      <c r="E3">
        <v>1.37</v>
      </c>
      <c r="I3">
        <v>1.29</v>
      </c>
      <c r="AA3">
        <v>1.06</v>
      </c>
      <c r="AB3" s="3">
        <v>18.36</v>
      </c>
      <c r="AC3" s="3">
        <v>77.930000000000007</v>
      </c>
      <c r="AD3" s="4">
        <v>-446939.17319792678</v>
      </c>
      <c r="AE3" s="4">
        <v>-226802.233233796</v>
      </c>
      <c r="AF3" s="4">
        <v>-2.8175849853801891</v>
      </c>
      <c r="AG3" s="4">
        <v>159360.5051459056</v>
      </c>
      <c r="AH3" s="4">
        <v>2.3834551119084</v>
      </c>
      <c r="AJ3" t="s">
        <v>44</v>
      </c>
      <c r="AK3">
        <f>SUM(D3:Y3)</f>
        <v>2.66</v>
      </c>
      <c r="AL3">
        <f>SUM(Z3:AA3)</f>
        <v>1.06</v>
      </c>
      <c r="AM3">
        <f>AB3</f>
        <v>18.36</v>
      </c>
      <c r="AN3">
        <f>AC3</f>
        <v>77.930000000000007</v>
      </c>
    </row>
    <row r="4" spans="1:40" x14ac:dyDescent="0.35">
      <c r="A4" s="1">
        <v>1</v>
      </c>
      <c r="B4" t="s">
        <v>38</v>
      </c>
      <c r="C4">
        <v>0.6</v>
      </c>
      <c r="AB4" s="3">
        <v>93.51</v>
      </c>
      <c r="AC4" s="3">
        <v>6.49</v>
      </c>
      <c r="AD4" s="4">
        <v>-142174.89716892751</v>
      </c>
      <c r="AE4" s="4">
        <v>-427112.8591918677</v>
      </c>
      <c r="AF4" s="4">
        <v>-3.0138366716472258</v>
      </c>
      <c r="AG4" s="4">
        <v>-163757.996703479</v>
      </c>
      <c r="AH4" s="4">
        <v>0.5321251608986588</v>
      </c>
      <c r="AJ4" t="s">
        <v>38</v>
      </c>
      <c r="AK4">
        <f t="shared" ref="AK4:AK9" si="0">SUM(D4:Y4)</f>
        <v>0</v>
      </c>
      <c r="AL4">
        <f t="shared" ref="AL4:AL9" si="1">SUM(Z4:AA4)</f>
        <v>0</v>
      </c>
      <c r="AM4">
        <f t="shared" ref="AM4:AN9" si="2">AB4</f>
        <v>93.51</v>
      </c>
      <c r="AN4">
        <f t="shared" si="2"/>
        <v>6.49</v>
      </c>
    </row>
    <row r="5" spans="1:40" x14ac:dyDescent="0.35">
      <c r="A5" s="1">
        <v>2</v>
      </c>
      <c r="B5" t="s">
        <v>39</v>
      </c>
      <c r="C5">
        <v>0.6</v>
      </c>
      <c r="AB5" s="3">
        <v>87.36</v>
      </c>
      <c r="AC5" s="3">
        <v>12.64</v>
      </c>
      <c r="AD5" s="4">
        <v>-169942.21829429449</v>
      </c>
      <c r="AE5" s="4">
        <v>-412403.27974311722</v>
      </c>
      <c r="AF5" s="4">
        <v>-3.0148858957126459</v>
      </c>
      <c r="AG5" s="4">
        <v>-137239.17670390729</v>
      </c>
      <c r="AH5" s="4">
        <v>0.69022873436085619</v>
      </c>
      <c r="AJ5" t="s">
        <v>39</v>
      </c>
      <c r="AK5">
        <f t="shared" si="0"/>
        <v>0</v>
      </c>
      <c r="AL5">
        <f t="shared" si="1"/>
        <v>0</v>
      </c>
      <c r="AM5">
        <f t="shared" si="2"/>
        <v>87.36</v>
      </c>
      <c r="AN5">
        <f t="shared" si="2"/>
        <v>12.64</v>
      </c>
    </row>
    <row r="6" spans="1:40" x14ac:dyDescent="0.35">
      <c r="A6" s="1">
        <v>3</v>
      </c>
      <c r="B6" t="s">
        <v>40</v>
      </c>
      <c r="C6">
        <v>0.6</v>
      </c>
      <c r="AB6" s="3">
        <v>93.51</v>
      </c>
      <c r="AC6" s="3">
        <v>6.49</v>
      </c>
      <c r="AD6" s="4">
        <v>-142174.89700533281</v>
      </c>
      <c r="AE6" s="4">
        <v>-427112.85911976389</v>
      </c>
      <c r="AF6" s="4">
        <v>-3.0138366706021138</v>
      </c>
      <c r="AG6" s="4">
        <v>-163757.99675106871</v>
      </c>
      <c r="AH6" s="4">
        <v>0.53212516033066493</v>
      </c>
      <c r="AJ6" t="s">
        <v>40</v>
      </c>
      <c r="AK6">
        <f t="shared" si="0"/>
        <v>0</v>
      </c>
      <c r="AL6">
        <f t="shared" si="1"/>
        <v>0</v>
      </c>
      <c r="AM6">
        <f t="shared" si="2"/>
        <v>93.51</v>
      </c>
      <c r="AN6">
        <f t="shared" si="2"/>
        <v>6.49</v>
      </c>
    </row>
    <row r="7" spans="1:40" x14ac:dyDescent="0.35">
      <c r="A7" s="1">
        <v>4</v>
      </c>
      <c r="B7" t="s">
        <v>41</v>
      </c>
      <c r="C7">
        <v>0.6</v>
      </c>
      <c r="AB7" s="3">
        <v>93.51</v>
      </c>
      <c r="AC7" s="3">
        <v>6.49</v>
      </c>
      <c r="AD7" s="4">
        <v>-142174.89716892751</v>
      </c>
      <c r="AE7" s="4">
        <v>-427112.8591918677</v>
      </c>
      <c r="AF7" s="4">
        <v>-3.0138366716472258</v>
      </c>
      <c r="AG7" s="4">
        <v>-163757.996703479</v>
      </c>
      <c r="AH7" s="4">
        <v>0.5321251608986588</v>
      </c>
      <c r="AJ7" t="s">
        <v>41</v>
      </c>
      <c r="AK7">
        <f t="shared" si="0"/>
        <v>0</v>
      </c>
      <c r="AL7">
        <f t="shared" si="1"/>
        <v>0</v>
      </c>
      <c r="AM7">
        <f t="shared" si="2"/>
        <v>93.51</v>
      </c>
      <c r="AN7">
        <f t="shared" si="2"/>
        <v>6.49</v>
      </c>
    </row>
    <row r="8" spans="1:40" x14ac:dyDescent="0.35">
      <c r="A8" s="1">
        <v>5</v>
      </c>
      <c r="B8" t="s">
        <v>42</v>
      </c>
      <c r="C8">
        <v>0.6</v>
      </c>
      <c r="AB8" s="3">
        <v>93.51</v>
      </c>
      <c r="AC8" s="3">
        <v>6.49</v>
      </c>
      <c r="AD8" s="4">
        <v>-142174.8971052985</v>
      </c>
      <c r="AE8" s="4">
        <v>-427112.85904669529</v>
      </c>
      <c r="AF8" s="4">
        <v>-3.013836670472736</v>
      </c>
      <c r="AG8" s="4">
        <v>-163757.99664707421</v>
      </c>
      <c r="AH8" s="4">
        <v>0.53212516087682915</v>
      </c>
      <c r="AJ8" t="s">
        <v>42</v>
      </c>
      <c r="AK8">
        <f t="shared" si="0"/>
        <v>0</v>
      </c>
      <c r="AL8">
        <f t="shared" si="1"/>
        <v>0</v>
      </c>
      <c r="AM8">
        <f t="shared" si="2"/>
        <v>93.51</v>
      </c>
      <c r="AN8">
        <f t="shared" si="2"/>
        <v>6.49</v>
      </c>
    </row>
    <row r="9" spans="1:40" x14ac:dyDescent="0.35">
      <c r="A9" s="1">
        <v>6</v>
      </c>
      <c r="B9" t="s">
        <v>43</v>
      </c>
      <c r="C9">
        <v>0.6</v>
      </c>
      <c r="I9">
        <v>1.29</v>
      </c>
      <c r="X9">
        <v>2.3199999999999998</v>
      </c>
      <c r="AB9" s="3">
        <v>93.51</v>
      </c>
      <c r="AC9" s="3">
        <v>2.89</v>
      </c>
      <c r="AD9" s="4">
        <v>-117426.6543798489</v>
      </c>
      <c r="AE9" s="4">
        <v>-415018.06717248273</v>
      </c>
      <c r="AF9" s="4">
        <v>-2.8828656566547548</v>
      </c>
      <c r="AG9" s="4">
        <v>-168075.26769198611</v>
      </c>
      <c r="AH9" s="4">
        <v>0.44191131698536101</v>
      </c>
      <c r="AJ9" t="s">
        <v>43</v>
      </c>
      <c r="AK9">
        <f t="shared" si="0"/>
        <v>3.61</v>
      </c>
      <c r="AL9">
        <f t="shared" si="1"/>
        <v>0</v>
      </c>
      <c r="AM9">
        <f t="shared" si="2"/>
        <v>93.51</v>
      </c>
      <c r="AN9">
        <f t="shared" si="2"/>
        <v>2.89</v>
      </c>
    </row>
    <row r="11" spans="1:40" x14ac:dyDescent="0.35">
      <c r="AD11" s="4">
        <f>(AD3-[1]results!$AD$3)/[1]results!$AD$3</f>
        <v>-0.17953794720278185</v>
      </c>
      <c r="AE11" s="4">
        <f>(AE4-[1]results!$AE$4)/[1]results!$AE$4</f>
        <v>-0.11677081330627834</v>
      </c>
      <c r="AF11" s="4">
        <f>(AF5-[1]results!$AF$5)/[1]results!$AF$5</f>
        <v>-0.18877162038409892</v>
      </c>
    </row>
  </sheetData>
  <mergeCells count="3">
    <mergeCell ref="B1:C1"/>
    <mergeCell ref="D1:Y1"/>
    <mergeCell ref="Z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2026-04-22T15:57:15Z</dcterms:created>
  <dcterms:modified xsi:type="dcterms:W3CDTF">2026-04-23T12:47:41Z</dcterms:modified>
</cp:coreProperties>
</file>