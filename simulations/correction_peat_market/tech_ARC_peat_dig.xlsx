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C7D2ED64-98E4-4D00-9BD7-C65ADD296AF3}" xr6:coauthVersionLast="36" xr6:coauthVersionMax="36" xr10:uidLastSave="{00000000-0000-0000-0000-000000000000}"/>
  <bookViews>
    <workbookView xWindow="0" yWindow="0" windowWidth="19200" windowHeight="6930" activeTab="2" xr2:uid="{D746D7D5-B0A8-4858-AD5A-93AA09E65399}"/>
  </bookViews>
  <sheets>
    <sheet name="id_tech" sheetId="2" r:id="rId1"/>
    <sheet name="tech_lb" sheetId="1" r:id="rId2"/>
    <sheet name="tech_ub" sheetId="6" r:id="rId3"/>
    <sheet name="cop" sheetId="3" r:id="rId4"/>
    <sheet name="subs_ratio" sheetId="4" r:id="rId5"/>
    <sheet name="sub_ratio2" sheetId="7" r:id="rId6"/>
    <sheet name="avoid" sheetId="5" r:id="rId7"/>
    <sheet name="coproduct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G9" i="8" s="1"/>
  <c r="E8" i="8"/>
  <c r="D8" i="8"/>
  <c r="I7" i="8"/>
  <c r="H7" i="8"/>
  <c r="E7" i="8"/>
  <c r="D7" i="8"/>
  <c r="E6" i="8"/>
  <c r="G6" i="8" s="1"/>
  <c r="I6" i="8" s="1"/>
  <c r="C6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7" i="4" l="1"/>
  <c r="C8" i="4"/>
  <c r="C9" i="4"/>
  <c r="B7" i="4" l="1"/>
  <c r="B8" i="4"/>
  <c r="B9" i="4"/>
  <c r="I7" i="5" l="1"/>
  <c r="H7" i="5"/>
  <c r="H6" i="5"/>
  <c r="H4" i="5"/>
  <c r="H3" i="5"/>
  <c r="H2" i="5"/>
  <c r="I4" i="5"/>
  <c r="I3" i="5"/>
  <c r="I2" i="5"/>
  <c r="G4" i="5"/>
  <c r="G3" i="5"/>
  <c r="G2" i="5"/>
  <c r="I6" i="3" l="1"/>
  <c r="H6" i="3"/>
  <c r="F8" i="3" l="1"/>
  <c r="G8" i="3" s="1"/>
  <c r="F5" i="3"/>
  <c r="H5" i="3" s="1"/>
  <c r="E7" i="3"/>
  <c r="E6" i="3"/>
  <c r="E4" i="3"/>
  <c r="D7" i="3"/>
  <c r="D6" i="3"/>
  <c r="D5" i="3"/>
  <c r="F9" i="5"/>
  <c r="G9" i="5" s="1"/>
  <c r="F6" i="5"/>
  <c r="F4" i="5"/>
  <c r="F3" i="5"/>
  <c r="F2" i="5"/>
  <c r="E8" i="5"/>
  <c r="E7" i="5"/>
  <c r="E6" i="5"/>
  <c r="E4" i="5"/>
  <c r="E3" i="5"/>
  <c r="E2" i="5"/>
  <c r="D8" i="5"/>
  <c r="D7" i="5"/>
  <c r="D6" i="5"/>
  <c r="D4" i="5"/>
  <c r="D3" i="5"/>
  <c r="E3" i="4" s="1"/>
  <c r="D2" i="5"/>
  <c r="C6" i="5"/>
  <c r="C6" i="4" s="1"/>
  <c r="C4" i="5"/>
  <c r="C4" i="4" s="1"/>
  <c r="C3" i="5"/>
  <c r="C3" i="4" s="1"/>
  <c r="C2" i="5"/>
  <c r="C2" i="4" s="1"/>
  <c r="B5" i="5"/>
  <c r="B5" i="4" s="1"/>
  <c r="B4" i="5"/>
  <c r="B4" i="4" s="1"/>
  <c r="B3" i="5"/>
  <c r="B3" i="4" s="1"/>
  <c r="B2" i="5"/>
  <c r="B2" i="4" s="1"/>
  <c r="E9" i="4" l="1"/>
  <c r="G6" i="5"/>
  <c r="I6" i="5" s="1"/>
  <c r="D6" i="4"/>
  <c r="G4" i="3"/>
  <c r="I4" i="3" s="1"/>
  <c r="D9" i="4"/>
  <c r="E6" i="4"/>
  <c r="D2" i="4"/>
  <c r="D3" i="4"/>
  <c r="E4" i="4"/>
  <c r="E2" i="4"/>
  <c r="D4" i="4"/>
</calcChain>
</file>

<file path=xl/sharedStrings.xml><?xml version="1.0" encoding="utf-8"?>
<sst xmlns="http://schemas.openxmlformats.org/spreadsheetml/2006/main" count="199" uniqueCount="73">
  <si>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</si>
  <si>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</si>
  <si>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</si>
  <si>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</si>
  <si>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</si>
  <si>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</si>
  <si>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</si>
  <si>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</si>
  <si>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</si>
  <si>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</si>
  <si>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</si>
  <si>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</si>
  <si>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</si>
  <si>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</si>
  <si>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</si>
  <si>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</si>
  <si>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</si>
  <si>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</si>
  <si>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</si>
  <si>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</si>
  <si>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</si>
  <si>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</si>
  <si>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</si>
  <si>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</si>
  <si>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</si>
  <si>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</si>
  <si>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</si>
  <si>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</si>
  <si>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</si>
  <si>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</si>
  <si>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</si>
  <si>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</si>
  <si>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</si>
  <si>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</si>
  <si>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</si>
  <si>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</si>
  <si>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</si>
  <si>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</si>
  <si>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</si>
  <si>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</si>
  <si>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</si>
  <si>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</si>
  <si>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</si>
  <si>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</si>
  <si>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</si>
  <si>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</si>
  <si>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</si>
  <si>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</si>
  <si>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</si>
  <si>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</si>
  <si>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</si>
  <si>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</si>
  <si>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</si>
  <si>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</si>
  <si>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</si>
  <si>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</si>
  <si>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</si>
  <si>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</si>
  <si>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</si>
  <si>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Villiers</t>
  </si>
  <si>
    <t>Refood</t>
  </si>
  <si>
    <t>Biometa</t>
  </si>
  <si>
    <t>Suez</t>
  </si>
  <si>
    <t>Gurdebeke</t>
  </si>
  <si>
    <t>Comp_IC</t>
  </si>
  <si>
    <t>Comp_AD</t>
  </si>
  <si>
    <t>Peat_dec</t>
  </si>
  <si>
    <t>Peat_ind</t>
  </si>
  <si>
    <t>Service</t>
  </si>
  <si>
    <t>kg/kg</t>
  </si>
  <si>
    <t>MJ/MJ</t>
  </si>
  <si>
    <t>kWh/kWh</t>
  </si>
  <si>
    <t>m3/m3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</si>
</sst>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cenario%20r&#233;aliste/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24</v>
      </c>
    </row>
    <row r="5" spans="1:3" x14ac:dyDescent="0.35">
      <c r="A5" t="s">
        <v>7</v>
      </c>
      <c r="B5" t="s">
        <v>9</v>
      </c>
      <c r="C5" t="s">
        <v>25</v>
      </c>
    </row>
    <row r="6" spans="1:3" x14ac:dyDescent="0.35">
      <c r="A6" t="s">
        <v>21</v>
      </c>
      <c r="B6" t="s">
        <v>9</v>
      </c>
      <c r="C6" t="s">
        <v>20</v>
      </c>
    </row>
    <row r="7" spans="1:3" x14ac:dyDescent="0.35">
      <c r="A7" t="s">
        <v>34</v>
      </c>
      <c r="B7" t="s">
        <v>9</v>
      </c>
    </row>
    <row r="8" spans="1:3" x14ac:dyDescent="0.35">
      <c r="A8" t="s">
        <v>35</v>
      </c>
      <c r="B8" t="s">
        <v>9</v>
      </c>
    </row>
    <row r="9" spans="1:3" x14ac:dyDescent="0.35">
      <c r="A9" t="s">
        <v>36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8"/>
  <sheetViews>
    <sheetView workbookViewId="0">
      <selection activeCell="F28" sqref="F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60</v>
      </c>
    </row>
    <row r="25" spans="1:9" x14ac:dyDescent="0.35">
      <c r="A25" t="s">
        <v>61</v>
      </c>
    </row>
    <row r="26" spans="1:9" x14ac:dyDescent="0.35">
      <c r="A26" t="s">
        <v>62</v>
      </c>
    </row>
    <row r="27" spans="1:9" x14ac:dyDescent="0.35">
      <c r="A27" t="s">
        <v>63</v>
      </c>
    </row>
    <row r="28" spans="1:9" x14ac:dyDescent="0.35">
      <c r="A28" t="s">
        <v>59</v>
      </c>
      <c r="C28">
        <v>3000</v>
      </c>
      <c r="D28">
        <v>3000</v>
      </c>
      <c r="E28">
        <v>3000</v>
      </c>
      <c r="F28">
        <v>3000</v>
      </c>
      <c r="G28">
        <v>3000</v>
      </c>
      <c r="H28">
        <v>3000</v>
      </c>
      <c r="I28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8"/>
  <sheetViews>
    <sheetView tabSelected="1" topLeftCell="A13" workbookViewId="0">
      <selection activeCell="C27" sqref="C27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60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61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62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63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59</v>
      </c>
      <c r="B28">
        <v>0</v>
      </c>
      <c r="C28">
        <v>7000</v>
      </c>
      <c r="D28">
        <v>7000</v>
      </c>
      <c r="E28">
        <v>7000</v>
      </c>
      <c r="F28">
        <v>7000</v>
      </c>
      <c r="G28">
        <v>7000</v>
      </c>
      <c r="H28">
        <v>7000</v>
      </c>
      <c r="I28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8"/>
  <sheetViews>
    <sheetView workbookViewId="0">
      <selection activeCell="C3" sqref="C3"/>
    </sheetView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  <c r="J1" t="s">
        <v>14</v>
      </c>
    </row>
    <row r="2" spans="1:10" x14ac:dyDescent="0.35">
      <c r="A2" t="s">
        <v>27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35">
      <c r="A3" t="s">
        <v>64</v>
      </c>
      <c r="B3">
        <v>0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</row>
    <row r="4" spans="1:10" x14ac:dyDescent="0.35">
      <c r="A4" t="s">
        <v>65</v>
      </c>
      <c r="B4">
        <v>0</v>
      </c>
      <c r="C4">
        <v>0</v>
      </c>
      <c r="D4">
        <v>0</v>
      </c>
      <c r="E4">
        <f>'[1]LCI_AD-b'!$E$36</f>
        <v>0.15444202981514046</v>
      </c>
      <c r="F4">
        <v>0</v>
      </c>
      <c r="G4">
        <f>E4</f>
        <v>0.15444202981514046</v>
      </c>
      <c r="H4">
        <v>0</v>
      </c>
      <c r="I4">
        <f>G4</f>
        <v>0.15444202981514046</v>
      </c>
      <c r="J4" t="s">
        <v>15</v>
      </c>
    </row>
    <row r="5" spans="1:10" x14ac:dyDescent="0.35">
      <c r="A5" t="s">
        <v>11</v>
      </c>
      <c r="B5">
        <v>0</v>
      </c>
      <c r="C5">
        <v>0</v>
      </c>
      <c r="D5">
        <f>'[1]LCI_AD-a'!$E$28</f>
        <v>0.55448386609225153</v>
      </c>
      <c r="E5">
        <v>0</v>
      </c>
      <c r="F5">
        <f>'[1]LCI_AD-c'!$E$26</f>
        <v>0.55448386609225153</v>
      </c>
      <c r="G5">
        <v>0</v>
      </c>
      <c r="H5">
        <f>F5</f>
        <v>0.55448386609225153</v>
      </c>
      <c r="I5">
        <v>0</v>
      </c>
    </row>
    <row r="6" spans="1:10" x14ac:dyDescent="0.35">
      <c r="A6" t="s">
        <v>12</v>
      </c>
      <c r="B6">
        <v>0</v>
      </c>
      <c r="C6">
        <v>0</v>
      </c>
      <c r="D6">
        <f>'[1]LCI_AD-a'!$E$25</f>
        <v>2161.4235062008215</v>
      </c>
      <c r="E6">
        <f>'[1]LCI_AD-b'!$E$25</f>
        <v>2161.4235062008215</v>
      </c>
      <c r="F6">
        <v>0</v>
      </c>
      <c r="G6">
        <v>0</v>
      </c>
      <c r="H6">
        <f>'[2]LCI_AD-e'!$E$42</f>
        <v>3876.4660709036466</v>
      </c>
      <c r="I6">
        <f>'[2]LCI_AD-e'!$E$42</f>
        <v>3876.4660709036466</v>
      </c>
      <c r="J6" t="s">
        <v>19</v>
      </c>
    </row>
    <row r="7" spans="1:10" x14ac:dyDescent="0.35">
      <c r="A7" t="s">
        <v>13</v>
      </c>
      <c r="B7">
        <v>0</v>
      </c>
      <c r="C7">
        <v>0</v>
      </c>
      <c r="D7">
        <f>'[1]LCI_AD-a'!$E$24</f>
        <v>509.03089819946877</v>
      </c>
      <c r="E7">
        <f>'[1]LCI_AD-b'!$E$24</f>
        <v>509.03089819946877</v>
      </c>
      <c r="F7">
        <v>0</v>
      </c>
      <c r="G7">
        <v>0</v>
      </c>
      <c r="H7">
        <v>0</v>
      </c>
      <c r="I7">
        <v>0</v>
      </c>
      <c r="J7" t="s">
        <v>16</v>
      </c>
    </row>
    <row r="8" spans="1:10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f>'[1]LCI_AD-c'!$E$23</f>
        <v>131.83340888752835</v>
      </c>
      <c r="G8">
        <f>F8</f>
        <v>131.83340888752835</v>
      </c>
      <c r="H8">
        <v>0</v>
      </c>
      <c r="I8">
        <v>0</v>
      </c>
      <c r="J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I9"/>
  <sheetViews>
    <sheetView workbookViewId="0">
      <selection activeCell="C6" sqref="C6"/>
    </sheetView>
  </sheetViews>
  <sheetFormatPr baseColWidth="10" defaultRowHeight="14.5" x14ac:dyDescent="0.35"/>
  <cols>
    <col min="1" max="1" width="24.90625" customWidth="1"/>
    <col min="3" max="3" width="22" customWidth="1"/>
  </cols>
  <sheetData>
    <row r="1" spans="1:9" x14ac:dyDescent="0.35">
      <c r="A1" t="s">
        <v>68</v>
      </c>
      <c r="B1" t="s">
        <v>27</v>
      </c>
      <c r="C1" t="s">
        <v>64</v>
      </c>
      <c r="D1" t="s">
        <v>65</v>
      </c>
      <c r="E1" t="s">
        <v>11</v>
      </c>
      <c r="F1" t="s">
        <v>12</v>
      </c>
      <c r="G1" t="s">
        <v>13</v>
      </c>
      <c r="H1" t="s">
        <v>22</v>
      </c>
    </row>
    <row r="2" spans="1:9" x14ac:dyDescent="0.35">
      <c r="A2" t="s">
        <v>28</v>
      </c>
      <c r="B2">
        <f>avoid!B2/cop!$B$2</f>
        <v>16.578125266522143</v>
      </c>
      <c r="C2" s="1">
        <f>avoid!C2/cop!C$3</f>
        <v>15.269073330756244</v>
      </c>
      <c r="D2">
        <f>avoid!E2/cop!E$4</f>
        <v>63.707659664702447</v>
      </c>
      <c r="E2">
        <f>avoid!D2/cop!D$5</f>
        <v>32.478637465068672</v>
      </c>
      <c r="F2">
        <v>0</v>
      </c>
      <c r="G2">
        <v>0</v>
      </c>
      <c r="H2">
        <v>0</v>
      </c>
      <c r="I2" t="s">
        <v>69</v>
      </c>
    </row>
    <row r="3" spans="1:9" x14ac:dyDescent="0.35">
      <c r="A3" t="s">
        <v>29</v>
      </c>
      <c r="B3">
        <f>avoid!B3/cop!B$2</f>
        <v>4.8876032237331719</v>
      </c>
      <c r="C3" s="1">
        <f>avoid!C3/cop!C$3</f>
        <v>4.3906968959869666</v>
      </c>
      <c r="D3">
        <f>avoid!E3/cop!E$4</f>
        <v>206.79957310741756</v>
      </c>
      <c r="E3">
        <f>avoid!D3/cop!D$5</f>
        <v>90.566817963677593</v>
      </c>
      <c r="F3">
        <v>0</v>
      </c>
      <c r="G3">
        <v>0</v>
      </c>
      <c r="H3">
        <v>0</v>
      </c>
      <c r="I3" t="s">
        <v>69</v>
      </c>
    </row>
    <row r="4" spans="1:9" x14ac:dyDescent="0.35">
      <c r="A4" t="s">
        <v>30</v>
      </c>
      <c r="B4">
        <f>avoid!B4/cop!B$2</f>
        <v>7.1741354676960993</v>
      </c>
      <c r="C4" s="1">
        <f>avoid!C4/cop!C$3</f>
        <v>6.444765028480326</v>
      </c>
      <c r="D4">
        <f>avoid!E4/cop!E$4</f>
        <v>18.432073379133382</v>
      </c>
      <c r="E4">
        <f>avoid!D4/cop!D$5</f>
        <v>33.380623329950765</v>
      </c>
      <c r="F4">
        <v>0</v>
      </c>
      <c r="G4">
        <v>0</v>
      </c>
      <c r="H4">
        <v>0</v>
      </c>
      <c r="I4" t="s">
        <v>69</v>
      </c>
    </row>
    <row r="5" spans="1:9" x14ac:dyDescent="0.35">
      <c r="A5" t="s">
        <v>66</v>
      </c>
      <c r="B5">
        <f>avoid!B5/cop!B$2</f>
        <v>626.1595547309829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69</v>
      </c>
    </row>
    <row r="6" spans="1:9" x14ac:dyDescent="0.35">
      <c r="A6" t="s">
        <v>67</v>
      </c>
      <c r="B6">
        <v>0</v>
      </c>
      <c r="C6" s="1">
        <f>avoid!C6/cop!C$3</f>
        <v>596.6435185185187</v>
      </c>
      <c r="D6">
        <f>avoid!E6/cop!E$4</f>
        <v>272.65793282716572</v>
      </c>
      <c r="E6">
        <f>avoid!D6/cop!D$5</f>
        <v>284.27506392688025</v>
      </c>
      <c r="I6" t="s">
        <v>69</v>
      </c>
    </row>
    <row r="7" spans="1:9" x14ac:dyDescent="0.35">
      <c r="A7" t="s">
        <v>12</v>
      </c>
      <c r="B7">
        <f>avoid!B7/cop!B$2</f>
        <v>0</v>
      </c>
      <c r="C7" s="1">
        <f>avoid!C7/cop!C$3</f>
        <v>0</v>
      </c>
      <c r="D7">
        <v>0</v>
      </c>
      <c r="E7">
        <v>0</v>
      </c>
      <c r="F7">
        <v>1</v>
      </c>
      <c r="G7">
        <v>0</v>
      </c>
      <c r="H7">
        <v>0</v>
      </c>
      <c r="I7" t="s">
        <v>70</v>
      </c>
    </row>
    <row r="8" spans="1:9" x14ac:dyDescent="0.35">
      <c r="A8" t="s">
        <v>13</v>
      </c>
      <c r="B8">
        <f>avoid!B8/cop!B$2</f>
        <v>0</v>
      </c>
      <c r="C8" s="1">
        <f>avoid!C8/cop!C$3</f>
        <v>0</v>
      </c>
      <c r="D8">
        <v>0</v>
      </c>
      <c r="E8">
        <v>0</v>
      </c>
      <c r="F8">
        <v>0</v>
      </c>
      <c r="G8">
        <v>1</v>
      </c>
      <c r="H8">
        <v>0</v>
      </c>
      <c r="I8" t="s">
        <v>71</v>
      </c>
    </row>
    <row r="9" spans="1:9" x14ac:dyDescent="0.35">
      <c r="A9" t="s">
        <v>22</v>
      </c>
      <c r="B9">
        <f>avoid!B9/cop!B$2</f>
        <v>0</v>
      </c>
      <c r="C9" s="1">
        <f>avoid!C9/cop!C$3</f>
        <v>0</v>
      </c>
      <c r="D9">
        <f>avoid!E9/cop!E$4</f>
        <v>0</v>
      </c>
      <c r="E9">
        <f>avoid!D9/cop!D$5</f>
        <v>0</v>
      </c>
      <c r="F9">
        <v>0</v>
      </c>
      <c r="G9">
        <v>0</v>
      </c>
      <c r="H9">
        <v>1</v>
      </c>
      <c r="I9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484F-C1E4-4AFC-8F16-17E8FE0FC51A}">
  <dimension ref="A1:I8"/>
  <sheetViews>
    <sheetView workbookViewId="0">
      <selection activeCell="D5" sqref="D5"/>
    </sheetView>
  </sheetViews>
  <sheetFormatPr baseColWidth="10" defaultRowHeight="14.5" x14ac:dyDescent="0.35"/>
  <sheetData>
    <row r="1" spans="1:9" x14ac:dyDescent="0.35">
      <c r="B1" t="s">
        <v>28</v>
      </c>
      <c r="C1" t="s">
        <v>29</v>
      </c>
      <c r="D1" t="s">
        <v>30</v>
      </c>
      <c r="E1" t="s">
        <v>66</v>
      </c>
      <c r="F1" t="s">
        <v>67</v>
      </c>
      <c r="G1" t="s">
        <v>12</v>
      </c>
      <c r="H1" t="s">
        <v>13</v>
      </c>
      <c r="I1" t="s">
        <v>22</v>
      </c>
    </row>
    <row r="2" spans="1:9" x14ac:dyDescent="0.35">
      <c r="A2" t="s">
        <v>28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29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30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31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3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9" x14ac:dyDescent="0.3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9"/>
  <sheetViews>
    <sheetView workbookViewId="0">
      <selection sqref="A1:I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18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10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32</v>
      </c>
    </row>
    <row r="3" spans="1:10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32</v>
      </c>
    </row>
    <row r="4" spans="1:10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32</v>
      </c>
    </row>
    <row r="5" spans="1:10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32</v>
      </c>
    </row>
    <row r="6" spans="1:10" x14ac:dyDescent="0.35">
      <c r="A6" t="s">
        <v>67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10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  <c r="J7" t="s">
        <v>19</v>
      </c>
    </row>
    <row r="8" spans="1:10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  <c r="J8" t="s">
        <v>16</v>
      </c>
    </row>
    <row r="9" spans="1:10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  <c r="J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CB-63EA-4A6A-8A1F-1FF7EF68F834}">
  <dimension ref="A1:I9"/>
  <sheetViews>
    <sheetView workbookViewId="0">
      <selection activeCell="I6" sqref="I6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</row>
    <row r="3" spans="1:9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</row>
    <row r="4" spans="1:9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</row>
    <row r="5" spans="1:9" x14ac:dyDescent="0.35">
      <c r="A5" t="s">
        <v>66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67</v>
      </c>
      <c r="B6">
        <v>0</v>
      </c>
      <c r="C6" s="1">
        <f>[1]LCI_IC!$E$28</f>
        <v>357.9861111111112</v>
      </c>
      <c r="D6" s="1">
        <v>0</v>
      </c>
      <c r="E6">
        <f>+'[1]LCI_AD-b'!$E$49</f>
        <v>42.109844591027695</v>
      </c>
      <c r="F6">
        <v>0</v>
      </c>
      <c r="G6">
        <f>E6</f>
        <v>42.109844591027695</v>
      </c>
      <c r="H6">
        <v>0</v>
      </c>
      <c r="I6">
        <f>G6</f>
        <v>42.109844591027695</v>
      </c>
    </row>
    <row r="7" spans="1:9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</row>
    <row r="8" spans="1:9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</row>
    <row r="9" spans="1:9" ht="18.5" customHeight="1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tech_lb</vt:lpstr>
      <vt:lpstr>tech_ub</vt:lpstr>
      <vt:lpstr>cop</vt:lpstr>
      <vt:lpstr>subs_ratio</vt:lpstr>
      <vt:lpstr>sub_ratio2</vt:lpstr>
      <vt:lpstr>avoid</vt:lpstr>
      <vt:lpstr>coproduct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2026-03-10T10:03:13Z</dcterms:modified>
</cp:coreProperties>
</file>