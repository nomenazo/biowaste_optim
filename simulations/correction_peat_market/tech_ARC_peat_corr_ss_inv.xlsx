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simulations\correction_peat_market\"/>
    </mc:Choice>
  </mc:AlternateContent>
  <xr:revisionPtr revIDLastSave="0" documentId="13_ncr:1_{A0D009CC-846D-40C5-806C-DEAB1E4BB292}" xr6:coauthVersionLast="36" xr6:coauthVersionMax="36" xr10:uidLastSave="{00000000-0000-0000-0000-000000000000}"/>
  <bookViews>
    <workbookView minimized="1" xWindow="0" yWindow="0" windowWidth="19200" windowHeight="6930" firstSheet="2" activeTab="7" xr2:uid="{D746D7D5-B0A8-4858-AD5A-93AA09E65399}"/>
  </bookViews>
  <sheets>
    <sheet name="id_tech" sheetId="2" r:id="rId1"/>
    <sheet name="tech_lb" sheetId="1" r:id="rId2"/>
    <sheet name="tech_ub" sheetId="6" r:id="rId3"/>
    <sheet name="cop" sheetId="3" r:id="rId4"/>
    <sheet name="subs_ratio" sheetId="4" r:id="rId5"/>
    <sheet name="sub_ratio2" sheetId="7" r:id="rId6"/>
    <sheet name="avoid" sheetId="5" r:id="rId7"/>
    <sheet name="coproduct" sheetId="8" r:id="rId8"/>
  </sheets>
  <externalReferences>
    <externalReference r:id="rId9"/>
    <externalReference r:id="rId10"/>
    <externalReference r:id="rId11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9" i="8" l="1"/>
  <c r="G9" i="8" s="1"/>
  <c r="E8" i="8"/>
  <c r="D8" i="8"/>
  <c r="I7" i="8"/>
  <c r="H7" i="8"/>
  <c r="E7" i="8"/>
  <c r="D7" i="8"/>
  <c r="H6" i="8"/>
  <c r="F6" i="8"/>
  <c r="E6" i="8"/>
  <c r="D6" i="8"/>
  <c r="C6" i="8"/>
  <c r="B5" i="8"/>
  <c r="I4" i="8"/>
  <c r="H4" i="8"/>
  <c r="G4" i="8"/>
  <c r="F4" i="8"/>
  <c r="E4" i="8"/>
  <c r="D4" i="8"/>
  <c r="C4" i="8"/>
  <c r="B4" i="8"/>
  <c r="I3" i="8"/>
  <c r="H3" i="8"/>
  <c r="G3" i="8"/>
  <c r="F3" i="8"/>
  <c r="E3" i="8"/>
  <c r="D3" i="8"/>
  <c r="C3" i="8"/>
  <c r="B3" i="8"/>
  <c r="I2" i="8"/>
  <c r="H2" i="8"/>
  <c r="G2" i="8"/>
  <c r="F2" i="8"/>
  <c r="E2" i="8"/>
  <c r="D2" i="8"/>
  <c r="C2" i="8"/>
  <c r="B2" i="8"/>
  <c r="G6" i="8" l="1"/>
  <c r="I6" i="8" s="1"/>
  <c r="C7" i="4"/>
  <c r="C8" i="4"/>
  <c r="C9" i="4"/>
  <c r="B7" i="4" l="1"/>
  <c r="B8" i="4"/>
  <c r="B9" i="4"/>
  <c r="I7" i="5" l="1"/>
  <c r="H7" i="5"/>
  <c r="H6" i="5"/>
  <c r="H4" i="5"/>
  <c r="H3" i="5"/>
  <c r="H2" i="5"/>
  <c r="I4" i="5"/>
  <c r="I3" i="5"/>
  <c r="I2" i="5"/>
  <c r="G4" i="5"/>
  <c r="G3" i="5"/>
  <c r="G2" i="5"/>
  <c r="I6" i="3" l="1"/>
  <c r="H6" i="3"/>
  <c r="F8" i="3" l="1"/>
  <c r="G8" i="3" s="1"/>
  <c r="F5" i="3"/>
  <c r="H5" i="3" s="1"/>
  <c r="E7" i="3"/>
  <c r="E6" i="3"/>
  <c r="E4" i="3"/>
  <c r="D7" i="3"/>
  <c r="D6" i="3"/>
  <c r="D5" i="3"/>
  <c r="F9" i="5"/>
  <c r="G9" i="5" s="1"/>
  <c r="F6" i="5"/>
  <c r="F4" i="5"/>
  <c r="F3" i="5"/>
  <c r="F2" i="5"/>
  <c r="E8" i="5"/>
  <c r="E7" i="5"/>
  <c r="E6" i="5"/>
  <c r="E4" i="5"/>
  <c r="E3" i="5"/>
  <c r="E2" i="5"/>
  <c r="D8" i="5"/>
  <c r="D7" i="5"/>
  <c r="D6" i="5"/>
  <c r="D4" i="5"/>
  <c r="D3" i="5"/>
  <c r="D2" i="5"/>
  <c r="C6" i="5"/>
  <c r="C6" i="4" s="1"/>
  <c r="C4" i="5"/>
  <c r="C4" i="4" s="1"/>
  <c r="C3" i="5"/>
  <c r="C3" i="4" s="1"/>
  <c r="C2" i="5"/>
  <c r="C2" i="4" s="1"/>
  <c r="B5" i="5"/>
  <c r="B5" i="4" s="1"/>
  <c r="B4" i="5"/>
  <c r="B4" i="4" s="1"/>
  <c r="B3" i="5"/>
  <c r="B3" i="4" s="1"/>
  <c r="B2" i="5"/>
  <c r="B2" i="4" s="1"/>
  <c r="E3" i="4" l="1"/>
  <c r="E9" i="4"/>
  <c r="G6" i="5"/>
  <c r="I6" i="5" s="1"/>
  <c r="D6" i="4"/>
  <c r="G4" i="3"/>
  <c r="I4" i="3" s="1"/>
  <c r="D9" i="4"/>
  <c r="E6" i="4"/>
  <c r="D2" i="4"/>
  <c r="D3" i="4"/>
  <c r="E4" i="4"/>
  <c r="E2" i="4"/>
  <c r="D4" i="4"/>
</calcChain>
</file>

<file path=xl/sharedStrings.xml><?xml version="1.0" encoding="utf-8"?>
<sst xmlns="http://schemas.openxmlformats.org/spreadsheetml/2006/main" count="197" uniqueCount="72">
  <si>
    <t>HC</t>
  </si>
  <si>
    <t>IC</t>
  </si>
  <si>
    <t>Home Composting</t>
  </si>
  <si>
    <t>Industrial composting</t>
  </si>
  <si>
    <t>Symbol</t>
  </si>
  <si>
    <t>name</t>
  </si>
  <si>
    <t>AD-a</t>
  </si>
  <si>
    <t>AD-b</t>
  </si>
  <si>
    <t>Decentralized</t>
  </si>
  <si>
    <t>Centralized</t>
  </si>
  <si>
    <t>Type</t>
  </si>
  <si>
    <t>Dig</t>
  </si>
  <si>
    <t>Heat</t>
  </si>
  <si>
    <t>Elect</t>
  </si>
  <si>
    <t>Unit</t>
  </si>
  <si>
    <t>t/t</t>
  </si>
  <si>
    <t>kWh/t</t>
  </si>
  <si>
    <t>Co-product</t>
  </si>
  <si>
    <t>Conventional product</t>
  </si>
  <si>
    <t>MJ/t</t>
  </si>
  <si>
    <t>Centralized anaerobic digestion + Injection + Direct application of digestate</t>
  </si>
  <si>
    <t>AD-c</t>
  </si>
  <si>
    <t>Biomet</t>
  </si>
  <si>
    <t>m3/t</t>
  </si>
  <si>
    <t>AD+CHP+Digestate</t>
  </si>
  <si>
    <t>AD+CHP+Composting</t>
  </si>
  <si>
    <t>Gas</t>
  </si>
  <si>
    <t>Comp_dec</t>
  </si>
  <si>
    <t>N-fertilizer</t>
  </si>
  <si>
    <t>P-fertilizer</t>
  </si>
  <si>
    <t>K-fertilizer</t>
  </si>
  <si>
    <t>Peat</t>
  </si>
  <si>
    <t>kg/t of waste</t>
  </si>
  <si>
    <t>Site</t>
  </si>
  <si>
    <t>AD-d</t>
  </si>
  <si>
    <t>AD-e</t>
  </si>
  <si>
    <t>AD-f</t>
  </si>
  <si>
    <t>Compiègne</t>
  </si>
  <si>
    <t>Venette</t>
  </si>
  <si>
    <t>Jaux</t>
  </si>
  <si>
    <t>Armancourt</t>
  </si>
  <si>
    <t>Le Meux</t>
  </si>
  <si>
    <t>La Croix-St-Ouen</t>
  </si>
  <si>
    <t>St-Sauveur</t>
  </si>
  <si>
    <t>Bethisy-St-Pierre</t>
  </si>
  <si>
    <t>Bethisy-St-Martin</t>
  </si>
  <si>
    <t>Bienville</t>
  </si>
  <si>
    <t>Choisy-au-Bac</t>
  </si>
  <si>
    <t>Clairoix</t>
  </si>
  <si>
    <t>Janville</t>
  </si>
  <si>
    <t>Jonquières</t>
  </si>
  <si>
    <t>Lachelle</t>
  </si>
  <si>
    <t>Margny-lès-Compiègne</t>
  </si>
  <si>
    <t>Nery</t>
  </si>
  <si>
    <t>Saint-Jean-aux-Bois</t>
  </si>
  <si>
    <t>Saintines</t>
  </si>
  <si>
    <t>Saint-Vaast de Longmont</t>
  </si>
  <si>
    <t>Verberie</t>
  </si>
  <si>
    <t>Vieux-Moulin</t>
  </si>
  <si>
    <t>Refood</t>
  </si>
  <si>
    <t>Biometa</t>
  </si>
  <si>
    <t>Suez</t>
  </si>
  <si>
    <t>Gurdebeke</t>
  </si>
  <si>
    <t>Comp_IC</t>
  </si>
  <si>
    <t>Comp_AD</t>
  </si>
  <si>
    <t>Peat_dec</t>
  </si>
  <si>
    <t>Peat_ind</t>
  </si>
  <si>
    <t>Service</t>
  </si>
  <si>
    <t>kg/kg</t>
  </si>
  <si>
    <t>MJ/MJ</t>
  </si>
  <si>
    <t>kWh/kWh</t>
  </si>
  <si>
    <t>m3/m3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</si>
</sst>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LCA_techV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civic_led/LCA_tech_param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scenario%20r&#233;aliste/tech_ARC_reel_co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CIA_AD-f"/>
      <sheetName val="IW+f"/>
      <sheetName val="LCIA_AD-e"/>
      <sheetName val="LCI_AD-e"/>
      <sheetName val="LCI_AD-f"/>
      <sheetName val="LCIA_AD-d"/>
      <sheetName val="Waste_characteristics"/>
      <sheetName val="Parameters"/>
      <sheetName val="LCI_AD-b"/>
      <sheetName val="LCI"/>
      <sheetName val="LCI_AD-a"/>
      <sheetName val="LCI_AD-c"/>
      <sheetName val="LCI_AD-d"/>
      <sheetName val="params_HC"/>
      <sheetName val="LCI_HC"/>
      <sheetName val="LCIA_HC"/>
      <sheetName val="LCIA_AD-a"/>
      <sheetName val="LCIA_AD-b"/>
      <sheetName val="LCIA_AD-c"/>
      <sheetName val="LCI_IC"/>
      <sheetName val="LCIA_IC"/>
      <sheetName val="IW+_end"/>
      <sheetName val="AD_a_end"/>
      <sheetName val="impact_process_end"/>
      <sheetName val="impact_process_mid"/>
      <sheetName val="IW+_mid"/>
      <sheetName val="IC_end"/>
      <sheetName val="AD_a_mid"/>
    </sheetNames>
    <sheetDataSet>
      <sheetData sheetId="0"/>
      <sheetData sheetId="1">
        <row r="28">
          <cell r="C28">
            <v>1.5776478677100687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24">
          <cell r="E24">
            <v>509.03089819946877</v>
          </cell>
        </row>
        <row r="25">
          <cell r="E25">
            <v>2161.4235062008215</v>
          </cell>
        </row>
        <row r="36">
          <cell r="E36">
            <v>0.15444202981514046</v>
          </cell>
        </row>
        <row r="46">
          <cell r="E46">
            <v>9.8391402733887965</v>
          </cell>
        </row>
        <row r="47">
          <cell r="E47">
            <v>31.938545835614104</v>
          </cell>
        </row>
        <row r="48">
          <cell r="E48">
            <v>2.8466868263749747</v>
          </cell>
        </row>
        <row r="49">
          <cell r="E49">
            <v>42.109844591027695</v>
          </cell>
        </row>
        <row r="50">
          <cell r="E50">
            <v>2161.4235062008215</v>
          </cell>
        </row>
        <row r="51">
          <cell r="E51">
            <v>509.03089819946877</v>
          </cell>
        </row>
      </sheetData>
      <sheetData sheetId="9"/>
      <sheetData sheetId="10">
        <row r="24">
          <cell r="E24">
            <v>509.03089819946877</v>
          </cell>
        </row>
        <row r="25">
          <cell r="E25">
            <v>2161.4235062008215</v>
          </cell>
        </row>
        <row r="28">
          <cell r="E28">
            <v>0.55448386609225153</v>
          </cell>
        </row>
        <row r="36">
          <cell r="E36">
            <v>18.008880467039923</v>
          </cell>
        </row>
        <row r="37">
          <cell r="E37">
            <v>50.21783936417313</v>
          </cell>
        </row>
        <row r="38">
          <cell r="E38">
            <v>18.509017076560308</v>
          </cell>
        </row>
        <row r="39">
          <cell r="E39">
            <v>157.6259364797985</v>
          </cell>
        </row>
        <row r="40">
          <cell r="E40">
            <v>2161.4235062008215</v>
          </cell>
        </row>
        <row r="41">
          <cell r="E41">
            <v>509.03089819946877</v>
          </cell>
        </row>
      </sheetData>
      <sheetData sheetId="11">
        <row r="23">
          <cell r="E23">
            <v>131.83340888752835</v>
          </cell>
        </row>
        <row r="26">
          <cell r="E26">
            <v>0.55448386609225153</v>
          </cell>
        </row>
        <row r="34">
          <cell r="E34">
            <v>18.008880467039923</v>
          </cell>
        </row>
        <row r="35">
          <cell r="E35">
            <v>50.21783936417313</v>
          </cell>
        </row>
        <row r="36">
          <cell r="E36">
            <v>18.509017076560308</v>
          </cell>
        </row>
        <row r="37">
          <cell r="E37">
            <v>157.6259364797985</v>
          </cell>
        </row>
        <row r="38">
          <cell r="E38">
            <v>131.83340888752835</v>
          </cell>
        </row>
      </sheetData>
      <sheetData sheetId="12"/>
      <sheetData sheetId="13"/>
      <sheetData sheetId="14">
        <row r="15">
          <cell r="E15">
            <v>11.6046876865655</v>
          </cell>
        </row>
        <row r="16">
          <cell r="E16">
            <v>3.42132225661322</v>
          </cell>
        </row>
        <row r="17">
          <cell r="E17">
            <v>5.0218948273872694</v>
          </cell>
        </row>
        <row r="18">
          <cell r="E18">
            <v>438.31168831168799</v>
          </cell>
        </row>
      </sheetData>
      <sheetData sheetId="15">
        <row r="75">
          <cell r="C75">
            <v>-320.64976274672284</v>
          </cell>
        </row>
      </sheetData>
      <sheetData sheetId="16"/>
      <sheetData sheetId="17"/>
      <sheetData sheetId="18"/>
      <sheetData sheetId="19">
        <row r="25">
          <cell r="E25">
            <v>9.1614439984537466</v>
          </cell>
        </row>
        <row r="26">
          <cell r="E26">
            <v>2.6344181375921796</v>
          </cell>
        </row>
        <row r="27">
          <cell r="E27">
            <v>3.8668590170881956</v>
          </cell>
        </row>
        <row r="28">
          <cell r="E28">
            <v>357.9861111111112</v>
          </cell>
        </row>
      </sheetData>
      <sheetData sheetId="20">
        <row r="43">
          <cell r="C43">
            <v>-264.03464255865981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CIA_AD-f"/>
      <sheetName val="IW+_end"/>
      <sheetName val="LCI_AD-e"/>
      <sheetName val="LCI_AD-f"/>
      <sheetName val="Waste_characteristics"/>
      <sheetName val="Parameters"/>
      <sheetName val="LCI"/>
      <sheetName val="LCI_AD-d"/>
      <sheetName val="params_HC"/>
      <sheetName val="LCI_AD-a"/>
      <sheetName val="LCI_AD-c"/>
      <sheetName val="LCI_HC"/>
      <sheetName val="LCI_AD-b"/>
      <sheetName val="LCIA_AD-b"/>
      <sheetName val="LCIA_HC"/>
      <sheetName val="LCIA_AD-c"/>
      <sheetName val="LCIA_AD-d"/>
      <sheetName val="LCIA_AD-e"/>
      <sheetName val="Figures"/>
      <sheetName val="Figures_transport"/>
      <sheetName val="IW+f"/>
      <sheetName val="LCIA_AD-a"/>
      <sheetName val="LCIA_IC"/>
      <sheetName val="LCI_IC"/>
      <sheetName val="AD_a_end"/>
      <sheetName val="impact_process_end"/>
      <sheetName val="impact_process_mid"/>
      <sheetName val="IW+_mid"/>
      <sheetName val="IC_end"/>
      <sheetName val="AD_a_mid"/>
    </sheetNames>
    <sheetDataSet>
      <sheetData sheetId="0">
        <row r="102">
          <cell r="AG102">
            <v>-268.34014085734225</v>
          </cell>
        </row>
      </sheetData>
      <sheetData sheetId="1">
        <row r="4">
          <cell r="AG4">
            <v>3.2363622700140461E-2</v>
          </cell>
        </row>
      </sheetData>
      <sheetData sheetId="2">
        <row r="42">
          <cell r="E42">
            <v>3876.4660709036466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99">
          <cell r="AG99">
            <v>-201.83380910205278</v>
          </cell>
        </row>
      </sheetData>
      <sheetData sheetId="14">
        <row r="46">
          <cell r="AG46">
            <v>-209.55449775755659</v>
          </cell>
        </row>
      </sheetData>
      <sheetData sheetId="15">
        <row r="80">
          <cell r="AG80">
            <v>-195.86519901883881</v>
          </cell>
        </row>
      </sheetData>
      <sheetData sheetId="16">
        <row r="98">
          <cell r="AG98">
            <v>-202.80044861589312</v>
          </cell>
        </row>
      </sheetData>
      <sheetData sheetId="17">
        <row r="83">
          <cell r="AG83">
            <v>-261.40489126028797</v>
          </cell>
        </row>
      </sheetData>
      <sheetData sheetId="18"/>
      <sheetData sheetId="19"/>
      <sheetData sheetId="20">
        <row r="4">
          <cell r="C4">
            <v>0.189012950359117</v>
          </cell>
        </row>
      </sheetData>
      <sheetData sheetId="21">
        <row r="81">
          <cell r="AG81">
            <v>-194.89855950499845</v>
          </cell>
        </row>
      </sheetData>
      <sheetData sheetId="22">
        <row r="84">
          <cell r="AG84">
            <v>-140.00263317406106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d_tech"/>
      <sheetName val="tech_lb"/>
      <sheetName val="tech_ub"/>
      <sheetName val="coproduct"/>
      <sheetName val="subs_ratio"/>
      <sheetName val="avoid"/>
    </sheetNames>
    <sheetDataSet>
      <sheetData sheetId="0"/>
      <sheetData sheetId="1"/>
      <sheetData sheetId="2"/>
      <sheetData sheetId="3"/>
      <sheetData sheetId="4"/>
      <sheetData sheetId="5">
        <row r="6">
          <cell r="H6">
            <v>3876.4660709036466</v>
          </cell>
          <cell r="I6">
            <v>3876.4660709036466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F9C1E-CAC5-40F7-973A-3A444FB50574}">
  <dimension ref="A1:C9"/>
  <sheetViews>
    <sheetView workbookViewId="0">
      <selection activeCell="E13" sqref="E13"/>
    </sheetView>
  </sheetViews>
  <sheetFormatPr baseColWidth="10" defaultRowHeight="14.5" x14ac:dyDescent="0.35"/>
  <cols>
    <col min="2" max="2" width="27.6328125" customWidth="1"/>
    <col min="3" max="3" width="27.36328125" customWidth="1"/>
  </cols>
  <sheetData>
    <row r="1" spans="1:3" x14ac:dyDescent="0.35">
      <c r="A1" t="s">
        <v>4</v>
      </c>
      <c r="B1" t="s">
        <v>10</v>
      </c>
      <c r="C1" t="s">
        <v>5</v>
      </c>
    </row>
    <row r="2" spans="1:3" x14ac:dyDescent="0.35">
      <c r="A2" t="s">
        <v>0</v>
      </c>
      <c r="B2" t="s">
        <v>8</v>
      </c>
      <c r="C2" t="s">
        <v>2</v>
      </c>
    </row>
    <row r="3" spans="1:3" x14ac:dyDescent="0.35">
      <c r="A3" t="s">
        <v>1</v>
      </c>
      <c r="B3" t="s">
        <v>9</v>
      </c>
      <c r="C3" t="s">
        <v>3</v>
      </c>
    </row>
    <row r="4" spans="1:3" x14ac:dyDescent="0.35">
      <c r="A4" t="s">
        <v>6</v>
      </c>
      <c r="B4" t="s">
        <v>9</v>
      </c>
      <c r="C4" t="s">
        <v>24</v>
      </c>
    </row>
    <row r="5" spans="1:3" x14ac:dyDescent="0.35">
      <c r="A5" t="s">
        <v>7</v>
      </c>
      <c r="B5" t="s">
        <v>9</v>
      </c>
      <c r="C5" t="s">
        <v>25</v>
      </c>
    </row>
    <row r="6" spans="1:3" x14ac:dyDescent="0.35">
      <c r="A6" t="s">
        <v>21</v>
      </c>
      <c r="B6" t="s">
        <v>9</v>
      </c>
      <c r="C6" t="s">
        <v>20</v>
      </c>
    </row>
    <row r="7" spans="1:3" x14ac:dyDescent="0.35">
      <c r="A7" t="s">
        <v>34</v>
      </c>
      <c r="B7" t="s">
        <v>9</v>
      </c>
    </row>
    <row r="8" spans="1:3" x14ac:dyDescent="0.35">
      <c r="A8" t="s">
        <v>35</v>
      </c>
      <c r="B8" t="s">
        <v>9</v>
      </c>
    </row>
    <row r="9" spans="1:3" x14ac:dyDescent="0.35">
      <c r="A9" t="s">
        <v>36</v>
      </c>
      <c r="B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0AFAF-F12D-4C8E-8EA8-866AAED0D37E}">
  <dimension ref="A1:I27"/>
  <sheetViews>
    <sheetView topLeftCell="A15" workbookViewId="0">
      <selection activeCell="A28" sqref="A28:XFD28"/>
    </sheetView>
  </sheetViews>
  <sheetFormatPr baseColWidth="10" defaultRowHeight="14.5" x14ac:dyDescent="0.35"/>
  <cols>
    <col min="8" max="8" width="10.54296875" customWidth="1"/>
    <col min="9" max="9" width="12" customWidth="1"/>
  </cols>
  <sheetData>
    <row r="1" spans="1:9" x14ac:dyDescent="0.35">
      <c r="A1" t="s">
        <v>33</v>
      </c>
      <c r="B1" t="s">
        <v>0</v>
      </c>
      <c r="C1" t="s">
        <v>1</v>
      </c>
      <c r="D1" t="s">
        <v>6</v>
      </c>
      <c r="E1" t="s">
        <v>7</v>
      </c>
      <c r="F1" t="s">
        <v>21</v>
      </c>
      <c r="G1" t="s">
        <v>34</v>
      </c>
      <c r="H1" t="s">
        <v>35</v>
      </c>
      <c r="I1" t="s">
        <v>36</v>
      </c>
    </row>
    <row r="2" spans="1:9" x14ac:dyDescent="0.35">
      <c r="A2" t="s">
        <v>37</v>
      </c>
    </row>
    <row r="3" spans="1:9" x14ac:dyDescent="0.35">
      <c r="A3" t="s">
        <v>38</v>
      </c>
    </row>
    <row r="4" spans="1:9" x14ac:dyDescent="0.35">
      <c r="A4" t="s">
        <v>39</v>
      </c>
    </row>
    <row r="5" spans="1:9" x14ac:dyDescent="0.35">
      <c r="A5" t="s">
        <v>40</v>
      </c>
    </row>
    <row r="6" spans="1:9" x14ac:dyDescent="0.35">
      <c r="A6" t="s">
        <v>41</v>
      </c>
    </row>
    <row r="7" spans="1:9" x14ac:dyDescent="0.35">
      <c r="A7" t="s">
        <v>42</v>
      </c>
    </row>
    <row r="8" spans="1:9" x14ac:dyDescent="0.35">
      <c r="A8" t="s">
        <v>43</v>
      </c>
    </row>
    <row r="9" spans="1:9" x14ac:dyDescent="0.35">
      <c r="A9" t="s">
        <v>44</v>
      </c>
    </row>
    <row r="10" spans="1:9" x14ac:dyDescent="0.35">
      <c r="A10" t="s">
        <v>45</v>
      </c>
    </row>
    <row r="11" spans="1:9" x14ac:dyDescent="0.35">
      <c r="A11" t="s">
        <v>46</v>
      </c>
    </row>
    <row r="12" spans="1:9" x14ac:dyDescent="0.35">
      <c r="A12" t="s">
        <v>47</v>
      </c>
    </row>
    <row r="13" spans="1:9" x14ac:dyDescent="0.35">
      <c r="A13" t="s">
        <v>48</v>
      </c>
    </row>
    <row r="14" spans="1:9" x14ac:dyDescent="0.35">
      <c r="A14" t="s">
        <v>49</v>
      </c>
    </row>
    <row r="15" spans="1:9" x14ac:dyDescent="0.35">
      <c r="A15" t="s">
        <v>50</v>
      </c>
    </row>
    <row r="16" spans="1:9" x14ac:dyDescent="0.35">
      <c r="A16" t="s">
        <v>51</v>
      </c>
    </row>
    <row r="17" spans="1:1" x14ac:dyDescent="0.35">
      <c r="A17" t="s">
        <v>52</v>
      </c>
    </row>
    <row r="18" spans="1:1" x14ac:dyDescent="0.35">
      <c r="A18" t="s">
        <v>53</v>
      </c>
    </row>
    <row r="19" spans="1:1" x14ac:dyDescent="0.35">
      <c r="A19" t="s">
        <v>54</v>
      </c>
    </row>
    <row r="20" spans="1:1" x14ac:dyDescent="0.35">
      <c r="A20" t="s">
        <v>55</v>
      </c>
    </row>
    <row r="21" spans="1:1" x14ac:dyDescent="0.35">
      <c r="A21" t="s">
        <v>56</v>
      </c>
    </row>
    <row r="22" spans="1:1" x14ac:dyDescent="0.35">
      <c r="A22" t="s">
        <v>57</v>
      </c>
    </row>
    <row r="23" spans="1:1" x14ac:dyDescent="0.35">
      <c r="A23" t="s">
        <v>58</v>
      </c>
    </row>
    <row r="24" spans="1:1" x14ac:dyDescent="0.35">
      <c r="A24" t="s">
        <v>59</v>
      </c>
    </row>
    <row r="25" spans="1:1" x14ac:dyDescent="0.35">
      <c r="A25" t="s">
        <v>60</v>
      </c>
    </row>
    <row r="26" spans="1:1" x14ac:dyDescent="0.35">
      <c r="A26" t="s">
        <v>61</v>
      </c>
    </row>
    <row r="27" spans="1:1" x14ac:dyDescent="0.35">
      <c r="A27" t="s">
        <v>62</v>
      </c>
    </row>
  </sheetData>
  <pageMargins left="0.7" right="0.7" top="0.75" bottom="0.75" header="0.3" footer="0.3"/>
  <pageSetup paperSize="9" orientation="portrait" verticalDpi="597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C0E60-7C9B-4462-A22D-08487CC447D4}">
  <dimension ref="A1:I27"/>
  <sheetViews>
    <sheetView topLeftCell="A15" workbookViewId="0">
      <selection activeCell="K23" sqref="K23"/>
    </sheetView>
  </sheetViews>
  <sheetFormatPr baseColWidth="10" defaultRowHeight="14.5" x14ac:dyDescent="0.35"/>
  <cols>
    <col min="1" max="1" width="22.1796875" bestFit="1" customWidth="1"/>
    <col min="8" max="8" width="10.54296875" customWidth="1"/>
    <col min="9" max="9" width="12" customWidth="1"/>
  </cols>
  <sheetData>
    <row r="1" spans="1:9" x14ac:dyDescent="0.35">
      <c r="A1" t="s">
        <v>33</v>
      </c>
      <c r="B1" t="s">
        <v>0</v>
      </c>
      <c r="C1" t="s">
        <v>1</v>
      </c>
      <c r="D1" t="s">
        <v>6</v>
      </c>
      <c r="E1" t="s">
        <v>7</v>
      </c>
      <c r="F1" t="s">
        <v>21</v>
      </c>
      <c r="G1" t="s">
        <v>34</v>
      </c>
      <c r="H1" t="s">
        <v>35</v>
      </c>
      <c r="I1" t="s">
        <v>36</v>
      </c>
    </row>
    <row r="2" spans="1:9" x14ac:dyDescent="0.35">
      <c r="A2" t="s">
        <v>37</v>
      </c>
    </row>
    <row r="3" spans="1:9" x14ac:dyDescent="0.35">
      <c r="A3" t="s">
        <v>38</v>
      </c>
    </row>
    <row r="4" spans="1:9" x14ac:dyDescent="0.35">
      <c r="A4" t="s">
        <v>39</v>
      </c>
    </row>
    <row r="5" spans="1:9" x14ac:dyDescent="0.35">
      <c r="A5" t="s">
        <v>40</v>
      </c>
    </row>
    <row r="6" spans="1:9" x14ac:dyDescent="0.35">
      <c r="A6" t="s">
        <v>41</v>
      </c>
    </row>
    <row r="7" spans="1:9" x14ac:dyDescent="0.35">
      <c r="A7" t="s">
        <v>42</v>
      </c>
    </row>
    <row r="8" spans="1:9" x14ac:dyDescent="0.35">
      <c r="A8" t="s">
        <v>43</v>
      </c>
    </row>
    <row r="9" spans="1:9" x14ac:dyDescent="0.35">
      <c r="A9" t="s">
        <v>44</v>
      </c>
    </row>
    <row r="10" spans="1:9" x14ac:dyDescent="0.35">
      <c r="A10" t="s">
        <v>45</v>
      </c>
    </row>
    <row r="11" spans="1:9" x14ac:dyDescent="0.35">
      <c r="A11" t="s">
        <v>46</v>
      </c>
    </row>
    <row r="12" spans="1:9" x14ac:dyDescent="0.35">
      <c r="A12" t="s">
        <v>47</v>
      </c>
    </row>
    <row r="13" spans="1:9" x14ac:dyDescent="0.35">
      <c r="A13" t="s">
        <v>48</v>
      </c>
    </row>
    <row r="14" spans="1:9" x14ac:dyDescent="0.35">
      <c r="A14" t="s">
        <v>49</v>
      </c>
    </row>
    <row r="15" spans="1:9" x14ac:dyDescent="0.35">
      <c r="A15" t="s">
        <v>50</v>
      </c>
    </row>
    <row r="16" spans="1:9" x14ac:dyDescent="0.35">
      <c r="A16" t="s">
        <v>51</v>
      </c>
    </row>
    <row r="17" spans="1:9" x14ac:dyDescent="0.35">
      <c r="A17" t="s">
        <v>52</v>
      </c>
    </row>
    <row r="18" spans="1:9" x14ac:dyDescent="0.35">
      <c r="A18" t="s">
        <v>53</v>
      </c>
    </row>
    <row r="19" spans="1:9" x14ac:dyDescent="0.35">
      <c r="A19" t="s">
        <v>54</v>
      </c>
    </row>
    <row r="20" spans="1:9" x14ac:dyDescent="0.35">
      <c r="A20" t="s">
        <v>55</v>
      </c>
    </row>
    <row r="21" spans="1:9" x14ac:dyDescent="0.35">
      <c r="A21" t="s">
        <v>56</v>
      </c>
    </row>
    <row r="22" spans="1:9" x14ac:dyDescent="0.35">
      <c r="A22" t="s">
        <v>57</v>
      </c>
    </row>
    <row r="23" spans="1:9" x14ac:dyDescent="0.35">
      <c r="A23" t="s">
        <v>58</v>
      </c>
    </row>
    <row r="24" spans="1:9" x14ac:dyDescent="0.35">
      <c r="A24" t="s">
        <v>59</v>
      </c>
      <c r="B24">
        <v>0</v>
      </c>
      <c r="C24">
        <v>0</v>
      </c>
      <c r="D24">
        <v>0</v>
      </c>
      <c r="E24">
        <v>3000</v>
      </c>
      <c r="F24">
        <v>0</v>
      </c>
      <c r="G24">
        <v>0</v>
      </c>
      <c r="H24">
        <v>0</v>
      </c>
      <c r="I24">
        <v>0</v>
      </c>
    </row>
    <row r="25" spans="1:9" x14ac:dyDescent="0.35">
      <c r="A25" t="s">
        <v>60</v>
      </c>
      <c r="B25">
        <v>0</v>
      </c>
      <c r="C25">
        <v>0</v>
      </c>
      <c r="D25">
        <v>0</v>
      </c>
      <c r="E25">
        <v>0</v>
      </c>
      <c r="F25">
        <v>2500</v>
      </c>
      <c r="G25">
        <v>0</v>
      </c>
      <c r="H25">
        <v>0</v>
      </c>
      <c r="I25">
        <v>0</v>
      </c>
    </row>
    <row r="26" spans="1:9" x14ac:dyDescent="0.35">
      <c r="A26" t="s">
        <v>61</v>
      </c>
      <c r="B26">
        <v>0</v>
      </c>
      <c r="C26">
        <v>3000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x14ac:dyDescent="0.35">
      <c r="A27" t="s">
        <v>62</v>
      </c>
      <c r="B27">
        <v>0</v>
      </c>
      <c r="C27">
        <v>3000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EBB80-2ABA-4FB4-95B0-0A371702950F}">
  <dimension ref="A1:J8"/>
  <sheetViews>
    <sheetView workbookViewId="0"/>
  </sheetViews>
  <sheetFormatPr baseColWidth="10" defaultRowHeight="14.5" x14ac:dyDescent="0.35"/>
  <cols>
    <col min="1" max="1" width="13.453125" customWidth="1"/>
  </cols>
  <sheetData>
    <row r="1" spans="1:10" x14ac:dyDescent="0.35">
      <c r="A1" t="s">
        <v>17</v>
      </c>
      <c r="B1" t="s">
        <v>0</v>
      </c>
      <c r="C1" t="s">
        <v>1</v>
      </c>
      <c r="D1" t="s">
        <v>6</v>
      </c>
      <c r="E1" t="s">
        <v>7</v>
      </c>
      <c r="F1" t="s">
        <v>21</v>
      </c>
      <c r="G1" t="s">
        <v>34</v>
      </c>
      <c r="H1" t="s">
        <v>35</v>
      </c>
      <c r="I1" t="s">
        <v>36</v>
      </c>
      <c r="J1" t="s">
        <v>14</v>
      </c>
    </row>
    <row r="2" spans="1:10" x14ac:dyDescent="0.35">
      <c r="A2" t="s">
        <v>27</v>
      </c>
      <c r="B2">
        <v>0.7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t="s">
        <v>15</v>
      </c>
    </row>
    <row r="3" spans="1:10" x14ac:dyDescent="0.35">
      <c r="A3" t="s">
        <v>63</v>
      </c>
      <c r="B3">
        <v>0</v>
      </c>
      <c r="C3">
        <v>0.6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 t="s">
        <v>15</v>
      </c>
    </row>
    <row r="4" spans="1:10" x14ac:dyDescent="0.35">
      <c r="A4" t="s">
        <v>64</v>
      </c>
      <c r="B4">
        <v>0</v>
      </c>
      <c r="C4">
        <v>0</v>
      </c>
      <c r="D4">
        <v>0</v>
      </c>
      <c r="E4">
        <f>'[1]LCI_AD-b'!$E$36</f>
        <v>0.15444202981514046</v>
      </c>
      <c r="F4">
        <v>0</v>
      </c>
      <c r="G4">
        <f>E4</f>
        <v>0.15444202981514046</v>
      </c>
      <c r="H4">
        <v>0</v>
      </c>
      <c r="I4">
        <f>G4</f>
        <v>0.15444202981514046</v>
      </c>
      <c r="J4" t="s">
        <v>15</v>
      </c>
    </row>
    <row r="5" spans="1:10" x14ac:dyDescent="0.35">
      <c r="A5" t="s">
        <v>11</v>
      </c>
      <c r="B5">
        <v>0</v>
      </c>
      <c r="C5">
        <v>0</v>
      </c>
      <c r="D5">
        <f>'[1]LCI_AD-a'!$E$28</f>
        <v>0.55448386609225153</v>
      </c>
      <c r="E5">
        <v>0</v>
      </c>
      <c r="F5">
        <f>'[1]LCI_AD-c'!$E$26</f>
        <v>0.55448386609225153</v>
      </c>
      <c r="G5">
        <v>0</v>
      </c>
      <c r="H5">
        <f>F5</f>
        <v>0.55448386609225153</v>
      </c>
      <c r="I5">
        <v>0</v>
      </c>
      <c r="J5" t="s">
        <v>19</v>
      </c>
    </row>
    <row r="6" spans="1:10" x14ac:dyDescent="0.35">
      <c r="A6" t="s">
        <v>12</v>
      </c>
      <c r="B6">
        <v>0</v>
      </c>
      <c r="C6">
        <v>0</v>
      </c>
      <c r="D6">
        <f>'[1]LCI_AD-a'!$E$25</f>
        <v>2161.4235062008215</v>
      </c>
      <c r="E6">
        <f>'[1]LCI_AD-b'!$E$25</f>
        <v>2161.4235062008215</v>
      </c>
      <c r="F6">
        <v>0</v>
      </c>
      <c r="G6">
        <v>0</v>
      </c>
      <c r="H6">
        <f>'[2]LCI_AD-e'!$E$42</f>
        <v>3876.4660709036466</v>
      </c>
      <c r="I6">
        <f>'[2]LCI_AD-e'!$E$42</f>
        <v>3876.4660709036466</v>
      </c>
      <c r="J6" t="s">
        <v>16</v>
      </c>
    </row>
    <row r="7" spans="1:10" x14ac:dyDescent="0.35">
      <c r="A7" t="s">
        <v>13</v>
      </c>
      <c r="B7">
        <v>0</v>
      </c>
      <c r="C7">
        <v>0</v>
      </c>
      <c r="D7">
        <f>'[1]LCI_AD-a'!$E$24</f>
        <v>509.03089819946877</v>
      </c>
      <c r="E7">
        <f>'[1]LCI_AD-b'!$E$24</f>
        <v>509.03089819946877</v>
      </c>
      <c r="F7">
        <v>0</v>
      </c>
      <c r="G7">
        <v>0</v>
      </c>
      <c r="H7">
        <v>0</v>
      </c>
      <c r="I7">
        <v>0</v>
      </c>
      <c r="J7" t="s">
        <v>23</v>
      </c>
    </row>
    <row r="8" spans="1:10" x14ac:dyDescent="0.35">
      <c r="A8" t="s">
        <v>22</v>
      </c>
      <c r="B8">
        <v>0</v>
      </c>
      <c r="C8">
        <v>0</v>
      </c>
      <c r="D8">
        <v>0</v>
      </c>
      <c r="E8">
        <v>0</v>
      </c>
      <c r="F8">
        <f>'[1]LCI_AD-c'!$E$23</f>
        <v>131.83340888752835</v>
      </c>
      <c r="G8">
        <f>F8</f>
        <v>131.83340888752835</v>
      </c>
      <c r="H8">
        <v>0</v>
      </c>
      <c r="I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F516C-DDEF-43A1-8AEB-42D6C7449595}">
  <dimension ref="A1:I9"/>
  <sheetViews>
    <sheetView workbookViewId="0">
      <selection activeCell="H7" sqref="H7"/>
    </sheetView>
  </sheetViews>
  <sheetFormatPr baseColWidth="10" defaultRowHeight="14.5" x14ac:dyDescent="0.35"/>
  <cols>
    <col min="1" max="1" width="24.90625" customWidth="1"/>
  </cols>
  <sheetData>
    <row r="1" spans="1:9" x14ac:dyDescent="0.35">
      <c r="A1" t="s">
        <v>67</v>
      </c>
      <c r="B1" t="s">
        <v>27</v>
      </c>
      <c r="C1" t="s">
        <v>63</v>
      </c>
      <c r="D1" t="s">
        <v>64</v>
      </c>
      <c r="E1" t="s">
        <v>11</v>
      </c>
      <c r="F1" t="s">
        <v>12</v>
      </c>
      <c r="G1" t="s">
        <v>13</v>
      </c>
      <c r="H1" t="s">
        <v>22</v>
      </c>
    </row>
    <row r="2" spans="1:9" x14ac:dyDescent="0.35">
      <c r="A2" t="s">
        <v>28</v>
      </c>
      <c r="B2">
        <f>avoid!B2/cop!$B$2</f>
        <v>16.578125266522143</v>
      </c>
      <c r="C2" s="1">
        <f>avoid!C2/cop!C$3</f>
        <v>15.269073330756244</v>
      </c>
      <c r="D2">
        <f>avoid!E2/cop!E$4</f>
        <v>63.707659664702447</v>
      </c>
      <c r="E2">
        <f>avoid!D2/cop!D$5</f>
        <v>32.478637465068672</v>
      </c>
      <c r="F2">
        <v>0</v>
      </c>
      <c r="G2">
        <v>0</v>
      </c>
      <c r="H2">
        <v>0</v>
      </c>
      <c r="I2" t="s">
        <v>68</v>
      </c>
    </row>
    <row r="3" spans="1:9" x14ac:dyDescent="0.35">
      <c r="A3" t="s">
        <v>29</v>
      </c>
      <c r="B3">
        <f>avoid!B3/cop!B$2</f>
        <v>4.8876032237331719</v>
      </c>
      <c r="C3" s="1">
        <f>avoid!C3/cop!C$3</f>
        <v>4.3906968959869666</v>
      </c>
      <c r="D3">
        <f>avoid!E3/cop!E$4</f>
        <v>206.79957310741756</v>
      </c>
      <c r="E3">
        <f>avoid!D3/cop!D$5</f>
        <v>90.566817963677593</v>
      </c>
      <c r="F3">
        <v>0</v>
      </c>
      <c r="G3">
        <v>0</v>
      </c>
      <c r="H3">
        <v>0</v>
      </c>
      <c r="I3" t="s">
        <v>68</v>
      </c>
    </row>
    <row r="4" spans="1:9" x14ac:dyDescent="0.35">
      <c r="A4" t="s">
        <v>30</v>
      </c>
      <c r="B4">
        <f>avoid!B4/cop!B$2</f>
        <v>7.1741354676960993</v>
      </c>
      <c r="C4" s="1">
        <f>avoid!C4/cop!C$3</f>
        <v>6.444765028480326</v>
      </c>
      <c r="D4">
        <f>avoid!E4/cop!E$4</f>
        <v>18.432073379133382</v>
      </c>
      <c r="E4">
        <f>avoid!D4/cop!D$5</f>
        <v>33.380623329950765</v>
      </c>
      <c r="F4">
        <v>0</v>
      </c>
      <c r="G4">
        <v>0</v>
      </c>
      <c r="H4">
        <v>0</v>
      </c>
      <c r="I4" t="s">
        <v>68</v>
      </c>
    </row>
    <row r="5" spans="1:9" x14ac:dyDescent="0.35">
      <c r="A5" t="s">
        <v>65</v>
      </c>
      <c r="B5">
        <f>avoid!B5/cop!B$2</f>
        <v>626.1595547309829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 t="s">
        <v>68</v>
      </c>
    </row>
    <row r="6" spans="1:9" x14ac:dyDescent="0.35">
      <c r="A6" t="s">
        <v>66</v>
      </c>
      <c r="B6">
        <v>0</v>
      </c>
      <c r="C6" s="1">
        <f>avoid!C6/cop!C$3</f>
        <v>596.6435185185187</v>
      </c>
      <c r="D6">
        <f>avoid!E6/cop!E$4</f>
        <v>272.65793282716572</v>
      </c>
      <c r="E6">
        <f>avoid!D6/cop!D$5</f>
        <v>284.27506392688025</v>
      </c>
      <c r="I6" t="s">
        <v>68</v>
      </c>
    </row>
    <row r="7" spans="1:9" x14ac:dyDescent="0.35">
      <c r="A7" t="s">
        <v>12</v>
      </c>
      <c r="B7">
        <f>avoid!B7/cop!B$2</f>
        <v>0</v>
      </c>
      <c r="C7" s="1">
        <f>avoid!C7/cop!C$3</f>
        <v>0</v>
      </c>
      <c r="D7">
        <v>0</v>
      </c>
      <c r="E7">
        <v>0</v>
      </c>
      <c r="F7">
        <v>1</v>
      </c>
      <c r="G7">
        <v>0</v>
      </c>
      <c r="H7">
        <v>0</v>
      </c>
      <c r="I7" t="s">
        <v>69</v>
      </c>
    </row>
    <row r="8" spans="1:9" x14ac:dyDescent="0.35">
      <c r="A8" t="s">
        <v>13</v>
      </c>
      <c r="B8">
        <f>avoid!B8/cop!B$2</f>
        <v>0</v>
      </c>
      <c r="C8" s="1">
        <f>avoid!C8/cop!C$3</f>
        <v>0</v>
      </c>
      <c r="D8">
        <v>0</v>
      </c>
      <c r="E8">
        <v>0</v>
      </c>
      <c r="F8">
        <v>0</v>
      </c>
      <c r="G8">
        <v>1</v>
      </c>
      <c r="H8">
        <v>0</v>
      </c>
      <c r="I8" t="s">
        <v>70</v>
      </c>
    </row>
    <row r="9" spans="1:9" x14ac:dyDescent="0.35">
      <c r="A9" t="s">
        <v>22</v>
      </c>
      <c r="B9">
        <f>avoid!B9/cop!B$2</f>
        <v>0</v>
      </c>
      <c r="C9" s="1">
        <f>avoid!C9/cop!C$3</f>
        <v>0</v>
      </c>
      <c r="D9">
        <f>avoid!E9/cop!E$4</f>
        <v>0</v>
      </c>
      <c r="E9">
        <f>avoid!D9/cop!D$5</f>
        <v>0</v>
      </c>
      <c r="F9">
        <v>0</v>
      </c>
      <c r="G9">
        <v>0</v>
      </c>
      <c r="H9">
        <v>1</v>
      </c>
      <c r="I9" t="s">
        <v>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0484F-C1E4-4AFC-8F16-17E8FE0FC51A}">
  <dimension ref="A1:I8"/>
  <sheetViews>
    <sheetView workbookViewId="0">
      <selection activeCell="D5" sqref="D5"/>
    </sheetView>
  </sheetViews>
  <sheetFormatPr baseColWidth="10" defaultRowHeight="14.5" x14ac:dyDescent="0.35"/>
  <sheetData>
    <row r="1" spans="1:9" x14ac:dyDescent="0.35">
      <c r="B1" t="s">
        <v>28</v>
      </c>
      <c r="C1" t="s">
        <v>29</v>
      </c>
      <c r="D1" t="s">
        <v>30</v>
      </c>
      <c r="E1" t="s">
        <v>65</v>
      </c>
      <c r="F1" t="s">
        <v>66</v>
      </c>
      <c r="G1" t="s">
        <v>12</v>
      </c>
      <c r="H1" t="s">
        <v>13</v>
      </c>
      <c r="I1" t="s">
        <v>22</v>
      </c>
    </row>
    <row r="2" spans="1:9" x14ac:dyDescent="0.35">
      <c r="A2" t="s">
        <v>28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35">
      <c r="A3" t="s">
        <v>29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35">
      <c r="A4" t="s">
        <v>30</v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35">
      <c r="A5" t="s">
        <v>31</v>
      </c>
      <c r="B5">
        <v>0</v>
      </c>
      <c r="C5">
        <v>0</v>
      </c>
      <c r="D5">
        <v>0</v>
      </c>
      <c r="E5">
        <v>1</v>
      </c>
      <c r="F5">
        <v>1</v>
      </c>
      <c r="G5">
        <v>0</v>
      </c>
      <c r="H5">
        <v>0</v>
      </c>
      <c r="I5">
        <v>0</v>
      </c>
    </row>
    <row r="6" spans="1:9" x14ac:dyDescent="0.35">
      <c r="A6" t="s">
        <v>12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</row>
    <row r="7" spans="1:9" x14ac:dyDescent="0.35">
      <c r="A7" t="s">
        <v>13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</row>
    <row r="8" spans="1:9" x14ac:dyDescent="0.35">
      <c r="A8" t="s">
        <v>26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5BC93-5287-46F1-B8A8-81A7A63E9BBE}">
  <dimension ref="A1:J9"/>
  <sheetViews>
    <sheetView workbookViewId="0">
      <selection sqref="A1:I9"/>
    </sheetView>
  </sheetViews>
  <sheetFormatPr baseColWidth="10" defaultRowHeight="14.5" x14ac:dyDescent="0.35"/>
  <cols>
    <col min="1" max="1" width="18.1796875" customWidth="1"/>
  </cols>
  <sheetData>
    <row r="1" spans="1:10" x14ac:dyDescent="0.35">
      <c r="A1" t="s">
        <v>18</v>
      </c>
      <c r="B1" t="s">
        <v>0</v>
      </c>
      <c r="C1" t="s">
        <v>1</v>
      </c>
      <c r="D1" t="s">
        <v>6</v>
      </c>
      <c r="E1" t="s">
        <v>7</v>
      </c>
      <c r="F1" t="s">
        <v>21</v>
      </c>
      <c r="G1" t="s">
        <v>34</v>
      </c>
      <c r="H1" t="s">
        <v>35</v>
      </c>
      <c r="I1" t="s">
        <v>36</v>
      </c>
    </row>
    <row r="2" spans="1:10" x14ac:dyDescent="0.35">
      <c r="A2" t="s">
        <v>28</v>
      </c>
      <c r="B2">
        <f>[1]LCI_HC!$E$15</f>
        <v>11.6046876865655</v>
      </c>
      <c r="C2" s="1">
        <f>[1]LCI_IC!$E$25</f>
        <v>9.1614439984537466</v>
      </c>
      <c r="D2">
        <f>'[1]LCI_AD-a'!$E$36</f>
        <v>18.008880467039923</v>
      </c>
      <c r="E2">
        <f>'[1]LCI_AD-b'!$E$46</f>
        <v>9.8391402733887965</v>
      </c>
      <c r="F2">
        <f>+'[1]LCI_AD-c'!$E$34</f>
        <v>18.008880467039923</v>
      </c>
      <c r="G2">
        <f>'[1]LCI_AD-b'!$E$46</f>
        <v>9.8391402733887965</v>
      </c>
      <c r="H2">
        <f>+'[1]LCI_AD-c'!$E$34</f>
        <v>18.008880467039923</v>
      </c>
      <c r="I2">
        <f>'[1]LCI_AD-b'!$E$46</f>
        <v>9.8391402733887965</v>
      </c>
      <c r="J2" t="s">
        <v>32</v>
      </c>
    </row>
    <row r="3" spans="1:10" x14ac:dyDescent="0.35">
      <c r="A3" t="s">
        <v>29</v>
      </c>
      <c r="B3">
        <f>[1]LCI_HC!$E$16</f>
        <v>3.42132225661322</v>
      </c>
      <c r="C3" s="1">
        <f>[1]LCI_IC!$E$26</f>
        <v>2.6344181375921796</v>
      </c>
      <c r="D3">
        <f>'[1]LCI_AD-a'!$E$37</f>
        <v>50.21783936417313</v>
      </c>
      <c r="E3">
        <f>+'[1]LCI_AD-b'!$E$47</f>
        <v>31.938545835614104</v>
      </c>
      <c r="F3">
        <f>+'[1]LCI_AD-c'!$E$35</f>
        <v>50.21783936417313</v>
      </c>
      <c r="G3">
        <f>+'[1]LCI_AD-b'!$E$47</f>
        <v>31.938545835614104</v>
      </c>
      <c r="H3">
        <f>+'[1]LCI_AD-c'!$E$35</f>
        <v>50.21783936417313</v>
      </c>
      <c r="I3">
        <f>+'[1]LCI_AD-b'!$E$47</f>
        <v>31.938545835614104</v>
      </c>
      <c r="J3" t="s">
        <v>32</v>
      </c>
    </row>
    <row r="4" spans="1:10" x14ac:dyDescent="0.35">
      <c r="A4" t="s">
        <v>30</v>
      </c>
      <c r="B4">
        <f>[1]LCI_HC!$E$17</f>
        <v>5.0218948273872694</v>
      </c>
      <c r="C4" s="1">
        <f>[1]LCI_IC!$E$27</f>
        <v>3.8668590170881956</v>
      </c>
      <c r="D4">
        <f>'[1]LCI_AD-a'!$E$38</f>
        <v>18.509017076560308</v>
      </c>
      <c r="E4">
        <f>+'[1]LCI_AD-b'!$E$48</f>
        <v>2.8466868263749747</v>
      </c>
      <c r="F4">
        <f>+'[1]LCI_AD-c'!$E$36</f>
        <v>18.509017076560308</v>
      </c>
      <c r="G4">
        <f>+'[1]LCI_AD-b'!$E$48</f>
        <v>2.8466868263749747</v>
      </c>
      <c r="H4">
        <f>+'[1]LCI_AD-c'!$E$36</f>
        <v>18.509017076560308</v>
      </c>
      <c r="I4">
        <f>+'[1]LCI_AD-b'!$E$48</f>
        <v>2.8466868263749747</v>
      </c>
      <c r="J4" t="s">
        <v>32</v>
      </c>
    </row>
    <row r="5" spans="1:10" x14ac:dyDescent="0.35">
      <c r="A5" t="s">
        <v>65</v>
      </c>
      <c r="B5">
        <f>[1]LCI_HC!$E$18</f>
        <v>438.31168831168799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 t="s">
        <v>32</v>
      </c>
    </row>
    <row r="6" spans="1:10" x14ac:dyDescent="0.35">
      <c r="A6" t="s">
        <v>66</v>
      </c>
      <c r="B6">
        <v>0</v>
      </c>
      <c r="C6" s="1">
        <f>[1]LCI_IC!$E$28</f>
        <v>357.9861111111112</v>
      </c>
      <c r="D6" s="1">
        <f>'[1]LCI_AD-a'!$E$39</f>
        <v>157.6259364797985</v>
      </c>
      <c r="E6">
        <f>+'[1]LCI_AD-b'!$E$49</f>
        <v>42.109844591027695</v>
      </c>
      <c r="F6">
        <f>+'[1]LCI_AD-c'!$E$37</f>
        <v>157.6259364797985</v>
      </c>
      <c r="G6">
        <f>E6</f>
        <v>42.109844591027695</v>
      </c>
      <c r="H6">
        <f>+'[1]LCI_AD-c'!$E$37</f>
        <v>157.6259364797985</v>
      </c>
      <c r="I6">
        <f>G6</f>
        <v>42.109844591027695</v>
      </c>
    </row>
    <row r="7" spans="1:10" x14ac:dyDescent="0.35">
      <c r="A7" t="s">
        <v>12</v>
      </c>
      <c r="B7">
        <v>0</v>
      </c>
      <c r="C7">
        <v>0</v>
      </c>
      <c r="D7">
        <f>'[1]LCI_AD-a'!$E$40</f>
        <v>2161.4235062008215</v>
      </c>
      <c r="E7">
        <f>+'[1]LCI_AD-b'!$E$50</f>
        <v>2161.4235062008215</v>
      </c>
      <c r="F7">
        <v>0</v>
      </c>
      <c r="G7">
        <v>0</v>
      </c>
      <c r="H7">
        <f>[3]avoid!$H$6</f>
        <v>3876.4660709036466</v>
      </c>
      <c r="I7">
        <f>[3]avoid!$I$6</f>
        <v>3876.4660709036466</v>
      </c>
      <c r="J7" t="s">
        <v>19</v>
      </c>
    </row>
    <row r="8" spans="1:10" x14ac:dyDescent="0.35">
      <c r="A8" t="s">
        <v>13</v>
      </c>
      <c r="B8">
        <v>0</v>
      </c>
      <c r="C8">
        <v>0</v>
      </c>
      <c r="D8">
        <f>'[1]LCI_AD-a'!$E$41</f>
        <v>509.03089819946877</v>
      </c>
      <c r="E8">
        <f>+'[1]LCI_AD-b'!$E$51</f>
        <v>509.03089819946877</v>
      </c>
      <c r="F8">
        <v>0</v>
      </c>
      <c r="G8">
        <v>0</v>
      </c>
      <c r="H8">
        <v>0</v>
      </c>
      <c r="I8">
        <v>0</v>
      </c>
      <c r="J8" t="s">
        <v>16</v>
      </c>
    </row>
    <row r="9" spans="1:10" x14ac:dyDescent="0.35">
      <c r="A9" t="s">
        <v>22</v>
      </c>
      <c r="B9">
        <v>0</v>
      </c>
      <c r="C9">
        <v>0</v>
      </c>
      <c r="D9">
        <v>0</v>
      </c>
      <c r="E9">
        <v>0</v>
      </c>
      <c r="F9">
        <f>+'[1]LCI_AD-c'!$E$38</f>
        <v>131.83340888752835</v>
      </c>
      <c r="G9">
        <f>F9</f>
        <v>131.83340888752835</v>
      </c>
      <c r="H9">
        <v>0</v>
      </c>
      <c r="I9">
        <v>0</v>
      </c>
      <c r="J9" t="s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4F0CB-63EA-4A6A-8A1F-1FF7EF68F834}">
  <dimension ref="A1:I9"/>
  <sheetViews>
    <sheetView tabSelected="1" workbookViewId="0">
      <selection activeCell="E6" sqref="E6"/>
    </sheetView>
  </sheetViews>
  <sheetFormatPr baseColWidth="10" defaultRowHeight="14.5" x14ac:dyDescent="0.35"/>
  <sheetData>
    <row r="1" spans="1:9" x14ac:dyDescent="0.35">
      <c r="A1" t="s">
        <v>17</v>
      </c>
      <c r="B1" t="s">
        <v>0</v>
      </c>
      <c r="C1" t="s">
        <v>1</v>
      </c>
      <c r="D1" t="s">
        <v>6</v>
      </c>
      <c r="E1" t="s">
        <v>7</v>
      </c>
      <c r="F1" t="s">
        <v>21</v>
      </c>
      <c r="G1" t="s">
        <v>34</v>
      </c>
      <c r="H1" t="s">
        <v>35</v>
      </c>
      <c r="I1" t="s">
        <v>36</v>
      </c>
    </row>
    <row r="2" spans="1:9" x14ac:dyDescent="0.35">
      <c r="A2" t="s">
        <v>28</v>
      </c>
      <c r="B2">
        <f>[1]LCI_HC!$E$15</f>
        <v>11.6046876865655</v>
      </c>
      <c r="C2" s="1">
        <f>[1]LCI_IC!$E$25</f>
        <v>9.1614439984537466</v>
      </c>
      <c r="D2">
        <f>'[1]LCI_AD-a'!$E$36</f>
        <v>18.008880467039923</v>
      </c>
      <c r="E2">
        <f>'[1]LCI_AD-b'!$E$46</f>
        <v>9.8391402733887965</v>
      </c>
      <c r="F2">
        <f>+'[1]LCI_AD-c'!$E$34</f>
        <v>18.008880467039923</v>
      </c>
      <c r="G2">
        <f>'[1]LCI_AD-b'!$E$46</f>
        <v>9.8391402733887965</v>
      </c>
      <c r="H2">
        <f>+'[1]LCI_AD-c'!$E$34</f>
        <v>18.008880467039923</v>
      </c>
      <c r="I2">
        <f>'[1]LCI_AD-b'!$E$46</f>
        <v>9.8391402733887965</v>
      </c>
    </row>
    <row r="3" spans="1:9" x14ac:dyDescent="0.35">
      <c r="A3" t="s">
        <v>29</v>
      </c>
      <c r="B3">
        <f>[1]LCI_HC!$E$16</f>
        <v>3.42132225661322</v>
      </c>
      <c r="C3" s="1">
        <f>[1]LCI_IC!$E$26</f>
        <v>2.6344181375921796</v>
      </c>
      <c r="D3">
        <f>'[1]LCI_AD-a'!$E$37</f>
        <v>50.21783936417313</v>
      </c>
      <c r="E3">
        <f>+'[1]LCI_AD-b'!$E$47</f>
        <v>31.938545835614104</v>
      </c>
      <c r="F3">
        <f>+'[1]LCI_AD-c'!$E$35</f>
        <v>50.21783936417313</v>
      </c>
      <c r="G3">
        <f>+'[1]LCI_AD-b'!$E$47</f>
        <v>31.938545835614104</v>
      </c>
      <c r="H3">
        <f>+'[1]LCI_AD-c'!$E$35</f>
        <v>50.21783936417313</v>
      </c>
      <c r="I3">
        <f>+'[1]LCI_AD-b'!$E$47</f>
        <v>31.938545835614104</v>
      </c>
    </row>
    <row r="4" spans="1:9" x14ac:dyDescent="0.35">
      <c r="A4" t="s">
        <v>30</v>
      </c>
      <c r="B4">
        <f>[1]LCI_HC!$E$17</f>
        <v>5.0218948273872694</v>
      </c>
      <c r="C4" s="1">
        <f>[1]LCI_IC!$E$27</f>
        <v>3.8668590170881956</v>
      </c>
      <c r="D4">
        <f>'[1]LCI_AD-a'!$E$38</f>
        <v>18.509017076560308</v>
      </c>
      <c r="E4">
        <f>+'[1]LCI_AD-b'!$E$48</f>
        <v>2.8466868263749747</v>
      </c>
      <c r="F4">
        <f>+'[1]LCI_AD-c'!$E$36</f>
        <v>18.509017076560308</v>
      </c>
      <c r="G4">
        <f>+'[1]LCI_AD-b'!$E$48</f>
        <v>2.8466868263749747</v>
      </c>
      <c r="H4">
        <f>+'[1]LCI_AD-c'!$E$36</f>
        <v>18.509017076560308</v>
      </c>
      <c r="I4">
        <f>+'[1]LCI_AD-b'!$E$48</f>
        <v>2.8466868263749747</v>
      </c>
    </row>
    <row r="5" spans="1:9" x14ac:dyDescent="0.35">
      <c r="A5" t="s">
        <v>65</v>
      </c>
      <c r="B5">
        <f>[1]LCI_HC!$E$18</f>
        <v>438.31168831168799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35">
      <c r="A6" t="s">
        <v>66</v>
      </c>
      <c r="B6">
        <v>0</v>
      </c>
      <c r="C6" s="1">
        <f>[1]LCI_IC!$E$28</f>
        <v>357.9861111111112</v>
      </c>
      <c r="D6" s="1">
        <f>'[1]LCI_AD-a'!$E$39</f>
        <v>157.6259364797985</v>
      </c>
      <c r="E6">
        <f>+'[1]LCI_AD-b'!$E$49</f>
        <v>42.109844591027695</v>
      </c>
      <c r="F6">
        <f>+'[1]LCI_AD-c'!$E$37</f>
        <v>157.6259364797985</v>
      </c>
      <c r="G6">
        <f>E6</f>
        <v>42.109844591027695</v>
      </c>
      <c r="H6">
        <f>+'[1]LCI_AD-c'!$E$37</f>
        <v>157.6259364797985</v>
      </c>
      <c r="I6">
        <f>G6</f>
        <v>42.109844591027695</v>
      </c>
    </row>
    <row r="7" spans="1:9" x14ac:dyDescent="0.35">
      <c r="A7" t="s">
        <v>12</v>
      </c>
      <c r="B7">
        <v>0</v>
      </c>
      <c r="C7">
        <v>0</v>
      </c>
      <c r="D7">
        <f>'[1]LCI_AD-a'!$E$40</f>
        <v>2161.4235062008215</v>
      </c>
      <c r="E7">
        <f>+'[1]LCI_AD-b'!$E$50</f>
        <v>2161.4235062008215</v>
      </c>
      <c r="F7">
        <v>0</v>
      </c>
      <c r="G7">
        <v>0</v>
      </c>
      <c r="H7">
        <f>[3]avoid!$H$6</f>
        <v>3876.4660709036466</v>
      </c>
      <c r="I7">
        <f>[3]avoid!$I$6</f>
        <v>3876.4660709036466</v>
      </c>
    </row>
    <row r="8" spans="1:9" x14ac:dyDescent="0.35">
      <c r="A8" t="s">
        <v>13</v>
      </c>
      <c r="B8">
        <v>0</v>
      </c>
      <c r="C8">
        <v>0</v>
      </c>
      <c r="D8">
        <f>'[1]LCI_AD-a'!$E$41</f>
        <v>509.03089819946877</v>
      </c>
      <c r="E8">
        <f>+'[1]LCI_AD-b'!$E$51</f>
        <v>509.03089819946877</v>
      </c>
      <c r="F8">
        <v>0</v>
      </c>
      <c r="G8">
        <v>0</v>
      </c>
      <c r="H8">
        <v>0</v>
      </c>
      <c r="I8">
        <v>0</v>
      </c>
    </row>
    <row r="9" spans="1:9" x14ac:dyDescent="0.35">
      <c r="A9" t="s">
        <v>22</v>
      </c>
      <c r="B9">
        <v>0</v>
      </c>
      <c r="C9">
        <v>0</v>
      </c>
      <c r="D9">
        <v>0</v>
      </c>
      <c r="E9">
        <v>0</v>
      </c>
      <c r="F9">
        <f>+'[1]LCI_AD-c'!$E$38</f>
        <v>131.83340888752835</v>
      </c>
      <c r="G9">
        <f>F9</f>
        <v>131.83340888752835</v>
      </c>
      <c r="H9">
        <v>0</v>
      </c>
      <c r="I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id_tech</vt:lpstr>
      <vt:lpstr>tech_lb</vt:lpstr>
      <vt:lpstr>tech_ub</vt:lpstr>
      <vt:lpstr>cop</vt:lpstr>
      <vt:lpstr>subs_ratio</vt:lpstr>
      <vt:lpstr>sub_ratio2</vt:lpstr>
      <vt:lpstr>avoid</vt:lpstr>
      <vt:lpstr>coproduct</vt:lpstr>
    </vt:vector>
  </TitlesOfParts>
  <Company>UTC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Nomena Ravoahangy</dc:creator>
  <cp:lastModifiedBy>Nomena Ravoahangy</cp:lastModifiedBy>
  <dcterms:created xsi:type="dcterms:W3CDTF">2025-05-15T07:52:14Z</dcterms:created>
  <dcterms:modified xsi:type="dcterms:W3CDTF">2026-03-09T15:00:05Z</dcterms:modified>
</cp:coreProperties>
</file>