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2FD0DBE5-3093-4135-A392-4727054E0B09}" xr6:coauthVersionLast="36" xr6:coauthVersionMax="36" xr10:uidLastSave="{00000000-0000-0000-0000-000000000000}"/>
  <bookViews>
    <workbookView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O8" i="1" s="1"/>
  <c r="AL8" i="1"/>
  <c r="AK8" i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O5" i="1" s="1"/>
  <c r="AK5" i="1"/>
  <c r="AN4" i="1"/>
  <c r="AM4" i="1"/>
  <c r="AL4" i="1"/>
  <c r="AK4" i="1"/>
  <c r="AO4" i="1" s="1"/>
  <c r="AN3" i="1"/>
  <c r="AO3" i="1" s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<sst xmlns="http://schemas.openxmlformats.org/spreadsheetml/2006/main" count="56" uniqueCount="46">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</sst>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Without</a:t>
            </a:r>
            <a:r>
              <a:rPr lang="fr-FR" baseline="0"/>
              <a:t> investment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22.090000000000003</c:v>
                </c:pt>
                <c:pt idx="1">
                  <c:v>42.669999999999995</c:v>
                </c:pt>
                <c:pt idx="2">
                  <c:v>47.489999999999995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C-4BBE-B2F2-6EE8393EE41A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C-4BBE-B2F2-6EE8393EE41A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57.35</c:v>
                </c:pt>
                <c:pt idx="2">
                  <c:v>0</c:v>
                </c:pt>
                <c:pt idx="3">
                  <c:v>0</c:v>
                </c:pt>
                <c:pt idx="4">
                  <c:v>51.7</c:v>
                </c:pt>
                <c:pt idx="5">
                  <c:v>0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C-4BBE-B2F2-6EE8393EE41A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0</c:v>
                </c:pt>
                <c:pt idx="2">
                  <c:v>52.52</c:v>
                </c:pt>
                <c:pt idx="3">
                  <c:v>51.7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DC-4BBE-B2F2-6EE8393EE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454255"/>
        <c:axId val="1026320495"/>
      </c:barChart>
      <c:catAx>
        <c:axId val="10294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6320495"/>
        <c:crosses val="autoZero"/>
        <c:auto val="1"/>
        <c:lblAlgn val="ctr"/>
        <c:lblOffset val="100"/>
        <c:noMultiLvlLbl val="0"/>
      </c:catAx>
      <c:valAx>
        <c:axId val="10263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94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79375</xdr:colOff>
      <xdr:row>10</xdr:row>
      <xdr:rowOff>76200</xdr:rowOff>
    </xdr:from>
    <xdr:to>
      <xdr:col>44</xdr:col>
      <xdr:colOff>384175</xdr:colOff>
      <xdr:row>25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95CEDD7-3442-4878-905F-D53DF5C6E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J1" workbookViewId="0">
      <selection activeCell="AJ2" sqref="AJ2:AO9"/>
    </sheetView>
  </sheetViews>
  <sheetFormatPr baseColWidth="10" defaultColWidth="8.7265625" defaultRowHeight="14.5" x14ac:dyDescent="0.35"/>
  <cols>
    <col min="36" max="36" width="14" customWidth="1"/>
    <col min="37" max="37" width="13.81640625" customWidth="1"/>
  </cols>
  <sheetData>
    <row r="1" spans="1:4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I3">
        <v>1.29</v>
      </c>
      <c r="N3">
        <v>1.83</v>
      </c>
      <c r="X3">
        <v>2.3199999999999998</v>
      </c>
      <c r="AC3" s="3">
        <v>77.930000000000007</v>
      </c>
      <c r="AD3" s="4">
        <v>-865985.05637241108</v>
      </c>
      <c r="AE3" s="4">
        <v>-447789.14297205512</v>
      </c>
      <c r="AF3" s="4">
        <v>-5.4484883681293006</v>
      </c>
      <c r="AG3" s="4">
        <v>135428.7408126957</v>
      </c>
      <c r="AH3" s="4">
        <v>2.3805956478598951</v>
      </c>
      <c r="AJ3" t="s">
        <v>37</v>
      </c>
      <c r="AK3">
        <f>SUM(D3:Y3)</f>
        <v>22.090000000000003</v>
      </c>
      <c r="AL3">
        <f>SUM(Z3:AA3)</f>
        <v>0</v>
      </c>
      <c r="AM3">
        <f>AB3</f>
        <v>0</v>
      </c>
      <c r="AN3">
        <f>AC3</f>
        <v>77.930000000000007</v>
      </c>
      <c r="AO3">
        <f>SUM(AK3:AN3)</f>
        <v>100.02000000000001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H4">
        <v>2.13</v>
      </c>
      <c r="I4">
        <v>1.29</v>
      </c>
      <c r="J4">
        <v>2.72</v>
      </c>
      <c r="K4">
        <v>2.37</v>
      </c>
      <c r="L4">
        <v>0.88</v>
      </c>
      <c r="N4">
        <v>3.35</v>
      </c>
      <c r="O4">
        <v>1.78</v>
      </c>
      <c r="S4">
        <v>4.9400000000000004</v>
      </c>
      <c r="U4">
        <v>0.36</v>
      </c>
      <c r="X4">
        <v>2.3199999999999998</v>
      </c>
      <c r="Y4">
        <v>0.94</v>
      </c>
      <c r="AB4" s="3">
        <v>57.35</v>
      </c>
      <c r="AD4" s="4">
        <v>-438432.7620571531</v>
      </c>
      <c r="AE4" s="4">
        <v>-495566.44217257411</v>
      </c>
      <c r="AF4" s="4">
        <v>-4.4731818905158871</v>
      </c>
      <c r="AG4" s="4">
        <v>-130513.778671432</v>
      </c>
      <c r="AH4" s="4">
        <v>0.41689187738810329</v>
      </c>
      <c r="AJ4" t="s">
        <v>38</v>
      </c>
      <c r="AK4">
        <f t="shared" ref="AK4:AK9" si="0">SUM(D4:Y4)</f>
        <v>42.669999999999995</v>
      </c>
      <c r="AL4">
        <f t="shared" ref="AL4:AL9" si="1">SUM(Z4:AA4)</f>
        <v>0</v>
      </c>
      <c r="AM4">
        <f t="shared" ref="AM4:AN9" si="2">AB4</f>
        <v>57.35</v>
      </c>
      <c r="AN4">
        <f t="shared" si="2"/>
        <v>0</v>
      </c>
      <c r="AO4">
        <f t="shared" ref="AO4:AO9" si="3">SUM(AK4:AN4)</f>
        <v>100.02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C5" s="3">
        <v>52.52</v>
      </c>
      <c r="AD5" s="4">
        <v>-843034.76912883844</v>
      </c>
      <c r="AE5" s="4">
        <v>-467230.65510733129</v>
      </c>
      <c r="AF5" s="4">
        <v>-5.572194192467876</v>
      </c>
      <c r="AG5" s="4">
        <v>81172.039565046405</v>
      </c>
      <c r="AH5" s="4">
        <v>1.777644150385755</v>
      </c>
      <c r="AJ5" t="s">
        <v>39</v>
      </c>
      <c r="AK5">
        <f t="shared" si="0"/>
        <v>47.489999999999995</v>
      </c>
      <c r="AL5">
        <f t="shared" si="1"/>
        <v>0</v>
      </c>
      <c r="AM5">
        <f t="shared" si="2"/>
        <v>0</v>
      </c>
      <c r="AN5">
        <f t="shared" si="2"/>
        <v>52.52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C6" s="3">
        <v>51.7</v>
      </c>
      <c r="AD6" s="4">
        <v>-841811.26246081176</v>
      </c>
      <c r="AE6" s="4">
        <v>-467457.77600775898</v>
      </c>
      <c r="AF6" s="4">
        <v>-5.5719000348830638</v>
      </c>
      <c r="AG6" s="4">
        <v>79580.043404655211</v>
      </c>
      <c r="AH6" s="4">
        <v>1.759219864213063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0</v>
      </c>
      <c r="AN6">
        <f t="shared" si="2"/>
        <v>51.7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-471293.39594798052</v>
      </c>
      <c r="AE7" s="4">
        <v>-494818.96651613672</v>
      </c>
      <c r="AF7" s="4">
        <v>-4.5857323896124242</v>
      </c>
      <c r="AG7" s="4">
        <v>-119955.8513852496</v>
      </c>
      <c r="AH7" s="4">
        <v>0.43340527315768612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C8" s="3">
        <v>51.7</v>
      </c>
      <c r="AD8" s="4">
        <v>-841811.26246081176</v>
      </c>
      <c r="AE8" s="4">
        <v>-467457.77600775909</v>
      </c>
      <c r="AF8" s="4">
        <v>-5.5719000348830638</v>
      </c>
      <c r="AG8" s="4">
        <v>79580.043404655211</v>
      </c>
      <c r="AH8" s="4">
        <v>1.759219864213061</v>
      </c>
      <c r="AJ8" t="s">
        <v>42</v>
      </c>
      <c r="AK8">
        <f t="shared" si="0"/>
        <v>48.309999999999995</v>
      </c>
      <c r="AL8">
        <f t="shared" si="1"/>
        <v>0</v>
      </c>
      <c r="AM8">
        <f t="shared" si="2"/>
        <v>0</v>
      </c>
      <c r="AN8">
        <f t="shared" si="2"/>
        <v>51.7</v>
      </c>
      <c r="AO8">
        <f t="shared" si="3"/>
        <v>100.00999999999999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-471293.39594798052</v>
      </c>
      <c r="AE9" s="4">
        <v>-494818.96651613672</v>
      </c>
      <c r="AF9" s="4">
        <v>-4.5857323896124234</v>
      </c>
      <c r="AG9" s="4">
        <v>-119955.8513852496</v>
      </c>
      <c r="AH9" s="4">
        <v>0.43340527315768612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  <c r="AO9">
        <f t="shared" si="3"/>
        <v>100.00999999999999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2026-03-06T13:55:46Z</dcterms:modified>
</cp:coreProperties>
</file>