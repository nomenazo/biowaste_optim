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correction_peat_market\AS_taux de tri\"/>
    </mc:Choice>
  </mc:AlternateContent>
  <xr:revisionPtr revIDLastSave="0" documentId="13_ncr:1_{B5F6266F-B09D-4F6A-BCBB-F66F3400446E}" xr6:coauthVersionLast="36" xr6:coauthVersionMax="36" xr10:uidLastSave="{00000000-0000-0000-0000-000000000000}"/>
  <bookViews>
    <workbookView xWindow="0" yWindow="0" windowWidth="22260" windowHeight="12650" activeTab="3" xr2:uid="{00000000-000D-0000-FFFF-FFFF00000000}"/>
  </bookViews>
  <sheets>
    <sheet name="ss_inv_inc" sheetId="4" r:id="rId1"/>
    <sheet name="ss_inv" sheetId="2" r:id="rId2"/>
    <sheet name="inv_inc" sheetId="3" r:id="rId3"/>
    <sheet name="inv" sheetId="1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1" l="1"/>
  <c r="AE5" i="1" l="1"/>
  <c r="AD5" i="1"/>
  <c r="AC5" i="1"/>
  <c r="AB5" i="1"/>
  <c r="S5" i="1"/>
  <c r="T5" i="1"/>
  <c r="U5" i="1"/>
  <c r="V5" i="1"/>
  <c r="W5" i="1"/>
  <c r="X5" i="1"/>
  <c r="Z5" i="1"/>
  <c r="AA5" i="1"/>
  <c r="AF5" i="1"/>
  <c r="AG5" i="1"/>
  <c r="AH5" i="1"/>
  <c r="C13" i="1" l="1"/>
  <c r="D13" i="1"/>
  <c r="E13" i="1"/>
  <c r="F13" i="1"/>
  <c r="G13" i="1"/>
  <c r="H13" i="1"/>
  <c r="I13" i="1"/>
  <c r="J13" i="1"/>
  <c r="C9" i="1"/>
  <c r="D9" i="1"/>
  <c r="E9" i="1"/>
  <c r="F9" i="1"/>
  <c r="G9" i="1"/>
  <c r="H9" i="1"/>
  <c r="I9" i="1"/>
  <c r="J9" i="1"/>
  <c r="D5" i="1"/>
  <c r="E5" i="1"/>
  <c r="F5" i="1"/>
  <c r="G5" i="1"/>
  <c r="H5" i="1"/>
  <c r="I5" i="1"/>
  <c r="J5" i="1"/>
  <c r="S5" i="3" l="1"/>
  <c r="F12" i="4" l="1"/>
  <c r="F8" i="4"/>
  <c r="F4" i="4"/>
  <c r="F13" i="4"/>
  <c r="F9" i="4"/>
  <c r="F5" i="4"/>
  <c r="F11" i="4"/>
  <c r="F7" i="4"/>
  <c r="F3" i="4"/>
  <c r="N12" i="4"/>
  <c r="N8" i="4"/>
  <c r="N4" i="4"/>
  <c r="W12" i="4"/>
  <c r="Q12" i="4"/>
  <c r="O12" i="4"/>
  <c r="I12" i="4"/>
  <c r="A12" i="4"/>
  <c r="W8" i="4"/>
  <c r="Q8" i="4"/>
  <c r="O8" i="4"/>
  <c r="I8" i="4"/>
  <c r="A8" i="4"/>
  <c r="W4" i="4"/>
  <c r="Q4" i="4"/>
  <c r="O4" i="4"/>
  <c r="I4" i="4"/>
  <c r="A4" i="4"/>
  <c r="W2" i="4"/>
  <c r="U2" i="4"/>
  <c r="T2" i="4"/>
  <c r="S2" i="4"/>
  <c r="R2" i="4"/>
  <c r="Q2" i="4"/>
  <c r="O2" i="4"/>
  <c r="M2" i="4"/>
  <c r="L2" i="4"/>
  <c r="K2" i="4"/>
  <c r="J2" i="4"/>
  <c r="I2" i="4"/>
  <c r="E2" i="4"/>
  <c r="D2" i="4"/>
  <c r="C2" i="4"/>
  <c r="B2" i="4"/>
  <c r="L7" i="3"/>
  <c r="L11" i="3"/>
  <c r="K6" i="3"/>
  <c r="K5" i="3"/>
  <c r="K4" i="3"/>
  <c r="AI9" i="3"/>
  <c r="AI13" i="3"/>
  <c r="AI5" i="3"/>
  <c r="X6" i="3"/>
  <c r="X7" i="3"/>
  <c r="X8" i="3"/>
  <c r="X10" i="3"/>
  <c r="X11" i="3"/>
  <c r="X12" i="3"/>
  <c r="W9" i="3"/>
  <c r="W13" i="3"/>
  <c r="W5" i="3"/>
  <c r="O10" i="3"/>
  <c r="O11" i="3"/>
  <c r="O12" i="3"/>
  <c r="Z13" i="3"/>
  <c r="N13" i="3"/>
  <c r="A13" i="3"/>
  <c r="Z9" i="3"/>
  <c r="N9" i="3"/>
  <c r="A9" i="3"/>
  <c r="Z5" i="3"/>
  <c r="V5" i="3"/>
  <c r="J4" i="3" s="1"/>
  <c r="U5" i="3"/>
  <c r="I4" i="3" s="1"/>
  <c r="T5" i="3"/>
  <c r="H4" i="3" s="1"/>
  <c r="R5" i="3"/>
  <c r="F4" i="3" s="1"/>
  <c r="Q5" i="3"/>
  <c r="E4" i="3" s="1"/>
  <c r="P5" i="3"/>
  <c r="D4" i="3" s="1"/>
  <c r="O5" i="3"/>
  <c r="C4" i="3" s="1"/>
  <c r="N5" i="3"/>
  <c r="G4" i="3"/>
  <c r="AH3" i="3"/>
  <c r="AG3" i="3"/>
  <c r="AF3" i="3"/>
  <c r="AE3" i="3"/>
  <c r="AD3" i="3"/>
  <c r="AC3" i="3"/>
  <c r="AB3" i="3"/>
  <c r="AA3" i="3"/>
  <c r="Z3" i="3"/>
  <c r="V3" i="3"/>
  <c r="U3" i="3"/>
  <c r="T3" i="3"/>
  <c r="S3" i="3"/>
  <c r="R3" i="3"/>
  <c r="Q3" i="3"/>
  <c r="P3" i="3"/>
  <c r="O3" i="3"/>
  <c r="N3" i="3"/>
  <c r="J3" i="3"/>
  <c r="I3" i="3"/>
  <c r="H3" i="3"/>
  <c r="G3" i="3"/>
  <c r="F3" i="3"/>
  <c r="E3" i="3"/>
  <c r="D3" i="3"/>
  <c r="C3" i="3"/>
  <c r="A3" i="3"/>
  <c r="R5" i="1"/>
  <c r="Q5" i="1"/>
  <c r="P5" i="1"/>
  <c r="O5" i="1"/>
  <c r="L4" i="3" l="1"/>
  <c r="X5" i="3"/>
  <c r="O24" i="2"/>
  <c r="B25" i="2" s="1"/>
  <c r="N2" i="2"/>
  <c r="O2" i="2"/>
  <c r="P2" i="2"/>
  <c r="Q2" i="2"/>
  <c r="R2" i="2"/>
  <c r="S2" i="2"/>
  <c r="N4" i="2"/>
  <c r="O4" i="2"/>
  <c r="P4" i="2"/>
  <c r="Q4" i="2"/>
  <c r="R4" i="2"/>
  <c r="S4" i="2"/>
  <c r="N8" i="2"/>
  <c r="O8" i="2"/>
  <c r="P8" i="2"/>
  <c r="Q8" i="2"/>
  <c r="R8" i="2"/>
  <c r="S8" i="2"/>
  <c r="N12" i="2"/>
  <c r="O12" i="2"/>
  <c r="P12" i="2"/>
  <c r="Q12" i="2"/>
  <c r="R12" i="2"/>
  <c r="S12" i="2"/>
  <c r="N16" i="2"/>
  <c r="O16" i="2"/>
  <c r="B17" i="2" s="1"/>
  <c r="P16" i="2"/>
  <c r="C17" i="2" s="1"/>
  <c r="Q16" i="2"/>
  <c r="D17" i="2" s="1"/>
  <c r="R16" i="2"/>
  <c r="E17" i="2" s="1"/>
  <c r="S16" i="2"/>
  <c r="N20" i="2"/>
  <c r="O20" i="2"/>
  <c r="B21" i="2" s="1"/>
  <c r="P20" i="2"/>
  <c r="C21" i="2" s="1"/>
  <c r="Q20" i="2"/>
  <c r="D21" i="2" s="1"/>
  <c r="R20" i="2"/>
  <c r="E21" i="2" s="1"/>
  <c r="S20" i="2"/>
  <c r="N24" i="2"/>
  <c r="P24" i="2"/>
  <c r="C25" i="2" s="1"/>
  <c r="Q24" i="2"/>
  <c r="D25" i="2" s="1"/>
  <c r="R24" i="2"/>
  <c r="E25" i="2" s="1"/>
  <c r="S24" i="2"/>
  <c r="N28" i="2"/>
  <c r="O28" i="2"/>
  <c r="B29" i="2" s="1"/>
  <c r="P28" i="2"/>
  <c r="C29" i="2" s="1"/>
  <c r="Q28" i="2"/>
  <c r="D29" i="2" s="1"/>
  <c r="R28" i="2"/>
  <c r="E29" i="2" s="1"/>
  <c r="S28" i="2"/>
  <c r="D13" i="2" l="1"/>
  <c r="T12" i="4"/>
  <c r="D13" i="4" s="1"/>
  <c r="B9" i="2"/>
  <c r="R8" i="4"/>
  <c r="B9" i="4" s="1"/>
  <c r="C13" i="2"/>
  <c r="S12" i="4"/>
  <c r="C13" i="4" s="1"/>
  <c r="B13" i="2"/>
  <c r="R12" i="4"/>
  <c r="B13" i="4" s="1"/>
  <c r="E13" i="2"/>
  <c r="U12" i="4"/>
  <c r="E13" i="4" s="1"/>
  <c r="C9" i="2"/>
  <c r="S8" i="4"/>
  <c r="C9" i="4" s="1"/>
  <c r="E5" i="2"/>
  <c r="U4" i="4"/>
  <c r="E5" i="4" s="1"/>
  <c r="D5" i="2"/>
  <c r="T4" i="4"/>
  <c r="D5" i="4" s="1"/>
  <c r="E9" i="2"/>
  <c r="U8" i="4"/>
  <c r="E9" i="4" s="1"/>
  <c r="C5" i="2"/>
  <c r="S4" i="4"/>
  <c r="C5" i="4" s="1"/>
  <c r="D9" i="2"/>
  <c r="T8" i="4"/>
  <c r="D9" i="4" s="1"/>
  <c r="B5" i="2"/>
  <c r="R4" i="4"/>
  <c r="B5" i="4" s="1"/>
  <c r="G2" i="2"/>
  <c r="H2" i="2"/>
  <c r="I2" i="2"/>
  <c r="J2" i="2"/>
  <c r="K2" i="2"/>
  <c r="L2" i="2"/>
  <c r="G4" i="2"/>
  <c r="H4" i="2"/>
  <c r="I4" i="2"/>
  <c r="J4" i="2"/>
  <c r="K4" i="2"/>
  <c r="L4" i="2"/>
  <c r="G8" i="2"/>
  <c r="H8" i="2"/>
  <c r="I8" i="2"/>
  <c r="J8" i="2"/>
  <c r="K8" i="2"/>
  <c r="L8" i="2"/>
  <c r="G12" i="2"/>
  <c r="H12" i="2"/>
  <c r="I12" i="2"/>
  <c r="J12" i="2"/>
  <c r="K12" i="2"/>
  <c r="L12" i="2"/>
  <c r="G16" i="2"/>
  <c r="H16" i="2"/>
  <c r="B15" i="2" s="1"/>
  <c r="I16" i="2"/>
  <c r="C15" i="2" s="1"/>
  <c r="J16" i="2"/>
  <c r="D15" i="2" s="1"/>
  <c r="K16" i="2"/>
  <c r="E15" i="2" s="1"/>
  <c r="L16" i="2"/>
  <c r="G20" i="2"/>
  <c r="H20" i="2"/>
  <c r="B19" i="2" s="1"/>
  <c r="I20" i="2"/>
  <c r="C19" i="2" s="1"/>
  <c r="J20" i="2"/>
  <c r="D19" i="2" s="1"/>
  <c r="K20" i="2"/>
  <c r="E19" i="2" s="1"/>
  <c r="L20" i="2"/>
  <c r="G24" i="2"/>
  <c r="H24" i="2"/>
  <c r="B23" i="2" s="1"/>
  <c r="I24" i="2"/>
  <c r="C23" i="2" s="1"/>
  <c r="J24" i="2"/>
  <c r="D23" i="2" s="1"/>
  <c r="K24" i="2"/>
  <c r="E23" i="2" s="1"/>
  <c r="L24" i="2"/>
  <c r="G28" i="2"/>
  <c r="H28" i="2"/>
  <c r="B27" i="2" s="1"/>
  <c r="I28" i="2"/>
  <c r="C27" i="2" s="1"/>
  <c r="J28" i="2"/>
  <c r="D27" i="2" s="1"/>
  <c r="K28" i="2"/>
  <c r="E27" i="2" s="1"/>
  <c r="L28" i="2"/>
  <c r="D3" i="2" l="1"/>
  <c r="L4" i="4"/>
  <c r="D3" i="4" s="1"/>
  <c r="E7" i="2"/>
  <c r="M8" i="4"/>
  <c r="E7" i="4" s="1"/>
  <c r="C3" i="2"/>
  <c r="K4" i="4"/>
  <c r="C3" i="4" s="1"/>
  <c r="D7" i="2"/>
  <c r="L8" i="4"/>
  <c r="D7" i="4" s="1"/>
  <c r="B3" i="2"/>
  <c r="J4" i="4"/>
  <c r="B3" i="4" s="1"/>
  <c r="G3" i="4" s="1"/>
  <c r="G13" i="4"/>
  <c r="E11" i="2"/>
  <c r="M12" i="4"/>
  <c r="E11" i="4" s="1"/>
  <c r="C7" i="2"/>
  <c r="K8" i="4"/>
  <c r="C7" i="4" s="1"/>
  <c r="C11" i="2"/>
  <c r="K12" i="4"/>
  <c r="C11" i="4" s="1"/>
  <c r="G5" i="4"/>
  <c r="D11" i="2"/>
  <c r="L12" i="4"/>
  <c r="D11" i="4" s="1"/>
  <c r="B7" i="2"/>
  <c r="J8" i="4"/>
  <c r="B7" i="4" s="1"/>
  <c r="B11" i="2"/>
  <c r="J12" i="4"/>
  <c r="B11" i="4" s="1"/>
  <c r="G9" i="4"/>
  <c r="E3" i="2"/>
  <c r="M4" i="4"/>
  <c r="E3" i="4" s="1"/>
  <c r="B2" i="2"/>
  <c r="C2" i="2"/>
  <c r="D2" i="2"/>
  <c r="E2" i="2"/>
  <c r="A4" i="2"/>
  <c r="B4" i="2"/>
  <c r="B4" i="4" s="1"/>
  <c r="C4" i="2"/>
  <c r="C4" i="4" s="1"/>
  <c r="D4" i="2"/>
  <c r="D4" i="4" s="1"/>
  <c r="E4" i="2"/>
  <c r="E4" i="4" s="1"/>
  <c r="A8" i="2"/>
  <c r="B8" i="2"/>
  <c r="B8" i="4" s="1"/>
  <c r="C8" i="2"/>
  <c r="C8" i="4" s="1"/>
  <c r="D8" i="2"/>
  <c r="D8" i="4" s="1"/>
  <c r="E8" i="2"/>
  <c r="E8" i="4" s="1"/>
  <c r="A12" i="2"/>
  <c r="B12" i="2"/>
  <c r="B12" i="4" s="1"/>
  <c r="C12" i="2"/>
  <c r="C12" i="4" s="1"/>
  <c r="D12" i="2"/>
  <c r="D12" i="4" s="1"/>
  <c r="E12" i="2"/>
  <c r="E12" i="4" s="1"/>
  <c r="A16" i="2"/>
  <c r="B16" i="2"/>
  <c r="C16" i="2"/>
  <c r="D16" i="2"/>
  <c r="E16" i="2"/>
  <c r="A20" i="2"/>
  <c r="B20" i="2"/>
  <c r="C20" i="2"/>
  <c r="D20" i="2"/>
  <c r="E20" i="2"/>
  <c r="A24" i="2"/>
  <c r="B24" i="2"/>
  <c r="C24" i="2"/>
  <c r="D24" i="2"/>
  <c r="E24" i="2"/>
  <c r="A28" i="2"/>
  <c r="B28" i="2"/>
  <c r="C28" i="2"/>
  <c r="D28" i="2"/>
  <c r="E28" i="2"/>
  <c r="G11" i="4" l="1"/>
  <c r="G8" i="4"/>
  <c r="G7" i="4"/>
  <c r="G12" i="4"/>
  <c r="G4" i="4"/>
  <c r="C5" i="3"/>
  <c r="C9" i="3"/>
  <c r="C13" i="3"/>
  <c r="C17" i="1"/>
  <c r="C21" i="1"/>
  <c r="Z3" i="1"/>
  <c r="AA3" i="1"/>
  <c r="AB3" i="1"/>
  <c r="AC3" i="1"/>
  <c r="AD3" i="1"/>
  <c r="AE3" i="1"/>
  <c r="AF3" i="1"/>
  <c r="AG3" i="1"/>
  <c r="AH3" i="1"/>
  <c r="Z9" i="1"/>
  <c r="AA9" i="1"/>
  <c r="AB9" i="1"/>
  <c r="AC9" i="1"/>
  <c r="AD9" i="1"/>
  <c r="AE9" i="1"/>
  <c r="AF9" i="1"/>
  <c r="AG9" i="1"/>
  <c r="AH9" i="1"/>
  <c r="Z13" i="1"/>
  <c r="AA13" i="1"/>
  <c r="AB13" i="1"/>
  <c r="AC13" i="1"/>
  <c r="AD13" i="1"/>
  <c r="AE13" i="1"/>
  <c r="AF13" i="1"/>
  <c r="AG13" i="1"/>
  <c r="AH13" i="1"/>
  <c r="Z17" i="1"/>
  <c r="AA17" i="1"/>
  <c r="C18" i="1" s="1"/>
  <c r="AB17" i="1"/>
  <c r="D18" i="1" s="1"/>
  <c r="AC17" i="1"/>
  <c r="E18" i="1" s="1"/>
  <c r="AD17" i="1"/>
  <c r="F18" i="1" s="1"/>
  <c r="AE17" i="1"/>
  <c r="G18" i="1" s="1"/>
  <c r="AF17" i="1"/>
  <c r="H18" i="1" s="1"/>
  <c r="AG17" i="1"/>
  <c r="I18" i="1" s="1"/>
  <c r="AH17" i="1"/>
  <c r="J18" i="1" s="1"/>
  <c r="Z21" i="1"/>
  <c r="AA21" i="1"/>
  <c r="C22" i="1" s="1"/>
  <c r="AB21" i="1"/>
  <c r="D22" i="1" s="1"/>
  <c r="AC21" i="1"/>
  <c r="E22" i="1" s="1"/>
  <c r="AD21" i="1"/>
  <c r="F22" i="1" s="1"/>
  <c r="AE21" i="1"/>
  <c r="G22" i="1" s="1"/>
  <c r="AF21" i="1"/>
  <c r="H22" i="1" s="1"/>
  <c r="AG21" i="1"/>
  <c r="I22" i="1" s="1"/>
  <c r="AH21" i="1"/>
  <c r="J22" i="1" s="1"/>
  <c r="Z25" i="1"/>
  <c r="AA25" i="1"/>
  <c r="C26" i="1" s="1"/>
  <c r="AB25" i="1"/>
  <c r="D26" i="1" s="1"/>
  <c r="AC25" i="1"/>
  <c r="E26" i="1" s="1"/>
  <c r="AD25" i="1"/>
  <c r="F26" i="1" s="1"/>
  <c r="AE25" i="1"/>
  <c r="G26" i="1" s="1"/>
  <c r="AF25" i="1"/>
  <c r="H26" i="1" s="1"/>
  <c r="AG25" i="1"/>
  <c r="I26" i="1" s="1"/>
  <c r="AH25" i="1"/>
  <c r="J26" i="1" s="1"/>
  <c r="Z29" i="1"/>
  <c r="AA29" i="1"/>
  <c r="C30" i="1" s="1"/>
  <c r="AB29" i="1"/>
  <c r="D30" i="1" s="1"/>
  <c r="AC29" i="1"/>
  <c r="E30" i="1" s="1"/>
  <c r="AD29" i="1"/>
  <c r="F30" i="1" s="1"/>
  <c r="AE29" i="1"/>
  <c r="G30" i="1" s="1"/>
  <c r="AF29" i="1"/>
  <c r="H30" i="1" s="1"/>
  <c r="AG29" i="1"/>
  <c r="I30" i="1" s="1"/>
  <c r="AH29" i="1"/>
  <c r="J30" i="1" s="1"/>
  <c r="C14" i="1" l="1"/>
  <c r="AA13" i="3"/>
  <c r="D10" i="1"/>
  <c r="AB9" i="3"/>
  <c r="D10" i="3" s="1"/>
  <c r="E6" i="1"/>
  <c r="AC5" i="3"/>
  <c r="E6" i="3" s="1"/>
  <c r="E10" i="1"/>
  <c r="AC9" i="3"/>
  <c r="E10" i="3" s="1"/>
  <c r="J14" i="1"/>
  <c r="AH13" i="3"/>
  <c r="J14" i="3" s="1"/>
  <c r="C10" i="1"/>
  <c r="AA9" i="3"/>
  <c r="D6" i="1"/>
  <c r="AB5" i="3"/>
  <c r="D6" i="3" s="1"/>
  <c r="H14" i="1"/>
  <c r="AF13" i="3"/>
  <c r="H14" i="3" s="1"/>
  <c r="I10" i="1"/>
  <c r="AG9" i="3"/>
  <c r="I10" i="3" s="1"/>
  <c r="J6" i="1"/>
  <c r="AH5" i="3"/>
  <c r="J6" i="3" s="1"/>
  <c r="G14" i="1"/>
  <c r="AE13" i="3"/>
  <c r="G14" i="3" s="1"/>
  <c r="H10" i="1"/>
  <c r="AF9" i="3"/>
  <c r="H10" i="3" s="1"/>
  <c r="I6" i="1"/>
  <c r="AG5" i="3"/>
  <c r="I6" i="3" s="1"/>
  <c r="D14" i="1"/>
  <c r="AB13" i="3"/>
  <c r="D14" i="3" s="1"/>
  <c r="F14" i="1"/>
  <c r="AD13" i="3"/>
  <c r="F14" i="3" s="1"/>
  <c r="G10" i="1"/>
  <c r="AE9" i="3"/>
  <c r="G10" i="3" s="1"/>
  <c r="H6" i="1"/>
  <c r="AF5" i="3"/>
  <c r="H6" i="3" s="1"/>
  <c r="F6" i="1"/>
  <c r="AD5" i="3"/>
  <c r="F6" i="3" s="1"/>
  <c r="I14" i="1"/>
  <c r="AG13" i="3"/>
  <c r="I14" i="3" s="1"/>
  <c r="J10" i="1"/>
  <c r="AH9" i="3"/>
  <c r="J10" i="3" s="1"/>
  <c r="C6" i="1"/>
  <c r="AA5" i="3"/>
  <c r="E14" i="1"/>
  <c r="AC13" i="3"/>
  <c r="E14" i="3" s="1"/>
  <c r="F10" i="1"/>
  <c r="AD9" i="3"/>
  <c r="F10" i="3" s="1"/>
  <c r="G6" i="1"/>
  <c r="AE5" i="3"/>
  <c r="G6" i="3" s="1"/>
  <c r="N3" i="1"/>
  <c r="O3" i="1"/>
  <c r="P3" i="1"/>
  <c r="Q3" i="1"/>
  <c r="R3" i="1"/>
  <c r="S3" i="1"/>
  <c r="T3" i="1"/>
  <c r="U3" i="1"/>
  <c r="V3" i="1"/>
  <c r="X3" i="1"/>
  <c r="N5" i="1"/>
  <c r="C4" i="1"/>
  <c r="D4" i="1"/>
  <c r="E4" i="1"/>
  <c r="F4" i="1"/>
  <c r="G4" i="1"/>
  <c r="H4" i="1"/>
  <c r="I4" i="1"/>
  <c r="J4" i="1"/>
  <c r="K4" i="1"/>
  <c r="N9" i="1"/>
  <c r="O9" i="1"/>
  <c r="P9" i="1"/>
  <c r="Q9" i="1"/>
  <c r="R9" i="1"/>
  <c r="S9" i="1"/>
  <c r="T9" i="1"/>
  <c r="U9" i="1"/>
  <c r="V9" i="1"/>
  <c r="X9" i="1"/>
  <c r="K8" i="1" s="1"/>
  <c r="N13" i="1"/>
  <c r="O13" i="1"/>
  <c r="P13" i="1"/>
  <c r="Q13" i="1"/>
  <c r="R13" i="1"/>
  <c r="S13" i="1"/>
  <c r="T13" i="1"/>
  <c r="U13" i="1"/>
  <c r="V13" i="1"/>
  <c r="X13" i="1"/>
  <c r="K12" i="1" s="1"/>
  <c r="N17" i="1"/>
  <c r="O17" i="1"/>
  <c r="C16" i="1" s="1"/>
  <c r="P17" i="1"/>
  <c r="D16" i="1" s="1"/>
  <c r="Q17" i="1"/>
  <c r="E16" i="1" s="1"/>
  <c r="R17" i="1"/>
  <c r="F16" i="1" s="1"/>
  <c r="S17" i="1"/>
  <c r="G16" i="1" s="1"/>
  <c r="T17" i="1"/>
  <c r="H16" i="1" s="1"/>
  <c r="U17" i="1"/>
  <c r="I16" i="1" s="1"/>
  <c r="V17" i="1"/>
  <c r="J16" i="1" s="1"/>
  <c r="X17" i="1"/>
  <c r="K16" i="1" s="1"/>
  <c r="N21" i="1"/>
  <c r="O21" i="1"/>
  <c r="C20" i="1" s="1"/>
  <c r="P21" i="1"/>
  <c r="D20" i="1" s="1"/>
  <c r="Q21" i="1"/>
  <c r="E20" i="1" s="1"/>
  <c r="R21" i="1"/>
  <c r="F20" i="1" s="1"/>
  <c r="S21" i="1"/>
  <c r="G20" i="1" s="1"/>
  <c r="T21" i="1"/>
  <c r="H20" i="1" s="1"/>
  <c r="U21" i="1"/>
  <c r="I20" i="1" s="1"/>
  <c r="V21" i="1"/>
  <c r="J20" i="1" s="1"/>
  <c r="X21" i="1"/>
  <c r="K20" i="1" s="1"/>
  <c r="N25" i="1"/>
  <c r="O25" i="1"/>
  <c r="C24" i="1" s="1"/>
  <c r="P25" i="1"/>
  <c r="D24" i="1" s="1"/>
  <c r="Q25" i="1"/>
  <c r="E24" i="1" s="1"/>
  <c r="R25" i="1"/>
  <c r="F24" i="1" s="1"/>
  <c r="S25" i="1"/>
  <c r="G24" i="1" s="1"/>
  <c r="T25" i="1"/>
  <c r="H24" i="1" s="1"/>
  <c r="U25" i="1"/>
  <c r="I24" i="1" s="1"/>
  <c r="V25" i="1"/>
  <c r="J24" i="1" s="1"/>
  <c r="X25" i="1"/>
  <c r="K24" i="1" s="1"/>
  <c r="N29" i="1"/>
  <c r="O29" i="1"/>
  <c r="C28" i="1" s="1"/>
  <c r="P29" i="1"/>
  <c r="D28" i="1" s="1"/>
  <c r="Q29" i="1"/>
  <c r="E28" i="1" s="1"/>
  <c r="R29" i="1"/>
  <c r="F28" i="1" s="1"/>
  <c r="S29" i="1"/>
  <c r="G28" i="1" s="1"/>
  <c r="T29" i="1"/>
  <c r="H28" i="1" s="1"/>
  <c r="U29" i="1"/>
  <c r="I28" i="1" s="1"/>
  <c r="V29" i="1"/>
  <c r="J28" i="1" s="1"/>
  <c r="X29" i="1"/>
  <c r="K28" i="1" s="1"/>
  <c r="A3" i="1"/>
  <c r="C3" i="1"/>
  <c r="D3" i="1"/>
  <c r="E3" i="1"/>
  <c r="F3" i="1"/>
  <c r="G3" i="1"/>
  <c r="H3" i="1"/>
  <c r="I3" i="1"/>
  <c r="J3" i="1"/>
  <c r="K3" i="1"/>
  <c r="A5" i="1"/>
  <c r="D5" i="3"/>
  <c r="E5" i="3"/>
  <c r="F5" i="3"/>
  <c r="G5" i="3"/>
  <c r="H5" i="3"/>
  <c r="I5" i="3"/>
  <c r="J5" i="3"/>
  <c r="K5" i="1"/>
  <c r="A9" i="1"/>
  <c r="D9" i="3"/>
  <c r="E9" i="3"/>
  <c r="F9" i="3"/>
  <c r="G9" i="3"/>
  <c r="H9" i="3"/>
  <c r="I9" i="3"/>
  <c r="J9" i="3"/>
  <c r="K9" i="1"/>
  <c r="A13" i="1"/>
  <c r="D13" i="3"/>
  <c r="E13" i="3"/>
  <c r="F13" i="3"/>
  <c r="G13" i="3"/>
  <c r="H13" i="3"/>
  <c r="I13" i="3"/>
  <c r="J13" i="3"/>
  <c r="K13" i="1"/>
  <c r="A17" i="1"/>
  <c r="D17" i="1"/>
  <c r="E17" i="1"/>
  <c r="F17" i="1"/>
  <c r="G17" i="1"/>
  <c r="H17" i="1"/>
  <c r="I17" i="1"/>
  <c r="J17" i="1"/>
  <c r="K17" i="1"/>
  <c r="A21" i="1"/>
  <c r="D21" i="1"/>
  <c r="E21" i="1"/>
  <c r="F21" i="1"/>
  <c r="G21" i="1"/>
  <c r="H21" i="1"/>
  <c r="I21" i="1"/>
  <c r="J21" i="1"/>
  <c r="K21" i="1"/>
  <c r="A25" i="1"/>
  <c r="C25" i="1"/>
  <c r="D25" i="1"/>
  <c r="E25" i="1"/>
  <c r="F25" i="1"/>
  <c r="G25" i="1"/>
  <c r="H25" i="1"/>
  <c r="I25" i="1"/>
  <c r="J25" i="1"/>
  <c r="K25" i="1"/>
  <c r="A29" i="1"/>
  <c r="C29" i="1"/>
  <c r="D29" i="1"/>
  <c r="E29" i="1"/>
  <c r="F29" i="1"/>
  <c r="G29" i="1"/>
  <c r="H29" i="1"/>
  <c r="I29" i="1"/>
  <c r="J29" i="1"/>
  <c r="K29" i="1"/>
  <c r="L13" i="3" l="1"/>
  <c r="L5" i="3"/>
  <c r="L9" i="3"/>
  <c r="I12" i="1"/>
  <c r="U13" i="3"/>
  <c r="I12" i="3" s="1"/>
  <c r="G12" i="1"/>
  <c r="S13" i="3"/>
  <c r="G12" i="3" s="1"/>
  <c r="I8" i="1"/>
  <c r="U9" i="3"/>
  <c r="I8" i="3" s="1"/>
  <c r="F12" i="1"/>
  <c r="R13" i="3"/>
  <c r="F12" i="3" s="1"/>
  <c r="H8" i="1"/>
  <c r="T9" i="3"/>
  <c r="H8" i="3" s="1"/>
  <c r="C10" i="3"/>
  <c r="L10" i="3" s="1"/>
  <c r="AJ9" i="3"/>
  <c r="C8" i="1"/>
  <c r="O9" i="3"/>
  <c r="H12" i="1"/>
  <c r="T13" i="3"/>
  <c r="H12" i="3" s="1"/>
  <c r="E12" i="1"/>
  <c r="Q13" i="3"/>
  <c r="E12" i="3" s="1"/>
  <c r="AJ5" i="3"/>
  <c r="C6" i="3"/>
  <c r="L6" i="3" s="1"/>
  <c r="D12" i="1"/>
  <c r="P13" i="3"/>
  <c r="D12" i="3" s="1"/>
  <c r="F8" i="1"/>
  <c r="R9" i="3"/>
  <c r="F8" i="3" s="1"/>
  <c r="J8" i="1"/>
  <c r="V9" i="3"/>
  <c r="J8" i="3" s="1"/>
  <c r="G8" i="1"/>
  <c r="S9" i="3"/>
  <c r="G8" i="3" s="1"/>
  <c r="C12" i="1"/>
  <c r="O13" i="3"/>
  <c r="E8" i="1"/>
  <c r="Q9" i="3"/>
  <c r="E8" i="3" s="1"/>
  <c r="J12" i="1"/>
  <c r="V13" i="3"/>
  <c r="J12" i="3" s="1"/>
  <c r="D8" i="1"/>
  <c r="P9" i="3"/>
  <c r="D8" i="3" s="1"/>
  <c r="C14" i="3"/>
  <c r="L14" i="3" s="1"/>
  <c r="AJ13" i="3"/>
  <c r="C12" i="3" l="1"/>
  <c r="L12" i="3" s="1"/>
  <c r="X13" i="3"/>
  <c r="X9" i="3"/>
  <c r="C8" i="3"/>
  <c r="L8" i="3" s="1"/>
</calcChain>
</file>

<file path=xl/sharedStrings.xml><?xml version="1.0" encoding="utf-8"?>
<sst xmlns="http://schemas.openxmlformats.org/spreadsheetml/2006/main" count="35" uniqueCount="14">
  <si>
    <t>name</t>
  </si>
  <si>
    <t>norm</t>
  </si>
  <si>
    <t>neg</t>
  </si>
  <si>
    <t>pos</t>
  </si>
  <si>
    <t>Flux de biodéchets totaux</t>
  </si>
  <si>
    <t>Incineration</t>
  </si>
  <si>
    <t>Tri_neg</t>
  </si>
  <si>
    <t>Tri_pos</t>
  </si>
  <si>
    <t xml:space="preserve">Incineration </t>
  </si>
  <si>
    <t>somme totale</t>
  </si>
  <si>
    <t>total</t>
  </si>
  <si>
    <t>Tri_nom</t>
  </si>
  <si>
    <t>Total</t>
  </si>
  <si>
    <t>minCC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</si>
</sst>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ss_inv_inc!$B$2</c:f>
              <c:strCache>
                <c:ptCount val="1"/>
                <c:pt idx="0">
                  <c:v>HC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ss_inv_inc!$A$3:$A$13</c:f>
              <c:strCache>
                <c:ptCount val="10"/>
                <c:pt idx="1">
                  <c:v>minCC</c:v>
                </c:pt>
                <c:pt idx="5">
                  <c:v>minEQ</c:v>
                </c:pt>
                <c:pt idx="9">
                  <c:v>minHH</c:v>
                </c:pt>
              </c:strCache>
            </c:strRef>
          </c:cat>
          <c:val>
            <c:numRef>
              <c:f>ss_inv_inc!$B$3:$B$13</c:f>
              <c:numCache>
                <c:formatCode>General</c:formatCode>
                <c:ptCount val="11"/>
                <c:pt idx="0">
                  <c:v>425.88855000000012</c:v>
                </c:pt>
                <c:pt idx="1">
                  <c:v>426.04896000000002</c:v>
                </c:pt>
                <c:pt idx="2">
                  <c:v>426.36978000000005</c:v>
                </c:pt>
                <c:pt idx="4">
                  <c:v>425.88855000000012</c:v>
                </c:pt>
                <c:pt idx="5">
                  <c:v>426.04896000000002</c:v>
                </c:pt>
                <c:pt idx="6">
                  <c:v>426.36978000000005</c:v>
                </c:pt>
                <c:pt idx="8">
                  <c:v>425.88855000000012</c:v>
                </c:pt>
                <c:pt idx="9">
                  <c:v>426.04896000000002</c:v>
                </c:pt>
                <c:pt idx="10">
                  <c:v>426.36978000000005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5C-4B5E-BCCD-7CBF48EE34EF}"/>
            </c:ext>
          </c:extLst>
        </c:ser>
        <c:ser>
          <c:idx val="1"/>
          <c:order val="1"/>
          <c:tx>
            <c:strRef>
              <c:f>ss_inv_inc!$C$2</c:f>
              <c:strCache>
                <c:ptCount val="1"/>
                <c:pt idx="0">
                  <c:v>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ss_inv_inc!$A$3:$A$13</c:f>
              <c:strCache>
                <c:ptCount val="10"/>
                <c:pt idx="1">
                  <c:v>minCC</c:v>
                </c:pt>
                <c:pt idx="5">
                  <c:v>minEQ</c:v>
                </c:pt>
                <c:pt idx="9">
                  <c:v>minHH</c:v>
                </c:pt>
              </c:strCache>
            </c:strRef>
          </c:cat>
          <c:val>
            <c:numRef>
              <c:f>ss_inv_inc!$C$3:$C$13</c:f>
              <c:numCache>
                <c:formatCode>General</c:formatCode>
                <c:ptCount val="11"/>
                <c:pt idx="0">
                  <c:v>517.00142999999991</c:v>
                </c:pt>
                <c:pt idx="1">
                  <c:v>516.84101999999996</c:v>
                </c:pt>
                <c:pt idx="2">
                  <c:v>334.45485000000002</c:v>
                </c:pt>
                <c:pt idx="4">
                  <c:v>0</c:v>
                </c:pt>
                <c:pt idx="5">
                  <c:v>0</c:v>
                </c:pt>
                <c:pt idx="6">
                  <c:v>164.09942999999998</c:v>
                </c:pt>
                <c:pt idx="8">
                  <c:v>0</c:v>
                </c:pt>
                <c:pt idx="9">
                  <c:v>0</c:v>
                </c:pt>
                <c:pt idx="10">
                  <c:v>164.09942999999998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5C-4B5E-BCCD-7CBF48EE34EF}"/>
            </c:ext>
          </c:extLst>
        </c:ser>
        <c:ser>
          <c:idx val="2"/>
          <c:order val="2"/>
          <c:tx>
            <c:strRef>
              <c:f>ss_inv_inc!$D$2</c:f>
              <c:strCache>
                <c:ptCount val="1"/>
                <c:pt idx="0">
                  <c:v>AD-cog-comp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ss_inv_inc!$A$3:$A$13</c:f>
              <c:strCache>
                <c:ptCount val="10"/>
                <c:pt idx="1">
                  <c:v>minCC</c:v>
                </c:pt>
                <c:pt idx="5">
                  <c:v>minEQ</c:v>
                </c:pt>
                <c:pt idx="9">
                  <c:v>minHH</c:v>
                </c:pt>
              </c:strCache>
            </c:strRef>
          </c:cat>
          <c:val>
            <c:numRef>
              <c:f>ss_inv_inc!$D$3:$D$13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1551.9667500000003</c:v>
                </c:pt>
                <c:pt idx="4">
                  <c:v>1178.37186</c:v>
                </c:pt>
                <c:pt idx="5">
                  <c:v>2782.4718599999997</c:v>
                </c:pt>
                <c:pt idx="6">
                  <c:v>2999.9878200000007</c:v>
                </c:pt>
                <c:pt idx="8">
                  <c:v>1178.37186</c:v>
                </c:pt>
                <c:pt idx="9">
                  <c:v>2782.4718599999997</c:v>
                </c:pt>
                <c:pt idx="10">
                  <c:v>2999.9878200000007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5C-4B5E-BCCD-7CBF48EE34EF}"/>
            </c:ext>
          </c:extLst>
        </c:ser>
        <c:ser>
          <c:idx val="3"/>
          <c:order val="3"/>
          <c:tx>
            <c:strRef>
              <c:f>ss_inv_inc!$E$2</c:f>
              <c:strCache>
                <c:ptCount val="1"/>
                <c:pt idx="0">
                  <c:v>AD-biomet-dig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ss_inv_inc!$A$3:$A$13</c:f>
              <c:strCache>
                <c:ptCount val="10"/>
                <c:pt idx="1">
                  <c:v>minCC</c:v>
                </c:pt>
                <c:pt idx="5">
                  <c:v>minEQ</c:v>
                </c:pt>
                <c:pt idx="9">
                  <c:v>minHH</c:v>
                </c:pt>
              </c:strCache>
            </c:strRef>
          </c:cat>
          <c:val>
            <c:numRef>
              <c:f>ss_inv_inc!$E$3:$E$13</c:f>
              <c:numCache>
                <c:formatCode>General</c:formatCode>
                <c:ptCount val="11"/>
                <c:pt idx="0">
                  <c:v>661.37042999999994</c:v>
                </c:pt>
                <c:pt idx="1">
                  <c:v>2265.6308399999998</c:v>
                </c:pt>
                <c:pt idx="2">
                  <c:v>2499.9898499999999</c:v>
                </c:pt>
                <c:pt idx="4">
                  <c:v>0</c:v>
                </c:pt>
                <c:pt idx="5">
                  <c:v>0</c:v>
                </c:pt>
                <c:pt idx="6">
                  <c:v>1222.3242</c:v>
                </c:pt>
                <c:pt idx="8">
                  <c:v>0</c:v>
                </c:pt>
                <c:pt idx="9">
                  <c:v>0</c:v>
                </c:pt>
                <c:pt idx="10">
                  <c:v>1222.3242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5C-4B5E-BCCD-7CBF48EE34EF}"/>
            </c:ext>
          </c:extLst>
        </c:ser>
        <c:ser>
          <c:idx val="4"/>
          <c:order val="4"/>
          <c:tx>
            <c:strRef>
              <c:f>ss_inv_inc!$F$2</c:f>
              <c:strCache>
                <c:ptCount val="1"/>
                <c:pt idx="0">
                  <c:v>Incineration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ss_inv_inc!$A$3:$A$13</c:f>
              <c:strCache>
                <c:ptCount val="10"/>
                <c:pt idx="1">
                  <c:v>minCC</c:v>
                </c:pt>
                <c:pt idx="5">
                  <c:v>minEQ</c:v>
                </c:pt>
                <c:pt idx="9">
                  <c:v>minHH</c:v>
                </c:pt>
              </c:strCache>
            </c:strRef>
          </c:cat>
          <c:val>
            <c:numRef>
              <c:f>ss_inv_inc!$F$3:$F$13</c:f>
              <c:numCache>
                <c:formatCode>General</c:formatCode>
                <c:ptCount val="11"/>
                <c:pt idx="0">
                  <c:v>3742.8999999999996</c:v>
                </c:pt>
                <c:pt idx="1">
                  <c:v>2138.8000000000002</c:v>
                </c:pt>
                <c:pt idx="2">
                  <c:v>534.69999999999993</c:v>
                </c:pt>
                <c:pt idx="4">
                  <c:v>3742.8999999999996</c:v>
                </c:pt>
                <c:pt idx="5">
                  <c:v>2138.8000000000002</c:v>
                </c:pt>
                <c:pt idx="6">
                  <c:v>534.69999999999993</c:v>
                </c:pt>
                <c:pt idx="8">
                  <c:v>3742.8999999999996</c:v>
                </c:pt>
                <c:pt idx="9">
                  <c:v>2138.8000000000002</c:v>
                </c:pt>
                <c:pt idx="10">
                  <c:v>534.69999999999993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35C-4B5E-BCCD-7CBF48EE3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42419919"/>
        <c:axId val="2043528671"/>
      </c:barChart>
      <c:catAx>
        <c:axId val="642419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43528671"/>
        <c:crosses val="autoZero"/>
        <c:auto val="1"/>
        <c:lblAlgn val="ctr"/>
        <c:lblOffset val="100"/>
        <c:noMultiLvlLbl val="0"/>
      </c:catAx>
      <c:valAx>
        <c:axId val="2043528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42419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ss_inv!$A$2</c:f>
              <c:strCache>
                <c:ptCount val="1"/>
                <c:pt idx="0">
                  <c:v>name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ss_inv!$A$3:$A$13</c:f>
              <c:numCache>
                <c:formatCode>General</c:formatCode>
                <c:ptCount val="11"/>
                <c:pt idx="1">
                  <c:v>0</c:v>
                </c:pt>
                <c:pt idx="5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A7-4F25-82FB-B11EDF34468E}"/>
            </c:ext>
          </c:extLst>
        </c:ser>
        <c:ser>
          <c:idx val="1"/>
          <c:order val="1"/>
          <c:tx>
            <c:strRef>
              <c:f>ss_inv!$B$2</c:f>
              <c:strCache>
                <c:ptCount val="1"/>
                <c:pt idx="0">
                  <c:v>HC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ss_inv!$B$3:$B$13</c:f>
              <c:numCache>
                <c:formatCode>General</c:formatCode>
                <c:ptCount val="11"/>
                <c:pt idx="0">
                  <c:v>26.550000000000004</c:v>
                </c:pt>
                <c:pt idx="1">
                  <c:v>13.280000000000001</c:v>
                </c:pt>
                <c:pt idx="2">
                  <c:v>8.86</c:v>
                </c:pt>
                <c:pt idx="4">
                  <c:v>26.550000000000004</c:v>
                </c:pt>
                <c:pt idx="5">
                  <c:v>13.280000000000001</c:v>
                </c:pt>
                <c:pt idx="6">
                  <c:v>8.86</c:v>
                </c:pt>
                <c:pt idx="8">
                  <c:v>26.550000000000004</c:v>
                </c:pt>
                <c:pt idx="9">
                  <c:v>13.280000000000001</c:v>
                </c:pt>
                <c:pt idx="10">
                  <c:v>8.86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A7-4F25-82FB-B11EDF34468E}"/>
            </c:ext>
          </c:extLst>
        </c:ser>
        <c:ser>
          <c:idx val="2"/>
          <c:order val="2"/>
          <c:tx>
            <c:strRef>
              <c:f>ss_inv!$C$2</c:f>
              <c:strCache>
                <c:ptCount val="1"/>
                <c:pt idx="0">
                  <c:v>IC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ss_inv!$C$3:$C$13</c:f>
              <c:numCache>
                <c:formatCode>General</c:formatCode>
                <c:ptCount val="11"/>
                <c:pt idx="0">
                  <c:v>32.229999999999997</c:v>
                </c:pt>
                <c:pt idx="1">
                  <c:v>16.11</c:v>
                </c:pt>
                <c:pt idx="2">
                  <c:v>6.95</c:v>
                </c:pt>
                <c:pt idx="4">
                  <c:v>0</c:v>
                </c:pt>
                <c:pt idx="5">
                  <c:v>0</c:v>
                </c:pt>
                <c:pt idx="6">
                  <c:v>3.41</c:v>
                </c:pt>
                <c:pt idx="8">
                  <c:v>0</c:v>
                </c:pt>
                <c:pt idx="9">
                  <c:v>0</c:v>
                </c:pt>
                <c:pt idx="10">
                  <c:v>3.41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A7-4F25-82FB-B11EDF34468E}"/>
            </c:ext>
          </c:extLst>
        </c:ser>
        <c:ser>
          <c:idx val="3"/>
          <c:order val="3"/>
          <c:tx>
            <c:strRef>
              <c:f>ss_inv!$D$2</c:f>
              <c:strCache>
                <c:ptCount val="1"/>
                <c:pt idx="0">
                  <c:v>AD-cog-comp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ss_inv!$D$3:$D$13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32.25</c:v>
                </c:pt>
                <c:pt idx="4">
                  <c:v>73.459999999999994</c:v>
                </c:pt>
                <c:pt idx="5">
                  <c:v>86.73</c:v>
                </c:pt>
                <c:pt idx="6">
                  <c:v>62.34</c:v>
                </c:pt>
                <c:pt idx="8">
                  <c:v>73.459999999999994</c:v>
                </c:pt>
                <c:pt idx="9">
                  <c:v>86.73</c:v>
                </c:pt>
                <c:pt idx="10">
                  <c:v>62.34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6A7-4F25-82FB-B11EDF34468E}"/>
            </c:ext>
          </c:extLst>
        </c:ser>
        <c:ser>
          <c:idx val="4"/>
          <c:order val="4"/>
          <c:tx>
            <c:strRef>
              <c:f>ss_inv!$E$2</c:f>
              <c:strCache>
                <c:ptCount val="1"/>
                <c:pt idx="0">
                  <c:v>AD-biomet-dig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ss_inv!$E$3:$E$13</c:f>
              <c:numCache>
                <c:formatCode>General</c:formatCode>
                <c:ptCount val="11"/>
                <c:pt idx="0">
                  <c:v>41.23</c:v>
                </c:pt>
                <c:pt idx="1">
                  <c:v>70.62</c:v>
                </c:pt>
                <c:pt idx="2">
                  <c:v>51.95</c:v>
                </c:pt>
                <c:pt idx="4">
                  <c:v>0</c:v>
                </c:pt>
                <c:pt idx="5">
                  <c:v>0</c:v>
                </c:pt>
                <c:pt idx="6">
                  <c:v>25.4</c:v>
                </c:pt>
                <c:pt idx="8">
                  <c:v>0</c:v>
                </c:pt>
                <c:pt idx="9">
                  <c:v>0</c:v>
                </c:pt>
                <c:pt idx="10">
                  <c:v>25.4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6A7-4F25-82FB-B11EDF344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60516592"/>
        <c:axId val="262860048"/>
      </c:barChart>
      <c:catAx>
        <c:axId val="2605165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2860048"/>
        <c:crosses val="autoZero"/>
        <c:auto val="1"/>
        <c:lblAlgn val="ctr"/>
        <c:lblOffset val="100"/>
        <c:noMultiLvlLbl val="0"/>
      </c:catAx>
      <c:valAx>
        <c:axId val="26286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051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inv_inc!$C$3</c:f>
              <c:strCache>
                <c:ptCount val="1"/>
                <c:pt idx="0">
                  <c:v>HC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inv_inc!$A$4:$A$14</c:f>
              <c:strCache>
                <c:ptCount val="10"/>
                <c:pt idx="1">
                  <c:v>minCC</c:v>
                </c:pt>
                <c:pt idx="5">
                  <c:v>minEQ</c:v>
                </c:pt>
                <c:pt idx="9">
                  <c:v>minHH</c:v>
                </c:pt>
              </c:strCache>
            </c:strRef>
          </c:cat>
          <c:val>
            <c:numRef>
              <c:f>inv_inc!$C$4:$C$14</c:f>
              <c:numCache>
                <c:formatCode>General</c:formatCode>
                <c:ptCount val="11"/>
                <c:pt idx="0">
                  <c:v>425.88855000000012</c:v>
                </c:pt>
                <c:pt idx="1">
                  <c:v>208.53299999999999</c:v>
                </c:pt>
                <c:pt idx="2">
                  <c:v>426.36978000000005</c:v>
                </c:pt>
                <c:pt idx="4">
                  <c:v>425.88855000000012</c:v>
                </c:pt>
                <c:pt idx="5">
                  <c:v>0</c:v>
                </c:pt>
                <c:pt idx="6">
                  <c:v>0</c:v>
                </c:pt>
                <c:pt idx="8">
                  <c:v>425.88855000000012</c:v>
                </c:pt>
                <c:pt idx="9">
                  <c:v>41.385779999999997</c:v>
                </c:pt>
                <c:pt idx="10">
                  <c:v>62.078670000000002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46-4327-B5DA-03A8E62910D8}"/>
            </c:ext>
          </c:extLst>
        </c:ser>
        <c:ser>
          <c:idx val="1"/>
          <c:order val="1"/>
          <c:tx>
            <c:strRef>
              <c:f>inv_inc!$D$3</c:f>
              <c:strCache>
                <c:ptCount val="1"/>
                <c:pt idx="0">
                  <c:v>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inv_inc!$A$4:$A$14</c:f>
              <c:strCache>
                <c:ptCount val="10"/>
                <c:pt idx="1">
                  <c:v>minCC</c:v>
                </c:pt>
                <c:pt idx="5">
                  <c:v>minEQ</c:v>
                </c:pt>
                <c:pt idx="9">
                  <c:v>minHH</c:v>
                </c:pt>
              </c:strCache>
            </c:strRef>
          </c:cat>
          <c:val>
            <c:numRef>
              <c:f>inv_inc!$D$4:$D$14</c:f>
              <c:numCache>
                <c:formatCode>General</c:formatCode>
                <c:ptCount val="11"/>
                <c:pt idx="0">
                  <c:v>517.00142999999991</c:v>
                </c:pt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46-4327-B5DA-03A8E62910D8}"/>
            </c:ext>
          </c:extLst>
        </c:ser>
        <c:ser>
          <c:idx val="2"/>
          <c:order val="2"/>
          <c:tx>
            <c:strRef>
              <c:f>inv_inc!$E$3</c:f>
              <c:strCache>
                <c:ptCount val="1"/>
                <c:pt idx="0">
                  <c:v>AD-cog-dig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inv_inc!$A$4:$A$14</c:f>
              <c:strCache>
                <c:ptCount val="10"/>
                <c:pt idx="1">
                  <c:v>minCC</c:v>
                </c:pt>
                <c:pt idx="5">
                  <c:v>minEQ</c:v>
                </c:pt>
                <c:pt idx="9">
                  <c:v>minHH</c:v>
                </c:pt>
              </c:strCache>
            </c:strRef>
          </c:cat>
          <c:val>
            <c:numRef>
              <c:f>inv_inc!$E$4:$E$14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46-4327-B5DA-03A8E62910D8}"/>
            </c:ext>
          </c:extLst>
        </c:ser>
        <c:ser>
          <c:idx val="3"/>
          <c:order val="3"/>
          <c:tx>
            <c:strRef>
              <c:f>inv_inc!$F$3</c:f>
              <c:strCache>
                <c:ptCount val="1"/>
                <c:pt idx="0">
                  <c:v>AD-cog-comp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inv_inc!$A$4:$A$14</c:f>
              <c:strCache>
                <c:ptCount val="10"/>
                <c:pt idx="1">
                  <c:v>minCC</c:v>
                </c:pt>
                <c:pt idx="5">
                  <c:v>minEQ</c:v>
                </c:pt>
                <c:pt idx="9">
                  <c:v>minHH</c:v>
                </c:pt>
              </c:strCache>
            </c:strRef>
          </c:cat>
          <c:val>
            <c:numRef>
              <c:f>inv_inc!$F$4:$F$14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>
                  <c:v>1178.37186</c:v>
                </c:pt>
                <c:pt idx="5">
                  <c:v>0</c:v>
                </c:pt>
                <c:pt idx="6">
                  <c:v>0</c:v>
                </c:pt>
                <c:pt idx="8">
                  <c:v>1178.37186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46-4327-B5DA-03A8E62910D8}"/>
            </c:ext>
          </c:extLst>
        </c:ser>
        <c:ser>
          <c:idx val="4"/>
          <c:order val="4"/>
          <c:tx>
            <c:strRef>
              <c:f>inv_inc!$G$3</c:f>
              <c:strCache>
                <c:ptCount val="1"/>
                <c:pt idx="0">
                  <c:v>AD-biomet-dig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inv_inc!$A$4:$A$14</c:f>
              <c:strCache>
                <c:ptCount val="10"/>
                <c:pt idx="1">
                  <c:v>minCC</c:v>
                </c:pt>
                <c:pt idx="5">
                  <c:v>minEQ</c:v>
                </c:pt>
                <c:pt idx="9">
                  <c:v>minHH</c:v>
                </c:pt>
              </c:strCache>
            </c:strRef>
          </c:cat>
          <c:val>
            <c:numRef>
              <c:f>inv_inc!$G$4:$G$14</c:f>
              <c:numCache>
                <c:formatCode>General</c:formatCode>
                <c:ptCount val="11"/>
                <c:pt idx="0">
                  <c:v>661.37042999999994</c:v>
                </c:pt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46-4327-B5DA-03A8E62910D8}"/>
            </c:ext>
          </c:extLst>
        </c:ser>
        <c:ser>
          <c:idx val="5"/>
          <c:order val="5"/>
          <c:tx>
            <c:strRef>
              <c:f>inv_inc!$H$3</c:f>
              <c:strCache>
                <c:ptCount val="1"/>
                <c:pt idx="0">
                  <c:v>AD-biomet-comp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inv_inc!$A$4:$A$14</c:f>
              <c:strCache>
                <c:ptCount val="10"/>
                <c:pt idx="1">
                  <c:v>minCC</c:v>
                </c:pt>
                <c:pt idx="5">
                  <c:v>minEQ</c:v>
                </c:pt>
                <c:pt idx="9">
                  <c:v>minHH</c:v>
                </c:pt>
              </c:strCache>
            </c:strRef>
          </c:cat>
          <c:val>
            <c:numRef>
              <c:f>inv_inc!$H$4:$H$14</c:f>
              <c:numCache>
                <c:formatCode>General</c:formatCode>
                <c:ptCount val="11"/>
                <c:pt idx="0">
                  <c:v>0</c:v>
                </c:pt>
                <c:pt idx="1">
                  <c:v>2999.9878200000003</c:v>
                </c:pt>
                <c:pt idx="2">
                  <c:v>4386.4114500000005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C46-4327-B5DA-03A8E62910D8}"/>
            </c:ext>
          </c:extLst>
        </c:ser>
        <c:ser>
          <c:idx val="6"/>
          <c:order val="6"/>
          <c:tx>
            <c:strRef>
              <c:f>inv_inc!$I$3</c:f>
              <c:strCache>
                <c:ptCount val="1"/>
                <c:pt idx="0">
                  <c:v>AD-heat-dig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inv_inc!$A$4:$A$14</c:f>
              <c:strCache>
                <c:ptCount val="10"/>
                <c:pt idx="1">
                  <c:v>minCC</c:v>
                </c:pt>
                <c:pt idx="5">
                  <c:v>minEQ</c:v>
                </c:pt>
                <c:pt idx="9">
                  <c:v>minHH</c:v>
                </c:pt>
              </c:strCache>
            </c:strRef>
          </c:cat>
          <c:val>
            <c:numRef>
              <c:f>inv_inc!$I$4:$I$14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C46-4327-B5DA-03A8E62910D8}"/>
            </c:ext>
          </c:extLst>
        </c:ser>
        <c:ser>
          <c:idx val="7"/>
          <c:order val="7"/>
          <c:tx>
            <c:strRef>
              <c:f>inv_inc!$J$3</c:f>
              <c:strCache>
                <c:ptCount val="1"/>
                <c:pt idx="0">
                  <c:v>AD-heat-comp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inv_inc!$A$4:$A$14</c:f>
              <c:strCache>
                <c:ptCount val="10"/>
                <c:pt idx="1">
                  <c:v>minCC</c:v>
                </c:pt>
                <c:pt idx="5">
                  <c:v>minEQ</c:v>
                </c:pt>
                <c:pt idx="9">
                  <c:v>minHH</c:v>
                </c:pt>
              </c:strCache>
            </c:strRef>
          </c:cat>
          <c:val>
            <c:numRef>
              <c:f>inv_inc!$J$4:$J$14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3208.2</c:v>
                </c:pt>
                <c:pt idx="6">
                  <c:v>4812.3</c:v>
                </c:pt>
                <c:pt idx="8">
                  <c:v>0</c:v>
                </c:pt>
                <c:pt idx="9">
                  <c:v>3166.8142199999998</c:v>
                </c:pt>
                <c:pt idx="10">
                  <c:v>4750.2213300000003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C46-4327-B5DA-03A8E62910D8}"/>
            </c:ext>
          </c:extLst>
        </c:ser>
        <c:ser>
          <c:idx val="8"/>
          <c:order val="8"/>
          <c:tx>
            <c:strRef>
              <c:f>inv_inc!$K$3</c:f>
              <c:strCache>
                <c:ptCount val="1"/>
                <c:pt idx="0">
                  <c:v>Incineration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inv_inc!$A$4:$A$14</c:f>
              <c:strCache>
                <c:ptCount val="10"/>
                <c:pt idx="1">
                  <c:v>minCC</c:v>
                </c:pt>
                <c:pt idx="5">
                  <c:v>minEQ</c:v>
                </c:pt>
                <c:pt idx="9">
                  <c:v>minHH</c:v>
                </c:pt>
              </c:strCache>
            </c:strRef>
          </c:cat>
          <c:val>
            <c:numRef>
              <c:f>inv_inc!$K$4:$K$14</c:f>
              <c:numCache>
                <c:formatCode>General</c:formatCode>
                <c:ptCount val="11"/>
                <c:pt idx="0">
                  <c:v>3742.8999999999996</c:v>
                </c:pt>
                <c:pt idx="1">
                  <c:v>2138.8000000000002</c:v>
                </c:pt>
                <c:pt idx="2">
                  <c:v>534.69999999999993</c:v>
                </c:pt>
                <c:pt idx="4">
                  <c:v>3742.8999999999996</c:v>
                </c:pt>
                <c:pt idx="5">
                  <c:v>2138.8000000000002</c:v>
                </c:pt>
                <c:pt idx="6">
                  <c:v>534.69999999999993</c:v>
                </c:pt>
                <c:pt idx="8">
                  <c:v>3742.8999999999996</c:v>
                </c:pt>
                <c:pt idx="9">
                  <c:v>2138.8000000000002</c:v>
                </c:pt>
                <c:pt idx="10">
                  <c:v>534.69999999999993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C46-4327-B5DA-03A8E62910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35037519"/>
        <c:axId val="2029054879"/>
      </c:barChart>
      <c:catAx>
        <c:axId val="2035037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29054879"/>
        <c:crosses val="autoZero"/>
        <c:auto val="1"/>
        <c:lblAlgn val="ctr"/>
        <c:lblOffset val="100"/>
        <c:noMultiLvlLbl val="0"/>
      </c:catAx>
      <c:valAx>
        <c:axId val="202905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35037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inv!$A$3</c:f>
              <c:strCache>
                <c:ptCount val="1"/>
                <c:pt idx="0">
                  <c:v>name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inv!$A$4:$A$14</c:f>
              <c:numCache>
                <c:formatCode>General</c:formatCode>
                <c:ptCount val="11"/>
                <c:pt idx="1">
                  <c:v>0</c:v>
                </c:pt>
                <c:pt idx="5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C2-4B88-848C-62138C936889}"/>
            </c:ext>
          </c:extLst>
        </c:ser>
        <c:ser>
          <c:idx val="1"/>
          <c:order val="1"/>
          <c:tx>
            <c:strRef>
              <c:f>inv!$B$3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inv!$B$4:$B$14</c:f>
            </c:numRef>
          </c:val>
          <c:extLst>
            <c:ext xmlns:c16="http://schemas.microsoft.com/office/drawing/2014/chart" uri="{C3380CC4-5D6E-409C-BE32-E72D297353CC}">
              <c16:uniqueId val="{00000001-A1C2-4B88-848C-62138C936889}"/>
            </c:ext>
          </c:extLst>
        </c:ser>
        <c:ser>
          <c:idx val="2"/>
          <c:order val="2"/>
          <c:tx>
            <c:strRef>
              <c:f>inv!$C$3</c:f>
              <c:strCache>
                <c:ptCount val="1"/>
                <c:pt idx="0">
                  <c:v>HC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inv!$C$4:$C$14</c:f>
              <c:numCache>
                <c:formatCode>General</c:formatCode>
                <c:ptCount val="11"/>
                <c:pt idx="0">
                  <c:v>425.88855000000012</c:v>
                </c:pt>
                <c:pt idx="1">
                  <c:v>6.5</c:v>
                </c:pt>
                <c:pt idx="2">
                  <c:v>8.86</c:v>
                </c:pt>
                <c:pt idx="4">
                  <c:v>26.550000000000004</c:v>
                </c:pt>
                <c:pt idx="5">
                  <c:v>0</c:v>
                </c:pt>
                <c:pt idx="6">
                  <c:v>0</c:v>
                </c:pt>
                <c:pt idx="8">
                  <c:v>26.550000000000004</c:v>
                </c:pt>
                <c:pt idx="9">
                  <c:v>1.29</c:v>
                </c:pt>
                <c:pt idx="10">
                  <c:v>1.29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C2-4B88-848C-62138C936889}"/>
            </c:ext>
          </c:extLst>
        </c:ser>
        <c:ser>
          <c:idx val="3"/>
          <c:order val="3"/>
          <c:tx>
            <c:strRef>
              <c:f>inv!$D$3</c:f>
              <c:strCache>
                <c:ptCount val="1"/>
                <c:pt idx="0">
                  <c:v>IC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inv!$D$4:$D$14</c:f>
              <c:numCache>
                <c:formatCode>General</c:formatCode>
                <c:ptCount val="11"/>
                <c:pt idx="0">
                  <c:v>517.00142999999991</c:v>
                </c:pt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1C2-4B88-848C-62138C936889}"/>
            </c:ext>
          </c:extLst>
        </c:ser>
        <c:ser>
          <c:idx val="4"/>
          <c:order val="4"/>
          <c:tx>
            <c:strRef>
              <c:f>inv!$E$3</c:f>
              <c:strCache>
                <c:ptCount val="1"/>
                <c:pt idx="0">
                  <c:v>AD-cog-dig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inv!$E$4:$E$14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1C2-4B88-848C-62138C936889}"/>
            </c:ext>
          </c:extLst>
        </c:ser>
        <c:ser>
          <c:idx val="5"/>
          <c:order val="5"/>
          <c:tx>
            <c:strRef>
              <c:f>inv!$F$3</c:f>
              <c:strCache>
                <c:ptCount val="1"/>
                <c:pt idx="0">
                  <c:v>AD-cog-comp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inv!$F$4:$F$14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>
                  <c:v>73.459999999999994</c:v>
                </c:pt>
                <c:pt idx="5">
                  <c:v>0</c:v>
                </c:pt>
                <c:pt idx="6">
                  <c:v>0</c:v>
                </c:pt>
                <c:pt idx="8">
                  <c:v>73.459999999999994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1C2-4B88-848C-62138C936889}"/>
            </c:ext>
          </c:extLst>
        </c:ser>
        <c:ser>
          <c:idx val="6"/>
          <c:order val="6"/>
          <c:tx>
            <c:strRef>
              <c:f>inv!$G$3</c:f>
              <c:strCache>
                <c:ptCount val="1"/>
                <c:pt idx="0">
                  <c:v>AD-biomet-dig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inv!$G$4:$G$14</c:f>
              <c:numCache>
                <c:formatCode>General</c:formatCode>
                <c:ptCount val="11"/>
                <c:pt idx="0">
                  <c:v>661.37042999999994</c:v>
                </c:pt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1C2-4B88-848C-62138C936889}"/>
            </c:ext>
          </c:extLst>
        </c:ser>
        <c:ser>
          <c:idx val="7"/>
          <c:order val="7"/>
          <c:tx>
            <c:strRef>
              <c:f>inv!$H$3</c:f>
              <c:strCache>
                <c:ptCount val="1"/>
                <c:pt idx="0">
                  <c:v>AD-biomet-comp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inv!$H$4:$H$14</c:f>
              <c:numCache>
                <c:formatCode>General</c:formatCode>
                <c:ptCount val="11"/>
                <c:pt idx="0">
                  <c:v>0</c:v>
                </c:pt>
                <c:pt idx="1">
                  <c:v>93.51</c:v>
                </c:pt>
                <c:pt idx="2">
                  <c:v>91.15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1C2-4B88-848C-62138C936889}"/>
            </c:ext>
          </c:extLst>
        </c:ser>
        <c:ser>
          <c:idx val="8"/>
          <c:order val="8"/>
          <c:tx>
            <c:strRef>
              <c:f>inv!$I$3</c:f>
              <c:strCache>
                <c:ptCount val="1"/>
                <c:pt idx="0">
                  <c:v>AD-heat-dig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inv!$I$4:$I$14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1C2-4B88-848C-62138C936889}"/>
            </c:ext>
          </c:extLst>
        </c:ser>
        <c:ser>
          <c:idx val="9"/>
          <c:order val="9"/>
          <c:tx>
            <c:strRef>
              <c:f>inv!$J$3</c:f>
              <c:strCache>
                <c:ptCount val="1"/>
                <c:pt idx="0">
                  <c:v>AD-heat-comp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inv!$J$4:$J$14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100</c:v>
                </c:pt>
                <c:pt idx="6">
                  <c:v>100</c:v>
                </c:pt>
                <c:pt idx="8">
                  <c:v>0</c:v>
                </c:pt>
                <c:pt idx="9">
                  <c:v>98.71</c:v>
                </c:pt>
                <c:pt idx="10">
                  <c:v>98.71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1C2-4B88-848C-62138C9368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78726336"/>
        <c:axId val="897936624"/>
      </c:barChart>
      <c:catAx>
        <c:axId val="11787263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97936624"/>
        <c:crosses val="autoZero"/>
        <c:auto val="1"/>
        <c:lblAlgn val="ctr"/>
        <c:lblOffset val="100"/>
        <c:noMultiLvlLbl val="0"/>
      </c:catAx>
      <c:valAx>
        <c:axId val="89793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78726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520700</xdr:colOff>
      <xdr:row>13</xdr:row>
      <xdr:rowOff>15875</xdr:rowOff>
    </xdr:from>
    <xdr:to>
      <xdr:col>15</xdr:col>
      <xdr:colOff>190500</xdr:colOff>
      <xdr:row>29</xdr:row>
      <xdr:rowOff>161925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58D7805C-D3D5-4BC4-AF05-BA47823235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153987</xdr:colOff>
      <xdr:row>25</xdr:row>
      <xdr:rowOff>85725</xdr:rowOff>
    </xdr:from>
    <xdr:to>
      <xdr:col>21</xdr:col>
      <xdr:colOff>695325</xdr:colOff>
      <xdr:row>47</xdr:row>
      <xdr:rowOff>66675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D8623481-A560-4FC0-8A70-1290237838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203200</xdr:colOff>
      <xdr:row>16</xdr:row>
      <xdr:rowOff>12700</xdr:rowOff>
    </xdr:from>
    <xdr:to>
      <xdr:col>22</xdr:col>
      <xdr:colOff>165100</xdr:colOff>
      <xdr:row>34</xdr:row>
      <xdr:rowOff>31751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4330BA0C-195A-4FE5-AFDC-2FE6D36856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66673</xdr:colOff>
      <xdr:row>31</xdr:row>
      <xdr:rowOff>161925</xdr:rowOff>
    </xdr:from>
    <xdr:to>
      <xdr:col>34</xdr:col>
      <xdr:colOff>19050</xdr:colOff>
      <xdr:row>54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41FB7D3-2B9B-4763-A9F9-2C40D8A8F4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simulations/correction_peat_market/all_dig_ss_inv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AS_neg_ssinv_al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AS_pos_ssinv_all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simulations/correction_peat_market/all_dig_inv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S_neg_inv_all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S_pos_inv_all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simulations/all_dig_inv2_V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inte de capacité"/>
      <sheetName val="results"/>
      <sheetName val="Feuil1"/>
      <sheetName val="Feuil2"/>
    </sheetNames>
    <sheetDataSet>
      <sheetData sheetId="0"/>
      <sheetData sheetId="1">
        <row r="2">
          <cell r="AK2" t="str">
            <v>HC</v>
          </cell>
          <cell r="AL2" t="str">
            <v>IC</v>
          </cell>
          <cell r="AM2" t="str">
            <v>AD-cog-comp</v>
          </cell>
          <cell r="AN2" t="str">
            <v>AD-biomet-dig</v>
          </cell>
        </row>
        <row r="3">
          <cell r="AJ3" t="str">
            <v>minCC</v>
          </cell>
          <cell r="AK3">
            <v>13.280000000000001</v>
          </cell>
          <cell r="AL3">
            <v>16.11</v>
          </cell>
          <cell r="AM3">
            <v>0</v>
          </cell>
          <cell r="AN3">
            <v>70.62</v>
          </cell>
        </row>
        <row r="4">
          <cell r="AJ4" t="str">
            <v>minEQ</v>
          </cell>
          <cell r="AK4">
            <v>13.280000000000001</v>
          </cell>
          <cell r="AL4">
            <v>0</v>
          </cell>
          <cell r="AM4">
            <v>86.73</v>
          </cell>
          <cell r="AN4">
            <v>0</v>
          </cell>
        </row>
        <row r="5">
          <cell r="AJ5" t="str">
            <v>minHH</v>
          </cell>
          <cell r="AK5">
            <v>13.280000000000001</v>
          </cell>
          <cell r="AL5">
            <v>0</v>
          </cell>
          <cell r="AM5">
            <v>86.73</v>
          </cell>
          <cell r="AN5">
            <v>0</v>
          </cell>
        </row>
        <row r="6">
          <cell r="AJ6" t="str">
            <v>minEQ&amp;HH</v>
          </cell>
          <cell r="AK6">
            <v>13.280000000000001</v>
          </cell>
          <cell r="AL6">
            <v>0</v>
          </cell>
          <cell r="AM6">
            <v>86.73</v>
          </cell>
          <cell r="AN6">
            <v>0</v>
          </cell>
        </row>
        <row r="7">
          <cell r="AJ7" t="str">
            <v>minCO2&amp;EQ</v>
          </cell>
          <cell r="AK7">
            <v>13.280000000000001</v>
          </cell>
          <cell r="AL7">
            <v>0</v>
          </cell>
          <cell r="AM7">
            <v>86.73</v>
          </cell>
          <cell r="AN7">
            <v>0</v>
          </cell>
        </row>
        <row r="8">
          <cell r="AJ8" t="str">
            <v>minCO2&amp;HH</v>
          </cell>
          <cell r="AK8">
            <v>13.280000000000001</v>
          </cell>
          <cell r="AL8">
            <v>6.6999999999999993</v>
          </cell>
          <cell r="AM8">
            <v>80.03</v>
          </cell>
          <cell r="AN8">
            <v>0</v>
          </cell>
        </row>
        <row r="9">
          <cell r="AJ9" t="str">
            <v>minCO2&amp;EQ&amp;HH</v>
          </cell>
          <cell r="AK9">
            <v>13.280000000000001</v>
          </cell>
          <cell r="AL9">
            <v>0</v>
          </cell>
          <cell r="AM9">
            <v>86.73</v>
          </cell>
          <cell r="AN9">
            <v>0</v>
          </cell>
        </row>
      </sheetData>
      <sheetData sheetId="2"/>
      <sheetData sheetId="3">
        <row r="3">
          <cell r="B3">
            <v>-405095.98916297092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2">
          <cell r="AJ2" t="str">
            <v>name</v>
          </cell>
          <cell r="AK2" t="str">
            <v>HC</v>
          </cell>
          <cell r="AL2" t="str">
            <v>IC</v>
          </cell>
          <cell r="AM2" t="str">
            <v>AD-cog-comp</v>
          </cell>
          <cell r="AN2" t="str">
            <v>AD-biomet-dig</v>
          </cell>
        </row>
        <row r="3">
          <cell r="AJ3" t="str">
            <v>minCO2</v>
          </cell>
          <cell r="AK3">
            <v>26.550000000000004</v>
          </cell>
          <cell r="AL3">
            <v>32.229999999999997</v>
          </cell>
          <cell r="AM3">
            <v>0</v>
          </cell>
          <cell r="AN3">
            <v>41.23</v>
          </cell>
          <cell r="AO3">
            <v>100.00999999999999</v>
          </cell>
        </row>
        <row r="4">
          <cell r="AJ4" t="str">
            <v>minEQ</v>
          </cell>
          <cell r="AK4">
            <v>26.550000000000004</v>
          </cell>
          <cell r="AL4">
            <v>0</v>
          </cell>
          <cell r="AM4">
            <v>73.459999999999994</v>
          </cell>
          <cell r="AN4">
            <v>0</v>
          </cell>
          <cell r="AO4">
            <v>100.00999999999999</v>
          </cell>
        </row>
        <row r="5">
          <cell r="AJ5" t="str">
            <v>minHH</v>
          </cell>
          <cell r="AK5">
            <v>26.550000000000004</v>
          </cell>
          <cell r="AL5">
            <v>0</v>
          </cell>
          <cell r="AM5">
            <v>73.459999999999994</v>
          </cell>
          <cell r="AN5">
            <v>0</v>
          </cell>
          <cell r="AO5">
            <v>100.00999999999999</v>
          </cell>
        </row>
        <row r="6">
          <cell r="AJ6" t="str">
            <v>minEQ&amp;HH</v>
          </cell>
          <cell r="AK6">
            <v>26.550000000000004</v>
          </cell>
          <cell r="AL6">
            <v>0</v>
          </cell>
          <cell r="AM6">
            <v>73.459999999999994</v>
          </cell>
          <cell r="AN6">
            <v>0</v>
          </cell>
          <cell r="AO6">
            <v>100.00999999999999</v>
          </cell>
        </row>
        <row r="7">
          <cell r="AJ7" t="str">
            <v>minCO2&amp;EQ</v>
          </cell>
          <cell r="AK7">
            <v>26.550000000000004</v>
          </cell>
          <cell r="AL7">
            <v>0</v>
          </cell>
          <cell r="AM7">
            <v>73.459999999999994</v>
          </cell>
          <cell r="AN7">
            <v>0</v>
          </cell>
          <cell r="AO7">
            <v>100.00999999999999</v>
          </cell>
        </row>
        <row r="8">
          <cell r="AJ8" t="str">
            <v>minCO2&amp;HH</v>
          </cell>
          <cell r="AK8">
            <v>26.550000000000004</v>
          </cell>
          <cell r="AL8">
            <v>26.729999999999997</v>
          </cell>
          <cell r="AM8">
            <v>46.73</v>
          </cell>
          <cell r="AN8">
            <v>0</v>
          </cell>
          <cell r="AO8">
            <v>100.00999999999999</v>
          </cell>
        </row>
        <row r="9">
          <cell r="AJ9" t="str">
            <v>minCO2&amp;EQ&amp;HH</v>
          </cell>
          <cell r="AK9">
            <v>26.550000000000004</v>
          </cell>
          <cell r="AL9">
            <v>0</v>
          </cell>
          <cell r="AM9">
            <v>73.459999999999994</v>
          </cell>
          <cell r="AN9">
            <v>0</v>
          </cell>
          <cell r="AO9">
            <v>100.00999999999999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2">
          <cell r="AJ2" t="str">
            <v>name</v>
          </cell>
          <cell r="AK2" t="str">
            <v>HC</v>
          </cell>
          <cell r="AL2" t="str">
            <v>IC</v>
          </cell>
          <cell r="AM2" t="str">
            <v>AD-cog-comp</v>
          </cell>
          <cell r="AN2" t="str">
            <v>AD-biomet-dig</v>
          </cell>
        </row>
        <row r="3">
          <cell r="AJ3" t="str">
            <v>minCO2</v>
          </cell>
          <cell r="AK3">
            <v>8.86</v>
          </cell>
          <cell r="AL3">
            <v>6.95</v>
          </cell>
          <cell r="AM3">
            <v>32.25</v>
          </cell>
          <cell r="AN3">
            <v>51.95</v>
          </cell>
          <cell r="AO3">
            <v>100.01</v>
          </cell>
        </row>
        <row r="4">
          <cell r="AJ4" t="str">
            <v>minEQ</v>
          </cell>
          <cell r="AK4">
            <v>8.86</v>
          </cell>
          <cell r="AL4">
            <v>3.41</v>
          </cell>
          <cell r="AM4">
            <v>62.34</v>
          </cell>
          <cell r="AN4">
            <v>25.4</v>
          </cell>
          <cell r="AO4">
            <v>100.00999999999999</v>
          </cell>
        </row>
        <row r="5">
          <cell r="AJ5" t="str">
            <v>minHH</v>
          </cell>
          <cell r="AK5">
            <v>8.86</v>
          </cell>
          <cell r="AL5">
            <v>3.41</v>
          </cell>
          <cell r="AM5">
            <v>62.34</v>
          </cell>
          <cell r="AN5">
            <v>25.4</v>
          </cell>
          <cell r="AO5">
            <v>100.00999999999999</v>
          </cell>
        </row>
        <row r="6">
          <cell r="AJ6" t="str">
            <v>minEQ&amp;HH</v>
          </cell>
          <cell r="AK6">
            <v>8.86</v>
          </cell>
          <cell r="AL6">
            <v>3.41</v>
          </cell>
          <cell r="AM6">
            <v>62.34</v>
          </cell>
          <cell r="AN6">
            <v>25.4</v>
          </cell>
          <cell r="AO6">
            <v>100.00999999999999</v>
          </cell>
        </row>
        <row r="7">
          <cell r="AJ7" t="str">
            <v>minCO2&amp;EQ</v>
          </cell>
          <cell r="AK7">
            <v>8.86</v>
          </cell>
          <cell r="AL7">
            <v>3.41</v>
          </cell>
          <cell r="AM7">
            <v>62.34</v>
          </cell>
          <cell r="AN7">
            <v>25.4</v>
          </cell>
          <cell r="AO7">
            <v>100.00999999999999</v>
          </cell>
        </row>
        <row r="8">
          <cell r="AJ8" t="str">
            <v>minCO2&amp;HH</v>
          </cell>
          <cell r="AK8">
            <v>8.86</v>
          </cell>
          <cell r="AL8">
            <v>3.41</v>
          </cell>
          <cell r="AM8">
            <v>62.34</v>
          </cell>
          <cell r="AN8">
            <v>25.4</v>
          </cell>
          <cell r="AO8">
            <v>100.00999999999999</v>
          </cell>
        </row>
        <row r="9">
          <cell r="AJ9" t="str">
            <v>minCO2&amp;EQ&amp;HH</v>
          </cell>
          <cell r="AK9">
            <v>8.86</v>
          </cell>
          <cell r="AL9">
            <v>3.41</v>
          </cell>
          <cell r="AM9">
            <v>62.34</v>
          </cell>
          <cell r="AN9">
            <v>25.4</v>
          </cell>
          <cell r="AO9">
            <v>100.00999999999999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  <sheetName val="Feuil2"/>
      <sheetName val="Feuil1"/>
      <sheetName val="Feuil3"/>
    </sheetNames>
    <sheetDataSet>
      <sheetData sheetId="0">
        <row r="2">
          <cell r="AQ2" t="str">
            <v>name</v>
          </cell>
          <cell r="AR2" t="str">
            <v>HC</v>
          </cell>
          <cell r="AS2" t="str">
            <v>IC</v>
          </cell>
          <cell r="AT2" t="str">
            <v>AD-cog-dig</v>
          </cell>
          <cell r="AU2" t="str">
            <v>AD-cog-comp</v>
          </cell>
          <cell r="AV2" t="str">
            <v>AD-biomet-dig</v>
          </cell>
          <cell r="AW2" t="str">
            <v>AD-biomet-comp</v>
          </cell>
          <cell r="AX2" t="str">
            <v>AD-heat-dig</v>
          </cell>
          <cell r="AY2" t="str">
            <v>AD-heat-comp</v>
          </cell>
        </row>
        <row r="3">
          <cell r="AQ3" t="str">
            <v>minCC</v>
          </cell>
          <cell r="AZ3">
            <v>100.01</v>
          </cell>
        </row>
        <row r="4">
          <cell r="AQ4" t="str">
            <v>minEQ</v>
          </cell>
          <cell r="AZ4">
            <v>100</v>
          </cell>
        </row>
        <row r="5">
          <cell r="AQ5" t="str">
            <v>minHH</v>
          </cell>
          <cell r="AZ5">
            <v>100</v>
          </cell>
        </row>
        <row r="6">
          <cell r="AQ6" t="str">
            <v>minEQ&amp;HH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100</v>
          </cell>
          <cell r="AZ6">
            <v>100</v>
          </cell>
        </row>
        <row r="7">
          <cell r="AQ7" t="str">
            <v>minCO2&amp;EQ</v>
          </cell>
          <cell r="AR7">
            <v>1.29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98.71</v>
          </cell>
          <cell r="AZ7">
            <v>100</v>
          </cell>
        </row>
        <row r="8">
          <cell r="AQ8" t="str">
            <v>minCO2&amp;HH</v>
          </cell>
          <cell r="AR8">
            <v>6.5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93.51</v>
          </cell>
          <cell r="AZ8">
            <v>100.01</v>
          </cell>
        </row>
        <row r="9">
          <cell r="AQ9" t="str">
            <v>minCO2&amp;EQ&amp;HH</v>
          </cell>
          <cell r="AR9">
            <v>1.29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98.71</v>
          </cell>
          <cell r="AZ9">
            <v>100</v>
          </cell>
        </row>
      </sheetData>
      <sheetData sheetId="1"/>
      <sheetData sheetId="2"/>
      <sheetData sheetId="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2">
          <cell r="AQ2" t="str">
            <v>name</v>
          </cell>
          <cell r="AR2" t="str">
            <v>HC</v>
          </cell>
          <cell r="AS2" t="str">
            <v>IC</v>
          </cell>
          <cell r="AT2" t="str">
            <v>AD-cog-dig</v>
          </cell>
          <cell r="AU2" t="str">
            <v>AD-cog-comp</v>
          </cell>
          <cell r="AV2" t="str">
            <v>AD-biomet-dig</v>
          </cell>
          <cell r="AW2" t="str">
            <v>AD-biomet-comp</v>
          </cell>
          <cell r="AX2" t="str">
            <v>AD-heat-dig</v>
          </cell>
          <cell r="AY2" t="str">
            <v>AD-heat-comp</v>
          </cell>
        </row>
        <row r="3">
          <cell r="AQ3" t="str">
            <v>minCO2</v>
          </cell>
          <cell r="AR3">
            <v>26.550000000000004</v>
          </cell>
          <cell r="AS3">
            <v>32.229999999999997</v>
          </cell>
          <cell r="AT3">
            <v>0</v>
          </cell>
          <cell r="AU3">
            <v>0</v>
          </cell>
          <cell r="AV3">
            <v>41.23</v>
          </cell>
          <cell r="AW3">
            <v>0</v>
          </cell>
          <cell r="AX3">
            <v>0</v>
          </cell>
          <cell r="AY3">
            <v>0</v>
          </cell>
          <cell r="AZ3">
            <v>100.00999999999999</v>
          </cell>
        </row>
        <row r="4">
          <cell r="AQ4" t="str">
            <v>minEQ</v>
          </cell>
          <cell r="AR4">
            <v>26.550000000000004</v>
          </cell>
          <cell r="AS4">
            <v>0</v>
          </cell>
          <cell r="AT4">
            <v>0</v>
          </cell>
          <cell r="AU4">
            <v>73.459999999999994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  <cell r="AZ4">
            <v>100.00999999999999</v>
          </cell>
        </row>
        <row r="5">
          <cell r="AQ5" t="str">
            <v>minHH</v>
          </cell>
          <cell r="AR5">
            <v>26.550000000000004</v>
          </cell>
          <cell r="AS5">
            <v>0</v>
          </cell>
          <cell r="AT5">
            <v>0</v>
          </cell>
          <cell r="AU5">
            <v>73.459999999999994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100.00999999999999</v>
          </cell>
        </row>
        <row r="6">
          <cell r="AQ6" t="str">
            <v>minEQ&amp;HH</v>
          </cell>
          <cell r="AR6">
            <v>26.550000000000004</v>
          </cell>
          <cell r="AS6">
            <v>0</v>
          </cell>
          <cell r="AT6">
            <v>0</v>
          </cell>
          <cell r="AU6">
            <v>73.459999999999994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100.00999999999999</v>
          </cell>
        </row>
        <row r="7">
          <cell r="AQ7" t="str">
            <v>minCO2&amp;EQ</v>
          </cell>
          <cell r="AR7">
            <v>26.550000000000004</v>
          </cell>
          <cell r="AS7">
            <v>0</v>
          </cell>
          <cell r="AT7">
            <v>0</v>
          </cell>
          <cell r="AU7">
            <v>73.459999999999994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100.00999999999999</v>
          </cell>
        </row>
        <row r="8">
          <cell r="AQ8" t="str">
            <v>minCO2&amp;HH</v>
          </cell>
          <cell r="AR8">
            <v>26.550000000000004</v>
          </cell>
          <cell r="AS8">
            <v>26.729999999999997</v>
          </cell>
          <cell r="AT8">
            <v>0</v>
          </cell>
          <cell r="AU8">
            <v>46.73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100.00999999999999</v>
          </cell>
        </row>
        <row r="9">
          <cell r="AQ9" t="str">
            <v>minCO2&amp;EQ&amp;HH</v>
          </cell>
          <cell r="AR9">
            <v>26.550000000000004</v>
          </cell>
          <cell r="AS9">
            <v>0</v>
          </cell>
          <cell r="AT9">
            <v>0</v>
          </cell>
          <cell r="AU9">
            <v>73.459999999999994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100.00999999999999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2">
          <cell r="AQ2" t="str">
            <v>name</v>
          </cell>
          <cell r="AR2" t="str">
            <v>HC</v>
          </cell>
          <cell r="AS2" t="str">
            <v>IC</v>
          </cell>
          <cell r="AT2" t="str">
            <v>AD-cog-dig</v>
          </cell>
          <cell r="AU2" t="str">
            <v>AD-cog-comp</v>
          </cell>
          <cell r="AV2" t="str">
            <v>AD-biomet-dig</v>
          </cell>
          <cell r="AW2" t="str">
            <v>AD-biomet-comp</v>
          </cell>
          <cell r="AX2" t="str">
            <v>AD-heat-dig</v>
          </cell>
          <cell r="AY2" t="str">
            <v>AD-heat-comp</v>
          </cell>
        </row>
        <row r="3">
          <cell r="AQ3" t="str">
            <v>minCO2</v>
          </cell>
          <cell r="AR3">
            <v>8.86</v>
          </cell>
          <cell r="AS3">
            <v>0</v>
          </cell>
          <cell r="AT3">
            <v>0</v>
          </cell>
          <cell r="AU3">
            <v>0</v>
          </cell>
          <cell r="AV3">
            <v>0</v>
          </cell>
          <cell r="AW3">
            <v>91.15</v>
          </cell>
          <cell r="AX3">
            <v>0</v>
          </cell>
          <cell r="AY3">
            <v>0</v>
          </cell>
        </row>
        <row r="4">
          <cell r="AQ4" t="str">
            <v>minEQ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>
            <v>100</v>
          </cell>
        </row>
        <row r="5">
          <cell r="AQ5" t="str">
            <v>minHH</v>
          </cell>
          <cell r="AR5">
            <v>1.29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98.71</v>
          </cell>
        </row>
        <row r="6">
          <cell r="AQ6" t="str">
            <v>minEQ&amp;HH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100</v>
          </cell>
        </row>
        <row r="7">
          <cell r="AQ7" t="str">
            <v>minCO2&amp;EQ</v>
          </cell>
          <cell r="AR7">
            <v>1.29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98.71</v>
          </cell>
        </row>
        <row r="8">
          <cell r="AQ8" t="str">
            <v>minCO2&amp;HH</v>
          </cell>
          <cell r="AR8">
            <v>8.86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91.15</v>
          </cell>
        </row>
        <row r="9">
          <cell r="AQ9" t="str">
            <v>minCO2&amp;EQ&amp;HH</v>
          </cell>
          <cell r="AR9">
            <v>1.29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98.71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</sheetNames>
    <sheetDataSet>
      <sheetData sheetId="0">
        <row r="3">
          <cell r="AK3">
            <v>-651101.69874275697</v>
          </cell>
          <cell r="AR3">
            <v>6.5</v>
          </cell>
          <cell r="AS3">
            <v>0</v>
          </cell>
          <cell r="AT3">
            <v>0</v>
          </cell>
          <cell r="AU3">
            <v>0</v>
          </cell>
          <cell r="AV3">
            <v>0</v>
          </cell>
          <cell r="AW3">
            <v>93.51</v>
          </cell>
          <cell r="AX3">
            <v>0</v>
          </cell>
          <cell r="AY3">
            <v>0</v>
          </cell>
        </row>
        <row r="4"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>
            <v>100</v>
          </cell>
        </row>
        <row r="5">
          <cell r="AR5">
            <v>1.29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98.71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DBE72-2060-4834-BDF1-C5EFB77FAD96}">
  <dimension ref="A1:W36"/>
  <sheetViews>
    <sheetView workbookViewId="0">
      <selection activeCell="B4" sqref="B4"/>
    </sheetView>
  </sheetViews>
  <sheetFormatPr baseColWidth="10" defaultRowHeight="14.5" x14ac:dyDescent="0.35"/>
  <sheetData>
    <row r="1" spans="1:23" x14ac:dyDescent="0.35">
      <c r="A1" t="s">
        <v>1</v>
      </c>
      <c r="I1" t="s">
        <v>2</v>
      </c>
      <c r="Q1" t="s">
        <v>3</v>
      </c>
    </row>
    <row r="2" spans="1:23" x14ac:dyDescent="0.35">
      <c r="A2" t="s">
        <v>0</v>
      </c>
      <c r="B2" t="str">
        <f>[1]results!AK2</f>
        <v>HC</v>
      </c>
      <c r="C2" t="str">
        <f>[1]results!AL2</f>
        <v>IC</v>
      </c>
      <c r="D2" t="str">
        <f>[1]results!AM2</f>
        <v>AD-cog-comp</v>
      </c>
      <c r="E2" t="str">
        <f>[1]results!AN2</f>
        <v>AD-biomet-dig</v>
      </c>
      <c r="F2" t="s">
        <v>5</v>
      </c>
      <c r="G2" t="s">
        <v>12</v>
      </c>
      <c r="I2" t="str">
        <f>[2]results!AJ2</f>
        <v>name</v>
      </c>
      <c r="J2" t="str">
        <f>[2]results!AK2</f>
        <v>HC</v>
      </c>
      <c r="K2" t="str">
        <f>[2]results!AL2</f>
        <v>IC</v>
      </c>
      <c r="L2" t="str">
        <f>[2]results!AM2</f>
        <v>AD-cog-comp</v>
      </c>
      <c r="M2" t="str">
        <f>[2]results!AN2</f>
        <v>AD-biomet-dig</v>
      </c>
      <c r="N2" t="s">
        <v>5</v>
      </c>
      <c r="O2">
        <f>[2]results!AO2</f>
        <v>0</v>
      </c>
      <c r="Q2" t="str">
        <f>[3]results!AJ2</f>
        <v>name</v>
      </c>
      <c r="R2" t="str">
        <f>[3]results!AK2</f>
        <v>HC</v>
      </c>
      <c r="S2" t="str">
        <f>[3]results!AL2</f>
        <v>IC</v>
      </c>
      <c r="T2" t="str">
        <f>[3]results!AM2</f>
        <v>AD-cog-comp</v>
      </c>
      <c r="U2" t="str">
        <f>[3]results!AN2</f>
        <v>AD-biomet-dig</v>
      </c>
      <c r="V2" t="s">
        <v>5</v>
      </c>
      <c r="W2">
        <f>[3]results!AO2</f>
        <v>0</v>
      </c>
    </row>
    <row r="3" spans="1:23" x14ac:dyDescent="0.35">
      <c r="B3">
        <f>J4</f>
        <v>425.88855000000012</v>
      </c>
      <c r="C3">
        <f>K4</f>
        <v>517.00142999999991</v>
      </c>
      <c r="D3">
        <f>L4</f>
        <v>0</v>
      </c>
      <c r="E3">
        <f>M4</f>
        <v>661.37042999999994</v>
      </c>
      <c r="F3">
        <f>C33*(1-C34)</f>
        <v>3742.8999999999996</v>
      </c>
      <c r="G3">
        <f>SUM(B3:F3)</f>
        <v>5347.1604099999995</v>
      </c>
    </row>
    <row r="4" spans="1:23" x14ac:dyDescent="0.35">
      <c r="A4" t="str">
        <f>[1]results!AJ3</f>
        <v>minCC</v>
      </c>
      <c r="B4">
        <f>ss_inv!B4*ss_inv_inc!$C$33*ss_inv_inc!$C$36/100</f>
        <v>426.04896000000002</v>
      </c>
      <c r="C4">
        <f>ss_inv!C4*ss_inv_inc!$C$33*ss_inv_inc!$C$36/100</f>
        <v>516.84101999999996</v>
      </c>
      <c r="D4">
        <f>ss_inv!D4*ss_inv_inc!$C$33*ss_inv_inc!$C$36/100</f>
        <v>0</v>
      </c>
      <c r="E4">
        <f>ss_inv!E4*ss_inv_inc!$C$33*ss_inv_inc!$C$36/100</f>
        <v>2265.6308399999998</v>
      </c>
      <c r="F4">
        <f>C33*(1-C36)</f>
        <v>2138.8000000000002</v>
      </c>
      <c r="G4">
        <f t="shared" ref="G4:G13" si="0">SUM(B4:F4)</f>
        <v>5347.3208199999999</v>
      </c>
      <c r="I4" t="str">
        <f>[2]results!AJ3</f>
        <v>minCO2</v>
      </c>
      <c r="J4">
        <f>ss_inv!H4*ss_inv_inc!$C$33*ss_inv_inc!$C$34/100</f>
        <v>425.88855000000012</v>
      </c>
      <c r="K4">
        <f>ss_inv!I4*ss_inv_inc!$C$33*ss_inv_inc!$C$34/100</f>
        <v>517.00142999999991</v>
      </c>
      <c r="L4">
        <f>ss_inv!J4*ss_inv_inc!$C$33*ss_inv_inc!$C$34/100</f>
        <v>0</v>
      </c>
      <c r="M4">
        <f>ss_inv!K4*ss_inv_inc!$C$33*ss_inv_inc!$C$34/100</f>
        <v>661.37042999999994</v>
      </c>
      <c r="N4">
        <f>C33*(1-C34)</f>
        <v>3742.8999999999996</v>
      </c>
      <c r="O4">
        <f>[2]results!AO3</f>
        <v>100.00999999999999</v>
      </c>
      <c r="Q4" t="str">
        <f>[3]results!AJ3</f>
        <v>minCO2</v>
      </c>
      <c r="R4">
        <f>ss_inv!O4*ss_inv_inc!$C$33*ss_inv_inc!$C$35/100</f>
        <v>426.36978000000005</v>
      </c>
      <c r="S4">
        <f>ss_inv!P4*ss_inv_inc!$C$33*ss_inv_inc!$C$35/100</f>
        <v>334.45485000000002</v>
      </c>
      <c r="T4">
        <f>ss_inv!Q4*ss_inv_inc!$C$33*ss_inv_inc!$C$35/100</f>
        <v>1551.9667500000003</v>
      </c>
      <c r="U4">
        <f>ss_inv!R4*ss_inv_inc!$C$33*ss_inv_inc!$C$35/100</f>
        <v>2499.9898499999999</v>
      </c>
      <c r="W4">
        <f>[3]results!AO3</f>
        <v>100.01</v>
      </c>
    </row>
    <row r="5" spans="1:23" x14ac:dyDescent="0.35">
      <c r="B5">
        <f>R4</f>
        <v>426.36978000000005</v>
      </c>
      <c r="C5">
        <f>S4</f>
        <v>334.45485000000002</v>
      </c>
      <c r="D5">
        <f>T4</f>
        <v>1551.9667500000003</v>
      </c>
      <c r="E5">
        <f>U4</f>
        <v>2499.9898499999999</v>
      </c>
      <c r="F5">
        <f>C33*(1-C35)</f>
        <v>534.69999999999993</v>
      </c>
      <c r="G5">
        <f t="shared" si="0"/>
        <v>5347.4812300000003</v>
      </c>
    </row>
    <row r="7" spans="1:23" x14ac:dyDescent="0.35">
      <c r="B7">
        <f>J8</f>
        <v>425.88855000000012</v>
      </c>
      <c r="C7">
        <f>K8</f>
        <v>0</v>
      </c>
      <c r="D7">
        <f>L8</f>
        <v>1178.37186</v>
      </c>
      <c r="E7">
        <f>M8</f>
        <v>0</v>
      </c>
      <c r="F7">
        <f>$F$3</f>
        <v>3742.8999999999996</v>
      </c>
      <c r="G7">
        <f t="shared" si="0"/>
        <v>5347.1604099999995</v>
      </c>
    </row>
    <row r="8" spans="1:23" x14ac:dyDescent="0.35">
      <c r="A8" t="str">
        <f>[1]results!AJ4</f>
        <v>minEQ</v>
      </c>
      <c r="B8">
        <f>ss_inv!B8*ss_inv_inc!$C$33*ss_inv_inc!$C$36/100</f>
        <v>426.04896000000002</v>
      </c>
      <c r="C8">
        <f>ss_inv!C8*ss_inv_inc!$C$33*ss_inv_inc!$C$36/100</f>
        <v>0</v>
      </c>
      <c r="D8">
        <f>ss_inv!D8*ss_inv_inc!$C$33*ss_inv_inc!$C$36/100</f>
        <v>2782.4718599999997</v>
      </c>
      <c r="E8">
        <f>ss_inv!E8*ss_inv_inc!$C$33*ss_inv_inc!$C$36/100</f>
        <v>0</v>
      </c>
      <c r="F8">
        <f>$F$4</f>
        <v>2138.8000000000002</v>
      </c>
      <c r="G8">
        <f t="shared" si="0"/>
        <v>5347.3208199999999</v>
      </c>
      <c r="I8" t="str">
        <f>[2]results!AJ4</f>
        <v>minEQ</v>
      </c>
      <c r="J8">
        <f>ss_inv!H8*ss_inv_inc!$C$33*ss_inv_inc!$C$34/100</f>
        <v>425.88855000000012</v>
      </c>
      <c r="K8">
        <f>ss_inv!I8*ss_inv_inc!$C$33*ss_inv_inc!$C$34/100</f>
        <v>0</v>
      </c>
      <c r="L8">
        <f>ss_inv!J8*ss_inv_inc!$C$33*ss_inv_inc!$C$34/100</f>
        <v>1178.37186</v>
      </c>
      <c r="M8">
        <f>ss_inv!K8*ss_inv_inc!$C$33*ss_inv_inc!$C$34/100</f>
        <v>0</v>
      </c>
      <c r="N8">
        <f>$N$4</f>
        <v>3742.8999999999996</v>
      </c>
      <c r="O8">
        <f>[2]results!AO4</f>
        <v>100.00999999999999</v>
      </c>
      <c r="Q8" t="str">
        <f>[3]results!AJ4</f>
        <v>minEQ</v>
      </c>
      <c r="R8">
        <f>ss_inv!O8*ss_inv_inc!$C$33*ss_inv_inc!$C$35/100</f>
        <v>426.36978000000005</v>
      </c>
      <c r="S8">
        <f>ss_inv!P8*ss_inv_inc!$C$33*ss_inv_inc!$C$35/100</f>
        <v>164.09942999999998</v>
      </c>
      <c r="T8">
        <f>ss_inv!Q8*ss_inv_inc!$C$33*ss_inv_inc!$C$35/100</f>
        <v>2999.9878200000007</v>
      </c>
      <c r="U8">
        <f>ss_inv!R8*ss_inv_inc!$C$33*ss_inv_inc!$C$35/100</f>
        <v>1222.3242</v>
      </c>
      <c r="W8">
        <f>[3]results!AO4</f>
        <v>100.00999999999999</v>
      </c>
    </row>
    <row r="9" spans="1:23" x14ac:dyDescent="0.35">
      <c r="B9">
        <f>R8</f>
        <v>426.36978000000005</v>
      </c>
      <c r="C9">
        <f>S8</f>
        <v>164.09942999999998</v>
      </c>
      <c r="D9">
        <f>T8</f>
        <v>2999.9878200000007</v>
      </c>
      <c r="E9">
        <f>U8</f>
        <v>1222.3242</v>
      </c>
      <c r="F9">
        <f>$F$5</f>
        <v>534.69999999999993</v>
      </c>
      <c r="G9">
        <f t="shared" si="0"/>
        <v>5347.4812300000003</v>
      </c>
    </row>
    <row r="11" spans="1:23" x14ac:dyDescent="0.35">
      <c r="B11">
        <f>J12</f>
        <v>425.88855000000012</v>
      </c>
      <c r="C11">
        <f>K12</f>
        <v>0</v>
      </c>
      <c r="D11">
        <f>L12</f>
        <v>1178.37186</v>
      </c>
      <c r="E11">
        <f>M12</f>
        <v>0</v>
      </c>
      <c r="F11">
        <f>$F$3</f>
        <v>3742.8999999999996</v>
      </c>
      <c r="G11">
        <f t="shared" si="0"/>
        <v>5347.1604099999995</v>
      </c>
    </row>
    <row r="12" spans="1:23" x14ac:dyDescent="0.35">
      <c r="A12" t="str">
        <f>[1]results!AJ5</f>
        <v>minHH</v>
      </c>
      <c r="B12">
        <f>ss_inv!B12*ss_inv_inc!$C$33*ss_inv_inc!$C$36/100</f>
        <v>426.04896000000002</v>
      </c>
      <c r="C12">
        <f>ss_inv!C12*ss_inv_inc!$C$33*ss_inv_inc!$C$36/100</f>
        <v>0</v>
      </c>
      <c r="D12">
        <f>ss_inv!D12*ss_inv_inc!$C$33*ss_inv_inc!$C$36/100</f>
        <v>2782.4718599999997</v>
      </c>
      <c r="E12">
        <f>ss_inv!E12*ss_inv_inc!$C$33*ss_inv_inc!$C$36/100</f>
        <v>0</v>
      </c>
      <c r="F12">
        <f>$F$8</f>
        <v>2138.8000000000002</v>
      </c>
      <c r="G12">
        <f t="shared" si="0"/>
        <v>5347.3208199999999</v>
      </c>
      <c r="I12" t="str">
        <f>[2]results!AJ5</f>
        <v>minHH</v>
      </c>
      <c r="J12">
        <f>ss_inv!H12*ss_inv_inc!$C$33*ss_inv_inc!$C$34/100</f>
        <v>425.88855000000012</v>
      </c>
      <c r="K12">
        <f>ss_inv!I12*ss_inv_inc!$C$33*ss_inv_inc!$C$34/100</f>
        <v>0</v>
      </c>
      <c r="L12">
        <f>ss_inv!J12*ss_inv_inc!$C$33*ss_inv_inc!$C$34/100</f>
        <v>1178.37186</v>
      </c>
      <c r="M12">
        <f>ss_inv!K12*ss_inv_inc!$C$33*ss_inv_inc!$C$34/100</f>
        <v>0</v>
      </c>
      <c r="N12">
        <f>$N$4</f>
        <v>3742.8999999999996</v>
      </c>
      <c r="O12">
        <f>[2]results!AO5</f>
        <v>100.00999999999999</v>
      </c>
      <c r="Q12" t="str">
        <f>[3]results!AJ5</f>
        <v>minHH</v>
      </c>
      <c r="R12">
        <f>ss_inv!O12*ss_inv_inc!$C$33*ss_inv_inc!$C$35/100</f>
        <v>426.36978000000005</v>
      </c>
      <c r="S12">
        <f>ss_inv!P12*ss_inv_inc!$C$33*ss_inv_inc!$C$35/100</f>
        <v>164.09942999999998</v>
      </c>
      <c r="T12">
        <f>ss_inv!Q12*ss_inv_inc!$C$33*ss_inv_inc!$C$35/100</f>
        <v>2999.9878200000007</v>
      </c>
      <c r="U12">
        <f>ss_inv!R12*ss_inv_inc!$C$33*ss_inv_inc!$C$35/100</f>
        <v>1222.3242</v>
      </c>
      <c r="W12">
        <f>[3]results!AO5</f>
        <v>100.00999999999999</v>
      </c>
    </row>
    <row r="13" spans="1:23" x14ac:dyDescent="0.35">
      <c r="B13">
        <f>R12</f>
        <v>426.36978000000005</v>
      </c>
      <c r="C13">
        <f>S12</f>
        <v>164.09942999999998</v>
      </c>
      <c r="D13">
        <f>T12</f>
        <v>2999.9878200000007</v>
      </c>
      <c r="E13">
        <f>U12</f>
        <v>1222.3242</v>
      </c>
      <c r="F13">
        <f>$F$5</f>
        <v>534.69999999999993</v>
      </c>
      <c r="G13">
        <f t="shared" si="0"/>
        <v>5347.4812300000003</v>
      </c>
    </row>
    <row r="33" spans="1:3" x14ac:dyDescent="0.35">
      <c r="A33" t="s">
        <v>4</v>
      </c>
      <c r="C33">
        <v>5347</v>
      </c>
    </row>
    <row r="34" spans="1:3" x14ac:dyDescent="0.35">
      <c r="A34" t="s">
        <v>6</v>
      </c>
      <c r="C34">
        <v>0.3</v>
      </c>
    </row>
    <row r="35" spans="1:3" x14ac:dyDescent="0.35">
      <c r="A35" t="s">
        <v>7</v>
      </c>
      <c r="C35">
        <v>0.9</v>
      </c>
    </row>
    <row r="36" spans="1:3" x14ac:dyDescent="0.35">
      <c r="A36" t="s">
        <v>11</v>
      </c>
      <c r="C36">
        <v>0.6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9B012-5109-44C6-8E37-563FE0CBD43E}">
  <dimension ref="A1:S29"/>
  <sheetViews>
    <sheetView workbookViewId="0">
      <selection activeCell="B4" sqref="B4"/>
    </sheetView>
  </sheetViews>
  <sheetFormatPr baseColWidth="10" defaultRowHeight="14.5" x14ac:dyDescent="0.35"/>
  <sheetData>
    <row r="1" spans="1:19" x14ac:dyDescent="0.35">
      <c r="A1" t="s">
        <v>1</v>
      </c>
      <c r="G1" t="s">
        <v>2</v>
      </c>
      <c r="N1" t="s">
        <v>3</v>
      </c>
    </row>
    <row r="2" spans="1:19" x14ac:dyDescent="0.35">
      <c r="A2" t="s">
        <v>0</v>
      </c>
      <c r="B2" t="str">
        <f>[1]results!AK2</f>
        <v>HC</v>
      </c>
      <c r="C2" t="str">
        <f>[1]results!AL2</f>
        <v>IC</v>
      </c>
      <c r="D2" t="str">
        <f>[1]results!AM2</f>
        <v>AD-cog-comp</v>
      </c>
      <c r="E2" t="str">
        <f>[1]results!AN2</f>
        <v>AD-biomet-dig</v>
      </c>
      <c r="G2" t="str">
        <f>[2]results!AJ2</f>
        <v>name</v>
      </c>
      <c r="H2" t="str">
        <f>[2]results!AK2</f>
        <v>HC</v>
      </c>
      <c r="I2" t="str">
        <f>[2]results!AL2</f>
        <v>IC</v>
      </c>
      <c r="J2" t="str">
        <f>[2]results!AM2</f>
        <v>AD-cog-comp</v>
      </c>
      <c r="K2" t="str">
        <f>[2]results!AN2</f>
        <v>AD-biomet-dig</v>
      </c>
      <c r="L2">
        <f>[2]results!AO2</f>
        <v>0</v>
      </c>
      <c r="N2" t="str">
        <f>[3]results!AJ2</f>
        <v>name</v>
      </c>
      <c r="O2" t="str">
        <f>[3]results!AK2</f>
        <v>HC</v>
      </c>
      <c r="P2" t="str">
        <f>[3]results!AL2</f>
        <v>IC</v>
      </c>
      <c r="Q2" t="str">
        <f>[3]results!AM2</f>
        <v>AD-cog-comp</v>
      </c>
      <c r="R2" t="str">
        <f>[3]results!AN2</f>
        <v>AD-biomet-dig</v>
      </c>
      <c r="S2">
        <f>[3]results!AO2</f>
        <v>0</v>
      </c>
    </row>
    <row r="3" spans="1:19" x14ac:dyDescent="0.35">
      <c r="B3">
        <f>H4</f>
        <v>26.550000000000004</v>
      </c>
      <c r="C3">
        <f>I4</f>
        <v>32.229999999999997</v>
      </c>
      <c r="D3">
        <f>J4</f>
        <v>0</v>
      </c>
      <c r="E3">
        <f>K4</f>
        <v>41.23</v>
      </c>
    </row>
    <row r="4" spans="1:19" x14ac:dyDescent="0.35">
      <c r="A4" t="str">
        <f>[1]results!AJ3</f>
        <v>minCC</v>
      </c>
      <c r="B4">
        <f>[1]results!AK3</f>
        <v>13.280000000000001</v>
      </c>
      <c r="C4">
        <f>[1]results!AL3</f>
        <v>16.11</v>
      </c>
      <c r="D4">
        <f>[1]results!AM3</f>
        <v>0</v>
      </c>
      <c r="E4">
        <f>[1]results!AN3</f>
        <v>70.62</v>
      </c>
      <c r="G4" t="str">
        <f>[2]results!AJ3</f>
        <v>minCO2</v>
      </c>
      <c r="H4">
        <f>[2]results!AK3</f>
        <v>26.550000000000004</v>
      </c>
      <c r="I4">
        <f>[2]results!AL3</f>
        <v>32.229999999999997</v>
      </c>
      <c r="J4">
        <f>[2]results!AM3</f>
        <v>0</v>
      </c>
      <c r="K4">
        <f>[2]results!AN3</f>
        <v>41.23</v>
      </c>
      <c r="L4">
        <f>[2]results!AO3</f>
        <v>100.00999999999999</v>
      </c>
      <c r="N4" t="str">
        <f>[3]results!AJ3</f>
        <v>minCO2</v>
      </c>
      <c r="O4">
        <f>[3]results!AK3</f>
        <v>8.86</v>
      </c>
      <c r="P4">
        <f>[3]results!AL3</f>
        <v>6.95</v>
      </c>
      <c r="Q4">
        <f>[3]results!AM3</f>
        <v>32.25</v>
      </c>
      <c r="R4">
        <f>[3]results!AN3</f>
        <v>51.95</v>
      </c>
      <c r="S4">
        <f>[3]results!AO3</f>
        <v>100.01</v>
      </c>
    </row>
    <row r="5" spans="1:19" x14ac:dyDescent="0.35">
      <c r="B5">
        <f>O4</f>
        <v>8.86</v>
      </c>
      <c r="C5">
        <f>P4</f>
        <v>6.95</v>
      </c>
      <c r="D5">
        <f>Q4</f>
        <v>32.25</v>
      </c>
      <c r="E5">
        <f>R4</f>
        <v>51.95</v>
      </c>
    </row>
    <row r="7" spans="1:19" x14ac:dyDescent="0.35">
      <c r="B7">
        <f>H8</f>
        <v>26.550000000000004</v>
      </c>
      <c r="C7">
        <f>I8</f>
        <v>0</v>
      </c>
      <c r="D7">
        <f>J8</f>
        <v>73.459999999999994</v>
      </c>
      <c r="E7">
        <f>K8</f>
        <v>0</v>
      </c>
    </row>
    <row r="8" spans="1:19" x14ac:dyDescent="0.35">
      <c r="A8" t="str">
        <f>[1]results!AJ4</f>
        <v>minEQ</v>
      </c>
      <c r="B8">
        <f>[1]results!AK4</f>
        <v>13.280000000000001</v>
      </c>
      <c r="C8">
        <f>[1]results!AL4</f>
        <v>0</v>
      </c>
      <c r="D8">
        <f>[1]results!AM4</f>
        <v>86.73</v>
      </c>
      <c r="E8">
        <f>[1]results!AN4</f>
        <v>0</v>
      </c>
      <c r="G8" t="str">
        <f>[2]results!AJ4</f>
        <v>minEQ</v>
      </c>
      <c r="H8">
        <f>[2]results!AK4</f>
        <v>26.550000000000004</v>
      </c>
      <c r="I8">
        <f>[2]results!AL4</f>
        <v>0</v>
      </c>
      <c r="J8">
        <f>[2]results!AM4</f>
        <v>73.459999999999994</v>
      </c>
      <c r="K8">
        <f>[2]results!AN4</f>
        <v>0</v>
      </c>
      <c r="L8">
        <f>[2]results!AO4</f>
        <v>100.00999999999999</v>
      </c>
      <c r="N8" t="str">
        <f>[3]results!AJ4</f>
        <v>minEQ</v>
      </c>
      <c r="O8">
        <f>[3]results!AK4</f>
        <v>8.86</v>
      </c>
      <c r="P8">
        <f>[3]results!AL4</f>
        <v>3.41</v>
      </c>
      <c r="Q8">
        <f>[3]results!AM4</f>
        <v>62.34</v>
      </c>
      <c r="R8">
        <f>[3]results!AN4</f>
        <v>25.4</v>
      </c>
      <c r="S8">
        <f>[3]results!AO4</f>
        <v>100.00999999999999</v>
      </c>
    </row>
    <row r="9" spans="1:19" x14ac:dyDescent="0.35">
      <c r="B9">
        <f>O8</f>
        <v>8.86</v>
      </c>
      <c r="C9">
        <f>P8</f>
        <v>3.41</v>
      </c>
      <c r="D9">
        <f>Q8</f>
        <v>62.34</v>
      </c>
      <c r="E9">
        <f>R8</f>
        <v>25.4</v>
      </c>
    </row>
    <row r="11" spans="1:19" x14ac:dyDescent="0.35">
      <c r="B11">
        <f>H12</f>
        <v>26.550000000000004</v>
      </c>
      <c r="C11">
        <f>I12</f>
        <v>0</v>
      </c>
      <c r="D11">
        <f>J12</f>
        <v>73.459999999999994</v>
      </c>
      <c r="E11">
        <f>K12</f>
        <v>0</v>
      </c>
    </row>
    <row r="12" spans="1:19" x14ac:dyDescent="0.35">
      <c r="A12" t="str">
        <f>[1]results!AJ5</f>
        <v>minHH</v>
      </c>
      <c r="B12">
        <f>[1]results!AK5</f>
        <v>13.280000000000001</v>
      </c>
      <c r="C12">
        <f>[1]results!AL5</f>
        <v>0</v>
      </c>
      <c r="D12">
        <f>[1]results!AM5</f>
        <v>86.73</v>
      </c>
      <c r="E12">
        <f>[1]results!AN5</f>
        <v>0</v>
      </c>
      <c r="G12" t="str">
        <f>[2]results!AJ5</f>
        <v>minHH</v>
      </c>
      <c r="H12">
        <f>[2]results!AK5</f>
        <v>26.550000000000004</v>
      </c>
      <c r="I12">
        <f>[2]results!AL5</f>
        <v>0</v>
      </c>
      <c r="J12">
        <f>[2]results!AM5</f>
        <v>73.459999999999994</v>
      </c>
      <c r="K12">
        <f>[2]results!AN5</f>
        <v>0</v>
      </c>
      <c r="L12">
        <f>[2]results!AO5</f>
        <v>100.00999999999999</v>
      </c>
      <c r="N12" t="str">
        <f>[3]results!AJ5</f>
        <v>minHH</v>
      </c>
      <c r="O12">
        <f>[3]results!AK5</f>
        <v>8.86</v>
      </c>
      <c r="P12">
        <f>[3]results!AL5</f>
        <v>3.41</v>
      </c>
      <c r="Q12">
        <f>[3]results!AM5</f>
        <v>62.34</v>
      </c>
      <c r="R12">
        <f>[3]results!AN5</f>
        <v>25.4</v>
      </c>
      <c r="S12">
        <f>[3]results!AO5</f>
        <v>100.00999999999999</v>
      </c>
    </row>
    <row r="13" spans="1:19" x14ac:dyDescent="0.35">
      <c r="B13">
        <f>O12</f>
        <v>8.86</v>
      </c>
      <c r="C13">
        <f>P12</f>
        <v>3.41</v>
      </c>
      <c r="D13">
        <f>Q12</f>
        <v>62.34</v>
      </c>
      <c r="E13">
        <f>R12</f>
        <v>25.4</v>
      </c>
    </row>
    <row r="15" spans="1:19" x14ac:dyDescent="0.35">
      <c r="B15">
        <f>H16</f>
        <v>26.550000000000004</v>
      </c>
      <c r="C15">
        <f>I16</f>
        <v>0</v>
      </c>
      <c r="D15">
        <f>J16</f>
        <v>73.459999999999994</v>
      </c>
      <c r="E15">
        <f>K16</f>
        <v>0</v>
      </c>
    </row>
    <row r="16" spans="1:19" x14ac:dyDescent="0.35">
      <c r="A16" t="str">
        <f>[1]results!AJ6</f>
        <v>minEQ&amp;HH</v>
      </c>
      <c r="B16">
        <f>[1]results!AK6</f>
        <v>13.280000000000001</v>
      </c>
      <c r="C16">
        <f>[1]results!AL6</f>
        <v>0</v>
      </c>
      <c r="D16">
        <f>[1]results!AM6</f>
        <v>86.73</v>
      </c>
      <c r="E16">
        <f>[1]results!AN6</f>
        <v>0</v>
      </c>
      <c r="G16" t="str">
        <f>[2]results!AJ6</f>
        <v>minEQ&amp;HH</v>
      </c>
      <c r="H16">
        <f>[2]results!AK6</f>
        <v>26.550000000000004</v>
      </c>
      <c r="I16">
        <f>[2]results!AL6</f>
        <v>0</v>
      </c>
      <c r="J16">
        <f>[2]results!AM6</f>
        <v>73.459999999999994</v>
      </c>
      <c r="K16">
        <f>[2]results!AN6</f>
        <v>0</v>
      </c>
      <c r="L16">
        <f>[2]results!AO6</f>
        <v>100.00999999999999</v>
      </c>
      <c r="N16" t="str">
        <f>[3]results!AJ6</f>
        <v>minEQ&amp;HH</v>
      </c>
      <c r="O16">
        <f>[3]results!AK6</f>
        <v>8.86</v>
      </c>
      <c r="P16">
        <f>[3]results!AL6</f>
        <v>3.41</v>
      </c>
      <c r="Q16">
        <f>[3]results!AM6</f>
        <v>62.34</v>
      </c>
      <c r="R16">
        <f>[3]results!AN6</f>
        <v>25.4</v>
      </c>
      <c r="S16">
        <f>[3]results!AO6</f>
        <v>100.00999999999999</v>
      </c>
    </row>
    <row r="17" spans="1:19" x14ac:dyDescent="0.35">
      <c r="B17">
        <f>O16</f>
        <v>8.86</v>
      </c>
      <c r="C17">
        <f>P16</f>
        <v>3.41</v>
      </c>
      <c r="D17">
        <f>Q16</f>
        <v>62.34</v>
      </c>
      <c r="E17">
        <f>R16</f>
        <v>25.4</v>
      </c>
    </row>
    <row r="19" spans="1:19" x14ac:dyDescent="0.35">
      <c r="B19">
        <f>H20</f>
        <v>26.550000000000004</v>
      </c>
      <c r="C19">
        <f>I20</f>
        <v>0</v>
      </c>
      <c r="D19">
        <f>J20</f>
        <v>73.459999999999994</v>
      </c>
      <c r="E19">
        <f>K20</f>
        <v>0</v>
      </c>
    </row>
    <row r="20" spans="1:19" x14ac:dyDescent="0.35">
      <c r="A20" t="str">
        <f>[1]results!AJ7</f>
        <v>minCO2&amp;EQ</v>
      </c>
      <c r="B20">
        <f>[1]results!AK7</f>
        <v>13.280000000000001</v>
      </c>
      <c r="C20">
        <f>[1]results!AL7</f>
        <v>0</v>
      </c>
      <c r="D20">
        <f>[1]results!AM7</f>
        <v>86.73</v>
      </c>
      <c r="E20">
        <f>[1]results!AN7</f>
        <v>0</v>
      </c>
      <c r="G20" t="str">
        <f>[2]results!AJ7</f>
        <v>minCO2&amp;EQ</v>
      </c>
      <c r="H20">
        <f>[2]results!AK7</f>
        <v>26.550000000000004</v>
      </c>
      <c r="I20">
        <f>[2]results!AL7</f>
        <v>0</v>
      </c>
      <c r="J20">
        <f>[2]results!AM7</f>
        <v>73.459999999999994</v>
      </c>
      <c r="K20">
        <f>[2]results!AN7</f>
        <v>0</v>
      </c>
      <c r="L20">
        <f>[2]results!AO7</f>
        <v>100.00999999999999</v>
      </c>
      <c r="N20" t="str">
        <f>[3]results!AJ7</f>
        <v>minCO2&amp;EQ</v>
      </c>
      <c r="O20">
        <f>[3]results!AK7</f>
        <v>8.86</v>
      </c>
      <c r="P20">
        <f>[3]results!AL7</f>
        <v>3.41</v>
      </c>
      <c r="Q20">
        <f>[3]results!AM7</f>
        <v>62.34</v>
      </c>
      <c r="R20">
        <f>[3]results!AN7</f>
        <v>25.4</v>
      </c>
      <c r="S20">
        <f>[3]results!AO7</f>
        <v>100.00999999999999</v>
      </c>
    </row>
    <row r="21" spans="1:19" x14ac:dyDescent="0.35">
      <c r="B21">
        <f>O20</f>
        <v>8.86</v>
      </c>
      <c r="C21">
        <f>P20</f>
        <v>3.41</v>
      </c>
      <c r="D21">
        <f>Q20</f>
        <v>62.34</v>
      </c>
      <c r="E21">
        <f>R20</f>
        <v>25.4</v>
      </c>
    </row>
    <row r="23" spans="1:19" x14ac:dyDescent="0.35">
      <c r="B23">
        <f>H24</f>
        <v>26.550000000000004</v>
      </c>
      <c r="C23">
        <f>I24</f>
        <v>26.729999999999997</v>
      </c>
      <c r="D23">
        <f>J24</f>
        <v>46.73</v>
      </c>
      <c r="E23">
        <f>K24</f>
        <v>0</v>
      </c>
    </row>
    <row r="24" spans="1:19" x14ac:dyDescent="0.35">
      <c r="A24" t="str">
        <f>[1]results!AJ8</f>
        <v>minCO2&amp;HH</v>
      </c>
      <c r="B24">
        <f>[1]results!AK8</f>
        <v>13.280000000000001</v>
      </c>
      <c r="C24">
        <f>[1]results!AL8</f>
        <v>6.6999999999999993</v>
      </c>
      <c r="D24">
        <f>[1]results!AM8</f>
        <v>80.03</v>
      </c>
      <c r="E24">
        <f>[1]results!AN8</f>
        <v>0</v>
      </c>
      <c r="G24" t="str">
        <f>[2]results!AJ8</f>
        <v>minCO2&amp;HH</v>
      </c>
      <c r="H24">
        <f>[2]results!AK8</f>
        <v>26.550000000000004</v>
      </c>
      <c r="I24">
        <f>[2]results!AL8</f>
        <v>26.729999999999997</v>
      </c>
      <c r="J24">
        <f>[2]results!AM8</f>
        <v>46.73</v>
      </c>
      <c r="K24">
        <f>[2]results!AN8</f>
        <v>0</v>
      </c>
      <c r="L24">
        <f>[2]results!AO8</f>
        <v>100.00999999999999</v>
      </c>
      <c r="N24" t="str">
        <f>[3]results!AJ8</f>
        <v>minCO2&amp;HH</v>
      </c>
      <c r="O24">
        <f>[3]results!AK8</f>
        <v>8.86</v>
      </c>
      <c r="P24">
        <f>[3]results!AL8</f>
        <v>3.41</v>
      </c>
      <c r="Q24">
        <f>[3]results!AM8</f>
        <v>62.34</v>
      </c>
      <c r="R24">
        <f>[3]results!AN8</f>
        <v>25.4</v>
      </c>
      <c r="S24">
        <f>[3]results!AO8</f>
        <v>100.00999999999999</v>
      </c>
    </row>
    <row r="25" spans="1:19" x14ac:dyDescent="0.35">
      <c r="B25">
        <f t="shared" ref="B25:E25" si="0">O24</f>
        <v>8.86</v>
      </c>
      <c r="C25">
        <f t="shared" si="0"/>
        <v>3.41</v>
      </c>
      <c r="D25">
        <f t="shared" si="0"/>
        <v>62.34</v>
      </c>
      <c r="E25">
        <f t="shared" si="0"/>
        <v>25.4</v>
      </c>
    </row>
    <row r="27" spans="1:19" x14ac:dyDescent="0.35">
      <c r="B27">
        <f>H28</f>
        <v>26.550000000000004</v>
      </c>
      <c r="C27">
        <f>I28</f>
        <v>0</v>
      </c>
      <c r="D27">
        <f>J28</f>
        <v>73.459999999999994</v>
      </c>
      <c r="E27">
        <f>K28</f>
        <v>0</v>
      </c>
    </row>
    <row r="28" spans="1:19" x14ac:dyDescent="0.35">
      <c r="A28" t="str">
        <f>[1]results!AJ9</f>
        <v>minCO2&amp;EQ&amp;HH</v>
      </c>
      <c r="B28">
        <f>[1]results!AK9</f>
        <v>13.280000000000001</v>
      </c>
      <c r="C28">
        <f>[1]results!AL9</f>
        <v>0</v>
      </c>
      <c r="D28">
        <f>[1]results!AM9</f>
        <v>86.73</v>
      </c>
      <c r="E28">
        <f>[1]results!AN9</f>
        <v>0</v>
      </c>
      <c r="G28" t="str">
        <f>[2]results!AJ9</f>
        <v>minCO2&amp;EQ&amp;HH</v>
      </c>
      <c r="H28">
        <f>[2]results!AK9</f>
        <v>26.550000000000004</v>
      </c>
      <c r="I28">
        <f>[2]results!AL9</f>
        <v>0</v>
      </c>
      <c r="J28">
        <f>[2]results!AM9</f>
        <v>73.459999999999994</v>
      </c>
      <c r="K28">
        <f>[2]results!AN9</f>
        <v>0</v>
      </c>
      <c r="L28">
        <f>[2]results!AO9</f>
        <v>100.00999999999999</v>
      </c>
      <c r="N28" t="str">
        <f>[3]results!AJ9</f>
        <v>minCO2&amp;EQ&amp;HH</v>
      </c>
      <c r="O28">
        <f>[3]results!AK9</f>
        <v>8.86</v>
      </c>
      <c r="P28">
        <f>[3]results!AL9</f>
        <v>3.41</v>
      </c>
      <c r="Q28">
        <f>[3]results!AM9</f>
        <v>62.34</v>
      </c>
      <c r="R28">
        <f>[3]results!AN9</f>
        <v>25.4</v>
      </c>
      <c r="S28">
        <f>[3]results!AO9</f>
        <v>100.00999999999999</v>
      </c>
    </row>
    <row r="29" spans="1:19" x14ac:dyDescent="0.35">
      <c r="B29">
        <f>O28</f>
        <v>8.86</v>
      </c>
      <c r="C29">
        <f>P28</f>
        <v>3.41</v>
      </c>
      <c r="D29">
        <f>Q28</f>
        <v>62.34</v>
      </c>
      <c r="E29">
        <f>R28</f>
        <v>25.4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3D124-6884-45F7-AC7F-1D6341557300}">
  <dimension ref="A2:AJ36"/>
  <sheetViews>
    <sheetView topLeftCell="A16" workbookViewId="0">
      <selection activeCell="D26" sqref="D26"/>
    </sheetView>
  </sheetViews>
  <sheetFormatPr baseColWidth="10" defaultColWidth="8.7265625" defaultRowHeight="14.5" x14ac:dyDescent="0.35"/>
  <cols>
    <col min="1" max="1" width="11.7265625" customWidth="1"/>
    <col min="2" max="2" width="0" hidden="1" customWidth="1"/>
    <col min="11" max="11" width="11.453125" customWidth="1"/>
  </cols>
  <sheetData>
    <row r="2" spans="1:36" x14ac:dyDescent="0.35">
      <c r="A2" t="s">
        <v>1</v>
      </c>
      <c r="N2" t="s">
        <v>2</v>
      </c>
      <c r="Z2" t="s">
        <v>3</v>
      </c>
    </row>
    <row r="3" spans="1:36" x14ac:dyDescent="0.35">
      <c r="A3" t="str">
        <f>[4]results!AQ2</f>
        <v>name</v>
      </c>
      <c r="C3" t="str">
        <f>[4]results!AR2</f>
        <v>HC</v>
      </c>
      <c r="D3" t="str">
        <f>[4]results!AS2</f>
        <v>IC</v>
      </c>
      <c r="E3" t="str">
        <f>[4]results!AT2</f>
        <v>AD-cog-dig</v>
      </c>
      <c r="F3" t="str">
        <f>[4]results!AU2</f>
        <v>AD-cog-comp</v>
      </c>
      <c r="G3" t="str">
        <f>[4]results!AV2</f>
        <v>AD-biomet-dig</v>
      </c>
      <c r="H3" t="str">
        <f>[4]results!AW2</f>
        <v>AD-biomet-comp</v>
      </c>
      <c r="I3" t="str">
        <f>[4]results!AX2</f>
        <v>AD-heat-dig</v>
      </c>
      <c r="J3" t="str">
        <f>[4]results!AY2</f>
        <v>AD-heat-comp</v>
      </c>
      <c r="K3" t="s">
        <v>5</v>
      </c>
      <c r="L3" t="s">
        <v>12</v>
      </c>
      <c r="N3" t="str">
        <f>[5]results!AQ2</f>
        <v>name</v>
      </c>
      <c r="O3" t="str">
        <f>[5]results!AR2</f>
        <v>HC</v>
      </c>
      <c r="P3" t="str">
        <f>[5]results!AS2</f>
        <v>IC</v>
      </c>
      <c r="Q3" t="str">
        <f>[5]results!AT2</f>
        <v>AD-cog-dig</v>
      </c>
      <c r="R3" t="str">
        <f>[5]results!AU2</f>
        <v>AD-cog-comp</v>
      </c>
      <c r="S3" t="str">
        <f>[5]results!AV2</f>
        <v>AD-biomet-dig</v>
      </c>
      <c r="T3" t="str">
        <f>[5]results!AW2</f>
        <v>AD-biomet-comp</v>
      </c>
      <c r="U3" t="str">
        <f>[5]results!AX2</f>
        <v>AD-heat-dig</v>
      </c>
      <c r="V3" t="str">
        <f>[5]results!AY2</f>
        <v>AD-heat-comp</v>
      </c>
      <c r="W3" t="s">
        <v>5</v>
      </c>
      <c r="X3" t="s">
        <v>9</v>
      </c>
      <c r="Z3" t="str">
        <f>[6]results!AQ2</f>
        <v>name</v>
      </c>
      <c r="AA3" t="str">
        <f>[6]results!AR2</f>
        <v>HC</v>
      </c>
      <c r="AB3" t="str">
        <f>[6]results!AS2</f>
        <v>IC</v>
      </c>
      <c r="AC3" t="str">
        <f>[6]results!AT2</f>
        <v>AD-cog-dig</v>
      </c>
      <c r="AD3" t="str">
        <f>[6]results!AU2</f>
        <v>AD-cog-comp</v>
      </c>
      <c r="AE3" t="str">
        <f>[6]results!AV2</f>
        <v>AD-biomet-dig</v>
      </c>
      <c r="AF3" t="str">
        <f>[6]results!AW2</f>
        <v>AD-biomet-comp</v>
      </c>
      <c r="AG3" t="str">
        <f>[6]results!AX2</f>
        <v>AD-heat-dig</v>
      </c>
      <c r="AH3" t="str">
        <f>[6]results!AY2</f>
        <v>AD-heat-comp</v>
      </c>
      <c r="AI3" t="s">
        <v>8</v>
      </c>
      <c r="AJ3" t="s">
        <v>10</v>
      </c>
    </row>
    <row r="4" spans="1:36" x14ac:dyDescent="0.35">
      <c r="B4">
        <v>-0.5</v>
      </c>
      <c r="C4">
        <f t="shared" ref="C4:J4" si="0">O5</f>
        <v>425.88855000000012</v>
      </c>
      <c r="D4">
        <f t="shared" si="0"/>
        <v>517.00142999999991</v>
      </c>
      <c r="E4">
        <f t="shared" si="0"/>
        <v>0</v>
      </c>
      <c r="F4">
        <f t="shared" si="0"/>
        <v>0</v>
      </c>
      <c r="G4">
        <f t="shared" si="0"/>
        <v>661.37042999999994</v>
      </c>
      <c r="H4">
        <f t="shared" si="0"/>
        <v>0</v>
      </c>
      <c r="I4">
        <f t="shared" si="0"/>
        <v>0</v>
      </c>
      <c r="J4">
        <f t="shared" si="0"/>
        <v>0</v>
      </c>
      <c r="K4">
        <f>W5</f>
        <v>3742.8999999999996</v>
      </c>
      <c r="L4">
        <f>SUM(C4:K4)</f>
        <v>5347.1604099999995</v>
      </c>
    </row>
    <row r="5" spans="1:36" x14ac:dyDescent="0.35">
      <c r="A5" t="s">
        <v>13</v>
      </c>
      <c r="C5">
        <f>inv!C5*inv_inc!$C$33*inv_inc!$C$36/100</f>
        <v>208.53299999999999</v>
      </c>
      <c r="D5">
        <f>inv!D5*inv_inc!$C$33*inv_inc!$C$36/100</f>
        <v>0</v>
      </c>
      <c r="E5">
        <f>inv!E5*inv_inc!$C$33*inv_inc!$C$36/100</f>
        <v>0</v>
      </c>
      <c r="F5">
        <f>inv!F5*inv_inc!$C$33*inv_inc!$C$36/100</f>
        <v>0</v>
      </c>
      <c r="G5">
        <f>inv!G5*inv_inc!$C$33*inv_inc!$C$36/100</f>
        <v>0</v>
      </c>
      <c r="H5">
        <f>inv!H5*inv_inc!$C$33*inv_inc!$C$36/100</f>
        <v>2999.9878200000003</v>
      </c>
      <c r="I5">
        <f>inv!I5*inv_inc!$C$33*inv_inc!$C$36/100</f>
        <v>0</v>
      </c>
      <c r="J5">
        <f>inv!J5*inv_inc!$C$33*inv_inc!$C$36/100</f>
        <v>0</v>
      </c>
      <c r="K5">
        <f>C33*(1-C36)</f>
        <v>2138.8000000000002</v>
      </c>
      <c r="L5">
        <f>SUM(C5:K5)</f>
        <v>5347.3208200000008</v>
      </c>
      <c r="N5" t="str">
        <f>[5]results!AQ3</f>
        <v>minCO2</v>
      </c>
      <c r="O5">
        <f>[5]results!AR3*C33*0.3/100</f>
        <v>425.88855000000012</v>
      </c>
      <c r="P5">
        <f>[5]results!AS3*C33*0.3/100</f>
        <v>517.00142999999991</v>
      </c>
      <c r="Q5">
        <f>[5]results!AT3*C33*0.3/100</f>
        <v>0</v>
      </c>
      <c r="R5">
        <f>[5]results!AU3*C33*0.3/100</f>
        <v>0</v>
      </c>
      <c r="S5">
        <f>[5]results!AV3*C33*0.3/100</f>
        <v>661.37042999999994</v>
      </c>
      <c r="T5">
        <f>[5]results!AW3*C33*0.3/100</f>
        <v>0</v>
      </c>
      <c r="U5">
        <f>[5]results!AX3*C33*0.3/100</f>
        <v>0</v>
      </c>
      <c r="V5">
        <f>[5]results!AY3*C33*0.3/100</f>
        <v>0</v>
      </c>
      <c r="W5">
        <f>$C$33*(1-0.3)</f>
        <v>3742.8999999999996</v>
      </c>
      <c r="X5">
        <f>SUM(O5:W5)</f>
        <v>5347.1604099999995</v>
      </c>
      <c r="Z5" t="str">
        <f>[6]results!AQ3</f>
        <v>minCO2</v>
      </c>
      <c r="AA5">
        <f>inv!AA5*inv_inc!$C$33*inv_inc!$C$35/100</f>
        <v>426.36978000000005</v>
      </c>
      <c r="AB5">
        <f>inv!AB5*inv_inc!$C$33*inv_inc!$C$35/100</f>
        <v>0</v>
      </c>
      <c r="AC5">
        <f>inv!AC5*inv_inc!$C$33*inv_inc!$C$35/100</f>
        <v>0</v>
      </c>
      <c r="AD5">
        <f>inv!AD5*inv_inc!$C$33*inv_inc!$C$35/100</f>
        <v>0</v>
      </c>
      <c r="AE5">
        <f>inv!AE5*inv_inc!$C$33*inv_inc!$C$35/100</f>
        <v>0</v>
      </c>
      <c r="AF5">
        <f>inv!AF5*inv_inc!$C$33*inv_inc!$C$35/100</f>
        <v>4386.4114500000005</v>
      </c>
      <c r="AG5">
        <f>inv!AG5*inv_inc!$C$33*inv_inc!$C$35/100</f>
        <v>0</v>
      </c>
      <c r="AH5">
        <f>inv!AH5*inv_inc!$C$33*inv_inc!$C$35/100</f>
        <v>0</v>
      </c>
      <c r="AI5">
        <f>$C$33*(1-$C$35)</f>
        <v>534.69999999999993</v>
      </c>
      <c r="AJ5">
        <f>SUM(AA5:AI5)</f>
        <v>5347.4812300000003</v>
      </c>
    </row>
    <row r="6" spans="1:36" x14ac:dyDescent="0.35">
      <c r="B6">
        <v>0.5</v>
      </c>
      <c r="C6">
        <f t="shared" ref="C6:J6" si="1">AA5</f>
        <v>426.36978000000005</v>
      </c>
      <c r="D6">
        <f t="shared" si="1"/>
        <v>0</v>
      </c>
      <c r="E6">
        <f t="shared" si="1"/>
        <v>0</v>
      </c>
      <c r="F6">
        <f t="shared" si="1"/>
        <v>0</v>
      </c>
      <c r="G6">
        <f t="shared" si="1"/>
        <v>0</v>
      </c>
      <c r="H6">
        <f t="shared" si="1"/>
        <v>4386.4114500000005</v>
      </c>
      <c r="I6">
        <f t="shared" si="1"/>
        <v>0</v>
      </c>
      <c r="J6">
        <f t="shared" si="1"/>
        <v>0</v>
      </c>
      <c r="K6">
        <f>AI5</f>
        <v>534.69999999999993</v>
      </c>
      <c r="L6">
        <f>SUM(C6:K6)</f>
        <v>5347.4812300000003</v>
      </c>
      <c r="X6">
        <f t="shared" ref="X6:X13" si="2">SUM(O6:W6)</f>
        <v>0</v>
      </c>
    </row>
    <row r="7" spans="1:36" x14ac:dyDescent="0.35">
      <c r="L7">
        <f t="shared" ref="L7:L14" si="3">SUM(C7:K7)</f>
        <v>0</v>
      </c>
      <c r="X7">
        <f t="shared" si="2"/>
        <v>0</v>
      </c>
    </row>
    <row r="8" spans="1:36" x14ac:dyDescent="0.35">
      <c r="B8">
        <v>-0.5</v>
      </c>
      <c r="C8">
        <f t="shared" ref="C8:J8" si="4">O9</f>
        <v>425.88855000000012</v>
      </c>
      <c r="D8">
        <f t="shared" si="4"/>
        <v>0</v>
      </c>
      <c r="E8">
        <f t="shared" si="4"/>
        <v>0</v>
      </c>
      <c r="F8">
        <f t="shared" si="4"/>
        <v>1178.37186</v>
      </c>
      <c r="G8">
        <f t="shared" si="4"/>
        <v>0</v>
      </c>
      <c r="H8">
        <f t="shared" si="4"/>
        <v>0</v>
      </c>
      <c r="I8">
        <f t="shared" si="4"/>
        <v>0</v>
      </c>
      <c r="J8">
        <f t="shared" si="4"/>
        <v>0</v>
      </c>
      <c r="K8">
        <v>3742.8999999999996</v>
      </c>
      <c r="L8">
        <f t="shared" si="3"/>
        <v>5347.1604099999995</v>
      </c>
      <c r="X8">
        <f t="shared" si="2"/>
        <v>0</v>
      </c>
    </row>
    <row r="9" spans="1:36" x14ac:dyDescent="0.35">
      <c r="A9" t="str">
        <f>[4]results!AQ4</f>
        <v>minEQ</v>
      </c>
      <c r="C9">
        <f>inv!C9*inv_inc!$C$33*inv_inc!$C$36/100</f>
        <v>0</v>
      </c>
      <c r="D9">
        <f>inv!D9*inv_inc!$C$33*inv_inc!$C$36/100</f>
        <v>0</v>
      </c>
      <c r="E9">
        <f>inv!E9*inv_inc!$C$33*inv_inc!$C$36/100</f>
        <v>0</v>
      </c>
      <c r="F9">
        <f>inv!F9*inv_inc!$C$33*inv_inc!$C$36/100</f>
        <v>0</v>
      </c>
      <c r="G9">
        <f>inv!G9*inv_inc!$C$33*inv_inc!$C$36/100</f>
        <v>0</v>
      </c>
      <c r="H9">
        <f>inv!H9*inv_inc!$C$33*inv_inc!$C$36/100</f>
        <v>0</v>
      </c>
      <c r="I9">
        <f>inv!I9*inv_inc!$C$33*inv_inc!$C$36/100</f>
        <v>0</v>
      </c>
      <c r="J9">
        <f>inv!J9*inv_inc!$C$33*inv_inc!$C$36/100</f>
        <v>3208.2</v>
      </c>
      <c r="K9">
        <v>2138.8000000000002</v>
      </c>
      <c r="L9">
        <f t="shared" si="3"/>
        <v>5347</v>
      </c>
      <c r="N9" t="str">
        <f>[5]results!AQ4</f>
        <v>minEQ</v>
      </c>
      <c r="O9">
        <f>inv!O9*inv_inc!$C$33*inv_inc!$C$34/100</f>
        <v>425.88855000000012</v>
      </c>
      <c r="P9">
        <f>inv!P9*inv_inc!$C$33*inv_inc!$C$34/100</f>
        <v>0</v>
      </c>
      <c r="Q9">
        <f>inv!Q9*inv_inc!$C$33*inv_inc!$C$34/100</f>
        <v>0</v>
      </c>
      <c r="R9">
        <f>inv!R9*inv_inc!$C$33*inv_inc!$C$34/100</f>
        <v>1178.37186</v>
      </c>
      <c r="S9">
        <f>inv!S9*inv_inc!$C$33*inv_inc!$C$34/100</f>
        <v>0</v>
      </c>
      <c r="T9">
        <f>inv!T9*inv_inc!$C$33*inv_inc!$C$34/100</f>
        <v>0</v>
      </c>
      <c r="U9">
        <f>inv!U9*inv_inc!$C$33*inv_inc!$C$34/100</f>
        <v>0</v>
      </c>
      <c r="V9">
        <f>inv!V9*inv_inc!$C$33*inv_inc!$C$34/100</f>
        <v>0</v>
      </c>
      <c r="W9">
        <f t="shared" ref="W9:W13" si="5">$C$33*(1-0.3)</f>
        <v>3742.8999999999996</v>
      </c>
      <c r="X9">
        <f t="shared" si="2"/>
        <v>5347.1604099999995</v>
      </c>
      <c r="Z9" t="str">
        <f>[6]results!AQ4</f>
        <v>minEQ</v>
      </c>
      <c r="AA9">
        <f>inv!AA9*inv_inc!$C$33*inv_inc!$C$35/100</f>
        <v>0</v>
      </c>
      <c r="AB9">
        <f>inv!AB9*inv_inc!$C$33*inv_inc!$C$35/100</f>
        <v>0</v>
      </c>
      <c r="AC9">
        <f>inv!AC9*inv_inc!$C$33*inv_inc!$C$35/100</f>
        <v>0</v>
      </c>
      <c r="AD9">
        <f>inv!AD9*inv_inc!$C$33*inv_inc!$C$35/100</f>
        <v>0</v>
      </c>
      <c r="AE9">
        <f>inv!AE9*inv_inc!$C$33*inv_inc!$C$35/100</f>
        <v>0</v>
      </c>
      <c r="AF9">
        <f>inv!AF9*inv_inc!$C$33*inv_inc!$C$35/100</f>
        <v>0</v>
      </c>
      <c r="AG9">
        <f>inv!AG9*inv_inc!$C$33*inv_inc!$C$35/100</f>
        <v>0</v>
      </c>
      <c r="AH9">
        <f>inv!AH9*inv_inc!$C$33*inv_inc!$C$35/100</f>
        <v>4812.3</v>
      </c>
      <c r="AI9">
        <f t="shared" ref="AI9:AI13" si="6">$C$33*(1-$C$35)</f>
        <v>534.69999999999993</v>
      </c>
      <c r="AJ9">
        <f t="shared" ref="AJ9:AJ13" si="7">SUM(AA9:AI9)</f>
        <v>5347</v>
      </c>
    </row>
    <row r="10" spans="1:36" x14ac:dyDescent="0.35">
      <c r="B10">
        <v>0.5</v>
      </c>
      <c r="C10">
        <f t="shared" ref="C10:J10" si="8">AA9</f>
        <v>0</v>
      </c>
      <c r="D10">
        <f t="shared" si="8"/>
        <v>0</v>
      </c>
      <c r="E10">
        <f t="shared" si="8"/>
        <v>0</v>
      </c>
      <c r="F10">
        <f t="shared" si="8"/>
        <v>0</v>
      </c>
      <c r="G10">
        <f t="shared" si="8"/>
        <v>0</v>
      </c>
      <c r="H10">
        <f t="shared" si="8"/>
        <v>0</v>
      </c>
      <c r="I10">
        <f t="shared" si="8"/>
        <v>0</v>
      </c>
      <c r="J10">
        <f t="shared" si="8"/>
        <v>4812.3</v>
      </c>
      <c r="K10">
        <v>534.69999999999993</v>
      </c>
      <c r="L10">
        <f t="shared" si="3"/>
        <v>5347</v>
      </c>
      <c r="O10">
        <f>inv!O10*inv_inc!$C$33*inv_inc!$C$34/100</f>
        <v>0</v>
      </c>
      <c r="X10">
        <f t="shared" si="2"/>
        <v>0</v>
      </c>
    </row>
    <row r="11" spans="1:36" x14ac:dyDescent="0.35">
      <c r="L11">
        <f t="shared" si="3"/>
        <v>0</v>
      </c>
      <c r="O11">
        <f>inv!O11*inv_inc!$C$33*inv_inc!$C$34/100</f>
        <v>0</v>
      </c>
      <c r="X11">
        <f t="shared" si="2"/>
        <v>0</v>
      </c>
    </row>
    <row r="12" spans="1:36" x14ac:dyDescent="0.35">
      <c r="B12">
        <v>-0.5</v>
      </c>
      <c r="C12">
        <f t="shared" ref="C12:J12" si="9">O13</f>
        <v>425.88855000000012</v>
      </c>
      <c r="D12">
        <f t="shared" si="9"/>
        <v>0</v>
      </c>
      <c r="E12">
        <f t="shared" si="9"/>
        <v>0</v>
      </c>
      <c r="F12">
        <f t="shared" si="9"/>
        <v>1178.37186</v>
      </c>
      <c r="G12">
        <f t="shared" si="9"/>
        <v>0</v>
      </c>
      <c r="H12">
        <f t="shared" si="9"/>
        <v>0</v>
      </c>
      <c r="I12">
        <f t="shared" si="9"/>
        <v>0</v>
      </c>
      <c r="J12">
        <f t="shared" si="9"/>
        <v>0</v>
      </c>
      <c r="K12">
        <v>3742.8999999999996</v>
      </c>
      <c r="L12">
        <f t="shared" si="3"/>
        <v>5347.1604099999995</v>
      </c>
      <c r="O12">
        <f>inv!O12*inv_inc!$C$33*inv_inc!$C$34/100</f>
        <v>0</v>
      </c>
      <c r="X12">
        <f t="shared" si="2"/>
        <v>0</v>
      </c>
    </row>
    <row r="13" spans="1:36" x14ac:dyDescent="0.35">
      <c r="A13" t="str">
        <f>[4]results!AQ5</f>
        <v>minHH</v>
      </c>
      <c r="C13">
        <f>inv!C13*inv_inc!$C$33*inv_inc!$C$36/100</f>
        <v>41.385779999999997</v>
      </c>
      <c r="D13">
        <f>inv!D13*inv_inc!$C$33*inv_inc!$C$36/100</f>
        <v>0</v>
      </c>
      <c r="E13">
        <f>inv!E13*inv_inc!$C$33*inv_inc!$C$36/100</f>
        <v>0</v>
      </c>
      <c r="F13">
        <f>inv!F13*inv_inc!$C$33*inv_inc!$C$36/100</f>
        <v>0</v>
      </c>
      <c r="G13">
        <f>inv!G13*inv_inc!$C$33*inv_inc!$C$36/100</f>
        <v>0</v>
      </c>
      <c r="H13">
        <f>inv!H13*inv_inc!$C$33*inv_inc!$C$36/100</f>
        <v>0</v>
      </c>
      <c r="I13">
        <f>inv!I13*inv_inc!$C$33*inv_inc!$C$36/100</f>
        <v>0</v>
      </c>
      <c r="J13">
        <f>inv!J13*inv_inc!$C$33*inv_inc!$C$36/100</f>
        <v>3166.8142199999998</v>
      </c>
      <c r="K13">
        <v>2138.8000000000002</v>
      </c>
      <c r="L13">
        <f t="shared" si="3"/>
        <v>5347</v>
      </c>
      <c r="N13" t="str">
        <f>[5]results!AQ5</f>
        <v>minHH</v>
      </c>
      <c r="O13">
        <f>inv!O13*inv_inc!$C$33*inv_inc!$C$34/100</f>
        <v>425.88855000000012</v>
      </c>
      <c r="P13">
        <f>inv!P13*inv_inc!$C$33*inv_inc!$C$34/100</f>
        <v>0</v>
      </c>
      <c r="Q13">
        <f>inv!Q13*inv_inc!$C$33*inv_inc!$C$34/100</f>
        <v>0</v>
      </c>
      <c r="R13">
        <f>inv!R13*inv_inc!$C$33*inv_inc!$C$34/100</f>
        <v>1178.37186</v>
      </c>
      <c r="S13">
        <f>inv!S13*inv_inc!$C$33*inv_inc!$C$34/100</f>
        <v>0</v>
      </c>
      <c r="T13">
        <f>inv!T13*inv_inc!$C$33*inv_inc!$C$34/100</f>
        <v>0</v>
      </c>
      <c r="U13">
        <f>inv!U13*inv_inc!$C$33*inv_inc!$C$34/100</f>
        <v>0</v>
      </c>
      <c r="V13">
        <f>inv!V13*inv_inc!$C$33*inv_inc!$C$34/100</f>
        <v>0</v>
      </c>
      <c r="W13">
        <f t="shared" si="5"/>
        <v>3742.8999999999996</v>
      </c>
      <c r="X13">
        <f t="shared" si="2"/>
        <v>5347.1604099999995</v>
      </c>
      <c r="Z13" t="str">
        <f>[6]results!AQ5</f>
        <v>minHH</v>
      </c>
      <c r="AA13">
        <f>inv!AA13*inv_inc!$C$33*inv_inc!$C$35/100</f>
        <v>62.078670000000002</v>
      </c>
      <c r="AB13">
        <f>inv!AB13*inv_inc!$C$33*inv_inc!$C$35/100</f>
        <v>0</v>
      </c>
      <c r="AC13">
        <f>inv!AC13*inv_inc!$C$33*inv_inc!$C$35/100</f>
        <v>0</v>
      </c>
      <c r="AD13">
        <f>inv!AD13*inv_inc!$C$33*inv_inc!$C$35/100</f>
        <v>0</v>
      </c>
      <c r="AE13">
        <f>inv!AE13*inv_inc!$C$33*inv_inc!$C$35/100</f>
        <v>0</v>
      </c>
      <c r="AF13">
        <f>inv!AF13*inv_inc!$C$33*inv_inc!$C$35/100</f>
        <v>0</v>
      </c>
      <c r="AG13">
        <f>inv!AG13*inv_inc!$C$33*inv_inc!$C$35/100</f>
        <v>0</v>
      </c>
      <c r="AH13">
        <f>inv!AH13*inv_inc!$C$33*inv_inc!$C$35/100</f>
        <v>4750.2213300000003</v>
      </c>
      <c r="AI13">
        <f t="shared" si="6"/>
        <v>534.69999999999993</v>
      </c>
      <c r="AJ13">
        <f t="shared" si="7"/>
        <v>5347</v>
      </c>
    </row>
    <row r="14" spans="1:36" x14ac:dyDescent="0.35">
      <c r="B14">
        <v>0.5</v>
      </c>
      <c r="C14">
        <f t="shared" ref="C14:J14" si="10">AA13</f>
        <v>62.078670000000002</v>
      </c>
      <c r="D14">
        <f t="shared" si="10"/>
        <v>0</v>
      </c>
      <c r="E14">
        <f t="shared" si="10"/>
        <v>0</v>
      </c>
      <c r="F14">
        <f t="shared" si="10"/>
        <v>0</v>
      </c>
      <c r="G14">
        <f t="shared" si="10"/>
        <v>0</v>
      </c>
      <c r="H14">
        <f t="shared" si="10"/>
        <v>0</v>
      </c>
      <c r="I14">
        <f t="shared" si="10"/>
        <v>0</v>
      </c>
      <c r="J14">
        <f t="shared" si="10"/>
        <v>4750.2213300000003</v>
      </c>
      <c r="K14">
        <v>534.69999999999993</v>
      </c>
      <c r="L14">
        <f t="shared" si="3"/>
        <v>5347</v>
      </c>
    </row>
    <row r="33" spans="1:3" x14ac:dyDescent="0.35">
      <c r="A33" t="s">
        <v>4</v>
      </c>
      <c r="C33">
        <v>5347</v>
      </c>
    </row>
    <row r="34" spans="1:3" x14ac:dyDescent="0.35">
      <c r="A34" t="s">
        <v>6</v>
      </c>
      <c r="C34">
        <v>0.3</v>
      </c>
    </row>
    <row r="35" spans="1:3" x14ac:dyDescent="0.35">
      <c r="A35" t="s">
        <v>7</v>
      </c>
      <c r="C35">
        <v>0.9</v>
      </c>
    </row>
    <row r="36" spans="1:3" x14ac:dyDescent="0.35">
      <c r="A36" t="s">
        <v>11</v>
      </c>
      <c r="C36">
        <v>0.6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33"/>
  <sheetViews>
    <sheetView tabSelected="1" workbookViewId="0">
      <selection activeCell="O5" sqref="O5"/>
    </sheetView>
  </sheetViews>
  <sheetFormatPr baseColWidth="10" defaultColWidth="8.7265625" defaultRowHeight="14.5" x14ac:dyDescent="0.35"/>
  <cols>
    <col min="2" max="2" width="0" hidden="1" customWidth="1"/>
    <col min="32" max="32" width="15.6328125" bestFit="1" customWidth="1"/>
  </cols>
  <sheetData>
    <row r="2" spans="1:34" x14ac:dyDescent="0.35">
      <c r="A2" t="s">
        <v>1</v>
      </c>
      <c r="N2" t="s">
        <v>2</v>
      </c>
      <c r="Z2" t="s">
        <v>3</v>
      </c>
    </row>
    <row r="3" spans="1:34" x14ac:dyDescent="0.35">
      <c r="A3" t="str">
        <f>[4]results!AQ2</f>
        <v>name</v>
      </c>
      <c r="C3" t="str">
        <f>[4]results!AR2</f>
        <v>HC</v>
      </c>
      <c r="D3" t="str">
        <f>[4]results!AS2</f>
        <v>IC</v>
      </c>
      <c r="E3" t="str">
        <f>[4]results!AT2</f>
        <v>AD-cog-dig</v>
      </c>
      <c r="F3" t="str">
        <f>[4]results!AU2</f>
        <v>AD-cog-comp</v>
      </c>
      <c r="G3" t="str">
        <f>[4]results!AV2</f>
        <v>AD-biomet-dig</v>
      </c>
      <c r="H3" t="str">
        <f>[4]results!AW2</f>
        <v>AD-biomet-comp</v>
      </c>
      <c r="I3" t="str">
        <f>[4]results!AX2</f>
        <v>AD-heat-dig</v>
      </c>
      <c r="J3" t="str">
        <f>[4]results!AY2</f>
        <v>AD-heat-comp</v>
      </c>
      <c r="K3">
        <f>[4]results!AZ2</f>
        <v>0</v>
      </c>
      <c r="N3" t="str">
        <f>[5]results!AQ2</f>
        <v>name</v>
      </c>
      <c r="O3" t="str">
        <f>[5]results!AR2</f>
        <v>HC</v>
      </c>
      <c r="P3" t="str">
        <f>[5]results!AS2</f>
        <v>IC</v>
      </c>
      <c r="Q3" t="str">
        <f>[5]results!AT2</f>
        <v>AD-cog-dig</v>
      </c>
      <c r="R3" t="str">
        <f>[5]results!AU2</f>
        <v>AD-cog-comp</v>
      </c>
      <c r="S3" t="str">
        <f>[5]results!AV2</f>
        <v>AD-biomet-dig</v>
      </c>
      <c r="T3" t="str">
        <f>[5]results!AW2</f>
        <v>AD-biomet-comp</v>
      </c>
      <c r="U3" t="str">
        <f>[5]results!AX2</f>
        <v>AD-heat-dig</v>
      </c>
      <c r="V3" t="str">
        <f>[5]results!AY2</f>
        <v>AD-heat-comp</v>
      </c>
      <c r="W3" t="s">
        <v>5</v>
      </c>
      <c r="X3">
        <f>[5]results!AZ2</f>
        <v>0</v>
      </c>
      <c r="Z3" t="str">
        <f>[6]results!AQ2</f>
        <v>name</v>
      </c>
      <c r="AA3" t="str">
        <f>[6]results!AR2</f>
        <v>HC</v>
      </c>
      <c r="AB3" t="str">
        <f>[6]results!AS2</f>
        <v>IC</v>
      </c>
      <c r="AC3" t="str">
        <f>[6]results!AT2</f>
        <v>AD-cog-dig</v>
      </c>
      <c r="AD3" t="str">
        <f>[6]results!AU2</f>
        <v>AD-cog-comp</v>
      </c>
      <c r="AE3" t="str">
        <f>[6]results!AV2</f>
        <v>AD-biomet-dig</v>
      </c>
      <c r="AF3" t="str">
        <f>[6]results!AW2</f>
        <v>AD-biomet-comp</v>
      </c>
      <c r="AG3" t="str">
        <f>[6]results!AX2</f>
        <v>AD-heat-dig</v>
      </c>
      <c r="AH3" t="str">
        <f>[6]results!AY2</f>
        <v>AD-heat-comp</v>
      </c>
    </row>
    <row r="4" spans="1:34" x14ac:dyDescent="0.35">
      <c r="B4">
        <v>-0.5</v>
      </c>
      <c r="C4">
        <f t="shared" ref="C4:J4" si="0">O5</f>
        <v>425.88855000000012</v>
      </c>
      <c r="D4">
        <f t="shared" si="0"/>
        <v>517.00142999999991</v>
      </c>
      <c r="E4">
        <f t="shared" si="0"/>
        <v>0</v>
      </c>
      <c r="F4">
        <f t="shared" si="0"/>
        <v>0</v>
      </c>
      <c r="G4">
        <f t="shared" si="0"/>
        <v>661.37042999999994</v>
      </c>
      <c r="H4">
        <f t="shared" si="0"/>
        <v>0</v>
      </c>
      <c r="I4">
        <f t="shared" si="0"/>
        <v>0</v>
      </c>
      <c r="J4">
        <f t="shared" si="0"/>
        <v>0</v>
      </c>
      <c r="K4">
        <f>X5</f>
        <v>1604.2604099999999</v>
      </c>
    </row>
    <row r="5" spans="1:34" x14ac:dyDescent="0.35">
      <c r="A5" t="str">
        <f>[4]results!AQ3</f>
        <v>minCC</v>
      </c>
      <c r="C5">
        <f>[7]results!AR3</f>
        <v>6.5</v>
      </c>
      <c r="D5">
        <f>[7]results!AS3</f>
        <v>0</v>
      </c>
      <c r="E5">
        <f>[7]results!AT3</f>
        <v>0</v>
      </c>
      <c r="F5">
        <f>[7]results!AU3</f>
        <v>0</v>
      </c>
      <c r="G5">
        <f>[7]results!AV3</f>
        <v>0</v>
      </c>
      <c r="H5">
        <f>[7]results!AW3</f>
        <v>93.51</v>
      </c>
      <c r="I5">
        <f>[7]results!AX3</f>
        <v>0</v>
      </c>
      <c r="J5">
        <f>[7]results!AY3</f>
        <v>0</v>
      </c>
      <c r="K5">
        <f>[4]results!AZ3</f>
        <v>100.01</v>
      </c>
      <c r="N5" t="str">
        <f>[5]results!AQ3</f>
        <v>minCO2</v>
      </c>
      <c r="O5">
        <f>[5]results!AR3*C33*0.3/100</f>
        <v>425.88855000000012</v>
      </c>
      <c r="P5">
        <f>[5]results!AS3*C33*0.3/100</f>
        <v>517.00142999999991</v>
      </c>
      <c r="Q5">
        <f>[5]results!AT3*C33*0.3/100</f>
        <v>0</v>
      </c>
      <c r="R5">
        <f>[5]results!AU3*C33*0.3/100</f>
        <v>0</v>
      </c>
      <c r="S5">
        <f>[5]results!AV3*C33*0.3/100</f>
        <v>661.37042999999994</v>
      </c>
      <c r="T5">
        <f>[5]results!AW3*C33*0.3/100</f>
        <v>0</v>
      </c>
      <c r="U5">
        <f>[5]results!AX3*C33*0.3/100</f>
        <v>0</v>
      </c>
      <c r="V5">
        <f>[5]results!AY3*C33*0.3/100</f>
        <v>0</v>
      </c>
      <c r="W5">
        <f>C33*(1-0.3)</f>
        <v>3742.8999999999996</v>
      </c>
      <c r="X5">
        <f>[5]results!AZ3*C33*0.3/100</f>
        <v>1604.2604099999999</v>
      </c>
      <c r="Z5" t="str">
        <f>[6]results!AQ3</f>
        <v>minCO2</v>
      </c>
      <c r="AA5">
        <f>[6]results!AR3</f>
        <v>8.86</v>
      </c>
      <c r="AB5">
        <f>[6]results!AS3</f>
        <v>0</v>
      </c>
      <c r="AC5">
        <f>[6]results!AT3</f>
        <v>0</v>
      </c>
      <c r="AD5">
        <f>[6]results!AU3</f>
        <v>0</v>
      </c>
      <c r="AE5">
        <f>[6]results!AV3</f>
        <v>0</v>
      </c>
      <c r="AF5">
        <f>[6]results!AW3</f>
        <v>91.15</v>
      </c>
      <c r="AG5">
        <f>[6]results!AX3</f>
        <v>0</v>
      </c>
      <c r="AH5">
        <f>[6]results!AY3</f>
        <v>0</v>
      </c>
    </row>
    <row r="6" spans="1:34" x14ac:dyDescent="0.35">
      <c r="B6">
        <v>0.5</v>
      </c>
      <c r="C6">
        <f t="shared" ref="C6:J6" si="1">AA5</f>
        <v>8.86</v>
      </c>
      <c r="D6">
        <f t="shared" si="1"/>
        <v>0</v>
      </c>
      <c r="E6">
        <f t="shared" si="1"/>
        <v>0</v>
      </c>
      <c r="F6">
        <f t="shared" si="1"/>
        <v>0</v>
      </c>
      <c r="G6">
        <f t="shared" si="1"/>
        <v>0</v>
      </c>
      <c r="H6">
        <f t="shared" si="1"/>
        <v>91.15</v>
      </c>
      <c r="I6">
        <f t="shared" si="1"/>
        <v>0</v>
      </c>
      <c r="J6">
        <f t="shared" si="1"/>
        <v>0</v>
      </c>
    </row>
    <row r="8" spans="1:34" x14ac:dyDescent="0.35">
      <c r="B8">
        <v>-0.5</v>
      </c>
      <c r="C8">
        <f t="shared" ref="C8:J8" si="2">O9</f>
        <v>26.550000000000004</v>
      </c>
      <c r="D8">
        <f t="shared" si="2"/>
        <v>0</v>
      </c>
      <c r="E8">
        <f t="shared" si="2"/>
        <v>0</v>
      </c>
      <c r="F8">
        <f t="shared" si="2"/>
        <v>73.459999999999994</v>
      </c>
      <c r="G8">
        <f t="shared" si="2"/>
        <v>0</v>
      </c>
      <c r="H8">
        <f t="shared" si="2"/>
        <v>0</v>
      </c>
      <c r="I8">
        <f t="shared" si="2"/>
        <v>0</v>
      </c>
      <c r="J8">
        <f t="shared" si="2"/>
        <v>0</v>
      </c>
      <c r="K8">
        <f>X9</f>
        <v>100.00999999999999</v>
      </c>
    </row>
    <row r="9" spans="1:34" x14ac:dyDescent="0.35">
      <c r="A9" t="str">
        <f>[4]results!AQ4</f>
        <v>minEQ</v>
      </c>
      <c r="C9">
        <f>[7]results!AR4</f>
        <v>0</v>
      </c>
      <c r="D9">
        <f>[7]results!AS4</f>
        <v>0</v>
      </c>
      <c r="E9">
        <f>[7]results!AT4</f>
        <v>0</v>
      </c>
      <c r="F9">
        <f>[7]results!AU4</f>
        <v>0</v>
      </c>
      <c r="G9">
        <f>[7]results!AV4</f>
        <v>0</v>
      </c>
      <c r="H9">
        <f>[7]results!AW4</f>
        <v>0</v>
      </c>
      <c r="I9">
        <f>[7]results!AX4</f>
        <v>0</v>
      </c>
      <c r="J9">
        <f>[7]results!AY4</f>
        <v>100</v>
      </c>
      <c r="K9">
        <f>[4]results!AZ4</f>
        <v>100</v>
      </c>
      <c r="N9" t="str">
        <f>[5]results!AQ4</f>
        <v>minEQ</v>
      </c>
      <c r="O9">
        <f>[5]results!AR4</f>
        <v>26.550000000000004</v>
      </c>
      <c r="P9">
        <f>[5]results!AS4</f>
        <v>0</v>
      </c>
      <c r="Q9">
        <f>[5]results!AT4</f>
        <v>0</v>
      </c>
      <c r="R9">
        <f>[5]results!AU4</f>
        <v>73.459999999999994</v>
      </c>
      <c r="S9">
        <f>[5]results!AV4</f>
        <v>0</v>
      </c>
      <c r="T9">
        <f>[5]results!AW4</f>
        <v>0</v>
      </c>
      <c r="U9">
        <f>[5]results!AX4</f>
        <v>0</v>
      </c>
      <c r="V9">
        <f>[5]results!AY4</f>
        <v>0</v>
      </c>
      <c r="X9">
        <f>[5]results!AZ4</f>
        <v>100.00999999999999</v>
      </c>
      <c r="Z9" t="str">
        <f>[6]results!AQ4</f>
        <v>minEQ</v>
      </c>
      <c r="AA9">
        <f>[6]results!AR4</f>
        <v>0</v>
      </c>
      <c r="AB9">
        <f>[6]results!AS4</f>
        <v>0</v>
      </c>
      <c r="AC9">
        <f>[6]results!AT4</f>
        <v>0</v>
      </c>
      <c r="AD9">
        <f>[6]results!AU4</f>
        <v>0</v>
      </c>
      <c r="AE9">
        <f>[6]results!AV4</f>
        <v>0</v>
      </c>
      <c r="AF9">
        <f>[6]results!AW4</f>
        <v>0</v>
      </c>
      <c r="AG9">
        <f>[6]results!AX4</f>
        <v>0</v>
      </c>
      <c r="AH9">
        <f>[6]results!AY4</f>
        <v>100</v>
      </c>
    </row>
    <row r="10" spans="1:34" x14ac:dyDescent="0.35">
      <c r="B10">
        <v>0.5</v>
      </c>
      <c r="C10">
        <f t="shared" ref="C10:J10" si="3">AA9</f>
        <v>0</v>
      </c>
      <c r="D10">
        <f t="shared" si="3"/>
        <v>0</v>
      </c>
      <c r="E10">
        <f t="shared" si="3"/>
        <v>0</v>
      </c>
      <c r="F10">
        <f t="shared" si="3"/>
        <v>0</v>
      </c>
      <c r="G10">
        <f t="shared" si="3"/>
        <v>0</v>
      </c>
      <c r="H10">
        <f t="shared" si="3"/>
        <v>0</v>
      </c>
      <c r="I10">
        <f t="shared" si="3"/>
        <v>0</v>
      </c>
      <c r="J10">
        <f t="shared" si="3"/>
        <v>100</v>
      </c>
    </row>
    <row r="12" spans="1:34" x14ac:dyDescent="0.35">
      <c r="B12">
        <v>-0.5</v>
      </c>
      <c r="C12">
        <f t="shared" ref="C12:J12" si="4">O13</f>
        <v>26.550000000000004</v>
      </c>
      <c r="D12">
        <f t="shared" si="4"/>
        <v>0</v>
      </c>
      <c r="E12">
        <f t="shared" si="4"/>
        <v>0</v>
      </c>
      <c r="F12">
        <f t="shared" si="4"/>
        <v>73.459999999999994</v>
      </c>
      <c r="G12">
        <f t="shared" si="4"/>
        <v>0</v>
      </c>
      <c r="H12">
        <f t="shared" si="4"/>
        <v>0</v>
      </c>
      <c r="I12">
        <f t="shared" si="4"/>
        <v>0</v>
      </c>
      <c r="J12">
        <f t="shared" si="4"/>
        <v>0</v>
      </c>
      <c r="K12">
        <f>X13</f>
        <v>100.00999999999999</v>
      </c>
    </row>
    <row r="13" spans="1:34" x14ac:dyDescent="0.35">
      <c r="A13" t="str">
        <f>[4]results!AQ5</f>
        <v>minHH</v>
      </c>
      <c r="C13">
        <f>[7]results!AR5</f>
        <v>1.29</v>
      </c>
      <c r="D13">
        <f>[7]results!AS5</f>
        <v>0</v>
      </c>
      <c r="E13">
        <f>[7]results!AT5</f>
        <v>0</v>
      </c>
      <c r="F13">
        <f>[7]results!AU5</f>
        <v>0</v>
      </c>
      <c r="G13">
        <f>[7]results!AV5</f>
        <v>0</v>
      </c>
      <c r="H13">
        <f>[7]results!AW5</f>
        <v>0</v>
      </c>
      <c r="I13">
        <f>[7]results!AX5</f>
        <v>0</v>
      </c>
      <c r="J13">
        <f>[7]results!AY5</f>
        <v>98.71</v>
      </c>
      <c r="K13">
        <f>[4]results!AZ5</f>
        <v>100</v>
      </c>
      <c r="N13" t="str">
        <f>[5]results!AQ5</f>
        <v>minHH</v>
      </c>
      <c r="O13">
        <f>[5]results!AR5</f>
        <v>26.550000000000004</v>
      </c>
      <c r="P13">
        <f>[5]results!AS5</f>
        <v>0</v>
      </c>
      <c r="Q13">
        <f>[5]results!AT5</f>
        <v>0</v>
      </c>
      <c r="R13">
        <f>[5]results!AU5</f>
        <v>73.459999999999994</v>
      </c>
      <c r="S13">
        <f>[5]results!AV5</f>
        <v>0</v>
      </c>
      <c r="T13">
        <f>[5]results!AW5</f>
        <v>0</v>
      </c>
      <c r="U13">
        <f>[5]results!AX5</f>
        <v>0</v>
      </c>
      <c r="V13">
        <f>[5]results!AY5</f>
        <v>0</v>
      </c>
      <c r="X13">
        <f>[5]results!AZ5</f>
        <v>100.00999999999999</v>
      </c>
      <c r="Z13" t="str">
        <f>[6]results!AQ5</f>
        <v>minHH</v>
      </c>
      <c r="AA13">
        <f>[6]results!AR5</f>
        <v>1.29</v>
      </c>
      <c r="AB13">
        <f>[6]results!AS5</f>
        <v>0</v>
      </c>
      <c r="AC13">
        <f>[6]results!AT5</f>
        <v>0</v>
      </c>
      <c r="AD13">
        <f>[6]results!AU5</f>
        <v>0</v>
      </c>
      <c r="AE13">
        <f>[6]results!AV5</f>
        <v>0</v>
      </c>
      <c r="AF13">
        <f>[6]results!AW5</f>
        <v>0</v>
      </c>
      <c r="AG13">
        <f>[6]results!AX5</f>
        <v>0</v>
      </c>
      <c r="AH13">
        <f>[6]results!AY5</f>
        <v>98.71</v>
      </c>
    </row>
    <row r="14" spans="1:34" x14ac:dyDescent="0.35">
      <c r="B14">
        <v>0.5</v>
      </c>
      <c r="C14">
        <f t="shared" ref="C14:J14" si="5">AA13</f>
        <v>1.29</v>
      </c>
      <c r="D14">
        <f t="shared" si="5"/>
        <v>0</v>
      </c>
      <c r="E14">
        <f t="shared" si="5"/>
        <v>0</v>
      </c>
      <c r="F14">
        <f t="shared" si="5"/>
        <v>0</v>
      </c>
      <c r="G14">
        <f t="shared" si="5"/>
        <v>0</v>
      </c>
      <c r="H14">
        <f t="shared" si="5"/>
        <v>0</v>
      </c>
      <c r="I14">
        <f t="shared" si="5"/>
        <v>0</v>
      </c>
      <c r="J14">
        <f t="shared" si="5"/>
        <v>98.71</v>
      </c>
    </row>
    <row r="16" spans="1:34" x14ac:dyDescent="0.35">
      <c r="B16">
        <v>-0.5</v>
      </c>
      <c r="C16">
        <f t="shared" ref="C16:J16" si="6">O17</f>
        <v>26.550000000000004</v>
      </c>
      <c r="D16">
        <f t="shared" si="6"/>
        <v>0</v>
      </c>
      <c r="E16">
        <f t="shared" si="6"/>
        <v>0</v>
      </c>
      <c r="F16">
        <f t="shared" si="6"/>
        <v>73.459999999999994</v>
      </c>
      <c r="G16">
        <f t="shared" si="6"/>
        <v>0</v>
      </c>
      <c r="H16">
        <f t="shared" si="6"/>
        <v>0</v>
      </c>
      <c r="I16">
        <f t="shared" si="6"/>
        <v>0</v>
      </c>
      <c r="J16">
        <f t="shared" si="6"/>
        <v>0</v>
      </c>
      <c r="K16">
        <f>X17</f>
        <v>100.00999999999999</v>
      </c>
    </row>
    <row r="17" spans="1:34" x14ac:dyDescent="0.35">
      <c r="A17" t="str">
        <f>[4]results!AQ6</f>
        <v>minEQ&amp;HH</v>
      </c>
      <c r="C17">
        <f>[4]results!AR6</f>
        <v>0</v>
      </c>
      <c r="D17">
        <f>[4]results!AS6</f>
        <v>0</v>
      </c>
      <c r="E17">
        <f>[4]results!AT6</f>
        <v>0</v>
      </c>
      <c r="F17">
        <f>[4]results!AU6</f>
        <v>0</v>
      </c>
      <c r="G17">
        <f>[4]results!AV6</f>
        <v>0</v>
      </c>
      <c r="H17">
        <f>[4]results!AW6</f>
        <v>0</v>
      </c>
      <c r="I17">
        <f>[4]results!AX6</f>
        <v>0</v>
      </c>
      <c r="J17">
        <f>[4]results!AY6</f>
        <v>100</v>
      </c>
      <c r="K17">
        <f>[4]results!AZ6</f>
        <v>100</v>
      </c>
      <c r="N17" t="str">
        <f>[5]results!AQ6</f>
        <v>minEQ&amp;HH</v>
      </c>
      <c r="O17">
        <f>[5]results!AR6</f>
        <v>26.550000000000004</v>
      </c>
      <c r="P17">
        <f>[5]results!AS6</f>
        <v>0</v>
      </c>
      <c r="Q17">
        <f>[5]results!AT6</f>
        <v>0</v>
      </c>
      <c r="R17">
        <f>[5]results!AU6</f>
        <v>73.459999999999994</v>
      </c>
      <c r="S17">
        <f>[5]results!AV6</f>
        <v>0</v>
      </c>
      <c r="T17">
        <f>[5]results!AW6</f>
        <v>0</v>
      </c>
      <c r="U17">
        <f>[5]results!AX6</f>
        <v>0</v>
      </c>
      <c r="V17">
        <f>[5]results!AY6</f>
        <v>0</v>
      </c>
      <c r="X17">
        <f>[5]results!AZ6</f>
        <v>100.00999999999999</v>
      </c>
      <c r="Z17" t="str">
        <f>[6]results!AQ6</f>
        <v>minEQ&amp;HH</v>
      </c>
      <c r="AA17">
        <f>[6]results!AR6</f>
        <v>0</v>
      </c>
      <c r="AB17">
        <f>[6]results!AS6</f>
        <v>0</v>
      </c>
      <c r="AC17">
        <f>[6]results!AT6</f>
        <v>0</v>
      </c>
      <c r="AD17">
        <f>[6]results!AU6</f>
        <v>0</v>
      </c>
      <c r="AE17">
        <f>[6]results!AV6</f>
        <v>0</v>
      </c>
      <c r="AF17">
        <f>[6]results!AW6</f>
        <v>0</v>
      </c>
      <c r="AG17">
        <f>[6]results!AX6</f>
        <v>0</v>
      </c>
      <c r="AH17">
        <f>[6]results!AY6</f>
        <v>100</v>
      </c>
    </row>
    <row r="18" spans="1:34" x14ac:dyDescent="0.35">
      <c r="B18">
        <v>0.5</v>
      </c>
      <c r="C18">
        <f t="shared" ref="C18:J18" si="7">AA17</f>
        <v>0</v>
      </c>
      <c r="D18">
        <f t="shared" si="7"/>
        <v>0</v>
      </c>
      <c r="E18">
        <f t="shared" si="7"/>
        <v>0</v>
      </c>
      <c r="F18">
        <f t="shared" si="7"/>
        <v>0</v>
      </c>
      <c r="G18">
        <f t="shared" si="7"/>
        <v>0</v>
      </c>
      <c r="H18">
        <f t="shared" si="7"/>
        <v>0</v>
      </c>
      <c r="I18">
        <f t="shared" si="7"/>
        <v>0</v>
      </c>
      <c r="J18">
        <f t="shared" si="7"/>
        <v>100</v>
      </c>
    </row>
    <row r="20" spans="1:34" x14ac:dyDescent="0.35">
      <c r="B20">
        <v>-0.5</v>
      </c>
      <c r="C20">
        <f t="shared" ref="C20:J20" si="8">O21</f>
        <v>26.550000000000004</v>
      </c>
      <c r="D20">
        <f t="shared" si="8"/>
        <v>0</v>
      </c>
      <c r="E20">
        <f t="shared" si="8"/>
        <v>0</v>
      </c>
      <c r="F20">
        <f t="shared" si="8"/>
        <v>73.459999999999994</v>
      </c>
      <c r="G20">
        <f t="shared" si="8"/>
        <v>0</v>
      </c>
      <c r="H20">
        <f t="shared" si="8"/>
        <v>0</v>
      </c>
      <c r="I20">
        <f t="shared" si="8"/>
        <v>0</v>
      </c>
      <c r="J20">
        <f t="shared" si="8"/>
        <v>0</v>
      </c>
      <c r="K20">
        <f>X21</f>
        <v>100.00999999999999</v>
      </c>
    </row>
    <row r="21" spans="1:34" x14ac:dyDescent="0.35">
      <c r="A21" t="str">
        <f>[4]results!AQ7</f>
        <v>minCO2&amp;EQ</v>
      </c>
      <c r="C21">
        <f>[4]results!AR7</f>
        <v>1.29</v>
      </c>
      <c r="D21">
        <f>[4]results!AS7</f>
        <v>0</v>
      </c>
      <c r="E21">
        <f>[4]results!AT7</f>
        <v>0</v>
      </c>
      <c r="F21">
        <f>[4]results!AU7</f>
        <v>0</v>
      </c>
      <c r="G21">
        <f>[4]results!AV7</f>
        <v>0</v>
      </c>
      <c r="H21">
        <f>[4]results!AW7</f>
        <v>0</v>
      </c>
      <c r="I21">
        <f>[4]results!AX7</f>
        <v>0</v>
      </c>
      <c r="J21">
        <f>[4]results!AY7</f>
        <v>98.71</v>
      </c>
      <c r="K21">
        <f>[4]results!AZ7</f>
        <v>100</v>
      </c>
      <c r="N21" t="str">
        <f>[5]results!AQ7</f>
        <v>minCO2&amp;EQ</v>
      </c>
      <c r="O21">
        <f>[5]results!AR7</f>
        <v>26.550000000000004</v>
      </c>
      <c r="P21">
        <f>[5]results!AS7</f>
        <v>0</v>
      </c>
      <c r="Q21">
        <f>[5]results!AT7</f>
        <v>0</v>
      </c>
      <c r="R21">
        <f>[5]results!AU7</f>
        <v>73.459999999999994</v>
      </c>
      <c r="S21">
        <f>[5]results!AV7</f>
        <v>0</v>
      </c>
      <c r="T21">
        <f>[5]results!AW7</f>
        <v>0</v>
      </c>
      <c r="U21">
        <f>[5]results!AX7</f>
        <v>0</v>
      </c>
      <c r="V21">
        <f>[5]results!AY7</f>
        <v>0</v>
      </c>
      <c r="X21">
        <f>[5]results!AZ7</f>
        <v>100.00999999999999</v>
      </c>
      <c r="Z21" t="str">
        <f>[6]results!AQ7</f>
        <v>minCO2&amp;EQ</v>
      </c>
      <c r="AA21">
        <f>[6]results!AR7</f>
        <v>1.29</v>
      </c>
      <c r="AB21">
        <f>[6]results!AS7</f>
        <v>0</v>
      </c>
      <c r="AC21">
        <f>[6]results!AT7</f>
        <v>0</v>
      </c>
      <c r="AD21">
        <f>[6]results!AU7</f>
        <v>0</v>
      </c>
      <c r="AE21">
        <f>[6]results!AV7</f>
        <v>0</v>
      </c>
      <c r="AF21">
        <f>[6]results!AW7</f>
        <v>0</v>
      </c>
      <c r="AG21">
        <f>[6]results!AX7</f>
        <v>0</v>
      </c>
      <c r="AH21">
        <f>[6]results!AY7</f>
        <v>98.71</v>
      </c>
    </row>
    <row r="22" spans="1:34" x14ac:dyDescent="0.35">
      <c r="B22">
        <v>0.5</v>
      </c>
      <c r="C22">
        <f t="shared" ref="C22:J22" si="9">AA21</f>
        <v>1.29</v>
      </c>
      <c r="D22">
        <f t="shared" si="9"/>
        <v>0</v>
      </c>
      <c r="E22">
        <f t="shared" si="9"/>
        <v>0</v>
      </c>
      <c r="F22">
        <f t="shared" si="9"/>
        <v>0</v>
      </c>
      <c r="G22">
        <f t="shared" si="9"/>
        <v>0</v>
      </c>
      <c r="H22">
        <f t="shared" si="9"/>
        <v>0</v>
      </c>
      <c r="I22">
        <f t="shared" si="9"/>
        <v>0</v>
      </c>
      <c r="J22">
        <f t="shared" si="9"/>
        <v>98.71</v>
      </c>
    </row>
    <row r="24" spans="1:34" x14ac:dyDescent="0.35">
      <c r="B24">
        <v>-0.5</v>
      </c>
      <c r="C24">
        <f t="shared" ref="C24:J24" si="10">O25</f>
        <v>26.550000000000004</v>
      </c>
      <c r="D24">
        <f t="shared" si="10"/>
        <v>26.729999999999997</v>
      </c>
      <c r="E24">
        <f t="shared" si="10"/>
        <v>0</v>
      </c>
      <c r="F24">
        <f t="shared" si="10"/>
        <v>46.73</v>
      </c>
      <c r="G24">
        <f t="shared" si="10"/>
        <v>0</v>
      </c>
      <c r="H24">
        <f t="shared" si="10"/>
        <v>0</v>
      </c>
      <c r="I24">
        <f t="shared" si="10"/>
        <v>0</v>
      </c>
      <c r="J24">
        <f t="shared" si="10"/>
        <v>0</v>
      </c>
      <c r="K24">
        <f>X25</f>
        <v>100.00999999999999</v>
      </c>
    </row>
    <row r="25" spans="1:34" x14ac:dyDescent="0.35">
      <c r="A25" t="str">
        <f>[4]results!AQ8</f>
        <v>minCO2&amp;HH</v>
      </c>
      <c r="C25">
        <f>[4]results!AR8</f>
        <v>6.5</v>
      </c>
      <c r="D25">
        <f>[4]results!AS8</f>
        <v>0</v>
      </c>
      <c r="E25">
        <f>[4]results!AT8</f>
        <v>0</v>
      </c>
      <c r="F25">
        <f>[4]results!AU8</f>
        <v>0</v>
      </c>
      <c r="G25">
        <f>[4]results!AV8</f>
        <v>0</v>
      </c>
      <c r="H25">
        <f>[4]results!AW8</f>
        <v>0</v>
      </c>
      <c r="I25">
        <f>[4]results!AX8</f>
        <v>0</v>
      </c>
      <c r="J25">
        <f>[4]results!AY8</f>
        <v>93.51</v>
      </c>
      <c r="K25">
        <f>[4]results!AZ8</f>
        <v>100.01</v>
      </c>
      <c r="N25" t="str">
        <f>[5]results!AQ8</f>
        <v>minCO2&amp;HH</v>
      </c>
      <c r="O25">
        <f>[5]results!AR8</f>
        <v>26.550000000000004</v>
      </c>
      <c r="P25">
        <f>[5]results!AS8</f>
        <v>26.729999999999997</v>
      </c>
      <c r="Q25">
        <f>[5]results!AT8</f>
        <v>0</v>
      </c>
      <c r="R25">
        <f>[5]results!AU8</f>
        <v>46.73</v>
      </c>
      <c r="S25">
        <f>[5]results!AV8</f>
        <v>0</v>
      </c>
      <c r="T25">
        <f>[5]results!AW8</f>
        <v>0</v>
      </c>
      <c r="U25">
        <f>[5]results!AX8</f>
        <v>0</v>
      </c>
      <c r="V25">
        <f>[5]results!AY8</f>
        <v>0</v>
      </c>
      <c r="X25">
        <f>[5]results!AZ8</f>
        <v>100.00999999999999</v>
      </c>
      <c r="Z25" t="str">
        <f>[6]results!AQ8</f>
        <v>minCO2&amp;HH</v>
      </c>
      <c r="AA25">
        <f>[6]results!AR8</f>
        <v>8.86</v>
      </c>
      <c r="AB25">
        <f>[6]results!AS8</f>
        <v>0</v>
      </c>
      <c r="AC25">
        <f>[6]results!AT8</f>
        <v>0</v>
      </c>
      <c r="AD25">
        <f>[6]results!AU8</f>
        <v>0</v>
      </c>
      <c r="AE25">
        <f>[6]results!AV8</f>
        <v>0</v>
      </c>
      <c r="AF25">
        <f>[6]results!AW8</f>
        <v>0</v>
      </c>
      <c r="AG25">
        <f>[6]results!AX8</f>
        <v>0</v>
      </c>
      <c r="AH25">
        <f>[6]results!AY8</f>
        <v>91.15</v>
      </c>
    </row>
    <row r="26" spans="1:34" x14ac:dyDescent="0.35">
      <c r="B26">
        <v>0.5</v>
      </c>
      <c r="C26">
        <f t="shared" ref="C26:J26" si="11">AA25</f>
        <v>8.86</v>
      </c>
      <c r="D26">
        <f t="shared" si="11"/>
        <v>0</v>
      </c>
      <c r="E26">
        <f t="shared" si="11"/>
        <v>0</v>
      </c>
      <c r="F26">
        <f t="shared" si="11"/>
        <v>0</v>
      </c>
      <c r="G26">
        <f t="shared" si="11"/>
        <v>0</v>
      </c>
      <c r="H26">
        <f t="shared" si="11"/>
        <v>0</v>
      </c>
      <c r="I26">
        <f t="shared" si="11"/>
        <v>0</v>
      </c>
      <c r="J26">
        <f t="shared" si="11"/>
        <v>91.15</v>
      </c>
    </row>
    <row r="28" spans="1:34" x14ac:dyDescent="0.35">
      <c r="B28">
        <v>-0.5</v>
      </c>
      <c r="C28">
        <f t="shared" ref="C28:J28" si="12">O29</f>
        <v>26.550000000000004</v>
      </c>
      <c r="D28">
        <f t="shared" si="12"/>
        <v>0</v>
      </c>
      <c r="E28">
        <f t="shared" si="12"/>
        <v>0</v>
      </c>
      <c r="F28">
        <f t="shared" si="12"/>
        <v>73.459999999999994</v>
      </c>
      <c r="G28">
        <f t="shared" si="12"/>
        <v>0</v>
      </c>
      <c r="H28">
        <f t="shared" si="12"/>
        <v>0</v>
      </c>
      <c r="I28">
        <f t="shared" si="12"/>
        <v>0</v>
      </c>
      <c r="J28">
        <f t="shared" si="12"/>
        <v>0</v>
      </c>
      <c r="K28">
        <f>X29</f>
        <v>100.00999999999999</v>
      </c>
    </row>
    <row r="29" spans="1:34" x14ac:dyDescent="0.35">
      <c r="A29" t="str">
        <f>[4]results!AQ9</f>
        <v>minCO2&amp;EQ&amp;HH</v>
      </c>
      <c r="C29">
        <f>[4]results!AR9</f>
        <v>1.29</v>
      </c>
      <c r="D29">
        <f>[4]results!AS9</f>
        <v>0</v>
      </c>
      <c r="E29">
        <f>[4]results!AT9</f>
        <v>0</v>
      </c>
      <c r="F29">
        <f>[4]results!AU9</f>
        <v>0</v>
      </c>
      <c r="G29">
        <f>[4]results!AV9</f>
        <v>0</v>
      </c>
      <c r="H29">
        <f>[4]results!AW9</f>
        <v>0</v>
      </c>
      <c r="I29">
        <f>[4]results!AX9</f>
        <v>0</v>
      </c>
      <c r="J29">
        <f>[4]results!AY9</f>
        <v>98.71</v>
      </c>
      <c r="K29">
        <f>[4]results!AZ9</f>
        <v>100</v>
      </c>
      <c r="N29" t="str">
        <f>[5]results!AQ9</f>
        <v>minCO2&amp;EQ&amp;HH</v>
      </c>
      <c r="O29">
        <f>[5]results!AR9</f>
        <v>26.550000000000004</v>
      </c>
      <c r="P29">
        <f>[5]results!AS9</f>
        <v>0</v>
      </c>
      <c r="Q29">
        <f>[5]results!AT9</f>
        <v>0</v>
      </c>
      <c r="R29">
        <f>[5]results!AU9</f>
        <v>73.459999999999994</v>
      </c>
      <c r="S29">
        <f>[5]results!AV9</f>
        <v>0</v>
      </c>
      <c r="T29">
        <f>[5]results!AW9</f>
        <v>0</v>
      </c>
      <c r="U29">
        <f>[5]results!AX9</f>
        <v>0</v>
      </c>
      <c r="V29">
        <f>[5]results!AY9</f>
        <v>0</v>
      </c>
      <c r="X29">
        <f>[5]results!AZ9</f>
        <v>100.00999999999999</v>
      </c>
      <c r="Z29" t="str">
        <f>[6]results!AQ9</f>
        <v>minCO2&amp;EQ&amp;HH</v>
      </c>
      <c r="AA29">
        <f>[6]results!AR9</f>
        <v>1.29</v>
      </c>
      <c r="AB29">
        <f>[6]results!AS9</f>
        <v>0</v>
      </c>
      <c r="AC29">
        <f>[6]results!AT9</f>
        <v>0</v>
      </c>
      <c r="AD29">
        <f>[6]results!AU9</f>
        <v>0</v>
      </c>
      <c r="AE29">
        <f>[6]results!AV9</f>
        <v>0</v>
      </c>
      <c r="AF29">
        <f>[6]results!AW9</f>
        <v>0</v>
      </c>
      <c r="AG29">
        <f>[6]results!AX9</f>
        <v>0</v>
      </c>
      <c r="AH29">
        <f>[6]results!AY9</f>
        <v>98.71</v>
      </c>
    </row>
    <row r="30" spans="1:34" x14ac:dyDescent="0.35">
      <c r="B30">
        <v>0.5</v>
      </c>
      <c r="C30">
        <f t="shared" ref="C30:J30" si="13">AA29</f>
        <v>1.29</v>
      </c>
      <c r="D30">
        <f t="shared" si="13"/>
        <v>0</v>
      </c>
      <c r="E30">
        <f t="shared" si="13"/>
        <v>0</v>
      </c>
      <c r="F30">
        <f t="shared" si="13"/>
        <v>0</v>
      </c>
      <c r="G30">
        <f t="shared" si="13"/>
        <v>0</v>
      </c>
      <c r="H30">
        <f t="shared" si="13"/>
        <v>0</v>
      </c>
      <c r="I30">
        <f t="shared" si="13"/>
        <v>0</v>
      </c>
      <c r="J30">
        <f t="shared" si="13"/>
        <v>98.71</v>
      </c>
    </row>
    <row r="33" spans="1:3" x14ac:dyDescent="0.35">
      <c r="A33" t="s">
        <v>4</v>
      </c>
      <c r="C33">
        <v>5347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ss_inv_inc</vt:lpstr>
      <vt:lpstr>ss_inv</vt:lpstr>
      <vt:lpstr>inv_inc</vt:lpstr>
      <vt:lpstr>inv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hravoaha</dc:creator>
  <cp:lastModifiedBy>Nomena Ravoahangy</cp:lastModifiedBy>
  <dcterms:created xsi:type="dcterms:W3CDTF">2015-06-05T18:19:34Z</dcterms:created>
  <dcterms:modified xsi:type="dcterms:W3CDTF">2026-04-23T04:30:48Z</dcterms:modified>
</cp:coreProperties>
</file>