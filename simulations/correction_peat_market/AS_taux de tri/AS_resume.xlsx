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taux de tri\"/>
    </mc:Choice>
  </mc:AlternateContent>
  <xr:revisionPtr revIDLastSave="0" documentId="13_ncr:1_{CC0664BD-7B67-488F-982C-D8F354DA431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inv" sheetId="1" r:id="rId1"/>
    <sheet name="ss_inv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24" i="2" l="1"/>
  <c r="B25" i="2" s="1"/>
  <c r="N2" i="2"/>
  <c r="O2" i="2"/>
  <c r="P2" i="2"/>
  <c r="Q2" i="2"/>
  <c r="R2" i="2"/>
  <c r="S2" i="2"/>
  <c r="N4" i="2"/>
  <c r="O4" i="2"/>
  <c r="B5" i="2" s="1"/>
  <c r="P4" i="2"/>
  <c r="C5" i="2" s="1"/>
  <c r="Q4" i="2"/>
  <c r="D5" i="2" s="1"/>
  <c r="R4" i="2"/>
  <c r="E5" i="2" s="1"/>
  <c r="S4" i="2"/>
  <c r="N8" i="2"/>
  <c r="O8" i="2"/>
  <c r="B9" i="2" s="1"/>
  <c r="P8" i="2"/>
  <c r="C9" i="2" s="1"/>
  <c r="Q8" i="2"/>
  <c r="D9" i="2" s="1"/>
  <c r="R8" i="2"/>
  <c r="E9" i="2" s="1"/>
  <c r="S8" i="2"/>
  <c r="N12" i="2"/>
  <c r="O12" i="2"/>
  <c r="B13" i="2" s="1"/>
  <c r="P12" i="2"/>
  <c r="C13" i="2" s="1"/>
  <c r="Q12" i="2"/>
  <c r="D13" i="2" s="1"/>
  <c r="R12" i="2"/>
  <c r="E13" i="2" s="1"/>
  <c r="S12" i="2"/>
  <c r="N16" i="2"/>
  <c r="O16" i="2"/>
  <c r="B17" i="2" s="1"/>
  <c r="P16" i="2"/>
  <c r="C17" i="2" s="1"/>
  <c r="Q16" i="2"/>
  <c r="D17" i="2" s="1"/>
  <c r="R16" i="2"/>
  <c r="E17" i="2" s="1"/>
  <c r="S16" i="2"/>
  <c r="N20" i="2"/>
  <c r="O20" i="2"/>
  <c r="B21" i="2" s="1"/>
  <c r="P20" i="2"/>
  <c r="C21" i="2" s="1"/>
  <c r="Q20" i="2"/>
  <c r="D21" i="2" s="1"/>
  <c r="R20" i="2"/>
  <c r="E21" i="2" s="1"/>
  <c r="S20" i="2"/>
  <c r="N24" i="2"/>
  <c r="P24" i="2"/>
  <c r="C25" i="2" s="1"/>
  <c r="Q24" i="2"/>
  <c r="D25" i="2" s="1"/>
  <c r="R24" i="2"/>
  <c r="E25" i="2" s="1"/>
  <c r="S24" i="2"/>
  <c r="N28" i="2"/>
  <c r="O28" i="2"/>
  <c r="B29" i="2" s="1"/>
  <c r="P28" i="2"/>
  <c r="C29" i="2" s="1"/>
  <c r="Q28" i="2"/>
  <c r="D29" i="2" s="1"/>
  <c r="R28" i="2"/>
  <c r="E29" i="2" s="1"/>
  <c r="S28" i="2"/>
  <c r="G2" i="2" l="1"/>
  <c r="H2" i="2"/>
  <c r="I2" i="2"/>
  <c r="J2" i="2"/>
  <c r="K2" i="2"/>
  <c r="L2" i="2"/>
  <c r="G4" i="2"/>
  <c r="H4" i="2"/>
  <c r="B3" i="2" s="1"/>
  <c r="I4" i="2"/>
  <c r="C3" i="2" s="1"/>
  <c r="J4" i="2"/>
  <c r="D3" i="2" s="1"/>
  <c r="K4" i="2"/>
  <c r="E3" i="2" s="1"/>
  <c r="L4" i="2"/>
  <c r="G8" i="2"/>
  <c r="H8" i="2"/>
  <c r="B7" i="2" s="1"/>
  <c r="I8" i="2"/>
  <c r="C7" i="2" s="1"/>
  <c r="J8" i="2"/>
  <c r="D7" i="2" s="1"/>
  <c r="K8" i="2"/>
  <c r="E7" i="2" s="1"/>
  <c r="L8" i="2"/>
  <c r="G12" i="2"/>
  <c r="H12" i="2"/>
  <c r="B11" i="2" s="1"/>
  <c r="I12" i="2"/>
  <c r="C11" i="2" s="1"/>
  <c r="J12" i="2"/>
  <c r="D11" i="2" s="1"/>
  <c r="K12" i="2"/>
  <c r="E11" i="2" s="1"/>
  <c r="L12" i="2"/>
  <c r="G16" i="2"/>
  <c r="H16" i="2"/>
  <c r="B15" i="2" s="1"/>
  <c r="I16" i="2"/>
  <c r="C15" i="2" s="1"/>
  <c r="J16" i="2"/>
  <c r="D15" i="2" s="1"/>
  <c r="K16" i="2"/>
  <c r="E15" i="2" s="1"/>
  <c r="L16" i="2"/>
  <c r="G20" i="2"/>
  <c r="H20" i="2"/>
  <c r="B19" i="2" s="1"/>
  <c r="I20" i="2"/>
  <c r="C19" i="2" s="1"/>
  <c r="J20" i="2"/>
  <c r="D19" i="2" s="1"/>
  <c r="K20" i="2"/>
  <c r="E19" i="2" s="1"/>
  <c r="L20" i="2"/>
  <c r="G24" i="2"/>
  <c r="H24" i="2"/>
  <c r="B23" i="2" s="1"/>
  <c r="I24" i="2"/>
  <c r="C23" i="2" s="1"/>
  <c r="J24" i="2"/>
  <c r="D23" i="2" s="1"/>
  <c r="K24" i="2"/>
  <c r="E23" i="2" s="1"/>
  <c r="L24" i="2"/>
  <c r="G28" i="2"/>
  <c r="H28" i="2"/>
  <c r="B27" i="2" s="1"/>
  <c r="I28" i="2"/>
  <c r="C27" i="2" s="1"/>
  <c r="J28" i="2"/>
  <c r="D27" i="2" s="1"/>
  <c r="K28" i="2"/>
  <c r="E27" i="2" s="1"/>
  <c r="L28" i="2"/>
  <c r="B2" i="2" l="1"/>
  <c r="C2" i="2"/>
  <c r="D2" i="2"/>
  <c r="E2" i="2"/>
  <c r="A4" i="2"/>
  <c r="B4" i="2"/>
  <c r="C4" i="2"/>
  <c r="D4" i="2"/>
  <c r="E4" i="2"/>
  <c r="A8" i="2"/>
  <c r="B8" i="2"/>
  <c r="C8" i="2"/>
  <c r="D8" i="2"/>
  <c r="E8" i="2"/>
  <c r="A12" i="2"/>
  <c r="B12" i="2"/>
  <c r="C12" i="2"/>
  <c r="D12" i="2"/>
  <c r="E12" i="2"/>
  <c r="A16" i="2"/>
  <c r="B16" i="2"/>
  <c r="C16" i="2"/>
  <c r="D16" i="2"/>
  <c r="E16" i="2"/>
  <c r="A20" i="2"/>
  <c r="B20" i="2"/>
  <c r="C20" i="2"/>
  <c r="D20" i="2"/>
  <c r="E20" i="2"/>
  <c r="A24" i="2"/>
  <c r="B24" i="2"/>
  <c r="C24" i="2"/>
  <c r="D24" i="2"/>
  <c r="E24" i="2"/>
  <c r="A28" i="2"/>
  <c r="B28" i="2"/>
  <c r="C28" i="2"/>
  <c r="D28" i="2"/>
  <c r="E28" i="2"/>
  <c r="G30" i="1" l="1"/>
  <c r="H30" i="1"/>
  <c r="C5" i="1"/>
  <c r="C9" i="1"/>
  <c r="C13" i="1"/>
  <c r="C17" i="1"/>
  <c r="C21" i="1"/>
  <c r="Y3" i="1"/>
  <c r="Z3" i="1"/>
  <c r="AA3" i="1"/>
  <c r="AB3" i="1"/>
  <c r="AC3" i="1"/>
  <c r="AD3" i="1"/>
  <c r="AE3" i="1"/>
  <c r="AF3" i="1"/>
  <c r="AG3" i="1"/>
  <c r="Y5" i="1"/>
  <c r="Z5" i="1"/>
  <c r="C6" i="1" s="1"/>
  <c r="AA5" i="1"/>
  <c r="D6" i="1" s="1"/>
  <c r="AB5" i="1"/>
  <c r="E6" i="1" s="1"/>
  <c r="AC5" i="1"/>
  <c r="F6" i="1" s="1"/>
  <c r="AD5" i="1"/>
  <c r="G6" i="1" s="1"/>
  <c r="AE5" i="1"/>
  <c r="H6" i="1" s="1"/>
  <c r="AF5" i="1"/>
  <c r="I6" i="1" s="1"/>
  <c r="AG5" i="1"/>
  <c r="J6" i="1" s="1"/>
  <c r="Y9" i="1"/>
  <c r="Z9" i="1"/>
  <c r="C10" i="1" s="1"/>
  <c r="AA9" i="1"/>
  <c r="D10" i="1" s="1"/>
  <c r="AB9" i="1"/>
  <c r="E10" i="1" s="1"/>
  <c r="AC9" i="1"/>
  <c r="F10" i="1" s="1"/>
  <c r="AD9" i="1"/>
  <c r="G10" i="1" s="1"/>
  <c r="AE9" i="1"/>
  <c r="H10" i="1" s="1"/>
  <c r="AF9" i="1"/>
  <c r="I10" i="1" s="1"/>
  <c r="AG9" i="1"/>
  <c r="J10" i="1" s="1"/>
  <c r="Y13" i="1"/>
  <c r="Z13" i="1"/>
  <c r="C14" i="1" s="1"/>
  <c r="AA13" i="1"/>
  <c r="D14" i="1" s="1"/>
  <c r="AB13" i="1"/>
  <c r="E14" i="1" s="1"/>
  <c r="AC13" i="1"/>
  <c r="F14" i="1" s="1"/>
  <c r="AD13" i="1"/>
  <c r="G14" i="1" s="1"/>
  <c r="AE13" i="1"/>
  <c r="H14" i="1" s="1"/>
  <c r="AF13" i="1"/>
  <c r="I14" i="1" s="1"/>
  <c r="AG13" i="1"/>
  <c r="J14" i="1" s="1"/>
  <c r="Y17" i="1"/>
  <c r="Z17" i="1"/>
  <c r="C18" i="1" s="1"/>
  <c r="AA17" i="1"/>
  <c r="D18" i="1" s="1"/>
  <c r="AB17" i="1"/>
  <c r="E18" i="1" s="1"/>
  <c r="AC17" i="1"/>
  <c r="F18" i="1" s="1"/>
  <c r="AD17" i="1"/>
  <c r="G18" i="1" s="1"/>
  <c r="AE17" i="1"/>
  <c r="H18" i="1" s="1"/>
  <c r="AF17" i="1"/>
  <c r="I18" i="1" s="1"/>
  <c r="AG17" i="1"/>
  <c r="J18" i="1" s="1"/>
  <c r="Y21" i="1"/>
  <c r="Z21" i="1"/>
  <c r="C22" i="1" s="1"/>
  <c r="AA21" i="1"/>
  <c r="D22" i="1" s="1"/>
  <c r="AB21" i="1"/>
  <c r="E22" i="1" s="1"/>
  <c r="AC21" i="1"/>
  <c r="F22" i="1" s="1"/>
  <c r="AD21" i="1"/>
  <c r="G22" i="1" s="1"/>
  <c r="AE21" i="1"/>
  <c r="H22" i="1" s="1"/>
  <c r="AF21" i="1"/>
  <c r="I22" i="1" s="1"/>
  <c r="AG21" i="1"/>
  <c r="J22" i="1" s="1"/>
  <c r="Y25" i="1"/>
  <c r="Z25" i="1"/>
  <c r="C26" i="1" s="1"/>
  <c r="AA25" i="1"/>
  <c r="D26" i="1" s="1"/>
  <c r="AB25" i="1"/>
  <c r="E26" i="1" s="1"/>
  <c r="AC25" i="1"/>
  <c r="F26" i="1" s="1"/>
  <c r="AD25" i="1"/>
  <c r="G26" i="1" s="1"/>
  <c r="AE25" i="1"/>
  <c r="H26" i="1" s="1"/>
  <c r="AF25" i="1"/>
  <c r="I26" i="1" s="1"/>
  <c r="AG25" i="1"/>
  <c r="J26" i="1" s="1"/>
  <c r="Y29" i="1"/>
  <c r="Z29" i="1"/>
  <c r="C30" i="1" s="1"/>
  <c r="AA29" i="1"/>
  <c r="D30" i="1" s="1"/>
  <c r="AB29" i="1"/>
  <c r="E30" i="1" s="1"/>
  <c r="AC29" i="1"/>
  <c r="F30" i="1" s="1"/>
  <c r="AD29" i="1"/>
  <c r="AE29" i="1"/>
  <c r="AF29" i="1"/>
  <c r="I30" i="1" s="1"/>
  <c r="AG29" i="1"/>
  <c r="J30" i="1" s="1"/>
  <c r="N3" i="1" l="1"/>
  <c r="O3" i="1"/>
  <c r="P3" i="1"/>
  <c r="Q3" i="1"/>
  <c r="R3" i="1"/>
  <c r="S3" i="1"/>
  <c r="T3" i="1"/>
  <c r="U3" i="1"/>
  <c r="V3" i="1"/>
  <c r="W3" i="1"/>
  <c r="N5" i="1"/>
  <c r="C4" i="1"/>
  <c r="P5" i="1"/>
  <c r="D4" i="1" s="1"/>
  <c r="Q5" i="1"/>
  <c r="E4" i="1" s="1"/>
  <c r="R5" i="1"/>
  <c r="F4" i="1" s="1"/>
  <c r="S5" i="1"/>
  <c r="G4" i="1" s="1"/>
  <c r="T5" i="1"/>
  <c r="H4" i="1" s="1"/>
  <c r="U5" i="1"/>
  <c r="I4" i="1" s="1"/>
  <c r="V5" i="1"/>
  <c r="J4" i="1" s="1"/>
  <c r="W5" i="1"/>
  <c r="K4" i="1" s="1"/>
  <c r="N9" i="1"/>
  <c r="O9" i="1"/>
  <c r="C8" i="1" s="1"/>
  <c r="P9" i="1"/>
  <c r="D8" i="1" s="1"/>
  <c r="Q9" i="1"/>
  <c r="E8" i="1" s="1"/>
  <c r="R9" i="1"/>
  <c r="F8" i="1" s="1"/>
  <c r="S9" i="1"/>
  <c r="G8" i="1" s="1"/>
  <c r="T9" i="1"/>
  <c r="H8" i="1" s="1"/>
  <c r="U9" i="1"/>
  <c r="I8" i="1" s="1"/>
  <c r="V9" i="1"/>
  <c r="J8" i="1" s="1"/>
  <c r="W9" i="1"/>
  <c r="K8" i="1" s="1"/>
  <c r="N13" i="1"/>
  <c r="O13" i="1"/>
  <c r="C12" i="1" s="1"/>
  <c r="P13" i="1"/>
  <c r="D12" i="1" s="1"/>
  <c r="Q13" i="1"/>
  <c r="E12" i="1" s="1"/>
  <c r="R13" i="1"/>
  <c r="F12" i="1" s="1"/>
  <c r="S13" i="1"/>
  <c r="G12" i="1" s="1"/>
  <c r="T13" i="1"/>
  <c r="H12" i="1" s="1"/>
  <c r="U13" i="1"/>
  <c r="I12" i="1" s="1"/>
  <c r="V13" i="1"/>
  <c r="J12" i="1" s="1"/>
  <c r="W13" i="1"/>
  <c r="K12" i="1" s="1"/>
  <c r="N17" i="1"/>
  <c r="O17" i="1"/>
  <c r="C16" i="1" s="1"/>
  <c r="P17" i="1"/>
  <c r="D16" i="1" s="1"/>
  <c r="Q17" i="1"/>
  <c r="E16" i="1" s="1"/>
  <c r="R17" i="1"/>
  <c r="F16" i="1" s="1"/>
  <c r="S17" i="1"/>
  <c r="G16" i="1" s="1"/>
  <c r="T17" i="1"/>
  <c r="H16" i="1" s="1"/>
  <c r="U17" i="1"/>
  <c r="I16" i="1" s="1"/>
  <c r="V17" i="1"/>
  <c r="J16" i="1" s="1"/>
  <c r="W17" i="1"/>
  <c r="K16" i="1" s="1"/>
  <c r="N21" i="1"/>
  <c r="O21" i="1"/>
  <c r="C20" i="1" s="1"/>
  <c r="P21" i="1"/>
  <c r="D20" i="1" s="1"/>
  <c r="Q21" i="1"/>
  <c r="E20" i="1" s="1"/>
  <c r="R21" i="1"/>
  <c r="F20" i="1" s="1"/>
  <c r="S21" i="1"/>
  <c r="G20" i="1" s="1"/>
  <c r="T21" i="1"/>
  <c r="H20" i="1" s="1"/>
  <c r="U21" i="1"/>
  <c r="I20" i="1" s="1"/>
  <c r="V21" i="1"/>
  <c r="J20" i="1" s="1"/>
  <c r="W21" i="1"/>
  <c r="K20" i="1" s="1"/>
  <c r="N25" i="1"/>
  <c r="O25" i="1"/>
  <c r="C24" i="1" s="1"/>
  <c r="P25" i="1"/>
  <c r="D24" i="1" s="1"/>
  <c r="Q25" i="1"/>
  <c r="E24" i="1" s="1"/>
  <c r="R25" i="1"/>
  <c r="F24" i="1" s="1"/>
  <c r="S25" i="1"/>
  <c r="G24" i="1" s="1"/>
  <c r="T25" i="1"/>
  <c r="H24" i="1" s="1"/>
  <c r="U25" i="1"/>
  <c r="I24" i="1" s="1"/>
  <c r="V25" i="1"/>
  <c r="J24" i="1" s="1"/>
  <c r="W25" i="1"/>
  <c r="K24" i="1" s="1"/>
  <c r="N29" i="1"/>
  <c r="O29" i="1"/>
  <c r="C28" i="1" s="1"/>
  <c r="P29" i="1"/>
  <c r="D28" i="1" s="1"/>
  <c r="Q29" i="1"/>
  <c r="E28" i="1" s="1"/>
  <c r="R29" i="1"/>
  <c r="F28" i="1" s="1"/>
  <c r="S29" i="1"/>
  <c r="G28" i="1" s="1"/>
  <c r="T29" i="1"/>
  <c r="H28" i="1" s="1"/>
  <c r="U29" i="1"/>
  <c r="I28" i="1" s="1"/>
  <c r="V29" i="1"/>
  <c r="J28" i="1" s="1"/>
  <c r="W29" i="1"/>
  <c r="K28" i="1" s="1"/>
  <c r="A3" i="1"/>
  <c r="C3" i="1"/>
  <c r="D3" i="1"/>
  <c r="E3" i="1"/>
  <c r="F3" i="1"/>
  <c r="G3" i="1"/>
  <c r="H3" i="1"/>
  <c r="I3" i="1"/>
  <c r="J3" i="1"/>
  <c r="K3" i="1"/>
  <c r="A5" i="1"/>
  <c r="D5" i="1"/>
  <c r="E5" i="1"/>
  <c r="F5" i="1"/>
  <c r="G5" i="1"/>
  <c r="H5" i="1"/>
  <c r="I5" i="1"/>
  <c r="J5" i="1"/>
  <c r="K5" i="1"/>
  <c r="A9" i="1"/>
  <c r="D9" i="1"/>
  <c r="E9" i="1"/>
  <c r="F9" i="1"/>
  <c r="G9" i="1"/>
  <c r="H9" i="1"/>
  <c r="I9" i="1"/>
  <c r="J9" i="1"/>
  <c r="K9" i="1"/>
  <c r="A13" i="1"/>
  <c r="D13" i="1"/>
  <c r="E13" i="1"/>
  <c r="F13" i="1"/>
  <c r="G13" i="1"/>
  <c r="H13" i="1"/>
  <c r="I13" i="1"/>
  <c r="J13" i="1"/>
  <c r="K13" i="1"/>
  <c r="A17" i="1"/>
  <c r="D17" i="1"/>
  <c r="E17" i="1"/>
  <c r="F17" i="1"/>
  <c r="G17" i="1"/>
  <c r="H17" i="1"/>
  <c r="I17" i="1"/>
  <c r="J17" i="1"/>
  <c r="K17" i="1"/>
  <c r="A21" i="1"/>
  <c r="D21" i="1"/>
  <c r="E21" i="1"/>
  <c r="F21" i="1"/>
  <c r="G21" i="1"/>
  <c r="H21" i="1"/>
  <c r="I21" i="1"/>
  <c r="J21" i="1"/>
  <c r="K21" i="1"/>
  <c r="A25" i="1"/>
  <c r="C25" i="1"/>
  <c r="D25" i="1"/>
  <c r="E25" i="1"/>
  <c r="F25" i="1"/>
  <c r="G25" i="1"/>
  <c r="H25" i="1"/>
  <c r="I25" i="1"/>
  <c r="J25" i="1"/>
  <c r="K25" i="1"/>
  <c r="A29" i="1"/>
  <c r="C29" i="1"/>
  <c r="D29" i="1"/>
  <c r="E29" i="1"/>
  <c r="F29" i="1"/>
  <c r="G29" i="1"/>
  <c r="H29" i="1"/>
  <c r="I29" i="1"/>
  <c r="J29" i="1"/>
  <c r="K29" i="1"/>
</calcChain>
</file>

<file path=xl/sharedStrings.xml><?xml version="1.0" encoding="utf-8"?>
<sst xmlns="http://schemas.openxmlformats.org/spreadsheetml/2006/main" count="7" uniqueCount="4">
  <si>
    <t>name</t>
  </si>
  <si>
    <t>norm</t>
  </si>
  <si>
    <t>neg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</si>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</sst>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inv!$A$3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inv!$A$4:$A$14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2-4B88-848C-62138C936889}"/>
            </c:ext>
          </c:extLst>
        </c:ser>
        <c:ser>
          <c:idx val="1"/>
          <c:order val="1"/>
          <c:tx>
            <c:strRef>
              <c:f>inv!$B$3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inv!$B$4:$B$14</c:f>
            </c:numRef>
          </c:val>
          <c:extLst>
            <c:ext xmlns:c16="http://schemas.microsoft.com/office/drawing/2014/chart" uri="{C3380CC4-5D6E-409C-BE32-E72D297353CC}">
              <c16:uniqueId val="{00000001-A1C2-4B88-848C-62138C936889}"/>
            </c:ext>
          </c:extLst>
        </c:ser>
        <c:ser>
          <c:idx val="2"/>
          <c:order val="2"/>
          <c:tx>
            <c:strRef>
              <c:f>inv!$C$3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inv!$C$4:$C$14</c:f>
              <c:numCache>
                <c:formatCode>General</c:formatCode>
                <c:ptCount val="11"/>
                <c:pt idx="0">
                  <c:v>26.550000000000004</c:v>
                </c:pt>
                <c:pt idx="1">
                  <c:v>6.5</c:v>
                </c:pt>
                <c:pt idx="2">
                  <c:v>8.86</c:v>
                </c:pt>
                <c:pt idx="4">
                  <c:v>26.550000000000004</c:v>
                </c:pt>
                <c:pt idx="5">
                  <c:v>0</c:v>
                </c:pt>
                <c:pt idx="6">
                  <c:v>0</c:v>
                </c:pt>
                <c:pt idx="8">
                  <c:v>26.550000000000004</c:v>
                </c:pt>
                <c:pt idx="9">
                  <c:v>1.29</c:v>
                </c:pt>
                <c:pt idx="10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2-4B88-848C-62138C936889}"/>
            </c:ext>
          </c:extLst>
        </c:ser>
        <c:ser>
          <c:idx val="3"/>
          <c:order val="3"/>
          <c:tx>
            <c:strRef>
              <c:f>inv!$D$3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inv!$D$4:$D$14</c:f>
              <c:numCache>
                <c:formatCode>General</c:formatCode>
                <c:ptCount val="11"/>
                <c:pt idx="0">
                  <c:v>32.229999999999997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2-4B88-848C-62138C936889}"/>
            </c:ext>
          </c:extLst>
        </c:ser>
        <c:ser>
          <c:idx val="4"/>
          <c:order val="4"/>
          <c:tx>
            <c:strRef>
              <c:f>inv!$E$3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inv!$E$4:$E$14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2-4B88-848C-62138C936889}"/>
            </c:ext>
          </c:extLst>
        </c:ser>
        <c:ser>
          <c:idx val="5"/>
          <c:order val="5"/>
          <c:tx>
            <c:strRef>
              <c:f>inv!$F$3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inv!$F$4:$F$14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73.459999999999994</c:v>
                </c:pt>
                <c:pt idx="5">
                  <c:v>0</c:v>
                </c:pt>
                <c:pt idx="6">
                  <c:v>0</c:v>
                </c:pt>
                <c:pt idx="8">
                  <c:v>73.459999999999994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C2-4B88-848C-62138C936889}"/>
            </c:ext>
          </c:extLst>
        </c:ser>
        <c:ser>
          <c:idx val="6"/>
          <c:order val="6"/>
          <c:tx>
            <c:strRef>
              <c:f>inv!$G$3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inv!$G$4:$G$14</c:f>
              <c:numCache>
                <c:formatCode>General</c:formatCode>
                <c:ptCount val="11"/>
                <c:pt idx="0">
                  <c:v>41.23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2-4B88-848C-62138C936889}"/>
            </c:ext>
          </c:extLst>
        </c:ser>
        <c:ser>
          <c:idx val="7"/>
          <c:order val="7"/>
          <c:tx>
            <c:strRef>
              <c:f>inv!$H$3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inv!$H$4:$H$14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C2-4B88-848C-62138C936889}"/>
            </c:ext>
          </c:extLst>
        </c:ser>
        <c:ser>
          <c:idx val="8"/>
          <c:order val="8"/>
          <c:tx>
            <c:strRef>
              <c:f>inv!$I$3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inv!$I$4:$I$14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C2-4B88-848C-62138C936889}"/>
            </c:ext>
          </c:extLst>
        </c:ser>
        <c:ser>
          <c:idx val="9"/>
          <c:order val="9"/>
          <c:tx>
            <c:strRef>
              <c:f>inv!$J$3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inv!$J$4:$J$14</c:f>
              <c:numCache>
                <c:formatCode>General</c:formatCode>
                <c:ptCount val="11"/>
                <c:pt idx="0">
                  <c:v>0</c:v>
                </c:pt>
                <c:pt idx="1">
                  <c:v>93.51</c:v>
                </c:pt>
                <c:pt idx="2">
                  <c:v>91.15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8">
                  <c:v>0</c:v>
                </c:pt>
                <c:pt idx="9">
                  <c:v>98.71</c:v>
                </c:pt>
                <c:pt idx="10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C2-4B88-848C-62138C936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8726336"/>
        <c:axId val="897936624"/>
      </c:barChart>
      <c:catAx>
        <c:axId val="117872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936624"/>
        <c:crosses val="autoZero"/>
        <c:auto val="1"/>
        <c:lblAlgn val="ctr"/>
        <c:lblOffset val="100"/>
        <c:noMultiLvlLbl val="0"/>
      </c:catAx>
      <c:valAx>
        <c:axId val="8979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72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ss_inv!$A$2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ss_inv!$A$3:$A$13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7-4F25-82FB-B11EDF34468E}"/>
            </c:ext>
          </c:extLst>
        </c:ser>
        <c:ser>
          <c:idx val="1"/>
          <c:order val="1"/>
          <c:tx>
            <c:strRef>
              <c:f>ss_inv!$B$2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ss_inv!$B$3:$B$13</c:f>
              <c:numCache>
                <c:formatCode>General</c:formatCode>
                <c:ptCount val="11"/>
                <c:pt idx="0">
                  <c:v>26.550000000000004</c:v>
                </c:pt>
                <c:pt idx="1">
                  <c:v>13.280000000000001</c:v>
                </c:pt>
                <c:pt idx="2">
                  <c:v>8.86</c:v>
                </c:pt>
                <c:pt idx="4">
                  <c:v>26.550000000000004</c:v>
                </c:pt>
                <c:pt idx="5">
                  <c:v>13.280000000000001</c:v>
                </c:pt>
                <c:pt idx="6">
                  <c:v>8.86</c:v>
                </c:pt>
                <c:pt idx="8">
                  <c:v>26.550000000000004</c:v>
                </c:pt>
                <c:pt idx="9">
                  <c:v>13.280000000000001</c:v>
                </c:pt>
                <c:pt idx="10">
                  <c:v>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7-4F25-82FB-B11EDF34468E}"/>
            </c:ext>
          </c:extLst>
        </c:ser>
        <c:ser>
          <c:idx val="2"/>
          <c:order val="2"/>
          <c:tx>
            <c:strRef>
              <c:f>ss_inv!$C$2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ss_inv!$C$3:$C$13</c:f>
              <c:numCache>
                <c:formatCode>General</c:formatCode>
                <c:ptCount val="11"/>
                <c:pt idx="0">
                  <c:v>32.229999999999997</c:v>
                </c:pt>
                <c:pt idx="1">
                  <c:v>16.11</c:v>
                </c:pt>
                <c:pt idx="2">
                  <c:v>6.95</c:v>
                </c:pt>
                <c:pt idx="4">
                  <c:v>0</c:v>
                </c:pt>
                <c:pt idx="5">
                  <c:v>0</c:v>
                </c:pt>
                <c:pt idx="6">
                  <c:v>3.41</c:v>
                </c:pt>
                <c:pt idx="8">
                  <c:v>0</c:v>
                </c:pt>
                <c:pt idx="9">
                  <c:v>0</c:v>
                </c:pt>
                <c:pt idx="10">
                  <c:v>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7-4F25-82FB-B11EDF34468E}"/>
            </c:ext>
          </c:extLst>
        </c:ser>
        <c:ser>
          <c:idx val="3"/>
          <c:order val="3"/>
          <c:tx>
            <c:strRef>
              <c:f>ss_inv!$D$2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ss_inv!$D$3:$D$13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32.25</c:v>
                </c:pt>
                <c:pt idx="4">
                  <c:v>73.459999999999994</c:v>
                </c:pt>
                <c:pt idx="5">
                  <c:v>86.73</c:v>
                </c:pt>
                <c:pt idx="6">
                  <c:v>62.34</c:v>
                </c:pt>
                <c:pt idx="8">
                  <c:v>73.459999999999994</c:v>
                </c:pt>
                <c:pt idx="9">
                  <c:v>86.73</c:v>
                </c:pt>
                <c:pt idx="10">
                  <c:v>62.34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7-4F25-82FB-B11EDF34468E}"/>
            </c:ext>
          </c:extLst>
        </c:ser>
        <c:ser>
          <c:idx val="4"/>
          <c:order val="4"/>
          <c:tx>
            <c:strRef>
              <c:f>ss_inv!$E$2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ss_inv!$E$3:$E$13</c:f>
              <c:numCache>
                <c:formatCode>General</c:formatCode>
                <c:ptCount val="11"/>
                <c:pt idx="0">
                  <c:v>41.23</c:v>
                </c:pt>
                <c:pt idx="1">
                  <c:v>70.62</c:v>
                </c:pt>
                <c:pt idx="2">
                  <c:v>51.95</c:v>
                </c:pt>
                <c:pt idx="4">
                  <c:v>0</c:v>
                </c:pt>
                <c:pt idx="5">
                  <c:v>0</c:v>
                </c:pt>
                <c:pt idx="6">
                  <c:v>25.4</c:v>
                </c:pt>
                <c:pt idx="8">
                  <c:v>0</c:v>
                </c:pt>
                <c:pt idx="9">
                  <c:v>0</c:v>
                </c:pt>
                <c:pt idx="10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7-4F25-82FB-B11EDF34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516592"/>
        <c:axId val="262860048"/>
      </c:barChart>
      <c:catAx>
        <c:axId val="26051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2860048"/>
        <c:crosses val="autoZero"/>
        <c:auto val="1"/>
        <c:lblAlgn val="ctr"/>
        <c:lblOffset val="100"/>
        <c:noMultiLvlLbl val="0"/>
      </c:catAx>
      <c:valAx>
        <c:axId val="2628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5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104773</xdr:colOff>
      <xdr:row>24</xdr:row>
      <xdr:rowOff>44450</xdr:rowOff>
    </xdr:from>
    <xdr:to>
      <xdr:col>27</xdr:col>
      <xdr:colOff>542925</xdr:colOff>
      <xdr:row>46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1FB7D3-2B9B-4763-A9F9-2C40D8A8F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693737</xdr:colOff>
      <xdr:row>9</xdr:row>
      <xdr:rowOff>95250</xdr:rowOff>
    </xdr:from>
    <xdr:to>
      <xdr:col>17</xdr:col>
      <xdr:colOff>476250</xdr:colOff>
      <xdr:row>31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8623481-A560-4FC0-8A70-129023783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_neg_inv_al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_pos_inv_al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ss_inv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_neg_ssinv_al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_pos_ssinv_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1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R3">
            <v>6.5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93.51</v>
          </cell>
          <cell r="AZ3">
            <v>100.01</v>
          </cell>
        </row>
        <row r="4">
          <cell r="AQ4" t="str">
            <v>minEQ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  <cell r="AZ4">
            <v>100</v>
          </cell>
        </row>
        <row r="5">
          <cell r="AQ5" t="str">
            <v>minHH</v>
          </cell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  <cell r="AZ5">
            <v>100</v>
          </cell>
        </row>
        <row r="6">
          <cell r="AQ6" t="str">
            <v>minEQ&amp;HH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100</v>
          </cell>
          <cell r="AZ6">
            <v>100</v>
          </cell>
        </row>
        <row r="7">
          <cell r="AQ7" t="str">
            <v>minCO2&amp;EQ</v>
          </cell>
          <cell r="AR7">
            <v>1.29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98.71</v>
          </cell>
          <cell r="AZ7">
            <v>100</v>
          </cell>
        </row>
        <row r="8">
          <cell r="AQ8" t="str">
            <v>minCO2&amp;HH</v>
          </cell>
          <cell r="AR8">
            <v>6.5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93.51</v>
          </cell>
          <cell r="AZ8">
            <v>100.01</v>
          </cell>
        </row>
        <row r="9">
          <cell r="AQ9" t="str">
            <v>minCO2&amp;EQ&amp;HH</v>
          </cell>
          <cell r="AR9">
            <v>1.29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98.71</v>
          </cell>
          <cell r="AZ9">
            <v>100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R3">
            <v>26.550000000000004</v>
          </cell>
          <cell r="AS3">
            <v>32.229999999999997</v>
          </cell>
          <cell r="AT3">
            <v>0</v>
          </cell>
          <cell r="AU3">
            <v>0</v>
          </cell>
          <cell r="AV3">
            <v>41.23</v>
          </cell>
          <cell r="AW3">
            <v>0</v>
          </cell>
          <cell r="AX3">
            <v>0</v>
          </cell>
          <cell r="AY3">
            <v>0</v>
          </cell>
          <cell r="AZ3">
            <v>100.00999999999999</v>
          </cell>
        </row>
        <row r="4">
          <cell r="AQ4" t="str">
            <v>minEQ</v>
          </cell>
          <cell r="AR4">
            <v>26.550000000000004</v>
          </cell>
          <cell r="AS4">
            <v>0</v>
          </cell>
          <cell r="AT4">
            <v>0</v>
          </cell>
          <cell r="AU4">
            <v>73.459999999999994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100.00999999999999</v>
          </cell>
        </row>
        <row r="5">
          <cell r="AQ5" t="str">
            <v>minHH</v>
          </cell>
          <cell r="AR5">
            <v>26.550000000000004</v>
          </cell>
          <cell r="AS5">
            <v>0</v>
          </cell>
          <cell r="AT5">
            <v>0</v>
          </cell>
          <cell r="AU5">
            <v>73.459999999999994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100.00999999999999</v>
          </cell>
        </row>
        <row r="6">
          <cell r="AQ6" t="str">
            <v>minEQ&amp;HH</v>
          </cell>
          <cell r="AR6">
            <v>26.550000000000004</v>
          </cell>
          <cell r="AS6">
            <v>0</v>
          </cell>
          <cell r="AT6">
            <v>0</v>
          </cell>
          <cell r="AU6">
            <v>73.459999999999994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100.00999999999999</v>
          </cell>
        </row>
        <row r="7">
          <cell r="AQ7" t="str">
            <v>minCO2&amp;EQ</v>
          </cell>
          <cell r="AR7">
            <v>26.550000000000004</v>
          </cell>
          <cell r="AS7">
            <v>0</v>
          </cell>
          <cell r="AT7">
            <v>0</v>
          </cell>
          <cell r="AU7">
            <v>73.459999999999994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100.00999999999999</v>
          </cell>
        </row>
        <row r="8">
          <cell r="AQ8" t="str">
            <v>minCO2&amp;HH</v>
          </cell>
          <cell r="AR8">
            <v>26.550000000000004</v>
          </cell>
          <cell r="AS8">
            <v>26.729999999999997</v>
          </cell>
          <cell r="AT8">
            <v>0</v>
          </cell>
          <cell r="AU8">
            <v>46.73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100.00999999999999</v>
          </cell>
        </row>
        <row r="9">
          <cell r="AQ9" t="str">
            <v>minCO2&amp;EQ&amp;HH</v>
          </cell>
          <cell r="AR9">
            <v>26.550000000000004</v>
          </cell>
          <cell r="AS9">
            <v>0</v>
          </cell>
          <cell r="AT9">
            <v>0</v>
          </cell>
          <cell r="AU9">
            <v>73.459999999999994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100.00999999999999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R3">
            <v>8.86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91.15</v>
          </cell>
        </row>
        <row r="4">
          <cell r="AQ4" t="str">
            <v>minEQ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</row>
        <row r="5">
          <cell r="AQ5" t="str">
            <v>minHH</v>
          </cell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</row>
        <row r="6">
          <cell r="AQ6" t="str">
            <v>minEQ&amp;HH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100</v>
          </cell>
        </row>
        <row r="7">
          <cell r="AQ7" t="str">
            <v>minCO2&amp;EQ</v>
          </cell>
          <cell r="AR7">
            <v>1.29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98.71</v>
          </cell>
        </row>
        <row r="8">
          <cell r="AQ8" t="str">
            <v>minCO2&amp;HH</v>
          </cell>
          <cell r="AR8">
            <v>8.86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91.15</v>
          </cell>
        </row>
        <row r="9">
          <cell r="AQ9" t="str">
            <v>minCO2&amp;EQ&amp;HH</v>
          </cell>
          <cell r="AR9">
            <v>1.29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98.71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Contrainte de capacité"/>
    </sheetNames>
    <sheetDataSet>
      <sheetData sheetId="0">
        <row r="2"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minCC</v>
          </cell>
          <cell r="AK3">
            <v>13.280000000000001</v>
          </cell>
          <cell r="AL3">
            <v>16.11</v>
          </cell>
          <cell r="AM3">
            <v>0</v>
          </cell>
          <cell r="AN3">
            <v>70.62</v>
          </cell>
        </row>
        <row r="4">
          <cell r="AJ4" t="str">
            <v>minEQ</v>
          </cell>
          <cell r="AK4">
            <v>13.280000000000001</v>
          </cell>
          <cell r="AL4">
            <v>0</v>
          </cell>
          <cell r="AM4">
            <v>86.73</v>
          </cell>
          <cell r="AN4">
            <v>0</v>
          </cell>
        </row>
        <row r="5">
          <cell r="AJ5" t="str">
            <v>minHH</v>
          </cell>
          <cell r="AK5">
            <v>13.280000000000001</v>
          </cell>
          <cell r="AL5">
            <v>0</v>
          </cell>
          <cell r="AM5">
            <v>86.73</v>
          </cell>
          <cell r="AN5">
            <v>0</v>
          </cell>
        </row>
        <row r="6">
          <cell r="AJ6" t="str">
            <v>minEQ&amp;HH</v>
          </cell>
          <cell r="AK6">
            <v>13.280000000000001</v>
          </cell>
          <cell r="AL6">
            <v>0</v>
          </cell>
          <cell r="AM6">
            <v>86.73</v>
          </cell>
          <cell r="AN6">
            <v>0</v>
          </cell>
        </row>
        <row r="7">
          <cell r="AJ7" t="str">
            <v>minCO2&amp;EQ</v>
          </cell>
          <cell r="AK7">
            <v>13.280000000000001</v>
          </cell>
          <cell r="AL7">
            <v>0</v>
          </cell>
          <cell r="AM7">
            <v>86.73</v>
          </cell>
          <cell r="AN7">
            <v>0</v>
          </cell>
        </row>
        <row r="8">
          <cell r="AJ8" t="str">
            <v>minCO2&amp;HH</v>
          </cell>
          <cell r="AK8">
            <v>13.280000000000001</v>
          </cell>
          <cell r="AL8">
            <v>6.6999999999999993</v>
          </cell>
          <cell r="AM8">
            <v>80.03</v>
          </cell>
          <cell r="AN8">
            <v>0</v>
          </cell>
        </row>
        <row r="9">
          <cell r="AJ9" t="str">
            <v>minCO2&amp;EQ&amp;HH</v>
          </cell>
          <cell r="AK9">
            <v>13.280000000000001</v>
          </cell>
          <cell r="AL9">
            <v>0</v>
          </cell>
          <cell r="AM9">
            <v>86.73</v>
          </cell>
          <cell r="AN9">
            <v>0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K3">
            <v>26.550000000000004</v>
          </cell>
          <cell r="AL3">
            <v>32.229999999999997</v>
          </cell>
          <cell r="AM3">
            <v>0</v>
          </cell>
          <cell r="AN3">
            <v>41.23</v>
          </cell>
          <cell r="AO3">
            <v>100.00999999999999</v>
          </cell>
        </row>
        <row r="4">
          <cell r="AJ4" t="str">
            <v>minEQ</v>
          </cell>
          <cell r="AK4">
            <v>26.550000000000004</v>
          </cell>
          <cell r="AL4">
            <v>0</v>
          </cell>
          <cell r="AM4">
            <v>73.459999999999994</v>
          </cell>
          <cell r="AN4">
            <v>0</v>
          </cell>
          <cell r="AO4">
            <v>100.00999999999999</v>
          </cell>
        </row>
        <row r="5">
          <cell r="AJ5" t="str">
            <v>minHH</v>
          </cell>
          <cell r="AK5">
            <v>26.550000000000004</v>
          </cell>
          <cell r="AL5">
            <v>0</v>
          </cell>
          <cell r="AM5">
            <v>73.459999999999994</v>
          </cell>
          <cell r="AN5">
            <v>0</v>
          </cell>
          <cell r="AO5">
            <v>100.00999999999999</v>
          </cell>
        </row>
        <row r="6">
          <cell r="AJ6" t="str">
            <v>minEQ&amp;HH</v>
          </cell>
          <cell r="AK6">
            <v>26.550000000000004</v>
          </cell>
          <cell r="AL6">
            <v>0</v>
          </cell>
          <cell r="AM6">
            <v>73.459999999999994</v>
          </cell>
          <cell r="AN6">
            <v>0</v>
          </cell>
          <cell r="AO6">
            <v>100.00999999999999</v>
          </cell>
        </row>
        <row r="7">
          <cell r="AJ7" t="str">
            <v>minCO2&amp;EQ</v>
          </cell>
          <cell r="AK7">
            <v>26.550000000000004</v>
          </cell>
          <cell r="AL7">
            <v>0</v>
          </cell>
          <cell r="AM7">
            <v>73.459999999999994</v>
          </cell>
          <cell r="AN7">
            <v>0</v>
          </cell>
          <cell r="AO7">
            <v>100.00999999999999</v>
          </cell>
        </row>
        <row r="8">
          <cell r="AJ8" t="str">
            <v>minCO2&amp;HH</v>
          </cell>
          <cell r="AK8">
            <v>26.550000000000004</v>
          </cell>
          <cell r="AL8">
            <v>26.729999999999997</v>
          </cell>
          <cell r="AM8">
            <v>46.73</v>
          </cell>
          <cell r="AN8">
            <v>0</v>
          </cell>
          <cell r="AO8">
            <v>100.00999999999999</v>
          </cell>
        </row>
        <row r="9">
          <cell r="AJ9" t="str">
            <v>minCO2&amp;EQ&amp;HH</v>
          </cell>
          <cell r="AK9">
            <v>26.550000000000004</v>
          </cell>
          <cell r="AL9">
            <v>0</v>
          </cell>
          <cell r="AM9">
            <v>73.459999999999994</v>
          </cell>
          <cell r="AN9">
            <v>0</v>
          </cell>
          <cell r="AO9">
            <v>100.00999999999999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K3">
            <v>8.86</v>
          </cell>
          <cell r="AL3">
            <v>6.95</v>
          </cell>
          <cell r="AM3">
            <v>32.25</v>
          </cell>
          <cell r="AN3">
            <v>51.95</v>
          </cell>
          <cell r="AO3">
            <v>100.01</v>
          </cell>
        </row>
        <row r="4">
          <cell r="AJ4" t="str">
            <v>minEQ</v>
          </cell>
          <cell r="AK4">
            <v>8.86</v>
          </cell>
          <cell r="AL4">
            <v>3.41</v>
          </cell>
          <cell r="AM4">
            <v>62.34</v>
          </cell>
          <cell r="AN4">
            <v>25.4</v>
          </cell>
          <cell r="AO4">
            <v>100.00999999999999</v>
          </cell>
        </row>
        <row r="5">
          <cell r="AJ5" t="str">
            <v>minHH</v>
          </cell>
          <cell r="AK5">
            <v>8.86</v>
          </cell>
          <cell r="AL5">
            <v>3.41</v>
          </cell>
          <cell r="AM5">
            <v>62.34</v>
          </cell>
          <cell r="AN5">
            <v>25.4</v>
          </cell>
          <cell r="AO5">
            <v>100.00999999999999</v>
          </cell>
        </row>
        <row r="6">
          <cell r="AJ6" t="str">
            <v>minEQ&amp;HH</v>
          </cell>
          <cell r="AK6">
            <v>8.86</v>
          </cell>
          <cell r="AL6">
            <v>3.41</v>
          </cell>
          <cell r="AM6">
            <v>62.34</v>
          </cell>
          <cell r="AN6">
            <v>25.4</v>
          </cell>
          <cell r="AO6">
            <v>100.00999999999999</v>
          </cell>
        </row>
        <row r="7">
          <cell r="AJ7" t="str">
            <v>minCO2&amp;EQ</v>
          </cell>
          <cell r="AK7">
            <v>8.86</v>
          </cell>
          <cell r="AL7">
            <v>3.41</v>
          </cell>
          <cell r="AM7">
            <v>62.34</v>
          </cell>
          <cell r="AN7">
            <v>25.4</v>
          </cell>
          <cell r="AO7">
            <v>100.00999999999999</v>
          </cell>
        </row>
        <row r="8">
          <cell r="AJ8" t="str">
            <v>minCO2&amp;HH</v>
          </cell>
          <cell r="AK8">
            <v>8.86</v>
          </cell>
          <cell r="AL8">
            <v>3.41</v>
          </cell>
          <cell r="AM8">
            <v>62.34</v>
          </cell>
          <cell r="AN8">
            <v>25.4</v>
          </cell>
          <cell r="AO8">
            <v>100.00999999999999</v>
          </cell>
        </row>
        <row r="9">
          <cell r="AJ9" t="str">
            <v>minCO2&amp;EQ&amp;HH</v>
          </cell>
          <cell r="AK9">
            <v>8.86</v>
          </cell>
          <cell r="AL9">
            <v>3.41</v>
          </cell>
          <cell r="AM9">
            <v>62.34</v>
          </cell>
          <cell r="AN9">
            <v>25.4</v>
          </cell>
          <cell r="AO9">
            <v>100.00999999999999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0"/>
  <sheetViews>
    <sheetView tabSelected="1" workbookViewId="0">
      <selection activeCell="W5" sqref="W5"/>
    </sheetView>
  </sheetViews>
  <sheetFormatPr baseColWidth="10" defaultColWidth="8.7265625" defaultRowHeight="14.5" x14ac:dyDescent="0.35"/>
  <cols>
    <col min="2" max="2" width="0" hidden="1" customWidth="1"/>
  </cols>
  <sheetData>
    <row r="2" spans="1:33" x14ac:dyDescent="0.35">
      <c r="A2" t="s">
        <v>1</v>
      </c>
      <c r="N2" t="s">
        <v>2</v>
      </c>
      <c r="Y2" t="s">
        <v>3</v>
      </c>
    </row>
    <row r="3" spans="1:33" x14ac:dyDescent="0.35">
      <c r="A3" t="str">
        <f>[1]results!AQ2</f>
        <v>name</v>
      </c>
      <c r="C3" t="str">
        <f>[1]results!AR2</f>
        <v>HC</v>
      </c>
      <c r="D3" t="str">
        <f>[1]results!AS2</f>
        <v>IC</v>
      </c>
      <c r="E3" t="str">
        <f>[1]results!AT2</f>
        <v>AD-cog-dig</v>
      </c>
      <c r="F3" t="str">
        <f>[1]results!AU2</f>
        <v>AD-cog-comp</v>
      </c>
      <c r="G3" t="str">
        <f>[1]results!AV2</f>
        <v>AD-biomet-dig</v>
      </c>
      <c r="H3" t="str">
        <f>[1]results!AW2</f>
        <v>AD-biomet-comp</v>
      </c>
      <c r="I3" t="str">
        <f>[1]results!AX2</f>
        <v>AD-heat-dig</v>
      </c>
      <c r="J3" t="str">
        <f>[1]results!AY2</f>
        <v>AD-heat-comp</v>
      </c>
      <c r="K3">
        <f>[1]results!AZ2</f>
        <v>0</v>
      </c>
      <c r="N3" t="str">
        <f>[2]results!AQ2</f>
        <v>name</v>
      </c>
      <c r="O3" t="str">
        <f>[2]results!AR2</f>
        <v>HC</v>
      </c>
      <c r="P3" t="str">
        <f>[2]results!AS2</f>
        <v>IC</v>
      </c>
      <c r="Q3" t="str">
        <f>[2]results!AT2</f>
        <v>AD-cog-dig</v>
      </c>
      <c r="R3" t="str">
        <f>[2]results!AU2</f>
        <v>AD-cog-comp</v>
      </c>
      <c r="S3" t="str">
        <f>[2]results!AV2</f>
        <v>AD-biomet-dig</v>
      </c>
      <c r="T3" t="str">
        <f>[2]results!AW2</f>
        <v>AD-biomet-comp</v>
      </c>
      <c r="U3" t="str">
        <f>[2]results!AX2</f>
        <v>AD-heat-dig</v>
      </c>
      <c r="V3" t="str">
        <f>[2]results!AY2</f>
        <v>AD-heat-comp</v>
      </c>
      <c r="W3">
        <f>[2]results!AZ2</f>
        <v>0</v>
      </c>
      <c r="Y3" t="str">
        <f>[3]results!AQ2</f>
        <v>name</v>
      </c>
      <c r="Z3" t="str">
        <f>[3]results!AR2</f>
        <v>HC</v>
      </c>
      <c r="AA3" t="str">
        <f>[3]results!AS2</f>
        <v>IC</v>
      </c>
      <c r="AB3" t="str">
        <f>[3]results!AT2</f>
        <v>AD-cog-dig</v>
      </c>
      <c r="AC3" t="str">
        <f>[3]results!AU2</f>
        <v>AD-cog-comp</v>
      </c>
      <c r="AD3" t="str">
        <f>[3]results!AV2</f>
        <v>AD-biomet-dig</v>
      </c>
      <c r="AE3" t="str">
        <f>[3]results!AW2</f>
        <v>AD-biomet-comp</v>
      </c>
      <c r="AF3" t="str">
        <f>[3]results!AX2</f>
        <v>AD-heat-dig</v>
      </c>
      <c r="AG3" t="str">
        <f>[3]results!AY2</f>
        <v>AD-heat-comp</v>
      </c>
    </row>
    <row r="4" spans="1:33" x14ac:dyDescent="0.35">
      <c r="B4">
        <v>-0.5</v>
      </c>
      <c r="C4">
        <f t="shared" ref="C4:K4" si="0">O5</f>
        <v>26.550000000000004</v>
      </c>
      <c r="D4">
        <f t="shared" si="0"/>
        <v>32.229999999999997</v>
      </c>
      <c r="E4">
        <f t="shared" si="0"/>
        <v>0</v>
      </c>
      <c r="F4">
        <f t="shared" si="0"/>
        <v>0</v>
      </c>
      <c r="G4">
        <f t="shared" si="0"/>
        <v>41.23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100.00999999999999</v>
      </c>
    </row>
    <row r="5" spans="1:33" x14ac:dyDescent="0.35">
      <c r="A5" t="str">
        <f>[1]results!AQ3</f>
        <v>minCO2</v>
      </c>
      <c r="C5">
        <f>[1]results!AR3</f>
        <v>6.5</v>
      </c>
      <c r="D5">
        <f>[1]results!AS3</f>
        <v>0</v>
      </c>
      <c r="E5">
        <f>[1]results!AT3</f>
        <v>0</v>
      </c>
      <c r="F5">
        <f>[1]results!AU3</f>
        <v>0</v>
      </c>
      <c r="G5">
        <f>[1]results!AV3</f>
        <v>0</v>
      </c>
      <c r="H5">
        <f>[1]results!AW3</f>
        <v>0</v>
      </c>
      <c r="I5">
        <f>[1]results!AX3</f>
        <v>0</v>
      </c>
      <c r="J5">
        <f>[1]results!AY3</f>
        <v>93.51</v>
      </c>
      <c r="K5">
        <f>[1]results!AZ3</f>
        <v>100.01</v>
      </c>
      <c r="N5" t="str">
        <f>[2]results!AQ3</f>
        <v>minCO2</v>
      </c>
      <c r="O5">
        <f>[2]results!AR3</f>
        <v>26.550000000000004</v>
      </c>
      <c r="P5">
        <f>[2]results!AS3</f>
        <v>32.229999999999997</v>
      </c>
      <c r="Q5">
        <f>[2]results!AT3</f>
        <v>0</v>
      </c>
      <c r="R5">
        <f>[2]results!AU3</f>
        <v>0</v>
      </c>
      <c r="S5">
        <f>[2]results!AV3</f>
        <v>41.23</v>
      </c>
      <c r="T5">
        <f>[2]results!AW3</f>
        <v>0</v>
      </c>
      <c r="U5">
        <f>[2]results!AX3</f>
        <v>0</v>
      </c>
      <c r="V5">
        <f>[2]results!AY3</f>
        <v>0</v>
      </c>
      <c r="W5">
        <f>[2]results!AZ3</f>
        <v>100.00999999999999</v>
      </c>
      <c r="Y5" t="str">
        <f>[3]results!AQ3</f>
        <v>minCO2</v>
      </c>
      <c r="Z5">
        <f>[3]results!AR3</f>
        <v>8.86</v>
      </c>
      <c r="AA5">
        <f>[3]results!AS3</f>
        <v>0</v>
      </c>
      <c r="AB5">
        <f>[3]results!AT3</f>
        <v>0</v>
      </c>
      <c r="AC5">
        <f>[3]results!AU3</f>
        <v>0</v>
      </c>
      <c r="AD5">
        <f>[3]results!AV3</f>
        <v>0</v>
      </c>
      <c r="AE5">
        <f>[3]results!AW3</f>
        <v>0</v>
      </c>
      <c r="AF5">
        <f>[3]results!AX3</f>
        <v>0</v>
      </c>
      <c r="AG5">
        <f>[3]results!AY3</f>
        <v>91.15</v>
      </c>
    </row>
    <row r="6" spans="1:33" x14ac:dyDescent="0.35">
      <c r="B6">
        <v>0.5</v>
      </c>
      <c r="C6">
        <f t="shared" ref="C6:J6" si="1">Z5</f>
        <v>8.86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91.15</v>
      </c>
    </row>
    <row r="8" spans="1:33" x14ac:dyDescent="0.35">
      <c r="B8">
        <v>-0.5</v>
      </c>
      <c r="C8">
        <f t="shared" ref="C8:K8" si="2">O9</f>
        <v>26.550000000000004</v>
      </c>
      <c r="D8">
        <f t="shared" si="2"/>
        <v>0</v>
      </c>
      <c r="E8">
        <f t="shared" si="2"/>
        <v>0</v>
      </c>
      <c r="F8">
        <f t="shared" si="2"/>
        <v>73.459999999999994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 t="shared" si="2"/>
        <v>100.00999999999999</v>
      </c>
    </row>
    <row r="9" spans="1:33" x14ac:dyDescent="0.35">
      <c r="A9" t="str">
        <f>[1]results!AQ4</f>
        <v>minEQ</v>
      </c>
      <c r="C9">
        <f>[1]results!AR4</f>
        <v>0</v>
      </c>
      <c r="D9">
        <f>[1]results!AS4</f>
        <v>0</v>
      </c>
      <c r="E9">
        <f>[1]results!AT4</f>
        <v>0</v>
      </c>
      <c r="F9">
        <f>[1]results!AU4</f>
        <v>0</v>
      </c>
      <c r="G9">
        <f>[1]results!AV4</f>
        <v>0</v>
      </c>
      <c r="H9">
        <f>[1]results!AW4</f>
        <v>0</v>
      </c>
      <c r="I9">
        <f>[1]results!AX4</f>
        <v>0</v>
      </c>
      <c r="J9">
        <f>[1]results!AY4</f>
        <v>100</v>
      </c>
      <c r="K9">
        <f>[1]results!AZ4</f>
        <v>100</v>
      </c>
      <c r="N9" t="str">
        <f>[2]results!AQ4</f>
        <v>minEQ</v>
      </c>
      <c r="O9">
        <f>[2]results!AR4</f>
        <v>26.550000000000004</v>
      </c>
      <c r="P9">
        <f>[2]results!AS4</f>
        <v>0</v>
      </c>
      <c r="Q9">
        <f>[2]results!AT4</f>
        <v>0</v>
      </c>
      <c r="R9">
        <f>[2]results!AU4</f>
        <v>73.459999999999994</v>
      </c>
      <c r="S9">
        <f>[2]results!AV4</f>
        <v>0</v>
      </c>
      <c r="T9">
        <f>[2]results!AW4</f>
        <v>0</v>
      </c>
      <c r="U9">
        <f>[2]results!AX4</f>
        <v>0</v>
      </c>
      <c r="V9">
        <f>[2]results!AY4</f>
        <v>0</v>
      </c>
      <c r="W9">
        <f>[2]results!AZ4</f>
        <v>100.00999999999999</v>
      </c>
      <c r="Y9" t="str">
        <f>[3]results!AQ4</f>
        <v>minEQ</v>
      </c>
      <c r="Z9">
        <f>[3]results!AR4</f>
        <v>0</v>
      </c>
      <c r="AA9">
        <f>[3]results!AS4</f>
        <v>0</v>
      </c>
      <c r="AB9">
        <f>[3]results!AT4</f>
        <v>0</v>
      </c>
      <c r="AC9">
        <f>[3]results!AU4</f>
        <v>0</v>
      </c>
      <c r="AD9">
        <f>[3]results!AV4</f>
        <v>0</v>
      </c>
      <c r="AE9">
        <f>[3]results!AW4</f>
        <v>0</v>
      </c>
      <c r="AF9">
        <f>[3]results!AX4</f>
        <v>0</v>
      </c>
      <c r="AG9">
        <f>[3]results!AY4</f>
        <v>100</v>
      </c>
    </row>
    <row r="10" spans="1:33" x14ac:dyDescent="0.35">
      <c r="B10">
        <v>0.5</v>
      </c>
      <c r="C10">
        <f t="shared" ref="C10:J10" si="3">Z9</f>
        <v>0</v>
      </c>
      <c r="D10">
        <f t="shared" si="3"/>
        <v>0</v>
      </c>
      <c r="E10">
        <f t="shared" si="3"/>
        <v>0</v>
      </c>
      <c r="F10">
        <f t="shared" si="3"/>
        <v>0</v>
      </c>
      <c r="G10">
        <f t="shared" si="3"/>
        <v>0</v>
      </c>
      <c r="H10">
        <f t="shared" si="3"/>
        <v>0</v>
      </c>
      <c r="I10">
        <f t="shared" si="3"/>
        <v>0</v>
      </c>
      <c r="J10">
        <f t="shared" si="3"/>
        <v>100</v>
      </c>
    </row>
    <row r="12" spans="1:33" x14ac:dyDescent="0.35">
      <c r="B12">
        <v>-0.5</v>
      </c>
      <c r="C12">
        <f t="shared" ref="C12:K12" si="4">O13</f>
        <v>26.550000000000004</v>
      </c>
      <c r="D12">
        <f t="shared" si="4"/>
        <v>0</v>
      </c>
      <c r="E12">
        <f t="shared" si="4"/>
        <v>0</v>
      </c>
      <c r="F12">
        <f t="shared" si="4"/>
        <v>73.459999999999994</v>
      </c>
      <c r="G12">
        <f t="shared" si="4"/>
        <v>0</v>
      </c>
      <c r="H12">
        <f t="shared" si="4"/>
        <v>0</v>
      </c>
      <c r="I12">
        <f t="shared" si="4"/>
        <v>0</v>
      </c>
      <c r="J12">
        <f t="shared" si="4"/>
        <v>0</v>
      </c>
      <c r="K12">
        <f t="shared" si="4"/>
        <v>100.00999999999999</v>
      </c>
    </row>
    <row r="13" spans="1:33" x14ac:dyDescent="0.35">
      <c r="A13" t="str">
        <f>[1]results!AQ5</f>
        <v>minHH</v>
      </c>
      <c r="C13">
        <f>[1]results!AR5</f>
        <v>1.29</v>
      </c>
      <c r="D13">
        <f>[1]results!AS5</f>
        <v>0</v>
      </c>
      <c r="E13">
        <f>[1]results!AT5</f>
        <v>0</v>
      </c>
      <c r="F13">
        <f>[1]results!AU5</f>
        <v>0</v>
      </c>
      <c r="G13">
        <f>[1]results!AV5</f>
        <v>0</v>
      </c>
      <c r="H13">
        <f>[1]results!AW5</f>
        <v>0</v>
      </c>
      <c r="I13">
        <f>[1]results!AX5</f>
        <v>0</v>
      </c>
      <c r="J13">
        <f>[1]results!AY5</f>
        <v>98.71</v>
      </c>
      <c r="K13">
        <f>[1]results!AZ5</f>
        <v>100</v>
      </c>
      <c r="N13" t="str">
        <f>[2]results!AQ5</f>
        <v>minHH</v>
      </c>
      <c r="O13">
        <f>[2]results!AR5</f>
        <v>26.550000000000004</v>
      </c>
      <c r="P13">
        <f>[2]results!AS5</f>
        <v>0</v>
      </c>
      <c r="Q13">
        <f>[2]results!AT5</f>
        <v>0</v>
      </c>
      <c r="R13">
        <f>[2]results!AU5</f>
        <v>73.459999999999994</v>
      </c>
      <c r="S13">
        <f>[2]results!AV5</f>
        <v>0</v>
      </c>
      <c r="T13">
        <f>[2]results!AW5</f>
        <v>0</v>
      </c>
      <c r="U13">
        <f>[2]results!AX5</f>
        <v>0</v>
      </c>
      <c r="V13">
        <f>[2]results!AY5</f>
        <v>0</v>
      </c>
      <c r="W13">
        <f>[2]results!AZ5</f>
        <v>100.00999999999999</v>
      </c>
      <c r="Y13" t="str">
        <f>[3]results!AQ5</f>
        <v>minHH</v>
      </c>
      <c r="Z13">
        <f>[3]results!AR5</f>
        <v>1.29</v>
      </c>
      <c r="AA13">
        <f>[3]results!AS5</f>
        <v>0</v>
      </c>
      <c r="AB13">
        <f>[3]results!AT5</f>
        <v>0</v>
      </c>
      <c r="AC13">
        <f>[3]results!AU5</f>
        <v>0</v>
      </c>
      <c r="AD13">
        <f>[3]results!AV5</f>
        <v>0</v>
      </c>
      <c r="AE13">
        <f>[3]results!AW5</f>
        <v>0</v>
      </c>
      <c r="AF13">
        <f>[3]results!AX5</f>
        <v>0</v>
      </c>
      <c r="AG13">
        <f>[3]results!AY5</f>
        <v>98.71</v>
      </c>
    </row>
    <row r="14" spans="1:33" x14ac:dyDescent="0.35">
      <c r="B14">
        <v>0.5</v>
      </c>
      <c r="C14">
        <f t="shared" ref="C14:J14" si="5">Z13</f>
        <v>1.29</v>
      </c>
      <c r="D14">
        <f t="shared" si="5"/>
        <v>0</v>
      </c>
      <c r="E14">
        <f t="shared" si="5"/>
        <v>0</v>
      </c>
      <c r="F14">
        <f t="shared" si="5"/>
        <v>0</v>
      </c>
      <c r="G14">
        <f t="shared" si="5"/>
        <v>0</v>
      </c>
      <c r="H14">
        <f t="shared" si="5"/>
        <v>0</v>
      </c>
      <c r="I14">
        <f t="shared" si="5"/>
        <v>0</v>
      </c>
      <c r="J14">
        <f t="shared" si="5"/>
        <v>98.71</v>
      </c>
    </row>
    <row r="16" spans="1:33" x14ac:dyDescent="0.35">
      <c r="B16">
        <v>-0.5</v>
      </c>
      <c r="C16">
        <f t="shared" ref="C16:K16" si="6">O17</f>
        <v>26.550000000000004</v>
      </c>
      <c r="D16">
        <f t="shared" si="6"/>
        <v>0</v>
      </c>
      <c r="E16">
        <f t="shared" si="6"/>
        <v>0</v>
      </c>
      <c r="F16">
        <f t="shared" si="6"/>
        <v>73.459999999999994</v>
      </c>
      <c r="G16">
        <f t="shared" si="6"/>
        <v>0</v>
      </c>
      <c r="H16">
        <f t="shared" si="6"/>
        <v>0</v>
      </c>
      <c r="I16">
        <f t="shared" si="6"/>
        <v>0</v>
      </c>
      <c r="J16">
        <f t="shared" si="6"/>
        <v>0</v>
      </c>
      <c r="K16">
        <f t="shared" si="6"/>
        <v>100.00999999999999</v>
      </c>
    </row>
    <row r="17" spans="1:33" x14ac:dyDescent="0.35">
      <c r="A17" t="str">
        <f>[1]results!AQ6</f>
        <v>minEQ&amp;HH</v>
      </c>
      <c r="C17">
        <f>[1]results!AR6</f>
        <v>0</v>
      </c>
      <c r="D17">
        <f>[1]results!AS6</f>
        <v>0</v>
      </c>
      <c r="E17">
        <f>[1]results!AT6</f>
        <v>0</v>
      </c>
      <c r="F17">
        <f>[1]results!AU6</f>
        <v>0</v>
      </c>
      <c r="G17">
        <f>[1]results!AV6</f>
        <v>0</v>
      </c>
      <c r="H17">
        <f>[1]results!AW6</f>
        <v>0</v>
      </c>
      <c r="I17">
        <f>[1]results!AX6</f>
        <v>0</v>
      </c>
      <c r="J17">
        <f>[1]results!AY6</f>
        <v>100</v>
      </c>
      <c r="K17">
        <f>[1]results!AZ6</f>
        <v>100</v>
      </c>
      <c r="N17" t="str">
        <f>[2]results!AQ6</f>
        <v>minEQ&amp;HH</v>
      </c>
      <c r="O17">
        <f>[2]results!AR6</f>
        <v>26.550000000000004</v>
      </c>
      <c r="P17">
        <f>[2]results!AS6</f>
        <v>0</v>
      </c>
      <c r="Q17">
        <f>[2]results!AT6</f>
        <v>0</v>
      </c>
      <c r="R17">
        <f>[2]results!AU6</f>
        <v>73.459999999999994</v>
      </c>
      <c r="S17">
        <f>[2]results!AV6</f>
        <v>0</v>
      </c>
      <c r="T17">
        <f>[2]results!AW6</f>
        <v>0</v>
      </c>
      <c r="U17">
        <f>[2]results!AX6</f>
        <v>0</v>
      </c>
      <c r="V17">
        <f>[2]results!AY6</f>
        <v>0</v>
      </c>
      <c r="W17">
        <f>[2]results!AZ6</f>
        <v>100.00999999999999</v>
      </c>
      <c r="Y17" t="str">
        <f>[3]results!AQ6</f>
        <v>minEQ&amp;HH</v>
      </c>
      <c r="Z17">
        <f>[3]results!AR6</f>
        <v>0</v>
      </c>
      <c r="AA17">
        <f>[3]results!AS6</f>
        <v>0</v>
      </c>
      <c r="AB17">
        <f>[3]results!AT6</f>
        <v>0</v>
      </c>
      <c r="AC17">
        <f>[3]results!AU6</f>
        <v>0</v>
      </c>
      <c r="AD17">
        <f>[3]results!AV6</f>
        <v>0</v>
      </c>
      <c r="AE17">
        <f>[3]results!AW6</f>
        <v>0</v>
      </c>
      <c r="AF17">
        <f>[3]results!AX6</f>
        <v>0</v>
      </c>
      <c r="AG17">
        <f>[3]results!AY6</f>
        <v>100</v>
      </c>
    </row>
    <row r="18" spans="1:33" x14ac:dyDescent="0.35">
      <c r="B18">
        <v>0.5</v>
      </c>
      <c r="C18">
        <f t="shared" ref="C18:J18" si="7">Z17</f>
        <v>0</v>
      </c>
      <c r="D18">
        <f t="shared" si="7"/>
        <v>0</v>
      </c>
      <c r="E18">
        <f t="shared" si="7"/>
        <v>0</v>
      </c>
      <c r="F18">
        <f t="shared" si="7"/>
        <v>0</v>
      </c>
      <c r="G18">
        <f t="shared" si="7"/>
        <v>0</v>
      </c>
      <c r="H18">
        <f t="shared" si="7"/>
        <v>0</v>
      </c>
      <c r="I18">
        <f t="shared" si="7"/>
        <v>0</v>
      </c>
      <c r="J18">
        <f t="shared" si="7"/>
        <v>100</v>
      </c>
    </row>
    <row r="20" spans="1:33" x14ac:dyDescent="0.35">
      <c r="B20">
        <v>-0.5</v>
      </c>
      <c r="C20">
        <f t="shared" ref="C20:K20" si="8">O21</f>
        <v>26.550000000000004</v>
      </c>
      <c r="D20">
        <f t="shared" si="8"/>
        <v>0</v>
      </c>
      <c r="E20">
        <f t="shared" si="8"/>
        <v>0</v>
      </c>
      <c r="F20">
        <f t="shared" si="8"/>
        <v>73.459999999999994</v>
      </c>
      <c r="G20">
        <f t="shared" si="8"/>
        <v>0</v>
      </c>
      <c r="H20">
        <f t="shared" si="8"/>
        <v>0</v>
      </c>
      <c r="I20">
        <f t="shared" si="8"/>
        <v>0</v>
      </c>
      <c r="J20">
        <f t="shared" si="8"/>
        <v>0</v>
      </c>
      <c r="K20">
        <f t="shared" si="8"/>
        <v>100.00999999999999</v>
      </c>
    </row>
    <row r="21" spans="1:33" x14ac:dyDescent="0.35">
      <c r="A21" t="str">
        <f>[1]results!AQ7</f>
        <v>minCO2&amp;EQ</v>
      </c>
      <c r="C21">
        <f>[1]results!AR7</f>
        <v>1.29</v>
      </c>
      <c r="D21">
        <f>[1]results!AS7</f>
        <v>0</v>
      </c>
      <c r="E21">
        <f>[1]results!AT7</f>
        <v>0</v>
      </c>
      <c r="F21">
        <f>[1]results!AU7</f>
        <v>0</v>
      </c>
      <c r="G21">
        <f>[1]results!AV7</f>
        <v>0</v>
      </c>
      <c r="H21">
        <f>[1]results!AW7</f>
        <v>0</v>
      </c>
      <c r="I21">
        <f>[1]results!AX7</f>
        <v>0</v>
      </c>
      <c r="J21">
        <f>[1]results!AY7</f>
        <v>98.71</v>
      </c>
      <c r="K21">
        <f>[1]results!AZ7</f>
        <v>100</v>
      </c>
      <c r="N21" t="str">
        <f>[2]results!AQ7</f>
        <v>minCO2&amp;EQ</v>
      </c>
      <c r="O21">
        <f>[2]results!AR7</f>
        <v>26.550000000000004</v>
      </c>
      <c r="P21">
        <f>[2]results!AS7</f>
        <v>0</v>
      </c>
      <c r="Q21">
        <f>[2]results!AT7</f>
        <v>0</v>
      </c>
      <c r="R21">
        <f>[2]results!AU7</f>
        <v>73.459999999999994</v>
      </c>
      <c r="S21">
        <f>[2]results!AV7</f>
        <v>0</v>
      </c>
      <c r="T21">
        <f>[2]results!AW7</f>
        <v>0</v>
      </c>
      <c r="U21">
        <f>[2]results!AX7</f>
        <v>0</v>
      </c>
      <c r="V21">
        <f>[2]results!AY7</f>
        <v>0</v>
      </c>
      <c r="W21">
        <f>[2]results!AZ7</f>
        <v>100.00999999999999</v>
      </c>
      <c r="Y21" t="str">
        <f>[3]results!AQ7</f>
        <v>minCO2&amp;EQ</v>
      </c>
      <c r="Z21">
        <f>[3]results!AR7</f>
        <v>1.29</v>
      </c>
      <c r="AA21">
        <f>[3]results!AS7</f>
        <v>0</v>
      </c>
      <c r="AB21">
        <f>[3]results!AT7</f>
        <v>0</v>
      </c>
      <c r="AC21">
        <f>[3]results!AU7</f>
        <v>0</v>
      </c>
      <c r="AD21">
        <f>[3]results!AV7</f>
        <v>0</v>
      </c>
      <c r="AE21">
        <f>[3]results!AW7</f>
        <v>0</v>
      </c>
      <c r="AF21">
        <f>[3]results!AX7</f>
        <v>0</v>
      </c>
      <c r="AG21">
        <f>[3]results!AY7</f>
        <v>98.71</v>
      </c>
    </row>
    <row r="22" spans="1:33" x14ac:dyDescent="0.35">
      <c r="B22">
        <v>0.5</v>
      </c>
      <c r="C22">
        <f t="shared" ref="C22:J22" si="9">Z21</f>
        <v>1.29</v>
      </c>
      <c r="D22">
        <f t="shared" si="9"/>
        <v>0</v>
      </c>
      <c r="E22">
        <f t="shared" si="9"/>
        <v>0</v>
      </c>
      <c r="F22">
        <f t="shared" si="9"/>
        <v>0</v>
      </c>
      <c r="G22">
        <f t="shared" si="9"/>
        <v>0</v>
      </c>
      <c r="H22">
        <f t="shared" si="9"/>
        <v>0</v>
      </c>
      <c r="I22">
        <f t="shared" si="9"/>
        <v>0</v>
      </c>
      <c r="J22">
        <f t="shared" si="9"/>
        <v>98.71</v>
      </c>
    </row>
    <row r="24" spans="1:33" x14ac:dyDescent="0.35">
      <c r="B24">
        <v>-0.5</v>
      </c>
      <c r="C24">
        <f t="shared" ref="C24:K24" si="10">O25</f>
        <v>26.550000000000004</v>
      </c>
      <c r="D24">
        <f t="shared" si="10"/>
        <v>26.729999999999997</v>
      </c>
      <c r="E24">
        <f t="shared" si="10"/>
        <v>0</v>
      </c>
      <c r="F24">
        <f t="shared" si="10"/>
        <v>46.73</v>
      </c>
      <c r="G24">
        <f t="shared" si="10"/>
        <v>0</v>
      </c>
      <c r="H24">
        <f t="shared" si="10"/>
        <v>0</v>
      </c>
      <c r="I24">
        <f t="shared" si="10"/>
        <v>0</v>
      </c>
      <c r="J24">
        <f t="shared" si="10"/>
        <v>0</v>
      </c>
      <c r="K24">
        <f t="shared" si="10"/>
        <v>100.00999999999999</v>
      </c>
    </row>
    <row r="25" spans="1:33" x14ac:dyDescent="0.35">
      <c r="A25" t="str">
        <f>[1]results!AQ8</f>
        <v>minCO2&amp;HH</v>
      </c>
      <c r="C25">
        <f>[1]results!AR8</f>
        <v>6.5</v>
      </c>
      <c r="D25">
        <f>[1]results!AS8</f>
        <v>0</v>
      </c>
      <c r="E25">
        <f>[1]results!AT8</f>
        <v>0</v>
      </c>
      <c r="F25">
        <f>[1]results!AU8</f>
        <v>0</v>
      </c>
      <c r="G25">
        <f>[1]results!AV8</f>
        <v>0</v>
      </c>
      <c r="H25">
        <f>[1]results!AW8</f>
        <v>0</v>
      </c>
      <c r="I25">
        <f>[1]results!AX8</f>
        <v>0</v>
      </c>
      <c r="J25">
        <f>[1]results!AY8</f>
        <v>93.51</v>
      </c>
      <c r="K25">
        <f>[1]results!AZ8</f>
        <v>100.01</v>
      </c>
      <c r="N25" t="str">
        <f>[2]results!AQ8</f>
        <v>minCO2&amp;HH</v>
      </c>
      <c r="O25">
        <f>[2]results!AR8</f>
        <v>26.550000000000004</v>
      </c>
      <c r="P25">
        <f>[2]results!AS8</f>
        <v>26.729999999999997</v>
      </c>
      <c r="Q25">
        <f>[2]results!AT8</f>
        <v>0</v>
      </c>
      <c r="R25">
        <f>[2]results!AU8</f>
        <v>46.73</v>
      </c>
      <c r="S25">
        <f>[2]results!AV8</f>
        <v>0</v>
      </c>
      <c r="T25">
        <f>[2]results!AW8</f>
        <v>0</v>
      </c>
      <c r="U25">
        <f>[2]results!AX8</f>
        <v>0</v>
      </c>
      <c r="V25">
        <f>[2]results!AY8</f>
        <v>0</v>
      </c>
      <c r="W25">
        <f>[2]results!AZ8</f>
        <v>100.00999999999999</v>
      </c>
      <c r="Y25" t="str">
        <f>[3]results!AQ8</f>
        <v>minCO2&amp;HH</v>
      </c>
      <c r="Z25">
        <f>[3]results!AR8</f>
        <v>8.86</v>
      </c>
      <c r="AA25">
        <f>[3]results!AS8</f>
        <v>0</v>
      </c>
      <c r="AB25">
        <f>[3]results!AT8</f>
        <v>0</v>
      </c>
      <c r="AC25">
        <f>[3]results!AU8</f>
        <v>0</v>
      </c>
      <c r="AD25">
        <f>[3]results!AV8</f>
        <v>0</v>
      </c>
      <c r="AE25">
        <f>[3]results!AW8</f>
        <v>0</v>
      </c>
      <c r="AF25">
        <f>[3]results!AX8</f>
        <v>0</v>
      </c>
      <c r="AG25">
        <f>[3]results!AY8</f>
        <v>91.15</v>
      </c>
    </row>
    <row r="26" spans="1:33" x14ac:dyDescent="0.35">
      <c r="B26">
        <v>0.5</v>
      </c>
      <c r="C26">
        <f t="shared" ref="C26:J26" si="11">Z25</f>
        <v>8.86</v>
      </c>
      <c r="D26">
        <f t="shared" si="11"/>
        <v>0</v>
      </c>
      <c r="E26">
        <f t="shared" si="11"/>
        <v>0</v>
      </c>
      <c r="F26">
        <f t="shared" si="11"/>
        <v>0</v>
      </c>
      <c r="G26">
        <f t="shared" si="11"/>
        <v>0</v>
      </c>
      <c r="H26">
        <f t="shared" si="11"/>
        <v>0</v>
      </c>
      <c r="I26">
        <f t="shared" si="11"/>
        <v>0</v>
      </c>
      <c r="J26">
        <f t="shared" si="11"/>
        <v>91.15</v>
      </c>
    </row>
    <row r="28" spans="1:33" x14ac:dyDescent="0.35">
      <c r="B28">
        <v>-0.5</v>
      </c>
      <c r="C28">
        <f t="shared" ref="C28:K28" si="12">O29</f>
        <v>26.550000000000004</v>
      </c>
      <c r="D28">
        <f t="shared" si="12"/>
        <v>0</v>
      </c>
      <c r="E28">
        <f t="shared" si="12"/>
        <v>0</v>
      </c>
      <c r="F28">
        <f t="shared" si="12"/>
        <v>73.459999999999994</v>
      </c>
      <c r="G28">
        <f t="shared" si="12"/>
        <v>0</v>
      </c>
      <c r="H28">
        <f t="shared" si="12"/>
        <v>0</v>
      </c>
      <c r="I28">
        <f t="shared" si="12"/>
        <v>0</v>
      </c>
      <c r="J28">
        <f t="shared" si="12"/>
        <v>0</v>
      </c>
      <c r="K28">
        <f t="shared" si="12"/>
        <v>100.00999999999999</v>
      </c>
    </row>
    <row r="29" spans="1:33" x14ac:dyDescent="0.35">
      <c r="A29" t="str">
        <f>[1]results!AQ9</f>
        <v>minCO2&amp;EQ&amp;HH</v>
      </c>
      <c r="C29">
        <f>[1]results!AR9</f>
        <v>1.29</v>
      </c>
      <c r="D29">
        <f>[1]results!AS9</f>
        <v>0</v>
      </c>
      <c r="E29">
        <f>[1]results!AT9</f>
        <v>0</v>
      </c>
      <c r="F29">
        <f>[1]results!AU9</f>
        <v>0</v>
      </c>
      <c r="G29">
        <f>[1]results!AV9</f>
        <v>0</v>
      </c>
      <c r="H29">
        <f>[1]results!AW9</f>
        <v>0</v>
      </c>
      <c r="I29">
        <f>[1]results!AX9</f>
        <v>0</v>
      </c>
      <c r="J29">
        <f>[1]results!AY9</f>
        <v>98.71</v>
      </c>
      <c r="K29">
        <f>[1]results!AZ9</f>
        <v>100</v>
      </c>
      <c r="N29" t="str">
        <f>[2]results!AQ9</f>
        <v>minCO2&amp;EQ&amp;HH</v>
      </c>
      <c r="O29">
        <f>[2]results!AR9</f>
        <v>26.550000000000004</v>
      </c>
      <c r="P29">
        <f>[2]results!AS9</f>
        <v>0</v>
      </c>
      <c r="Q29">
        <f>[2]results!AT9</f>
        <v>0</v>
      </c>
      <c r="R29">
        <f>[2]results!AU9</f>
        <v>73.459999999999994</v>
      </c>
      <c r="S29">
        <f>[2]results!AV9</f>
        <v>0</v>
      </c>
      <c r="T29">
        <f>[2]results!AW9</f>
        <v>0</v>
      </c>
      <c r="U29">
        <f>[2]results!AX9</f>
        <v>0</v>
      </c>
      <c r="V29">
        <f>[2]results!AY9</f>
        <v>0</v>
      </c>
      <c r="W29">
        <f>[2]results!AZ9</f>
        <v>100.00999999999999</v>
      </c>
      <c r="Y29" t="str">
        <f>[3]results!AQ9</f>
        <v>minCO2&amp;EQ&amp;HH</v>
      </c>
      <c r="Z29">
        <f>[3]results!AR9</f>
        <v>1.29</v>
      </c>
      <c r="AA29">
        <f>[3]results!AS9</f>
        <v>0</v>
      </c>
      <c r="AB29">
        <f>[3]results!AT9</f>
        <v>0</v>
      </c>
      <c r="AC29">
        <f>[3]results!AU9</f>
        <v>0</v>
      </c>
      <c r="AD29">
        <f>[3]results!AV9</f>
        <v>0</v>
      </c>
      <c r="AE29">
        <f>[3]results!AW9</f>
        <v>0</v>
      </c>
      <c r="AF29">
        <f>[3]results!AX9</f>
        <v>0</v>
      </c>
      <c r="AG29">
        <f>[3]results!AY9</f>
        <v>98.71</v>
      </c>
    </row>
    <row r="30" spans="1:33" x14ac:dyDescent="0.35">
      <c r="B30">
        <v>0.5</v>
      </c>
      <c r="C30">
        <f t="shared" ref="C30:J30" si="13">Z29</f>
        <v>1.29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98.71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B012-5109-44C6-8E37-563FE0CBD43E}">
  <dimension ref="A1:S29"/>
  <sheetViews>
    <sheetView workbookViewId="0">
      <selection activeCell="G11" sqref="G11"/>
    </sheetView>
  </sheetViews>
  <sheetFormatPr baseColWidth="10" defaultRowHeight="14.5" x14ac:dyDescent="0.35"/>
  <sheetData>
    <row r="1" spans="1:19" x14ac:dyDescent="0.35">
      <c r="A1" t="s">
        <v>1</v>
      </c>
      <c r="G1" t="s">
        <v>2</v>
      </c>
      <c r="N1" t="s">
        <v>3</v>
      </c>
    </row>
    <row r="2" spans="1:19" x14ac:dyDescent="0.35">
      <c r="A2" t="s">
        <v>0</v>
      </c>
      <c r="B2" t="str">
        <f>[4]results!AK2</f>
        <v>HC</v>
      </c>
      <c r="C2" t="str">
        <f>[4]results!AL2</f>
        <v>IC</v>
      </c>
      <c r="D2" t="str">
        <f>[4]results!AM2</f>
        <v>AD-cog-comp</v>
      </c>
      <c r="E2" t="str">
        <f>[4]results!AN2</f>
        <v>AD-biomet-dig</v>
      </c>
      <c r="G2" t="str">
        <f>[5]results!AJ2</f>
        <v>name</v>
      </c>
      <c r="H2" t="str">
        <f>[5]results!AK2</f>
        <v>HC</v>
      </c>
      <c r="I2" t="str">
        <f>[5]results!AL2</f>
        <v>IC</v>
      </c>
      <c r="J2" t="str">
        <f>[5]results!AM2</f>
        <v>AD-cog-comp</v>
      </c>
      <c r="K2" t="str">
        <f>[5]results!AN2</f>
        <v>AD-biomet-dig</v>
      </c>
      <c r="L2">
        <f>[5]results!AO2</f>
        <v>0</v>
      </c>
      <c r="N2" t="str">
        <f>[6]results!AJ2</f>
        <v>name</v>
      </c>
      <c r="O2" t="str">
        <f>[6]results!AK2</f>
        <v>HC</v>
      </c>
      <c r="P2" t="str">
        <f>[6]results!AL2</f>
        <v>IC</v>
      </c>
      <c r="Q2" t="str">
        <f>[6]results!AM2</f>
        <v>AD-cog-comp</v>
      </c>
      <c r="R2" t="str">
        <f>[6]results!AN2</f>
        <v>AD-biomet-dig</v>
      </c>
      <c r="S2">
        <f>[6]results!AO2</f>
        <v>0</v>
      </c>
    </row>
    <row r="3" spans="1:19" x14ac:dyDescent="0.35">
      <c r="B3">
        <f>H4</f>
        <v>26.550000000000004</v>
      </c>
      <c r="C3">
        <f>I4</f>
        <v>32.229999999999997</v>
      </c>
      <c r="D3">
        <f>J4</f>
        <v>0</v>
      </c>
      <c r="E3">
        <f>K4</f>
        <v>41.23</v>
      </c>
    </row>
    <row r="4" spans="1:19" x14ac:dyDescent="0.35">
      <c r="A4" t="str">
        <f>[4]results!AJ3</f>
        <v>minCC</v>
      </c>
      <c r="B4">
        <f>[4]results!AK3</f>
        <v>13.280000000000001</v>
      </c>
      <c r="C4">
        <f>[4]results!AL3</f>
        <v>16.11</v>
      </c>
      <c r="D4">
        <f>[4]results!AM3</f>
        <v>0</v>
      </c>
      <c r="E4">
        <f>[4]results!AN3</f>
        <v>70.62</v>
      </c>
      <c r="G4" t="str">
        <f>[5]results!AJ3</f>
        <v>minCO2</v>
      </c>
      <c r="H4">
        <f>[5]results!AK3</f>
        <v>26.550000000000004</v>
      </c>
      <c r="I4">
        <f>[5]results!AL3</f>
        <v>32.229999999999997</v>
      </c>
      <c r="J4">
        <f>[5]results!AM3</f>
        <v>0</v>
      </c>
      <c r="K4">
        <f>[5]results!AN3</f>
        <v>41.23</v>
      </c>
      <c r="L4">
        <f>[5]results!AO3</f>
        <v>100.00999999999999</v>
      </c>
      <c r="N4" t="str">
        <f>[6]results!AJ3</f>
        <v>minCO2</v>
      </c>
      <c r="O4">
        <f>[6]results!AK3</f>
        <v>8.86</v>
      </c>
      <c r="P4">
        <f>[6]results!AL3</f>
        <v>6.95</v>
      </c>
      <c r="Q4">
        <f>[6]results!AM3</f>
        <v>32.25</v>
      </c>
      <c r="R4">
        <f>[6]results!AN3</f>
        <v>51.95</v>
      </c>
      <c r="S4">
        <f>[6]results!AO3</f>
        <v>100.01</v>
      </c>
    </row>
    <row r="5" spans="1:19" x14ac:dyDescent="0.35">
      <c r="B5">
        <f>O4</f>
        <v>8.86</v>
      </c>
      <c r="C5">
        <f>P4</f>
        <v>6.95</v>
      </c>
      <c r="D5">
        <f>Q4</f>
        <v>32.25</v>
      </c>
      <c r="E5">
        <f>R4</f>
        <v>51.95</v>
      </c>
    </row>
    <row r="7" spans="1:19" x14ac:dyDescent="0.35">
      <c r="B7">
        <f>H8</f>
        <v>26.550000000000004</v>
      </c>
      <c r="C7">
        <f>I8</f>
        <v>0</v>
      </c>
      <c r="D7">
        <f>J8</f>
        <v>73.459999999999994</v>
      </c>
      <c r="E7">
        <f>K8</f>
        <v>0</v>
      </c>
    </row>
    <row r="8" spans="1:19" x14ac:dyDescent="0.35">
      <c r="A8" t="str">
        <f>[4]results!AJ4</f>
        <v>minEQ</v>
      </c>
      <c r="B8">
        <f>[4]results!AK4</f>
        <v>13.280000000000001</v>
      </c>
      <c r="C8">
        <f>[4]results!AL4</f>
        <v>0</v>
      </c>
      <c r="D8">
        <f>[4]results!AM4</f>
        <v>86.73</v>
      </c>
      <c r="E8">
        <f>[4]results!AN4</f>
        <v>0</v>
      </c>
      <c r="G8" t="str">
        <f>[5]results!AJ4</f>
        <v>minEQ</v>
      </c>
      <c r="H8">
        <f>[5]results!AK4</f>
        <v>26.550000000000004</v>
      </c>
      <c r="I8">
        <f>[5]results!AL4</f>
        <v>0</v>
      </c>
      <c r="J8">
        <f>[5]results!AM4</f>
        <v>73.459999999999994</v>
      </c>
      <c r="K8">
        <f>[5]results!AN4</f>
        <v>0</v>
      </c>
      <c r="L8">
        <f>[5]results!AO4</f>
        <v>100.00999999999999</v>
      </c>
      <c r="N8" t="str">
        <f>[6]results!AJ4</f>
        <v>minEQ</v>
      </c>
      <c r="O8">
        <f>[6]results!AK4</f>
        <v>8.86</v>
      </c>
      <c r="P8">
        <f>[6]results!AL4</f>
        <v>3.41</v>
      </c>
      <c r="Q8">
        <f>[6]results!AM4</f>
        <v>62.34</v>
      </c>
      <c r="R8">
        <f>[6]results!AN4</f>
        <v>25.4</v>
      </c>
      <c r="S8">
        <f>[6]results!AO4</f>
        <v>100.00999999999999</v>
      </c>
    </row>
    <row r="9" spans="1:19" x14ac:dyDescent="0.35">
      <c r="B9">
        <f>O8</f>
        <v>8.86</v>
      </c>
      <c r="C9">
        <f>P8</f>
        <v>3.41</v>
      </c>
      <c r="D9">
        <f>Q8</f>
        <v>62.34</v>
      </c>
      <c r="E9">
        <f>R8</f>
        <v>25.4</v>
      </c>
    </row>
    <row r="11" spans="1:19" x14ac:dyDescent="0.35">
      <c r="B11">
        <f>H12</f>
        <v>26.550000000000004</v>
      </c>
      <c r="C11">
        <f>I12</f>
        <v>0</v>
      </c>
      <c r="D11">
        <f>J12</f>
        <v>73.459999999999994</v>
      </c>
      <c r="E11">
        <f>K12</f>
        <v>0</v>
      </c>
    </row>
    <row r="12" spans="1:19" x14ac:dyDescent="0.35">
      <c r="A12" t="str">
        <f>[4]results!AJ5</f>
        <v>minHH</v>
      </c>
      <c r="B12">
        <f>[4]results!AK5</f>
        <v>13.280000000000001</v>
      </c>
      <c r="C12">
        <f>[4]results!AL5</f>
        <v>0</v>
      </c>
      <c r="D12">
        <f>[4]results!AM5</f>
        <v>86.73</v>
      </c>
      <c r="E12">
        <f>[4]results!AN5</f>
        <v>0</v>
      </c>
      <c r="G12" t="str">
        <f>[5]results!AJ5</f>
        <v>minHH</v>
      </c>
      <c r="H12">
        <f>[5]results!AK5</f>
        <v>26.550000000000004</v>
      </c>
      <c r="I12">
        <f>[5]results!AL5</f>
        <v>0</v>
      </c>
      <c r="J12">
        <f>[5]results!AM5</f>
        <v>73.459999999999994</v>
      </c>
      <c r="K12">
        <f>[5]results!AN5</f>
        <v>0</v>
      </c>
      <c r="L12">
        <f>[5]results!AO5</f>
        <v>100.00999999999999</v>
      </c>
      <c r="N12" t="str">
        <f>[6]results!AJ5</f>
        <v>minHH</v>
      </c>
      <c r="O12">
        <f>[6]results!AK5</f>
        <v>8.86</v>
      </c>
      <c r="P12">
        <f>[6]results!AL5</f>
        <v>3.41</v>
      </c>
      <c r="Q12">
        <f>[6]results!AM5</f>
        <v>62.34</v>
      </c>
      <c r="R12">
        <f>[6]results!AN5</f>
        <v>25.4</v>
      </c>
      <c r="S12">
        <f>[6]results!AO5</f>
        <v>100.00999999999999</v>
      </c>
    </row>
    <row r="13" spans="1:19" x14ac:dyDescent="0.35">
      <c r="B13">
        <f>O12</f>
        <v>8.86</v>
      </c>
      <c r="C13">
        <f>P12</f>
        <v>3.41</v>
      </c>
      <c r="D13">
        <f>Q12</f>
        <v>62.34</v>
      </c>
      <c r="E13">
        <f>R12</f>
        <v>25.4</v>
      </c>
    </row>
    <row r="15" spans="1:19" x14ac:dyDescent="0.35">
      <c r="B15">
        <f>H16</f>
        <v>26.550000000000004</v>
      </c>
      <c r="C15">
        <f>I16</f>
        <v>0</v>
      </c>
      <c r="D15">
        <f>J16</f>
        <v>73.459999999999994</v>
      </c>
      <c r="E15">
        <f>K16</f>
        <v>0</v>
      </c>
    </row>
    <row r="16" spans="1:19" x14ac:dyDescent="0.35">
      <c r="A16" t="str">
        <f>[4]results!AJ6</f>
        <v>minEQ&amp;HH</v>
      </c>
      <c r="B16">
        <f>[4]results!AK6</f>
        <v>13.280000000000001</v>
      </c>
      <c r="C16">
        <f>[4]results!AL6</f>
        <v>0</v>
      </c>
      <c r="D16">
        <f>[4]results!AM6</f>
        <v>86.73</v>
      </c>
      <c r="E16">
        <f>[4]results!AN6</f>
        <v>0</v>
      </c>
      <c r="G16" t="str">
        <f>[5]results!AJ6</f>
        <v>minEQ&amp;HH</v>
      </c>
      <c r="H16">
        <f>[5]results!AK6</f>
        <v>26.550000000000004</v>
      </c>
      <c r="I16">
        <f>[5]results!AL6</f>
        <v>0</v>
      </c>
      <c r="J16">
        <f>[5]results!AM6</f>
        <v>73.459999999999994</v>
      </c>
      <c r="K16">
        <f>[5]results!AN6</f>
        <v>0</v>
      </c>
      <c r="L16">
        <f>[5]results!AO6</f>
        <v>100.00999999999999</v>
      </c>
      <c r="N16" t="str">
        <f>[6]results!AJ6</f>
        <v>minEQ&amp;HH</v>
      </c>
      <c r="O16">
        <f>[6]results!AK6</f>
        <v>8.86</v>
      </c>
      <c r="P16">
        <f>[6]results!AL6</f>
        <v>3.41</v>
      </c>
      <c r="Q16">
        <f>[6]results!AM6</f>
        <v>62.34</v>
      </c>
      <c r="R16">
        <f>[6]results!AN6</f>
        <v>25.4</v>
      </c>
      <c r="S16">
        <f>[6]results!AO6</f>
        <v>100.00999999999999</v>
      </c>
    </row>
    <row r="17" spans="1:19" x14ac:dyDescent="0.35">
      <c r="B17">
        <f>O16</f>
        <v>8.86</v>
      </c>
      <c r="C17">
        <f>P16</f>
        <v>3.41</v>
      </c>
      <c r="D17">
        <f>Q16</f>
        <v>62.34</v>
      </c>
      <c r="E17">
        <f>R16</f>
        <v>25.4</v>
      </c>
    </row>
    <row r="19" spans="1:19" x14ac:dyDescent="0.35">
      <c r="B19">
        <f>H20</f>
        <v>26.550000000000004</v>
      </c>
      <c r="C19">
        <f>I20</f>
        <v>0</v>
      </c>
      <c r="D19">
        <f>J20</f>
        <v>73.459999999999994</v>
      </c>
      <c r="E19">
        <f>K20</f>
        <v>0</v>
      </c>
    </row>
    <row r="20" spans="1:19" x14ac:dyDescent="0.35">
      <c r="A20" t="str">
        <f>[4]results!AJ7</f>
        <v>minCO2&amp;EQ</v>
      </c>
      <c r="B20">
        <f>[4]results!AK7</f>
        <v>13.280000000000001</v>
      </c>
      <c r="C20">
        <f>[4]results!AL7</f>
        <v>0</v>
      </c>
      <c r="D20">
        <f>[4]results!AM7</f>
        <v>86.73</v>
      </c>
      <c r="E20">
        <f>[4]results!AN7</f>
        <v>0</v>
      </c>
      <c r="G20" t="str">
        <f>[5]results!AJ7</f>
        <v>minCO2&amp;EQ</v>
      </c>
      <c r="H20">
        <f>[5]results!AK7</f>
        <v>26.550000000000004</v>
      </c>
      <c r="I20">
        <f>[5]results!AL7</f>
        <v>0</v>
      </c>
      <c r="J20">
        <f>[5]results!AM7</f>
        <v>73.459999999999994</v>
      </c>
      <c r="K20">
        <f>[5]results!AN7</f>
        <v>0</v>
      </c>
      <c r="L20">
        <f>[5]results!AO7</f>
        <v>100.00999999999999</v>
      </c>
      <c r="N20" t="str">
        <f>[6]results!AJ7</f>
        <v>minCO2&amp;EQ</v>
      </c>
      <c r="O20">
        <f>[6]results!AK7</f>
        <v>8.86</v>
      </c>
      <c r="P20">
        <f>[6]results!AL7</f>
        <v>3.41</v>
      </c>
      <c r="Q20">
        <f>[6]results!AM7</f>
        <v>62.34</v>
      </c>
      <c r="R20">
        <f>[6]results!AN7</f>
        <v>25.4</v>
      </c>
      <c r="S20">
        <f>[6]results!AO7</f>
        <v>100.00999999999999</v>
      </c>
    </row>
    <row r="21" spans="1:19" x14ac:dyDescent="0.35">
      <c r="B21">
        <f>O20</f>
        <v>8.86</v>
      </c>
      <c r="C21">
        <f>P20</f>
        <v>3.41</v>
      </c>
      <c r="D21">
        <f>Q20</f>
        <v>62.34</v>
      </c>
      <c r="E21">
        <f>R20</f>
        <v>25.4</v>
      </c>
    </row>
    <row r="23" spans="1:19" x14ac:dyDescent="0.35">
      <c r="B23">
        <f>H24</f>
        <v>26.550000000000004</v>
      </c>
      <c r="C23">
        <f>I24</f>
        <v>26.729999999999997</v>
      </c>
      <c r="D23">
        <f>J24</f>
        <v>46.73</v>
      </c>
      <c r="E23">
        <f>K24</f>
        <v>0</v>
      </c>
    </row>
    <row r="24" spans="1:19" x14ac:dyDescent="0.35">
      <c r="A24" t="str">
        <f>[4]results!AJ8</f>
        <v>minCO2&amp;HH</v>
      </c>
      <c r="B24">
        <f>[4]results!AK8</f>
        <v>13.280000000000001</v>
      </c>
      <c r="C24">
        <f>[4]results!AL8</f>
        <v>6.6999999999999993</v>
      </c>
      <c r="D24">
        <f>[4]results!AM8</f>
        <v>80.03</v>
      </c>
      <c r="E24">
        <f>[4]results!AN8</f>
        <v>0</v>
      </c>
      <c r="G24" t="str">
        <f>[5]results!AJ8</f>
        <v>minCO2&amp;HH</v>
      </c>
      <c r="H24">
        <f>[5]results!AK8</f>
        <v>26.550000000000004</v>
      </c>
      <c r="I24">
        <f>[5]results!AL8</f>
        <v>26.729999999999997</v>
      </c>
      <c r="J24">
        <f>[5]results!AM8</f>
        <v>46.73</v>
      </c>
      <c r="K24">
        <f>[5]results!AN8</f>
        <v>0</v>
      </c>
      <c r="L24">
        <f>[5]results!AO8</f>
        <v>100.00999999999999</v>
      </c>
      <c r="N24" t="str">
        <f>[6]results!AJ8</f>
        <v>minCO2&amp;HH</v>
      </c>
      <c r="O24">
        <f>[6]results!AK8</f>
        <v>8.86</v>
      </c>
      <c r="P24">
        <f>[6]results!AL8</f>
        <v>3.41</v>
      </c>
      <c r="Q24">
        <f>[6]results!AM8</f>
        <v>62.34</v>
      </c>
      <c r="R24">
        <f>[6]results!AN8</f>
        <v>25.4</v>
      </c>
      <c r="S24">
        <f>[6]results!AO8</f>
        <v>100.00999999999999</v>
      </c>
    </row>
    <row r="25" spans="1:19" x14ac:dyDescent="0.35">
      <c r="B25">
        <f t="shared" ref="B25:E25" si="0">O24</f>
        <v>8.86</v>
      </c>
      <c r="C25">
        <f t="shared" si="0"/>
        <v>3.41</v>
      </c>
      <c r="D25">
        <f t="shared" si="0"/>
        <v>62.34</v>
      </c>
      <c r="E25">
        <f t="shared" si="0"/>
        <v>25.4</v>
      </c>
    </row>
    <row r="27" spans="1:19" x14ac:dyDescent="0.35">
      <c r="B27">
        <f>H28</f>
        <v>26.550000000000004</v>
      </c>
      <c r="C27">
        <f>I28</f>
        <v>0</v>
      </c>
      <c r="D27">
        <f>J28</f>
        <v>73.459999999999994</v>
      </c>
      <c r="E27">
        <f>K28</f>
        <v>0</v>
      </c>
    </row>
    <row r="28" spans="1:19" x14ac:dyDescent="0.35">
      <c r="A28" t="str">
        <f>[4]results!AJ9</f>
        <v>minCO2&amp;EQ&amp;HH</v>
      </c>
      <c r="B28">
        <f>[4]results!AK9</f>
        <v>13.280000000000001</v>
      </c>
      <c r="C28">
        <f>[4]results!AL9</f>
        <v>0</v>
      </c>
      <c r="D28">
        <f>[4]results!AM9</f>
        <v>86.73</v>
      </c>
      <c r="E28">
        <f>[4]results!AN9</f>
        <v>0</v>
      </c>
      <c r="G28" t="str">
        <f>[5]results!AJ9</f>
        <v>minCO2&amp;EQ&amp;HH</v>
      </c>
      <c r="H28">
        <f>[5]results!AK9</f>
        <v>26.550000000000004</v>
      </c>
      <c r="I28">
        <f>[5]results!AL9</f>
        <v>0</v>
      </c>
      <c r="J28">
        <f>[5]results!AM9</f>
        <v>73.459999999999994</v>
      </c>
      <c r="K28">
        <f>[5]results!AN9</f>
        <v>0</v>
      </c>
      <c r="L28">
        <f>[5]results!AO9</f>
        <v>100.00999999999999</v>
      </c>
      <c r="N28" t="str">
        <f>[6]results!AJ9</f>
        <v>minCO2&amp;EQ&amp;HH</v>
      </c>
      <c r="O28">
        <f>[6]results!AK9</f>
        <v>8.86</v>
      </c>
      <c r="P28">
        <f>[6]results!AL9</f>
        <v>3.41</v>
      </c>
      <c r="Q28">
        <f>[6]results!AM9</f>
        <v>62.34</v>
      </c>
      <c r="R28">
        <f>[6]results!AN9</f>
        <v>25.4</v>
      </c>
      <c r="S28">
        <f>[6]results!AO9</f>
        <v>100.00999999999999</v>
      </c>
    </row>
    <row r="29" spans="1:19" x14ac:dyDescent="0.35">
      <c r="B29">
        <f>O28</f>
        <v>8.86</v>
      </c>
      <c r="C29">
        <f>P28</f>
        <v>3.41</v>
      </c>
      <c r="D29">
        <f>Q28</f>
        <v>62.34</v>
      </c>
      <c r="E29">
        <f>R28</f>
        <v>25.4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inv</vt:lpstr>
      <vt:lpstr>ss_inv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hravoaha</dc:creator>
  <cp:lastModifiedBy>Nomena Ravoahangy</cp:lastModifiedBy>
  <dcterms:created xsi:type="dcterms:W3CDTF">2015-06-05T18:19:34Z</dcterms:created>
  <dcterms:modified xsi:type="dcterms:W3CDTF">2026-03-18T09:41:25Z</dcterms:modified>
</cp:coreProperties>
</file>