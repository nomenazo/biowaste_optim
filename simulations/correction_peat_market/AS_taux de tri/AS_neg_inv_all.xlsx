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AS_taux de tri\"/>
    </mc:Choice>
  </mc:AlternateContent>
  <xr:revisionPtr revIDLastSave="0" documentId="13_ncr:1_{B5C05D36-E58A-46A9-B502-0DC9F9499CD7}" xr6:coauthVersionLast="36" xr6:coauthVersionMax="36" xr10:uidLastSave="{00000000-0000-0000-0000-000000000000}"/>
  <bookViews>
    <workbookView minimized="1" xWindow="0" yWindow="0" windowWidth="19200" windowHeight="7750" xr2:uid="{00000000-000D-0000-FFFF-FFFF00000000}"/>
  </bookViews>
  <sheets>
    <sheet name="results" sheetId="1" r:id="rId1"/>
  </sheets>
  <externalReferences>
    <externalReference r:id="rId2"/>
  </externalReferences>
  <calcPr calcId="191029"/>
</workbook>
</file>

<file path=xl/calcChain.xml><?xml version="1.0" encoding="utf-8"?>
<calcChain xmlns="http://schemas.openxmlformats.org/spreadsheetml/2006/main">
  <c r="B3" i="1" l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Y9" i="1" l="1"/>
  <c r="AX9" i="1"/>
  <c r="AW9" i="1"/>
  <c r="AV9" i="1"/>
  <c r="AU9" i="1"/>
  <c r="AT9" i="1"/>
  <c r="AS9" i="1"/>
  <c r="AR9" i="1"/>
  <c r="AZ9" i="1" s="1"/>
  <c r="AY8" i="1"/>
  <c r="AX8" i="1"/>
  <c r="AW8" i="1"/>
  <c r="AV8" i="1"/>
  <c r="AU8" i="1"/>
  <c r="AT8" i="1"/>
  <c r="AS8" i="1"/>
  <c r="AR8" i="1"/>
  <c r="AZ8" i="1" s="1"/>
  <c r="AY7" i="1"/>
  <c r="AX7" i="1"/>
  <c r="AW7" i="1"/>
  <c r="AV7" i="1"/>
  <c r="AU7" i="1"/>
  <c r="AT7" i="1"/>
  <c r="AS7" i="1"/>
  <c r="AR7" i="1"/>
  <c r="AZ7" i="1" s="1"/>
  <c r="AY6" i="1"/>
  <c r="AX6" i="1"/>
  <c r="AW6" i="1"/>
  <c r="AV6" i="1"/>
  <c r="AU6" i="1"/>
  <c r="AT6" i="1"/>
  <c r="AS6" i="1"/>
  <c r="AR6" i="1"/>
  <c r="AZ6" i="1" s="1"/>
  <c r="AY5" i="1"/>
  <c r="AX5" i="1"/>
  <c r="AW5" i="1"/>
  <c r="AV5" i="1"/>
  <c r="AU5" i="1"/>
  <c r="AT5" i="1"/>
  <c r="AS5" i="1"/>
  <c r="AR5" i="1"/>
  <c r="AY4" i="1"/>
  <c r="AX4" i="1"/>
  <c r="AW4" i="1"/>
  <c r="AV4" i="1"/>
  <c r="AU4" i="1"/>
  <c r="AT4" i="1"/>
  <c r="AS4" i="1"/>
  <c r="AR4" i="1"/>
  <c r="AY3" i="1"/>
  <c r="AX3" i="1"/>
  <c r="AW3" i="1"/>
  <c r="AV3" i="1"/>
  <c r="AU3" i="1"/>
  <c r="AT3" i="1"/>
  <c r="AS3" i="1"/>
  <c r="AR3" i="1"/>
  <c r="AZ3" i="1" s="1"/>
  <c r="AZ5" i="1" l="1"/>
  <c r="AZ4" i="1"/>
</calcChain>
</file>

<file path=xl/sharedStrings.xml><?xml version="1.0" encoding="utf-8"?>
<sst xmlns="http://schemas.openxmlformats.org/spreadsheetml/2006/main" count="68" uniqueCount="55">
  <si>
    <t>HC</t>
  </si>
  <si>
    <t>IC</t>
  </si>
  <si>
    <t>AD-a</t>
  </si>
  <si>
    <t>AD-b</t>
  </si>
  <si>
    <t>AD-c</t>
  </si>
  <si>
    <t>AD-d</t>
  </si>
  <si>
    <t>AD-e</t>
  </si>
  <si>
    <t>AD-f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</si>
  <si>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</si>
  <si>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</si>
  <si>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</si>
  <si>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</si>
  <si>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</si>
  <si>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</si>
  <si>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</si>
  <si>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</si>
  <si>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</si>
  <si>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</si>
  <si>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</si>
  <si>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</si>
  <si>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</si>
  <si>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</si>
  <si>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</si>
  <si>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</si>
  <si>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</si>
  <si>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</si>
  <si>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</si>
  <si>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</si>
  <si>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</si>
  <si>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</si>
  <si>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</si>
  <si>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</si>
  <si>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</si>
  <si>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</si>
  <si>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Villiers</t>
  </si>
  <si>
    <t>Refood</t>
  </si>
  <si>
    <t>Biometa</t>
  </si>
  <si>
    <t>Carbon</t>
  </si>
  <si>
    <t>EQ</t>
  </si>
  <si>
    <t>HH</t>
  </si>
  <si>
    <t>EQssC</t>
  </si>
  <si>
    <t>HHssC</t>
  </si>
  <si>
    <t>minCO2</t>
  </si>
  <si>
    <t>minEQ</t>
  </si>
  <si>
    <t>minHH</t>
  </si>
  <si>
    <t>minEQ&amp;HH</t>
  </si>
  <si>
    <t>minCO2&amp;EQ</t>
  </si>
  <si>
    <t>minCO2&amp;HH</t>
  </si>
  <si>
    <t>minCO2&amp;EQ&amp;HH</t>
  </si>
  <si>
    <t>AD-cog-dig</t>
  </si>
  <si>
    <t>AD-cog-comp</t>
  </si>
  <si>
    <t>AD-biomet-dig</t>
  </si>
  <si>
    <t>AD-biomet-comp</t>
  </si>
  <si>
    <t>AD-heat-dig</t>
  </si>
  <si>
    <t>AD-heat-comp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</si>
</sst>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ownloads/ASinv_tri_neg_V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B3" t="str">
            <v>minCC</v>
          </cell>
          <cell r="C3">
            <v>0.3</v>
          </cell>
          <cell r="D3">
            <v>14.13</v>
          </cell>
          <cell r="E3">
            <v>2.52</v>
          </cell>
          <cell r="I3">
            <v>1.29</v>
          </cell>
          <cell r="N3">
            <v>1.35</v>
          </cell>
          <cell r="S3">
            <v>4.9400000000000004</v>
          </cell>
          <cell r="X3">
            <v>2.3199999999999998</v>
          </cell>
          <cell r="AA3">
            <v>32.229999999999997</v>
          </cell>
          <cell r="AF3">
            <v>41.23</v>
          </cell>
          <cell r="AK3">
            <v>-188775.5871293502</v>
          </cell>
          <cell r="AL3">
            <v>-50486.319252358247</v>
          </cell>
          <cell r="AM3">
            <v>-0.64209291423746451</v>
          </cell>
          <cell r="AN3">
            <v>103575.12372407589</v>
          </cell>
          <cell r="AO3">
            <v>1.417872208605502</v>
          </cell>
        </row>
        <row r="4">
          <cell r="B4" t="str">
            <v>minEQ</v>
          </cell>
          <cell r="C4">
            <v>0.3</v>
          </cell>
          <cell r="D4">
            <v>14.13</v>
          </cell>
          <cell r="E4">
            <v>2.52</v>
          </cell>
          <cell r="F4">
            <v>1.35</v>
          </cell>
          <cell r="I4">
            <v>1.29</v>
          </cell>
          <cell r="S4">
            <v>4.9400000000000004</v>
          </cell>
          <cell r="X4">
            <v>2.3199999999999998</v>
          </cell>
          <cell r="AD4">
            <v>73.459999999999994</v>
          </cell>
          <cell r="AK4">
            <v>-62728.481647515291</v>
          </cell>
          <cell r="AL4">
            <v>-158721.93629549019</v>
          </cell>
          <cell r="AM4">
            <v>-0.82644639503849882</v>
          </cell>
          <cell r="AN4">
            <v>-38481.800540380536</v>
          </cell>
          <cell r="AO4">
            <v>0.78365569398700308</v>
          </cell>
        </row>
        <row r="5">
          <cell r="B5" t="str">
            <v>minHH</v>
          </cell>
          <cell r="C5">
            <v>0.3</v>
          </cell>
          <cell r="D5">
            <v>14.13</v>
          </cell>
          <cell r="E5">
            <v>2.52</v>
          </cell>
          <cell r="F5">
            <v>1.35</v>
          </cell>
          <cell r="I5">
            <v>1.29</v>
          </cell>
          <cell r="S5">
            <v>4.9400000000000004</v>
          </cell>
          <cell r="X5">
            <v>2.3199999999999998</v>
          </cell>
          <cell r="AD5">
            <v>73.459999999999994</v>
          </cell>
          <cell r="AK5">
            <v>-62728.481647515291</v>
          </cell>
          <cell r="AL5">
            <v>-158721.93629549019</v>
          </cell>
          <cell r="AM5">
            <v>-0.82644639503849882</v>
          </cell>
          <cell r="AN5">
            <v>-38481.800540380536</v>
          </cell>
          <cell r="AO5">
            <v>0.78365569398700308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"/>
  <sheetViews>
    <sheetView tabSelected="1" topLeftCell="X1" workbookViewId="0">
      <selection activeCell="AV3" sqref="AV3"/>
    </sheetView>
  </sheetViews>
  <sheetFormatPr baseColWidth="10" defaultColWidth="8.7265625" defaultRowHeight="14.5" x14ac:dyDescent="0.35"/>
  <cols>
    <col min="48" max="48" width="11.90625" customWidth="1"/>
  </cols>
  <sheetData>
    <row r="1" spans="1:52" x14ac:dyDescent="0.35">
      <c r="A1" s="2"/>
      <c r="B1" s="8"/>
      <c r="C1" s="9"/>
      <c r="D1" s="8" t="s">
        <v>0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9"/>
      <c r="Z1" s="8" t="s">
        <v>1</v>
      </c>
      <c r="AA1" s="10"/>
      <c r="AB1" s="9"/>
      <c r="AC1" s="2" t="s">
        <v>2</v>
      </c>
      <c r="AD1" s="8" t="s">
        <v>3</v>
      </c>
      <c r="AE1" s="9"/>
      <c r="AF1" s="8" t="s">
        <v>4</v>
      </c>
      <c r="AG1" s="9"/>
      <c r="AH1" s="2" t="s">
        <v>5</v>
      </c>
      <c r="AI1" s="2" t="s">
        <v>6</v>
      </c>
      <c r="AJ1" s="5" t="s">
        <v>7</v>
      </c>
      <c r="AK1" s="6"/>
      <c r="AL1" s="6"/>
      <c r="AM1" s="6"/>
      <c r="AN1" s="6"/>
      <c r="AO1" s="7"/>
    </row>
    <row r="2" spans="1:52" x14ac:dyDescent="0.35">
      <c r="A2" s="2"/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34</v>
      </c>
      <c r="AD2" s="2" t="s">
        <v>35</v>
      </c>
      <c r="AE2" s="2" t="s">
        <v>34</v>
      </c>
      <c r="AF2" s="2" t="s">
        <v>36</v>
      </c>
      <c r="AG2" s="2" t="s">
        <v>34</v>
      </c>
      <c r="AH2" s="2" t="s">
        <v>34</v>
      </c>
      <c r="AI2" s="2" t="s">
        <v>34</v>
      </c>
      <c r="AJ2" s="2" t="s">
        <v>34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Q2" t="s">
        <v>8</v>
      </c>
      <c r="AR2" t="s">
        <v>0</v>
      </c>
      <c r="AS2" t="s">
        <v>1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</row>
    <row r="3" spans="1:52" x14ac:dyDescent="0.35">
      <c r="A3" s="1">
        <v>0</v>
      </c>
      <c r="B3" t="str">
        <f>[1]results!B3</f>
        <v>minCC</v>
      </c>
      <c r="C3">
        <f>[1]results!C3</f>
        <v>0.3</v>
      </c>
      <c r="D3" s="3">
        <f>[1]results!D3</f>
        <v>14.13</v>
      </c>
      <c r="E3">
        <f>[1]results!E3</f>
        <v>2.52</v>
      </c>
      <c r="F3">
        <f>[1]results!F3</f>
        <v>0</v>
      </c>
      <c r="G3">
        <f>[1]results!G3</f>
        <v>0</v>
      </c>
      <c r="H3">
        <f>[1]results!H3</f>
        <v>0</v>
      </c>
      <c r="I3">
        <f>[1]results!I3</f>
        <v>1.29</v>
      </c>
      <c r="J3">
        <f>[1]results!J3</f>
        <v>0</v>
      </c>
      <c r="K3">
        <f>[1]results!K3</f>
        <v>0</v>
      </c>
      <c r="L3">
        <f>[1]results!L3</f>
        <v>0</v>
      </c>
      <c r="M3">
        <f>[1]results!M3</f>
        <v>0</v>
      </c>
      <c r="N3">
        <f>[1]results!N3</f>
        <v>1.35</v>
      </c>
      <c r="O3">
        <f>[1]results!O3</f>
        <v>0</v>
      </c>
      <c r="P3">
        <f>[1]results!P3</f>
        <v>0</v>
      </c>
      <c r="Q3">
        <f>[1]results!Q3</f>
        <v>0</v>
      </c>
      <c r="R3">
        <f>[1]results!R3</f>
        <v>0</v>
      </c>
      <c r="S3">
        <f>[1]results!S3</f>
        <v>4.9400000000000004</v>
      </c>
      <c r="T3">
        <f>[1]results!T3</f>
        <v>0</v>
      </c>
      <c r="U3">
        <f>[1]results!U3</f>
        <v>0</v>
      </c>
      <c r="V3">
        <f>[1]results!V3</f>
        <v>0</v>
      </c>
      <c r="W3">
        <f>[1]results!W3</f>
        <v>0</v>
      </c>
      <c r="X3">
        <f>[1]results!X3</f>
        <v>2.3199999999999998</v>
      </c>
      <c r="Y3">
        <f>[1]results!Y3</f>
        <v>0</v>
      </c>
      <c r="Z3">
        <f>[1]results!Z3</f>
        <v>0</v>
      </c>
      <c r="AA3">
        <f>[1]results!AA3</f>
        <v>32.229999999999997</v>
      </c>
      <c r="AB3">
        <f>[1]results!AB3</f>
        <v>0</v>
      </c>
      <c r="AC3">
        <f>[1]results!AC3</f>
        <v>0</v>
      </c>
      <c r="AD3">
        <f>[1]results!AD3</f>
        <v>0</v>
      </c>
      <c r="AE3">
        <f>[1]results!AE3</f>
        <v>0</v>
      </c>
      <c r="AF3" s="3">
        <f>[1]results!AF3</f>
        <v>41.23</v>
      </c>
      <c r="AG3">
        <f>[1]results!AG3</f>
        <v>0</v>
      </c>
      <c r="AH3">
        <f>[1]results!AH3</f>
        <v>0</v>
      </c>
      <c r="AI3">
        <f>[1]results!AI3</f>
        <v>0</v>
      </c>
      <c r="AJ3">
        <f>[1]results!AJ3</f>
        <v>0</v>
      </c>
      <c r="AK3" s="4">
        <f>[1]results!AK3</f>
        <v>-188775.5871293502</v>
      </c>
      <c r="AL3" s="4">
        <f>[1]results!AL3</f>
        <v>-50486.319252358247</v>
      </c>
      <c r="AM3" s="4">
        <f>[1]results!AM3</f>
        <v>-0.64209291423746451</v>
      </c>
      <c r="AN3" s="4">
        <f>[1]results!AN3</f>
        <v>103575.12372407589</v>
      </c>
      <c r="AO3" s="4">
        <f>[1]results!AO3</f>
        <v>1.417872208605502</v>
      </c>
      <c r="AQ3" t="s">
        <v>42</v>
      </c>
      <c r="AR3">
        <f>SUM(D3:Y3)</f>
        <v>26.550000000000004</v>
      </c>
      <c r="AS3">
        <f>SUM(Z3:AB3)</f>
        <v>32.229999999999997</v>
      </c>
      <c r="AT3">
        <f>AC3</f>
        <v>0</v>
      </c>
      <c r="AU3">
        <f>SUM(AD3:AE3)</f>
        <v>0</v>
      </c>
      <c r="AV3">
        <f>SUM(AF3:AG3)</f>
        <v>41.23</v>
      </c>
      <c r="AW3">
        <f>AH3</f>
        <v>0</v>
      </c>
      <c r="AX3">
        <f>AI3</f>
        <v>0</v>
      </c>
      <c r="AY3">
        <f>AJ3</f>
        <v>0</v>
      </c>
      <c r="AZ3">
        <f>SUM(AR3:AY3)</f>
        <v>100.00999999999999</v>
      </c>
    </row>
    <row r="4" spans="1:52" x14ac:dyDescent="0.35">
      <c r="A4" s="1">
        <v>1</v>
      </c>
      <c r="B4" t="str">
        <f>[1]results!B4</f>
        <v>minEQ</v>
      </c>
      <c r="C4">
        <f>[1]results!C4</f>
        <v>0.3</v>
      </c>
      <c r="D4" s="3">
        <f>[1]results!D4</f>
        <v>14.13</v>
      </c>
      <c r="E4">
        <f>[1]results!E4</f>
        <v>2.52</v>
      </c>
      <c r="F4">
        <f>[1]results!F4</f>
        <v>1.35</v>
      </c>
      <c r="G4">
        <f>[1]results!G4</f>
        <v>0</v>
      </c>
      <c r="H4">
        <f>[1]results!H4</f>
        <v>0</v>
      </c>
      <c r="I4">
        <f>[1]results!I4</f>
        <v>1.29</v>
      </c>
      <c r="J4">
        <f>[1]results!J4</f>
        <v>0</v>
      </c>
      <c r="K4">
        <f>[1]results!K4</f>
        <v>0</v>
      </c>
      <c r="L4">
        <f>[1]results!L4</f>
        <v>0</v>
      </c>
      <c r="M4">
        <f>[1]results!M4</f>
        <v>0</v>
      </c>
      <c r="N4">
        <f>[1]results!N4</f>
        <v>0</v>
      </c>
      <c r="O4">
        <f>[1]results!O4</f>
        <v>0</v>
      </c>
      <c r="P4">
        <f>[1]results!P4</f>
        <v>0</v>
      </c>
      <c r="Q4">
        <f>[1]results!Q4</f>
        <v>0</v>
      </c>
      <c r="R4">
        <f>[1]results!R4</f>
        <v>0</v>
      </c>
      <c r="S4">
        <f>[1]results!S4</f>
        <v>4.9400000000000004</v>
      </c>
      <c r="T4">
        <f>[1]results!T4</f>
        <v>0</v>
      </c>
      <c r="U4">
        <f>[1]results!U4</f>
        <v>0</v>
      </c>
      <c r="V4">
        <f>[1]results!V4</f>
        <v>0</v>
      </c>
      <c r="W4">
        <f>[1]results!W4</f>
        <v>0</v>
      </c>
      <c r="X4">
        <f>[1]results!X4</f>
        <v>2.3199999999999998</v>
      </c>
      <c r="Y4">
        <f>[1]results!Y4</f>
        <v>0</v>
      </c>
      <c r="Z4">
        <f>[1]results!Z4</f>
        <v>0</v>
      </c>
      <c r="AA4">
        <f>[1]results!AA4</f>
        <v>0</v>
      </c>
      <c r="AB4">
        <f>[1]results!AB4</f>
        <v>0</v>
      </c>
      <c r="AC4">
        <f>[1]results!AC4</f>
        <v>0</v>
      </c>
      <c r="AD4" s="3">
        <f>[1]results!AD4</f>
        <v>73.459999999999994</v>
      </c>
      <c r="AE4">
        <f>[1]results!AE4</f>
        <v>0</v>
      </c>
      <c r="AF4">
        <f>[1]results!AF4</f>
        <v>0</v>
      </c>
      <c r="AG4">
        <f>[1]results!AG4</f>
        <v>0</v>
      </c>
      <c r="AH4">
        <f>[1]results!AH4</f>
        <v>0</v>
      </c>
      <c r="AI4">
        <f>[1]results!AI4</f>
        <v>0</v>
      </c>
      <c r="AJ4">
        <f>[1]results!AJ4</f>
        <v>0</v>
      </c>
      <c r="AK4" s="4">
        <f>[1]results!AK4</f>
        <v>-62728.481647515291</v>
      </c>
      <c r="AL4" s="4">
        <f>[1]results!AL4</f>
        <v>-158721.93629549019</v>
      </c>
      <c r="AM4" s="4">
        <f>[1]results!AM4</f>
        <v>-0.82644639503849882</v>
      </c>
      <c r="AN4" s="4">
        <f>[1]results!AN4</f>
        <v>-38481.800540380536</v>
      </c>
      <c r="AO4" s="4">
        <f>[1]results!AO4</f>
        <v>0.78365569398700308</v>
      </c>
      <c r="AQ4" t="s">
        <v>43</v>
      </c>
      <c r="AR4">
        <f t="shared" ref="AR4:AR9" si="0">SUM(D4:Y4)</f>
        <v>26.550000000000004</v>
      </c>
      <c r="AS4">
        <f t="shared" ref="AS4:AS9" si="1">SUM(Z4:AB4)</f>
        <v>0</v>
      </c>
      <c r="AT4">
        <f t="shared" ref="AT4:AT9" si="2">AC4</f>
        <v>0</v>
      </c>
      <c r="AU4">
        <f t="shared" ref="AU4:AU9" si="3">SUM(AD4:AE4)</f>
        <v>73.459999999999994</v>
      </c>
      <c r="AV4">
        <f t="shared" ref="AV4:AV9" si="4">SUM(AF4:AG4)</f>
        <v>0</v>
      </c>
      <c r="AW4">
        <f t="shared" ref="AW4:AY9" si="5">AH4</f>
        <v>0</v>
      </c>
      <c r="AX4">
        <f t="shared" si="5"/>
        <v>0</v>
      </c>
      <c r="AY4">
        <f t="shared" si="5"/>
        <v>0</v>
      </c>
      <c r="AZ4">
        <f t="shared" ref="AZ4:AZ9" si="6">SUM(AR4:AY4)</f>
        <v>100.00999999999999</v>
      </c>
    </row>
    <row r="5" spans="1:52" x14ac:dyDescent="0.35">
      <c r="A5" s="1">
        <v>2</v>
      </c>
      <c r="B5" t="str">
        <f>[1]results!B5</f>
        <v>minHH</v>
      </c>
      <c r="C5">
        <f>[1]results!C5</f>
        <v>0.3</v>
      </c>
      <c r="D5" s="3">
        <f>[1]results!D5</f>
        <v>14.13</v>
      </c>
      <c r="E5">
        <f>[1]results!E5</f>
        <v>2.52</v>
      </c>
      <c r="F5">
        <f>[1]results!F5</f>
        <v>1.35</v>
      </c>
      <c r="G5">
        <f>[1]results!G5</f>
        <v>0</v>
      </c>
      <c r="H5">
        <f>[1]results!H5</f>
        <v>0</v>
      </c>
      <c r="I5">
        <f>[1]results!I5</f>
        <v>1.29</v>
      </c>
      <c r="J5">
        <f>[1]results!J5</f>
        <v>0</v>
      </c>
      <c r="K5">
        <f>[1]results!K5</f>
        <v>0</v>
      </c>
      <c r="L5">
        <f>[1]results!L5</f>
        <v>0</v>
      </c>
      <c r="M5">
        <f>[1]results!M5</f>
        <v>0</v>
      </c>
      <c r="N5">
        <f>[1]results!N5</f>
        <v>0</v>
      </c>
      <c r="O5">
        <f>[1]results!O5</f>
        <v>0</v>
      </c>
      <c r="P5">
        <f>[1]results!P5</f>
        <v>0</v>
      </c>
      <c r="Q5">
        <f>[1]results!Q5</f>
        <v>0</v>
      </c>
      <c r="R5">
        <f>[1]results!R5</f>
        <v>0</v>
      </c>
      <c r="S5">
        <f>[1]results!S5</f>
        <v>4.9400000000000004</v>
      </c>
      <c r="T5">
        <f>[1]results!T5</f>
        <v>0</v>
      </c>
      <c r="U5">
        <f>[1]results!U5</f>
        <v>0</v>
      </c>
      <c r="V5">
        <f>[1]results!V5</f>
        <v>0</v>
      </c>
      <c r="W5">
        <f>[1]results!W5</f>
        <v>0</v>
      </c>
      <c r="X5">
        <f>[1]results!X5</f>
        <v>2.3199999999999998</v>
      </c>
      <c r="Y5">
        <f>[1]results!Y5</f>
        <v>0</v>
      </c>
      <c r="Z5">
        <f>[1]results!Z5</f>
        <v>0</v>
      </c>
      <c r="AA5">
        <f>[1]results!AA5</f>
        <v>0</v>
      </c>
      <c r="AB5">
        <f>[1]results!AB5</f>
        <v>0</v>
      </c>
      <c r="AC5">
        <f>[1]results!AC5</f>
        <v>0</v>
      </c>
      <c r="AD5" s="3">
        <f>[1]results!AD5</f>
        <v>73.459999999999994</v>
      </c>
      <c r="AE5">
        <f>[1]results!AE5</f>
        <v>0</v>
      </c>
      <c r="AF5">
        <f>[1]results!AF5</f>
        <v>0</v>
      </c>
      <c r="AG5">
        <f>[1]results!AG5</f>
        <v>0</v>
      </c>
      <c r="AH5">
        <f>[1]results!AH5</f>
        <v>0</v>
      </c>
      <c r="AI5">
        <f>[1]results!AI5</f>
        <v>0</v>
      </c>
      <c r="AJ5">
        <f>[1]results!AJ5</f>
        <v>0</v>
      </c>
      <c r="AK5" s="4">
        <f>[1]results!AK5</f>
        <v>-62728.481647515291</v>
      </c>
      <c r="AL5" s="4">
        <f>[1]results!AL5</f>
        <v>-158721.93629549019</v>
      </c>
      <c r="AM5" s="4">
        <f>[1]results!AM5</f>
        <v>-0.82644639503849882</v>
      </c>
      <c r="AN5" s="4">
        <f>[1]results!AN5</f>
        <v>-38481.800540380536</v>
      </c>
      <c r="AO5" s="4">
        <f>[1]results!AO5</f>
        <v>0.78365569398700308</v>
      </c>
      <c r="AQ5" t="s">
        <v>44</v>
      </c>
      <c r="AR5">
        <f t="shared" si="0"/>
        <v>26.550000000000004</v>
      </c>
      <c r="AS5">
        <f t="shared" si="1"/>
        <v>0</v>
      </c>
      <c r="AT5">
        <f t="shared" si="2"/>
        <v>0</v>
      </c>
      <c r="AU5">
        <f t="shared" si="3"/>
        <v>73.459999999999994</v>
      </c>
      <c r="AV5">
        <f t="shared" si="4"/>
        <v>0</v>
      </c>
      <c r="AW5">
        <f t="shared" si="5"/>
        <v>0</v>
      </c>
      <c r="AX5">
        <f t="shared" si="5"/>
        <v>0</v>
      </c>
      <c r="AY5">
        <f t="shared" si="5"/>
        <v>0</v>
      </c>
      <c r="AZ5">
        <f t="shared" si="6"/>
        <v>100.00999999999999</v>
      </c>
    </row>
    <row r="6" spans="1:52" x14ac:dyDescent="0.35">
      <c r="A6" s="1">
        <v>3</v>
      </c>
      <c r="B6" t="s">
        <v>45</v>
      </c>
      <c r="C6">
        <v>0.3</v>
      </c>
      <c r="D6" s="3">
        <v>14.13</v>
      </c>
      <c r="E6">
        <v>2.52</v>
      </c>
      <c r="F6">
        <v>1.35</v>
      </c>
      <c r="I6">
        <v>1.29</v>
      </c>
      <c r="S6">
        <v>4.9400000000000004</v>
      </c>
      <c r="X6">
        <v>2.3199999999999998</v>
      </c>
      <c r="AD6" s="3">
        <v>73.459999999999994</v>
      </c>
      <c r="AK6" s="4">
        <v>-62728.481647515291</v>
      </c>
      <c r="AL6" s="4">
        <v>-158721.93629549019</v>
      </c>
      <c r="AM6" s="4">
        <v>-0.82644639503849882</v>
      </c>
      <c r="AN6" s="4">
        <v>-38481.800540380536</v>
      </c>
      <c r="AO6" s="4">
        <v>0.78365569398700308</v>
      </c>
      <c r="AQ6" t="s">
        <v>45</v>
      </c>
      <c r="AR6">
        <f t="shared" si="0"/>
        <v>26.550000000000004</v>
      </c>
      <c r="AS6">
        <f t="shared" si="1"/>
        <v>0</v>
      </c>
      <c r="AT6">
        <f t="shared" si="2"/>
        <v>0</v>
      </c>
      <c r="AU6">
        <f t="shared" si="3"/>
        <v>73.459999999999994</v>
      </c>
      <c r="AV6">
        <f t="shared" si="4"/>
        <v>0</v>
      </c>
      <c r="AW6">
        <f t="shared" si="5"/>
        <v>0</v>
      </c>
      <c r="AX6">
        <f t="shared" si="5"/>
        <v>0</v>
      </c>
      <c r="AY6">
        <f t="shared" si="5"/>
        <v>0</v>
      </c>
      <c r="AZ6">
        <f t="shared" si="6"/>
        <v>100.00999999999999</v>
      </c>
    </row>
    <row r="7" spans="1:52" x14ac:dyDescent="0.35">
      <c r="A7" s="1">
        <v>4</v>
      </c>
      <c r="B7" t="s">
        <v>46</v>
      </c>
      <c r="C7">
        <v>0.3</v>
      </c>
      <c r="D7" s="3">
        <v>14.13</v>
      </c>
      <c r="E7">
        <v>2.52</v>
      </c>
      <c r="F7">
        <v>1.35</v>
      </c>
      <c r="I7">
        <v>1.29</v>
      </c>
      <c r="S7">
        <v>4.9400000000000004</v>
      </c>
      <c r="X7">
        <v>2.3199999999999998</v>
      </c>
      <c r="AD7" s="3">
        <v>73.459999999999994</v>
      </c>
      <c r="AK7" s="4">
        <v>-62728.481647515291</v>
      </c>
      <c r="AL7" s="4">
        <v>-158721.93629549019</v>
      </c>
      <c r="AM7" s="4">
        <v>-0.82644639503849882</v>
      </c>
      <c r="AN7" s="4">
        <v>-38481.800540380536</v>
      </c>
      <c r="AO7" s="4">
        <v>0.78365569398700308</v>
      </c>
      <c r="AQ7" t="s">
        <v>46</v>
      </c>
      <c r="AR7">
        <f t="shared" si="0"/>
        <v>26.550000000000004</v>
      </c>
      <c r="AS7">
        <f t="shared" si="1"/>
        <v>0</v>
      </c>
      <c r="AT7">
        <f t="shared" si="2"/>
        <v>0</v>
      </c>
      <c r="AU7">
        <f t="shared" si="3"/>
        <v>73.459999999999994</v>
      </c>
      <c r="AV7">
        <f t="shared" si="4"/>
        <v>0</v>
      </c>
      <c r="AW7">
        <f t="shared" si="5"/>
        <v>0</v>
      </c>
      <c r="AX7">
        <f t="shared" si="5"/>
        <v>0</v>
      </c>
      <c r="AY7">
        <f t="shared" si="5"/>
        <v>0</v>
      </c>
      <c r="AZ7">
        <f t="shared" si="6"/>
        <v>100.00999999999999</v>
      </c>
    </row>
    <row r="8" spans="1:52" x14ac:dyDescent="0.35">
      <c r="A8" s="1">
        <v>5</v>
      </c>
      <c r="B8" t="s">
        <v>47</v>
      </c>
      <c r="C8">
        <v>0.3</v>
      </c>
      <c r="D8" s="3">
        <v>14.13</v>
      </c>
      <c r="E8">
        <v>2.52</v>
      </c>
      <c r="F8">
        <v>1.35</v>
      </c>
      <c r="I8">
        <v>1.29</v>
      </c>
      <c r="S8">
        <v>4.9400000000000004</v>
      </c>
      <c r="X8">
        <v>2.3199999999999998</v>
      </c>
      <c r="Z8" s="3">
        <v>10.33</v>
      </c>
      <c r="AA8">
        <v>16.399999999999999</v>
      </c>
      <c r="AD8" s="3">
        <v>46.73</v>
      </c>
      <c r="AK8" s="4">
        <v>-108859.89803715071</v>
      </c>
      <c r="AL8" s="4">
        <v>-123255.5050637845</v>
      </c>
      <c r="AM8" s="4">
        <v>-0.80536346632183742</v>
      </c>
      <c r="AN8" s="4">
        <v>2102.7875375440422</v>
      </c>
      <c r="AO8" s="4">
        <v>0.86777012360695438</v>
      </c>
      <c r="AQ8" t="s">
        <v>47</v>
      </c>
      <c r="AR8">
        <f t="shared" si="0"/>
        <v>26.550000000000004</v>
      </c>
      <c r="AS8">
        <f t="shared" si="1"/>
        <v>26.729999999999997</v>
      </c>
      <c r="AT8">
        <f t="shared" si="2"/>
        <v>0</v>
      </c>
      <c r="AU8">
        <f t="shared" si="3"/>
        <v>46.73</v>
      </c>
      <c r="AV8">
        <f t="shared" si="4"/>
        <v>0</v>
      </c>
      <c r="AW8">
        <f t="shared" si="5"/>
        <v>0</v>
      </c>
      <c r="AX8">
        <f t="shared" si="5"/>
        <v>0</v>
      </c>
      <c r="AY8">
        <f t="shared" si="5"/>
        <v>0</v>
      </c>
      <c r="AZ8">
        <f t="shared" si="6"/>
        <v>100.00999999999999</v>
      </c>
    </row>
    <row r="9" spans="1:52" x14ac:dyDescent="0.35">
      <c r="A9" s="1">
        <v>6</v>
      </c>
      <c r="B9" t="s">
        <v>48</v>
      </c>
      <c r="C9">
        <v>0.3</v>
      </c>
      <c r="D9" s="3">
        <v>14.13</v>
      </c>
      <c r="E9">
        <v>2.52</v>
      </c>
      <c r="F9">
        <v>1.35</v>
      </c>
      <c r="I9">
        <v>1.29</v>
      </c>
      <c r="S9">
        <v>4.9400000000000004</v>
      </c>
      <c r="X9">
        <v>2.3199999999999998</v>
      </c>
      <c r="AD9" s="3">
        <v>73.459999999999994</v>
      </c>
      <c r="AK9" s="4">
        <v>-62728.481647515291</v>
      </c>
      <c r="AL9" s="4">
        <v>-158721.93629549019</v>
      </c>
      <c r="AM9" s="4">
        <v>-0.82644639503849882</v>
      </c>
      <c r="AN9" s="4">
        <v>-38481.800540380536</v>
      </c>
      <c r="AO9" s="4">
        <v>0.78365569398700308</v>
      </c>
      <c r="AQ9" t="s">
        <v>48</v>
      </c>
      <c r="AR9">
        <f t="shared" si="0"/>
        <v>26.550000000000004</v>
      </c>
      <c r="AS9">
        <f t="shared" si="1"/>
        <v>0</v>
      </c>
      <c r="AT9">
        <f t="shared" si="2"/>
        <v>0</v>
      </c>
      <c r="AU9">
        <f t="shared" si="3"/>
        <v>73.459999999999994</v>
      </c>
      <c r="AV9">
        <f t="shared" si="4"/>
        <v>0</v>
      </c>
      <c r="AW9">
        <f t="shared" si="5"/>
        <v>0</v>
      </c>
      <c r="AX9">
        <f t="shared" si="5"/>
        <v>0</v>
      </c>
      <c r="AY9">
        <f t="shared" si="5"/>
        <v>0</v>
      </c>
      <c r="AZ9">
        <f t="shared" si="6"/>
        <v>100.00999999999999</v>
      </c>
    </row>
  </sheetData>
  <mergeCells count="5">
    <mergeCell ref="B1:C1"/>
    <mergeCell ref="D1:Y1"/>
    <mergeCell ref="Z1:AB1"/>
    <mergeCell ref="AD1:AE1"/>
    <mergeCell ref="AF1:A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2026-03-06T14:23:53Z</dcterms:created>
  <dcterms:modified xsi:type="dcterms:W3CDTF">2026-03-20T10:13:44Z</dcterms:modified>
</cp:coreProperties>
</file>