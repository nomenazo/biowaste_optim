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taux de tri\"/>
    </mc:Choice>
  </mc:AlternateContent>
  <xr:revisionPtr revIDLastSave="0" documentId="13_ncr:1_{74EBEFCD-4F86-462D-9F0A-495EB7886D48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externalReferences>
    <externalReference r:id="rId2"/>
    <externalReference r:id="rId3"/>
  </externalReferences>
  <calcPr calcId="191029"/>
</workbook>
</file>

<file path=xl/calcChain.xml><?xml version="1.0" encoding="utf-8"?>
<calcChain xmlns="http://schemas.openxmlformats.org/spreadsheetml/2006/main">
  <c r="AM11" i="1" l="1"/>
  <c r="AL11" i="1"/>
  <c r="AK11" i="1"/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  <c r="AZ3" i="1" l="1"/>
  <c r="AZ4" i="1"/>
  <c r="AZ5" i="1"/>
</calcChain>
</file>

<file path=xl/sharedStrings.xml><?xml version="1.0" encoding="utf-8"?>
<sst xmlns="http://schemas.openxmlformats.org/spreadsheetml/2006/main" count="68" uniqueCount="55">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</sst>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ASinv_tri_pos_V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all_dig_inv2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B3" t="str">
            <v>minCC</v>
          </cell>
          <cell r="C3">
            <v>0.9</v>
          </cell>
          <cell r="D3">
            <v>2.73</v>
          </cell>
          <cell r="E3">
            <v>2.52</v>
          </cell>
          <cell r="I3">
            <v>1.29</v>
          </cell>
          <cell r="X3">
            <v>2.3199999999999998</v>
          </cell>
          <cell r="AH3">
            <v>91.15</v>
          </cell>
          <cell r="AK3">
            <v>-1088494.994009034</v>
          </cell>
          <cell r="AL3">
            <v>-807069.07032919908</v>
          </cell>
          <cell r="AM3">
            <v>-8.8977180562763198</v>
          </cell>
          <cell r="AN3">
            <v>-92477.48207658928</v>
          </cell>
          <cell r="AO3">
            <v>0.71651026911873739</v>
          </cell>
        </row>
        <row r="4">
          <cell r="B4" t="str">
            <v>minEQ</v>
          </cell>
          <cell r="C4">
            <v>0.9</v>
          </cell>
          <cell r="AJ4">
            <v>100</v>
          </cell>
          <cell r="AK4">
            <v>-974171.87223837513</v>
          </cell>
          <cell r="AL4">
            <v>-1112725.9614545121</v>
          </cell>
          <cell r="AM4">
            <v>-10.738539371446709</v>
          </cell>
          <cell r="AN4">
            <v>-288125.5593252593</v>
          </cell>
          <cell r="AO4">
            <v>0.36567992246186648</v>
          </cell>
        </row>
        <row r="5">
          <cell r="B5" t="str">
            <v>minHH</v>
          </cell>
          <cell r="C5">
            <v>0.9</v>
          </cell>
          <cell r="I5">
            <v>1.29</v>
          </cell>
          <cell r="AJ5">
            <v>98.71</v>
          </cell>
          <cell r="AK5">
            <v>-980495.14972255274</v>
          </cell>
          <cell r="AL5">
            <v>-1111096.187215752</v>
          </cell>
          <cell r="AM5">
            <v>-10.74763179044052</v>
          </cell>
          <cell r="AN5">
            <v>-286242.46598346002</v>
          </cell>
          <cell r="AO5">
            <v>0.35892456781692539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-651101.69874275697</v>
          </cell>
        </row>
        <row r="4">
          <cell r="AL4">
            <v>-684134.54392147798</v>
          </cell>
        </row>
        <row r="5">
          <cell r="AM5">
            <v>-6.3578543683243343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"/>
  <sheetViews>
    <sheetView tabSelected="1" topLeftCell="X1" workbookViewId="0">
      <selection activeCell="AM11" sqref="AM11"/>
    </sheetView>
  </sheetViews>
  <sheetFormatPr baseColWidth="10" defaultColWidth="8.7265625" defaultRowHeight="14.5" x14ac:dyDescent="0.35"/>
  <sheetData>
    <row r="1" spans="1:52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tr">
        <f>[1]results!B3</f>
        <v>minCC</v>
      </c>
      <c r="C3">
        <f>[1]results!C3</f>
        <v>0.9</v>
      </c>
      <c r="D3" s="3">
        <f>[1]results!D3</f>
        <v>2.73</v>
      </c>
      <c r="E3">
        <f>[1]results!E3</f>
        <v>2.52</v>
      </c>
      <c r="F3">
        <f>[1]results!F3</f>
        <v>0</v>
      </c>
      <c r="G3">
        <f>[1]results!G3</f>
        <v>0</v>
      </c>
      <c r="H3">
        <f>[1]results!H3</f>
        <v>0</v>
      </c>
      <c r="I3">
        <f>[1]results!I3</f>
        <v>1.29</v>
      </c>
      <c r="J3">
        <f>[1]results!J3</f>
        <v>0</v>
      </c>
      <c r="K3">
        <f>[1]results!K3</f>
        <v>0</v>
      </c>
      <c r="L3">
        <f>[1]results!L3</f>
        <v>0</v>
      </c>
      <c r="M3">
        <f>[1]results!M3</f>
        <v>0</v>
      </c>
      <c r="N3">
        <f>[1]results!N3</f>
        <v>0</v>
      </c>
      <c r="O3">
        <f>[1]results!O3</f>
        <v>0</v>
      </c>
      <c r="P3">
        <f>[1]results!P3</f>
        <v>0</v>
      </c>
      <c r="Q3">
        <f>[1]results!Q3</f>
        <v>0</v>
      </c>
      <c r="R3">
        <f>[1]results!R3</f>
        <v>0</v>
      </c>
      <c r="S3">
        <f>[1]results!S3</f>
        <v>0</v>
      </c>
      <c r="T3">
        <f>[1]results!T3</f>
        <v>0</v>
      </c>
      <c r="U3">
        <f>[1]results!U3</f>
        <v>0</v>
      </c>
      <c r="V3">
        <f>[1]results!V3</f>
        <v>0</v>
      </c>
      <c r="W3">
        <f>[1]results!W3</f>
        <v>0</v>
      </c>
      <c r="X3">
        <f>[1]results!X3</f>
        <v>2.3199999999999998</v>
      </c>
      <c r="Y3">
        <f>[1]results!Y3</f>
        <v>0</v>
      </c>
      <c r="Z3">
        <f>[1]results!Z3</f>
        <v>0</v>
      </c>
      <c r="AA3">
        <f>[1]results!AA3</f>
        <v>0</v>
      </c>
      <c r="AB3">
        <f>[1]results!AB3</f>
        <v>0</v>
      </c>
      <c r="AC3">
        <f>[1]results!AC3</f>
        <v>0</v>
      </c>
      <c r="AD3">
        <f>[1]results!AD3</f>
        <v>0</v>
      </c>
      <c r="AE3">
        <f>[1]results!AE3</f>
        <v>0</v>
      </c>
      <c r="AF3">
        <f>[1]results!AF3</f>
        <v>0</v>
      </c>
      <c r="AG3">
        <f>[1]results!AG3</f>
        <v>0</v>
      </c>
      <c r="AH3">
        <f>[1]results!AH3</f>
        <v>91.15</v>
      </c>
      <c r="AI3">
        <f>[1]results!AI3</f>
        <v>0</v>
      </c>
      <c r="AJ3" s="3">
        <f>[1]results!AJ3</f>
        <v>0</v>
      </c>
      <c r="AK3" s="4">
        <f>[1]results!AK3</f>
        <v>-1088494.994009034</v>
      </c>
      <c r="AL3" s="4">
        <f>[1]results!AL3</f>
        <v>-807069.07032919908</v>
      </c>
      <c r="AM3" s="4">
        <f>[1]results!AM3</f>
        <v>-8.8977180562763198</v>
      </c>
      <c r="AN3" s="4">
        <f>[1]results!AN3</f>
        <v>-92477.48207658928</v>
      </c>
      <c r="AO3" s="4">
        <f>[1]results!AO3</f>
        <v>0.71651026911873739</v>
      </c>
      <c r="AQ3" t="s">
        <v>42</v>
      </c>
      <c r="AR3">
        <f>SUM(D3:Y3)</f>
        <v>8.86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91.15</v>
      </c>
      <c r="AX3">
        <f>AI3</f>
        <v>0</v>
      </c>
      <c r="AY3">
        <f>AJ3</f>
        <v>0</v>
      </c>
      <c r="AZ3">
        <f>SUM(AR3:AY3)</f>
        <v>100.01</v>
      </c>
    </row>
    <row r="4" spans="1:52" x14ac:dyDescent="0.35">
      <c r="A4" s="1">
        <v>1</v>
      </c>
      <c r="B4" t="str">
        <f>[1]results!B4</f>
        <v>minEQ</v>
      </c>
      <c r="C4">
        <f>[1]results!C4</f>
        <v>0.9</v>
      </c>
      <c r="D4">
        <f>[1]results!D4</f>
        <v>0</v>
      </c>
      <c r="E4">
        <f>[1]results!E4</f>
        <v>0</v>
      </c>
      <c r="F4">
        <f>[1]results!F4</f>
        <v>0</v>
      </c>
      <c r="G4">
        <f>[1]results!G4</f>
        <v>0</v>
      </c>
      <c r="H4">
        <f>[1]results!H4</f>
        <v>0</v>
      </c>
      <c r="I4">
        <f>[1]results!I4</f>
        <v>0</v>
      </c>
      <c r="J4">
        <f>[1]results!J4</f>
        <v>0</v>
      </c>
      <c r="K4">
        <f>[1]results!K4</f>
        <v>0</v>
      </c>
      <c r="L4">
        <f>[1]results!L4</f>
        <v>0</v>
      </c>
      <c r="M4">
        <f>[1]results!M4</f>
        <v>0</v>
      </c>
      <c r="N4">
        <f>[1]results!N4</f>
        <v>0</v>
      </c>
      <c r="O4">
        <f>[1]results!O4</f>
        <v>0</v>
      </c>
      <c r="P4">
        <f>[1]results!P4</f>
        <v>0</v>
      </c>
      <c r="Q4">
        <f>[1]results!Q4</f>
        <v>0</v>
      </c>
      <c r="R4">
        <f>[1]results!R4</f>
        <v>0</v>
      </c>
      <c r="S4">
        <f>[1]results!S4</f>
        <v>0</v>
      </c>
      <c r="T4">
        <f>[1]results!T4</f>
        <v>0</v>
      </c>
      <c r="U4">
        <f>[1]results!U4</f>
        <v>0</v>
      </c>
      <c r="V4">
        <f>[1]results!V4</f>
        <v>0</v>
      </c>
      <c r="W4">
        <f>[1]results!W4</f>
        <v>0</v>
      </c>
      <c r="X4">
        <f>[1]results!X4</f>
        <v>0</v>
      </c>
      <c r="Y4">
        <f>[1]results!Y4</f>
        <v>0</v>
      </c>
      <c r="Z4">
        <f>[1]results!Z4</f>
        <v>0</v>
      </c>
      <c r="AA4">
        <f>[1]results!AA4</f>
        <v>0</v>
      </c>
      <c r="AB4">
        <f>[1]results!AB4</f>
        <v>0</v>
      </c>
      <c r="AC4">
        <f>[1]results!AC4</f>
        <v>0</v>
      </c>
      <c r="AD4">
        <f>[1]results!AD4</f>
        <v>0</v>
      </c>
      <c r="AE4">
        <f>[1]results!AE4</f>
        <v>0</v>
      </c>
      <c r="AF4">
        <f>[1]results!AF4</f>
        <v>0</v>
      </c>
      <c r="AG4">
        <f>[1]results!AG4</f>
        <v>0</v>
      </c>
      <c r="AH4">
        <f>[1]results!AH4</f>
        <v>0</v>
      </c>
      <c r="AI4">
        <f>[1]results!AI4</f>
        <v>0</v>
      </c>
      <c r="AJ4" s="3">
        <f>[1]results!AJ4</f>
        <v>100</v>
      </c>
      <c r="AK4" s="4">
        <f>[1]results!AK4</f>
        <v>-974171.87223837513</v>
      </c>
      <c r="AL4" s="4">
        <f>[1]results!AL4</f>
        <v>-1112725.9614545121</v>
      </c>
      <c r="AM4" s="4">
        <f>[1]results!AM4</f>
        <v>-10.738539371446709</v>
      </c>
      <c r="AN4" s="4">
        <f>[1]results!AN4</f>
        <v>-288125.5593252593</v>
      </c>
      <c r="AO4" s="4">
        <f>[1]results!AO4</f>
        <v>0.36567992246186648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tr">
        <f>[1]results!B5</f>
        <v>minHH</v>
      </c>
      <c r="C5">
        <f>[1]results!C5</f>
        <v>0.9</v>
      </c>
      <c r="D5">
        <f>[1]results!D5</f>
        <v>0</v>
      </c>
      <c r="E5">
        <f>[1]results!E5</f>
        <v>0</v>
      </c>
      <c r="F5">
        <f>[1]results!F5</f>
        <v>0</v>
      </c>
      <c r="G5">
        <f>[1]results!G5</f>
        <v>0</v>
      </c>
      <c r="H5">
        <f>[1]results!H5</f>
        <v>0</v>
      </c>
      <c r="I5">
        <f>[1]results!I5</f>
        <v>1.29</v>
      </c>
      <c r="J5">
        <f>[1]results!J5</f>
        <v>0</v>
      </c>
      <c r="K5">
        <f>[1]results!K5</f>
        <v>0</v>
      </c>
      <c r="L5">
        <f>[1]results!L5</f>
        <v>0</v>
      </c>
      <c r="M5">
        <f>[1]results!M5</f>
        <v>0</v>
      </c>
      <c r="N5">
        <f>[1]results!N5</f>
        <v>0</v>
      </c>
      <c r="O5">
        <f>[1]results!O5</f>
        <v>0</v>
      </c>
      <c r="P5">
        <f>[1]results!P5</f>
        <v>0</v>
      </c>
      <c r="Q5">
        <f>[1]results!Q5</f>
        <v>0</v>
      </c>
      <c r="R5">
        <f>[1]results!R5</f>
        <v>0</v>
      </c>
      <c r="S5">
        <f>[1]results!S5</f>
        <v>0</v>
      </c>
      <c r="T5">
        <f>[1]results!T5</f>
        <v>0</v>
      </c>
      <c r="U5">
        <f>[1]results!U5</f>
        <v>0</v>
      </c>
      <c r="V5">
        <f>[1]results!V5</f>
        <v>0</v>
      </c>
      <c r="W5">
        <f>[1]results!W5</f>
        <v>0</v>
      </c>
      <c r="X5">
        <f>[1]results!X5</f>
        <v>0</v>
      </c>
      <c r="Y5">
        <f>[1]results!Y5</f>
        <v>0</v>
      </c>
      <c r="Z5">
        <f>[1]results!Z5</f>
        <v>0</v>
      </c>
      <c r="AA5">
        <f>[1]results!AA5</f>
        <v>0</v>
      </c>
      <c r="AB5">
        <f>[1]results!AB5</f>
        <v>0</v>
      </c>
      <c r="AC5">
        <f>[1]results!AC5</f>
        <v>0</v>
      </c>
      <c r="AD5">
        <f>[1]results!AD5</f>
        <v>0</v>
      </c>
      <c r="AE5">
        <f>[1]results!AE5</f>
        <v>0</v>
      </c>
      <c r="AF5">
        <f>[1]results!AF5</f>
        <v>0</v>
      </c>
      <c r="AG5">
        <f>[1]results!AG5</f>
        <v>0</v>
      </c>
      <c r="AH5">
        <f>[1]results!AH5</f>
        <v>0</v>
      </c>
      <c r="AI5">
        <f>[1]results!AI5</f>
        <v>0</v>
      </c>
      <c r="AJ5" s="3">
        <f>[1]results!AJ5</f>
        <v>98.71</v>
      </c>
      <c r="AK5" s="4">
        <f>[1]results!AK5</f>
        <v>-980495.14972255274</v>
      </c>
      <c r="AL5" s="4">
        <f>[1]results!AL5</f>
        <v>-1111096.187215752</v>
      </c>
      <c r="AM5" s="4">
        <f>[1]results!AM5</f>
        <v>-10.74763179044052</v>
      </c>
      <c r="AN5" s="4">
        <f>[1]results!AN5</f>
        <v>-286242.46598346002</v>
      </c>
      <c r="AO5" s="4">
        <f>[1]results!AO5</f>
        <v>0.35892456781692539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0.9</v>
      </c>
      <c r="AJ6" s="3">
        <v>100</v>
      </c>
      <c r="AK6" s="4">
        <v>-1070529.333092998</v>
      </c>
      <c r="AL6" s="4">
        <v>-1112725.9614545121</v>
      </c>
      <c r="AM6" s="4">
        <v>-10.738539371446709</v>
      </c>
      <c r="AN6" s="4">
        <v>-288125.5593252593</v>
      </c>
      <c r="AO6" s="4">
        <v>0.36567992246186648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0.9</v>
      </c>
      <c r="I7">
        <v>1.29</v>
      </c>
      <c r="AJ7" s="3">
        <v>98.71</v>
      </c>
      <c r="AK7" s="4">
        <v>-1075612.8207452309</v>
      </c>
      <c r="AL7" s="4">
        <v>-1111096.187215752</v>
      </c>
      <c r="AM7" s="4">
        <v>-10.74763179044052</v>
      </c>
      <c r="AN7" s="4">
        <v>-286242.46598346002</v>
      </c>
      <c r="AO7" s="4">
        <v>0.35892456781692539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0.9</v>
      </c>
      <c r="D8" s="3">
        <v>2.73</v>
      </c>
      <c r="E8">
        <v>2.52</v>
      </c>
      <c r="I8">
        <v>1.29</v>
      </c>
      <c r="X8">
        <v>2.3199999999999998</v>
      </c>
      <c r="AJ8" s="3">
        <v>91.15</v>
      </c>
      <c r="AK8" s="4">
        <v>-1097089.940591672</v>
      </c>
      <c r="AL8" s="4">
        <v>-1094562.118207433</v>
      </c>
      <c r="AM8" s="4">
        <v>-10.726063286818141</v>
      </c>
      <c r="AN8" s="4">
        <v>-272419.01027665351</v>
      </c>
      <c r="AO8" s="4">
        <v>0.3376341342226904</v>
      </c>
      <c r="AQ8" t="s">
        <v>47</v>
      </c>
      <c r="AR8">
        <f t="shared" si="0"/>
        <v>8.86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91.15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0.9</v>
      </c>
      <c r="I9">
        <v>1.29</v>
      </c>
      <c r="AJ9" s="3">
        <v>98.71</v>
      </c>
      <c r="AK9" s="4">
        <v>-1075612.8207452309</v>
      </c>
      <c r="AL9" s="4">
        <v>-1111096.187215752</v>
      </c>
      <c r="AM9" s="4">
        <v>-10.74763179044052</v>
      </c>
      <c r="AN9" s="4">
        <v>-286242.46598346002</v>
      </c>
      <c r="AO9" s="4">
        <v>0.35892456781692539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  <row r="11" spans="1:52" x14ac:dyDescent="0.35">
      <c r="AK11" s="4">
        <f>(AK3-[2]results!$AK$3)/[2]results!$AK$3</f>
        <v>0.67177415772506877</v>
      </c>
      <c r="AL11" s="4">
        <f>(AL4-[2]results!$AL$4)/[2]results!$AL$4</f>
        <v>0.62647241151767652</v>
      </c>
      <c r="AM11" s="4">
        <f>(AM5-[2]results!$AM$5)/[2]results!$AM$5</f>
        <v>0.69044950824709572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2026-04-22T14:41:20Z</dcterms:modified>
</cp:coreProperties>
</file>