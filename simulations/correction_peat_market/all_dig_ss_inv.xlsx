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"/>
    </mc:Choice>
  </mc:AlternateContent>
  <xr:revisionPtr revIDLastSave="0" documentId="13_ncr:1_{163C69B0-1F78-49B5-8179-D9650C3265C8}" xr6:coauthVersionLast="36" xr6:coauthVersionMax="36" xr10:uidLastSave="{00000000-0000-0000-0000-000000000000}"/>
  <bookViews>
    <workbookView xWindow="0" yWindow="0" windowWidth="19200" windowHeight="6350" activeTab="1" xr2:uid="{00000000-000D-0000-FFFF-FFFF00000000}"/>
  </bookViews>
  <sheets>
    <sheet name="Contrainte de capacité" sheetId="2" r:id="rId1"/>
    <sheet name="results" sheetId="1" r:id="rId2"/>
    <sheet name="Feuil1" sheetId="3" r:id="rId3"/>
    <sheet name="Feuil2" sheetId="4" r:id="rId4"/>
  </sheets>
  <externalReferences>
    <externalReference r:id="rId5"/>
    <externalReference r:id="rId6"/>
  </externalReferences>
  <calcPr calcId="191029"/>
</workbook>
</file>

<file path=xl/calcChain.xml><?xml version="1.0" encoding="utf-8"?>
<calcChain xmlns="http://schemas.openxmlformats.org/spreadsheetml/2006/main">
  <c r="BN4" i="1" l="1"/>
  <c r="BN5" i="1"/>
  <c r="BM4" i="1"/>
  <c r="BM5" i="1"/>
  <c r="BL4" i="1"/>
  <c r="BL5" i="1"/>
  <c r="BK4" i="1"/>
  <c r="BK5" i="1"/>
  <c r="BN3" i="1"/>
  <c r="BM3" i="1"/>
  <c r="BL3" i="1"/>
  <c r="BK3" i="1"/>
  <c r="BG4" i="1"/>
  <c r="BG5" i="1"/>
  <c r="BF4" i="1"/>
  <c r="BF5" i="1"/>
  <c r="BE4" i="1"/>
  <c r="BE5" i="1"/>
  <c r="BD4" i="1"/>
  <c r="BD5" i="1"/>
  <c r="BG3" i="1"/>
  <c r="BF3" i="1"/>
  <c r="BE3" i="1"/>
  <c r="BD3" i="1"/>
  <c r="BA4" i="1"/>
  <c r="BA5" i="1"/>
  <c r="AZ4" i="1"/>
  <c r="AZ5" i="1"/>
  <c r="AY4" i="1"/>
  <c r="AY5" i="1"/>
  <c r="AX4" i="1"/>
  <c r="AX5" i="1"/>
  <c r="AX3" i="1"/>
  <c r="BA3" i="1"/>
  <c r="AZ3" i="1"/>
  <c r="AY3" i="1"/>
  <c r="AU4" i="1"/>
  <c r="AU5" i="1"/>
  <c r="AT4" i="1"/>
  <c r="AT5" i="1"/>
  <c r="AS4" i="1"/>
  <c r="AS5" i="1"/>
  <c r="AS3" i="1"/>
  <c r="AT3" i="1"/>
  <c r="AU3" i="1"/>
  <c r="AR4" i="1"/>
  <c r="AR5" i="1"/>
  <c r="AR3" i="1"/>
  <c r="H3" i="4" l="1"/>
  <c r="H4" i="4"/>
  <c r="H5" i="4"/>
  <c r="G4" i="4"/>
  <c r="I4" i="4" s="1"/>
  <c r="G5" i="4"/>
  <c r="I5" i="4" s="1"/>
  <c r="G3" i="4"/>
  <c r="I3" i="4" s="1"/>
  <c r="C3" i="4"/>
  <c r="D3" i="4" s="1"/>
  <c r="C4" i="4"/>
  <c r="D4" i="4" s="1"/>
  <c r="C5" i="4"/>
  <c r="D5" i="4" s="1"/>
  <c r="B4" i="4"/>
  <c r="B5" i="4"/>
  <c r="B3" i="4"/>
  <c r="C2" i="4"/>
  <c r="H2" i="4"/>
  <c r="AO9" i="1" l="1"/>
  <c r="AN9" i="1"/>
  <c r="AM9" i="1"/>
  <c r="AL9" i="1"/>
  <c r="AK9" i="1"/>
  <c r="AN8" i="1"/>
  <c r="AM8" i="1"/>
  <c r="AL8" i="1"/>
  <c r="AO8" i="1" s="1"/>
  <c r="AK8" i="1"/>
  <c r="AN7" i="1"/>
  <c r="AM7" i="1"/>
  <c r="AL7" i="1"/>
  <c r="AK7" i="1"/>
  <c r="AO7" i="1" s="1"/>
  <c r="AN6" i="1"/>
  <c r="AO6" i="1" s="1"/>
  <c r="AM6" i="1"/>
  <c r="AL6" i="1"/>
  <c r="AK6" i="1"/>
  <c r="AN5" i="1"/>
  <c r="AM5" i="1"/>
  <c r="AL5" i="1"/>
  <c r="AK5" i="1"/>
  <c r="AO5" i="1" s="1"/>
  <c r="AN4" i="1"/>
  <c r="AM4" i="1"/>
  <c r="AL4" i="1"/>
  <c r="AK4" i="1"/>
  <c r="AO4" i="1" s="1"/>
  <c r="AN3" i="1"/>
  <c r="AM3" i="1"/>
  <c r="AL3" i="1"/>
  <c r="AK3" i="1"/>
  <c r="AO3" i="1" s="1"/>
</calcChain>
</file>

<file path=xl/sharedStrings.xml><?xml version="1.0" encoding="utf-8"?>
<sst xmlns="http://schemas.openxmlformats.org/spreadsheetml/2006/main" count="140" uniqueCount="65">
  <si>
    <t>HC</t>
  </si>
  <si>
    <t>IC</t>
  </si>
  <si>
    <t>AD-b</t>
  </si>
  <si>
    <t>AD-c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</si>
  <si>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</si>
  <si>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</si>
  <si>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</si>
  <si>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</si>
  <si>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</si>
  <si>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</si>
  <si>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</si>
  <si>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</si>
  <si>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</si>
  <si>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</si>
  <si>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</si>
  <si>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</si>
  <si>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</si>
  <si>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</si>
  <si>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</si>
  <si>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</si>
  <si>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</si>
  <si>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</si>
  <si>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</si>
  <si>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</si>
  <si>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</si>
  <si>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</si>
  <si>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</si>
  <si>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</si>
  <si>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</si>
  <si>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</si>
  <si>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</si>
  <si>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</si>
  <si>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</si>
  <si>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</si>
  <si>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</si>
  <si>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</si>
  <si>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</si>
  <si>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</si>
  <si>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</si>
  <si>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</si>
  <si>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</si>
  <si>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</si>
  <si>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</si>
  <si>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</si>
  <si>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AD-cog-comp</t>
  </si>
  <si>
    <t>AD-biomet-dig</t>
  </si>
  <si>
    <t>Peat_hobby_mark</t>
  </si>
  <si>
    <t>Peat_pro_mark</t>
  </si>
  <si>
    <t>minCC</t>
  </si>
  <si>
    <t>Transport and collection</t>
  </si>
  <si>
    <t>Other</t>
  </si>
  <si>
    <t>Energy</t>
  </si>
  <si>
    <t>Fertilizer</t>
  </si>
  <si>
    <t>Peat</t>
  </si>
  <si>
    <t>Net impact</t>
  </si>
  <si>
    <t>CC (kgCO2eq)</t>
  </si>
  <si>
    <t>EQ (PDF.m2.yr)</t>
  </si>
  <si>
    <t>HH (DALY)</t>
  </si>
  <si>
    <t>CC (PDF.m2.yr)</t>
  </si>
  <si>
    <t>Total</t>
  </si>
  <si>
    <t>CC (DALY)</t>
  </si>
  <si>
    <t>Process</t>
  </si>
  <si>
    <t>Total waste</t>
  </si>
  <si>
    <t>Sorting</t>
  </si>
  <si>
    <t>Climate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</si>
</sst>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7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2" borderId="0" xfId="0" applyFill="1"/>
    <xf numFmtId="0" fontId="2" fillId="0" borderId="0" xfId="0" applyFont="1"/>
    <xf numFmtId="11" fontId="3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results!$AK$2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results!$AJ$3:$AJ$9</c:f>
              <c:strCache>
                <c:ptCount val="7"/>
                <c:pt idx="0">
                  <c:v>minCC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results!$AK$3:$AK$9</c:f>
              <c:numCache>
                <c:formatCode>General</c:formatCode>
                <c:ptCount val="7"/>
                <c:pt idx="0">
                  <c:v>13.280000000000001</c:v>
                </c:pt>
                <c:pt idx="1">
                  <c:v>13.280000000000001</c:v>
                </c:pt>
                <c:pt idx="2">
                  <c:v>13.280000000000001</c:v>
                </c:pt>
                <c:pt idx="3">
                  <c:v>13.280000000000001</c:v>
                </c:pt>
                <c:pt idx="4">
                  <c:v>13.280000000000001</c:v>
                </c:pt>
                <c:pt idx="5">
                  <c:v>13.280000000000001</c:v>
                </c:pt>
                <c:pt idx="6">
                  <c:v>13.280000000000001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7-408E-B137-8B372BC21B3A}"/>
            </c:ext>
          </c:extLst>
        </c:ser>
        <c:ser>
          <c:idx val="1"/>
          <c:order val="1"/>
          <c:tx>
            <c:strRef>
              <c:f>results!$AL$2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results!$AJ$3:$AJ$9</c:f>
              <c:strCache>
                <c:ptCount val="7"/>
                <c:pt idx="0">
                  <c:v>minCC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results!$AL$3:$AL$9</c:f>
              <c:numCache>
                <c:formatCode>General</c:formatCode>
                <c:ptCount val="7"/>
                <c:pt idx="0">
                  <c:v>16.11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6.6999999999999993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7-408E-B137-8B372BC21B3A}"/>
            </c:ext>
          </c:extLst>
        </c:ser>
        <c:ser>
          <c:idx val="2"/>
          <c:order val="2"/>
          <c:tx>
            <c:strRef>
              <c:f>results!$AM$2</c:f>
              <c:strCache>
                <c:ptCount val="1"/>
                <c:pt idx="0">
                  <c:v>AD-cog-comp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results!$AJ$3:$AJ$9</c:f>
              <c:strCache>
                <c:ptCount val="7"/>
                <c:pt idx="0">
                  <c:v>minCC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results!$AM$3:$AM$9</c:f>
              <c:numCache>
                <c:formatCode>General</c:formatCode>
                <c:ptCount val="7"/>
                <c:pt idx="0">
                  <c:v>0</c:v>
                </c:pt>
                <c:pt idx="1">
                  <c:v>86.73</c:v>
                </c:pt>
                <c:pt idx="2">
                  <c:v>86.73</c:v>
                </c:pt>
                <c:pt idx="3">
                  <c:v>86.73</c:v>
                </c:pt>
                <c:pt idx="4">
                  <c:v>86.73</c:v>
                </c:pt>
                <c:pt idx="5">
                  <c:v>80.03</c:v>
                </c:pt>
                <c:pt idx="6">
                  <c:v>86.73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37-408E-B137-8B372BC21B3A}"/>
            </c:ext>
          </c:extLst>
        </c:ser>
        <c:ser>
          <c:idx val="3"/>
          <c:order val="3"/>
          <c:tx>
            <c:strRef>
              <c:f>results!$AN$2</c:f>
              <c:strCache>
                <c:ptCount val="1"/>
                <c:pt idx="0">
                  <c:v>AD-biomet-dig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results!$AJ$3:$AJ$9</c:f>
              <c:strCache>
                <c:ptCount val="7"/>
                <c:pt idx="0">
                  <c:v>minCC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results!$AN$3:$AN$9</c:f>
              <c:numCache>
                <c:formatCode>General</c:formatCode>
                <c:ptCount val="7"/>
                <c:pt idx="0">
                  <c:v>70.62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37-408E-B137-8B372BC21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172303"/>
        <c:axId val="1628997663"/>
      </c:barChart>
      <c:catAx>
        <c:axId val="9317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8997663"/>
        <c:crosses val="autoZero"/>
        <c:auto val="1"/>
        <c:lblAlgn val="ctr"/>
        <c:lblOffset val="100"/>
        <c:noMultiLvlLbl val="0"/>
      </c:catAx>
      <c:valAx>
        <c:axId val="162899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172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Contribution du</a:t>
            </a:r>
            <a:r>
              <a:rPr lang="fr-FR" baseline="0"/>
              <a:t> CC en EQ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Feuil2!$B$2</c:f>
              <c:strCache>
                <c:ptCount val="1"/>
                <c:pt idx="0">
                  <c:v>CC (PDF.m2.yr)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Feuil2!$A$3:$A$5</c:f>
              <c:strCache>
                <c:ptCount val="3"/>
                <c:pt idx="0">
                  <c:v>minCC</c:v>
                </c:pt>
                <c:pt idx="1">
                  <c:v>minEQ</c:v>
                </c:pt>
                <c:pt idx="2">
                  <c:v>minHH</c:v>
                </c:pt>
              </c:strCache>
            </c:strRef>
          </c:cat>
          <c:val>
            <c:numRef>
              <c:f>Feuil2!$B$3:$B$5</c:f>
              <c:numCache>
                <c:formatCode>0.00E+00</c:formatCode>
                <c:ptCount val="3"/>
                <c:pt idx="0">
                  <c:v>-405095.98916297092</c:v>
                </c:pt>
                <c:pt idx="1">
                  <c:v>-304433.56984307815</c:v>
                </c:pt>
                <c:pt idx="2">
                  <c:v>-304433.56984307815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D9-4D09-8268-19D14613D3FD}"/>
            </c:ext>
          </c:extLst>
        </c:ser>
        <c:ser>
          <c:idx val="1"/>
          <c:order val="1"/>
          <c:tx>
            <c:strRef>
              <c:f>Feuil2!$C$2</c:f>
              <c:strCache>
                <c:ptCount val="1"/>
                <c:pt idx="0">
                  <c:v>EQssC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Feuil2!$A$3:$A$5</c:f>
              <c:strCache>
                <c:ptCount val="3"/>
                <c:pt idx="0">
                  <c:v>minCC</c:v>
                </c:pt>
                <c:pt idx="1">
                  <c:v>minEQ</c:v>
                </c:pt>
                <c:pt idx="2">
                  <c:v>minHH</c:v>
                </c:pt>
              </c:strCache>
            </c:strRef>
          </c:cat>
          <c:val>
            <c:numRef>
              <c:f>Feuil2!$C$3:$C$5</c:f>
              <c:numCache>
                <c:formatCode>0.00E+00</c:formatCode>
                <c:ptCount val="3"/>
                <c:pt idx="0">
                  <c:v>188919.45845114451</c:v>
                </c:pt>
                <c:pt idx="1">
                  <c:v>-179147.4367931734</c:v>
                </c:pt>
                <c:pt idx="2">
                  <c:v>-179147.4367931734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D9-4D09-8268-19D14613D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509775"/>
        <c:axId val="389767935"/>
      </c:barChart>
      <c:lineChart>
        <c:grouping val="standard"/>
        <c:varyColors val="0"/>
        <c:ser>
          <c:idx val="2"/>
          <c:order val="2"/>
          <c:tx>
            <c:strRef>
              <c:f>Feuil2!$D$2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Feuil2!$A$3:$A$5</c:f>
              <c:strCache>
                <c:ptCount val="3"/>
                <c:pt idx="0">
                  <c:v>minCC</c:v>
                </c:pt>
                <c:pt idx="1">
                  <c:v>minEQ</c:v>
                </c:pt>
                <c:pt idx="2">
                  <c:v>minHH</c:v>
                </c:pt>
              </c:strCache>
            </c:strRef>
          </c:cat>
          <c:val>
            <c:numRef>
              <c:f>Feuil2!$D$3:$D$5</c:f>
              <c:numCache>
                <c:formatCode>0.00E+00</c:formatCode>
                <c:ptCount val="3"/>
                <c:pt idx="0">
                  <c:v>-216176.5307118264</c:v>
                </c:pt>
                <c:pt idx="1">
                  <c:v>-483581.00663625158</c:v>
                </c:pt>
                <c:pt idx="2">
                  <c:v>-483581.00663625158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D9-4D09-8268-19D14613D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509775"/>
        <c:axId val="389767935"/>
      </c:lineChart>
      <c:catAx>
        <c:axId val="5650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9767935"/>
        <c:crosses val="autoZero"/>
        <c:auto val="1"/>
        <c:lblAlgn val="ctr"/>
        <c:lblOffset val="100"/>
        <c:noMultiLvlLbl val="0"/>
      </c:catAx>
      <c:valAx>
        <c:axId val="38976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50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Contribution</a:t>
            </a:r>
            <a:r>
              <a:rPr lang="fr-FR" baseline="0"/>
              <a:t> du CC en HH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Feuil2!$G$2</c:f>
              <c:strCache>
                <c:ptCount val="1"/>
                <c:pt idx="0">
                  <c:v>CC (DALY)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Feuil2!$F$3:$F$5</c:f>
              <c:strCache>
                <c:ptCount val="3"/>
                <c:pt idx="0">
                  <c:v>minCC</c:v>
                </c:pt>
                <c:pt idx="1">
                  <c:v>minEQ</c:v>
                </c:pt>
                <c:pt idx="2">
                  <c:v>minHH</c:v>
                </c:pt>
              </c:strCache>
            </c:strRef>
          </c:cat>
          <c:val>
            <c:numRef>
              <c:f>Feuil2!$G$3:$G$5</c:f>
              <c:numCache>
                <c:formatCode>0.00E+00</c:formatCode>
                <c:ptCount val="3"/>
                <c:pt idx="0">
                  <c:v>-5.4431501370373372</c:v>
                </c:pt>
                <c:pt idx="1">
                  <c:v>-4.0895060204475566</c:v>
                </c:pt>
                <c:pt idx="2">
                  <c:v>-4.0895060204475566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FC-42C0-9896-67693EBA506A}"/>
            </c:ext>
          </c:extLst>
        </c:ser>
        <c:ser>
          <c:idx val="1"/>
          <c:order val="1"/>
          <c:tx>
            <c:strRef>
              <c:f>Feuil2!$H$2</c:f>
              <c:strCache>
                <c:ptCount val="1"/>
                <c:pt idx="0">
                  <c:v>HHssC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Feuil2!$F$3:$F$5</c:f>
              <c:strCache>
                <c:ptCount val="3"/>
                <c:pt idx="0">
                  <c:v>minCC</c:v>
                </c:pt>
                <c:pt idx="1">
                  <c:v>minEQ</c:v>
                </c:pt>
                <c:pt idx="2">
                  <c:v>minHH</c:v>
                </c:pt>
              </c:strCache>
            </c:strRef>
          </c:cat>
          <c:val>
            <c:numRef>
              <c:f>Feuil2!$H$3:$H$5</c:f>
              <c:numCache>
                <c:formatCode>0.00E+00</c:formatCode>
                <c:ptCount val="3"/>
                <c:pt idx="0">
                  <c:v>2.29994431206703</c:v>
                </c:pt>
                <c:pt idx="1">
                  <c:v>0.37306072406859048</c:v>
                </c:pt>
                <c:pt idx="2">
                  <c:v>0.37306072406859048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FC-42C0-9896-67693EBA5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6205231"/>
        <c:axId val="385684063"/>
      </c:barChart>
      <c:lineChart>
        <c:grouping val="standard"/>
        <c:varyColors val="0"/>
        <c:ser>
          <c:idx val="2"/>
          <c:order val="2"/>
          <c:tx>
            <c:strRef>
              <c:f>Feuil2!$I$2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Feuil2!$F$3:$F$5</c:f>
              <c:strCache>
                <c:ptCount val="3"/>
                <c:pt idx="0">
                  <c:v>minCC</c:v>
                </c:pt>
                <c:pt idx="1">
                  <c:v>minEQ</c:v>
                </c:pt>
                <c:pt idx="2">
                  <c:v>minHH</c:v>
                </c:pt>
              </c:strCache>
            </c:strRef>
          </c:cat>
          <c:val>
            <c:numRef>
              <c:f>Feuil2!$I$3:$I$5</c:f>
              <c:numCache>
                <c:formatCode>0.00E+00</c:formatCode>
                <c:ptCount val="3"/>
                <c:pt idx="0">
                  <c:v>-3.1432058249703072</c:v>
                </c:pt>
                <c:pt idx="1">
                  <c:v>-3.716445296378966</c:v>
                </c:pt>
                <c:pt idx="2">
                  <c:v>-3.716445296378966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FC-42C0-9896-67693EBA5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6205231"/>
        <c:axId val="385684063"/>
      </c:lineChart>
      <c:catAx>
        <c:axId val="203620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5684063"/>
        <c:crosses val="autoZero"/>
        <c:auto val="1"/>
        <c:lblAlgn val="ctr"/>
        <c:lblOffset val="100"/>
        <c:noMultiLvlLbl val="0"/>
      </c:catAx>
      <c:valAx>
        <c:axId val="38568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620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326161</xdr:colOff>
      <xdr:row>17</xdr:row>
      <xdr:rowOff>71294</xdr:rowOff>
    </xdr:from>
    <xdr:to>
      <xdr:col>55</xdr:col>
      <xdr:colOff>8660</xdr:colOff>
      <xdr:row>32</xdr:row>
      <xdr:rowOff>43585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387E5B2-B8D1-499E-AFB0-13A7918124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9</xdr:row>
      <xdr:rowOff>28575</xdr:rowOff>
    </xdr:from>
    <xdr:to>
      <xdr:col>9</xdr:col>
      <xdr:colOff>327024</xdr:colOff>
      <xdr:row>29</xdr:row>
      <xdr:rowOff>149225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CA2C9F8-0F3E-4F21-97ED-1DB7017E46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198436</xdr:colOff>
      <xdr:row>7</xdr:row>
      <xdr:rowOff>47625</xdr:rowOff>
    </xdr:from>
    <xdr:to>
      <xdr:col>17</xdr:col>
      <xdr:colOff>457199</xdr:colOff>
      <xdr:row>22</xdr:row>
      <xdr:rowOff>73025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FFEABFDB-4858-433A-9423-2C81E65288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mpact_brut_2%20-%20Copi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scons_ssinv_v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Feuil2"/>
    </sheetNames>
    <sheetDataSet>
      <sheetData sheetId="0">
        <row r="6">
          <cell r="I6">
            <v>34.264521044421535</v>
          </cell>
          <cell r="J6">
            <v>45.531422488575686</v>
          </cell>
          <cell r="K6">
            <v>1.5340506341983027E-4</v>
          </cell>
        </row>
        <row r="7">
          <cell r="I7">
            <v>35.421319139716672</v>
          </cell>
          <cell r="J7">
            <v>48.310093052891858</v>
          </cell>
          <cell r="K7">
            <v>2.6573392590665515E-4</v>
          </cell>
        </row>
        <row r="9">
          <cell r="I9">
            <v>115.03586225244955</v>
          </cell>
          <cell r="J9">
            <v>44.143274255280637</v>
          </cell>
          <cell r="K9">
            <v>5.0297485870563373E-4</v>
          </cell>
        </row>
        <row r="10">
          <cell r="I10">
            <v>166.06528020235362</v>
          </cell>
          <cell r="J10">
            <v>76.859354005042192</v>
          </cell>
          <cell r="K10">
            <v>6.3197861038764738E-4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2">
          <cell r="AG2" t="str">
            <v>EQssC</v>
          </cell>
          <cell r="AH2" t="str">
            <v>HHssC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13FAA-8EA5-4563-99B9-173D536DDE8A}">
  <dimension ref="A2:G9"/>
  <sheetViews>
    <sheetView workbookViewId="0">
      <selection activeCell="A3" sqref="A3:XFD5"/>
    </sheetView>
  </sheetViews>
  <sheetFormatPr baseColWidth="10" defaultRowHeight="14.5" x14ac:dyDescent="0.35"/>
  <cols>
    <col min="2" max="2" width="16.36328125" bestFit="1" customWidth="1"/>
    <col min="3" max="3" width="13.7265625" bestFit="1" customWidth="1"/>
  </cols>
  <sheetData>
    <row r="2" spans="1:7" x14ac:dyDescent="0.35">
      <c r="A2" t="s">
        <v>4</v>
      </c>
      <c r="B2" s="10" t="s">
        <v>46</v>
      </c>
      <c r="C2" s="10" t="s">
        <v>47</v>
      </c>
      <c r="D2" s="10" t="s">
        <v>28</v>
      </c>
      <c r="E2" s="8" t="s">
        <v>29</v>
      </c>
      <c r="F2" s="8" t="s">
        <v>30</v>
      </c>
      <c r="G2" s="8" t="s">
        <v>31</v>
      </c>
    </row>
    <row r="3" spans="1:7" x14ac:dyDescent="0.35">
      <c r="A3" t="s">
        <v>37</v>
      </c>
      <c r="B3" s="9">
        <v>186611.81</v>
      </c>
      <c r="C3" s="9">
        <v>185060.41</v>
      </c>
      <c r="E3">
        <v>516.9</v>
      </c>
      <c r="G3">
        <v>2265.5</v>
      </c>
    </row>
    <row r="4" spans="1:7" x14ac:dyDescent="0.35">
      <c r="A4" t="s">
        <v>38</v>
      </c>
      <c r="B4" s="9">
        <v>186611.81</v>
      </c>
      <c r="C4">
        <v>117168.48</v>
      </c>
      <c r="F4">
        <v>2782.4</v>
      </c>
    </row>
    <row r="5" spans="1:7" x14ac:dyDescent="0.35">
      <c r="A5" t="s">
        <v>39</v>
      </c>
      <c r="B5" s="9">
        <v>186611.81</v>
      </c>
      <c r="C5">
        <v>117168.48</v>
      </c>
      <c r="F5">
        <v>2782.4</v>
      </c>
    </row>
    <row r="6" spans="1:7" x14ac:dyDescent="0.35">
      <c r="A6" t="s">
        <v>40</v>
      </c>
      <c r="B6" s="9">
        <v>186611.81</v>
      </c>
      <c r="C6">
        <v>117168.48</v>
      </c>
      <c r="F6">
        <v>2782.4</v>
      </c>
    </row>
    <row r="7" spans="1:7" x14ac:dyDescent="0.35">
      <c r="A7" t="s">
        <v>41</v>
      </c>
      <c r="B7" s="9">
        <v>186611.81</v>
      </c>
      <c r="C7">
        <v>117168.48</v>
      </c>
      <c r="F7">
        <v>2782.4</v>
      </c>
    </row>
    <row r="8" spans="1:7" x14ac:dyDescent="0.35">
      <c r="A8" t="s">
        <v>42</v>
      </c>
      <c r="B8" s="9">
        <v>186611.81</v>
      </c>
      <c r="C8" s="9">
        <v>185060.41</v>
      </c>
      <c r="D8">
        <v>171.7</v>
      </c>
      <c r="E8">
        <v>43.2</v>
      </c>
      <c r="F8">
        <v>2567.5</v>
      </c>
    </row>
    <row r="9" spans="1:7" x14ac:dyDescent="0.35">
      <c r="A9" t="s">
        <v>43</v>
      </c>
      <c r="B9" s="9">
        <v>186611.81</v>
      </c>
      <c r="C9">
        <v>117168.48</v>
      </c>
      <c r="F9">
        <v>2782.4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3"/>
  <sheetViews>
    <sheetView tabSelected="1" topLeftCell="M1" zoomScale="80" zoomScaleNormal="80" workbookViewId="0">
      <selection activeCell="Z3" sqref="Z3"/>
    </sheetView>
  </sheetViews>
  <sheetFormatPr baseColWidth="10" defaultColWidth="8.7265625" defaultRowHeight="14.5" x14ac:dyDescent="0.35"/>
  <cols>
    <col min="2" max="2" width="26.36328125" customWidth="1"/>
    <col min="27" max="27" width="13.54296875" customWidth="1"/>
    <col min="30" max="33" width="9.453125" bestFit="1" customWidth="1"/>
    <col min="36" max="36" width="13" customWidth="1"/>
    <col min="37" max="37" width="12.1796875" customWidth="1"/>
    <col min="48" max="48" width="13.36328125" customWidth="1"/>
    <col min="49" max="49" width="15.6328125" bestFit="1" customWidth="1"/>
    <col min="50" max="51" width="8.81640625" bestFit="1" customWidth="1"/>
    <col min="52" max="52" width="13.08984375" bestFit="1" customWidth="1"/>
    <col min="53" max="53" width="9.54296875" customWidth="1"/>
    <col min="54" max="54" width="11.26953125" customWidth="1"/>
    <col min="55" max="55" width="7.453125" bestFit="1" customWidth="1"/>
    <col min="56" max="57" width="8.81640625" bestFit="1" customWidth="1"/>
    <col min="58" max="58" width="13.08984375" bestFit="1" customWidth="1"/>
    <col min="59" max="59" width="14.54296875" bestFit="1" customWidth="1"/>
  </cols>
  <sheetData>
    <row r="1" spans="1:66" x14ac:dyDescent="0.35">
      <c r="A1" s="2"/>
      <c r="B1" s="12"/>
      <c r="C1" s="13"/>
      <c r="D1" s="12" t="s">
        <v>0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3"/>
      <c r="Z1" s="12" t="s">
        <v>1</v>
      </c>
      <c r="AA1" s="13"/>
      <c r="AB1" s="2" t="s">
        <v>2</v>
      </c>
      <c r="AC1" s="5" t="s">
        <v>3</v>
      </c>
      <c r="AD1" s="6"/>
      <c r="AE1" s="6"/>
      <c r="AF1" s="6"/>
      <c r="AG1" s="6"/>
      <c r="AH1" s="7"/>
      <c r="AW1" s="15" t="s">
        <v>64</v>
      </c>
      <c r="AX1" s="15"/>
      <c r="AY1" s="15"/>
      <c r="AZ1" s="15"/>
      <c r="BA1" s="15"/>
      <c r="BC1" s="15" t="s">
        <v>33</v>
      </c>
      <c r="BD1" s="15"/>
      <c r="BE1" s="15"/>
      <c r="BF1" s="15"/>
      <c r="BG1" s="15"/>
      <c r="BJ1" t="s">
        <v>34</v>
      </c>
    </row>
    <row r="2" spans="1:66" x14ac:dyDescent="0.35">
      <c r="A2" s="2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J2" t="s">
        <v>4</v>
      </c>
      <c r="AK2" t="s">
        <v>0</v>
      </c>
      <c r="AL2" t="s">
        <v>1</v>
      </c>
      <c r="AM2" t="s">
        <v>44</v>
      </c>
      <c r="AN2" t="s">
        <v>45</v>
      </c>
      <c r="AQ2" t="s">
        <v>4</v>
      </c>
      <c r="AR2" t="s">
        <v>0</v>
      </c>
      <c r="AS2" t="s">
        <v>1</v>
      </c>
      <c r="AT2" t="s">
        <v>44</v>
      </c>
      <c r="AU2" t="s">
        <v>45</v>
      </c>
      <c r="AW2" t="s">
        <v>4</v>
      </c>
      <c r="AX2" t="s">
        <v>0</v>
      </c>
      <c r="AY2" t="s">
        <v>1</v>
      </c>
      <c r="AZ2" t="s">
        <v>44</v>
      </c>
      <c r="BA2" t="s">
        <v>45</v>
      </c>
      <c r="BC2" t="s">
        <v>4</v>
      </c>
      <c r="BD2" t="s">
        <v>0</v>
      </c>
      <c r="BE2" t="s">
        <v>1</v>
      </c>
      <c r="BF2" t="s">
        <v>44</v>
      </c>
      <c r="BG2" t="s">
        <v>45</v>
      </c>
      <c r="BJ2" t="s">
        <v>4</v>
      </c>
      <c r="BK2" t="s">
        <v>0</v>
      </c>
      <c r="BL2" t="s">
        <v>1</v>
      </c>
      <c r="BM2" t="s">
        <v>44</v>
      </c>
      <c r="BN2" t="s">
        <v>45</v>
      </c>
    </row>
    <row r="3" spans="1:66" x14ac:dyDescent="0.35">
      <c r="A3" s="1">
        <v>0</v>
      </c>
      <c r="B3" t="s">
        <v>37</v>
      </c>
      <c r="C3">
        <v>0.6</v>
      </c>
      <c r="D3" s="3">
        <v>7.15</v>
      </c>
      <c r="E3">
        <v>2.52</v>
      </c>
      <c r="I3">
        <v>1.29</v>
      </c>
      <c r="X3">
        <v>2.3199999999999998</v>
      </c>
      <c r="AA3">
        <v>16.11</v>
      </c>
      <c r="AC3" s="3">
        <v>70.62</v>
      </c>
      <c r="AD3" s="4">
        <v>-544740.82216742123</v>
      </c>
      <c r="AE3" s="4">
        <v>-216176.5307118264</v>
      </c>
      <c r="AF3" s="4">
        <v>-3.1432058249703072</v>
      </c>
      <c r="AG3" s="4">
        <v>188919.45845114451</v>
      </c>
      <c r="AH3" s="4">
        <v>2.29994431206703</v>
      </c>
      <c r="AJ3" t="s">
        <v>48</v>
      </c>
      <c r="AK3">
        <f>SUM(D3:Y3)</f>
        <v>13.280000000000001</v>
      </c>
      <c r="AL3">
        <f>SUM(Z3:AA3)</f>
        <v>16.11</v>
      </c>
      <c r="AM3">
        <f>AB3</f>
        <v>0</v>
      </c>
      <c r="AN3">
        <f>AC3</f>
        <v>70.62</v>
      </c>
      <c r="AO3">
        <f>SUM(AK3:AN3)</f>
        <v>100.01</v>
      </c>
      <c r="AQ3" t="s">
        <v>48</v>
      </c>
      <c r="AR3">
        <f>$AK$12*$AK$13*AK3/100</f>
        <v>426.04896000000002</v>
      </c>
      <c r="AS3">
        <f t="shared" ref="AS3:AU5" si="0">$AK$12*$AK$13*AL3/100</f>
        <v>516.84101999999996</v>
      </c>
      <c r="AT3">
        <f t="shared" si="0"/>
        <v>0</v>
      </c>
      <c r="AU3">
        <f t="shared" si="0"/>
        <v>2265.6308399999998</v>
      </c>
      <c r="AW3" t="s">
        <v>48</v>
      </c>
      <c r="AX3" s="4">
        <f>AR3*[1]Feuil1!$I$6</f>
        <v>14598.36355587391</v>
      </c>
      <c r="AY3" s="4">
        <f>AS3*[1]Feuil1!$I$7</f>
        <v>18307.190713916687</v>
      </c>
      <c r="AZ3" s="4">
        <f>AT3*[1]Feuil1!$I$9</f>
        <v>0</v>
      </c>
      <c r="BA3" s="4">
        <f>AU3*[1]Feuil1!$I$10</f>
        <v>376242.62027969374</v>
      </c>
      <c r="BC3" t="s">
        <v>48</v>
      </c>
      <c r="BD3" s="4">
        <f>AR3*[1]Feuil1!$J$6</f>
        <v>19398.615198578285</v>
      </c>
      <c r="BE3" s="4">
        <f>AS3*[1]Feuil1!$J$7</f>
        <v>24968.637769751538</v>
      </c>
      <c r="BF3" s="4">
        <f>AT3*[1]Feuil1!$J$9</f>
        <v>0</v>
      </c>
      <c r="BG3" s="4">
        <f>AU3*[1]Feuil1!$J$10</f>
        <v>174134.9227763011</v>
      </c>
      <c r="BJ3" t="s">
        <v>48</v>
      </c>
      <c r="BK3" s="4">
        <f>AR3*[1]Feuil1!$K$6</f>
        <v>6.5358067728752731E-2</v>
      </c>
      <c r="BL3" s="4">
        <f>AS3*[1]Feuil1!$K$7</f>
        <v>0.13734219331420006</v>
      </c>
      <c r="BM3" s="4">
        <f>AT3*[1]Feuil1!$K$9</f>
        <v>0</v>
      </c>
      <c r="BN3" s="4">
        <f>AU3*[1]Feuil1!$K$10</f>
        <v>1.4318302299145982</v>
      </c>
    </row>
    <row r="4" spans="1:66" x14ac:dyDescent="0.35">
      <c r="A4" s="1">
        <v>1</v>
      </c>
      <c r="B4" t="s">
        <v>38</v>
      </c>
      <c r="C4">
        <v>0.6</v>
      </c>
      <c r="D4" s="3">
        <v>7.15</v>
      </c>
      <c r="E4">
        <v>2.52</v>
      </c>
      <c r="I4">
        <v>1.29</v>
      </c>
      <c r="X4">
        <v>2.3199999999999998</v>
      </c>
      <c r="AB4" s="3">
        <v>86.73</v>
      </c>
      <c r="AD4" s="4">
        <v>-248327.39276675429</v>
      </c>
      <c r="AE4" s="4">
        <v>-483581.00663625158</v>
      </c>
      <c r="AF4" s="4">
        <v>-3.716445296378966</v>
      </c>
      <c r="AG4" s="4">
        <v>-179147.4367931734</v>
      </c>
      <c r="AH4" s="4">
        <v>0.37306072406859048</v>
      </c>
      <c r="AJ4" t="s">
        <v>38</v>
      </c>
      <c r="AK4">
        <f t="shared" ref="AK4:AK9" si="1">SUM(D4:Y4)</f>
        <v>13.280000000000001</v>
      </c>
      <c r="AL4">
        <f t="shared" ref="AL4:AL9" si="2">SUM(Z4:AA4)</f>
        <v>0</v>
      </c>
      <c r="AM4">
        <f t="shared" ref="AM4:AN9" si="3">AB4</f>
        <v>86.73</v>
      </c>
      <c r="AN4">
        <f t="shared" si="3"/>
        <v>0</v>
      </c>
      <c r="AO4">
        <f t="shared" ref="AO4:AO9" si="4">SUM(AK4:AN4)</f>
        <v>100.01</v>
      </c>
      <c r="AQ4" t="s">
        <v>38</v>
      </c>
      <c r="AR4">
        <f t="shared" ref="AR4:AR5" si="5">$AK$12*$AK$13*AK4/100</f>
        <v>426.04896000000002</v>
      </c>
      <c r="AS4">
        <f t="shared" si="0"/>
        <v>0</v>
      </c>
      <c r="AT4">
        <f t="shared" si="0"/>
        <v>2782.4718599999997</v>
      </c>
      <c r="AU4">
        <f t="shared" si="0"/>
        <v>0</v>
      </c>
      <c r="AW4" t="s">
        <v>38</v>
      </c>
      <c r="AX4" s="4">
        <f>AR4*[1]Feuil1!$I$6</f>
        <v>14598.36355587391</v>
      </c>
      <c r="AY4" s="4">
        <f>AS4*[1]Feuil1!$I$7</f>
        <v>0</v>
      </c>
      <c r="AZ4" s="4">
        <f>AT4*[1]Feuil1!$I$9</f>
        <v>320084.04960827704</v>
      </c>
      <c r="BA4" s="4">
        <f>AU4*[1]Feuil1!$I$10</f>
        <v>0</v>
      </c>
      <c r="BC4" t="s">
        <v>38</v>
      </c>
      <c r="BD4" s="4">
        <f>AR4*[1]Feuil1!$J$6</f>
        <v>19398.615198578285</v>
      </c>
      <c r="BE4" s="4">
        <f>AS4*[1]Feuil1!$J$7</f>
        <v>0</v>
      </c>
      <c r="BF4" s="4">
        <f>AT4*[1]Feuil1!$J$9</f>
        <v>122827.41842358082</v>
      </c>
      <c r="BG4" s="4">
        <f>AU4*[1]Feuil1!$J$10</f>
        <v>0</v>
      </c>
      <c r="BJ4" t="s">
        <v>38</v>
      </c>
      <c r="BK4" s="4">
        <f>AR4*[1]Feuil1!$K$6</f>
        <v>6.5358067728752731E-2</v>
      </c>
      <c r="BL4" s="4">
        <f>AS4*[1]Feuil1!$K$7</f>
        <v>0</v>
      </c>
      <c r="BM4" s="4">
        <f>AT4*[1]Feuil1!$K$9</f>
        <v>1.3995133906359016</v>
      </c>
      <c r="BN4" s="4">
        <f>AU4*[1]Feuil1!$K$10</f>
        <v>0</v>
      </c>
    </row>
    <row r="5" spans="1:66" x14ac:dyDescent="0.35">
      <c r="A5" s="1">
        <v>2</v>
      </c>
      <c r="B5" t="s">
        <v>39</v>
      </c>
      <c r="C5">
        <v>0.6</v>
      </c>
      <c r="D5" s="3">
        <v>7.15</v>
      </c>
      <c r="E5">
        <v>2.52</v>
      </c>
      <c r="I5">
        <v>1.29</v>
      </c>
      <c r="X5">
        <v>2.3199999999999998</v>
      </c>
      <c r="AB5" s="3">
        <v>86.73</v>
      </c>
      <c r="AD5" s="4">
        <v>-248327.39276675429</v>
      </c>
      <c r="AE5" s="4">
        <v>-483581.00663625158</v>
      </c>
      <c r="AF5" s="4">
        <v>-3.716445296378966</v>
      </c>
      <c r="AG5" s="4">
        <v>-179147.4367931734</v>
      </c>
      <c r="AH5" s="4">
        <v>0.37306072406859048</v>
      </c>
      <c r="AJ5" t="s">
        <v>39</v>
      </c>
      <c r="AK5">
        <f t="shared" si="1"/>
        <v>13.280000000000001</v>
      </c>
      <c r="AL5">
        <f t="shared" si="2"/>
        <v>0</v>
      </c>
      <c r="AM5">
        <f t="shared" si="3"/>
        <v>86.73</v>
      </c>
      <c r="AN5">
        <f t="shared" si="3"/>
        <v>0</v>
      </c>
      <c r="AO5">
        <f t="shared" si="4"/>
        <v>100.01</v>
      </c>
      <c r="AQ5" t="s">
        <v>39</v>
      </c>
      <c r="AR5">
        <f t="shared" si="5"/>
        <v>426.04896000000002</v>
      </c>
      <c r="AS5">
        <f t="shared" si="0"/>
        <v>0</v>
      </c>
      <c r="AT5">
        <f t="shared" si="0"/>
        <v>2782.4718599999997</v>
      </c>
      <c r="AU5">
        <f t="shared" si="0"/>
        <v>0</v>
      </c>
      <c r="AW5" t="s">
        <v>39</v>
      </c>
      <c r="AX5" s="4">
        <f>AR5*[1]Feuil1!$I$6</f>
        <v>14598.36355587391</v>
      </c>
      <c r="AY5" s="4">
        <f>AS5*[1]Feuil1!$I$7</f>
        <v>0</v>
      </c>
      <c r="AZ5" s="4">
        <f>AT5*[1]Feuil1!$I$9</f>
        <v>320084.04960827704</v>
      </c>
      <c r="BA5" s="4">
        <f>AU5*[1]Feuil1!$I$10</f>
        <v>0</v>
      </c>
      <c r="BC5" t="s">
        <v>39</v>
      </c>
      <c r="BD5" s="4">
        <f>AR5*[1]Feuil1!$J$6</f>
        <v>19398.615198578285</v>
      </c>
      <c r="BE5" s="4">
        <f>AS5*[1]Feuil1!$J$7</f>
        <v>0</v>
      </c>
      <c r="BF5" s="4">
        <f>AT5*[1]Feuil1!$J$9</f>
        <v>122827.41842358082</v>
      </c>
      <c r="BG5" s="4">
        <f>AU5*[1]Feuil1!$J$10</f>
        <v>0</v>
      </c>
      <c r="BJ5" t="s">
        <v>39</v>
      </c>
      <c r="BK5" s="4">
        <f>AR5*[1]Feuil1!$K$6</f>
        <v>6.5358067728752731E-2</v>
      </c>
      <c r="BL5" s="4">
        <f>AS5*[1]Feuil1!$K$7</f>
        <v>0</v>
      </c>
      <c r="BM5" s="4">
        <f>AT5*[1]Feuil1!$K$9</f>
        <v>1.3995133906359016</v>
      </c>
      <c r="BN5" s="4">
        <f>AU5*[1]Feuil1!$K$10</f>
        <v>0</v>
      </c>
    </row>
    <row r="6" spans="1:66" x14ac:dyDescent="0.35">
      <c r="A6" s="1">
        <v>3</v>
      </c>
      <c r="B6" t="s">
        <v>40</v>
      </c>
      <c r="C6">
        <v>0.6</v>
      </c>
      <c r="D6" s="3">
        <v>7.15</v>
      </c>
      <c r="E6">
        <v>2.52</v>
      </c>
      <c r="I6">
        <v>1.29</v>
      </c>
      <c r="X6">
        <v>2.3199999999999998</v>
      </c>
      <c r="AB6" s="3">
        <v>86.73</v>
      </c>
      <c r="AD6" s="4">
        <v>-248327.39276675429</v>
      </c>
      <c r="AE6" s="4">
        <v>-483581.00663625158</v>
      </c>
      <c r="AF6" s="4">
        <v>-3.716445296378966</v>
      </c>
      <c r="AG6" s="4">
        <v>-179147.4367931734</v>
      </c>
      <c r="AH6" s="4">
        <v>0.37306072406859048</v>
      </c>
      <c r="AJ6" t="s">
        <v>40</v>
      </c>
      <c r="AK6">
        <f t="shared" si="1"/>
        <v>13.280000000000001</v>
      </c>
      <c r="AL6">
        <f t="shared" si="2"/>
        <v>0</v>
      </c>
      <c r="AM6">
        <f t="shared" si="3"/>
        <v>86.73</v>
      </c>
      <c r="AN6">
        <f t="shared" si="3"/>
        <v>0</v>
      </c>
      <c r="AO6">
        <f t="shared" si="4"/>
        <v>100.01</v>
      </c>
    </row>
    <row r="7" spans="1:66" x14ac:dyDescent="0.35">
      <c r="A7" s="1">
        <v>4</v>
      </c>
      <c r="B7" t="s">
        <v>41</v>
      </c>
      <c r="C7">
        <v>0.6</v>
      </c>
      <c r="D7" s="3">
        <v>7.15</v>
      </c>
      <c r="E7">
        <v>2.52</v>
      </c>
      <c r="I7">
        <v>1.29</v>
      </c>
      <c r="X7">
        <v>2.3199999999999998</v>
      </c>
      <c r="AB7" s="3">
        <v>86.73</v>
      </c>
      <c r="AD7" s="4">
        <v>-248327.39276675429</v>
      </c>
      <c r="AE7" s="4">
        <v>-483581.00663625158</v>
      </c>
      <c r="AF7" s="4">
        <v>-3.716445296378966</v>
      </c>
      <c r="AG7" s="4">
        <v>-179147.4367931734</v>
      </c>
      <c r="AH7" s="4">
        <v>0.37306072406859048</v>
      </c>
      <c r="AJ7" t="s">
        <v>41</v>
      </c>
      <c r="AK7">
        <f t="shared" si="1"/>
        <v>13.280000000000001</v>
      </c>
      <c r="AL7">
        <f t="shared" si="2"/>
        <v>0</v>
      </c>
      <c r="AM7">
        <f t="shared" si="3"/>
        <v>86.73</v>
      </c>
      <c r="AN7">
        <f t="shared" si="3"/>
        <v>0</v>
      </c>
      <c r="AO7">
        <f t="shared" si="4"/>
        <v>100.01</v>
      </c>
    </row>
    <row r="8" spans="1:66" x14ac:dyDescent="0.35">
      <c r="A8" s="1">
        <v>5</v>
      </c>
      <c r="B8" t="s">
        <v>42</v>
      </c>
      <c r="C8">
        <v>0.6</v>
      </c>
      <c r="D8" s="3">
        <v>7.15</v>
      </c>
      <c r="E8">
        <v>2.52</v>
      </c>
      <c r="I8">
        <v>1.29</v>
      </c>
      <c r="X8">
        <v>2.3199999999999998</v>
      </c>
      <c r="Z8" s="3">
        <v>5.35</v>
      </c>
      <c r="AA8">
        <v>1.35</v>
      </c>
      <c r="AB8" s="3">
        <v>80.03</v>
      </c>
      <c r="AD8" s="4">
        <v>-271684.96473506151</v>
      </c>
      <c r="AE8" s="4">
        <v>-465995.69028784567</v>
      </c>
      <c r="AF8" s="4">
        <v>-3.70766291307008</v>
      </c>
      <c r="AG8" s="4">
        <v>-158881.4683872817</v>
      </c>
      <c r="AH8" s="4">
        <v>0.41498976217814582</v>
      </c>
      <c r="AJ8" t="s">
        <v>42</v>
      </c>
      <c r="AK8">
        <f t="shared" si="1"/>
        <v>13.280000000000001</v>
      </c>
      <c r="AL8">
        <f t="shared" si="2"/>
        <v>6.6999999999999993</v>
      </c>
      <c r="AM8">
        <f t="shared" si="3"/>
        <v>80.03</v>
      </c>
      <c r="AN8">
        <f t="shared" si="3"/>
        <v>0</v>
      </c>
      <c r="AO8">
        <f t="shared" si="4"/>
        <v>100.01</v>
      </c>
    </row>
    <row r="9" spans="1:66" x14ac:dyDescent="0.35">
      <c r="A9" s="1">
        <v>6</v>
      </c>
      <c r="B9" t="s">
        <v>43</v>
      </c>
      <c r="C9">
        <v>0.6</v>
      </c>
      <c r="D9" s="3">
        <v>7.15</v>
      </c>
      <c r="E9">
        <v>2.52</v>
      </c>
      <c r="I9">
        <v>1.29</v>
      </c>
      <c r="X9">
        <v>2.3199999999999998</v>
      </c>
      <c r="AB9" s="3">
        <v>86.73</v>
      </c>
      <c r="AD9" s="4">
        <v>-248327.39276675429</v>
      </c>
      <c r="AE9" s="4">
        <v>-483581.00663625158</v>
      </c>
      <c r="AF9" s="4">
        <v>-3.716445296378966</v>
      </c>
      <c r="AG9" s="4">
        <v>-179147.4367931734</v>
      </c>
      <c r="AH9" s="4">
        <v>0.37306072406859048</v>
      </c>
      <c r="AJ9" t="s">
        <v>43</v>
      </c>
      <c r="AK9">
        <f t="shared" si="1"/>
        <v>13.280000000000001</v>
      </c>
      <c r="AL9">
        <f t="shared" si="2"/>
        <v>0</v>
      </c>
      <c r="AM9">
        <f t="shared" si="3"/>
        <v>86.73</v>
      </c>
      <c r="AN9">
        <f t="shared" si="3"/>
        <v>0</v>
      </c>
      <c r="AO9">
        <f t="shared" si="4"/>
        <v>100.01</v>
      </c>
    </row>
    <row r="12" spans="1:66" x14ac:dyDescent="0.35">
      <c r="AJ12" t="s">
        <v>62</v>
      </c>
      <c r="AK12">
        <v>5347</v>
      </c>
    </row>
    <row r="13" spans="1:66" x14ac:dyDescent="0.35">
      <c r="AJ13" t="s">
        <v>63</v>
      </c>
      <c r="AK13">
        <v>0.6</v>
      </c>
    </row>
  </sheetData>
  <mergeCells count="5">
    <mergeCell ref="B1:C1"/>
    <mergeCell ref="D1:Y1"/>
    <mergeCell ref="Z1:AA1"/>
    <mergeCell ref="AW1:BA1"/>
    <mergeCell ref="BC1:BG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E962A-C075-4D24-A1D7-4C0A35EAB7F0}">
  <dimension ref="A1:W5"/>
  <sheetViews>
    <sheetView workbookViewId="0">
      <selection activeCell="C3" sqref="C3"/>
    </sheetView>
  </sheetViews>
  <sheetFormatPr baseColWidth="10" defaultRowHeight="14.5" x14ac:dyDescent="0.35"/>
  <cols>
    <col min="2" max="2" width="18.7265625" customWidth="1"/>
    <col min="3" max="3" width="14" customWidth="1"/>
    <col min="4" max="4" width="14.36328125" customWidth="1"/>
  </cols>
  <sheetData>
    <row r="1" spans="1:23" x14ac:dyDescent="0.35">
      <c r="B1" s="15" t="s">
        <v>55</v>
      </c>
      <c r="C1" s="15"/>
      <c r="D1" s="15"/>
      <c r="E1" s="15"/>
      <c r="F1" s="15"/>
      <c r="G1" s="15"/>
      <c r="J1" s="15" t="s">
        <v>56</v>
      </c>
      <c r="K1" s="15"/>
      <c r="L1" s="15"/>
      <c r="M1" s="15"/>
      <c r="N1" s="15"/>
      <c r="O1" s="15"/>
      <c r="R1" s="15" t="s">
        <v>57</v>
      </c>
      <c r="S1" s="15"/>
      <c r="T1" s="15"/>
      <c r="U1" s="15"/>
      <c r="V1" s="15"/>
      <c r="W1" s="15"/>
    </row>
    <row r="2" spans="1:23" x14ac:dyDescent="0.35">
      <c r="B2" t="s">
        <v>49</v>
      </c>
      <c r="C2" t="s">
        <v>61</v>
      </c>
      <c r="G2" t="s">
        <v>54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R2" t="s">
        <v>49</v>
      </c>
      <c r="S2" t="s">
        <v>50</v>
      </c>
      <c r="T2" t="s">
        <v>51</v>
      </c>
      <c r="U2" t="s">
        <v>52</v>
      </c>
      <c r="V2" t="s">
        <v>53</v>
      </c>
      <c r="W2" t="s">
        <v>54</v>
      </c>
    </row>
    <row r="3" spans="1:23" x14ac:dyDescent="0.35">
      <c r="A3" t="s">
        <v>48</v>
      </c>
      <c r="B3" s="11">
        <v>18.899999999999999</v>
      </c>
      <c r="J3" s="11">
        <v>15.6</v>
      </c>
      <c r="R3" s="11">
        <v>1.63E-4</v>
      </c>
    </row>
    <row r="4" spans="1:23" x14ac:dyDescent="0.35">
      <c r="A4" t="s">
        <v>38</v>
      </c>
      <c r="B4" s="11">
        <v>18.899999999999999</v>
      </c>
      <c r="J4" s="11">
        <v>15.6</v>
      </c>
      <c r="R4" s="11">
        <v>1.63E-4</v>
      </c>
    </row>
    <row r="5" spans="1:23" x14ac:dyDescent="0.35">
      <c r="A5" t="s">
        <v>39</v>
      </c>
    </row>
  </sheetData>
  <mergeCells count="3">
    <mergeCell ref="B1:G1"/>
    <mergeCell ref="J1:O1"/>
    <mergeCell ref="R1:W1"/>
  </mergeCells>
  <pageMargins left="0.7" right="0.7" top="0.75" bottom="0.75" header="0.3" footer="0.3"/>
  <pageSetup paperSize="9" orientation="portrait" verticalDpi="597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EA0E7-F400-49E1-B168-4FE7E15EF5B9}">
  <dimension ref="A2:I5"/>
  <sheetViews>
    <sheetView workbookViewId="0">
      <selection activeCell="G5" sqref="G5:I5"/>
    </sheetView>
  </sheetViews>
  <sheetFormatPr baseColWidth="10" defaultRowHeight="14.5" x14ac:dyDescent="0.35"/>
  <sheetData>
    <row r="2" spans="1:9" x14ac:dyDescent="0.35">
      <c r="A2" t="s">
        <v>4</v>
      </c>
      <c r="B2" t="s">
        <v>58</v>
      </c>
      <c r="C2" t="str">
        <f>[2]results!AG2</f>
        <v>EQssC</v>
      </c>
      <c r="D2" t="s">
        <v>59</v>
      </c>
      <c r="F2" t="s">
        <v>4</v>
      </c>
      <c r="G2" t="s">
        <v>60</v>
      </c>
      <c r="H2" t="str">
        <f>[2]results!AH2</f>
        <v>HHssC</v>
      </c>
      <c r="I2" t="s">
        <v>59</v>
      </c>
    </row>
    <row r="3" spans="1:9" x14ac:dyDescent="0.35">
      <c r="A3" t="s">
        <v>48</v>
      </c>
      <c r="B3" s="4">
        <f>results!AE3-results!AG3</f>
        <v>-405095.98916297092</v>
      </c>
      <c r="C3" s="4">
        <f>results!AG3</f>
        <v>188919.45845114451</v>
      </c>
      <c r="D3" s="4">
        <f>C3+B3</f>
        <v>-216176.5307118264</v>
      </c>
      <c r="F3" t="s">
        <v>48</v>
      </c>
      <c r="G3" s="4">
        <f>results!AF3-results!AH3</f>
        <v>-5.4431501370373372</v>
      </c>
      <c r="H3" s="4">
        <f>results!AH3</f>
        <v>2.29994431206703</v>
      </c>
      <c r="I3" s="4">
        <f>G3+H3</f>
        <v>-3.1432058249703072</v>
      </c>
    </row>
    <row r="4" spans="1:9" x14ac:dyDescent="0.35">
      <c r="A4" t="s">
        <v>38</v>
      </c>
      <c r="B4" s="4">
        <f>results!AE4-results!AG4</f>
        <v>-304433.56984307815</v>
      </c>
      <c r="C4" s="4">
        <f>results!AG4</f>
        <v>-179147.4367931734</v>
      </c>
      <c r="D4" s="4">
        <f t="shared" ref="D4:D5" si="0">C4+B4</f>
        <v>-483581.00663625158</v>
      </c>
      <c r="F4" t="s">
        <v>38</v>
      </c>
      <c r="G4" s="4">
        <f>results!AF4-results!AH4</f>
        <v>-4.0895060204475566</v>
      </c>
      <c r="H4" s="4">
        <f>results!AH4</f>
        <v>0.37306072406859048</v>
      </c>
      <c r="I4" s="4">
        <f t="shared" ref="I4:I5" si="1">G4+H4</f>
        <v>-3.716445296378966</v>
      </c>
    </row>
    <row r="5" spans="1:9" x14ac:dyDescent="0.35">
      <c r="A5" t="s">
        <v>39</v>
      </c>
      <c r="B5" s="4">
        <f>results!AE5-results!AG5</f>
        <v>-304433.56984307815</v>
      </c>
      <c r="C5" s="4">
        <f>results!AG5</f>
        <v>-179147.4367931734</v>
      </c>
      <c r="D5" s="4">
        <f t="shared" si="0"/>
        <v>-483581.00663625158</v>
      </c>
      <c r="F5" t="s">
        <v>39</v>
      </c>
      <c r="G5" s="4">
        <f>results!AF5-results!AH5</f>
        <v>-4.0895060204475566</v>
      </c>
      <c r="H5" s="4">
        <f>results!AH5</f>
        <v>0.37306072406859048</v>
      </c>
      <c r="I5" s="4">
        <f t="shared" si="1"/>
        <v>-3.716445296378966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Contrainte de capacité</vt:lpstr>
      <vt:lpstr>results</vt:lpstr>
      <vt:lpstr>Feuil1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2026-02-20T09:59:06Z</dcterms:created>
  <dcterms:modified xsi:type="dcterms:W3CDTF">2026-04-01T14:04:41Z</dcterms:modified>
</cp:coreProperties>
</file>