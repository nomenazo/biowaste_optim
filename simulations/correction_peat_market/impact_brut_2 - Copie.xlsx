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3CF23F69-BD8E-46B0-A859-B308C2829A81}" xr6:coauthVersionLast="36" xr6:coauthVersionMax="36" xr10:uidLastSave="{00000000-0000-0000-0000-000000000000}"/>
  <bookViews>
    <workbookView minimized="1"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 l="1"/>
  <c r="C6" i="1" l="1"/>
  <c r="K13" i="1" l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G6" i="1" l="1"/>
  <c r="F6" i="1"/>
  <c r="G3" i="1" l="1"/>
  <c r="F3" i="1"/>
  <c r="G26" i="1" l="1"/>
  <c r="F26" i="1"/>
  <c r="F16" i="1"/>
  <c r="F18" i="1" s="1"/>
  <c r="G16" i="1"/>
  <c r="G18" i="1" s="1"/>
  <c r="G14" i="1"/>
  <c r="F14" i="1"/>
  <c r="C14" i="1"/>
  <c r="G4" i="1" l="1"/>
  <c r="F4" i="1"/>
  <c r="C3" i="1" l="1"/>
  <c r="C7" i="1" l="1"/>
  <c r="C16" i="1"/>
  <c r="C18" i="1" s="1"/>
  <c r="E14" i="1"/>
  <c r="D14" i="1"/>
  <c r="E3" i="1"/>
  <c r="D3" i="1"/>
  <c r="D16" i="1" l="1"/>
  <c r="D18" i="1" s="1"/>
  <c r="E16" i="1"/>
  <c r="E18" i="1" s="1"/>
  <c r="C32" i="1" l="1"/>
  <c r="C31" i="1"/>
  <c r="C29" i="1"/>
  <c r="C28" i="1"/>
  <c r="C27" i="1"/>
  <c r="C26" i="1"/>
  <c r="C25" i="1"/>
  <c r="C24" i="1"/>
  <c r="C23" i="1"/>
  <c r="D7" i="1" l="1"/>
  <c r="G7" i="1" l="1"/>
  <c r="F7" i="1"/>
  <c r="E7" i="1" l="1"/>
  <c r="D6" i="1" l="1"/>
  <c r="M17" i="1" s="1"/>
  <c r="E6" i="1" l="1"/>
  <c r="F8" i="1" l="1"/>
  <c r="G12" i="1"/>
  <c r="G8" i="1"/>
  <c r="G10" i="1"/>
  <c r="F10" i="1"/>
  <c r="F12" i="1"/>
  <c r="E12" i="1"/>
  <c r="D12" i="1"/>
  <c r="D8" i="1"/>
  <c r="E10" i="1"/>
  <c r="C8" i="1"/>
  <c r="D10" i="1"/>
  <c r="C10" i="1"/>
  <c r="E8" i="1"/>
  <c r="G13" i="1"/>
  <c r="G9" i="1"/>
  <c r="F9" i="1"/>
  <c r="F13" i="1"/>
  <c r="G11" i="1"/>
  <c r="F11" i="1"/>
  <c r="E13" i="1"/>
  <c r="D13" i="1"/>
  <c r="C11" i="1"/>
  <c r="E9" i="1"/>
  <c r="C9" i="1"/>
  <c r="D9" i="1"/>
  <c r="M18" i="1" s="1"/>
  <c r="D11" i="1"/>
  <c r="E11" i="1"/>
  <c r="C13" i="1" l="1"/>
  <c r="C12" i="1"/>
</calcChain>
</file>

<file path=xl/sharedStrings.xml><?xml version="1.0" encoding="utf-8"?>
<sst xmlns="http://schemas.openxmlformats.org/spreadsheetml/2006/main" count="93" uniqueCount="51">
  <si>
    <t>Process</t>
  </si>
  <si>
    <t>Unit reference</t>
  </si>
  <si>
    <t>Carbon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</si>
  <si>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</si>
  <si>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</si>
  <si>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</si>
  <si>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</si>
  <si>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</si>
  <si>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</si>
  <si>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</si>
  <si>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</si>
  <si>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</si>
  <si>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</si>
  <si>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</si>
  <si>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</si>
  <si>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</si>
  <si>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</si>
  <si>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</si>
  <si>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</si>
  <si>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</si>
  <si>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</si>
  <si>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</si>
  <si>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</si>
  <si>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</si>
  <si>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</si>
  <si>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</si>
  <si>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</si>
  <si>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</si>
  <si>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</si>
  <si>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</si>
  <si>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</si>
  <si>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</si>
  <si>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</si>
  <si>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</si>
  <si>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</si>
  <si>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</si>
  <si>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</si>
  <si>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</si>
  <si>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</si>
  <si>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</si>
  <si>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</si>
  <si>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AD-d</t>
  </si>
  <si>
    <t>AD-e</t>
  </si>
  <si>
    <t>AD-f</t>
  </si>
  <si>
    <t>Inc</t>
  </si>
  <si>
    <t>PDF.m2.yr</t>
  </si>
  <si>
    <t>DALY</t>
  </si>
  <si>
    <t>HH</t>
  </si>
  <si>
    <t>EQssC</t>
  </si>
  <si>
    <t>HHssC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</si>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</sst>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tech_para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Car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ecoinvent_process/municipal_waste_collection_service_by_21_metric_ton_lorry___Cutoff__U___Ro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LCA_peat_cor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LCA_Carb_peat_cor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LCA_peat_corr_V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peat_cor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tech_ARC_peat_cor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impact_peat_cor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-268.34014085734225</v>
          </cell>
        </row>
      </sheetData>
      <sheetData sheetId="1">
        <row r="4">
          <cell r="AG4">
            <v>3.2363622700140461E-2</v>
          </cell>
          <cell r="AH4">
            <v>4.5290827034624787E-7</v>
          </cell>
        </row>
        <row r="5">
          <cell r="AG5">
            <v>0.15622311715281942</v>
          </cell>
          <cell r="AH5">
            <v>1.4464434392429546E-6</v>
          </cell>
        </row>
      </sheetData>
      <sheetData sheetId="2">
        <row r="42">
          <cell r="E42">
            <v>3876.4660709036466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9">
          <cell r="AG99">
            <v>-201.83380910205278</v>
          </cell>
        </row>
      </sheetData>
      <sheetData sheetId="14">
        <row r="46">
          <cell r="AG46">
            <v>-209.55449775755659</v>
          </cell>
        </row>
      </sheetData>
      <sheetData sheetId="15">
        <row r="80">
          <cell r="AG80">
            <v>-195.86519901883881</v>
          </cell>
        </row>
      </sheetData>
      <sheetData sheetId="16">
        <row r="98">
          <cell r="AG98">
            <v>-202.80044861589312</v>
          </cell>
        </row>
      </sheetData>
      <sheetData sheetId="17">
        <row r="83">
          <cell r="AG83">
            <v>-261.40489126028797</v>
          </cell>
        </row>
      </sheetData>
      <sheetData sheetId="18"/>
      <sheetData sheetId="19"/>
      <sheetData sheetId="20">
        <row r="4">
          <cell r="C4">
            <v>0.189012950359117</v>
          </cell>
        </row>
      </sheetData>
      <sheetData sheetId="21">
        <row r="81">
          <cell r="AG81">
            <v>-194.89855950499845</v>
          </cell>
        </row>
      </sheetData>
      <sheetData sheetId="22">
        <row r="84">
          <cell r="AG84">
            <v>-140.00263317406106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 refreshError="1"/>
      <sheetData sheetId="1">
        <row r="4">
          <cell r="AC4">
            <v>1.5113032530720022E-2</v>
          </cell>
          <cell r="AD4">
            <v>2.2042254192680735E-7</v>
          </cell>
        </row>
        <row r="5">
          <cell r="AC5">
            <v>6.3010311670069097E-2</v>
          </cell>
          <cell r="AD5">
            <v>1.9021702798128903E-7</v>
          </cell>
        </row>
        <row r="31">
          <cell r="AC31">
            <v>8.2740684822632665E-3</v>
          </cell>
          <cell r="AD31">
            <v>4.4209285281899682E-8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 setup"/>
      <sheetName val="Inventory"/>
      <sheetName val="Impacts"/>
      <sheetName val="Direct inventory contributions"/>
      <sheetName val="Direct impact contributions"/>
    </sheetNames>
    <sheetDataSet>
      <sheetData sheetId="0" refreshError="1"/>
      <sheetData sheetId="1" refreshError="1"/>
      <sheetData sheetId="2">
        <row r="33">
          <cell r="F33">
            <v>0.45667050096514972</v>
          </cell>
        </row>
        <row r="34">
          <cell r="F34">
            <v>2.997916574982404E-6</v>
          </cell>
        </row>
      </sheetData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6">
          <cell r="AG46">
            <v>46.522352528175723</v>
          </cell>
          <cell r="AH46">
            <v>1.6703339373864607E-4</v>
          </cell>
        </row>
        <row r="87">
          <cell r="C87">
            <v>47.022432775933304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-69.344039327523348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AG46">
            <v>36.041677167341675</v>
          </cell>
          <cell r="AH46">
            <v>2.5785610221138381E-5</v>
          </cell>
        </row>
      </sheetData>
      <sheetData sheetId="14">
        <row r="99">
          <cell r="AG99">
            <v>-79.632739323069075</v>
          </cell>
        </row>
      </sheetData>
      <sheetData sheetId="15">
        <row r="80">
          <cell r="AG80">
            <v>51.618888337340763</v>
          </cell>
        </row>
      </sheetData>
      <sheetData sheetId="16">
        <row r="98">
          <cell r="AG98">
            <v>-28.322830408818469</v>
          </cell>
        </row>
      </sheetData>
      <sheetData sheetId="17">
        <row r="83">
          <cell r="AG83">
            <v>10.59767941863592</v>
          </cell>
        </row>
      </sheetData>
      <sheetData sheetId="18"/>
      <sheetData sheetId="19"/>
      <sheetData sheetId="20">
        <row r="81">
          <cell r="AG81">
            <v>0.30897942309017878</v>
          </cell>
        </row>
      </sheetData>
      <sheetData sheetId="21">
        <row r="84">
          <cell r="AG84">
            <v>56.408704609001795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W+_end"/>
      <sheetName val="LCI_AD-f"/>
      <sheetName val="LCIA_AD-f"/>
      <sheetName val="LCIA_AD-d"/>
      <sheetName val="LCIA_AD-c"/>
      <sheetName val="LCI_AD-e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>
        <row r="5">
          <cell r="C5">
            <v>84.546284038232599</v>
          </cell>
        </row>
        <row r="51">
          <cell r="C51">
            <v>-215.85245782181113</v>
          </cell>
        </row>
        <row r="56">
          <cell r="AG56">
            <v>46.038360226339158</v>
          </cell>
          <cell r="AH56">
            <v>4.8370041166785849E-4</v>
          </cell>
        </row>
      </sheetData>
      <sheetData sheetId="3">
        <row r="5">
          <cell r="C5">
            <v>150.20130726777239</v>
          </cell>
        </row>
        <row r="54">
          <cell r="AG54">
            <v>86.06842941813477</v>
          </cell>
          <cell r="AH54">
            <v>6.9920169042280941E-4</v>
          </cell>
        </row>
      </sheetData>
      <sheetData sheetId="4">
        <row r="5">
          <cell r="C5">
            <v>166.06528020235362</v>
          </cell>
        </row>
        <row r="45">
          <cell r="AG45">
            <v>76.859354005042192</v>
          </cell>
          <cell r="AH45">
            <v>6.3197861038764738E-4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>
            <v>115.03586225244955</v>
          </cell>
        </row>
        <row r="55">
          <cell r="AG55">
            <v>44.143274255280637</v>
          </cell>
          <cell r="AH55">
            <v>5.0297485870563373E-4</v>
          </cell>
        </row>
      </sheetData>
      <sheetData sheetId="16">
        <row r="30">
          <cell r="AG30">
            <v>45.531422488575686</v>
          </cell>
          <cell r="AH30">
            <v>1.5340506341983027E-4</v>
          </cell>
        </row>
        <row r="70">
          <cell r="C70">
            <v>34.264521044421535</v>
          </cell>
        </row>
      </sheetData>
      <sheetData sheetId="17">
        <row r="5">
          <cell r="C5">
            <v>100.41025697281384</v>
          </cell>
        </row>
        <row r="42">
          <cell r="C42">
            <v>-215.01416355130698</v>
          </cell>
        </row>
        <row r="46">
          <cell r="AG46">
            <v>36.829284813246559</v>
          </cell>
          <cell r="AH46">
            <v>4.1647733163269646E-4</v>
          </cell>
        </row>
      </sheetData>
      <sheetData sheetId="18"/>
      <sheetData sheetId="19"/>
      <sheetData sheetId="20"/>
      <sheetData sheetId="21">
        <row r="5">
          <cell r="C5">
            <v>130.89983518703079</v>
          </cell>
        </row>
        <row r="45">
          <cell r="AG45">
            <v>34.934198842188046</v>
          </cell>
          <cell r="AH45">
            <v>4.3575177867047175E-4</v>
          </cell>
        </row>
      </sheetData>
      <sheetData sheetId="22">
        <row r="29">
          <cell r="C29">
            <v>35.421319139716672</v>
          </cell>
        </row>
        <row r="59">
          <cell r="AG59">
            <v>48.310093052891858</v>
          </cell>
          <cell r="AH59">
            <v>2.6573392590665515E-4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55">
          <cell r="C55">
            <v>44.411965310455045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_tech"/>
      <sheetName val="tech_lb"/>
      <sheetName val="tech_ub"/>
      <sheetName val="cop"/>
      <sheetName val="subs_ratio"/>
      <sheetName val="sub_ratio2"/>
      <sheetName val="avoid"/>
      <sheetName val="coproduct"/>
    </sheetNames>
    <sheetDataSet>
      <sheetData sheetId="0"/>
      <sheetData sheetId="1"/>
      <sheetData sheetId="2"/>
      <sheetData sheetId="3">
        <row r="3">
          <cell r="C3">
            <v>0.6</v>
          </cell>
        </row>
        <row r="4">
          <cell r="E4">
            <v>0.15444202981514046</v>
          </cell>
        </row>
        <row r="5">
          <cell r="D5">
            <v>0.55448386609225153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7">
          <cell r="D7">
            <v>69.145236307764407</v>
          </cell>
          <cell r="E7">
            <v>2.7127459225239476E-4</v>
          </cell>
          <cell r="F7">
            <v>56.408704609001795</v>
          </cell>
          <cell r="G7">
            <v>9.9624701237589216E-5</v>
          </cell>
        </row>
        <row r="8">
          <cell r="C8">
            <v>-82.308576166846308</v>
          </cell>
          <cell r="D8">
            <v>-111.81244998168006</v>
          </cell>
          <cell r="E8">
            <v>-9.9973225425657448E-4</v>
          </cell>
          <cell r="F8">
            <v>0.30897942309017878</v>
          </cell>
          <cell r="G8">
            <v>5.1132504617738481E-4</v>
          </cell>
        </row>
        <row r="9">
          <cell r="C9">
            <v>-83.146870437350444</v>
          </cell>
          <cell r="D9">
            <v>-179.63731506156569</v>
          </cell>
          <cell r="E9">
            <v>-1.457745505945845E-3</v>
          </cell>
          <cell r="F9">
            <v>-79.632739323069075</v>
          </cell>
          <cell r="G9">
            <v>-1.0998667101415476E-4</v>
          </cell>
        </row>
        <row r="10">
          <cell r="C10">
            <v>-233.0779380559818</v>
          </cell>
          <cell r="D10">
            <v>-112.77908949552042</v>
          </cell>
          <cell r="E10">
            <v>-1.5339684382088524E-3</v>
          </cell>
          <cell r="F10">
            <v>51.618888337340763</v>
          </cell>
          <cell r="G10">
            <v>6.8161844175129087E-4</v>
          </cell>
        </row>
        <row r="11">
          <cell r="C11">
            <v>-233.91623232648593</v>
          </cell>
          <cell r="D11">
            <v>-180.60395457540608</v>
          </cell>
          <cell r="E11">
            <v>-1.9919816898981229E-3</v>
          </cell>
          <cell r="F11">
            <v>-28.322830408818469</v>
          </cell>
          <cell r="G11">
            <v>6.030672455975127E-5</v>
          </cell>
        </row>
        <row r="12">
          <cell r="D12">
            <v>-178.31878173696958</v>
          </cell>
          <cell r="E12">
            <v>-1.950775677914994E-3</v>
          </cell>
          <cell r="F12">
            <v>10.59767941863592</v>
          </cell>
          <cell r="G12">
            <v>5.9524617827577913E-4</v>
          </cell>
        </row>
        <row r="13">
          <cell r="D13">
            <v>-246.14364681685521</v>
          </cell>
          <cell r="E13">
            <v>-2.4087889296042645E-3</v>
          </cell>
          <cell r="F13">
            <v>-69.344039327523348</v>
          </cell>
          <cell r="G13">
            <v>-2.6065538915760408E-5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  <row r="29">
          <cell r="C29">
            <v>0.66714792714666193</v>
          </cell>
        </row>
        <row r="30">
          <cell r="C30">
            <v>0.38986915383247311</v>
          </cell>
        </row>
        <row r="31">
          <cell r="C31">
            <v>1.4284515611925735E-2</v>
          </cell>
        </row>
        <row r="37">
          <cell r="C37">
            <v>3.7452427019751884E-2</v>
          </cell>
        </row>
        <row r="38">
          <cell r="C38">
            <v>0.73571240611880662</v>
          </cell>
        </row>
        <row r="39">
          <cell r="C39">
            <v>3.1810426802821895E-2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</sheetData>
      <sheetData sheetId="9"/>
      <sheetData sheetId="10">
        <row r="24">
          <cell r="E24">
            <v>509.03089819946877</v>
          </cell>
        </row>
      </sheetData>
      <sheetData sheetId="11">
        <row r="23">
          <cell r="E23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M36"/>
  <sheetViews>
    <sheetView tabSelected="1" topLeftCell="A4" zoomScale="80" zoomScaleNormal="80" zoomScaleSheetLayoutView="90" workbookViewId="0">
      <selection activeCell="E26" sqref="E26"/>
    </sheetView>
  </sheetViews>
  <sheetFormatPr baseColWidth="10" defaultRowHeight="14.5" x14ac:dyDescent="0.35"/>
  <cols>
    <col min="1" max="1" width="27.1796875" customWidth="1"/>
    <col min="2" max="2" width="14.90625" hidden="1" customWidth="1"/>
    <col min="3" max="3" width="12.26953125" bestFit="1" customWidth="1"/>
    <col min="4" max="4" width="12.90625" bestFit="1" customWidth="1"/>
    <col min="5" max="5" width="14.1796875" customWidth="1"/>
    <col min="6" max="7" width="12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50</v>
      </c>
      <c r="E1" s="1" t="s">
        <v>47</v>
      </c>
      <c r="F1" s="1" t="s">
        <v>48</v>
      </c>
      <c r="G1" s="1" t="s">
        <v>49</v>
      </c>
      <c r="I1" s="1" t="s">
        <v>2</v>
      </c>
      <c r="J1" s="1" t="s">
        <v>50</v>
      </c>
      <c r="K1" s="1" t="s">
        <v>47</v>
      </c>
      <c r="L1" s="1" t="s">
        <v>48</v>
      </c>
      <c r="M1" s="1" t="s">
        <v>49</v>
      </c>
    </row>
    <row r="2" spans="1:13" x14ac:dyDescent="0.35">
      <c r="C2" t="s">
        <v>18</v>
      </c>
      <c r="D2" t="s">
        <v>45</v>
      </c>
      <c r="E2" t="s">
        <v>46</v>
      </c>
      <c r="F2" t="s">
        <v>45</v>
      </c>
      <c r="G2" t="s">
        <v>46</v>
      </c>
    </row>
    <row r="3" spans="1:13" x14ac:dyDescent="0.35">
      <c r="A3" s="1" t="s">
        <v>4</v>
      </c>
      <c r="B3" t="s">
        <v>3</v>
      </c>
      <c r="C3">
        <f>'[1]IW+f'!$C$4</f>
        <v>0.189012950359117</v>
      </c>
      <c r="D3">
        <f>'[1]IW+_end'!$AG$5</f>
        <v>0.15622311715281942</v>
      </c>
      <c r="E3">
        <f>'[1]IW+_end'!$AH$5</f>
        <v>1.4464434392429546E-6</v>
      </c>
      <c r="F3">
        <f>'[2]IW+_end'!$AC$5</f>
        <v>6.3010311670069097E-2</v>
      </c>
      <c r="G3">
        <f>'[2]IW+_end'!$AD$5</f>
        <v>1.9021702798128903E-7</v>
      </c>
    </row>
    <row r="4" spans="1:13" x14ac:dyDescent="0.35">
      <c r="A4" s="1" t="s">
        <v>33</v>
      </c>
      <c r="B4" t="s">
        <v>3</v>
      </c>
      <c r="C4">
        <v>1.38914</v>
      </c>
      <c r="D4">
        <v>1.1513199999999999</v>
      </c>
      <c r="E4" s="3">
        <v>1.23597E-5</v>
      </c>
      <c r="F4">
        <f>[3]Impacts!$F$33</f>
        <v>0.45667050096514972</v>
      </c>
      <c r="G4">
        <f>[3]Impacts!$F$34</f>
        <v>2.997916574982404E-6</v>
      </c>
    </row>
    <row r="5" spans="1:13" x14ac:dyDescent="0.35">
      <c r="A5" s="2" t="s">
        <v>5</v>
      </c>
    </row>
    <row r="6" spans="1:13" x14ac:dyDescent="0.35">
      <c r="A6" t="s">
        <v>8</v>
      </c>
      <c r="B6" t="s">
        <v>11</v>
      </c>
      <c r="C6" s="3">
        <f>[4]LCIA_HC!$C$87</f>
        <v>47.022432775933304</v>
      </c>
      <c r="D6" s="3">
        <f>[4]LCIA_HC!$AG$46</f>
        <v>46.522352528175723</v>
      </c>
      <c r="E6" s="3">
        <f>[4]LCIA_HC!$AH$46</f>
        <v>1.6703339373864607E-4</v>
      </c>
      <c r="F6" s="3">
        <f>[5]LCIA_HC!$AG$46</f>
        <v>36.041677167341675</v>
      </c>
      <c r="G6" s="3">
        <f>[5]LCIA_HC!$AH$46</f>
        <v>2.5785610221138381E-5</v>
      </c>
      <c r="I6">
        <f>[6]LCIA_HC!$C$70</f>
        <v>34.264521044421535</v>
      </c>
      <c r="J6">
        <f>[6]LCIA_HC!$AG$30</f>
        <v>45.531422488575686</v>
      </c>
      <c r="K6">
        <f>[6]LCIA_HC!$AH$30</f>
        <v>1.5340506341983027E-4</v>
      </c>
    </row>
    <row r="7" spans="1:13" x14ac:dyDescent="0.35">
      <c r="A7" t="s">
        <v>9</v>
      </c>
      <c r="B7" t="s">
        <v>11</v>
      </c>
      <c r="C7" s="3">
        <f>[7]LCIA_IC!$C$55 + (C3*20*[8]cop!$C$3)</f>
        <v>46.680120714764449</v>
      </c>
      <c r="D7" s="3">
        <f>[9]Feuil1!$D$7+ (D3*20*[8]cop!$C$3)</f>
        <v>71.019913713598243</v>
      </c>
      <c r="E7" s="3">
        <f>[9]Feuil1!$E$7+ (E3*20*[8]cop!$C$3)</f>
        <v>2.8863191352331019E-4</v>
      </c>
      <c r="F7">
        <f>[9]Feuil1!$F$7+ (F3*20*[8]cop!$C$3)</f>
        <v>57.164828349042622</v>
      </c>
      <c r="G7" s="3">
        <f>[9]Feuil1!$G$7+ (G3*20*[8]cop!$C$3)</f>
        <v>1.0190730557336468E-4</v>
      </c>
      <c r="I7" s="4">
        <f>[6]LCIA_IC!$C$29</f>
        <v>35.421319139716672</v>
      </c>
      <c r="J7">
        <f>[6]LCIA_IC!$AG$59</f>
        <v>48.310093052891858</v>
      </c>
      <c r="K7">
        <f>[6]LCIA_IC!$AH$59</f>
        <v>2.6573392590665515E-4</v>
      </c>
    </row>
    <row r="8" spans="1:13" x14ac:dyDescent="0.35">
      <c r="A8" t="s">
        <v>6</v>
      </c>
      <c r="B8" t="s">
        <v>11</v>
      </c>
      <c r="C8" s="3">
        <f>[9]Feuil1!$C$8+ (C3*20*[8]cop!$D$5)</f>
        <v>-80.212483537713794</v>
      </c>
      <c r="D8">
        <f>[9]Feuil1!$D$8+ (D3*20*[8]cop!$D$5)</f>
        <v>-110.07998602224249</v>
      </c>
      <c r="E8" s="3">
        <f>[9]Feuil1!$E$8+ (E3*20*[8]cop!$D$5)</f>
        <v>-9.8369166325107046E-4</v>
      </c>
      <c r="F8">
        <f>[9]Feuil1!$F$8+ (F3*20*[8]cop!$D$5)</f>
        <v>1.0077434474601312</v>
      </c>
      <c r="G8">
        <f>[9]Feuil1!$G$8 + (G3*20*[8]cop!$D$5)</f>
        <v>5.1343449163881766E-4</v>
      </c>
      <c r="I8" s="4">
        <f>'[6]LCIA_AD-a'!$C$5</f>
        <v>130.89983518703079</v>
      </c>
      <c r="J8">
        <f>'[6]LCIA_AD-a'!$AG$45</f>
        <v>34.934198842188046</v>
      </c>
      <c r="K8">
        <f>'[6]LCIA_AD-a'!$AH$45</f>
        <v>4.3575177867047175E-4</v>
      </c>
    </row>
    <row r="9" spans="1:13" x14ac:dyDescent="0.35">
      <c r="A9" t="s">
        <v>7</v>
      </c>
      <c r="B9" t="s">
        <v>11</v>
      </c>
      <c r="C9" s="3">
        <f>[9]Feuil1!$C$9 + (C3*20*[8]cop!$E$4)</f>
        <v>-82.563039563054232</v>
      </c>
      <c r="D9">
        <f>[9]Feuil1!$D$9+ (D3*20*[8]cop!$E$4)</f>
        <v>-179.15476675522308</v>
      </c>
      <c r="E9" s="3">
        <f>[9]Feuil1!$E$9 +  (E3*20*[8]cop!$E$4)</f>
        <v>-1.4532776727304555E-3</v>
      </c>
      <c r="F9">
        <f>[9]Feuil1!$F$9 + (F3*20*[8]cop!$E$4)</f>
        <v>-79.438110514396868</v>
      </c>
      <c r="G9">
        <f>[9]Feuil1!$G$9 + (G3*20*[8]cop!$E$4)</f>
        <v>-1.0939912093601809E-4</v>
      </c>
      <c r="I9" s="4">
        <f>'[6]LCIA_AD-b'!$C$5</f>
        <v>115.03586225244955</v>
      </c>
      <c r="J9">
        <f>'[6]LCIA_AD-b'!$AG$55</f>
        <v>44.143274255280637</v>
      </c>
      <c r="K9">
        <f>'[6]LCIA_AD-b'!$AH$55</f>
        <v>5.0297485870563373E-4</v>
      </c>
    </row>
    <row r="10" spans="1:13" x14ac:dyDescent="0.35">
      <c r="A10" t="s">
        <v>23</v>
      </c>
      <c r="B10" t="s">
        <v>11</v>
      </c>
      <c r="C10" s="3">
        <f>[9]Feuil1!$C$10 + (C3*20*[8]cop!$D$5)</f>
        <v>-230.98184542684928</v>
      </c>
      <c r="D10">
        <f>[9]Feuil1!$D$10 + (D3*20*[8]cop!$D$5)</f>
        <v>-111.04662553608286</v>
      </c>
      <c r="E10" s="3">
        <f>[9]Feuil1!$E$10 + (E3*20*[8]cop!$D$5)</f>
        <v>-1.5179278472033484E-3</v>
      </c>
      <c r="F10">
        <f>[9]Feuil1!$F$10 + (F3*20*[8]cop!$D$5)</f>
        <v>52.317652361710714</v>
      </c>
      <c r="G10">
        <f>[9]Feuil1!$G$10 + (G3*20*[8]cop!$D$5)</f>
        <v>6.8372788721272372E-4</v>
      </c>
      <c r="I10" s="4">
        <f>'[6]LCIA_AD-c'!$C$5</f>
        <v>166.06528020235362</v>
      </c>
      <c r="J10">
        <f>'[6]LCIA_AD-c'!$AG$45</f>
        <v>76.859354005042192</v>
      </c>
      <c r="K10">
        <f>'[6]LCIA_AD-c'!$AH$45</f>
        <v>6.3197861038764738E-4</v>
      </c>
    </row>
    <row r="11" spans="1:13" x14ac:dyDescent="0.35">
      <c r="A11" t="s">
        <v>41</v>
      </c>
      <c r="B11" t="s">
        <v>11</v>
      </c>
      <c r="C11" s="3">
        <f>[9]Feuil1!$C$11 + (C3*20*[8]cop!$E$4)</f>
        <v>-233.33240145218971</v>
      </c>
      <c r="D11">
        <f>[9]Feuil1!$D$11 + (D3*20*[8]cop!$E$4)</f>
        <v>-180.12140626906347</v>
      </c>
      <c r="E11" s="3">
        <f>[9]Feuil1!$E$11  + (E3*20*[8]cop!$E$4)</f>
        <v>-1.9875138566827332E-3</v>
      </c>
      <c r="F11">
        <f>[9]Feuil1!$F$11  + (F3*20*[8]cop!$E$4)</f>
        <v>-28.128201600146266</v>
      </c>
      <c r="G11">
        <f>[9]Feuil1!$G$11  +  (G3*20*[8]cop!$E$4)</f>
        <v>6.0894274637887942E-5</v>
      </c>
      <c r="I11" s="4">
        <f>'[6]LCIA_AD-d'!$C$5</f>
        <v>150.20130726777239</v>
      </c>
      <c r="J11">
        <f>'[6]LCIA_AD-d'!$AG$54</f>
        <v>86.06842941813477</v>
      </c>
      <c r="K11">
        <f>'[6]LCIA_AD-d'!$AH$54</f>
        <v>6.9920169042280941E-4</v>
      </c>
    </row>
    <row r="12" spans="1:13" x14ac:dyDescent="0.35">
      <c r="A12" t="s">
        <v>42</v>
      </c>
      <c r="B12" t="s">
        <v>11</v>
      </c>
      <c r="C12" s="3">
        <f>'[6]LCIA_AD-e'!$C$42 + (C3*20*[8]cop!$D$5)</f>
        <v>-212.91807092217445</v>
      </c>
      <c r="D12">
        <f>[9]Feuil1!$D$12+ (D3*20*[8]cop!$D$5)</f>
        <v>-176.58631777753203</v>
      </c>
      <c r="E12" s="3">
        <f>[9]Feuil1!$E$12 + (E3*20*[8]cop!$D$5)</f>
        <v>-1.9347350869094899E-3</v>
      </c>
      <c r="F12">
        <f>[9]Feuil1!$F$12 + (F3*20*[8]cop!$D$5)</f>
        <v>11.296443443005872</v>
      </c>
      <c r="G12">
        <f>[9]Feuil1!$G$12 + (G3*20*[8]cop!$D$5)</f>
        <v>5.9735562373721199E-4</v>
      </c>
      <c r="I12" s="4">
        <f>'[6]LCIA_AD-e'!$C$5</f>
        <v>100.41025697281384</v>
      </c>
      <c r="J12">
        <f>'[6]LCIA_AD-e'!$AG$46</f>
        <v>36.829284813246559</v>
      </c>
      <c r="K12">
        <f>'[6]LCIA_AD-e'!$AH$46</f>
        <v>4.1647733163269646E-4</v>
      </c>
    </row>
    <row r="13" spans="1:13" x14ac:dyDescent="0.35">
      <c r="A13" t="s">
        <v>43</v>
      </c>
      <c r="B13" t="s">
        <v>11</v>
      </c>
      <c r="C13" s="3">
        <f>'[6]LCIA_AD-f'!$C$51+  (C3*20*[8]cop!$E$4)</f>
        <v>-215.26862694751492</v>
      </c>
      <c r="D13">
        <f>[9]Feuil1!$D$13 + (D3*20*[8]cop!$E$4)</f>
        <v>-245.6610985105126</v>
      </c>
      <c r="E13" s="3">
        <f>[9]Feuil1!$E$13 + (E3*20*[8]cop!$E$4)</f>
        <v>-2.4043210963888748E-3</v>
      </c>
      <c r="F13">
        <f>[9]Feuil1!$F$13 +  (F3*20*[8]cop!$E$4)</f>
        <v>-69.149410518851141</v>
      </c>
      <c r="G13">
        <f>[9]Feuil1!$G$13 + (G3*20*[8]cop!$E$4)</f>
        <v>-2.5477988837623735E-5</v>
      </c>
      <c r="I13" s="4">
        <f>'[6]LCIA_AD-f'!$C$5</f>
        <v>84.546284038232599</v>
      </c>
      <c r="J13">
        <f>'[6]LCIA_AD-f'!$AG$56</f>
        <v>46.038360226339158</v>
      </c>
      <c r="K13">
        <f>'[6]LCIA_AD-f'!$AH$56</f>
        <v>4.8370041166785849E-4</v>
      </c>
    </row>
    <row r="14" spans="1:13" x14ac:dyDescent="0.35">
      <c r="A14" t="s">
        <v>44</v>
      </c>
      <c r="B14" t="s">
        <v>11</v>
      </c>
      <c r="C14" s="3">
        <f>0.0393762728014812*1000</f>
        <v>39.3762728014812</v>
      </c>
      <c r="D14">
        <f>'[1]IW+_end'!$AG$4*1000</f>
        <v>32.363622700140461</v>
      </c>
      <c r="E14" s="3">
        <f>'[1]IW+_end'!$AH$4*1000</f>
        <v>4.5290827034624785E-4</v>
      </c>
      <c r="F14">
        <f>'[2]IW+_end'!$AC$4*1000</f>
        <v>15.113032530720021</v>
      </c>
      <c r="G14">
        <f>'[2]IW+_end'!$AD$4*1000</f>
        <v>2.2042254192680734E-4</v>
      </c>
    </row>
    <row r="15" spans="1:13" x14ac:dyDescent="0.35">
      <c r="A15" s="2" t="s">
        <v>10</v>
      </c>
    </row>
    <row r="16" spans="1:13" x14ac:dyDescent="0.35">
      <c r="A16" t="s">
        <v>19</v>
      </c>
      <c r="B16" t="s">
        <v>3</v>
      </c>
      <c r="C16">
        <f t="shared" ref="C16:G16" si="0">C3</f>
        <v>0.189012950359117</v>
      </c>
      <c r="D16">
        <f t="shared" si="0"/>
        <v>0.15622311715281942</v>
      </c>
      <c r="E16">
        <f t="shared" si="0"/>
        <v>1.4464434392429546E-6</v>
      </c>
      <c r="F16">
        <f t="shared" si="0"/>
        <v>6.3010311670069097E-2</v>
      </c>
      <c r="G16">
        <f t="shared" si="0"/>
        <v>1.9021702798128903E-7</v>
      </c>
      <c r="M16">
        <f>D26+(0.7318*0.702543)</f>
        <v>0.52710343739999999</v>
      </c>
    </row>
    <row r="17" spans="1:13" x14ac:dyDescent="0.35">
      <c r="A17" t="s">
        <v>34</v>
      </c>
      <c r="B17" t="s">
        <v>3</v>
      </c>
      <c r="C17" s="3">
        <v>0</v>
      </c>
      <c r="D17">
        <v>0</v>
      </c>
      <c r="E17">
        <v>0</v>
      </c>
      <c r="F17">
        <v>0</v>
      </c>
      <c r="G17">
        <v>0</v>
      </c>
      <c r="L17" t="s">
        <v>8</v>
      </c>
      <c r="M17">
        <f>D6-(M16*438.31)</f>
        <v>-184.51235511861827</v>
      </c>
    </row>
    <row r="18" spans="1:13" x14ac:dyDescent="0.35">
      <c r="A18" t="s">
        <v>20</v>
      </c>
      <c r="B18" t="s">
        <v>3</v>
      </c>
      <c r="C18">
        <f>C16</f>
        <v>0.189012950359117</v>
      </c>
      <c r="D18">
        <f>D16</f>
        <v>0.15622311715281942</v>
      </c>
      <c r="E18">
        <f>E16</f>
        <v>1.4464434392429546E-6</v>
      </c>
      <c r="F18">
        <f>F16</f>
        <v>6.3010311670069097E-2</v>
      </c>
      <c r="G18">
        <f>G16</f>
        <v>1.9021702798128903E-7</v>
      </c>
      <c r="L18" t="s">
        <v>9</v>
      </c>
      <c r="M18">
        <f>D9-M16*42.11</f>
        <v>-201.35109250413709</v>
      </c>
    </row>
    <row r="19" spans="1:13" x14ac:dyDescent="0.35">
      <c r="A19" t="s">
        <v>21</v>
      </c>
      <c r="B19" t="s">
        <v>12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13" x14ac:dyDescent="0.35">
      <c r="A20" t="s">
        <v>22</v>
      </c>
      <c r="B20" t="s">
        <v>13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3" x14ac:dyDescent="0.35">
      <c r="A21" t="s">
        <v>24</v>
      </c>
      <c r="B21" t="s">
        <v>32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13" x14ac:dyDescent="0.35">
      <c r="A22" s="2" t="s">
        <v>14</v>
      </c>
    </row>
    <row r="23" spans="1:13" x14ac:dyDescent="0.35">
      <c r="A23" t="s">
        <v>35</v>
      </c>
      <c r="B23" t="s">
        <v>39</v>
      </c>
      <c r="C23">
        <f>'[10]IW+f'!$C$28</f>
        <v>1.5776478677100687</v>
      </c>
      <c r="D23">
        <v>1.2566999999999999</v>
      </c>
      <c r="E23" s="3">
        <v>1.3917000000000001E-5</v>
      </c>
    </row>
    <row r="24" spans="1:13" x14ac:dyDescent="0.35">
      <c r="A24" t="s">
        <v>36</v>
      </c>
      <c r="B24" t="s">
        <v>39</v>
      </c>
      <c r="C24">
        <f>'[10]IW+f'!$C$30</f>
        <v>0.38986915383247311</v>
      </c>
      <c r="D24">
        <v>0.51358999999999999</v>
      </c>
      <c r="E24" s="3">
        <v>5.1734999999999997E-6</v>
      </c>
    </row>
    <row r="25" spans="1:13" x14ac:dyDescent="0.35">
      <c r="A25" t="s">
        <v>37</v>
      </c>
      <c r="B25" t="s">
        <v>39</v>
      </c>
      <c r="C25">
        <f>'[10]IW+f'!$C$29</f>
        <v>0.66714792714666193</v>
      </c>
      <c r="D25">
        <v>0.72350000000000003</v>
      </c>
      <c r="E25" s="3">
        <v>5.6199000000000002E-6</v>
      </c>
    </row>
    <row r="26" spans="1:13" x14ac:dyDescent="0.35">
      <c r="A26" t="s">
        <v>38</v>
      </c>
      <c r="B26" t="s">
        <v>39</v>
      </c>
      <c r="C26" s="3">
        <f>'[10]IW+f'!$C$31</f>
        <v>1.4284515611925735E-2</v>
      </c>
      <c r="D26">
        <v>1.2982469999999999E-2</v>
      </c>
      <c r="E26" s="3">
        <v>1.0766E-7</v>
      </c>
      <c r="F26">
        <f>'[2]IW+_end'!$AC$31</f>
        <v>8.2740684822632665E-3</v>
      </c>
      <c r="G26" s="3">
        <f>'[2]IW+_end'!$AD$31</f>
        <v>4.4209285281899682E-8</v>
      </c>
    </row>
    <row r="27" spans="1:13" x14ac:dyDescent="0.35">
      <c r="A27" t="s">
        <v>21</v>
      </c>
      <c r="B27" t="s">
        <v>15</v>
      </c>
      <c r="C27">
        <f>'[10]IW+f'!$C$39</f>
        <v>3.1810426802821895E-2</v>
      </c>
      <c r="D27">
        <v>6.9578360000000006E-2</v>
      </c>
      <c r="E27" s="3">
        <v>6.7176999999999999E-7</v>
      </c>
    </row>
    <row r="28" spans="1:13" x14ac:dyDescent="0.35">
      <c r="A28" t="s">
        <v>22</v>
      </c>
      <c r="B28" t="s">
        <v>16</v>
      </c>
      <c r="C28">
        <f>'[10]IW+f'!$C$37</f>
        <v>3.7452427019751884E-2</v>
      </c>
      <c r="D28">
        <v>0.10004979</v>
      </c>
      <c r="E28" s="3">
        <v>4.3286000000000003E-7</v>
      </c>
    </row>
    <row r="29" spans="1:13" x14ac:dyDescent="0.35">
      <c r="A29" t="s">
        <v>25</v>
      </c>
      <c r="B29" t="s">
        <v>31</v>
      </c>
      <c r="C29">
        <f>'[10]IW+f'!$C$38</f>
        <v>0.73571240611880662</v>
      </c>
      <c r="D29">
        <v>0.46230322000000001</v>
      </c>
      <c r="E29" s="3">
        <v>3.9848000000000004E-6</v>
      </c>
    </row>
    <row r="30" spans="1:13" x14ac:dyDescent="0.35">
      <c r="A30" s="2" t="s">
        <v>17</v>
      </c>
    </row>
    <row r="31" spans="1:13" x14ac:dyDescent="0.35">
      <c r="A31" t="s">
        <v>34</v>
      </c>
      <c r="B31" t="s">
        <v>40</v>
      </c>
      <c r="C31" s="3">
        <f>[10]LCIA_HC!$C$75</f>
        <v>-320.64976274672284</v>
      </c>
      <c r="D31">
        <v>0</v>
      </c>
      <c r="E31">
        <v>0</v>
      </c>
    </row>
    <row r="32" spans="1:13" x14ac:dyDescent="0.35">
      <c r="A32" t="s">
        <v>19</v>
      </c>
      <c r="B32" t="s">
        <v>40</v>
      </c>
      <c r="C32" s="3">
        <f>[10]LCIA_IC!$C$43</f>
        <v>-264.03464255865981</v>
      </c>
      <c r="D32">
        <v>0</v>
      </c>
      <c r="E32">
        <v>0</v>
      </c>
    </row>
    <row r="33" spans="1:5" x14ac:dyDescent="0.35">
      <c r="A33" t="s">
        <v>20</v>
      </c>
      <c r="B33" t="s">
        <v>40</v>
      </c>
      <c r="C33" s="3">
        <v>0</v>
      </c>
      <c r="D33">
        <v>0</v>
      </c>
      <c r="E33">
        <v>0</v>
      </c>
    </row>
    <row r="34" spans="1:5" x14ac:dyDescent="0.35">
      <c r="A34" t="s">
        <v>21</v>
      </c>
      <c r="B34" t="s">
        <v>15</v>
      </c>
      <c r="C34">
        <v>0</v>
      </c>
      <c r="D34">
        <v>0</v>
      </c>
      <c r="E34">
        <v>0</v>
      </c>
    </row>
    <row r="35" spans="1:5" x14ac:dyDescent="0.35">
      <c r="A35" t="s">
        <v>22</v>
      </c>
      <c r="B35" t="s">
        <v>16</v>
      </c>
      <c r="C35">
        <v>0</v>
      </c>
      <c r="D35">
        <v>0</v>
      </c>
      <c r="E35">
        <v>0</v>
      </c>
    </row>
    <row r="36" spans="1:5" x14ac:dyDescent="0.35">
      <c r="A36" t="s">
        <v>24</v>
      </c>
      <c r="B36" t="s">
        <v>31</v>
      </c>
      <c r="C36">
        <v>0</v>
      </c>
      <c r="D36">
        <v>0</v>
      </c>
      <c r="E36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18" sqref="B18"/>
    </sheetView>
  </sheetViews>
  <sheetFormatPr baseColWidth="10" defaultRowHeight="14.5" x14ac:dyDescent="0.35"/>
  <sheetData>
    <row r="1" spans="1:2" x14ac:dyDescent="0.35">
      <c r="A1" t="s">
        <v>8</v>
      </c>
      <c r="B1" t="s">
        <v>26</v>
      </c>
    </row>
    <row r="2" spans="1:2" x14ac:dyDescent="0.35">
      <c r="A2" t="s">
        <v>9</v>
      </c>
      <c r="B2" t="s">
        <v>27</v>
      </c>
    </row>
    <row r="3" spans="1:2" x14ac:dyDescent="0.35">
      <c r="A3" t="s">
        <v>6</v>
      </c>
      <c r="B3" t="s">
        <v>29</v>
      </c>
    </row>
    <row r="4" spans="1:2" x14ac:dyDescent="0.35">
      <c r="A4" t="s">
        <v>7</v>
      </c>
      <c r="B4" t="s">
        <v>28</v>
      </c>
    </row>
    <row r="5" spans="1:2" x14ac:dyDescent="0.35">
      <c r="A5" t="s">
        <v>23</v>
      </c>
      <c r="B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2026-04-22T09:17:02Z</dcterms:modified>
</cp:coreProperties>
</file>