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elec\"/>
    </mc:Choice>
  </mc:AlternateContent>
  <xr:revisionPtr revIDLastSave="0" documentId="13_ncr:1_{A1A484BB-8FD5-4246-A314-E216D68C6851}" xr6:coauthVersionLast="36" xr6:coauthVersionMax="36" xr10:uidLastSave="{00000000-0000-0000-0000-000000000000}"/>
  <bookViews>
    <workbookView xWindow="0" yWindow="0" windowWidth="19200" windowHeight="6640" activeTab="1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AD-a" sheetId="20" r:id="rId10"/>
    <sheet name="LCI_AD-c" sheetId="22" r:id="rId11"/>
    <sheet name="LCI_HC" sheetId="17" r:id="rId12"/>
    <sheet name="LCI_AD-b" sheetId="21" r:id="rId13"/>
    <sheet name="LCIA_AD-b" sheetId="30" r:id="rId14"/>
    <sheet name="LCIA_HC" sheetId="11" r:id="rId15"/>
    <sheet name="LCIA_AD-c" sheetId="31" r:id="rId16"/>
    <sheet name="LCIA_AD-d" sheetId="34" r:id="rId17"/>
    <sheet name="LCIA_AD-e" sheetId="37" r:id="rId18"/>
    <sheet name="Figures" sheetId="41" r:id="rId19"/>
    <sheet name="Figures_transport" sheetId="42" r:id="rId20"/>
    <sheet name="IW+f" sheetId="28" r:id="rId21"/>
    <sheet name="LCIA_AD-a" sheetId="29" r:id="rId22"/>
    <sheet name="LCIA_IC" sheetId="12" r:id="rId23"/>
    <sheet name="LCI_IC" sheetId="19" r:id="rId24"/>
    <sheet name="AD_a_end" sheetId="9" r:id="rId25"/>
    <sheet name="impact_process_end" sheetId="8" r:id="rId26"/>
    <sheet name="impact_process_mid" sheetId="7" r:id="rId27"/>
    <sheet name="IW+_mid" sheetId="26" r:id="rId28"/>
    <sheet name="IC_end" sheetId="13" r:id="rId29"/>
    <sheet name="AD_a_mid" sheetId="2" r:id="rId30"/>
  </sheets>
  <externalReferences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1" hidden="1">'IW+_end'!$A$1:$AK$35</definedName>
    <definedName name="_xlnm._FilterDatabase" localSheetId="27" hidden="1">'IW+_mid'!$A$1:$A$39</definedName>
    <definedName name="_xlnm._FilterDatabase" localSheetId="20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7" l="1"/>
  <c r="F48" i="42" l="1"/>
  <c r="F46" i="42"/>
  <c r="E48" i="42"/>
  <c r="E46" i="42"/>
  <c r="D48" i="42"/>
  <c r="G48" i="42" s="1"/>
  <c r="D46" i="42"/>
  <c r="G46" i="42" s="1"/>
  <c r="C48" i="42"/>
  <c r="C46" i="42"/>
  <c r="F31" i="42"/>
  <c r="F29" i="42"/>
  <c r="E31" i="42"/>
  <c r="E29" i="42"/>
  <c r="D31" i="42"/>
  <c r="D29" i="42"/>
  <c r="G29" i="42" s="1"/>
  <c r="H29" i="42" s="1"/>
  <c r="I29" i="42" s="1"/>
  <c r="C29" i="42"/>
  <c r="C31" i="42"/>
  <c r="F12" i="42"/>
  <c r="F14" i="42"/>
  <c r="E14" i="42"/>
  <c r="E12" i="42"/>
  <c r="D14" i="42"/>
  <c r="G14" i="42" s="1"/>
  <c r="H14" i="42" s="1"/>
  <c r="I14" i="42" s="1"/>
  <c r="D12" i="42"/>
  <c r="G12" i="42" s="1"/>
  <c r="H12" i="42" s="1"/>
  <c r="I12" i="42" s="1"/>
  <c r="C12" i="42"/>
  <c r="C14" i="42"/>
  <c r="F47" i="42" l="1"/>
  <c r="C30" i="42"/>
  <c r="H46" i="42"/>
  <c r="I46" i="42" s="1"/>
  <c r="G47" i="42"/>
  <c r="H48" i="42"/>
  <c r="D47" i="42"/>
  <c r="C47" i="42"/>
  <c r="E47" i="42"/>
  <c r="F13" i="42"/>
  <c r="F30" i="42"/>
  <c r="D30" i="42"/>
  <c r="E30" i="42"/>
  <c r="G31" i="42"/>
  <c r="G30" i="42" s="1"/>
  <c r="I13" i="42"/>
  <c r="E13" i="42"/>
  <c r="C13" i="42"/>
  <c r="D13" i="42"/>
  <c r="G13" i="42"/>
  <c r="H13" i="42"/>
  <c r="I48" i="42" l="1"/>
  <c r="H47" i="42"/>
  <c r="H31" i="42"/>
  <c r="H30" i="42"/>
  <c r="I31" i="42"/>
  <c r="I30" i="42" s="1"/>
  <c r="I47" i="42" l="1"/>
  <c r="B40" i="42"/>
  <c r="B23" i="42"/>
  <c r="B6" i="42"/>
  <c r="B19" i="41" l="1"/>
  <c r="B32" i="41"/>
  <c r="B6" i="41" l="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58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C59" i="38"/>
  <c r="D59" i="38"/>
  <c r="E59" i="38"/>
  <c r="F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C61" i="38"/>
  <c r="D61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C62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W62" i="38"/>
  <c r="X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4" i="38"/>
  <c r="D64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W64" i="38"/>
  <c r="X64" i="38"/>
  <c r="Y64" i="38"/>
  <c r="Z64" i="38"/>
  <c r="AA64" i="38"/>
  <c r="AB64" i="38"/>
  <c r="AC64" i="38"/>
  <c r="AD64" i="38"/>
  <c r="AE64" i="38"/>
  <c r="AF64" i="38"/>
  <c r="AG64" i="38"/>
  <c r="AH64" i="38"/>
  <c r="AI64" i="38"/>
  <c r="AJ64" i="38"/>
  <c r="AK64" i="38"/>
  <c r="C65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W65" i="38"/>
  <c r="X65" i="38"/>
  <c r="Y65" i="38"/>
  <c r="Z65" i="38"/>
  <c r="AA65" i="38"/>
  <c r="AB65" i="38"/>
  <c r="AC65" i="38"/>
  <c r="AD65" i="38"/>
  <c r="AE65" i="38"/>
  <c r="AF65" i="38"/>
  <c r="AG65" i="38"/>
  <c r="AH65" i="38"/>
  <c r="AI65" i="38"/>
  <c r="AJ65" i="38"/>
  <c r="AK65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C48" i="37"/>
  <c r="D48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W48" i="37"/>
  <c r="X48" i="37"/>
  <c r="Y48" i="37"/>
  <c r="Z48" i="37"/>
  <c r="AA48" i="37"/>
  <c r="AB48" i="37"/>
  <c r="AC48" i="37"/>
  <c r="AD48" i="37"/>
  <c r="AE48" i="37"/>
  <c r="AF48" i="37"/>
  <c r="AG48" i="37"/>
  <c r="AH48" i="37"/>
  <c r="AI48" i="37"/>
  <c r="AJ48" i="37"/>
  <c r="AK48" i="37"/>
  <c r="C49" i="37"/>
  <c r="D49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W49" i="37"/>
  <c r="X49" i="37"/>
  <c r="Y49" i="37"/>
  <c r="Z49" i="37"/>
  <c r="AA49" i="37"/>
  <c r="AB49" i="37"/>
  <c r="AC49" i="37"/>
  <c r="AD49" i="37"/>
  <c r="AE49" i="37"/>
  <c r="AF49" i="37"/>
  <c r="AG49" i="37"/>
  <c r="AH49" i="37"/>
  <c r="AI49" i="37"/>
  <c r="AJ49" i="37"/>
  <c r="AK49" i="37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1" i="37"/>
  <c r="D51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Y51" i="37"/>
  <c r="Z51" i="37"/>
  <c r="AA51" i="37"/>
  <c r="AB51" i="37"/>
  <c r="AC51" i="37"/>
  <c r="AD51" i="37"/>
  <c r="AE51" i="37"/>
  <c r="AF51" i="37"/>
  <c r="AG51" i="37"/>
  <c r="AH51" i="37"/>
  <c r="AI51" i="37"/>
  <c r="AJ51" i="37"/>
  <c r="AK51" i="37"/>
  <c r="C52" i="37"/>
  <c r="D52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W52" i="37"/>
  <c r="X52" i="37"/>
  <c r="Y52" i="37"/>
  <c r="Z52" i="37"/>
  <c r="AA52" i="37"/>
  <c r="AB52" i="37"/>
  <c r="AC52" i="37"/>
  <c r="AD52" i="37"/>
  <c r="AE52" i="37"/>
  <c r="AF52" i="37"/>
  <c r="AG52" i="37"/>
  <c r="AH52" i="37"/>
  <c r="AI52" i="37"/>
  <c r="AJ52" i="37"/>
  <c r="AK52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C54" i="37"/>
  <c r="D54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W54" i="37"/>
  <c r="X54" i="37"/>
  <c r="Y54" i="37"/>
  <c r="Z54" i="37"/>
  <c r="AA54" i="37"/>
  <c r="AB54" i="37"/>
  <c r="AC54" i="37"/>
  <c r="AD54" i="37"/>
  <c r="AE54" i="37"/>
  <c r="AF54" i="37"/>
  <c r="AG54" i="37"/>
  <c r="AH54" i="37"/>
  <c r="AI54" i="37"/>
  <c r="AJ54" i="37"/>
  <c r="AK54" i="37"/>
  <c r="C55" i="37"/>
  <c r="D55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Y55" i="37"/>
  <c r="Z55" i="37"/>
  <c r="AA55" i="37"/>
  <c r="AB55" i="37"/>
  <c r="AC55" i="37"/>
  <c r="AD55" i="37"/>
  <c r="AE55" i="37"/>
  <c r="AF55" i="37"/>
  <c r="AG55" i="37"/>
  <c r="AH55" i="37"/>
  <c r="AI55" i="37"/>
  <c r="AJ55" i="37"/>
  <c r="AK55" i="37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C56" i="34"/>
  <c r="D56" i="34"/>
  <c r="E56" i="34"/>
  <c r="F56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C57" i="34"/>
  <c r="D57" i="34"/>
  <c r="E57" i="34"/>
  <c r="F57" i="34"/>
  <c r="G57" i="34"/>
  <c r="H57" i="34"/>
  <c r="I57" i="34"/>
  <c r="J57" i="34"/>
  <c r="K57" i="34"/>
  <c r="L57" i="34"/>
  <c r="M57" i="34"/>
  <c r="N57" i="34"/>
  <c r="O57" i="34"/>
  <c r="P57" i="34"/>
  <c r="Q57" i="34"/>
  <c r="R57" i="34"/>
  <c r="S57" i="34"/>
  <c r="T57" i="34"/>
  <c r="U57" i="34"/>
  <c r="V57" i="34"/>
  <c r="W57" i="34"/>
  <c r="X57" i="34"/>
  <c r="Y57" i="34"/>
  <c r="Z57" i="34"/>
  <c r="AA57" i="34"/>
  <c r="AB57" i="34"/>
  <c r="AC57" i="34"/>
  <c r="AD57" i="34"/>
  <c r="AE57" i="34"/>
  <c r="AF57" i="34"/>
  <c r="AG57" i="34"/>
  <c r="AH57" i="34"/>
  <c r="AI57" i="34"/>
  <c r="AJ57" i="34"/>
  <c r="AK57" i="34"/>
  <c r="C59" i="34"/>
  <c r="D59" i="34"/>
  <c r="E59" i="34"/>
  <c r="F59" i="34"/>
  <c r="G59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C60" i="34"/>
  <c r="D60" i="34"/>
  <c r="E60" i="34"/>
  <c r="F60" i="34"/>
  <c r="G60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C62" i="34"/>
  <c r="D62" i="34"/>
  <c r="E62" i="34"/>
  <c r="F62" i="34"/>
  <c r="G62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C63" i="34"/>
  <c r="D63" i="34"/>
  <c r="E63" i="34"/>
  <c r="F63" i="34"/>
  <c r="G63" i="34"/>
  <c r="H63" i="34"/>
  <c r="I63" i="34"/>
  <c r="J63" i="34"/>
  <c r="K63" i="34"/>
  <c r="L63" i="34"/>
  <c r="M63" i="34"/>
  <c r="N63" i="34"/>
  <c r="O63" i="34"/>
  <c r="P63" i="34"/>
  <c r="Q63" i="34"/>
  <c r="R63" i="34"/>
  <c r="S63" i="34"/>
  <c r="T63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C47" i="31"/>
  <c r="D47" i="31"/>
  <c r="E47" i="31"/>
  <c r="F47" i="31"/>
  <c r="G47" i="31"/>
  <c r="H47" i="31"/>
  <c r="I47" i="31"/>
  <c r="J47" i="31"/>
  <c r="K47" i="31"/>
  <c r="L47" i="31"/>
  <c r="M47" i="31"/>
  <c r="N47" i="31"/>
  <c r="O47" i="31"/>
  <c r="P47" i="31"/>
  <c r="Q47" i="31"/>
  <c r="R47" i="31"/>
  <c r="S47" i="31"/>
  <c r="T47" i="31"/>
  <c r="U47" i="31"/>
  <c r="V47" i="31"/>
  <c r="W47" i="31"/>
  <c r="X47" i="31"/>
  <c r="Y47" i="31"/>
  <c r="Z47" i="31"/>
  <c r="AA47" i="31"/>
  <c r="AB47" i="31"/>
  <c r="AC47" i="31"/>
  <c r="AD47" i="31"/>
  <c r="AE47" i="31"/>
  <c r="AF47" i="31"/>
  <c r="AG47" i="31"/>
  <c r="AH47" i="31"/>
  <c r="AI47" i="31"/>
  <c r="AJ47" i="31"/>
  <c r="AK47" i="31"/>
  <c r="C48" i="31"/>
  <c r="D48" i="31"/>
  <c r="E48" i="31"/>
  <c r="F48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T48" i="31"/>
  <c r="U48" i="31"/>
  <c r="V48" i="31"/>
  <c r="W48" i="31"/>
  <c r="X48" i="31"/>
  <c r="Y48" i="31"/>
  <c r="Z48" i="31"/>
  <c r="AA48" i="31"/>
  <c r="AB48" i="31"/>
  <c r="AC48" i="31"/>
  <c r="AD48" i="31"/>
  <c r="AE48" i="31"/>
  <c r="AF48" i="31"/>
  <c r="AG48" i="31"/>
  <c r="AH48" i="31"/>
  <c r="AI48" i="31"/>
  <c r="AJ48" i="31"/>
  <c r="AK48" i="31"/>
  <c r="C50" i="31"/>
  <c r="D50" i="31"/>
  <c r="E50" i="31"/>
  <c r="F50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T50" i="31"/>
  <c r="U50" i="31"/>
  <c r="V50" i="31"/>
  <c r="W50" i="31"/>
  <c r="X50" i="31"/>
  <c r="Y50" i="31"/>
  <c r="Z50" i="31"/>
  <c r="AA50" i="31"/>
  <c r="AB50" i="31"/>
  <c r="AC50" i="31"/>
  <c r="AD50" i="31"/>
  <c r="AE50" i="31"/>
  <c r="AF50" i="31"/>
  <c r="AG50" i="31"/>
  <c r="AH50" i="31"/>
  <c r="AI50" i="31"/>
  <c r="AJ50" i="31"/>
  <c r="AK50" i="31"/>
  <c r="C51" i="31"/>
  <c r="D51" i="31"/>
  <c r="E51" i="31"/>
  <c r="F51" i="31"/>
  <c r="G51" i="31"/>
  <c r="H51" i="31"/>
  <c r="I51" i="31"/>
  <c r="J51" i="31"/>
  <c r="K51" i="31"/>
  <c r="L51" i="31"/>
  <c r="M51" i="31"/>
  <c r="N51" i="31"/>
  <c r="O51" i="31"/>
  <c r="P51" i="31"/>
  <c r="Q51" i="31"/>
  <c r="R51" i="31"/>
  <c r="S51" i="31"/>
  <c r="T51" i="31"/>
  <c r="U51" i="31"/>
  <c r="V51" i="31"/>
  <c r="W51" i="31"/>
  <c r="X51" i="31"/>
  <c r="Y51" i="31"/>
  <c r="Z51" i="31"/>
  <c r="AA51" i="31"/>
  <c r="AB51" i="31"/>
  <c r="AC51" i="31"/>
  <c r="AD51" i="31"/>
  <c r="AE51" i="31"/>
  <c r="AF51" i="31"/>
  <c r="AG51" i="31"/>
  <c r="AH51" i="31"/>
  <c r="AI51" i="31"/>
  <c r="AJ51" i="31"/>
  <c r="AK51" i="31"/>
  <c r="C53" i="31"/>
  <c r="D53" i="31"/>
  <c r="E53" i="31"/>
  <c r="F53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T53" i="31"/>
  <c r="U53" i="31"/>
  <c r="V53" i="31"/>
  <c r="W53" i="31"/>
  <c r="X53" i="31"/>
  <c r="Y53" i="31"/>
  <c r="Z53" i="31"/>
  <c r="AA53" i="31"/>
  <c r="AB53" i="31"/>
  <c r="AC53" i="31"/>
  <c r="AD53" i="31"/>
  <c r="AE53" i="31"/>
  <c r="AF53" i="31"/>
  <c r="AG53" i="31"/>
  <c r="AH53" i="31"/>
  <c r="AI53" i="31"/>
  <c r="AJ53" i="31"/>
  <c r="AK53" i="31"/>
  <c r="C54" i="31"/>
  <c r="D54" i="31"/>
  <c r="E54" i="31"/>
  <c r="F54" i="31"/>
  <c r="G54" i="31"/>
  <c r="H54" i="31"/>
  <c r="I54" i="31"/>
  <c r="J54" i="31"/>
  <c r="K54" i="31"/>
  <c r="L54" i="31"/>
  <c r="M54" i="31"/>
  <c r="N54" i="31"/>
  <c r="O54" i="31"/>
  <c r="P54" i="31"/>
  <c r="Q54" i="31"/>
  <c r="R54" i="31"/>
  <c r="S54" i="31"/>
  <c r="T54" i="31"/>
  <c r="U54" i="31"/>
  <c r="V54" i="31"/>
  <c r="W54" i="31"/>
  <c r="X54" i="31"/>
  <c r="Y54" i="31"/>
  <c r="Z54" i="31"/>
  <c r="AA54" i="31"/>
  <c r="AB54" i="31"/>
  <c r="AC54" i="31"/>
  <c r="AD54" i="31"/>
  <c r="AE54" i="31"/>
  <c r="AF54" i="31"/>
  <c r="AG54" i="31"/>
  <c r="AH54" i="31"/>
  <c r="AI54" i="31"/>
  <c r="AJ54" i="31"/>
  <c r="AK54" i="31"/>
  <c r="C57" i="30"/>
  <c r="D57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U57" i="30"/>
  <c r="V57" i="30"/>
  <c r="W57" i="30"/>
  <c r="X57" i="30"/>
  <c r="Y57" i="30"/>
  <c r="Z57" i="30"/>
  <c r="AA57" i="30"/>
  <c r="AB57" i="30"/>
  <c r="AC57" i="30"/>
  <c r="AD57" i="30"/>
  <c r="AE57" i="30"/>
  <c r="AF57" i="30"/>
  <c r="AG57" i="30"/>
  <c r="AH57" i="30"/>
  <c r="AI57" i="30"/>
  <c r="AJ57" i="30"/>
  <c r="AK57" i="30"/>
  <c r="C58" i="30"/>
  <c r="D58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U58" i="30"/>
  <c r="V58" i="30"/>
  <c r="W58" i="30"/>
  <c r="X58" i="30"/>
  <c r="Y58" i="30"/>
  <c r="Z58" i="30"/>
  <c r="AA58" i="30"/>
  <c r="AB58" i="30"/>
  <c r="AC58" i="30"/>
  <c r="AD58" i="30"/>
  <c r="AE58" i="30"/>
  <c r="AF58" i="30"/>
  <c r="AG58" i="30"/>
  <c r="AH58" i="30"/>
  <c r="AI58" i="30"/>
  <c r="AJ58" i="30"/>
  <c r="AK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C60" i="30"/>
  <c r="D60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U60" i="30"/>
  <c r="V60" i="30"/>
  <c r="W60" i="30"/>
  <c r="X60" i="30"/>
  <c r="Y60" i="30"/>
  <c r="Z60" i="30"/>
  <c r="AA60" i="30"/>
  <c r="AB60" i="30"/>
  <c r="AC60" i="30"/>
  <c r="AD60" i="30"/>
  <c r="AE60" i="30"/>
  <c r="AF60" i="30"/>
  <c r="AG60" i="30"/>
  <c r="AH60" i="30"/>
  <c r="AI60" i="30"/>
  <c r="AJ60" i="30"/>
  <c r="AK60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W54" i="29"/>
  <c r="X54" i="29"/>
  <c r="Y54" i="29"/>
  <c r="Z54" i="29"/>
  <c r="AA54" i="29"/>
  <c r="AB54" i="29"/>
  <c r="AC54" i="29"/>
  <c r="AD54" i="29"/>
  <c r="AE54" i="29"/>
  <c r="AF54" i="29"/>
  <c r="AG54" i="29"/>
  <c r="AH54" i="29"/>
  <c r="AI54" i="29"/>
  <c r="AJ54" i="29"/>
  <c r="AK54" i="29"/>
  <c r="C54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W53" i="29"/>
  <c r="X53" i="29"/>
  <c r="Y53" i="29"/>
  <c r="Z53" i="29"/>
  <c r="AA53" i="29"/>
  <c r="AB53" i="29"/>
  <c r="AC53" i="29"/>
  <c r="AD53" i="29"/>
  <c r="AE53" i="29"/>
  <c r="AF53" i="29"/>
  <c r="AG53" i="29"/>
  <c r="AH53" i="29"/>
  <c r="AI53" i="29"/>
  <c r="AJ53" i="29"/>
  <c r="AK53" i="29"/>
  <c r="C53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W51" i="29"/>
  <c r="X51" i="29"/>
  <c r="Y51" i="29"/>
  <c r="Z51" i="29"/>
  <c r="AA51" i="29"/>
  <c r="AB51" i="29"/>
  <c r="AC51" i="29"/>
  <c r="AD51" i="29"/>
  <c r="AE51" i="29"/>
  <c r="AF51" i="29"/>
  <c r="AG51" i="29"/>
  <c r="AH51" i="29"/>
  <c r="AI51" i="29"/>
  <c r="AJ51" i="29"/>
  <c r="AK51" i="29"/>
  <c r="C51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W50" i="29"/>
  <c r="X50" i="29"/>
  <c r="Y50" i="29"/>
  <c r="Z50" i="29"/>
  <c r="AA50" i="29"/>
  <c r="AB50" i="29"/>
  <c r="AC50" i="29"/>
  <c r="AD50" i="29"/>
  <c r="AE50" i="29"/>
  <c r="AF50" i="29"/>
  <c r="AG50" i="29"/>
  <c r="AH50" i="29"/>
  <c r="AI50" i="29"/>
  <c r="AJ50" i="29"/>
  <c r="AK50" i="29"/>
  <c r="C50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W48" i="29"/>
  <c r="X48" i="29"/>
  <c r="Y48" i="29"/>
  <c r="Z48" i="29"/>
  <c r="AA48" i="29"/>
  <c r="AB48" i="29"/>
  <c r="AC48" i="29"/>
  <c r="AD48" i="29"/>
  <c r="AE48" i="29"/>
  <c r="AF48" i="29"/>
  <c r="AG48" i="29"/>
  <c r="AH48" i="29"/>
  <c r="AI48" i="29"/>
  <c r="AJ48" i="29"/>
  <c r="AK48" i="29"/>
  <c r="C48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AD47" i="29"/>
  <c r="AE47" i="29"/>
  <c r="AF47" i="29"/>
  <c r="AG47" i="29"/>
  <c r="AH47" i="29"/>
  <c r="AI47" i="29"/>
  <c r="AJ47" i="29"/>
  <c r="AK47" i="29"/>
  <c r="C47" i="29"/>
  <c r="E15" i="17" l="1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5" i="19"/>
  <c r="E21" i="19"/>
  <c r="D46" i="12" s="1"/>
  <c r="E20" i="19"/>
  <c r="G45" i="12" s="1"/>
  <c r="E19" i="19"/>
  <c r="D44" i="12" s="1"/>
  <c r="E14" i="19"/>
  <c r="E40" i="12" s="1"/>
  <c r="C48" i="12" l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AG78" i="12"/>
  <c r="X78" i="12"/>
  <c r="AH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L83" i="12"/>
  <c r="V83" i="12"/>
  <c r="AG83" i="12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C33" i="41" l="1"/>
  <c r="C41" i="42"/>
  <c r="C7" i="41"/>
  <c r="C7" i="42"/>
  <c r="C18" i="41"/>
  <c r="C22" i="42"/>
  <c r="C20" i="41"/>
  <c r="C24" i="42"/>
  <c r="C5" i="41"/>
  <c r="C5" i="42"/>
  <c r="C31" i="41"/>
  <c r="C39" i="42"/>
  <c r="E27" i="19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4" i="11"/>
  <c r="E84" i="11"/>
  <c r="F84" i="11"/>
  <c r="G84" i="11"/>
  <c r="C84" i="11"/>
  <c r="D83" i="11"/>
  <c r="E83" i="11"/>
  <c r="F83" i="11"/>
  <c r="G83" i="11"/>
  <c r="C83" i="11"/>
  <c r="D82" i="11"/>
  <c r="E82" i="11"/>
  <c r="F82" i="11"/>
  <c r="G82" i="11"/>
  <c r="C82" i="11"/>
  <c r="D74" i="11"/>
  <c r="E74" i="11"/>
  <c r="F74" i="11"/>
  <c r="G74" i="11"/>
  <c r="C7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D62" i="11"/>
  <c r="E62" i="11"/>
  <c r="F62" i="11"/>
  <c r="G62" i="11"/>
  <c r="H62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C42" i="11"/>
  <c r="AH26" i="27"/>
  <c r="AG26" i="27"/>
  <c r="AH24" i="27"/>
  <c r="AH25" i="27"/>
  <c r="AG24" i="27"/>
  <c r="AG25" i="27"/>
  <c r="D80" i="11"/>
  <c r="E12" i="17"/>
  <c r="G79" i="11" s="1"/>
  <c r="E11" i="17"/>
  <c r="K58" i="11" s="1"/>
  <c r="E10" i="17"/>
  <c r="E77" i="11" s="1"/>
  <c r="E9" i="17"/>
  <c r="C76" i="11" s="1"/>
  <c r="J77" i="12" l="1"/>
  <c r="R77" i="12"/>
  <c r="Z77" i="12"/>
  <c r="AH77" i="12"/>
  <c r="C21" i="42" s="1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C4" i="42" s="1"/>
  <c r="D77" i="12"/>
  <c r="AK77" i="12"/>
  <c r="W77" i="12"/>
  <c r="X77" i="12"/>
  <c r="Y77" i="12"/>
  <c r="J81" i="12"/>
  <c r="R81" i="12"/>
  <c r="Z81" i="12"/>
  <c r="AH81" i="12"/>
  <c r="C23" i="42" s="1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C6" i="42" s="1"/>
  <c r="AI81" i="12"/>
  <c r="U81" i="12"/>
  <c r="V81" i="12"/>
  <c r="W81" i="12"/>
  <c r="I81" i="12"/>
  <c r="Y81" i="12"/>
  <c r="N38" i="1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38" i="42" s="1"/>
  <c r="D47" i="12"/>
  <c r="D43" i="12" s="1"/>
  <c r="F51" i="12"/>
  <c r="F49" i="12" s="1"/>
  <c r="C51" i="12"/>
  <c r="C40" i="42" s="1"/>
  <c r="G51" i="12"/>
  <c r="G49" i="12" s="1"/>
  <c r="D51" i="12"/>
  <c r="D49" i="12" s="1"/>
  <c r="E51" i="12"/>
  <c r="E49" i="12" s="1"/>
  <c r="E17" i="17"/>
  <c r="E16" i="17"/>
  <c r="B30" i="41" l="1"/>
  <c r="B4" i="42"/>
  <c r="B21" i="42"/>
  <c r="B38" i="42"/>
  <c r="B5" i="41"/>
  <c r="B5" i="42"/>
  <c r="B18" i="41"/>
  <c r="B22" i="42"/>
  <c r="B31" i="41"/>
  <c r="B39" i="42"/>
  <c r="AH79" i="12"/>
  <c r="C19" i="41"/>
  <c r="AG73" i="12"/>
  <c r="C4" i="41"/>
  <c r="B4" i="41"/>
  <c r="AH73" i="12"/>
  <c r="C17" i="41"/>
  <c r="C43" i="12"/>
  <c r="C30" i="41"/>
  <c r="C49" i="12"/>
  <c r="C32" i="41"/>
  <c r="B17" i="41"/>
  <c r="AG79" i="12"/>
  <c r="C6" i="41"/>
  <c r="G75" i="1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8" i="6"/>
  <c r="B5" i="6"/>
  <c r="B4" i="6"/>
  <c r="B14" i="6" l="1"/>
  <c r="AG59" i="12"/>
  <c r="C3" i="42" s="1"/>
  <c r="AH59" i="12"/>
  <c r="C20" i="42" s="1"/>
  <c r="E32" i="2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G38" i="12"/>
  <c r="D50" i="11"/>
  <c r="C70" i="11"/>
  <c r="B37" i="42" s="1"/>
  <c r="E50" i="11"/>
  <c r="F38" i="12"/>
  <c r="E70" i="11"/>
  <c r="Q50" i="11"/>
  <c r="C50" i="11"/>
  <c r="E38" i="12"/>
  <c r="F70" i="11"/>
  <c r="I50" i="11"/>
  <c r="N50" i="11"/>
  <c r="S50" i="11"/>
  <c r="P50" i="11"/>
  <c r="F50" i="11"/>
  <c r="K50" i="11"/>
  <c r="H50" i="11"/>
  <c r="G70" i="1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B20" i="42" s="1"/>
  <c r="H30" i="11"/>
  <c r="N30" i="11"/>
  <c r="L30" i="11"/>
  <c r="R30" i="11"/>
  <c r="J30" i="11"/>
  <c r="W30" i="11"/>
  <c r="AK30" i="11"/>
  <c r="AA30" i="11"/>
  <c r="AI30" i="11"/>
  <c r="AJ30" i="11"/>
  <c r="AG30" i="11"/>
  <c r="B3" i="42" s="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C32" i="42" l="1"/>
  <c r="C33" i="42"/>
  <c r="C15" i="42"/>
  <c r="C16" i="42"/>
  <c r="B3" i="41"/>
  <c r="B29" i="41"/>
  <c r="B16" i="41"/>
  <c r="AH84" i="12"/>
  <c r="C16" i="41"/>
  <c r="C25" i="41" s="1"/>
  <c r="AG84" i="12"/>
  <c r="C3" i="41"/>
  <c r="C12" i="41" s="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C31" i="29" s="1"/>
  <c r="E37" i="37"/>
  <c r="D37" i="37"/>
  <c r="F37" i="37"/>
  <c r="C37" i="37"/>
  <c r="E39" i="35"/>
  <c r="E35" i="22"/>
  <c r="G37" i="37"/>
  <c r="D13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37" i="42" l="1"/>
  <c r="C50" i="42" s="1"/>
  <c r="C55" i="12"/>
  <c r="E31" i="20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C33" i="31"/>
  <c r="F33" i="31"/>
  <c r="G33" i="31"/>
  <c r="D33" i="31"/>
  <c r="E33" i="3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C49" i="42" l="1"/>
  <c r="E36" i="29"/>
  <c r="E46" i="23"/>
  <c r="D36" i="29"/>
  <c r="D38" i="37"/>
  <c r="G36" i="29"/>
  <c r="C45" i="30"/>
  <c r="C47" i="38" s="1"/>
  <c r="F36" i="29"/>
  <c r="E38" i="37"/>
  <c r="E40" i="35"/>
  <c r="G38" i="37"/>
  <c r="F45" i="30"/>
  <c r="F47" i="38" s="1"/>
  <c r="E36" i="22"/>
  <c r="C34" i="31" s="1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E34" i="31"/>
  <c r="G34" i="31"/>
  <c r="E105" i="1"/>
  <c r="E104" i="1"/>
  <c r="E107" i="1" s="1"/>
  <c r="E102" i="1"/>
  <c r="F34" i="31" l="1"/>
  <c r="D4" i="42"/>
  <c r="D34" i="31"/>
  <c r="D21" i="42"/>
  <c r="D38" i="42"/>
  <c r="D40" i="42"/>
  <c r="F40" i="42" s="1"/>
  <c r="H40" i="42" s="1"/>
  <c r="D6" i="42"/>
  <c r="F6" i="42" s="1"/>
  <c r="H6" i="42" s="1"/>
  <c r="D23" i="42"/>
  <c r="F23" i="42" s="1"/>
  <c r="H23" i="42" s="1"/>
  <c r="D17" i="41"/>
  <c r="F17" i="41" s="1"/>
  <c r="D4" i="41"/>
  <c r="D30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40" i="42" s="1"/>
  <c r="G40" i="42" s="1"/>
  <c r="I40" i="42" s="1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41" i="34" l="1"/>
  <c r="F21" i="42"/>
  <c r="H21" i="42" s="1"/>
  <c r="E19" i="41"/>
  <c r="G19" i="41" s="1"/>
  <c r="I19" i="41" s="1"/>
  <c r="E23" i="42"/>
  <c r="G23" i="42" s="1"/>
  <c r="I23" i="42" s="1"/>
  <c r="E6" i="41"/>
  <c r="G6" i="41" s="1"/>
  <c r="I6" i="41" s="1"/>
  <c r="E6" i="42"/>
  <c r="G6" i="42" s="1"/>
  <c r="I6" i="42" s="1"/>
  <c r="F4" i="42"/>
  <c r="F38" i="42"/>
  <c r="C45" i="38"/>
  <c r="E32" i="41"/>
  <c r="G32" i="41" s="1"/>
  <c r="I32" i="41" s="1"/>
  <c r="F4" i="41"/>
  <c r="H17" i="41"/>
  <c r="F30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C36" i="34" l="1"/>
  <c r="E4" i="42"/>
  <c r="E21" i="42"/>
  <c r="H4" i="42"/>
  <c r="E38" i="42"/>
  <c r="H38" i="42"/>
  <c r="E17" i="41"/>
  <c r="E4" i="41"/>
  <c r="C39" i="38"/>
  <c r="E30" i="41"/>
  <c r="H30" i="41"/>
  <c r="H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38" i="42" l="1"/>
  <c r="G4" i="42"/>
  <c r="G21" i="42"/>
  <c r="G4" i="41"/>
  <c r="I4" i="41" s="1"/>
  <c r="G30" i="41"/>
  <c r="G17" i="41"/>
  <c r="E6" i="1"/>
  <c r="H67" i="3"/>
  <c r="C70" i="3" s="1"/>
  <c r="I4" i="42" l="1"/>
  <c r="I38" i="42"/>
  <c r="I21" i="42"/>
  <c r="I17" i="41"/>
  <c r="I30" i="4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E30" i="21" s="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E20" i="22"/>
  <c r="E21" i="22"/>
  <c r="F21" i="31" s="1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74" i="1"/>
  <c r="E82" i="1" s="1"/>
  <c r="E26" i="21"/>
  <c r="E35" i="21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H22" i="41" l="1"/>
  <c r="I22" i="41" s="1"/>
  <c r="H26" i="42"/>
  <c r="I26" i="42" s="1"/>
  <c r="H9" i="41"/>
  <c r="I9" i="41" s="1"/>
  <c r="H9" i="42"/>
  <c r="I9" i="42" s="1"/>
  <c r="H35" i="41"/>
  <c r="I35" i="41" s="1"/>
  <c r="H43" i="42"/>
  <c r="I43" i="42" s="1"/>
  <c r="E16" i="23"/>
  <c r="AD66" i="38"/>
  <c r="AB82" i="38"/>
  <c r="AB76" i="34"/>
  <c r="AI64" i="34"/>
  <c r="AG64" i="34"/>
  <c r="E19" i="23"/>
  <c r="C19" i="34" s="1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D45" i="34" s="1"/>
  <c r="N66" i="38"/>
  <c r="E21" i="23"/>
  <c r="G21" i="34" s="1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D11" i="42" s="1"/>
  <c r="E11" i="42" s="1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D28" i="42" s="1"/>
  <c r="E28" i="42" s="1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E43" i="22" s="1"/>
  <c r="E53" i="23" s="1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D9" i="42" s="1"/>
  <c r="E9" i="42" s="1"/>
  <c r="L78" i="29"/>
  <c r="L97" i="30" s="1"/>
  <c r="W78" i="29"/>
  <c r="W97" i="30" s="1"/>
  <c r="AH78" i="29"/>
  <c r="D26" i="42" s="1"/>
  <c r="E26" i="42" s="1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E21" i="34"/>
  <c r="C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G19" i="34" l="1"/>
  <c r="D21" i="34"/>
  <c r="D19" i="34"/>
  <c r="F19" i="34"/>
  <c r="E19" i="34"/>
  <c r="C22" i="30"/>
  <c r="D22" i="30"/>
  <c r="F22" i="30"/>
  <c r="E40" i="22"/>
  <c r="E41" i="22"/>
  <c r="E51" i="23" s="1"/>
  <c r="E42" i="22"/>
  <c r="E52" i="23" s="1"/>
  <c r="D35" i="41"/>
  <c r="E35" i="41" s="1"/>
  <c r="D43" i="42"/>
  <c r="E43" i="42" s="1"/>
  <c r="D37" i="41"/>
  <c r="E37" i="41" s="1"/>
  <c r="D45" i="42"/>
  <c r="E45" i="42" s="1"/>
  <c r="F21" i="34"/>
  <c r="F16" i="34" s="1"/>
  <c r="E45" i="34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AH94" i="34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E19" i="30"/>
  <c r="C19" i="30"/>
  <c r="F16" i="31"/>
  <c r="C23" i="30"/>
  <c r="E23" i="30"/>
  <c r="C16" i="31"/>
  <c r="D23" i="30"/>
  <c r="C38" i="31"/>
  <c r="F36" i="41" s="1"/>
  <c r="G36" i="41" s="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F10" i="42" l="1"/>
  <c r="G10" i="42" s="1"/>
  <c r="F44" i="42"/>
  <c r="G44" i="42" s="1"/>
  <c r="F27" i="42"/>
  <c r="G27" i="42" s="1"/>
  <c r="E55" i="30"/>
  <c r="AA55" i="30"/>
  <c r="F10" i="41"/>
  <c r="G10" i="41" s="1"/>
  <c r="Z55" i="30"/>
  <c r="AB55" i="30"/>
  <c r="F23" i="41"/>
  <c r="G23" i="41" s="1"/>
  <c r="N55" i="30"/>
  <c r="O55" i="30"/>
  <c r="K55" i="30"/>
  <c r="AI55" i="30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I79" i="38"/>
  <c r="I73" i="34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N68" i="38"/>
  <c r="E68" i="38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AJ77" i="29"/>
  <c r="G77" i="29"/>
  <c r="Y77" i="29"/>
  <c r="L77" i="29"/>
  <c r="Z77" i="29"/>
  <c r="O77" i="29"/>
  <c r="AG77" i="29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AD79" i="38"/>
  <c r="AD73" i="34"/>
  <c r="T79" i="38"/>
  <c r="T73" i="34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F79" i="38"/>
  <c r="F73" i="34"/>
  <c r="S79" i="38"/>
  <c r="S73" i="34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7" i="22"/>
  <c r="C112" i="3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C5" i="30" l="1"/>
  <c r="C5" i="38"/>
  <c r="P54" i="34"/>
  <c r="E21" i="41"/>
  <c r="E25" i="42"/>
  <c r="E8" i="41"/>
  <c r="E8" i="42"/>
  <c r="AB56" i="38"/>
  <c r="S54" i="34"/>
  <c r="D20" i="41"/>
  <c r="F20" i="41" s="1"/>
  <c r="H20" i="41" s="1"/>
  <c r="D24" i="42"/>
  <c r="F24" i="42" s="1"/>
  <c r="H24" i="42" s="1"/>
  <c r="D7" i="41"/>
  <c r="F7" i="41" s="1"/>
  <c r="H7" i="41" s="1"/>
  <c r="D7" i="42"/>
  <c r="F7" i="42" s="1"/>
  <c r="H7" i="42" s="1"/>
  <c r="T54" i="34"/>
  <c r="AA54" i="34"/>
  <c r="E5" i="38"/>
  <c r="K56" i="38"/>
  <c r="E56" i="38"/>
  <c r="I54" i="34"/>
  <c r="F54" i="34"/>
  <c r="Q56" i="38"/>
  <c r="V54" i="34"/>
  <c r="AG54" i="34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72" i="29"/>
  <c r="O72" i="29"/>
  <c r="W72" i="29"/>
  <c r="AE72" i="29"/>
  <c r="I72" i="29"/>
  <c r="Q72" i="29"/>
  <c r="Y72" i="29"/>
  <c r="AG72" i="29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9" i="42" s="1"/>
  <c r="D37" i="29"/>
  <c r="D33" i="29" s="1"/>
  <c r="F37" i="29"/>
  <c r="F33" i="29" s="1"/>
  <c r="G37" i="29"/>
  <c r="G33" i="29" s="1"/>
  <c r="C37" i="29"/>
  <c r="D41" i="42" s="1"/>
  <c r="F41" i="42" s="1"/>
  <c r="H41" i="42" s="1"/>
  <c r="E37" i="29"/>
  <c r="E33" i="29" s="1"/>
  <c r="F5" i="30"/>
  <c r="Q54" i="2"/>
  <c r="D5" i="30"/>
  <c r="G5" i="30"/>
  <c r="V54" i="9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C26" i="29"/>
  <c r="C25" i="29" s="1"/>
  <c r="C5" i="29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D34" i="41" l="1"/>
  <c r="D42" i="42"/>
  <c r="D49" i="42" s="1"/>
  <c r="I8" i="41"/>
  <c r="I8" i="42"/>
  <c r="H34" i="41"/>
  <c r="H42" i="42"/>
  <c r="G34" i="41"/>
  <c r="G42" i="42"/>
  <c r="G8" i="41"/>
  <c r="G8" i="42"/>
  <c r="G21" i="41"/>
  <c r="G25" i="42"/>
  <c r="E34" i="41"/>
  <c r="E42" i="42"/>
  <c r="I34" i="41"/>
  <c r="I42" i="42"/>
  <c r="I21" i="41"/>
  <c r="I25" i="42"/>
  <c r="E20" i="41"/>
  <c r="G20" i="41" s="1"/>
  <c r="I20" i="41" s="1"/>
  <c r="E24" i="42"/>
  <c r="G24" i="42" s="1"/>
  <c r="I24" i="42" s="1"/>
  <c r="E7" i="41"/>
  <c r="G7" i="41" s="1"/>
  <c r="I7" i="41" s="1"/>
  <c r="E7" i="42"/>
  <c r="G7" i="42" s="1"/>
  <c r="I7" i="42" s="1"/>
  <c r="E33" i="41"/>
  <c r="G33" i="41" s="1"/>
  <c r="I33" i="41" s="1"/>
  <c r="E41" i="42"/>
  <c r="G41" i="42" s="1"/>
  <c r="I41" i="42" s="1"/>
  <c r="F39" i="42"/>
  <c r="D5" i="41"/>
  <c r="D5" i="42"/>
  <c r="D18" i="41"/>
  <c r="F18" i="41" s="1"/>
  <c r="D22" i="42"/>
  <c r="E42" i="37"/>
  <c r="G41" i="29"/>
  <c r="C33" i="29"/>
  <c r="D33" i="41"/>
  <c r="F33" i="41" s="1"/>
  <c r="H33" i="41" s="1"/>
  <c r="C27" i="29"/>
  <c r="D31" i="41"/>
  <c r="F5" i="4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H25" i="42" s="1"/>
  <c r="AH64" i="31"/>
  <c r="AH45" i="31" s="1"/>
  <c r="AH45" i="29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83" i="37" s="1"/>
  <c r="AC64" i="31"/>
  <c r="AC45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64" i="31"/>
  <c r="AJ45" i="31" s="1"/>
  <c r="AJ80" i="31" s="1"/>
  <c r="AJ45" i="29"/>
  <c r="Z69" i="37"/>
  <c r="Z46" i="37" s="1"/>
  <c r="Z64" i="31"/>
  <c r="Z45" i="31" s="1"/>
  <c r="Z45" i="29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45" i="29"/>
  <c r="Y69" i="37"/>
  <c r="Y46" i="37" s="1"/>
  <c r="Y64" i="31"/>
  <c r="Y45" i="31" s="1"/>
  <c r="Y45" i="29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H8" i="42" s="1"/>
  <c r="AG64" i="31"/>
  <c r="AG45" i="31" s="1"/>
  <c r="AG45" i="29"/>
  <c r="AD69" i="37"/>
  <c r="AD46" i="37" s="1"/>
  <c r="AD64" i="31"/>
  <c r="AD45" i="31" s="1"/>
  <c r="AD45" i="29"/>
  <c r="N69" i="37"/>
  <c r="N46" i="37" s="1"/>
  <c r="N83" i="37" s="1"/>
  <c r="N64" i="31"/>
  <c r="N45" i="31" s="1"/>
  <c r="N45" i="29"/>
  <c r="J69" i="37"/>
  <c r="J46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64" i="31"/>
  <c r="D45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C41" i="29" l="1"/>
  <c r="D80" i="31"/>
  <c r="Z81" i="29"/>
  <c r="Z80" i="31"/>
  <c r="AJ81" i="29"/>
  <c r="D50" i="42"/>
  <c r="AJ83" i="37"/>
  <c r="Y81" i="29"/>
  <c r="D8" i="41"/>
  <c r="D12" i="41" s="1"/>
  <c r="D8" i="42"/>
  <c r="D15" i="42" s="1"/>
  <c r="F8" i="41"/>
  <c r="F8" i="42"/>
  <c r="F21" i="41"/>
  <c r="F25" i="41" s="1"/>
  <c r="F25" i="42"/>
  <c r="AK83" i="37"/>
  <c r="Y80" i="31"/>
  <c r="D83" i="37"/>
  <c r="Q81" i="29"/>
  <c r="Q80" i="31"/>
  <c r="F34" i="41"/>
  <c r="F42" i="42"/>
  <c r="F50" i="42" s="1"/>
  <c r="D21" i="41"/>
  <c r="D25" i="41" s="1"/>
  <c r="D25" i="42"/>
  <c r="D33" i="42" s="1"/>
  <c r="E18" i="41"/>
  <c r="G18" i="41" s="1"/>
  <c r="E22" i="42"/>
  <c r="E31" i="41"/>
  <c r="E38" i="41" s="1"/>
  <c r="E39" i="42"/>
  <c r="H39" i="42"/>
  <c r="F22" i="42"/>
  <c r="E5" i="41"/>
  <c r="G5" i="41" s="1"/>
  <c r="E5" i="42"/>
  <c r="F5" i="42"/>
  <c r="J83" i="37"/>
  <c r="H5" i="41"/>
  <c r="F12" i="41"/>
  <c r="F31" i="41"/>
  <c r="D38" i="41"/>
  <c r="E25" i="41"/>
  <c r="H18" i="41"/>
  <c r="AG83" i="37"/>
  <c r="H8" i="41"/>
  <c r="AH83" i="37"/>
  <c r="H21" i="41"/>
  <c r="AE80" i="31"/>
  <c r="AC80" i="31"/>
  <c r="AI81" i="29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F49" i="42" l="1"/>
  <c r="E12" i="41"/>
  <c r="E50" i="42"/>
  <c r="E49" i="42"/>
  <c r="G31" i="41"/>
  <c r="G38" i="41" s="1"/>
  <c r="H49" i="42"/>
  <c r="H50" i="42"/>
  <c r="E33" i="42"/>
  <c r="E32" i="42"/>
  <c r="F32" i="42"/>
  <c r="F33" i="42"/>
  <c r="D32" i="42"/>
  <c r="F15" i="42"/>
  <c r="F16" i="42"/>
  <c r="E15" i="42"/>
  <c r="E16" i="42"/>
  <c r="D16" i="42"/>
  <c r="H22" i="42"/>
  <c r="G39" i="42"/>
  <c r="H5" i="42"/>
  <c r="G5" i="42"/>
  <c r="G22" i="42"/>
  <c r="H25" i="41"/>
  <c r="I18" i="41"/>
  <c r="I25" i="41" s="1"/>
  <c r="G25" i="41"/>
  <c r="H31" i="41"/>
  <c r="H38" i="41" s="1"/>
  <c r="F38" i="41"/>
  <c r="I5" i="41"/>
  <c r="I12" i="41" s="1"/>
  <c r="G12" i="41"/>
  <c r="H12" i="41"/>
  <c r="H83" i="34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  <c r="I31" i="41" l="1"/>
  <c r="I38" i="41" s="1"/>
  <c r="G49" i="42"/>
  <c r="G50" i="42"/>
  <c r="G33" i="42"/>
  <c r="G32" i="42"/>
  <c r="H33" i="42"/>
  <c r="H32" i="42"/>
  <c r="G15" i="42"/>
  <c r="G16" i="42"/>
  <c r="H16" i="42"/>
  <c r="H15" i="42"/>
  <c r="I5" i="42"/>
  <c r="I39" i="42"/>
  <c r="I22" i="42"/>
  <c r="I49" i="42" l="1"/>
  <c r="I50" i="42"/>
  <c r="I32" i="42"/>
  <c r="I33" i="42"/>
  <c r="I15" i="42"/>
  <c r="I16" i="42"/>
  <c r="X45" i="11" l="1"/>
  <c r="X41" i="11" s="1"/>
  <c r="I65" i="11"/>
  <c r="I61" i="11" s="1"/>
  <c r="AA45" i="11"/>
  <c r="AA41" i="11" s="1"/>
  <c r="AD45" i="11"/>
  <c r="AD41" i="11" s="1"/>
  <c r="AC45" i="11"/>
  <c r="AC41" i="11" s="1"/>
  <c r="Q45" i="11"/>
  <c r="Q41" i="11" s="1"/>
  <c r="H45" i="11"/>
  <c r="H41" i="11" s="1"/>
  <c r="W45" i="11"/>
  <c r="W41" i="11" s="1"/>
  <c r="M65" i="11"/>
  <c r="M61" i="11" s="1"/>
  <c r="E45" i="11"/>
  <c r="E41" i="11" s="1"/>
  <c r="G45" i="11"/>
  <c r="G41" i="11" s="1"/>
  <c r="C45" i="11"/>
  <c r="C41" i="11" s="1"/>
  <c r="D65" i="11"/>
  <c r="D61" i="11" s="1"/>
  <c r="AF45" i="11"/>
  <c r="AF41" i="11" s="1"/>
  <c r="Y45" i="11"/>
  <c r="Y41" i="11" s="1"/>
  <c r="S45" i="11"/>
  <c r="S41" i="11" s="1"/>
  <c r="AJ45" i="11"/>
  <c r="AJ41" i="11" s="1"/>
  <c r="J65" i="11"/>
  <c r="J61" i="11" s="1"/>
  <c r="AG45" i="11"/>
  <c r="AG41" i="11" s="1"/>
  <c r="AG46" i="11" s="1"/>
  <c r="Z45" i="11"/>
  <c r="Z41" i="11" s="1"/>
  <c r="AH45" i="11"/>
  <c r="B20" i="41" s="1"/>
  <c r="B25" i="41" s="1"/>
  <c r="T45" i="11"/>
  <c r="T41" i="11" s="1"/>
  <c r="D45" i="11"/>
  <c r="D41" i="11" s="1"/>
  <c r="AI45" i="11"/>
  <c r="AI41" i="11" s="1"/>
  <c r="AE45" i="11"/>
  <c r="AE41" i="11" s="1"/>
  <c r="C65" i="11"/>
  <c r="C61" i="11" s="1"/>
  <c r="P65" i="11"/>
  <c r="P61" i="11" s="1"/>
  <c r="F45" i="11"/>
  <c r="F41" i="11" s="1"/>
  <c r="E65" i="11"/>
  <c r="E61" i="11" s="1"/>
  <c r="L65" i="11"/>
  <c r="L61" i="11" s="1"/>
  <c r="V45" i="11"/>
  <c r="V41" i="11" s="1"/>
  <c r="O65" i="11"/>
  <c r="O61" i="11" s="1"/>
  <c r="S65" i="11"/>
  <c r="S61" i="11" s="1"/>
  <c r="N45" i="11"/>
  <c r="N41" i="11" s="1"/>
  <c r="I45" i="11"/>
  <c r="I41" i="11" s="1"/>
  <c r="K65" i="11"/>
  <c r="K61" i="11" s="1"/>
  <c r="N65" i="11"/>
  <c r="N61" i="11" s="1"/>
  <c r="E85" i="11"/>
  <c r="E81" i="11" s="1"/>
  <c r="E87" i="11" s="1"/>
  <c r="G85" i="11"/>
  <c r="G81" i="11" s="1"/>
  <c r="G87" i="11" s="1"/>
  <c r="D85" i="11"/>
  <c r="D81" i="11" s="1"/>
  <c r="D87" i="11" s="1"/>
  <c r="R45" i="11"/>
  <c r="R41" i="11" s="1"/>
  <c r="L45" i="11"/>
  <c r="L41" i="11" s="1"/>
  <c r="T65" i="11"/>
  <c r="T61" i="11" s="1"/>
  <c r="Q65" i="11"/>
  <c r="Q61" i="11" s="1"/>
  <c r="K45" i="11"/>
  <c r="K41" i="11" s="1"/>
  <c r="C85" i="11"/>
  <c r="B33" i="41" s="1"/>
  <c r="B38" i="41" s="1"/>
  <c r="AB45" i="11"/>
  <c r="AB41" i="11" s="1"/>
  <c r="P45" i="11"/>
  <c r="P41" i="11" s="1"/>
  <c r="J45" i="11"/>
  <c r="J41" i="11" s="1"/>
  <c r="G65" i="11"/>
  <c r="G61" i="11" s="1"/>
  <c r="AK45" i="11"/>
  <c r="AK41" i="11" s="1"/>
  <c r="M45" i="11"/>
  <c r="M41" i="11" s="1"/>
  <c r="O45" i="11"/>
  <c r="O41" i="11" s="1"/>
  <c r="R65" i="11"/>
  <c r="R61" i="11" s="1"/>
  <c r="F65" i="11"/>
  <c r="F61" i="11" s="1"/>
  <c r="F85" i="11"/>
  <c r="F81" i="11" s="1"/>
  <c r="F87" i="11" s="1"/>
  <c r="U45" i="11"/>
  <c r="U41" i="11" s="1"/>
  <c r="H65" i="11"/>
  <c r="H61" i="11" s="1"/>
  <c r="B41" i="42" l="1"/>
  <c r="B50" i="42" s="1"/>
  <c r="B7" i="42"/>
  <c r="B16" i="42" s="1"/>
  <c r="B7" i="41"/>
  <c r="B12" i="41" s="1"/>
  <c r="C81" i="11"/>
  <c r="C87" i="11" s="1"/>
  <c r="B24" i="42"/>
  <c r="B33" i="42" s="1"/>
  <c r="AH41" i="11"/>
  <c r="AH46" i="11" s="1"/>
</calcChain>
</file>

<file path=xl/sharedStrings.xml><?xml version="1.0" encoding="utf-8"?>
<sst xmlns="http://schemas.openxmlformats.org/spreadsheetml/2006/main" count="3994" uniqueCount="522">
  <si>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</si>
  <si>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</si>
  <si>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</si>
  <si>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</si>
  <si>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</si>
  <si>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</si>
  <si>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</si>
  <si>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</si>
  <si>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</si>
  <si>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</si>
  <si>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</si>
  <si>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</si>
  <si>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</si>
  <si>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</si>
  <si>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</si>
  <si>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</si>
  <si>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</si>
  <si>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</si>
  <si>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</si>
  <si>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</si>
  <si>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</si>
  <si>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</si>
  <si>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</si>
  <si>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</si>
  <si>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</si>
  <si>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</si>
  <si>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</si>
  <si>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</si>
  <si>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</si>
  <si>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</si>
  <si>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</si>
  <si>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</si>
  <si>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</si>
  <si>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</si>
  <si>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</si>
  <si>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</si>
  <si>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</si>
  <si>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</si>
  <si>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</si>
  <si>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</si>
  <si>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</si>
  <si>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</si>
  <si>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</si>
  <si>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</si>
  <si>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</si>
  <si>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</si>
  <si>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</si>
  <si>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</si>
  <si>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</si>
  <si>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</si>
  <si>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</si>
  <si>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</si>
  <si>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</si>
  <si>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</si>
  <si>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</si>
  <si>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</si>
  <si>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</si>
  <si>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</si>
  <si>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</si>
  <si>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</si>
  <si>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</si>
  <si>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</si>
  <si>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</si>
  <si>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</si>
  <si>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</si>
  <si>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</si>
  <si>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</si>
  <si>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</si>
  <si>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</si>
  <si>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</si>
  <si>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</si>
  <si>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</si>
  <si>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</si>
  <si>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</si>
  <si>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</si>
  <si>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</si>
  <si>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</si>
  <si>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</si>
  <si>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</si>
  <si>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</si>
  <si>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</si>
  <si>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</si>
  <si>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</si>
  <si>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</si>
  <si>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</si>
  <si>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</si>
  <si>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</si>
  <si>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</si>
  <si>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</si>
  <si>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</si>
  <si>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</si>
  <si>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</si>
  <si>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</si>
  <si>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</si>
  <si>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</si>
  <si>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</si>
  <si>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</si>
  <si>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</si>
  <si>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</si>
  <si>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</si>
  <si>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</si>
  <si>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</si>
  <si>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</si>
  <si>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</si>
  <si>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</si>
  <si>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</si>
  <si>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</si>
  <si>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</si>
  <si>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</si>
  <si>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</si>
  <si>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</si>
  <si>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</si>
  <si>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</si>
  <si>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</si>
  <si>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</si>
  <si>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</si>
  <si>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</si>
  <si>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</si>
  <si>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</si>
  <si>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</si>
  <si>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</si>
  <si>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</si>
  <si>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</si>
  <si>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</si>
  <si>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</si>
  <si>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</si>
  <si>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</si>
  <si>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</si>
  <si>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</si>
  <si>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</si>
  <si>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</si>
  <si>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</si>
  <si>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</si>
  <si>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</si>
  <si>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</si>
  <si>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</si>
  <si>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</si>
  <si>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</si>
  <si>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</si>
  <si>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</si>
  <si>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</si>
  <si>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</si>
  <si>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</si>
  <si>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</si>
  <si>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</si>
  <si>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</si>
  <si>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</si>
  <si>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</si>
  <si>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</si>
  <si>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</si>
  <si>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</si>
  <si>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</si>
  <si>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</si>
  <si>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</si>
  <si>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</si>
  <si>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</si>
  <si>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</si>
  <si>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</si>
  <si>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</si>
  <si>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</si>
  <si>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</si>
  <si>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</si>
  <si>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</si>
  <si>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</si>
  <si>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</si>
  <si>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</si>
  <si>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</si>
  <si>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</si>
  <si>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</si>
  <si>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</si>
  <si>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</si>
  <si>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</si>
  <si>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</si>
  <si>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</si>
  <si>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</si>
  <si>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</si>
  <si>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</si>
  <si>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</si>
  <si>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</si>
  <si>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</si>
  <si>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</si>
  <si>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</si>
  <si>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</si>
  <si>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</si>
  <si>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</si>
  <si>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</si>
  <si>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</si>
  <si>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</si>
  <si>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</si>
  <si>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</si>
  <si>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</si>
  <si>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</si>
  <si>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</si>
  <si>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</si>
  <si>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</si>
  <si>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</si>
  <si>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</si>
  <si>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</si>
  <si>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</si>
  <si>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</si>
  <si>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</si>
  <si>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</si>
  <si>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</si>
  <si>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</si>
  <si>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</si>
  <si>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</si>
  <si>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</si>
  <si>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</si>
  <si>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</si>
  <si>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</si>
  <si>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</si>
  <si>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</si>
  <si>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</si>
  <si>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</si>
  <si>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</si>
  <si>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</si>
  <si>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</si>
  <si>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</si>
  <si>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</si>
  <si>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</si>
  <si>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</si>
  <si>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</si>
  <si>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</si>
  <si>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</si>
  <si>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</si>
  <si>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</si>
  <si>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</si>
  <si>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</si>
  <si>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</si>
  <si>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</si>
  <si>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</si>
  <si>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</si>
  <si>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</si>
  <si>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</si>
  <si>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</si>
  <si>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</si>
  <si>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</si>
  <si>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</si>
  <si>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</si>
  <si>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</si>
  <si>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</si>
  <si>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</si>
  <si>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</si>
  <si>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</si>
  <si>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</si>
  <si>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</si>
  <si>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</si>
  <si>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</si>
  <si>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</si>
  <si>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</si>
  <si>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</si>
  <si>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</si>
  <si>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</si>
  <si>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</si>
  <si>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</si>
  <si>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</si>
  <si>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</si>
  <si>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</si>
  <si>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</si>
  <si>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</si>
  <si>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</si>
  <si>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</si>
  <si>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</si>
  <si>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</si>
  <si>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</si>
  <si>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</si>
  <si>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</si>
  <si>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</si>
  <si>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</si>
  <si>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</si>
  <si>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</si>
  <si>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</si>
  <si>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</si>
  <si>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</si>
  <si>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</si>
  <si>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</si>
  <si>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</si>
  <si>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</si>
  <si>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</si>
  <si>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</si>
  <si>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</si>
  <si>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</si>
  <si>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</si>
  <si>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</si>
  <si>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</si>
  <si>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</si>
  <si>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</si>
  <si>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</si>
  <si>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</si>
  <si>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</si>
  <si>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</si>
  <si>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</si>
  <si>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</si>
  <si>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</si>
  <si>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</si>
  <si>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</si>
  <si>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</si>
  <si>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</si>
  <si>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</si>
  <si>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</si>
  <si>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</si>
  <si>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</si>
  <si>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</si>
  <si>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</si>
  <si>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</si>
  <si>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</si>
  <si>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</si>
  <si>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</si>
  <si>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</si>
  <si>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</si>
  <si>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</si>
  <si>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</si>
  <si>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</si>
  <si>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</si>
  <si>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</si>
  <si>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</si>
  <si>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</si>
  <si>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</si>
  <si>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</si>
  <si>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</si>
  <si>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</si>
  <si>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</si>
  <si>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</si>
  <si>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</si>
  <si>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</si>
  <si>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</si>
  <si>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</si>
  <si>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</si>
  <si>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</si>
  <si>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</si>
  <si>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</si>
  <si>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</si>
  <si>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</si>
  <si>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</si>
  <si>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</si>
  <si>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</si>
  <si>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</si>
  <si>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</si>
  <si>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</si>
  <si>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</si>
  <si>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</si>
  <si>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</si>
  <si>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</si>
  <si>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</si>
  <si>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</si>
  <si>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</si>
  <si>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</si>
  <si>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</si>
  <si>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</si>
  <si>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</si>
  <si>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</si>
  <si>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</si>
  <si>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</si>
  <si>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</si>
  <si>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</si>
  <si>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</si>
  <si>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</si>
  <si>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</si>
  <si>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</si>
  <si>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</si>
  <si>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</si>
  <si>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</si>
  <si>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</si>
  <si>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</si>
  <si>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</si>
  <si>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</si>
  <si>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</si>
  <si>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</si>
  <si>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</si>
  <si>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</si>
  <si>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</si>
  <si>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</si>
  <si>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</si>
  <si>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</si>
  <si>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</si>
  <si>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</si>
  <si>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</si>
  <si>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</si>
  <si>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</si>
  <si>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</si>
  <si>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</si>
  <si>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</si>
  <si>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</si>
  <si>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</si>
  <si>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</si>
  <si>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</si>
  <si>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</si>
  <si>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</si>
  <si>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</si>
  <si>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</si>
  <si>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</si>
  <si>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</si>
  <si>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</si>
  <si>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</si>
  <si>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</si>
  <si>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</si>
  <si>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</si>
  <si>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</si>
  <si>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</si>
  <si>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</si>
  <si>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</si>
  <si>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</si>
  <si>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</si>
  <si>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</si>
  <si>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</si>
  <si>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</si>
  <si>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</si>
  <si>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</si>
  <si>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</si>
  <si>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</si>
  <si>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</si>
  <si>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</si>
  <si>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</si>
  <si>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</si>
  <si>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</si>
  <si>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</si>
  <si>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</si>
  <si>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</si>
  <si>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</si>
  <si>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</si>
  <si>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</si>
  <si>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</si>
  <si>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</si>
  <si>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</si>
  <si>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</si>
  <si>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</si>
  <si>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</si>
  <si>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</si>
  <si>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</si>
  <si>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</si>
  <si>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</si>
  <si>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</si>
  <si>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</si>
  <si>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</si>
  <si>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</si>
  <si>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</si>
  <si>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</si>
  <si>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</si>
  <si>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</si>
  <si>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</si>
  <si>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</si>
  <si>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</si>
  <si>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</si>
  <si>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</si>
  <si>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</si>
  <si>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</si>
  <si>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</si>
  <si>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</si>
  <si>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</si>
  <si>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</si>
  <si>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</si>
  <si>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</si>
  <si>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</si>
  <si>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</si>
  <si>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</si>
  <si>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</si>
  <si>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</si>
  <si>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</si>
  <si>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</si>
  <si>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</si>
  <si>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</si>
  <si>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</si>
  <si>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</si>
  <si>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</si>
  <si>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</si>
  <si>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</si>
  <si>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</si>
  <si>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</si>
  <si>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</si>
  <si>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</si>
  <si>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</si>
  <si>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</si>
  <si>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</si>
  <si>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</si>
  <si>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</si>
  <si>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</si>
  <si>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</si>
  <si>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</si>
  <si>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</si>
  <si>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</si>
  <si>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</si>
  <si>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</si>
  <si>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</si>
  <si>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</si>
  <si>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</si>
  <si>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</si>
  <si>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</si>
  <si>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</si>
  <si>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</si>
  <si>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</si>
  <si>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</si>
  <si>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</si>
  <si>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</si>
  <si>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</si>
  <si>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</si>
  <si>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</si>
  <si>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</si>
  <si>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</si>
  <si>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</si>
  <si>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</si>
  <si>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</si>
  <si>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</si>
  <si>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</si>
  <si>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</si>
  <si>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</si>
  <si>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</si>
  <si>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</si>
  <si>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</si>
  <si>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</si>
  <si>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</si>
  <si>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</si>
  <si>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</si>
  <si>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</si>
  <si>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</si>
  <si>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</si>
  <si>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</si>
  <si>
    <t>Transport + collecte (min)</t>
  </si>
  <si>
    <t>Transport + collecte (max)</t>
  </si>
  <si>
    <t>Total max</t>
  </si>
  <si>
    <t>Total min</t>
  </si>
  <si>
    <t>Trans max vraie valeur</t>
  </si>
  <si>
    <t>electricity production, natural gas, conventional power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</si>
</sst>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0" fillId="0" borderId="13" xfId="0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-304.42307828021836</c:v>
                </c:pt>
                <c:pt idx="3">
                  <c:v>-304.42307828021836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-2.9767632713422133E-3</c:v>
                </c:pt>
                <c:pt idx="3">
                  <c:v>-2.9767632713422133E-3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-434.30973512854933</c:v>
                </c:pt>
                <c:pt idx="3">
                  <c:v>-434.30973512854933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Figures_transport!$A$20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Figures_transport!$B$20:$I$20</c:f>
              <c:numCache>
                <c:formatCode>General</c:formatCode>
                <c:ptCount val="8"/>
                <c:pt idx="0">
                  <c:v>1.5340506341983027E-4</c:v>
                </c:pt>
                <c:pt idx="1">
                  <c:v>2.6573392590665515E-4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D-4435-92EF-B85984A4F3EB}"/>
            </c:ext>
          </c:extLst>
        </c:ser>
        <c:ser>
          <c:idx val="1"/>
          <c:order val="1"/>
          <c:tx>
            <c:strRef>
              <c:f>Figures_transport!$A$21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Figures_transport!$B$21:$I$21</c:f>
              <c:numCache>
                <c:formatCode>0.00E+00</c:formatCode>
                <c:ptCount val="8"/>
                <c:pt idx="0">
                  <c:v>2.2105407326104959E-4</c:v>
                </c:pt>
                <c:pt idx="1">
                  <c:v>1.6840143962800451E-4</c:v>
                </c:pt>
                <c:pt idx="2" formatCode="General">
                  <c:v>8.5127911209574808E-4</c:v>
                </c:pt>
                <c:pt idx="3" formatCode="General">
                  <c:v>2.975596271988494E-5</c:v>
                </c:pt>
                <c:pt idx="4" formatCode="General">
                  <c:v>8.5127911209574808E-4</c:v>
                </c:pt>
                <c:pt idx="5" formatCode="General">
                  <c:v>2.975596271988494E-5</c:v>
                </c:pt>
                <c:pt idx="6" formatCode="General">
                  <c:v>8.5127911209574808E-4</c:v>
                </c:pt>
                <c:pt idx="7" formatCode="General">
                  <c:v>2.975596271988494E-5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D-4435-92EF-B85984A4F3EB}"/>
            </c:ext>
          </c:extLst>
        </c:ser>
        <c:ser>
          <c:idx val="2"/>
          <c:order val="2"/>
          <c:tx>
            <c:strRef>
              <c:f>Figures_transport!$A$22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Figures_transport!$B$22:$I$22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D-4435-92EF-B85984A4F3EB}"/>
            </c:ext>
          </c:extLst>
        </c:ser>
        <c:ser>
          <c:idx val="3"/>
          <c:order val="3"/>
          <c:tx>
            <c:strRef>
              <c:f>Figures_transport!$A$23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Figures_transport!$B$23:$I$23</c:f>
              <c:numCache>
                <c:formatCode>0.00E+00</c:formatCode>
                <c:ptCount val="8"/>
                <c:pt idx="0" formatCode="General">
                  <c:v>-2.0742574294223382E-4</c:v>
                </c:pt>
                <c:pt idx="1">
                  <c:v>-1.628607732822649E-4</c:v>
                </c:pt>
                <c:pt idx="2" formatCode="General">
                  <c:v>-6.1444986733411467E-4</c:v>
                </c:pt>
                <c:pt idx="3" formatCode="General">
                  <c:v>-3.1816304968268396E-4</c:v>
                </c:pt>
                <c:pt idx="4" formatCode="General">
                  <c:v>-6.1444986733411467E-4</c:v>
                </c:pt>
                <c:pt idx="5" formatCode="General">
                  <c:v>-3.1816304968268396E-4</c:v>
                </c:pt>
                <c:pt idx="6" formatCode="General">
                  <c:v>-6.1444986733411467E-4</c:v>
                </c:pt>
                <c:pt idx="7" formatCode="General">
                  <c:v>-3.1816304968268396E-4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D-4435-92EF-B85984A4F3EB}"/>
            </c:ext>
          </c:extLst>
        </c:ser>
        <c:ser>
          <c:idx val="4"/>
          <c:order val="4"/>
          <c:tx>
            <c:strRef>
              <c:f>Figures_transport!$A$24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Figures_transport!$B$24:$I$24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D-4435-92EF-B85984A4F3EB}"/>
            </c:ext>
          </c:extLst>
        </c:ser>
        <c:ser>
          <c:idx val="5"/>
          <c:order val="5"/>
          <c:tx>
            <c:strRef>
              <c:f>Figures_transport!$A$25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Figures_transport!$B$25:$I$25</c:f>
              <c:numCache>
                <c:formatCode>General</c:formatCode>
                <c:ptCount val="8"/>
                <c:pt idx="2">
                  <c:v>4.3575177867047175E-4</c:v>
                </c:pt>
                <c:pt idx="3">
                  <c:v>5.0297485870563373E-4</c:v>
                </c:pt>
                <c:pt idx="4">
                  <c:v>6.3197861038764738E-4</c:v>
                </c:pt>
                <c:pt idx="5">
                  <c:v>6.9920169042280941E-4</c:v>
                </c:pt>
                <c:pt idx="6">
                  <c:v>4.1647733163269646E-4</c:v>
                </c:pt>
                <c:pt idx="7">
                  <c:v>4.8370041166785849E-4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AD-4435-92EF-B85984A4F3EB}"/>
            </c:ext>
          </c:extLst>
        </c:ser>
        <c:ser>
          <c:idx val="6"/>
          <c:order val="6"/>
          <c:tx>
            <c:strRef>
              <c:f>Figures_transport!$A$26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Figures_transport!$B$26:$I$26</c:f>
              <c:numCache>
                <c:formatCode>General</c:formatCode>
                <c:ptCount val="8"/>
                <c:pt idx="2">
                  <c:v>-1.4519731357361082E-3</c:v>
                </c:pt>
                <c:pt idx="3">
                  <c:v>-1.4519731357361082E-3</c:v>
                </c:pt>
                <c:pt idx="6">
                  <c:v>-2.6040822543093238E-3</c:v>
                </c:pt>
                <c:pt idx="7">
                  <c:v>-2.6040822543093238E-3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AD-4435-92EF-B85984A4F3EB}"/>
            </c:ext>
          </c:extLst>
        </c:ser>
        <c:ser>
          <c:idx val="7"/>
          <c:order val="7"/>
          <c:tx>
            <c:strRef>
              <c:f>Figures_transport!$A$27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Figures_transport!$B$27:$I$27</c:f>
              <c:numCache>
                <c:formatCode>General</c:formatCode>
                <c:ptCount val="8"/>
                <c:pt idx="4">
                  <c:v>-2.4027762933581335E-3</c:v>
                </c:pt>
                <c:pt idx="5">
                  <c:v>-2.4027762933581335E-3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AD-4435-92EF-B85984A4F3EB}"/>
            </c:ext>
          </c:extLst>
        </c:ser>
        <c:ser>
          <c:idx val="8"/>
          <c:order val="8"/>
          <c:tx>
            <c:strRef>
              <c:f>Figures_transport!$A$28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Figures_transport!$B$28:$I$28</c:f>
              <c:numCache>
                <c:formatCode>General</c:formatCode>
                <c:ptCount val="8"/>
                <c:pt idx="2">
                  <c:v>-2.9767632713422133E-3</c:v>
                </c:pt>
                <c:pt idx="3">
                  <c:v>-2.9767632713422133E-3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AD-4435-92EF-B85984A4F3EB}"/>
            </c:ext>
          </c:extLst>
        </c:ser>
        <c:ser>
          <c:idx val="9"/>
          <c:order val="9"/>
          <c:tx>
            <c:strRef>
              <c:f>Figures_transport!$A$29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Figures_transport!$B$29:$I$29</c:f>
              <c:numCache>
                <c:formatCode>General</c:formatCode>
                <c:ptCount val="8"/>
                <c:pt idx="1">
                  <c:v>8.7834481906373191E-5</c:v>
                </c:pt>
                <c:pt idx="2">
                  <c:v>1.1978609910258791E-4</c:v>
                </c:pt>
                <c:pt idx="3">
                  <c:v>8.4941595027887272E-5</c:v>
                </c:pt>
                <c:pt idx="4">
                  <c:v>9.9406029420316813E-5</c:v>
                </c:pt>
                <c:pt idx="5">
                  <c:v>1.1978609910258791E-4</c:v>
                </c:pt>
                <c:pt idx="6">
                  <c:v>1.1978609910258791E-4</c:v>
                </c:pt>
                <c:pt idx="7">
                  <c:v>1.1978609910258791E-4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6AD-4435-92EF-B85984A4F3EB}"/>
            </c:ext>
          </c:extLst>
        </c:ser>
        <c:ser>
          <c:idx val="10"/>
          <c:order val="10"/>
          <c:tx>
            <c:strRef>
              <c:f>Figures_transport!$A$30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Figures_transport!$B$30:$I$30</c:f>
              <c:numCache>
                <c:formatCode>General</c:formatCode>
                <c:ptCount val="8"/>
                <c:pt idx="1">
                  <c:v>5.2410502127091545E-4</c:v>
                </c:pt>
                <c:pt idx="2">
                  <c:v>4.8636763031772892E-4</c:v>
                </c:pt>
                <c:pt idx="3">
                  <c:v>5.2844435158864436E-4</c:v>
                </c:pt>
                <c:pt idx="4">
                  <c:v>5.8485564571911957E-4</c:v>
                </c:pt>
                <c:pt idx="5">
                  <c:v>4.8636763031772892E-4</c:v>
                </c:pt>
                <c:pt idx="6">
                  <c:v>4.8636763031772892E-4</c:v>
                </c:pt>
                <c:pt idx="7">
                  <c:v>4.8636763031772892E-4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6AD-4435-92EF-B85984A4F3EB}"/>
            </c:ext>
          </c:extLst>
        </c:ser>
        <c:ser>
          <c:idx val="12"/>
          <c:order val="11"/>
          <c:tx>
            <c:strRef>
              <c:f>Figures_transport!$A$32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Figures_transport!$B$32:$I$32</c:f>
              <c:numCache>
                <c:formatCode>General</c:formatCode>
                <c:ptCount val="8"/>
                <c:pt idx="1">
                  <c:v>3.5910907415876792E-4</c:v>
                </c:pt>
                <c:pt idx="2">
                  <c:v>-3.6363692845436282E-3</c:v>
                </c:pt>
                <c:pt idx="3">
                  <c:v>-4.1292270403075993E-3</c:v>
                </c:pt>
                <c:pt idx="4">
                  <c:v>-1.4345624087885357E-3</c:v>
                </c:pt>
                <c:pt idx="5">
                  <c:v>-1.8721955907955354E-3</c:v>
                </c:pt>
                <c:pt idx="6">
                  <c:v>-1.8309895788124061E-3</c:v>
                </c:pt>
                <c:pt idx="7">
                  <c:v>-2.2890028305016766E-3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6AD-4435-92EF-B85984A4F3EB}"/>
            </c:ext>
          </c:extLst>
        </c:ser>
        <c:ser>
          <c:idx val="13"/>
          <c:order val="12"/>
          <c:tx>
            <c:strRef>
              <c:f>Figures_transport!$A$33</c:f>
              <c:strCache>
                <c:ptCount val="1"/>
                <c:pt idx="0">
                  <c:v>Total max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Figures_transport!$B$19:$I$19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Figures_transport!$B$33:$I$33</c:f>
              <c:numCache>
                <c:formatCode>0.00E+00</c:formatCode>
                <c:ptCount val="8"/>
                <c:pt idx="0">
                  <c:v>1.6703339373864607E-4</c:v>
                </c:pt>
                <c:pt idx="1">
                  <c:v>8.8321409542968337E-4</c:v>
                </c:pt>
                <c:pt idx="2">
                  <c:v>-3.1500016542258995E-3</c:v>
                </c:pt>
                <c:pt idx="3">
                  <c:v>-3.6007826887189546E-3</c:v>
                </c:pt>
                <c:pt idx="4">
                  <c:v>-8.4970676306941623E-4</c:v>
                </c:pt>
                <c:pt idx="5">
                  <c:v>-1.3858279604778065E-3</c:v>
                </c:pt>
                <c:pt idx="6">
                  <c:v>-1.3446219484946772E-3</c:v>
                </c:pt>
                <c:pt idx="7">
                  <c:v>-1.8026352001839477E-3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6AD-4435-92EF-B85984A4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Carbon footprint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Figures_transport!$A$37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Figures_transport!$B$37:$I$37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F-473E-BF28-035AA89A6963}"/>
            </c:ext>
          </c:extLst>
        </c:ser>
        <c:ser>
          <c:idx val="1"/>
          <c:order val="1"/>
          <c:tx>
            <c:strRef>
              <c:f>Figures_transport!$A$38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Figures_transport!$B$38:$I$38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F-473E-BF28-035AA89A6963}"/>
            </c:ext>
          </c:extLst>
        </c:ser>
        <c:ser>
          <c:idx val="2"/>
          <c:order val="2"/>
          <c:tx>
            <c:strRef>
              <c:f>Figures_transport!$A$39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Figures_transport!$B$39:$I$39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F-473E-BF28-035AA89A6963}"/>
            </c:ext>
          </c:extLst>
        </c:ser>
        <c:ser>
          <c:idx val="3"/>
          <c:order val="3"/>
          <c:tx>
            <c:strRef>
              <c:f>Figures_transport!$A$40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Figures_transport!$B$40:$I$40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DF-473E-BF28-035AA89A6963}"/>
            </c:ext>
          </c:extLst>
        </c:ser>
        <c:ser>
          <c:idx val="4"/>
          <c:order val="4"/>
          <c:tx>
            <c:strRef>
              <c:f>Figures_transport!$A$41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Figures_transport!$B$41:$I$41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DF-473E-BF28-035AA89A6963}"/>
            </c:ext>
          </c:extLst>
        </c:ser>
        <c:ser>
          <c:idx val="5"/>
          <c:order val="5"/>
          <c:tx>
            <c:strRef>
              <c:f>Figures_transport!$A$42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Figures_transport!$B$42:$I$42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DF-473E-BF28-035AA89A6963}"/>
            </c:ext>
          </c:extLst>
        </c:ser>
        <c:ser>
          <c:idx val="6"/>
          <c:order val="6"/>
          <c:tx>
            <c:strRef>
              <c:f>Figures_transport!$A$43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Figures_transport!$B$43:$I$43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DF-473E-BF28-035AA89A6963}"/>
            </c:ext>
          </c:extLst>
        </c:ser>
        <c:ser>
          <c:idx val="7"/>
          <c:order val="7"/>
          <c:tx>
            <c:strRef>
              <c:f>Figures_transport!$A$44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Figures_transport!$B$44:$I$44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DF-473E-BF28-035AA89A6963}"/>
            </c:ext>
          </c:extLst>
        </c:ser>
        <c:ser>
          <c:idx val="8"/>
          <c:order val="8"/>
          <c:tx>
            <c:strRef>
              <c:f>Figures_transport!$A$45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Figures_transport!$B$45:$I$45</c:f>
              <c:numCache>
                <c:formatCode>General</c:formatCode>
                <c:ptCount val="8"/>
                <c:pt idx="2">
                  <c:v>-434.30973512854933</c:v>
                </c:pt>
                <c:pt idx="3">
                  <c:v>-434.30973512854933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DF-473E-BF28-035AA89A6963}"/>
            </c:ext>
          </c:extLst>
        </c:ser>
        <c:ser>
          <c:idx val="9"/>
          <c:order val="9"/>
          <c:tx>
            <c:strRef>
              <c:f>Figures_transport!$A$46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Figures_transport!$B$46:$I$46</c:f>
              <c:numCache>
                <c:formatCode>General</c:formatCode>
                <c:ptCount val="8"/>
                <c:pt idx="1">
                  <c:v>11.182</c:v>
                </c:pt>
                <c:pt idx="2">
                  <c:v>15.137029999999999</c:v>
                </c:pt>
                <c:pt idx="3">
                  <c:v>10.7113</c:v>
                </c:pt>
                <c:pt idx="4">
                  <c:v>13.0648</c:v>
                </c:pt>
                <c:pt idx="5">
                  <c:v>15.137029999999999</c:v>
                </c:pt>
                <c:pt idx="6">
                  <c:v>15.137029999999999</c:v>
                </c:pt>
                <c:pt idx="7">
                  <c:v>15.137029999999999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DF-473E-BF28-035AA89A6963}"/>
            </c:ext>
          </c:extLst>
        </c:ser>
        <c:ser>
          <c:idx val="10"/>
          <c:order val="10"/>
          <c:tx>
            <c:strRef>
              <c:f>Figures_transport!$A$47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Figures_transport!$B$47:$I$47</c:f>
              <c:numCache>
                <c:formatCode>General</c:formatCode>
                <c:ptCount val="8"/>
                <c:pt idx="1">
                  <c:v>59.778940000000006</c:v>
                </c:pt>
                <c:pt idx="2">
                  <c:v>54.882510000000011</c:v>
                </c:pt>
                <c:pt idx="3">
                  <c:v>60.484990000000003</c:v>
                </c:pt>
                <c:pt idx="4">
                  <c:v>69.663640000000001</c:v>
                </c:pt>
                <c:pt idx="5">
                  <c:v>54.882510000000011</c:v>
                </c:pt>
                <c:pt idx="6">
                  <c:v>54.882510000000011</c:v>
                </c:pt>
                <c:pt idx="7">
                  <c:v>54.882510000000011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lineChart>
        <c:grouping val="standard"/>
        <c:varyColors val="0"/>
        <c:ser>
          <c:idx val="12"/>
          <c:order val="11"/>
          <c:tx>
            <c:strRef>
              <c:f>Figures_transport!$A$49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Figures_transport!$B$49:$I$49</c:f>
              <c:numCache>
                <c:formatCode>_(* #,##0.00_);_(* \(#,##0.00\);_(* "-"??_);_(@_)</c:formatCode>
                <c:ptCount val="8"/>
                <c:pt idx="1">
                  <c:v>55.593965310455047</c:v>
                </c:pt>
                <c:pt idx="2">
                  <c:v>-482.41683872978132</c:v>
                </c:pt>
                <c:pt idx="3">
                  <c:v>-487.68086300028546</c:v>
                </c:pt>
                <c:pt idx="4">
                  <c:v>-220.01313805598181</c:v>
                </c:pt>
                <c:pt idx="5">
                  <c:v>-218.77920232648592</c:v>
                </c:pt>
                <c:pt idx="6">
                  <c:v>-199.87713355130697</c:v>
                </c:pt>
                <c:pt idx="7">
                  <c:v>-220.73858937259078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EDF-473E-BF28-035AA89A6963}"/>
            </c:ext>
          </c:extLst>
        </c:ser>
        <c:ser>
          <c:idx val="13"/>
          <c:order val="12"/>
          <c:tx>
            <c:strRef>
              <c:f>Figures_transport!$A$50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Figures_transport!$B$36:$I$36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Figures_transport!$B$50:$I$50</c:f>
              <c:numCache>
                <c:formatCode>_(* #,##0.00_);_(* \(#,##0.00\);_(* "-"??_);_(@_)</c:formatCode>
                <c:ptCount val="8"/>
                <c:pt idx="0" formatCode="General">
                  <c:v>47.022432775933304</c:v>
                </c:pt>
                <c:pt idx="1">
                  <c:v>115.37290531045505</c:v>
                </c:pt>
                <c:pt idx="2">
                  <c:v>-427.53432872978129</c:v>
                </c:pt>
                <c:pt idx="3">
                  <c:v>-427.19587300028547</c:v>
                </c:pt>
                <c:pt idx="4">
                  <c:v>-150.3494980559818</c:v>
                </c:pt>
                <c:pt idx="5">
                  <c:v>-163.89669232648592</c:v>
                </c:pt>
                <c:pt idx="6">
                  <c:v>-144.99462355130697</c:v>
                </c:pt>
                <c:pt idx="7">
                  <c:v>-165.85607937259078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DF-473E-BF28-035AA89A6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920879"/>
        <c:axId val="1900889759"/>
      </c:line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4296169544012873E-2"/>
          <c:y val="4.6412067647223158E-2"/>
          <c:w val="0.94012861095353795"/>
          <c:h val="0.786752785463187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Figures_transport!$A$3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Figures_transport!$B$3:$I$3</c:f>
              <c:numCache>
                <c:formatCode>General</c:formatCode>
                <c:ptCount val="8"/>
                <c:pt idx="0">
                  <c:v>45.531422488575686</c:v>
                </c:pt>
                <c:pt idx="1">
                  <c:v>48.310093052891858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6-4A82-A0F2-988B03DAA104}"/>
            </c:ext>
          </c:extLst>
        </c:ser>
        <c:ser>
          <c:idx val="1"/>
          <c:order val="1"/>
          <c:tx>
            <c:strRef>
              <c:f>Figures_transport!$A$4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Figures_transport!$B$4:$I$4</c:f>
              <c:numCache>
                <c:formatCode>0.00E+00</c:formatCode>
                <c:ptCount val="8"/>
                <c:pt idx="0">
                  <c:v>20.965010453055651</c:v>
                </c:pt>
                <c:pt idx="1">
                  <c:v>36.498991748391838</c:v>
                </c:pt>
                <c:pt idx="2" formatCode="General">
                  <c:v>116.38436437632861</c:v>
                </c:pt>
                <c:pt idx="3" formatCode="General">
                  <c:v>8.3638888951952861</c:v>
                </c:pt>
                <c:pt idx="4" formatCode="General">
                  <c:v>116.38436437632861</c:v>
                </c:pt>
                <c:pt idx="5" formatCode="General">
                  <c:v>8.3638888951952861</c:v>
                </c:pt>
                <c:pt idx="6" formatCode="General">
                  <c:v>116.38436437632861</c:v>
                </c:pt>
                <c:pt idx="7" formatCode="General">
                  <c:v>8.3638888951952861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6-4A82-A0F2-988B03DAA104}"/>
            </c:ext>
          </c:extLst>
        </c:ser>
        <c:ser>
          <c:idx val="2"/>
          <c:order val="2"/>
          <c:tx>
            <c:strRef>
              <c:f>Figures_transport!$A$5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Figures_transport!$B$5:$I$5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56-4A82-A0F2-988B03DAA104}"/>
            </c:ext>
          </c:extLst>
        </c:ser>
        <c:ser>
          <c:idx val="3"/>
          <c:order val="3"/>
          <c:tx>
            <c:strRef>
              <c:f>Figures_transport!$A$6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Figures_transport!$B$6:$I$6</c:f>
              <c:numCache>
                <c:formatCode>0.00E+00</c:formatCode>
                <c:ptCount val="8"/>
                <c:pt idx="0" formatCode="General">
                  <c:v>-19.974080413455617</c:v>
                </c:pt>
                <c:pt idx="1">
                  <c:v>-15.663848493519279</c:v>
                </c:pt>
                <c:pt idx="2" formatCode="General">
                  <c:v>-61.814269599634287</c:v>
                </c:pt>
                <c:pt idx="3" formatCode="General">
                  <c:v>-30.827734611479176</c:v>
                </c:pt>
                <c:pt idx="4" formatCode="General">
                  <c:v>-61.814269599634287</c:v>
                </c:pt>
                <c:pt idx="5" formatCode="General">
                  <c:v>-30.827734611479176</c:v>
                </c:pt>
                <c:pt idx="6" formatCode="General">
                  <c:v>-61.814269599634287</c:v>
                </c:pt>
                <c:pt idx="7" formatCode="General">
                  <c:v>-30.827734611479176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56-4A82-A0F2-988B03DAA104}"/>
            </c:ext>
          </c:extLst>
        </c:ser>
        <c:ser>
          <c:idx val="4"/>
          <c:order val="4"/>
          <c:tx>
            <c:strRef>
              <c:f>Figures_transport!$A$7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Figures_transport!$B$7:$I$7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56-4A82-A0F2-988B03DAA104}"/>
            </c:ext>
          </c:extLst>
        </c:ser>
        <c:ser>
          <c:idx val="5"/>
          <c:order val="5"/>
          <c:tx>
            <c:strRef>
              <c:f>Figures_transport!$A$8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Figures_transport!$B$8:$I$8</c:f>
              <c:numCache>
                <c:formatCode>General</c:formatCode>
                <c:ptCount val="8"/>
                <c:pt idx="2">
                  <c:v>34.934198842188046</c:v>
                </c:pt>
                <c:pt idx="3">
                  <c:v>44.143274255280637</c:v>
                </c:pt>
                <c:pt idx="4">
                  <c:v>76.859354005042192</c:v>
                </c:pt>
                <c:pt idx="5">
                  <c:v>86.06842941813477</c:v>
                </c:pt>
                <c:pt idx="6">
                  <c:v>36.829284813246559</c:v>
                </c:pt>
                <c:pt idx="7">
                  <c:v>46.038360226339158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56-4A82-A0F2-988B03DAA104}"/>
            </c:ext>
          </c:extLst>
        </c:ser>
        <c:ser>
          <c:idx val="6"/>
          <c:order val="6"/>
          <c:tx>
            <c:strRef>
              <c:f>Figures_transport!$A$9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Figures_transport!$B$9:$I$9</c:f>
              <c:numCache>
                <c:formatCode>General</c:formatCode>
                <c:ptCount val="8"/>
                <c:pt idx="2">
                  <c:v>-150.38830813379255</c:v>
                </c:pt>
                <c:pt idx="3">
                  <c:v>-150.38830813379255</c:v>
                </c:pt>
                <c:pt idx="6">
                  <c:v>-269.71816132691049</c:v>
                </c:pt>
                <c:pt idx="7">
                  <c:v>-269.71816132691049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56-4A82-A0F2-988B03DAA104}"/>
            </c:ext>
          </c:extLst>
        </c:ser>
        <c:ser>
          <c:idx val="7"/>
          <c:order val="7"/>
          <c:tx>
            <c:strRef>
              <c:f>Figures_transport!$A$10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Figures_transport!$B$10:$I$10</c:f>
              <c:numCache>
                <c:formatCode>General</c:formatCode>
                <c:ptCount val="8"/>
                <c:pt idx="4">
                  <c:v>-244.20853827725693</c:v>
                </c:pt>
                <c:pt idx="5">
                  <c:v>-244.20853827725693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56-4A82-A0F2-988B03DAA104}"/>
            </c:ext>
          </c:extLst>
        </c:ser>
        <c:ser>
          <c:idx val="8"/>
          <c:order val="8"/>
          <c:tx>
            <c:strRef>
              <c:f>Figures_transport!$A$11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Figures_transport!$B$11:$I$11</c:f>
              <c:numCache>
                <c:formatCode>General</c:formatCode>
                <c:ptCount val="8"/>
                <c:pt idx="2">
                  <c:v>-304.42307828021836</c:v>
                </c:pt>
                <c:pt idx="3">
                  <c:v>-304.42307828021836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56-4A82-A0F2-988B03DAA104}"/>
            </c:ext>
          </c:extLst>
        </c:ser>
        <c:ser>
          <c:idx val="9"/>
          <c:order val="9"/>
          <c:tx>
            <c:strRef>
              <c:f>Figures_transport!$A$12</c:f>
              <c:strCache>
                <c:ptCount val="1"/>
                <c:pt idx="0">
                  <c:v>Transport + collecte (min)</c:v>
                </c:pt>
              </c:strCache>
            </c:strRef>
          </c:tx>
          <c:spPr>
            <a:pattFill prst="ltDnDiag">
              <a:fgClr>
                <a:schemeClr val="tx1"/>
              </a:fgClr>
              <a:bgClr>
                <a:schemeClr val="bg1"/>
              </a:bgClr>
            </a:pattFill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Figures_transport!$B$12:$I$12</c:f>
              <c:numCache>
                <c:formatCode>General</c:formatCode>
                <c:ptCount val="8"/>
                <c:pt idx="1">
                  <c:v>8.5686161087507493</c:v>
                </c:pt>
                <c:pt idx="2">
                  <c:v>11.65237169451485</c:v>
                </c:pt>
                <c:pt idx="3">
                  <c:v>8.25616987444511</c:v>
                </c:pt>
                <c:pt idx="4">
                  <c:v>9.8184010459733049</c:v>
                </c:pt>
                <c:pt idx="5">
                  <c:v>11.65237169451485</c:v>
                </c:pt>
                <c:pt idx="6">
                  <c:v>11.65237169451485</c:v>
                </c:pt>
                <c:pt idx="7">
                  <c:v>11.65237169451485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56-4A82-A0F2-988B03DAA104}"/>
            </c:ext>
          </c:extLst>
        </c:ser>
        <c:ser>
          <c:idx val="10"/>
          <c:order val="10"/>
          <c:tx>
            <c:strRef>
              <c:f>Figures_transport!$A$13</c:f>
              <c:strCache>
                <c:ptCount val="1"/>
                <c:pt idx="0">
                  <c:v>Transport + collecte (max)</c:v>
                </c:pt>
              </c:strCache>
            </c:strRef>
          </c:tx>
          <c:spPr>
            <a:noFill/>
            <a:ln>
              <a:solidFill>
                <a:srgbClr val="FF0000"/>
              </a:solidFill>
              <a:prstDash val="dash"/>
            </a:ln>
            <a:effectLst/>
          </c:spPr>
          <c:invertIfNegative val="0"/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Figures_transport!$B$13:$I$13</c:f>
              <c:numCache>
                <c:formatCode>General</c:formatCode>
                <c:ptCount val="8"/>
                <c:pt idx="1">
                  <c:v>49.078797405833825</c:v>
                </c:pt>
                <c:pt idx="2">
                  <c:v>45.370149351458451</c:v>
                </c:pt>
                <c:pt idx="3">
                  <c:v>49.547466757292284</c:v>
                </c:pt>
                <c:pt idx="4">
                  <c:v>55.640168326252251</c:v>
                </c:pt>
                <c:pt idx="5">
                  <c:v>45.370149351458451</c:v>
                </c:pt>
                <c:pt idx="6">
                  <c:v>45.370149351458451</c:v>
                </c:pt>
                <c:pt idx="7">
                  <c:v>45.370149351458451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9325296"/>
        <c:axId val="1470339584"/>
      </c:barChart>
      <c:lineChart>
        <c:grouping val="standard"/>
        <c:varyColors val="0"/>
        <c:ser>
          <c:idx val="12"/>
          <c:order val="11"/>
          <c:tx>
            <c:strRef>
              <c:f>Figures_transport!$A$15</c:f>
              <c:strCache>
                <c:ptCount val="1"/>
                <c:pt idx="0">
                  <c:v>Total 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Figures_transport!$B$15:$I$15</c:f>
              <c:numCache>
                <c:formatCode>General</c:formatCode>
                <c:ptCount val="8"/>
                <c:pt idx="1">
                  <c:v>77.713852416515152</c:v>
                </c:pt>
                <c:pt idx="2">
                  <c:v>-353.6547211006137</c:v>
                </c:pt>
                <c:pt idx="3">
                  <c:v>-424.87578800056906</c:v>
                </c:pt>
                <c:pt idx="4">
                  <c:v>-102.96068844954712</c:v>
                </c:pt>
                <c:pt idx="5">
                  <c:v>-168.95158288089121</c:v>
                </c:pt>
                <c:pt idx="6">
                  <c:v>-166.66641004245477</c:v>
                </c:pt>
                <c:pt idx="7">
                  <c:v>-234.49127512234037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F56-4A82-A0F2-988B03DAA104}"/>
            </c:ext>
          </c:extLst>
        </c:ser>
        <c:ser>
          <c:idx val="13"/>
          <c:order val="12"/>
          <c:tx>
            <c:strRef>
              <c:f>Figures_transport!$A$16</c:f>
              <c:strCache>
                <c:ptCount val="1"/>
                <c:pt idx="0">
                  <c:v>Total max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Figures_transport!$B$2:$I$2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Figures_transport!$B$16:$I$16</c:f>
              <c:numCache>
                <c:formatCode>General</c:formatCode>
                <c:ptCount val="8"/>
                <c:pt idx="0">
                  <c:v>46.522352528175723</c:v>
                </c:pt>
                <c:pt idx="1">
                  <c:v>126.79264982234898</c:v>
                </c:pt>
                <c:pt idx="2">
                  <c:v>-308.28457174915525</c:v>
                </c:pt>
                <c:pt idx="3">
                  <c:v>-375.32832124327678</c:v>
                </c:pt>
                <c:pt idx="4">
                  <c:v>-47.32052012329487</c:v>
                </c:pt>
                <c:pt idx="5">
                  <c:v>-123.58143352943276</c:v>
                </c:pt>
                <c:pt idx="6">
                  <c:v>-121.29626069099632</c:v>
                </c:pt>
                <c:pt idx="7">
                  <c:v>-189.12112577088192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56-4A82-A0F2-988B03DAA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325296"/>
        <c:axId val="1470339584"/>
      </c:lineChart>
      <c:catAx>
        <c:axId val="10693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0339584"/>
        <c:crosses val="autoZero"/>
        <c:auto val="1"/>
        <c:lblAlgn val="ctr"/>
        <c:lblOffset val="100"/>
        <c:noMultiLvlLbl val="0"/>
      </c:catAx>
      <c:valAx>
        <c:axId val="147033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6932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5</xdr:row>
      <xdr:rowOff>166687</xdr:rowOff>
    </xdr:from>
    <xdr:to>
      <xdr:col>14</xdr:col>
      <xdr:colOff>446087</xdr:colOff>
      <xdr:row>33</xdr:row>
      <xdr:rowOff>30161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C22BDA0-208E-4357-8D59-2AF353A1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121706</xdr:colOff>
      <xdr:row>1</xdr:row>
      <xdr:rowOff>104510</xdr:rowOff>
    </xdr:from>
    <xdr:to>
      <xdr:col>24</xdr:col>
      <xdr:colOff>130968</xdr:colOff>
      <xdr:row>35</xdr:row>
      <xdr:rowOff>21166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5F27C6-851C-4982-8302-AD13D700E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414865</xdr:colOff>
      <xdr:row>41</xdr:row>
      <xdr:rowOff>10582</xdr:rowOff>
    </xdr:from>
    <xdr:to>
      <xdr:col>32</xdr:col>
      <xdr:colOff>358772</xdr:colOff>
      <xdr:row>75</xdr:row>
      <xdr:rowOff>11640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287AA02-17C5-498E-BBA3-628C64D6D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ownloads/trans_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</sheetNames>
    <sheetDataSet>
      <sheetData sheetId="0">
        <row r="21">
          <cell r="B21">
            <v>13.0648</v>
          </cell>
          <cell r="C21">
            <v>9.9406029420316813E-5</v>
          </cell>
          <cell r="D21">
            <v>9.8184010459733049</v>
          </cell>
        </row>
        <row r="28">
          <cell r="B28">
            <v>71.196290000000005</v>
          </cell>
          <cell r="C28">
            <v>6.1338594661653162E-4</v>
          </cell>
          <cell r="D28">
            <v>57.803636631737398</v>
          </cell>
        </row>
        <row r="29">
          <cell r="B29">
            <v>82.728440000000006</v>
          </cell>
          <cell r="C29">
            <v>6.8426167513943635E-4</v>
          </cell>
          <cell r="D29">
            <v>65.458569372225554</v>
          </cell>
        </row>
        <row r="31">
          <cell r="B31">
            <v>70.960940000000008</v>
          </cell>
          <cell r="C31">
            <v>6.1193950317728861E-4</v>
          </cell>
          <cell r="D31">
            <v>57.647413514584578</v>
          </cell>
        </row>
        <row r="32">
          <cell r="B32">
            <v>70.019540000000006</v>
          </cell>
          <cell r="C32">
            <v>6.061537294203168E-4</v>
          </cell>
          <cell r="D32">
            <v>57.022521045973299</v>
          </cell>
        </row>
        <row r="64">
          <cell r="B64">
            <v>10.7113</v>
          </cell>
          <cell r="C64">
            <v>8.4941595027887272E-5</v>
          </cell>
          <cell r="D64">
            <v>8.25616987444511</v>
          </cell>
        </row>
        <row r="67">
          <cell r="B67">
            <v>11.182</v>
          </cell>
          <cell r="C67">
            <v>8.7834481906373191E-5</v>
          </cell>
          <cell r="D67">
            <v>8.5686161087507493</v>
          </cell>
        </row>
        <row r="103">
          <cell r="B103">
            <v>15.137029999999999</v>
          </cell>
          <cell r="C103">
            <v>1.1978609910258791E-4</v>
          </cell>
          <cell r="D103">
            <v>11.65237169451485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zoomScaleNormal="100" workbookViewId="0">
      <selection activeCell="C6" sqref="C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3.6020203114535199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0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304.00076217149723</v>
      </c>
      <c r="D44" s="115">
        <f t="shared" ref="D44:G44" si="5">SUM(D45:D49)</f>
        <v>21.223985174013251</v>
      </c>
      <c r="E44" s="115">
        <f t="shared" si="5"/>
        <v>5038.4835772662791</v>
      </c>
      <c r="F44" s="115">
        <f t="shared" si="5"/>
        <v>8.1480320563577716E-5</v>
      </c>
      <c r="G44" s="115">
        <f t="shared" si="5"/>
        <v>59.320980228096943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</v>
      </c>
      <c r="D48" s="114">
        <f>'LCIA_AD-b'!D46</f>
        <v>0</v>
      </c>
      <c r="E48" s="114">
        <f>'LCIA_AD-b'!E46</f>
        <v>0</v>
      </c>
      <c r="F48" s="114">
        <f>'LCIA_AD-b'!F46</f>
        <v>0</v>
      </c>
      <c r="G48" s="114">
        <f>'LCIA_AD-b'!G46</f>
        <v>0</v>
      </c>
    </row>
    <row r="49" spans="1:37" x14ac:dyDescent="0.35">
      <c r="A49" s="114"/>
      <c r="B49" s="114" t="s">
        <v>423</v>
      </c>
      <c r="C49" s="114">
        <f>'LCI_AD-f'!$E52*'IW+f'!C39</f>
        <v>274.12704844406284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37" x14ac:dyDescent="0.35">
      <c r="A50" s="114"/>
      <c r="B50" s="114"/>
      <c r="C50" s="114"/>
      <c r="D50" s="114"/>
      <c r="E50" s="114"/>
      <c r="F50" s="114"/>
      <c r="G50" s="114"/>
    </row>
    <row r="51" spans="1:37" x14ac:dyDescent="0.35">
      <c r="A51" s="113" t="s">
        <v>494</v>
      </c>
      <c r="B51" s="114"/>
      <c r="C51" s="115">
        <f>C5+C38-C44</f>
        <v>-235.87561937259079</v>
      </c>
      <c r="D51" s="115">
        <f t="shared" ref="D51:G51" si="6">D5+D38-D44</f>
        <v>-1.8919118898984735</v>
      </c>
      <c r="E51" s="115">
        <f t="shared" si="6"/>
        <v>-4402.7943106508756</v>
      </c>
      <c r="F51" s="115">
        <f t="shared" si="6"/>
        <v>7.180957356958384E-5</v>
      </c>
      <c r="G51" s="115">
        <f t="shared" si="6"/>
        <v>-43.406198052196487</v>
      </c>
    </row>
    <row r="55" spans="1:37" ht="72.5" x14ac:dyDescent="0.35">
      <c r="A55" s="141" t="s">
        <v>0</v>
      </c>
      <c r="B55" s="141"/>
      <c r="C55" s="138" t="s">
        <v>376</v>
      </c>
      <c r="D55" s="138" t="s">
        <v>377</v>
      </c>
      <c r="E55" s="138" t="s">
        <v>378</v>
      </c>
      <c r="F55" s="138" t="s">
        <v>379</v>
      </c>
      <c r="G55" s="138" t="s">
        <v>380</v>
      </c>
      <c r="H55" s="138" t="s">
        <v>361</v>
      </c>
      <c r="I55" s="138" t="s">
        <v>381</v>
      </c>
      <c r="J55" s="138" t="s">
        <v>382</v>
      </c>
      <c r="K55" s="138" t="s">
        <v>363</v>
      </c>
      <c r="L55" s="138" t="s">
        <v>383</v>
      </c>
      <c r="M55" s="138" t="s">
        <v>384</v>
      </c>
      <c r="N55" s="138" t="s">
        <v>385</v>
      </c>
      <c r="O55" s="138" t="s">
        <v>386</v>
      </c>
      <c r="P55" s="138" t="s">
        <v>387</v>
      </c>
      <c r="Q55" s="138" t="s">
        <v>388</v>
      </c>
      <c r="R55" s="138" t="s">
        <v>367</v>
      </c>
      <c r="S55" s="138" t="s">
        <v>368</v>
      </c>
      <c r="T55" s="138" t="s">
        <v>389</v>
      </c>
      <c r="U55" s="138" t="s">
        <v>390</v>
      </c>
      <c r="V55" s="138" t="s">
        <v>391</v>
      </c>
      <c r="W55" s="138" t="s">
        <v>392</v>
      </c>
      <c r="X55" s="138" t="s">
        <v>369</v>
      </c>
      <c r="Y55" s="138" t="s">
        <v>371</v>
      </c>
      <c r="Z55" s="138" t="s">
        <v>372</v>
      </c>
      <c r="AA55" s="138" t="s">
        <v>393</v>
      </c>
      <c r="AB55" s="138" t="s">
        <v>394</v>
      </c>
      <c r="AC55" s="138" t="s">
        <v>374</v>
      </c>
      <c r="AD55" s="138" t="s">
        <v>395</v>
      </c>
      <c r="AE55" s="138" t="s">
        <v>396</v>
      </c>
      <c r="AF55" s="138" t="s">
        <v>397</v>
      </c>
      <c r="AG55" s="138" t="s">
        <v>398</v>
      </c>
      <c r="AH55" s="138" t="s">
        <v>399</v>
      </c>
      <c r="AI55" s="138" t="s">
        <v>400</v>
      </c>
      <c r="AJ55" s="138" t="s">
        <v>401</v>
      </c>
      <c r="AK55" s="138" t="s">
        <v>402</v>
      </c>
    </row>
    <row r="56" spans="1:37" x14ac:dyDescent="0.35">
      <c r="A56" s="142" t="s">
        <v>6</v>
      </c>
      <c r="B56" s="137"/>
      <c r="C56" s="142">
        <f>SUM(C58:C88)</f>
        <v>12.326570121455244</v>
      </c>
      <c r="D56" s="142">
        <f t="shared" ref="D56:AK56" si="7">SUM(D58:D88)</f>
        <v>9.0324781706546666</v>
      </c>
      <c r="E56" s="142">
        <f t="shared" si="7"/>
        <v>1.6612484590120615E-4</v>
      </c>
      <c r="F56" s="142">
        <f t="shared" si="7"/>
        <v>1.2173050764583542E-4</v>
      </c>
      <c r="G56" s="142">
        <f t="shared" si="7"/>
        <v>2.9237341960524829E-17</v>
      </c>
      <c r="H56" s="142">
        <f t="shared" si="7"/>
        <v>0.93334933780264773</v>
      </c>
      <c r="I56" s="142">
        <f t="shared" si="7"/>
        <v>3.8151579070454211</v>
      </c>
      <c r="J56" s="142">
        <f t="shared" si="7"/>
        <v>0.33835236897584886</v>
      </c>
      <c r="K56" s="142">
        <f t="shared" si="7"/>
        <v>9.8447875327818679E-3</v>
      </c>
      <c r="L56" s="142">
        <f t="shared" si="7"/>
        <v>1.4080593815176949E-7</v>
      </c>
      <c r="M56" s="142">
        <f t="shared" si="7"/>
        <v>1.0980085479788829E-5</v>
      </c>
      <c r="N56" s="142">
        <f t="shared" si="7"/>
        <v>3.960050042017411E-6</v>
      </c>
      <c r="O56" s="142">
        <f t="shared" si="7"/>
        <v>2.2001474315386072E-5</v>
      </c>
      <c r="P56" s="142">
        <f t="shared" si="7"/>
        <v>1.6344255621173077E-8</v>
      </c>
      <c r="Q56" s="142">
        <f t="shared" si="7"/>
        <v>4.957867381830175E-7</v>
      </c>
      <c r="R56" s="142">
        <f t="shared" si="7"/>
        <v>1.4312941237064016</v>
      </c>
      <c r="S56" s="142">
        <f t="shared" si="7"/>
        <v>0.50126037551560787</v>
      </c>
      <c r="T56" s="142">
        <f t="shared" si="7"/>
        <v>2.6072390960869454</v>
      </c>
      <c r="U56" s="142">
        <f t="shared" si="7"/>
        <v>0.28302148269353233</v>
      </c>
      <c r="V56" s="142">
        <f t="shared" si="7"/>
        <v>1.5934744545484263E-5</v>
      </c>
      <c r="W56" s="142">
        <f t="shared" si="7"/>
        <v>8.4914164356987693E-6</v>
      </c>
      <c r="X56" s="142">
        <f t="shared" si="7"/>
        <v>0.34337479901318291</v>
      </c>
      <c r="Y56" s="142">
        <f t="shared" si="7"/>
        <v>1.146684479185386E-9</v>
      </c>
      <c r="Z56" s="142">
        <f t="shared" si="7"/>
        <v>1.4181752543044788E-4</v>
      </c>
      <c r="AA56" s="142">
        <f t="shared" si="7"/>
        <v>4.330946287371467</v>
      </c>
      <c r="AB56" s="142">
        <f t="shared" si="7"/>
        <v>4.4663151185554859E-7</v>
      </c>
      <c r="AC56" s="142">
        <f t="shared" si="7"/>
        <v>9.18521917701114</v>
      </c>
      <c r="AD56" s="142">
        <f t="shared" si="7"/>
        <v>0.58163372065181607</v>
      </c>
      <c r="AE56" s="142">
        <f t="shared" si="7"/>
        <v>0.30993669990300504</v>
      </c>
      <c r="AF56" s="142">
        <f t="shared" si="7"/>
        <v>8.1062262430383752E-3</v>
      </c>
      <c r="AG56" s="142">
        <f t="shared" si="7"/>
        <v>46.038360226339158</v>
      </c>
      <c r="AH56" s="142">
        <f t="shared" si="7"/>
        <v>4.8370041166785849E-4</v>
      </c>
      <c r="AI56" s="142">
        <f t="shared" si="7"/>
        <v>1.3100735872974184E-4</v>
      </c>
      <c r="AJ56" s="142">
        <f t="shared" si="7"/>
        <v>1.6001551980705001E-5</v>
      </c>
      <c r="AK56" s="142">
        <f t="shared" si="7"/>
        <v>4.2009481245155919E-4</v>
      </c>
    </row>
    <row r="57" spans="1:37" x14ac:dyDescent="0.35">
      <c r="A57" s="142" t="s">
        <v>5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7" x14ac:dyDescent="0.35">
      <c r="A58" s="137"/>
      <c r="B58" s="137" t="s">
        <v>249</v>
      </c>
      <c r="C58" s="137">
        <f>'LCIA_AD-e'!C48</f>
        <v>0.29375833601169027</v>
      </c>
      <c r="D58" s="137">
        <f>'LCIA_AD-e'!D48</f>
        <v>8.9990845888640369E-2</v>
      </c>
      <c r="E58" s="137">
        <f>'LCIA_AD-e'!E48</f>
        <v>3.9589730007048797E-6</v>
      </c>
      <c r="F58" s="137">
        <f>'LCIA_AD-e'!F48</f>
        <v>1.2128041505843192E-6</v>
      </c>
      <c r="G58" s="137">
        <f>'LCIA_AD-e'!G48</f>
        <v>9.0040097542142219E-20</v>
      </c>
      <c r="H58" s="137">
        <f>'LCIA_AD-e'!H48</f>
        <v>5.1931114803604956E-3</v>
      </c>
      <c r="I58" s="137">
        <f>'LCIA_AD-e'!I48</f>
        <v>0.24839018720173295</v>
      </c>
      <c r="J58" s="137">
        <f>'LCIA_AD-e'!J48</f>
        <v>1.234083364332369E-2</v>
      </c>
      <c r="K58" s="137">
        <f>'LCIA_AD-e'!K48</f>
        <v>2.1439753416220663E-5</v>
      </c>
      <c r="L58" s="137">
        <f>'LCIA_AD-e'!L48</f>
        <v>8.7015032149142414E-9</v>
      </c>
      <c r="M58" s="137">
        <f>'LCIA_AD-e'!M48</f>
        <v>1.6596905236710246E-7</v>
      </c>
      <c r="N58" s="137">
        <f>'LCIA_AD-e'!N48</f>
        <v>1.9676602640470916E-7</v>
      </c>
      <c r="O58" s="137">
        <f>'LCIA_AD-e'!O48</f>
        <v>1.0474046667854858E-7</v>
      </c>
      <c r="P58" s="137">
        <f>'LCIA_AD-e'!P48</f>
        <v>4.1389310905179983E-9</v>
      </c>
      <c r="Q58" s="137">
        <f>'LCIA_AD-e'!Q48</f>
        <v>1.2763337153218512E-7</v>
      </c>
      <c r="R58" s="137">
        <f>'LCIA_AD-e'!R48</f>
        <v>1.6534106080479432E-2</v>
      </c>
      <c r="S58" s="137">
        <f>'LCIA_AD-e'!S48</f>
        <v>1.1656841267618703E-2</v>
      </c>
      <c r="T58" s="137">
        <f>'LCIA_AD-e'!T48</f>
        <v>0.10249049260823448</v>
      </c>
      <c r="U58" s="137">
        <f>'LCIA_AD-e'!U48</f>
        <v>1.1125576504552512E-2</v>
      </c>
      <c r="V58" s="137">
        <f>'LCIA_AD-e'!V48</f>
        <v>9.6489525909131685E-7</v>
      </c>
      <c r="W58" s="137">
        <f>'LCIA_AD-e'!W48</f>
        <v>2.6554776215088471E-7</v>
      </c>
      <c r="X58" s="137">
        <f>'LCIA_AD-e'!X48</f>
        <v>6.7963986332143073E-4</v>
      </c>
      <c r="Y58" s="137">
        <f>'LCIA_AD-e'!Y48</f>
        <v>4.6233568878889853E-11</v>
      </c>
      <c r="Z58" s="137">
        <f>'LCIA_AD-e'!Z48</f>
        <v>3.7424948947123667E-7</v>
      </c>
      <c r="AA58" s="137">
        <f>'LCIA_AD-e'!AA48</f>
        <v>1.5755418847462184E-2</v>
      </c>
      <c r="AB58" s="137">
        <f>'LCIA_AD-e'!AB48</f>
        <v>1.5662117661554336E-9</v>
      </c>
      <c r="AC58" s="137">
        <f>'LCIA_AD-e'!AC48</f>
        <v>3.4269056902659287E-2</v>
      </c>
      <c r="AD58" s="137">
        <f>'LCIA_AD-e'!AD48</f>
        <v>3.5220034139757453E-2</v>
      </c>
      <c r="AE58" s="137">
        <f>'LCIA_AD-e'!AE48</f>
        <v>9.6924933185072934E-3</v>
      </c>
      <c r="AF58" s="137">
        <f>'LCIA_AD-e'!AF48</f>
        <v>1.9004186679781043E-3</v>
      </c>
      <c r="AG58" s="137">
        <f>'LCIA_AD-e'!AG48</f>
        <v>0.88904487549306932</v>
      </c>
      <c r="AH58" s="137">
        <f>'LCIA_AD-e'!AH48</f>
        <v>7.3843049600713193E-6</v>
      </c>
      <c r="AI58" s="137">
        <f>'LCIA_AD-e'!AI48</f>
        <v>1.0093591977195651E-5</v>
      </c>
      <c r="AJ58" s="137">
        <f>'LCIA_AD-e'!AJ48</f>
        <v>1.2328554537785757E-6</v>
      </c>
      <c r="AK58" s="137">
        <f>'LCIA_AD-e'!AK48</f>
        <v>1.4715139405635514E-5</v>
      </c>
    </row>
    <row r="59" spans="1:37" x14ac:dyDescent="0.35">
      <c r="A59" s="137"/>
      <c r="B59" s="137" t="s">
        <v>250</v>
      </c>
      <c r="C59" s="137">
        <f>'LCIA_AD-e'!C49</f>
        <v>0</v>
      </c>
      <c r="D59" s="137">
        <f>'LCIA_AD-e'!D49</f>
        <v>0</v>
      </c>
      <c r="E59" s="137">
        <f>'LCIA_AD-e'!E49</f>
        <v>0</v>
      </c>
      <c r="F59" s="137">
        <f>'LCIA_AD-e'!F49</f>
        <v>0</v>
      </c>
      <c r="G59" s="137">
        <f>'LCIA_AD-e'!G49</f>
        <v>0</v>
      </c>
      <c r="H59" s="137">
        <f>'LCIA_AD-e'!H49</f>
        <v>0</v>
      </c>
      <c r="I59" s="137">
        <f>'LCIA_AD-e'!I49</f>
        <v>0</v>
      </c>
      <c r="J59" s="137">
        <f>'LCIA_AD-e'!J49</f>
        <v>0</v>
      </c>
      <c r="K59" s="137">
        <f>'LCIA_AD-e'!K49</f>
        <v>0</v>
      </c>
      <c r="L59" s="137">
        <f>'LCIA_AD-e'!L49</f>
        <v>0</v>
      </c>
      <c r="M59" s="137">
        <f>'LCIA_AD-e'!M49</f>
        <v>0</v>
      </c>
      <c r="N59" s="137">
        <f>'LCIA_AD-e'!N49</f>
        <v>0</v>
      </c>
      <c r="O59" s="137">
        <f>'LCIA_AD-e'!O49</f>
        <v>0</v>
      </c>
      <c r="P59" s="137">
        <f>'LCIA_AD-e'!P49</f>
        <v>0</v>
      </c>
      <c r="Q59" s="137">
        <f>'LCIA_AD-e'!Q49</f>
        <v>0</v>
      </c>
      <c r="R59" s="137">
        <f>'LCIA_AD-e'!R49</f>
        <v>0</v>
      </c>
      <c r="S59" s="137">
        <f>'LCIA_AD-e'!S49</f>
        <v>0</v>
      </c>
      <c r="T59" s="137">
        <f>'LCIA_AD-e'!T49</f>
        <v>0</v>
      </c>
      <c r="U59" s="137">
        <f>'LCIA_AD-e'!U49</f>
        <v>0</v>
      </c>
      <c r="V59" s="137">
        <f>'LCIA_AD-e'!V49</f>
        <v>0</v>
      </c>
      <c r="W59" s="137">
        <f>'LCIA_AD-e'!W49</f>
        <v>0</v>
      </c>
      <c r="X59" s="137">
        <f>'LCIA_AD-e'!X49</f>
        <v>0</v>
      </c>
      <c r="Y59" s="137">
        <f>'LCIA_AD-e'!Y49</f>
        <v>0</v>
      </c>
      <c r="Z59" s="137">
        <f>'LCIA_AD-e'!Z49</f>
        <v>0</v>
      </c>
      <c r="AA59" s="137">
        <f>'LCIA_AD-e'!AA49</f>
        <v>0</v>
      </c>
      <c r="AB59" s="137">
        <f>'LCIA_AD-e'!AB49</f>
        <v>0</v>
      </c>
      <c r="AC59" s="137">
        <f>'LCIA_AD-e'!AC49</f>
        <v>0</v>
      </c>
      <c r="AD59" s="137">
        <f>'LCIA_AD-e'!AD49</f>
        <v>0</v>
      </c>
      <c r="AE59" s="137">
        <f>'LCIA_AD-e'!AE49</f>
        <v>0</v>
      </c>
      <c r="AF59" s="137">
        <f>'LCIA_AD-e'!AF49</f>
        <v>0</v>
      </c>
      <c r="AG59" s="137">
        <f>'LCIA_AD-e'!AG49</f>
        <v>0</v>
      </c>
      <c r="AH59" s="137">
        <f>'LCIA_AD-e'!AH49</f>
        <v>0</v>
      </c>
      <c r="AI59" s="137">
        <f>'LCIA_AD-e'!AI49</f>
        <v>0</v>
      </c>
      <c r="AJ59" s="137">
        <f>'LCIA_AD-e'!AJ49</f>
        <v>0</v>
      </c>
      <c r="AK59" s="137">
        <f>'LCIA_AD-e'!AK49</f>
        <v>0</v>
      </c>
    </row>
    <row r="60" spans="1:37" x14ac:dyDescent="0.35">
      <c r="A60" s="143" t="s">
        <v>235</v>
      </c>
      <c r="B60" s="137"/>
      <c r="C60" s="137">
        <f>'LCIA_AD-e'!C50</f>
        <v>0</v>
      </c>
      <c r="D60" s="137">
        <f>'LCIA_AD-e'!D50</f>
        <v>0</v>
      </c>
      <c r="E60" s="137">
        <f>'LCIA_AD-e'!E50</f>
        <v>0</v>
      </c>
      <c r="F60" s="137">
        <f>'LCIA_AD-e'!F50</f>
        <v>0</v>
      </c>
      <c r="G60" s="137">
        <f>'LCIA_AD-e'!G50</f>
        <v>0</v>
      </c>
      <c r="H60" s="137">
        <f>'LCIA_AD-e'!H50</f>
        <v>0</v>
      </c>
      <c r="I60" s="137">
        <f>'LCIA_AD-e'!I50</f>
        <v>0</v>
      </c>
      <c r="J60" s="137">
        <f>'LCIA_AD-e'!J50</f>
        <v>0</v>
      </c>
      <c r="K60" s="137">
        <f>'LCIA_AD-e'!K50</f>
        <v>0</v>
      </c>
      <c r="L60" s="137">
        <f>'LCIA_AD-e'!L50</f>
        <v>0</v>
      </c>
      <c r="M60" s="137">
        <f>'LCIA_AD-e'!M50</f>
        <v>0</v>
      </c>
      <c r="N60" s="137">
        <f>'LCIA_AD-e'!N50</f>
        <v>0</v>
      </c>
      <c r="O60" s="137">
        <f>'LCIA_AD-e'!O50</f>
        <v>0</v>
      </c>
      <c r="P60" s="137">
        <f>'LCIA_AD-e'!P50</f>
        <v>0</v>
      </c>
      <c r="Q60" s="137">
        <f>'LCIA_AD-e'!Q50</f>
        <v>0</v>
      </c>
      <c r="R60" s="137">
        <f>'LCIA_AD-e'!R50</f>
        <v>0</v>
      </c>
      <c r="S60" s="137">
        <f>'LCIA_AD-e'!S50</f>
        <v>0</v>
      </c>
      <c r="T60" s="137">
        <f>'LCIA_AD-e'!T50</f>
        <v>0</v>
      </c>
      <c r="U60" s="137">
        <f>'LCIA_AD-e'!U50</f>
        <v>0</v>
      </c>
      <c r="V60" s="137">
        <f>'LCIA_AD-e'!V50</f>
        <v>0</v>
      </c>
      <c r="W60" s="137">
        <f>'LCIA_AD-e'!W50</f>
        <v>0</v>
      </c>
      <c r="X60" s="137">
        <f>'LCIA_AD-e'!X50</f>
        <v>0</v>
      </c>
      <c r="Y60" s="137">
        <f>'LCIA_AD-e'!Y50</f>
        <v>0</v>
      </c>
      <c r="Z60" s="137">
        <f>'LCIA_AD-e'!Z50</f>
        <v>0</v>
      </c>
      <c r="AA60" s="137">
        <f>'LCIA_AD-e'!AA50</f>
        <v>0</v>
      </c>
      <c r="AB60" s="137">
        <f>'LCIA_AD-e'!AB50</f>
        <v>0</v>
      </c>
      <c r="AC60" s="137">
        <f>'LCIA_AD-e'!AC50</f>
        <v>0</v>
      </c>
      <c r="AD60" s="137">
        <f>'LCIA_AD-e'!AD50</f>
        <v>0</v>
      </c>
      <c r="AE60" s="137">
        <f>'LCIA_AD-e'!AE50</f>
        <v>0</v>
      </c>
      <c r="AF60" s="137">
        <f>'LCIA_AD-e'!AF50</f>
        <v>0</v>
      </c>
      <c r="AG60" s="137">
        <f>'LCIA_AD-e'!AG50</f>
        <v>0</v>
      </c>
      <c r="AH60" s="137">
        <f>'LCIA_AD-e'!AH50</f>
        <v>0</v>
      </c>
      <c r="AI60" s="137">
        <f>'LCIA_AD-e'!AI50</f>
        <v>0</v>
      </c>
      <c r="AJ60" s="137">
        <f>'LCIA_AD-e'!AJ50</f>
        <v>0</v>
      </c>
      <c r="AK60" s="137">
        <f>'LCIA_AD-e'!AK50</f>
        <v>0</v>
      </c>
    </row>
    <row r="61" spans="1:37" x14ac:dyDescent="0.35">
      <c r="A61" s="137"/>
      <c r="B61" s="137" t="s">
        <v>286</v>
      </c>
      <c r="C61" s="137">
        <f>'LCIA_AD-e'!C51</f>
        <v>0.1642293381452089</v>
      </c>
      <c r="D61" s="137">
        <f>'LCIA_AD-e'!D51</f>
        <v>5.0160114465116465E-2</v>
      </c>
      <c r="E61" s="137">
        <f>'LCIA_AD-e'!E51</f>
        <v>2.2133142652831479E-6</v>
      </c>
      <c r="F61" s="137">
        <f>'LCIA_AD-e'!F51</f>
        <v>6.7600648061868024E-7</v>
      </c>
      <c r="G61" s="137">
        <f>'LCIA_AD-e'!G51</f>
        <v>3.4259653114390555E-19</v>
      </c>
      <c r="H61" s="137">
        <f>'LCIA_AD-e'!H51</f>
        <v>1.9088748614477355E-3</v>
      </c>
      <c r="I61" s="137">
        <f>'LCIA_AD-e'!I51</f>
        <v>2.1165975185515697E-2</v>
      </c>
      <c r="J61" s="137">
        <f>'LCIA_AD-e'!J51</f>
        <v>7.7842440064621963E-3</v>
      </c>
      <c r="K61" s="137">
        <f>'LCIA_AD-e'!K51</f>
        <v>1.2090234903629117E-5</v>
      </c>
      <c r="L61" s="137">
        <f>'LCIA_AD-e'!L51</f>
        <v>1.3807900143766815E-9</v>
      </c>
      <c r="M61" s="137">
        <f>'LCIA_AD-e'!M51</f>
        <v>7.8521018154124293E-8</v>
      </c>
      <c r="N61" s="137">
        <f>'LCIA_AD-e'!N51</f>
        <v>5.1916740498462542E-8</v>
      </c>
      <c r="O61" s="137">
        <f>'LCIA_AD-e'!O51</f>
        <v>3.4957298081958831E-8</v>
      </c>
      <c r="P61" s="137">
        <f>'LCIA_AD-e'!P51</f>
        <v>1.6087202212299374E-11</v>
      </c>
      <c r="Q61" s="137">
        <f>'LCIA_AD-e'!Q51</f>
        <v>1.9821700798180701E-10</v>
      </c>
      <c r="R61" s="137">
        <f>'LCIA_AD-e'!R51</f>
        <v>9.3882236600461508E-3</v>
      </c>
      <c r="S61" s="137">
        <f>'LCIA_AD-e'!S51</f>
        <v>1.0847515163367839E-2</v>
      </c>
      <c r="T61" s="137">
        <f>'LCIA_AD-e'!T51</f>
        <v>5.9340583237830792E-2</v>
      </c>
      <c r="U61" s="137">
        <f>'LCIA_AD-e'!U51</f>
        <v>6.4415394809225063E-3</v>
      </c>
      <c r="V61" s="137">
        <f>'LCIA_AD-e'!V51</f>
        <v>2.2361093064658549E-8</v>
      </c>
      <c r="W61" s="137">
        <f>'LCIA_AD-e'!W51</f>
        <v>1.8378519819012135E-8</v>
      </c>
      <c r="X61" s="137">
        <f>'LCIA_AD-e'!X51</f>
        <v>4.9087972213900696E-4</v>
      </c>
      <c r="Y61" s="137">
        <f>'LCIA_AD-e'!Y51</f>
        <v>1.4130656214684504E-11</v>
      </c>
      <c r="Z61" s="137">
        <f>'LCIA_AD-e'!Z51</f>
        <v>2.3089230034193365E-7</v>
      </c>
      <c r="AA61" s="137">
        <f>'LCIA_AD-e'!AA51</f>
        <v>1.24610140420619E-2</v>
      </c>
      <c r="AB61" s="137">
        <f>'LCIA_AD-e'!AB51</f>
        <v>1.2166988717580699E-9</v>
      </c>
      <c r="AC61" s="137">
        <f>'LCIA_AD-e'!AC51</f>
        <v>1.357355809150523E-2</v>
      </c>
      <c r="AD61" s="137">
        <f>'LCIA_AD-e'!AD51</f>
        <v>8.1619861313748173E-4</v>
      </c>
      <c r="AE61" s="137">
        <f>'LCIA_AD-e'!AE51</f>
        <v>6.7081597339394266E-4</v>
      </c>
      <c r="AF61" s="137">
        <f>'LCIA_AD-e'!AF51</f>
        <v>1.5428172135718716E-5</v>
      </c>
      <c r="AG61" s="137">
        <f>'LCIA_AD-e'!AG51</f>
        <v>0.35931316945148462</v>
      </c>
      <c r="AH61" s="137">
        <f>'LCIA_AD-e'!AH51</f>
        <v>3.3268199102587953E-6</v>
      </c>
      <c r="AI61" s="137">
        <f>'LCIA_AD-e'!AI51</f>
        <v>3.14403300469906E-7</v>
      </c>
      <c r="AJ61" s="137">
        <f>'LCIA_AD-e'!AJ51</f>
        <v>3.8401970730154165E-8</v>
      </c>
      <c r="AK61" s="137">
        <f>'LCIA_AD-e'!AK51</f>
        <v>6.4212372885133327E-6</v>
      </c>
    </row>
    <row r="62" spans="1:37" x14ac:dyDescent="0.35">
      <c r="A62" s="137"/>
      <c r="B62" s="137" t="s">
        <v>235</v>
      </c>
      <c r="C62" s="137">
        <f>'LCIA_AD-e'!C52</f>
        <v>2.8461745710597834</v>
      </c>
      <c r="D62" s="137">
        <f>'LCIA_AD-e'!D52</f>
        <v>1.1214611679069222</v>
      </c>
      <c r="E62" s="137">
        <f>'LCIA_AD-e'!E52</f>
        <v>3.8357816275450525E-5</v>
      </c>
      <c r="F62" s="137">
        <f>'LCIA_AD-e'!F52</f>
        <v>1.5113901261020833E-5</v>
      </c>
      <c r="G62" s="137">
        <f>'LCIA_AD-e'!G52</f>
        <v>1.3417014761931066E-18</v>
      </c>
      <c r="H62" s="137">
        <f>'LCIA_AD-e'!H52</f>
        <v>7.0661974280644954E-2</v>
      </c>
      <c r="I62" s="137">
        <f>'LCIA_AD-e'!I52</f>
        <v>0.93416719125512804</v>
      </c>
      <c r="J62" s="137">
        <f>'LCIA_AD-e'!J52</f>
        <v>0.11947233209536294</v>
      </c>
      <c r="K62" s="137">
        <f>'LCIA_AD-e'!K52</f>
        <v>5.8252778621848689E-3</v>
      </c>
      <c r="L62" s="137">
        <f>'LCIA_AD-e'!L52</f>
        <v>7.543227881230801E-8</v>
      </c>
      <c r="M62" s="137">
        <f>'LCIA_AD-e'!M52</f>
        <v>9.2358423028085057E-6</v>
      </c>
      <c r="N62" s="137">
        <f>'LCIA_AD-e'!N52</f>
        <v>2.0141902382323624E-6</v>
      </c>
      <c r="O62" s="137">
        <f>'LCIA_AD-e'!O52</f>
        <v>2.073338334217323E-5</v>
      </c>
      <c r="P62" s="137">
        <f>'LCIA_AD-e'!P52</f>
        <v>1.6721138820675336E-10</v>
      </c>
      <c r="Q62" s="137">
        <f>'LCIA_AD-e'!Q52</f>
        <v>2.5414819458518307E-9</v>
      </c>
      <c r="R62" s="137">
        <f>'LCIA_AD-e'!R52</f>
        <v>0.10325709629067527</v>
      </c>
      <c r="S62" s="137">
        <f>'LCIA_AD-e'!S52</f>
        <v>0.20192306813671582</v>
      </c>
      <c r="T62" s="137">
        <f>'LCIA_AD-e'!T52</f>
        <v>0.81381304343515604</v>
      </c>
      <c r="U62" s="137">
        <f>'LCIA_AD-e'!U52</f>
        <v>8.8340903369667073E-2</v>
      </c>
      <c r="V62" s="137">
        <f>'LCIA_AD-e'!V52</f>
        <v>4.1790110398157114E-7</v>
      </c>
      <c r="W62" s="137">
        <f>'LCIA_AD-e'!W52</f>
        <v>9.1166986820938597E-7</v>
      </c>
      <c r="X62" s="137">
        <f>'LCIA_AD-e'!X52</f>
        <v>3.6914893888666471E-2</v>
      </c>
      <c r="Y62" s="137">
        <f>'LCIA_AD-e'!Y52</f>
        <v>3.4271490621614475E-10</v>
      </c>
      <c r="Z62" s="137">
        <f>'LCIA_AD-e'!Z52</f>
        <v>8.8111435597395313E-6</v>
      </c>
      <c r="AA62" s="137">
        <f>'LCIA_AD-e'!AA52</f>
        <v>0.52310036021523809</v>
      </c>
      <c r="AB62" s="137">
        <f>'LCIA_AD-e'!AB52</f>
        <v>5.3982752056258097E-8</v>
      </c>
      <c r="AC62" s="137">
        <f>'LCIA_AD-e'!AC52</f>
        <v>0.52930584039175488</v>
      </c>
      <c r="AD62" s="137">
        <f>'LCIA_AD-e'!AD52</f>
        <v>1.5262636374080941E-2</v>
      </c>
      <c r="AE62" s="137">
        <f>'LCIA_AD-e'!AE52</f>
        <v>3.3275950189642592E-2</v>
      </c>
      <c r="AF62" s="137">
        <f>'LCIA_AD-e'!AF52</f>
        <v>3.8173633035694057E-4</v>
      </c>
      <c r="AG62" s="137">
        <f>'LCIA_AD-e'!AG52</f>
        <v>7.4436332210323055</v>
      </c>
      <c r="AH62" s="137">
        <f>'LCIA_AD-e'!AH52</f>
        <v>1.04168902179637E-4</v>
      </c>
      <c r="AI62" s="137">
        <f>'LCIA_AD-e'!AI52</f>
        <v>7.999127841649449E-5</v>
      </c>
      <c r="AJ62" s="137">
        <f>'LCIA_AD-e'!AJ52</f>
        <v>9.7703259724914291E-6</v>
      </c>
      <c r="AK62" s="137">
        <f>'LCIA_AD-e'!AK52</f>
        <v>2.1385693372968594E-4</v>
      </c>
    </row>
    <row r="63" spans="1:37" x14ac:dyDescent="0.35">
      <c r="A63" s="143" t="s">
        <v>6</v>
      </c>
      <c r="B63" s="137"/>
      <c r="C63" s="137">
        <f>'LCIA_AD-e'!C53</f>
        <v>0</v>
      </c>
      <c r="D63" s="137">
        <f>'LCIA_AD-e'!D53</f>
        <v>0</v>
      </c>
      <c r="E63" s="137">
        <f>'LCIA_AD-e'!E53</f>
        <v>0</v>
      </c>
      <c r="F63" s="137">
        <f>'LCIA_AD-e'!F53</f>
        <v>0</v>
      </c>
      <c r="G63" s="137">
        <f>'LCIA_AD-e'!G53</f>
        <v>0</v>
      </c>
      <c r="H63" s="137">
        <f>'LCIA_AD-e'!H53</f>
        <v>0</v>
      </c>
      <c r="I63" s="137">
        <f>'LCIA_AD-e'!I53</f>
        <v>0</v>
      </c>
      <c r="J63" s="137">
        <f>'LCIA_AD-e'!J53</f>
        <v>0</v>
      </c>
      <c r="K63" s="137">
        <f>'LCIA_AD-e'!K53</f>
        <v>0</v>
      </c>
      <c r="L63" s="137">
        <f>'LCIA_AD-e'!L53</f>
        <v>0</v>
      </c>
      <c r="M63" s="137">
        <f>'LCIA_AD-e'!M53</f>
        <v>0</v>
      </c>
      <c r="N63" s="137">
        <f>'LCIA_AD-e'!N53</f>
        <v>0</v>
      </c>
      <c r="O63" s="137">
        <f>'LCIA_AD-e'!O53</f>
        <v>0</v>
      </c>
      <c r="P63" s="137">
        <f>'LCIA_AD-e'!P53</f>
        <v>0</v>
      </c>
      <c r="Q63" s="137">
        <f>'LCIA_AD-e'!Q53</f>
        <v>0</v>
      </c>
      <c r="R63" s="137">
        <f>'LCIA_AD-e'!R53</f>
        <v>0</v>
      </c>
      <c r="S63" s="137">
        <f>'LCIA_AD-e'!S53</f>
        <v>0</v>
      </c>
      <c r="T63" s="137">
        <f>'LCIA_AD-e'!T53</f>
        <v>0</v>
      </c>
      <c r="U63" s="137">
        <f>'LCIA_AD-e'!U53</f>
        <v>0</v>
      </c>
      <c r="V63" s="137">
        <f>'LCIA_AD-e'!V53</f>
        <v>0</v>
      </c>
      <c r="W63" s="137">
        <f>'LCIA_AD-e'!W53</f>
        <v>0</v>
      </c>
      <c r="X63" s="137">
        <f>'LCIA_AD-e'!X53</f>
        <v>0</v>
      </c>
      <c r="Y63" s="137">
        <f>'LCIA_AD-e'!Y53</f>
        <v>0</v>
      </c>
      <c r="Z63" s="137">
        <f>'LCIA_AD-e'!Z53</f>
        <v>0</v>
      </c>
      <c r="AA63" s="137">
        <f>'LCIA_AD-e'!AA53</f>
        <v>0</v>
      </c>
      <c r="AB63" s="137">
        <f>'LCIA_AD-e'!AB53</f>
        <v>0</v>
      </c>
      <c r="AC63" s="137">
        <f>'LCIA_AD-e'!AC53</f>
        <v>0</v>
      </c>
      <c r="AD63" s="137">
        <f>'LCIA_AD-e'!AD53</f>
        <v>0</v>
      </c>
      <c r="AE63" s="137">
        <f>'LCIA_AD-e'!AE53</f>
        <v>0</v>
      </c>
      <c r="AF63" s="137">
        <f>'LCIA_AD-e'!AF53</f>
        <v>0</v>
      </c>
      <c r="AG63" s="137">
        <f>'LCIA_AD-e'!AG53</f>
        <v>0</v>
      </c>
      <c r="AH63" s="137">
        <f>'LCIA_AD-e'!AH53</f>
        <v>0</v>
      </c>
      <c r="AI63" s="137">
        <f>'LCIA_AD-e'!AI53</f>
        <v>0</v>
      </c>
      <c r="AJ63" s="137">
        <f>'LCIA_AD-e'!AJ53</f>
        <v>0</v>
      </c>
      <c r="AK63" s="137">
        <f>'LCIA_AD-e'!AK53</f>
        <v>0</v>
      </c>
    </row>
    <row r="64" spans="1:37" x14ac:dyDescent="0.35">
      <c r="A64" s="137"/>
      <c r="B64" s="137" t="s">
        <v>8</v>
      </c>
      <c r="C64" s="137">
        <f>'LCIA_AD-e'!C54</f>
        <v>0.65727691815040523</v>
      </c>
      <c r="D64" s="137">
        <f>'LCIA_AD-e'!D54</f>
        <v>0.20135226339612622</v>
      </c>
      <c r="E64" s="137">
        <f>'LCIA_AD-e'!E54</f>
        <v>8.8581029164068104E-6</v>
      </c>
      <c r="F64" s="137">
        <f>'LCIA_AD-e'!F54</f>
        <v>2.7136189060669185E-6</v>
      </c>
      <c r="G64" s="137">
        <f>'LCIA_AD-e'!G54</f>
        <v>2.0146246273707774E-19</v>
      </c>
      <c r="H64" s="137">
        <f>'LCIA_AD-e'!H54</f>
        <v>1.1619456849343674E-2</v>
      </c>
      <c r="I64" s="137">
        <f>'LCIA_AD-e'!I54</f>
        <v>0.55576682166479929</v>
      </c>
      <c r="J64" s="137">
        <f>'LCIA_AD-e'!J54</f>
        <v>2.7612306137817434E-2</v>
      </c>
      <c r="K64" s="137">
        <f>'LCIA_AD-e'!K54</f>
        <v>4.7970911200822386E-5</v>
      </c>
      <c r="L64" s="137">
        <f>'LCIA_AD-e'!L54</f>
        <v>1.9469395469843191E-8</v>
      </c>
      <c r="M64" s="137">
        <f>'LCIA_AD-e'!M54</f>
        <v>3.7135159712999983E-7</v>
      </c>
      <c r="N64" s="137">
        <f>'LCIA_AD-e'!N54</f>
        <v>4.4025905507185927E-7</v>
      </c>
      <c r="O64" s="137">
        <f>'LCIA_AD-e'!O54</f>
        <v>2.3435417043406713E-7</v>
      </c>
      <c r="P64" s="137">
        <f>'LCIA_AD-e'!P54</f>
        <v>9.2607546343954807E-9</v>
      </c>
      <c r="Q64" s="137">
        <f>'LCIA_AD-e'!Q54</f>
        <v>2.8557647157451842E-7</v>
      </c>
      <c r="R64" s="137">
        <f>'LCIA_AD-e'!R54</f>
        <v>3.6994648174058696E-2</v>
      </c>
      <c r="S64" s="137">
        <f>'LCIA_AD-e'!S54</f>
        <v>2.6081890331255075E-2</v>
      </c>
      <c r="T64" s="137">
        <f>'LCIA_AD-e'!T54</f>
        <v>0.22931990981381525</v>
      </c>
      <c r="U64" s="137">
        <f>'LCIA_AD-e'!U54</f>
        <v>2.4893198732130022E-2</v>
      </c>
      <c r="V64" s="137">
        <f>'LCIA_AD-e'!V54</f>
        <v>2.1589289714938985E-6</v>
      </c>
      <c r="W64" s="137">
        <f>'LCIA_AD-e'!W54</f>
        <v>5.9415646581455464E-7</v>
      </c>
      <c r="X64" s="137">
        <f>'LCIA_AD-e'!X54</f>
        <v>1.5206771691350248E-3</v>
      </c>
      <c r="Y64" s="137">
        <f>'LCIA_AD-e'!Y54</f>
        <v>1.0344645221098301E-10</v>
      </c>
      <c r="Z64" s="137">
        <f>'LCIA_AD-e'!Z54</f>
        <v>8.3737385770468086E-7</v>
      </c>
      <c r="AA64" s="137">
        <f>'LCIA_AD-e'!AA54</f>
        <v>3.5252354996375815E-2</v>
      </c>
      <c r="AB64" s="137">
        <f>'LCIA_AD-e'!AB54</f>
        <v>3.5043595930111055E-9</v>
      </c>
      <c r="AC64" s="137">
        <f>'LCIA_AD-e'!AC54</f>
        <v>7.6676156376390969E-2</v>
      </c>
      <c r="AD64" s="137">
        <f>'LCIA_AD-e'!AD54</f>
        <v>7.8803944122323041E-2</v>
      </c>
      <c r="AE64" s="137">
        <f>'LCIA_AD-e'!AE54</f>
        <v>2.1686711002231247E-2</v>
      </c>
      <c r="AF64" s="137">
        <f>'LCIA_AD-e'!AF54</f>
        <v>4.2521391639229527E-3</v>
      </c>
      <c r="AG64" s="137">
        <f>'LCIA_AD-e'!AG54</f>
        <v>1.9892156382525288</v>
      </c>
      <c r="AH64" s="137">
        <f>'LCIA_AD-e'!AH54</f>
        <v>1.6522197370580419E-5</v>
      </c>
      <c r="AI64" s="137">
        <f>'LCIA_AD-e'!AI54</f>
        <v>2.258415920348486E-5</v>
      </c>
      <c r="AJ64" s="137">
        <f>'LCIA_AD-e'!AJ54</f>
        <v>2.7584831946769133E-6</v>
      </c>
      <c r="AK64" s="137">
        <f>'LCIA_AD-e'!AK54</f>
        <v>3.2924755804392892E-5</v>
      </c>
    </row>
    <row r="65" spans="1:37" x14ac:dyDescent="0.35">
      <c r="A65" s="137"/>
      <c r="B65" s="137" t="s">
        <v>18</v>
      </c>
      <c r="C65" s="137">
        <f>'LCIA_AD-e'!C55</f>
        <v>3.6111027769612272</v>
      </c>
      <c r="D65" s="137">
        <f>'LCIA_AD-e'!D55</f>
        <v>1.116041950307709</v>
      </c>
      <c r="E65" s="137">
        <f>'LCIA_AD-e'!E55</f>
        <v>4.8666732630834991E-5</v>
      </c>
      <c r="F65" s="137">
        <f>'LCIA_AD-e'!F55</f>
        <v>1.5040866614748277E-5</v>
      </c>
      <c r="G65" s="137">
        <f>'LCIA_AD-e'!G55</f>
        <v>2.7159126165986591E-17</v>
      </c>
      <c r="H65" s="137">
        <f>'LCIA_AD-e'!H55</f>
        <v>3.9384429899939365E-2</v>
      </c>
      <c r="I65" s="137">
        <f>'LCIA_AD-e'!I55</f>
        <v>1.1164091774138278</v>
      </c>
      <c r="J65" s="137">
        <f>'LCIA_AD-e'!J55</f>
        <v>0.14465944541327941</v>
      </c>
      <c r="K65" s="137">
        <f>'LCIA_AD-e'!K55</f>
        <v>5.9732092169600232E-4</v>
      </c>
      <c r="L65" s="137">
        <f>'LCIA_AD-e'!L55</f>
        <v>2.4810764281290643E-8</v>
      </c>
      <c r="M65" s="137">
        <f>'LCIA_AD-e'!M55</f>
        <v>9.5025968432804083E-7</v>
      </c>
      <c r="N65" s="137">
        <f>'LCIA_AD-e'!N55</f>
        <v>8.8695954394508445E-7</v>
      </c>
      <c r="O65" s="137">
        <f>'LCIA_AD-e'!O55</f>
        <v>6.3949866864703821E-7</v>
      </c>
      <c r="P65" s="137">
        <f>'LCIA_AD-e'!P55</f>
        <v>3.4244674996023721E-10</v>
      </c>
      <c r="Q65" s="137">
        <f>'LCIA_AD-e'!Q55</f>
        <v>5.640495591874525E-9</v>
      </c>
      <c r="R65" s="137">
        <f>'LCIA_AD-e'!R55</f>
        <v>1.2522888650153385</v>
      </c>
      <c r="S65" s="137">
        <f>'LCIA_AD-e'!S55</f>
        <v>0.22236732164114079</v>
      </c>
      <c r="T65" s="137">
        <f>'LCIA_AD-e'!T55</f>
        <v>1.2993103391764373</v>
      </c>
      <c r="U65" s="137">
        <f>'LCIA_AD-e'!U55</f>
        <v>0.1410432154146555</v>
      </c>
      <c r="V65" s="137">
        <f>'LCIA_AD-e'!V55</f>
        <v>4.8995566111538829E-6</v>
      </c>
      <c r="W65" s="137">
        <f>'LCIA_AD-e'!W55</f>
        <v>3.1636932996387812E-6</v>
      </c>
      <c r="X65" s="137">
        <f>'LCIA_AD-e'!X55</f>
        <v>8.7941767587420248E-3</v>
      </c>
      <c r="Y65" s="137">
        <f>'LCIA_AD-e'!Y55</f>
        <v>5.5520031014139023E-10</v>
      </c>
      <c r="Z65" s="137">
        <f>'LCIA_AD-e'!Z55</f>
        <v>4.2239854117750112E-5</v>
      </c>
      <c r="AA65" s="137">
        <f>'LCIA_AD-e'!AA55</f>
        <v>0.30103279985134818</v>
      </c>
      <c r="AB65" s="137">
        <f>'LCIA_AD-e'!AB55</f>
        <v>3.0275729153819333E-8</v>
      </c>
      <c r="AC65" s="137">
        <f>'LCIA_AD-e'!AC55</f>
        <v>0.29460585077001711</v>
      </c>
      <c r="AD65" s="137">
        <f>'LCIA_AD-e'!AD55</f>
        <v>0.17883454948602154</v>
      </c>
      <c r="AE65" s="137">
        <f>'LCIA_AD-e'!AE55</f>
        <v>0.11547480543681553</v>
      </c>
      <c r="AF65" s="137">
        <f>'LCIA_AD-e'!AF55</f>
        <v>4.3393968358153263E-4</v>
      </c>
      <c r="AG65" s="137">
        <f>'LCIA_AD-e'!AG55</f>
        <v>9.8425377317128095</v>
      </c>
      <c r="AH65" s="137">
        <f>'LCIA_AD-e'!AH55</f>
        <v>1.0994280141975609E-4</v>
      </c>
      <c r="AI65" s="137">
        <f>'LCIA_AD-e'!AI55</f>
        <v>1.1931549424189578E-5</v>
      </c>
      <c r="AJ65" s="137">
        <f>'LCIA_AD-e'!AJ55</f>
        <v>1.4573479701655237E-6</v>
      </c>
      <c r="AK65" s="137">
        <f>'LCIA_AD-e'!AK55</f>
        <v>1.367724192572127E-4</v>
      </c>
    </row>
    <row r="66" spans="1:37" x14ac:dyDescent="0.35">
      <c r="A66" s="137"/>
      <c r="B66" s="137" t="s">
        <v>96</v>
      </c>
      <c r="C66" s="137">
        <f>'LCIA_AD-e'!C56</f>
        <v>0.93797856177034611</v>
      </c>
      <c r="D66" s="137">
        <f>'LCIA_AD-e'!D56</f>
        <v>3.5623702451876329</v>
      </c>
      <c r="E66" s="137">
        <f>'LCIA_AD-e'!E56</f>
        <v>1.2641111233490304E-5</v>
      </c>
      <c r="F66" s="137">
        <f>'LCIA_AD-e'!F56</f>
        <v>4.801001102781587E-5</v>
      </c>
      <c r="G66" s="137">
        <f>'LCIA_AD-e'!G56</f>
        <v>0</v>
      </c>
      <c r="H66" s="137">
        <f>'LCIA_AD-e'!H56</f>
        <v>0</v>
      </c>
      <c r="I66" s="137">
        <f>'LCIA_AD-e'!I56</f>
        <v>0</v>
      </c>
      <c r="J66" s="137">
        <f>'LCIA_AD-e'!J56</f>
        <v>0</v>
      </c>
      <c r="K66" s="137">
        <f>'LCIA_AD-e'!K56</f>
        <v>0</v>
      </c>
      <c r="L66" s="137">
        <f>'LCIA_AD-e'!L56</f>
        <v>0</v>
      </c>
      <c r="M66" s="137">
        <f>'LCIA_AD-e'!M56</f>
        <v>0</v>
      </c>
      <c r="N66" s="137">
        <f>'LCIA_AD-e'!N56</f>
        <v>0</v>
      </c>
      <c r="O66" s="137">
        <f>'LCIA_AD-e'!O56</f>
        <v>0</v>
      </c>
      <c r="P66" s="137">
        <f>'LCIA_AD-e'!P56</f>
        <v>0</v>
      </c>
      <c r="Q66" s="137">
        <f>'LCIA_AD-e'!Q56</f>
        <v>0</v>
      </c>
      <c r="R66" s="137">
        <f>'LCIA_AD-e'!R56</f>
        <v>0</v>
      </c>
      <c r="S66" s="137">
        <f>'LCIA_AD-e'!S56</f>
        <v>0</v>
      </c>
      <c r="T66" s="137">
        <f>'LCIA_AD-e'!T56</f>
        <v>0</v>
      </c>
      <c r="U66" s="137">
        <f>'LCIA_AD-e'!U56</f>
        <v>0</v>
      </c>
      <c r="V66" s="137">
        <f>'LCIA_AD-e'!V56</f>
        <v>0</v>
      </c>
      <c r="W66" s="137">
        <f>'LCIA_AD-e'!W56</f>
        <v>0</v>
      </c>
      <c r="X66" s="137">
        <f>'LCIA_AD-e'!X56</f>
        <v>0</v>
      </c>
      <c r="Y66" s="137">
        <f>'LCIA_AD-e'!Y56</f>
        <v>0</v>
      </c>
      <c r="Z66" s="137">
        <f>'LCIA_AD-e'!Z56</f>
        <v>0</v>
      </c>
      <c r="AA66" s="137">
        <f>'LCIA_AD-e'!AA56</f>
        <v>0</v>
      </c>
      <c r="AB66" s="137">
        <f>'LCIA_AD-e'!AB56</f>
        <v>0</v>
      </c>
      <c r="AC66" s="137">
        <f>'LCIA_AD-e'!AC56</f>
        <v>0</v>
      </c>
      <c r="AD66" s="137">
        <f>'LCIA_AD-e'!AD56</f>
        <v>0</v>
      </c>
      <c r="AE66" s="137">
        <f>'LCIA_AD-e'!AE56</f>
        <v>0</v>
      </c>
      <c r="AF66" s="137">
        <f>'LCIA_AD-e'!AF56</f>
        <v>0</v>
      </c>
      <c r="AG66" s="137">
        <f>'LCIA_AD-e'!AG56</f>
        <v>4.5003488069579793</v>
      </c>
      <c r="AH66" s="137">
        <f>'LCIA_AD-e'!AH56</f>
        <v>6.0651122260989241E-5</v>
      </c>
      <c r="AI66" s="137">
        <f>'LCIA_AD-e'!AI56</f>
        <v>0</v>
      </c>
      <c r="AJ66" s="137">
        <f>'LCIA_AD-e'!AJ56</f>
        <v>0</v>
      </c>
      <c r="AK66" s="137">
        <f>'LCIA_AD-e'!AK56</f>
        <v>0</v>
      </c>
    </row>
    <row r="67" spans="1:37" x14ac:dyDescent="0.35">
      <c r="A67" s="143" t="s">
        <v>476</v>
      </c>
      <c r="B67" s="137"/>
      <c r="C67" s="137">
        <f>'LCIA_AD-e'!C57</f>
        <v>0</v>
      </c>
      <c r="D67" s="137">
        <f>'LCIA_AD-e'!D57</f>
        <v>0</v>
      </c>
      <c r="E67" s="137">
        <f>'LCIA_AD-e'!E57</f>
        <v>0</v>
      </c>
      <c r="F67" s="137">
        <f>'LCIA_AD-e'!F57</f>
        <v>0</v>
      </c>
      <c r="G67" s="137">
        <f>'LCIA_AD-e'!G57</f>
        <v>0</v>
      </c>
      <c r="H67" s="137">
        <f>'LCIA_AD-e'!H57</f>
        <v>0</v>
      </c>
      <c r="I67" s="137">
        <f>'LCIA_AD-e'!I57</f>
        <v>0</v>
      </c>
      <c r="J67" s="137">
        <f>'LCIA_AD-e'!J57</f>
        <v>0</v>
      </c>
      <c r="K67" s="137">
        <f>'LCIA_AD-e'!K57</f>
        <v>0</v>
      </c>
      <c r="L67" s="137">
        <f>'LCIA_AD-e'!L57</f>
        <v>0</v>
      </c>
      <c r="M67" s="137">
        <f>'LCIA_AD-e'!M57</f>
        <v>0</v>
      </c>
      <c r="N67" s="137">
        <f>'LCIA_AD-e'!N57</f>
        <v>0</v>
      </c>
      <c r="O67" s="137">
        <f>'LCIA_AD-e'!O57</f>
        <v>0</v>
      </c>
      <c r="P67" s="137">
        <f>'LCIA_AD-e'!P57</f>
        <v>0</v>
      </c>
      <c r="Q67" s="137">
        <f>'LCIA_AD-e'!Q57</f>
        <v>0</v>
      </c>
      <c r="R67" s="137">
        <f>'LCIA_AD-e'!R57</f>
        <v>0</v>
      </c>
      <c r="S67" s="137">
        <f>'LCIA_AD-e'!S57</f>
        <v>0</v>
      </c>
      <c r="T67" s="137">
        <f>'LCIA_AD-e'!T57</f>
        <v>0</v>
      </c>
      <c r="U67" s="137">
        <f>'LCIA_AD-e'!U57</f>
        <v>0</v>
      </c>
      <c r="V67" s="137">
        <f>'LCIA_AD-e'!V57</f>
        <v>0</v>
      </c>
      <c r="W67" s="137">
        <f>'LCIA_AD-e'!W57</f>
        <v>0</v>
      </c>
      <c r="X67" s="137">
        <f>'LCIA_AD-e'!X57</f>
        <v>0</v>
      </c>
      <c r="Y67" s="137">
        <f>'LCIA_AD-e'!Y57</f>
        <v>0</v>
      </c>
      <c r="Z67" s="137">
        <f>'LCIA_AD-e'!Z57</f>
        <v>0</v>
      </c>
      <c r="AA67" s="137">
        <f>'LCIA_AD-e'!AA57</f>
        <v>0</v>
      </c>
      <c r="AB67" s="137">
        <f>'LCIA_AD-e'!AB57</f>
        <v>0</v>
      </c>
      <c r="AC67" s="137">
        <f>'LCIA_AD-e'!AC57</f>
        <v>0</v>
      </c>
      <c r="AD67" s="137">
        <f>'LCIA_AD-e'!AD57</f>
        <v>0</v>
      </c>
      <c r="AE67" s="137">
        <f>'LCIA_AD-e'!AE57</f>
        <v>0</v>
      </c>
      <c r="AF67" s="137">
        <f>'LCIA_AD-e'!AF57</f>
        <v>0</v>
      </c>
      <c r="AG67" s="137">
        <f>'LCIA_AD-e'!AG57</f>
        <v>0</v>
      </c>
      <c r="AH67" s="137">
        <f>'LCIA_AD-e'!AH57</f>
        <v>0</v>
      </c>
      <c r="AI67" s="137">
        <f>'LCIA_AD-e'!AI57</f>
        <v>0</v>
      </c>
      <c r="AJ67" s="137">
        <f>'LCIA_AD-e'!AJ57</f>
        <v>0</v>
      </c>
      <c r="AK67" s="137">
        <f>'LCIA_AD-e'!AK57</f>
        <v>0</v>
      </c>
    </row>
    <row r="68" spans="1:37" x14ac:dyDescent="0.35">
      <c r="A68" s="137"/>
      <c r="B68" s="137" t="s">
        <v>96</v>
      </c>
      <c r="C68" s="137">
        <f>'LCIA_AD-e'!C58</f>
        <v>3.5567414908204329E-3</v>
      </c>
      <c r="D68" s="137">
        <f>'LCIA_AD-e'!D58</f>
        <v>1.3508229903260017E-2</v>
      </c>
      <c r="E68" s="137">
        <f>'LCIA_AD-e'!E58</f>
        <v>4.7934107075295262E-8</v>
      </c>
      <c r="F68" s="137">
        <f>'LCIA_AD-e'!F58</f>
        <v>1.820502143194908E-7</v>
      </c>
      <c r="G68" s="137">
        <f>'LCIA_AD-e'!G58</f>
        <v>0</v>
      </c>
      <c r="H68" s="137">
        <f>'LCIA_AD-e'!H58</f>
        <v>0</v>
      </c>
      <c r="I68" s="137">
        <f>'LCIA_AD-e'!I58</f>
        <v>0</v>
      </c>
      <c r="J68" s="137">
        <f>'LCIA_AD-e'!J58</f>
        <v>0</v>
      </c>
      <c r="K68" s="137">
        <f>'LCIA_AD-e'!K58</f>
        <v>0</v>
      </c>
      <c r="L68" s="137">
        <f>'LCIA_AD-e'!L58</f>
        <v>0</v>
      </c>
      <c r="M68" s="137">
        <f>'LCIA_AD-e'!M58</f>
        <v>0</v>
      </c>
      <c r="N68" s="137">
        <f>'LCIA_AD-e'!N58</f>
        <v>0</v>
      </c>
      <c r="O68" s="137">
        <f>'LCIA_AD-e'!O58</f>
        <v>0</v>
      </c>
      <c r="P68" s="137">
        <f>'LCIA_AD-e'!P58</f>
        <v>0</v>
      </c>
      <c r="Q68" s="137">
        <f>'LCIA_AD-e'!Q58</f>
        <v>0</v>
      </c>
      <c r="R68" s="137">
        <f>'LCIA_AD-e'!R58</f>
        <v>0</v>
      </c>
      <c r="S68" s="137">
        <f>'LCIA_AD-e'!S58</f>
        <v>0</v>
      </c>
      <c r="T68" s="137">
        <f>'LCIA_AD-e'!T58</f>
        <v>0</v>
      </c>
      <c r="U68" s="137">
        <f>'LCIA_AD-e'!U58</f>
        <v>0</v>
      </c>
      <c r="V68" s="137">
        <f>'LCIA_AD-e'!V58</f>
        <v>0</v>
      </c>
      <c r="W68" s="137">
        <f>'LCIA_AD-e'!W58</f>
        <v>0</v>
      </c>
      <c r="X68" s="137">
        <f>'LCIA_AD-e'!X58</f>
        <v>0</v>
      </c>
      <c r="Y68" s="137">
        <f>'LCIA_AD-e'!Y58</f>
        <v>0</v>
      </c>
      <c r="Z68" s="137">
        <f>'LCIA_AD-e'!Z58</f>
        <v>0</v>
      </c>
      <c r="AA68" s="137">
        <f>'LCIA_AD-e'!AA58</f>
        <v>0</v>
      </c>
      <c r="AB68" s="137">
        <f>'LCIA_AD-e'!AB58</f>
        <v>0</v>
      </c>
      <c r="AC68" s="137">
        <f>'LCIA_AD-e'!AC58</f>
        <v>0</v>
      </c>
      <c r="AD68" s="137">
        <f>'LCIA_AD-e'!AD58</f>
        <v>0</v>
      </c>
      <c r="AE68" s="137">
        <f>'LCIA_AD-e'!AE58</f>
        <v>0</v>
      </c>
      <c r="AF68" s="137">
        <f>'LCIA_AD-e'!AF58</f>
        <v>0</v>
      </c>
      <c r="AG68" s="137">
        <f>'LCIA_AD-e'!AG58</f>
        <v>1.7064971394080451E-2</v>
      </c>
      <c r="AH68" s="137">
        <f>'LCIA_AD-e'!AH58</f>
        <v>2.2998432139358426E-7</v>
      </c>
      <c r="AI68" s="137">
        <f>'LCIA_AD-e'!AI58</f>
        <v>0</v>
      </c>
      <c r="AJ68" s="137">
        <f>'LCIA_AD-e'!AJ58</f>
        <v>0</v>
      </c>
      <c r="AK68" s="137">
        <f>'LCIA_AD-e'!AK58</f>
        <v>0</v>
      </c>
    </row>
    <row r="69" spans="1:37" x14ac:dyDescent="0.35">
      <c r="A69" s="137"/>
      <c r="B69" s="137" t="s">
        <v>111</v>
      </c>
      <c r="C69" s="137">
        <f>'LCIA_AD-e'!C59</f>
        <v>0.29152739048630238</v>
      </c>
      <c r="D69" s="137">
        <f>'LCIA_AD-e'!D59</f>
        <v>0.21628026367883987</v>
      </c>
      <c r="E69" s="137">
        <f>'LCIA_AD-e'!E59</f>
        <v>3.9289066093269601E-6</v>
      </c>
      <c r="F69" s="137">
        <f>'LCIA_AD-e'!F59</f>
        <v>2.9148031545759594E-6</v>
      </c>
      <c r="G69" s="137">
        <f>'LCIA_AD-e'!G59</f>
        <v>0</v>
      </c>
      <c r="H69" s="137">
        <f>'LCIA_AD-e'!H59</f>
        <v>0</v>
      </c>
      <c r="I69" s="137">
        <f>'LCIA_AD-e'!I59</f>
        <v>0</v>
      </c>
      <c r="J69" s="137">
        <f>'LCIA_AD-e'!J59</f>
        <v>0</v>
      </c>
      <c r="K69" s="137">
        <f>'LCIA_AD-e'!K59</f>
        <v>0</v>
      </c>
      <c r="L69" s="137">
        <f>'LCIA_AD-e'!L59</f>
        <v>0</v>
      </c>
      <c r="M69" s="137">
        <f>'LCIA_AD-e'!M59</f>
        <v>0</v>
      </c>
      <c r="N69" s="137">
        <f>'LCIA_AD-e'!N59</f>
        <v>0</v>
      </c>
      <c r="O69" s="137">
        <f>'LCIA_AD-e'!O59</f>
        <v>0</v>
      </c>
      <c r="P69" s="137">
        <f>'LCIA_AD-e'!P59</f>
        <v>0</v>
      </c>
      <c r="Q69" s="137">
        <f>'LCIA_AD-e'!Q59</f>
        <v>0</v>
      </c>
      <c r="R69" s="137">
        <f>'LCIA_AD-e'!R59</f>
        <v>0</v>
      </c>
      <c r="S69" s="137">
        <f>'LCIA_AD-e'!S59</f>
        <v>0</v>
      </c>
      <c r="T69" s="137">
        <f>'LCIA_AD-e'!T59</f>
        <v>0</v>
      </c>
      <c r="U69" s="137">
        <f>'LCIA_AD-e'!U59</f>
        <v>0</v>
      </c>
      <c r="V69" s="137">
        <f>'LCIA_AD-e'!V59</f>
        <v>0</v>
      </c>
      <c r="W69" s="137">
        <f>'LCIA_AD-e'!W59</f>
        <v>0</v>
      </c>
      <c r="X69" s="137">
        <f>'LCIA_AD-e'!X59</f>
        <v>0</v>
      </c>
      <c r="Y69" s="137">
        <f>'LCIA_AD-e'!Y59</f>
        <v>0</v>
      </c>
      <c r="Z69" s="137">
        <f>'LCIA_AD-e'!Z59</f>
        <v>0</v>
      </c>
      <c r="AA69" s="137">
        <f>'LCIA_AD-e'!AA59</f>
        <v>0</v>
      </c>
      <c r="AB69" s="137">
        <f>'LCIA_AD-e'!AB59</f>
        <v>0</v>
      </c>
      <c r="AC69" s="137">
        <f>'LCIA_AD-e'!AC59</f>
        <v>0</v>
      </c>
      <c r="AD69" s="137">
        <f>'LCIA_AD-e'!AD59</f>
        <v>0</v>
      </c>
      <c r="AE69" s="137">
        <f>'LCIA_AD-e'!AE59</f>
        <v>0</v>
      </c>
      <c r="AF69" s="137">
        <f>'LCIA_AD-e'!AF59</f>
        <v>0</v>
      </c>
      <c r="AG69" s="137">
        <f>'LCIA_AD-e'!AG59</f>
        <v>0.50780765416514217</v>
      </c>
      <c r="AH69" s="137">
        <f>'LCIA_AD-e'!AH59</f>
        <v>6.8437097638770181E-6</v>
      </c>
      <c r="AI69" s="137">
        <f>'LCIA_AD-e'!AI59</f>
        <v>0</v>
      </c>
      <c r="AJ69" s="137">
        <f>'LCIA_AD-e'!AJ59</f>
        <v>0</v>
      </c>
      <c r="AK69" s="137">
        <f>'LCIA_AD-e'!AK59</f>
        <v>0</v>
      </c>
    </row>
    <row r="70" spans="1:37" x14ac:dyDescent="0.35">
      <c r="A70" s="137"/>
      <c r="B70" s="137" t="s">
        <v>142</v>
      </c>
      <c r="C70" s="137">
        <f>'LCIA_AD-e'!C60</f>
        <v>0</v>
      </c>
      <c r="D70" s="137">
        <f>'LCIA_AD-e'!D60</f>
        <v>0</v>
      </c>
      <c r="E70" s="137">
        <f>'LCIA_AD-e'!E60</f>
        <v>0</v>
      </c>
      <c r="F70" s="137">
        <f>'LCIA_AD-e'!F60</f>
        <v>0</v>
      </c>
      <c r="G70" s="137">
        <f>'LCIA_AD-e'!G60</f>
        <v>0</v>
      </c>
      <c r="H70" s="137">
        <f>'LCIA_AD-e'!H60</f>
        <v>9.5156647565601674E-2</v>
      </c>
      <c r="I70" s="137">
        <f>'LCIA_AD-e'!I60</f>
        <v>0</v>
      </c>
      <c r="J70" s="137">
        <f>'LCIA_AD-e'!J60</f>
        <v>0</v>
      </c>
      <c r="K70" s="137">
        <f>'LCIA_AD-e'!K60</f>
        <v>0</v>
      </c>
      <c r="L70" s="137">
        <f>'LCIA_AD-e'!L60</f>
        <v>0</v>
      </c>
      <c r="M70" s="137">
        <f>'LCIA_AD-e'!M60</f>
        <v>0</v>
      </c>
      <c r="N70" s="137">
        <f>'LCIA_AD-e'!N60</f>
        <v>0</v>
      </c>
      <c r="O70" s="137">
        <f>'LCIA_AD-e'!O60</f>
        <v>0</v>
      </c>
      <c r="P70" s="137">
        <f>'LCIA_AD-e'!P60</f>
        <v>0</v>
      </c>
      <c r="Q70" s="137">
        <f>'LCIA_AD-e'!Q60</f>
        <v>0</v>
      </c>
      <c r="R70" s="137">
        <f>'LCIA_AD-e'!R60</f>
        <v>0</v>
      </c>
      <c r="S70" s="137">
        <f>'LCIA_AD-e'!S60</f>
        <v>0</v>
      </c>
      <c r="T70" s="137">
        <f>'LCIA_AD-e'!T60</f>
        <v>0</v>
      </c>
      <c r="U70" s="137">
        <f>'LCIA_AD-e'!U60</f>
        <v>0</v>
      </c>
      <c r="V70" s="137">
        <f>'LCIA_AD-e'!V60</f>
        <v>0</v>
      </c>
      <c r="W70" s="137">
        <f>'LCIA_AD-e'!W60</f>
        <v>0</v>
      </c>
      <c r="X70" s="137">
        <f>'LCIA_AD-e'!X60</f>
        <v>0</v>
      </c>
      <c r="Y70" s="137">
        <f>'LCIA_AD-e'!Y60</f>
        <v>0</v>
      </c>
      <c r="Z70" s="137">
        <f>'LCIA_AD-e'!Z60</f>
        <v>3.693628644820743E-6</v>
      </c>
      <c r="AA70" s="137">
        <f>'LCIA_AD-e'!AA60</f>
        <v>0</v>
      </c>
      <c r="AB70" s="137">
        <f>'LCIA_AD-e'!AB60</f>
        <v>0</v>
      </c>
      <c r="AC70" s="137">
        <f>'LCIA_AD-e'!AC60</f>
        <v>0.56700878449699921</v>
      </c>
      <c r="AD70" s="137">
        <f>'LCIA_AD-e'!AD60</f>
        <v>0</v>
      </c>
      <c r="AE70" s="137">
        <f>'LCIA_AD-e'!AE60</f>
        <v>0</v>
      </c>
      <c r="AF70" s="137">
        <f>'LCIA_AD-e'!AF60</f>
        <v>0</v>
      </c>
      <c r="AG70" s="137">
        <f>'LCIA_AD-e'!AG60</f>
        <v>0.66216543206260081</v>
      </c>
      <c r="AH70" s="137">
        <f>'LCIA_AD-e'!AH60</f>
        <v>3.6936286448042445E-6</v>
      </c>
      <c r="AI70" s="137">
        <f>'LCIA_AD-e'!AI60</f>
        <v>0</v>
      </c>
      <c r="AJ70" s="137">
        <f>'LCIA_AD-e'!AJ60</f>
        <v>0</v>
      </c>
      <c r="AK70" s="137">
        <f>'LCIA_AD-e'!AK60</f>
        <v>0</v>
      </c>
    </row>
    <row r="71" spans="1:37" x14ac:dyDescent="0.35">
      <c r="A71" s="137"/>
      <c r="B71" s="137" t="s">
        <v>143</v>
      </c>
      <c r="C71" s="137">
        <f>'LCIA_AD-e'!C61</f>
        <v>0</v>
      </c>
      <c r="D71" s="137">
        <f>'LCIA_AD-e'!D61</f>
        <v>0</v>
      </c>
      <c r="E71" s="137">
        <f>'LCIA_AD-e'!E61</f>
        <v>0</v>
      </c>
      <c r="F71" s="137">
        <f>'LCIA_AD-e'!F61</f>
        <v>0</v>
      </c>
      <c r="G71" s="137">
        <f>'LCIA_AD-e'!G61</f>
        <v>0</v>
      </c>
      <c r="H71" s="137">
        <f>'LCIA_AD-e'!H61</f>
        <v>0</v>
      </c>
      <c r="I71" s="137">
        <f>'LCIA_AD-e'!I61</f>
        <v>0</v>
      </c>
      <c r="J71" s="137">
        <f>'LCIA_AD-e'!J61</f>
        <v>0</v>
      </c>
      <c r="K71" s="137">
        <f>'LCIA_AD-e'!K61</f>
        <v>0</v>
      </c>
      <c r="L71" s="137">
        <f>'LCIA_AD-e'!L61</f>
        <v>0</v>
      </c>
      <c r="M71" s="137">
        <f>'LCIA_AD-e'!M61</f>
        <v>0</v>
      </c>
      <c r="N71" s="137">
        <f>'LCIA_AD-e'!N61</f>
        <v>0</v>
      </c>
      <c r="O71" s="137">
        <f>'LCIA_AD-e'!O61</f>
        <v>0</v>
      </c>
      <c r="P71" s="137">
        <f>'LCIA_AD-e'!P61</f>
        <v>0</v>
      </c>
      <c r="Q71" s="137">
        <f>'LCIA_AD-e'!Q61</f>
        <v>0</v>
      </c>
      <c r="R71" s="137">
        <f>'LCIA_AD-e'!R61</f>
        <v>0</v>
      </c>
      <c r="S71" s="137">
        <f>'LCIA_AD-e'!S61</f>
        <v>0</v>
      </c>
      <c r="T71" s="137">
        <f>'LCIA_AD-e'!T61</f>
        <v>0</v>
      </c>
      <c r="U71" s="137">
        <f>'LCIA_AD-e'!U61</f>
        <v>0</v>
      </c>
      <c r="V71" s="137">
        <f>'LCIA_AD-e'!V61</f>
        <v>0</v>
      </c>
      <c r="W71" s="137">
        <f>'LCIA_AD-e'!W61</f>
        <v>0</v>
      </c>
      <c r="X71" s="137">
        <f>'LCIA_AD-e'!X61</f>
        <v>0</v>
      </c>
      <c r="Y71" s="137">
        <f>'LCIA_AD-e'!Y61</f>
        <v>0</v>
      </c>
      <c r="Z71" s="137">
        <f>'LCIA_AD-e'!Z61</f>
        <v>0</v>
      </c>
      <c r="AA71" s="137">
        <f>'LCIA_AD-e'!AA61</f>
        <v>0</v>
      </c>
      <c r="AB71" s="137">
        <f>'LCIA_AD-e'!AB61</f>
        <v>0</v>
      </c>
      <c r="AC71" s="137">
        <f>'LCIA_AD-e'!AC61</f>
        <v>0</v>
      </c>
      <c r="AD71" s="137">
        <f>'LCIA_AD-e'!AD61</f>
        <v>0</v>
      </c>
      <c r="AE71" s="137">
        <f>'LCIA_AD-e'!AE61</f>
        <v>0</v>
      </c>
      <c r="AF71" s="137">
        <f>'LCIA_AD-e'!AF61</f>
        <v>0</v>
      </c>
      <c r="AG71" s="137">
        <f>'LCIA_AD-e'!AG61</f>
        <v>0</v>
      </c>
      <c r="AH71" s="137">
        <f>'LCIA_AD-e'!AH61</f>
        <v>0</v>
      </c>
      <c r="AI71" s="137">
        <f>'LCIA_AD-e'!AI61</f>
        <v>0</v>
      </c>
      <c r="AJ71" s="137">
        <f>'LCIA_AD-e'!AJ61</f>
        <v>0</v>
      </c>
      <c r="AK71" s="137">
        <f>'LCIA_AD-e'!AK61</f>
        <v>0</v>
      </c>
    </row>
    <row r="72" spans="1:37" x14ac:dyDescent="0.35">
      <c r="A72" s="137"/>
      <c r="B72" s="137" t="s">
        <v>144</v>
      </c>
      <c r="C72" s="137">
        <f>'LCIA_AD-e'!C62</f>
        <v>0</v>
      </c>
      <c r="D72" s="137">
        <f>'LCIA_AD-e'!D62</f>
        <v>0</v>
      </c>
      <c r="E72" s="137">
        <f>'LCIA_AD-e'!E62</f>
        <v>0</v>
      </c>
      <c r="F72" s="137">
        <f>'LCIA_AD-e'!F62</f>
        <v>0</v>
      </c>
      <c r="G72" s="137">
        <f>'LCIA_AD-e'!G62</f>
        <v>0</v>
      </c>
      <c r="H72" s="137">
        <f>'LCIA_AD-e'!H62</f>
        <v>0</v>
      </c>
      <c r="I72" s="137">
        <f>'LCIA_AD-e'!I62</f>
        <v>0</v>
      </c>
      <c r="J72" s="137">
        <f>'LCIA_AD-e'!J62</f>
        <v>0</v>
      </c>
      <c r="K72" s="137">
        <f>'LCIA_AD-e'!K62</f>
        <v>0</v>
      </c>
      <c r="L72" s="137">
        <f>'LCIA_AD-e'!L62</f>
        <v>0</v>
      </c>
      <c r="M72" s="137">
        <f>'LCIA_AD-e'!M62</f>
        <v>0</v>
      </c>
      <c r="N72" s="137">
        <f>'LCIA_AD-e'!N62</f>
        <v>0</v>
      </c>
      <c r="O72" s="137">
        <f>'LCIA_AD-e'!O62</f>
        <v>0</v>
      </c>
      <c r="P72" s="137">
        <f>'LCIA_AD-e'!P62</f>
        <v>0</v>
      </c>
      <c r="Q72" s="137">
        <f>'LCIA_AD-e'!Q62</f>
        <v>0</v>
      </c>
      <c r="R72" s="137">
        <f>'LCIA_AD-e'!R62</f>
        <v>0</v>
      </c>
      <c r="S72" s="137">
        <f>'LCIA_AD-e'!S62</f>
        <v>0</v>
      </c>
      <c r="T72" s="137">
        <f>'LCIA_AD-e'!T62</f>
        <v>0</v>
      </c>
      <c r="U72" s="137">
        <f>'LCIA_AD-e'!U62</f>
        <v>0</v>
      </c>
      <c r="V72" s="137">
        <f>'LCIA_AD-e'!V62</f>
        <v>0</v>
      </c>
      <c r="W72" s="137">
        <f>'LCIA_AD-e'!W62</f>
        <v>0</v>
      </c>
      <c r="X72" s="137">
        <f>'LCIA_AD-e'!X62</f>
        <v>0</v>
      </c>
      <c r="Y72" s="137">
        <f>'LCIA_AD-e'!Y62</f>
        <v>0</v>
      </c>
      <c r="Z72" s="137">
        <f>'LCIA_AD-e'!Z62</f>
        <v>3.9886858284203065E-5</v>
      </c>
      <c r="AA72" s="137">
        <f>'LCIA_AD-e'!AA62</f>
        <v>0</v>
      </c>
      <c r="AB72" s="137">
        <f>'LCIA_AD-e'!AB62</f>
        <v>0</v>
      </c>
      <c r="AC72" s="137">
        <f>'LCIA_AD-e'!AC62</f>
        <v>0</v>
      </c>
      <c r="AD72" s="137">
        <f>'LCIA_AD-e'!AD62</f>
        <v>0</v>
      </c>
      <c r="AE72" s="137">
        <f>'LCIA_AD-e'!AE62</f>
        <v>0</v>
      </c>
      <c r="AF72" s="137">
        <f>'LCIA_AD-e'!AF62</f>
        <v>0</v>
      </c>
      <c r="AG72" s="137">
        <f>'LCIA_AD-e'!AG62</f>
        <v>0</v>
      </c>
      <c r="AH72" s="137">
        <f>'LCIA_AD-e'!AH62</f>
        <v>3.9886858284203065E-5</v>
      </c>
      <c r="AI72" s="137">
        <f>'LCIA_AD-e'!AI62</f>
        <v>0</v>
      </c>
      <c r="AJ72" s="137">
        <f>'LCIA_AD-e'!AJ62</f>
        <v>0</v>
      </c>
      <c r="AK72" s="137">
        <f>'LCIA_AD-e'!AK62</f>
        <v>0</v>
      </c>
    </row>
    <row r="73" spans="1:37" x14ac:dyDescent="0.35">
      <c r="A73" s="137"/>
      <c r="B73" s="137" t="s">
        <v>124</v>
      </c>
      <c r="C73" s="137">
        <f>'LCIA_AD-e'!C63</f>
        <v>0</v>
      </c>
      <c r="D73" s="137">
        <f>'LCIA_AD-e'!D63</f>
        <v>0</v>
      </c>
      <c r="E73" s="137">
        <f>'LCIA_AD-e'!E63</f>
        <v>0</v>
      </c>
      <c r="F73" s="137">
        <f>'LCIA_AD-e'!F63</f>
        <v>0</v>
      </c>
      <c r="G73" s="137">
        <f>'LCIA_AD-e'!G63</f>
        <v>0</v>
      </c>
      <c r="H73" s="137">
        <f>'LCIA_AD-e'!H63</f>
        <v>0.30639593521383979</v>
      </c>
      <c r="I73" s="137">
        <f>'LCIA_AD-e'!I63</f>
        <v>0</v>
      </c>
      <c r="J73" s="137">
        <f>'LCIA_AD-e'!J63</f>
        <v>0</v>
      </c>
      <c r="K73" s="137">
        <f>'LCIA_AD-e'!K63</f>
        <v>0</v>
      </c>
      <c r="L73" s="137">
        <f>'LCIA_AD-e'!L63</f>
        <v>0</v>
      </c>
      <c r="M73" s="137">
        <f>'LCIA_AD-e'!M63</f>
        <v>0</v>
      </c>
      <c r="N73" s="137">
        <f>'LCIA_AD-e'!N63</f>
        <v>0</v>
      </c>
      <c r="O73" s="137">
        <f>'LCIA_AD-e'!O63</f>
        <v>0</v>
      </c>
      <c r="P73" s="137">
        <f>'LCIA_AD-e'!P63</f>
        <v>0</v>
      </c>
      <c r="Q73" s="137">
        <f>'LCIA_AD-e'!Q63</f>
        <v>0</v>
      </c>
      <c r="R73" s="137">
        <f>'LCIA_AD-e'!R63</f>
        <v>0</v>
      </c>
      <c r="S73" s="137">
        <f>'LCIA_AD-e'!S63</f>
        <v>0</v>
      </c>
      <c r="T73" s="137">
        <f>'LCIA_AD-e'!T63</f>
        <v>0</v>
      </c>
      <c r="U73" s="137">
        <f>'LCIA_AD-e'!U63</f>
        <v>0</v>
      </c>
      <c r="V73" s="137">
        <f>'LCIA_AD-e'!V63</f>
        <v>0</v>
      </c>
      <c r="W73" s="137">
        <f>'LCIA_AD-e'!W63</f>
        <v>0</v>
      </c>
      <c r="X73" s="137">
        <f>'LCIA_AD-e'!X63</f>
        <v>0.10094506947741702</v>
      </c>
      <c r="Y73" s="137">
        <f>'LCIA_AD-e'!Y63</f>
        <v>0</v>
      </c>
      <c r="Z73" s="137">
        <f>'LCIA_AD-e'!Z63</f>
        <v>7.2010616154719623E-6</v>
      </c>
      <c r="AA73" s="137">
        <f>'LCIA_AD-e'!AA63</f>
        <v>3.341631520308797</v>
      </c>
      <c r="AB73" s="137">
        <f>'LCIA_AD-e'!AB63</f>
        <v>3.4887669236836335E-7</v>
      </c>
      <c r="AC73" s="137">
        <f>'LCIA_AD-e'!AC63</f>
        <v>2.5127048968669792</v>
      </c>
      <c r="AD73" s="137">
        <f>'LCIA_AD-e'!AD63</f>
        <v>0</v>
      </c>
      <c r="AE73" s="137">
        <f>'LCIA_AD-e'!AE63</f>
        <v>0</v>
      </c>
      <c r="AF73" s="137">
        <f>'LCIA_AD-e'!AF63</f>
        <v>0</v>
      </c>
      <c r="AG73" s="137">
        <f>'LCIA_AD-e'!AG63</f>
        <v>6.2616774218670335</v>
      </c>
      <c r="AH73" s="137">
        <f>'LCIA_AD-e'!AH63</f>
        <v>7.5499383087295122E-6</v>
      </c>
      <c r="AI73" s="137">
        <f>'LCIA_AD-e'!AI63</f>
        <v>0</v>
      </c>
      <c r="AJ73" s="137">
        <f>'LCIA_AD-e'!AJ63</f>
        <v>0</v>
      </c>
      <c r="AK73" s="137">
        <f>'LCIA_AD-e'!AK63</f>
        <v>0</v>
      </c>
    </row>
    <row r="74" spans="1:37" x14ac:dyDescent="0.35">
      <c r="A74" s="137"/>
      <c r="B74" s="137" t="s">
        <v>110</v>
      </c>
      <c r="C74" s="137">
        <f>'LCIA_AD-e'!C64</f>
        <v>0</v>
      </c>
      <c r="D74" s="137">
        <f>'LCIA_AD-e'!D64</f>
        <v>0</v>
      </c>
      <c r="E74" s="137">
        <f>'LCIA_AD-e'!E64</f>
        <v>0</v>
      </c>
      <c r="F74" s="137">
        <f>'LCIA_AD-e'!F64</f>
        <v>0</v>
      </c>
      <c r="G74" s="137">
        <f>'LCIA_AD-e'!G64</f>
        <v>0</v>
      </c>
      <c r="H74" s="137">
        <f>'LCIA_AD-e'!H64</f>
        <v>2.2364720567461933E-2</v>
      </c>
      <c r="I74" s="137">
        <f>'LCIA_AD-e'!I64</f>
        <v>0</v>
      </c>
      <c r="J74" s="137">
        <f>'LCIA_AD-e'!J64</f>
        <v>0</v>
      </c>
      <c r="K74" s="137">
        <f>'LCIA_AD-e'!K64</f>
        <v>0</v>
      </c>
      <c r="L74" s="137">
        <f>'LCIA_AD-e'!L64</f>
        <v>0</v>
      </c>
      <c r="M74" s="137">
        <f>'LCIA_AD-e'!M64</f>
        <v>0</v>
      </c>
      <c r="N74" s="137">
        <f>'LCIA_AD-e'!N64</f>
        <v>0</v>
      </c>
      <c r="O74" s="137">
        <f>'LCIA_AD-e'!O64</f>
        <v>0</v>
      </c>
      <c r="P74" s="137">
        <f>'LCIA_AD-e'!P64</f>
        <v>0</v>
      </c>
      <c r="Q74" s="137">
        <f>'LCIA_AD-e'!Q64</f>
        <v>0</v>
      </c>
      <c r="R74" s="137">
        <f>'LCIA_AD-e'!R64</f>
        <v>0</v>
      </c>
      <c r="S74" s="137">
        <f>'LCIA_AD-e'!S64</f>
        <v>0</v>
      </c>
      <c r="T74" s="137">
        <f>'LCIA_AD-e'!T64</f>
        <v>0</v>
      </c>
      <c r="U74" s="137">
        <f>'LCIA_AD-e'!U64</f>
        <v>0</v>
      </c>
      <c r="V74" s="137">
        <f>'LCIA_AD-e'!V64</f>
        <v>0</v>
      </c>
      <c r="W74" s="137">
        <f>'LCIA_AD-e'!W64</f>
        <v>0</v>
      </c>
      <c r="X74" s="137">
        <f>'LCIA_AD-e'!X64</f>
        <v>8.5857459516006079E-3</v>
      </c>
      <c r="Y74" s="137">
        <f>'LCIA_AD-e'!Y64</f>
        <v>0</v>
      </c>
      <c r="Z74" s="137">
        <f>'LCIA_AD-e'!Z64</f>
        <v>2.1483541039720615E-6</v>
      </c>
      <c r="AA74" s="137">
        <f>'LCIA_AD-e'!AA64</f>
        <v>0</v>
      </c>
      <c r="AB74" s="137">
        <f>'LCIA_AD-e'!AB64</f>
        <v>0</v>
      </c>
      <c r="AC74" s="137">
        <f>'LCIA_AD-e'!AC64</f>
        <v>0.28834095539643861</v>
      </c>
      <c r="AD74" s="137">
        <f>'LCIA_AD-e'!AD64</f>
        <v>0</v>
      </c>
      <c r="AE74" s="137">
        <f>'LCIA_AD-e'!AE64</f>
        <v>0</v>
      </c>
      <c r="AF74" s="137">
        <f>'LCIA_AD-e'!AF64</f>
        <v>0</v>
      </c>
      <c r="AG74" s="137">
        <f>'LCIA_AD-e'!AG64</f>
        <v>0.31929142191550119</v>
      </c>
      <c r="AH74" s="137">
        <f>'LCIA_AD-e'!AH64</f>
        <v>2.1483541039484449E-6</v>
      </c>
      <c r="AI74" s="137">
        <f>'LCIA_AD-e'!AI64</f>
        <v>0</v>
      </c>
      <c r="AJ74" s="137">
        <f>'LCIA_AD-e'!AJ64</f>
        <v>0</v>
      </c>
      <c r="AK74" s="137">
        <f>'LCIA_AD-e'!AK64</f>
        <v>0</v>
      </c>
    </row>
    <row r="75" spans="1:37" x14ac:dyDescent="0.35">
      <c r="A75" s="137"/>
      <c r="B75" s="137" t="s">
        <v>123</v>
      </c>
      <c r="C75" s="137">
        <f>'LCIA_AD-e'!C65</f>
        <v>0</v>
      </c>
      <c r="D75" s="137">
        <f>'LCIA_AD-e'!D65</f>
        <v>0</v>
      </c>
      <c r="E75" s="137">
        <f>'LCIA_AD-e'!E65</f>
        <v>0</v>
      </c>
      <c r="F75" s="137">
        <f>'LCIA_AD-e'!F65</f>
        <v>0</v>
      </c>
      <c r="G75" s="137">
        <f>'LCIA_AD-e'!G65</f>
        <v>0</v>
      </c>
      <c r="H75" s="137">
        <f>'LCIA_AD-e'!H65</f>
        <v>0</v>
      </c>
      <c r="I75" s="137">
        <f>'LCIA_AD-e'!I65</f>
        <v>0</v>
      </c>
      <c r="J75" s="137">
        <f>'LCIA_AD-e'!J65</f>
        <v>0</v>
      </c>
      <c r="K75" s="137">
        <f>'LCIA_AD-e'!K65</f>
        <v>0</v>
      </c>
      <c r="L75" s="137">
        <f>'LCIA_AD-e'!L65</f>
        <v>0</v>
      </c>
      <c r="M75" s="137">
        <f>'LCIA_AD-e'!M65</f>
        <v>0</v>
      </c>
      <c r="N75" s="137">
        <f>'LCIA_AD-e'!N65</f>
        <v>0</v>
      </c>
      <c r="O75" s="137">
        <f>'LCIA_AD-e'!O65</f>
        <v>0</v>
      </c>
      <c r="P75" s="137">
        <f>'LCIA_AD-e'!P65</f>
        <v>0</v>
      </c>
      <c r="Q75" s="137">
        <f>'LCIA_AD-e'!Q65</f>
        <v>0</v>
      </c>
      <c r="R75" s="137">
        <f>'LCIA_AD-e'!R65</f>
        <v>0</v>
      </c>
      <c r="S75" s="137">
        <f>'LCIA_AD-e'!S65</f>
        <v>0</v>
      </c>
      <c r="T75" s="137">
        <f>'LCIA_AD-e'!T65</f>
        <v>0</v>
      </c>
      <c r="U75" s="137">
        <f>'LCIA_AD-e'!U65</f>
        <v>0</v>
      </c>
      <c r="V75" s="137">
        <f>'LCIA_AD-e'!V65</f>
        <v>0</v>
      </c>
      <c r="W75" s="137">
        <f>'LCIA_AD-e'!W65</f>
        <v>0</v>
      </c>
      <c r="X75" s="137">
        <f>'LCIA_AD-e'!X65</f>
        <v>0</v>
      </c>
      <c r="Y75" s="137">
        <f>'LCIA_AD-e'!Y65</f>
        <v>0</v>
      </c>
      <c r="Z75" s="137">
        <f>'LCIA_AD-e'!Z65</f>
        <v>0</v>
      </c>
      <c r="AA75" s="137">
        <f>'LCIA_AD-e'!AA65</f>
        <v>0</v>
      </c>
      <c r="AB75" s="137">
        <f>'LCIA_AD-e'!AB65</f>
        <v>0</v>
      </c>
      <c r="AC75" s="137">
        <f>'LCIA_AD-e'!AC65</f>
        <v>0</v>
      </c>
      <c r="AD75" s="137">
        <f>'LCIA_AD-e'!AD65</f>
        <v>0</v>
      </c>
      <c r="AE75" s="137">
        <f>'LCIA_AD-e'!AE65</f>
        <v>0</v>
      </c>
      <c r="AF75" s="137">
        <f>'LCIA_AD-e'!AF65</f>
        <v>0</v>
      </c>
      <c r="AG75" s="137">
        <f>'LCIA_AD-e'!AG65</f>
        <v>0</v>
      </c>
      <c r="AH75" s="137">
        <f>'LCIA_AD-e'!AH65</f>
        <v>0</v>
      </c>
      <c r="AI75" s="137">
        <f>'LCIA_AD-e'!AI65</f>
        <v>0</v>
      </c>
      <c r="AJ75" s="137">
        <f>'LCIA_AD-e'!AJ65</f>
        <v>0</v>
      </c>
      <c r="AK75" s="137">
        <f>'LCIA_AD-e'!AK65</f>
        <v>0</v>
      </c>
    </row>
    <row r="76" spans="1:37" x14ac:dyDescent="0.35">
      <c r="A76" s="137"/>
      <c r="B76" s="137" t="s">
        <v>145</v>
      </c>
      <c r="C76" s="137">
        <f>'LCIA_AD-e'!C66</f>
        <v>0</v>
      </c>
      <c r="D76" s="137">
        <f>'LCIA_AD-e'!D66</f>
        <v>0</v>
      </c>
      <c r="E76" s="137">
        <f>'LCIA_AD-e'!E66</f>
        <v>0</v>
      </c>
      <c r="F76" s="137">
        <f>'LCIA_AD-e'!F66</f>
        <v>0</v>
      </c>
      <c r="G76" s="137">
        <f>'LCIA_AD-e'!G66</f>
        <v>0</v>
      </c>
      <c r="H76" s="137">
        <f>'LCIA_AD-e'!H66</f>
        <v>0</v>
      </c>
      <c r="I76" s="137">
        <f>'LCIA_AD-e'!I66</f>
        <v>0</v>
      </c>
      <c r="J76" s="137">
        <f>'LCIA_AD-e'!J66</f>
        <v>0</v>
      </c>
      <c r="K76" s="137">
        <f>'LCIA_AD-e'!K66</f>
        <v>0</v>
      </c>
      <c r="L76" s="137">
        <f>'LCIA_AD-e'!L66</f>
        <v>0</v>
      </c>
      <c r="M76" s="137">
        <f>'LCIA_AD-e'!M66</f>
        <v>0</v>
      </c>
      <c r="N76" s="137">
        <f>'LCIA_AD-e'!N66</f>
        <v>0</v>
      </c>
      <c r="O76" s="137">
        <f>'LCIA_AD-e'!O66</f>
        <v>0</v>
      </c>
      <c r="P76" s="137">
        <f>'LCIA_AD-e'!P66</f>
        <v>0</v>
      </c>
      <c r="Q76" s="137">
        <f>'LCIA_AD-e'!Q66</f>
        <v>0</v>
      </c>
      <c r="R76" s="137">
        <f>'LCIA_AD-e'!R66</f>
        <v>0</v>
      </c>
      <c r="S76" s="137">
        <f>'LCIA_AD-e'!S66</f>
        <v>0</v>
      </c>
      <c r="T76" s="137">
        <f>'LCIA_AD-e'!T66</f>
        <v>0</v>
      </c>
      <c r="U76" s="137">
        <f>'LCIA_AD-e'!U66</f>
        <v>0</v>
      </c>
      <c r="V76" s="137">
        <f>'LCIA_AD-e'!V66</f>
        <v>0</v>
      </c>
      <c r="W76" s="137">
        <f>'LCIA_AD-e'!W66</f>
        <v>0</v>
      </c>
      <c r="X76" s="137">
        <f>'LCIA_AD-e'!X66</f>
        <v>0</v>
      </c>
      <c r="Y76" s="137">
        <f>'LCIA_AD-e'!Y66</f>
        <v>0</v>
      </c>
      <c r="Z76" s="137">
        <f>'LCIA_AD-e'!Z66</f>
        <v>0</v>
      </c>
      <c r="AA76" s="137">
        <f>'LCIA_AD-e'!AA66</f>
        <v>0</v>
      </c>
      <c r="AB76" s="137">
        <f>'LCIA_AD-e'!AB66</f>
        <v>0</v>
      </c>
      <c r="AC76" s="137">
        <f>'LCIA_AD-e'!AC66</f>
        <v>0</v>
      </c>
      <c r="AD76" s="137">
        <f>'LCIA_AD-e'!AD66</f>
        <v>0</v>
      </c>
      <c r="AE76" s="137">
        <f>'LCIA_AD-e'!AE66</f>
        <v>0</v>
      </c>
      <c r="AF76" s="137">
        <f>'LCIA_AD-e'!AF66</f>
        <v>0</v>
      </c>
      <c r="AG76" s="137">
        <f>'LCIA_AD-e'!AG66</f>
        <v>0</v>
      </c>
      <c r="AH76" s="137">
        <f>'LCIA_AD-e'!AH66</f>
        <v>0</v>
      </c>
      <c r="AI76" s="137">
        <f>'LCIA_AD-e'!AI66</f>
        <v>0</v>
      </c>
      <c r="AJ76" s="137">
        <f>'LCIA_AD-e'!AJ66</f>
        <v>0</v>
      </c>
      <c r="AK76" s="137">
        <f>'LCIA_AD-e'!AK66</f>
        <v>0</v>
      </c>
    </row>
    <row r="77" spans="1:37" x14ac:dyDescent="0.35">
      <c r="A77" s="137"/>
      <c r="B77" s="137" t="s">
        <v>8</v>
      </c>
      <c r="C77" s="137">
        <f>'LCIA_AD-e'!C67</f>
        <v>1.7913947869515948E-2</v>
      </c>
      <c r="D77" s="137">
        <f>'LCIA_AD-e'!D67</f>
        <v>5.4878147250895142E-3</v>
      </c>
      <c r="E77" s="137">
        <f>'LCIA_AD-e'!E67</f>
        <v>2.4142578186658168E-7</v>
      </c>
      <c r="F77" s="137">
        <f>'LCIA_AD-e'!F67</f>
        <v>7.3959127847985427E-8</v>
      </c>
      <c r="G77" s="137">
        <f>'LCIA_AD-e'!G67</f>
        <v>5.4908181855710048E-21</v>
      </c>
      <c r="H77" s="137">
        <f>'LCIA_AD-e'!H67</f>
        <v>3.166859181012673E-4</v>
      </c>
      <c r="I77" s="137">
        <f>'LCIA_AD-e'!I67</f>
        <v>1.5147310967386727E-2</v>
      </c>
      <c r="J77" s="137">
        <f>'LCIA_AD-e'!J67</f>
        <v>7.5256775196354405E-4</v>
      </c>
      <c r="K77" s="137">
        <f>'LCIA_AD-e'!K67</f>
        <v>1.3074373658562975E-6</v>
      </c>
      <c r="L77" s="137">
        <f>'LCIA_AD-e'!L67</f>
        <v>5.3063438843892383E-10</v>
      </c>
      <c r="M77" s="137">
        <f>'LCIA_AD-e'!M67</f>
        <v>1.0121111769706232E-8</v>
      </c>
      <c r="N77" s="137">
        <f>'LCIA_AD-e'!N67</f>
        <v>1.1999170431594101E-8</v>
      </c>
      <c r="O77" s="137">
        <f>'LCIA_AD-e'!O67</f>
        <v>6.3872749464158954E-9</v>
      </c>
      <c r="P77" s="137">
        <f>'LCIA_AD-e'!P67</f>
        <v>2.5239997202362825E-10</v>
      </c>
      <c r="Q77" s="137">
        <f>'LCIA_AD-e'!Q67</f>
        <v>7.7833282795662894E-9</v>
      </c>
      <c r="R77" s="137">
        <f>'LCIA_AD-e'!R67</f>
        <v>1.0082815637373712E-3</v>
      </c>
      <c r="S77" s="137">
        <f>'LCIA_AD-e'!S67</f>
        <v>7.1085658240872362E-4</v>
      </c>
      <c r="T77" s="137">
        <f>'LCIA_AD-e'!T67</f>
        <v>6.2500672036481615E-3</v>
      </c>
      <c r="U77" s="137">
        <f>'LCIA_AD-e'!U67</f>
        <v>6.784590361818151E-4</v>
      </c>
      <c r="V77" s="137">
        <f>'LCIA_AD-e'!V67</f>
        <v>5.8841167217862592E-8</v>
      </c>
      <c r="W77" s="137">
        <f>'LCIA_AD-e'!W67</f>
        <v>1.619361286090707E-8</v>
      </c>
      <c r="X77" s="137">
        <f>'LCIA_AD-e'!X67</f>
        <v>4.1445744985090538E-5</v>
      </c>
      <c r="Y77" s="137">
        <f>'LCIA_AD-e'!Y67</f>
        <v>2.8194118810815569E-12</v>
      </c>
      <c r="Z77" s="137">
        <f>'LCIA_AD-e'!Z67</f>
        <v>2.2822453093940083E-8</v>
      </c>
      <c r="AA77" s="137">
        <f>'LCIA_AD-e'!AA67</f>
        <v>9.6079571980076388E-4</v>
      </c>
      <c r="AB77" s="137">
        <f>'LCIA_AD-e'!AB67</f>
        <v>9.5510603417955074E-11</v>
      </c>
      <c r="AC77" s="137">
        <f>'LCIA_AD-e'!AC67</f>
        <v>2.0897929475856094E-3</v>
      </c>
      <c r="AD77" s="137">
        <f>'LCIA_AD-e'!AD67</f>
        <v>2.1477853670749236E-3</v>
      </c>
      <c r="AE77" s="137">
        <f>'LCIA_AD-e'!AE67</f>
        <v>5.9106686942310817E-4</v>
      </c>
      <c r="AF77" s="137">
        <f>'LCIA_AD-e'!AF67</f>
        <v>1.158911825639559E-4</v>
      </c>
      <c r="AG77" s="137">
        <f>'LCIA_AD-e'!AG67</f>
        <v>5.4215665058129088E-2</v>
      </c>
      <c r="AH77" s="137">
        <f>'LCIA_AD-e'!AH67</f>
        <v>4.5030910749052388E-7</v>
      </c>
      <c r="AI77" s="137">
        <f>'LCIA_AD-e'!AI67</f>
        <v>6.1552663645416226E-7</v>
      </c>
      <c r="AJ77" s="137">
        <f>'LCIA_AD-e'!AJ67</f>
        <v>7.5181894851007521E-8</v>
      </c>
      <c r="AK77" s="137">
        <f>'LCIA_AD-e'!AK67</f>
        <v>8.9735748024772357E-7</v>
      </c>
    </row>
    <row r="78" spans="1:37" x14ac:dyDescent="0.35">
      <c r="A78" s="142" t="s">
        <v>272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273</v>
      </c>
      <c r="C79" s="137">
        <f>'LCIA_AD-b'!C76</f>
        <v>5.941321709497055E-2</v>
      </c>
      <c r="D79" s="137">
        <f>'LCIA_AD-b'!D76</f>
        <v>1.8200830437469038E-2</v>
      </c>
      <c r="E79" s="137">
        <f>'LCIA_AD-b'!E76</f>
        <v>8.0071028981674757E-7</v>
      </c>
      <c r="F79" s="137">
        <f>'LCIA_AD-b'!F76</f>
        <v>2.4529209033060422E-7</v>
      </c>
      <c r="G79" s="137">
        <f>'LCIA_AD-b'!G76</f>
        <v>1.8210791683919161E-20</v>
      </c>
      <c r="H79" s="137">
        <f>'LCIA_AD-b'!H76</f>
        <v>1.0503172913151426E-3</v>
      </c>
      <c r="I79" s="137">
        <f>'LCIA_AD-b'!I76</f>
        <v>5.0237417316694115E-2</v>
      </c>
      <c r="J79" s="137">
        <f>'LCIA_AD-b'!J76</f>
        <v>2.4959585431288947E-3</v>
      </c>
      <c r="K79" s="137">
        <f>'LCIA_AD-b'!K76</f>
        <v>4.3362334545967166E-6</v>
      </c>
      <c r="L79" s="137">
        <f>'LCIA_AD-b'!L76</f>
        <v>1.7598966095032293E-9</v>
      </c>
      <c r="M79" s="137">
        <f>'LCIA_AD-b'!M76</f>
        <v>3.3567576237022196E-8</v>
      </c>
      <c r="N79" s="137">
        <f>'LCIA_AD-b'!N76</f>
        <v>3.9796326471676582E-8</v>
      </c>
      <c r="O79" s="137">
        <f>'LCIA_AD-b'!O76</f>
        <v>2.1183971048751753E-8</v>
      </c>
      <c r="P79" s="137">
        <f>'LCIA_AD-b'!P76</f>
        <v>8.3710717714673815E-10</v>
      </c>
      <c r="Q79" s="137">
        <f>'LCIA_AD-b'!Q76</f>
        <v>2.5814107318142541E-8</v>
      </c>
      <c r="R79" s="137">
        <f>'LCIA_AD-b'!R76</f>
        <v>3.3440563674479156E-3</v>
      </c>
      <c r="S79" s="137">
        <f>'LCIA_AD-b'!S76</f>
        <v>2.3576197029080408E-3</v>
      </c>
      <c r="T79" s="137">
        <f>'LCIA_AD-b'!T76</f>
        <v>2.0728909246208366E-2</v>
      </c>
      <c r="U79" s="137">
        <f>'LCIA_AD-b'!U76</f>
        <v>2.2501703309804181E-3</v>
      </c>
      <c r="V79" s="137">
        <f>'LCIA_AD-b'!V76</f>
        <v>1.9515201604361924E-7</v>
      </c>
      <c r="W79" s="137">
        <f>'LCIA_AD-b'!W76</f>
        <v>5.3707571522757606E-8</v>
      </c>
      <c r="X79" s="137">
        <f>'LCIA_AD-b'!X76</f>
        <v>1.3745853579557772E-4</v>
      </c>
      <c r="Y79" s="137">
        <f>'LCIA_AD-b'!Y76</f>
        <v>9.350832736087678E-12</v>
      </c>
      <c r="Z79" s="137">
        <f>'LCIA_AD-b'!Z76</f>
        <v>7.5692715541361229E-8</v>
      </c>
      <c r="AA79" s="137">
        <f>'LCIA_AD-b'!AA76</f>
        <v>3.1865653009731433E-3</v>
      </c>
      <c r="AB79" s="137">
        <f>'LCIA_AD-b'!AB76</f>
        <v>3.1676949475771441E-10</v>
      </c>
      <c r="AC79" s="137">
        <f>'LCIA_AD-b'!AC76</f>
        <v>6.9309860106116965E-3</v>
      </c>
      <c r="AD79" s="137">
        <f>'LCIA_AD-b'!AD76</f>
        <v>7.1233230785811997E-3</v>
      </c>
      <c r="AE79" s="137">
        <f>'LCIA_AD-b'!AE76</f>
        <v>1.9603263605806531E-3</v>
      </c>
      <c r="AF79" s="137">
        <f>'LCIA_AD-b'!AF76</f>
        <v>3.8436351602776152E-4</v>
      </c>
      <c r="AG79" s="137">
        <f>'LCIA_AD-b'!AG76</f>
        <v>0.17981112267989818</v>
      </c>
      <c r="AH79" s="137">
        <f>'LCIA_AD-b'!AH76</f>
        <v>1.4934906006232479E-6</v>
      </c>
      <c r="AI79" s="137">
        <f>'LCIA_AD-b'!AI76</f>
        <v>2.0414493748538704E-6</v>
      </c>
      <c r="AJ79" s="137">
        <f>'LCIA_AD-b'!AJ76</f>
        <v>2.4934750692198234E-7</v>
      </c>
      <c r="AK79" s="137">
        <f>'LCIA_AD-b'!AK76</f>
        <v>2.9761666816324373E-6</v>
      </c>
    </row>
    <row r="80" spans="1:37" x14ac:dyDescent="0.35">
      <c r="A80" s="137"/>
      <c r="B80" s="137" t="s">
        <v>427</v>
      </c>
      <c r="C80" s="137">
        <f>'LCIA_AD-b'!C77</f>
        <v>2.3927860879237855E-2</v>
      </c>
      <c r="D80" s="137">
        <f>'LCIA_AD-b'!D77</f>
        <v>9.3982693693031565E-3</v>
      </c>
      <c r="E80" s="137">
        <f>'LCIA_AD-b'!E77</f>
        <v>3.2247512180132789E-7</v>
      </c>
      <c r="F80" s="137">
        <f>'LCIA_AD-b'!F77</f>
        <v>1.2666021734594175E-7</v>
      </c>
      <c r="G80" s="137">
        <f>'LCIA_AD-b'!G77</f>
        <v>3.4384901450135348E-20</v>
      </c>
      <c r="H80" s="137">
        <f>'LCIA_AD-b'!H77</f>
        <v>5.2699305270092621E-4</v>
      </c>
      <c r="I80" s="137">
        <f>'LCIA_AD-b'!I77</f>
        <v>0.771888101592899</v>
      </c>
      <c r="J80" s="137">
        <f>'LCIA_AD-b'!J77</f>
        <v>1.7392727279660594E-3</v>
      </c>
      <c r="K80" s="137">
        <f>'LCIA_AD-b'!K77</f>
        <v>3.3038576931669239E-3</v>
      </c>
      <c r="L80" s="137">
        <f>'LCIA_AD-b'!L77</f>
        <v>4.6379122373405724E-9</v>
      </c>
      <c r="M80" s="137">
        <f>'LCIA_AD-b'!M77</f>
        <v>3.090306240842176E-8</v>
      </c>
      <c r="N80" s="137">
        <f>'LCIA_AD-b'!N77</f>
        <v>2.2266811540084483E-7</v>
      </c>
      <c r="O80" s="137">
        <f>'LCIA_AD-b'!O77</f>
        <v>1.6787822412705222E-7</v>
      </c>
      <c r="P80" s="137">
        <f>'LCIA_AD-b'!P77</f>
        <v>2.0429078388411279E-11</v>
      </c>
      <c r="Q80" s="137">
        <f>'LCIA_AD-b'!Q77</f>
        <v>3.9204143252886534E-10</v>
      </c>
      <c r="R80" s="137">
        <f>'LCIA_AD-b'!R77</f>
        <v>1.1917674922248857E-3</v>
      </c>
      <c r="S80" s="137">
        <f>'LCIA_AD-b'!S77</f>
        <v>2.6718941156176975E-3</v>
      </c>
      <c r="T80" s="137">
        <f>'LCIA_AD-b'!T77</f>
        <v>7.747704384545878E-3</v>
      </c>
      <c r="U80" s="137">
        <f>'LCIA_AD-b'!U77</f>
        <v>8.4102932992518383E-4</v>
      </c>
      <c r="V80" s="137">
        <f>'LCIA_AD-b'!V77</f>
        <v>6.9065453059477657E-6</v>
      </c>
      <c r="W80" s="137">
        <f>'LCIA_AD-b'!W77</f>
        <v>3.3775060616058159E-6</v>
      </c>
      <c r="X80" s="137">
        <f>'LCIA_AD-b'!X77</f>
        <v>4.0405249660761478E-2</v>
      </c>
      <c r="Y80" s="137">
        <f>'LCIA_AD-b'!Y77</f>
        <v>1.3309147451561656E-12</v>
      </c>
      <c r="Z80" s="137">
        <f>'LCIA_AD-b'!Z77</f>
        <v>4.7412405843175289E-8</v>
      </c>
      <c r="AA80" s="137">
        <f>'LCIA_AD-b'!AA77</f>
        <v>1.8411387774203525E-3</v>
      </c>
      <c r="AB80" s="137">
        <f>'LCIA_AD-b'!AB77</f>
        <v>1.865853585345612E-10</v>
      </c>
      <c r="AC80" s="137">
        <f>'LCIA_AD-b'!AC77</f>
        <v>4.0495154398232022E-3</v>
      </c>
      <c r="AD80" s="137">
        <f>'LCIA_AD-b'!AD77</f>
        <v>0.2520892232869627</v>
      </c>
      <c r="AE80" s="137">
        <f>'LCIA_AD-b'!AE77</f>
        <v>0.12327897124861212</v>
      </c>
      <c r="AF80" s="137">
        <f>'LCIA_AD-b'!AF77</f>
        <v>1.5288188252654906E-5</v>
      </c>
      <c r="AG80" s="137">
        <f>'LCIA_AD-b'!AG77</f>
        <v>1.2449300223664808</v>
      </c>
      <c r="AH80" s="137">
        <f>'LCIA_AD-b'!AH77</f>
        <v>9.2275936159386523E-7</v>
      </c>
      <c r="AI80" s="137">
        <f>'LCIA_AD-b'!AI77</f>
        <v>-3.7305252814221088E-9</v>
      </c>
      <c r="AJ80" s="137">
        <f>'LCIA_AD-b'!AJ77</f>
        <v>-4.5565527604516964E-10</v>
      </c>
      <c r="AK80" s="137">
        <f>'LCIA_AD-b'!AK77</f>
        <v>3.604785788667278E-6</v>
      </c>
    </row>
    <row r="81" spans="1:37" x14ac:dyDescent="0.35">
      <c r="A81" s="143" t="s">
        <v>287</v>
      </c>
      <c r="B81" s="137"/>
      <c r="C81" s="137">
        <f>'LCIA_AD-b'!C78</f>
        <v>0</v>
      </c>
      <c r="D81" s="137">
        <f>'LCIA_AD-b'!D78</f>
        <v>0</v>
      </c>
      <c r="E81" s="137">
        <f>'LCIA_AD-b'!E78</f>
        <v>0</v>
      </c>
      <c r="F81" s="137">
        <f>'LCIA_AD-b'!F78</f>
        <v>0</v>
      </c>
      <c r="G81" s="137">
        <f>'LCIA_AD-b'!G78</f>
        <v>0</v>
      </c>
      <c r="H81" s="137">
        <f>'LCIA_AD-b'!H78</f>
        <v>0</v>
      </c>
      <c r="I81" s="137">
        <f>'LCIA_AD-b'!I78</f>
        <v>0</v>
      </c>
      <c r="J81" s="137">
        <f>'LCIA_AD-b'!J78</f>
        <v>0</v>
      </c>
      <c r="K81" s="137">
        <f>'LCIA_AD-b'!K78</f>
        <v>0</v>
      </c>
      <c r="L81" s="137">
        <f>'LCIA_AD-b'!L78</f>
        <v>0</v>
      </c>
      <c r="M81" s="137">
        <f>'LCIA_AD-b'!M78</f>
        <v>0</v>
      </c>
      <c r="N81" s="137">
        <f>'LCIA_AD-b'!N78</f>
        <v>0</v>
      </c>
      <c r="O81" s="137">
        <f>'LCIA_AD-b'!O78</f>
        <v>0</v>
      </c>
      <c r="P81" s="137">
        <f>'LCIA_AD-b'!P78</f>
        <v>0</v>
      </c>
      <c r="Q81" s="137">
        <f>'LCIA_AD-b'!Q78</f>
        <v>0</v>
      </c>
      <c r="R81" s="137">
        <f>'LCIA_AD-b'!R78</f>
        <v>0</v>
      </c>
      <c r="S81" s="137">
        <f>'LCIA_AD-b'!S78</f>
        <v>0</v>
      </c>
      <c r="T81" s="137">
        <f>'LCIA_AD-b'!T78</f>
        <v>0</v>
      </c>
      <c r="U81" s="137">
        <f>'LCIA_AD-b'!U78</f>
        <v>0</v>
      </c>
      <c r="V81" s="137">
        <f>'LCIA_AD-b'!V78</f>
        <v>0</v>
      </c>
      <c r="W81" s="137">
        <f>'LCIA_AD-b'!W78</f>
        <v>0</v>
      </c>
      <c r="X81" s="137">
        <f>'LCIA_AD-b'!X78</f>
        <v>0</v>
      </c>
      <c r="Y81" s="137">
        <f>'LCIA_AD-b'!Y78</f>
        <v>0</v>
      </c>
      <c r="Z81" s="137">
        <f>'LCIA_AD-b'!Z78</f>
        <v>0</v>
      </c>
      <c r="AA81" s="137">
        <f>'LCIA_AD-b'!AA78</f>
        <v>0</v>
      </c>
      <c r="AB81" s="137">
        <f>'LCIA_AD-b'!AB78</f>
        <v>0</v>
      </c>
      <c r="AC81" s="137">
        <f>'LCIA_AD-b'!AC78</f>
        <v>0</v>
      </c>
      <c r="AD81" s="137">
        <f>'LCIA_AD-b'!AD78</f>
        <v>0</v>
      </c>
      <c r="AE81" s="137">
        <f>'LCIA_AD-b'!AE78</f>
        <v>0</v>
      </c>
      <c r="AF81" s="137">
        <f>'LCIA_AD-b'!AF78</f>
        <v>0</v>
      </c>
      <c r="AG81" s="137">
        <f>'LCIA_AD-b'!AG78</f>
        <v>0</v>
      </c>
      <c r="AH81" s="137">
        <f>'LCIA_AD-b'!AH78</f>
        <v>0</v>
      </c>
      <c r="AI81" s="137">
        <f>'LCIA_AD-b'!AI78</f>
        <v>0</v>
      </c>
      <c r="AJ81" s="137">
        <f>'LCIA_AD-b'!AJ78</f>
        <v>0</v>
      </c>
      <c r="AK81" s="137">
        <f>'LCIA_AD-b'!AK78</f>
        <v>0</v>
      </c>
    </row>
    <row r="82" spans="1:37" x14ac:dyDescent="0.35">
      <c r="A82" s="137"/>
      <c r="B82" s="137" t="s">
        <v>96</v>
      </c>
      <c r="C82" s="137">
        <f>'LCIA_AD-b'!C79</f>
        <v>5.473873158817244E-2</v>
      </c>
      <c r="D82" s="137">
        <f>'LCIA_AD-b'!D79</f>
        <v>0.20789348138295874</v>
      </c>
      <c r="E82" s="137">
        <f>'LCIA_AD-b'!E79</f>
        <v>7.3771237743456607E-7</v>
      </c>
      <c r="F82" s="137">
        <f>'LCIA_AD-b'!F79</f>
        <v>2.8017773692361324E-6</v>
      </c>
      <c r="G82" s="137">
        <f>'LCIA_AD-b'!G79</f>
        <v>0</v>
      </c>
      <c r="H82" s="137">
        <f>'LCIA_AD-b'!H79</f>
        <v>0</v>
      </c>
      <c r="I82" s="137">
        <f>'LCIA_AD-b'!I79</f>
        <v>0</v>
      </c>
      <c r="J82" s="137">
        <f>'LCIA_AD-b'!J79</f>
        <v>0</v>
      </c>
      <c r="K82" s="137">
        <f>'LCIA_AD-b'!K79</f>
        <v>0</v>
      </c>
      <c r="L82" s="137">
        <f>'LCIA_AD-b'!L79</f>
        <v>0</v>
      </c>
      <c r="M82" s="137">
        <f>'LCIA_AD-b'!M79</f>
        <v>0</v>
      </c>
      <c r="N82" s="137">
        <f>'LCIA_AD-b'!N79</f>
        <v>0</v>
      </c>
      <c r="O82" s="137">
        <f>'LCIA_AD-b'!O79</f>
        <v>0</v>
      </c>
      <c r="P82" s="137">
        <f>'LCIA_AD-b'!P79</f>
        <v>0</v>
      </c>
      <c r="Q82" s="137">
        <f>'LCIA_AD-b'!Q79</f>
        <v>0</v>
      </c>
      <c r="R82" s="137">
        <f>'LCIA_AD-b'!R79</f>
        <v>0</v>
      </c>
      <c r="S82" s="137">
        <f>'LCIA_AD-b'!S79</f>
        <v>0</v>
      </c>
      <c r="T82" s="137">
        <f>'LCIA_AD-b'!T79</f>
        <v>0</v>
      </c>
      <c r="U82" s="137">
        <f>'LCIA_AD-b'!U79</f>
        <v>0</v>
      </c>
      <c r="V82" s="137">
        <f>'LCIA_AD-b'!V79</f>
        <v>0</v>
      </c>
      <c r="W82" s="137">
        <f>'LCIA_AD-b'!W79</f>
        <v>0</v>
      </c>
      <c r="X82" s="137">
        <f>'LCIA_AD-b'!X79</f>
        <v>0</v>
      </c>
      <c r="Y82" s="137">
        <f>'LCIA_AD-b'!Y79</f>
        <v>0</v>
      </c>
      <c r="Z82" s="137">
        <f>'LCIA_AD-b'!Z79</f>
        <v>0</v>
      </c>
      <c r="AA82" s="137">
        <f>'LCIA_AD-b'!AA79</f>
        <v>0</v>
      </c>
      <c r="AB82" s="137">
        <f>'LCIA_AD-b'!AB79</f>
        <v>0</v>
      </c>
      <c r="AC82" s="137">
        <f>'LCIA_AD-b'!AC79</f>
        <v>0</v>
      </c>
      <c r="AD82" s="137">
        <f>'LCIA_AD-b'!AD79</f>
        <v>0</v>
      </c>
      <c r="AE82" s="137">
        <f>'LCIA_AD-b'!AE79</f>
        <v>0</v>
      </c>
      <c r="AF82" s="137">
        <f>'LCIA_AD-b'!AF79</f>
        <v>0</v>
      </c>
      <c r="AG82" s="137">
        <f>'LCIA_AD-b'!AG79</f>
        <v>0.26263221297113121</v>
      </c>
      <c r="AH82" s="137">
        <f>'LCIA_AD-b'!AH79</f>
        <v>3.5394897466522031E-6</v>
      </c>
      <c r="AI82" s="137">
        <f>'LCIA_AD-b'!AI79</f>
        <v>0</v>
      </c>
      <c r="AJ82" s="137">
        <f>'LCIA_AD-b'!AJ79</f>
        <v>0</v>
      </c>
      <c r="AK82" s="137">
        <f>'LCIA_AD-b'!AK79</f>
        <v>0</v>
      </c>
    </row>
    <row r="83" spans="1:37" x14ac:dyDescent="0.35">
      <c r="A83" s="137"/>
      <c r="B83" s="137" t="s">
        <v>111</v>
      </c>
      <c r="C83" s="137">
        <f>'LCIA_AD-b'!C80</f>
        <v>3.169059580847164</v>
      </c>
      <c r="D83" s="137">
        <f>'LCIA_AD-b'!D80</f>
        <v>2.3510828283278671</v>
      </c>
      <c r="E83" s="137">
        <f>'LCIA_AD-b'!E80</f>
        <v>4.2709328656122845E-5</v>
      </c>
      <c r="F83" s="137">
        <f>'LCIA_AD-b'!F80</f>
        <v>3.168547849958029E-5</v>
      </c>
      <c r="G83" s="137">
        <f>'LCIA_AD-b'!G80</f>
        <v>0</v>
      </c>
      <c r="H83" s="137">
        <f>'LCIA_AD-b'!H80</f>
        <v>0</v>
      </c>
      <c r="I83" s="137">
        <f>'LCIA_AD-b'!I80</f>
        <v>0</v>
      </c>
      <c r="J83" s="137">
        <f>'LCIA_AD-b'!J80</f>
        <v>0</v>
      </c>
      <c r="K83" s="137">
        <f>'LCIA_AD-b'!K80</f>
        <v>0</v>
      </c>
      <c r="L83" s="137">
        <f>'LCIA_AD-b'!L80</f>
        <v>0</v>
      </c>
      <c r="M83" s="137">
        <f>'LCIA_AD-b'!M80</f>
        <v>0</v>
      </c>
      <c r="N83" s="137">
        <f>'LCIA_AD-b'!N80</f>
        <v>0</v>
      </c>
      <c r="O83" s="137">
        <f>'LCIA_AD-b'!O80</f>
        <v>0</v>
      </c>
      <c r="P83" s="137">
        <f>'LCIA_AD-b'!P80</f>
        <v>0</v>
      </c>
      <c r="Q83" s="137">
        <f>'LCIA_AD-b'!Q80</f>
        <v>0</v>
      </c>
      <c r="R83" s="137">
        <f>'LCIA_AD-b'!R80</f>
        <v>0</v>
      </c>
      <c r="S83" s="137">
        <f>'LCIA_AD-b'!S80</f>
        <v>0</v>
      </c>
      <c r="T83" s="137">
        <f>'LCIA_AD-b'!T80</f>
        <v>0</v>
      </c>
      <c r="U83" s="137">
        <f>'LCIA_AD-b'!U80</f>
        <v>0</v>
      </c>
      <c r="V83" s="137">
        <f>'LCIA_AD-b'!V80</f>
        <v>0</v>
      </c>
      <c r="W83" s="137">
        <f>'LCIA_AD-b'!W80</f>
        <v>0</v>
      </c>
      <c r="X83" s="137">
        <f>'LCIA_AD-b'!X80</f>
        <v>0</v>
      </c>
      <c r="Y83" s="137">
        <f>'LCIA_AD-b'!Y80</f>
        <v>0</v>
      </c>
      <c r="Z83" s="137">
        <f>'LCIA_AD-b'!Z80</f>
        <v>0</v>
      </c>
      <c r="AA83" s="137">
        <f>'LCIA_AD-b'!AA80</f>
        <v>0</v>
      </c>
      <c r="AB83" s="137">
        <f>'LCIA_AD-b'!AB80</f>
        <v>0</v>
      </c>
      <c r="AC83" s="137">
        <f>'LCIA_AD-b'!AC80</f>
        <v>0</v>
      </c>
      <c r="AD83" s="137">
        <f>'LCIA_AD-b'!AD80</f>
        <v>0</v>
      </c>
      <c r="AE83" s="137">
        <f>'LCIA_AD-b'!AE80</f>
        <v>0</v>
      </c>
      <c r="AF83" s="137">
        <f>'LCIA_AD-b'!AF80</f>
        <v>0</v>
      </c>
      <c r="AG83" s="137">
        <f>'LCIA_AD-b'!AG80</f>
        <v>5.5201424091750306</v>
      </c>
      <c r="AH83" s="137">
        <f>'LCIA_AD-b'!AH80</f>
        <v>7.4394807155421568E-5</v>
      </c>
      <c r="AI83" s="137">
        <f>'LCIA_AD-b'!AI80</f>
        <v>0</v>
      </c>
      <c r="AJ83" s="137">
        <f>'LCIA_AD-b'!AJ80</f>
        <v>0</v>
      </c>
      <c r="AK83" s="137">
        <f>'LCIA_AD-b'!AK80</f>
        <v>0</v>
      </c>
    </row>
    <row r="84" spans="1:37" x14ac:dyDescent="0.35">
      <c r="A84" s="137"/>
      <c r="B84" s="137" t="s">
        <v>110</v>
      </c>
      <c r="C84" s="137">
        <f>'LCIA_AD-b'!C81</f>
        <v>0</v>
      </c>
      <c r="D84" s="137">
        <f>'LCIA_AD-b'!D81</f>
        <v>0</v>
      </c>
      <c r="E84" s="137">
        <f>'LCIA_AD-b'!E81</f>
        <v>0</v>
      </c>
      <c r="F84" s="137">
        <f>'LCIA_AD-b'!F81</f>
        <v>0</v>
      </c>
      <c r="G84" s="137">
        <f>'LCIA_AD-b'!G81</f>
        <v>0</v>
      </c>
      <c r="H84" s="137">
        <f>'LCIA_AD-b'!H81</f>
        <v>0.3744384376249299</v>
      </c>
      <c r="I84" s="137">
        <f>'LCIA_AD-b'!I81</f>
        <v>0</v>
      </c>
      <c r="J84" s="137">
        <f>'LCIA_AD-b'!J81</f>
        <v>0</v>
      </c>
      <c r="K84" s="137">
        <f>'LCIA_AD-b'!K81</f>
        <v>0</v>
      </c>
      <c r="L84" s="137">
        <f>'LCIA_AD-b'!L81</f>
        <v>0</v>
      </c>
      <c r="M84" s="137">
        <f>'LCIA_AD-b'!M81</f>
        <v>0</v>
      </c>
      <c r="N84" s="137">
        <f>'LCIA_AD-b'!N81</f>
        <v>0</v>
      </c>
      <c r="O84" s="137">
        <f>'LCIA_AD-b'!O81</f>
        <v>0</v>
      </c>
      <c r="P84" s="137">
        <f>'LCIA_AD-b'!P81</f>
        <v>0</v>
      </c>
      <c r="Q84" s="137">
        <f>'LCIA_AD-b'!Q81</f>
        <v>0</v>
      </c>
      <c r="R84" s="137">
        <f>'LCIA_AD-b'!R81</f>
        <v>0</v>
      </c>
      <c r="S84" s="137">
        <f>'LCIA_AD-b'!S81</f>
        <v>0</v>
      </c>
      <c r="T84" s="137">
        <f>'LCIA_AD-b'!T81</f>
        <v>0</v>
      </c>
      <c r="U84" s="137">
        <f>'LCIA_AD-b'!U81</f>
        <v>0</v>
      </c>
      <c r="V84" s="137">
        <f>'LCIA_AD-b'!V81</f>
        <v>0</v>
      </c>
      <c r="W84" s="137">
        <f>'LCIA_AD-b'!W81</f>
        <v>0</v>
      </c>
      <c r="X84" s="137">
        <f>'LCIA_AD-b'!X81</f>
        <v>0.14374573964671425</v>
      </c>
      <c r="Y84" s="137">
        <f>'LCIA_AD-b'!Y81</f>
        <v>0</v>
      </c>
      <c r="Z84" s="137">
        <f>'LCIA_AD-b'!Z81</f>
        <v>3.5968540350410269E-5</v>
      </c>
      <c r="AA84" s="137">
        <f>'LCIA_AD-b'!AA81</f>
        <v>0</v>
      </c>
      <c r="AB84" s="137">
        <f>'LCIA_AD-b'!AB81</f>
        <v>0</v>
      </c>
      <c r="AC84" s="137">
        <f>'LCIA_AD-b'!AC81</f>
        <v>4.8275111024190469</v>
      </c>
      <c r="AD84" s="137">
        <f>'LCIA_AD-b'!AD81</f>
        <v>0</v>
      </c>
      <c r="AE84" s="137">
        <f>'LCIA_AD-b'!AE81</f>
        <v>0</v>
      </c>
      <c r="AF84" s="137">
        <f>'LCIA_AD-b'!AF81</f>
        <v>0</v>
      </c>
      <c r="AG84" s="137">
        <f>'LCIA_AD-b'!AG81</f>
        <v>5.3456952796906911</v>
      </c>
      <c r="AH84" s="137">
        <f>'LCIA_AD-b'!AH81</f>
        <v>3.5968540350014874E-5</v>
      </c>
      <c r="AI84" s="137">
        <f>'LCIA_AD-b'!AI81</f>
        <v>0</v>
      </c>
      <c r="AJ84" s="137">
        <f>'LCIA_AD-b'!AJ81</f>
        <v>0</v>
      </c>
      <c r="AK84" s="137">
        <f>'LCIA_AD-b'!AK81</f>
        <v>0</v>
      </c>
    </row>
    <row r="85" spans="1:37" x14ac:dyDescent="0.35">
      <c r="A85" s="137"/>
      <c r="B85" s="137" t="s">
        <v>288</v>
      </c>
      <c r="C85" s="137">
        <f>'LCIA_AD-b'!C82</f>
        <v>0</v>
      </c>
      <c r="D85" s="137">
        <f>'LCIA_AD-b'!D82</f>
        <v>0</v>
      </c>
      <c r="E85" s="137">
        <f>'LCIA_AD-b'!E82</f>
        <v>0</v>
      </c>
      <c r="F85" s="137">
        <f>'LCIA_AD-b'!F82</f>
        <v>0</v>
      </c>
      <c r="G85" s="137">
        <f>'LCIA_AD-b'!G82</f>
        <v>0</v>
      </c>
      <c r="H85" s="137">
        <f>'LCIA_AD-b'!H82</f>
        <v>0</v>
      </c>
      <c r="I85" s="137">
        <f>'LCIA_AD-b'!I82</f>
        <v>0</v>
      </c>
      <c r="J85" s="137">
        <f>'LCIA_AD-b'!J82</f>
        <v>0</v>
      </c>
      <c r="K85" s="137">
        <f>'LCIA_AD-b'!K82</f>
        <v>0</v>
      </c>
      <c r="L85" s="137">
        <f>'LCIA_AD-b'!L82</f>
        <v>0</v>
      </c>
      <c r="M85" s="137">
        <f>'LCIA_AD-b'!M82</f>
        <v>0</v>
      </c>
      <c r="N85" s="137">
        <f>'LCIA_AD-b'!N82</f>
        <v>0</v>
      </c>
      <c r="O85" s="137">
        <f>'LCIA_AD-b'!O82</f>
        <v>0</v>
      </c>
      <c r="P85" s="137">
        <f>'LCIA_AD-b'!P82</f>
        <v>0</v>
      </c>
      <c r="Q85" s="137">
        <f>'LCIA_AD-b'!Q82</f>
        <v>0</v>
      </c>
      <c r="R85" s="137">
        <f>'LCIA_AD-b'!R82</f>
        <v>0</v>
      </c>
      <c r="S85" s="137">
        <f>'LCIA_AD-b'!S82</f>
        <v>0</v>
      </c>
      <c r="T85" s="137">
        <f>'LCIA_AD-b'!T82</f>
        <v>0</v>
      </c>
      <c r="U85" s="137">
        <f>'LCIA_AD-b'!U82</f>
        <v>0</v>
      </c>
      <c r="V85" s="137">
        <f>'LCIA_AD-b'!V82</f>
        <v>0</v>
      </c>
      <c r="W85" s="137">
        <f>'LCIA_AD-b'!W82</f>
        <v>0</v>
      </c>
      <c r="X85" s="137">
        <f>'LCIA_AD-b'!X82</f>
        <v>0</v>
      </c>
      <c r="Y85" s="137">
        <f>'LCIA_AD-b'!Y82</f>
        <v>0</v>
      </c>
      <c r="Z85" s="137">
        <f>'LCIA_AD-b'!Z82</f>
        <v>0</v>
      </c>
      <c r="AA85" s="137">
        <f>'LCIA_AD-b'!AA82</f>
        <v>7.8076707234924367E-2</v>
      </c>
      <c r="AB85" s="137">
        <f>'LCIA_AD-b'!AB82</f>
        <v>5.059520896744001E-9</v>
      </c>
      <c r="AC85" s="137">
        <f>'LCIA_AD-b'!AC82</f>
        <v>0</v>
      </c>
      <c r="AD85" s="137">
        <f>'LCIA_AD-b'!AD82</f>
        <v>0</v>
      </c>
      <c r="AE85" s="137">
        <f>'LCIA_AD-b'!AE82</f>
        <v>0</v>
      </c>
      <c r="AF85" s="137">
        <f>'LCIA_AD-b'!AF82</f>
        <v>0</v>
      </c>
      <c r="AG85" s="137">
        <f>'LCIA_AD-b'!AG82</f>
        <v>7.8076707234924367E-2</v>
      </c>
      <c r="AH85" s="137">
        <f>'LCIA_AD-b'!AH82</f>
        <v>5.0595208901371961E-9</v>
      </c>
      <c r="AI85" s="137">
        <f>'LCIA_AD-b'!AI82</f>
        <v>0</v>
      </c>
      <c r="AJ85" s="137">
        <f>'LCIA_AD-b'!AJ82</f>
        <v>0</v>
      </c>
      <c r="AK85" s="137">
        <f>'LCIA_AD-b'!AK82</f>
        <v>0</v>
      </c>
    </row>
    <row r="86" spans="1:37" x14ac:dyDescent="0.35">
      <c r="A86" s="137"/>
      <c r="B86" s="137" t="s">
        <v>123</v>
      </c>
      <c r="C86" s="137">
        <f>'LCIA_AD-b'!C83</f>
        <v>0</v>
      </c>
      <c r="D86" s="137">
        <f>'LCIA_AD-b'!D83</f>
        <v>0</v>
      </c>
      <c r="E86" s="137">
        <f>'LCIA_AD-b'!E83</f>
        <v>0</v>
      </c>
      <c r="F86" s="137">
        <f>'LCIA_AD-b'!F83</f>
        <v>0</v>
      </c>
      <c r="G86" s="137">
        <f>'LCIA_AD-b'!G83</f>
        <v>0</v>
      </c>
      <c r="H86" s="137">
        <f>'LCIA_AD-b'!H83</f>
        <v>0</v>
      </c>
      <c r="I86" s="137">
        <f>'LCIA_AD-b'!I83</f>
        <v>0</v>
      </c>
      <c r="J86" s="137">
        <f>'LCIA_AD-b'!J83</f>
        <v>0</v>
      </c>
      <c r="K86" s="137">
        <f>'LCIA_AD-b'!K83</f>
        <v>0</v>
      </c>
      <c r="L86" s="137">
        <f>'LCIA_AD-b'!L83</f>
        <v>0</v>
      </c>
      <c r="M86" s="137">
        <f>'LCIA_AD-b'!M83</f>
        <v>0</v>
      </c>
      <c r="N86" s="137">
        <f>'LCIA_AD-b'!N83</f>
        <v>0</v>
      </c>
      <c r="O86" s="137">
        <f>'LCIA_AD-b'!O83</f>
        <v>0</v>
      </c>
      <c r="P86" s="137">
        <f>'LCIA_AD-b'!P83</f>
        <v>0</v>
      </c>
      <c r="Q86" s="137">
        <f>'LCIA_AD-b'!Q83</f>
        <v>0</v>
      </c>
      <c r="R86" s="137">
        <f>'LCIA_AD-b'!R83</f>
        <v>0</v>
      </c>
      <c r="S86" s="137">
        <f>'LCIA_AD-b'!S83</f>
        <v>0</v>
      </c>
      <c r="T86" s="137">
        <f>'LCIA_AD-b'!T83</f>
        <v>0</v>
      </c>
      <c r="U86" s="137">
        <f>'LCIA_AD-b'!U83</f>
        <v>0</v>
      </c>
      <c r="V86" s="137">
        <f>'LCIA_AD-b'!V83</f>
        <v>0</v>
      </c>
      <c r="W86" s="137">
        <f>'LCIA_AD-b'!W83</f>
        <v>0</v>
      </c>
      <c r="X86" s="137">
        <f>'LCIA_AD-b'!X83</f>
        <v>0</v>
      </c>
      <c r="Y86" s="137">
        <f>'LCIA_AD-b'!Y83</f>
        <v>0</v>
      </c>
      <c r="Z86" s="137">
        <f>'LCIA_AD-b'!Z83</f>
        <v>0</v>
      </c>
      <c r="AA86" s="137">
        <f>'LCIA_AD-b'!AA83</f>
        <v>0</v>
      </c>
      <c r="AB86" s="137">
        <f>'LCIA_AD-b'!AB83</f>
        <v>0</v>
      </c>
      <c r="AC86" s="137">
        <f>'LCIA_AD-b'!AC83</f>
        <v>0</v>
      </c>
      <c r="AD86" s="137">
        <f>'LCIA_AD-b'!AD83</f>
        <v>0</v>
      </c>
      <c r="AE86" s="137">
        <f>'LCIA_AD-b'!AE83</f>
        <v>0</v>
      </c>
      <c r="AF86" s="137">
        <f>'LCIA_AD-b'!AF83</f>
        <v>0</v>
      </c>
      <c r="AG86" s="137">
        <f>'LCIA_AD-b'!AG83</f>
        <v>0</v>
      </c>
      <c r="AH86" s="137">
        <f>'LCIA_AD-b'!AH83</f>
        <v>0</v>
      </c>
      <c r="AI86" s="137">
        <f>'LCIA_AD-b'!AI83</f>
        <v>0</v>
      </c>
      <c r="AJ86" s="137">
        <f>'LCIA_AD-b'!AJ83</f>
        <v>0</v>
      </c>
      <c r="AK86" s="137">
        <f>'LCIA_AD-b'!AK83</f>
        <v>0</v>
      </c>
    </row>
    <row r="87" spans="1:37" x14ac:dyDescent="0.35">
      <c r="A87" s="137"/>
      <c r="B87" s="137" t="s">
        <v>273</v>
      </c>
      <c r="C87" s="137">
        <f>'LCIA_AD-b'!C84</f>
        <v>9.1997397298889227E-2</v>
      </c>
      <c r="D87" s="137">
        <f>'LCIA_AD-b'!D84</f>
        <v>2.8182769942402236E-2</v>
      </c>
      <c r="E87" s="137">
        <f>'LCIA_AD-b'!E84</f>
        <v>1.2398463886550895E-6</v>
      </c>
      <c r="F87" s="137">
        <f>'LCIA_AD-b'!F84</f>
        <v>3.7981841401296377E-7</v>
      </c>
      <c r="G87" s="137">
        <f>'LCIA_AD-b'!G84</f>
        <v>2.819819426702347E-20</v>
      </c>
      <c r="H87" s="137">
        <f>'LCIA_AD-b'!H84</f>
        <v>1.6263461543339314E-3</v>
      </c>
      <c r="I87" s="137">
        <f>'LCIA_AD-b'!I84</f>
        <v>7.7789284373648959E-2</v>
      </c>
      <c r="J87" s="137">
        <f>'LCIA_AD-b'!J84</f>
        <v>3.8648250500682552E-3</v>
      </c>
      <c r="K87" s="137">
        <f>'LCIA_AD-b'!K84</f>
        <v>6.7143678024639186E-6</v>
      </c>
      <c r="L87" s="137">
        <f>'LCIA_AD-b'!L84</f>
        <v>2.7250823218448872E-9</v>
      </c>
      <c r="M87" s="137">
        <f>'LCIA_AD-b'!M84</f>
        <v>5.1977149167024323E-8</v>
      </c>
      <c r="N87" s="137">
        <f>'LCIA_AD-b'!N84</f>
        <v>6.1621952765137466E-8</v>
      </c>
      <c r="O87" s="137">
        <f>'LCIA_AD-b'!O84</f>
        <v>3.2801963876572476E-8</v>
      </c>
      <c r="P87" s="137">
        <f>'LCIA_AD-b'!P84</f>
        <v>1.2962045370244614E-9</v>
      </c>
      <c r="Q87" s="137">
        <f>'LCIA_AD-b'!Q84</f>
        <v>3.9971420552218461E-8</v>
      </c>
      <c r="R87" s="137">
        <f>'LCIA_AD-b'!R84</f>
        <v>5.1780478699583656E-3</v>
      </c>
      <c r="S87" s="137">
        <f>'LCIA_AD-b'!S84</f>
        <v>3.6506165983474547E-3</v>
      </c>
      <c r="T87" s="137">
        <f>'LCIA_AD-b'!T84</f>
        <v>3.2097331077826474E-2</v>
      </c>
      <c r="U87" s="137">
        <f>'LCIA_AD-b'!U84</f>
        <v>3.4842384245660119E-3</v>
      </c>
      <c r="V87" s="137">
        <f>'LCIA_AD-b'!V84</f>
        <v>3.0217985881737148E-7</v>
      </c>
      <c r="W87" s="137">
        <f>'LCIA_AD-b'!W84</f>
        <v>8.3162586322158654E-8</v>
      </c>
      <c r="X87" s="137">
        <f>'LCIA_AD-b'!X84</f>
        <v>2.128453591310383E-4</v>
      </c>
      <c r="Y87" s="137">
        <f>'LCIA_AD-b'!Y84</f>
        <v>1.4479139766530832E-11</v>
      </c>
      <c r="Z87" s="137">
        <f>'LCIA_AD-b'!Z84</f>
        <v>1.1720511301650913E-7</v>
      </c>
      <c r="AA87" s="137">
        <f>'LCIA_AD-b'!AA84</f>
        <v>4.934183475435755E-3</v>
      </c>
      <c r="AB87" s="137">
        <f>'LCIA_AD-b'!AB84</f>
        <v>4.9049639939226234E-10</v>
      </c>
      <c r="AC87" s="137">
        <f>'LCIA_AD-b'!AC84</f>
        <v>1.0732168781098783E-2</v>
      </c>
      <c r="AD87" s="137">
        <f>'LCIA_AD-b'!AD84</f>
        <v>1.1029989880888913E-2</v>
      </c>
      <c r="AE87" s="137">
        <f>'LCIA_AD-b'!AE84</f>
        <v>3.0354344007587917E-3</v>
      </c>
      <c r="AF87" s="137">
        <f>'LCIA_AD-b'!AF84</f>
        <v>5.9516122540008507E-4</v>
      </c>
      <c r="AG87" s="137">
        <f>'LCIA_AD-b'!AG84</f>
        <v>0.27842551036244478</v>
      </c>
      <c r="AH87" s="137">
        <f>'LCIA_AD-b'!AH84</f>
        <v>2.3125704155704539E-6</v>
      </c>
      <c r="AI87" s="137">
        <f>'LCIA_AD-b'!AI84</f>
        <v>3.1610479685655485E-6</v>
      </c>
      <c r="AJ87" s="137">
        <f>'LCIA_AD-b'!AJ84</f>
        <v>3.8609795566399319E-7</v>
      </c>
      <c r="AK87" s="137">
        <f>'LCIA_AD-b'!AK84</f>
        <v>4.6083952700321599E-6</v>
      </c>
    </row>
    <row r="88" spans="1:37" x14ac:dyDescent="0.35">
      <c r="A88" s="137"/>
      <c r="B88" s="137" t="s">
        <v>289</v>
      </c>
      <c r="C88" s="137">
        <f>'LCIA_AD-b'!C85</f>
        <v>0.1039147518015076</v>
      </c>
      <c r="D88" s="137">
        <f>'LCIA_AD-b'!D85</f>
        <v>4.1067095735330933E-2</v>
      </c>
      <c r="E88" s="137">
        <f>'LCIA_AD-b'!E85</f>
        <v>1.4004562469360723E-6</v>
      </c>
      <c r="F88" s="137">
        <f>'LCIA_AD-b'!F85</f>
        <v>5.5346011773115295E-7</v>
      </c>
      <c r="G88" s="137">
        <f>'LCIA_AD-b'!G85</f>
        <v>1.6130521335353439E-20</v>
      </c>
      <c r="H88" s="137">
        <f>'LCIA_AD-b'!H85</f>
        <v>2.7054070426269952E-3</v>
      </c>
      <c r="I88" s="137">
        <f>'LCIA_AD-b'!I85</f>
        <v>2.4196440073787778E-2</v>
      </c>
      <c r="J88" s="137">
        <f>'LCIA_AD-b'!J85</f>
        <v>1.7630583606476537E-2</v>
      </c>
      <c r="K88" s="137">
        <f>'LCIA_AD-b'!K85</f>
        <v>2.4472117590483638E-5</v>
      </c>
      <c r="L88" s="137">
        <f>'LCIA_AD-b'!L85</f>
        <v>1.3576808019091356E-9</v>
      </c>
      <c r="M88" s="137">
        <f>'LCIA_AD-b'!M85</f>
        <v>5.1572925418878274E-8</v>
      </c>
      <c r="N88" s="137">
        <f>'LCIA_AD-b'!N85</f>
        <v>3.3872872795680431E-8</v>
      </c>
      <c r="O88" s="137">
        <f>'LCIA_AD-b'!O85</f>
        <v>2.6288935372440298E-8</v>
      </c>
      <c r="P88" s="137">
        <f>'LCIA_AD-b'!P85</f>
        <v>1.2683791297072126E-11</v>
      </c>
      <c r="Q88" s="137">
        <f>'LCIA_AD-b'!Q85</f>
        <v>2.3580294814971754E-10</v>
      </c>
      <c r="R88" s="137">
        <f>'LCIA_AD-b'!R85</f>
        <v>2.1090311924351537E-3</v>
      </c>
      <c r="S88" s="137">
        <f>'LCIA_AD-b'!S85</f>
        <v>1.8992751976227653E-2</v>
      </c>
      <c r="T88" s="137">
        <f>'LCIA_AD-b'!T85</f>
        <v>3.6140715903243067E-2</v>
      </c>
      <c r="U88" s="137">
        <f>'LCIA_AD-b'!U85</f>
        <v>3.923152069951294E-3</v>
      </c>
      <c r="V88" s="137">
        <f>'LCIA_AD-b'!V85</f>
        <v>8.3831586723194238E-9</v>
      </c>
      <c r="W88" s="137">
        <f>'LCIA_AD-b'!W85</f>
        <v>7.400687754511597E-9</v>
      </c>
      <c r="X88" s="137">
        <f>'LCIA_AD-b'!X85</f>
        <v>9.0097723477391967E-4</v>
      </c>
      <c r="Y88" s="137">
        <f>'LCIA_AD-b'!Y85</f>
        <v>5.6978286394437733E-11</v>
      </c>
      <c r="Z88" s="137">
        <f>'LCIA_AD-b'!Z85</f>
        <v>1.6243641906731715E-7</v>
      </c>
      <c r="AA88" s="137">
        <f>'LCIA_AD-b'!AA85</f>
        <v>1.271342860162961E-2</v>
      </c>
      <c r="AB88" s="137">
        <f>'LCIA_AD-b'!AB85</f>
        <v>1.0601852933367218E-9</v>
      </c>
      <c r="AC88" s="137">
        <f>'LCIA_AD-b'!AC85</f>
        <v>1.7420512120229357E-2</v>
      </c>
      <c r="AD88" s="137">
        <f>'LCIA_AD-b'!AD85</f>
        <v>3.0603630298783007E-4</v>
      </c>
      <c r="AE88" s="137">
        <f>'LCIA_AD-b'!AE85</f>
        <v>2.7012510303967328E-4</v>
      </c>
      <c r="AF88" s="137">
        <f>'LCIA_AD-b'!AF85</f>
        <v>1.1860112818669014E-5</v>
      </c>
      <c r="AG88" s="137">
        <f>'LCIA_AD-b'!AG85</f>
        <v>0.28233095249588547</v>
      </c>
      <c r="AH88" s="137">
        <f>'LCIA_AD-b'!AH85</f>
        <v>2.2647638813528062E-6</v>
      </c>
      <c r="AI88" s="137">
        <f>'LCIA_AD-b'!AI85</f>
        <v>2.7808295331522901E-7</v>
      </c>
      <c r="AJ88" s="137">
        <f>'LCIA_AD-b'!AJ85</f>
        <v>3.3965716701470755E-8</v>
      </c>
      <c r="AK88" s="137">
        <f>'LCIA_AD-b'!AK85</f>
        <v>3.3176217455392112E-6</v>
      </c>
    </row>
    <row r="89" spans="1:37" x14ac:dyDescent="0.35">
      <c r="A89" s="143" t="s">
        <v>353</v>
      </c>
      <c r="B89" s="137"/>
      <c r="C89" s="142">
        <f>SUM(C90:C94)</f>
        <v>0.6709591915439802</v>
      </c>
      <c r="D89" s="142">
        <f>SUM(D90:D94)</f>
        <v>0.49777563138339692</v>
      </c>
      <c r="E89" s="142">
        <f t="shared" ref="E89:AK89" si="8">SUM(E90:E94)</f>
        <v>9.042498537953601E-6</v>
      </c>
      <c r="F89" s="142">
        <f t="shared" si="8"/>
        <v>6.7085084692788741E-6</v>
      </c>
      <c r="G89" s="142">
        <f t="shared" si="8"/>
        <v>0</v>
      </c>
      <c r="H89" s="142">
        <f t="shared" si="8"/>
        <v>0.14579389891956177</v>
      </c>
      <c r="I89" s="142">
        <f t="shared" si="8"/>
        <v>0</v>
      </c>
      <c r="J89" s="142">
        <f t="shared" si="8"/>
        <v>0</v>
      </c>
      <c r="K89" s="142">
        <f t="shared" si="8"/>
        <v>-0.12351800454149389</v>
      </c>
      <c r="L89" s="142">
        <f t="shared" si="8"/>
        <v>0</v>
      </c>
      <c r="M89" s="142">
        <f t="shared" si="8"/>
        <v>0</v>
      </c>
      <c r="N89" s="142">
        <f t="shared" si="8"/>
        <v>0</v>
      </c>
      <c r="O89" s="142">
        <f t="shared" si="8"/>
        <v>0</v>
      </c>
      <c r="P89" s="142">
        <f t="shared" si="8"/>
        <v>0</v>
      </c>
      <c r="Q89" s="142">
        <f t="shared" si="8"/>
        <v>0</v>
      </c>
      <c r="R89" s="142">
        <f t="shared" si="8"/>
        <v>0</v>
      </c>
      <c r="S89" s="142">
        <f t="shared" si="8"/>
        <v>0</v>
      </c>
      <c r="T89" s="142">
        <f t="shared" si="8"/>
        <v>0</v>
      </c>
      <c r="U89" s="142">
        <f t="shared" si="8"/>
        <v>0</v>
      </c>
      <c r="V89" s="142">
        <f t="shared" si="8"/>
        <v>0</v>
      </c>
      <c r="W89" s="142">
        <f t="shared" si="8"/>
        <v>0</v>
      </c>
      <c r="X89" s="142">
        <f t="shared" si="8"/>
        <v>5.2932055936233882</v>
      </c>
      <c r="Y89" s="142">
        <f t="shared" si="8"/>
        <v>0</v>
      </c>
      <c r="Z89" s="142">
        <f t="shared" si="8"/>
        <v>1.4004955712866033E-5</v>
      </c>
      <c r="AA89" s="142">
        <f t="shared" si="8"/>
        <v>0</v>
      </c>
      <c r="AB89" s="142">
        <f t="shared" si="8"/>
        <v>0</v>
      </c>
      <c r="AC89" s="142">
        <f t="shared" si="8"/>
        <v>1.8796725842664521</v>
      </c>
      <c r="AD89" s="142">
        <f t="shared" si="8"/>
        <v>0</v>
      </c>
      <c r="AE89" s="142">
        <f t="shared" si="8"/>
        <v>0</v>
      </c>
      <c r="AF89" s="142">
        <f t="shared" si="8"/>
        <v>0</v>
      </c>
      <c r="AG89" s="142">
        <f t="shared" si="8"/>
        <v>8.3638888951952861</v>
      </c>
      <c r="AH89" s="142">
        <f t="shared" si="8"/>
        <v>2.975596271988494E-5</v>
      </c>
      <c r="AI89" s="142">
        <f t="shared" si="8"/>
        <v>0</v>
      </c>
      <c r="AJ89" s="142">
        <f t="shared" si="8"/>
        <v>0</v>
      </c>
      <c r="AK89" s="142">
        <f t="shared" si="8"/>
        <v>0</v>
      </c>
    </row>
    <row r="90" spans="1:37" x14ac:dyDescent="0.35">
      <c r="A90" s="137"/>
      <c r="B90" s="137" t="s">
        <v>111</v>
      </c>
      <c r="C90" s="137">
        <f>'LCIA_AD-b'!C87</f>
        <v>0.6709591915439802</v>
      </c>
      <c r="D90" s="137">
        <f>'LCIA_AD-b'!D87</f>
        <v>0.49777563138339692</v>
      </c>
      <c r="E90" s="137">
        <f>'LCIA_AD-b'!E87</f>
        <v>9.042498537953601E-6</v>
      </c>
      <c r="F90" s="137">
        <f>'LCIA_AD-b'!F87</f>
        <v>6.7085084692788741E-6</v>
      </c>
      <c r="G90" s="137">
        <f>'LCIA_AD-b'!G87</f>
        <v>0</v>
      </c>
      <c r="H90" s="137">
        <f>'LCIA_AD-b'!H87</f>
        <v>0</v>
      </c>
      <c r="I90" s="137">
        <f>'LCIA_AD-b'!I87</f>
        <v>0</v>
      </c>
      <c r="J90" s="137">
        <f>'LCIA_AD-b'!J87</f>
        <v>0</v>
      </c>
      <c r="K90" s="137">
        <f>'LCIA_AD-b'!K87</f>
        <v>0</v>
      </c>
      <c r="L90" s="137">
        <f>'LCIA_AD-b'!L87</f>
        <v>0</v>
      </c>
      <c r="M90" s="137">
        <f>'LCIA_AD-b'!M87</f>
        <v>0</v>
      </c>
      <c r="N90" s="137">
        <f>'LCIA_AD-b'!N87</f>
        <v>0</v>
      </c>
      <c r="O90" s="137">
        <f>'LCIA_AD-b'!O87</f>
        <v>0</v>
      </c>
      <c r="P90" s="137">
        <f>'LCIA_AD-b'!P87</f>
        <v>0</v>
      </c>
      <c r="Q90" s="137">
        <f>'LCIA_AD-b'!Q87</f>
        <v>0</v>
      </c>
      <c r="R90" s="137">
        <f>'LCIA_AD-b'!R87</f>
        <v>0</v>
      </c>
      <c r="S90" s="137">
        <f>'LCIA_AD-b'!S87</f>
        <v>0</v>
      </c>
      <c r="T90" s="137">
        <f>'LCIA_AD-b'!T87</f>
        <v>0</v>
      </c>
      <c r="U90" s="137">
        <f>'LCIA_AD-b'!U87</f>
        <v>0</v>
      </c>
      <c r="V90" s="137">
        <f>'LCIA_AD-b'!V87</f>
        <v>0</v>
      </c>
      <c r="W90" s="137">
        <f>'LCIA_AD-b'!W87</f>
        <v>0</v>
      </c>
      <c r="X90" s="137">
        <f>'LCIA_AD-b'!X87</f>
        <v>0</v>
      </c>
      <c r="Y90" s="137">
        <f>'LCIA_AD-b'!Y87</f>
        <v>0</v>
      </c>
      <c r="Z90" s="137">
        <f>'LCIA_AD-b'!Z87</f>
        <v>0</v>
      </c>
      <c r="AA90" s="137">
        <f>'LCIA_AD-b'!AA87</f>
        <v>0</v>
      </c>
      <c r="AB90" s="137">
        <f>'LCIA_AD-b'!AB87</f>
        <v>0</v>
      </c>
      <c r="AC90" s="137">
        <f>'LCIA_AD-b'!AC87</f>
        <v>0</v>
      </c>
      <c r="AD90" s="137">
        <f>'LCIA_AD-b'!AD87</f>
        <v>0</v>
      </c>
      <c r="AE90" s="137">
        <f>'LCIA_AD-b'!AE87</f>
        <v>0</v>
      </c>
      <c r="AF90" s="137">
        <f>'LCIA_AD-b'!AF87</f>
        <v>0</v>
      </c>
      <c r="AG90" s="137">
        <f>'LCIA_AD-b'!AG87</f>
        <v>1.1687348229273771</v>
      </c>
      <c r="AH90" s="137">
        <f>'LCIA_AD-b'!AH87</f>
        <v>1.5751007007172863E-5</v>
      </c>
      <c r="AI90" s="137">
        <f>'LCIA_AD-b'!AI87</f>
        <v>0</v>
      </c>
      <c r="AJ90" s="137">
        <f>'LCIA_AD-b'!AJ87</f>
        <v>0</v>
      </c>
      <c r="AK90" s="137">
        <f>'LCIA_AD-b'!AK87</f>
        <v>0</v>
      </c>
    </row>
    <row r="91" spans="1:37" x14ac:dyDescent="0.35">
      <c r="A91" s="137"/>
      <c r="B91" s="137" t="s">
        <v>110</v>
      </c>
      <c r="C91" s="137">
        <f>'LCIA_AD-b'!C88</f>
        <v>0</v>
      </c>
      <c r="D91" s="137">
        <f>'LCIA_AD-b'!D88</f>
        <v>0</v>
      </c>
      <c r="E91" s="137">
        <f>'LCIA_AD-b'!E88</f>
        <v>0</v>
      </c>
      <c r="F91" s="137">
        <f>'LCIA_AD-b'!F88</f>
        <v>0</v>
      </c>
      <c r="G91" s="137">
        <f>'LCIA_AD-b'!G88</f>
        <v>0</v>
      </c>
      <c r="H91" s="137">
        <f>'LCIA_AD-b'!H88</f>
        <v>0.14579389891956177</v>
      </c>
      <c r="I91" s="137">
        <f>'LCIA_AD-b'!I88</f>
        <v>0</v>
      </c>
      <c r="J91" s="137">
        <f>'LCIA_AD-b'!J88</f>
        <v>0</v>
      </c>
      <c r="K91" s="137">
        <f>'LCIA_AD-b'!K88</f>
        <v>0</v>
      </c>
      <c r="L91" s="137">
        <f>'LCIA_AD-b'!L88</f>
        <v>0</v>
      </c>
      <c r="M91" s="137">
        <f>'LCIA_AD-b'!M88</f>
        <v>0</v>
      </c>
      <c r="N91" s="137">
        <f>'LCIA_AD-b'!N88</f>
        <v>0</v>
      </c>
      <c r="O91" s="137">
        <f>'LCIA_AD-b'!O88</f>
        <v>0</v>
      </c>
      <c r="P91" s="137">
        <f>'LCIA_AD-b'!P88</f>
        <v>0</v>
      </c>
      <c r="Q91" s="137">
        <f>'LCIA_AD-b'!Q88</f>
        <v>0</v>
      </c>
      <c r="R91" s="137">
        <f>'LCIA_AD-b'!R88</f>
        <v>0</v>
      </c>
      <c r="S91" s="137">
        <f>'LCIA_AD-b'!S88</f>
        <v>0</v>
      </c>
      <c r="T91" s="137">
        <f>'LCIA_AD-b'!T88</f>
        <v>0</v>
      </c>
      <c r="U91" s="137">
        <f>'LCIA_AD-b'!U88</f>
        <v>0</v>
      </c>
      <c r="V91" s="137">
        <f>'LCIA_AD-b'!V88</f>
        <v>0</v>
      </c>
      <c r="W91" s="137">
        <f>'LCIA_AD-b'!W88</f>
        <v>0</v>
      </c>
      <c r="X91" s="137">
        <f>'LCIA_AD-b'!X88</f>
        <v>5.5969819682784028E-2</v>
      </c>
      <c r="Y91" s="137">
        <f>'LCIA_AD-b'!Y88</f>
        <v>0</v>
      </c>
      <c r="Z91" s="137">
        <f>'LCIA_AD-b'!Z88</f>
        <v>1.4004955712866033E-5</v>
      </c>
      <c r="AA91" s="137">
        <f>'LCIA_AD-b'!AA88</f>
        <v>0</v>
      </c>
      <c r="AB91" s="137">
        <f>'LCIA_AD-b'!AB88</f>
        <v>0</v>
      </c>
      <c r="AC91" s="137">
        <f>'LCIA_AD-b'!AC88</f>
        <v>1.8796725842664521</v>
      </c>
      <c r="AD91" s="137">
        <f>'LCIA_AD-b'!AD88</f>
        <v>0</v>
      </c>
      <c r="AE91" s="137">
        <f>'LCIA_AD-b'!AE88</f>
        <v>0</v>
      </c>
      <c r="AF91" s="137">
        <f>'LCIA_AD-b'!AF88</f>
        <v>0</v>
      </c>
      <c r="AG91" s="137">
        <f>'LCIA_AD-b'!AG88</f>
        <v>2.0814363028687981</v>
      </c>
      <c r="AH91" s="137">
        <f>'LCIA_AD-b'!AH88</f>
        <v>1.4004955712712078E-5</v>
      </c>
      <c r="AI91" s="137">
        <f>'LCIA_AD-b'!AI88</f>
        <v>0</v>
      </c>
      <c r="AJ91" s="137">
        <f>'LCIA_AD-b'!AJ88</f>
        <v>0</v>
      </c>
      <c r="AK91" s="137">
        <f>'LCIA_AD-b'!AK88</f>
        <v>0</v>
      </c>
    </row>
    <row r="92" spans="1:37" x14ac:dyDescent="0.35">
      <c r="A92" s="137"/>
      <c r="B92" s="137" t="s">
        <v>114</v>
      </c>
      <c r="C92" s="137">
        <f>'LCIA_AD-b'!C89</f>
        <v>0</v>
      </c>
      <c r="D92" s="137">
        <f>'LCIA_AD-b'!D89</f>
        <v>0</v>
      </c>
      <c r="E92" s="137">
        <f>'LCIA_AD-b'!E89</f>
        <v>0</v>
      </c>
      <c r="F92" s="137">
        <f>'LCIA_AD-b'!F89</f>
        <v>0</v>
      </c>
      <c r="G92" s="137">
        <f>'LCIA_AD-b'!G89</f>
        <v>0</v>
      </c>
      <c r="H92" s="137">
        <f>'LCIA_AD-b'!H89</f>
        <v>0</v>
      </c>
      <c r="I92" s="137">
        <f>'LCIA_AD-b'!I89</f>
        <v>0</v>
      </c>
      <c r="J92" s="137">
        <f>'LCIA_AD-b'!J89</f>
        <v>0</v>
      </c>
      <c r="K92" s="137">
        <f>'LCIA_AD-b'!K89</f>
        <v>0</v>
      </c>
      <c r="L92" s="137">
        <f>'LCIA_AD-b'!L89</f>
        <v>0</v>
      </c>
      <c r="M92" s="137">
        <f>'LCIA_AD-b'!M89</f>
        <v>0</v>
      </c>
      <c r="N92" s="137">
        <f>'LCIA_AD-b'!N89</f>
        <v>0</v>
      </c>
      <c r="O92" s="137">
        <f>'LCIA_AD-b'!O89</f>
        <v>0</v>
      </c>
      <c r="P92" s="137">
        <f>'LCIA_AD-b'!P89</f>
        <v>0</v>
      </c>
      <c r="Q92" s="137">
        <f>'LCIA_AD-b'!Q89</f>
        <v>0</v>
      </c>
      <c r="R92" s="137">
        <f>'LCIA_AD-b'!R89</f>
        <v>0</v>
      </c>
      <c r="S92" s="137">
        <f>'LCIA_AD-b'!S89</f>
        <v>0</v>
      </c>
      <c r="T92" s="137">
        <f>'LCIA_AD-b'!T89</f>
        <v>0</v>
      </c>
      <c r="U92" s="137">
        <f>'LCIA_AD-b'!U89</f>
        <v>0</v>
      </c>
      <c r="V92" s="137">
        <f>'LCIA_AD-b'!V89</f>
        <v>0</v>
      </c>
      <c r="W92" s="137">
        <f>'LCIA_AD-b'!W89</f>
        <v>0</v>
      </c>
      <c r="X92" s="137">
        <f>'LCIA_AD-b'!X89</f>
        <v>5.2372357739406041</v>
      </c>
      <c r="Y92" s="137">
        <f>'LCIA_AD-b'!Y89</f>
        <v>0</v>
      </c>
      <c r="Z92" s="137">
        <f>'LCIA_AD-b'!Z89</f>
        <v>0</v>
      </c>
      <c r="AA92" s="137">
        <f>'LCIA_AD-b'!AA89</f>
        <v>0</v>
      </c>
      <c r="AB92" s="137">
        <f>'LCIA_AD-b'!AB89</f>
        <v>0</v>
      </c>
      <c r="AC92" s="137">
        <f>'LCIA_AD-b'!AC89</f>
        <v>0</v>
      </c>
      <c r="AD92" s="137">
        <f>'LCIA_AD-b'!AD89</f>
        <v>0</v>
      </c>
      <c r="AE92" s="137">
        <f>'LCIA_AD-b'!AE89</f>
        <v>0</v>
      </c>
      <c r="AF92" s="137">
        <f>'LCIA_AD-b'!AF89</f>
        <v>0</v>
      </c>
      <c r="AG92" s="137">
        <f>'LCIA_AD-b'!AG89</f>
        <v>5.2372357739406041</v>
      </c>
      <c r="AH92" s="137">
        <f>'LCIA_AD-b'!AH89</f>
        <v>0</v>
      </c>
      <c r="AI92" s="137">
        <f>'LCIA_AD-b'!AI89</f>
        <v>0</v>
      </c>
      <c r="AJ92" s="137">
        <f>'LCIA_AD-b'!AJ89</f>
        <v>0</v>
      </c>
      <c r="AK92" s="137">
        <f>'LCIA_AD-b'!AK89</f>
        <v>0</v>
      </c>
    </row>
    <row r="93" spans="1:37" x14ac:dyDescent="0.35">
      <c r="A93" s="137"/>
      <c r="B93" s="137" t="s">
        <v>414</v>
      </c>
      <c r="C93" s="137">
        <f>'LCIA_AD-b'!C90</f>
        <v>0</v>
      </c>
      <c r="D93" s="137">
        <f>'LCIA_AD-b'!D90</f>
        <v>0</v>
      </c>
      <c r="E93" s="137">
        <f>'LCIA_AD-b'!E90</f>
        <v>0</v>
      </c>
      <c r="F93" s="137">
        <f>'LCIA_AD-b'!F90</f>
        <v>0</v>
      </c>
      <c r="G93" s="137">
        <f>'LCIA_AD-b'!G90</f>
        <v>0</v>
      </c>
      <c r="H93" s="137">
        <f>'LCIA_AD-b'!H90</f>
        <v>0</v>
      </c>
      <c r="I93" s="137">
        <f>'LCIA_AD-b'!I90</f>
        <v>0</v>
      </c>
      <c r="J93" s="137">
        <f>'LCIA_AD-b'!J90</f>
        <v>0</v>
      </c>
      <c r="K93" s="137">
        <f>'LCIA_AD-b'!K90</f>
        <v>-0.12351800454149389</v>
      </c>
      <c r="L93" s="137">
        <f>'LCIA_AD-b'!L90</f>
        <v>0</v>
      </c>
      <c r="M93" s="137">
        <f>'LCIA_AD-b'!M90</f>
        <v>0</v>
      </c>
      <c r="N93" s="137">
        <f>'LCIA_AD-b'!N90</f>
        <v>0</v>
      </c>
      <c r="O93" s="137">
        <f>'LCIA_AD-b'!O90</f>
        <v>0</v>
      </c>
      <c r="P93" s="137">
        <f>'LCIA_AD-b'!P90</f>
        <v>0</v>
      </c>
      <c r="Q93" s="137">
        <f>'LCIA_AD-b'!Q90</f>
        <v>0</v>
      </c>
      <c r="R93" s="137">
        <f>'LCIA_AD-b'!R90</f>
        <v>0</v>
      </c>
      <c r="S93" s="137">
        <f>'LCIA_AD-b'!S90</f>
        <v>0</v>
      </c>
      <c r="T93" s="137">
        <f>'LCIA_AD-b'!T90</f>
        <v>0</v>
      </c>
      <c r="U93" s="137">
        <f>'LCIA_AD-b'!U90</f>
        <v>0</v>
      </c>
      <c r="V93" s="137">
        <f>'LCIA_AD-b'!V90</f>
        <v>0</v>
      </c>
      <c r="W93" s="137">
        <f>'LCIA_AD-b'!W90</f>
        <v>0</v>
      </c>
      <c r="X93" s="137">
        <f>'LCIA_AD-b'!X90</f>
        <v>0</v>
      </c>
      <c r="Y93" s="137">
        <f>'LCIA_AD-b'!Y90</f>
        <v>0</v>
      </c>
      <c r="Z93" s="137">
        <f>'LCIA_AD-b'!Z90</f>
        <v>0</v>
      </c>
      <c r="AA93" s="137">
        <f>'LCIA_AD-b'!AA90</f>
        <v>0</v>
      </c>
      <c r="AB93" s="137">
        <f>'LCIA_AD-b'!AB90</f>
        <v>0</v>
      </c>
      <c r="AC93" s="137">
        <f>'LCIA_AD-b'!AC90</f>
        <v>0</v>
      </c>
      <c r="AD93" s="137">
        <f>'LCIA_AD-b'!AD90</f>
        <v>0</v>
      </c>
      <c r="AE93" s="137">
        <f>'LCIA_AD-b'!AE90</f>
        <v>0</v>
      </c>
      <c r="AF93" s="137">
        <f>'LCIA_AD-b'!AF90</f>
        <v>0</v>
      </c>
      <c r="AG93" s="137">
        <f>'LCIA_AD-b'!AG90</f>
        <v>-0.12351800454149389</v>
      </c>
      <c r="AH93" s="137">
        <f>'LCIA_AD-b'!AH90</f>
        <v>0</v>
      </c>
      <c r="AI93" s="137">
        <f>'LCIA_AD-b'!AI90</f>
        <v>0</v>
      </c>
      <c r="AJ93" s="137">
        <f>'LCIA_AD-b'!AJ90</f>
        <v>0</v>
      </c>
      <c r="AK93" s="137">
        <f>'LCIA_AD-b'!AK90</f>
        <v>0</v>
      </c>
    </row>
    <row r="94" spans="1:37" x14ac:dyDescent="0.35">
      <c r="A94" s="137"/>
      <c r="B94" s="137" t="s">
        <v>415</v>
      </c>
      <c r="C94" s="137">
        <f>'LCIA_AD-b'!C91</f>
        <v>0</v>
      </c>
      <c r="D94" s="137">
        <f>'LCIA_AD-b'!D91</f>
        <v>0</v>
      </c>
      <c r="E94" s="137">
        <f>'LCIA_AD-b'!E91</f>
        <v>0</v>
      </c>
      <c r="F94" s="137">
        <f>'LCIA_AD-b'!F91</f>
        <v>0</v>
      </c>
      <c r="G94" s="137">
        <f>'LCIA_AD-b'!G91</f>
        <v>0</v>
      </c>
      <c r="H94" s="137">
        <f>'LCIA_AD-b'!H91</f>
        <v>0</v>
      </c>
      <c r="I94" s="137">
        <f>'LCIA_AD-b'!I91</f>
        <v>0</v>
      </c>
      <c r="J94" s="137">
        <f>'LCIA_AD-b'!J91</f>
        <v>0</v>
      </c>
      <c r="K94" s="137">
        <f>'LCIA_AD-b'!K91</f>
        <v>0</v>
      </c>
      <c r="L94" s="137">
        <f>'LCIA_AD-b'!L91</f>
        <v>0</v>
      </c>
      <c r="M94" s="137">
        <f>'LCIA_AD-b'!M91</f>
        <v>0</v>
      </c>
      <c r="N94" s="137">
        <f>'LCIA_AD-b'!N91</f>
        <v>0</v>
      </c>
      <c r="O94" s="137">
        <f>'LCIA_AD-b'!O91</f>
        <v>0</v>
      </c>
      <c r="P94" s="137">
        <f>'LCIA_AD-b'!P91</f>
        <v>0</v>
      </c>
      <c r="Q94" s="137">
        <f>'LCIA_AD-b'!Q91</f>
        <v>0</v>
      </c>
      <c r="R94" s="137">
        <f>'LCIA_AD-b'!R91</f>
        <v>0</v>
      </c>
      <c r="S94" s="137">
        <f>'LCIA_AD-b'!S91</f>
        <v>0</v>
      </c>
      <c r="T94" s="137">
        <f>'LCIA_AD-b'!T91</f>
        <v>0</v>
      </c>
      <c r="U94" s="137">
        <f>'LCIA_AD-b'!U91</f>
        <v>0</v>
      </c>
      <c r="V94" s="137">
        <f>'LCIA_AD-b'!V91</f>
        <v>0</v>
      </c>
      <c r="W94" s="137">
        <f>'LCIA_AD-b'!W91</f>
        <v>0</v>
      </c>
      <c r="X94" s="137">
        <f>'LCIA_AD-b'!X91</f>
        <v>0</v>
      </c>
      <c r="Y94" s="137">
        <f>'LCIA_AD-b'!Y91</f>
        <v>0</v>
      </c>
      <c r="Z94" s="137">
        <f>'LCIA_AD-b'!Z91</f>
        <v>0</v>
      </c>
      <c r="AA94" s="137">
        <f>'LCIA_AD-b'!AA91</f>
        <v>0</v>
      </c>
      <c r="AB94" s="137">
        <f>'LCIA_AD-b'!AB91</f>
        <v>0</v>
      </c>
      <c r="AC94" s="137">
        <f>'LCIA_AD-b'!AC91</f>
        <v>0</v>
      </c>
      <c r="AD94" s="137">
        <f>'LCIA_AD-b'!AD91</f>
        <v>0</v>
      </c>
      <c r="AE94" s="137">
        <f>'LCIA_AD-b'!AE91</f>
        <v>0</v>
      </c>
      <c r="AF94" s="137">
        <f>'LCIA_AD-b'!AF91</f>
        <v>0</v>
      </c>
      <c r="AG94" s="137">
        <f>'LCIA_AD-b'!AG91</f>
        <v>0</v>
      </c>
      <c r="AH94" s="137">
        <f>'LCIA_AD-b'!AH91</f>
        <v>0</v>
      </c>
      <c r="AI94" s="137">
        <f>'LCIA_AD-b'!AI91</f>
        <v>0</v>
      </c>
      <c r="AJ94" s="137">
        <f>'LCIA_AD-b'!AJ91</f>
        <v>0</v>
      </c>
      <c r="AK94" s="137">
        <f>'LCIA_AD-b'!AK91</f>
        <v>0</v>
      </c>
    </row>
    <row r="95" spans="1:37" x14ac:dyDescent="0.35">
      <c r="A95" s="143" t="s">
        <v>421</v>
      </c>
      <c r="B95" s="137"/>
      <c r="C95" s="142">
        <f>SUM(C96:C100)</f>
        <v>153.09173621147883</v>
      </c>
      <c r="D95" s="142">
        <f t="shared" ref="D95:AK95" si="9">SUM(D96:D100)</f>
        <v>46.235654392890694</v>
      </c>
      <c r="E95" s="142">
        <f t="shared" si="9"/>
        <v>2.0632131108890769E-3</v>
      </c>
      <c r="F95" s="142">
        <f t="shared" si="9"/>
        <v>6.2311664035328651E-4</v>
      </c>
      <c r="G95" s="142">
        <f t="shared" si="9"/>
        <v>1.2538701816704185E-16</v>
      </c>
      <c r="H95" s="142">
        <f t="shared" si="9"/>
        <v>1.6682781574478101</v>
      </c>
      <c r="I95" s="142">
        <f t="shared" si="9"/>
        <v>10.868384134183403</v>
      </c>
      <c r="J95" s="142">
        <f t="shared" si="9"/>
        <v>4.1280021437632834</v>
      </c>
      <c r="K95" s="142">
        <f t="shared" si="9"/>
        <v>0.10566747599007055</v>
      </c>
      <c r="L95" s="142">
        <f t="shared" si="9"/>
        <v>7.714670416168938E-7</v>
      </c>
      <c r="M95" s="142">
        <f t="shared" si="9"/>
        <v>2.3889702721899521E-5</v>
      </c>
      <c r="N95" s="142">
        <f t="shared" si="9"/>
        <v>2.1632089608573219E-5</v>
      </c>
      <c r="O95" s="142">
        <f t="shared" si="9"/>
        <v>1.7684374486335254E-5</v>
      </c>
      <c r="P95" s="142">
        <f t="shared" si="9"/>
        <v>1.0026269136686022E-8</v>
      </c>
      <c r="Q95" s="142">
        <f t="shared" si="9"/>
        <v>1.948988094518866E-7</v>
      </c>
      <c r="R95" s="142">
        <f t="shared" si="9"/>
        <v>1.3247307397260069</v>
      </c>
      <c r="S95" s="142">
        <f t="shared" si="9"/>
        <v>4.9605991946518753</v>
      </c>
      <c r="T95" s="142">
        <f t="shared" si="9"/>
        <v>55.397085356180462</v>
      </c>
      <c r="U95" s="142">
        <f t="shared" si="9"/>
        <v>6.0134926750438975</v>
      </c>
      <c r="V95" s="142">
        <f t="shared" si="9"/>
        <v>1.9260777622200134E-5</v>
      </c>
      <c r="W95" s="142">
        <f t="shared" si="9"/>
        <v>2.246051083491587E-5</v>
      </c>
      <c r="X95" s="142">
        <f t="shared" si="9"/>
        <v>0.26686351193187935</v>
      </c>
      <c r="Y95" s="142">
        <f t="shared" si="9"/>
        <v>1.262434651436359E-8</v>
      </c>
      <c r="Z95" s="142">
        <f t="shared" si="9"/>
        <v>1.0914554308681892E-4</v>
      </c>
      <c r="AA95" s="142">
        <f t="shared" si="9"/>
        <v>4.1699248094466057</v>
      </c>
      <c r="AB95" s="142">
        <f t="shared" si="9"/>
        <v>3.778322274556615E-7</v>
      </c>
      <c r="AC95" s="142">
        <f t="shared" si="9"/>
        <v>10.77847340932334</v>
      </c>
      <c r="AD95" s="142">
        <f t="shared" si="9"/>
        <v>0.70305583343564115</v>
      </c>
      <c r="AE95" s="142">
        <f t="shared" si="9"/>
        <v>0.81980864547442933</v>
      </c>
      <c r="AF95" s="142">
        <f t="shared" si="9"/>
        <v>8.8948063782772306E-3</v>
      </c>
      <c r="AG95" s="142">
        <f t="shared" si="9"/>
        <v>300.54589593838966</v>
      </c>
      <c r="AH95" s="142">
        <f t="shared" si="9"/>
        <v>2.9222453039920077E-3</v>
      </c>
      <c r="AI95" s="142">
        <f t="shared" si="9"/>
        <v>5.0929918858028307E-4</v>
      </c>
      <c r="AJ95" s="142">
        <f t="shared" si="9"/>
        <v>6.2207020420975467E-5</v>
      </c>
      <c r="AK95" s="142">
        <f t="shared" si="9"/>
        <v>4.693410540208583E-3</v>
      </c>
    </row>
    <row r="96" spans="1:37" x14ac:dyDescent="0.35">
      <c r="A96" s="137"/>
      <c r="B96" s="137" t="s">
        <v>228</v>
      </c>
      <c r="C96" s="137">
        <f>'LCIA_AD-b'!C93</f>
        <v>5.6593260290303915</v>
      </c>
      <c r="D96" s="137">
        <f>'LCIA_AD-b'!D93</f>
        <v>1.8231496370226086</v>
      </c>
      <c r="E96" s="137">
        <f>'LCIA_AD-b'!E93</f>
        <v>7.6270580965661714E-5</v>
      </c>
      <c r="F96" s="137">
        <f>'LCIA_AD-b'!F93</f>
        <v>2.4570537426145324E-5</v>
      </c>
      <c r="G96" s="137">
        <f>'LCIA_AD-b'!G93</f>
        <v>3.9249223978199064E-17</v>
      </c>
      <c r="H96" s="137">
        <f>'LCIA_AD-b'!H93</f>
        <v>8.7287713544722478E-2</v>
      </c>
      <c r="I96" s="137">
        <f>'LCIA_AD-b'!I93</f>
        <v>0.72592559243783938</v>
      </c>
      <c r="J96" s="137">
        <f>'LCIA_AD-b'!J93</f>
        <v>0.24130766041087356</v>
      </c>
      <c r="K96" s="137">
        <f>'LCIA_AD-b'!K93</f>
        <v>3.5494647896879965E-4</v>
      </c>
      <c r="L96" s="137">
        <f>'LCIA_AD-b'!L93</f>
        <v>5.4186170739770473E-8</v>
      </c>
      <c r="M96" s="137">
        <f>'LCIA_AD-b'!M93</f>
        <v>2.5442998789871582E-6</v>
      </c>
      <c r="N96" s="137">
        <f>'LCIA_AD-b'!N93</f>
        <v>1.765021899533639E-6</v>
      </c>
      <c r="O96" s="137">
        <f>'LCIA_AD-b'!O93</f>
        <v>1.7864226714804923E-6</v>
      </c>
      <c r="P96" s="137">
        <f>'LCIA_AD-b'!P93</f>
        <v>7.6300358270113086E-10</v>
      </c>
      <c r="Q96" s="137">
        <f>'LCIA_AD-b'!Q93</f>
        <v>1.378298188452744E-8</v>
      </c>
      <c r="R96" s="137">
        <f>'LCIA_AD-b'!R93</f>
        <v>0.10339515717963435</v>
      </c>
      <c r="S96" s="137">
        <f>'LCIA_AD-b'!S93</f>
        <v>0.18664892059285132</v>
      </c>
      <c r="T96" s="137">
        <f>'LCIA_AD-b'!T93</f>
        <v>1.9577479795059407</v>
      </c>
      <c r="U96" s="137">
        <f>'LCIA_AD-b'!U93</f>
        <v>0.21251826889917752</v>
      </c>
      <c r="V96" s="137">
        <f>'LCIA_AD-b'!V93</f>
        <v>3.7948360996169299E-6</v>
      </c>
      <c r="W96" s="137">
        <f>'LCIA_AD-b'!W93</f>
        <v>5.1643039799012007E-6</v>
      </c>
      <c r="X96" s="137">
        <f>'LCIA_AD-b'!X93</f>
        <v>3.5674036015551081E-2</v>
      </c>
      <c r="Y96" s="137">
        <f>'LCIA_AD-b'!Y93</f>
        <v>5.9266643871532827E-10</v>
      </c>
      <c r="Z96" s="137">
        <f>'LCIA_AD-b'!Z93</f>
        <v>7.0226540233151228E-6</v>
      </c>
      <c r="AA96" s="137">
        <f>'LCIA_AD-b'!AA93</f>
        <v>0.20307568330261858</v>
      </c>
      <c r="AB96" s="137">
        <f>'LCIA_AD-b'!AB93</f>
        <v>1.9529741532173774E-8</v>
      </c>
      <c r="AC96" s="137">
        <f>'LCIA_AD-b'!AC93</f>
        <v>0.80007311894008659</v>
      </c>
      <c r="AD96" s="137">
        <f>'LCIA_AD-b'!AD93</f>
        <v>0.13851212158276324</v>
      </c>
      <c r="AE96" s="137">
        <f>'LCIA_AD-b'!AE93</f>
        <v>0.18849709526639377</v>
      </c>
      <c r="AF96" s="137">
        <f>'LCIA_AD-b'!AF93</f>
        <v>8.5687230186265288E-4</v>
      </c>
      <c r="AG96" s="137">
        <f>'LCIA_AD-b'!AG93</f>
        <v>12.364864328901232</v>
      </c>
      <c r="AH96" s="137">
        <f>'LCIA_AD-b'!AH93</f>
        <v>1.3693187117214529E-4</v>
      </c>
      <c r="AI96" s="137">
        <f>'LCIA_AD-b'!AI93</f>
        <v>1.873572527528322E-4</v>
      </c>
      <c r="AJ96" s="137">
        <f>'LCIA_AD-b'!AJ93</f>
        <v>2.2884262746427005E-5</v>
      </c>
      <c r="AK96" s="137">
        <f>'LCIA_AD-b'!AK93</f>
        <v>3.1717923312642339E-4</v>
      </c>
    </row>
    <row r="97" spans="1:37" x14ac:dyDescent="0.35">
      <c r="A97" s="137"/>
      <c r="B97" s="137" t="s">
        <v>230</v>
      </c>
      <c r="C97" s="137">
        <f>'LCIA_AD-b'!C94</f>
        <v>4.8095077280535676</v>
      </c>
      <c r="D97" s="137">
        <f>'LCIA_AD-b'!D94</f>
        <v>1.4441104424519018</v>
      </c>
      <c r="E97" s="137">
        <f>'LCIA_AD-b'!E94</f>
        <v>6.4817603137865687E-5</v>
      </c>
      <c r="F97" s="137">
        <f>'LCIA_AD-b'!F94</f>
        <v>1.9462236644326375E-5</v>
      </c>
      <c r="G97" s="137">
        <f>'LCIA_AD-b'!G94</f>
        <v>7.3123980626410943E-17</v>
      </c>
      <c r="H97" s="137">
        <f>'LCIA_AD-b'!H94</f>
        <v>0.44823309736114125</v>
      </c>
      <c r="I97" s="137">
        <f>'LCIA_AD-b'!I94</f>
        <v>2.347279525573732</v>
      </c>
      <c r="J97" s="137">
        <f>'LCIA_AD-b'!J94</f>
        <v>0.21528368659229899</v>
      </c>
      <c r="K97" s="137">
        <f>'LCIA_AD-b'!K94</f>
        <v>9.9654627709092156E-2</v>
      </c>
      <c r="L97" s="137">
        <f>'LCIA_AD-b'!L94</f>
        <v>1.2487090588294379E-7</v>
      </c>
      <c r="M97" s="137">
        <f>'LCIA_AD-b'!M94</f>
        <v>4.6776960795765779E-6</v>
      </c>
      <c r="N97" s="137">
        <f>'LCIA_AD-b'!N94</f>
        <v>4.010056281378213E-6</v>
      </c>
      <c r="O97" s="137">
        <f>'LCIA_AD-b'!O94</f>
        <v>7.0074232550538647E-6</v>
      </c>
      <c r="P97" s="137">
        <f>'LCIA_AD-b'!P94</f>
        <v>4.647364753178146E-9</v>
      </c>
      <c r="Q97" s="137">
        <f>'LCIA_AD-b'!Q94</f>
        <v>9.4555771814582354E-8</v>
      </c>
      <c r="R97" s="137">
        <f>'LCIA_AD-b'!R94</f>
        <v>0.68319110391043536</v>
      </c>
      <c r="S97" s="137">
        <f>'LCIA_AD-b'!S94</f>
        <v>0.79108572912494513</v>
      </c>
      <c r="T97" s="137">
        <f>'LCIA_AD-b'!T94</f>
        <v>1.7311842555061387</v>
      </c>
      <c r="U97" s="137">
        <f>'LCIA_AD-b'!U94</f>
        <v>0.18792389567089296</v>
      </c>
      <c r="V97" s="137">
        <f>'LCIA_AD-b'!V94</f>
        <v>7.2378894888969916E-6</v>
      </c>
      <c r="W97" s="137">
        <f>'LCIA_AD-b'!W94</f>
        <v>9.6042670598147937E-6</v>
      </c>
      <c r="X97" s="137">
        <f>'LCIA_AD-b'!X94</f>
        <v>1.4409461353569341E-2</v>
      </c>
      <c r="Y97" s="137">
        <f>'LCIA_AD-b'!Y94</f>
        <v>3.8240695044543504E-10</v>
      </c>
      <c r="Z97" s="137">
        <f>'LCIA_AD-b'!Z94</f>
        <v>3.609107449754222E-5</v>
      </c>
      <c r="AA97" s="137">
        <f>'LCIA_AD-b'!AA94</f>
        <v>0.2759231696078262</v>
      </c>
      <c r="AB97" s="137">
        <f>'LCIA_AD-b'!AB94</f>
        <v>2.760851131788039E-8</v>
      </c>
      <c r="AC97" s="137">
        <f>'LCIA_AD-b'!AC94</f>
        <v>2.7332398205521895</v>
      </c>
      <c r="AD97" s="137">
        <f>'LCIA_AD-b'!AD94</f>
        <v>0.26418664521688578</v>
      </c>
      <c r="AE97" s="137">
        <f>'LCIA_AD-b'!AE94</f>
        <v>0.35055574768324005</v>
      </c>
      <c r="AF97" s="137">
        <f>'LCIA_AD-b'!AF94</f>
        <v>3.8648651017407915E-3</v>
      </c>
      <c r="AG97" s="137">
        <f>'LCIA_AD-b'!AG94</f>
        <v>16.403319786851533</v>
      </c>
      <c r="AH97" s="137">
        <f>'LCIA_AD-b'!AH94</f>
        <v>1.6523308527227644E-4</v>
      </c>
      <c r="AI97" s="137">
        <f>'LCIA_AD-b'!AI94</f>
        <v>2.3676937744412029E-4</v>
      </c>
      <c r="AJ97" s="137">
        <f>'LCIA_AD-b'!AJ94</f>
        <v>2.8919577780568251E-5</v>
      </c>
      <c r="AK97" s="137">
        <f>'LCIA_AD-b'!AK94</f>
        <v>3.4323692005919135E-3</v>
      </c>
    </row>
    <row r="98" spans="1:37" x14ac:dyDescent="0.35">
      <c r="A98" s="137"/>
      <c r="B98" s="137" t="s">
        <v>229</v>
      </c>
      <c r="C98" s="137">
        <f>'LCIA_AD-b'!C95</f>
        <v>0.71867751184754491</v>
      </c>
      <c r="D98" s="137">
        <f>'LCIA_AD-b'!D95</f>
        <v>0.2188650793710166</v>
      </c>
      <c r="E98" s="137">
        <f>'LCIA_AD-b'!E95</f>
        <v>9.6855970259341509E-6</v>
      </c>
      <c r="F98" s="137">
        <f>'LCIA_AD-b'!F95</f>
        <v>2.9496386444417473E-6</v>
      </c>
      <c r="G98" s="137">
        <f>'LCIA_AD-b'!G95</f>
        <v>5.8984225801603065E-18</v>
      </c>
      <c r="H98" s="137">
        <f>'LCIA_AD-b'!H95</f>
        <v>1.3919100901769588E-2</v>
      </c>
      <c r="I98" s="137">
        <f>'LCIA_AD-b'!I95</f>
        <v>0.37633611729107169</v>
      </c>
      <c r="J98" s="137">
        <f>'LCIA_AD-b'!J95</f>
        <v>3.9145356876161046E-2</v>
      </c>
      <c r="K98" s="137">
        <f>'LCIA_AD-b'!K95</f>
        <v>7.0842026466889346E-5</v>
      </c>
      <c r="L98" s="137">
        <f>'LCIA_AD-b'!L95</f>
        <v>1.0451454523115719E-8</v>
      </c>
      <c r="M98" s="137">
        <f>'LCIA_AD-b'!M95</f>
        <v>5.2019241486940565E-7</v>
      </c>
      <c r="N98" s="137">
        <f>'LCIA_AD-b'!N95</f>
        <v>3.4728979390241437E-7</v>
      </c>
      <c r="O98" s="137">
        <f>'LCIA_AD-b'!O95</f>
        <v>3.2299621515802173E-7</v>
      </c>
      <c r="P98" s="137">
        <f>'LCIA_AD-b'!P95</f>
        <v>1.2934795009155544E-10</v>
      </c>
      <c r="Q98" s="137">
        <f>'LCIA_AD-b'!Q95</f>
        <v>2.2469974805631203E-9</v>
      </c>
      <c r="R98" s="137">
        <f>'LCIA_AD-b'!R95</f>
        <v>6.7325513010943971E-2</v>
      </c>
      <c r="S98" s="137">
        <f>'LCIA_AD-b'!S95</f>
        <v>0.12419396493422681</v>
      </c>
      <c r="T98" s="137">
        <f>'LCIA_AD-b'!T95</f>
        <v>0.25991560017352355</v>
      </c>
      <c r="U98" s="137">
        <f>'LCIA_AD-b'!U95</f>
        <v>2.8214357630633503E-2</v>
      </c>
      <c r="V98" s="137">
        <f>'LCIA_AD-b'!V95</f>
        <v>6.4348682745705372E-7</v>
      </c>
      <c r="W98" s="137">
        <f>'LCIA_AD-b'!W95</f>
        <v>8.0550034014492408E-7</v>
      </c>
      <c r="X98" s="137">
        <f>'LCIA_AD-b'!X95</f>
        <v>2.2776064517151364E-3</v>
      </c>
      <c r="Y98" s="137">
        <f>'LCIA_AD-b'!Y95</f>
        <v>7.6771583843573354E-11</v>
      </c>
      <c r="Z98" s="137">
        <f>'LCIA_AD-b'!Z95</f>
        <v>1.2785913045947378E-6</v>
      </c>
      <c r="AA98" s="137">
        <f>'LCIA_AD-b'!AA95</f>
        <v>6.1578266831267714E-2</v>
      </c>
      <c r="AB98" s="137">
        <f>'LCIA_AD-b'!AB95</f>
        <v>6.1240972441714326E-9</v>
      </c>
      <c r="AC98" s="137">
        <f>'LCIA_AD-b'!AC95</f>
        <v>9.594575730073783E-2</v>
      </c>
      <c r="AD98" s="137">
        <f>'LCIA_AD-b'!AD95</f>
        <v>2.3487396568850575E-2</v>
      </c>
      <c r="AE98" s="137">
        <f>'LCIA_AD-b'!AE95</f>
        <v>2.940076241528972E-2</v>
      </c>
      <c r="AF98" s="137">
        <f>'LCIA_AD-b'!AF95</f>
        <v>1.446571550515878E-4</v>
      </c>
      <c r="AG98" s="137">
        <f>'LCIA_AD-b'!AG95</f>
        <v>2.0595504957264077</v>
      </c>
      <c r="AH98" s="137">
        <f>'LCIA_AD-b'!AH95</f>
        <v>1.5998093238262185E-5</v>
      </c>
      <c r="AI98" s="137">
        <f>'LCIA_AD-b'!AI95</f>
        <v>7.1628573362001402E-6</v>
      </c>
      <c r="AJ98" s="137">
        <f>'LCIA_AD-b'!AJ95</f>
        <v>8.7488851852996961E-7</v>
      </c>
      <c r="AK98" s="137">
        <f>'LCIA_AD-b'!AK95</f>
        <v>4.3992966285190678E-5</v>
      </c>
    </row>
    <row r="99" spans="1:37" x14ac:dyDescent="0.35">
      <c r="A99" s="137"/>
      <c r="B99" s="137" t="s">
        <v>231</v>
      </c>
      <c r="C99" s="137">
        <f>'LCIA_AD-b'!C96</f>
        <v>0</v>
      </c>
      <c r="D99" s="137">
        <f>'LCIA_AD-b'!D96</f>
        <v>0</v>
      </c>
      <c r="E99" s="137">
        <f>'LCIA_AD-b'!E96</f>
        <v>0</v>
      </c>
      <c r="F99" s="137">
        <f>'LCIA_AD-b'!F96</f>
        <v>0</v>
      </c>
      <c r="G99" s="137">
        <f>'LCIA_AD-b'!G96</f>
        <v>0</v>
      </c>
      <c r="H99" s="137">
        <f>'LCIA_AD-b'!H96</f>
        <v>0</v>
      </c>
      <c r="I99" s="137">
        <f>'LCIA_AD-b'!I96</f>
        <v>0</v>
      </c>
      <c r="J99" s="137">
        <f>'LCIA_AD-b'!J96</f>
        <v>0</v>
      </c>
      <c r="K99" s="137">
        <f>'LCIA_AD-b'!K96</f>
        <v>0</v>
      </c>
      <c r="L99" s="137">
        <f>'LCIA_AD-b'!L96</f>
        <v>0</v>
      </c>
      <c r="M99" s="137">
        <f>'LCIA_AD-b'!M96</f>
        <v>0</v>
      </c>
      <c r="N99" s="137">
        <f>'LCIA_AD-b'!N96</f>
        <v>0</v>
      </c>
      <c r="O99" s="137">
        <f>'LCIA_AD-b'!O96</f>
        <v>0</v>
      </c>
      <c r="P99" s="137">
        <f>'LCIA_AD-b'!P96</f>
        <v>0</v>
      </c>
      <c r="Q99" s="137">
        <f>'LCIA_AD-b'!Q96</f>
        <v>0</v>
      </c>
      <c r="R99" s="137">
        <f>'LCIA_AD-b'!R96</f>
        <v>0</v>
      </c>
      <c r="S99" s="137">
        <f>'LCIA_AD-b'!S96</f>
        <v>0</v>
      </c>
      <c r="T99" s="137">
        <f>'LCIA_AD-b'!T96</f>
        <v>0</v>
      </c>
      <c r="U99" s="137">
        <f>'LCIA_AD-b'!U96</f>
        <v>0</v>
      </c>
      <c r="V99" s="137">
        <f>'LCIA_AD-b'!V96</f>
        <v>0</v>
      </c>
      <c r="W99" s="137">
        <f>'LCIA_AD-b'!W96</f>
        <v>0</v>
      </c>
      <c r="X99" s="137">
        <f>'LCIA_AD-b'!X96</f>
        <v>0</v>
      </c>
      <c r="Y99" s="137">
        <f>'LCIA_AD-b'!Y96</f>
        <v>0</v>
      </c>
      <c r="Z99" s="137">
        <f>'LCIA_AD-b'!Z96</f>
        <v>0</v>
      </c>
      <c r="AA99" s="137">
        <f>'LCIA_AD-b'!AA96</f>
        <v>0</v>
      </c>
      <c r="AB99" s="137">
        <f>'LCIA_AD-b'!AB96</f>
        <v>0</v>
      </c>
      <c r="AC99" s="137">
        <f>'LCIA_AD-b'!AC96</f>
        <v>0</v>
      </c>
      <c r="AD99" s="137">
        <f>'LCIA_AD-b'!AD96</f>
        <v>0</v>
      </c>
      <c r="AE99" s="137">
        <f>'LCIA_AD-b'!AE96</f>
        <v>0</v>
      </c>
      <c r="AF99" s="137">
        <f>'LCIA_AD-b'!AF96</f>
        <v>0</v>
      </c>
      <c r="AG99" s="137">
        <f>'LCIA_AD-b'!AG96</f>
        <v>0</v>
      </c>
      <c r="AH99" s="137">
        <f>'LCIA_AD-b'!AH96</f>
        <v>0</v>
      </c>
      <c r="AI99" s="137">
        <f>'LCIA_AD-b'!AI96</f>
        <v>0</v>
      </c>
      <c r="AJ99" s="137">
        <f>'LCIA_AD-b'!AJ96</f>
        <v>0</v>
      </c>
      <c r="AK99" s="137">
        <f>'LCIA_AD-b'!AK96</f>
        <v>0</v>
      </c>
    </row>
    <row r="100" spans="1:37" x14ac:dyDescent="0.35">
      <c r="A100" s="137"/>
      <c r="B100" s="137" t="s">
        <v>423</v>
      </c>
      <c r="C100" s="137">
        <f>'LCI_AD-f'!$E52*'IW+_end'!C39</f>
        <v>141.90422494254733</v>
      </c>
      <c r="D100" s="137">
        <f>'LCI_AD-f'!$E52*'IW+_end'!D39</f>
        <v>42.74952923404517</v>
      </c>
      <c r="E100" s="137">
        <f>'LCI_AD-f'!$E52*'IW+_end'!E39</f>
        <v>1.9124393297596154E-3</v>
      </c>
      <c r="F100" s="137">
        <f>'LCI_AD-f'!$E52*'IW+_end'!F39</f>
        <v>5.7613422763837306E-4</v>
      </c>
      <c r="G100" s="137">
        <f>'LCI_AD-f'!$E52*'IW+_end'!G39</f>
        <v>7.1153909822715203E-18</v>
      </c>
      <c r="H100" s="137">
        <f>'LCI_AD-f'!$E52*'IW+_end'!H39</f>
        <v>1.1188382456401766</v>
      </c>
      <c r="I100" s="137">
        <f>'LCI_AD-f'!$E52*'IW+_end'!I39</f>
        <v>7.4188428988807598</v>
      </c>
      <c r="J100" s="137">
        <f>'LCI_AD-f'!$E52*'IW+_end'!J39</f>
        <v>3.6322654398839496</v>
      </c>
      <c r="K100" s="137">
        <f>'LCI_AD-f'!$E52*'IW+_end'!K39</f>
        <v>5.5870597755426988E-3</v>
      </c>
      <c r="L100" s="137">
        <f>'LCI_AD-f'!$E52*'IW+_end'!L39</f>
        <v>5.8195851047106377E-7</v>
      </c>
      <c r="M100" s="137">
        <f>'LCI_AD-f'!$E52*'IW+_end'!M39</f>
        <v>1.6147514348466379E-5</v>
      </c>
      <c r="N100" s="137">
        <f>'LCI_AD-f'!$E52*'IW+_end'!N39</f>
        <v>1.5509721633758954E-5</v>
      </c>
      <c r="O100" s="137">
        <f>'LCI_AD-f'!$E52*'IW+_end'!O39</f>
        <v>8.5675323446428744E-6</v>
      </c>
      <c r="P100" s="137">
        <f>'LCI_AD-f'!$E52*'IW+_end'!P39</f>
        <v>4.4865528507151899E-9</v>
      </c>
      <c r="Q100" s="137">
        <f>'LCI_AD-f'!$E52*'IW+_end'!Q39</f>
        <v>8.4313058272213685E-8</v>
      </c>
      <c r="R100" s="137">
        <f>'LCI_AD-f'!$E52*'IW+_end'!R39</f>
        <v>0.47081896562499315</v>
      </c>
      <c r="S100" s="137">
        <f>'LCI_AD-f'!$E52*'IW+_end'!S39</f>
        <v>3.8586705799998522</v>
      </c>
      <c r="T100" s="137">
        <f>'LCI_AD-f'!$E52*'IW+_end'!T39</f>
        <v>51.448237520994859</v>
      </c>
      <c r="U100" s="137">
        <f>'LCI_AD-f'!$E52*'IW+_end'!U39</f>
        <v>5.5848361528431933</v>
      </c>
      <c r="V100" s="137">
        <f>'LCI_AD-f'!$E52*'IW+_end'!V39</f>
        <v>7.5845652062291584E-6</v>
      </c>
      <c r="W100" s="137">
        <f>'LCI_AD-f'!$E52*'IW+_end'!W39</f>
        <v>6.8864394550549524E-6</v>
      </c>
      <c r="X100" s="137">
        <f>'LCI_AD-f'!$E52*'IW+_end'!X39</f>
        <v>0.21450240811104379</v>
      </c>
      <c r="Y100" s="137">
        <f>'LCI_AD-f'!$E52*'IW+_end'!Y39</f>
        <v>1.1572501541359253E-8</v>
      </c>
      <c r="Z100" s="137">
        <f>'LCI_AD-f'!$E52*'IW+_end'!Z39</f>
        <v>6.4753223261366854E-5</v>
      </c>
      <c r="AA100" s="137">
        <f>'LCI_AD-f'!$E52*'IW+_end'!AA39</f>
        <v>3.6293476897048933</v>
      </c>
      <c r="AB100" s="137">
        <f>'LCI_AD-f'!$E52*'IW+_end'!AB39</f>
        <v>3.2456987736143592E-7</v>
      </c>
      <c r="AC100" s="137">
        <f>'LCI_AD-f'!$E52*'IW+_end'!AC39</f>
        <v>7.149214712530326</v>
      </c>
      <c r="AD100" s="137">
        <f>'LCI_AD-f'!$E52*'IW+_end'!AD39</f>
        <v>0.27686967006714158</v>
      </c>
      <c r="AE100" s="137">
        <f>'LCI_AD-f'!$E52*'IW+_end'!AE39</f>
        <v>0.25135504010950577</v>
      </c>
      <c r="AF100" s="137">
        <f>'LCI_AD-f'!$E52*'IW+_end'!AF39</f>
        <v>4.0284118196221991E-3</v>
      </c>
      <c r="AG100" s="137">
        <f>'LCI_AD-f'!$E52*'IW+_end'!AG39</f>
        <v>269.71816132691049</v>
      </c>
      <c r="AH100" s="137">
        <f>'LCI_AD-f'!$E52*'IW+_end'!AH39</f>
        <v>2.6040822543093238E-3</v>
      </c>
      <c r="AI100" s="137">
        <f>'LCI_AD-f'!$E52*'IW+_end'!AI39</f>
        <v>7.800970104713044E-5</v>
      </c>
      <c r="AJ100" s="137">
        <f>'LCI_AD-f'!$E52*'IW+_end'!AJ39</f>
        <v>9.5282913754502408E-6</v>
      </c>
      <c r="AK100" s="137">
        <f>'LCI_AD-f'!$E52*'IW+_end'!AK39</f>
        <v>8.9986914020505533E-4</v>
      </c>
    </row>
    <row r="102" spans="1:37" x14ac:dyDescent="0.35">
      <c r="A102" t="s">
        <v>500</v>
      </c>
      <c r="C102" s="40">
        <f>C56+C89-C95</f>
        <v>-140.0942068984796</v>
      </c>
      <c r="D102" s="40">
        <f t="shared" ref="D102:AK102" si="10">D56+D89-D95</f>
        <v>-36.705400590852634</v>
      </c>
      <c r="E102" s="40">
        <f t="shared" si="10"/>
        <v>-1.8880457664499171E-3</v>
      </c>
      <c r="F102" s="40">
        <f t="shared" si="10"/>
        <v>-4.9467762423817223E-4</v>
      </c>
      <c r="G102" s="40">
        <f t="shared" si="10"/>
        <v>-9.6149676206517017E-17</v>
      </c>
      <c r="H102" s="40">
        <f t="shared" si="10"/>
        <v>-0.58913492072560047</v>
      </c>
      <c r="I102" s="40">
        <f t="shared" si="10"/>
        <v>-7.0532262271379818</v>
      </c>
      <c r="J102" s="40">
        <f t="shared" si="10"/>
        <v>-3.7896497747874345</v>
      </c>
      <c r="K102" s="40">
        <f t="shared" si="10"/>
        <v>-0.21934069299878256</v>
      </c>
      <c r="L102" s="40">
        <f t="shared" si="10"/>
        <v>-6.3066110346512431E-7</v>
      </c>
      <c r="M102" s="40">
        <f t="shared" si="10"/>
        <v>-1.2909617242110692E-5</v>
      </c>
      <c r="N102" s="40">
        <f t="shared" si="10"/>
        <v>-1.7672039566555808E-5</v>
      </c>
      <c r="O102" s="40">
        <f t="shared" si="10"/>
        <v>4.3170998290508176E-6</v>
      </c>
      <c r="P102" s="40">
        <f t="shared" si="10"/>
        <v>6.3179864844870545E-9</v>
      </c>
      <c r="Q102" s="40">
        <f t="shared" si="10"/>
        <v>3.0088792873113088E-7</v>
      </c>
      <c r="R102" s="40">
        <f t="shared" si="10"/>
        <v>0.10656338398039478</v>
      </c>
      <c r="S102" s="40">
        <f t="shared" si="10"/>
        <v>-4.4593388191362671</v>
      </c>
      <c r="T102" s="40">
        <f t="shared" si="10"/>
        <v>-52.789846260093519</v>
      </c>
      <c r="U102" s="40">
        <f t="shared" si="10"/>
        <v>-5.7304711923503655</v>
      </c>
      <c r="V102" s="40">
        <f t="shared" si="10"/>
        <v>-3.3260330767158709E-6</v>
      </c>
      <c r="W102" s="40">
        <f t="shared" si="10"/>
        <v>-1.3969094399217101E-5</v>
      </c>
      <c r="X102" s="40">
        <f t="shared" si="10"/>
        <v>5.3697168807046918</v>
      </c>
      <c r="Y102" s="40">
        <f t="shared" si="10"/>
        <v>-1.1477662035178205E-8</v>
      </c>
      <c r="Z102" s="40">
        <f t="shared" si="10"/>
        <v>4.6676938056494974E-5</v>
      </c>
      <c r="AA102" s="40">
        <f t="shared" si="10"/>
        <v>0.16102147792486132</v>
      </c>
      <c r="AB102" s="40">
        <f t="shared" si="10"/>
        <v>6.8799284399887091E-8</v>
      </c>
      <c r="AC102" s="40">
        <f t="shared" si="10"/>
        <v>0.2864183519542518</v>
      </c>
      <c r="AD102" s="40">
        <f t="shared" si="10"/>
        <v>-0.12142211278382509</v>
      </c>
      <c r="AE102" s="40">
        <f t="shared" si="10"/>
        <v>-0.50987194557142423</v>
      </c>
      <c r="AF102" s="40">
        <f t="shared" si="10"/>
        <v>-7.8858013523885537E-4</v>
      </c>
      <c r="AG102" s="40">
        <f t="shared" si="10"/>
        <v>-246.14364681685521</v>
      </c>
      <c r="AH102" s="40">
        <f t="shared" si="10"/>
        <v>-2.4087889296042645E-3</v>
      </c>
      <c r="AI102" s="40">
        <f t="shared" si="10"/>
        <v>-3.7829182985054126E-4</v>
      </c>
      <c r="AJ102" s="40">
        <f t="shared" si="10"/>
        <v>-4.6205468440270469E-5</v>
      </c>
      <c r="AK102" s="40">
        <f t="shared" si="10"/>
        <v>-4.2733157277570237E-3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tabSelected="1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D32" sqref="D32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9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9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9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9" x14ac:dyDescent="0.35">
      <c r="A37" t="s">
        <v>341</v>
      </c>
      <c r="B37" t="s">
        <v>128</v>
      </c>
      <c r="C37">
        <v>0.32557850084159751</v>
      </c>
      <c r="D37">
        <v>9.8635359873189415E-2</v>
      </c>
      <c r="E37">
        <v>4.3878124853980665E-6</v>
      </c>
      <c r="F37">
        <v>1.3293060273776421E-6</v>
      </c>
      <c r="G37">
        <v>0</v>
      </c>
      <c r="H37">
        <v>1.1978365363588747E-3</v>
      </c>
      <c r="I37">
        <v>7.2588892980870066E-3</v>
      </c>
      <c r="J37">
        <v>9.0733213981599049E-3</v>
      </c>
      <c r="K37">
        <v>1.3655894131697256E-6</v>
      </c>
      <c r="L37">
        <v>3.8159940334617907E-10</v>
      </c>
      <c r="M37">
        <v>7.5398371283096919E-10</v>
      </c>
      <c r="N37">
        <v>1.1130419440261748E-8</v>
      </c>
      <c r="O37">
        <v>7.3047471633194768E-9</v>
      </c>
      <c r="P37">
        <v>1.6730197609145007E-12</v>
      </c>
      <c r="Q37">
        <v>3.5887442532114375E-11</v>
      </c>
      <c r="R37">
        <v>9.0090647266160531E-4</v>
      </c>
      <c r="S37">
        <v>4.1587296225946537E-3</v>
      </c>
      <c r="T37">
        <v>0.11786661510598842</v>
      </c>
      <c r="U37">
        <v>1.2794711212385027E-2</v>
      </c>
      <c r="V37">
        <v>1.0853760491224218E-8</v>
      </c>
      <c r="W37">
        <v>9.9041346507304216E-9</v>
      </c>
      <c r="X37">
        <v>2.7097579512594269E-4</v>
      </c>
      <c r="Y37">
        <v>6.40386254720805E-11</v>
      </c>
      <c r="Z37">
        <v>6.2599246819879701E-8</v>
      </c>
      <c r="AA37">
        <v>1.0606121534429086E-2</v>
      </c>
      <c r="AB37">
        <v>1.0254707796244876E-9</v>
      </c>
      <c r="AC37">
        <v>8.9289831639736868E-3</v>
      </c>
      <c r="AD37">
        <v>3.9617217604747204E-4</v>
      </c>
      <c r="AE37">
        <v>3.6150091475166038E-4</v>
      </c>
      <c r="AF37">
        <v>6.8121331607928071E-6</v>
      </c>
      <c r="AG37">
        <v>0.59804440036354567</v>
      </c>
      <c r="AH37">
        <v>5.847902910946163E-6</v>
      </c>
      <c r="AI37">
        <v>3.8880035466877862E-7</v>
      </c>
      <c r="AJ37">
        <v>4.7489004783189464E-8</v>
      </c>
      <c r="AK37">
        <v>7.1891356979503292E-6</v>
      </c>
      <c r="AM37" t="s">
        <v>521</v>
      </c>
    </row>
    <row r="38" spans="1:39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9" x14ac:dyDescent="0.35">
      <c r="A39" t="s">
        <v>345</v>
      </c>
      <c r="B39" t="s">
        <v>219</v>
      </c>
      <c r="C39">
        <v>3.6606595375015857E-2</v>
      </c>
      <c r="D39">
        <v>1.1027964246848106E-2</v>
      </c>
      <c r="E39">
        <v>4.9334607727233503E-7</v>
      </c>
      <c r="F39">
        <v>1.486235703087348E-7</v>
      </c>
      <c r="G39">
        <v>1.8355354728057364E-21</v>
      </c>
      <c r="H39">
        <v>2.8862325251291656E-4</v>
      </c>
      <c r="I39">
        <v>1.9138160280998788E-3</v>
      </c>
      <c r="J39">
        <v>9.3700431615985455E-4</v>
      </c>
      <c r="K39">
        <v>1.4412765837107648E-6</v>
      </c>
      <c r="L39">
        <v>1.5012604259306798E-10</v>
      </c>
      <c r="M39">
        <v>4.165524488829646E-9</v>
      </c>
      <c r="N39">
        <v>4.0009950687233719E-9</v>
      </c>
      <c r="O39">
        <v>2.2101399026680218E-9</v>
      </c>
      <c r="P39">
        <v>1.1573822055069157E-12</v>
      </c>
      <c r="Q39">
        <v>2.1749979679961288E-11</v>
      </c>
      <c r="R39">
        <v>1.2145571688577686E-4</v>
      </c>
      <c r="S39">
        <v>9.9540935208039982E-4</v>
      </c>
      <c r="T39">
        <v>1.3271943202898127E-2</v>
      </c>
      <c r="U39">
        <v>1.4407029626190709E-3</v>
      </c>
      <c r="V39">
        <v>1.9565669007548191E-9</v>
      </c>
      <c r="W39">
        <v>1.7764735532561099E-9</v>
      </c>
      <c r="X39">
        <v>5.5334524844955225E-5</v>
      </c>
      <c r="Y39">
        <v>2.9853225411209588E-12</v>
      </c>
      <c r="Z39">
        <v>1.6704189351068451E-8</v>
      </c>
      <c r="AA39">
        <v>9.3625163314246492E-4</v>
      </c>
      <c r="AB39">
        <v>8.3728290516360725E-11</v>
      </c>
      <c r="AC39">
        <v>1.8442608762118653E-3</v>
      </c>
      <c r="AD39">
        <v>7.1423215114739861E-5</v>
      </c>
      <c r="AE39">
        <v>6.4841284693848016E-5</v>
      </c>
      <c r="AF39">
        <v>1.0391969763024733E-6</v>
      </c>
      <c r="AG39">
        <v>6.9578362455275211E-2</v>
      </c>
      <c r="AH39">
        <v>6.717670699752272E-7</v>
      </c>
      <c r="AI39">
        <v>2.0123922051753062E-8</v>
      </c>
      <c r="AJ39">
        <v>2.4579839475362908E-9</v>
      </c>
      <c r="AK39">
        <v>2.3213646753144058E-7</v>
      </c>
      <c r="AM39" t="s">
        <v>487</v>
      </c>
    </row>
  </sheetData>
  <autoFilter ref="A1:AK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28" workbookViewId="0">
      <selection activeCell="E42" sqref="E42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0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0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0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0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5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0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0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11" workbookViewId="0">
      <selection activeCell="E40" sqref="E4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v>0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v>0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topLeftCell="A16" zoomScale="110" zoomScaleNormal="110" workbookViewId="0">
      <selection activeCell="E40" sqref="E40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0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0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K23" sqref="K23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v>0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v>0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34" zoomScale="88" workbookViewId="0">
      <selection activeCell="E50" sqref="E5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0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v>0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topLeftCell="X54" zoomScale="80" zoomScaleNormal="80" workbookViewId="0">
      <selection activeCell="C50" sqref="C50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3.6020203114535199</v>
      </c>
      <c r="D36" s="115">
        <f t="shared" ref="D36:G36" si="7">SUM(D37:D41)</f>
        <v>7.1951540722679077</v>
      </c>
      <c r="E36" s="115">
        <f t="shared" si="7"/>
        <v>0</v>
      </c>
      <c r="F36" s="115">
        <f t="shared" si="7"/>
        <v>1.4004955712866033E-5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0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617.03004556418853</v>
      </c>
      <c r="D42" s="115">
        <f t="shared" ref="D42:G42" si="8">SUM(D43:D48)</f>
        <v>40.104129189901258</v>
      </c>
      <c r="E42" s="115">
        <f t="shared" si="8"/>
        <v>10197.223545958741</v>
      </c>
      <c r="F42" s="115">
        <f t="shared" si="8"/>
        <v>1.0914344509118591E-4</v>
      </c>
      <c r="G42" s="115">
        <f t="shared" si="8"/>
        <v>81.571266971575767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</v>
      </c>
      <c r="D46" s="114">
        <f>'LCI_AD-b'!$E49*'IW+f'!D31</f>
        <v>0</v>
      </c>
      <c r="E46" s="114">
        <f>'LCI_AD-b'!$E49*'IW+f'!E31</f>
        <v>0</v>
      </c>
      <c r="F46" s="114">
        <f>'LCI_AD-b'!$E49*'IW+f'!F31</f>
        <v>0</v>
      </c>
      <c r="G46" s="114">
        <f>'LCI_AD-b'!$E49*'IW+f'!G31</f>
        <v>0</v>
      </c>
    </row>
    <row r="47" spans="1:7" x14ac:dyDescent="0.35">
      <c r="A47" s="114"/>
      <c r="B47" s="114" t="s">
        <v>423</v>
      </c>
      <c r="C47" s="114">
        <f>'LCI_AD-b'!$E50*'IW+f'!C39</f>
        <v>152.84659670820477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f>'LCI_AD-b'!$E51*'IW+f'!C37</f>
        <v>434.30973512854933</v>
      </c>
      <c r="D48" s="114">
        <f>'LCI_AD-b'!$E51*'IW+f'!D37</f>
        <v>24.586841030327683</v>
      </c>
      <c r="E48" s="114">
        <f>'LCI_AD-b'!$E51*'IW+f'!E37</f>
        <v>7176.6834565379841</v>
      </c>
      <c r="F48" s="114">
        <f>'LCI_AD-b'!$E51*'IW+f'!F37</f>
        <v>3.6539955619747495E-5</v>
      </c>
      <c r="G48" s="114">
        <f>'LCI_AD-b'!$E51*'IW+f'!G37</f>
        <v>24.690448208783977</v>
      </c>
    </row>
    <row r="49" spans="1:37" x14ac:dyDescent="0.35">
      <c r="A49" s="114"/>
      <c r="B49" s="114"/>
      <c r="C49" s="114"/>
      <c r="D49" s="114"/>
      <c r="E49" s="114"/>
      <c r="F49" s="114"/>
      <c r="G49" s="114"/>
    </row>
    <row r="50" spans="1:37" x14ac:dyDescent="0.35">
      <c r="A50" s="115" t="s">
        <v>494</v>
      </c>
      <c r="B50" s="115"/>
      <c r="C50" s="115">
        <f>C5+C36-C42</f>
        <v>-498.39216300028545</v>
      </c>
      <c r="D50" s="115">
        <f t="shared" ref="D50:G50" si="9">D5+D36-D42</f>
        <v>-21.454540564093577</v>
      </c>
      <c r="E50" s="115">
        <f t="shared" si="9"/>
        <v>-9506.995351129417</v>
      </c>
      <c r="F50" s="115">
        <f t="shared" si="9"/>
        <v>4.1358436447032885E-5</v>
      </c>
      <c r="G50" s="115">
        <f t="shared" si="9"/>
        <v>-65.304225867839492</v>
      </c>
    </row>
    <row r="54" spans="1:37" ht="72.5" x14ac:dyDescent="0.35">
      <c r="A54" s="141" t="s">
        <v>0</v>
      </c>
      <c r="B54" s="141"/>
      <c r="C54" s="138" t="s">
        <v>376</v>
      </c>
      <c r="D54" s="138" t="s">
        <v>377</v>
      </c>
      <c r="E54" s="138" t="s">
        <v>378</v>
      </c>
      <c r="F54" s="138" t="s">
        <v>379</v>
      </c>
      <c r="G54" s="138" t="s">
        <v>380</v>
      </c>
      <c r="H54" s="138" t="s">
        <v>361</v>
      </c>
      <c r="I54" s="138" t="s">
        <v>381</v>
      </c>
      <c r="J54" s="138" t="s">
        <v>382</v>
      </c>
      <c r="K54" s="138" t="s">
        <v>363</v>
      </c>
      <c r="L54" s="138" t="s">
        <v>383</v>
      </c>
      <c r="M54" s="138" t="s">
        <v>384</v>
      </c>
      <c r="N54" s="138" t="s">
        <v>385</v>
      </c>
      <c r="O54" s="138" t="s">
        <v>386</v>
      </c>
      <c r="P54" s="138" t="s">
        <v>387</v>
      </c>
      <c r="Q54" s="138" t="s">
        <v>388</v>
      </c>
      <c r="R54" s="138" t="s">
        <v>367</v>
      </c>
      <c r="S54" s="138" t="s">
        <v>368</v>
      </c>
      <c r="T54" s="138" t="s">
        <v>389</v>
      </c>
      <c r="U54" s="138" t="s">
        <v>390</v>
      </c>
      <c r="V54" s="138" t="s">
        <v>391</v>
      </c>
      <c r="W54" s="138" t="s">
        <v>392</v>
      </c>
      <c r="X54" s="138" t="s">
        <v>369</v>
      </c>
      <c r="Y54" s="138" t="s">
        <v>371</v>
      </c>
      <c r="Z54" s="138" t="s">
        <v>372</v>
      </c>
      <c r="AA54" s="138" t="s">
        <v>393</v>
      </c>
      <c r="AB54" s="138" t="s">
        <v>394</v>
      </c>
      <c r="AC54" s="138" t="s">
        <v>374</v>
      </c>
      <c r="AD54" s="138" t="s">
        <v>395</v>
      </c>
      <c r="AE54" s="138" t="s">
        <v>396</v>
      </c>
      <c r="AF54" s="138" t="s">
        <v>397</v>
      </c>
      <c r="AG54" s="138" t="s">
        <v>398</v>
      </c>
      <c r="AH54" s="138" t="s">
        <v>399</v>
      </c>
      <c r="AI54" s="138" t="s">
        <v>400</v>
      </c>
      <c r="AJ54" s="138" t="s">
        <v>401</v>
      </c>
      <c r="AK54" s="138" t="s">
        <v>402</v>
      </c>
    </row>
    <row r="55" spans="1:37" x14ac:dyDescent="0.35">
      <c r="A55" s="142" t="s">
        <v>6</v>
      </c>
      <c r="B55" s="137"/>
      <c r="C55" s="142">
        <f>SUM(C57:C85)</f>
        <v>13.776806928645669</v>
      </c>
      <c r="D55" s="142">
        <f t="shared" ref="D55:AK55" si="10">SUM(D57:D85)</f>
        <v>11.930981747658697</v>
      </c>
      <c r="E55" s="142">
        <f t="shared" si="10"/>
        <v>1.8566964739431802E-4</v>
      </c>
      <c r="F55" s="142">
        <f t="shared" si="10"/>
        <v>1.6079358922602916E-4</v>
      </c>
      <c r="G55" s="142">
        <f t="shared" si="10"/>
        <v>2.9231851142339261E-17</v>
      </c>
      <c r="H55" s="142">
        <f t="shared" si="10"/>
        <v>0.57246820560359735</v>
      </c>
      <c r="I55" s="142">
        <f t="shared" si="10"/>
        <v>3.8000105960780344</v>
      </c>
      <c r="J55" s="142">
        <f t="shared" si="10"/>
        <v>0.33759980122388533</v>
      </c>
      <c r="K55" s="142">
        <f t="shared" si="10"/>
        <v>9.8434800954160118E-3</v>
      </c>
      <c r="L55" s="142">
        <f t="shared" si="10"/>
        <v>1.4027530376333057E-7</v>
      </c>
      <c r="M55" s="142">
        <f t="shared" si="10"/>
        <v>1.0969964368019122E-5</v>
      </c>
      <c r="N55" s="142">
        <f t="shared" si="10"/>
        <v>3.948050871585817E-6</v>
      </c>
      <c r="O55" s="142">
        <f t="shared" si="10"/>
        <v>2.1995087040439657E-5</v>
      </c>
      <c r="P55" s="142">
        <f t="shared" si="10"/>
        <v>1.609185564914945E-8</v>
      </c>
      <c r="Q55" s="142">
        <f t="shared" si="10"/>
        <v>4.8800340990345128E-7</v>
      </c>
      <c r="R55" s="142">
        <f t="shared" si="10"/>
        <v>1.4302858421426643</v>
      </c>
      <c r="S55" s="142">
        <f t="shared" si="10"/>
        <v>0.5005495189331991</v>
      </c>
      <c r="T55" s="142">
        <f t="shared" si="10"/>
        <v>2.6009890288832973</v>
      </c>
      <c r="U55" s="142">
        <f t="shared" si="10"/>
        <v>0.28234302365735053</v>
      </c>
      <c r="V55" s="142">
        <f t="shared" si="10"/>
        <v>1.5875903378266401E-5</v>
      </c>
      <c r="W55" s="142">
        <f t="shared" si="10"/>
        <v>8.4752228228378627E-6</v>
      </c>
      <c r="X55" s="142">
        <f t="shared" si="10"/>
        <v>0.25363521579217302</v>
      </c>
      <c r="Y55" s="142">
        <f t="shared" si="10"/>
        <v>1.1438650673043045E-9</v>
      </c>
      <c r="Z55" s="142">
        <f t="shared" si="10"/>
        <v>1.0291165412072273E-4</v>
      </c>
      <c r="AA55" s="142">
        <f t="shared" si="10"/>
        <v>1.308399181385999</v>
      </c>
      <c r="AB55" s="142">
        <f t="shared" si="10"/>
        <v>1.3107302120051821E-7</v>
      </c>
      <c r="AC55" s="142">
        <f t="shared" si="10"/>
        <v>6.4419658252967569</v>
      </c>
      <c r="AD55" s="142">
        <f t="shared" si="10"/>
        <v>0.57948593528474113</v>
      </c>
      <c r="AE55" s="142">
        <f t="shared" si="10"/>
        <v>0.30934563303358192</v>
      </c>
      <c r="AF55" s="142">
        <f t="shared" si="10"/>
        <v>7.9903350604744201E-3</v>
      </c>
      <c r="AG55" s="142">
        <f t="shared" si="10"/>
        <v>44.143274255280637</v>
      </c>
      <c r="AH55" s="142">
        <f t="shared" si="10"/>
        <v>5.0297485870563373E-4</v>
      </c>
      <c r="AI55" s="142">
        <f t="shared" si="10"/>
        <v>1.3039183209328768E-4</v>
      </c>
      <c r="AJ55" s="142">
        <f t="shared" si="10"/>
        <v>1.5926370085853994E-5</v>
      </c>
      <c r="AK55" s="142">
        <f t="shared" si="10"/>
        <v>4.1919745497131144E-4</v>
      </c>
    </row>
    <row r="56" spans="1:37" x14ac:dyDescent="0.35">
      <c r="A56" s="142" t="s">
        <v>5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37"/>
      <c r="B57" s="137" t="s">
        <v>249</v>
      </c>
      <c r="C57" s="137">
        <f>'LCIA_AD-a'!C47</f>
        <v>0.29375833601169027</v>
      </c>
      <c r="D57" s="137">
        <f>'LCIA_AD-a'!D47</f>
        <v>8.9990845888640369E-2</v>
      </c>
      <c r="E57" s="137">
        <f>'LCIA_AD-a'!E47</f>
        <v>3.9589730007048797E-6</v>
      </c>
      <c r="F57" s="137">
        <f>'LCIA_AD-a'!F47</f>
        <v>1.2128041505843192E-6</v>
      </c>
      <c r="G57" s="137">
        <f>'LCIA_AD-a'!G47</f>
        <v>9.0040097542142219E-20</v>
      </c>
      <c r="H57" s="137">
        <f>'LCIA_AD-a'!H47</f>
        <v>5.1931114803604956E-3</v>
      </c>
      <c r="I57" s="137">
        <f>'LCIA_AD-a'!I47</f>
        <v>0.24839018720173295</v>
      </c>
      <c r="J57" s="137">
        <f>'LCIA_AD-a'!J47</f>
        <v>1.234083364332369E-2</v>
      </c>
      <c r="K57" s="137">
        <f>'LCIA_AD-a'!K47</f>
        <v>2.1439753416220663E-5</v>
      </c>
      <c r="L57" s="137">
        <f>'LCIA_AD-a'!L47</f>
        <v>8.7015032149142414E-9</v>
      </c>
      <c r="M57" s="137">
        <f>'LCIA_AD-a'!M47</f>
        <v>1.6596905236710246E-7</v>
      </c>
      <c r="N57" s="137">
        <f>'LCIA_AD-a'!N47</f>
        <v>1.9676602640470916E-7</v>
      </c>
      <c r="O57" s="137">
        <f>'LCIA_AD-a'!O47</f>
        <v>1.0474046667854858E-7</v>
      </c>
      <c r="P57" s="137">
        <f>'LCIA_AD-a'!P47</f>
        <v>4.1389310905179983E-9</v>
      </c>
      <c r="Q57" s="137">
        <f>'LCIA_AD-a'!Q47</f>
        <v>1.2763337153218512E-7</v>
      </c>
      <c r="R57" s="137">
        <f>'LCIA_AD-a'!R47</f>
        <v>1.6534106080479432E-2</v>
      </c>
      <c r="S57" s="137">
        <f>'LCIA_AD-a'!S47</f>
        <v>1.1656841267618703E-2</v>
      </c>
      <c r="T57" s="137">
        <f>'LCIA_AD-a'!T47</f>
        <v>0.10249049260823448</v>
      </c>
      <c r="U57" s="137">
        <f>'LCIA_AD-a'!U47</f>
        <v>1.1125576504552512E-2</v>
      </c>
      <c r="V57" s="137">
        <f>'LCIA_AD-a'!V47</f>
        <v>9.6489525909131685E-7</v>
      </c>
      <c r="W57" s="137">
        <f>'LCIA_AD-a'!W47</f>
        <v>2.6554776215088471E-7</v>
      </c>
      <c r="X57" s="137">
        <f>'LCIA_AD-a'!X47</f>
        <v>6.7963986332143073E-4</v>
      </c>
      <c r="Y57" s="137">
        <f>'LCIA_AD-a'!Y47</f>
        <v>4.6233568878889853E-11</v>
      </c>
      <c r="Z57" s="137">
        <f>'LCIA_AD-a'!Z47</f>
        <v>3.7424948947123667E-7</v>
      </c>
      <c r="AA57" s="137">
        <f>'LCIA_AD-a'!AA47</f>
        <v>1.5755418847462184E-2</v>
      </c>
      <c r="AB57" s="137">
        <f>'LCIA_AD-a'!AB47</f>
        <v>1.5662117661554336E-9</v>
      </c>
      <c r="AC57" s="137">
        <f>'LCIA_AD-a'!AC47</f>
        <v>3.4269056902659287E-2</v>
      </c>
      <c r="AD57" s="137">
        <f>'LCIA_AD-a'!AD47</f>
        <v>3.5220034139757453E-2</v>
      </c>
      <c r="AE57" s="137">
        <f>'LCIA_AD-a'!AE47</f>
        <v>9.6924933185072934E-3</v>
      </c>
      <c r="AF57" s="137">
        <f>'LCIA_AD-a'!AF47</f>
        <v>1.9004186679781043E-3</v>
      </c>
      <c r="AG57" s="137">
        <f>'LCIA_AD-a'!AG47</f>
        <v>0.88904487549306932</v>
      </c>
      <c r="AH57" s="137">
        <f>'LCIA_AD-a'!AH47</f>
        <v>7.3843049600713193E-6</v>
      </c>
      <c r="AI57" s="137">
        <f>'LCIA_AD-a'!AI47</f>
        <v>1.0093591977195651E-5</v>
      </c>
      <c r="AJ57" s="137">
        <f>'LCIA_AD-a'!AJ47</f>
        <v>1.2328554537785757E-6</v>
      </c>
      <c r="AK57" s="137">
        <f>'LCIA_AD-a'!AK47</f>
        <v>1.4715139405635514E-5</v>
      </c>
    </row>
    <row r="58" spans="1:37" x14ac:dyDescent="0.35">
      <c r="A58" s="137"/>
      <c r="B58" s="137" t="s">
        <v>250</v>
      </c>
      <c r="C58" s="137">
        <f>'LCIA_AD-a'!C48</f>
        <v>0</v>
      </c>
      <c r="D58" s="137">
        <f>'LCIA_AD-a'!D48</f>
        <v>0</v>
      </c>
      <c r="E58" s="137">
        <f>'LCIA_AD-a'!E48</f>
        <v>0</v>
      </c>
      <c r="F58" s="137">
        <f>'LCIA_AD-a'!F48</f>
        <v>0</v>
      </c>
      <c r="G58" s="137">
        <f>'LCIA_AD-a'!G48</f>
        <v>0</v>
      </c>
      <c r="H58" s="137">
        <f>'LCIA_AD-a'!H48</f>
        <v>0</v>
      </c>
      <c r="I58" s="137">
        <f>'LCIA_AD-a'!I48</f>
        <v>0</v>
      </c>
      <c r="J58" s="137">
        <f>'LCIA_AD-a'!J48</f>
        <v>0</v>
      </c>
      <c r="K58" s="137">
        <f>'LCIA_AD-a'!K48</f>
        <v>0</v>
      </c>
      <c r="L58" s="137">
        <f>'LCIA_AD-a'!L48</f>
        <v>0</v>
      </c>
      <c r="M58" s="137">
        <f>'LCIA_AD-a'!M48</f>
        <v>0</v>
      </c>
      <c r="N58" s="137">
        <f>'LCIA_AD-a'!N48</f>
        <v>0</v>
      </c>
      <c r="O58" s="137">
        <f>'LCIA_AD-a'!O48</f>
        <v>0</v>
      </c>
      <c r="P58" s="137">
        <f>'LCIA_AD-a'!P48</f>
        <v>0</v>
      </c>
      <c r="Q58" s="137">
        <f>'LCIA_AD-a'!Q48</f>
        <v>0</v>
      </c>
      <c r="R58" s="137">
        <f>'LCIA_AD-a'!R48</f>
        <v>0</v>
      </c>
      <c r="S58" s="137">
        <f>'LCIA_AD-a'!S48</f>
        <v>0</v>
      </c>
      <c r="T58" s="137">
        <f>'LCIA_AD-a'!T48</f>
        <v>0</v>
      </c>
      <c r="U58" s="137">
        <f>'LCIA_AD-a'!U48</f>
        <v>0</v>
      </c>
      <c r="V58" s="137">
        <f>'LCIA_AD-a'!V48</f>
        <v>0</v>
      </c>
      <c r="W58" s="137">
        <f>'LCIA_AD-a'!W48</f>
        <v>0</v>
      </c>
      <c r="X58" s="137">
        <f>'LCIA_AD-a'!X48</f>
        <v>0</v>
      </c>
      <c r="Y58" s="137">
        <f>'LCIA_AD-a'!Y48</f>
        <v>0</v>
      </c>
      <c r="Z58" s="137">
        <f>'LCIA_AD-a'!Z48</f>
        <v>0</v>
      </c>
      <c r="AA58" s="137">
        <f>'LCIA_AD-a'!AA48</f>
        <v>0</v>
      </c>
      <c r="AB58" s="137">
        <f>'LCIA_AD-a'!AB48</f>
        <v>0</v>
      </c>
      <c r="AC58" s="137">
        <f>'LCIA_AD-a'!AC48</f>
        <v>0</v>
      </c>
      <c r="AD58" s="137">
        <f>'LCIA_AD-a'!AD48</f>
        <v>0</v>
      </c>
      <c r="AE58" s="137">
        <f>'LCIA_AD-a'!AE48</f>
        <v>0</v>
      </c>
      <c r="AF58" s="137">
        <f>'LCIA_AD-a'!AF48</f>
        <v>0</v>
      </c>
      <c r="AG58" s="137">
        <f>'LCIA_AD-a'!AG48</f>
        <v>0</v>
      </c>
      <c r="AH58" s="137">
        <f>'LCIA_AD-a'!AH48</f>
        <v>0</v>
      </c>
      <c r="AI58" s="137">
        <f>'LCIA_AD-a'!AI48</f>
        <v>0</v>
      </c>
      <c r="AJ58" s="137">
        <f>'LCIA_AD-a'!AJ48</f>
        <v>0</v>
      </c>
      <c r="AK58" s="137">
        <f>'LCIA_AD-a'!AK48</f>
        <v>0</v>
      </c>
    </row>
    <row r="59" spans="1:37" x14ac:dyDescent="0.35">
      <c r="A59" s="143" t="s">
        <v>235</v>
      </c>
      <c r="B59" s="137"/>
      <c r="C59" s="137">
        <f>'LCIA_AD-a'!C49</f>
        <v>0</v>
      </c>
      <c r="D59" s="137">
        <f>'LCIA_AD-a'!D49</f>
        <v>0</v>
      </c>
      <c r="E59" s="137">
        <f>'LCIA_AD-a'!E49</f>
        <v>0</v>
      </c>
      <c r="F59" s="137">
        <f>'LCIA_AD-a'!F49</f>
        <v>0</v>
      </c>
      <c r="G59" s="137">
        <f>'LCIA_AD-a'!G49</f>
        <v>0</v>
      </c>
      <c r="H59" s="137">
        <f>'LCIA_AD-a'!H49</f>
        <v>0</v>
      </c>
      <c r="I59" s="137">
        <f>'LCIA_AD-a'!I49</f>
        <v>0</v>
      </c>
      <c r="J59" s="137">
        <f>'LCIA_AD-a'!J49</f>
        <v>0</v>
      </c>
      <c r="K59" s="137">
        <f>'LCIA_AD-a'!K49</f>
        <v>0</v>
      </c>
      <c r="L59" s="137">
        <f>'LCIA_AD-a'!L49</f>
        <v>0</v>
      </c>
      <c r="M59" s="137">
        <f>'LCIA_AD-a'!M49</f>
        <v>0</v>
      </c>
      <c r="N59" s="137">
        <f>'LCIA_AD-a'!N49</f>
        <v>0</v>
      </c>
      <c r="O59" s="137">
        <f>'LCIA_AD-a'!O49</f>
        <v>0</v>
      </c>
      <c r="P59" s="137">
        <f>'LCIA_AD-a'!P49</f>
        <v>0</v>
      </c>
      <c r="Q59" s="137">
        <f>'LCIA_AD-a'!Q49</f>
        <v>0</v>
      </c>
      <c r="R59" s="137">
        <f>'LCIA_AD-a'!R49</f>
        <v>0</v>
      </c>
      <c r="S59" s="137">
        <f>'LCIA_AD-a'!S49</f>
        <v>0</v>
      </c>
      <c r="T59" s="137">
        <f>'LCIA_AD-a'!T49</f>
        <v>0</v>
      </c>
      <c r="U59" s="137">
        <f>'LCIA_AD-a'!U49</f>
        <v>0</v>
      </c>
      <c r="V59" s="137">
        <f>'LCIA_AD-a'!V49</f>
        <v>0</v>
      </c>
      <c r="W59" s="137">
        <f>'LCIA_AD-a'!W49</f>
        <v>0</v>
      </c>
      <c r="X59" s="137">
        <f>'LCIA_AD-a'!X49</f>
        <v>0</v>
      </c>
      <c r="Y59" s="137">
        <f>'LCIA_AD-a'!Y49</f>
        <v>0</v>
      </c>
      <c r="Z59" s="137">
        <f>'LCIA_AD-a'!Z49</f>
        <v>0</v>
      </c>
      <c r="AA59" s="137">
        <f>'LCIA_AD-a'!AA49</f>
        <v>0</v>
      </c>
      <c r="AB59" s="137">
        <f>'LCIA_AD-a'!AB49</f>
        <v>0</v>
      </c>
      <c r="AC59" s="137">
        <f>'LCIA_AD-a'!AC49</f>
        <v>0</v>
      </c>
      <c r="AD59" s="137">
        <f>'LCIA_AD-a'!AD49</f>
        <v>0</v>
      </c>
      <c r="AE59" s="137">
        <f>'LCIA_AD-a'!AE49</f>
        <v>0</v>
      </c>
      <c r="AF59" s="137">
        <f>'LCIA_AD-a'!AF49</f>
        <v>0</v>
      </c>
      <c r="AG59" s="137">
        <f>'LCIA_AD-a'!AG49</f>
        <v>0</v>
      </c>
      <c r="AH59" s="137">
        <f>'LCIA_AD-a'!AH49</f>
        <v>0</v>
      </c>
      <c r="AI59" s="137">
        <f>'LCIA_AD-a'!AI49</f>
        <v>0</v>
      </c>
      <c r="AJ59" s="137">
        <f>'LCIA_AD-a'!AJ49</f>
        <v>0</v>
      </c>
      <c r="AK59" s="137">
        <f>'LCIA_AD-a'!AK49</f>
        <v>0</v>
      </c>
    </row>
    <row r="60" spans="1:37" x14ac:dyDescent="0.35">
      <c r="A60" s="137"/>
      <c r="B60" s="137" t="s">
        <v>286</v>
      </c>
      <c r="C60" s="137">
        <f>'LCIA_AD-a'!C50</f>
        <v>0.1642293381452089</v>
      </c>
      <c r="D60" s="137">
        <f>'LCIA_AD-a'!D50</f>
        <v>5.0160114465116465E-2</v>
      </c>
      <c r="E60" s="137">
        <f>'LCIA_AD-a'!E50</f>
        <v>2.2133142652831479E-6</v>
      </c>
      <c r="F60" s="137">
        <f>'LCIA_AD-a'!F50</f>
        <v>6.7600648061868024E-7</v>
      </c>
      <c r="G60" s="137">
        <f>'LCIA_AD-a'!G50</f>
        <v>3.4259653114390555E-19</v>
      </c>
      <c r="H60" s="137">
        <f>'LCIA_AD-a'!H50</f>
        <v>1.9088748614477355E-3</v>
      </c>
      <c r="I60" s="137">
        <f>'LCIA_AD-a'!I50</f>
        <v>2.1165975185515697E-2</v>
      </c>
      <c r="J60" s="137">
        <f>'LCIA_AD-a'!J50</f>
        <v>7.7842440064621963E-3</v>
      </c>
      <c r="K60" s="137">
        <f>'LCIA_AD-a'!K50</f>
        <v>1.2090234903629117E-5</v>
      </c>
      <c r="L60" s="137">
        <f>'LCIA_AD-a'!L50</f>
        <v>1.3807900143766815E-9</v>
      </c>
      <c r="M60" s="137">
        <f>'LCIA_AD-a'!M50</f>
        <v>7.8521018154124293E-8</v>
      </c>
      <c r="N60" s="137">
        <f>'LCIA_AD-a'!N50</f>
        <v>5.1916740498462542E-8</v>
      </c>
      <c r="O60" s="137">
        <f>'LCIA_AD-a'!O50</f>
        <v>3.4957298081958831E-8</v>
      </c>
      <c r="P60" s="137">
        <f>'LCIA_AD-a'!P50</f>
        <v>1.6087202212299374E-11</v>
      </c>
      <c r="Q60" s="137">
        <f>'LCIA_AD-a'!Q50</f>
        <v>1.9821700798180701E-10</v>
      </c>
      <c r="R60" s="137">
        <f>'LCIA_AD-a'!R50</f>
        <v>9.3882236600461508E-3</v>
      </c>
      <c r="S60" s="137">
        <f>'LCIA_AD-a'!S50</f>
        <v>1.0847515163367839E-2</v>
      </c>
      <c r="T60" s="137">
        <f>'LCIA_AD-a'!T50</f>
        <v>5.9340583237830792E-2</v>
      </c>
      <c r="U60" s="137">
        <f>'LCIA_AD-a'!U50</f>
        <v>6.4415394809225063E-3</v>
      </c>
      <c r="V60" s="137">
        <f>'LCIA_AD-a'!V50</f>
        <v>2.2361093064658549E-8</v>
      </c>
      <c r="W60" s="137">
        <f>'LCIA_AD-a'!W50</f>
        <v>1.8378519819012135E-8</v>
      </c>
      <c r="X60" s="137">
        <f>'LCIA_AD-a'!X50</f>
        <v>4.9087972213900696E-4</v>
      </c>
      <c r="Y60" s="137">
        <f>'LCIA_AD-a'!Y50</f>
        <v>1.4130656214684504E-11</v>
      </c>
      <c r="Z60" s="137">
        <f>'LCIA_AD-a'!Z50</f>
        <v>2.3089230034193365E-7</v>
      </c>
      <c r="AA60" s="137">
        <f>'LCIA_AD-a'!AA50</f>
        <v>1.24610140420619E-2</v>
      </c>
      <c r="AB60" s="137">
        <f>'LCIA_AD-a'!AB50</f>
        <v>1.2166988717580699E-9</v>
      </c>
      <c r="AC60" s="137">
        <f>'LCIA_AD-a'!AC50</f>
        <v>1.357355809150523E-2</v>
      </c>
      <c r="AD60" s="137">
        <f>'LCIA_AD-a'!AD50</f>
        <v>8.1619861313748173E-4</v>
      </c>
      <c r="AE60" s="137">
        <f>'LCIA_AD-a'!AE50</f>
        <v>6.7081597339394266E-4</v>
      </c>
      <c r="AF60" s="137">
        <f>'LCIA_AD-a'!AF50</f>
        <v>1.5428172135718716E-5</v>
      </c>
      <c r="AG60" s="137">
        <f>'LCIA_AD-a'!AG50</f>
        <v>0.35931316945148462</v>
      </c>
      <c r="AH60" s="137">
        <f>'LCIA_AD-a'!AH50</f>
        <v>3.3268199102587953E-6</v>
      </c>
      <c r="AI60" s="137">
        <f>'LCIA_AD-a'!AI50</f>
        <v>3.14403300469906E-7</v>
      </c>
      <c r="AJ60" s="137">
        <f>'LCIA_AD-a'!AJ50</f>
        <v>3.8401970730154165E-8</v>
      </c>
      <c r="AK60" s="137">
        <f>'LCIA_AD-a'!AK50</f>
        <v>6.4212372885133327E-6</v>
      </c>
    </row>
    <row r="61" spans="1:37" x14ac:dyDescent="0.35">
      <c r="A61" s="137"/>
      <c r="B61" s="137" t="s">
        <v>235</v>
      </c>
      <c r="C61" s="137">
        <f>'LCIA_AD-a'!C51</f>
        <v>2.8461745710597834</v>
      </c>
      <c r="D61" s="137">
        <f>'LCIA_AD-a'!D51</f>
        <v>1.1214611679069222</v>
      </c>
      <c r="E61" s="137">
        <f>'LCIA_AD-a'!E51</f>
        <v>3.8357816275450525E-5</v>
      </c>
      <c r="F61" s="137">
        <f>'LCIA_AD-a'!F51</f>
        <v>1.5113901261020833E-5</v>
      </c>
      <c r="G61" s="137">
        <f>'LCIA_AD-a'!G51</f>
        <v>1.3417014761931066E-18</v>
      </c>
      <c r="H61" s="137">
        <f>'LCIA_AD-a'!H51</f>
        <v>7.0661974280644954E-2</v>
      </c>
      <c r="I61" s="137">
        <f>'LCIA_AD-a'!I51</f>
        <v>0.93416719125512804</v>
      </c>
      <c r="J61" s="137">
        <f>'LCIA_AD-a'!J51</f>
        <v>0.11947233209536294</v>
      </c>
      <c r="K61" s="137">
        <f>'LCIA_AD-a'!K51</f>
        <v>5.8252778621848689E-3</v>
      </c>
      <c r="L61" s="137">
        <f>'LCIA_AD-a'!L51</f>
        <v>7.543227881230801E-8</v>
      </c>
      <c r="M61" s="137">
        <f>'LCIA_AD-a'!M51</f>
        <v>9.2358423028085057E-6</v>
      </c>
      <c r="N61" s="137">
        <f>'LCIA_AD-a'!N51</f>
        <v>2.0141902382323624E-6</v>
      </c>
      <c r="O61" s="137">
        <f>'LCIA_AD-a'!O51</f>
        <v>2.073338334217323E-5</v>
      </c>
      <c r="P61" s="137">
        <f>'LCIA_AD-a'!P51</f>
        <v>1.6721138820675336E-10</v>
      </c>
      <c r="Q61" s="137">
        <f>'LCIA_AD-a'!Q51</f>
        <v>2.5414819458518307E-9</v>
      </c>
      <c r="R61" s="137">
        <f>'LCIA_AD-a'!R51</f>
        <v>0.10325709629067527</v>
      </c>
      <c r="S61" s="137">
        <f>'LCIA_AD-a'!S51</f>
        <v>0.20192306813671582</v>
      </c>
      <c r="T61" s="137">
        <f>'LCIA_AD-a'!T51</f>
        <v>0.81381304343515604</v>
      </c>
      <c r="U61" s="137">
        <f>'LCIA_AD-a'!U51</f>
        <v>8.8340903369667073E-2</v>
      </c>
      <c r="V61" s="137">
        <f>'LCIA_AD-a'!V51</f>
        <v>4.1790110398157114E-7</v>
      </c>
      <c r="W61" s="137">
        <f>'LCIA_AD-a'!W51</f>
        <v>9.1166986820938597E-7</v>
      </c>
      <c r="X61" s="137">
        <f>'LCIA_AD-a'!X51</f>
        <v>3.6914893888666471E-2</v>
      </c>
      <c r="Y61" s="137">
        <f>'LCIA_AD-a'!Y51</f>
        <v>3.4271490621614475E-10</v>
      </c>
      <c r="Z61" s="137">
        <f>'LCIA_AD-a'!Z51</f>
        <v>8.8111435597395313E-6</v>
      </c>
      <c r="AA61" s="137">
        <f>'LCIA_AD-a'!AA51</f>
        <v>0.52310036021523809</v>
      </c>
      <c r="AB61" s="137">
        <f>'LCIA_AD-a'!AB51</f>
        <v>5.3982752056258097E-8</v>
      </c>
      <c r="AC61" s="137">
        <f>'LCIA_AD-a'!AC51</f>
        <v>0.52930584039175488</v>
      </c>
      <c r="AD61" s="137">
        <f>'LCIA_AD-a'!AD51</f>
        <v>1.5262636374080941E-2</v>
      </c>
      <c r="AE61" s="137">
        <f>'LCIA_AD-a'!AE51</f>
        <v>3.3275950189642592E-2</v>
      </c>
      <c r="AF61" s="137">
        <f>'LCIA_AD-a'!AF51</f>
        <v>3.8173633035694057E-4</v>
      </c>
      <c r="AG61" s="137">
        <f>'LCIA_AD-a'!AG51</f>
        <v>7.4436332210323055</v>
      </c>
      <c r="AH61" s="137">
        <f>'LCIA_AD-a'!AH51</f>
        <v>1.04168902179637E-4</v>
      </c>
      <c r="AI61" s="137">
        <f>'LCIA_AD-a'!AI51</f>
        <v>7.999127841649449E-5</v>
      </c>
      <c r="AJ61" s="137">
        <f>'LCIA_AD-a'!AJ51</f>
        <v>9.7703259724914291E-6</v>
      </c>
      <c r="AK61" s="137">
        <f>'LCIA_AD-a'!AK51</f>
        <v>2.1385693372968594E-4</v>
      </c>
    </row>
    <row r="62" spans="1:37" x14ac:dyDescent="0.35">
      <c r="A62" s="143" t="s">
        <v>6</v>
      </c>
      <c r="B62" s="137"/>
      <c r="C62" s="137">
        <f>'LCIA_AD-a'!C52</f>
        <v>0</v>
      </c>
      <c r="D62" s="137">
        <f>'LCIA_AD-a'!D52</f>
        <v>0</v>
      </c>
      <c r="E62" s="137">
        <f>'LCIA_AD-a'!E52</f>
        <v>0</v>
      </c>
      <c r="F62" s="137">
        <f>'LCIA_AD-a'!F52</f>
        <v>0</v>
      </c>
      <c r="G62" s="137">
        <f>'LCIA_AD-a'!G52</f>
        <v>0</v>
      </c>
      <c r="H62" s="137">
        <f>'LCIA_AD-a'!H52</f>
        <v>0</v>
      </c>
      <c r="I62" s="137">
        <f>'LCIA_AD-a'!I52</f>
        <v>0</v>
      </c>
      <c r="J62" s="137">
        <f>'LCIA_AD-a'!J52</f>
        <v>0</v>
      </c>
      <c r="K62" s="137">
        <f>'LCIA_AD-a'!K52</f>
        <v>0</v>
      </c>
      <c r="L62" s="137">
        <f>'LCIA_AD-a'!L52</f>
        <v>0</v>
      </c>
      <c r="M62" s="137">
        <f>'LCIA_AD-a'!M52</f>
        <v>0</v>
      </c>
      <c r="N62" s="137">
        <f>'LCIA_AD-a'!N52</f>
        <v>0</v>
      </c>
      <c r="O62" s="137">
        <f>'LCIA_AD-a'!O52</f>
        <v>0</v>
      </c>
      <c r="P62" s="137">
        <f>'LCIA_AD-a'!P52</f>
        <v>0</v>
      </c>
      <c r="Q62" s="137">
        <f>'LCIA_AD-a'!Q52</f>
        <v>0</v>
      </c>
      <c r="R62" s="137">
        <f>'LCIA_AD-a'!R52</f>
        <v>0</v>
      </c>
      <c r="S62" s="137">
        <f>'LCIA_AD-a'!S52</f>
        <v>0</v>
      </c>
      <c r="T62" s="137">
        <f>'LCIA_AD-a'!T52</f>
        <v>0</v>
      </c>
      <c r="U62" s="137">
        <f>'LCIA_AD-a'!U52</f>
        <v>0</v>
      </c>
      <c r="V62" s="137">
        <f>'LCIA_AD-a'!V52</f>
        <v>0</v>
      </c>
      <c r="W62" s="137">
        <f>'LCIA_AD-a'!W52</f>
        <v>0</v>
      </c>
      <c r="X62" s="137">
        <f>'LCIA_AD-a'!X52</f>
        <v>0</v>
      </c>
      <c r="Y62" s="137">
        <f>'LCIA_AD-a'!Y52</f>
        <v>0</v>
      </c>
      <c r="Z62" s="137">
        <f>'LCIA_AD-a'!Z52</f>
        <v>0</v>
      </c>
      <c r="AA62" s="137">
        <f>'LCIA_AD-a'!AA52</f>
        <v>0</v>
      </c>
      <c r="AB62" s="137">
        <f>'LCIA_AD-a'!AB52</f>
        <v>0</v>
      </c>
      <c r="AC62" s="137">
        <f>'LCIA_AD-a'!AC52</f>
        <v>0</v>
      </c>
      <c r="AD62" s="137">
        <f>'LCIA_AD-a'!AD52</f>
        <v>0</v>
      </c>
      <c r="AE62" s="137">
        <f>'LCIA_AD-a'!AE52</f>
        <v>0</v>
      </c>
      <c r="AF62" s="137">
        <f>'LCIA_AD-a'!AF52</f>
        <v>0</v>
      </c>
      <c r="AG62" s="137">
        <f>'LCIA_AD-a'!AG52</f>
        <v>0</v>
      </c>
      <c r="AH62" s="137">
        <f>'LCIA_AD-a'!AH52</f>
        <v>0</v>
      </c>
      <c r="AI62" s="137">
        <f>'LCIA_AD-a'!AI52</f>
        <v>0</v>
      </c>
      <c r="AJ62" s="137">
        <f>'LCIA_AD-a'!AJ52</f>
        <v>0</v>
      </c>
      <c r="AK62" s="137">
        <f>'LCIA_AD-a'!AK52</f>
        <v>0</v>
      </c>
    </row>
    <row r="63" spans="1:37" x14ac:dyDescent="0.35">
      <c r="A63" s="137"/>
      <c r="B63" s="137" t="s">
        <v>8</v>
      </c>
      <c r="C63" s="137">
        <f>'LCIA_AD-a'!C53</f>
        <v>0.65727691815040523</v>
      </c>
      <c r="D63" s="137">
        <f>'LCIA_AD-a'!D53</f>
        <v>0.20135226339612622</v>
      </c>
      <c r="E63" s="137">
        <f>'LCIA_AD-a'!E53</f>
        <v>8.8581029164068104E-6</v>
      </c>
      <c r="F63" s="137">
        <f>'LCIA_AD-a'!F53</f>
        <v>2.7136189060669185E-6</v>
      </c>
      <c r="G63" s="137">
        <f>'LCIA_AD-a'!G53</f>
        <v>2.0146246273707774E-19</v>
      </c>
      <c r="H63" s="137">
        <f>'LCIA_AD-a'!H53</f>
        <v>1.1619456849343674E-2</v>
      </c>
      <c r="I63" s="137">
        <f>'LCIA_AD-a'!I53</f>
        <v>0.55576682166479929</v>
      </c>
      <c r="J63" s="137">
        <f>'LCIA_AD-a'!J53</f>
        <v>2.7612306137817434E-2</v>
      </c>
      <c r="K63" s="137">
        <f>'LCIA_AD-a'!K53</f>
        <v>4.7970911200822386E-5</v>
      </c>
      <c r="L63" s="137">
        <f>'LCIA_AD-a'!L53</f>
        <v>1.9469395469843191E-8</v>
      </c>
      <c r="M63" s="137">
        <f>'LCIA_AD-a'!M53</f>
        <v>3.7135159712999983E-7</v>
      </c>
      <c r="N63" s="137">
        <f>'LCIA_AD-a'!N53</f>
        <v>4.4025905507185927E-7</v>
      </c>
      <c r="O63" s="137">
        <f>'LCIA_AD-a'!O53</f>
        <v>2.3435417043406713E-7</v>
      </c>
      <c r="P63" s="137">
        <f>'LCIA_AD-a'!P53</f>
        <v>9.2607546343954807E-9</v>
      </c>
      <c r="Q63" s="137">
        <f>'LCIA_AD-a'!Q53</f>
        <v>2.8557647157451842E-7</v>
      </c>
      <c r="R63" s="137">
        <f>'LCIA_AD-a'!R53</f>
        <v>3.6994648174058696E-2</v>
      </c>
      <c r="S63" s="137">
        <f>'LCIA_AD-a'!S53</f>
        <v>2.6081890331255075E-2</v>
      </c>
      <c r="T63" s="137">
        <f>'LCIA_AD-a'!T53</f>
        <v>0.22931990981381525</v>
      </c>
      <c r="U63" s="137">
        <f>'LCIA_AD-a'!U53</f>
        <v>2.4893198732130022E-2</v>
      </c>
      <c r="V63" s="137">
        <f>'LCIA_AD-a'!V53</f>
        <v>2.1589289714938985E-6</v>
      </c>
      <c r="W63" s="137">
        <f>'LCIA_AD-a'!W53</f>
        <v>5.9415646581455464E-7</v>
      </c>
      <c r="X63" s="137">
        <f>'LCIA_AD-a'!X53</f>
        <v>1.5206771691350248E-3</v>
      </c>
      <c r="Y63" s="137">
        <f>'LCIA_AD-a'!Y53</f>
        <v>1.0344645221098301E-10</v>
      </c>
      <c r="Z63" s="137">
        <f>'LCIA_AD-a'!Z53</f>
        <v>8.3737385770468086E-7</v>
      </c>
      <c r="AA63" s="137">
        <f>'LCIA_AD-a'!AA53</f>
        <v>3.5252354996375815E-2</v>
      </c>
      <c r="AB63" s="137">
        <f>'LCIA_AD-a'!AB53</f>
        <v>3.5043595930111055E-9</v>
      </c>
      <c r="AC63" s="137">
        <f>'LCIA_AD-a'!AC53</f>
        <v>7.6676156376390969E-2</v>
      </c>
      <c r="AD63" s="137">
        <f>'LCIA_AD-a'!AD53</f>
        <v>7.8803944122323041E-2</v>
      </c>
      <c r="AE63" s="137">
        <f>'LCIA_AD-a'!AE53</f>
        <v>2.1686711002231247E-2</v>
      </c>
      <c r="AF63" s="137">
        <f>'LCIA_AD-a'!AF53</f>
        <v>4.2521391639229527E-3</v>
      </c>
      <c r="AG63" s="137">
        <f>'LCIA_AD-a'!AG53</f>
        <v>1.9892156382525288</v>
      </c>
      <c r="AH63" s="137">
        <f>'LCIA_AD-a'!AH53</f>
        <v>1.6522197370580419E-5</v>
      </c>
      <c r="AI63" s="137">
        <f>'LCIA_AD-a'!AI53</f>
        <v>2.258415920348486E-5</v>
      </c>
      <c r="AJ63" s="137">
        <f>'LCIA_AD-a'!AJ53</f>
        <v>2.7584831946769133E-6</v>
      </c>
      <c r="AK63" s="137">
        <f>'LCIA_AD-a'!AK53</f>
        <v>3.2924755804392892E-5</v>
      </c>
    </row>
    <row r="64" spans="1:37" x14ac:dyDescent="0.35">
      <c r="A64" s="137"/>
      <c r="B64" s="137" t="s">
        <v>18</v>
      </c>
      <c r="C64" s="137">
        <f>'LCIA_AD-a'!C54</f>
        <v>3.6111027769612272</v>
      </c>
      <c r="D64" s="137">
        <f>'LCIA_AD-a'!D54</f>
        <v>1.116041950307709</v>
      </c>
      <c r="E64" s="137">
        <f>'LCIA_AD-a'!E54</f>
        <v>4.8666732630834991E-5</v>
      </c>
      <c r="F64" s="137">
        <f>'LCIA_AD-a'!F54</f>
        <v>1.5040866614748277E-5</v>
      </c>
      <c r="G64" s="137">
        <f>'LCIA_AD-a'!G54</f>
        <v>2.7159126165986591E-17</v>
      </c>
      <c r="H64" s="137">
        <f>'LCIA_AD-a'!H54</f>
        <v>3.9384429899939365E-2</v>
      </c>
      <c r="I64" s="137">
        <f>'LCIA_AD-a'!I54</f>
        <v>1.1164091774138278</v>
      </c>
      <c r="J64" s="137">
        <f>'LCIA_AD-a'!J54</f>
        <v>0.14465944541327941</v>
      </c>
      <c r="K64" s="137">
        <f>'LCIA_AD-a'!K54</f>
        <v>5.9732092169600232E-4</v>
      </c>
      <c r="L64" s="137">
        <f>'LCIA_AD-a'!L54</f>
        <v>2.4810764281290643E-8</v>
      </c>
      <c r="M64" s="137">
        <f>'LCIA_AD-a'!M54</f>
        <v>9.5025968432804083E-7</v>
      </c>
      <c r="N64" s="137">
        <f>'LCIA_AD-a'!N54</f>
        <v>8.8695954394508445E-7</v>
      </c>
      <c r="O64" s="137">
        <f>'LCIA_AD-a'!O54</f>
        <v>6.3949866864703821E-7</v>
      </c>
      <c r="P64" s="137">
        <f>'LCIA_AD-a'!P54</f>
        <v>3.4244674996023721E-10</v>
      </c>
      <c r="Q64" s="137">
        <f>'LCIA_AD-a'!Q54</f>
        <v>5.640495591874525E-9</v>
      </c>
      <c r="R64" s="137">
        <f>'LCIA_AD-a'!R54</f>
        <v>1.2522888650153385</v>
      </c>
      <c r="S64" s="137">
        <f>'LCIA_AD-a'!S54</f>
        <v>0.22236732164114079</v>
      </c>
      <c r="T64" s="137">
        <f>'LCIA_AD-a'!T54</f>
        <v>1.2993103391764373</v>
      </c>
      <c r="U64" s="137">
        <f>'LCIA_AD-a'!U54</f>
        <v>0.1410432154146555</v>
      </c>
      <c r="V64" s="137">
        <f>'LCIA_AD-a'!V54</f>
        <v>4.8995566111538829E-6</v>
      </c>
      <c r="W64" s="137">
        <f>'LCIA_AD-a'!W54</f>
        <v>3.1636932996387812E-6</v>
      </c>
      <c r="X64" s="137">
        <f>'LCIA_AD-a'!X54</f>
        <v>8.7941767587420248E-3</v>
      </c>
      <c r="Y64" s="137">
        <f>'LCIA_AD-a'!Y54</f>
        <v>5.5520031014139023E-10</v>
      </c>
      <c r="Z64" s="137">
        <f>'LCIA_AD-a'!Z54</f>
        <v>4.2239854117750112E-5</v>
      </c>
      <c r="AA64" s="137">
        <f>'LCIA_AD-a'!AA54</f>
        <v>0.30103279985134818</v>
      </c>
      <c r="AB64" s="137">
        <f>'LCIA_AD-a'!AB54</f>
        <v>3.0275729153819333E-8</v>
      </c>
      <c r="AC64" s="137">
        <f>'LCIA_AD-a'!AC54</f>
        <v>0.29460585077001711</v>
      </c>
      <c r="AD64" s="137">
        <f>'LCIA_AD-a'!AD54</f>
        <v>0.17883454948602154</v>
      </c>
      <c r="AE64" s="137">
        <f>'LCIA_AD-a'!AE54</f>
        <v>0.11547480543681553</v>
      </c>
      <c r="AF64" s="137">
        <f>'LCIA_AD-a'!AF54</f>
        <v>4.3393968358153263E-4</v>
      </c>
      <c r="AG64" s="137">
        <f>'LCIA_AD-a'!AG54</f>
        <v>9.8425377317128095</v>
      </c>
      <c r="AH64" s="137">
        <f>'LCIA_AD-a'!AH54</f>
        <v>1.0994280141975609E-4</v>
      </c>
      <c r="AI64" s="137">
        <f>'LCIA_AD-a'!AI54</f>
        <v>1.1931549424189578E-5</v>
      </c>
      <c r="AJ64" s="137">
        <f>'LCIA_AD-a'!AJ54</f>
        <v>1.4573479701655237E-6</v>
      </c>
      <c r="AK64" s="137">
        <f>'LCIA_AD-a'!AK54</f>
        <v>1.367724192572127E-4</v>
      </c>
    </row>
    <row r="65" spans="1:37" x14ac:dyDescent="0.35">
      <c r="A65" s="137"/>
      <c r="B65" s="137" t="s">
        <v>96</v>
      </c>
      <c r="C65" s="137">
        <f>'LCIA_AD-a'!C55</f>
        <v>0.93797856177034611</v>
      </c>
      <c r="D65" s="137">
        <f>'LCIA_AD-a'!D55</f>
        <v>3.5623702451876329</v>
      </c>
      <c r="E65" s="137">
        <f>'LCIA_AD-a'!E55</f>
        <v>1.2641111233490304E-5</v>
      </c>
      <c r="F65" s="137">
        <f>'LCIA_AD-a'!F55</f>
        <v>4.801001102781587E-5</v>
      </c>
      <c r="G65" s="137">
        <f>'LCIA_AD-a'!G55</f>
        <v>0</v>
      </c>
      <c r="H65" s="137">
        <f>'LCIA_AD-a'!H55</f>
        <v>0</v>
      </c>
      <c r="I65" s="137">
        <f>'LCIA_AD-a'!I55</f>
        <v>0</v>
      </c>
      <c r="J65" s="137">
        <f>'LCIA_AD-a'!J55</f>
        <v>0</v>
      </c>
      <c r="K65" s="137">
        <f>'LCIA_AD-a'!K55</f>
        <v>0</v>
      </c>
      <c r="L65" s="137">
        <f>'LCIA_AD-a'!L55</f>
        <v>0</v>
      </c>
      <c r="M65" s="137">
        <f>'LCIA_AD-a'!M55</f>
        <v>0</v>
      </c>
      <c r="N65" s="137">
        <f>'LCIA_AD-a'!N55</f>
        <v>0</v>
      </c>
      <c r="O65" s="137">
        <f>'LCIA_AD-a'!O55</f>
        <v>0</v>
      </c>
      <c r="P65" s="137">
        <f>'LCIA_AD-a'!P55</f>
        <v>0</v>
      </c>
      <c r="Q65" s="137">
        <f>'LCIA_AD-a'!Q55</f>
        <v>0</v>
      </c>
      <c r="R65" s="137">
        <f>'LCIA_AD-a'!R55</f>
        <v>0</v>
      </c>
      <c r="S65" s="137">
        <f>'LCIA_AD-a'!S55</f>
        <v>0</v>
      </c>
      <c r="T65" s="137">
        <f>'LCIA_AD-a'!T55</f>
        <v>0</v>
      </c>
      <c r="U65" s="137">
        <f>'LCIA_AD-a'!U55</f>
        <v>0</v>
      </c>
      <c r="V65" s="137">
        <f>'LCIA_AD-a'!V55</f>
        <v>0</v>
      </c>
      <c r="W65" s="137">
        <f>'LCIA_AD-a'!W55</f>
        <v>0</v>
      </c>
      <c r="X65" s="137">
        <f>'LCIA_AD-a'!X55</f>
        <v>0</v>
      </c>
      <c r="Y65" s="137">
        <f>'LCIA_AD-a'!Y55</f>
        <v>0</v>
      </c>
      <c r="Z65" s="137">
        <f>'LCIA_AD-a'!Z55</f>
        <v>0</v>
      </c>
      <c r="AA65" s="137">
        <f>'LCIA_AD-a'!AA55</f>
        <v>0</v>
      </c>
      <c r="AB65" s="137">
        <f>'LCIA_AD-a'!AB55</f>
        <v>0</v>
      </c>
      <c r="AC65" s="137">
        <f>'LCIA_AD-a'!AC55</f>
        <v>0</v>
      </c>
      <c r="AD65" s="137">
        <f>'LCIA_AD-a'!AD55</f>
        <v>0</v>
      </c>
      <c r="AE65" s="137">
        <f>'LCIA_AD-a'!AE55</f>
        <v>0</v>
      </c>
      <c r="AF65" s="137">
        <f>'LCIA_AD-a'!AF55</f>
        <v>0</v>
      </c>
      <c r="AG65" s="137">
        <f>'LCIA_AD-a'!AG55</f>
        <v>4.5003488069579793</v>
      </c>
      <c r="AH65" s="137">
        <f>'LCIA_AD-a'!AH55</f>
        <v>6.0651122260989241E-5</v>
      </c>
      <c r="AI65" s="137">
        <f>'LCIA_AD-a'!AI55</f>
        <v>0</v>
      </c>
      <c r="AJ65" s="137">
        <f>'LCIA_AD-a'!AJ55</f>
        <v>0</v>
      </c>
      <c r="AK65" s="137">
        <f>'LCIA_AD-a'!AK55</f>
        <v>0</v>
      </c>
    </row>
    <row r="66" spans="1:37" x14ac:dyDescent="0.35">
      <c r="A66" s="142" t="s">
        <v>7</v>
      </c>
      <c r="B66" s="137"/>
      <c r="C66" s="137">
        <f>'LCIA_AD-a'!C56</f>
        <v>0</v>
      </c>
      <c r="D66" s="137">
        <f>'LCIA_AD-a'!D56</f>
        <v>0</v>
      </c>
      <c r="E66" s="137">
        <f>'LCIA_AD-a'!E56</f>
        <v>0</v>
      </c>
      <c r="F66" s="137">
        <f>'LCIA_AD-a'!F56</f>
        <v>0</v>
      </c>
      <c r="G66" s="137">
        <f>'LCIA_AD-a'!G56</f>
        <v>0</v>
      </c>
      <c r="H66" s="137">
        <f>'LCIA_AD-a'!H56</f>
        <v>0</v>
      </c>
      <c r="I66" s="137">
        <f>'LCIA_AD-a'!I56</f>
        <v>0</v>
      </c>
      <c r="J66" s="137">
        <f>'LCIA_AD-a'!J56</f>
        <v>0</v>
      </c>
      <c r="K66" s="137">
        <f>'LCIA_AD-a'!K56</f>
        <v>0</v>
      </c>
      <c r="L66" s="137">
        <f>'LCIA_AD-a'!L56</f>
        <v>0</v>
      </c>
      <c r="M66" s="137">
        <f>'LCIA_AD-a'!M56</f>
        <v>0</v>
      </c>
      <c r="N66" s="137">
        <f>'LCIA_AD-a'!N56</f>
        <v>0</v>
      </c>
      <c r="O66" s="137">
        <f>'LCIA_AD-a'!O56</f>
        <v>0</v>
      </c>
      <c r="P66" s="137">
        <f>'LCIA_AD-a'!P56</f>
        <v>0</v>
      </c>
      <c r="Q66" s="137">
        <f>'LCIA_AD-a'!Q56</f>
        <v>0</v>
      </c>
      <c r="R66" s="137">
        <f>'LCIA_AD-a'!R56</f>
        <v>0</v>
      </c>
      <c r="S66" s="137">
        <f>'LCIA_AD-a'!S56</f>
        <v>0</v>
      </c>
      <c r="T66" s="137">
        <f>'LCIA_AD-a'!T56</f>
        <v>0</v>
      </c>
      <c r="U66" s="137">
        <f>'LCIA_AD-a'!U56</f>
        <v>0</v>
      </c>
      <c r="V66" s="137">
        <f>'LCIA_AD-a'!V56</f>
        <v>0</v>
      </c>
      <c r="W66" s="137">
        <f>'LCIA_AD-a'!W56</f>
        <v>0</v>
      </c>
      <c r="X66" s="137">
        <f>'LCIA_AD-a'!X56</f>
        <v>0</v>
      </c>
      <c r="Y66" s="137">
        <f>'LCIA_AD-a'!Y56</f>
        <v>0</v>
      </c>
      <c r="Z66" s="137">
        <f>'LCIA_AD-a'!Z56</f>
        <v>0</v>
      </c>
      <c r="AA66" s="137">
        <f>'LCIA_AD-a'!AA56</f>
        <v>0</v>
      </c>
      <c r="AB66" s="137">
        <f>'LCIA_AD-a'!AB56</f>
        <v>0</v>
      </c>
      <c r="AC66" s="137">
        <f>'LCIA_AD-a'!AC56</f>
        <v>0</v>
      </c>
      <c r="AD66" s="137">
        <f>'LCIA_AD-a'!AD56</f>
        <v>0</v>
      </c>
      <c r="AE66" s="137">
        <f>'LCIA_AD-a'!AE56</f>
        <v>0</v>
      </c>
      <c r="AF66" s="137">
        <f>'LCIA_AD-a'!AF56</f>
        <v>0</v>
      </c>
      <c r="AG66" s="137">
        <f>'LCIA_AD-a'!AG56</f>
        <v>0</v>
      </c>
      <c r="AH66" s="137">
        <f>'LCIA_AD-a'!AH56</f>
        <v>0</v>
      </c>
      <c r="AI66" s="137">
        <f>'LCIA_AD-a'!AI56</f>
        <v>0</v>
      </c>
      <c r="AJ66" s="137">
        <f>'LCIA_AD-a'!AJ56</f>
        <v>0</v>
      </c>
      <c r="AK66" s="137">
        <f>'LCIA_AD-a'!AK56</f>
        <v>0</v>
      </c>
    </row>
    <row r="67" spans="1:37" x14ac:dyDescent="0.35">
      <c r="A67" s="137"/>
      <c r="B67" s="137" t="s">
        <v>50</v>
      </c>
      <c r="C67" s="137">
        <f>'LCIA_AD-a'!C57</f>
        <v>0</v>
      </c>
      <c r="D67" s="137">
        <f>'LCIA_AD-a'!D57</f>
        <v>0</v>
      </c>
      <c r="E67" s="137">
        <f>'LCIA_AD-a'!E57</f>
        <v>0</v>
      </c>
      <c r="F67" s="137">
        <f>'LCIA_AD-a'!F57</f>
        <v>0</v>
      </c>
      <c r="G67" s="137">
        <f>'LCIA_AD-a'!G57</f>
        <v>0</v>
      </c>
      <c r="H67" s="137">
        <f>'LCIA_AD-a'!H57</f>
        <v>2.9345112064544088E-2</v>
      </c>
      <c r="I67" s="137">
        <f>'LCIA_AD-a'!I57</f>
        <v>0</v>
      </c>
      <c r="J67" s="137">
        <f>'LCIA_AD-a'!J57</f>
        <v>0</v>
      </c>
      <c r="K67" s="137">
        <f>'LCIA_AD-a'!K57</f>
        <v>0</v>
      </c>
      <c r="L67" s="137">
        <f>'LCIA_AD-a'!L57</f>
        <v>0</v>
      </c>
      <c r="M67" s="137">
        <f>'LCIA_AD-a'!M57</f>
        <v>0</v>
      </c>
      <c r="N67" s="137">
        <f>'LCIA_AD-a'!N57</f>
        <v>0</v>
      </c>
      <c r="O67" s="137">
        <f>'LCIA_AD-a'!O57</f>
        <v>0</v>
      </c>
      <c r="P67" s="137">
        <f>'LCIA_AD-a'!P57</f>
        <v>0</v>
      </c>
      <c r="Q67" s="137">
        <f>'LCIA_AD-a'!Q57</f>
        <v>0</v>
      </c>
      <c r="R67" s="137">
        <f>'LCIA_AD-a'!R57</f>
        <v>0</v>
      </c>
      <c r="S67" s="137">
        <f>'LCIA_AD-a'!S57</f>
        <v>0</v>
      </c>
      <c r="T67" s="137">
        <f>'LCIA_AD-a'!T57</f>
        <v>0</v>
      </c>
      <c r="U67" s="137">
        <f>'LCIA_AD-a'!U57</f>
        <v>0</v>
      </c>
      <c r="V67" s="137">
        <f>'LCIA_AD-a'!V57</f>
        <v>0</v>
      </c>
      <c r="W67" s="137">
        <f>'LCIA_AD-a'!W57</f>
        <v>0</v>
      </c>
      <c r="X67" s="137">
        <f>'LCIA_AD-a'!X57</f>
        <v>9.6680276587565762E-3</v>
      </c>
      <c r="Y67" s="137">
        <f>'LCIA_AD-a'!Y57</f>
        <v>0</v>
      </c>
      <c r="Z67" s="137">
        <f>'LCIA_AD-a'!Z57</f>
        <v>6.8968264850586225E-7</v>
      </c>
      <c r="AA67" s="137">
        <f>'LCIA_AD-a'!AA57</f>
        <v>0.32004521004312952</v>
      </c>
      <c r="AB67" s="137">
        <f>'LCIA_AD-a'!AB57</f>
        <v>3.341371231675092E-8</v>
      </c>
      <c r="AC67" s="137">
        <f>'LCIA_AD-a'!AC57</f>
        <v>0.24065465076169715</v>
      </c>
      <c r="AD67" s="137">
        <f>'LCIA_AD-a'!AD57</f>
        <v>0</v>
      </c>
      <c r="AE67" s="137">
        <f>'LCIA_AD-a'!AE57</f>
        <v>0</v>
      </c>
      <c r="AF67" s="137">
        <f>'LCIA_AD-a'!AF57</f>
        <v>0</v>
      </c>
      <c r="AG67" s="137">
        <f>'LCIA_AD-a'!AG57</f>
        <v>0.59971300052812737</v>
      </c>
      <c r="AH67" s="137">
        <f>'LCIA_AD-a'!AH57</f>
        <v>7.230963609077751E-7</v>
      </c>
      <c r="AI67" s="137">
        <f>'LCIA_AD-a'!AI57</f>
        <v>0</v>
      </c>
      <c r="AJ67" s="137">
        <f>'LCIA_AD-a'!AJ57</f>
        <v>0</v>
      </c>
      <c r="AK67" s="137">
        <f>'LCIA_AD-a'!AK57</f>
        <v>0</v>
      </c>
    </row>
    <row r="68" spans="1:37" x14ac:dyDescent="0.35">
      <c r="A68" s="137"/>
      <c r="B68" s="137" t="s">
        <v>51</v>
      </c>
      <c r="C68" s="137">
        <f>'LCIA_AD-a'!C58</f>
        <v>0</v>
      </c>
      <c r="D68" s="137">
        <f>'LCIA_AD-a'!D58</f>
        <v>0</v>
      </c>
      <c r="E68" s="137">
        <f>'LCIA_AD-a'!E58</f>
        <v>0</v>
      </c>
      <c r="F68" s="137">
        <f>'LCIA_AD-a'!F58</f>
        <v>0</v>
      </c>
      <c r="G68" s="137">
        <f>'LCIA_AD-a'!G58</f>
        <v>0</v>
      </c>
      <c r="H68" s="137">
        <f>'LCIA_AD-a'!H58</f>
        <v>0</v>
      </c>
      <c r="I68" s="137">
        <f>'LCIA_AD-a'!I58</f>
        <v>0</v>
      </c>
      <c r="J68" s="137">
        <f>'LCIA_AD-a'!J58</f>
        <v>0</v>
      </c>
      <c r="K68" s="137">
        <f>'LCIA_AD-a'!K58</f>
        <v>0</v>
      </c>
      <c r="L68" s="137">
        <f>'LCIA_AD-a'!L58</f>
        <v>0</v>
      </c>
      <c r="M68" s="137">
        <f>'LCIA_AD-a'!M58</f>
        <v>0</v>
      </c>
      <c r="N68" s="137">
        <f>'LCIA_AD-a'!N58</f>
        <v>0</v>
      </c>
      <c r="O68" s="137">
        <f>'LCIA_AD-a'!O58</f>
        <v>0</v>
      </c>
      <c r="P68" s="137">
        <f>'LCIA_AD-a'!P58</f>
        <v>0</v>
      </c>
      <c r="Q68" s="137">
        <f>'LCIA_AD-a'!Q58</f>
        <v>0</v>
      </c>
      <c r="R68" s="137">
        <f>'LCIA_AD-a'!R58</f>
        <v>0</v>
      </c>
      <c r="S68" s="137">
        <f>'LCIA_AD-a'!S58</f>
        <v>0</v>
      </c>
      <c r="T68" s="137">
        <f>'LCIA_AD-a'!T58</f>
        <v>0</v>
      </c>
      <c r="U68" s="137">
        <f>'LCIA_AD-a'!U58</f>
        <v>0</v>
      </c>
      <c r="V68" s="137">
        <f>'LCIA_AD-a'!V58</f>
        <v>0</v>
      </c>
      <c r="W68" s="137">
        <f>'LCIA_AD-a'!W58</f>
        <v>0</v>
      </c>
      <c r="X68" s="137">
        <f>'LCIA_AD-a'!X58</f>
        <v>0</v>
      </c>
      <c r="Y68" s="137">
        <f>'LCIA_AD-a'!Y58</f>
        <v>0</v>
      </c>
      <c r="Z68" s="137">
        <f>'LCIA_AD-a'!Z58</f>
        <v>0</v>
      </c>
      <c r="AA68" s="137">
        <f>'LCIA_AD-a'!AA58</f>
        <v>0</v>
      </c>
      <c r="AB68" s="137">
        <f>'LCIA_AD-a'!AB58</f>
        <v>0</v>
      </c>
      <c r="AC68" s="137">
        <f>'LCIA_AD-a'!AC58</f>
        <v>0</v>
      </c>
      <c r="AD68" s="137">
        <f>'LCIA_AD-a'!AD58</f>
        <v>0</v>
      </c>
      <c r="AE68" s="137">
        <f>'LCIA_AD-a'!AE58</f>
        <v>0</v>
      </c>
      <c r="AF68" s="137">
        <f>'LCIA_AD-a'!AF58</f>
        <v>0</v>
      </c>
      <c r="AG68" s="137">
        <f>'LCIA_AD-a'!AG58</f>
        <v>0</v>
      </c>
      <c r="AH68" s="137">
        <f>'LCIA_AD-a'!AH58</f>
        <v>0</v>
      </c>
      <c r="AI68" s="137">
        <f>'LCIA_AD-a'!AI58</f>
        <v>0</v>
      </c>
      <c r="AJ68" s="137">
        <f>'LCIA_AD-a'!AJ58</f>
        <v>0</v>
      </c>
      <c r="AK68" s="137">
        <f>'LCIA_AD-a'!AK58</f>
        <v>0</v>
      </c>
    </row>
    <row r="69" spans="1:37" x14ac:dyDescent="0.35">
      <c r="A69" s="137"/>
      <c r="B69" s="137" t="s">
        <v>52</v>
      </c>
      <c r="C69" s="137">
        <f>'LCIA_AD-a'!C59</f>
        <v>0</v>
      </c>
      <c r="D69" s="137">
        <f>'LCIA_AD-a'!D59</f>
        <v>0</v>
      </c>
      <c r="E69" s="137">
        <f>'LCIA_AD-a'!E59</f>
        <v>0</v>
      </c>
      <c r="F69" s="137">
        <f>'LCIA_AD-a'!F59</f>
        <v>0</v>
      </c>
      <c r="G69" s="137">
        <f>'LCIA_AD-a'!G59</f>
        <v>0</v>
      </c>
      <c r="H69" s="137">
        <f>'LCIA_AD-a'!H59</f>
        <v>7.5301896698104316E-3</v>
      </c>
      <c r="I69" s="137">
        <f>'LCIA_AD-a'!I59</f>
        <v>0</v>
      </c>
      <c r="J69" s="137">
        <f>'LCIA_AD-a'!J59</f>
        <v>0</v>
      </c>
      <c r="K69" s="137">
        <f>'LCIA_AD-a'!K59</f>
        <v>0</v>
      </c>
      <c r="L69" s="137">
        <f>'LCIA_AD-a'!L59</f>
        <v>0</v>
      </c>
      <c r="M69" s="137">
        <f>'LCIA_AD-a'!M59</f>
        <v>0</v>
      </c>
      <c r="N69" s="137">
        <f>'LCIA_AD-a'!N59</f>
        <v>0</v>
      </c>
      <c r="O69" s="137">
        <f>'LCIA_AD-a'!O59</f>
        <v>0</v>
      </c>
      <c r="P69" s="137">
        <f>'LCIA_AD-a'!P59</f>
        <v>0</v>
      </c>
      <c r="Q69" s="137">
        <f>'LCIA_AD-a'!Q59</f>
        <v>0</v>
      </c>
      <c r="R69" s="137">
        <f>'LCIA_AD-a'!R59</f>
        <v>0</v>
      </c>
      <c r="S69" s="137">
        <f>'LCIA_AD-a'!S59</f>
        <v>0</v>
      </c>
      <c r="T69" s="137">
        <f>'LCIA_AD-a'!T59</f>
        <v>0</v>
      </c>
      <c r="U69" s="137">
        <f>'LCIA_AD-a'!U59</f>
        <v>0</v>
      </c>
      <c r="V69" s="137">
        <f>'LCIA_AD-a'!V59</f>
        <v>0</v>
      </c>
      <c r="W69" s="137">
        <f>'LCIA_AD-a'!W59</f>
        <v>0</v>
      </c>
      <c r="X69" s="137">
        <f>'LCIA_AD-a'!X59</f>
        <v>0</v>
      </c>
      <c r="Y69" s="137">
        <f>'LCIA_AD-a'!Y59</f>
        <v>0</v>
      </c>
      <c r="Z69" s="137">
        <f>'LCIA_AD-a'!Z59</f>
        <v>2.9229407484295913E-7</v>
      </c>
      <c r="AA69" s="137">
        <f>'LCIA_AD-a'!AA59</f>
        <v>0</v>
      </c>
      <c r="AB69" s="137">
        <f>'LCIA_AD-a'!AB59</f>
        <v>0</v>
      </c>
      <c r="AC69" s="137">
        <f>'LCIA_AD-a'!AC59</f>
        <v>4.4870051656323025E-2</v>
      </c>
      <c r="AD69" s="137">
        <f>'LCIA_AD-a'!AD59</f>
        <v>0</v>
      </c>
      <c r="AE69" s="137">
        <f>'LCIA_AD-a'!AE59</f>
        <v>0</v>
      </c>
      <c r="AF69" s="137">
        <f>'LCIA_AD-a'!AF59</f>
        <v>0</v>
      </c>
      <c r="AG69" s="137">
        <f>'LCIA_AD-a'!AG59</f>
        <v>5.2400241326133461E-2</v>
      </c>
      <c r="AH69" s="137">
        <f>'LCIA_AD-a'!AH59</f>
        <v>2.9229407484165353E-7</v>
      </c>
      <c r="AI69" s="137">
        <f>'LCIA_AD-a'!AI59</f>
        <v>0</v>
      </c>
      <c r="AJ69" s="137">
        <f>'LCIA_AD-a'!AJ59</f>
        <v>0</v>
      </c>
      <c r="AK69" s="137">
        <f>'LCIA_AD-a'!AK59</f>
        <v>0</v>
      </c>
    </row>
    <row r="70" spans="1:37" x14ac:dyDescent="0.35">
      <c r="A70" s="137"/>
      <c r="B70" s="137" t="s">
        <v>53</v>
      </c>
      <c r="C70" s="137">
        <f>'LCIA_AD-a'!C60</f>
        <v>0</v>
      </c>
      <c r="D70" s="137">
        <f>'LCIA_AD-a'!D60</f>
        <v>0</v>
      </c>
      <c r="E70" s="137">
        <f>'LCIA_AD-a'!E60</f>
        <v>0</v>
      </c>
      <c r="F70" s="137">
        <f>'LCIA_AD-a'!F60</f>
        <v>0</v>
      </c>
      <c r="G70" s="137">
        <f>'LCIA_AD-a'!G60</f>
        <v>0</v>
      </c>
      <c r="H70" s="137">
        <f>'LCIA_AD-a'!H60</f>
        <v>0</v>
      </c>
      <c r="I70" s="137">
        <f>'LCIA_AD-a'!I60</f>
        <v>0</v>
      </c>
      <c r="J70" s="137">
        <f>'LCIA_AD-a'!J60</f>
        <v>0</v>
      </c>
      <c r="K70" s="137">
        <f>'LCIA_AD-a'!K60</f>
        <v>0</v>
      </c>
      <c r="L70" s="137">
        <f>'LCIA_AD-a'!L60</f>
        <v>0</v>
      </c>
      <c r="M70" s="137">
        <f>'LCIA_AD-a'!M60</f>
        <v>0</v>
      </c>
      <c r="N70" s="137">
        <f>'LCIA_AD-a'!N60</f>
        <v>0</v>
      </c>
      <c r="O70" s="137">
        <f>'LCIA_AD-a'!O60</f>
        <v>0</v>
      </c>
      <c r="P70" s="137">
        <f>'LCIA_AD-a'!P60</f>
        <v>0</v>
      </c>
      <c r="Q70" s="137">
        <f>'LCIA_AD-a'!Q60</f>
        <v>0</v>
      </c>
      <c r="R70" s="137">
        <f>'LCIA_AD-a'!R60</f>
        <v>0</v>
      </c>
      <c r="S70" s="137">
        <f>'LCIA_AD-a'!S60</f>
        <v>0</v>
      </c>
      <c r="T70" s="137">
        <f>'LCIA_AD-a'!T60</f>
        <v>0</v>
      </c>
      <c r="U70" s="137">
        <f>'LCIA_AD-a'!U60</f>
        <v>0</v>
      </c>
      <c r="V70" s="137">
        <f>'LCIA_AD-a'!V60</f>
        <v>0</v>
      </c>
      <c r="W70" s="137">
        <f>'LCIA_AD-a'!W60</f>
        <v>0</v>
      </c>
      <c r="X70" s="137">
        <f>'LCIA_AD-a'!X60</f>
        <v>0</v>
      </c>
      <c r="Y70" s="137">
        <f>'LCIA_AD-a'!Y60</f>
        <v>0</v>
      </c>
      <c r="Z70" s="137">
        <f>'LCIA_AD-a'!Z60</f>
        <v>1.0521444232463526E-5</v>
      </c>
      <c r="AA70" s="137">
        <f>'LCIA_AD-a'!AA60</f>
        <v>0</v>
      </c>
      <c r="AB70" s="137">
        <f>'LCIA_AD-a'!AB60</f>
        <v>0</v>
      </c>
      <c r="AC70" s="137">
        <f>'LCIA_AD-a'!AC60</f>
        <v>0</v>
      </c>
      <c r="AD70" s="137">
        <f>'LCIA_AD-a'!AD60</f>
        <v>0</v>
      </c>
      <c r="AE70" s="137">
        <f>'LCIA_AD-a'!AE60</f>
        <v>0</v>
      </c>
      <c r="AF70" s="137">
        <f>'LCIA_AD-a'!AF60</f>
        <v>0</v>
      </c>
      <c r="AG70" s="137">
        <f>'LCIA_AD-a'!AG60</f>
        <v>0</v>
      </c>
      <c r="AH70" s="137">
        <f>'LCIA_AD-a'!AH60</f>
        <v>1.0521444232463526E-5</v>
      </c>
      <c r="AI70" s="137">
        <f>'LCIA_AD-a'!AI60</f>
        <v>0</v>
      </c>
      <c r="AJ70" s="137">
        <f>'LCIA_AD-a'!AJ60</f>
        <v>0</v>
      </c>
      <c r="AK70" s="137">
        <f>'LCIA_AD-a'!AK60</f>
        <v>0</v>
      </c>
    </row>
    <row r="71" spans="1:37" x14ac:dyDescent="0.35">
      <c r="A71" s="137"/>
      <c r="B71" s="137" t="s">
        <v>54</v>
      </c>
      <c r="C71" s="137">
        <f>'LCIA_AD-a'!C61</f>
        <v>0</v>
      </c>
      <c r="D71" s="137">
        <f>'LCIA_AD-a'!D61</f>
        <v>0</v>
      </c>
      <c r="E71" s="137">
        <f>'LCIA_AD-a'!E61</f>
        <v>0</v>
      </c>
      <c r="F71" s="137">
        <f>'LCIA_AD-a'!F61</f>
        <v>0</v>
      </c>
      <c r="G71" s="137">
        <f>'LCIA_AD-a'!G61</f>
        <v>0</v>
      </c>
      <c r="H71" s="137">
        <f>'LCIA_AD-a'!H61</f>
        <v>0</v>
      </c>
      <c r="I71" s="137">
        <f>'LCIA_AD-a'!I61</f>
        <v>0</v>
      </c>
      <c r="J71" s="137">
        <f>'LCIA_AD-a'!J61</f>
        <v>0</v>
      </c>
      <c r="K71" s="137">
        <f>'LCIA_AD-a'!K61</f>
        <v>0</v>
      </c>
      <c r="L71" s="137">
        <f>'LCIA_AD-a'!L61</f>
        <v>0</v>
      </c>
      <c r="M71" s="137">
        <f>'LCIA_AD-a'!M61</f>
        <v>0</v>
      </c>
      <c r="N71" s="137">
        <f>'LCIA_AD-a'!N61</f>
        <v>0</v>
      </c>
      <c r="O71" s="137">
        <f>'LCIA_AD-a'!O61</f>
        <v>0</v>
      </c>
      <c r="P71" s="137">
        <f>'LCIA_AD-a'!P61</f>
        <v>0</v>
      </c>
      <c r="Q71" s="137">
        <f>'LCIA_AD-a'!Q61</f>
        <v>0</v>
      </c>
      <c r="R71" s="137">
        <f>'LCIA_AD-a'!R61</f>
        <v>0</v>
      </c>
      <c r="S71" s="137">
        <f>'LCIA_AD-a'!S61</f>
        <v>0</v>
      </c>
      <c r="T71" s="137">
        <f>'LCIA_AD-a'!T61</f>
        <v>0</v>
      </c>
      <c r="U71" s="137">
        <f>'LCIA_AD-a'!U61</f>
        <v>0</v>
      </c>
      <c r="V71" s="137">
        <f>'LCIA_AD-a'!V61</f>
        <v>0</v>
      </c>
      <c r="W71" s="137">
        <f>'LCIA_AD-a'!W61</f>
        <v>0</v>
      </c>
      <c r="X71" s="137">
        <f>'LCIA_AD-a'!X61</f>
        <v>0</v>
      </c>
      <c r="Y71" s="137">
        <f>'LCIA_AD-a'!Y61</f>
        <v>0</v>
      </c>
      <c r="Z71" s="137">
        <f>'LCIA_AD-a'!Z61</f>
        <v>0</v>
      </c>
      <c r="AA71" s="137">
        <f>'LCIA_AD-a'!AA61</f>
        <v>0</v>
      </c>
      <c r="AB71" s="137">
        <f>'LCIA_AD-a'!AB61</f>
        <v>0</v>
      </c>
      <c r="AC71" s="137">
        <f>'LCIA_AD-a'!AC61</f>
        <v>0</v>
      </c>
      <c r="AD71" s="137">
        <f>'LCIA_AD-a'!AD61</f>
        <v>0</v>
      </c>
      <c r="AE71" s="137">
        <f>'LCIA_AD-a'!AE61</f>
        <v>0</v>
      </c>
      <c r="AF71" s="137">
        <f>'LCIA_AD-a'!AF61</f>
        <v>0</v>
      </c>
      <c r="AG71" s="137">
        <f>'LCIA_AD-a'!AG61</f>
        <v>0</v>
      </c>
      <c r="AH71" s="137">
        <f>'LCIA_AD-a'!AH61</f>
        <v>0</v>
      </c>
      <c r="AI71" s="137">
        <f>'LCIA_AD-a'!AI61</f>
        <v>0</v>
      </c>
      <c r="AJ71" s="137">
        <f>'LCIA_AD-a'!AJ61</f>
        <v>0</v>
      </c>
      <c r="AK71" s="137">
        <f>'LCIA_AD-a'!AK61</f>
        <v>0</v>
      </c>
    </row>
    <row r="72" spans="1:37" x14ac:dyDescent="0.35">
      <c r="A72" s="137"/>
      <c r="B72" s="137" t="s">
        <v>55</v>
      </c>
      <c r="C72" s="137">
        <f>'LCIA_AD-a'!C62</f>
        <v>0</v>
      </c>
      <c r="D72" s="137">
        <f>'LCIA_AD-a'!D62</f>
        <v>0</v>
      </c>
      <c r="E72" s="137">
        <f>'LCIA_AD-a'!E62</f>
        <v>0</v>
      </c>
      <c r="F72" s="137">
        <f>'LCIA_AD-a'!F62</f>
        <v>0</v>
      </c>
      <c r="G72" s="137">
        <f>'LCIA_AD-a'!G62</f>
        <v>0</v>
      </c>
      <c r="H72" s="137">
        <f>'LCIA_AD-a'!H62</f>
        <v>2.64775553315998E-2</v>
      </c>
      <c r="I72" s="137">
        <f>'LCIA_AD-a'!I62</f>
        <v>0</v>
      </c>
      <c r="J72" s="137">
        <f>'LCIA_AD-a'!J62</f>
        <v>0</v>
      </c>
      <c r="K72" s="137">
        <f>'LCIA_AD-a'!K62</f>
        <v>0</v>
      </c>
      <c r="L72" s="137">
        <f>'LCIA_AD-a'!L62</f>
        <v>0</v>
      </c>
      <c r="M72" s="137">
        <f>'LCIA_AD-a'!M62</f>
        <v>0</v>
      </c>
      <c r="N72" s="137">
        <f>'LCIA_AD-a'!N62</f>
        <v>0</v>
      </c>
      <c r="O72" s="137">
        <f>'LCIA_AD-a'!O62</f>
        <v>0</v>
      </c>
      <c r="P72" s="137">
        <f>'LCIA_AD-a'!P62</f>
        <v>0</v>
      </c>
      <c r="Q72" s="137">
        <f>'LCIA_AD-a'!Q62</f>
        <v>0</v>
      </c>
      <c r="R72" s="137">
        <f>'LCIA_AD-a'!R62</f>
        <v>0</v>
      </c>
      <c r="S72" s="137">
        <f>'LCIA_AD-a'!S62</f>
        <v>0</v>
      </c>
      <c r="T72" s="137">
        <f>'LCIA_AD-a'!T62</f>
        <v>0</v>
      </c>
      <c r="U72" s="137">
        <f>'LCIA_AD-a'!U62</f>
        <v>0</v>
      </c>
      <c r="V72" s="137">
        <f>'LCIA_AD-a'!V62</f>
        <v>0</v>
      </c>
      <c r="W72" s="137">
        <f>'LCIA_AD-a'!W62</f>
        <v>0</v>
      </c>
      <c r="X72" s="137">
        <f>'LCIA_AD-a'!X62</f>
        <v>1.0164650294236277E-2</v>
      </c>
      <c r="Y72" s="137">
        <f>'LCIA_AD-a'!Y62</f>
        <v>0</v>
      </c>
      <c r="Z72" s="137">
        <f>'LCIA_AD-a'!Z62</f>
        <v>2.5434328360242584E-6</v>
      </c>
      <c r="AA72" s="137">
        <f>'LCIA_AD-a'!AA62</f>
        <v>0</v>
      </c>
      <c r="AB72" s="137">
        <f>'LCIA_AD-a'!AB62</f>
        <v>0</v>
      </c>
      <c r="AC72" s="137">
        <f>'LCIA_AD-a'!AC62</f>
        <v>0.3413663755755999</v>
      </c>
      <c r="AD72" s="137">
        <f>'LCIA_AD-a'!AD62</f>
        <v>0</v>
      </c>
      <c r="AE72" s="137">
        <f>'LCIA_AD-a'!AE62</f>
        <v>0</v>
      </c>
      <c r="AF72" s="137">
        <f>'LCIA_AD-a'!AF62</f>
        <v>0</v>
      </c>
      <c r="AG72" s="137">
        <f>'LCIA_AD-a'!AG62</f>
        <v>0.37800858120143599</v>
      </c>
      <c r="AH72" s="137">
        <f>'LCIA_AD-a'!AH62</f>
        <v>2.5434328359962991E-6</v>
      </c>
      <c r="AI72" s="137">
        <f>'LCIA_AD-a'!AI62</f>
        <v>0</v>
      </c>
      <c r="AJ72" s="137">
        <f>'LCIA_AD-a'!AJ62</f>
        <v>0</v>
      </c>
      <c r="AK72" s="137">
        <f>'LCIA_AD-a'!AK62</f>
        <v>0</v>
      </c>
    </row>
    <row r="73" spans="1:37" x14ac:dyDescent="0.35">
      <c r="A73" s="137"/>
      <c r="B73" s="137" t="s">
        <v>58</v>
      </c>
      <c r="C73" s="137">
        <f>'LCIA_AD-a'!C63</f>
        <v>0.59739459327648203</v>
      </c>
      <c r="D73" s="137">
        <f>'LCIA_AD-a'!D63</f>
        <v>2.2688585970530526</v>
      </c>
      <c r="E73" s="137">
        <f>'LCIA_AD-a'!E63</f>
        <v>8.0510704739781323E-6</v>
      </c>
      <c r="F73" s="137">
        <f>'LCIA_AD-a'!F63</f>
        <v>3.0577373705672909E-5</v>
      </c>
      <c r="G73" s="137">
        <f>'LCIA_AD-a'!G63</f>
        <v>0</v>
      </c>
      <c r="H73" s="137">
        <f>'LCIA_AD-a'!H63</f>
        <v>0</v>
      </c>
      <c r="I73" s="137">
        <f>'LCIA_AD-a'!I63</f>
        <v>0</v>
      </c>
      <c r="J73" s="137">
        <f>'LCIA_AD-a'!J63</f>
        <v>0</v>
      </c>
      <c r="K73" s="137">
        <f>'LCIA_AD-a'!K63</f>
        <v>0</v>
      </c>
      <c r="L73" s="137">
        <f>'LCIA_AD-a'!L63</f>
        <v>0</v>
      </c>
      <c r="M73" s="137">
        <f>'LCIA_AD-a'!M63</f>
        <v>0</v>
      </c>
      <c r="N73" s="137">
        <f>'LCIA_AD-a'!N63</f>
        <v>0</v>
      </c>
      <c r="O73" s="137">
        <f>'LCIA_AD-a'!O63</f>
        <v>0</v>
      </c>
      <c r="P73" s="137">
        <f>'LCIA_AD-a'!P63</f>
        <v>0</v>
      </c>
      <c r="Q73" s="137">
        <f>'LCIA_AD-a'!Q63</f>
        <v>0</v>
      </c>
      <c r="R73" s="137">
        <f>'LCIA_AD-a'!R63</f>
        <v>0</v>
      </c>
      <c r="S73" s="137">
        <f>'LCIA_AD-a'!S63</f>
        <v>0</v>
      </c>
      <c r="T73" s="137">
        <f>'LCIA_AD-a'!T63</f>
        <v>0</v>
      </c>
      <c r="U73" s="137">
        <f>'LCIA_AD-a'!U63</f>
        <v>0</v>
      </c>
      <c r="V73" s="137">
        <f>'LCIA_AD-a'!V63</f>
        <v>0</v>
      </c>
      <c r="W73" s="137">
        <f>'LCIA_AD-a'!W63</f>
        <v>0</v>
      </c>
      <c r="X73" s="137">
        <f>'LCIA_AD-a'!X63</f>
        <v>0</v>
      </c>
      <c r="Y73" s="137">
        <f>'LCIA_AD-a'!Y63</f>
        <v>0</v>
      </c>
      <c r="Z73" s="137">
        <f>'LCIA_AD-a'!Z63</f>
        <v>0</v>
      </c>
      <c r="AA73" s="137">
        <f>'LCIA_AD-a'!AA63</f>
        <v>0</v>
      </c>
      <c r="AB73" s="137">
        <f>'LCIA_AD-a'!AB63</f>
        <v>0</v>
      </c>
      <c r="AC73" s="137">
        <f>'LCIA_AD-a'!AC63</f>
        <v>0</v>
      </c>
      <c r="AD73" s="137">
        <f>'LCIA_AD-a'!AD63</f>
        <v>0</v>
      </c>
      <c r="AE73" s="137">
        <f>'LCIA_AD-a'!AE63</f>
        <v>0</v>
      </c>
      <c r="AF73" s="137">
        <f>'LCIA_AD-a'!AF63</f>
        <v>0</v>
      </c>
      <c r="AG73" s="137">
        <f>'LCIA_AD-a'!AG63</f>
        <v>2.8662531903295347</v>
      </c>
      <c r="AH73" s="137">
        <f>'LCIA_AD-a'!AH63</f>
        <v>3.8628444179449193E-5</v>
      </c>
      <c r="AI73" s="137">
        <f>'LCIA_AD-a'!AI63</f>
        <v>0</v>
      </c>
      <c r="AJ73" s="137">
        <f>'LCIA_AD-a'!AJ63</f>
        <v>0</v>
      </c>
      <c r="AK73" s="137">
        <f>'LCIA_AD-a'!AK63</f>
        <v>0</v>
      </c>
    </row>
    <row r="74" spans="1:37" x14ac:dyDescent="0.35">
      <c r="A74" s="137"/>
      <c r="B74" s="137" t="s">
        <v>59</v>
      </c>
      <c r="C74" s="137">
        <f>'LCIA_AD-a'!C64</f>
        <v>1.1658402937605814</v>
      </c>
      <c r="D74" s="137">
        <f>'LCIA_AD-a'!D64</f>
        <v>0.86492128825816816</v>
      </c>
      <c r="E74" s="137">
        <f>'LCIA_AD-a'!E64</f>
        <v>1.5711997517402574E-5</v>
      </c>
      <c r="F74" s="137">
        <f>'LCIA_AD-a'!F64</f>
        <v>1.1656520371264299E-5</v>
      </c>
      <c r="G74" s="137">
        <f>'LCIA_AD-a'!G64</f>
        <v>0</v>
      </c>
      <c r="H74" s="137">
        <f>'LCIA_AD-a'!H64</f>
        <v>0</v>
      </c>
      <c r="I74" s="137">
        <f>'LCIA_AD-a'!I64</f>
        <v>0</v>
      </c>
      <c r="J74" s="137">
        <f>'LCIA_AD-a'!J64</f>
        <v>0</v>
      </c>
      <c r="K74" s="137">
        <f>'LCIA_AD-a'!K64</f>
        <v>0</v>
      </c>
      <c r="L74" s="137">
        <f>'LCIA_AD-a'!L64</f>
        <v>0</v>
      </c>
      <c r="M74" s="137">
        <f>'LCIA_AD-a'!M64</f>
        <v>0</v>
      </c>
      <c r="N74" s="137">
        <f>'LCIA_AD-a'!N64</f>
        <v>0</v>
      </c>
      <c r="O74" s="137">
        <f>'LCIA_AD-a'!O64</f>
        <v>0</v>
      </c>
      <c r="P74" s="137">
        <f>'LCIA_AD-a'!P64</f>
        <v>0</v>
      </c>
      <c r="Q74" s="137">
        <f>'LCIA_AD-a'!Q64</f>
        <v>0</v>
      </c>
      <c r="R74" s="137">
        <f>'LCIA_AD-a'!R64</f>
        <v>0</v>
      </c>
      <c r="S74" s="137">
        <f>'LCIA_AD-a'!S64</f>
        <v>0</v>
      </c>
      <c r="T74" s="137">
        <f>'LCIA_AD-a'!T64</f>
        <v>0</v>
      </c>
      <c r="U74" s="137">
        <f>'LCIA_AD-a'!U64</f>
        <v>0</v>
      </c>
      <c r="V74" s="137">
        <f>'LCIA_AD-a'!V64</f>
        <v>0</v>
      </c>
      <c r="W74" s="137">
        <f>'LCIA_AD-a'!W64</f>
        <v>0</v>
      </c>
      <c r="X74" s="137">
        <f>'LCIA_AD-a'!X64</f>
        <v>0</v>
      </c>
      <c r="Y74" s="137">
        <f>'LCIA_AD-a'!Y64</f>
        <v>0</v>
      </c>
      <c r="Z74" s="137">
        <f>'LCIA_AD-a'!Z64</f>
        <v>0</v>
      </c>
      <c r="AA74" s="137">
        <f>'LCIA_AD-a'!AA64</f>
        <v>0</v>
      </c>
      <c r="AB74" s="137">
        <f>'LCIA_AD-a'!AB64</f>
        <v>0</v>
      </c>
      <c r="AC74" s="137">
        <f>'LCIA_AD-a'!AC64</f>
        <v>0</v>
      </c>
      <c r="AD74" s="137">
        <f>'LCIA_AD-a'!AD64</f>
        <v>0</v>
      </c>
      <c r="AE74" s="137">
        <f>'LCIA_AD-a'!AE64</f>
        <v>0</v>
      </c>
      <c r="AF74" s="137">
        <f>'LCIA_AD-a'!AF64</f>
        <v>0</v>
      </c>
      <c r="AG74" s="137">
        <f>'LCIA_AD-a'!AG64</f>
        <v>2.0307615820187492</v>
      </c>
      <c r="AH74" s="137">
        <f>'LCIA_AD-a'!AH64</f>
        <v>2.7368517888563288E-5</v>
      </c>
      <c r="AI74" s="137">
        <f>'LCIA_AD-a'!AI64</f>
        <v>0</v>
      </c>
      <c r="AJ74" s="137">
        <f>'LCIA_AD-a'!AJ64</f>
        <v>0</v>
      </c>
      <c r="AK74" s="137">
        <f>'LCIA_AD-a'!AK64</f>
        <v>0</v>
      </c>
    </row>
    <row r="75" spans="1:37" x14ac:dyDescent="0.35">
      <c r="A75" s="142" t="s">
        <v>272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</row>
    <row r="76" spans="1:37" x14ac:dyDescent="0.35">
      <c r="A76" s="137"/>
      <c r="B76" s="137" t="s">
        <v>273</v>
      </c>
      <c r="C76" s="137">
        <f>'LCI_AD-b'!$E27*'IW+_end'!C2</f>
        <v>5.941321709497055E-2</v>
      </c>
      <c r="D76" s="137">
        <f>'LCI_AD-b'!$E27*'IW+_end'!D2</f>
        <v>1.8200830437469038E-2</v>
      </c>
      <c r="E76" s="137">
        <f>'LCI_AD-b'!$E27*'IW+_end'!E2</f>
        <v>8.0071028981674757E-7</v>
      </c>
      <c r="F76" s="137">
        <f>'LCI_AD-b'!$E27*'IW+_end'!F2</f>
        <v>2.4529209033060422E-7</v>
      </c>
      <c r="G76" s="137">
        <f>'LCI_AD-b'!$E27*'IW+_end'!G2</f>
        <v>1.8210791683919161E-20</v>
      </c>
      <c r="H76" s="137">
        <f>'LCI_AD-b'!$E27*'IW+_end'!H2</f>
        <v>1.0503172913151426E-3</v>
      </c>
      <c r="I76" s="137">
        <f>'LCI_AD-b'!$E27*'IW+_end'!I2</f>
        <v>5.0237417316694115E-2</v>
      </c>
      <c r="J76" s="137">
        <f>'LCI_AD-b'!$E27*'IW+_end'!J2</f>
        <v>2.4959585431288947E-3</v>
      </c>
      <c r="K76" s="137">
        <f>'LCI_AD-b'!$E27*'IW+_end'!K2</f>
        <v>4.3362334545967166E-6</v>
      </c>
      <c r="L76" s="137">
        <f>'LCI_AD-b'!$E27*'IW+_end'!L2</f>
        <v>1.7598966095032293E-9</v>
      </c>
      <c r="M76" s="137">
        <f>'LCI_AD-b'!$E27*'IW+_end'!M2</f>
        <v>3.3567576237022196E-8</v>
      </c>
      <c r="N76" s="137">
        <f>'LCI_AD-b'!$E27*'IW+_end'!N2</f>
        <v>3.9796326471676582E-8</v>
      </c>
      <c r="O76" s="137">
        <f>'LCI_AD-b'!$E27*'IW+_end'!O2</f>
        <v>2.1183971048751753E-8</v>
      </c>
      <c r="P76" s="137">
        <f>'LCI_AD-b'!$E27*'IW+_end'!P2</f>
        <v>8.3710717714673815E-10</v>
      </c>
      <c r="Q76" s="137">
        <f>'LCI_AD-b'!$E27*'IW+_end'!Q2</f>
        <v>2.5814107318142541E-8</v>
      </c>
      <c r="R76" s="137">
        <f>'LCI_AD-b'!$E27*'IW+_end'!R2</f>
        <v>3.3440563674479156E-3</v>
      </c>
      <c r="S76" s="137">
        <f>'LCI_AD-b'!$E27*'IW+_end'!S2</f>
        <v>2.3576197029080408E-3</v>
      </c>
      <c r="T76" s="137">
        <f>'LCI_AD-b'!$E27*'IW+_end'!T2</f>
        <v>2.0728909246208366E-2</v>
      </c>
      <c r="U76" s="137">
        <f>'LCI_AD-b'!$E27*'IW+_end'!U2</f>
        <v>2.2501703309804181E-3</v>
      </c>
      <c r="V76" s="137">
        <f>'LCI_AD-b'!$E27*'IW+_end'!V2</f>
        <v>1.9515201604361924E-7</v>
      </c>
      <c r="W76" s="137">
        <f>'LCI_AD-b'!$E27*'IW+_end'!W2</f>
        <v>5.3707571522757606E-8</v>
      </c>
      <c r="X76" s="137">
        <f>'LCI_AD-b'!$E27*'IW+_end'!X2</f>
        <v>1.3745853579557772E-4</v>
      </c>
      <c r="Y76" s="137">
        <f>'LCI_AD-b'!$E27*'IW+_end'!Y2</f>
        <v>9.350832736087678E-12</v>
      </c>
      <c r="Z76" s="137">
        <f>'LCI_AD-b'!$E27*'IW+_end'!Z2</f>
        <v>7.5692715541361229E-8</v>
      </c>
      <c r="AA76" s="137">
        <f>'LCI_AD-b'!$E27*'IW+_end'!AA2</f>
        <v>3.1865653009731433E-3</v>
      </c>
      <c r="AB76" s="137">
        <f>'LCI_AD-b'!$E27*'IW+_end'!AB2</f>
        <v>3.1676949475771441E-10</v>
      </c>
      <c r="AC76" s="137">
        <f>'LCI_AD-b'!$E27*'IW+_end'!AC2</f>
        <v>6.9309860106116965E-3</v>
      </c>
      <c r="AD76" s="137">
        <f>'LCI_AD-b'!$E27*'IW+_end'!AD2</f>
        <v>7.1233230785811997E-3</v>
      </c>
      <c r="AE76" s="137">
        <f>'LCI_AD-b'!$E27*'IW+_end'!AE2</f>
        <v>1.9603263605806531E-3</v>
      </c>
      <c r="AF76" s="137">
        <f>'LCI_AD-b'!$E27*'IW+_end'!AF2</f>
        <v>3.8436351602776152E-4</v>
      </c>
      <c r="AG76" s="137">
        <f>'LCI_AD-b'!$E27*'IW+_end'!AG2</f>
        <v>0.17981112267989818</v>
      </c>
      <c r="AH76" s="137">
        <f>'LCI_AD-b'!$E27*'IW+_end'!AH2</f>
        <v>1.4934906006232479E-6</v>
      </c>
      <c r="AI76" s="137">
        <f>'LCI_AD-b'!$E27*'IW+_end'!AI2</f>
        <v>2.0414493748538704E-6</v>
      </c>
      <c r="AJ76" s="137">
        <f>'LCI_AD-b'!$E27*'IW+_end'!AJ2</f>
        <v>2.4934750692198234E-7</v>
      </c>
      <c r="AK76" s="137">
        <f>'LCI_AD-b'!$E27*'IW+_end'!AK2</f>
        <v>2.9761666816324373E-6</v>
      </c>
    </row>
    <row r="77" spans="1:37" x14ac:dyDescent="0.35">
      <c r="A77" s="137"/>
      <c r="B77" s="137" t="s">
        <v>427</v>
      </c>
      <c r="C77" s="137">
        <f>'LCI_AD-b'!$E29*'IW+_end'!C34</f>
        <v>2.3927860879237855E-2</v>
      </c>
      <c r="D77" s="137">
        <f>'LCI_AD-b'!$E29*'IW+_end'!D34</f>
        <v>9.3982693693031565E-3</v>
      </c>
      <c r="E77" s="137">
        <f>'LCI_AD-b'!$E29*'IW+_end'!E34</f>
        <v>3.2247512180132789E-7</v>
      </c>
      <c r="F77" s="137">
        <f>'LCI_AD-b'!$E29*'IW+_end'!F34</f>
        <v>1.2666021734594175E-7</v>
      </c>
      <c r="G77" s="137">
        <f>'LCI_AD-b'!$E29*'IW+_end'!G34</f>
        <v>3.4384901450135348E-20</v>
      </c>
      <c r="H77" s="137">
        <f>'LCI_AD-b'!$E29*'IW+_end'!H34</f>
        <v>5.2699305270092621E-4</v>
      </c>
      <c r="I77" s="137">
        <f>'LCI_AD-b'!$E29*'IW+_end'!I34</f>
        <v>0.771888101592899</v>
      </c>
      <c r="J77" s="137">
        <f>'LCI_AD-b'!$E29*'IW+_end'!J34</f>
        <v>1.7392727279660594E-3</v>
      </c>
      <c r="K77" s="137">
        <f>'LCI_AD-b'!$E29*'IW+_end'!K34</f>
        <v>3.3038576931669239E-3</v>
      </c>
      <c r="L77" s="137">
        <f>'LCI_AD-b'!$E29*'IW+_end'!L34</f>
        <v>4.6379122373405724E-9</v>
      </c>
      <c r="M77" s="137">
        <f>'LCI_AD-b'!$E29*'IW+_end'!M34</f>
        <v>3.090306240842176E-8</v>
      </c>
      <c r="N77" s="137">
        <f>'LCI_AD-b'!$E29*'IW+_end'!N34</f>
        <v>2.2266811540084483E-7</v>
      </c>
      <c r="O77" s="137">
        <f>'LCI_AD-b'!$E29*'IW+_end'!O34</f>
        <v>1.6787822412705222E-7</v>
      </c>
      <c r="P77" s="137">
        <f>'LCI_AD-b'!$E29*'IW+_end'!P34</f>
        <v>2.0429078388411279E-11</v>
      </c>
      <c r="Q77" s="137">
        <f>'LCI_AD-b'!$E29*'IW+_end'!Q34</f>
        <v>3.9204143252886534E-10</v>
      </c>
      <c r="R77" s="137">
        <f>'LCI_AD-b'!$E29*'IW+_end'!R34</f>
        <v>1.1917674922248857E-3</v>
      </c>
      <c r="S77" s="137">
        <f>'LCI_AD-b'!$E29*'IW+_end'!S34</f>
        <v>2.6718941156176975E-3</v>
      </c>
      <c r="T77" s="137">
        <f>'LCI_AD-b'!$E29*'IW+_end'!T34</f>
        <v>7.747704384545878E-3</v>
      </c>
      <c r="U77" s="137">
        <f>'LCI_AD-b'!$E29*'IW+_end'!U34</f>
        <v>8.4102932992518383E-4</v>
      </c>
      <c r="V77" s="137">
        <f>'LCI_AD-b'!$E29*'IW+_end'!V34</f>
        <v>6.9065453059477657E-6</v>
      </c>
      <c r="W77" s="137">
        <f>'LCI_AD-b'!$E29*'IW+_end'!W34</f>
        <v>3.3775060616058159E-6</v>
      </c>
      <c r="X77" s="137">
        <f>'LCI_AD-b'!$E29*'IW+_end'!X34</f>
        <v>4.0405249660761478E-2</v>
      </c>
      <c r="Y77" s="137">
        <f>'LCI_AD-b'!$E29*'IW+_end'!Y34</f>
        <v>1.3309147451561656E-12</v>
      </c>
      <c r="Z77" s="137">
        <f>'LCI_AD-b'!$E29*'IW+_end'!Z34</f>
        <v>4.7412405843175289E-8</v>
      </c>
      <c r="AA77" s="137">
        <f>'LCI_AD-b'!$E29*'IW+_end'!AA34</f>
        <v>1.8411387774203525E-3</v>
      </c>
      <c r="AB77" s="137">
        <f>'LCI_AD-b'!$E29*'IW+_end'!AB34</f>
        <v>1.865853585345612E-10</v>
      </c>
      <c r="AC77" s="137">
        <f>'LCI_AD-b'!$E29*'IW+_end'!AC34</f>
        <v>4.0495154398232022E-3</v>
      </c>
      <c r="AD77" s="137">
        <f>'LCI_AD-b'!$E29*'IW+_end'!AD34</f>
        <v>0.2520892232869627</v>
      </c>
      <c r="AE77" s="137">
        <f>'LCI_AD-b'!$E29*'IW+_end'!AE34</f>
        <v>0.12327897124861212</v>
      </c>
      <c r="AF77" s="137">
        <f>'LCI_AD-b'!$E29*'IW+_end'!AF34</f>
        <v>1.5288188252654906E-5</v>
      </c>
      <c r="AG77" s="137">
        <f>'LCI_AD-b'!$E29*'IW+_end'!AG34</f>
        <v>1.2449300223664808</v>
      </c>
      <c r="AH77" s="137">
        <f>'LCI_AD-b'!$E29*'IW+_end'!AH34</f>
        <v>9.2275936159386523E-7</v>
      </c>
      <c r="AI77" s="137">
        <f>'LCI_AD-b'!$E29*'IW+_end'!AI34</f>
        <v>-3.7305252814221088E-9</v>
      </c>
      <c r="AJ77" s="137">
        <f>'LCI_AD-b'!$E29*'IW+_end'!AJ34</f>
        <v>-4.5565527604516964E-10</v>
      </c>
      <c r="AK77" s="137">
        <f>'LCI_AD-b'!$E29*'IW+_end'!AK34</f>
        <v>3.604785788667278E-6</v>
      </c>
    </row>
    <row r="78" spans="1:37" x14ac:dyDescent="0.35">
      <c r="A78" s="143" t="s">
        <v>287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</row>
    <row r="79" spans="1:37" x14ac:dyDescent="0.35">
      <c r="A79" s="137"/>
      <c r="B79" s="137" t="s">
        <v>96</v>
      </c>
      <c r="C79" s="137">
        <f>'LCI_AD-b'!$E31*'IW+_end'!C12</f>
        <v>5.473873158817244E-2</v>
      </c>
      <c r="D79" s="137">
        <f>'LCI_AD-b'!$E31*'IW+_end'!D12</f>
        <v>0.20789348138295874</v>
      </c>
      <c r="E79" s="137">
        <f>'LCI_AD-b'!$E31*'IW+_end'!E12</f>
        <v>7.3771237743456607E-7</v>
      </c>
      <c r="F79" s="137">
        <f>'LCI_AD-b'!$E31*'IW+_end'!F12</f>
        <v>2.8017773692361324E-6</v>
      </c>
      <c r="G79" s="137">
        <f>'LCI_AD-b'!$E31*'IW+_end'!G12</f>
        <v>0</v>
      </c>
      <c r="H79" s="137">
        <f>'LCI_AD-b'!$E31*'IW+_end'!H12</f>
        <v>0</v>
      </c>
      <c r="I79" s="137">
        <f>'LCI_AD-b'!$E31*'IW+_end'!I12</f>
        <v>0</v>
      </c>
      <c r="J79" s="137">
        <f>'LCI_AD-b'!$E31*'IW+_end'!J12</f>
        <v>0</v>
      </c>
      <c r="K79" s="137">
        <f>'LCI_AD-b'!$E31*'IW+_end'!K12</f>
        <v>0</v>
      </c>
      <c r="L79" s="137">
        <f>'LCI_AD-b'!$E31*'IW+_end'!L12</f>
        <v>0</v>
      </c>
      <c r="M79" s="137">
        <f>'LCI_AD-b'!$E31*'IW+_end'!M12</f>
        <v>0</v>
      </c>
      <c r="N79" s="137">
        <f>'LCI_AD-b'!$E31*'IW+_end'!N12</f>
        <v>0</v>
      </c>
      <c r="O79" s="137">
        <f>'LCI_AD-b'!$E31*'IW+_end'!O12</f>
        <v>0</v>
      </c>
      <c r="P79" s="137">
        <f>'LCI_AD-b'!$E31*'IW+_end'!P12</f>
        <v>0</v>
      </c>
      <c r="Q79" s="137">
        <f>'LCI_AD-b'!$E31*'IW+_end'!Q12</f>
        <v>0</v>
      </c>
      <c r="R79" s="137">
        <f>'LCI_AD-b'!$E31*'IW+_end'!R12</f>
        <v>0</v>
      </c>
      <c r="S79" s="137">
        <f>'LCI_AD-b'!$E31*'IW+_end'!S12</f>
        <v>0</v>
      </c>
      <c r="T79" s="137">
        <f>'LCI_AD-b'!$E31*'IW+_end'!T12</f>
        <v>0</v>
      </c>
      <c r="U79" s="137">
        <f>'LCI_AD-b'!$E31*'IW+_end'!U12</f>
        <v>0</v>
      </c>
      <c r="V79" s="137">
        <f>'LCI_AD-b'!$E31*'IW+_end'!V12</f>
        <v>0</v>
      </c>
      <c r="W79" s="137">
        <f>'LCI_AD-b'!$E31*'IW+_end'!W12</f>
        <v>0</v>
      </c>
      <c r="X79" s="137">
        <f>'LCI_AD-b'!$E31*'IW+_end'!X12</f>
        <v>0</v>
      </c>
      <c r="Y79" s="137">
        <f>'LCI_AD-b'!$E31*'IW+_end'!Y12</f>
        <v>0</v>
      </c>
      <c r="Z79" s="137">
        <f>'LCI_AD-b'!$E31*'IW+_end'!Z12</f>
        <v>0</v>
      </c>
      <c r="AA79" s="137">
        <f>'LCI_AD-b'!$E31*'IW+_end'!AA12</f>
        <v>0</v>
      </c>
      <c r="AB79" s="137">
        <f>'LCI_AD-b'!$E31*'IW+_end'!AB12</f>
        <v>0</v>
      </c>
      <c r="AC79" s="137">
        <f>'LCI_AD-b'!$E31*'IW+_end'!AC12</f>
        <v>0</v>
      </c>
      <c r="AD79" s="137">
        <f>'LCI_AD-b'!$E31*'IW+_end'!AD12</f>
        <v>0</v>
      </c>
      <c r="AE79" s="137">
        <f>'LCI_AD-b'!$E31*'IW+_end'!AE12</f>
        <v>0</v>
      </c>
      <c r="AF79" s="137">
        <f>'LCI_AD-b'!$E31*'IW+_end'!AF12</f>
        <v>0</v>
      </c>
      <c r="AG79" s="137">
        <f>'LCI_AD-b'!$E31*'IW+_end'!AG12</f>
        <v>0.26263221297113121</v>
      </c>
      <c r="AH79" s="137">
        <f>'LCI_AD-b'!$E31*'IW+_end'!AH12</f>
        <v>3.5394897466522031E-6</v>
      </c>
      <c r="AI79" s="137">
        <f>'LCI_AD-b'!$E31*'IW+_end'!AI12</f>
        <v>0</v>
      </c>
      <c r="AJ79" s="137">
        <f>'LCI_AD-b'!$E31*'IW+_end'!AJ12</f>
        <v>0</v>
      </c>
      <c r="AK79" s="137">
        <f>'LCI_AD-b'!$E31*'IW+_end'!AK12</f>
        <v>0</v>
      </c>
    </row>
    <row r="80" spans="1:37" x14ac:dyDescent="0.35">
      <c r="A80" s="137"/>
      <c r="B80" s="137" t="s">
        <v>111</v>
      </c>
      <c r="C80" s="137">
        <f>'LCI_AD-b'!$E32*'IW+_end'!C20</f>
        <v>3.169059580847164</v>
      </c>
      <c r="D80" s="137">
        <f>'LCI_AD-b'!$E32*'IW+_end'!D20</f>
        <v>2.3510828283278671</v>
      </c>
      <c r="E80" s="137">
        <f>'LCI_AD-b'!$E32*'IW+_end'!E20</f>
        <v>4.2709328656122845E-5</v>
      </c>
      <c r="F80" s="137">
        <f>'LCI_AD-b'!$E32*'IW+_end'!F20</f>
        <v>3.168547849958029E-5</v>
      </c>
      <c r="G80" s="137">
        <f>'LCI_AD-b'!$E32*'IW+_end'!G20</f>
        <v>0</v>
      </c>
      <c r="H80" s="137">
        <f>'LCI_AD-b'!$E32*'IW+_end'!H20</f>
        <v>0</v>
      </c>
      <c r="I80" s="137">
        <f>'LCI_AD-b'!$E32*'IW+_end'!I20</f>
        <v>0</v>
      </c>
      <c r="J80" s="137">
        <f>'LCI_AD-b'!$E32*'IW+_end'!J20</f>
        <v>0</v>
      </c>
      <c r="K80" s="137">
        <f>'LCI_AD-b'!$E32*'IW+_end'!K20</f>
        <v>0</v>
      </c>
      <c r="L80" s="137">
        <f>'LCI_AD-b'!$E32*'IW+_end'!L20</f>
        <v>0</v>
      </c>
      <c r="M80" s="137">
        <f>'LCI_AD-b'!$E32*'IW+_end'!M20</f>
        <v>0</v>
      </c>
      <c r="N80" s="137">
        <f>'LCI_AD-b'!$E32*'IW+_end'!N20</f>
        <v>0</v>
      </c>
      <c r="O80" s="137">
        <f>'LCI_AD-b'!$E32*'IW+_end'!O20</f>
        <v>0</v>
      </c>
      <c r="P80" s="137">
        <f>'LCI_AD-b'!$E32*'IW+_end'!P20</f>
        <v>0</v>
      </c>
      <c r="Q80" s="137">
        <f>'LCI_AD-b'!$E32*'IW+_end'!Q20</f>
        <v>0</v>
      </c>
      <c r="R80" s="137">
        <f>'LCI_AD-b'!$E32*'IW+_end'!R20</f>
        <v>0</v>
      </c>
      <c r="S80" s="137">
        <f>'LCI_AD-b'!$E32*'IW+_end'!S20</f>
        <v>0</v>
      </c>
      <c r="T80" s="137">
        <f>'LCI_AD-b'!$E32*'IW+_end'!T20</f>
        <v>0</v>
      </c>
      <c r="U80" s="137">
        <f>'LCI_AD-b'!$E32*'IW+_end'!U20</f>
        <v>0</v>
      </c>
      <c r="V80" s="137">
        <f>'LCI_AD-b'!$E32*'IW+_end'!V20</f>
        <v>0</v>
      </c>
      <c r="W80" s="137">
        <f>'LCI_AD-b'!$E32*'IW+_end'!W20</f>
        <v>0</v>
      </c>
      <c r="X80" s="137">
        <f>'LCI_AD-b'!$E32*'IW+_end'!X20</f>
        <v>0</v>
      </c>
      <c r="Y80" s="137">
        <f>'LCI_AD-b'!$E32*'IW+_end'!Y20</f>
        <v>0</v>
      </c>
      <c r="Z80" s="137">
        <f>'LCI_AD-b'!$E32*'IW+_end'!Z20</f>
        <v>0</v>
      </c>
      <c r="AA80" s="137">
        <f>'LCI_AD-b'!$E32*'IW+_end'!AA20</f>
        <v>0</v>
      </c>
      <c r="AB80" s="137">
        <f>'LCI_AD-b'!$E32*'IW+_end'!AB20</f>
        <v>0</v>
      </c>
      <c r="AC80" s="137">
        <f>'LCI_AD-b'!$E32*'IW+_end'!AC20</f>
        <v>0</v>
      </c>
      <c r="AD80" s="137">
        <f>'LCI_AD-b'!$E32*'IW+_end'!AD20</f>
        <v>0</v>
      </c>
      <c r="AE80" s="137">
        <f>'LCI_AD-b'!$E32*'IW+_end'!AE20</f>
        <v>0</v>
      </c>
      <c r="AF80" s="137">
        <f>'LCI_AD-b'!$E32*'IW+_end'!AF20</f>
        <v>0</v>
      </c>
      <c r="AG80" s="137">
        <f>'LCI_AD-b'!$E32*'IW+_end'!AG20</f>
        <v>5.5201424091750306</v>
      </c>
      <c r="AH80" s="137">
        <f>'LCI_AD-b'!$E32*'IW+_end'!AH20</f>
        <v>7.4394807155421568E-5</v>
      </c>
      <c r="AI80" s="137">
        <f>'LCI_AD-b'!$E32*'IW+_end'!AI20</f>
        <v>0</v>
      </c>
      <c r="AJ80" s="137">
        <f>'LCI_AD-b'!$E32*'IW+_end'!AJ20</f>
        <v>0</v>
      </c>
      <c r="AK80" s="137">
        <f>'LCI_AD-b'!$E32*'IW+_end'!AK20</f>
        <v>0</v>
      </c>
    </row>
    <row r="81" spans="1:37" x14ac:dyDescent="0.35">
      <c r="A81" s="137"/>
      <c r="B81" s="137" t="s">
        <v>110</v>
      </c>
      <c r="C81" s="137">
        <f>'LCI_AD-b'!$E33*'IW+_end'!C18</f>
        <v>0</v>
      </c>
      <c r="D81" s="137">
        <f>'LCI_AD-b'!$E33*'IW+_end'!D18</f>
        <v>0</v>
      </c>
      <c r="E81" s="137">
        <f>'LCI_AD-b'!$E33*'IW+_end'!E18</f>
        <v>0</v>
      </c>
      <c r="F81" s="137">
        <f>'LCI_AD-b'!$E33*'IW+_end'!F18</f>
        <v>0</v>
      </c>
      <c r="G81" s="137">
        <f>'LCI_AD-b'!$E33*'IW+_end'!G18</f>
        <v>0</v>
      </c>
      <c r="H81" s="137">
        <f>'LCI_AD-b'!$E33*'IW+_end'!H18</f>
        <v>0.3744384376249299</v>
      </c>
      <c r="I81" s="137">
        <f>'LCI_AD-b'!$E33*'IW+_end'!I18</f>
        <v>0</v>
      </c>
      <c r="J81" s="137">
        <f>'LCI_AD-b'!$E33*'IW+_end'!J18</f>
        <v>0</v>
      </c>
      <c r="K81" s="137">
        <f>'LCI_AD-b'!$E33*'IW+_end'!K18</f>
        <v>0</v>
      </c>
      <c r="L81" s="137">
        <f>'LCI_AD-b'!$E33*'IW+_end'!L18</f>
        <v>0</v>
      </c>
      <c r="M81" s="137">
        <f>'LCI_AD-b'!$E33*'IW+_end'!M18</f>
        <v>0</v>
      </c>
      <c r="N81" s="137">
        <f>'LCI_AD-b'!$E33*'IW+_end'!N18</f>
        <v>0</v>
      </c>
      <c r="O81" s="137">
        <f>'LCI_AD-b'!$E33*'IW+_end'!O18</f>
        <v>0</v>
      </c>
      <c r="P81" s="137">
        <f>'LCI_AD-b'!$E33*'IW+_end'!P18</f>
        <v>0</v>
      </c>
      <c r="Q81" s="137">
        <f>'LCI_AD-b'!$E33*'IW+_end'!Q18</f>
        <v>0</v>
      </c>
      <c r="R81" s="137">
        <f>'LCI_AD-b'!$E33*'IW+_end'!R18</f>
        <v>0</v>
      </c>
      <c r="S81" s="137">
        <f>'LCI_AD-b'!$E33*'IW+_end'!S18</f>
        <v>0</v>
      </c>
      <c r="T81" s="137">
        <f>'LCI_AD-b'!$E33*'IW+_end'!T18</f>
        <v>0</v>
      </c>
      <c r="U81" s="137">
        <f>'LCI_AD-b'!$E33*'IW+_end'!U18</f>
        <v>0</v>
      </c>
      <c r="V81" s="137">
        <f>'LCI_AD-b'!$E33*'IW+_end'!V18</f>
        <v>0</v>
      </c>
      <c r="W81" s="137">
        <f>'LCI_AD-b'!$E33*'IW+_end'!W18</f>
        <v>0</v>
      </c>
      <c r="X81" s="137">
        <f>'LCI_AD-b'!$E33*'IW+_end'!X18</f>
        <v>0.14374573964671425</v>
      </c>
      <c r="Y81" s="137">
        <f>'LCI_AD-b'!$E33*'IW+_end'!Y18</f>
        <v>0</v>
      </c>
      <c r="Z81" s="137">
        <f>'LCI_AD-b'!$E33*'IW+_end'!Z18</f>
        <v>3.5968540350410269E-5</v>
      </c>
      <c r="AA81" s="137">
        <f>'LCI_AD-b'!$E33*'IW+_end'!AA18</f>
        <v>0</v>
      </c>
      <c r="AB81" s="137">
        <f>'LCI_AD-b'!$E33*'IW+_end'!AB18</f>
        <v>0</v>
      </c>
      <c r="AC81" s="137">
        <f>'LCI_AD-b'!$E33*'IW+_end'!AC18</f>
        <v>4.8275111024190469</v>
      </c>
      <c r="AD81" s="137">
        <f>'LCI_AD-b'!$E33*'IW+_end'!AD18</f>
        <v>0</v>
      </c>
      <c r="AE81" s="137">
        <f>'LCI_AD-b'!$E33*'IW+_end'!AE18</f>
        <v>0</v>
      </c>
      <c r="AF81" s="137">
        <f>'LCI_AD-b'!$E33*'IW+_end'!AF18</f>
        <v>0</v>
      </c>
      <c r="AG81" s="137">
        <f>'LCI_AD-b'!$E33*'IW+_end'!AG18</f>
        <v>5.3456952796906911</v>
      </c>
      <c r="AH81" s="137">
        <f>'LCI_AD-b'!$E33*'IW+_end'!AH18</f>
        <v>3.5968540350014874E-5</v>
      </c>
      <c r="AI81" s="137">
        <f>'LCI_AD-b'!$E33*'IW+_end'!AI18</f>
        <v>0</v>
      </c>
      <c r="AJ81" s="137">
        <f>'LCI_AD-b'!$E33*'IW+_end'!AJ18</f>
        <v>0</v>
      </c>
      <c r="AK81" s="137">
        <f>'LCI_AD-b'!$E33*'IW+_end'!AK18</f>
        <v>0</v>
      </c>
    </row>
    <row r="82" spans="1:37" x14ac:dyDescent="0.35">
      <c r="A82" s="137"/>
      <c r="B82" s="137" t="s">
        <v>288</v>
      </c>
      <c r="C82" s="137">
        <f>'LCI_AD-b'!$E34*'IW+_end'!C23</f>
        <v>0</v>
      </c>
      <c r="D82" s="137">
        <f>'LCI_AD-b'!$E34*'IW+_end'!D23</f>
        <v>0</v>
      </c>
      <c r="E82" s="137">
        <f>'LCI_AD-b'!$E34*'IW+_end'!E23</f>
        <v>0</v>
      </c>
      <c r="F82" s="137">
        <f>'LCI_AD-b'!$E34*'IW+_end'!F23</f>
        <v>0</v>
      </c>
      <c r="G82" s="137">
        <f>'LCI_AD-b'!$E34*'IW+_end'!G23</f>
        <v>0</v>
      </c>
      <c r="H82" s="137">
        <f>'LCI_AD-b'!$E34*'IW+_end'!H23</f>
        <v>0</v>
      </c>
      <c r="I82" s="137">
        <f>'LCI_AD-b'!$E34*'IW+_end'!I23</f>
        <v>0</v>
      </c>
      <c r="J82" s="137">
        <f>'LCI_AD-b'!$E34*'IW+_end'!J23</f>
        <v>0</v>
      </c>
      <c r="K82" s="137">
        <f>'LCI_AD-b'!$E34*'IW+_end'!K23</f>
        <v>0</v>
      </c>
      <c r="L82" s="137">
        <f>'LCI_AD-b'!$E34*'IW+_end'!L23</f>
        <v>0</v>
      </c>
      <c r="M82" s="137">
        <f>'LCI_AD-b'!$E34*'IW+_end'!M23</f>
        <v>0</v>
      </c>
      <c r="N82" s="137">
        <f>'LCI_AD-b'!$E34*'IW+_end'!N23</f>
        <v>0</v>
      </c>
      <c r="O82" s="137">
        <f>'LCI_AD-b'!$E34*'IW+_end'!O23</f>
        <v>0</v>
      </c>
      <c r="P82" s="137">
        <f>'LCI_AD-b'!$E34*'IW+_end'!P23</f>
        <v>0</v>
      </c>
      <c r="Q82" s="137">
        <f>'LCI_AD-b'!$E34*'IW+_end'!Q23</f>
        <v>0</v>
      </c>
      <c r="R82" s="137">
        <f>'LCI_AD-b'!$E34*'IW+_end'!R23</f>
        <v>0</v>
      </c>
      <c r="S82" s="137">
        <f>'LCI_AD-b'!$E34*'IW+_end'!S23</f>
        <v>0</v>
      </c>
      <c r="T82" s="137">
        <f>'LCI_AD-b'!$E34*'IW+_end'!T23</f>
        <v>0</v>
      </c>
      <c r="U82" s="137">
        <f>'LCI_AD-b'!$E34*'IW+_end'!U23</f>
        <v>0</v>
      </c>
      <c r="V82" s="137">
        <f>'LCI_AD-b'!$E34*'IW+_end'!V23</f>
        <v>0</v>
      </c>
      <c r="W82" s="137">
        <f>'LCI_AD-b'!$E34*'IW+_end'!W23</f>
        <v>0</v>
      </c>
      <c r="X82" s="137">
        <f>'LCI_AD-b'!$E34*'IW+_end'!X23</f>
        <v>0</v>
      </c>
      <c r="Y82" s="137">
        <f>'LCI_AD-b'!$E34*'IW+_end'!Y23</f>
        <v>0</v>
      </c>
      <c r="Z82" s="137">
        <f>'LCI_AD-b'!$E34*'IW+_end'!Z23</f>
        <v>0</v>
      </c>
      <c r="AA82" s="137">
        <f>'LCI_AD-b'!$E34*'IW+_end'!AA23</f>
        <v>7.8076707234924367E-2</v>
      </c>
      <c r="AB82" s="137">
        <f>'LCI_AD-b'!$E34*'IW+_end'!AB23</f>
        <v>5.059520896744001E-9</v>
      </c>
      <c r="AC82" s="137">
        <f>'LCI_AD-b'!$E34*'IW+_end'!AC23</f>
        <v>0</v>
      </c>
      <c r="AD82" s="137">
        <f>'LCI_AD-b'!$E34*'IW+_end'!AD23</f>
        <v>0</v>
      </c>
      <c r="AE82" s="137">
        <f>'LCI_AD-b'!$E34*'IW+_end'!AE23</f>
        <v>0</v>
      </c>
      <c r="AF82" s="137">
        <f>'LCI_AD-b'!$E34*'IW+_end'!AF23</f>
        <v>0</v>
      </c>
      <c r="AG82" s="137">
        <f>'LCI_AD-b'!$E34*'IW+_end'!AG23</f>
        <v>7.8076707234924367E-2</v>
      </c>
      <c r="AH82" s="137">
        <f>'LCI_AD-b'!$E34*'IW+_end'!AH23</f>
        <v>5.0595208901371961E-9</v>
      </c>
      <c r="AI82" s="137">
        <f>'LCI_AD-b'!$E34*'IW+_end'!AI23</f>
        <v>0</v>
      </c>
      <c r="AJ82" s="137">
        <f>'LCI_AD-b'!$E34*'IW+_end'!AJ23</f>
        <v>0</v>
      </c>
      <c r="AK82" s="137">
        <f>'LCI_AD-b'!$E34*'IW+_end'!AK23</f>
        <v>0</v>
      </c>
    </row>
    <row r="83" spans="1:37" x14ac:dyDescent="0.35">
      <c r="A83" s="137"/>
      <c r="B83" s="137" t="s">
        <v>123</v>
      </c>
      <c r="C83" s="137">
        <f>'LCI_AD-b'!$E35*'IW+_end'!C17</f>
        <v>0</v>
      </c>
      <c r="D83" s="137">
        <f>'LCI_AD-b'!$E35*'IW+_end'!D17</f>
        <v>0</v>
      </c>
      <c r="E83" s="137">
        <f>'LCI_AD-b'!$E35*'IW+_end'!E17</f>
        <v>0</v>
      </c>
      <c r="F83" s="137">
        <f>'LCI_AD-b'!$E35*'IW+_end'!F17</f>
        <v>0</v>
      </c>
      <c r="G83" s="137">
        <f>'LCI_AD-b'!$E35*'IW+_end'!G17</f>
        <v>0</v>
      </c>
      <c r="H83" s="137">
        <f>'LCI_AD-b'!$E35*'IW+_end'!H17</f>
        <v>0</v>
      </c>
      <c r="I83" s="137">
        <f>'LCI_AD-b'!$E35*'IW+_end'!I17</f>
        <v>0</v>
      </c>
      <c r="J83" s="137">
        <f>'LCI_AD-b'!$E35*'IW+_end'!J17</f>
        <v>0</v>
      </c>
      <c r="K83" s="137">
        <f>'LCI_AD-b'!$E35*'IW+_end'!K17</f>
        <v>0</v>
      </c>
      <c r="L83" s="137">
        <f>'LCI_AD-b'!$E35*'IW+_end'!L17</f>
        <v>0</v>
      </c>
      <c r="M83" s="137">
        <f>'LCI_AD-b'!$E35*'IW+_end'!M17</f>
        <v>0</v>
      </c>
      <c r="N83" s="137">
        <f>'LCI_AD-b'!$E35*'IW+_end'!N17</f>
        <v>0</v>
      </c>
      <c r="O83" s="137">
        <f>'LCI_AD-b'!$E35*'IW+_end'!O17</f>
        <v>0</v>
      </c>
      <c r="P83" s="137">
        <f>'LCI_AD-b'!$E35*'IW+_end'!P17</f>
        <v>0</v>
      </c>
      <c r="Q83" s="137">
        <f>'LCI_AD-b'!$E35*'IW+_end'!Q17</f>
        <v>0</v>
      </c>
      <c r="R83" s="137">
        <f>'LCI_AD-b'!$E35*'IW+_end'!R17</f>
        <v>0</v>
      </c>
      <c r="S83" s="137">
        <f>'LCI_AD-b'!$E35*'IW+_end'!S17</f>
        <v>0</v>
      </c>
      <c r="T83" s="137">
        <f>'LCI_AD-b'!$E35*'IW+_end'!T17</f>
        <v>0</v>
      </c>
      <c r="U83" s="137">
        <f>'LCI_AD-b'!$E35*'IW+_end'!U17</f>
        <v>0</v>
      </c>
      <c r="V83" s="137">
        <f>'LCI_AD-b'!$E35*'IW+_end'!V17</f>
        <v>0</v>
      </c>
      <c r="W83" s="137">
        <f>'LCI_AD-b'!$E35*'IW+_end'!W17</f>
        <v>0</v>
      </c>
      <c r="X83" s="137">
        <f>'LCI_AD-b'!$E35*'IW+_end'!X17</f>
        <v>0</v>
      </c>
      <c r="Y83" s="137">
        <f>'LCI_AD-b'!$E35*'IW+_end'!Y17</f>
        <v>0</v>
      </c>
      <c r="Z83" s="137">
        <f>'LCI_AD-b'!$E35*'IW+_end'!Z17</f>
        <v>0</v>
      </c>
      <c r="AA83" s="137">
        <f>'LCI_AD-b'!$E35*'IW+_end'!AA17</f>
        <v>0</v>
      </c>
      <c r="AB83" s="137">
        <f>'LCI_AD-b'!$E35*'IW+_end'!AB17</f>
        <v>0</v>
      </c>
      <c r="AC83" s="137">
        <f>'LCI_AD-b'!$E35*'IW+_end'!AC17</f>
        <v>0</v>
      </c>
      <c r="AD83" s="137">
        <f>'LCI_AD-b'!$E35*'IW+_end'!AD17</f>
        <v>0</v>
      </c>
      <c r="AE83" s="137">
        <f>'LCI_AD-b'!$E35*'IW+_end'!AE17</f>
        <v>0</v>
      </c>
      <c r="AF83" s="137">
        <f>'LCI_AD-b'!$E35*'IW+_end'!AF17</f>
        <v>0</v>
      </c>
      <c r="AG83" s="137">
        <f>'LCI_AD-b'!$E35*'IW+_end'!AG17</f>
        <v>0</v>
      </c>
      <c r="AH83" s="137">
        <f>'LCI_AD-b'!$E35*'IW+_end'!AH17</f>
        <v>0</v>
      </c>
      <c r="AI83" s="137">
        <f>'LCI_AD-b'!$E35*'IW+_end'!AI17</f>
        <v>0</v>
      </c>
      <c r="AJ83" s="137">
        <f>'LCI_AD-b'!$E35*'IW+_end'!AJ17</f>
        <v>0</v>
      </c>
      <c r="AK83" s="137">
        <f>'LCI_AD-b'!$E35*'IW+_end'!AK17</f>
        <v>0</v>
      </c>
    </row>
    <row r="84" spans="1:37" x14ac:dyDescent="0.35">
      <c r="A84" s="137"/>
      <c r="B84" s="137" t="s">
        <v>273</v>
      </c>
      <c r="C84" s="137">
        <f>'LCI_AD-b'!$E37*'IW+_end'!C2</f>
        <v>9.1997397298889227E-2</v>
      </c>
      <c r="D84" s="137">
        <f>'LCI_AD-b'!$E37*'IW+_end'!D2</f>
        <v>2.8182769942402236E-2</v>
      </c>
      <c r="E84" s="137">
        <f>'LCI_AD-b'!$E37*'IW+_end'!E2</f>
        <v>1.2398463886550895E-6</v>
      </c>
      <c r="F84" s="137">
        <f>'LCI_AD-b'!$E37*'IW+_end'!F2</f>
        <v>3.7981841401296377E-7</v>
      </c>
      <c r="G84" s="137">
        <f>'LCI_AD-b'!$E37*'IW+_end'!G2</f>
        <v>2.819819426702347E-20</v>
      </c>
      <c r="H84" s="137">
        <f>'LCI_AD-b'!$E37*'IW+_end'!H2</f>
        <v>1.6263461543339314E-3</v>
      </c>
      <c r="I84" s="137">
        <f>'LCI_AD-b'!$E37*'IW+_end'!I2</f>
        <v>7.7789284373648959E-2</v>
      </c>
      <c r="J84" s="137">
        <f>'LCI_AD-b'!$E37*'IW+_end'!J2</f>
        <v>3.8648250500682552E-3</v>
      </c>
      <c r="K84" s="137">
        <f>'LCI_AD-b'!$E37*'IW+_end'!K2</f>
        <v>6.7143678024639186E-6</v>
      </c>
      <c r="L84" s="137">
        <f>'LCI_AD-b'!$E37*'IW+_end'!L2</f>
        <v>2.7250823218448872E-9</v>
      </c>
      <c r="M84" s="137">
        <f>'LCI_AD-b'!$E37*'IW+_end'!M2</f>
        <v>5.1977149167024323E-8</v>
      </c>
      <c r="N84" s="137">
        <f>'LCI_AD-b'!$E37*'IW+_end'!N2</f>
        <v>6.1621952765137466E-8</v>
      </c>
      <c r="O84" s="137">
        <f>'LCI_AD-b'!$E37*'IW+_end'!O2</f>
        <v>3.2801963876572476E-8</v>
      </c>
      <c r="P84" s="137">
        <f>'LCI_AD-b'!$E37*'IW+_end'!P2</f>
        <v>1.2962045370244614E-9</v>
      </c>
      <c r="Q84" s="137">
        <f>'LCI_AD-b'!$E37*'IW+_end'!Q2</f>
        <v>3.9971420552218461E-8</v>
      </c>
      <c r="R84" s="137">
        <f>'LCI_AD-b'!$E37*'IW+_end'!R2</f>
        <v>5.1780478699583656E-3</v>
      </c>
      <c r="S84" s="137">
        <f>'LCI_AD-b'!$E37*'IW+_end'!S2</f>
        <v>3.6506165983474547E-3</v>
      </c>
      <c r="T84" s="137">
        <f>'LCI_AD-b'!$E37*'IW+_end'!T2</f>
        <v>3.2097331077826474E-2</v>
      </c>
      <c r="U84" s="137">
        <f>'LCI_AD-b'!$E37*'IW+_end'!U2</f>
        <v>3.4842384245660119E-3</v>
      </c>
      <c r="V84" s="137">
        <f>'LCI_AD-b'!$E37*'IW+_end'!V2</f>
        <v>3.0217985881737148E-7</v>
      </c>
      <c r="W84" s="137">
        <f>'LCI_AD-b'!$E37*'IW+_end'!W2</f>
        <v>8.3162586322158654E-8</v>
      </c>
      <c r="X84" s="137">
        <f>'LCI_AD-b'!$E37*'IW+_end'!X2</f>
        <v>2.128453591310383E-4</v>
      </c>
      <c r="Y84" s="137">
        <f>'LCI_AD-b'!$E37*'IW+_end'!Y2</f>
        <v>1.4479139766530832E-11</v>
      </c>
      <c r="Z84" s="137">
        <f>'LCI_AD-b'!$E37*'IW+_end'!Z2</f>
        <v>1.1720511301650913E-7</v>
      </c>
      <c r="AA84" s="137">
        <f>'LCI_AD-b'!$E37*'IW+_end'!AA2</f>
        <v>4.934183475435755E-3</v>
      </c>
      <c r="AB84" s="137">
        <f>'LCI_AD-b'!$E37*'IW+_end'!AB2</f>
        <v>4.9049639939226234E-10</v>
      </c>
      <c r="AC84" s="137">
        <f>'LCI_AD-b'!$E37*'IW+_end'!AC2</f>
        <v>1.0732168781098783E-2</v>
      </c>
      <c r="AD84" s="137">
        <f>'LCI_AD-b'!$E37*'IW+_end'!AD2</f>
        <v>1.1029989880888913E-2</v>
      </c>
      <c r="AE84" s="137">
        <f>'LCI_AD-b'!$E37*'IW+_end'!AE2</f>
        <v>3.0354344007587917E-3</v>
      </c>
      <c r="AF84" s="137">
        <f>'LCI_AD-b'!$E37*'IW+_end'!AF2</f>
        <v>5.9516122540008507E-4</v>
      </c>
      <c r="AG84" s="137">
        <f>'LCI_AD-b'!$E37*'IW+_end'!AG2</f>
        <v>0.27842551036244478</v>
      </c>
      <c r="AH84" s="137">
        <f>'LCI_AD-b'!$E37*'IW+_end'!AH2</f>
        <v>2.3125704155704539E-6</v>
      </c>
      <c r="AI84" s="137">
        <f>'LCI_AD-b'!$E37*'IW+_end'!AI2</f>
        <v>3.1610479685655485E-6</v>
      </c>
      <c r="AJ84" s="137">
        <f>'LCI_AD-b'!$E37*'IW+_end'!AJ2</f>
        <v>3.8609795566399319E-7</v>
      </c>
      <c r="AK84" s="137">
        <f>'LCI_AD-b'!$E37*'IW+_end'!AK2</f>
        <v>4.6083952700321599E-6</v>
      </c>
    </row>
    <row r="85" spans="1:37" x14ac:dyDescent="0.35">
      <c r="A85" s="137"/>
      <c r="B85" s="137" t="s">
        <v>289</v>
      </c>
      <c r="C85" s="137">
        <f>'LCI_AD-b'!$E38*'IW+_end'!C27</f>
        <v>0.1039147518015076</v>
      </c>
      <c r="D85" s="137">
        <f>'LCI_AD-b'!$E38*'IW+_end'!D27</f>
        <v>4.1067095735330933E-2</v>
      </c>
      <c r="E85" s="137">
        <f>'LCI_AD-b'!$E38*'IW+_end'!E27</f>
        <v>1.4004562469360723E-6</v>
      </c>
      <c r="F85" s="137">
        <f>'LCI_AD-b'!$E38*'IW+_end'!F27</f>
        <v>5.5346011773115295E-7</v>
      </c>
      <c r="G85" s="137">
        <f>'LCI_AD-b'!$E38*'IW+_end'!G27</f>
        <v>1.6130521335353439E-20</v>
      </c>
      <c r="H85" s="137">
        <f>'LCI_AD-b'!$E38*'IW+_end'!H27</f>
        <v>2.7054070426269952E-3</v>
      </c>
      <c r="I85" s="137">
        <f>'LCI_AD-b'!$E38*'IW+_end'!I27</f>
        <v>2.4196440073787778E-2</v>
      </c>
      <c r="J85" s="137">
        <f>'LCI_AD-b'!$E38*'IW+_end'!J27</f>
        <v>1.7630583606476537E-2</v>
      </c>
      <c r="K85" s="137">
        <f>'LCI_AD-b'!$E38*'IW+_end'!K27</f>
        <v>2.4472117590483638E-5</v>
      </c>
      <c r="L85" s="137">
        <f>'LCI_AD-b'!$E38*'IW+_end'!L27</f>
        <v>1.3576808019091356E-9</v>
      </c>
      <c r="M85" s="137">
        <f>'LCI_AD-b'!$E38*'IW+_end'!M27</f>
        <v>5.1572925418878274E-8</v>
      </c>
      <c r="N85" s="137">
        <f>'LCI_AD-b'!$E38*'IW+_end'!N27</f>
        <v>3.3872872795680431E-8</v>
      </c>
      <c r="O85" s="137">
        <f>'LCI_AD-b'!$E38*'IW+_end'!O27</f>
        <v>2.6288935372440298E-8</v>
      </c>
      <c r="P85" s="137">
        <f>'LCI_AD-b'!$E38*'IW+_end'!P27</f>
        <v>1.2683791297072126E-11</v>
      </c>
      <c r="Q85" s="137">
        <f>'LCI_AD-b'!$E38*'IW+_end'!Q27</f>
        <v>2.3580294814971754E-10</v>
      </c>
      <c r="R85" s="137">
        <f>'LCI_AD-b'!$E38*'IW+_end'!R27</f>
        <v>2.1090311924351537E-3</v>
      </c>
      <c r="S85" s="137">
        <f>'LCI_AD-b'!$E38*'IW+_end'!S27</f>
        <v>1.8992751976227653E-2</v>
      </c>
      <c r="T85" s="137">
        <f>'LCI_AD-b'!$E38*'IW+_end'!T27</f>
        <v>3.6140715903243067E-2</v>
      </c>
      <c r="U85" s="137">
        <f>'LCI_AD-b'!$E38*'IW+_end'!U27</f>
        <v>3.923152069951294E-3</v>
      </c>
      <c r="V85" s="137">
        <f>'LCI_AD-b'!$E38*'IW+_end'!V27</f>
        <v>8.3831586723194238E-9</v>
      </c>
      <c r="W85" s="137">
        <f>'LCI_AD-b'!$E38*'IW+_end'!W27</f>
        <v>7.400687754511597E-9</v>
      </c>
      <c r="X85" s="137">
        <f>'LCI_AD-b'!$E38*'IW+_end'!X27</f>
        <v>9.0097723477391967E-4</v>
      </c>
      <c r="Y85" s="137">
        <f>'LCI_AD-b'!$E38*'IW+_end'!Y27</f>
        <v>5.6978286394437733E-11</v>
      </c>
      <c r="Z85" s="137">
        <f>'LCI_AD-b'!$E38*'IW+_end'!Z27</f>
        <v>1.6243641906731715E-7</v>
      </c>
      <c r="AA85" s="137">
        <f>'LCI_AD-b'!$E38*'IW+_end'!AA27</f>
        <v>1.271342860162961E-2</v>
      </c>
      <c r="AB85" s="137">
        <f>'LCI_AD-b'!$E38*'IW+_end'!AB27</f>
        <v>1.0601852933367218E-9</v>
      </c>
      <c r="AC85" s="137">
        <f>'LCI_AD-b'!$E38*'IW+_end'!AC27</f>
        <v>1.7420512120229357E-2</v>
      </c>
      <c r="AD85" s="137">
        <f>'LCI_AD-b'!$E38*'IW+_end'!AD27</f>
        <v>3.0603630298783007E-4</v>
      </c>
      <c r="AE85" s="137">
        <f>'LCI_AD-b'!$E38*'IW+_end'!AE27</f>
        <v>2.7012510303967328E-4</v>
      </c>
      <c r="AF85" s="137">
        <f>'LCI_AD-b'!$E38*'IW+_end'!AF27</f>
        <v>1.1860112818669014E-5</v>
      </c>
      <c r="AG85" s="137">
        <f>'LCI_AD-b'!$E38*'IW+_end'!AG27</f>
        <v>0.28233095249588547</v>
      </c>
      <c r="AH85" s="137">
        <f>'LCI_AD-b'!$E38*'IW+_end'!AH27</f>
        <v>2.2647638813528062E-6</v>
      </c>
      <c r="AI85" s="137">
        <f>'LCI_AD-b'!$E38*'IW+_end'!AI27</f>
        <v>2.7808295331522901E-7</v>
      </c>
      <c r="AJ85" s="137">
        <f>'LCI_AD-b'!$E38*'IW+_end'!AJ27</f>
        <v>3.3965716701470755E-8</v>
      </c>
      <c r="AK85" s="137">
        <f>'LCI_AD-b'!$E38*'IW+_end'!AK27</f>
        <v>3.3176217455392112E-6</v>
      </c>
    </row>
    <row r="86" spans="1:37" x14ac:dyDescent="0.35">
      <c r="A86" s="143" t="s">
        <v>353</v>
      </c>
      <c r="B86" s="137"/>
      <c r="C86" s="142">
        <f>SUM(C87:C91)</f>
        <v>0.6709591915439802</v>
      </c>
      <c r="D86" s="142">
        <f t="shared" ref="D86:AK86" si="11">SUM(D87:D91)</f>
        <v>0.49777563138339692</v>
      </c>
      <c r="E86" s="142">
        <f t="shared" si="11"/>
        <v>9.042498537953601E-6</v>
      </c>
      <c r="F86" s="142">
        <f t="shared" si="11"/>
        <v>6.7085084692788741E-6</v>
      </c>
      <c r="G86" s="142">
        <f t="shared" si="11"/>
        <v>0</v>
      </c>
      <c r="H86" s="142">
        <f t="shared" si="11"/>
        <v>0.14579389891956177</v>
      </c>
      <c r="I86" s="142">
        <f t="shared" si="11"/>
        <v>0</v>
      </c>
      <c r="J86" s="142">
        <f t="shared" si="11"/>
        <v>0</v>
      </c>
      <c r="K86" s="142">
        <f t="shared" si="11"/>
        <v>-0.12351800454149389</v>
      </c>
      <c r="L86" s="142">
        <f t="shared" si="11"/>
        <v>0</v>
      </c>
      <c r="M86" s="142">
        <f t="shared" si="11"/>
        <v>0</v>
      </c>
      <c r="N86" s="142">
        <f t="shared" si="11"/>
        <v>0</v>
      </c>
      <c r="O86" s="142">
        <f t="shared" si="11"/>
        <v>0</v>
      </c>
      <c r="P86" s="142">
        <f t="shared" si="11"/>
        <v>0</v>
      </c>
      <c r="Q86" s="142">
        <f t="shared" si="11"/>
        <v>0</v>
      </c>
      <c r="R86" s="142">
        <f t="shared" si="11"/>
        <v>0</v>
      </c>
      <c r="S86" s="142">
        <f t="shared" si="11"/>
        <v>0</v>
      </c>
      <c r="T86" s="142">
        <f t="shared" si="11"/>
        <v>0</v>
      </c>
      <c r="U86" s="142">
        <f t="shared" si="11"/>
        <v>0</v>
      </c>
      <c r="V86" s="142">
        <f t="shared" si="11"/>
        <v>0</v>
      </c>
      <c r="W86" s="142">
        <f t="shared" si="11"/>
        <v>0</v>
      </c>
      <c r="X86" s="142">
        <f t="shared" si="11"/>
        <v>5.2932055936233882</v>
      </c>
      <c r="Y86" s="142">
        <f t="shared" si="11"/>
        <v>0</v>
      </c>
      <c r="Z86" s="142">
        <f t="shared" si="11"/>
        <v>1.4004955712866033E-5</v>
      </c>
      <c r="AA86" s="142">
        <f t="shared" si="11"/>
        <v>0</v>
      </c>
      <c r="AB86" s="142">
        <f t="shared" si="11"/>
        <v>0</v>
      </c>
      <c r="AC86" s="142">
        <f t="shared" si="11"/>
        <v>1.8796725842664521</v>
      </c>
      <c r="AD86" s="142">
        <f t="shared" si="11"/>
        <v>0</v>
      </c>
      <c r="AE86" s="142">
        <f t="shared" si="11"/>
        <v>0</v>
      </c>
      <c r="AF86" s="142">
        <f t="shared" si="11"/>
        <v>0</v>
      </c>
      <c r="AG86" s="142">
        <f t="shared" si="11"/>
        <v>8.3638888951952861</v>
      </c>
      <c r="AH86" s="142">
        <f t="shared" si="11"/>
        <v>2.975596271988494E-5</v>
      </c>
      <c r="AI86" s="142">
        <f t="shared" si="11"/>
        <v>0</v>
      </c>
      <c r="AJ86" s="142">
        <f t="shared" si="11"/>
        <v>0</v>
      </c>
      <c r="AK86" s="142">
        <f t="shared" si="11"/>
        <v>0</v>
      </c>
    </row>
    <row r="87" spans="1:37" x14ac:dyDescent="0.35">
      <c r="A87" s="137"/>
      <c r="B87" s="137" t="s">
        <v>111</v>
      </c>
      <c r="C87" s="137">
        <f>'LCI_AD-b'!$E40*'IW+_end'!C20</f>
        <v>0.6709591915439802</v>
      </c>
      <c r="D87" s="137">
        <f>'LCI_AD-b'!$E40*'IW+_end'!D20</f>
        <v>0.49777563138339692</v>
      </c>
      <c r="E87" s="137">
        <f>'LCI_AD-b'!$E40*'IW+_end'!E20</f>
        <v>9.042498537953601E-6</v>
      </c>
      <c r="F87" s="137">
        <f>'LCI_AD-b'!$E40*'IW+_end'!F20</f>
        <v>6.7085084692788741E-6</v>
      </c>
      <c r="G87" s="137">
        <f>'LCI_AD-b'!$E40*'IW+_end'!G20</f>
        <v>0</v>
      </c>
      <c r="H87" s="137">
        <f>'LCI_AD-b'!$E40*'IW+_end'!H20</f>
        <v>0</v>
      </c>
      <c r="I87" s="137">
        <f>'LCI_AD-b'!$E40*'IW+_end'!I20</f>
        <v>0</v>
      </c>
      <c r="J87" s="137">
        <f>'LCI_AD-b'!$E40*'IW+_end'!J20</f>
        <v>0</v>
      </c>
      <c r="K87" s="137">
        <f>'LCI_AD-b'!$E40*'IW+_end'!K20</f>
        <v>0</v>
      </c>
      <c r="L87" s="137">
        <f>'LCI_AD-b'!$E40*'IW+_end'!L20</f>
        <v>0</v>
      </c>
      <c r="M87" s="137">
        <f>'LCI_AD-b'!$E40*'IW+_end'!M20</f>
        <v>0</v>
      </c>
      <c r="N87" s="137">
        <f>'LCI_AD-b'!$E40*'IW+_end'!N20</f>
        <v>0</v>
      </c>
      <c r="O87" s="137">
        <f>'LCI_AD-b'!$E40*'IW+_end'!O20</f>
        <v>0</v>
      </c>
      <c r="P87" s="137">
        <f>'LCI_AD-b'!$E40*'IW+_end'!P20</f>
        <v>0</v>
      </c>
      <c r="Q87" s="137">
        <f>'LCI_AD-b'!$E40*'IW+_end'!Q20</f>
        <v>0</v>
      </c>
      <c r="R87" s="137">
        <f>'LCI_AD-b'!$E40*'IW+_end'!R20</f>
        <v>0</v>
      </c>
      <c r="S87" s="137">
        <f>'LCI_AD-b'!$E40*'IW+_end'!S20</f>
        <v>0</v>
      </c>
      <c r="T87" s="137">
        <f>'LCI_AD-b'!$E40*'IW+_end'!T20</f>
        <v>0</v>
      </c>
      <c r="U87" s="137">
        <f>'LCI_AD-b'!$E40*'IW+_end'!U20</f>
        <v>0</v>
      </c>
      <c r="V87" s="137">
        <f>'LCI_AD-b'!$E40*'IW+_end'!V20</f>
        <v>0</v>
      </c>
      <c r="W87" s="137">
        <f>'LCI_AD-b'!$E40*'IW+_end'!W20</f>
        <v>0</v>
      </c>
      <c r="X87" s="137">
        <f>'LCI_AD-b'!$E40*'IW+_end'!X20</f>
        <v>0</v>
      </c>
      <c r="Y87" s="137">
        <f>'LCI_AD-b'!$E40*'IW+_end'!Y20</f>
        <v>0</v>
      </c>
      <c r="Z87" s="137">
        <f>'LCI_AD-b'!$E40*'IW+_end'!Z20</f>
        <v>0</v>
      </c>
      <c r="AA87" s="137">
        <f>'LCI_AD-b'!$E40*'IW+_end'!AA20</f>
        <v>0</v>
      </c>
      <c r="AB87" s="137">
        <f>'LCI_AD-b'!$E40*'IW+_end'!AB20</f>
        <v>0</v>
      </c>
      <c r="AC87" s="137">
        <f>'LCI_AD-b'!$E40*'IW+_end'!AC20</f>
        <v>0</v>
      </c>
      <c r="AD87" s="137">
        <f>'LCI_AD-b'!$E40*'IW+_end'!AD20</f>
        <v>0</v>
      </c>
      <c r="AE87" s="137">
        <f>'LCI_AD-b'!$E40*'IW+_end'!AE20</f>
        <v>0</v>
      </c>
      <c r="AF87" s="137">
        <f>'LCI_AD-b'!$E40*'IW+_end'!AF20</f>
        <v>0</v>
      </c>
      <c r="AG87" s="137">
        <f>'LCI_AD-b'!$E40*'IW+_end'!AG20</f>
        <v>1.1687348229273771</v>
      </c>
      <c r="AH87" s="137">
        <f>'LCI_AD-b'!$E40*'IW+_end'!AH20</f>
        <v>1.5751007007172863E-5</v>
      </c>
      <c r="AI87" s="137">
        <f>'LCI_AD-b'!$E40*'IW+_end'!AI20</f>
        <v>0</v>
      </c>
      <c r="AJ87" s="137">
        <f>'LCI_AD-b'!$E40*'IW+_end'!AJ20</f>
        <v>0</v>
      </c>
      <c r="AK87" s="137">
        <f>'LCI_AD-b'!$E40*'IW+_end'!AK20</f>
        <v>0</v>
      </c>
    </row>
    <row r="88" spans="1:37" x14ac:dyDescent="0.35">
      <c r="A88" s="137"/>
      <c r="B88" s="137" t="s">
        <v>110</v>
      </c>
      <c r="C88" s="137">
        <f>'LCI_AD-b'!$E41*'IW+_end'!C18</f>
        <v>0</v>
      </c>
      <c r="D88" s="137">
        <f>'LCI_AD-b'!$E41*'IW+_end'!D18</f>
        <v>0</v>
      </c>
      <c r="E88" s="137">
        <f>'LCI_AD-b'!$E41*'IW+_end'!E18</f>
        <v>0</v>
      </c>
      <c r="F88" s="137">
        <f>'LCI_AD-b'!$E41*'IW+_end'!F18</f>
        <v>0</v>
      </c>
      <c r="G88" s="137">
        <f>'LCI_AD-b'!$E41*'IW+_end'!G18</f>
        <v>0</v>
      </c>
      <c r="H88" s="137">
        <f>'LCI_AD-b'!$E41*'IW+_end'!H18</f>
        <v>0.14579389891956177</v>
      </c>
      <c r="I88" s="137">
        <f>'LCI_AD-b'!$E41*'IW+_end'!I18</f>
        <v>0</v>
      </c>
      <c r="J88" s="137">
        <f>'LCI_AD-b'!$E41*'IW+_end'!J18</f>
        <v>0</v>
      </c>
      <c r="K88" s="137">
        <f>'LCI_AD-b'!$E41*'IW+_end'!K18</f>
        <v>0</v>
      </c>
      <c r="L88" s="137">
        <f>'LCI_AD-b'!$E41*'IW+_end'!L18</f>
        <v>0</v>
      </c>
      <c r="M88" s="137">
        <f>'LCI_AD-b'!$E41*'IW+_end'!M18</f>
        <v>0</v>
      </c>
      <c r="N88" s="137">
        <f>'LCI_AD-b'!$E41*'IW+_end'!N18</f>
        <v>0</v>
      </c>
      <c r="O88" s="137">
        <f>'LCI_AD-b'!$E41*'IW+_end'!O18</f>
        <v>0</v>
      </c>
      <c r="P88" s="137">
        <f>'LCI_AD-b'!$E41*'IW+_end'!P18</f>
        <v>0</v>
      </c>
      <c r="Q88" s="137">
        <f>'LCI_AD-b'!$E41*'IW+_end'!Q18</f>
        <v>0</v>
      </c>
      <c r="R88" s="137">
        <f>'LCI_AD-b'!$E41*'IW+_end'!R18</f>
        <v>0</v>
      </c>
      <c r="S88" s="137">
        <f>'LCI_AD-b'!$E41*'IW+_end'!S18</f>
        <v>0</v>
      </c>
      <c r="T88" s="137">
        <f>'LCI_AD-b'!$E41*'IW+_end'!T18</f>
        <v>0</v>
      </c>
      <c r="U88" s="137">
        <f>'LCI_AD-b'!$E41*'IW+_end'!U18</f>
        <v>0</v>
      </c>
      <c r="V88" s="137">
        <f>'LCI_AD-b'!$E41*'IW+_end'!V18</f>
        <v>0</v>
      </c>
      <c r="W88" s="137">
        <f>'LCI_AD-b'!$E41*'IW+_end'!W18</f>
        <v>0</v>
      </c>
      <c r="X88" s="137">
        <f>'LCI_AD-b'!$E41*'IW+_end'!X18</f>
        <v>5.5969819682784028E-2</v>
      </c>
      <c r="Y88" s="137">
        <f>'LCI_AD-b'!$E41*'IW+_end'!Y18</f>
        <v>0</v>
      </c>
      <c r="Z88" s="137">
        <f>'LCI_AD-b'!$E41*'IW+_end'!Z18</f>
        <v>1.4004955712866033E-5</v>
      </c>
      <c r="AA88" s="137">
        <f>'LCI_AD-b'!$E41*'IW+_end'!AA18</f>
        <v>0</v>
      </c>
      <c r="AB88" s="137">
        <f>'LCI_AD-b'!$E41*'IW+_end'!AB18</f>
        <v>0</v>
      </c>
      <c r="AC88" s="137">
        <f>'LCI_AD-b'!$E41*'IW+_end'!AC18</f>
        <v>1.8796725842664521</v>
      </c>
      <c r="AD88" s="137">
        <f>'LCI_AD-b'!$E41*'IW+_end'!AD18</f>
        <v>0</v>
      </c>
      <c r="AE88" s="137">
        <f>'LCI_AD-b'!$E41*'IW+_end'!AE18</f>
        <v>0</v>
      </c>
      <c r="AF88" s="137">
        <f>'LCI_AD-b'!$E41*'IW+_end'!AF18</f>
        <v>0</v>
      </c>
      <c r="AG88" s="137">
        <f>'LCI_AD-b'!$E41*'IW+_end'!AG18</f>
        <v>2.0814363028687981</v>
      </c>
      <c r="AH88" s="137">
        <f>'LCI_AD-b'!$E41*'IW+_end'!AH18</f>
        <v>1.4004955712712078E-5</v>
      </c>
      <c r="AI88" s="137">
        <f>'LCI_AD-b'!$E41*'IW+_end'!AI18</f>
        <v>0</v>
      </c>
      <c r="AJ88" s="137">
        <f>'LCI_AD-b'!$E41*'IW+_end'!AJ18</f>
        <v>0</v>
      </c>
      <c r="AK88" s="137">
        <f>'LCI_AD-b'!$E41*'IW+_end'!AK18</f>
        <v>0</v>
      </c>
    </row>
    <row r="89" spans="1:37" x14ac:dyDescent="0.35">
      <c r="A89" s="137"/>
      <c r="B89" s="137" t="s">
        <v>114</v>
      </c>
      <c r="C89" s="137">
        <f>'LCI_AD-b'!$E42*'IW+_end'!C21</f>
        <v>0</v>
      </c>
      <c r="D89" s="137">
        <f>'LCI_AD-b'!$E42*'IW+_end'!D21</f>
        <v>0</v>
      </c>
      <c r="E89" s="137">
        <f>'LCI_AD-b'!$E42*'IW+_end'!E21</f>
        <v>0</v>
      </c>
      <c r="F89" s="137">
        <f>'LCI_AD-b'!$E42*'IW+_end'!F21</f>
        <v>0</v>
      </c>
      <c r="G89" s="137">
        <f>'LCI_AD-b'!$E42*'IW+_end'!G21</f>
        <v>0</v>
      </c>
      <c r="H89" s="137">
        <f>'LCI_AD-b'!$E42*'IW+_end'!H21</f>
        <v>0</v>
      </c>
      <c r="I89" s="137">
        <f>'LCI_AD-b'!$E42*'IW+_end'!I21</f>
        <v>0</v>
      </c>
      <c r="J89" s="137">
        <f>'LCI_AD-b'!$E42*'IW+_end'!J21</f>
        <v>0</v>
      </c>
      <c r="K89" s="137">
        <f>'LCI_AD-b'!$E42*'IW+_end'!K21</f>
        <v>0</v>
      </c>
      <c r="L89" s="137">
        <f>'LCI_AD-b'!$E42*'IW+_end'!L21</f>
        <v>0</v>
      </c>
      <c r="M89" s="137">
        <f>'LCI_AD-b'!$E42*'IW+_end'!M21</f>
        <v>0</v>
      </c>
      <c r="N89" s="137">
        <f>'LCI_AD-b'!$E42*'IW+_end'!N21</f>
        <v>0</v>
      </c>
      <c r="O89" s="137">
        <f>'LCI_AD-b'!$E42*'IW+_end'!O21</f>
        <v>0</v>
      </c>
      <c r="P89" s="137">
        <f>'LCI_AD-b'!$E42*'IW+_end'!P21</f>
        <v>0</v>
      </c>
      <c r="Q89" s="137">
        <f>'LCI_AD-b'!$E42*'IW+_end'!Q21</f>
        <v>0</v>
      </c>
      <c r="R89" s="137">
        <f>'LCI_AD-b'!$E42*'IW+_end'!R21</f>
        <v>0</v>
      </c>
      <c r="S89" s="137">
        <f>'LCI_AD-b'!$E42*'IW+_end'!S21</f>
        <v>0</v>
      </c>
      <c r="T89" s="137">
        <f>'LCI_AD-b'!$E42*'IW+_end'!T21</f>
        <v>0</v>
      </c>
      <c r="U89" s="137">
        <f>'LCI_AD-b'!$E42*'IW+_end'!U21</f>
        <v>0</v>
      </c>
      <c r="V89" s="137">
        <f>'LCI_AD-b'!$E42*'IW+_end'!V21</f>
        <v>0</v>
      </c>
      <c r="W89" s="137">
        <f>'LCI_AD-b'!$E42*'IW+_end'!W21</f>
        <v>0</v>
      </c>
      <c r="X89" s="137">
        <f>'LCI_AD-b'!$E42*'IW+_end'!X21</f>
        <v>5.2372357739406041</v>
      </c>
      <c r="Y89" s="137">
        <f>'LCI_AD-b'!$E42*'IW+_end'!Y21</f>
        <v>0</v>
      </c>
      <c r="Z89" s="137">
        <f>'LCI_AD-b'!$E42*'IW+_end'!Z21</f>
        <v>0</v>
      </c>
      <c r="AA89" s="137">
        <f>'LCI_AD-b'!$E42*'IW+_end'!AA21</f>
        <v>0</v>
      </c>
      <c r="AB89" s="137">
        <f>'LCI_AD-b'!$E42*'IW+_end'!AB21</f>
        <v>0</v>
      </c>
      <c r="AC89" s="137">
        <f>'LCI_AD-b'!$E42*'IW+_end'!AC21</f>
        <v>0</v>
      </c>
      <c r="AD89" s="137">
        <f>'LCI_AD-b'!$E42*'IW+_end'!AD21</f>
        <v>0</v>
      </c>
      <c r="AE89" s="137">
        <f>'LCI_AD-b'!$E42*'IW+_end'!AE21</f>
        <v>0</v>
      </c>
      <c r="AF89" s="137">
        <f>'LCI_AD-b'!$E42*'IW+_end'!AF21</f>
        <v>0</v>
      </c>
      <c r="AG89" s="137">
        <f>'LCI_AD-b'!$E42*'IW+_end'!AG21</f>
        <v>5.2372357739406041</v>
      </c>
      <c r="AH89" s="137">
        <f>'LCI_AD-b'!$E42*'IW+_end'!AH21</f>
        <v>0</v>
      </c>
      <c r="AI89" s="137">
        <f>'LCI_AD-b'!$E42*'IW+_end'!AI21</f>
        <v>0</v>
      </c>
      <c r="AJ89" s="137">
        <f>'LCI_AD-b'!$E42*'IW+_end'!AJ21</f>
        <v>0</v>
      </c>
      <c r="AK89" s="137">
        <f>'LCI_AD-b'!$E42*'IW+_end'!AK21</f>
        <v>0</v>
      </c>
    </row>
    <row r="90" spans="1:37" x14ac:dyDescent="0.35">
      <c r="A90" s="137"/>
      <c r="B90" s="137" t="s">
        <v>414</v>
      </c>
      <c r="C90" s="137">
        <f>'LCI_AD-b'!$E43*'IW+_end'!C25</f>
        <v>0</v>
      </c>
      <c r="D90" s="137">
        <f>'LCI_AD-b'!$E43*'IW+_end'!D25</f>
        <v>0</v>
      </c>
      <c r="E90" s="137">
        <f>'LCI_AD-b'!$E43*'IW+_end'!E25</f>
        <v>0</v>
      </c>
      <c r="F90" s="137">
        <f>'LCI_AD-b'!$E43*'IW+_end'!F25</f>
        <v>0</v>
      </c>
      <c r="G90" s="137">
        <f>'LCI_AD-b'!$E43*'IW+_end'!G25</f>
        <v>0</v>
      </c>
      <c r="H90" s="137">
        <f>'LCI_AD-b'!$E43*'IW+_end'!H25</f>
        <v>0</v>
      </c>
      <c r="I90" s="137">
        <f>'LCI_AD-b'!$E43*'IW+_end'!I25</f>
        <v>0</v>
      </c>
      <c r="J90" s="137">
        <f>'LCI_AD-b'!$E43*'IW+_end'!J25</f>
        <v>0</v>
      </c>
      <c r="K90" s="137">
        <f>'LCI_AD-b'!$E43*'IW+_end'!K25</f>
        <v>-0.12351800454149389</v>
      </c>
      <c r="L90" s="137">
        <f>'LCI_AD-b'!$E43*'IW+_end'!L25</f>
        <v>0</v>
      </c>
      <c r="M90" s="137">
        <f>'LCI_AD-b'!$E43*'IW+_end'!M25</f>
        <v>0</v>
      </c>
      <c r="N90" s="137">
        <f>'LCI_AD-b'!$E43*'IW+_end'!N25</f>
        <v>0</v>
      </c>
      <c r="O90" s="137">
        <f>'LCI_AD-b'!$E43*'IW+_end'!O25</f>
        <v>0</v>
      </c>
      <c r="P90" s="137">
        <f>'LCI_AD-b'!$E43*'IW+_end'!P25</f>
        <v>0</v>
      </c>
      <c r="Q90" s="137">
        <f>'LCI_AD-b'!$E43*'IW+_end'!Q25</f>
        <v>0</v>
      </c>
      <c r="R90" s="137">
        <f>'LCI_AD-b'!$E43*'IW+_end'!R25</f>
        <v>0</v>
      </c>
      <c r="S90" s="137">
        <f>'LCI_AD-b'!$E43*'IW+_end'!S25</f>
        <v>0</v>
      </c>
      <c r="T90" s="137">
        <f>'LCI_AD-b'!$E43*'IW+_end'!T25</f>
        <v>0</v>
      </c>
      <c r="U90" s="137">
        <f>'LCI_AD-b'!$E43*'IW+_end'!U25</f>
        <v>0</v>
      </c>
      <c r="V90" s="137">
        <f>'LCI_AD-b'!$E43*'IW+_end'!V25</f>
        <v>0</v>
      </c>
      <c r="W90" s="137">
        <f>'LCI_AD-b'!$E43*'IW+_end'!W25</f>
        <v>0</v>
      </c>
      <c r="X90" s="137">
        <f>'LCI_AD-b'!$E43*'IW+_end'!X25</f>
        <v>0</v>
      </c>
      <c r="Y90" s="137">
        <f>'LCI_AD-b'!$E43*'IW+_end'!Y25</f>
        <v>0</v>
      </c>
      <c r="Z90" s="137">
        <f>'LCI_AD-b'!$E43*'IW+_end'!Z25</f>
        <v>0</v>
      </c>
      <c r="AA90" s="137">
        <f>'LCI_AD-b'!$E43*'IW+_end'!AA25</f>
        <v>0</v>
      </c>
      <c r="AB90" s="137">
        <f>'LCI_AD-b'!$E43*'IW+_end'!AB25</f>
        <v>0</v>
      </c>
      <c r="AC90" s="137">
        <f>'LCI_AD-b'!$E43*'IW+_end'!AC25</f>
        <v>0</v>
      </c>
      <c r="AD90" s="137">
        <f>'LCI_AD-b'!$E43*'IW+_end'!AD25</f>
        <v>0</v>
      </c>
      <c r="AE90" s="137">
        <f>'LCI_AD-b'!$E43*'IW+_end'!AE25</f>
        <v>0</v>
      </c>
      <c r="AF90" s="137">
        <f>'LCI_AD-b'!$E43*'IW+_end'!AF25</f>
        <v>0</v>
      </c>
      <c r="AG90" s="137">
        <f>'LCI_AD-b'!$E43*'IW+_end'!AG25</f>
        <v>-0.12351800454149389</v>
      </c>
      <c r="AH90" s="137">
        <f>'LCI_AD-b'!$E43*'IW+_end'!AH25</f>
        <v>0</v>
      </c>
      <c r="AI90" s="137">
        <f>'LCI_AD-b'!$E43*'IW+_end'!AI25</f>
        <v>0</v>
      </c>
      <c r="AJ90" s="137">
        <f>'LCI_AD-b'!$E43*'IW+_end'!AJ25</f>
        <v>0</v>
      </c>
      <c r="AK90" s="137">
        <f>'LCI_AD-b'!$E43*'IW+_end'!AK25</f>
        <v>0</v>
      </c>
    </row>
    <row r="91" spans="1:37" x14ac:dyDescent="0.35">
      <c r="A91" s="137"/>
      <c r="B91" s="137" t="s">
        <v>415</v>
      </c>
      <c r="C91" s="137">
        <f>'LCI_AD-b'!$E44*'IW+_end'!C26</f>
        <v>0</v>
      </c>
      <c r="D91" s="137">
        <f>'LCI_AD-b'!$E44*'IW+_end'!D26</f>
        <v>0</v>
      </c>
      <c r="E91" s="137">
        <f>'LCI_AD-b'!$E44*'IW+_end'!E26</f>
        <v>0</v>
      </c>
      <c r="F91" s="137">
        <f>'LCI_AD-b'!$E44*'IW+_end'!F26</f>
        <v>0</v>
      </c>
      <c r="G91" s="137">
        <f>'LCI_AD-b'!$E44*'IW+_end'!G26</f>
        <v>0</v>
      </c>
      <c r="H91" s="137">
        <f>'LCI_AD-b'!$E44*'IW+_end'!H26</f>
        <v>0</v>
      </c>
      <c r="I91" s="137">
        <f>'LCI_AD-b'!$E44*'IW+_end'!I26</f>
        <v>0</v>
      </c>
      <c r="J91" s="137">
        <f>'LCI_AD-b'!$E44*'IW+_end'!J26</f>
        <v>0</v>
      </c>
      <c r="K91" s="137">
        <f>'LCI_AD-b'!$E44*'IW+_end'!K26</f>
        <v>0</v>
      </c>
      <c r="L91" s="137">
        <f>'LCI_AD-b'!$E44*'IW+_end'!L26</f>
        <v>0</v>
      </c>
      <c r="M91" s="137">
        <f>'LCI_AD-b'!$E44*'IW+_end'!M26</f>
        <v>0</v>
      </c>
      <c r="N91" s="137">
        <f>'LCI_AD-b'!$E44*'IW+_end'!N26</f>
        <v>0</v>
      </c>
      <c r="O91" s="137">
        <f>'LCI_AD-b'!$E44*'IW+_end'!O26</f>
        <v>0</v>
      </c>
      <c r="P91" s="137">
        <f>'LCI_AD-b'!$E44*'IW+_end'!P26</f>
        <v>0</v>
      </c>
      <c r="Q91" s="137">
        <f>'LCI_AD-b'!$E44*'IW+_end'!Q26</f>
        <v>0</v>
      </c>
      <c r="R91" s="137">
        <f>'LCI_AD-b'!$E44*'IW+_end'!R26</f>
        <v>0</v>
      </c>
      <c r="S91" s="137">
        <f>'LCI_AD-b'!$E44*'IW+_end'!S26</f>
        <v>0</v>
      </c>
      <c r="T91" s="137">
        <f>'LCI_AD-b'!$E44*'IW+_end'!T26</f>
        <v>0</v>
      </c>
      <c r="U91" s="137">
        <f>'LCI_AD-b'!$E44*'IW+_end'!U26</f>
        <v>0</v>
      </c>
      <c r="V91" s="137">
        <f>'LCI_AD-b'!$E44*'IW+_end'!V26</f>
        <v>0</v>
      </c>
      <c r="W91" s="137">
        <f>'LCI_AD-b'!$E44*'IW+_end'!W26</f>
        <v>0</v>
      </c>
      <c r="X91" s="137">
        <f>'LCI_AD-b'!$E44*'IW+_end'!X26</f>
        <v>0</v>
      </c>
      <c r="Y91" s="137">
        <f>'LCI_AD-b'!$E44*'IW+_end'!Y26</f>
        <v>0</v>
      </c>
      <c r="Z91" s="137">
        <f>'LCI_AD-b'!$E44*'IW+_end'!Z26</f>
        <v>0</v>
      </c>
      <c r="AA91" s="137">
        <f>'LCI_AD-b'!$E44*'IW+_end'!AA26</f>
        <v>0</v>
      </c>
      <c r="AB91" s="137">
        <f>'LCI_AD-b'!$E44*'IW+_end'!AB26</f>
        <v>0</v>
      </c>
      <c r="AC91" s="137">
        <f>'LCI_AD-b'!$E44*'IW+_end'!AC26</f>
        <v>0</v>
      </c>
      <c r="AD91" s="137">
        <f>'LCI_AD-b'!$E44*'IW+_end'!AD26</f>
        <v>0</v>
      </c>
      <c r="AE91" s="137">
        <f>'LCI_AD-b'!$E44*'IW+_end'!AE26</f>
        <v>0</v>
      </c>
      <c r="AF91" s="137">
        <f>'LCI_AD-b'!$E44*'IW+_end'!AF26</f>
        <v>0</v>
      </c>
      <c r="AG91" s="137">
        <f>'LCI_AD-b'!$E44*'IW+_end'!AG26</f>
        <v>0</v>
      </c>
      <c r="AH91" s="137">
        <f>'LCI_AD-b'!$E44*'IW+_end'!AH26</f>
        <v>0</v>
      </c>
      <c r="AI91" s="137">
        <f>'LCI_AD-b'!$E44*'IW+_end'!AI26</f>
        <v>0</v>
      </c>
      <c r="AJ91" s="137">
        <f>'LCI_AD-b'!$E44*'IW+_end'!AJ26</f>
        <v>0</v>
      </c>
      <c r="AK91" s="137">
        <f>'LCI_AD-b'!$E44*'IW+_end'!AK26</f>
        <v>0</v>
      </c>
    </row>
    <row r="92" spans="1:37" x14ac:dyDescent="0.35">
      <c r="A92" s="143" t="s">
        <v>421</v>
      </c>
      <c r="B92" s="137"/>
      <c r="C92" s="142">
        <f>SUM(C93:C98)</f>
        <v>256.03938371230794</v>
      </c>
      <c r="D92" s="142">
        <f t="shared" ref="D92:AK92" si="12">SUM(D93:D98)</f>
        <v>77.5306721380027</v>
      </c>
      <c r="E92" s="142">
        <f t="shared" si="12"/>
        <v>3.4506357198108746E-3</v>
      </c>
      <c r="F92" s="142">
        <f t="shared" si="12"/>
        <v>1.044878732253712E-3</v>
      </c>
      <c r="G92" s="142">
        <f t="shared" si="12"/>
        <v>1.2223899670215808E-16</v>
      </c>
      <c r="H92" s="142">
        <f t="shared" si="12"/>
        <v>1.7830128022240852</v>
      </c>
      <c r="I92" s="142">
        <f t="shared" si="12"/>
        <v>11.281107124317353</v>
      </c>
      <c r="J92" s="142">
        <f t="shared" si="12"/>
        <v>7.1396007991966659</v>
      </c>
      <c r="K92" s="142">
        <f t="shared" si="12"/>
        <v>0.10389075250705458</v>
      </c>
      <c r="L92" s="142">
        <f t="shared" si="12"/>
        <v>7.0824037553707975E-7</v>
      </c>
      <c r="M92" s="142">
        <f t="shared" si="12"/>
        <v>1.7129451925814823E-5</v>
      </c>
      <c r="N92" s="142">
        <f t="shared" si="12"/>
        <v>2.0435940169559799E-5</v>
      </c>
      <c r="O92" s="142">
        <f t="shared" si="12"/>
        <v>1.7612232488975971E-5</v>
      </c>
      <c r="P92" s="142">
        <f t="shared" si="12"/>
        <v>8.8929281422157987E-9</v>
      </c>
      <c r="Q92" s="142">
        <f t="shared" si="12"/>
        <v>1.7586448562553545E-7</v>
      </c>
      <c r="R92" s="142">
        <f t="shared" si="12"/>
        <v>1.5750182465130558</v>
      </c>
      <c r="S92" s="142">
        <f t="shared" si="12"/>
        <v>5.3703516616888241</v>
      </c>
      <c r="T92" s="142">
        <f t="shared" si="12"/>
        <v>92.632886802024188</v>
      </c>
      <c r="U92" s="142">
        <f t="shared" si="12"/>
        <v>10.055529111701892</v>
      </c>
      <c r="V92" s="142">
        <f t="shared" si="12"/>
        <v>2.1430081558406702E-5</v>
      </c>
      <c r="W92" s="142">
        <f t="shared" si="12"/>
        <v>2.445529363316256E-5</v>
      </c>
      <c r="X92" s="142">
        <f t="shared" si="12"/>
        <v>0.30989749890844898</v>
      </c>
      <c r="Y92" s="142">
        <f t="shared" si="12"/>
        <v>4.0102030330486865E-8</v>
      </c>
      <c r="Z92" s="142">
        <f t="shared" si="12"/>
        <v>1.1236209817621449E-4</v>
      </c>
      <c r="AA92" s="142">
        <f t="shared" si="12"/>
        <v>7.9630569784179093</v>
      </c>
      <c r="AB92" s="142">
        <f t="shared" si="12"/>
        <v>7.5623095737986137E-7</v>
      </c>
      <c r="AC92" s="142">
        <f t="shared" si="12"/>
        <v>12.160615826169323</v>
      </c>
      <c r="AD92" s="142">
        <f t="shared" si="12"/>
        <v>0.78222585802101885</v>
      </c>
      <c r="AE92" s="142">
        <f t="shared" si="12"/>
        <v>0.89261821761043347</v>
      </c>
      <c r="AF92" s="142">
        <f t="shared" si="12"/>
        <v>1.0580125592300765E-2</v>
      </c>
      <c r="AG92" s="142">
        <f t="shared" si="12"/>
        <v>485.63912102549011</v>
      </c>
      <c r="AH92" s="142">
        <f t="shared" si="12"/>
        <v>4.7468994567610055E-3</v>
      </c>
      <c r="AI92" s="142">
        <f t="shared" si="12"/>
        <v>6.7269719945008512E-4</v>
      </c>
      <c r="AJ92" s="142">
        <f t="shared" si="12"/>
        <v>8.2164844086980252E-5</v>
      </c>
      <c r="AK92" s="142">
        <f t="shared" si="12"/>
        <v>7.9547788191779278E-3</v>
      </c>
    </row>
    <row r="93" spans="1:37" x14ac:dyDescent="0.35">
      <c r="A93" s="137"/>
      <c r="B93" s="137" t="s">
        <v>228</v>
      </c>
      <c r="C93" s="137">
        <f>'LCI_AD-b'!$E46*'IW+_end'!C28</f>
        <v>5.6593260290303915</v>
      </c>
      <c r="D93" s="137">
        <f>'LCI_AD-b'!$E46*'IW+_end'!D28</f>
        <v>1.8231496370226086</v>
      </c>
      <c r="E93" s="137">
        <f>'LCI_AD-b'!$E46*'IW+_end'!E28</f>
        <v>7.6270580965661714E-5</v>
      </c>
      <c r="F93" s="137">
        <f>'LCI_AD-b'!$E46*'IW+_end'!F28</f>
        <v>2.4570537426145324E-5</v>
      </c>
      <c r="G93" s="137">
        <f>'LCI_AD-b'!$E46*'IW+_end'!G28</f>
        <v>3.9249223978199064E-17</v>
      </c>
      <c r="H93" s="137">
        <f>'LCI_AD-b'!$E46*'IW+_end'!H28</f>
        <v>8.7287713544722478E-2</v>
      </c>
      <c r="I93" s="137">
        <f>'LCI_AD-b'!$E46*'IW+_end'!I28</f>
        <v>0.72592559243783938</v>
      </c>
      <c r="J93" s="137">
        <f>'LCI_AD-b'!$E46*'IW+_end'!J28</f>
        <v>0.24130766041087356</v>
      </c>
      <c r="K93" s="137">
        <f>'LCI_AD-b'!$E46*'IW+_end'!K28</f>
        <v>3.5494647896879965E-4</v>
      </c>
      <c r="L93" s="137">
        <f>'LCI_AD-b'!$E46*'IW+_end'!L28</f>
        <v>5.4186170739770473E-8</v>
      </c>
      <c r="M93" s="137">
        <f>'LCI_AD-b'!$E46*'IW+_end'!M28</f>
        <v>2.5442998789871582E-6</v>
      </c>
      <c r="N93" s="137">
        <f>'LCI_AD-b'!$E46*'IW+_end'!N28</f>
        <v>1.765021899533639E-6</v>
      </c>
      <c r="O93" s="137">
        <f>'LCI_AD-b'!$E46*'IW+_end'!O28</f>
        <v>1.7864226714804923E-6</v>
      </c>
      <c r="P93" s="137">
        <f>'LCI_AD-b'!$E46*'IW+_end'!P28</f>
        <v>7.6300358270113086E-10</v>
      </c>
      <c r="Q93" s="137">
        <f>'LCI_AD-b'!$E46*'IW+_end'!Q28</f>
        <v>1.378298188452744E-8</v>
      </c>
      <c r="R93" s="137">
        <f>'LCI_AD-b'!$E46*'IW+_end'!R28</f>
        <v>0.10339515717963435</v>
      </c>
      <c r="S93" s="137">
        <f>'LCI_AD-b'!$E46*'IW+_end'!S28</f>
        <v>0.18664892059285132</v>
      </c>
      <c r="T93" s="137">
        <f>'LCI_AD-b'!$E46*'IW+_end'!T28</f>
        <v>1.9577479795059407</v>
      </c>
      <c r="U93" s="137">
        <f>'LCI_AD-b'!$E46*'IW+_end'!U28</f>
        <v>0.21251826889917752</v>
      </c>
      <c r="V93" s="137">
        <f>'LCI_AD-b'!$E46*'IW+_end'!V28</f>
        <v>3.7948360996169299E-6</v>
      </c>
      <c r="W93" s="137">
        <f>'LCI_AD-b'!$E46*'IW+_end'!W28</f>
        <v>5.1643039799012007E-6</v>
      </c>
      <c r="X93" s="137">
        <f>'LCI_AD-b'!$E46*'IW+_end'!X28</f>
        <v>3.5674036015551081E-2</v>
      </c>
      <c r="Y93" s="137">
        <f>'LCI_AD-b'!$E46*'IW+_end'!Y28</f>
        <v>5.9266643871532827E-10</v>
      </c>
      <c r="Z93" s="137">
        <f>'LCI_AD-b'!$E46*'IW+_end'!Z28</f>
        <v>7.0226540233151228E-6</v>
      </c>
      <c r="AA93" s="137">
        <f>'LCI_AD-b'!$E46*'IW+_end'!AA28</f>
        <v>0.20307568330261858</v>
      </c>
      <c r="AB93" s="137">
        <f>'LCI_AD-b'!$E46*'IW+_end'!AB28</f>
        <v>1.9529741532173774E-8</v>
      </c>
      <c r="AC93" s="137">
        <f>'LCI_AD-b'!$E46*'IW+_end'!AC28</f>
        <v>0.80007311894008659</v>
      </c>
      <c r="AD93" s="137">
        <f>'LCI_AD-b'!$E46*'IW+_end'!AD28</f>
        <v>0.13851212158276324</v>
      </c>
      <c r="AE93" s="137">
        <f>'LCI_AD-b'!$E46*'IW+_end'!AE28</f>
        <v>0.18849709526639377</v>
      </c>
      <c r="AF93" s="137">
        <f>'LCI_AD-b'!$E46*'IW+_end'!AF28</f>
        <v>8.5687230186265288E-4</v>
      </c>
      <c r="AG93" s="137">
        <f>'LCI_AD-b'!$E46*'IW+_end'!AG28</f>
        <v>12.364864328901232</v>
      </c>
      <c r="AH93" s="137">
        <f>'LCI_AD-b'!$E46*'IW+_end'!AH28</f>
        <v>1.3693187117214529E-4</v>
      </c>
      <c r="AI93" s="137">
        <f>'LCI_AD-b'!$E46*'IW+_end'!AI28</f>
        <v>1.873572527528322E-4</v>
      </c>
      <c r="AJ93" s="137">
        <f>'LCI_AD-b'!$E46*'IW+_end'!AJ28</f>
        <v>2.2884262746427005E-5</v>
      </c>
      <c r="AK93" s="137">
        <f>'LCI_AD-b'!$E46*'IW+_end'!AK28</f>
        <v>3.1717923312642339E-4</v>
      </c>
    </row>
    <row r="94" spans="1:37" x14ac:dyDescent="0.35">
      <c r="A94" s="137"/>
      <c r="B94" s="137" t="s">
        <v>230</v>
      </c>
      <c r="C94" s="137">
        <f>'LCI_AD-b'!$E47*'IW+_end'!C30</f>
        <v>4.8095077280535676</v>
      </c>
      <c r="D94" s="137">
        <f>'LCI_AD-b'!$E47*'IW+_end'!D30</f>
        <v>1.4441104424519018</v>
      </c>
      <c r="E94" s="137">
        <f>'LCI_AD-b'!$E47*'IW+_end'!E30</f>
        <v>6.4817603137865687E-5</v>
      </c>
      <c r="F94" s="137">
        <f>'LCI_AD-b'!$E47*'IW+_end'!F30</f>
        <v>1.9462236644326375E-5</v>
      </c>
      <c r="G94" s="137">
        <f>'LCI_AD-b'!$E47*'IW+_end'!G30</f>
        <v>7.3123980626410943E-17</v>
      </c>
      <c r="H94" s="137">
        <f>'LCI_AD-b'!$E47*'IW+_end'!H30</f>
        <v>0.44823309736114125</v>
      </c>
      <c r="I94" s="137">
        <f>'LCI_AD-b'!$E47*'IW+_end'!I30</f>
        <v>2.347279525573732</v>
      </c>
      <c r="J94" s="137">
        <f>'LCI_AD-b'!$E47*'IW+_end'!J30</f>
        <v>0.21528368659229899</v>
      </c>
      <c r="K94" s="137">
        <f>'LCI_AD-b'!$E47*'IW+_end'!K30</f>
        <v>9.9654627709092156E-2</v>
      </c>
      <c r="L94" s="137">
        <f>'LCI_AD-b'!$E47*'IW+_end'!L30</f>
        <v>1.2487090588294379E-7</v>
      </c>
      <c r="M94" s="137">
        <f>'LCI_AD-b'!$E47*'IW+_end'!M30</f>
        <v>4.6776960795765779E-6</v>
      </c>
      <c r="N94" s="137">
        <f>'LCI_AD-b'!$E47*'IW+_end'!N30</f>
        <v>4.010056281378213E-6</v>
      </c>
      <c r="O94" s="137">
        <f>'LCI_AD-b'!$E47*'IW+_end'!O30</f>
        <v>7.0074232550538647E-6</v>
      </c>
      <c r="P94" s="137">
        <f>'LCI_AD-b'!$E47*'IW+_end'!P30</f>
        <v>4.647364753178146E-9</v>
      </c>
      <c r="Q94" s="137">
        <f>'LCI_AD-b'!$E47*'IW+_end'!Q30</f>
        <v>9.4555771814582354E-8</v>
      </c>
      <c r="R94" s="137">
        <f>'LCI_AD-b'!$E47*'IW+_end'!R30</f>
        <v>0.68319110391043536</v>
      </c>
      <c r="S94" s="137">
        <f>'LCI_AD-b'!$E47*'IW+_end'!S30</f>
        <v>0.79108572912494513</v>
      </c>
      <c r="T94" s="137">
        <f>'LCI_AD-b'!$E47*'IW+_end'!T30</f>
        <v>1.7311842555061387</v>
      </c>
      <c r="U94" s="137">
        <f>'LCI_AD-b'!$E47*'IW+_end'!U30</f>
        <v>0.18792389567089296</v>
      </c>
      <c r="V94" s="137">
        <f>'LCI_AD-b'!$E47*'IW+_end'!V30</f>
        <v>7.2378894888969916E-6</v>
      </c>
      <c r="W94" s="137">
        <f>'LCI_AD-b'!$E47*'IW+_end'!W30</f>
        <v>9.6042670598147937E-6</v>
      </c>
      <c r="X94" s="137">
        <f>'LCI_AD-b'!$E47*'IW+_end'!X30</f>
        <v>1.4409461353569341E-2</v>
      </c>
      <c r="Y94" s="137">
        <f>'LCI_AD-b'!$E47*'IW+_end'!Y30</f>
        <v>3.8240695044543504E-10</v>
      </c>
      <c r="Z94" s="137">
        <f>'LCI_AD-b'!$E47*'IW+_end'!Z30</f>
        <v>3.609107449754222E-5</v>
      </c>
      <c r="AA94" s="137">
        <f>'LCI_AD-b'!$E47*'IW+_end'!AA30</f>
        <v>0.2759231696078262</v>
      </c>
      <c r="AB94" s="137">
        <f>'LCI_AD-b'!$E47*'IW+_end'!AB30</f>
        <v>2.760851131788039E-8</v>
      </c>
      <c r="AC94" s="137">
        <f>'LCI_AD-b'!$E47*'IW+_end'!AC30</f>
        <v>2.7332398205521895</v>
      </c>
      <c r="AD94" s="137">
        <f>'LCI_AD-b'!$E47*'IW+_end'!AD30</f>
        <v>0.26418664521688578</v>
      </c>
      <c r="AE94" s="137">
        <f>'LCI_AD-b'!$E47*'IW+_end'!AE30</f>
        <v>0.35055574768324005</v>
      </c>
      <c r="AF94" s="137">
        <f>'LCI_AD-b'!$E47*'IW+_end'!AF30</f>
        <v>3.8648651017407915E-3</v>
      </c>
      <c r="AG94" s="137">
        <f>'LCI_AD-b'!$E47*'IW+_end'!AG30</f>
        <v>16.403319786851533</v>
      </c>
      <c r="AH94" s="137">
        <f>'LCI_AD-b'!$E47*'IW+_end'!AH30</f>
        <v>1.6523308527227644E-4</v>
      </c>
      <c r="AI94" s="137">
        <f>'LCI_AD-b'!$E47*'IW+_end'!AI30</f>
        <v>2.3676937744412029E-4</v>
      </c>
      <c r="AJ94" s="137">
        <f>'LCI_AD-b'!$E47*'IW+_end'!AJ30</f>
        <v>2.8919577780568251E-5</v>
      </c>
      <c r="AK94" s="137">
        <f>'LCI_AD-b'!$E47*'IW+_end'!AK30</f>
        <v>3.4323692005919135E-3</v>
      </c>
    </row>
    <row r="95" spans="1:37" x14ac:dyDescent="0.35">
      <c r="A95" s="137"/>
      <c r="B95" s="137" t="s">
        <v>229</v>
      </c>
      <c r="C95" s="137">
        <f>'LCI_AD-b'!$E48*'IW+_end'!C29</f>
        <v>0.71867751184754491</v>
      </c>
      <c r="D95" s="137">
        <f>'LCI_AD-b'!$E48*'IW+_end'!D29</f>
        <v>0.2188650793710166</v>
      </c>
      <c r="E95" s="137">
        <f>'LCI_AD-b'!$E48*'IW+_end'!E29</f>
        <v>9.6855970259341509E-6</v>
      </c>
      <c r="F95" s="137">
        <f>'LCI_AD-b'!$E48*'IW+_end'!F29</f>
        <v>2.9496386444417473E-6</v>
      </c>
      <c r="G95" s="137">
        <f>'LCI_AD-b'!$E48*'IW+_end'!G29</f>
        <v>5.8984225801603065E-18</v>
      </c>
      <c r="H95" s="137">
        <f>'LCI_AD-b'!$E48*'IW+_end'!H29</f>
        <v>1.3919100901769588E-2</v>
      </c>
      <c r="I95" s="137">
        <f>'LCI_AD-b'!$E48*'IW+_end'!I29</f>
        <v>0.37633611729107169</v>
      </c>
      <c r="J95" s="137">
        <f>'LCI_AD-b'!$E48*'IW+_end'!J29</f>
        <v>3.9145356876161046E-2</v>
      </c>
      <c r="K95" s="137">
        <f>'LCI_AD-b'!$E48*'IW+_end'!K29</f>
        <v>7.0842026466889346E-5</v>
      </c>
      <c r="L95" s="137">
        <f>'LCI_AD-b'!$E48*'IW+_end'!L29</f>
        <v>1.0451454523115719E-8</v>
      </c>
      <c r="M95" s="137">
        <f>'LCI_AD-b'!$E48*'IW+_end'!M29</f>
        <v>5.2019241486940565E-7</v>
      </c>
      <c r="N95" s="137">
        <f>'LCI_AD-b'!$E48*'IW+_end'!N29</f>
        <v>3.4728979390241437E-7</v>
      </c>
      <c r="O95" s="137">
        <f>'LCI_AD-b'!$E48*'IW+_end'!O29</f>
        <v>3.2299621515802173E-7</v>
      </c>
      <c r="P95" s="137">
        <f>'LCI_AD-b'!$E48*'IW+_end'!P29</f>
        <v>1.2934795009155544E-10</v>
      </c>
      <c r="Q95" s="137">
        <f>'LCI_AD-b'!$E48*'IW+_end'!Q29</f>
        <v>2.2469974805631203E-9</v>
      </c>
      <c r="R95" s="137">
        <f>'LCI_AD-b'!$E48*'IW+_end'!R29</f>
        <v>6.7325513010943971E-2</v>
      </c>
      <c r="S95" s="137">
        <f>'LCI_AD-b'!$E48*'IW+_end'!S29</f>
        <v>0.12419396493422681</v>
      </c>
      <c r="T95" s="137">
        <f>'LCI_AD-b'!$E48*'IW+_end'!T29</f>
        <v>0.25991560017352355</v>
      </c>
      <c r="U95" s="137">
        <f>'LCI_AD-b'!$E48*'IW+_end'!U29</f>
        <v>2.8214357630633503E-2</v>
      </c>
      <c r="V95" s="137">
        <f>'LCI_AD-b'!$E48*'IW+_end'!V29</f>
        <v>6.4348682745705372E-7</v>
      </c>
      <c r="W95" s="137">
        <f>'LCI_AD-b'!$E48*'IW+_end'!W29</f>
        <v>8.0550034014492408E-7</v>
      </c>
      <c r="X95" s="137">
        <f>'LCI_AD-b'!$E48*'IW+_end'!X29</f>
        <v>2.2776064517151364E-3</v>
      </c>
      <c r="Y95" s="137">
        <f>'LCI_AD-b'!$E48*'IW+_end'!Y29</f>
        <v>7.6771583843573354E-11</v>
      </c>
      <c r="Z95" s="137">
        <f>'LCI_AD-b'!$E48*'IW+_end'!Z29</f>
        <v>1.2785913045947378E-6</v>
      </c>
      <c r="AA95" s="137">
        <f>'LCI_AD-b'!$E48*'IW+_end'!AA29</f>
        <v>6.1578266831267714E-2</v>
      </c>
      <c r="AB95" s="137">
        <f>'LCI_AD-b'!$E48*'IW+_end'!AB29</f>
        <v>6.1240972441714326E-9</v>
      </c>
      <c r="AC95" s="137">
        <f>'LCI_AD-b'!$E48*'IW+_end'!AC29</f>
        <v>9.594575730073783E-2</v>
      </c>
      <c r="AD95" s="137">
        <f>'LCI_AD-b'!$E48*'IW+_end'!AD29</f>
        <v>2.3487396568850575E-2</v>
      </c>
      <c r="AE95" s="137">
        <f>'LCI_AD-b'!$E48*'IW+_end'!AE29</f>
        <v>2.940076241528972E-2</v>
      </c>
      <c r="AF95" s="137">
        <f>'LCI_AD-b'!$E48*'IW+_end'!AF29</f>
        <v>1.446571550515878E-4</v>
      </c>
      <c r="AG95" s="137">
        <f>'LCI_AD-b'!$E48*'IW+_end'!AG29</f>
        <v>2.0595504957264077</v>
      </c>
      <c r="AH95" s="137">
        <f>'LCI_AD-b'!$E48*'IW+_end'!AH29</f>
        <v>1.5998093238262185E-5</v>
      </c>
      <c r="AI95" s="137">
        <f>'LCI_AD-b'!$E48*'IW+_end'!AI29</f>
        <v>7.1628573362001402E-6</v>
      </c>
      <c r="AJ95" s="137">
        <f>'LCI_AD-b'!$E48*'IW+_end'!AJ29</f>
        <v>8.7488851852996961E-7</v>
      </c>
      <c r="AK95" s="137">
        <f>'LCI_AD-b'!$E48*'IW+_end'!AK29</f>
        <v>4.3992966285190678E-5</v>
      </c>
    </row>
    <row r="96" spans="1:37" x14ac:dyDescent="0.35">
      <c r="A96" s="137"/>
      <c r="B96" s="137" t="s">
        <v>231</v>
      </c>
      <c r="C96" s="137">
        <f>'LCI_AD-b'!$E49*'IW+_end'!C31</f>
        <v>0</v>
      </c>
      <c r="D96" s="137">
        <f>'LCI_AD-b'!$E49*'IW+_end'!D31</f>
        <v>0</v>
      </c>
      <c r="E96" s="137">
        <f>'LCI_AD-b'!$E49*'IW+_end'!E31</f>
        <v>0</v>
      </c>
      <c r="F96" s="137">
        <f>'LCI_AD-b'!$E49*'IW+_end'!F31</f>
        <v>0</v>
      </c>
      <c r="G96" s="137">
        <f>'LCI_AD-b'!$E49*'IW+_end'!G31</f>
        <v>0</v>
      </c>
      <c r="H96" s="137">
        <f>'LCI_AD-b'!$E49*'IW+_end'!H31</f>
        <v>0</v>
      </c>
      <c r="I96" s="137">
        <f>'LCI_AD-b'!$E49*'IW+_end'!I31</f>
        <v>0</v>
      </c>
      <c r="J96" s="137">
        <f>'LCI_AD-b'!$E49*'IW+_end'!J31</f>
        <v>0</v>
      </c>
      <c r="K96" s="137">
        <f>'LCI_AD-b'!$E49*'IW+_end'!K31</f>
        <v>0</v>
      </c>
      <c r="L96" s="137">
        <f>'LCI_AD-b'!$E49*'IW+_end'!L31</f>
        <v>0</v>
      </c>
      <c r="M96" s="137">
        <f>'LCI_AD-b'!$E49*'IW+_end'!M31</f>
        <v>0</v>
      </c>
      <c r="N96" s="137">
        <f>'LCI_AD-b'!$E49*'IW+_end'!N31</f>
        <v>0</v>
      </c>
      <c r="O96" s="137">
        <f>'LCI_AD-b'!$E49*'IW+_end'!O31</f>
        <v>0</v>
      </c>
      <c r="P96" s="137">
        <f>'LCI_AD-b'!$E49*'IW+_end'!P31</f>
        <v>0</v>
      </c>
      <c r="Q96" s="137">
        <f>'LCI_AD-b'!$E49*'IW+_end'!Q31</f>
        <v>0</v>
      </c>
      <c r="R96" s="137">
        <f>'LCI_AD-b'!$E49*'IW+_end'!R31</f>
        <v>0</v>
      </c>
      <c r="S96" s="137">
        <f>'LCI_AD-b'!$E49*'IW+_end'!S31</f>
        <v>0</v>
      </c>
      <c r="T96" s="137">
        <f>'LCI_AD-b'!$E49*'IW+_end'!T31</f>
        <v>0</v>
      </c>
      <c r="U96" s="137">
        <f>'LCI_AD-b'!$E49*'IW+_end'!U31</f>
        <v>0</v>
      </c>
      <c r="V96" s="137">
        <f>'LCI_AD-b'!$E49*'IW+_end'!V31</f>
        <v>0</v>
      </c>
      <c r="W96" s="137">
        <f>'LCI_AD-b'!$E49*'IW+_end'!W31</f>
        <v>0</v>
      </c>
      <c r="X96" s="137">
        <f>'LCI_AD-b'!$E49*'IW+_end'!X31</f>
        <v>0</v>
      </c>
      <c r="Y96" s="137">
        <f>'LCI_AD-b'!$E49*'IW+_end'!Y31</f>
        <v>0</v>
      </c>
      <c r="Z96" s="137">
        <f>'LCI_AD-b'!$E49*'IW+_end'!Z31</f>
        <v>0</v>
      </c>
      <c r="AA96" s="137">
        <f>'LCI_AD-b'!$E49*'IW+_end'!AA31</f>
        <v>0</v>
      </c>
      <c r="AB96" s="137">
        <f>'LCI_AD-b'!$E49*'IW+_end'!AB31</f>
        <v>0</v>
      </c>
      <c r="AC96" s="137">
        <f>'LCI_AD-b'!$E49*'IW+_end'!AC31</f>
        <v>0</v>
      </c>
      <c r="AD96" s="137">
        <f>'LCI_AD-b'!$E49*'IW+_end'!AD31</f>
        <v>0</v>
      </c>
      <c r="AE96" s="137">
        <f>'LCI_AD-b'!$E49*'IW+_end'!AE31</f>
        <v>0</v>
      </c>
      <c r="AF96" s="137">
        <f>'LCI_AD-b'!$E49*'IW+_end'!AF31</f>
        <v>0</v>
      </c>
      <c r="AG96" s="137">
        <f>'LCI_AD-b'!$E49*'IW+_end'!AG31</f>
        <v>0</v>
      </c>
      <c r="AH96" s="137">
        <f>'LCI_AD-b'!$E49*'IW+_end'!AH31</f>
        <v>0</v>
      </c>
      <c r="AI96" s="137">
        <f>'LCI_AD-b'!$E49*'IW+_end'!AI31</f>
        <v>0</v>
      </c>
      <c r="AJ96" s="137">
        <f>'LCI_AD-b'!$E49*'IW+_end'!AJ31</f>
        <v>0</v>
      </c>
      <c r="AK96" s="137">
        <f>'LCI_AD-b'!$E49*'IW+_end'!AK31</f>
        <v>0</v>
      </c>
    </row>
    <row r="97" spans="1:37" x14ac:dyDescent="0.35">
      <c r="A97" s="137"/>
      <c r="B97" s="137" t="s">
        <v>423</v>
      </c>
      <c r="C97" s="137">
        <f>'LCIA_AD-a'!C78</f>
        <v>79.122355725541553</v>
      </c>
      <c r="D97" s="137">
        <f>'LCIA_AD-a'!D78</f>
        <v>23.836101148679735</v>
      </c>
      <c r="E97" s="137">
        <f>'LCIA_AD-a'!E78</f>
        <v>1.0663298081083918E-3</v>
      </c>
      <c r="F97" s="137">
        <f>'LCIA_AD-a'!F78</f>
        <v>3.2123847844078986E-4</v>
      </c>
      <c r="G97" s="137">
        <f>'LCIA_AD-a'!G78</f>
        <v>3.9673695173877574E-18</v>
      </c>
      <c r="H97" s="137">
        <f>'LCIA_AD-a'!H78</f>
        <v>0.6238370824175532</v>
      </c>
      <c r="I97" s="137">
        <f>'LCIA_AD-a'!I78</f>
        <v>4.1365669496789703</v>
      </c>
      <c r="J97" s="137">
        <f>'LCIA_AD-a'!J78</f>
        <v>2.0252631543595361</v>
      </c>
      <c r="K97" s="137">
        <f>'LCIA_AD-a'!K78</f>
        <v>3.1152090869692628E-3</v>
      </c>
      <c r="L97" s="137">
        <f>'LCIA_AD-a'!L78</f>
        <v>3.2448595735356284E-7</v>
      </c>
      <c r="M97" s="137">
        <f>'LCIA_AD-a'!M78</f>
        <v>9.0034625458115586E-6</v>
      </c>
      <c r="N97" s="137">
        <f>'LCIA_AD-a'!N78</f>
        <v>8.6478447897322669E-6</v>
      </c>
      <c r="O97" s="137">
        <f>'LCIA_AD-a'!O78</f>
        <v>4.7770483376190579E-6</v>
      </c>
      <c r="P97" s="137">
        <f>'LCIA_AD-a'!P78</f>
        <v>2.5015931046411975E-9</v>
      </c>
      <c r="Q97" s="137">
        <f>'LCIA_AD-a'!Q78</f>
        <v>4.7010917339658551E-8</v>
      </c>
      <c r="R97" s="137">
        <f>'LCIA_AD-a'!R78</f>
        <v>0.26251724143939015</v>
      </c>
      <c r="S97" s="137">
        <f>'LCIA_AD-a'!S78</f>
        <v>2.1515011718787056</v>
      </c>
      <c r="T97" s="137">
        <f>'LCIA_AD-a'!T78</f>
        <v>28.68629001170623</v>
      </c>
      <c r="U97" s="137">
        <f>'LCIA_AD-a'!U78</f>
        <v>3.1139692488580235</v>
      </c>
      <c r="V97" s="137">
        <f>'LCIA_AD-a'!V78</f>
        <v>4.2289696907459561E-6</v>
      </c>
      <c r="W97" s="137">
        <f>'LCIA_AD-a'!W78</f>
        <v>3.8397116961518526E-6</v>
      </c>
      <c r="X97" s="137">
        <f>'LCIA_AD-a'!X78</f>
        <v>0.1196013427043396</v>
      </c>
      <c r="Y97" s="137">
        <f>'LCIA_AD-a'!Y78</f>
        <v>6.4525463139700086E-9</v>
      </c>
      <c r="Z97" s="137">
        <f>'LCIA_AD-a'!Z78</f>
        <v>3.6104827515428799E-5</v>
      </c>
      <c r="AA97" s="137">
        <f>'LCIA_AD-a'!AA78</f>
        <v>2.0236362875930318</v>
      </c>
      <c r="AB97" s="137">
        <f>'LCIA_AD-a'!AB78</f>
        <v>1.8097229525607338E-7</v>
      </c>
      <c r="AC97" s="137">
        <f>'LCIA_AD-a'!AC78</f>
        <v>3.9862288094108491</v>
      </c>
      <c r="AD97" s="137">
        <f>'LCIA_AD-a'!AD78</f>
        <v>0.15437581603743655</v>
      </c>
      <c r="AE97" s="137">
        <f>'LCIA_AD-a'!AE78</f>
        <v>0.14014947690954263</v>
      </c>
      <c r="AF97" s="137">
        <f>'LCIA_AD-a'!AF78</f>
        <v>2.2461447721529837E-3</v>
      </c>
      <c r="AG97" s="137">
        <f>'LCIA_AD-a'!AG78</f>
        <v>150.38830813379255</v>
      </c>
      <c r="AH97" s="137">
        <f>'LCIA_AD-a'!AH78</f>
        <v>1.4519731357361082E-3</v>
      </c>
      <c r="AI97" s="137">
        <f>'LCIA_AD-a'!AI78</f>
        <v>4.3496318159612132E-5</v>
      </c>
      <c r="AJ97" s="137">
        <f>'LCIA_AD-a'!AJ78</f>
        <v>5.3127442820692258E-6</v>
      </c>
      <c r="AK97" s="137">
        <f>'LCIA_AD-a'!AK78</f>
        <v>5.0174521756887942E-4</v>
      </c>
    </row>
    <row r="98" spans="1:37" x14ac:dyDescent="0.35">
      <c r="A98" s="137"/>
      <c r="B98" s="137" t="s">
        <v>424</v>
      </c>
      <c r="C98" s="137">
        <f>'LCIA_AD-a'!C79</f>
        <v>165.72951671783488</v>
      </c>
      <c r="D98" s="137">
        <f>'LCIA_AD-a'!D79</f>
        <v>50.208445830477444</v>
      </c>
      <c r="E98" s="137">
        <f>'LCIA_AD-a'!E79</f>
        <v>2.233532130573021E-3</v>
      </c>
      <c r="F98" s="137">
        <f>'LCIA_AD-a'!F79</f>
        <v>6.7665784109800873E-4</v>
      </c>
      <c r="G98" s="137">
        <f>'LCIA_AD-a'!G79</f>
        <v>0</v>
      </c>
      <c r="H98" s="137">
        <f>'LCIA_AD-a'!H79</f>
        <v>0.60973580799889859</v>
      </c>
      <c r="I98" s="137">
        <f>'LCIA_AD-a'!I79</f>
        <v>3.6949989393357403</v>
      </c>
      <c r="J98" s="137">
        <f>'LCIA_AD-a'!J79</f>
        <v>4.6186009409577959</v>
      </c>
      <c r="K98" s="137">
        <f>'LCIA_AD-a'!K79</f>
        <v>6.9512720555747092E-4</v>
      </c>
      <c r="L98" s="137">
        <f>'LCIA_AD-a'!L79</f>
        <v>1.942458870376869E-7</v>
      </c>
      <c r="M98" s="137">
        <f>'LCIA_AD-a'!M79</f>
        <v>3.8380100657011859E-7</v>
      </c>
      <c r="N98" s="137">
        <f>'LCIA_AD-a'!N79</f>
        <v>5.6657274050132662E-6</v>
      </c>
      <c r="O98" s="137">
        <f>'LCIA_AD-a'!O79</f>
        <v>3.7183420096645349E-6</v>
      </c>
      <c r="P98" s="137">
        <f>'LCIA_AD-a'!P79</f>
        <v>8.5161875160376881E-10</v>
      </c>
      <c r="Q98" s="137">
        <f>'LCIA_AD-a'!Q79</f>
        <v>1.8267817106203998E-8</v>
      </c>
      <c r="R98" s="137">
        <f>'LCIA_AD-a'!R79</f>
        <v>0.45858923097265208</v>
      </c>
      <c r="S98" s="137">
        <f>'LCIA_AD-a'!S79</f>
        <v>2.1169218751580945</v>
      </c>
      <c r="T98" s="137">
        <f>'LCIA_AD-a'!T79</f>
        <v>59.997748955132359</v>
      </c>
      <c r="U98" s="137">
        <f>'LCIA_AD-a'!U79</f>
        <v>6.512903340643164</v>
      </c>
      <c r="V98" s="137">
        <f>'LCIA_AD-a'!V79</f>
        <v>5.5248994516897712E-6</v>
      </c>
      <c r="W98" s="137">
        <f>'LCIA_AD-a'!W79</f>
        <v>5.0415105571497885E-6</v>
      </c>
      <c r="X98" s="137">
        <f>'LCIA_AD-a'!X79</f>
        <v>0.13793505238327383</v>
      </c>
      <c r="Y98" s="137">
        <f>'LCIA_AD-a'!Y79</f>
        <v>3.2597639043512518E-8</v>
      </c>
      <c r="Z98" s="137">
        <f>'LCIA_AD-a'!Z79</f>
        <v>3.1864950835333603E-5</v>
      </c>
      <c r="AA98" s="137">
        <f>'LCIA_AD-a'!AA79</f>
        <v>5.398843571083165</v>
      </c>
      <c r="AB98" s="137">
        <f>'LCIA_AD-a'!AB79</f>
        <v>5.2199631202956241E-7</v>
      </c>
      <c r="AC98" s="137">
        <f>'LCIA_AD-a'!AC79</f>
        <v>4.5451283199654604</v>
      </c>
      <c r="AD98" s="137">
        <f>'LCIA_AD-a'!AD79</f>
        <v>0.20166387861508275</v>
      </c>
      <c r="AE98" s="137">
        <f>'LCIA_AD-a'!AE79</f>
        <v>0.18401513533596728</v>
      </c>
      <c r="AF98" s="137">
        <f>'LCIA_AD-a'!AF79</f>
        <v>3.4675862614927488E-3</v>
      </c>
      <c r="AG98" s="137">
        <f>'LCIA_AD-a'!AG79</f>
        <v>304.42307828021836</v>
      </c>
      <c r="AH98" s="137">
        <f>'LCIA_AD-a'!AH79</f>
        <v>2.9767632713422133E-3</v>
      </c>
      <c r="AI98" s="137">
        <f>'LCIA_AD-a'!AI79</f>
        <v>1.9791139375732039E-4</v>
      </c>
      <c r="AJ98" s="137">
        <f>'LCIA_AD-a'!AJ79</f>
        <v>2.4173370759385802E-5</v>
      </c>
      <c r="AK98" s="137">
        <f>'LCIA_AD-a'!AK79</f>
        <v>3.6594922016055208E-3</v>
      </c>
    </row>
    <row r="99" spans="1:37" x14ac:dyDescent="0.35">
      <c r="C99" s="40">
        <f>C55+C86-C92</f>
        <v>-241.5916175921183</v>
      </c>
      <c r="D99" s="40">
        <f t="shared" ref="D99:AK99" si="13">D55+D86-D92</f>
        <v>-65.101914758960604</v>
      </c>
      <c r="E99" s="40">
        <f t="shared" si="13"/>
        <v>-3.255923573878603E-3</v>
      </c>
      <c r="F99" s="40">
        <f t="shared" si="13"/>
        <v>-8.77376634558404E-4</v>
      </c>
      <c r="G99" s="40">
        <f t="shared" si="13"/>
        <v>-9.3007145559818817E-17</v>
      </c>
      <c r="H99" s="40">
        <f t="shared" si="13"/>
        <v>-1.064750697700926</v>
      </c>
      <c r="I99" s="40">
        <f t="shared" si="13"/>
        <v>-7.4810965282393189</v>
      </c>
      <c r="J99" s="40">
        <f t="shared" si="13"/>
        <v>-6.8020009979727805</v>
      </c>
      <c r="K99" s="40">
        <f t="shared" si="13"/>
        <v>-0.21756527695313246</v>
      </c>
      <c r="L99" s="40">
        <f t="shared" si="13"/>
        <v>-5.6796507177374918E-7</v>
      </c>
      <c r="M99" s="40">
        <f t="shared" si="13"/>
        <v>-6.1594875577957008E-6</v>
      </c>
      <c r="N99" s="40">
        <f t="shared" si="13"/>
        <v>-1.6487889297973982E-5</v>
      </c>
      <c r="O99" s="40">
        <f t="shared" si="13"/>
        <v>4.3828545514636862E-6</v>
      </c>
      <c r="P99" s="40">
        <f t="shared" si="13"/>
        <v>7.1989275069336518E-9</v>
      </c>
      <c r="Q99" s="40">
        <f t="shared" si="13"/>
        <v>3.1213892427791585E-7</v>
      </c>
      <c r="R99" s="40">
        <f t="shared" si="13"/>
        <v>-0.14473240437039148</v>
      </c>
      <c r="S99" s="40">
        <f t="shared" si="13"/>
        <v>-4.8698021427556251</v>
      </c>
      <c r="T99" s="40">
        <f t="shared" si="13"/>
        <v>-90.031897773140898</v>
      </c>
      <c r="U99" s="40">
        <f t="shared" si="13"/>
        <v>-9.7731860880445414</v>
      </c>
      <c r="V99" s="40">
        <f t="shared" si="13"/>
        <v>-5.554178180140301E-6</v>
      </c>
      <c r="W99" s="40">
        <f t="shared" si="13"/>
        <v>-1.5980070810324699E-5</v>
      </c>
      <c r="X99" s="40">
        <f t="shared" si="13"/>
        <v>5.2369433105071117</v>
      </c>
      <c r="Y99" s="40">
        <f t="shared" si="13"/>
        <v>-3.895816526318256E-8</v>
      </c>
      <c r="Z99" s="40">
        <f t="shared" si="13"/>
        <v>4.5545116573742763E-6</v>
      </c>
      <c r="AA99" s="40">
        <f t="shared" si="13"/>
        <v>-6.6546577970319101</v>
      </c>
      <c r="AB99" s="40">
        <f t="shared" si="13"/>
        <v>-6.2515793617934318E-7</v>
      </c>
      <c r="AC99" s="40">
        <f t="shared" si="13"/>
        <v>-3.8389774166061148</v>
      </c>
      <c r="AD99" s="40">
        <f t="shared" si="13"/>
        <v>-0.20273992273627772</v>
      </c>
      <c r="AE99" s="40">
        <f t="shared" si="13"/>
        <v>-0.5832725845768516</v>
      </c>
      <c r="AF99" s="40">
        <f t="shared" si="13"/>
        <v>-2.5897905318263449E-3</v>
      </c>
      <c r="AG99" s="40">
        <f t="shared" si="13"/>
        <v>-433.13195787501417</v>
      </c>
      <c r="AH99" s="40">
        <f t="shared" si="13"/>
        <v>-4.2141686353354864E-3</v>
      </c>
      <c r="AI99" s="40">
        <f t="shared" si="13"/>
        <v>-5.4230536735679741E-4</v>
      </c>
      <c r="AJ99" s="40">
        <f t="shared" si="13"/>
        <v>-6.6238474001126257E-5</v>
      </c>
      <c r="AK99" s="40">
        <f t="shared" si="13"/>
        <v>-7.5355813642066167E-3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25" zoomScale="80" zoomScaleNormal="80" workbookViewId="0">
      <selection activeCell="AG31" sqref="AG31"/>
    </sheetView>
  </sheetViews>
  <sheetFormatPr baseColWidth="10" defaultRowHeight="14.5" x14ac:dyDescent="0.35"/>
  <cols>
    <col min="1" max="1" width="25.6328125" customWidth="1"/>
    <col min="2" max="2" width="17.1796875" customWidth="1"/>
    <col min="3" max="6" width="20.6328125" style="33" customWidth="1"/>
    <col min="7" max="20" width="20.6328125" style="33" hidden="1" customWidth="1"/>
    <col min="21" max="21" width="17" hidden="1" customWidth="1"/>
    <col min="22" max="22" width="12.7265625" hidden="1" customWidth="1"/>
    <col min="23" max="24" width="15.7265625" hidden="1" customWidth="1"/>
    <col min="25" max="25" width="15" hidden="1" customWidth="1"/>
    <col min="26" max="26" width="12" hidden="1" customWidth="1"/>
    <col min="27" max="27" width="12.08984375" hidden="1" customWidth="1"/>
    <col min="28" max="28" width="12" hidden="1" customWidth="1"/>
    <col min="29" max="31" width="11.08984375" hidden="1" customWidth="1"/>
    <col min="32" max="32" width="11" hidden="1" customWidth="1"/>
    <col min="33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6.6593045599137257</v>
      </c>
      <c r="D35" s="100">
        <f t="shared" ref="D35:AK35" si="2">SUM(D36:D40)</f>
        <v>4.9404487987673784</v>
      </c>
      <c r="E35" s="100">
        <f t="shared" si="2"/>
        <v>8.974726407464455E-5</v>
      </c>
      <c r="F35" s="100">
        <f t="shared" si="2"/>
        <v>6.6582292340145019E-5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0</v>
      </c>
      <c r="U35" s="100">
        <f t="shared" si="2"/>
        <v>0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20.965010453055651</v>
      </c>
      <c r="AH35" s="100">
        <f t="shared" si="2"/>
        <v>2.2105407326104959E-4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0</v>
      </c>
      <c r="D40" s="95">
        <f>LCI_HC!$E13*'IW+_end'!D26</f>
        <v>0</v>
      </c>
      <c r="E40" s="95">
        <f>LCI_HC!$E13*'IW+_end'!E26</f>
        <v>0</v>
      </c>
      <c r="F40" s="95">
        <f>LCI_HC!$E13*'IW+_end'!F26</f>
        <v>0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0</v>
      </c>
      <c r="U40" s="95">
        <f>LCI_HC!$E13*'IW+_end'!U26</f>
        <v>0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0</v>
      </c>
      <c r="AH40" s="95">
        <f>LCI_HC!$E13*'IW+_end'!AH26</f>
        <v>0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8.4578795137016591</v>
      </c>
      <c r="D41" s="98">
        <f t="shared" ref="D41:AC41" si="3">SUM(D42:D45)</f>
        <v>2.691097990727763</v>
      </c>
      <c r="E41" s="98">
        <f t="shared" si="3"/>
        <v>1.1398660917192577E-4</v>
      </c>
      <c r="F41" s="98">
        <f t="shared" si="3"/>
        <v>3.6267853475035976E-5</v>
      </c>
      <c r="G41" s="98">
        <f t="shared" si="3"/>
        <v>6.4530863470019672E-17</v>
      </c>
      <c r="H41" s="98">
        <f t="shared" si="3"/>
        <v>0.17552132570633577</v>
      </c>
      <c r="I41" s="98">
        <f t="shared" si="3"/>
        <v>1.7715337110247176</v>
      </c>
      <c r="J41" s="98">
        <f t="shared" si="3"/>
        <v>0.37672690633359973</v>
      </c>
      <c r="K41" s="98">
        <f t="shared" si="3"/>
        <v>1.1218819529117264E-2</v>
      </c>
      <c r="L41" s="98">
        <f t="shared" si="3"/>
        <v>9.5723441588878826E-8</v>
      </c>
      <c r="M41" s="98">
        <f t="shared" si="3"/>
        <v>4.4196179466961303E-6</v>
      </c>
      <c r="N41" s="98">
        <f t="shared" si="3"/>
        <v>3.1239656012071348E-6</v>
      </c>
      <c r="O41" s="98">
        <f t="shared" si="3"/>
        <v>3.4274338573719562E-6</v>
      </c>
      <c r="P41" s="98">
        <f t="shared" si="3"/>
        <v>1.6259382855627363E-9</v>
      </c>
      <c r="Q41" s="98">
        <f t="shared" si="3"/>
        <v>3.0349195814302663E-8</v>
      </c>
      <c r="R41" s="98">
        <f t="shared" si="3"/>
        <v>0.31390356620356152</v>
      </c>
      <c r="S41" s="98">
        <f t="shared" si="3"/>
        <v>0.52397710648655849</v>
      </c>
      <c r="T41" s="98">
        <f t="shared" si="3"/>
        <v>2.9530187692675671</v>
      </c>
      <c r="U41" s="98">
        <f t="shared" si="3"/>
        <v>0.32055708896019808</v>
      </c>
      <c r="V41" s="98">
        <f t="shared" si="3"/>
        <v>6.38631110692478E-6</v>
      </c>
      <c r="W41" s="98">
        <f t="shared" si="3"/>
        <v>8.5408203285192309E-6</v>
      </c>
      <c r="X41" s="98">
        <f t="shared" si="3"/>
        <v>4.7636968998092312E-2</v>
      </c>
      <c r="Y41" s="98">
        <f t="shared" si="3"/>
        <v>8.7541366925162953E-10</v>
      </c>
      <c r="Z41" s="98">
        <f t="shared" si="3"/>
        <v>1.4404544735230651E-5</v>
      </c>
      <c r="AA41" s="98">
        <f t="shared" si="3"/>
        <v>0.37770468826147557</v>
      </c>
      <c r="AB41" s="98">
        <f t="shared" si="3"/>
        <v>3.6795299854677756E-8</v>
      </c>
      <c r="AC41" s="98">
        <f t="shared" si="3"/>
        <v>1.4056892040617599</v>
      </c>
      <c r="AD41" s="98">
        <f t="shared" ref="AD41" si="4">SUM(AD42:AD45)</f>
        <v>0.23310168650072483</v>
      </c>
      <c r="AE41" s="98">
        <f t="shared" ref="AE41" si="5">SUM(AE42:AE45)</f>
        <v>0.31173994199095184</v>
      </c>
      <c r="AF41" s="98">
        <f t="shared" ref="AF41" si="6">SUM(AF42:AF45)</f>
        <v>1.6798352243222034E-3</v>
      </c>
      <c r="AG41" s="98">
        <f t="shared" ref="AG41" si="7">SUM(AG42:AG45)</f>
        <v>19.974080413455617</v>
      </c>
      <c r="AH41" s="98">
        <f t="shared" ref="AH41" si="8">SUM(AH42:AH45)</f>
        <v>2.0742574294223382E-4</v>
      </c>
      <c r="AI41" s="98">
        <f t="shared" ref="AI41" si="9">SUM(AI42:AI45)</f>
        <v>2.589762215223435E-4</v>
      </c>
      <c r="AJ41" s="98">
        <f t="shared" ref="AJ41" si="10">SUM(AJ42:AJ45)</f>
        <v>3.1631974803839492E-5</v>
      </c>
      <c r="AK41" s="98">
        <f t="shared" ref="AK41" si="11">SUM(AK42:AK45)</f>
        <v>8.1938549833273267E-4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0</v>
      </c>
      <c r="D45" s="93">
        <f>LCI_HC!$E18*'IW+_end'!D31</f>
        <v>0</v>
      </c>
      <c r="E45" s="93">
        <f>LCI_HC!$E18*'IW+_end'!E31</f>
        <v>0</v>
      </c>
      <c r="F45" s="93">
        <f>LCI_HC!$E18*'IW+_end'!F31</f>
        <v>0</v>
      </c>
      <c r="G45" s="93">
        <f>LCI_HC!$E18*'IW+_end'!G31</f>
        <v>0</v>
      </c>
      <c r="H45" s="93">
        <f>LCI_HC!$E18*'IW+_end'!H31</f>
        <v>0</v>
      </c>
      <c r="I45" s="93">
        <f>LCI_HC!$E18*'IW+_end'!I31</f>
        <v>0</v>
      </c>
      <c r="J45" s="93">
        <f>LCI_HC!$E18*'IW+_end'!J31</f>
        <v>0</v>
      </c>
      <c r="K45" s="93">
        <f>LCI_HC!$E18*'IW+_end'!K31</f>
        <v>0</v>
      </c>
      <c r="L45" s="93">
        <f>LCI_HC!$E18*'IW+_end'!L31</f>
        <v>0</v>
      </c>
      <c r="M45" s="93">
        <f>LCI_HC!$E18*'IW+_end'!M31</f>
        <v>0</v>
      </c>
      <c r="N45" s="93">
        <f>LCI_HC!$E18*'IW+_end'!N31</f>
        <v>0</v>
      </c>
      <c r="O45" s="93">
        <f>LCI_HC!$E18*'IW+_end'!O31</f>
        <v>0</v>
      </c>
      <c r="P45" s="93">
        <f>LCI_HC!$E18*'IW+_end'!P31</f>
        <v>0</v>
      </c>
      <c r="Q45" s="93">
        <f>LCI_HC!$E18*'IW+_end'!Q31</f>
        <v>0</v>
      </c>
      <c r="R45" s="93">
        <f>LCI_HC!$E18*'IW+_end'!R31</f>
        <v>0</v>
      </c>
      <c r="S45" s="93">
        <f>LCI_HC!$E18*'IW+_end'!S31</f>
        <v>0</v>
      </c>
      <c r="T45" s="93">
        <f>LCI_HC!$E18*'IW+_end'!T31</f>
        <v>0</v>
      </c>
      <c r="U45" s="93">
        <f>LCI_HC!$E18*'IW+_end'!U31</f>
        <v>0</v>
      </c>
      <c r="V45" s="93">
        <f>LCI_HC!$E18*'IW+_end'!V31</f>
        <v>0</v>
      </c>
      <c r="W45" s="93">
        <f>LCI_HC!$E18*'IW+_end'!W31</f>
        <v>0</v>
      </c>
      <c r="X45" s="93">
        <f>LCI_HC!$E18*'IW+_end'!X31</f>
        <v>0</v>
      </c>
      <c r="Y45" s="93">
        <f>LCI_HC!$E18*'IW+_end'!Y31</f>
        <v>0</v>
      </c>
      <c r="Z45" s="93">
        <f>LCI_HC!$E18*'IW+_end'!Z31</f>
        <v>0</v>
      </c>
      <c r="AA45" s="93">
        <f>LCI_HC!$E18*'IW+_end'!AA31</f>
        <v>0</v>
      </c>
      <c r="AB45" s="93">
        <f>LCI_HC!$E18*'IW+_end'!AB31</f>
        <v>0</v>
      </c>
      <c r="AC45" s="93">
        <f>LCI_HC!$E18*'IW+_end'!AC31</f>
        <v>0</v>
      </c>
      <c r="AD45" s="93">
        <f>LCI_HC!$E18*'IW+_end'!AD31</f>
        <v>0</v>
      </c>
      <c r="AE45" s="93">
        <f>LCI_HC!$E18*'IW+_end'!AE31</f>
        <v>0</v>
      </c>
      <c r="AF45" s="93">
        <f>LCI_HC!$E18*'IW+_end'!AF31</f>
        <v>0</v>
      </c>
      <c r="AG45" s="93">
        <f>LCI_HC!$E18*'IW+_end'!AG31</f>
        <v>0</v>
      </c>
      <c r="AH45" s="93">
        <f>LCI_HC!$E18*'IW+_end'!AH31</f>
        <v>0</v>
      </c>
      <c r="AI45" s="93">
        <f>LCI_HC!$E18*'IW+_end'!AI31</f>
        <v>0</v>
      </c>
      <c r="AJ45" s="93">
        <f>LCI_HC!$E18*'IW+_end'!AJ31</f>
        <v>0</v>
      </c>
      <c r="AK45" s="93">
        <f>LCI_HC!$E18*'IW+_end'!AK31</f>
        <v>0</v>
      </c>
    </row>
    <row r="46" spans="1:45" x14ac:dyDescent="0.35">
      <c r="AG46" s="149">
        <f>AG30+AG35-AG41</f>
        <v>46.522352528175723</v>
      </c>
      <c r="AH46" s="149">
        <f>AH30+AH35-AH41</f>
        <v>1.6703339373864607E-4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30.512107252796934</v>
      </c>
      <c r="D55" s="105">
        <f t="shared" ref="D55:T55" si="13">SUM(D56:D60)</f>
        <v>35.750237253277092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-8.1278569907775836E-2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0</v>
      </c>
      <c r="D60" s="86">
        <f>LCI_HC!$E13*'IW+_mid'!D26</f>
        <v>0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21.259917950214273</v>
      </c>
      <c r="D61" s="103">
        <f t="shared" ref="D61:T61" si="14">SUM(D62:D65)</f>
        <v>22.992325521765316</v>
      </c>
      <c r="E61" s="103">
        <f t="shared" si="14"/>
        <v>346.93423049087522</v>
      </c>
      <c r="F61" s="103">
        <f t="shared" si="14"/>
        <v>7.368809098169804E-2</v>
      </c>
      <c r="G61" s="103">
        <f t="shared" si="14"/>
        <v>3864.7069335127344</v>
      </c>
      <c r="H61" s="103">
        <f t="shared" si="14"/>
        <v>3.5872469569075234E-3</v>
      </c>
      <c r="I61" s="103">
        <f t="shared" si="14"/>
        <v>3.9263838159000075E-7</v>
      </c>
      <c r="J61" s="103">
        <f t="shared" si="14"/>
        <v>2.4264442439181827E-6</v>
      </c>
      <c r="K61" s="103">
        <f t="shared" si="14"/>
        <v>144.51998006810791</v>
      </c>
      <c r="L61" s="103">
        <f t="shared" si="14"/>
        <v>0.47638339366944171</v>
      </c>
      <c r="M61" s="103">
        <f t="shared" si="14"/>
        <v>3.2653663248487846E-3</v>
      </c>
      <c r="N61" s="103">
        <f t="shared" si="14"/>
        <v>5.4442250283534077E-3</v>
      </c>
      <c r="O61" s="103">
        <f t="shared" si="14"/>
        <v>0.66289730254751511</v>
      </c>
      <c r="P61" s="103">
        <f t="shared" si="14"/>
        <v>6.5329378302360401E-7</v>
      </c>
      <c r="Q61" s="103">
        <f t="shared" si="14"/>
        <v>1.05327286946312E-2</v>
      </c>
      <c r="R61" s="103">
        <f t="shared" si="14"/>
        <v>4.043439544470083E-2</v>
      </c>
      <c r="S61" s="103">
        <f t="shared" si="14"/>
        <v>9.8774422849701213E-2</v>
      </c>
      <c r="T61" s="103">
        <f t="shared" si="14"/>
        <v>32.308594585739812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0</v>
      </c>
      <c r="D65" s="84">
        <f>LCI_HC!$E18*'IW+_mid'!D31</f>
        <v>0</v>
      </c>
      <c r="E65" s="84">
        <f>LCI_HC!$E18*'IW+_mid'!E31</f>
        <v>0</v>
      </c>
      <c r="F65" s="84">
        <f>LCI_HC!$E18*'IW+_mid'!F31</f>
        <v>0</v>
      </c>
      <c r="G65" s="84">
        <f>LCI_HC!$E18*'IW+_mid'!G31</f>
        <v>0</v>
      </c>
      <c r="H65" s="84">
        <f>LCI_HC!$E18*'IW+_mid'!H31</f>
        <v>0</v>
      </c>
      <c r="I65" s="84">
        <f>LCI_HC!$E18*'IW+_mid'!I31</f>
        <v>0</v>
      </c>
      <c r="J65" s="84">
        <f>LCI_HC!$E18*'IW+_mid'!J31</f>
        <v>0</v>
      </c>
      <c r="K65" s="84">
        <f>LCI_HC!$E18*'IW+_mid'!K31</f>
        <v>0</v>
      </c>
      <c r="L65" s="84">
        <f>LCI_HC!$E18*'IW+_mid'!L31</f>
        <v>0</v>
      </c>
      <c r="M65" s="84">
        <f>LCI_HC!$E18*'IW+_mid'!M31</f>
        <v>0</v>
      </c>
      <c r="N65" s="84">
        <f>LCI_HC!$E18*'IW+_mid'!N31</f>
        <v>0</v>
      </c>
      <c r="O65" s="84">
        <f>LCI_HC!$E18*'IW+_mid'!O31</f>
        <v>0</v>
      </c>
      <c r="P65" s="84">
        <f>LCI_HC!$E18*'IW+_mid'!P31</f>
        <v>0</v>
      </c>
      <c r="Q65" s="84">
        <f>LCI_HC!$E18*'IW+_mid'!Q31</f>
        <v>0</v>
      </c>
      <c r="R65" s="84">
        <f>LCI_HC!$E18*'IW+_mid'!R31</f>
        <v>0</v>
      </c>
      <c r="S65" s="84">
        <f>LCI_HC!$E18*'IW+_mid'!S31</f>
        <v>0</v>
      </c>
      <c r="T65" s="84">
        <f>LCI_HC!$E18*'IW+_mid'!T31</f>
        <v>0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35.750237253277092</v>
      </c>
      <c r="D75" s="107">
        <f t="shared" ref="D75:G75" si="16">SUM(D76:D80)</f>
        <v>36.263819957911657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0</v>
      </c>
      <c r="D80" s="77">
        <f>LCI_HC!$E13*'IW+f'!D26</f>
        <v>0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22.992325521765316</v>
      </c>
      <c r="D81" s="107">
        <f t="shared" ref="D81:G81" si="17">SUM(D82:D85)</f>
        <v>3.8663639942022403</v>
      </c>
      <c r="E81" s="107">
        <f t="shared" si="17"/>
        <v>346.93423049087522</v>
      </c>
      <c r="F81" s="107">
        <f t="shared" si="17"/>
        <v>2.2319616448636966E-5</v>
      </c>
      <c r="G81" s="107">
        <f t="shared" si="17"/>
        <v>32.308594585739812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0</v>
      </c>
      <c r="D85" s="76">
        <f>LCI_HC!$E18*'IW+f'!D31</f>
        <v>0</v>
      </c>
      <c r="E85" s="76">
        <f>LCI_HC!$E18*'IW+f'!E31</f>
        <v>0</v>
      </c>
      <c r="F85" s="76">
        <f>LCI_HC!$E18*'IW+f'!F31</f>
        <v>0</v>
      </c>
      <c r="G85" s="76">
        <f>LCI_HC!$E18*'IW+f'!G31</f>
        <v>0</v>
      </c>
    </row>
    <row r="87" spans="1:20" x14ac:dyDescent="0.35">
      <c r="A87" s="78" t="s">
        <v>494</v>
      </c>
      <c r="B87" s="75"/>
      <c r="C87" s="78">
        <f>C70+C75-C81</f>
        <v>47.022432775933304</v>
      </c>
      <c r="D87" s="78">
        <f t="shared" ref="D87:G87" si="18">D70+D75-D81</f>
        <v>66.564954442315539</v>
      </c>
      <c r="E87" s="78">
        <f t="shared" si="18"/>
        <v>-257.4201232590018</v>
      </c>
      <c r="F87" s="78">
        <f t="shared" si="18"/>
        <v>5.8641476305334742E-5</v>
      </c>
      <c r="G87" s="78">
        <f t="shared" si="18"/>
        <v>-30.845388409887875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A46" zoomScale="90" zoomScaleNormal="90" workbookViewId="0">
      <selection activeCell="C40" sqref="C40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114.92457719083653</v>
      </c>
      <c r="E5" s="124">
        <f t="shared" si="0"/>
        <v>1685.6231131897757</v>
      </c>
      <c r="F5" s="124">
        <f t="shared" si="0"/>
        <v>8.996278558339912E-4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19.040938704967669</v>
      </c>
      <c r="D25" s="114">
        <f t="shared" ref="D25:G25" si="6">SUM(D26:D30)</f>
        <v>110.20621816905711</v>
      </c>
      <c r="E25" s="114">
        <f t="shared" si="6"/>
        <v>0</v>
      </c>
      <c r="F25" s="114">
        <f t="shared" si="6"/>
        <v>7.6801640589139021E-4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0</v>
      </c>
      <c r="D30" s="114">
        <f>'LCI_AD-c'!$E32*'IW+f'!D26</f>
        <v>0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157.3297852445136</v>
      </c>
      <c r="D31" s="115">
        <f t="shared" ref="D31:G31" si="7">SUM(D32:D36)</f>
        <v>28.700145743862095</v>
      </c>
      <c r="E31" s="115">
        <f t="shared" si="7"/>
        <v>7249.7754790231447</v>
      </c>
      <c r="F31" s="115">
        <f t="shared" si="7"/>
        <v>1.3941826909440487E-4</v>
      </c>
      <c r="G31" s="115">
        <f t="shared" si="7"/>
        <v>105.43632384793382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37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37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37" x14ac:dyDescent="0.35">
      <c r="A35" s="114"/>
      <c r="B35" s="114" t="s">
        <v>231</v>
      </c>
      <c r="C35" s="114">
        <f>'LCI_AD-c'!$E37*'IW+f'!C31</f>
        <v>0</v>
      </c>
      <c r="D35" s="114">
        <f>'LCI_AD-c'!$E37*'IW+f'!D31</f>
        <v>0</v>
      </c>
      <c r="E35" s="114">
        <f>'LCI_AD-c'!$E37*'IW+f'!E31</f>
        <v>0</v>
      </c>
      <c r="F35" s="114">
        <f>'LCI_AD-c'!$E37*'IW+f'!F31</f>
        <v>0</v>
      </c>
      <c r="G35" s="114">
        <f>'LCI_AD-c'!$E37*'IW+f'!G31</f>
        <v>0</v>
      </c>
    </row>
    <row r="36" spans="1:37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37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37" x14ac:dyDescent="0.35">
      <c r="A38" s="114"/>
      <c r="B38" s="114" t="s">
        <v>415</v>
      </c>
      <c r="C38" s="114">
        <f>'LCI_AD-c'!E40*'IW+f'!C26</f>
        <v>-260.85437171878948</v>
      </c>
      <c r="D38" s="114"/>
      <c r="E38" s="114"/>
      <c r="F38" s="114"/>
      <c r="G38" s="114"/>
    </row>
    <row r="39" spans="1:37" x14ac:dyDescent="0.35">
      <c r="A39" s="114"/>
      <c r="B39" s="114"/>
      <c r="C39" s="114"/>
      <c r="D39" s="114"/>
      <c r="E39" s="114"/>
      <c r="F39" s="114"/>
      <c r="G39" s="114"/>
    </row>
    <row r="40" spans="1:37" x14ac:dyDescent="0.35">
      <c r="A40" s="115" t="s">
        <v>494</v>
      </c>
      <c r="B40" s="114"/>
      <c r="C40" s="115">
        <f>C5+C25-C31+C38</f>
        <v>-233.0779380559818</v>
      </c>
      <c r="D40" s="115">
        <f t="shared" ref="D40:G40" si="8">D5+D25-D31+D38</f>
        <v>196.43064961603153</v>
      </c>
      <c r="E40" s="115">
        <f t="shared" si="8"/>
        <v>-5564.152365833369</v>
      </c>
      <c r="F40" s="115">
        <f t="shared" si="8"/>
        <v>1.5282259926309766E-3</v>
      </c>
      <c r="G40" s="115">
        <f t="shared" si="8"/>
        <v>-71.04097369005612</v>
      </c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SUM(C47:C64)</f>
        <v>18.190307587153317</v>
      </c>
      <c r="D45" s="142">
        <f t="shared" ref="D45:AK45" si="9">SUM(D47:D64)</f>
        <v>15.75783755859195</v>
      </c>
      <c r="E45" s="142">
        <f t="shared" si="9"/>
        <v>2.4515027416682821E-4</v>
      </c>
      <c r="F45" s="142">
        <f t="shared" si="9"/>
        <v>2.1236808039491717E-4</v>
      </c>
      <c r="G45" s="142">
        <f t="shared" si="9"/>
        <v>6.4718763425138693E-17</v>
      </c>
      <c r="H45" s="142">
        <f t="shared" si="9"/>
        <v>0.31222424012600292</v>
      </c>
      <c r="I45" s="142">
        <f t="shared" si="9"/>
        <v>28.411535192575165</v>
      </c>
      <c r="J45" s="142">
        <f t="shared" si="9"/>
        <v>0.88123223303562681</v>
      </c>
      <c r="K45" s="142">
        <f t="shared" si="9"/>
        <v>7.9751582505311735E-3</v>
      </c>
      <c r="L45" s="142">
        <f t="shared" si="9"/>
        <v>3.2163004336023639E-7</v>
      </c>
      <c r="M45" s="142">
        <f t="shared" si="9"/>
        <v>2.8820429760535107E-5</v>
      </c>
      <c r="N45" s="142">
        <f t="shared" si="9"/>
        <v>8.8521471523120091E-6</v>
      </c>
      <c r="O45" s="142">
        <f t="shared" si="9"/>
        <v>3.0282339783109535E-5</v>
      </c>
      <c r="P45" s="142">
        <f t="shared" si="9"/>
        <v>4.6851287394962393E-8</v>
      </c>
      <c r="Q45" s="142">
        <f t="shared" si="9"/>
        <v>1.4166588778886535E-6</v>
      </c>
      <c r="R45" s="142">
        <f t="shared" si="9"/>
        <v>1.736015027009691</v>
      </c>
      <c r="S45" s="142">
        <f t="shared" si="9"/>
        <v>0.8855643742971242</v>
      </c>
      <c r="T45" s="142">
        <f t="shared" si="9"/>
        <v>5.2823482332423861</v>
      </c>
      <c r="U45" s="142">
        <f t="shared" si="9"/>
        <v>0.57341065859223517</v>
      </c>
      <c r="V45" s="142">
        <f t="shared" si="9"/>
        <v>2.064256510618121E-5</v>
      </c>
      <c r="W45" s="142">
        <f t="shared" si="9"/>
        <v>1.2506636988418281E-5</v>
      </c>
      <c r="X45" s="142">
        <f t="shared" si="9"/>
        <v>7.3462838442849648E-2</v>
      </c>
      <c r="Y45" s="142">
        <f t="shared" si="9"/>
        <v>5.6277182336051739E-9</v>
      </c>
      <c r="Z45" s="142">
        <f t="shared" si="9"/>
        <v>7.0947319795791191E-5</v>
      </c>
      <c r="AA45" s="142">
        <f t="shared" si="9"/>
        <v>1.3689462095158278</v>
      </c>
      <c r="AB45" s="142">
        <f t="shared" si="9"/>
        <v>1.3907400704280634E-7</v>
      </c>
      <c r="AC45" s="142">
        <f t="shared" si="9"/>
        <v>2.1427033755630798</v>
      </c>
      <c r="AD45" s="142">
        <f t="shared" si="9"/>
        <v>0.75380003936004902</v>
      </c>
      <c r="AE45" s="142">
        <f t="shared" si="9"/>
        <v>0.45649225007726724</v>
      </c>
      <c r="AF45" s="142">
        <f t="shared" si="9"/>
        <v>2.3574456904904298E-2</v>
      </c>
      <c r="AG45" s="142">
        <f t="shared" si="9"/>
        <v>76.859354005042192</v>
      </c>
      <c r="AH45" s="142">
        <f t="shared" si="9"/>
        <v>6.3197861038764738E-4</v>
      </c>
      <c r="AI45" s="142">
        <f t="shared" si="9"/>
        <v>2.7570304236494323E-4</v>
      </c>
      <c r="AJ45" s="142">
        <f t="shared" si="9"/>
        <v>3.3675028688593824E-5</v>
      </c>
      <c r="AK45" s="142">
        <f t="shared" si="9"/>
        <v>1.6156732084328632E-3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42"/>
      <c r="B47" s="137" t="s">
        <v>249</v>
      </c>
      <c r="C47" s="137">
        <f>'LCIA_AD-a'!C47</f>
        <v>0.29375833601169027</v>
      </c>
      <c r="D47" s="137">
        <f>'LCIA_AD-a'!D47</f>
        <v>8.9990845888640369E-2</v>
      </c>
      <c r="E47" s="137">
        <f>'LCIA_AD-a'!E47</f>
        <v>3.9589730007048797E-6</v>
      </c>
      <c r="F47" s="137">
        <f>'LCIA_AD-a'!F47</f>
        <v>1.2128041505843192E-6</v>
      </c>
      <c r="G47" s="137">
        <f>'LCIA_AD-a'!G47</f>
        <v>9.0040097542142219E-20</v>
      </c>
      <c r="H47" s="137">
        <f>'LCIA_AD-a'!H47</f>
        <v>5.1931114803604956E-3</v>
      </c>
      <c r="I47" s="137">
        <f>'LCIA_AD-a'!I47</f>
        <v>0.24839018720173295</v>
      </c>
      <c r="J47" s="137">
        <f>'LCIA_AD-a'!J47</f>
        <v>1.234083364332369E-2</v>
      </c>
      <c r="K47" s="137">
        <f>'LCIA_AD-a'!K47</f>
        <v>2.1439753416220663E-5</v>
      </c>
      <c r="L47" s="137">
        <f>'LCIA_AD-a'!L47</f>
        <v>8.7015032149142414E-9</v>
      </c>
      <c r="M47" s="137">
        <f>'LCIA_AD-a'!M47</f>
        <v>1.6596905236710246E-7</v>
      </c>
      <c r="N47" s="137">
        <f>'LCIA_AD-a'!N47</f>
        <v>1.9676602640470916E-7</v>
      </c>
      <c r="O47" s="137">
        <f>'LCIA_AD-a'!O47</f>
        <v>1.0474046667854858E-7</v>
      </c>
      <c r="P47" s="137">
        <f>'LCIA_AD-a'!P47</f>
        <v>4.1389310905179983E-9</v>
      </c>
      <c r="Q47" s="137">
        <f>'LCIA_AD-a'!Q47</f>
        <v>1.2763337153218512E-7</v>
      </c>
      <c r="R47" s="137">
        <f>'LCIA_AD-a'!R47</f>
        <v>1.6534106080479432E-2</v>
      </c>
      <c r="S47" s="137">
        <f>'LCIA_AD-a'!S47</f>
        <v>1.1656841267618703E-2</v>
      </c>
      <c r="T47" s="137">
        <f>'LCIA_AD-a'!T47</f>
        <v>0.10249049260823448</v>
      </c>
      <c r="U47" s="137">
        <f>'LCIA_AD-a'!U47</f>
        <v>1.1125576504552512E-2</v>
      </c>
      <c r="V47" s="137">
        <f>'LCIA_AD-a'!V47</f>
        <v>9.6489525909131685E-7</v>
      </c>
      <c r="W47" s="137">
        <f>'LCIA_AD-a'!W47</f>
        <v>2.6554776215088471E-7</v>
      </c>
      <c r="X47" s="137">
        <f>'LCIA_AD-a'!X47</f>
        <v>6.7963986332143073E-4</v>
      </c>
      <c r="Y47" s="137">
        <f>'LCIA_AD-a'!Y47</f>
        <v>4.6233568878889853E-11</v>
      </c>
      <c r="Z47" s="137">
        <f>'LCIA_AD-a'!Z47</f>
        <v>3.7424948947123667E-7</v>
      </c>
      <c r="AA47" s="137">
        <f>'LCIA_AD-a'!AA47</f>
        <v>1.5755418847462184E-2</v>
      </c>
      <c r="AB47" s="137">
        <f>'LCIA_AD-a'!AB47</f>
        <v>1.5662117661554336E-9</v>
      </c>
      <c r="AC47" s="137">
        <f>'LCIA_AD-a'!AC47</f>
        <v>3.4269056902659287E-2</v>
      </c>
      <c r="AD47" s="137">
        <f>'LCIA_AD-a'!AD47</f>
        <v>3.5220034139757453E-2</v>
      </c>
      <c r="AE47" s="137">
        <f>'LCIA_AD-a'!AE47</f>
        <v>9.6924933185072934E-3</v>
      </c>
      <c r="AF47" s="137">
        <f>'LCIA_AD-a'!AF47</f>
        <v>1.9004186679781043E-3</v>
      </c>
      <c r="AG47" s="137">
        <f>'LCIA_AD-a'!AG47</f>
        <v>0.88904487549306932</v>
      </c>
      <c r="AH47" s="137">
        <f>'LCIA_AD-a'!AH47</f>
        <v>7.3843049600713193E-6</v>
      </c>
      <c r="AI47" s="137">
        <f>'LCIA_AD-a'!AI47</f>
        <v>1.0093591977195651E-5</v>
      </c>
      <c r="AJ47" s="137">
        <f>'LCIA_AD-a'!AJ47</f>
        <v>1.2328554537785757E-6</v>
      </c>
      <c r="AK47" s="137">
        <f>'LCIA_AD-a'!AK47</f>
        <v>1.4715139405635514E-5</v>
      </c>
    </row>
    <row r="48" spans="1:37" x14ac:dyDescent="0.35">
      <c r="A48" s="142"/>
      <c r="B48" s="137" t="s">
        <v>250</v>
      </c>
      <c r="C48" s="137">
        <f>'LCIA_AD-a'!C48</f>
        <v>0</v>
      </c>
      <c r="D48" s="137">
        <f>'LCIA_AD-a'!D48</f>
        <v>0</v>
      </c>
      <c r="E48" s="137">
        <f>'LCIA_AD-a'!E48</f>
        <v>0</v>
      </c>
      <c r="F48" s="137">
        <f>'LCIA_AD-a'!F48</f>
        <v>0</v>
      </c>
      <c r="G48" s="137">
        <f>'LCIA_AD-a'!G48</f>
        <v>0</v>
      </c>
      <c r="H48" s="137">
        <f>'LCIA_AD-a'!H48</f>
        <v>0</v>
      </c>
      <c r="I48" s="137">
        <f>'LCIA_AD-a'!I48</f>
        <v>0</v>
      </c>
      <c r="J48" s="137">
        <f>'LCIA_AD-a'!J48</f>
        <v>0</v>
      </c>
      <c r="K48" s="137">
        <f>'LCIA_AD-a'!K48</f>
        <v>0</v>
      </c>
      <c r="L48" s="137">
        <f>'LCIA_AD-a'!L48</f>
        <v>0</v>
      </c>
      <c r="M48" s="137">
        <f>'LCIA_AD-a'!M48</f>
        <v>0</v>
      </c>
      <c r="N48" s="137">
        <f>'LCIA_AD-a'!N48</f>
        <v>0</v>
      </c>
      <c r="O48" s="137">
        <f>'LCIA_AD-a'!O48</f>
        <v>0</v>
      </c>
      <c r="P48" s="137">
        <f>'LCIA_AD-a'!P48</f>
        <v>0</v>
      </c>
      <c r="Q48" s="137">
        <f>'LCIA_AD-a'!Q48</f>
        <v>0</v>
      </c>
      <c r="R48" s="137">
        <f>'LCIA_AD-a'!R48</f>
        <v>0</v>
      </c>
      <c r="S48" s="137">
        <f>'LCIA_AD-a'!S48</f>
        <v>0</v>
      </c>
      <c r="T48" s="137">
        <f>'LCIA_AD-a'!T48</f>
        <v>0</v>
      </c>
      <c r="U48" s="137">
        <f>'LCIA_AD-a'!U48</f>
        <v>0</v>
      </c>
      <c r="V48" s="137">
        <f>'LCIA_AD-a'!V48</f>
        <v>0</v>
      </c>
      <c r="W48" s="137">
        <f>'LCIA_AD-a'!W48</f>
        <v>0</v>
      </c>
      <c r="X48" s="137">
        <f>'LCIA_AD-a'!X48</f>
        <v>0</v>
      </c>
      <c r="Y48" s="137">
        <f>'LCIA_AD-a'!Y48</f>
        <v>0</v>
      </c>
      <c r="Z48" s="137">
        <f>'LCIA_AD-a'!Z48</f>
        <v>0</v>
      </c>
      <c r="AA48" s="137">
        <f>'LCIA_AD-a'!AA48</f>
        <v>0</v>
      </c>
      <c r="AB48" s="137">
        <f>'LCIA_AD-a'!AB48</f>
        <v>0</v>
      </c>
      <c r="AC48" s="137">
        <f>'LCIA_AD-a'!AC48</f>
        <v>0</v>
      </c>
      <c r="AD48" s="137">
        <f>'LCIA_AD-a'!AD48</f>
        <v>0</v>
      </c>
      <c r="AE48" s="137">
        <f>'LCIA_AD-a'!AE48</f>
        <v>0</v>
      </c>
      <c r="AF48" s="137">
        <f>'LCIA_AD-a'!AF48</f>
        <v>0</v>
      </c>
      <c r="AG48" s="137">
        <f>'LCIA_AD-a'!AG48</f>
        <v>0</v>
      </c>
      <c r="AH48" s="137">
        <f>'LCIA_AD-a'!AH48</f>
        <v>0</v>
      </c>
      <c r="AI48" s="137">
        <f>'LCIA_AD-a'!AI48</f>
        <v>0</v>
      </c>
      <c r="AJ48" s="137">
        <f>'LCIA_AD-a'!AJ48</f>
        <v>0</v>
      </c>
      <c r="AK48" s="137">
        <f>'LCIA_AD-a'!AK48</f>
        <v>0</v>
      </c>
    </row>
    <row r="49" spans="1:37" x14ac:dyDescent="0.35">
      <c r="A49" s="142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7" x14ac:dyDescent="0.35">
      <c r="A50" s="142"/>
      <c r="B50" s="137" t="s">
        <v>286</v>
      </c>
      <c r="C50" s="137">
        <f>'LCIA_AD-a'!C50</f>
        <v>0.1642293381452089</v>
      </c>
      <c r="D50" s="137">
        <f>'LCIA_AD-a'!D50</f>
        <v>5.0160114465116465E-2</v>
      </c>
      <c r="E50" s="137">
        <f>'LCIA_AD-a'!E50</f>
        <v>2.2133142652831479E-6</v>
      </c>
      <c r="F50" s="137">
        <f>'LCIA_AD-a'!F50</f>
        <v>6.7600648061868024E-7</v>
      </c>
      <c r="G50" s="137">
        <f>'LCIA_AD-a'!G50</f>
        <v>3.4259653114390555E-19</v>
      </c>
      <c r="H50" s="137">
        <f>'LCIA_AD-a'!H50</f>
        <v>1.9088748614477355E-3</v>
      </c>
      <c r="I50" s="137">
        <f>'LCIA_AD-a'!I50</f>
        <v>2.1165975185515697E-2</v>
      </c>
      <c r="J50" s="137">
        <f>'LCIA_AD-a'!J50</f>
        <v>7.7842440064621963E-3</v>
      </c>
      <c r="K50" s="137">
        <f>'LCIA_AD-a'!K50</f>
        <v>1.2090234903629117E-5</v>
      </c>
      <c r="L50" s="137">
        <f>'LCIA_AD-a'!L50</f>
        <v>1.3807900143766815E-9</v>
      </c>
      <c r="M50" s="137">
        <f>'LCIA_AD-a'!M50</f>
        <v>7.8521018154124293E-8</v>
      </c>
      <c r="N50" s="137">
        <f>'LCIA_AD-a'!N50</f>
        <v>5.1916740498462542E-8</v>
      </c>
      <c r="O50" s="137">
        <f>'LCIA_AD-a'!O50</f>
        <v>3.4957298081958831E-8</v>
      </c>
      <c r="P50" s="137">
        <f>'LCIA_AD-a'!P50</f>
        <v>1.6087202212299374E-11</v>
      </c>
      <c r="Q50" s="137">
        <f>'LCIA_AD-a'!Q50</f>
        <v>1.9821700798180701E-10</v>
      </c>
      <c r="R50" s="137">
        <f>'LCIA_AD-a'!R50</f>
        <v>9.3882236600461508E-3</v>
      </c>
      <c r="S50" s="137">
        <f>'LCIA_AD-a'!S50</f>
        <v>1.0847515163367839E-2</v>
      </c>
      <c r="T50" s="137">
        <f>'LCIA_AD-a'!T50</f>
        <v>5.9340583237830792E-2</v>
      </c>
      <c r="U50" s="137">
        <f>'LCIA_AD-a'!U50</f>
        <v>6.4415394809225063E-3</v>
      </c>
      <c r="V50" s="137">
        <f>'LCIA_AD-a'!V50</f>
        <v>2.2361093064658549E-8</v>
      </c>
      <c r="W50" s="137">
        <f>'LCIA_AD-a'!W50</f>
        <v>1.8378519819012135E-8</v>
      </c>
      <c r="X50" s="137">
        <f>'LCIA_AD-a'!X50</f>
        <v>4.9087972213900696E-4</v>
      </c>
      <c r="Y50" s="137">
        <f>'LCIA_AD-a'!Y50</f>
        <v>1.4130656214684504E-11</v>
      </c>
      <c r="Z50" s="137">
        <f>'LCIA_AD-a'!Z50</f>
        <v>2.3089230034193365E-7</v>
      </c>
      <c r="AA50" s="137">
        <f>'LCIA_AD-a'!AA50</f>
        <v>1.24610140420619E-2</v>
      </c>
      <c r="AB50" s="137">
        <f>'LCIA_AD-a'!AB50</f>
        <v>1.2166988717580699E-9</v>
      </c>
      <c r="AC50" s="137">
        <f>'LCIA_AD-a'!AC50</f>
        <v>1.357355809150523E-2</v>
      </c>
      <c r="AD50" s="137">
        <f>'LCIA_AD-a'!AD50</f>
        <v>8.1619861313748173E-4</v>
      </c>
      <c r="AE50" s="137">
        <f>'LCIA_AD-a'!AE50</f>
        <v>6.7081597339394266E-4</v>
      </c>
      <c r="AF50" s="137">
        <f>'LCIA_AD-a'!AF50</f>
        <v>1.5428172135718716E-5</v>
      </c>
      <c r="AG50" s="137">
        <f>'LCIA_AD-a'!AG50</f>
        <v>0.35931316945148462</v>
      </c>
      <c r="AH50" s="137">
        <f>'LCIA_AD-a'!AH50</f>
        <v>3.3268199102587953E-6</v>
      </c>
      <c r="AI50" s="137">
        <f>'LCIA_AD-a'!AI50</f>
        <v>3.14403300469906E-7</v>
      </c>
      <c r="AJ50" s="137">
        <f>'LCIA_AD-a'!AJ50</f>
        <v>3.8401970730154165E-8</v>
      </c>
      <c r="AK50" s="137">
        <f>'LCIA_AD-a'!AK50</f>
        <v>6.4212372885133327E-6</v>
      </c>
    </row>
    <row r="51" spans="1:37" x14ac:dyDescent="0.35">
      <c r="A51" s="142"/>
      <c r="B51" s="137" t="s">
        <v>235</v>
      </c>
      <c r="C51" s="137">
        <f>'LCIA_AD-a'!C51</f>
        <v>2.8461745710597834</v>
      </c>
      <c r="D51" s="137">
        <f>'LCIA_AD-a'!D51</f>
        <v>1.1214611679069222</v>
      </c>
      <c r="E51" s="137">
        <f>'LCIA_AD-a'!E51</f>
        <v>3.8357816275450525E-5</v>
      </c>
      <c r="F51" s="137">
        <f>'LCIA_AD-a'!F51</f>
        <v>1.5113901261020833E-5</v>
      </c>
      <c r="G51" s="137">
        <f>'LCIA_AD-a'!G51</f>
        <v>1.3417014761931066E-18</v>
      </c>
      <c r="H51" s="137">
        <f>'LCIA_AD-a'!H51</f>
        <v>7.0661974280644954E-2</v>
      </c>
      <c r="I51" s="137">
        <f>'LCIA_AD-a'!I51</f>
        <v>0.93416719125512804</v>
      </c>
      <c r="J51" s="137">
        <f>'LCIA_AD-a'!J51</f>
        <v>0.11947233209536294</v>
      </c>
      <c r="K51" s="137">
        <f>'LCIA_AD-a'!K51</f>
        <v>5.8252778621848689E-3</v>
      </c>
      <c r="L51" s="137">
        <f>'LCIA_AD-a'!L51</f>
        <v>7.543227881230801E-8</v>
      </c>
      <c r="M51" s="137">
        <f>'LCIA_AD-a'!M51</f>
        <v>9.2358423028085057E-6</v>
      </c>
      <c r="N51" s="137">
        <f>'LCIA_AD-a'!N51</f>
        <v>2.0141902382323624E-6</v>
      </c>
      <c r="O51" s="137">
        <f>'LCIA_AD-a'!O51</f>
        <v>2.073338334217323E-5</v>
      </c>
      <c r="P51" s="137">
        <f>'LCIA_AD-a'!P51</f>
        <v>1.6721138820675336E-10</v>
      </c>
      <c r="Q51" s="137">
        <f>'LCIA_AD-a'!Q51</f>
        <v>2.5414819458518307E-9</v>
      </c>
      <c r="R51" s="137">
        <f>'LCIA_AD-a'!R51</f>
        <v>0.10325709629067527</v>
      </c>
      <c r="S51" s="137">
        <f>'LCIA_AD-a'!S51</f>
        <v>0.20192306813671582</v>
      </c>
      <c r="T51" s="137">
        <f>'LCIA_AD-a'!T51</f>
        <v>0.81381304343515604</v>
      </c>
      <c r="U51" s="137">
        <f>'LCIA_AD-a'!U51</f>
        <v>8.8340903369667073E-2</v>
      </c>
      <c r="V51" s="137">
        <f>'LCIA_AD-a'!V51</f>
        <v>4.1790110398157114E-7</v>
      </c>
      <c r="W51" s="137">
        <f>'LCIA_AD-a'!W51</f>
        <v>9.1166986820938597E-7</v>
      </c>
      <c r="X51" s="137">
        <f>'LCIA_AD-a'!X51</f>
        <v>3.6914893888666471E-2</v>
      </c>
      <c r="Y51" s="137">
        <f>'LCIA_AD-a'!Y51</f>
        <v>3.4271490621614475E-10</v>
      </c>
      <c r="Z51" s="137">
        <f>'LCIA_AD-a'!Z51</f>
        <v>8.8111435597395313E-6</v>
      </c>
      <c r="AA51" s="137">
        <f>'LCIA_AD-a'!AA51</f>
        <v>0.52310036021523809</v>
      </c>
      <c r="AB51" s="137">
        <f>'LCIA_AD-a'!AB51</f>
        <v>5.3982752056258097E-8</v>
      </c>
      <c r="AC51" s="137">
        <f>'LCIA_AD-a'!AC51</f>
        <v>0.52930584039175488</v>
      </c>
      <c r="AD51" s="137">
        <f>'LCIA_AD-a'!AD51</f>
        <v>1.5262636374080941E-2</v>
      </c>
      <c r="AE51" s="137">
        <f>'LCIA_AD-a'!AE51</f>
        <v>3.3275950189642592E-2</v>
      </c>
      <c r="AF51" s="137">
        <f>'LCIA_AD-a'!AF51</f>
        <v>3.8173633035694057E-4</v>
      </c>
      <c r="AG51" s="137">
        <f>'LCIA_AD-a'!AG51</f>
        <v>7.4436332210323055</v>
      </c>
      <c r="AH51" s="137">
        <f>'LCIA_AD-a'!AH51</f>
        <v>1.04168902179637E-4</v>
      </c>
      <c r="AI51" s="137">
        <f>'LCIA_AD-a'!AI51</f>
        <v>7.999127841649449E-5</v>
      </c>
      <c r="AJ51" s="137">
        <f>'LCIA_AD-a'!AJ51</f>
        <v>9.7703259724914291E-6</v>
      </c>
      <c r="AK51" s="137">
        <f>'LCIA_AD-a'!AK51</f>
        <v>2.1385693372968594E-4</v>
      </c>
    </row>
    <row r="52" spans="1:37" x14ac:dyDescent="0.35">
      <c r="A52" s="142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7" x14ac:dyDescent="0.35">
      <c r="A53" s="142"/>
      <c r="B53" s="137" t="s">
        <v>8</v>
      </c>
      <c r="C53" s="137">
        <f>'LCIA_AD-a'!C53</f>
        <v>0.65727691815040523</v>
      </c>
      <c r="D53" s="137">
        <f>'LCIA_AD-a'!D53</f>
        <v>0.20135226339612622</v>
      </c>
      <c r="E53" s="137">
        <f>'LCIA_AD-a'!E53</f>
        <v>8.8581029164068104E-6</v>
      </c>
      <c r="F53" s="137">
        <f>'LCIA_AD-a'!F53</f>
        <v>2.7136189060669185E-6</v>
      </c>
      <c r="G53" s="137">
        <f>'LCIA_AD-a'!G53</f>
        <v>2.0146246273707774E-19</v>
      </c>
      <c r="H53" s="137">
        <f>'LCIA_AD-a'!H53</f>
        <v>1.1619456849343674E-2</v>
      </c>
      <c r="I53" s="137">
        <f>'LCIA_AD-a'!I53</f>
        <v>0.55576682166479929</v>
      </c>
      <c r="J53" s="137">
        <f>'LCIA_AD-a'!J53</f>
        <v>2.7612306137817434E-2</v>
      </c>
      <c r="K53" s="137">
        <f>'LCIA_AD-a'!K53</f>
        <v>4.7970911200822386E-5</v>
      </c>
      <c r="L53" s="137">
        <f>'LCIA_AD-a'!L53</f>
        <v>1.9469395469843191E-8</v>
      </c>
      <c r="M53" s="137">
        <f>'LCIA_AD-a'!M53</f>
        <v>3.7135159712999983E-7</v>
      </c>
      <c r="N53" s="137">
        <f>'LCIA_AD-a'!N53</f>
        <v>4.4025905507185927E-7</v>
      </c>
      <c r="O53" s="137">
        <f>'LCIA_AD-a'!O53</f>
        <v>2.3435417043406713E-7</v>
      </c>
      <c r="P53" s="137">
        <f>'LCIA_AD-a'!P53</f>
        <v>9.2607546343954807E-9</v>
      </c>
      <c r="Q53" s="137">
        <f>'LCIA_AD-a'!Q53</f>
        <v>2.8557647157451842E-7</v>
      </c>
      <c r="R53" s="137">
        <f>'LCIA_AD-a'!R53</f>
        <v>3.6994648174058696E-2</v>
      </c>
      <c r="S53" s="137">
        <f>'LCIA_AD-a'!S53</f>
        <v>2.6081890331255075E-2</v>
      </c>
      <c r="T53" s="137">
        <f>'LCIA_AD-a'!T53</f>
        <v>0.22931990981381525</v>
      </c>
      <c r="U53" s="137">
        <f>'LCIA_AD-a'!U53</f>
        <v>2.4893198732130022E-2</v>
      </c>
      <c r="V53" s="137">
        <f>'LCIA_AD-a'!V53</f>
        <v>2.1589289714938985E-6</v>
      </c>
      <c r="W53" s="137">
        <f>'LCIA_AD-a'!W53</f>
        <v>5.9415646581455464E-7</v>
      </c>
      <c r="X53" s="137">
        <f>'LCIA_AD-a'!X53</f>
        <v>1.5206771691350248E-3</v>
      </c>
      <c r="Y53" s="137">
        <f>'LCIA_AD-a'!Y53</f>
        <v>1.0344645221098301E-10</v>
      </c>
      <c r="Z53" s="137">
        <f>'LCIA_AD-a'!Z53</f>
        <v>8.3737385770468086E-7</v>
      </c>
      <c r="AA53" s="137">
        <f>'LCIA_AD-a'!AA53</f>
        <v>3.5252354996375815E-2</v>
      </c>
      <c r="AB53" s="137">
        <f>'LCIA_AD-a'!AB53</f>
        <v>3.5043595930111055E-9</v>
      </c>
      <c r="AC53" s="137">
        <f>'LCIA_AD-a'!AC53</f>
        <v>7.6676156376390969E-2</v>
      </c>
      <c r="AD53" s="137">
        <f>'LCIA_AD-a'!AD53</f>
        <v>7.8803944122323041E-2</v>
      </c>
      <c r="AE53" s="137">
        <f>'LCIA_AD-a'!AE53</f>
        <v>2.1686711002231247E-2</v>
      </c>
      <c r="AF53" s="137">
        <f>'LCIA_AD-a'!AF53</f>
        <v>4.2521391639229527E-3</v>
      </c>
      <c r="AG53" s="137">
        <f>'LCIA_AD-a'!AG53</f>
        <v>1.9892156382525288</v>
      </c>
      <c r="AH53" s="137">
        <f>'LCIA_AD-a'!AH53</f>
        <v>1.6522197370580419E-5</v>
      </c>
      <c r="AI53" s="137">
        <f>'LCIA_AD-a'!AI53</f>
        <v>2.258415920348486E-5</v>
      </c>
      <c r="AJ53" s="137">
        <f>'LCIA_AD-a'!AJ53</f>
        <v>2.7584831946769133E-6</v>
      </c>
      <c r="AK53" s="137">
        <f>'LCIA_AD-a'!AK53</f>
        <v>3.2924755804392892E-5</v>
      </c>
    </row>
    <row r="54" spans="1:37" x14ac:dyDescent="0.35">
      <c r="A54" s="142"/>
      <c r="B54" s="137" t="s">
        <v>18</v>
      </c>
      <c r="C54" s="137">
        <f>'LCIA_AD-a'!C54</f>
        <v>3.6111027769612272</v>
      </c>
      <c r="D54" s="137">
        <f>'LCIA_AD-a'!D54</f>
        <v>1.116041950307709</v>
      </c>
      <c r="E54" s="137">
        <f>'LCIA_AD-a'!E54</f>
        <v>4.8666732630834991E-5</v>
      </c>
      <c r="F54" s="137">
        <f>'LCIA_AD-a'!F54</f>
        <v>1.5040866614748277E-5</v>
      </c>
      <c r="G54" s="137">
        <f>'LCIA_AD-a'!G54</f>
        <v>2.7159126165986591E-17</v>
      </c>
      <c r="H54" s="137">
        <f>'LCIA_AD-a'!H54</f>
        <v>3.9384429899939365E-2</v>
      </c>
      <c r="I54" s="137">
        <f>'LCIA_AD-a'!I54</f>
        <v>1.1164091774138278</v>
      </c>
      <c r="J54" s="137">
        <f>'LCIA_AD-a'!J54</f>
        <v>0.14465944541327941</v>
      </c>
      <c r="K54" s="137">
        <f>'LCIA_AD-a'!K54</f>
        <v>5.9732092169600232E-4</v>
      </c>
      <c r="L54" s="137">
        <f>'LCIA_AD-a'!L54</f>
        <v>2.4810764281290643E-8</v>
      </c>
      <c r="M54" s="137">
        <f>'LCIA_AD-a'!M54</f>
        <v>9.5025968432804083E-7</v>
      </c>
      <c r="N54" s="137">
        <f>'LCIA_AD-a'!N54</f>
        <v>8.8695954394508445E-7</v>
      </c>
      <c r="O54" s="137">
        <f>'LCIA_AD-a'!O54</f>
        <v>6.3949866864703821E-7</v>
      </c>
      <c r="P54" s="137">
        <f>'LCIA_AD-a'!P54</f>
        <v>3.4244674996023721E-10</v>
      </c>
      <c r="Q54" s="137">
        <f>'LCIA_AD-a'!Q54</f>
        <v>5.640495591874525E-9</v>
      </c>
      <c r="R54" s="137">
        <f>'LCIA_AD-a'!R54</f>
        <v>1.2522888650153385</v>
      </c>
      <c r="S54" s="137">
        <f>'LCIA_AD-a'!S54</f>
        <v>0.22236732164114079</v>
      </c>
      <c r="T54" s="137">
        <f>'LCIA_AD-a'!T54</f>
        <v>1.2993103391764373</v>
      </c>
      <c r="U54" s="137">
        <f>'LCIA_AD-a'!U54</f>
        <v>0.1410432154146555</v>
      </c>
      <c r="V54" s="137">
        <f>'LCIA_AD-a'!V54</f>
        <v>4.8995566111538829E-6</v>
      </c>
      <c r="W54" s="137">
        <f>'LCIA_AD-a'!W54</f>
        <v>3.1636932996387812E-6</v>
      </c>
      <c r="X54" s="137">
        <f>'LCIA_AD-a'!X54</f>
        <v>8.7941767587420248E-3</v>
      </c>
      <c r="Y54" s="137">
        <f>'LCIA_AD-a'!Y54</f>
        <v>5.5520031014139023E-10</v>
      </c>
      <c r="Z54" s="137">
        <f>'LCIA_AD-a'!Z54</f>
        <v>4.2239854117750112E-5</v>
      </c>
      <c r="AA54" s="137">
        <f>'LCIA_AD-a'!AA54</f>
        <v>0.30103279985134818</v>
      </c>
      <c r="AB54" s="137">
        <f>'LCIA_AD-a'!AB54</f>
        <v>3.0275729153819333E-8</v>
      </c>
      <c r="AC54" s="137">
        <f>'LCIA_AD-a'!AC54</f>
        <v>0.29460585077001711</v>
      </c>
      <c r="AD54" s="137">
        <f>'LCIA_AD-a'!AD54</f>
        <v>0.17883454948602154</v>
      </c>
      <c r="AE54" s="137">
        <f>'LCIA_AD-a'!AE54</f>
        <v>0.11547480543681553</v>
      </c>
      <c r="AF54" s="137">
        <f>'LCIA_AD-a'!AF54</f>
        <v>4.3393968358153263E-4</v>
      </c>
      <c r="AG54" s="137">
        <f>'LCIA_AD-a'!AG54</f>
        <v>9.8425377317128095</v>
      </c>
      <c r="AH54" s="137">
        <f>'LCIA_AD-a'!AH54</f>
        <v>1.0994280141975609E-4</v>
      </c>
      <c r="AI54" s="137">
        <f>'LCIA_AD-a'!AI54</f>
        <v>1.1931549424189578E-5</v>
      </c>
      <c r="AJ54" s="137">
        <f>'LCIA_AD-a'!AJ54</f>
        <v>1.4573479701655237E-6</v>
      </c>
      <c r="AK54" s="137">
        <f>'LCIA_AD-a'!AK54</f>
        <v>1.367724192572127E-4</v>
      </c>
    </row>
    <row r="55" spans="1:37" x14ac:dyDescent="0.35">
      <c r="A55" s="142"/>
      <c r="B55" s="137" t="s">
        <v>96</v>
      </c>
      <c r="C55" s="137">
        <f>'LCIA_AD-a'!C55</f>
        <v>0.93797856177034611</v>
      </c>
      <c r="D55" s="137">
        <f>'LCIA_AD-a'!D55</f>
        <v>3.5623702451876329</v>
      </c>
      <c r="E55" s="137">
        <f>'LCIA_AD-a'!E55</f>
        <v>1.2641111233490304E-5</v>
      </c>
      <c r="F55" s="137">
        <f>'LCIA_AD-a'!F55</f>
        <v>4.801001102781587E-5</v>
      </c>
      <c r="G55" s="137">
        <f>'LCIA_AD-a'!G55</f>
        <v>0</v>
      </c>
      <c r="H55" s="137">
        <f>'LCIA_AD-a'!H55</f>
        <v>0</v>
      </c>
      <c r="I55" s="137">
        <f>'LCIA_AD-a'!I55</f>
        <v>0</v>
      </c>
      <c r="J55" s="137">
        <f>'LCIA_AD-a'!J55</f>
        <v>0</v>
      </c>
      <c r="K55" s="137">
        <f>'LCIA_AD-a'!K55</f>
        <v>0</v>
      </c>
      <c r="L55" s="137">
        <f>'LCIA_AD-a'!L55</f>
        <v>0</v>
      </c>
      <c r="M55" s="137">
        <f>'LCIA_AD-a'!M55</f>
        <v>0</v>
      </c>
      <c r="N55" s="137">
        <f>'LCIA_AD-a'!N55</f>
        <v>0</v>
      </c>
      <c r="O55" s="137">
        <f>'LCIA_AD-a'!O55</f>
        <v>0</v>
      </c>
      <c r="P55" s="137">
        <f>'LCIA_AD-a'!P55</f>
        <v>0</v>
      </c>
      <c r="Q55" s="137">
        <f>'LCIA_AD-a'!Q55</f>
        <v>0</v>
      </c>
      <c r="R55" s="137">
        <f>'LCIA_AD-a'!R55</f>
        <v>0</v>
      </c>
      <c r="S55" s="137">
        <f>'LCIA_AD-a'!S55</f>
        <v>0</v>
      </c>
      <c r="T55" s="137">
        <f>'LCIA_AD-a'!T55</f>
        <v>0</v>
      </c>
      <c r="U55" s="137">
        <f>'LCIA_AD-a'!U55</f>
        <v>0</v>
      </c>
      <c r="V55" s="137">
        <f>'LCIA_AD-a'!V55</f>
        <v>0</v>
      </c>
      <c r="W55" s="137">
        <f>'LCIA_AD-a'!W55</f>
        <v>0</v>
      </c>
      <c r="X55" s="137">
        <f>'LCIA_AD-a'!X55</f>
        <v>0</v>
      </c>
      <c r="Y55" s="137">
        <f>'LCIA_AD-a'!Y55</f>
        <v>0</v>
      </c>
      <c r="Z55" s="137">
        <f>'LCIA_AD-a'!Z55</f>
        <v>0</v>
      </c>
      <c r="AA55" s="137">
        <f>'LCIA_AD-a'!AA55</f>
        <v>0</v>
      </c>
      <c r="AB55" s="137">
        <f>'LCIA_AD-a'!AB55</f>
        <v>0</v>
      </c>
      <c r="AC55" s="137">
        <f>'LCIA_AD-a'!AC55</f>
        <v>0</v>
      </c>
      <c r="AD55" s="137">
        <f>'LCIA_AD-a'!AD55</f>
        <v>0</v>
      </c>
      <c r="AE55" s="137">
        <f>'LCIA_AD-a'!AE55</f>
        <v>0</v>
      </c>
      <c r="AF55" s="137">
        <f>'LCIA_AD-a'!AF55</f>
        <v>0</v>
      </c>
      <c r="AG55" s="137">
        <f>'LCIA_AD-a'!AG55</f>
        <v>4.5003488069579793</v>
      </c>
      <c r="AH55" s="137">
        <f>'LCIA_AD-a'!AH55</f>
        <v>6.0651122260989241E-5</v>
      </c>
      <c r="AI55" s="137">
        <f>'LCIA_AD-a'!AI55</f>
        <v>0</v>
      </c>
      <c r="AJ55" s="137">
        <f>'LCIA_AD-a'!AJ55</f>
        <v>0</v>
      </c>
      <c r="AK55" s="137">
        <f>'LCIA_AD-a'!AK55</f>
        <v>0</v>
      </c>
    </row>
    <row r="56" spans="1:37" x14ac:dyDescent="0.35">
      <c r="A56" s="142" t="s">
        <v>126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7" x14ac:dyDescent="0.35">
      <c r="A57" s="142"/>
      <c r="B57" s="137" t="s">
        <v>96</v>
      </c>
      <c r="C57" s="137">
        <f>'LCI_AD-c'!$E17*'IW+_end'!C12</f>
        <v>1.0794549645807459</v>
      </c>
      <c r="D57" s="137">
        <f>'LCI_AD-c'!$E17*'IW+_end'!D12</f>
        <v>4.0996867130786603</v>
      </c>
      <c r="E57" s="137">
        <f>'LCI_AD-c'!$E17*'IW+_end'!E12</f>
        <v>1.454778481616246E-5</v>
      </c>
      <c r="F57" s="137">
        <f>'LCI_AD-c'!$E17*'IW+_end'!F12</f>
        <v>5.5251417106738624E-5</v>
      </c>
      <c r="G57" s="137">
        <f>'LCI_AD-c'!$E17*'IW+_end'!G12</f>
        <v>0</v>
      </c>
      <c r="H57" s="137">
        <f>'LCI_AD-c'!$E17*'IW+_end'!H12</f>
        <v>0</v>
      </c>
      <c r="I57" s="137">
        <f>'LCI_AD-c'!$E17*'IW+_end'!I12</f>
        <v>0</v>
      </c>
      <c r="J57" s="137">
        <f>'LCI_AD-c'!$E17*'IW+_end'!J12</f>
        <v>0</v>
      </c>
      <c r="K57" s="137">
        <f>'LCI_AD-c'!$E17*'IW+_end'!K12</f>
        <v>0</v>
      </c>
      <c r="L57" s="137">
        <f>'LCI_AD-c'!$E17*'IW+_end'!L12</f>
        <v>0</v>
      </c>
      <c r="M57" s="137">
        <f>'LCI_AD-c'!$E17*'IW+_end'!M12</f>
        <v>0</v>
      </c>
      <c r="N57" s="137">
        <f>'LCI_AD-c'!$E17*'IW+_end'!N12</f>
        <v>0</v>
      </c>
      <c r="O57" s="137">
        <f>'LCI_AD-c'!$E17*'IW+_end'!O12</f>
        <v>0</v>
      </c>
      <c r="P57" s="137">
        <f>'LCI_AD-c'!$E17*'IW+_end'!P12</f>
        <v>0</v>
      </c>
      <c r="Q57" s="137">
        <f>'LCI_AD-c'!$E17*'IW+_end'!Q12</f>
        <v>0</v>
      </c>
      <c r="R57" s="137">
        <f>'LCI_AD-c'!$E17*'IW+_end'!R12</f>
        <v>0</v>
      </c>
      <c r="S57" s="137">
        <f>'LCI_AD-c'!$E17*'IW+_end'!S12</f>
        <v>0</v>
      </c>
      <c r="T57" s="137">
        <f>'LCI_AD-c'!$E17*'IW+_end'!T12</f>
        <v>0</v>
      </c>
      <c r="U57" s="137">
        <f>'LCI_AD-c'!$E17*'IW+_end'!U12</f>
        <v>0</v>
      </c>
      <c r="V57" s="137">
        <f>'LCI_AD-c'!$E17*'IW+_end'!V12</f>
        <v>0</v>
      </c>
      <c r="W57" s="137">
        <f>'LCI_AD-c'!$E17*'IW+_end'!W12</f>
        <v>0</v>
      </c>
      <c r="X57" s="137">
        <f>'LCI_AD-c'!$E17*'IW+_end'!X12</f>
        <v>0</v>
      </c>
      <c r="Y57" s="137">
        <f>'LCI_AD-c'!$E17*'IW+_end'!Y12</f>
        <v>0</v>
      </c>
      <c r="Z57" s="137">
        <f>'LCI_AD-c'!$E17*'IW+_end'!Z12</f>
        <v>0</v>
      </c>
      <c r="AA57" s="137">
        <f>'LCI_AD-c'!$E17*'IW+_end'!AA12</f>
        <v>0</v>
      </c>
      <c r="AB57" s="137">
        <f>'LCI_AD-c'!$E17*'IW+_end'!AB12</f>
        <v>0</v>
      </c>
      <c r="AC57" s="137">
        <f>'LCI_AD-c'!$E17*'IW+_end'!AC12</f>
        <v>0</v>
      </c>
      <c r="AD57" s="137">
        <f>'LCI_AD-c'!$E17*'IW+_end'!AD12</f>
        <v>0</v>
      </c>
      <c r="AE57" s="137">
        <f>'LCI_AD-c'!$E17*'IW+_end'!AE12</f>
        <v>0</v>
      </c>
      <c r="AF57" s="137">
        <f>'LCI_AD-c'!$E17*'IW+_end'!AF12</f>
        <v>0</v>
      </c>
      <c r="AG57" s="137">
        <f>'LCI_AD-c'!$E17*'IW+_end'!AG12</f>
        <v>5.1791416776594064</v>
      </c>
      <c r="AH57" s="137">
        <f>'LCI_AD-c'!$E17*'IW+_end'!AH12</f>
        <v>6.979920192253635E-5</v>
      </c>
      <c r="AI57" s="137">
        <f>'LCI_AD-c'!$E17*'IW+_end'!AI12</f>
        <v>0</v>
      </c>
      <c r="AJ57" s="137">
        <f>'LCI_AD-c'!$E17*'IW+_end'!AJ12</f>
        <v>0</v>
      </c>
      <c r="AK57" s="137">
        <f>'LCI_AD-c'!$E17*'IW+_end'!AK12</f>
        <v>0</v>
      </c>
    </row>
    <row r="58" spans="1:37" x14ac:dyDescent="0.35">
      <c r="A58" s="142"/>
      <c r="B58" s="137" t="s">
        <v>141</v>
      </c>
      <c r="C58" s="137">
        <f>'LCI_AD-c'!$E18*'IW+_end'!C24</f>
        <v>0</v>
      </c>
      <c r="D58" s="137">
        <f>'LCI_AD-c'!$E18*'IW+_end'!D24</f>
        <v>0</v>
      </c>
      <c r="E58" s="137">
        <f>'LCI_AD-c'!$E18*'IW+_end'!E24</f>
        <v>0</v>
      </c>
      <c r="F58" s="137">
        <f>'LCI_AD-c'!$E18*'IW+_end'!F24</f>
        <v>0</v>
      </c>
      <c r="G58" s="137">
        <f>'LCI_AD-c'!$E18*'IW+_end'!G24</f>
        <v>0</v>
      </c>
      <c r="H58" s="137">
        <f>'LCI_AD-c'!$E18*'IW+_end'!H24</f>
        <v>0</v>
      </c>
      <c r="I58" s="137">
        <f>'LCI_AD-c'!$E18*'IW+_end'!I24</f>
        <v>0</v>
      </c>
      <c r="J58" s="137">
        <f>'LCI_AD-c'!$E18*'IW+_end'!J24</f>
        <v>0</v>
      </c>
      <c r="K58" s="137">
        <f>'LCI_AD-c'!$E18*'IW+_end'!K24</f>
        <v>0</v>
      </c>
      <c r="L58" s="137">
        <f>'LCI_AD-c'!$E18*'IW+_end'!L24</f>
        <v>0</v>
      </c>
      <c r="M58" s="137">
        <f>'LCI_AD-c'!$E18*'IW+_end'!M24</f>
        <v>0</v>
      </c>
      <c r="N58" s="137">
        <f>'LCI_AD-c'!$E18*'IW+_end'!N24</f>
        <v>0</v>
      </c>
      <c r="O58" s="137">
        <f>'LCI_AD-c'!$E18*'IW+_end'!O24</f>
        <v>0</v>
      </c>
      <c r="P58" s="137">
        <f>'LCI_AD-c'!$E18*'IW+_end'!P24</f>
        <v>0</v>
      </c>
      <c r="Q58" s="137">
        <f>'LCI_AD-c'!$E18*'IW+_end'!Q24</f>
        <v>0</v>
      </c>
      <c r="R58" s="137">
        <f>'LCI_AD-c'!$E18*'IW+_end'!R24</f>
        <v>0</v>
      </c>
      <c r="S58" s="137">
        <f>'LCI_AD-c'!$E18*'IW+_end'!S24</f>
        <v>0</v>
      </c>
      <c r="T58" s="137">
        <f>'LCI_AD-c'!$E18*'IW+_end'!T24</f>
        <v>0</v>
      </c>
      <c r="U58" s="137">
        <f>'LCI_AD-c'!$E18*'IW+_end'!U24</f>
        <v>0</v>
      </c>
      <c r="V58" s="137">
        <f>'LCI_AD-c'!$E18*'IW+_end'!V24</f>
        <v>0</v>
      </c>
      <c r="W58" s="137">
        <f>'LCI_AD-c'!$E18*'IW+_end'!W24</f>
        <v>0</v>
      </c>
      <c r="X58" s="137">
        <f>'LCI_AD-c'!$E18*'IW+_end'!X24</f>
        <v>0</v>
      </c>
      <c r="Y58" s="137">
        <f>'LCI_AD-c'!$E18*'IW+_end'!Y24</f>
        <v>0</v>
      </c>
      <c r="Z58" s="137">
        <f>'LCI_AD-c'!$E18*'IW+_end'!Z24</f>
        <v>0</v>
      </c>
      <c r="AA58" s="137">
        <f>'LCI_AD-c'!$E18*'IW+_end'!AA24</f>
        <v>0</v>
      </c>
      <c r="AB58" s="137">
        <f>'LCI_AD-c'!$E18*'IW+_end'!AB24</f>
        <v>0</v>
      </c>
      <c r="AC58" s="137">
        <f>'LCI_AD-c'!$E18*'IW+_end'!AC24</f>
        <v>0</v>
      </c>
      <c r="AD58" s="137">
        <f>'LCI_AD-c'!$E18*'IW+_end'!AD24</f>
        <v>0</v>
      </c>
      <c r="AE58" s="137">
        <f>'LCI_AD-c'!$E18*'IW+_end'!AE24</f>
        <v>0</v>
      </c>
      <c r="AF58" s="137">
        <f>'LCI_AD-c'!$E18*'IW+_end'!AF24</f>
        <v>0</v>
      </c>
      <c r="AG58" s="137">
        <f>'LCI_AD-c'!$E18*'IW+_end'!AG24</f>
        <v>0</v>
      </c>
      <c r="AH58" s="137">
        <f>'LCI_AD-c'!$E18*'IW+_end'!AH24</f>
        <v>0</v>
      </c>
      <c r="AI58" s="137">
        <f>'LCI_AD-c'!$E18*'IW+_end'!AI24</f>
        <v>0</v>
      </c>
      <c r="AJ58" s="137">
        <f>'LCI_AD-c'!$E18*'IW+_end'!AJ24</f>
        <v>0</v>
      </c>
      <c r="AK58" s="137">
        <f>'LCI_AD-c'!$E18*'IW+_end'!AK24</f>
        <v>0</v>
      </c>
    </row>
    <row r="59" spans="1:37" x14ac:dyDescent="0.35">
      <c r="A59" s="142"/>
      <c r="B59" s="137" t="s">
        <v>142</v>
      </c>
      <c r="C59" s="137">
        <f>'LCI_AD-c'!$E19*'IW+_end'!C19</f>
        <v>0</v>
      </c>
      <c r="D59" s="137">
        <f>'LCI_AD-c'!$E19*'IW+_end'!D19</f>
        <v>0</v>
      </c>
      <c r="E59" s="137">
        <f>'LCI_AD-c'!$E19*'IW+_end'!E19</f>
        <v>0</v>
      </c>
      <c r="F59" s="137">
        <f>'LCI_AD-c'!$E19*'IW+_end'!F19</f>
        <v>0</v>
      </c>
      <c r="G59" s="137">
        <f>'LCI_AD-c'!$E19*'IW+_end'!G19</f>
        <v>0</v>
      </c>
      <c r="H59" s="137">
        <f>'LCI_AD-c'!$E19*'IW+_end'!H19</f>
        <v>3.5332636669312234E-3</v>
      </c>
      <c r="I59" s="137">
        <f>'LCI_AD-c'!$E19*'IW+_end'!I19</f>
        <v>0</v>
      </c>
      <c r="J59" s="137">
        <f>'LCI_AD-c'!$E19*'IW+_end'!J19</f>
        <v>0</v>
      </c>
      <c r="K59" s="137">
        <f>'LCI_AD-c'!$E19*'IW+_end'!K19</f>
        <v>0</v>
      </c>
      <c r="L59" s="137">
        <f>'LCI_AD-c'!$E19*'IW+_end'!L19</f>
        <v>0</v>
      </c>
      <c r="M59" s="137">
        <f>'LCI_AD-c'!$E19*'IW+_end'!M19</f>
        <v>0</v>
      </c>
      <c r="N59" s="137">
        <f>'LCI_AD-c'!$E19*'IW+_end'!N19</f>
        <v>0</v>
      </c>
      <c r="O59" s="137">
        <f>'LCI_AD-c'!$E19*'IW+_end'!O19</f>
        <v>0</v>
      </c>
      <c r="P59" s="137">
        <f>'LCI_AD-c'!$E19*'IW+_end'!P19</f>
        <v>0</v>
      </c>
      <c r="Q59" s="137">
        <f>'LCI_AD-c'!$E19*'IW+_end'!Q19</f>
        <v>0</v>
      </c>
      <c r="R59" s="137">
        <f>'LCI_AD-c'!$E19*'IW+_end'!R19</f>
        <v>0</v>
      </c>
      <c r="S59" s="137">
        <f>'LCI_AD-c'!$E19*'IW+_end'!S19</f>
        <v>0</v>
      </c>
      <c r="T59" s="137">
        <f>'LCI_AD-c'!$E19*'IW+_end'!T19</f>
        <v>0</v>
      </c>
      <c r="U59" s="137">
        <f>'LCI_AD-c'!$E19*'IW+_end'!U19</f>
        <v>0</v>
      </c>
      <c r="V59" s="137">
        <f>'LCI_AD-c'!$E19*'IW+_end'!V19</f>
        <v>0</v>
      </c>
      <c r="W59" s="137">
        <f>'LCI_AD-c'!$E19*'IW+_end'!W19</f>
        <v>0</v>
      </c>
      <c r="X59" s="137">
        <f>'LCI_AD-c'!$E19*'IW+_end'!X19</f>
        <v>0</v>
      </c>
      <c r="Y59" s="137">
        <f>'LCI_AD-c'!$E19*'IW+_end'!Y19</f>
        <v>0</v>
      </c>
      <c r="Z59" s="137">
        <f>'LCI_AD-c'!$E19*'IW+_end'!Z19</f>
        <v>1.3714821006997321E-7</v>
      </c>
      <c r="AA59" s="137">
        <f>'LCI_AD-c'!$E19*'IW+_end'!AA19</f>
        <v>0</v>
      </c>
      <c r="AB59" s="137">
        <f>'LCI_AD-c'!$E19*'IW+_end'!AB19</f>
        <v>0</v>
      </c>
      <c r="AC59" s="137">
        <f>'LCI_AD-c'!$E19*'IW+_end'!AC19</f>
        <v>2.1053616203880347E-2</v>
      </c>
      <c r="AD59" s="137">
        <f>'LCI_AD-c'!$E19*'IW+_end'!AD19</f>
        <v>0</v>
      </c>
      <c r="AE59" s="137">
        <f>'LCI_AD-c'!$E19*'IW+_end'!AE19</f>
        <v>0</v>
      </c>
      <c r="AF59" s="137">
        <f>'LCI_AD-c'!$E19*'IW+_end'!AF19</f>
        <v>0</v>
      </c>
      <c r="AG59" s="137">
        <f>'LCI_AD-c'!$E19*'IW+_end'!AG19</f>
        <v>2.4586879870811571E-2</v>
      </c>
      <c r="AH59" s="137">
        <f>'LCI_AD-c'!$E19*'IW+_end'!AH19</f>
        <v>1.3714821006936062E-7</v>
      </c>
      <c r="AI59" s="137">
        <f>'LCI_AD-c'!$E19*'IW+_end'!AI19</f>
        <v>0</v>
      </c>
      <c r="AJ59" s="137">
        <f>'LCI_AD-c'!$E19*'IW+_end'!AJ19</f>
        <v>0</v>
      </c>
      <c r="AK59" s="137">
        <f>'LCI_AD-c'!$E19*'IW+_end'!AK19</f>
        <v>0</v>
      </c>
    </row>
    <row r="60" spans="1:37" x14ac:dyDescent="0.35">
      <c r="A60" s="142"/>
      <c r="B60" s="137" t="s">
        <v>8</v>
      </c>
      <c r="C60" s="137">
        <f>'LCI_AD-c'!$E20*'IW+_end'!C2</f>
        <v>2.2392434836894934</v>
      </c>
      <c r="D60" s="137">
        <f>'LCI_AD-c'!$E20*'IW+_end'!D2</f>
        <v>0.68597684063618924</v>
      </c>
      <c r="E60" s="137">
        <f>'LCI_AD-c'!$E20*'IW+_end'!E2</f>
        <v>3.017822273332271E-5</v>
      </c>
      <c r="F60" s="137">
        <f>'LCI_AD-c'!$E20*'IW+_end'!F2</f>
        <v>9.2448909809981784E-6</v>
      </c>
      <c r="G60" s="137">
        <f>'LCI_AD-c'!$E20*'IW+_end'!G2</f>
        <v>6.8635227319637564E-19</v>
      </c>
      <c r="H60" s="137">
        <f>'LCI_AD-c'!$E20*'IW+_end'!H2</f>
        <v>3.958573976265841E-2</v>
      </c>
      <c r="I60" s="137">
        <f>'LCI_AD-c'!$E20*'IW+_end'!I2</f>
        <v>1.893413870923341</v>
      </c>
      <c r="J60" s="137">
        <f>'LCI_AD-c'!$E20*'IW+_end'!J2</f>
        <v>9.4070968995442997E-2</v>
      </c>
      <c r="K60" s="137">
        <f>'LCI_AD-c'!$E20*'IW+_end'!K2</f>
        <v>1.6342967073203717E-4</v>
      </c>
      <c r="L60" s="137">
        <f>'LCI_AD-c'!$E20*'IW+_end'!L2</f>
        <v>6.6329298554865483E-8</v>
      </c>
      <c r="M60" s="137">
        <f>'LCI_AD-c'!$E20*'IW+_end'!M2</f>
        <v>1.2651389712132789E-6</v>
      </c>
      <c r="N60" s="137">
        <f>'LCI_AD-c'!$E20*'IW+_end'!N2</f>
        <v>1.4998963039492625E-6</v>
      </c>
      <c r="O60" s="137">
        <f>'LCI_AD-c'!$E20*'IW+_end'!O2</f>
        <v>7.9840936830198688E-7</v>
      </c>
      <c r="P60" s="137">
        <f>'LCI_AD-c'!$E20*'IW+_end'!P2</f>
        <v>3.1549996502953533E-8</v>
      </c>
      <c r="Q60" s="137">
        <f>'LCI_AD-c'!$E20*'IW+_end'!Q2</f>
        <v>9.7291603494578616E-7</v>
      </c>
      <c r="R60" s="137">
        <f>'LCI_AD-c'!$E20*'IW+_end'!R2</f>
        <v>0.1260351954671714</v>
      </c>
      <c r="S60" s="137">
        <f>'LCI_AD-c'!$E20*'IW+_end'!S2</f>
        <v>8.8857072801090453E-2</v>
      </c>
      <c r="T60" s="137">
        <f>'LCI_AD-c'!$E20*'IW+_end'!T2</f>
        <v>0.78125840045602024</v>
      </c>
      <c r="U60" s="137">
        <f>'LCI_AD-c'!$E20*'IW+_end'!U2</f>
        <v>8.4807379522726878E-2</v>
      </c>
      <c r="V60" s="137">
        <f>'LCI_AD-c'!$E20*'IW+_end'!V2</f>
        <v>7.3551459022328239E-6</v>
      </c>
      <c r="W60" s="137">
        <f>'LCI_AD-c'!$E20*'IW+_end'!W2</f>
        <v>2.024201607613384E-6</v>
      </c>
      <c r="X60" s="137">
        <f>'LCI_AD-c'!$E20*'IW+_end'!X2</f>
        <v>5.1807181231363171E-3</v>
      </c>
      <c r="Y60" s="137">
        <f>'LCI_AD-c'!$E20*'IW+_end'!Y2</f>
        <v>3.524264851351946E-10</v>
      </c>
      <c r="Z60" s="137">
        <f>'LCI_AD-c'!$E20*'IW+_end'!Z2</f>
        <v>2.8528066367425103E-6</v>
      </c>
      <c r="AA60" s="137">
        <f>'LCI_AD-c'!$E20*'IW+_end'!AA2</f>
        <v>0.12009946497509549</v>
      </c>
      <c r="AB60" s="137">
        <f>'LCI_AD-c'!$E20*'IW+_end'!AB2</f>
        <v>1.1938825427244384E-8</v>
      </c>
      <c r="AC60" s="137">
        <f>'LCI_AD-c'!$E20*'IW+_end'!AC2</f>
        <v>0.2612241184482012</v>
      </c>
      <c r="AD60" s="137">
        <f>'LCI_AD-c'!$E20*'IW+_end'!AD2</f>
        <v>0.26847317088436545</v>
      </c>
      <c r="AE60" s="137">
        <f>'LCI_AD-c'!$E20*'IW+_end'!AE2</f>
        <v>7.3883358677888519E-2</v>
      </c>
      <c r="AF60" s="137">
        <f>'LCI_AD-c'!$E20*'IW+_end'!AF2</f>
        <v>1.4486397820494486E-2</v>
      </c>
      <c r="AG60" s="137">
        <f>'LCI_AD-c'!$E20*'IW+_end'!AG2</f>
        <v>6.7769581322661354</v>
      </c>
      <c r="AH60" s="137">
        <f>'LCI_AD-c'!$E20*'IW+_end'!AH2</f>
        <v>5.6288638436315479E-5</v>
      </c>
      <c r="AI60" s="137">
        <f>'LCI_AD-c'!$E20*'IW+_end'!AI2</f>
        <v>7.6940829556770274E-5</v>
      </c>
      <c r="AJ60" s="137">
        <f>'LCI_AD-c'!$E20*'IW+_end'!AJ2</f>
        <v>9.3977368563759392E-6</v>
      </c>
      <c r="AK60" s="137">
        <f>'LCI_AD-c'!$E20*'IW+_end'!AK2</f>
        <v>1.1216968503096544E-4</v>
      </c>
    </row>
    <row r="61" spans="1:37" x14ac:dyDescent="0.35">
      <c r="A61" s="142"/>
      <c r="B61" s="137" t="s">
        <v>127</v>
      </c>
      <c r="C61" s="137">
        <f>'LCI_AD-c'!$E21*'IW+_end'!C32</f>
        <v>0.25159528186235514</v>
      </c>
      <c r="D61" s="137">
        <f>'LCI_AD-c'!$E21*'IW+_end'!D32</f>
        <v>7.6576258790754331E-2</v>
      </c>
      <c r="E61" s="137">
        <f>'LCI_AD-c'!$E21*'IW+_end'!E32</f>
        <v>3.3907426816243926E-6</v>
      </c>
      <c r="F61" s="137">
        <f>'LCI_AD-c'!$E21*'IW+_end'!F32</f>
        <v>1.0320161298691507E-6</v>
      </c>
      <c r="G61" s="137">
        <f>'LCI_AD-c'!$E21*'IW+_end'!G32</f>
        <v>2.3507575943553845E-20</v>
      </c>
      <c r="H61" s="137">
        <f>'LCI_AD-c'!$E21*'IW+_end'!H32</f>
        <v>7.4756002915242099E-3</v>
      </c>
      <c r="I61" s="137">
        <f>'LCI_AD-c'!$E21*'IW+_end'!I32</f>
        <v>9.5133737520027933E-2</v>
      </c>
      <c r="J61" s="137">
        <f>'LCI_AD-c'!$E21*'IW+_end'!J32</f>
        <v>1.996799750662483E-2</v>
      </c>
      <c r="K61" s="137">
        <f>'LCI_AD-c'!$E21*'IW+_end'!K32</f>
        <v>3.918592744509265E-6</v>
      </c>
      <c r="L61" s="137">
        <f>'LCI_AD-c'!$E21*'IW+_end'!L32</f>
        <v>2.3541751490413055E-9</v>
      </c>
      <c r="M61" s="137">
        <f>'LCI_AD-c'!$E21*'IW+_end'!M32</f>
        <v>3.3450672830258354E-8</v>
      </c>
      <c r="N61" s="137">
        <f>'LCI_AD-c'!$E21*'IW+_end'!N32</f>
        <v>7.0753027524551864E-8</v>
      </c>
      <c r="O61" s="137">
        <f>'LCI_AD-c'!$E21*'IW+_end'!O32</f>
        <v>3.9535048627454298E-8</v>
      </c>
      <c r="P61" s="137">
        <f>'LCI_AD-c'!$E21*'IW+_end'!P32</f>
        <v>3.968150991190346E-11</v>
      </c>
      <c r="Q61" s="137">
        <f>'LCI_AD-c'!$E21*'IW+_end'!Q32</f>
        <v>6.6603179306387403E-10</v>
      </c>
      <c r="R61" s="137">
        <f>'LCI_AD-c'!$E21*'IW+_end'!R32</f>
        <v>4.5743981109926512E-3</v>
      </c>
      <c r="S61" s="137">
        <f>'LCI_AD-c'!$E21*'IW+_end'!S32</f>
        <v>8.1014923409397227E-3</v>
      </c>
      <c r="T61" s="137">
        <f>'LCI_AD-c'!$E21*'IW+_end'!T32</f>
        <v>9.1019659227857319E-2</v>
      </c>
      <c r="U61" s="137">
        <f>'LCI_AD-c'!$E21*'IW+_end'!U32</f>
        <v>9.8803936705559713E-3</v>
      </c>
      <c r="V61" s="137">
        <f>'LCI_AD-c'!$E21*'IW+_end'!V32</f>
        <v>9.5517389695259853E-8</v>
      </c>
      <c r="W61" s="137">
        <f>'LCI_AD-c'!$E21*'IW+_end'!W32</f>
        <v>5.2928710716057974E-8</v>
      </c>
      <c r="X61" s="137">
        <f>'LCI_AD-c'!$E21*'IW+_end'!X32</f>
        <v>4.3984218339155592E-4</v>
      </c>
      <c r="Y61" s="137">
        <f>'LCI_AD-c'!$E21*'IW+_end'!Y32</f>
        <v>5.7007762227287479E-12</v>
      </c>
      <c r="Z61" s="137">
        <f>'LCI_AD-c'!$E21*'IW+_end'!Z32</f>
        <v>8.9912274452252226E-7</v>
      </c>
      <c r="AA61" s="137">
        <f>'LCI_AD-c'!$E21*'IW+_end'!AA32</f>
        <v>1.4186452625451896E-2</v>
      </c>
      <c r="AB61" s="137">
        <f>'LCI_AD-c'!$E21*'IW+_end'!AB32</f>
        <v>1.4538608180879093E-9</v>
      </c>
      <c r="AC61" s="137">
        <f>'LCI_AD-c'!$E21*'IW+_end'!AC32</f>
        <v>4.7532396950135905E-2</v>
      </c>
      <c r="AD61" s="137">
        <f>'LCI_AD-c'!$E21*'IW+_end'!AD32</f>
        <v>3.4864337427289753E-3</v>
      </c>
      <c r="AE61" s="137">
        <f>'LCI_AD-c'!$E21*'IW+_end'!AE32</f>
        <v>1.9318979411361164E-3</v>
      </c>
      <c r="AF61" s="137">
        <f>'LCI_AD-c'!$E21*'IW+_end'!AF32</f>
        <v>4.8805399410805121E-5</v>
      </c>
      <c r="AG61" s="137">
        <f>'LCI_AD-c'!$E21*'IW+_end'!AG32</f>
        <v>0.63204744591918915</v>
      </c>
      <c r="AH61" s="137">
        <f>'LCI_AD-c'!$E21*'IW+_end'!AH32</f>
        <v>5.5516315380246946E-6</v>
      </c>
      <c r="AI61" s="137">
        <f>'LCI_AD-c'!$E21*'IW+_end'!AI32</f>
        <v>6.6751161569022381E-7</v>
      </c>
      <c r="AJ61" s="137">
        <f>'LCI_AD-c'!$E21*'IW+_end'!AJ32</f>
        <v>8.1531464489922844E-8</v>
      </c>
      <c r="AK61" s="137">
        <f>'LCI_AD-c'!$E21*'IW+_end'!AK32</f>
        <v>9.2063165159532293E-5</v>
      </c>
    </row>
    <row r="62" spans="1:37" x14ac:dyDescent="0.35">
      <c r="A62" s="142"/>
      <c r="B62" s="137" t="s">
        <v>134</v>
      </c>
      <c r="C62" s="137">
        <f>'LCI_AD-c'!$E22*'IW+_end'!C33</f>
        <v>5.2793489571218171</v>
      </c>
      <c r="D62" s="137">
        <f>'LCI_AD-c'!$E22*'IW+_end'!D33</f>
        <v>1.6013967528505488</v>
      </c>
      <c r="E62" s="137">
        <f>'LCI_AD-c'!$E22*'IW+_end'!E33</f>
        <v>7.114964043680105E-5</v>
      </c>
      <c r="F62" s="137">
        <f>'LCI_AD-c'!$E22*'IW+_end'!F33</f>
        <v>2.1581979915965654E-5</v>
      </c>
      <c r="G62" s="137">
        <f>'LCI_AD-c'!$E22*'IW+_end'!G33</f>
        <v>3.487397684239594E-17</v>
      </c>
      <c r="H62" s="137">
        <f>'LCI_AD-c'!$E22*'IW+_end'!H33</f>
        <v>0.13286178903315285</v>
      </c>
      <c r="I62" s="137">
        <f>'LCI_AD-c'!$E22*'IW+_end'!I33</f>
        <v>23.547088231410793</v>
      </c>
      <c r="J62" s="137">
        <f>'LCI_AD-c'!$E22*'IW+_end'!J33</f>
        <v>0.45532410523731343</v>
      </c>
      <c r="K62" s="137">
        <f>'LCI_AD-c'!$E22*'IW+_end'!K33</f>
        <v>1.3037103036530827E-3</v>
      </c>
      <c r="L62" s="137">
        <f>'LCI_AD-c'!$E22*'IW+_end'!L33</f>
        <v>1.2315183786359684E-7</v>
      </c>
      <c r="M62" s="137">
        <f>'LCI_AD-c'!$E22*'IW+_end'!M33</f>
        <v>1.6719896461703793E-5</v>
      </c>
      <c r="N62" s="137">
        <f>'LCI_AD-c'!$E22*'IW+_end'!N33</f>
        <v>3.691406216685716E-6</v>
      </c>
      <c r="O62" s="137">
        <f>'LCI_AD-c'!$E22*'IW+_end'!O33</f>
        <v>7.6974614201652509E-6</v>
      </c>
      <c r="P62" s="137">
        <f>'LCI_AD-c'!$E22*'IW+_end'!P33</f>
        <v>1.3361783168041865E-9</v>
      </c>
      <c r="Q62" s="137">
        <f>'LCI_AD-c'!$E22*'IW+_end'!Q33</f>
        <v>2.1486773497391788E-8</v>
      </c>
      <c r="R62" s="137">
        <f>'LCI_AD-c'!$E22*'IW+_end'!R33</f>
        <v>0.18694249421092868</v>
      </c>
      <c r="S62" s="137">
        <f>'LCI_AD-c'!$E22*'IW+_end'!S33</f>
        <v>0.31572917261499572</v>
      </c>
      <c r="T62" s="137">
        <f>'LCI_AD-c'!$E22*'IW+_end'!T33</f>
        <v>1.9057958052870343</v>
      </c>
      <c r="U62" s="137">
        <f>'LCI_AD-c'!$E22*'IW+_end'!U33</f>
        <v>0.20687845189702475</v>
      </c>
      <c r="V62" s="137">
        <f>'LCI_AD-c'!$E22*'IW+_end'!V33</f>
        <v>4.7282587754678004E-6</v>
      </c>
      <c r="W62" s="137">
        <f>'LCI_AD-c'!$E22*'IW+_end'!W33</f>
        <v>5.4760607544562193E-6</v>
      </c>
      <c r="X62" s="137">
        <f>'LCI_AD-c'!$E22*'IW+_end'!X33</f>
        <v>1.9442010734317821E-2</v>
      </c>
      <c r="Y62" s="137">
        <f>'LCI_AD-c'!$E22*'IW+_end'!Y33</f>
        <v>4.2078650785851587E-9</v>
      </c>
      <c r="Z62" s="137">
        <f>'LCI_AD-c'!$E22*'IW+_end'!Z33</f>
        <v>1.45647288794487E-5</v>
      </c>
      <c r="AA62" s="137">
        <f>'LCI_AD-c'!$E22*'IW+_end'!AA33</f>
        <v>0.34705834396279439</v>
      </c>
      <c r="AB62" s="137">
        <f>'LCI_AD-c'!$E22*'IW+_end'!AB33</f>
        <v>3.5135569356472005E-8</v>
      </c>
      <c r="AC62" s="137">
        <f>'LCI_AD-c'!$E22*'IW+_end'!AC33</f>
        <v>0.86446278142853472</v>
      </c>
      <c r="AD62" s="137">
        <f>'LCI_AD-c'!$E22*'IW+_end'!AD33</f>
        <v>0.17290307199763411</v>
      </c>
      <c r="AE62" s="137">
        <f>'LCI_AD-c'!$E22*'IW+_end'!AE33</f>
        <v>0.19987621753765195</v>
      </c>
      <c r="AF62" s="137">
        <f>'LCI_AD-c'!$E22*'IW+_end'!AF33</f>
        <v>2.0555916670237559E-3</v>
      </c>
      <c r="AG62" s="137">
        <f>'LCI_AD-c'!$E22*'IW+_end'!AG33</f>
        <v>35.239557622542577</v>
      </c>
      <c r="AH62" s="137">
        <f>'LCI_AD-c'!$E22*'IW+_end'!AH33</f>
        <v>1.4452744118245147E-4</v>
      </c>
      <c r="AI62" s="137">
        <f>'LCI_AD-c'!$E22*'IW+_end'!AI33</f>
        <v>7.3179718870648256E-5</v>
      </c>
      <c r="AJ62" s="137">
        <f>'LCI_AD-c'!$E22*'IW+_end'!AJ33</f>
        <v>8.9383458058853591E-6</v>
      </c>
      <c r="AK62" s="137">
        <f>'LCI_AD-c'!$E22*'IW+_end'!AK33</f>
        <v>1.006749872756925E-3</v>
      </c>
    </row>
    <row r="63" spans="1:37" x14ac:dyDescent="0.35">
      <c r="A63" s="142" t="s">
        <v>100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42"/>
      <c r="B64" s="137" t="s">
        <v>96</v>
      </c>
      <c r="C64" s="137">
        <f>'LCIA_AD-a'!C66</f>
        <v>0.8301443978002423</v>
      </c>
      <c r="D64" s="137">
        <f>'LCIA_AD-a'!D66</f>
        <v>3.1528244060836514</v>
      </c>
      <c r="E64" s="137">
        <f>'LCIA_AD-a'!E66</f>
        <v>1.118783317674697E-5</v>
      </c>
      <c r="F64" s="137">
        <f>'LCIA_AD-a'!F66</f>
        <v>4.2490567820490681E-5</v>
      </c>
      <c r="G64" s="137">
        <f>'LCIA_AD-a'!G66</f>
        <v>0</v>
      </c>
      <c r="H64" s="137">
        <f>'LCIA_AD-a'!H66</f>
        <v>0</v>
      </c>
      <c r="I64" s="137">
        <f>'LCIA_AD-a'!I66</f>
        <v>0</v>
      </c>
      <c r="J64" s="137">
        <f>'LCIA_AD-a'!J66</f>
        <v>0</v>
      </c>
      <c r="K64" s="137">
        <f>'LCIA_AD-a'!K66</f>
        <v>0</v>
      </c>
      <c r="L64" s="137">
        <f>'LCIA_AD-a'!L66</f>
        <v>0</v>
      </c>
      <c r="M64" s="137">
        <f>'LCIA_AD-a'!M66</f>
        <v>0</v>
      </c>
      <c r="N64" s="137">
        <f>'LCIA_AD-a'!N66</f>
        <v>0</v>
      </c>
      <c r="O64" s="137">
        <f>'LCIA_AD-a'!O66</f>
        <v>0</v>
      </c>
      <c r="P64" s="137">
        <f>'LCIA_AD-a'!P66</f>
        <v>0</v>
      </c>
      <c r="Q64" s="137">
        <f>'LCIA_AD-a'!Q66</f>
        <v>0</v>
      </c>
      <c r="R64" s="137">
        <f>'LCIA_AD-a'!R66</f>
        <v>0</v>
      </c>
      <c r="S64" s="137">
        <f>'LCIA_AD-a'!S66</f>
        <v>0</v>
      </c>
      <c r="T64" s="137">
        <f>'LCIA_AD-a'!T66</f>
        <v>0</v>
      </c>
      <c r="U64" s="137">
        <f>'LCIA_AD-a'!U66</f>
        <v>0</v>
      </c>
      <c r="V64" s="137">
        <f>'LCIA_AD-a'!V66</f>
        <v>0</v>
      </c>
      <c r="W64" s="137">
        <f>'LCIA_AD-a'!W66</f>
        <v>0</v>
      </c>
      <c r="X64" s="137">
        <f>'LCIA_AD-a'!X66</f>
        <v>0</v>
      </c>
      <c r="Y64" s="137">
        <f>'LCIA_AD-a'!Y66</f>
        <v>0</v>
      </c>
      <c r="Z64" s="137">
        <f>'LCIA_AD-a'!Z66</f>
        <v>0</v>
      </c>
      <c r="AA64" s="137">
        <f>'LCIA_AD-a'!AA66</f>
        <v>0</v>
      </c>
      <c r="AB64" s="137">
        <f>'LCIA_AD-a'!AB66</f>
        <v>0</v>
      </c>
      <c r="AC64" s="137">
        <f>'LCIA_AD-a'!AC66</f>
        <v>0</v>
      </c>
      <c r="AD64" s="137">
        <f>'LCIA_AD-a'!AD66</f>
        <v>0</v>
      </c>
      <c r="AE64" s="137">
        <f>'LCIA_AD-a'!AE66</f>
        <v>0</v>
      </c>
      <c r="AF64" s="137">
        <f>'LCIA_AD-a'!AF66</f>
        <v>0</v>
      </c>
      <c r="AG64" s="137">
        <f>'LCIA_AD-a'!AG66</f>
        <v>3.9829688038838937</v>
      </c>
      <c r="AH64" s="137">
        <f>'LCIA_AD-a'!AH66</f>
        <v>5.3678400996957153E-5</v>
      </c>
      <c r="AI64" s="137">
        <f>'LCIA_AD-a'!AI66</f>
        <v>0</v>
      </c>
      <c r="AJ64" s="137">
        <f>'LCIA_AD-a'!AJ66</f>
        <v>0</v>
      </c>
      <c r="AK64" s="137">
        <f>'LCIA_AD-a'!AK66</f>
        <v>0</v>
      </c>
    </row>
    <row r="65" spans="1:37" x14ac:dyDescent="0.35">
      <c r="A65" s="142" t="s">
        <v>108</v>
      </c>
      <c r="B65" s="137"/>
      <c r="C65" s="142">
        <f>'LCIA_AD-a'!C67</f>
        <v>3.5468131034964165</v>
      </c>
      <c r="D65" s="142">
        <f>'LCIA_AD-a'!D67</f>
        <v>2.6313331037750718</v>
      </c>
      <c r="E65" s="142">
        <f>'LCIA_AD-a'!E67</f>
        <v>4.7800302472879612E-5</v>
      </c>
      <c r="F65" s="142">
        <f>'LCIA_AD-a'!F67</f>
        <v>3.5462403740236048E-5</v>
      </c>
      <c r="G65" s="142">
        <f>'LCIA_AD-a'!G67</f>
        <v>0</v>
      </c>
      <c r="H65" s="142">
        <f>'LCIA_AD-a'!H67</f>
        <v>7.9951774603777057</v>
      </c>
      <c r="I65" s="142">
        <f>'LCIA_AD-a'!I67</f>
        <v>0</v>
      </c>
      <c r="J65" s="142">
        <f>'LCIA_AD-a'!J67</f>
        <v>0</v>
      </c>
      <c r="K65" s="142">
        <f>'LCIA_AD-a'!K67</f>
        <v>-0.19421069896461307</v>
      </c>
      <c r="L65" s="142">
        <f>'LCIA_AD-a'!L67</f>
        <v>0</v>
      </c>
      <c r="M65" s="142">
        <f>'LCIA_AD-a'!M67</f>
        <v>0</v>
      </c>
      <c r="N65" s="142">
        <f>'LCIA_AD-a'!N67</f>
        <v>0</v>
      </c>
      <c r="O65" s="142">
        <f>'LCIA_AD-a'!O67</f>
        <v>0</v>
      </c>
      <c r="P65" s="142">
        <f>'LCIA_AD-a'!P67</f>
        <v>0</v>
      </c>
      <c r="Q65" s="142">
        <f>'LCIA_AD-a'!Q67</f>
        <v>0</v>
      </c>
      <c r="R65" s="142">
        <f>'LCIA_AD-a'!R67</f>
        <v>0</v>
      </c>
      <c r="S65" s="142">
        <f>'LCIA_AD-a'!S67</f>
        <v>0</v>
      </c>
      <c r="T65" s="142">
        <f>'LCIA_AD-a'!T67</f>
        <v>0</v>
      </c>
      <c r="U65" s="142">
        <f>'LCIA_AD-a'!U67</f>
        <v>0</v>
      </c>
      <c r="V65" s="142">
        <f>'LCIA_AD-a'!V67</f>
        <v>0</v>
      </c>
      <c r="W65" s="142">
        <f>'LCIA_AD-a'!W67</f>
        <v>0</v>
      </c>
      <c r="X65" s="142">
        <f>'LCIA_AD-a'!X67</f>
        <v>-0.67393084886835064</v>
      </c>
      <c r="Y65" s="142">
        <f>'LCIA_AD-a'!Y67</f>
        <v>0</v>
      </c>
      <c r="Z65" s="142">
        <f>'LCIA_AD-a'!Z67</f>
        <v>7.6801640589139021E-4</v>
      </c>
      <c r="AA65" s="142">
        <f>'LCIA_AD-a'!AA67</f>
        <v>0</v>
      </c>
      <c r="AB65" s="142">
        <f>'LCIA_AD-a'!AB67</f>
        <v>0</v>
      </c>
      <c r="AC65" s="142">
        <f>'LCIA_AD-a'!AC67</f>
        <v>103.07918225651237</v>
      </c>
      <c r="AD65" s="142">
        <f>'LCIA_AD-a'!AD67</f>
        <v>0</v>
      </c>
      <c r="AE65" s="142">
        <f>'LCIA_AD-a'!AE67</f>
        <v>0</v>
      </c>
      <c r="AF65" s="142">
        <f>'LCIA_AD-a'!AF67</f>
        <v>0</v>
      </c>
      <c r="AG65" s="142">
        <f>'LCIA_AD-a'!AG67</f>
        <v>116.38436437632861</v>
      </c>
      <c r="AH65" s="142">
        <f>'LCIA_AD-a'!AH67</f>
        <v>8.5127911209574808E-4</v>
      </c>
      <c r="AI65" s="142">
        <f>'LCIA_AD-a'!AI67</f>
        <v>0</v>
      </c>
      <c r="AJ65" s="142">
        <f>'LCIA_AD-a'!AJ67</f>
        <v>0</v>
      </c>
      <c r="AK65" s="142">
        <f>'LCIA_AD-a'!AK67</f>
        <v>0</v>
      </c>
    </row>
    <row r="66" spans="1:37" x14ac:dyDescent="0.35">
      <c r="A66" s="142"/>
      <c r="B66" s="137" t="s">
        <v>111</v>
      </c>
      <c r="C66" s="137">
        <f>'LCIA_AD-a'!C68</f>
        <v>3.5468131034964165</v>
      </c>
      <c r="D66" s="137">
        <f>'LCIA_AD-a'!D68</f>
        <v>2.6313331037750718</v>
      </c>
      <c r="E66" s="137">
        <f>'LCIA_AD-a'!E68</f>
        <v>4.7800302472879612E-5</v>
      </c>
      <c r="F66" s="137">
        <f>'LCIA_AD-a'!F68</f>
        <v>3.5462403740236048E-5</v>
      </c>
      <c r="G66" s="137">
        <f>'LCIA_AD-a'!G68</f>
        <v>0</v>
      </c>
      <c r="H66" s="137">
        <f>'LCIA_AD-a'!H68</f>
        <v>0</v>
      </c>
      <c r="I66" s="137">
        <f>'LCIA_AD-a'!I68</f>
        <v>0</v>
      </c>
      <c r="J66" s="137">
        <f>'LCIA_AD-a'!J68</f>
        <v>0</v>
      </c>
      <c r="K66" s="137">
        <f>'LCIA_AD-a'!K68</f>
        <v>0</v>
      </c>
      <c r="L66" s="137">
        <f>'LCIA_AD-a'!L68</f>
        <v>0</v>
      </c>
      <c r="M66" s="137">
        <f>'LCIA_AD-a'!M68</f>
        <v>0</v>
      </c>
      <c r="N66" s="137">
        <f>'LCIA_AD-a'!N68</f>
        <v>0</v>
      </c>
      <c r="O66" s="137">
        <f>'LCIA_AD-a'!O68</f>
        <v>0</v>
      </c>
      <c r="P66" s="137">
        <f>'LCIA_AD-a'!P68</f>
        <v>0</v>
      </c>
      <c r="Q66" s="137">
        <f>'LCIA_AD-a'!Q68</f>
        <v>0</v>
      </c>
      <c r="R66" s="137">
        <f>'LCIA_AD-a'!R68</f>
        <v>0</v>
      </c>
      <c r="S66" s="137">
        <f>'LCIA_AD-a'!S68</f>
        <v>0</v>
      </c>
      <c r="T66" s="137">
        <f>'LCIA_AD-a'!T68</f>
        <v>0</v>
      </c>
      <c r="U66" s="137">
        <f>'LCIA_AD-a'!U68</f>
        <v>0</v>
      </c>
      <c r="V66" s="137">
        <f>'LCIA_AD-a'!V68</f>
        <v>0</v>
      </c>
      <c r="W66" s="137">
        <f>'LCIA_AD-a'!W68</f>
        <v>0</v>
      </c>
      <c r="X66" s="137">
        <f>'LCIA_AD-a'!X68</f>
        <v>0</v>
      </c>
      <c r="Y66" s="137">
        <f>'LCIA_AD-a'!Y68</f>
        <v>0</v>
      </c>
      <c r="Z66" s="137">
        <f>'LCIA_AD-a'!Z68</f>
        <v>0</v>
      </c>
      <c r="AA66" s="137">
        <f>'LCIA_AD-a'!AA68</f>
        <v>0</v>
      </c>
      <c r="AB66" s="137">
        <f>'LCIA_AD-a'!AB68</f>
        <v>0</v>
      </c>
      <c r="AC66" s="137">
        <f>'LCIA_AD-a'!AC68</f>
        <v>0</v>
      </c>
      <c r="AD66" s="137">
        <f>'LCIA_AD-a'!AD68</f>
        <v>0</v>
      </c>
      <c r="AE66" s="137">
        <f>'LCIA_AD-a'!AE68</f>
        <v>0</v>
      </c>
      <c r="AF66" s="137">
        <f>'LCIA_AD-a'!AF68</f>
        <v>0</v>
      </c>
      <c r="AG66" s="137">
        <f>'LCIA_AD-a'!AG68</f>
        <v>6.1781462072714879</v>
      </c>
      <c r="AH66" s="137">
        <f>'LCIA_AD-a'!AH68</f>
        <v>8.3262706212800522E-5</v>
      </c>
      <c r="AI66" s="137">
        <f>'LCIA_AD-a'!AI68</f>
        <v>0</v>
      </c>
      <c r="AJ66" s="137">
        <f>'LCIA_AD-a'!AJ68</f>
        <v>0</v>
      </c>
      <c r="AK66" s="137">
        <f>'LCIA_AD-a'!AK68</f>
        <v>0</v>
      </c>
    </row>
    <row r="67" spans="1:37" x14ac:dyDescent="0.35">
      <c r="A67" s="142"/>
      <c r="B67" s="137" t="s">
        <v>110</v>
      </c>
      <c r="C67" s="137">
        <f>'LCIA_AD-a'!C69</f>
        <v>0</v>
      </c>
      <c r="D67" s="137">
        <f>'LCIA_AD-a'!D69</f>
        <v>0</v>
      </c>
      <c r="E67" s="137">
        <f>'LCIA_AD-a'!E69</f>
        <v>0</v>
      </c>
      <c r="F67" s="137">
        <f>'LCIA_AD-a'!F69</f>
        <v>0</v>
      </c>
      <c r="G67" s="137">
        <f>'LCIA_AD-a'!G69</f>
        <v>0</v>
      </c>
      <c r="H67" s="137">
        <f>'LCIA_AD-a'!H69</f>
        <v>7.9951774603777057</v>
      </c>
      <c r="I67" s="137">
        <f>'LCIA_AD-a'!I69</f>
        <v>0</v>
      </c>
      <c r="J67" s="137">
        <f>'LCIA_AD-a'!J69</f>
        <v>0</v>
      </c>
      <c r="K67" s="137">
        <f>'LCIA_AD-a'!K69</f>
        <v>0</v>
      </c>
      <c r="L67" s="137">
        <f>'LCIA_AD-a'!L69</f>
        <v>0</v>
      </c>
      <c r="M67" s="137">
        <f>'LCIA_AD-a'!M69</f>
        <v>0</v>
      </c>
      <c r="N67" s="137">
        <f>'LCIA_AD-a'!N69</f>
        <v>0</v>
      </c>
      <c r="O67" s="137">
        <f>'LCIA_AD-a'!O69</f>
        <v>0</v>
      </c>
      <c r="P67" s="137">
        <f>'LCIA_AD-a'!P69</f>
        <v>0</v>
      </c>
      <c r="Q67" s="137">
        <f>'LCIA_AD-a'!Q69</f>
        <v>0</v>
      </c>
      <c r="R67" s="137">
        <f>'LCIA_AD-a'!R69</f>
        <v>0</v>
      </c>
      <c r="S67" s="137">
        <f>'LCIA_AD-a'!S69</f>
        <v>0</v>
      </c>
      <c r="T67" s="137">
        <f>'LCIA_AD-a'!T69</f>
        <v>0</v>
      </c>
      <c r="U67" s="137">
        <f>'LCIA_AD-a'!U69</f>
        <v>0</v>
      </c>
      <c r="V67" s="137">
        <f>'LCIA_AD-a'!V69</f>
        <v>0</v>
      </c>
      <c r="W67" s="137">
        <f>'LCIA_AD-a'!W69</f>
        <v>0</v>
      </c>
      <c r="X67" s="137">
        <f>'LCIA_AD-a'!X69</f>
        <v>3.0693235046556389</v>
      </c>
      <c r="Y67" s="137">
        <f>'LCIA_AD-a'!Y69</f>
        <v>0</v>
      </c>
      <c r="Z67" s="137">
        <f>'LCIA_AD-a'!Z69</f>
        <v>7.6801640589139021E-4</v>
      </c>
      <c r="AA67" s="137">
        <f>'LCIA_AD-a'!AA69</f>
        <v>0</v>
      </c>
      <c r="AB67" s="137">
        <f>'LCIA_AD-a'!AB69</f>
        <v>0</v>
      </c>
      <c r="AC67" s="137">
        <f>'LCIA_AD-a'!AC69</f>
        <v>103.07918225651237</v>
      </c>
      <c r="AD67" s="137">
        <f>'LCIA_AD-a'!AD69</f>
        <v>0</v>
      </c>
      <c r="AE67" s="137">
        <f>'LCIA_AD-a'!AE69</f>
        <v>0</v>
      </c>
      <c r="AF67" s="137">
        <f>'LCIA_AD-a'!AF69</f>
        <v>0</v>
      </c>
      <c r="AG67" s="137">
        <f>'LCIA_AD-a'!AG69</f>
        <v>114.14368322154573</v>
      </c>
      <c r="AH67" s="137">
        <f>'LCIA_AD-a'!AH69</f>
        <v>7.6801640588294753E-4</v>
      </c>
      <c r="AI67" s="137">
        <f>'LCIA_AD-a'!AI69</f>
        <v>0</v>
      </c>
      <c r="AJ67" s="137">
        <f>'LCIA_AD-a'!AJ69</f>
        <v>0</v>
      </c>
      <c r="AK67" s="137">
        <f>'LCIA_AD-a'!AK69</f>
        <v>0</v>
      </c>
    </row>
    <row r="68" spans="1:37" x14ac:dyDescent="0.35">
      <c r="A68" s="142"/>
      <c r="B68" s="137" t="s">
        <v>114</v>
      </c>
      <c r="C68" s="137">
        <f>'LCIA_AD-a'!C70</f>
        <v>0</v>
      </c>
      <c r="D68" s="137">
        <f>'LCIA_AD-a'!D70</f>
        <v>0</v>
      </c>
      <c r="E68" s="137">
        <f>'LCIA_AD-a'!E70</f>
        <v>0</v>
      </c>
      <c r="F68" s="137">
        <f>'LCIA_AD-a'!F70</f>
        <v>0</v>
      </c>
      <c r="G68" s="137">
        <f>'LCIA_AD-a'!G70</f>
        <v>0</v>
      </c>
      <c r="H68" s="137">
        <f>'LCIA_AD-a'!H70</f>
        <v>0</v>
      </c>
      <c r="I68" s="137">
        <f>'LCIA_AD-a'!I70</f>
        <v>0</v>
      </c>
      <c r="J68" s="137">
        <f>'LCIA_AD-a'!J70</f>
        <v>0</v>
      </c>
      <c r="K68" s="137">
        <f>'LCIA_AD-a'!K70</f>
        <v>0</v>
      </c>
      <c r="L68" s="137">
        <f>'LCIA_AD-a'!L70</f>
        <v>0</v>
      </c>
      <c r="M68" s="137">
        <f>'LCIA_AD-a'!M70</f>
        <v>0</v>
      </c>
      <c r="N68" s="137">
        <f>'LCIA_AD-a'!N70</f>
        <v>0</v>
      </c>
      <c r="O68" s="137">
        <f>'LCIA_AD-a'!O70</f>
        <v>0</v>
      </c>
      <c r="P68" s="137">
        <f>'LCIA_AD-a'!P70</f>
        <v>0</v>
      </c>
      <c r="Q68" s="137">
        <f>'LCIA_AD-a'!Q70</f>
        <v>0</v>
      </c>
      <c r="R68" s="137">
        <f>'LCIA_AD-a'!R70</f>
        <v>0</v>
      </c>
      <c r="S68" s="137">
        <f>'LCIA_AD-a'!S70</f>
        <v>0</v>
      </c>
      <c r="T68" s="137">
        <f>'LCIA_AD-a'!T70</f>
        <v>0</v>
      </c>
      <c r="U68" s="137">
        <f>'LCIA_AD-a'!U70</f>
        <v>0</v>
      </c>
      <c r="V68" s="137">
        <f>'LCIA_AD-a'!V70</f>
        <v>0</v>
      </c>
      <c r="W68" s="137">
        <f>'LCIA_AD-a'!W70</f>
        <v>0</v>
      </c>
      <c r="X68" s="137">
        <f>'LCIA_AD-a'!X70</f>
        <v>-3.7432543535239895</v>
      </c>
      <c r="Y68" s="137">
        <f>'LCIA_AD-a'!Y70</f>
        <v>0</v>
      </c>
      <c r="Z68" s="137">
        <f>'LCIA_AD-a'!Z70</f>
        <v>0</v>
      </c>
      <c r="AA68" s="137">
        <f>'LCIA_AD-a'!AA70</f>
        <v>0</v>
      </c>
      <c r="AB68" s="137">
        <f>'LCIA_AD-a'!AB70</f>
        <v>0</v>
      </c>
      <c r="AC68" s="137">
        <f>'LCIA_AD-a'!AC70</f>
        <v>0</v>
      </c>
      <c r="AD68" s="137">
        <f>'LCIA_AD-a'!AD70</f>
        <v>0</v>
      </c>
      <c r="AE68" s="137">
        <f>'LCIA_AD-a'!AE70</f>
        <v>0</v>
      </c>
      <c r="AF68" s="137">
        <f>'LCIA_AD-a'!AF70</f>
        <v>0</v>
      </c>
      <c r="AG68" s="137">
        <f>'LCIA_AD-a'!AG70</f>
        <v>-3.7432543535239895</v>
      </c>
      <c r="AH68" s="137">
        <f>'LCIA_AD-a'!AH70</f>
        <v>0</v>
      </c>
      <c r="AI68" s="137">
        <f>'LCIA_AD-a'!AI70</f>
        <v>0</v>
      </c>
      <c r="AJ68" s="137">
        <f>'LCIA_AD-a'!AJ70</f>
        <v>0</v>
      </c>
      <c r="AK68" s="137">
        <f>'LCIA_AD-a'!AK70</f>
        <v>0</v>
      </c>
    </row>
    <row r="69" spans="1:37" x14ac:dyDescent="0.35">
      <c r="A69" s="142"/>
      <c r="B69" s="137" t="s">
        <v>414</v>
      </c>
      <c r="C69" s="137">
        <f>'LCIA_AD-a'!C71</f>
        <v>0</v>
      </c>
      <c r="D69" s="137">
        <f>'LCIA_AD-a'!D71</f>
        <v>0</v>
      </c>
      <c r="E69" s="137">
        <f>'LCIA_AD-a'!E71</f>
        <v>0</v>
      </c>
      <c r="F69" s="137">
        <f>'LCIA_AD-a'!F71</f>
        <v>0</v>
      </c>
      <c r="G69" s="137">
        <f>'LCIA_AD-a'!G71</f>
        <v>0</v>
      </c>
      <c r="H69" s="137">
        <f>'LCIA_AD-a'!H71</f>
        <v>0</v>
      </c>
      <c r="I69" s="137">
        <f>'LCIA_AD-a'!I71</f>
        <v>0</v>
      </c>
      <c r="J69" s="137">
        <f>'LCIA_AD-a'!J71</f>
        <v>0</v>
      </c>
      <c r="K69" s="137">
        <f>'LCIA_AD-a'!K71</f>
        <v>-0.19421069896461307</v>
      </c>
      <c r="L69" s="137">
        <f>'LCIA_AD-a'!L71</f>
        <v>0</v>
      </c>
      <c r="M69" s="137">
        <f>'LCIA_AD-a'!M71</f>
        <v>0</v>
      </c>
      <c r="N69" s="137">
        <f>'LCIA_AD-a'!N71</f>
        <v>0</v>
      </c>
      <c r="O69" s="137">
        <f>'LCIA_AD-a'!O71</f>
        <v>0</v>
      </c>
      <c r="P69" s="137">
        <f>'LCIA_AD-a'!P71</f>
        <v>0</v>
      </c>
      <c r="Q69" s="137">
        <f>'LCIA_AD-a'!Q71</f>
        <v>0</v>
      </c>
      <c r="R69" s="137">
        <f>'LCIA_AD-a'!R71</f>
        <v>0</v>
      </c>
      <c r="S69" s="137">
        <f>'LCIA_AD-a'!S71</f>
        <v>0</v>
      </c>
      <c r="T69" s="137">
        <f>'LCIA_AD-a'!T71</f>
        <v>0</v>
      </c>
      <c r="U69" s="137">
        <f>'LCIA_AD-a'!U71</f>
        <v>0</v>
      </c>
      <c r="V69" s="137">
        <f>'LCIA_AD-a'!V71</f>
        <v>0</v>
      </c>
      <c r="W69" s="137">
        <f>'LCIA_AD-a'!W71</f>
        <v>0</v>
      </c>
      <c r="X69" s="137">
        <f>'LCIA_AD-a'!X71</f>
        <v>0</v>
      </c>
      <c r="Y69" s="137">
        <f>'LCIA_AD-a'!Y71</f>
        <v>0</v>
      </c>
      <c r="Z69" s="137">
        <f>'LCIA_AD-a'!Z71</f>
        <v>0</v>
      </c>
      <c r="AA69" s="137">
        <f>'LCIA_AD-a'!AA71</f>
        <v>0</v>
      </c>
      <c r="AB69" s="137">
        <f>'LCIA_AD-a'!AB71</f>
        <v>0</v>
      </c>
      <c r="AC69" s="137">
        <f>'LCIA_AD-a'!AC71</f>
        <v>0</v>
      </c>
      <c r="AD69" s="137">
        <f>'LCIA_AD-a'!AD71</f>
        <v>0</v>
      </c>
      <c r="AE69" s="137">
        <f>'LCIA_AD-a'!AE71</f>
        <v>0</v>
      </c>
      <c r="AF69" s="137">
        <f>'LCIA_AD-a'!AF71</f>
        <v>0</v>
      </c>
      <c r="AG69" s="137">
        <f>'LCIA_AD-a'!AG71</f>
        <v>-0.19421069896461307</v>
      </c>
      <c r="AH69" s="137">
        <f>'LCIA_AD-a'!AH71</f>
        <v>0</v>
      </c>
      <c r="AI69" s="137">
        <f>'LCIA_AD-a'!AI71</f>
        <v>0</v>
      </c>
      <c r="AJ69" s="137">
        <f>'LCIA_AD-a'!AJ71</f>
        <v>0</v>
      </c>
      <c r="AK69" s="137">
        <f>'LCIA_AD-a'!AK71</f>
        <v>0</v>
      </c>
    </row>
    <row r="70" spans="1:37" x14ac:dyDescent="0.35">
      <c r="A70" s="142"/>
      <c r="B70" s="137" t="s">
        <v>415</v>
      </c>
      <c r="C70" s="137">
        <f>'LCIA_AD-a'!C72</f>
        <v>0</v>
      </c>
      <c r="D70" s="137">
        <f>'LCIA_AD-a'!D72</f>
        <v>0</v>
      </c>
      <c r="E70" s="137">
        <f>'LCIA_AD-a'!E72</f>
        <v>0</v>
      </c>
      <c r="F70" s="137">
        <f>'LCIA_AD-a'!F72</f>
        <v>0</v>
      </c>
      <c r="G70" s="137">
        <f>'LCIA_AD-a'!G72</f>
        <v>0</v>
      </c>
      <c r="H70" s="137">
        <f>'LCIA_AD-a'!H72</f>
        <v>0</v>
      </c>
      <c r="I70" s="137">
        <f>'LCIA_AD-a'!I72</f>
        <v>0</v>
      </c>
      <c r="J70" s="137">
        <f>'LCIA_AD-a'!J72</f>
        <v>0</v>
      </c>
      <c r="K70" s="137">
        <f>'LCIA_AD-a'!K72</f>
        <v>0</v>
      </c>
      <c r="L70" s="137">
        <f>'LCIA_AD-a'!L72</f>
        <v>0</v>
      </c>
      <c r="M70" s="137">
        <f>'LCIA_AD-a'!M72</f>
        <v>0</v>
      </c>
      <c r="N70" s="137">
        <f>'LCIA_AD-a'!N72</f>
        <v>0</v>
      </c>
      <c r="O70" s="137">
        <f>'LCIA_AD-a'!O72</f>
        <v>0</v>
      </c>
      <c r="P70" s="137">
        <f>'LCIA_AD-a'!P72</f>
        <v>0</v>
      </c>
      <c r="Q70" s="137">
        <f>'LCIA_AD-a'!Q72</f>
        <v>0</v>
      </c>
      <c r="R70" s="137">
        <f>'LCIA_AD-a'!R72</f>
        <v>0</v>
      </c>
      <c r="S70" s="137">
        <f>'LCIA_AD-a'!S72</f>
        <v>0</v>
      </c>
      <c r="T70" s="137">
        <f>'LCIA_AD-a'!T72</f>
        <v>0</v>
      </c>
      <c r="U70" s="137">
        <f>'LCIA_AD-a'!U72</f>
        <v>0</v>
      </c>
      <c r="V70" s="137">
        <f>'LCIA_AD-a'!V72</f>
        <v>0</v>
      </c>
      <c r="W70" s="137">
        <f>'LCIA_AD-a'!W72</f>
        <v>0</v>
      </c>
      <c r="X70" s="137">
        <f>'LCIA_AD-a'!X72</f>
        <v>0</v>
      </c>
      <c r="Y70" s="137">
        <f>'LCIA_AD-a'!Y72</f>
        <v>0</v>
      </c>
      <c r="Z70" s="137">
        <f>'LCIA_AD-a'!Z72</f>
        <v>0</v>
      </c>
      <c r="AA70" s="137">
        <f>'LCIA_AD-a'!AA72</f>
        <v>0</v>
      </c>
      <c r="AB70" s="137">
        <f>'LCIA_AD-a'!AB72</f>
        <v>0</v>
      </c>
      <c r="AC70" s="137">
        <f>'LCIA_AD-a'!AC72</f>
        <v>0</v>
      </c>
      <c r="AD70" s="137">
        <f>'LCIA_AD-a'!AD72</f>
        <v>0</v>
      </c>
      <c r="AE70" s="137">
        <f>'LCIA_AD-a'!AE72</f>
        <v>0</v>
      </c>
      <c r="AF70" s="137">
        <f>'LCIA_AD-a'!AF72</f>
        <v>0</v>
      </c>
      <c r="AG70" s="137">
        <f>'LCIA_AD-a'!AG72</f>
        <v>0</v>
      </c>
      <c r="AH70" s="137">
        <f>'LCIA_AD-a'!AH72</f>
        <v>0</v>
      </c>
      <c r="AI70" s="137">
        <f>'LCIA_AD-a'!AI72</f>
        <v>0</v>
      </c>
      <c r="AJ70" s="137">
        <f>'LCIA_AD-a'!AJ72</f>
        <v>0</v>
      </c>
      <c r="AK70" s="137">
        <f>'LCIA_AD-a'!AK72</f>
        <v>0</v>
      </c>
    </row>
    <row r="71" spans="1:37" x14ac:dyDescent="0.35">
      <c r="A71" s="142" t="s">
        <v>421</v>
      </c>
      <c r="B71" s="137"/>
      <c r="C71" s="142">
        <f>SUM(C72:C76)</f>
        <v>47.916847568106682</v>
      </c>
      <c r="D71" s="142">
        <f t="shared" ref="D71:AK71" si="10">SUM(D72:D76)</f>
        <v>17.299854412463738</v>
      </c>
      <c r="E71" s="142">
        <f t="shared" si="10"/>
        <v>6.4577403445489413E-4</v>
      </c>
      <c r="F71" s="142">
        <f t="shared" si="10"/>
        <v>2.331496612655905E-4</v>
      </c>
      <c r="G71" s="142">
        <f t="shared" si="10"/>
        <v>2.251651239034406E-16</v>
      </c>
      <c r="H71" s="142">
        <f t="shared" si="10"/>
        <v>1.2881001416216948</v>
      </c>
      <c r="I71" s="142">
        <f t="shared" si="10"/>
        <v>11.026122916895719</v>
      </c>
      <c r="J71" s="142">
        <f t="shared" si="10"/>
        <v>5.1288949567465805</v>
      </c>
      <c r="K71" s="142">
        <f t="shared" si="10"/>
        <v>0.15833380141758374</v>
      </c>
      <c r="L71" s="142">
        <f t="shared" si="10"/>
        <v>5.6097900530740496E-7</v>
      </c>
      <c r="M71" s="142">
        <f t="shared" si="10"/>
        <v>1.701944996498638E-5</v>
      </c>
      <c r="N71" s="142">
        <f t="shared" si="10"/>
        <v>1.7650738571110041E-5</v>
      </c>
      <c r="O71" s="142">
        <f t="shared" si="10"/>
        <v>2.0257322298330554E-5</v>
      </c>
      <c r="P71" s="142">
        <f t="shared" si="10"/>
        <v>1.0299371811518392E-8</v>
      </c>
      <c r="Q71" s="142">
        <f t="shared" si="10"/>
        <v>2.0467451490551015E-7</v>
      </c>
      <c r="R71" s="142">
        <f t="shared" si="10"/>
        <v>2.1534255930846493</v>
      </c>
      <c r="S71" s="142">
        <f t="shared" si="10"/>
        <v>4.2837646031688372</v>
      </c>
      <c r="T71" s="142">
        <f t="shared" si="10"/>
        <v>16.752472591496186</v>
      </c>
      <c r="U71" s="142">
        <f t="shared" si="10"/>
        <v>1.8185149125793925</v>
      </c>
      <c r="V71" s="142">
        <f t="shared" si="10"/>
        <v>2.8937625399221425E-5</v>
      </c>
      <c r="W71" s="142">
        <f t="shared" si="10"/>
        <v>3.5414709009100396E-5</v>
      </c>
      <c r="X71" s="142">
        <f t="shared" si="10"/>
        <v>0.15540880383758732</v>
      </c>
      <c r="Y71" s="142">
        <f t="shared" si="10"/>
        <v>3.0697242449995046E-8</v>
      </c>
      <c r="Z71" s="142">
        <f t="shared" si="10"/>
        <v>1.0156298030504394E-4</v>
      </c>
      <c r="AA71" s="142">
        <f t="shared" si="10"/>
        <v>3.6967574322996359</v>
      </c>
      <c r="AB71" s="142">
        <f t="shared" si="10"/>
        <v>3.4314476868853394E-7</v>
      </c>
      <c r="AC71" s="142">
        <f t="shared" si="10"/>
        <v>8.7134190185510203</v>
      </c>
      <c r="AD71" s="142">
        <f t="shared" si="10"/>
        <v>1.0562356203004133</v>
      </c>
      <c r="AE71" s="142">
        <f t="shared" si="10"/>
        <v>1.2926368788321645</v>
      </c>
      <c r="AF71" s="142">
        <f t="shared" si="10"/>
        <v>1.0854176714565412E-2</v>
      </c>
      <c r="AG71" s="142">
        <f t="shared" si="10"/>
        <v>122.76127903696758</v>
      </c>
      <c r="AH71" s="142">
        <f t="shared" si="10"/>
        <v>1.1397819156874496E-3</v>
      </c>
      <c r="AI71" s="142">
        <f t="shared" si="10"/>
        <v>8.4514665869731128E-4</v>
      </c>
      <c r="AJ71" s="142">
        <f t="shared" si="10"/>
        <v>1.0322823329614398E-4</v>
      </c>
      <c r="AK71" s="142">
        <f t="shared" si="10"/>
        <v>8.7260995587359821E-3</v>
      </c>
    </row>
    <row r="72" spans="1:37" x14ac:dyDescent="0.35">
      <c r="A72" s="142"/>
      <c r="B72" s="137" t="s">
        <v>228</v>
      </c>
      <c r="C72" s="137">
        <f>'LCIA_AD-a'!C74</f>
        <v>10.35843815099034</v>
      </c>
      <c r="D72" s="137">
        <f>'LCIA_AD-a'!D74</f>
        <v>3.3369667444896667</v>
      </c>
      <c r="E72" s="137">
        <f>'LCIA_AD-a'!E74</f>
        <v>1.3960038556185914E-4</v>
      </c>
      <c r="F72" s="137">
        <f>'LCIA_AD-a'!F74</f>
        <v>4.4972208874300386E-5</v>
      </c>
      <c r="G72" s="137">
        <f>'LCIA_AD-a'!G74</f>
        <v>7.1839059451077027E-17</v>
      </c>
      <c r="H72" s="137">
        <f>'LCIA_AD-a'!H74</f>
        <v>0.15976538150591041</v>
      </c>
      <c r="I72" s="137">
        <f>'LCIA_AD-a'!I74</f>
        <v>1.3286838950285187</v>
      </c>
      <c r="J72" s="137">
        <f>'LCIA_AD-a'!J74</f>
        <v>0.44167281808898784</v>
      </c>
      <c r="K72" s="137">
        <f>'LCIA_AD-a'!K74</f>
        <v>6.4966943598052953E-4</v>
      </c>
      <c r="L72" s="137">
        <f>'LCIA_AD-a'!L74</f>
        <v>9.9178611616952431E-8</v>
      </c>
      <c r="M72" s="137">
        <f>'LCIA_AD-a'!M74</f>
        <v>4.6569101689615966E-6</v>
      </c>
      <c r="N72" s="137">
        <f>'LCIA_AD-a'!N74</f>
        <v>3.2305737622603584E-6</v>
      </c>
      <c r="O72" s="137">
        <f>'LCIA_AD-a'!O74</f>
        <v>3.2697442520780137E-6</v>
      </c>
      <c r="P72" s="137">
        <f>'LCIA_AD-a'!P74</f>
        <v>1.3965488787624792E-9</v>
      </c>
      <c r="Q72" s="137">
        <f>'LCIA_AD-a'!Q74</f>
        <v>2.522741482903371E-8</v>
      </c>
      <c r="R72" s="137">
        <f>'LCIA_AD-a'!R74</f>
        <v>0.18924733002891919</v>
      </c>
      <c r="S72" s="137">
        <f>'LCIA_AD-a'!S74</f>
        <v>0.34162924878201517</v>
      </c>
      <c r="T72" s="137">
        <f>'LCIA_AD-a'!T74</f>
        <v>3.5833262224005518</v>
      </c>
      <c r="U72" s="137">
        <f>'LCIA_AD-a'!U74</f>
        <v>0.38897871107892706</v>
      </c>
      <c r="V72" s="137">
        <f>'LCIA_AD-a'!V74</f>
        <v>6.9458050003459681E-6</v>
      </c>
      <c r="W72" s="137">
        <f>'LCIA_AD-a'!W74</f>
        <v>9.4523840991512821E-6</v>
      </c>
      <c r="X72" s="137">
        <f>'LCIA_AD-a'!X74</f>
        <v>6.5295283178198271E-2</v>
      </c>
      <c r="Y72" s="137">
        <f>'LCIA_AD-a'!Y74</f>
        <v>1.0847755754146297E-9</v>
      </c>
      <c r="Z72" s="137">
        <f>'LCIA_AD-a'!Z74</f>
        <v>1.2853779227979255E-5</v>
      </c>
      <c r="AA72" s="137">
        <f>'LCIA_AD-a'!AA74</f>
        <v>0.37169565680962818</v>
      </c>
      <c r="AB72" s="137">
        <f>'LCIA_AD-a'!AB74</f>
        <v>3.5745885416060553E-8</v>
      </c>
      <c r="AC72" s="137">
        <f>'LCIA_AD-a'!AC74</f>
        <v>1.4643983888361911</v>
      </c>
      <c r="AD72" s="137">
        <f>'LCIA_AD-a'!AD74</f>
        <v>0.25352298793489464</v>
      </c>
      <c r="AE72" s="137">
        <f>'LCIA_AD-a'!AE74</f>
        <v>0.34501201961902173</v>
      </c>
      <c r="AF72" s="137">
        <f>'LCIA_AD-a'!AF74</f>
        <v>1.5683596768609758E-3</v>
      </c>
      <c r="AG72" s="137">
        <f>'LCIA_AD-a'!AG74</f>
        <v>22.631790736087716</v>
      </c>
      <c r="AH72" s="137">
        <f>'LCIA_AD-a'!AH74</f>
        <v>2.5063060710058747E-4</v>
      </c>
      <c r="AI72" s="137">
        <f>'LCIA_AD-a'!AI74</f>
        <v>3.4292573087756539E-4</v>
      </c>
      <c r="AJ72" s="137">
        <f>'LCIA_AD-a'!AJ74</f>
        <v>4.1885768565711923E-5</v>
      </c>
      <c r="AK72" s="137">
        <f>'LCIA_AD-a'!AK74</f>
        <v>5.8054288660261226E-4</v>
      </c>
    </row>
    <row r="73" spans="1:37" x14ac:dyDescent="0.35">
      <c r="A73" s="142"/>
      <c r="B73" s="137" t="s">
        <v>230</v>
      </c>
      <c r="C73" s="137">
        <f>'LCIA_AD-a'!C75</f>
        <v>7.5621190692666165</v>
      </c>
      <c r="D73" s="137">
        <f>'LCIA_AD-a'!D75</f>
        <v>2.2706139032262609</v>
      </c>
      <c r="E73" s="137">
        <f>'LCIA_AD-a'!E75</f>
        <v>1.0191447034255612E-4</v>
      </c>
      <c r="F73" s="137">
        <f>'LCIA_AD-a'!F75</f>
        <v>3.0601001013091792E-5</v>
      </c>
      <c r="G73" s="137">
        <f>'LCIA_AD-a'!G75</f>
        <v>1.1497481230567759E-16</v>
      </c>
      <c r="H73" s="137">
        <f>'LCIA_AD-a'!H75</f>
        <v>0.70476902100808392</v>
      </c>
      <c r="I73" s="137">
        <f>'LCIA_AD-a'!I75</f>
        <v>3.6906910779461204</v>
      </c>
      <c r="J73" s="137">
        <f>'LCIA_AD-a'!J75</f>
        <v>0.33849636256650795</v>
      </c>
      <c r="K73" s="137">
        <f>'LCIA_AD-a'!K75</f>
        <v>0.15668966620926444</v>
      </c>
      <c r="L73" s="137">
        <f>'LCIA_AD-a'!L75</f>
        <v>1.9633790233167265E-7</v>
      </c>
      <c r="M73" s="137">
        <f>'LCIA_AD-a'!M75</f>
        <v>7.3548680496487088E-6</v>
      </c>
      <c r="N73" s="137">
        <f>'LCIA_AD-a'!N75</f>
        <v>6.3051199392739216E-6</v>
      </c>
      <c r="O73" s="137">
        <f>'LCIA_AD-a'!O75</f>
        <v>1.1017961092851991E-5</v>
      </c>
      <c r="P73" s="137">
        <f>'LCIA_AD-a'!P75</f>
        <v>7.3071772848713008E-9</v>
      </c>
      <c r="Q73" s="137">
        <f>'LCIA_AD-a'!Q75</f>
        <v>1.4867259719273959E-7</v>
      </c>
      <c r="R73" s="137">
        <f>'LCIA_AD-a'!R75</f>
        <v>1.0741998489157791</v>
      </c>
      <c r="S73" s="137">
        <f>'LCIA_AD-a'!S75</f>
        <v>1.2438454860455115</v>
      </c>
      <c r="T73" s="137">
        <f>'LCIA_AD-a'!T75</f>
        <v>2.7219878231228605</v>
      </c>
      <c r="U73" s="137">
        <f>'LCIA_AD-a'!U75</f>
        <v>0.29547782338190726</v>
      </c>
      <c r="V73" s="137">
        <f>'LCIA_AD-a'!V75</f>
        <v>1.1380329385058165E-5</v>
      </c>
      <c r="W73" s="137">
        <f>'LCIA_AD-a'!W75</f>
        <v>1.5101048836186786E-5</v>
      </c>
      <c r="X73" s="137">
        <f>'LCIA_AD-a'!X75</f>
        <v>2.2656385776052428E-2</v>
      </c>
      <c r="Y73" s="137">
        <f>'LCIA_AD-a'!Y75</f>
        <v>6.0126879000854583E-10</v>
      </c>
      <c r="Z73" s="137">
        <f>'LCIA_AD-a'!Z75</f>
        <v>5.6746972480412308E-5</v>
      </c>
      <c r="AA73" s="137">
        <f>'LCIA_AD-a'!AA75</f>
        <v>0.43384146164752557</v>
      </c>
      <c r="AB73" s="137">
        <f>'LCIA_AD-a'!AB75</f>
        <v>4.3409608990377984E-8</v>
      </c>
      <c r="AC73" s="137">
        <f>'LCIA_AD-a'!AC75</f>
        <v>4.2975468876606771</v>
      </c>
      <c r="AD73" s="137">
        <f>'LCIA_AD-a'!AD75</f>
        <v>0.41538780694478905</v>
      </c>
      <c r="AE73" s="137">
        <f>'LCIA_AD-a'!AE75</f>
        <v>0.55118828252081775</v>
      </c>
      <c r="AF73" s="137">
        <f>'LCIA_AD-a'!AF75</f>
        <v>6.0768319209760883E-3</v>
      </c>
      <c r="AG73" s="137">
        <f>'LCIA_AD-a'!AG75</f>
        <v>25.791383312659651</v>
      </c>
      <c r="AH73" s="137">
        <f>'LCIA_AD-a'!AH75</f>
        <v>2.5980044854131523E-4</v>
      </c>
      <c r="AI73" s="137">
        <f>'LCIA_AD-a'!AI75</f>
        <v>3.7227889535239046E-4</v>
      </c>
      <c r="AJ73" s="137">
        <f>'LCIA_AD-a'!AJ75</f>
        <v>4.5471034246176504E-5</v>
      </c>
      <c r="AK73" s="137">
        <f>'LCIA_AD-a'!AK75</f>
        <v>5.3968069191696767E-3</v>
      </c>
    </row>
    <row r="74" spans="1:37" x14ac:dyDescent="0.35">
      <c r="A74" s="142"/>
      <c r="B74" s="137" t="s">
        <v>229</v>
      </c>
      <c r="C74" s="137">
        <f>'LCIA_AD-a'!C76</f>
        <v>4.672805668709656</v>
      </c>
      <c r="D74" s="137">
        <f>'LCIA_AD-a'!D76</f>
        <v>1.4230499308908755</v>
      </c>
      <c r="E74" s="137">
        <f>'LCIA_AD-a'!E76</f>
        <v>6.2975273250547161E-5</v>
      </c>
      <c r="F74" s="137">
        <f>'LCIA_AD-a'!F76</f>
        <v>1.9178404710284448E-5</v>
      </c>
      <c r="G74" s="137">
        <f>'LCIA_AD-a'!G76</f>
        <v>3.8351252146686007E-17</v>
      </c>
      <c r="H74" s="137">
        <f>'LCIA_AD-a'!H76</f>
        <v>9.0501306253378364E-2</v>
      </c>
      <c r="I74" s="137">
        <f>'LCIA_AD-a'!I76</f>
        <v>2.4469188380433797</v>
      </c>
      <c r="J74" s="137">
        <f>'LCIA_AD-a'!J76</f>
        <v>0.25452117604786123</v>
      </c>
      <c r="K74" s="137">
        <f>'LCIA_AD-a'!K76</f>
        <v>4.6061135544141327E-4</v>
      </c>
      <c r="L74" s="137">
        <f>'LCIA_AD-a'!L76</f>
        <v>6.7954840852507947E-8</v>
      </c>
      <c r="M74" s="137">
        <f>'LCIA_AD-a'!M76</f>
        <v>3.3822653762640168E-6</v>
      </c>
      <c r="N74" s="137">
        <f>'LCIA_AD-a'!N76</f>
        <v>2.2580610786893007E-6</v>
      </c>
      <c r="O74" s="137">
        <f>'LCIA_AD-a'!O76</f>
        <v>2.1001054301561887E-6</v>
      </c>
      <c r="P74" s="137">
        <f>'LCIA_AD-a'!P76</f>
        <v>8.4101397978904736E-10</v>
      </c>
      <c r="Q74" s="137">
        <f>'LCIA_AD-a'!Q76</f>
        <v>1.4609866583635377E-8</v>
      </c>
      <c r="R74" s="137">
        <f>'LCIA_AD-a'!R76</f>
        <v>0.43774715871875158</v>
      </c>
      <c r="S74" s="137">
        <f>'LCIA_AD-a'!S76</f>
        <v>0.80750302297936827</v>
      </c>
      <c r="T74" s="137">
        <f>'LCIA_AD-a'!T76</f>
        <v>1.6899583886444969</v>
      </c>
      <c r="U74" s="137">
        <f>'LCIA_AD-a'!U76</f>
        <v>0.18344835910684987</v>
      </c>
      <c r="V74" s="137">
        <f>'LCIA_AD-a'!V76</f>
        <v>4.1839195543371516E-6</v>
      </c>
      <c r="W74" s="137">
        <f>'LCIA_AD-a'!W76</f>
        <v>5.2373234079643975E-6</v>
      </c>
      <c r="X74" s="137">
        <f>'LCIA_AD-a'!X76</f>
        <v>1.4808884601528851E-2</v>
      </c>
      <c r="Y74" s="137">
        <f>'LCIA_AD-a'!Y76</f>
        <v>4.9916504449657591E-10</v>
      </c>
      <c r="Z74" s="137">
        <f>'LCIA_AD-a'!Z76</f>
        <v>8.31333748111013E-6</v>
      </c>
      <c r="AA74" s="137">
        <f>'LCIA_AD-a'!AA76</f>
        <v>0.40037884805765755</v>
      </c>
      <c r="AB74" s="137">
        <f>'LCIA_AD-a'!AB76</f>
        <v>3.9818577660412446E-8</v>
      </c>
      <c r="AC74" s="137">
        <f>'LCIA_AD-a'!AC76</f>
        <v>0.62383457282664401</v>
      </c>
      <c r="AD74" s="137">
        <f>'LCIA_AD-a'!AD76</f>
        <v>0.1527138918650883</v>
      </c>
      <c r="AE74" s="137">
        <f>'LCIA_AD-a'!AE76</f>
        <v>0.19116230439070045</v>
      </c>
      <c r="AF74" s="137">
        <f>'LCIA_AD-a'!AF76</f>
        <v>9.4055367393750227E-4</v>
      </c>
      <c r="AG74" s="137">
        <f>'LCIA_AD-a'!AG76</f>
        <v>13.391095550886918</v>
      </c>
      <c r="AH74" s="137">
        <f>'LCIA_AD-a'!AH76</f>
        <v>1.0401881169221188E-4</v>
      </c>
      <c r="AI74" s="137">
        <f>'LCIA_AD-a'!AI76</f>
        <v>4.6572544448635516E-5</v>
      </c>
      <c r="AJ74" s="137">
        <f>'LCIA_AD-a'!AJ76</f>
        <v>5.6884819150193094E-6</v>
      </c>
      <c r="AK74" s="137">
        <f>'LCIA_AD-a'!AK76</f>
        <v>2.8604009288160393E-4</v>
      </c>
    </row>
    <row r="75" spans="1:37" x14ac:dyDescent="0.35">
      <c r="A75" s="142"/>
      <c r="B75" s="137" t="s">
        <v>231</v>
      </c>
      <c r="C75" s="137">
        <f>'LCIA_AD-a'!C77</f>
        <v>0</v>
      </c>
      <c r="D75" s="137">
        <f>'LCIA_AD-a'!D77</f>
        <v>0</v>
      </c>
      <c r="E75" s="137">
        <f>'LCIA_AD-a'!E77</f>
        <v>0</v>
      </c>
      <c r="F75" s="137">
        <f>'LCIA_AD-a'!F77</f>
        <v>0</v>
      </c>
      <c r="G75" s="137">
        <f>'LCIA_AD-a'!G77</f>
        <v>0</v>
      </c>
      <c r="H75" s="137">
        <f>'LCIA_AD-a'!H77</f>
        <v>0</v>
      </c>
      <c r="I75" s="137">
        <f>'LCIA_AD-a'!I77</f>
        <v>0</v>
      </c>
      <c r="J75" s="137">
        <f>'LCIA_AD-a'!J77</f>
        <v>0</v>
      </c>
      <c r="K75" s="137">
        <f>'LCIA_AD-a'!K77</f>
        <v>0</v>
      </c>
      <c r="L75" s="137">
        <f>'LCIA_AD-a'!L77</f>
        <v>0</v>
      </c>
      <c r="M75" s="137">
        <f>'LCIA_AD-a'!M77</f>
        <v>0</v>
      </c>
      <c r="N75" s="137">
        <f>'LCIA_AD-a'!N77</f>
        <v>0</v>
      </c>
      <c r="O75" s="137">
        <f>'LCIA_AD-a'!O77</f>
        <v>0</v>
      </c>
      <c r="P75" s="137">
        <f>'LCIA_AD-a'!P77</f>
        <v>0</v>
      </c>
      <c r="Q75" s="137">
        <f>'LCIA_AD-a'!Q77</f>
        <v>0</v>
      </c>
      <c r="R75" s="137">
        <f>'LCIA_AD-a'!R77</f>
        <v>0</v>
      </c>
      <c r="S75" s="137">
        <f>'LCIA_AD-a'!S77</f>
        <v>0</v>
      </c>
      <c r="T75" s="137">
        <f>'LCIA_AD-a'!T77</f>
        <v>0</v>
      </c>
      <c r="U75" s="137">
        <f>'LCIA_AD-a'!U77</f>
        <v>0</v>
      </c>
      <c r="V75" s="137">
        <f>'LCIA_AD-a'!V77</f>
        <v>0</v>
      </c>
      <c r="W75" s="137">
        <f>'LCIA_AD-a'!W77</f>
        <v>0</v>
      </c>
      <c r="X75" s="137">
        <f>'LCIA_AD-a'!X77</f>
        <v>0</v>
      </c>
      <c r="Y75" s="137">
        <f>'LCIA_AD-a'!Y77</f>
        <v>0</v>
      </c>
      <c r="Z75" s="137">
        <f>'LCIA_AD-a'!Z77</f>
        <v>0</v>
      </c>
      <c r="AA75" s="137">
        <f>'LCIA_AD-a'!AA77</f>
        <v>0</v>
      </c>
      <c r="AB75" s="137">
        <f>'LCIA_AD-a'!AB77</f>
        <v>0</v>
      </c>
      <c r="AC75" s="137">
        <f>'LCIA_AD-a'!AC77</f>
        <v>0</v>
      </c>
      <c r="AD75" s="137">
        <f>'LCIA_AD-a'!AD77</f>
        <v>0</v>
      </c>
      <c r="AE75" s="137">
        <f>'LCIA_AD-a'!AE77</f>
        <v>0</v>
      </c>
      <c r="AF75" s="137">
        <f>'LCIA_AD-a'!AF77</f>
        <v>0</v>
      </c>
      <c r="AG75" s="137">
        <f>'LCIA_AD-a'!AG77</f>
        <v>0</v>
      </c>
      <c r="AH75" s="137">
        <f>'LCIA_AD-a'!AH77</f>
        <v>0</v>
      </c>
      <c r="AI75" s="137">
        <f>'LCIA_AD-a'!AI77</f>
        <v>0</v>
      </c>
      <c r="AJ75" s="137">
        <f>'LCIA_AD-a'!AJ77</f>
        <v>0</v>
      </c>
      <c r="AK75" s="137">
        <f>'LCIA_AD-a'!AK77</f>
        <v>0</v>
      </c>
    </row>
    <row r="76" spans="1:37" x14ac:dyDescent="0.35">
      <c r="A76" s="142"/>
      <c r="B76" s="137" t="s">
        <v>474</v>
      </c>
      <c r="C76" s="137">
        <f>'LCI_AD-c'!$E38*'IW+_end'!C38</f>
        <v>25.323484679140069</v>
      </c>
      <c r="D76" s="137">
        <f>'LCI_AD-c'!$E38*'IW+_end'!D38</f>
        <v>10.269223833856934</v>
      </c>
      <c r="E76" s="137">
        <f>'LCI_AD-c'!$E38*'IW+_end'!E38</f>
        <v>3.412839052999317E-4</v>
      </c>
      <c r="F76" s="137">
        <f>'LCI_AD-c'!$E38*'IW+_end'!F38</f>
        <v>1.3839804666791389E-4</v>
      </c>
      <c r="G76" s="137">
        <f>'LCI_AD-c'!$E38*'IW+_end'!G38</f>
        <v>0</v>
      </c>
      <c r="H76" s="137">
        <f>'LCI_AD-c'!$E38*'IW+_end'!H38</f>
        <v>0.33306443285432219</v>
      </c>
      <c r="I76" s="137">
        <f>'LCI_AD-c'!$E38*'IW+_end'!I38</f>
        <v>3.5598291058777001</v>
      </c>
      <c r="J76" s="137">
        <f>'LCI_AD-c'!$E38*'IW+_end'!J38</f>
        <v>4.0942046000432235</v>
      </c>
      <c r="K76" s="137">
        <f>'LCI_AD-c'!$E38*'IW+_end'!K38</f>
        <v>5.3385441689734559E-4</v>
      </c>
      <c r="L76" s="137">
        <f>'LCI_AD-c'!$E38*'IW+_end'!L38</f>
        <v>1.9750765050627191E-7</v>
      </c>
      <c r="M76" s="137">
        <f>'LCI_AD-c'!$E38*'IW+_end'!M38</f>
        <v>1.6254063701120575E-6</v>
      </c>
      <c r="N76" s="137">
        <f>'LCI_AD-c'!$E38*'IW+_end'!N38</f>
        <v>5.8569837908864588E-6</v>
      </c>
      <c r="O76" s="137">
        <f>'LCI_AD-c'!$E38*'IW+_end'!O38</f>
        <v>3.8695115232443626E-6</v>
      </c>
      <c r="P76" s="137">
        <f>'LCI_AD-c'!$E38*'IW+_end'!P38</f>
        <v>7.5463166809556347E-10</v>
      </c>
      <c r="Q76" s="137">
        <f>'LCI_AD-c'!$E38*'IW+_end'!Q38</f>
        <v>1.6164636300101453E-8</v>
      </c>
      <c r="R76" s="137">
        <f>'LCI_AD-c'!$E38*'IW+_end'!R38</f>
        <v>0.45223125542119935</v>
      </c>
      <c r="S76" s="137">
        <f>'LCI_AD-c'!$E38*'IW+_end'!S38</f>
        <v>1.8907868453619421</v>
      </c>
      <c r="T76" s="137">
        <f>'LCI_AD-c'!$E38*'IW+_end'!T38</f>
        <v>8.7572001573282794</v>
      </c>
      <c r="U76" s="137">
        <f>'LCI_AD-c'!$E38*'IW+_end'!U38</f>
        <v>0.95061001901170838</v>
      </c>
      <c r="V76" s="137">
        <f>'LCI_AD-c'!$E38*'IW+_end'!V38</f>
        <v>6.4275714594801406E-6</v>
      </c>
      <c r="W76" s="137">
        <f>'LCI_AD-c'!$E38*'IW+_end'!W38</f>
        <v>5.62395266579793E-6</v>
      </c>
      <c r="X76" s="137">
        <f>'LCI_AD-c'!$E38*'IW+_end'!X38</f>
        <v>5.2648250281807758E-2</v>
      </c>
      <c r="Y76" s="137">
        <f>'LCI_AD-c'!$E38*'IW+_end'!Y38</f>
        <v>2.8512033040075297E-8</v>
      </c>
      <c r="Z76" s="137">
        <f>'LCI_AD-c'!$E38*'IW+_end'!Z38</f>
        <v>2.3648891115542248E-5</v>
      </c>
      <c r="AA76" s="137">
        <f>'LCI_AD-c'!$E38*'IW+_end'!AA38</f>
        <v>2.4908414657848246</v>
      </c>
      <c r="AB76" s="137">
        <f>'LCI_AD-c'!$E38*'IW+_end'!AB38</f>
        <v>2.2417069662168297E-7</v>
      </c>
      <c r="AC76" s="137">
        <f>'LCI_AD-c'!$E38*'IW+_end'!AC38</f>
        <v>2.3276391692275085</v>
      </c>
      <c r="AD76" s="137">
        <f>'LCI_AD-c'!$E38*'IW+_end'!AD38</f>
        <v>0.23461093355564111</v>
      </c>
      <c r="AE76" s="137">
        <f>'LCI_AD-c'!$E38*'IW+_end'!AE38</f>
        <v>0.20527427230162446</v>
      </c>
      <c r="AF76" s="137">
        <f>'LCI_AD-c'!$E38*'IW+_end'!AF38</f>
        <v>2.2684314427908474E-3</v>
      </c>
      <c r="AG76" s="137">
        <f>'LCI_AD-c'!$E38*'IW+_end'!AG38</f>
        <v>60.9470094373333</v>
      </c>
      <c r="AH76" s="137">
        <f>'LCI_AD-c'!$E38*'IW+_end'!AH38</f>
        <v>5.2533204835333489E-4</v>
      </c>
      <c r="AI76" s="137">
        <f>'LCI_AD-c'!$E38*'IW+_end'!AI38</f>
        <v>8.3369488018719993E-5</v>
      </c>
      <c r="AJ76" s="137">
        <f>'LCI_AD-c'!$E38*'IW+_end'!AJ38</f>
        <v>1.0182948569236237E-5</v>
      </c>
      <c r="AK76" s="137">
        <f>'LCI_AD-c'!$E38*'IW+_end'!AK38</f>
        <v>2.4627096600820888E-3</v>
      </c>
    </row>
    <row r="77" spans="1:37" x14ac:dyDescent="0.35">
      <c r="A77" s="142" t="s">
        <v>488</v>
      </c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</row>
    <row r="78" spans="1:37" x14ac:dyDescent="0.35">
      <c r="A78" s="142"/>
      <c r="B78" s="137" t="s">
        <v>415</v>
      </c>
      <c r="C78" s="142">
        <f>'LCI_AD-c'!$E40*'IW+_end'!C26</f>
        <v>-108.47197525626564</v>
      </c>
      <c r="D78" s="142">
        <f>'LCI_AD-c'!$E40*'IW+_end'!D26</f>
        <v>-30.835591949042005</v>
      </c>
      <c r="E78" s="142">
        <f>'LCI_AD-c'!$E40*'IW+_end'!E26</f>
        <v>-1.4618738218737522E-3</v>
      </c>
      <c r="F78" s="142">
        <f>'LCI_AD-c'!$E40*'IW+_end'!F26</f>
        <v>-4.1557042310503807E-4</v>
      </c>
      <c r="G78" s="142">
        <f>'LCI_AD-c'!$E40*'IW+_end'!G26</f>
        <v>0</v>
      </c>
      <c r="H78" s="142">
        <f>'LCI_AD-c'!$E40*'IW+_end'!H26</f>
        <v>0</v>
      </c>
      <c r="I78" s="142">
        <f>'LCI_AD-c'!$E40*'IW+_end'!I26</f>
        <v>0</v>
      </c>
      <c r="J78" s="142">
        <f>'LCI_AD-c'!$E40*'IW+_end'!J26</f>
        <v>0</v>
      </c>
      <c r="K78" s="142">
        <f>'LCI_AD-c'!$E40*'IW+_end'!K26</f>
        <v>0</v>
      </c>
      <c r="L78" s="142">
        <f>'LCI_AD-c'!$E40*'IW+_end'!L26</f>
        <v>0</v>
      </c>
      <c r="M78" s="142">
        <f>'LCI_AD-c'!$E40*'IW+_end'!M26</f>
        <v>0</v>
      </c>
      <c r="N78" s="142">
        <f>'LCI_AD-c'!$E40*'IW+_end'!N26</f>
        <v>0</v>
      </c>
      <c r="O78" s="142">
        <f>'LCI_AD-c'!$E40*'IW+_end'!O26</f>
        <v>0</v>
      </c>
      <c r="P78" s="142">
        <f>'LCI_AD-c'!$E40*'IW+_end'!P26</f>
        <v>0</v>
      </c>
      <c r="Q78" s="142">
        <f>'LCI_AD-c'!$E40*'IW+_end'!Q26</f>
        <v>0</v>
      </c>
      <c r="R78" s="142">
        <f>'LCI_AD-c'!$E40*'IW+_end'!R26</f>
        <v>0</v>
      </c>
      <c r="S78" s="142">
        <f>'LCI_AD-c'!$E40*'IW+_end'!S26</f>
        <v>0</v>
      </c>
      <c r="T78" s="142">
        <f>'LCI_AD-c'!$E40*'IW+_end'!T26</f>
        <v>-39.649864501255998</v>
      </c>
      <c r="U78" s="142">
        <f>'LCI_AD-c'!$E40*'IW+_end'!U26</f>
        <v>-4.3040971333600266</v>
      </c>
      <c r="V78" s="142">
        <f>'LCI_AD-c'!$E40*'IW+_end'!V26</f>
        <v>0</v>
      </c>
      <c r="W78" s="142">
        <f>'LCI_AD-c'!$E40*'IW+_end'!W26</f>
        <v>0</v>
      </c>
      <c r="X78" s="142">
        <f>'LCI_AD-c'!$E40*'IW+_end'!X26</f>
        <v>0</v>
      </c>
      <c r="Y78" s="142">
        <f>'LCI_AD-c'!$E40*'IW+_end'!Y26</f>
        <v>0</v>
      </c>
      <c r="Z78" s="142">
        <f>'LCI_AD-c'!$E40*'IW+_end'!Z26</f>
        <v>0</v>
      </c>
      <c r="AA78" s="142">
        <f>'LCI_AD-c'!$E40*'IW+_end'!AA26</f>
        <v>0</v>
      </c>
      <c r="AB78" s="142">
        <f>'LCI_AD-c'!$E40*'IW+_end'!AB26</f>
        <v>0</v>
      </c>
      <c r="AC78" s="142">
        <f>'LCI_AD-c'!$E40*'IW+_end'!AC26</f>
        <v>0</v>
      </c>
      <c r="AD78" s="142">
        <f>'LCI_AD-c'!$E40*'IW+_end'!AD26</f>
        <v>0</v>
      </c>
      <c r="AE78" s="142">
        <f>'LCI_AD-c'!$E40*'IW+_end'!AE26</f>
        <v>0</v>
      </c>
      <c r="AF78" s="142">
        <f>'LCI_AD-c'!$E40*'IW+_end'!AF26</f>
        <v>0</v>
      </c>
      <c r="AG78" s="142">
        <f>'LCI_AD-c'!$E40*'IW+_end'!AG26</f>
        <v>-183.26152883992364</v>
      </c>
      <c r="AH78" s="142">
        <f>'LCI_AD-c'!$E40*'IW+_end'!AH26</f>
        <v>-1.8774442450047984E-3</v>
      </c>
      <c r="AI78" s="142">
        <f>'LCI_AD-c'!$E40*'IW+_end'!AI26</f>
        <v>0</v>
      </c>
      <c r="AJ78" s="142">
        <f>'LCI_AD-c'!$E40*'IW+_end'!AJ26</f>
        <v>0</v>
      </c>
      <c r="AK78" s="142">
        <f>'LCI_AD-c'!$E40*'IW+_end'!AK26</f>
        <v>0</v>
      </c>
    </row>
    <row r="80" spans="1:37" x14ac:dyDescent="0.35">
      <c r="A80" s="40" t="s">
        <v>500</v>
      </c>
      <c r="B80" s="40"/>
      <c r="C80" s="40">
        <f>C45+C65-C71+C78</f>
        <v>-134.65170213372258</v>
      </c>
      <c r="D80" s="40">
        <f t="shared" ref="D80:AK80" si="11">D45+D65-D71+D78</f>
        <v>-29.746275699138721</v>
      </c>
      <c r="E80" s="40">
        <f t="shared" si="11"/>
        <v>-1.8146972796889386E-3</v>
      </c>
      <c r="F80" s="40">
        <f t="shared" si="11"/>
        <v>-4.0088960023547534E-4</v>
      </c>
      <c r="G80" s="40">
        <f t="shared" si="11"/>
        <v>-1.6044636047830191E-16</v>
      </c>
      <c r="H80" s="40">
        <f t="shared" si="11"/>
        <v>7.019301558882014</v>
      </c>
      <c r="I80" s="40">
        <f t="shared" si="11"/>
        <v>17.385412275679446</v>
      </c>
      <c r="J80" s="40">
        <f t="shared" si="11"/>
        <v>-4.2476627237109534</v>
      </c>
      <c r="K80" s="40">
        <f t="shared" si="11"/>
        <v>-0.34456934213166568</v>
      </c>
      <c r="L80" s="40">
        <f t="shared" si="11"/>
        <v>-2.3934896194716857E-7</v>
      </c>
      <c r="M80" s="40">
        <f t="shared" si="11"/>
        <v>1.1800979795548726E-5</v>
      </c>
      <c r="N80" s="40">
        <f t="shared" si="11"/>
        <v>-8.798591418798032E-6</v>
      </c>
      <c r="O80" s="40">
        <f t="shared" si="11"/>
        <v>1.0025017484778982E-5</v>
      </c>
      <c r="P80" s="40">
        <f t="shared" si="11"/>
        <v>3.6551915583444001E-8</v>
      </c>
      <c r="Q80" s="40">
        <f t="shared" si="11"/>
        <v>1.2119843629831433E-6</v>
      </c>
      <c r="R80" s="40">
        <f t="shared" si="11"/>
        <v>-0.4174105660749583</v>
      </c>
      <c r="S80" s="40">
        <f t="shared" si="11"/>
        <v>-3.3982002288717128</v>
      </c>
      <c r="T80" s="40">
        <f t="shared" si="11"/>
        <v>-51.119988859509796</v>
      </c>
      <c r="U80" s="40">
        <f t="shared" si="11"/>
        <v>-5.5492013873471837</v>
      </c>
      <c r="V80" s="40">
        <f t="shared" si="11"/>
        <v>-8.2950602930402149E-6</v>
      </c>
      <c r="W80" s="40">
        <f t="shared" si="11"/>
        <v>-2.2908072020682114E-5</v>
      </c>
      <c r="X80" s="40">
        <f t="shared" si="11"/>
        <v>-0.75587681426308828</v>
      </c>
      <c r="Y80" s="40">
        <f t="shared" si="11"/>
        <v>-2.5069524216389872E-8</v>
      </c>
      <c r="Z80" s="40">
        <f t="shared" si="11"/>
        <v>7.3740074538213745E-4</v>
      </c>
      <c r="AA80" s="40">
        <f t="shared" si="11"/>
        <v>-2.3278112227838079</v>
      </c>
      <c r="AB80" s="40">
        <f t="shared" si="11"/>
        <v>-2.0407076164572761E-7</v>
      </c>
      <c r="AC80" s="40">
        <f t="shared" si="11"/>
        <v>96.508466613524419</v>
      </c>
      <c r="AD80" s="40">
        <f t="shared" si="11"/>
        <v>-0.30243558094036427</v>
      </c>
      <c r="AE80" s="40">
        <f t="shared" si="11"/>
        <v>-0.83614462875489726</v>
      </c>
      <c r="AF80" s="40">
        <f t="shared" si="11"/>
        <v>1.2720280190338886E-2</v>
      </c>
      <c r="AG80" s="40">
        <f t="shared" si="11"/>
        <v>-112.77908949552042</v>
      </c>
      <c r="AH80" s="40">
        <f t="shared" si="11"/>
        <v>-1.5339684382088524E-3</v>
      </c>
      <c r="AI80" s="40">
        <f t="shared" si="11"/>
        <v>-5.6944361633236805E-4</v>
      </c>
      <c r="AJ80" s="40">
        <f t="shared" si="11"/>
        <v>-6.9553204607550158E-5</v>
      </c>
      <c r="AK80" s="40">
        <f t="shared" si="11"/>
        <v>-7.1104263503031194E-3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A77" zoomScale="90" zoomScaleNormal="90" workbookViewId="0">
      <selection activeCell="AG59" sqref="AG1:AH1048576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3.6020203114535199</v>
      </c>
      <c r="D34" s="115">
        <f t="shared" ref="D34:G34" si="7">SUM(D35:D39)</f>
        <v>7.1951540722679077</v>
      </c>
      <c r="E34" s="115">
        <f t="shared" si="7"/>
        <v>0</v>
      </c>
      <c r="F34" s="115">
        <f t="shared" si="7"/>
        <v>1.4004955712866033E-5</v>
      </c>
      <c r="G34" s="115">
        <f t="shared" si="7"/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0</v>
      </c>
      <c r="D39" s="117">
        <f>'LCI_AD-d'!$E42*'IW+f'!D26</f>
        <v>0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126.86518818692235</v>
      </c>
      <c r="D40" s="115">
        <f>SUM(D41:D45)</f>
        <v>21.125394663600623</v>
      </c>
      <c r="E40" s="115">
        <f>SUM(E41:E45)</f>
        <v>6765.8784951490798</v>
      </c>
      <c r="F40" s="115">
        <f>SUM(F41:F45)</f>
        <v>9.0828906661685012E-5</v>
      </c>
      <c r="G40" s="115">
        <f>SUM(G41:G45)</f>
        <v>64.206312430050929</v>
      </c>
    </row>
    <row r="41" spans="1:8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f>'LCI_AD-d'!$E47*'IW+f'!C31</f>
        <v>0</v>
      </c>
      <c r="D44" s="117">
        <f>'LCI_AD-d'!$E47*'IW+f'!D31</f>
        <v>0</v>
      </c>
      <c r="E44" s="117">
        <f>'LCI_AD-d'!$E47*'IW+f'!E31</f>
        <v>0</v>
      </c>
      <c r="F44" s="117">
        <f>'LCI_AD-d'!$E47*'IW+f'!F31</f>
        <v>0</v>
      </c>
      <c r="G44" s="117">
        <f>'LCI_AD-d'!$E47*'IW+f'!G31</f>
        <v>0</v>
      </c>
    </row>
    <row r="45" spans="1:8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f>'LCI_AD-d'!E50*'IW+f'!C26</f>
        <v>-260.85437171878948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37" x14ac:dyDescent="0.35">
      <c r="A49" s="113" t="s">
        <v>494</v>
      </c>
      <c r="B49" s="114"/>
      <c r="C49" s="115">
        <f>C5+C34-C40+C47</f>
        <v>-233.91623232648593</v>
      </c>
      <c r="D49" s="115">
        <f t="shared" ref="D49:G49" si="8">D5+D34-D40+D47</f>
        <v>3.6489419336101037</v>
      </c>
      <c r="E49" s="115">
        <f t="shared" si="8"/>
        <v>-4993.965631976087</v>
      </c>
      <c r="F49" s="115">
        <f t="shared" si="8"/>
        <v>1.1047915764586953E-4</v>
      </c>
      <c r="G49" s="115">
        <f t="shared" si="8"/>
        <v>-29.127697539091649</v>
      </c>
    </row>
    <row r="53" spans="1:37" ht="72.5" x14ac:dyDescent="0.35">
      <c r="A53" s="141" t="s">
        <v>0</v>
      </c>
      <c r="B53" s="141"/>
      <c r="C53" s="138" t="s">
        <v>376</v>
      </c>
      <c r="D53" s="138" t="s">
        <v>377</v>
      </c>
      <c r="E53" s="138" t="s">
        <v>378</v>
      </c>
      <c r="F53" s="138" t="s">
        <v>379</v>
      </c>
      <c r="G53" s="138" t="s">
        <v>380</v>
      </c>
      <c r="H53" s="138" t="s">
        <v>361</v>
      </c>
      <c r="I53" s="138" t="s">
        <v>381</v>
      </c>
      <c r="J53" s="138" t="s">
        <v>382</v>
      </c>
      <c r="K53" s="138" t="s">
        <v>363</v>
      </c>
      <c r="L53" s="138" t="s">
        <v>383</v>
      </c>
      <c r="M53" s="138" t="s">
        <v>384</v>
      </c>
      <c r="N53" s="138" t="s">
        <v>385</v>
      </c>
      <c r="O53" s="138" t="s">
        <v>386</v>
      </c>
      <c r="P53" s="138" t="s">
        <v>387</v>
      </c>
      <c r="Q53" s="138" t="s">
        <v>388</v>
      </c>
      <c r="R53" s="138" t="s">
        <v>367</v>
      </c>
      <c r="S53" s="138" t="s">
        <v>368</v>
      </c>
      <c r="T53" s="138" t="s">
        <v>389</v>
      </c>
      <c r="U53" s="138" t="s">
        <v>390</v>
      </c>
      <c r="V53" s="138" t="s">
        <v>391</v>
      </c>
      <c r="W53" s="138" t="s">
        <v>392</v>
      </c>
      <c r="X53" s="138" t="s">
        <v>369</v>
      </c>
      <c r="Y53" s="138" t="s">
        <v>371</v>
      </c>
      <c r="Z53" s="138" t="s">
        <v>372</v>
      </c>
      <c r="AA53" s="138" t="s">
        <v>393</v>
      </c>
      <c r="AB53" s="138" t="s">
        <v>394</v>
      </c>
      <c r="AC53" s="138" t="s">
        <v>374</v>
      </c>
      <c r="AD53" s="138" t="s">
        <v>395</v>
      </c>
      <c r="AE53" s="138" t="s">
        <v>396</v>
      </c>
      <c r="AF53" s="138" t="s">
        <v>397</v>
      </c>
      <c r="AG53" s="138" t="s">
        <v>398</v>
      </c>
      <c r="AH53" s="138" t="s">
        <v>399</v>
      </c>
      <c r="AI53" s="138" t="s">
        <v>400</v>
      </c>
      <c r="AJ53" s="138" t="s">
        <v>401</v>
      </c>
      <c r="AK53" s="138" t="s">
        <v>402</v>
      </c>
    </row>
    <row r="54" spans="1:37" x14ac:dyDescent="0.35">
      <c r="A54" s="141" t="s">
        <v>6</v>
      </c>
      <c r="B54" s="141"/>
      <c r="C54" s="141">
        <f>SUM(C56:C82)</f>
        <v>20.863214728863017</v>
      </c>
      <c r="D54" s="141">
        <f t="shared" ref="D54:AK54" si="9">SUM(D56:D82)</f>
        <v>15.260838427703629</v>
      </c>
      <c r="E54" s="141">
        <f t="shared" si="9"/>
        <v>2.8117297007084792E-4</v>
      </c>
      <c r="F54" s="141">
        <f t="shared" si="9"/>
        <v>2.0566999928266357E-4</v>
      </c>
      <c r="G54" s="141">
        <f t="shared" si="9"/>
        <v>6.4815687833875109E-17</v>
      </c>
      <c r="H54" s="141">
        <f t="shared" si="9"/>
        <v>0.69257174129190979</v>
      </c>
      <c r="I54" s="141">
        <f t="shared" si="9"/>
        <v>29.335646435932194</v>
      </c>
      <c r="J54" s="141">
        <f t="shared" si="9"/>
        <v>0.9069628729632665</v>
      </c>
      <c r="K54" s="141">
        <f t="shared" si="9"/>
        <v>1.1314538662545641E-2</v>
      </c>
      <c r="L54" s="141">
        <f t="shared" si="9"/>
        <v>3.3211061533083422E-7</v>
      </c>
      <c r="M54" s="141">
        <f t="shared" si="9"/>
        <v>2.8988450473766451E-5</v>
      </c>
      <c r="N54" s="141">
        <f t="shared" si="9"/>
        <v>9.210106419745349E-6</v>
      </c>
      <c r="O54" s="141">
        <f t="shared" si="9"/>
        <v>3.0530492877534353E-5</v>
      </c>
      <c r="P54" s="141">
        <f t="shared" si="9"/>
        <v>4.9017711978819071E-8</v>
      </c>
      <c r="Q54" s="141">
        <f t="shared" si="9"/>
        <v>1.4830722501396931E-6</v>
      </c>
      <c r="R54" s="141">
        <f t="shared" si="9"/>
        <v>1.7478379299317572</v>
      </c>
      <c r="S54" s="141">
        <f t="shared" si="9"/>
        <v>0.91323725669022504</v>
      </c>
      <c r="T54" s="141">
        <f t="shared" si="9"/>
        <v>5.3790628938542095</v>
      </c>
      <c r="U54" s="141">
        <f t="shared" si="9"/>
        <v>0.58390924874765804</v>
      </c>
      <c r="V54" s="141">
        <f t="shared" si="9"/>
        <v>2.8054825445662285E-5</v>
      </c>
      <c r="W54" s="141">
        <f t="shared" si="9"/>
        <v>1.6028413895623524E-5</v>
      </c>
      <c r="X54" s="141">
        <f t="shared" si="9"/>
        <v>0.2588651088800259</v>
      </c>
      <c r="Y54" s="141">
        <f t="shared" si="9"/>
        <v>5.7098574072473863E-9</v>
      </c>
      <c r="Z54" s="141">
        <f t="shared" si="9"/>
        <v>1.0731860679966983E-4</v>
      </c>
      <c r="AA54" s="141">
        <f t="shared" si="9"/>
        <v>1.4696982329062112</v>
      </c>
      <c r="AB54" s="141">
        <f t="shared" si="9"/>
        <v>1.4618756448557161E-7</v>
      </c>
      <c r="AC54" s="141">
        <f t="shared" si="9"/>
        <v>7.0093476603338889</v>
      </c>
      <c r="AD54" s="141">
        <f t="shared" si="9"/>
        <v>1.0243486119094698</v>
      </c>
      <c r="AE54" s="141">
        <f t="shared" si="9"/>
        <v>0.58503710719025848</v>
      </c>
      <c r="AF54" s="141">
        <f t="shared" si="9"/>
        <v>2.4581129947403468E-2</v>
      </c>
      <c r="AG54" s="141">
        <f t="shared" si="9"/>
        <v>86.06842941813477</v>
      </c>
      <c r="AH54" s="141">
        <f t="shared" si="9"/>
        <v>6.9920169042280941E-4</v>
      </c>
      <c r="AI54" s="141">
        <f t="shared" si="9"/>
        <v>2.8117989213639644E-4</v>
      </c>
      <c r="AJ54" s="141">
        <f t="shared" si="9"/>
        <v>3.4343984212605227E-5</v>
      </c>
      <c r="AK54" s="141">
        <f t="shared" si="9"/>
        <v>1.6301801779187344E-3</v>
      </c>
    </row>
    <row r="55" spans="1:37" x14ac:dyDescent="0.35">
      <c r="A55" s="141" t="s">
        <v>5</v>
      </c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</row>
    <row r="56" spans="1:37" x14ac:dyDescent="0.35">
      <c r="A56" s="141"/>
      <c r="B56" s="146" t="s">
        <v>249</v>
      </c>
      <c r="C56" s="146">
        <f>'LCIA_AD-c'!C47</f>
        <v>0.29375833601169027</v>
      </c>
      <c r="D56" s="146">
        <f>'LCIA_AD-c'!D47</f>
        <v>8.9990845888640369E-2</v>
      </c>
      <c r="E56" s="146">
        <f>'LCIA_AD-c'!E47</f>
        <v>3.9589730007048797E-6</v>
      </c>
      <c r="F56" s="146">
        <f>'LCIA_AD-c'!F47</f>
        <v>1.2128041505843192E-6</v>
      </c>
      <c r="G56" s="146">
        <f>'LCIA_AD-c'!G47</f>
        <v>9.0040097542142219E-20</v>
      </c>
      <c r="H56" s="146">
        <f>'LCIA_AD-c'!H47</f>
        <v>5.1931114803604956E-3</v>
      </c>
      <c r="I56" s="146">
        <f>'LCIA_AD-c'!I47</f>
        <v>0.24839018720173295</v>
      </c>
      <c r="J56" s="146">
        <f>'LCIA_AD-c'!J47</f>
        <v>1.234083364332369E-2</v>
      </c>
      <c r="K56" s="146">
        <f>'LCIA_AD-c'!K47</f>
        <v>2.1439753416220663E-5</v>
      </c>
      <c r="L56" s="146">
        <f>'LCIA_AD-c'!L47</f>
        <v>8.7015032149142414E-9</v>
      </c>
      <c r="M56" s="146">
        <f>'LCIA_AD-c'!M47</f>
        <v>1.6596905236710246E-7</v>
      </c>
      <c r="N56" s="146">
        <f>'LCIA_AD-c'!N47</f>
        <v>1.9676602640470916E-7</v>
      </c>
      <c r="O56" s="146">
        <f>'LCIA_AD-c'!O47</f>
        <v>1.0474046667854858E-7</v>
      </c>
      <c r="P56" s="146">
        <f>'LCIA_AD-c'!P47</f>
        <v>4.1389310905179983E-9</v>
      </c>
      <c r="Q56" s="146">
        <f>'LCIA_AD-c'!Q47</f>
        <v>1.2763337153218512E-7</v>
      </c>
      <c r="R56" s="146">
        <f>'LCIA_AD-c'!R47</f>
        <v>1.6534106080479432E-2</v>
      </c>
      <c r="S56" s="146">
        <f>'LCIA_AD-c'!S47</f>
        <v>1.1656841267618703E-2</v>
      </c>
      <c r="T56" s="146">
        <f>'LCIA_AD-c'!T47</f>
        <v>0.10249049260823448</v>
      </c>
      <c r="U56" s="146">
        <f>'LCIA_AD-c'!U47</f>
        <v>1.1125576504552512E-2</v>
      </c>
      <c r="V56" s="146">
        <f>'LCIA_AD-c'!V47</f>
        <v>9.6489525909131685E-7</v>
      </c>
      <c r="W56" s="146">
        <f>'LCIA_AD-c'!W47</f>
        <v>2.6554776215088471E-7</v>
      </c>
      <c r="X56" s="146">
        <f>'LCIA_AD-c'!X47</f>
        <v>6.7963986332143073E-4</v>
      </c>
      <c r="Y56" s="146">
        <f>'LCIA_AD-c'!Y47</f>
        <v>4.6233568878889853E-11</v>
      </c>
      <c r="Z56" s="146">
        <f>'LCIA_AD-c'!Z47</f>
        <v>3.7424948947123667E-7</v>
      </c>
      <c r="AA56" s="146">
        <f>'LCIA_AD-c'!AA47</f>
        <v>1.5755418847462184E-2</v>
      </c>
      <c r="AB56" s="146">
        <f>'LCIA_AD-c'!AB47</f>
        <v>1.5662117661554336E-9</v>
      </c>
      <c r="AC56" s="146">
        <f>'LCIA_AD-c'!AC47</f>
        <v>3.4269056902659287E-2</v>
      </c>
      <c r="AD56" s="146">
        <f>'LCIA_AD-c'!AD47</f>
        <v>3.5220034139757453E-2</v>
      </c>
      <c r="AE56" s="146">
        <f>'LCIA_AD-c'!AE47</f>
        <v>9.6924933185072934E-3</v>
      </c>
      <c r="AF56" s="146">
        <f>'LCIA_AD-c'!AF47</f>
        <v>1.9004186679781043E-3</v>
      </c>
      <c r="AG56" s="146">
        <f>'LCIA_AD-c'!AG47</f>
        <v>0.88904487549306932</v>
      </c>
      <c r="AH56" s="146">
        <f>'LCIA_AD-c'!AH47</f>
        <v>7.3843049600713193E-6</v>
      </c>
      <c r="AI56" s="146">
        <f>'LCIA_AD-c'!AI47</f>
        <v>1.0093591977195651E-5</v>
      </c>
      <c r="AJ56" s="146">
        <f>'LCIA_AD-c'!AJ47</f>
        <v>1.2328554537785757E-6</v>
      </c>
      <c r="AK56" s="146">
        <f>'LCIA_AD-c'!AK47</f>
        <v>1.4715139405635514E-5</v>
      </c>
    </row>
    <row r="57" spans="1:37" x14ac:dyDescent="0.35">
      <c r="A57" s="141"/>
      <c r="B57" s="146" t="s">
        <v>250</v>
      </c>
      <c r="C57" s="146">
        <f>'LCIA_AD-c'!C48</f>
        <v>0</v>
      </c>
      <c r="D57" s="146">
        <f>'LCIA_AD-c'!D48</f>
        <v>0</v>
      </c>
      <c r="E57" s="146">
        <f>'LCIA_AD-c'!E48</f>
        <v>0</v>
      </c>
      <c r="F57" s="146">
        <f>'LCIA_AD-c'!F48</f>
        <v>0</v>
      </c>
      <c r="G57" s="146">
        <f>'LCIA_AD-c'!G48</f>
        <v>0</v>
      </c>
      <c r="H57" s="146">
        <f>'LCIA_AD-c'!H48</f>
        <v>0</v>
      </c>
      <c r="I57" s="146">
        <f>'LCIA_AD-c'!I48</f>
        <v>0</v>
      </c>
      <c r="J57" s="146">
        <f>'LCIA_AD-c'!J48</f>
        <v>0</v>
      </c>
      <c r="K57" s="146">
        <f>'LCIA_AD-c'!K48</f>
        <v>0</v>
      </c>
      <c r="L57" s="146">
        <f>'LCIA_AD-c'!L48</f>
        <v>0</v>
      </c>
      <c r="M57" s="146">
        <f>'LCIA_AD-c'!M48</f>
        <v>0</v>
      </c>
      <c r="N57" s="146">
        <f>'LCIA_AD-c'!N48</f>
        <v>0</v>
      </c>
      <c r="O57" s="146">
        <f>'LCIA_AD-c'!O48</f>
        <v>0</v>
      </c>
      <c r="P57" s="146">
        <f>'LCIA_AD-c'!P48</f>
        <v>0</v>
      </c>
      <c r="Q57" s="146">
        <f>'LCIA_AD-c'!Q48</f>
        <v>0</v>
      </c>
      <c r="R57" s="146">
        <f>'LCIA_AD-c'!R48</f>
        <v>0</v>
      </c>
      <c r="S57" s="146">
        <f>'LCIA_AD-c'!S48</f>
        <v>0</v>
      </c>
      <c r="T57" s="146">
        <f>'LCIA_AD-c'!T48</f>
        <v>0</v>
      </c>
      <c r="U57" s="146">
        <f>'LCIA_AD-c'!U48</f>
        <v>0</v>
      </c>
      <c r="V57" s="146">
        <f>'LCIA_AD-c'!V48</f>
        <v>0</v>
      </c>
      <c r="W57" s="146">
        <f>'LCIA_AD-c'!W48</f>
        <v>0</v>
      </c>
      <c r="X57" s="146">
        <f>'LCIA_AD-c'!X48</f>
        <v>0</v>
      </c>
      <c r="Y57" s="146">
        <f>'LCIA_AD-c'!Y48</f>
        <v>0</v>
      </c>
      <c r="Z57" s="146">
        <f>'LCIA_AD-c'!Z48</f>
        <v>0</v>
      </c>
      <c r="AA57" s="146">
        <f>'LCIA_AD-c'!AA48</f>
        <v>0</v>
      </c>
      <c r="AB57" s="146">
        <f>'LCIA_AD-c'!AB48</f>
        <v>0</v>
      </c>
      <c r="AC57" s="146">
        <f>'LCIA_AD-c'!AC48</f>
        <v>0</v>
      </c>
      <c r="AD57" s="146">
        <f>'LCIA_AD-c'!AD48</f>
        <v>0</v>
      </c>
      <c r="AE57" s="146">
        <f>'LCIA_AD-c'!AE48</f>
        <v>0</v>
      </c>
      <c r="AF57" s="146">
        <f>'LCIA_AD-c'!AF48</f>
        <v>0</v>
      </c>
      <c r="AG57" s="146">
        <f>'LCIA_AD-c'!AG48</f>
        <v>0</v>
      </c>
      <c r="AH57" s="146">
        <f>'LCIA_AD-c'!AH48</f>
        <v>0</v>
      </c>
      <c r="AI57" s="146">
        <f>'LCIA_AD-c'!AI48</f>
        <v>0</v>
      </c>
      <c r="AJ57" s="146">
        <f>'LCIA_AD-c'!AJ48</f>
        <v>0</v>
      </c>
      <c r="AK57" s="146">
        <f>'LCIA_AD-c'!AK48</f>
        <v>0</v>
      </c>
    </row>
    <row r="58" spans="1:37" x14ac:dyDescent="0.35">
      <c r="A58" s="141" t="s">
        <v>235</v>
      </c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</row>
    <row r="59" spans="1:37" x14ac:dyDescent="0.35">
      <c r="A59" s="141"/>
      <c r="B59" s="146" t="s">
        <v>286</v>
      </c>
      <c r="C59" s="146">
        <f>'LCIA_AD-c'!C50</f>
        <v>0.1642293381452089</v>
      </c>
      <c r="D59" s="146">
        <f>'LCIA_AD-c'!D50</f>
        <v>5.0160114465116465E-2</v>
      </c>
      <c r="E59" s="146">
        <f>'LCIA_AD-c'!E50</f>
        <v>2.2133142652831479E-6</v>
      </c>
      <c r="F59" s="146">
        <f>'LCIA_AD-c'!F50</f>
        <v>6.7600648061868024E-7</v>
      </c>
      <c r="G59" s="146">
        <f>'LCIA_AD-c'!G50</f>
        <v>3.4259653114390555E-19</v>
      </c>
      <c r="H59" s="146">
        <f>'LCIA_AD-c'!H50</f>
        <v>1.9088748614477355E-3</v>
      </c>
      <c r="I59" s="146">
        <f>'LCIA_AD-c'!I50</f>
        <v>2.1165975185515697E-2</v>
      </c>
      <c r="J59" s="146">
        <f>'LCIA_AD-c'!J50</f>
        <v>7.7842440064621963E-3</v>
      </c>
      <c r="K59" s="146">
        <f>'LCIA_AD-c'!K50</f>
        <v>1.2090234903629117E-5</v>
      </c>
      <c r="L59" s="146">
        <f>'LCIA_AD-c'!L50</f>
        <v>1.3807900143766815E-9</v>
      </c>
      <c r="M59" s="146">
        <f>'LCIA_AD-c'!M50</f>
        <v>7.8521018154124293E-8</v>
      </c>
      <c r="N59" s="146">
        <f>'LCIA_AD-c'!N50</f>
        <v>5.1916740498462542E-8</v>
      </c>
      <c r="O59" s="146">
        <f>'LCIA_AD-c'!O50</f>
        <v>3.4957298081958831E-8</v>
      </c>
      <c r="P59" s="146">
        <f>'LCIA_AD-c'!P50</f>
        <v>1.6087202212299374E-11</v>
      </c>
      <c r="Q59" s="146">
        <f>'LCIA_AD-c'!Q50</f>
        <v>1.9821700798180701E-10</v>
      </c>
      <c r="R59" s="146">
        <f>'LCIA_AD-c'!R50</f>
        <v>9.3882236600461508E-3</v>
      </c>
      <c r="S59" s="146">
        <f>'LCIA_AD-c'!S50</f>
        <v>1.0847515163367839E-2</v>
      </c>
      <c r="T59" s="146">
        <f>'LCIA_AD-c'!T50</f>
        <v>5.9340583237830792E-2</v>
      </c>
      <c r="U59" s="146">
        <f>'LCIA_AD-c'!U50</f>
        <v>6.4415394809225063E-3</v>
      </c>
      <c r="V59" s="146">
        <f>'LCIA_AD-c'!V50</f>
        <v>2.2361093064658549E-8</v>
      </c>
      <c r="W59" s="146">
        <f>'LCIA_AD-c'!W50</f>
        <v>1.8378519819012135E-8</v>
      </c>
      <c r="X59" s="146">
        <f>'LCIA_AD-c'!X50</f>
        <v>4.9087972213900696E-4</v>
      </c>
      <c r="Y59" s="146">
        <f>'LCIA_AD-c'!Y50</f>
        <v>1.4130656214684504E-11</v>
      </c>
      <c r="Z59" s="146">
        <f>'LCIA_AD-c'!Z50</f>
        <v>2.3089230034193365E-7</v>
      </c>
      <c r="AA59" s="146">
        <f>'LCIA_AD-c'!AA50</f>
        <v>1.24610140420619E-2</v>
      </c>
      <c r="AB59" s="146">
        <f>'LCIA_AD-c'!AB50</f>
        <v>1.2166988717580699E-9</v>
      </c>
      <c r="AC59" s="146">
        <f>'LCIA_AD-c'!AC50</f>
        <v>1.357355809150523E-2</v>
      </c>
      <c r="AD59" s="146">
        <f>'LCIA_AD-c'!AD50</f>
        <v>8.1619861313748173E-4</v>
      </c>
      <c r="AE59" s="146">
        <f>'LCIA_AD-c'!AE50</f>
        <v>6.7081597339394266E-4</v>
      </c>
      <c r="AF59" s="146">
        <f>'LCIA_AD-c'!AF50</f>
        <v>1.5428172135718716E-5</v>
      </c>
      <c r="AG59" s="146">
        <f>'LCIA_AD-c'!AG50</f>
        <v>0.35931316945148462</v>
      </c>
      <c r="AH59" s="146">
        <f>'LCIA_AD-c'!AH50</f>
        <v>3.3268199102587953E-6</v>
      </c>
      <c r="AI59" s="146">
        <f>'LCIA_AD-c'!AI50</f>
        <v>3.14403300469906E-7</v>
      </c>
      <c r="AJ59" s="146">
        <f>'LCIA_AD-c'!AJ50</f>
        <v>3.8401970730154165E-8</v>
      </c>
      <c r="AK59" s="146">
        <f>'LCIA_AD-c'!AK50</f>
        <v>6.4212372885133327E-6</v>
      </c>
    </row>
    <row r="60" spans="1:37" x14ac:dyDescent="0.35">
      <c r="A60" s="141"/>
      <c r="B60" s="146" t="s">
        <v>235</v>
      </c>
      <c r="C60" s="146">
        <f>'LCIA_AD-c'!C51</f>
        <v>2.8461745710597834</v>
      </c>
      <c r="D60" s="146">
        <f>'LCIA_AD-c'!D51</f>
        <v>1.1214611679069222</v>
      </c>
      <c r="E60" s="146">
        <f>'LCIA_AD-c'!E51</f>
        <v>3.8357816275450525E-5</v>
      </c>
      <c r="F60" s="146">
        <f>'LCIA_AD-c'!F51</f>
        <v>1.5113901261020833E-5</v>
      </c>
      <c r="G60" s="146">
        <f>'LCIA_AD-c'!G51</f>
        <v>1.3417014761931066E-18</v>
      </c>
      <c r="H60" s="146">
        <f>'LCIA_AD-c'!H51</f>
        <v>7.0661974280644954E-2</v>
      </c>
      <c r="I60" s="146">
        <f>'LCIA_AD-c'!I51</f>
        <v>0.93416719125512804</v>
      </c>
      <c r="J60" s="146">
        <f>'LCIA_AD-c'!J51</f>
        <v>0.11947233209536294</v>
      </c>
      <c r="K60" s="146">
        <f>'LCIA_AD-c'!K51</f>
        <v>5.8252778621848689E-3</v>
      </c>
      <c r="L60" s="146">
        <f>'LCIA_AD-c'!L51</f>
        <v>7.543227881230801E-8</v>
      </c>
      <c r="M60" s="146">
        <f>'LCIA_AD-c'!M51</f>
        <v>9.2358423028085057E-6</v>
      </c>
      <c r="N60" s="146">
        <f>'LCIA_AD-c'!N51</f>
        <v>2.0141902382323624E-6</v>
      </c>
      <c r="O60" s="146">
        <f>'LCIA_AD-c'!O51</f>
        <v>2.073338334217323E-5</v>
      </c>
      <c r="P60" s="146">
        <f>'LCIA_AD-c'!P51</f>
        <v>1.6721138820675336E-10</v>
      </c>
      <c r="Q60" s="146">
        <f>'LCIA_AD-c'!Q51</f>
        <v>2.5414819458518307E-9</v>
      </c>
      <c r="R60" s="146">
        <f>'LCIA_AD-c'!R51</f>
        <v>0.10325709629067527</v>
      </c>
      <c r="S60" s="146">
        <f>'LCIA_AD-c'!S51</f>
        <v>0.20192306813671582</v>
      </c>
      <c r="T60" s="146">
        <f>'LCIA_AD-c'!T51</f>
        <v>0.81381304343515604</v>
      </c>
      <c r="U60" s="146">
        <f>'LCIA_AD-c'!U51</f>
        <v>8.8340903369667073E-2</v>
      </c>
      <c r="V60" s="146">
        <f>'LCIA_AD-c'!V51</f>
        <v>4.1790110398157114E-7</v>
      </c>
      <c r="W60" s="146">
        <f>'LCIA_AD-c'!W51</f>
        <v>9.1166986820938597E-7</v>
      </c>
      <c r="X60" s="146">
        <f>'LCIA_AD-c'!X51</f>
        <v>3.6914893888666471E-2</v>
      </c>
      <c r="Y60" s="146">
        <f>'LCIA_AD-c'!Y51</f>
        <v>3.4271490621614475E-10</v>
      </c>
      <c r="Z60" s="146">
        <f>'LCIA_AD-c'!Z51</f>
        <v>8.8111435597395313E-6</v>
      </c>
      <c r="AA60" s="146">
        <f>'LCIA_AD-c'!AA51</f>
        <v>0.52310036021523809</v>
      </c>
      <c r="AB60" s="146">
        <f>'LCIA_AD-c'!AB51</f>
        <v>5.3982752056258097E-8</v>
      </c>
      <c r="AC60" s="146">
        <f>'LCIA_AD-c'!AC51</f>
        <v>0.52930584039175488</v>
      </c>
      <c r="AD60" s="146">
        <f>'LCIA_AD-c'!AD51</f>
        <v>1.5262636374080941E-2</v>
      </c>
      <c r="AE60" s="146">
        <f>'LCIA_AD-c'!AE51</f>
        <v>3.3275950189642592E-2</v>
      </c>
      <c r="AF60" s="146">
        <f>'LCIA_AD-c'!AF51</f>
        <v>3.8173633035694057E-4</v>
      </c>
      <c r="AG60" s="146">
        <f>'LCIA_AD-c'!AG51</f>
        <v>7.4436332210323055</v>
      </c>
      <c r="AH60" s="146">
        <f>'LCIA_AD-c'!AH51</f>
        <v>1.04168902179637E-4</v>
      </c>
      <c r="AI60" s="146">
        <f>'LCIA_AD-c'!AI51</f>
        <v>7.999127841649449E-5</v>
      </c>
      <c r="AJ60" s="146">
        <f>'LCIA_AD-c'!AJ51</f>
        <v>9.7703259724914291E-6</v>
      </c>
      <c r="AK60" s="146">
        <f>'LCIA_AD-c'!AK51</f>
        <v>2.1385693372968594E-4</v>
      </c>
    </row>
    <row r="61" spans="1:37" x14ac:dyDescent="0.35">
      <c r="A61" s="141" t="s">
        <v>6</v>
      </c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</row>
    <row r="62" spans="1:37" x14ac:dyDescent="0.35">
      <c r="A62" s="141"/>
      <c r="B62" s="146" t="s">
        <v>8</v>
      </c>
      <c r="C62" s="146">
        <f>'LCIA_AD-c'!C53</f>
        <v>0.65727691815040523</v>
      </c>
      <c r="D62" s="146">
        <f>'LCIA_AD-c'!D53</f>
        <v>0.20135226339612622</v>
      </c>
      <c r="E62" s="146">
        <f>'LCIA_AD-c'!E53</f>
        <v>8.8581029164068104E-6</v>
      </c>
      <c r="F62" s="146">
        <f>'LCIA_AD-c'!F53</f>
        <v>2.7136189060669185E-6</v>
      </c>
      <c r="G62" s="146">
        <f>'LCIA_AD-c'!G53</f>
        <v>2.0146246273707774E-19</v>
      </c>
      <c r="H62" s="146">
        <f>'LCIA_AD-c'!H53</f>
        <v>1.1619456849343674E-2</v>
      </c>
      <c r="I62" s="146">
        <f>'LCIA_AD-c'!I53</f>
        <v>0.55576682166479929</v>
      </c>
      <c r="J62" s="146">
        <f>'LCIA_AD-c'!J53</f>
        <v>2.7612306137817434E-2</v>
      </c>
      <c r="K62" s="146">
        <f>'LCIA_AD-c'!K53</f>
        <v>4.7970911200822386E-5</v>
      </c>
      <c r="L62" s="146">
        <f>'LCIA_AD-c'!L53</f>
        <v>1.9469395469843191E-8</v>
      </c>
      <c r="M62" s="146">
        <f>'LCIA_AD-c'!M53</f>
        <v>3.7135159712999983E-7</v>
      </c>
      <c r="N62" s="146">
        <f>'LCIA_AD-c'!N53</f>
        <v>4.4025905507185927E-7</v>
      </c>
      <c r="O62" s="146">
        <f>'LCIA_AD-c'!O53</f>
        <v>2.3435417043406713E-7</v>
      </c>
      <c r="P62" s="146">
        <f>'LCIA_AD-c'!P53</f>
        <v>9.2607546343954807E-9</v>
      </c>
      <c r="Q62" s="146">
        <f>'LCIA_AD-c'!Q53</f>
        <v>2.8557647157451842E-7</v>
      </c>
      <c r="R62" s="146">
        <f>'LCIA_AD-c'!R53</f>
        <v>3.6994648174058696E-2</v>
      </c>
      <c r="S62" s="146">
        <f>'LCIA_AD-c'!S53</f>
        <v>2.6081890331255075E-2</v>
      </c>
      <c r="T62" s="146">
        <f>'LCIA_AD-c'!T53</f>
        <v>0.22931990981381525</v>
      </c>
      <c r="U62" s="146">
        <f>'LCIA_AD-c'!U53</f>
        <v>2.4893198732130022E-2</v>
      </c>
      <c r="V62" s="146">
        <f>'LCIA_AD-c'!V53</f>
        <v>2.1589289714938985E-6</v>
      </c>
      <c r="W62" s="146">
        <f>'LCIA_AD-c'!W53</f>
        <v>5.9415646581455464E-7</v>
      </c>
      <c r="X62" s="146">
        <f>'LCIA_AD-c'!X53</f>
        <v>1.5206771691350248E-3</v>
      </c>
      <c r="Y62" s="146">
        <f>'LCIA_AD-c'!Y53</f>
        <v>1.0344645221098301E-10</v>
      </c>
      <c r="Z62" s="146">
        <f>'LCIA_AD-c'!Z53</f>
        <v>8.3737385770468086E-7</v>
      </c>
      <c r="AA62" s="146">
        <f>'LCIA_AD-c'!AA53</f>
        <v>3.5252354996375815E-2</v>
      </c>
      <c r="AB62" s="146">
        <f>'LCIA_AD-c'!AB53</f>
        <v>3.5043595930111055E-9</v>
      </c>
      <c r="AC62" s="146">
        <f>'LCIA_AD-c'!AC53</f>
        <v>7.6676156376390969E-2</v>
      </c>
      <c r="AD62" s="146">
        <f>'LCIA_AD-c'!AD53</f>
        <v>7.8803944122323041E-2</v>
      </c>
      <c r="AE62" s="146">
        <f>'LCIA_AD-c'!AE53</f>
        <v>2.1686711002231247E-2</v>
      </c>
      <c r="AF62" s="146">
        <f>'LCIA_AD-c'!AF53</f>
        <v>4.2521391639229527E-3</v>
      </c>
      <c r="AG62" s="146">
        <f>'LCIA_AD-c'!AG53</f>
        <v>1.9892156382525288</v>
      </c>
      <c r="AH62" s="146">
        <f>'LCIA_AD-c'!AH53</f>
        <v>1.6522197370580419E-5</v>
      </c>
      <c r="AI62" s="146">
        <f>'LCIA_AD-c'!AI53</f>
        <v>2.258415920348486E-5</v>
      </c>
      <c r="AJ62" s="146">
        <f>'LCIA_AD-c'!AJ53</f>
        <v>2.7584831946769133E-6</v>
      </c>
      <c r="AK62" s="146">
        <f>'LCIA_AD-c'!AK53</f>
        <v>3.2924755804392892E-5</v>
      </c>
    </row>
    <row r="63" spans="1:37" x14ac:dyDescent="0.35">
      <c r="A63" s="141"/>
      <c r="B63" s="146" t="s">
        <v>18</v>
      </c>
      <c r="C63" s="146">
        <f>'LCIA_AD-c'!C54</f>
        <v>3.6111027769612272</v>
      </c>
      <c r="D63" s="146">
        <f>'LCIA_AD-c'!D54</f>
        <v>1.116041950307709</v>
      </c>
      <c r="E63" s="146">
        <f>'LCIA_AD-c'!E54</f>
        <v>4.8666732630834991E-5</v>
      </c>
      <c r="F63" s="146">
        <f>'LCIA_AD-c'!F54</f>
        <v>1.5040866614748277E-5</v>
      </c>
      <c r="G63" s="146">
        <f>'LCIA_AD-c'!G54</f>
        <v>2.7159126165986591E-17</v>
      </c>
      <c r="H63" s="146">
        <f>'LCIA_AD-c'!H54</f>
        <v>3.9384429899939365E-2</v>
      </c>
      <c r="I63" s="146">
        <f>'LCIA_AD-c'!I54</f>
        <v>1.1164091774138278</v>
      </c>
      <c r="J63" s="146">
        <f>'LCIA_AD-c'!J54</f>
        <v>0.14465944541327941</v>
      </c>
      <c r="K63" s="146">
        <f>'LCIA_AD-c'!K54</f>
        <v>5.9732092169600232E-4</v>
      </c>
      <c r="L63" s="146">
        <f>'LCIA_AD-c'!L54</f>
        <v>2.4810764281290643E-8</v>
      </c>
      <c r="M63" s="146">
        <f>'LCIA_AD-c'!M54</f>
        <v>9.5025968432804083E-7</v>
      </c>
      <c r="N63" s="146">
        <f>'LCIA_AD-c'!N54</f>
        <v>8.8695954394508445E-7</v>
      </c>
      <c r="O63" s="146">
        <f>'LCIA_AD-c'!O54</f>
        <v>6.3949866864703821E-7</v>
      </c>
      <c r="P63" s="146">
        <f>'LCIA_AD-c'!P54</f>
        <v>3.4244674996023721E-10</v>
      </c>
      <c r="Q63" s="146">
        <f>'LCIA_AD-c'!Q54</f>
        <v>5.640495591874525E-9</v>
      </c>
      <c r="R63" s="146">
        <f>'LCIA_AD-c'!R54</f>
        <v>1.2522888650153385</v>
      </c>
      <c r="S63" s="146">
        <f>'LCIA_AD-c'!S54</f>
        <v>0.22236732164114079</v>
      </c>
      <c r="T63" s="146">
        <f>'LCIA_AD-c'!T54</f>
        <v>1.2993103391764373</v>
      </c>
      <c r="U63" s="146">
        <f>'LCIA_AD-c'!U54</f>
        <v>0.1410432154146555</v>
      </c>
      <c r="V63" s="146">
        <f>'LCIA_AD-c'!V54</f>
        <v>4.8995566111538829E-6</v>
      </c>
      <c r="W63" s="146">
        <f>'LCIA_AD-c'!W54</f>
        <v>3.1636932996387812E-6</v>
      </c>
      <c r="X63" s="146">
        <f>'LCIA_AD-c'!X54</f>
        <v>8.7941767587420248E-3</v>
      </c>
      <c r="Y63" s="146">
        <f>'LCIA_AD-c'!Y54</f>
        <v>5.5520031014139023E-10</v>
      </c>
      <c r="Z63" s="146">
        <f>'LCIA_AD-c'!Z54</f>
        <v>4.2239854117750112E-5</v>
      </c>
      <c r="AA63" s="146">
        <f>'LCIA_AD-c'!AA54</f>
        <v>0.30103279985134818</v>
      </c>
      <c r="AB63" s="146">
        <f>'LCIA_AD-c'!AB54</f>
        <v>3.0275729153819333E-8</v>
      </c>
      <c r="AC63" s="146">
        <f>'LCIA_AD-c'!AC54</f>
        <v>0.29460585077001711</v>
      </c>
      <c r="AD63" s="146">
        <f>'LCIA_AD-c'!AD54</f>
        <v>0.17883454948602154</v>
      </c>
      <c r="AE63" s="146">
        <f>'LCIA_AD-c'!AE54</f>
        <v>0.11547480543681553</v>
      </c>
      <c r="AF63" s="146">
        <f>'LCIA_AD-c'!AF54</f>
        <v>4.3393968358153263E-4</v>
      </c>
      <c r="AG63" s="146">
        <f>'LCIA_AD-c'!AG54</f>
        <v>9.8425377317128095</v>
      </c>
      <c r="AH63" s="146">
        <f>'LCIA_AD-c'!AH54</f>
        <v>1.0994280141975609E-4</v>
      </c>
      <c r="AI63" s="146">
        <f>'LCIA_AD-c'!AI54</f>
        <v>1.1931549424189578E-5</v>
      </c>
      <c r="AJ63" s="146">
        <f>'LCIA_AD-c'!AJ54</f>
        <v>1.4573479701655237E-6</v>
      </c>
      <c r="AK63" s="146">
        <f>'LCIA_AD-c'!AK54</f>
        <v>1.367724192572127E-4</v>
      </c>
    </row>
    <row r="64" spans="1:37" x14ac:dyDescent="0.35">
      <c r="A64" s="141"/>
      <c r="B64" s="146" t="s">
        <v>96</v>
      </c>
      <c r="C64" s="146">
        <f>'LCIA_AD-c'!C55</f>
        <v>0.93797856177034611</v>
      </c>
      <c r="D64" s="146">
        <f>'LCIA_AD-c'!D55</f>
        <v>3.5623702451876329</v>
      </c>
      <c r="E64" s="146">
        <f>'LCIA_AD-c'!E55</f>
        <v>1.2641111233490304E-5</v>
      </c>
      <c r="F64" s="146">
        <f>'LCIA_AD-c'!F55</f>
        <v>4.801001102781587E-5</v>
      </c>
      <c r="G64" s="146">
        <f>'LCIA_AD-c'!G55</f>
        <v>0</v>
      </c>
      <c r="H64" s="146">
        <f>'LCIA_AD-c'!H55</f>
        <v>0</v>
      </c>
      <c r="I64" s="146">
        <f>'LCIA_AD-c'!I55</f>
        <v>0</v>
      </c>
      <c r="J64" s="146">
        <f>'LCIA_AD-c'!J55</f>
        <v>0</v>
      </c>
      <c r="K64" s="146">
        <f>'LCIA_AD-c'!K55</f>
        <v>0</v>
      </c>
      <c r="L64" s="146">
        <f>'LCIA_AD-c'!L55</f>
        <v>0</v>
      </c>
      <c r="M64" s="146">
        <f>'LCIA_AD-c'!M55</f>
        <v>0</v>
      </c>
      <c r="N64" s="146">
        <f>'LCIA_AD-c'!N55</f>
        <v>0</v>
      </c>
      <c r="O64" s="146">
        <f>'LCIA_AD-c'!O55</f>
        <v>0</v>
      </c>
      <c r="P64" s="146">
        <f>'LCIA_AD-c'!P55</f>
        <v>0</v>
      </c>
      <c r="Q64" s="146">
        <f>'LCIA_AD-c'!Q55</f>
        <v>0</v>
      </c>
      <c r="R64" s="146">
        <f>'LCIA_AD-c'!R55</f>
        <v>0</v>
      </c>
      <c r="S64" s="146">
        <f>'LCIA_AD-c'!S55</f>
        <v>0</v>
      </c>
      <c r="T64" s="146">
        <f>'LCIA_AD-c'!T55</f>
        <v>0</v>
      </c>
      <c r="U64" s="146">
        <f>'LCIA_AD-c'!U55</f>
        <v>0</v>
      </c>
      <c r="V64" s="146">
        <f>'LCIA_AD-c'!V55</f>
        <v>0</v>
      </c>
      <c r="W64" s="146">
        <f>'LCIA_AD-c'!W55</f>
        <v>0</v>
      </c>
      <c r="X64" s="146">
        <f>'LCIA_AD-c'!X55</f>
        <v>0</v>
      </c>
      <c r="Y64" s="146">
        <f>'LCIA_AD-c'!Y55</f>
        <v>0</v>
      </c>
      <c r="Z64" s="146">
        <f>'LCIA_AD-c'!Z55</f>
        <v>0</v>
      </c>
      <c r="AA64" s="146">
        <f>'LCIA_AD-c'!AA55</f>
        <v>0</v>
      </c>
      <c r="AB64" s="146">
        <f>'LCIA_AD-c'!AB55</f>
        <v>0</v>
      </c>
      <c r="AC64" s="146">
        <f>'LCIA_AD-c'!AC55</f>
        <v>0</v>
      </c>
      <c r="AD64" s="146">
        <f>'LCIA_AD-c'!AD55</f>
        <v>0</v>
      </c>
      <c r="AE64" s="146">
        <f>'LCIA_AD-c'!AE55</f>
        <v>0</v>
      </c>
      <c r="AF64" s="146">
        <f>'LCIA_AD-c'!AF55</f>
        <v>0</v>
      </c>
      <c r="AG64" s="146">
        <f>'LCIA_AD-c'!AG55</f>
        <v>4.5003488069579793</v>
      </c>
      <c r="AH64" s="146">
        <f>'LCIA_AD-c'!AH55</f>
        <v>6.0651122260989241E-5</v>
      </c>
      <c r="AI64" s="146">
        <f>'LCIA_AD-c'!AI55</f>
        <v>0</v>
      </c>
      <c r="AJ64" s="146">
        <f>'LCIA_AD-c'!AJ55</f>
        <v>0</v>
      </c>
      <c r="AK64" s="146">
        <f>'LCIA_AD-c'!AK55</f>
        <v>0</v>
      </c>
    </row>
    <row r="65" spans="1:37" x14ac:dyDescent="0.35">
      <c r="A65" s="141" t="s">
        <v>126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</row>
    <row r="66" spans="1:37" x14ac:dyDescent="0.35">
      <c r="A66" s="141"/>
      <c r="B66" s="146" t="s">
        <v>96</v>
      </c>
      <c r="C66" s="146">
        <f>'LCIA_AD-c'!C57</f>
        <v>1.0794549645807459</v>
      </c>
      <c r="D66" s="146">
        <f>'LCIA_AD-c'!D57</f>
        <v>4.0996867130786603</v>
      </c>
      <c r="E66" s="146">
        <f>'LCIA_AD-c'!E57</f>
        <v>1.454778481616246E-5</v>
      </c>
      <c r="F66" s="146">
        <f>'LCIA_AD-c'!F57</f>
        <v>5.5251417106738624E-5</v>
      </c>
      <c r="G66" s="146">
        <f>'LCIA_AD-c'!G57</f>
        <v>0</v>
      </c>
      <c r="H66" s="146">
        <f>'LCIA_AD-c'!H57</f>
        <v>0</v>
      </c>
      <c r="I66" s="146">
        <f>'LCIA_AD-c'!I57</f>
        <v>0</v>
      </c>
      <c r="J66" s="146">
        <f>'LCIA_AD-c'!J57</f>
        <v>0</v>
      </c>
      <c r="K66" s="146">
        <f>'LCIA_AD-c'!K57</f>
        <v>0</v>
      </c>
      <c r="L66" s="146">
        <f>'LCIA_AD-c'!L57</f>
        <v>0</v>
      </c>
      <c r="M66" s="146">
        <f>'LCIA_AD-c'!M57</f>
        <v>0</v>
      </c>
      <c r="N66" s="146">
        <f>'LCIA_AD-c'!N57</f>
        <v>0</v>
      </c>
      <c r="O66" s="146">
        <f>'LCIA_AD-c'!O57</f>
        <v>0</v>
      </c>
      <c r="P66" s="146">
        <f>'LCIA_AD-c'!P57</f>
        <v>0</v>
      </c>
      <c r="Q66" s="146">
        <f>'LCIA_AD-c'!Q57</f>
        <v>0</v>
      </c>
      <c r="R66" s="146">
        <f>'LCIA_AD-c'!R57</f>
        <v>0</v>
      </c>
      <c r="S66" s="146">
        <f>'LCIA_AD-c'!S57</f>
        <v>0</v>
      </c>
      <c r="T66" s="146">
        <f>'LCIA_AD-c'!T57</f>
        <v>0</v>
      </c>
      <c r="U66" s="146">
        <f>'LCIA_AD-c'!U57</f>
        <v>0</v>
      </c>
      <c r="V66" s="146">
        <f>'LCIA_AD-c'!V57</f>
        <v>0</v>
      </c>
      <c r="W66" s="146">
        <f>'LCIA_AD-c'!W57</f>
        <v>0</v>
      </c>
      <c r="X66" s="146">
        <f>'LCIA_AD-c'!X57</f>
        <v>0</v>
      </c>
      <c r="Y66" s="146">
        <f>'LCIA_AD-c'!Y57</f>
        <v>0</v>
      </c>
      <c r="Z66" s="146">
        <f>'LCIA_AD-c'!Z57</f>
        <v>0</v>
      </c>
      <c r="AA66" s="146">
        <f>'LCIA_AD-c'!AA57</f>
        <v>0</v>
      </c>
      <c r="AB66" s="146">
        <f>'LCIA_AD-c'!AB57</f>
        <v>0</v>
      </c>
      <c r="AC66" s="146">
        <f>'LCIA_AD-c'!AC57</f>
        <v>0</v>
      </c>
      <c r="AD66" s="146">
        <f>'LCIA_AD-c'!AD57</f>
        <v>0</v>
      </c>
      <c r="AE66" s="146">
        <f>'LCIA_AD-c'!AE57</f>
        <v>0</v>
      </c>
      <c r="AF66" s="146">
        <f>'LCIA_AD-c'!AF57</f>
        <v>0</v>
      </c>
      <c r="AG66" s="146">
        <f>'LCIA_AD-c'!AG57</f>
        <v>5.1791416776594064</v>
      </c>
      <c r="AH66" s="146">
        <f>'LCIA_AD-c'!AH57</f>
        <v>6.979920192253635E-5</v>
      </c>
      <c r="AI66" s="146">
        <f>'LCIA_AD-c'!AI57</f>
        <v>0</v>
      </c>
      <c r="AJ66" s="146">
        <f>'LCIA_AD-c'!AJ57</f>
        <v>0</v>
      </c>
      <c r="AK66" s="146">
        <f>'LCIA_AD-c'!AK57</f>
        <v>0</v>
      </c>
    </row>
    <row r="67" spans="1:37" x14ac:dyDescent="0.35">
      <c r="A67" s="141"/>
      <c r="B67" s="146" t="s">
        <v>141</v>
      </c>
      <c r="C67" s="146">
        <f>'LCIA_AD-c'!C58</f>
        <v>0</v>
      </c>
      <c r="D67" s="146">
        <f>'LCIA_AD-c'!D58</f>
        <v>0</v>
      </c>
      <c r="E67" s="146">
        <f>'LCIA_AD-c'!E58</f>
        <v>0</v>
      </c>
      <c r="F67" s="146">
        <f>'LCIA_AD-c'!F58</f>
        <v>0</v>
      </c>
      <c r="G67" s="146">
        <f>'LCIA_AD-c'!G58</f>
        <v>0</v>
      </c>
      <c r="H67" s="146">
        <f>'LCIA_AD-c'!H58</f>
        <v>0</v>
      </c>
      <c r="I67" s="146">
        <f>'LCIA_AD-c'!I58</f>
        <v>0</v>
      </c>
      <c r="J67" s="146">
        <f>'LCIA_AD-c'!J58</f>
        <v>0</v>
      </c>
      <c r="K67" s="146">
        <f>'LCIA_AD-c'!K58</f>
        <v>0</v>
      </c>
      <c r="L67" s="146">
        <f>'LCIA_AD-c'!L58</f>
        <v>0</v>
      </c>
      <c r="M67" s="146">
        <f>'LCIA_AD-c'!M58</f>
        <v>0</v>
      </c>
      <c r="N67" s="146">
        <f>'LCIA_AD-c'!N58</f>
        <v>0</v>
      </c>
      <c r="O67" s="146">
        <f>'LCIA_AD-c'!O58</f>
        <v>0</v>
      </c>
      <c r="P67" s="146">
        <f>'LCIA_AD-c'!P58</f>
        <v>0</v>
      </c>
      <c r="Q67" s="146">
        <f>'LCIA_AD-c'!Q58</f>
        <v>0</v>
      </c>
      <c r="R67" s="146">
        <f>'LCIA_AD-c'!R58</f>
        <v>0</v>
      </c>
      <c r="S67" s="146">
        <f>'LCIA_AD-c'!S58</f>
        <v>0</v>
      </c>
      <c r="T67" s="146">
        <f>'LCIA_AD-c'!T58</f>
        <v>0</v>
      </c>
      <c r="U67" s="146">
        <f>'LCIA_AD-c'!U58</f>
        <v>0</v>
      </c>
      <c r="V67" s="146">
        <f>'LCIA_AD-c'!V58</f>
        <v>0</v>
      </c>
      <c r="W67" s="146">
        <f>'LCIA_AD-c'!W58</f>
        <v>0</v>
      </c>
      <c r="X67" s="146">
        <f>'LCIA_AD-c'!X58</f>
        <v>0</v>
      </c>
      <c r="Y67" s="146">
        <f>'LCIA_AD-c'!Y58</f>
        <v>0</v>
      </c>
      <c r="Z67" s="146">
        <f>'LCIA_AD-c'!Z58</f>
        <v>0</v>
      </c>
      <c r="AA67" s="146">
        <f>'LCIA_AD-c'!AA58</f>
        <v>0</v>
      </c>
      <c r="AB67" s="146">
        <f>'LCIA_AD-c'!AB58</f>
        <v>0</v>
      </c>
      <c r="AC67" s="146">
        <f>'LCIA_AD-c'!AC58</f>
        <v>0</v>
      </c>
      <c r="AD67" s="146">
        <f>'LCIA_AD-c'!AD58</f>
        <v>0</v>
      </c>
      <c r="AE67" s="146">
        <f>'LCIA_AD-c'!AE58</f>
        <v>0</v>
      </c>
      <c r="AF67" s="146">
        <f>'LCIA_AD-c'!AF58</f>
        <v>0</v>
      </c>
      <c r="AG67" s="146">
        <f>'LCIA_AD-c'!AG58</f>
        <v>0</v>
      </c>
      <c r="AH67" s="146">
        <f>'LCIA_AD-c'!AH58</f>
        <v>0</v>
      </c>
      <c r="AI67" s="146">
        <f>'LCIA_AD-c'!AI58</f>
        <v>0</v>
      </c>
      <c r="AJ67" s="146">
        <f>'LCIA_AD-c'!AJ58</f>
        <v>0</v>
      </c>
      <c r="AK67" s="146">
        <f>'LCIA_AD-c'!AK58</f>
        <v>0</v>
      </c>
    </row>
    <row r="68" spans="1:37" x14ac:dyDescent="0.35">
      <c r="A68" s="141"/>
      <c r="B68" s="146" t="s">
        <v>142</v>
      </c>
      <c r="C68" s="146">
        <f>'LCIA_AD-c'!C59</f>
        <v>0</v>
      </c>
      <c r="D68" s="146">
        <f>'LCIA_AD-c'!D59</f>
        <v>0</v>
      </c>
      <c r="E68" s="146">
        <f>'LCIA_AD-c'!E59</f>
        <v>0</v>
      </c>
      <c r="F68" s="146">
        <f>'LCIA_AD-c'!F59</f>
        <v>0</v>
      </c>
      <c r="G68" s="146">
        <f>'LCIA_AD-c'!G59</f>
        <v>0</v>
      </c>
      <c r="H68" s="146">
        <f>'LCIA_AD-c'!H59</f>
        <v>3.5332636669312234E-3</v>
      </c>
      <c r="I68" s="146">
        <f>'LCIA_AD-c'!I59</f>
        <v>0</v>
      </c>
      <c r="J68" s="146">
        <f>'LCIA_AD-c'!J59</f>
        <v>0</v>
      </c>
      <c r="K68" s="146">
        <f>'LCIA_AD-c'!K59</f>
        <v>0</v>
      </c>
      <c r="L68" s="146">
        <f>'LCIA_AD-c'!L59</f>
        <v>0</v>
      </c>
      <c r="M68" s="146">
        <f>'LCIA_AD-c'!M59</f>
        <v>0</v>
      </c>
      <c r="N68" s="146">
        <f>'LCIA_AD-c'!N59</f>
        <v>0</v>
      </c>
      <c r="O68" s="146">
        <f>'LCIA_AD-c'!O59</f>
        <v>0</v>
      </c>
      <c r="P68" s="146">
        <f>'LCIA_AD-c'!P59</f>
        <v>0</v>
      </c>
      <c r="Q68" s="146">
        <f>'LCIA_AD-c'!Q59</f>
        <v>0</v>
      </c>
      <c r="R68" s="146">
        <f>'LCIA_AD-c'!R59</f>
        <v>0</v>
      </c>
      <c r="S68" s="146">
        <f>'LCIA_AD-c'!S59</f>
        <v>0</v>
      </c>
      <c r="T68" s="146">
        <f>'LCIA_AD-c'!T59</f>
        <v>0</v>
      </c>
      <c r="U68" s="146">
        <f>'LCIA_AD-c'!U59</f>
        <v>0</v>
      </c>
      <c r="V68" s="146">
        <f>'LCIA_AD-c'!V59</f>
        <v>0</v>
      </c>
      <c r="W68" s="146">
        <f>'LCIA_AD-c'!W59</f>
        <v>0</v>
      </c>
      <c r="X68" s="146">
        <f>'LCIA_AD-c'!X59</f>
        <v>0</v>
      </c>
      <c r="Y68" s="146">
        <f>'LCIA_AD-c'!Y59</f>
        <v>0</v>
      </c>
      <c r="Z68" s="146">
        <f>'LCIA_AD-c'!Z59</f>
        <v>1.3714821006997321E-7</v>
      </c>
      <c r="AA68" s="146">
        <f>'LCIA_AD-c'!AA59</f>
        <v>0</v>
      </c>
      <c r="AB68" s="146">
        <f>'LCIA_AD-c'!AB59</f>
        <v>0</v>
      </c>
      <c r="AC68" s="146">
        <f>'LCIA_AD-c'!AC59</f>
        <v>2.1053616203880347E-2</v>
      </c>
      <c r="AD68" s="146">
        <f>'LCIA_AD-c'!AD59</f>
        <v>0</v>
      </c>
      <c r="AE68" s="146">
        <f>'LCIA_AD-c'!AE59</f>
        <v>0</v>
      </c>
      <c r="AF68" s="146">
        <f>'LCIA_AD-c'!AF59</f>
        <v>0</v>
      </c>
      <c r="AG68" s="146">
        <f>'LCIA_AD-c'!AG59</f>
        <v>2.4586879870811571E-2</v>
      </c>
      <c r="AH68" s="146">
        <f>'LCIA_AD-c'!AH59</f>
        <v>1.3714821006936062E-7</v>
      </c>
      <c r="AI68" s="146">
        <f>'LCIA_AD-c'!AI59</f>
        <v>0</v>
      </c>
      <c r="AJ68" s="146">
        <f>'LCIA_AD-c'!AJ59</f>
        <v>0</v>
      </c>
      <c r="AK68" s="146">
        <f>'LCIA_AD-c'!AK59</f>
        <v>0</v>
      </c>
    </row>
    <row r="69" spans="1:37" x14ac:dyDescent="0.35">
      <c r="A69" s="141"/>
      <c r="B69" s="146" t="s">
        <v>8</v>
      </c>
      <c r="C69" s="146">
        <f>'LCIA_AD-c'!C60</f>
        <v>2.2392434836894934</v>
      </c>
      <c r="D69" s="146">
        <f>'LCIA_AD-c'!D60</f>
        <v>0.68597684063618924</v>
      </c>
      <c r="E69" s="146">
        <f>'LCIA_AD-c'!E60</f>
        <v>3.017822273332271E-5</v>
      </c>
      <c r="F69" s="146">
        <f>'LCIA_AD-c'!F60</f>
        <v>9.2448909809981784E-6</v>
      </c>
      <c r="G69" s="146">
        <f>'LCIA_AD-c'!G60</f>
        <v>6.8635227319637564E-19</v>
      </c>
      <c r="H69" s="146">
        <f>'LCIA_AD-c'!H60</f>
        <v>3.958573976265841E-2</v>
      </c>
      <c r="I69" s="146">
        <f>'LCIA_AD-c'!I60</f>
        <v>1.893413870923341</v>
      </c>
      <c r="J69" s="146">
        <f>'LCIA_AD-c'!J60</f>
        <v>9.4070968995442997E-2</v>
      </c>
      <c r="K69" s="146">
        <f>'LCIA_AD-c'!K60</f>
        <v>1.6342967073203717E-4</v>
      </c>
      <c r="L69" s="146">
        <f>'LCIA_AD-c'!L60</f>
        <v>6.6329298554865483E-8</v>
      </c>
      <c r="M69" s="146">
        <f>'LCIA_AD-c'!M60</f>
        <v>1.2651389712132789E-6</v>
      </c>
      <c r="N69" s="146">
        <f>'LCIA_AD-c'!N60</f>
        <v>1.4998963039492625E-6</v>
      </c>
      <c r="O69" s="146">
        <f>'LCIA_AD-c'!O60</f>
        <v>7.9840936830198688E-7</v>
      </c>
      <c r="P69" s="146">
        <f>'LCIA_AD-c'!P60</f>
        <v>3.1549996502953533E-8</v>
      </c>
      <c r="Q69" s="146">
        <f>'LCIA_AD-c'!Q60</f>
        <v>9.7291603494578616E-7</v>
      </c>
      <c r="R69" s="146">
        <f>'LCIA_AD-c'!R60</f>
        <v>0.1260351954671714</v>
      </c>
      <c r="S69" s="146">
        <f>'LCIA_AD-c'!S60</f>
        <v>8.8857072801090453E-2</v>
      </c>
      <c r="T69" s="146">
        <f>'LCIA_AD-c'!T60</f>
        <v>0.78125840045602024</v>
      </c>
      <c r="U69" s="146">
        <f>'LCIA_AD-c'!U60</f>
        <v>8.4807379522726878E-2</v>
      </c>
      <c r="V69" s="146">
        <f>'LCIA_AD-c'!V60</f>
        <v>7.3551459022328239E-6</v>
      </c>
      <c r="W69" s="146">
        <f>'LCIA_AD-c'!W60</f>
        <v>2.024201607613384E-6</v>
      </c>
      <c r="X69" s="146">
        <f>'LCIA_AD-c'!X60</f>
        <v>5.1807181231363171E-3</v>
      </c>
      <c r="Y69" s="146">
        <f>'LCIA_AD-c'!Y60</f>
        <v>3.524264851351946E-10</v>
      </c>
      <c r="Z69" s="146">
        <f>'LCIA_AD-c'!Z60</f>
        <v>2.8528066367425103E-6</v>
      </c>
      <c r="AA69" s="146">
        <f>'LCIA_AD-c'!AA60</f>
        <v>0.12009946497509549</v>
      </c>
      <c r="AB69" s="146">
        <f>'LCIA_AD-c'!AB60</f>
        <v>1.1938825427244384E-8</v>
      </c>
      <c r="AC69" s="146">
        <f>'LCIA_AD-c'!AC60</f>
        <v>0.2612241184482012</v>
      </c>
      <c r="AD69" s="146">
        <f>'LCIA_AD-c'!AD60</f>
        <v>0.26847317088436545</v>
      </c>
      <c r="AE69" s="146">
        <f>'LCIA_AD-c'!AE60</f>
        <v>7.3883358677888519E-2</v>
      </c>
      <c r="AF69" s="146">
        <f>'LCIA_AD-c'!AF60</f>
        <v>1.4486397820494486E-2</v>
      </c>
      <c r="AG69" s="146">
        <f>'LCIA_AD-c'!AG60</f>
        <v>6.7769581322661354</v>
      </c>
      <c r="AH69" s="146">
        <f>'LCIA_AD-c'!AH60</f>
        <v>5.6288638436315479E-5</v>
      </c>
      <c r="AI69" s="146">
        <f>'LCIA_AD-c'!AI60</f>
        <v>7.6940829556770274E-5</v>
      </c>
      <c r="AJ69" s="146">
        <f>'LCIA_AD-c'!AJ60</f>
        <v>9.3977368563759392E-6</v>
      </c>
      <c r="AK69" s="146">
        <f>'LCIA_AD-c'!AK60</f>
        <v>1.1216968503096544E-4</v>
      </c>
    </row>
    <row r="70" spans="1:37" x14ac:dyDescent="0.35">
      <c r="A70" s="141"/>
      <c r="B70" s="146" t="s">
        <v>127</v>
      </c>
      <c r="C70" s="146">
        <f>'LCIA_AD-c'!C61</f>
        <v>0.25159528186235514</v>
      </c>
      <c r="D70" s="146">
        <f>'LCIA_AD-c'!D61</f>
        <v>7.6576258790754331E-2</v>
      </c>
      <c r="E70" s="146">
        <f>'LCIA_AD-c'!E61</f>
        <v>3.3907426816243926E-6</v>
      </c>
      <c r="F70" s="146">
        <f>'LCIA_AD-c'!F61</f>
        <v>1.0320161298691507E-6</v>
      </c>
      <c r="G70" s="146">
        <f>'LCIA_AD-c'!G61</f>
        <v>2.3507575943553845E-20</v>
      </c>
      <c r="H70" s="146">
        <f>'LCIA_AD-c'!H61</f>
        <v>7.4756002915242099E-3</v>
      </c>
      <c r="I70" s="146">
        <f>'LCIA_AD-c'!I61</f>
        <v>9.5133737520027933E-2</v>
      </c>
      <c r="J70" s="146">
        <f>'LCIA_AD-c'!J61</f>
        <v>1.996799750662483E-2</v>
      </c>
      <c r="K70" s="146">
        <f>'LCIA_AD-c'!K61</f>
        <v>3.918592744509265E-6</v>
      </c>
      <c r="L70" s="146">
        <f>'LCIA_AD-c'!L61</f>
        <v>2.3541751490413055E-9</v>
      </c>
      <c r="M70" s="146">
        <f>'LCIA_AD-c'!M61</f>
        <v>3.3450672830258354E-8</v>
      </c>
      <c r="N70" s="146">
        <f>'LCIA_AD-c'!N61</f>
        <v>7.0753027524551864E-8</v>
      </c>
      <c r="O70" s="146">
        <f>'LCIA_AD-c'!O61</f>
        <v>3.9535048627454298E-8</v>
      </c>
      <c r="P70" s="146">
        <f>'LCIA_AD-c'!P61</f>
        <v>3.968150991190346E-11</v>
      </c>
      <c r="Q70" s="146">
        <f>'LCIA_AD-c'!Q61</f>
        <v>6.6603179306387403E-10</v>
      </c>
      <c r="R70" s="146">
        <f>'LCIA_AD-c'!R61</f>
        <v>4.5743981109926512E-3</v>
      </c>
      <c r="S70" s="146">
        <f>'LCIA_AD-c'!S61</f>
        <v>8.1014923409397227E-3</v>
      </c>
      <c r="T70" s="146">
        <f>'LCIA_AD-c'!T61</f>
        <v>9.1019659227857319E-2</v>
      </c>
      <c r="U70" s="146">
        <f>'LCIA_AD-c'!U61</f>
        <v>9.8803936705559713E-3</v>
      </c>
      <c r="V70" s="146">
        <f>'LCIA_AD-c'!V61</f>
        <v>9.5517389695259853E-8</v>
      </c>
      <c r="W70" s="146">
        <f>'LCIA_AD-c'!W61</f>
        <v>5.2928710716057974E-8</v>
      </c>
      <c r="X70" s="146">
        <f>'LCIA_AD-c'!X61</f>
        <v>4.3984218339155592E-4</v>
      </c>
      <c r="Y70" s="146">
        <f>'LCIA_AD-c'!Y61</f>
        <v>5.7007762227287479E-12</v>
      </c>
      <c r="Z70" s="146">
        <f>'LCIA_AD-c'!Z61</f>
        <v>8.9912274452252226E-7</v>
      </c>
      <c r="AA70" s="146">
        <f>'LCIA_AD-c'!AA61</f>
        <v>1.4186452625451896E-2</v>
      </c>
      <c r="AB70" s="146">
        <f>'LCIA_AD-c'!AB61</f>
        <v>1.4538608180879093E-9</v>
      </c>
      <c r="AC70" s="146">
        <f>'LCIA_AD-c'!AC61</f>
        <v>4.7532396950135905E-2</v>
      </c>
      <c r="AD70" s="146">
        <f>'LCIA_AD-c'!AD61</f>
        <v>3.4864337427289753E-3</v>
      </c>
      <c r="AE70" s="146">
        <f>'LCIA_AD-c'!AE61</f>
        <v>1.9318979411361164E-3</v>
      </c>
      <c r="AF70" s="146">
        <f>'LCIA_AD-c'!AF61</f>
        <v>4.8805399410805121E-5</v>
      </c>
      <c r="AG70" s="146">
        <f>'LCIA_AD-c'!AG61</f>
        <v>0.63204744591918915</v>
      </c>
      <c r="AH70" s="146">
        <f>'LCIA_AD-c'!AH61</f>
        <v>5.5516315380246946E-6</v>
      </c>
      <c r="AI70" s="146">
        <f>'LCIA_AD-c'!AI61</f>
        <v>6.6751161569022381E-7</v>
      </c>
      <c r="AJ70" s="146">
        <f>'LCIA_AD-c'!AJ61</f>
        <v>8.1531464489922844E-8</v>
      </c>
      <c r="AK70" s="146">
        <f>'LCIA_AD-c'!AK61</f>
        <v>9.2063165159532293E-5</v>
      </c>
    </row>
    <row r="71" spans="1:37" x14ac:dyDescent="0.35">
      <c r="A71" s="141"/>
      <c r="B71" s="146" t="s">
        <v>134</v>
      </c>
      <c r="C71" s="146">
        <f>'LCIA_AD-c'!C62</f>
        <v>5.2793489571218171</v>
      </c>
      <c r="D71" s="146">
        <f>'LCIA_AD-c'!D62</f>
        <v>1.6013967528505488</v>
      </c>
      <c r="E71" s="146">
        <f>'LCIA_AD-c'!E62</f>
        <v>7.114964043680105E-5</v>
      </c>
      <c r="F71" s="146">
        <f>'LCIA_AD-c'!F62</f>
        <v>2.1581979915965654E-5</v>
      </c>
      <c r="G71" s="146">
        <f>'LCIA_AD-c'!G62</f>
        <v>3.487397684239594E-17</v>
      </c>
      <c r="H71" s="146">
        <f>'LCIA_AD-c'!H62</f>
        <v>0.13286178903315285</v>
      </c>
      <c r="I71" s="146">
        <f>'LCIA_AD-c'!I62</f>
        <v>23.547088231410793</v>
      </c>
      <c r="J71" s="146">
        <f>'LCIA_AD-c'!J62</f>
        <v>0.45532410523731343</v>
      </c>
      <c r="K71" s="146">
        <f>'LCIA_AD-c'!K62</f>
        <v>1.3037103036530827E-3</v>
      </c>
      <c r="L71" s="146">
        <f>'LCIA_AD-c'!L62</f>
        <v>1.2315183786359684E-7</v>
      </c>
      <c r="M71" s="146">
        <f>'LCIA_AD-c'!M62</f>
        <v>1.6719896461703793E-5</v>
      </c>
      <c r="N71" s="146">
        <f>'LCIA_AD-c'!N62</f>
        <v>3.691406216685716E-6</v>
      </c>
      <c r="O71" s="146">
        <f>'LCIA_AD-c'!O62</f>
        <v>7.6974614201652509E-6</v>
      </c>
      <c r="P71" s="146">
        <f>'LCIA_AD-c'!P62</f>
        <v>1.3361783168041865E-9</v>
      </c>
      <c r="Q71" s="146">
        <f>'LCIA_AD-c'!Q62</f>
        <v>2.1486773497391788E-8</v>
      </c>
      <c r="R71" s="146">
        <f>'LCIA_AD-c'!R62</f>
        <v>0.18694249421092868</v>
      </c>
      <c r="S71" s="146">
        <f>'LCIA_AD-c'!S62</f>
        <v>0.31572917261499572</v>
      </c>
      <c r="T71" s="146">
        <f>'LCIA_AD-c'!T62</f>
        <v>1.9057958052870343</v>
      </c>
      <c r="U71" s="146">
        <f>'LCIA_AD-c'!U62</f>
        <v>0.20687845189702475</v>
      </c>
      <c r="V71" s="146">
        <f>'LCIA_AD-c'!V62</f>
        <v>4.7282587754678004E-6</v>
      </c>
      <c r="W71" s="146">
        <f>'LCIA_AD-c'!W62</f>
        <v>5.4760607544562193E-6</v>
      </c>
      <c r="X71" s="146">
        <f>'LCIA_AD-c'!X62</f>
        <v>1.9442010734317821E-2</v>
      </c>
      <c r="Y71" s="146">
        <f>'LCIA_AD-c'!Y62</f>
        <v>4.2078650785851587E-9</v>
      </c>
      <c r="Z71" s="146">
        <f>'LCIA_AD-c'!Z62</f>
        <v>1.45647288794487E-5</v>
      </c>
      <c r="AA71" s="146">
        <f>'LCIA_AD-c'!AA62</f>
        <v>0.34705834396279439</v>
      </c>
      <c r="AB71" s="146">
        <f>'LCIA_AD-c'!AB62</f>
        <v>3.5135569356472005E-8</v>
      </c>
      <c r="AC71" s="146">
        <f>'LCIA_AD-c'!AC62</f>
        <v>0.86446278142853472</v>
      </c>
      <c r="AD71" s="146">
        <f>'LCIA_AD-c'!AD62</f>
        <v>0.17290307199763411</v>
      </c>
      <c r="AE71" s="146">
        <f>'LCIA_AD-c'!AE62</f>
        <v>0.19987621753765195</v>
      </c>
      <c r="AF71" s="146">
        <f>'LCIA_AD-c'!AF62</f>
        <v>2.0555916670237559E-3</v>
      </c>
      <c r="AG71" s="146">
        <f>'LCIA_AD-c'!AG62</f>
        <v>35.239557622542577</v>
      </c>
      <c r="AH71" s="146">
        <f>'LCIA_AD-c'!AH62</f>
        <v>1.4452744118245147E-4</v>
      </c>
      <c r="AI71" s="146">
        <f>'LCIA_AD-c'!AI62</f>
        <v>7.3179718870648256E-5</v>
      </c>
      <c r="AJ71" s="146">
        <f>'LCIA_AD-c'!AJ62</f>
        <v>8.9383458058853591E-6</v>
      </c>
      <c r="AK71" s="146">
        <f>'LCIA_AD-c'!AK62</f>
        <v>1.006749872756925E-3</v>
      </c>
    </row>
    <row r="72" spans="1:37" x14ac:dyDescent="0.35">
      <c r="A72" s="141" t="s">
        <v>272</v>
      </c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6"/>
      <c r="AI72" s="146"/>
      <c r="AJ72" s="146"/>
      <c r="AK72" s="146"/>
    </row>
    <row r="73" spans="1:37" x14ac:dyDescent="0.35">
      <c r="A73" s="141"/>
      <c r="B73" s="146" t="s">
        <v>273</v>
      </c>
      <c r="C73" s="146">
        <f>'LCIA_AD-b'!C76</f>
        <v>5.941321709497055E-2</v>
      </c>
      <c r="D73" s="146">
        <f>'LCIA_AD-b'!D76</f>
        <v>1.8200830437469038E-2</v>
      </c>
      <c r="E73" s="146">
        <f>'LCIA_AD-b'!E76</f>
        <v>8.0071028981674757E-7</v>
      </c>
      <c r="F73" s="146">
        <f>'LCIA_AD-b'!F76</f>
        <v>2.4529209033060422E-7</v>
      </c>
      <c r="G73" s="146">
        <f>'LCIA_AD-b'!G76</f>
        <v>1.8210791683919161E-20</v>
      </c>
      <c r="H73" s="146">
        <f>'LCIA_AD-b'!H76</f>
        <v>1.0503172913151426E-3</v>
      </c>
      <c r="I73" s="146">
        <f>'LCIA_AD-b'!I76</f>
        <v>5.0237417316694115E-2</v>
      </c>
      <c r="J73" s="146">
        <f>'LCIA_AD-b'!J76</f>
        <v>2.4959585431288947E-3</v>
      </c>
      <c r="K73" s="146">
        <f>'LCIA_AD-b'!K76</f>
        <v>4.3362334545967166E-6</v>
      </c>
      <c r="L73" s="146">
        <f>'LCIA_AD-b'!L76</f>
        <v>1.7598966095032293E-9</v>
      </c>
      <c r="M73" s="146">
        <f>'LCIA_AD-b'!M76</f>
        <v>3.3567576237022196E-8</v>
      </c>
      <c r="N73" s="146">
        <f>'LCIA_AD-b'!N76</f>
        <v>3.9796326471676582E-8</v>
      </c>
      <c r="O73" s="146">
        <f>'LCIA_AD-b'!O76</f>
        <v>2.1183971048751753E-8</v>
      </c>
      <c r="P73" s="146">
        <f>'LCIA_AD-b'!P76</f>
        <v>8.3710717714673815E-10</v>
      </c>
      <c r="Q73" s="146">
        <f>'LCIA_AD-b'!Q76</f>
        <v>2.5814107318142541E-8</v>
      </c>
      <c r="R73" s="146">
        <f>'LCIA_AD-b'!R76</f>
        <v>3.3440563674479156E-3</v>
      </c>
      <c r="S73" s="146">
        <f>'LCIA_AD-b'!S76</f>
        <v>2.3576197029080408E-3</v>
      </c>
      <c r="T73" s="146">
        <f>'LCIA_AD-b'!T76</f>
        <v>2.0728909246208366E-2</v>
      </c>
      <c r="U73" s="146">
        <f>'LCIA_AD-b'!U76</f>
        <v>2.2501703309804181E-3</v>
      </c>
      <c r="V73" s="146">
        <f>'LCIA_AD-b'!V76</f>
        <v>1.9515201604361924E-7</v>
      </c>
      <c r="W73" s="146">
        <f>'LCIA_AD-b'!W76</f>
        <v>5.3707571522757606E-8</v>
      </c>
      <c r="X73" s="146">
        <f>'LCIA_AD-b'!X76</f>
        <v>1.3745853579557772E-4</v>
      </c>
      <c r="Y73" s="146">
        <f>'LCIA_AD-b'!Y76</f>
        <v>9.350832736087678E-12</v>
      </c>
      <c r="Z73" s="146">
        <f>'LCIA_AD-b'!Z76</f>
        <v>7.5692715541361229E-8</v>
      </c>
      <c r="AA73" s="146">
        <f>'LCIA_AD-b'!AA76</f>
        <v>3.1865653009731433E-3</v>
      </c>
      <c r="AB73" s="146">
        <f>'LCIA_AD-b'!AB76</f>
        <v>3.1676949475771441E-10</v>
      </c>
      <c r="AC73" s="146">
        <f>'LCIA_AD-b'!AC76</f>
        <v>6.9309860106116965E-3</v>
      </c>
      <c r="AD73" s="146">
        <f>'LCIA_AD-b'!AD76</f>
        <v>7.1233230785811997E-3</v>
      </c>
      <c r="AE73" s="146">
        <f>'LCIA_AD-b'!AE76</f>
        <v>1.9603263605806531E-3</v>
      </c>
      <c r="AF73" s="146">
        <f>'LCIA_AD-b'!AF76</f>
        <v>3.8436351602776152E-4</v>
      </c>
      <c r="AG73" s="146">
        <f>'LCIA_AD-b'!AG76</f>
        <v>0.17981112267989818</v>
      </c>
      <c r="AH73" s="146">
        <f>'LCIA_AD-b'!AH76</f>
        <v>1.4934906006232479E-6</v>
      </c>
      <c r="AI73" s="146">
        <f>'LCIA_AD-b'!AI76</f>
        <v>2.0414493748538704E-6</v>
      </c>
      <c r="AJ73" s="146">
        <f>'LCIA_AD-b'!AJ76</f>
        <v>2.4934750692198234E-7</v>
      </c>
      <c r="AK73" s="146">
        <f>'LCIA_AD-b'!AK76</f>
        <v>2.9761666816324373E-6</v>
      </c>
    </row>
    <row r="74" spans="1:37" x14ac:dyDescent="0.35">
      <c r="A74" s="141"/>
      <c r="B74" s="146" t="s">
        <v>427</v>
      </c>
      <c r="C74" s="146">
        <f>'LCIA_AD-b'!C77</f>
        <v>2.3927860879237855E-2</v>
      </c>
      <c r="D74" s="146">
        <f>'LCIA_AD-b'!D77</f>
        <v>9.3982693693031565E-3</v>
      </c>
      <c r="E74" s="146">
        <f>'LCIA_AD-b'!E77</f>
        <v>3.2247512180132789E-7</v>
      </c>
      <c r="F74" s="146">
        <f>'LCIA_AD-b'!F77</f>
        <v>1.2666021734594175E-7</v>
      </c>
      <c r="G74" s="146">
        <f>'LCIA_AD-b'!G77</f>
        <v>3.4384901450135348E-20</v>
      </c>
      <c r="H74" s="146">
        <f>'LCIA_AD-b'!H77</f>
        <v>5.2699305270092621E-4</v>
      </c>
      <c r="I74" s="146">
        <f>'LCIA_AD-b'!I77</f>
        <v>0.771888101592899</v>
      </c>
      <c r="J74" s="146">
        <f>'LCIA_AD-b'!J77</f>
        <v>1.7392727279660594E-3</v>
      </c>
      <c r="K74" s="146">
        <f>'LCIA_AD-b'!K77</f>
        <v>3.3038576931669239E-3</v>
      </c>
      <c r="L74" s="146">
        <f>'LCIA_AD-b'!L77</f>
        <v>4.6379122373405724E-9</v>
      </c>
      <c r="M74" s="146">
        <f>'LCIA_AD-b'!M77</f>
        <v>3.090306240842176E-8</v>
      </c>
      <c r="N74" s="146">
        <f>'LCIA_AD-b'!N77</f>
        <v>2.2266811540084483E-7</v>
      </c>
      <c r="O74" s="146">
        <f>'LCIA_AD-b'!O77</f>
        <v>1.6787822412705222E-7</v>
      </c>
      <c r="P74" s="146">
        <f>'LCIA_AD-b'!P77</f>
        <v>2.0429078388411279E-11</v>
      </c>
      <c r="Q74" s="146">
        <f>'LCIA_AD-b'!Q77</f>
        <v>3.9204143252886534E-10</v>
      </c>
      <c r="R74" s="146">
        <f>'LCIA_AD-b'!R77</f>
        <v>1.1917674922248857E-3</v>
      </c>
      <c r="S74" s="146">
        <f>'LCIA_AD-b'!S77</f>
        <v>2.6718941156176975E-3</v>
      </c>
      <c r="T74" s="146">
        <f>'LCIA_AD-b'!T77</f>
        <v>7.747704384545878E-3</v>
      </c>
      <c r="U74" s="146">
        <f>'LCIA_AD-b'!U77</f>
        <v>8.4102932992518383E-4</v>
      </c>
      <c r="V74" s="146">
        <f>'LCIA_AD-b'!V77</f>
        <v>6.9065453059477657E-6</v>
      </c>
      <c r="W74" s="146">
        <f>'LCIA_AD-b'!W77</f>
        <v>3.3775060616058159E-6</v>
      </c>
      <c r="X74" s="146">
        <f>'LCIA_AD-b'!X77</f>
        <v>4.0405249660761478E-2</v>
      </c>
      <c r="Y74" s="146">
        <f>'LCIA_AD-b'!Y77</f>
        <v>1.3309147451561656E-12</v>
      </c>
      <c r="Z74" s="146">
        <f>'LCIA_AD-b'!Z77</f>
        <v>4.7412405843175289E-8</v>
      </c>
      <c r="AA74" s="146">
        <f>'LCIA_AD-b'!AA77</f>
        <v>1.8411387774203525E-3</v>
      </c>
      <c r="AB74" s="146">
        <f>'LCIA_AD-b'!AB77</f>
        <v>1.865853585345612E-10</v>
      </c>
      <c r="AC74" s="146">
        <f>'LCIA_AD-b'!AC77</f>
        <v>4.0495154398232022E-3</v>
      </c>
      <c r="AD74" s="146">
        <f>'LCIA_AD-b'!AD77</f>
        <v>0.2520892232869627</v>
      </c>
      <c r="AE74" s="146">
        <f>'LCIA_AD-b'!AE77</f>
        <v>0.12327897124861212</v>
      </c>
      <c r="AF74" s="146">
        <f>'LCIA_AD-b'!AF77</f>
        <v>1.5288188252654906E-5</v>
      </c>
      <c r="AG74" s="146">
        <f>'LCIA_AD-b'!AG77</f>
        <v>1.2449300223664808</v>
      </c>
      <c r="AH74" s="146">
        <f>'LCIA_AD-b'!AH77</f>
        <v>9.2275936159386523E-7</v>
      </c>
      <c r="AI74" s="146">
        <f>'LCIA_AD-b'!AI77</f>
        <v>-3.7305252814221088E-9</v>
      </c>
      <c r="AJ74" s="146">
        <f>'LCIA_AD-b'!AJ77</f>
        <v>-4.5565527604516964E-10</v>
      </c>
      <c r="AK74" s="146">
        <f>'LCIA_AD-b'!AK77</f>
        <v>3.604785788667278E-6</v>
      </c>
    </row>
    <row r="75" spans="1:37" x14ac:dyDescent="0.35">
      <c r="A75" s="141" t="s">
        <v>287</v>
      </c>
      <c r="B75" s="146"/>
      <c r="C75" s="146">
        <f>'LCIA_AD-b'!C78</f>
        <v>0</v>
      </c>
      <c r="D75" s="146">
        <f>'LCIA_AD-b'!D78</f>
        <v>0</v>
      </c>
      <c r="E75" s="146">
        <f>'LCIA_AD-b'!E78</f>
        <v>0</v>
      </c>
      <c r="F75" s="146">
        <f>'LCIA_AD-b'!F78</f>
        <v>0</v>
      </c>
      <c r="G75" s="146">
        <f>'LCIA_AD-b'!G78</f>
        <v>0</v>
      </c>
      <c r="H75" s="146">
        <f>'LCIA_AD-b'!H78</f>
        <v>0</v>
      </c>
      <c r="I75" s="146">
        <f>'LCIA_AD-b'!I78</f>
        <v>0</v>
      </c>
      <c r="J75" s="146">
        <f>'LCIA_AD-b'!J78</f>
        <v>0</v>
      </c>
      <c r="K75" s="146">
        <f>'LCIA_AD-b'!K78</f>
        <v>0</v>
      </c>
      <c r="L75" s="146">
        <f>'LCIA_AD-b'!L78</f>
        <v>0</v>
      </c>
      <c r="M75" s="146">
        <f>'LCIA_AD-b'!M78</f>
        <v>0</v>
      </c>
      <c r="N75" s="146">
        <f>'LCIA_AD-b'!N78</f>
        <v>0</v>
      </c>
      <c r="O75" s="146">
        <f>'LCIA_AD-b'!O78</f>
        <v>0</v>
      </c>
      <c r="P75" s="146">
        <f>'LCIA_AD-b'!P78</f>
        <v>0</v>
      </c>
      <c r="Q75" s="146">
        <f>'LCIA_AD-b'!Q78</f>
        <v>0</v>
      </c>
      <c r="R75" s="146">
        <f>'LCIA_AD-b'!R78</f>
        <v>0</v>
      </c>
      <c r="S75" s="146">
        <f>'LCIA_AD-b'!S78</f>
        <v>0</v>
      </c>
      <c r="T75" s="146">
        <f>'LCIA_AD-b'!T78</f>
        <v>0</v>
      </c>
      <c r="U75" s="146">
        <f>'LCIA_AD-b'!U78</f>
        <v>0</v>
      </c>
      <c r="V75" s="146">
        <f>'LCIA_AD-b'!V78</f>
        <v>0</v>
      </c>
      <c r="W75" s="146">
        <f>'LCIA_AD-b'!W78</f>
        <v>0</v>
      </c>
      <c r="X75" s="146">
        <f>'LCIA_AD-b'!X78</f>
        <v>0</v>
      </c>
      <c r="Y75" s="146">
        <f>'LCIA_AD-b'!Y78</f>
        <v>0</v>
      </c>
      <c r="Z75" s="146">
        <f>'LCIA_AD-b'!Z78</f>
        <v>0</v>
      </c>
      <c r="AA75" s="146">
        <f>'LCIA_AD-b'!AA78</f>
        <v>0</v>
      </c>
      <c r="AB75" s="146">
        <f>'LCIA_AD-b'!AB78</f>
        <v>0</v>
      </c>
      <c r="AC75" s="146">
        <f>'LCIA_AD-b'!AC78</f>
        <v>0</v>
      </c>
      <c r="AD75" s="146">
        <f>'LCIA_AD-b'!AD78</f>
        <v>0</v>
      </c>
      <c r="AE75" s="146">
        <f>'LCIA_AD-b'!AE78</f>
        <v>0</v>
      </c>
      <c r="AF75" s="146">
        <f>'LCIA_AD-b'!AF78</f>
        <v>0</v>
      </c>
      <c r="AG75" s="146">
        <f>'LCIA_AD-b'!AG78</f>
        <v>0</v>
      </c>
      <c r="AH75" s="146">
        <f>'LCIA_AD-b'!AH78</f>
        <v>0</v>
      </c>
      <c r="AI75" s="146">
        <f>'LCIA_AD-b'!AI78</f>
        <v>0</v>
      </c>
      <c r="AJ75" s="146">
        <f>'LCIA_AD-b'!AJ78</f>
        <v>0</v>
      </c>
      <c r="AK75" s="146">
        <f>'LCIA_AD-b'!AK78</f>
        <v>0</v>
      </c>
    </row>
    <row r="76" spans="1:37" x14ac:dyDescent="0.35">
      <c r="A76" s="141"/>
      <c r="B76" s="146" t="s">
        <v>96</v>
      </c>
      <c r="C76" s="146">
        <f>'LCIA_AD-b'!C79</f>
        <v>5.473873158817244E-2</v>
      </c>
      <c r="D76" s="146">
        <f>'LCIA_AD-b'!D79</f>
        <v>0.20789348138295874</v>
      </c>
      <c r="E76" s="146">
        <f>'LCIA_AD-b'!E79</f>
        <v>7.3771237743456607E-7</v>
      </c>
      <c r="F76" s="146">
        <f>'LCIA_AD-b'!F79</f>
        <v>2.8017773692361324E-6</v>
      </c>
      <c r="G76" s="146">
        <f>'LCIA_AD-b'!G79</f>
        <v>0</v>
      </c>
      <c r="H76" s="146">
        <f>'LCIA_AD-b'!H79</f>
        <v>0</v>
      </c>
      <c r="I76" s="146">
        <f>'LCIA_AD-b'!I79</f>
        <v>0</v>
      </c>
      <c r="J76" s="146">
        <f>'LCIA_AD-b'!J79</f>
        <v>0</v>
      </c>
      <c r="K76" s="146">
        <f>'LCIA_AD-b'!K79</f>
        <v>0</v>
      </c>
      <c r="L76" s="146">
        <f>'LCIA_AD-b'!L79</f>
        <v>0</v>
      </c>
      <c r="M76" s="146">
        <f>'LCIA_AD-b'!M79</f>
        <v>0</v>
      </c>
      <c r="N76" s="146">
        <f>'LCIA_AD-b'!N79</f>
        <v>0</v>
      </c>
      <c r="O76" s="146">
        <f>'LCIA_AD-b'!O79</f>
        <v>0</v>
      </c>
      <c r="P76" s="146">
        <f>'LCIA_AD-b'!P79</f>
        <v>0</v>
      </c>
      <c r="Q76" s="146">
        <f>'LCIA_AD-b'!Q79</f>
        <v>0</v>
      </c>
      <c r="R76" s="146">
        <f>'LCIA_AD-b'!R79</f>
        <v>0</v>
      </c>
      <c r="S76" s="146">
        <f>'LCIA_AD-b'!S79</f>
        <v>0</v>
      </c>
      <c r="T76" s="146">
        <f>'LCIA_AD-b'!T79</f>
        <v>0</v>
      </c>
      <c r="U76" s="146">
        <f>'LCIA_AD-b'!U79</f>
        <v>0</v>
      </c>
      <c r="V76" s="146">
        <f>'LCIA_AD-b'!V79</f>
        <v>0</v>
      </c>
      <c r="W76" s="146">
        <f>'LCIA_AD-b'!W79</f>
        <v>0</v>
      </c>
      <c r="X76" s="146">
        <f>'LCIA_AD-b'!X79</f>
        <v>0</v>
      </c>
      <c r="Y76" s="146">
        <f>'LCIA_AD-b'!Y79</f>
        <v>0</v>
      </c>
      <c r="Z76" s="146">
        <f>'LCIA_AD-b'!Z79</f>
        <v>0</v>
      </c>
      <c r="AA76" s="146">
        <f>'LCIA_AD-b'!AA79</f>
        <v>0</v>
      </c>
      <c r="AB76" s="146">
        <f>'LCIA_AD-b'!AB79</f>
        <v>0</v>
      </c>
      <c r="AC76" s="146">
        <f>'LCIA_AD-b'!AC79</f>
        <v>0</v>
      </c>
      <c r="AD76" s="146">
        <f>'LCIA_AD-b'!AD79</f>
        <v>0</v>
      </c>
      <c r="AE76" s="146">
        <f>'LCIA_AD-b'!AE79</f>
        <v>0</v>
      </c>
      <c r="AF76" s="146">
        <f>'LCIA_AD-b'!AF79</f>
        <v>0</v>
      </c>
      <c r="AG76" s="146">
        <f>'LCIA_AD-b'!AG79</f>
        <v>0.26263221297113121</v>
      </c>
      <c r="AH76" s="146">
        <f>'LCIA_AD-b'!AH79</f>
        <v>3.5394897466522031E-6</v>
      </c>
      <c r="AI76" s="146">
        <f>'LCIA_AD-b'!AI79</f>
        <v>0</v>
      </c>
      <c r="AJ76" s="146">
        <f>'LCIA_AD-b'!AJ79</f>
        <v>0</v>
      </c>
      <c r="AK76" s="146">
        <f>'LCIA_AD-b'!AK79</f>
        <v>0</v>
      </c>
    </row>
    <row r="77" spans="1:37" x14ac:dyDescent="0.35">
      <c r="A77" s="141"/>
      <c r="B77" s="146" t="s">
        <v>111</v>
      </c>
      <c r="C77" s="146">
        <f>'LCIA_AD-b'!C80</f>
        <v>3.169059580847164</v>
      </c>
      <c r="D77" s="146">
        <f>'LCIA_AD-b'!D80</f>
        <v>2.3510828283278671</v>
      </c>
      <c r="E77" s="146">
        <f>'LCIA_AD-b'!E80</f>
        <v>4.2709328656122845E-5</v>
      </c>
      <c r="F77" s="146">
        <f>'LCIA_AD-b'!F80</f>
        <v>3.168547849958029E-5</v>
      </c>
      <c r="G77" s="146">
        <f>'LCIA_AD-b'!G80</f>
        <v>0</v>
      </c>
      <c r="H77" s="146">
        <f>'LCIA_AD-b'!H80</f>
        <v>0</v>
      </c>
      <c r="I77" s="146">
        <f>'LCIA_AD-b'!I80</f>
        <v>0</v>
      </c>
      <c r="J77" s="146">
        <f>'LCIA_AD-b'!J80</f>
        <v>0</v>
      </c>
      <c r="K77" s="146">
        <f>'LCIA_AD-b'!K80</f>
        <v>0</v>
      </c>
      <c r="L77" s="146">
        <f>'LCIA_AD-b'!L80</f>
        <v>0</v>
      </c>
      <c r="M77" s="146">
        <f>'LCIA_AD-b'!M80</f>
        <v>0</v>
      </c>
      <c r="N77" s="146">
        <f>'LCIA_AD-b'!N80</f>
        <v>0</v>
      </c>
      <c r="O77" s="146">
        <f>'LCIA_AD-b'!O80</f>
        <v>0</v>
      </c>
      <c r="P77" s="146">
        <f>'LCIA_AD-b'!P80</f>
        <v>0</v>
      </c>
      <c r="Q77" s="146">
        <f>'LCIA_AD-b'!Q80</f>
        <v>0</v>
      </c>
      <c r="R77" s="146">
        <f>'LCIA_AD-b'!R80</f>
        <v>0</v>
      </c>
      <c r="S77" s="146">
        <f>'LCIA_AD-b'!S80</f>
        <v>0</v>
      </c>
      <c r="T77" s="146">
        <f>'LCIA_AD-b'!T80</f>
        <v>0</v>
      </c>
      <c r="U77" s="146">
        <f>'LCIA_AD-b'!U80</f>
        <v>0</v>
      </c>
      <c r="V77" s="146">
        <f>'LCIA_AD-b'!V80</f>
        <v>0</v>
      </c>
      <c r="W77" s="146">
        <f>'LCIA_AD-b'!W80</f>
        <v>0</v>
      </c>
      <c r="X77" s="146">
        <f>'LCIA_AD-b'!X80</f>
        <v>0</v>
      </c>
      <c r="Y77" s="146">
        <f>'LCIA_AD-b'!Y80</f>
        <v>0</v>
      </c>
      <c r="Z77" s="146">
        <f>'LCIA_AD-b'!Z80</f>
        <v>0</v>
      </c>
      <c r="AA77" s="146">
        <f>'LCIA_AD-b'!AA80</f>
        <v>0</v>
      </c>
      <c r="AB77" s="146">
        <f>'LCIA_AD-b'!AB80</f>
        <v>0</v>
      </c>
      <c r="AC77" s="146">
        <f>'LCIA_AD-b'!AC80</f>
        <v>0</v>
      </c>
      <c r="AD77" s="146">
        <f>'LCIA_AD-b'!AD80</f>
        <v>0</v>
      </c>
      <c r="AE77" s="146">
        <f>'LCIA_AD-b'!AE80</f>
        <v>0</v>
      </c>
      <c r="AF77" s="146">
        <f>'LCIA_AD-b'!AF80</f>
        <v>0</v>
      </c>
      <c r="AG77" s="146">
        <f>'LCIA_AD-b'!AG80</f>
        <v>5.5201424091750306</v>
      </c>
      <c r="AH77" s="146">
        <f>'LCIA_AD-b'!AH80</f>
        <v>7.4394807155421568E-5</v>
      </c>
      <c r="AI77" s="146">
        <f>'LCIA_AD-b'!AI80</f>
        <v>0</v>
      </c>
      <c r="AJ77" s="146">
        <f>'LCIA_AD-b'!AJ80</f>
        <v>0</v>
      </c>
      <c r="AK77" s="146">
        <f>'LCIA_AD-b'!AK80</f>
        <v>0</v>
      </c>
    </row>
    <row r="78" spans="1:37" x14ac:dyDescent="0.35">
      <c r="A78" s="141"/>
      <c r="B78" s="146" t="s">
        <v>110</v>
      </c>
      <c r="C78" s="146">
        <f>'LCIA_AD-b'!C81</f>
        <v>0</v>
      </c>
      <c r="D78" s="146">
        <f>'LCIA_AD-b'!D81</f>
        <v>0</v>
      </c>
      <c r="E78" s="146">
        <f>'LCIA_AD-b'!E81</f>
        <v>0</v>
      </c>
      <c r="F78" s="146">
        <f>'LCIA_AD-b'!F81</f>
        <v>0</v>
      </c>
      <c r="G78" s="146">
        <f>'LCIA_AD-b'!G81</f>
        <v>0</v>
      </c>
      <c r="H78" s="146">
        <f>'LCIA_AD-b'!H81</f>
        <v>0.3744384376249299</v>
      </c>
      <c r="I78" s="146">
        <f>'LCIA_AD-b'!I81</f>
        <v>0</v>
      </c>
      <c r="J78" s="146">
        <f>'LCIA_AD-b'!J81</f>
        <v>0</v>
      </c>
      <c r="K78" s="146">
        <f>'LCIA_AD-b'!K81</f>
        <v>0</v>
      </c>
      <c r="L78" s="146">
        <f>'LCIA_AD-b'!L81</f>
        <v>0</v>
      </c>
      <c r="M78" s="146">
        <f>'LCIA_AD-b'!M81</f>
        <v>0</v>
      </c>
      <c r="N78" s="146">
        <f>'LCIA_AD-b'!N81</f>
        <v>0</v>
      </c>
      <c r="O78" s="146">
        <f>'LCIA_AD-b'!O81</f>
        <v>0</v>
      </c>
      <c r="P78" s="146">
        <f>'LCIA_AD-b'!P81</f>
        <v>0</v>
      </c>
      <c r="Q78" s="146">
        <f>'LCIA_AD-b'!Q81</f>
        <v>0</v>
      </c>
      <c r="R78" s="146">
        <f>'LCIA_AD-b'!R81</f>
        <v>0</v>
      </c>
      <c r="S78" s="146">
        <f>'LCIA_AD-b'!S81</f>
        <v>0</v>
      </c>
      <c r="T78" s="146">
        <f>'LCIA_AD-b'!T81</f>
        <v>0</v>
      </c>
      <c r="U78" s="146">
        <f>'LCIA_AD-b'!U81</f>
        <v>0</v>
      </c>
      <c r="V78" s="146">
        <f>'LCIA_AD-b'!V81</f>
        <v>0</v>
      </c>
      <c r="W78" s="146">
        <f>'LCIA_AD-b'!W81</f>
        <v>0</v>
      </c>
      <c r="X78" s="146">
        <f>'LCIA_AD-b'!X81</f>
        <v>0.14374573964671425</v>
      </c>
      <c r="Y78" s="146">
        <f>'LCIA_AD-b'!Y81</f>
        <v>0</v>
      </c>
      <c r="Z78" s="146">
        <f>'LCIA_AD-b'!Z81</f>
        <v>3.5968540350410269E-5</v>
      </c>
      <c r="AA78" s="146">
        <f>'LCIA_AD-b'!AA81</f>
        <v>0</v>
      </c>
      <c r="AB78" s="146">
        <f>'LCIA_AD-b'!AB81</f>
        <v>0</v>
      </c>
      <c r="AC78" s="146">
        <f>'LCIA_AD-b'!AC81</f>
        <v>4.8275111024190469</v>
      </c>
      <c r="AD78" s="146">
        <f>'LCIA_AD-b'!AD81</f>
        <v>0</v>
      </c>
      <c r="AE78" s="146">
        <f>'LCIA_AD-b'!AE81</f>
        <v>0</v>
      </c>
      <c r="AF78" s="146">
        <f>'LCIA_AD-b'!AF81</f>
        <v>0</v>
      </c>
      <c r="AG78" s="146">
        <f>'LCIA_AD-b'!AG81</f>
        <v>5.3456952796906911</v>
      </c>
      <c r="AH78" s="146">
        <f>'LCIA_AD-b'!AH81</f>
        <v>3.5968540350014874E-5</v>
      </c>
      <c r="AI78" s="146">
        <f>'LCIA_AD-b'!AI81</f>
        <v>0</v>
      </c>
      <c r="AJ78" s="146">
        <f>'LCIA_AD-b'!AJ81</f>
        <v>0</v>
      </c>
      <c r="AK78" s="146">
        <f>'LCIA_AD-b'!AK81</f>
        <v>0</v>
      </c>
    </row>
    <row r="79" spans="1:37" x14ac:dyDescent="0.35">
      <c r="A79" s="141"/>
      <c r="B79" s="146" t="s">
        <v>288</v>
      </c>
      <c r="C79" s="146">
        <f>'LCIA_AD-b'!C82</f>
        <v>0</v>
      </c>
      <c r="D79" s="146">
        <f>'LCIA_AD-b'!D82</f>
        <v>0</v>
      </c>
      <c r="E79" s="146">
        <f>'LCIA_AD-b'!E82</f>
        <v>0</v>
      </c>
      <c r="F79" s="146">
        <f>'LCIA_AD-b'!F82</f>
        <v>0</v>
      </c>
      <c r="G79" s="146">
        <f>'LCIA_AD-b'!G82</f>
        <v>0</v>
      </c>
      <c r="H79" s="146">
        <f>'LCIA_AD-b'!H82</f>
        <v>0</v>
      </c>
      <c r="I79" s="146">
        <f>'LCIA_AD-b'!I82</f>
        <v>0</v>
      </c>
      <c r="J79" s="146">
        <f>'LCIA_AD-b'!J82</f>
        <v>0</v>
      </c>
      <c r="K79" s="146">
        <f>'LCIA_AD-b'!K82</f>
        <v>0</v>
      </c>
      <c r="L79" s="146">
        <f>'LCIA_AD-b'!L82</f>
        <v>0</v>
      </c>
      <c r="M79" s="146">
        <f>'LCIA_AD-b'!M82</f>
        <v>0</v>
      </c>
      <c r="N79" s="146">
        <f>'LCIA_AD-b'!N82</f>
        <v>0</v>
      </c>
      <c r="O79" s="146">
        <f>'LCIA_AD-b'!O82</f>
        <v>0</v>
      </c>
      <c r="P79" s="146">
        <f>'LCIA_AD-b'!P82</f>
        <v>0</v>
      </c>
      <c r="Q79" s="146">
        <f>'LCIA_AD-b'!Q82</f>
        <v>0</v>
      </c>
      <c r="R79" s="146">
        <f>'LCIA_AD-b'!R82</f>
        <v>0</v>
      </c>
      <c r="S79" s="146">
        <f>'LCIA_AD-b'!S82</f>
        <v>0</v>
      </c>
      <c r="T79" s="146">
        <f>'LCIA_AD-b'!T82</f>
        <v>0</v>
      </c>
      <c r="U79" s="146">
        <f>'LCIA_AD-b'!U82</f>
        <v>0</v>
      </c>
      <c r="V79" s="146">
        <f>'LCIA_AD-b'!V82</f>
        <v>0</v>
      </c>
      <c r="W79" s="146">
        <f>'LCIA_AD-b'!W82</f>
        <v>0</v>
      </c>
      <c r="X79" s="146">
        <f>'LCIA_AD-b'!X82</f>
        <v>0</v>
      </c>
      <c r="Y79" s="146">
        <f>'LCIA_AD-b'!Y82</f>
        <v>0</v>
      </c>
      <c r="Z79" s="146">
        <f>'LCIA_AD-b'!Z82</f>
        <v>0</v>
      </c>
      <c r="AA79" s="146">
        <f>'LCIA_AD-b'!AA82</f>
        <v>7.8076707234924367E-2</v>
      </c>
      <c r="AB79" s="146">
        <f>'LCIA_AD-b'!AB82</f>
        <v>5.059520896744001E-9</v>
      </c>
      <c r="AC79" s="146">
        <f>'LCIA_AD-b'!AC82</f>
        <v>0</v>
      </c>
      <c r="AD79" s="146">
        <f>'LCIA_AD-b'!AD82</f>
        <v>0</v>
      </c>
      <c r="AE79" s="146">
        <f>'LCIA_AD-b'!AE82</f>
        <v>0</v>
      </c>
      <c r="AF79" s="146">
        <f>'LCIA_AD-b'!AF82</f>
        <v>0</v>
      </c>
      <c r="AG79" s="146">
        <f>'LCIA_AD-b'!AG82</f>
        <v>7.8076707234924367E-2</v>
      </c>
      <c r="AH79" s="146">
        <f>'LCIA_AD-b'!AH82</f>
        <v>5.0595208901371961E-9</v>
      </c>
      <c r="AI79" s="146">
        <f>'LCIA_AD-b'!AI82</f>
        <v>0</v>
      </c>
      <c r="AJ79" s="146">
        <f>'LCIA_AD-b'!AJ82</f>
        <v>0</v>
      </c>
      <c r="AK79" s="146">
        <f>'LCIA_AD-b'!AK82</f>
        <v>0</v>
      </c>
    </row>
    <row r="80" spans="1:37" x14ac:dyDescent="0.35">
      <c r="A80" s="141"/>
      <c r="B80" s="146" t="s">
        <v>123</v>
      </c>
      <c r="C80" s="146">
        <f>'LCIA_AD-b'!C83</f>
        <v>0</v>
      </c>
      <c r="D80" s="146">
        <f>'LCIA_AD-b'!D83</f>
        <v>0</v>
      </c>
      <c r="E80" s="146">
        <f>'LCIA_AD-b'!E83</f>
        <v>0</v>
      </c>
      <c r="F80" s="146">
        <f>'LCIA_AD-b'!F83</f>
        <v>0</v>
      </c>
      <c r="G80" s="146">
        <f>'LCIA_AD-b'!G83</f>
        <v>0</v>
      </c>
      <c r="H80" s="146">
        <f>'LCIA_AD-b'!H83</f>
        <v>0</v>
      </c>
      <c r="I80" s="146">
        <f>'LCIA_AD-b'!I83</f>
        <v>0</v>
      </c>
      <c r="J80" s="146">
        <f>'LCIA_AD-b'!J83</f>
        <v>0</v>
      </c>
      <c r="K80" s="146">
        <f>'LCIA_AD-b'!K83</f>
        <v>0</v>
      </c>
      <c r="L80" s="146">
        <f>'LCIA_AD-b'!L83</f>
        <v>0</v>
      </c>
      <c r="M80" s="146">
        <f>'LCIA_AD-b'!M83</f>
        <v>0</v>
      </c>
      <c r="N80" s="146">
        <f>'LCIA_AD-b'!N83</f>
        <v>0</v>
      </c>
      <c r="O80" s="146">
        <f>'LCIA_AD-b'!O83</f>
        <v>0</v>
      </c>
      <c r="P80" s="146">
        <f>'LCIA_AD-b'!P83</f>
        <v>0</v>
      </c>
      <c r="Q80" s="146">
        <f>'LCIA_AD-b'!Q83</f>
        <v>0</v>
      </c>
      <c r="R80" s="146">
        <f>'LCIA_AD-b'!R83</f>
        <v>0</v>
      </c>
      <c r="S80" s="146">
        <f>'LCIA_AD-b'!S83</f>
        <v>0</v>
      </c>
      <c r="T80" s="146">
        <f>'LCIA_AD-b'!T83</f>
        <v>0</v>
      </c>
      <c r="U80" s="146">
        <f>'LCIA_AD-b'!U83</f>
        <v>0</v>
      </c>
      <c r="V80" s="146">
        <f>'LCIA_AD-b'!V83</f>
        <v>0</v>
      </c>
      <c r="W80" s="146">
        <f>'LCIA_AD-b'!W83</f>
        <v>0</v>
      </c>
      <c r="X80" s="146">
        <f>'LCIA_AD-b'!X83</f>
        <v>0</v>
      </c>
      <c r="Y80" s="146">
        <f>'LCIA_AD-b'!Y83</f>
        <v>0</v>
      </c>
      <c r="Z80" s="146">
        <f>'LCIA_AD-b'!Z83</f>
        <v>0</v>
      </c>
      <c r="AA80" s="146">
        <f>'LCIA_AD-b'!AA83</f>
        <v>0</v>
      </c>
      <c r="AB80" s="146">
        <f>'LCIA_AD-b'!AB83</f>
        <v>0</v>
      </c>
      <c r="AC80" s="146">
        <f>'LCIA_AD-b'!AC83</f>
        <v>0</v>
      </c>
      <c r="AD80" s="146">
        <f>'LCIA_AD-b'!AD83</f>
        <v>0</v>
      </c>
      <c r="AE80" s="146">
        <f>'LCIA_AD-b'!AE83</f>
        <v>0</v>
      </c>
      <c r="AF80" s="146">
        <f>'LCIA_AD-b'!AF83</f>
        <v>0</v>
      </c>
      <c r="AG80" s="146">
        <f>'LCIA_AD-b'!AG83</f>
        <v>0</v>
      </c>
      <c r="AH80" s="146">
        <f>'LCIA_AD-b'!AH83</f>
        <v>0</v>
      </c>
      <c r="AI80" s="146">
        <f>'LCIA_AD-b'!AI83</f>
        <v>0</v>
      </c>
      <c r="AJ80" s="146">
        <f>'LCIA_AD-b'!AJ83</f>
        <v>0</v>
      </c>
      <c r="AK80" s="146">
        <f>'LCIA_AD-b'!AK83</f>
        <v>0</v>
      </c>
    </row>
    <row r="81" spans="1:37" x14ac:dyDescent="0.35">
      <c r="A81" s="141"/>
      <c r="B81" s="146" t="s">
        <v>273</v>
      </c>
      <c r="C81" s="146">
        <f>'LCIA_AD-b'!C84</f>
        <v>9.1997397298889227E-2</v>
      </c>
      <c r="D81" s="146">
        <f>'LCIA_AD-b'!D84</f>
        <v>2.8182769942402236E-2</v>
      </c>
      <c r="E81" s="146">
        <f>'LCIA_AD-b'!E84</f>
        <v>1.2398463886550895E-6</v>
      </c>
      <c r="F81" s="146">
        <f>'LCIA_AD-b'!F84</f>
        <v>3.7981841401296377E-7</v>
      </c>
      <c r="G81" s="146">
        <f>'LCIA_AD-b'!G84</f>
        <v>2.819819426702347E-20</v>
      </c>
      <c r="H81" s="146">
        <f>'LCIA_AD-b'!H84</f>
        <v>1.6263461543339314E-3</v>
      </c>
      <c r="I81" s="146">
        <f>'LCIA_AD-b'!I84</f>
        <v>7.7789284373648959E-2</v>
      </c>
      <c r="J81" s="146">
        <f>'LCIA_AD-b'!J84</f>
        <v>3.8648250500682552E-3</v>
      </c>
      <c r="K81" s="146">
        <f>'LCIA_AD-b'!K84</f>
        <v>6.7143678024639186E-6</v>
      </c>
      <c r="L81" s="146">
        <f>'LCIA_AD-b'!L84</f>
        <v>2.7250823218448872E-9</v>
      </c>
      <c r="M81" s="146">
        <f>'LCIA_AD-b'!M84</f>
        <v>5.1977149167024323E-8</v>
      </c>
      <c r="N81" s="146">
        <f>'LCIA_AD-b'!N84</f>
        <v>6.1621952765137466E-8</v>
      </c>
      <c r="O81" s="146">
        <f>'LCIA_AD-b'!O84</f>
        <v>3.2801963876572476E-8</v>
      </c>
      <c r="P81" s="146">
        <f>'LCIA_AD-b'!P84</f>
        <v>1.2962045370244614E-9</v>
      </c>
      <c r="Q81" s="146">
        <f>'LCIA_AD-b'!Q84</f>
        <v>3.9971420552218461E-8</v>
      </c>
      <c r="R81" s="146">
        <f>'LCIA_AD-b'!R84</f>
        <v>5.1780478699583656E-3</v>
      </c>
      <c r="S81" s="146">
        <f>'LCIA_AD-b'!S84</f>
        <v>3.6506165983474547E-3</v>
      </c>
      <c r="T81" s="146">
        <f>'LCIA_AD-b'!T84</f>
        <v>3.2097331077826474E-2</v>
      </c>
      <c r="U81" s="146">
        <f>'LCIA_AD-b'!U84</f>
        <v>3.4842384245660119E-3</v>
      </c>
      <c r="V81" s="146">
        <f>'LCIA_AD-b'!V84</f>
        <v>3.0217985881737148E-7</v>
      </c>
      <c r="W81" s="146">
        <f>'LCIA_AD-b'!W84</f>
        <v>8.3162586322158654E-8</v>
      </c>
      <c r="X81" s="146">
        <f>'LCIA_AD-b'!X84</f>
        <v>2.128453591310383E-4</v>
      </c>
      <c r="Y81" s="146">
        <f>'LCIA_AD-b'!Y84</f>
        <v>1.4479139766530832E-11</v>
      </c>
      <c r="Z81" s="146">
        <f>'LCIA_AD-b'!Z84</f>
        <v>1.1720511301650913E-7</v>
      </c>
      <c r="AA81" s="146">
        <f>'LCIA_AD-b'!AA84</f>
        <v>4.934183475435755E-3</v>
      </c>
      <c r="AB81" s="146">
        <f>'LCIA_AD-b'!AB84</f>
        <v>4.9049639939226234E-10</v>
      </c>
      <c r="AC81" s="146">
        <f>'LCIA_AD-b'!AC84</f>
        <v>1.0732168781098783E-2</v>
      </c>
      <c r="AD81" s="146">
        <f>'LCIA_AD-b'!AD84</f>
        <v>1.1029989880888913E-2</v>
      </c>
      <c r="AE81" s="146">
        <f>'LCIA_AD-b'!AE84</f>
        <v>3.0354344007587917E-3</v>
      </c>
      <c r="AF81" s="146">
        <f>'LCIA_AD-b'!AF84</f>
        <v>5.9516122540008507E-4</v>
      </c>
      <c r="AG81" s="146">
        <f>'LCIA_AD-b'!AG84</f>
        <v>0.27842551036244478</v>
      </c>
      <c r="AH81" s="146">
        <f>'LCIA_AD-b'!AH84</f>
        <v>2.3125704155704539E-6</v>
      </c>
      <c r="AI81" s="146">
        <f>'LCIA_AD-b'!AI84</f>
        <v>3.1610479685655485E-6</v>
      </c>
      <c r="AJ81" s="146">
        <f>'LCIA_AD-b'!AJ84</f>
        <v>3.8609795566399319E-7</v>
      </c>
      <c r="AK81" s="146">
        <f>'LCIA_AD-b'!AK84</f>
        <v>4.6083952700321599E-6</v>
      </c>
    </row>
    <row r="82" spans="1:37" x14ac:dyDescent="0.35">
      <c r="A82" s="141"/>
      <c r="B82" s="146" t="s">
        <v>289</v>
      </c>
      <c r="C82" s="146">
        <f>'LCIA_AD-b'!C85</f>
        <v>0.1039147518015076</v>
      </c>
      <c r="D82" s="146">
        <f>'LCIA_AD-b'!D85</f>
        <v>4.1067095735330933E-2</v>
      </c>
      <c r="E82" s="146">
        <f>'LCIA_AD-b'!E85</f>
        <v>1.4004562469360723E-6</v>
      </c>
      <c r="F82" s="146">
        <f>'LCIA_AD-b'!F85</f>
        <v>5.5346011773115295E-7</v>
      </c>
      <c r="G82" s="146">
        <f>'LCIA_AD-b'!G85</f>
        <v>1.6130521335353439E-20</v>
      </c>
      <c r="H82" s="146">
        <f>'LCIA_AD-b'!H85</f>
        <v>2.7054070426269952E-3</v>
      </c>
      <c r="I82" s="146">
        <f>'LCIA_AD-b'!I85</f>
        <v>2.4196440073787778E-2</v>
      </c>
      <c r="J82" s="146">
        <f>'LCIA_AD-b'!J85</f>
        <v>1.7630583606476537E-2</v>
      </c>
      <c r="K82" s="146">
        <f>'LCIA_AD-b'!K85</f>
        <v>2.4472117590483638E-5</v>
      </c>
      <c r="L82" s="146">
        <f>'LCIA_AD-b'!L85</f>
        <v>1.3576808019091356E-9</v>
      </c>
      <c r="M82" s="146">
        <f>'LCIA_AD-b'!M85</f>
        <v>5.1572925418878274E-8</v>
      </c>
      <c r="N82" s="146">
        <f>'LCIA_AD-b'!N85</f>
        <v>3.3872872795680431E-8</v>
      </c>
      <c r="O82" s="146">
        <f>'LCIA_AD-b'!O85</f>
        <v>2.6288935372440298E-8</v>
      </c>
      <c r="P82" s="146">
        <f>'LCIA_AD-b'!P85</f>
        <v>1.2683791297072126E-11</v>
      </c>
      <c r="Q82" s="146">
        <f>'LCIA_AD-b'!Q85</f>
        <v>2.3580294814971754E-10</v>
      </c>
      <c r="R82" s="146">
        <f>'LCIA_AD-b'!R85</f>
        <v>2.1090311924351537E-3</v>
      </c>
      <c r="S82" s="146">
        <f>'LCIA_AD-b'!S85</f>
        <v>1.8992751976227653E-2</v>
      </c>
      <c r="T82" s="146">
        <f>'LCIA_AD-b'!T85</f>
        <v>3.6140715903243067E-2</v>
      </c>
      <c r="U82" s="146">
        <f>'LCIA_AD-b'!U85</f>
        <v>3.923152069951294E-3</v>
      </c>
      <c r="V82" s="146">
        <f>'LCIA_AD-b'!V85</f>
        <v>8.3831586723194238E-9</v>
      </c>
      <c r="W82" s="146">
        <f>'LCIA_AD-b'!W85</f>
        <v>7.400687754511597E-9</v>
      </c>
      <c r="X82" s="146">
        <f>'LCIA_AD-b'!X85</f>
        <v>9.0097723477391967E-4</v>
      </c>
      <c r="Y82" s="146">
        <f>'LCIA_AD-b'!Y85</f>
        <v>5.6978286394437733E-11</v>
      </c>
      <c r="Z82" s="146">
        <f>'LCIA_AD-b'!Z85</f>
        <v>1.6243641906731715E-7</v>
      </c>
      <c r="AA82" s="146">
        <f>'LCIA_AD-b'!AA85</f>
        <v>1.271342860162961E-2</v>
      </c>
      <c r="AB82" s="146">
        <f>'LCIA_AD-b'!AB85</f>
        <v>1.0601852933367218E-9</v>
      </c>
      <c r="AC82" s="146">
        <f>'LCIA_AD-b'!AC85</f>
        <v>1.7420512120229357E-2</v>
      </c>
      <c r="AD82" s="146">
        <f>'LCIA_AD-b'!AD85</f>
        <v>3.0603630298783007E-4</v>
      </c>
      <c r="AE82" s="146">
        <f>'LCIA_AD-b'!AE85</f>
        <v>2.7012510303967328E-4</v>
      </c>
      <c r="AF82" s="146">
        <f>'LCIA_AD-b'!AF85</f>
        <v>1.1860112818669014E-5</v>
      </c>
      <c r="AG82" s="146">
        <f>'LCIA_AD-b'!AG85</f>
        <v>0.28233095249588547</v>
      </c>
      <c r="AH82" s="146">
        <f>'LCIA_AD-b'!AH85</f>
        <v>2.2647638813528062E-6</v>
      </c>
      <c r="AI82" s="146">
        <f>'LCIA_AD-b'!AI85</f>
        <v>2.7808295331522901E-7</v>
      </c>
      <c r="AJ82" s="146">
        <f>'LCIA_AD-b'!AJ85</f>
        <v>3.3965716701470755E-8</v>
      </c>
      <c r="AK82" s="146">
        <f>'LCIA_AD-b'!AK85</f>
        <v>3.3176217455392112E-6</v>
      </c>
    </row>
    <row r="83" spans="1:37" ht="29" x14ac:dyDescent="0.35">
      <c r="A83" s="141" t="s">
        <v>353</v>
      </c>
      <c r="B83" s="146"/>
      <c r="C83" s="141">
        <f>'LCIA_AD-b'!C86</f>
        <v>0.6709591915439802</v>
      </c>
      <c r="D83" s="141">
        <f>'LCIA_AD-b'!D86</f>
        <v>0.49777563138339692</v>
      </c>
      <c r="E83" s="141">
        <f>'LCIA_AD-b'!E86</f>
        <v>9.042498537953601E-6</v>
      </c>
      <c r="F83" s="141">
        <f>'LCIA_AD-b'!F86</f>
        <v>6.7085084692788741E-6</v>
      </c>
      <c r="G83" s="141">
        <f>'LCIA_AD-b'!G86</f>
        <v>0</v>
      </c>
      <c r="H83" s="141">
        <f>'LCIA_AD-b'!H86</f>
        <v>0.14579389891956177</v>
      </c>
      <c r="I83" s="141">
        <f>'LCIA_AD-b'!I86</f>
        <v>0</v>
      </c>
      <c r="J83" s="141">
        <f>'LCIA_AD-b'!J86</f>
        <v>0</v>
      </c>
      <c r="K83" s="141">
        <f>'LCIA_AD-b'!K86</f>
        <v>-0.12351800454149389</v>
      </c>
      <c r="L83" s="141">
        <f>'LCIA_AD-b'!L86</f>
        <v>0</v>
      </c>
      <c r="M83" s="141">
        <f>'LCIA_AD-b'!M86</f>
        <v>0</v>
      </c>
      <c r="N83" s="141">
        <f>'LCIA_AD-b'!N86</f>
        <v>0</v>
      </c>
      <c r="O83" s="141">
        <f>'LCIA_AD-b'!O86</f>
        <v>0</v>
      </c>
      <c r="P83" s="141">
        <f>'LCIA_AD-b'!P86</f>
        <v>0</v>
      </c>
      <c r="Q83" s="141">
        <f>'LCIA_AD-b'!Q86</f>
        <v>0</v>
      </c>
      <c r="R83" s="141">
        <f>'LCIA_AD-b'!R86</f>
        <v>0</v>
      </c>
      <c r="S83" s="141">
        <f>'LCIA_AD-b'!S86</f>
        <v>0</v>
      </c>
      <c r="T83" s="141">
        <f>'LCIA_AD-b'!T86</f>
        <v>0</v>
      </c>
      <c r="U83" s="141">
        <f>'LCIA_AD-b'!U86</f>
        <v>0</v>
      </c>
      <c r="V83" s="141">
        <f>'LCIA_AD-b'!V86</f>
        <v>0</v>
      </c>
      <c r="W83" s="141">
        <f>'LCIA_AD-b'!W86</f>
        <v>0</v>
      </c>
      <c r="X83" s="141">
        <f>'LCIA_AD-b'!X86</f>
        <v>5.2932055936233882</v>
      </c>
      <c r="Y83" s="141">
        <f>'LCIA_AD-b'!Y86</f>
        <v>0</v>
      </c>
      <c r="Z83" s="141">
        <f>'LCIA_AD-b'!Z86</f>
        <v>1.4004955712866033E-5</v>
      </c>
      <c r="AA83" s="141">
        <f>'LCIA_AD-b'!AA86</f>
        <v>0</v>
      </c>
      <c r="AB83" s="141">
        <f>'LCIA_AD-b'!AB86</f>
        <v>0</v>
      </c>
      <c r="AC83" s="141">
        <f>'LCIA_AD-b'!AC86</f>
        <v>1.8796725842664521</v>
      </c>
      <c r="AD83" s="141">
        <f>'LCIA_AD-b'!AD86</f>
        <v>0</v>
      </c>
      <c r="AE83" s="141">
        <f>'LCIA_AD-b'!AE86</f>
        <v>0</v>
      </c>
      <c r="AF83" s="141">
        <f>'LCIA_AD-b'!AF86</f>
        <v>0</v>
      </c>
      <c r="AG83" s="141">
        <f>'LCIA_AD-b'!AG86</f>
        <v>8.3638888951952861</v>
      </c>
      <c r="AH83" s="141">
        <f>'LCIA_AD-b'!AH86</f>
        <v>2.975596271988494E-5</v>
      </c>
      <c r="AI83" s="141">
        <f>'LCIA_AD-b'!AI86</f>
        <v>0</v>
      </c>
      <c r="AJ83" s="141">
        <f>'LCIA_AD-b'!AJ86</f>
        <v>0</v>
      </c>
      <c r="AK83" s="141">
        <f>'LCIA_AD-b'!AK86</f>
        <v>0</v>
      </c>
    </row>
    <row r="84" spans="1:37" x14ac:dyDescent="0.35">
      <c r="A84" s="141"/>
      <c r="B84" s="146" t="s">
        <v>111</v>
      </c>
      <c r="C84" s="146">
        <f>'LCIA_AD-b'!C87</f>
        <v>0.6709591915439802</v>
      </c>
      <c r="D84" s="146">
        <f>'LCIA_AD-b'!D87</f>
        <v>0.49777563138339692</v>
      </c>
      <c r="E84" s="146">
        <f>'LCIA_AD-b'!E87</f>
        <v>9.042498537953601E-6</v>
      </c>
      <c r="F84" s="146">
        <f>'LCIA_AD-b'!F87</f>
        <v>6.7085084692788741E-6</v>
      </c>
      <c r="G84" s="146">
        <f>'LCIA_AD-b'!G87</f>
        <v>0</v>
      </c>
      <c r="H84" s="146">
        <f>'LCIA_AD-b'!H87</f>
        <v>0</v>
      </c>
      <c r="I84" s="146">
        <f>'LCIA_AD-b'!I87</f>
        <v>0</v>
      </c>
      <c r="J84" s="146">
        <f>'LCIA_AD-b'!J87</f>
        <v>0</v>
      </c>
      <c r="K84" s="146">
        <f>'LCIA_AD-b'!K87</f>
        <v>0</v>
      </c>
      <c r="L84" s="146">
        <f>'LCIA_AD-b'!L87</f>
        <v>0</v>
      </c>
      <c r="M84" s="146">
        <f>'LCIA_AD-b'!M87</f>
        <v>0</v>
      </c>
      <c r="N84" s="146">
        <f>'LCIA_AD-b'!N87</f>
        <v>0</v>
      </c>
      <c r="O84" s="146">
        <f>'LCIA_AD-b'!O87</f>
        <v>0</v>
      </c>
      <c r="P84" s="146">
        <f>'LCIA_AD-b'!P87</f>
        <v>0</v>
      </c>
      <c r="Q84" s="146">
        <f>'LCIA_AD-b'!Q87</f>
        <v>0</v>
      </c>
      <c r="R84" s="146">
        <f>'LCIA_AD-b'!R87</f>
        <v>0</v>
      </c>
      <c r="S84" s="146">
        <f>'LCIA_AD-b'!S87</f>
        <v>0</v>
      </c>
      <c r="T84" s="146">
        <f>'LCIA_AD-b'!T87</f>
        <v>0</v>
      </c>
      <c r="U84" s="146">
        <f>'LCIA_AD-b'!U87</f>
        <v>0</v>
      </c>
      <c r="V84" s="146">
        <f>'LCIA_AD-b'!V87</f>
        <v>0</v>
      </c>
      <c r="W84" s="146">
        <f>'LCIA_AD-b'!W87</f>
        <v>0</v>
      </c>
      <c r="X84" s="146">
        <f>'LCIA_AD-b'!X87</f>
        <v>0</v>
      </c>
      <c r="Y84" s="146">
        <f>'LCIA_AD-b'!Y87</f>
        <v>0</v>
      </c>
      <c r="Z84" s="146">
        <f>'LCIA_AD-b'!Z87</f>
        <v>0</v>
      </c>
      <c r="AA84" s="146">
        <f>'LCIA_AD-b'!AA87</f>
        <v>0</v>
      </c>
      <c r="AB84" s="146">
        <f>'LCIA_AD-b'!AB87</f>
        <v>0</v>
      </c>
      <c r="AC84" s="146">
        <f>'LCIA_AD-b'!AC87</f>
        <v>0</v>
      </c>
      <c r="AD84" s="146">
        <f>'LCIA_AD-b'!AD87</f>
        <v>0</v>
      </c>
      <c r="AE84" s="146">
        <f>'LCIA_AD-b'!AE87</f>
        <v>0</v>
      </c>
      <c r="AF84" s="146">
        <f>'LCIA_AD-b'!AF87</f>
        <v>0</v>
      </c>
      <c r="AG84" s="146">
        <f>'LCIA_AD-b'!AG87</f>
        <v>1.1687348229273771</v>
      </c>
      <c r="AH84" s="146">
        <f>'LCIA_AD-b'!AH87</f>
        <v>1.5751007007172863E-5</v>
      </c>
      <c r="AI84" s="146">
        <f>'LCIA_AD-b'!AI87</f>
        <v>0</v>
      </c>
      <c r="AJ84" s="146">
        <f>'LCIA_AD-b'!AJ87</f>
        <v>0</v>
      </c>
      <c r="AK84" s="146">
        <f>'LCIA_AD-b'!AK87</f>
        <v>0</v>
      </c>
    </row>
    <row r="85" spans="1:37" x14ac:dyDescent="0.35">
      <c r="A85" s="141"/>
      <c r="B85" s="146" t="s">
        <v>110</v>
      </c>
      <c r="C85" s="146">
        <f>'LCIA_AD-b'!C88</f>
        <v>0</v>
      </c>
      <c r="D85" s="146">
        <f>'LCIA_AD-b'!D88</f>
        <v>0</v>
      </c>
      <c r="E85" s="146">
        <f>'LCIA_AD-b'!E88</f>
        <v>0</v>
      </c>
      <c r="F85" s="146">
        <f>'LCIA_AD-b'!F88</f>
        <v>0</v>
      </c>
      <c r="G85" s="146">
        <f>'LCIA_AD-b'!G88</f>
        <v>0</v>
      </c>
      <c r="H85" s="146">
        <f>'LCIA_AD-b'!H88</f>
        <v>0.14579389891956177</v>
      </c>
      <c r="I85" s="146">
        <f>'LCIA_AD-b'!I88</f>
        <v>0</v>
      </c>
      <c r="J85" s="146">
        <f>'LCIA_AD-b'!J88</f>
        <v>0</v>
      </c>
      <c r="K85" s="146">
        <f>'LCIA_AD-b'!K88</f>
        <v>0</v>
      </c>
      <c r="L85" s="146">
        <f>'LCIA_AD-b'!L88</f>
        <v>0</v>
      </c>
      <c r="M85" s="146">
        <f>'LCIA_AD-b'!M88</f>
        <v>0</v>
      </c>
      <c r="N85" s="146">
        <f>'LCIA_AD-b'!N88</f>
        <v>0</v>
      </c>
      <c r="O85" s="146">
        <f>'LCIA_AD-b'!O88</f>
        <v>0</v>
      </c>
      <c r="P85" s="146">
        <f>'LCIA_AD-b'!P88</f>
        <v>0</v>
      </c>
      <c r="Q85" s="146">
        <f>'LCIA_AD-b'!Q88</f>
        <v>0</v>
      </c>
      <c r="R85" s="146">
        <f>'LCIA_AD-b'!R88</f>
        <v>0</v>
      </c>
      <c r="S85" s="146">
        <f>'LCIA_AD-b'!S88</f>
        <v>0</v>
      </c>
      <c r="T85" s="146">
        <f>'LCIA_AD-b'!T88</f>
        <v>0</v>
      </c>
      <c r="U85" s="146">
        <f>'LCIA_AD-b'!U88</f>
        <v>0</v>
      </c>
      <c r="V85" s="146">
        <f>'LCIA_AD-b'!V88</f>
        <v>0</v>
      </c>
      <c r="W85" s="146">
        <f>'LCIA_AD-b'!W88</f>
        <v>0</v>
      </c>
      <c r="X85" s="146">
        <f>'LCIA_AD-b'!X88</f>
        <v>5.5969819682784028E-2</v>
      </c>
      <c r="Y85" s="146">
        <f>'LCIA_AD-b'!Y88</f>
        <v>0</v>
      </c>
      <c r="Z85" s="146">
        <f>'LCIA_AD-b'!Z88</f>
        <v>1.4004955712866033E-5</v>
      </c>
      <c r="AA85" s="146">
        <f>'LCIA_AD-b'!AA88</f>
        <v>0</v>
      </c>
      <c r="AB85" s="146">
        <f>'LCIA_AD-b'!AB88</f>
        <v>0</v>
      </c>
      <c r="AC85" s="146">
        <f>'LCIA_AD-b'!AC88</f>
        <v>1.8796725842664521</v>
      </c>
      <c r="AD85" s="146">
        <f>'LCIA_AD-b'!AD88</f>
        <v>0</v>
      </c>
      <c r="AE85" s="146">
        <f>'LCIA_AD-b'!AE88</f>
        <v>0</v>
      </c>
      <c r="AF85" s="146">
        <f>'LCIA_AD-b'!AF88</f>
        <v>0</v>
      </c>
      <c r="AG85" s="146">
        <f>'LCIA_AD-b'!AG88</f>
        <v>2.0814363028687981</v>
      </c>
      <c r="AH85" s="146">
        <f>'LCIA_AD-b'!AH88</f>
        <v>1.4004955712712078E-5</v>
      </c>
      <c r="AI85" s="146">
        <f>'LCIA_AD-b'!AI88</f>
        <v>0</v>
      </c>
      <c r="AJ85" s="146">
        <f>'LCIA_AD-b'!AJ88</f>
        <v>0</v>
      </c>
      <c r="AK85" s="146">
        <f>'LCIA_AD-b'!AK88</f>
        <v>0</v>
      </c>
    </row>
    <row r="86" spans="1:37" x14ac:dyDescent="0.35">
      <c r="A86" s="141"/>
      <c r="B86" s="146" t="s">
        <v>114</v>
      </c>
      <c r="C86" s="146">
        <f>'LCIA_AD-b'!C89</f>
        <v>0</v>
      </c>
      <c r="D86" s="146">
        <f>'LCIA_AD-b'!D89</f>
        <v>0</v>
      </c>
      <c r="E86" s="146">
        <f>'LCIA_AD-b'!E89</f>
        <v>0</v>
      </c>
      <c r="F86" s="146">
        <f>'LCIA_AD-b'!F89</f>
        <v>0</v>
      </c>
      <c r="G86" s="146">
        <f>'LCIA_AD-b'!G89</f>
        <v>0</v>
      </c>
      <c r="H86" s="146">
        <f>'LCIA_AD-b'!H89</f>
        <v>0</v>
      </c>
      <c r="I86" s="146">
        <f>'LCIA_AD-b'!I89</f>
        <v>0</v>
      </c>
      <c r="J86" s="146">
        <f>'LCIA_AD-b'!J89</f>
        <v>0</v>
      </c>
      <c r="K86" s="146">
        <f>'LCIA_AD-b'!K89</f>
        <v>0</v>
      </c>
      <c r="L86" s="146">
        <f>'LCIA_AD-b'!L89</f>
        <v>0</v>
      </c>
      <c r="M86" s="146">
        <f>'LCIA_AD-b'!M89</f>
        <v>0</v>
      </c>
      <c r="N86" s="146">
        <f>'LCIA_AD-b'!N89</f>
        <v>0</v>
      </c>
      <c r="O86" s="146">
        <f>'LCIA_AD-b'!O89</f>
        <v>0</v>
      </c>
      <c r="P86" s="146">
        <f>'LCIA_AD-b'!P89</f>
        <v>0</v>
      </c>
      <c r="Q86" s="146">
        <f>'LCIA_AD-b'!Q89</f>
        <v>0</v>
      </c>
      <c r="R86" s="146">
        <f>'LCIA_AD-b'!R89</f>
        <v>0</v>
      </c>
      <c r="S86" s="146">
        <f>'LCIA_AD-b'!S89</f>
        <v>0</v>
      </c>
      <c r="T86" s="146">
        <f>'LCIA_AD-b'!T89</f>
        <v>0</v>
      </c>
      <c r="U86" s="146">
        <f>'LCIA_AD-b'!U89</f>
        <v>0</v>
      </c>
      <c r="V86" s="146">
        <f>'LCIA_AD-b'!V89</f>
        <v>0</v>
      </c>
      <c r="W86" s="146">
        <f>'LCIA_AD-b'!W89</f>
        <v>0</v>
      </c>
      <c r="X86" s="146">
        <f>'LCIA_AD-b'!X89</f>
        <v>5.2372357739406041</v>
      </c>
      <c r="Y86" s="146">
        <f>'LCIA_AD-b'!Y89</f>
        <v>0</v>
      </c>
      <c r="Z86" s="146">
        <f>'LCIA_AD-b'!Z89</f>
        <v>0</v>
      </c>
      <c r="AA86" s="146">
        <f>'LCIA_AD-b'!AA89</f>
        <v>0</v>
      </c>
      <c r="AB86" s="146">
        <f>'LCIA_AD-b'!AB89</f>
        <v>0</v>
      </c>
      <c r="AC86" s="146">
        <f>'LCIA_AD-b'!AC89</f>
        <v>0</v>
      </c>
      <c r="AD86" s="146">
        <f>'LCIA_AD-b'!AD89</f>
        <v>0</v>
      </c>
      <c r="AE86" s="146">
        <f>'LCIA_AD-b'!AE89</f>
        <v>0</v>
      </c>
      <c r="AF86" s="146">
        <f>'LCIA_AD-b'!AF89</f>
        <v>0</v>
      </c>
      <c r="AG86" s="146">
        <f>'LCIA_AD-b'!AG89</f>
        <v>5.2372357739406041</v>
      </c>
      <c r="AH86" s="146">
        <f>'LCIA_AD-b'!AH89</f>
        <v>0</v>
      </c>
      <c r="AI86" s="146">
        <f>'LCIA_AD-b'!AI89</f>
        <v>0</v>
      </c>
      <c r="AJ86" s="146">
        <f>'LCIA_AD-b'!AJ89</f>
        <v>0</v>
      </c>
      <c r="AK86" s="146">
        <f>'LCIA_AD-b'!AK89</f>
        <v>0</v>
      </c>
    </row>
    <row r="87" spans="1:37" x14ac:dyDescent="0.35">
      <c r="A87" s="141"/>
      <c r="B87" s="146" t="s">
        <v>414</v>
      </c>
      <c r="C87" s="146">
        <f>'LCIA_AD-b'!C90</f>
        <v>0</v>
      </c>
      <c r="D87" s="146">
        <f>'LCIA_AD-b'!D90</f>
        <v>0</v>
      </c>
      <c r="E87" s="146">
        <f>'LCIA_AD-b'!E90</f>
        <v>0</v>
      </c>
      <c r="F87" s="146">
        <f>'LCIA_AD-b'!F90</f>
        <v>0</v>
      </c>
      <c r="G87" s="146">
        <f>'LCIA_AD-b'!G90</f>
        <v>0</v>
      </c>
      <c r="H87" s="146">
        <f>'LCIA_AD-b'!H90</f>
        <v>0</v>
      </c>
      <c r="I87" s="146">
        <f>'LCIA_AD-b'!I90</f>
        <v>0</v>
      </c>
      <c r="J87" s="146">
        <f>'LCIA_AD-b'!J90</f>
        <v>0</v>
      </c>
      <c r="K87" s="146">
        <f>'LCIA_AD-b'!K90</f>
        <v>-0.12351800454149389</v>
      </c>
      <c r="L87" s="146">
        <f>'LCIA_AD-b'!L90</f>
        <v>0</v>
      </c>
      <c r="M87" s="146">
        <f>'LCIA_AD-b'!M90</f>
        <v>0</v>
      </c>
      <c r="N87" s="146">
        <f>'LCIA_AD-b'!N90</f>
        <v>0</v>
      </c>
      <c r="O87" s="146">
        <f>'LCIA_AD-b'!O90</f>
        <v>0</v>
      </c>
      <c r="P87" s="146">
        <f>'LCIA_AD-b'!P90</f>
        <v>0</v>
      </c>
      <c r="Q87" s="146">
        <f>'LCIA_AD-b'!Q90</f>
        <v>0</v>
      </c>
      <c r="R87" s="146">
        <f>'LCIA_AD-b'!R90</f>
        <v>0</v>
      </c>
      <c r="S87" s="146">
        <f>'LCIA_AD-b'!S90</f>
        <v>0</v>
      </c>
      <c r="T87" s="146">
        <f>'LCIA_AD-b'!T90</f>
        <v>0</v>
      </c>
      <c r="U87" s="146">
        <f>'LCIA_AD-b'!U90</f>
        <v>0</v>
      </c>
      <c r="V87" s="146">
        <f>'LCIA_AD-b'!V90</f>
        <v>0</v>
      </c>
      <c r="W87" s="146">
        <f>'LCIA_AD-b'!W90</f>
        <v>0</v>
      </c>
      <c r="X87" s="146">
        <f>'LCIA_AD-b'!X90</f>
        <v>0</v>
      </c>
      <c r="Y87" s="146">
        <f>'LCIA_AD-b'!Y90</f>
        <v>0</v>
      </c>
      <c r="Z87" s="146">
        <f>'LCIA_AD-b'!Z90</f>
        <v>0</v>
      </c>
      <c r="AA87" s="146">
        <f>'LCIA_AD-b'!AA90</f>
        <v>0</v>
      </c>
      <c r="AB87" s="146">
        <f>'LCIA_AD-b'!AB90</f>
        <v>0</v>
      </c>
      <c r="AC87" s="146">
        <f>'LCIA_AD-b'!AC90</f>
        <v>0</v>
      </c>
      <c r="AD87" s="146">
        <f>'LCIA_AD-b'!AD90</f>
        <v>0</v>
      </c>
      <c r="AE87" s="146">
        <f>'LCIA_AD-b'!AE90</f>
        <v>0</v>
      </c>
      <c r="AF87" s="146">
        <f>'LCIA_AD-b'!AF90</f>
        <v>0</v>
      </c>
      <c r="AG87" s="146">
        <f>'LCIA_AD-b'!AG90</f>
        <v>-0.12351800454149389</v>
      </c>
      <c r="AH87" s="146">
        <f>'LCIA_AD-b'!AH90</f>
        <v>0</v>
      </c>
      <c r="AI87" s="146">
        <f>'LCIA_AD-b'!AI90</f>
        <v>0</v>
      </c>
      <c r="AJ87" s="146">
        <f>'LCIA_AD-b'!AJ90</f>
        <v>0</v>
      </c>
      <c r="AK87" s="146">
        <f>'LCIA_AD-b'!AK90</f>
        <v>0</v>
      </c>
    </row>
    <row r="88" spans="1:37" x14ac:dyDescent="0.35">
      <c r="A88" s="141"/>
      <c r="B88" s="146" t="s">
        <v>415</v>
      </c>
      <c r="C88" s="146">
        <f>'LCIA_AD-b'!C91</f>
        <v>0</v>
      </c>
      <c r="D88" s="146">
        <f>'LCIA_AD-b'!D91</f>
        <v>0</v>
      </c>
      <c r="E88" s="146">
        <f>'LCIA_AD-b'!E91</f>
        <v>0</v>
      </c>
      <c r="F88" s="146">
        <f>'LCIA_AD-b'!F91</f>
        <v>0</v>
      </c>
      <c r="G88" s="146">
        <f>'LCIA_AD-b'!G91</f>
        <v>0</v>
      </c>
      <c r="H88" s="146">
        <f>'LCIA_AD-b'!H91</f>
        <v>0</v>
      </c>
      <c r="I88" s="146">
        <f>'LCIA_AD-b'!I91</f>
        <v>0</v>
      </c>
      <c r="J88" s="146">
        <f>'LCIA_AD-b'!J91</f>
        <v>0</v>
      </c>
      <c r="K88" s="146">
        <f>'LCIA_AD-b'!K91</f>
        <v>0</v>
      </c>
      <c r="L88" s="146">
        <f>'LCIA_AD-b'!L91</f>
        <v>0</v>
      </c>
      <c r="M88" s="146">
        <f>'LCIA_AD-b'!M91</f>
        <v>0</v>
      </c>
      <c r="N88" s="146">
        <f>'LCIA_AD-b'!N91</f>
        <v>0</v>
      </c>
      <c r="O88" s="146">
        <f>'LCIA_AD-b'!O91</f>
        <v>0</v>
      </c>
      <c r="P88" s="146">
        <f>'LCIA_AD-b'!P91</f>
        <v>0</v>
      </c>
      <c r="Q88" s="146">
        <f>'LCIA_AD-b'!Q91</f>
        <v>0</v>
      </c>
      <c r="R88" s="146">
        <f>'LCIA_AD-b'!R91</f>
        <v>0</v>
      </c>
      <c r="S88" s="146">
        <f>'LCIA_AD-b'!S91</f>
        <v>0</v>
      </c>
      <c r="T88" s="146">
        <f>'LCIA_AD-b'!T91</f>
        <v>0</v>
      </c>
      <c r="U88" s="146">
        <f>'LCIA_AD-b'!U91</f>
        <v>0</v>
      </c>
      <c r="V88" s="146">
        <f>'LCIA_AD-b'!V91</f>
        <v>0</v>
      </c>
      <c r="W88" s="146">
        <f>'LCIA_AD-b'!W91</f>
        <v>0</v>
      </c>
      <c r="X88" s="146">
        <f>'LCIA_AD-b'!X91</f>
        <v>0</v>
      </c>
      <c r="Y88" s="146">
        <f>'LCIA_AD-b'!Y91</f>
        <v>0</v>
      </c>
      <c r="Z88" s="146">
        <f>'LCIA_AD-b'!Z91</f>
        <v>0</v>
      </c>
      <c r="AA88" s="146">
        <f>'LCIA_AD-b'!AA91</f>
        <v>0</v>
      </c>
      <c r="AB88" s="146">
        <f>'LCIA_AD-b'!AB91</f>
        <v>0</v>
      </c>
      <c r="AC88" s="146">
        <f>'LCIA_AD-b'!AC91</f>
        <v>0</v>
      </c>
      <c r="AD88" s="146">
        <f>'LCIA_AD-b'!AD91</f>
        <v>0</v>
      </c>
      <c r="AE88" s="146">
        <f>'LCIA_AD-b'!AE91</f>
        <v>0</v>
      </c>
      <c r="AF88" s="146">
        <f>'LCIA_AD-b'!AF91</f>
        <v>0</v>
      </c>
      <c r="AG88" s="146">
        <f>'LCIA_AD-b'!AG91</f>
        <v>0</v>
      </c>
      <c r="AH88" s="146">
        <f>'LCIA_AD-b'!AH91</f>
        <v>0</v>
      </c>
      <c r="AI88" s="146">
        <f>'LCIA_AD-b'!AI91</f>
        <v>0</v>
      </c>
      <c r="AJ88" s="146">
        <f>'LCIA_AD-b'!AJ91</f>
        <v>0</v>
      </c>
      <c r="AK88" s="146">
        <f>'LCIA_AD-b'!AK91</f>
        <v>0</v>
      </c>
    </row>
    <row r="89" spans="1:37" x14ac:dyDescent="0.35">
      <c r="A89" s="141" t="s">
        <v>421</v>
      </c>
      <c r="B89" s="146"/>
      <c r="C89" s="141">
        <f>SUM(C90:C94)</f>
        <v>36.510995948071574</v>
      </c>
      <c r="D89" s="141">
        <f t="shared" ref="D89:AK89" si="10">SUM(D90:D94)</f>
        <v>13.75534899270246</v>
      </c>
      <c r="E89" s="141">
        <f t="shared" si="10"/>
        <v>4.9205768642939321E-4</v>
      </c>
      <c r="F89" s="141">
        <f t="shared" si="10"/>
        <v>1.8538045938282734E-4</v>
      </c>
      <c r="G89" s="141">
        <f t="shared" si="10"/>
        <v>1.1827162718477032E-16</v>
      </c>
      <c r="H89" s="141">
        <f t="shared" si="10"/>
        <v>0.8825043446619556</v>
      </c>
      <c r="I89" s="141">
        <f t="shared" si="10"/>
        <v>7.0093703411803432</v>
      </c>
      <c r="J89" s="141">
        <f t="shared" si="10"/>
        <v>4.5899413039225569</v>
      </c>
      <c r="K89" s="141">
        <f t="shared" si="10"/>
        <v>0.1006142706314252</v>
      </c>
      <c r="L89" s="141">
        <f t="shared" si="10"/>
        <v>3.8701618165210186E-7</v>
      </c>
      <c r="M89" s="141">
        <f t="shared" si="10"/>
        <v>9.3675947435451995E-6</v>
      </c>
      <c r="N89" s="141">
        <f t="shared" si="10"/>
        <v>1.1979351765700725E-5</v>
      </c>
      <c r="O89" s="141">
        <f t="shared" si="10"/>
        <v>1.298635366493674E-5</v>
      </c>
      <c r="P89" s="141">
        <f t="shared" si="10"/>
        <v>6.294347954066396E-9</v>
      </c>
      <c r="Q89" s="141">
        <f t="shared" si="10"/>
        <v>1.2675038747977436E-7</v>
      </c>
      <c r="R89" s="141">
        <f t="shared" si="10"/>
        <v>1.306143029522213</v>
      </c>
      <c r="S89" s="141">
        <f t="shared" si="10"/>
        <v>2.9927154600139652</v>
      </c>
      <c r="T89" s="141">
        <f t="shared" si="10"/>
        <v>12.706047992513883</v>
      </c>
      <c r="U89" s="141">
        <f t="shared" si="10"/>
        <v>1.3792665412124123</v>
      </c>
      <c r="V89" s="141">
        <f t="shared" si="10"/>
        <v>1.8103783875451114E-5</v>
      </c>
      <c r="W89" s="141">
        <f t="shared" si="10"/>
        <v>2.1198024045658849E-5</v>
      </c>
      <c r="X89" s="141">
        <f t="shared" si="10"/>
        <v>0.10500935410264331</v>
      </c>
      <c r="Y89" s="141">
        <f t="shared" si="10"/>
        <v>2.9563878013079635E-8</v>
      </c>
      <c r="Z89" s="141">
        <f t="shared" si="10"/>
        <v>6.8041210940994321E-5</v>
      </c>
      <c r="AA89" s="141">
        <f t="shared" si="10"/>
        <v>3.031418585526537</v>
      </c>
      <c r="AB89" s="141">
        <f t="shared" si="10"/>
        <v>2.7743304671590854E-7</v>
      </c>
      <c r="AC89" s="141">
        <f t="shared" si="10"/>
        <v>5.9568978660205225</v>
      </c>
      <c r="AD89" s="141">
        <f t="shared" si="10"/>
        <v>0.66079709692414068</v>
      </c>
      <c r="AE89" s="141">
        <f t="shared" si="10"/>
        <v>0.77372787766654805</v>
      </c>
      <c r="AF89" s="141">
        <f t="shared" si="10"/>
        <v>7.1348260014458802E-3</v>
      </c>
      <c r="AG89" s="141">
        <f t="shared" si="10"/>
        <v>91.774744048812479</v>
      </c>
      <c r="AH89" s="141">
        <f t="shared" si="10"/>
        <v>8.4349509803601885E-4</v>
      </c>
      <c r="AI89" s="141">
        <f t="shared" si="10"/>
        <v>5.1465897555187266E-4</v>
      </c>
      <c r="AJ89" s="141">
        <f t="shared" si="10"/>
        <v>6.2861677614761468E-5</v>
      </c>
      <c r="AK89" s="141">
        <f t="shared" si="10"/>
        <v>6.2562510600856162E-3</v>
      </c>
    </row>
    <row r="90" spans="1:37" x14ac:dyDescent="0.35">
      <c r="A90" s="141"/>
      <c r="B90" s="146" t="s">
        <v>228</v>
      </c>
      <c r="C90" s="146">
        <f>'LCIA_AD-b'!C93</f>
        <v>5.6593260290303915</v>
      </c>
      <c r="D90" s="146">
        <f>'LCIA_AD-b'!D93</f>
        <v>1.8231496370226086</v>
      </c>
      <c r="E90" s="146">
        <f>'LCIA_AD-b'!E93</f>
        <v>7.6270580965661714E-5</v>
      </c>
      <c r="F90" s="146">
        <f>'LCIA_AD-b'!F93</f>
        <v>2.4570537426145324E-5</v>
      </c>
      <c r="G90" s="146">
        <f>'LCIA_AD-b'!G93</f>
        <v>3.9249223978199064E-17</v>
      </c>
      <c r="H90" s="146">
        <f>'LCIA_AD-b'!H93</f>
        <v>8.7287713544722478E-2</v>
      </c>
      <c r="I90" s="146">
        <f>'LCIA_AD-b'!I93</f>
        <v>0.72592559243783938</v>
      </c>
      <c r="J90" s="146">
        <f>'LCIA_AD-b'!J93</f>
        <v>0.24130766041087356</v>
      </c>
      <c r="K90" s="146">
        <f>'LCIA_AD-b'!K93</f>
        <v>3.5494647896879965E-4</v>
      </c>
      <c r="L90" s="146">
        <f>'LCIA_AD-b'!L93</f>
        <v>5.4186170739770473E-8</v>
      </c>
      <c r="M90" s="146">
        <f>'LCIA_AD-b'!M93</f>
        <v>2.5442998789871582E-6</v>
      </c>
      <c r="N90" s="146">
        <f>'LCIA_AD-b'!N93</f>
        <v>1.765021899533639E-6</v>
      </c>
      <c r="O90" s="146">
        <f>'LCIA_AD-b'!O93</f>
        <v>1.7864226714804923E-6</v>
      </c>
      <c r="P90" s="146">
        <f>'LCIA_AD-b'!P93</f>
        <v>7.6300358270113086E-10</v>
      </c>
      <c r="Q90" s="146">
        <f>'LCIA_AD-b'!Q93</f>
        <v>1.378298188452744E-8</v>
      </c>
      <c r="R90" s="146">
        <f>'LCIA_AD-b'!R93</f>
        <v>0.10339515717963435</v>
      </c>
      <c r="S90" s="146">
        <f>'LCIA_AD-b'!S93</f>
        <v>0.18664892059285132</v>
      </c>
      <c r="T90" s="146">
        <f>'LCIA_AD-b'!T93</f>
        <v>1.9577479795059407</v>
      </c>
      <c r="U90" s="146">
        <f>'LCIA_AD-b'!U93</f>
        <v>0.21251826889917752</v>
      </c>
      <c r="V90" s="146">
        <f>'LCIA_AD-b'!V93</f>
        <v>3.7948360996169299E-6</v>
      </c>
      <c r="W90" s="146">
        <f>'LCIA_AD-b'!W93</f>
        <v>5.1643039799012007E-6</v>
      </c>
      <c r="X90" s="146">
        <f>'LCIA_AD-b'!X93</f>
        <v>3.5674036015551081E-2</v>
      </c>
      <c r="Y90" s="146">
        <f>'LCIA_AD-b'!Y93</f>
        <v>5.9266643871532827E-10</v>
      </c>
      <c r="Z90" s="146">
        <f>'LCIA_AD-b'!Z93</f>
        <v>7.0226540233151228E-6</v>
      </c>
      <c r="AA90" s="146">
        <f>'LCIA_AD-b'!AA93</f>
        <v>0.20307568330261858</v>
      </c>
      <c r="AB90" s="146">
        <f>'LCIA_AD-b'!AB93</f>
        <v>1.9529741532173774E-8</v>
      </c>
      <c r="AC90" s="146">
        <f>'LCIA_AD-b'!AC93</f>
        <v>0.80007311894008659</v>
      </c>
      <c r="AD90" s="146">
        <f>'LCIA_AD-b'!AD93</f>
        <v>0.13851212158276324</v>
      </c>
      <c r="AE90" s="146">
        <f>'LCIA_AD-b'!AE93</f>
        <v>0.18849709526639377</v>
      </c>
      <c r="AF90" s="146">
        <f>'LCIA_AD-b'!AF93</f>
        <v>8.5687230186265288E-4</v>
      </c>
      <c r="AG90" s="146">
        <f>'LCIA_AD-b'!AG93</f>
        <v>12.364864328901232</v>
      </c>
      <c r="AH90" s="146">
        <f>'LCIA_AD-b'!AH93</f>
        <v>1.3693187117214529E-4</v>
      </c>
      <c r="AI90" s="146">
        <f>'LCIA_AD-b'!AI93</f>
        <v>1.873572527528322E-4</v>
      </c>
      <c r="AJ90" s="146">
        <f>'LCIA_AD-b'!AJ93</f>
        <v>2.2884262746427005E-5</v>
      </c>
      <c r="AK90" s="146">
        <f>'LCIA_AD-b'!AK93</f>
        <v>3.1717923312642339E-4</v>
      </c>
    </row>
    <row r="91" spans="1:37" x14ac:dyDescent="0.35">
      <c r="A91" s="141"/>
      <c r="B91" s="146" t="s">
        <v>230</v>
      </c>
      <c r="C91" s="146">
        <f>'LCIA_AD-b'!C94</f>
        <v>4.8095077280535676</v>
      </c>
      <c r="D91" s="146">
        <f>'LCIA_AD-b'!D94</f>
        <v>1.4441104424519018</v>
      </c>
      <c r="E91" s="146">
        <f>'LCIA_AD-b'!E94</f>
        <v>6.4817603137865687E-5</v>
      </c>
      <c r="F91" s="146">
        <f>'LCIA_AD-b'!F94</f>
        <v>1.9462236644326375E-5</v>
      </c>
      <c r="G91" s="146">
        <f>'LCIA_AD-b'!G94</f>
        <v>7.3123980626410943E-17</v>
      </c>
      <c r="H91" s="146">
        <f>'LCIA_AD-b'!H94</f>
        <v>0.44823309736114125</v>
      </c>
      <c r="I91" s="146">
        <f>'LCIA_AD-b'!I94</f>
        <v>2.347279525573732</v>
      </c>
      <c r="J91" s="146">
        <f>'LCIA_AD-b'!J94</f>
        <v>0.21528368659229899</v>
      </c>
      <c r="K91" s="146">
        <f>'LCIA_AD-b'!K94</f>
        <v>9.9654627709092156E-2</v>
      </c>
      <c r="L91" s="146">
        <f>'LCIA_AD-b'!L94</f>
        <v>1.2487090588294379E-7</v>
      </c>
      <c r="M91" s="146">
        <f>'LCIA_AD-b'!M94</f>
        <v>4.6776960795765779E-6</v>
      </c>
      <c r="N91" s="146">
        <f>'LCIA_AD-b'!N94</f>
        <v>4.010056281378213E-6</v>
      </c>
      <c r="O91" s="146">
        <f>'LCIA_AD-b'!O94</f>
        <v>7.0074232550538647E-6</v>
      </c>
      <c r="P91" s="146">
        <f>'LCIA_AD-b'!P94</f>
        <v>4.647364753178146E-9</v>
      </c>
      <c r="Q91" s="146">
        <f>'LCIA_AD-b'!Q94</f>
        <v>9.4555771814582354E-8</v>
      </c>
      <c r="R91" s="146">
        <f>'LCIA_AD-b'!R94</f>
        <v>0.68319110391043536</v>
      </c>
      <c r="S91" s="146">
        <f>'LCIA_AD-b'!S94</f>
        <v>0.79108572912494513</v>
      </c>
      <c r="T91" s="146">
        <f>'LCIA_AD-b'!T94</f>
        <v>1.7311842555061387</v>
      </c>
      <c r="U91" s="146">
        <f>'LCIA_AD-b'!U94</f>
        <v>0.18792389567089296</v>
      </c>
      <c r="V91" s="146">
        <f>'LCIA_AD-b'!V94</f>
        <v>7.2378894888969916E-6</v>
      </c>
      <c r="W91" s="146">
        <f>'LCIA_AD-b'!W94</f>
        <v>9.6042670598147937E-6</v>
      </c>
      <c r="X91" s="146">
        <f>'LCIA_AD-b'!X94</f>
        <v>1.4409461353569341E-2</v>
      </c>
      <c r="Y91" s="146">
        <f>'LCIA_AD-b'!Y94</f>
        <v>3.8240695044543504E-10</v>
      </c>
      <c r="Z91" s="146">
        <f>'LCIA_AD-b'!Z94</f>
        <v>3.609107449754222E-5</v>
      </c>
      <c r="AA91" s="146">
        <f>'LCIA_AD-b'!AA94</f>
        <v>0.2759231696078262</v>
      </c>
      <c r="AB91" s="146">
        <f>'LCIA_AD-b'!AB94</f>
        <v>2.760851131788039E-8</v>
      </c>
      <c r="AC91" s="146">
        <f>'LCIA_AD-b'!AC94</f>
        <v>2.7332398205521895</v>
      </c>
      <c r="AD91" s="146">
        <f>'LCIA_AD-b'!AD94</f>
        <v>0.26418664521688578</v>
      </c>
      <c r="AE91" s="146">
        <f>'LCIA_AD-b'!AE94</f>
        <v>0.35055574768324005</v>
      </c>
      <c r="AF91" s="146">
        <f>'LCIA_AD-b'!AF94</f>
        <v>3.8648651017407915E-3</v>
      </c>
      <c r="AG91" s="146">
        <f>'LCIA_AD-b'!AG94</f>
        <v>16.403319786851533</v>
      </c>
      <c r="AH91" s="146">
        <f>'LCIA_AD-b'!AH94</f>
        <v>1.6523308527227644E-4</v>
      </c>
      <c r="AI91" s="146">
        <f>'LCIA_AD-b'!AI94</f>
        <v>2.3676937744412029E-4</v>
      </c>
      <c r="AJ91" s="146">
        <f>'LCIA_AD-b'!AJ94</f>
        <v>2.8919577780568251E-5</v>
      </c>
      <c r="AK91" s="146">
        <f>'LCIA_AD-b'!AK94</f>
        <v>3.4323692005919135E-3</v>
      </c>
    </row>
    <row r="92" spans="1:37" x14ac:dyDescent="0.35">
      <c r="A92" s="141"/>
      <c r="B92" s="146" t="s">
        <v>229</v>
      </c>
      <c r="C92" s="146">
        <f>'LCIA_AD-b'!C95</f>
        <v>0.71867751184754491</v>
      </c>
      <c r="D92" s="146">
        <f>'LCIA_AD-b'!D95</f>
        <v>0.2188650793710166</v>
      </c>
      <c r="E92" s="146">
        <f>'LCIA_AD-b'!E95</f>
        <v>9.6855970259341509E-6</v>
      </c>
      <c r="F92" s="146">
        <f>'LCIA_AD-b'!F95</f>
        <v>2.9496386444417473E-6</v>
      </c>
      <c r="G92" s="146">
        <f>'LCIA_AD-b'!G95</f>
        <v>5.8984225801603065E-18</v>
      </c>
      <c r="H92" s="146">
        <f>'LCIA_AD-b'!H95</f>
        <v>1.3919100901769588E-2</v>
      </c>
      <c r="I92" s="146">
        <f>'LCIA_AD-b'!I95</f>
        <v>0.37633611729107169</v>
      </c>
      <c r="J92" s="146">
        <f>'LCIA_AD-b'!J95</f>
        <v>3.9145356876161046E-2</v>
      </c>
      <c r="K92" s="146">
        <f>'LCIA_AD-b'!K95</f>
        <v>7.0842026466889346E-5</v>
      </c>
      <c r="L92" s="146">
        <f>'LCIA_AD-b'!L95</f>
        <v>1.0451454523115719E-8</v>
      </c>
      <c r="M92" s="146">
        <f>'LCIA_AD-b'!M95</f>
        <v>5.2019241486940565E-7</v>
      </c>
      <c r="N92" s="146">
        <f>'LCIA_AD-b'!N95</f>
        <v>3.4728979390241437E-7</v>
      </c>
      <c r="O92" s="146">
        <f>'LCIA_AD-b'!O95</f>
        <v>3.2299621515802173E-7</v>
      </c>
      <c r="P92" s="146">
        <f>'LCIA_AD-b'!P95</f>
        <v>1.2934795009155544E-10</v>
      </c>
      <c r="Q92" s="146">
        <f>'LCIA_AD-b'!Q95</f>
        <v>2.2469974805631203E-9</v>
      </c>
      <c r="R92" s="146">
        <f>'LCIA_AD-b'!R95</f>
        <v>6.7325513010943971E-2</v>
      </c>
      <c r="S92" s="146">
        <f>'LCIA_AD-b'!S95</f>
        <v>0.12419396493422681</v>
      </c>
      <c r="T92" s="146">
        <f>'LCIA_AD-b'!T95</f>
        <v>0.25991560017352355</v>
      </c>
      <c r="U92" s="146">
        <f>'LCIA_AD-b'!U95</f>
        <v>2.8214357630633503E-2</v>
      </c>
      <c r="V92" s="146">
        <f>'LCIA_AD-b'!V95</f>
        <v>6.4348682745705372E-7</v>
      </c>
      <c r="W92" s="146">
        <f>'LCIA_AD-b'!W95</f>
        <v>8.0550034014492408E-7</v>
      </c>
      <c r="X92" s="146">
        <f>'LCIA_AD-b'!X95</f>
        <v>2.2776064517151364E-3</v>
      </c>
      <c r="Y92" s="146">
        <f>'LCIA_AD-b'!Y95</f>
        <v>7.6771583843573354E-11</v>
      </c>
      <c r="Z92" s="146">
        <f>'LCIA_AD-b'!Z95</f>
        <v>1.2785913045947378E-6</v>
      </c>
      <c r="AA92" s="146">
        <f>'LCIA_AD-b'!AA95</f>
        <v>6.1578266831267714E-2</v>
      </c>
      <c r="AB92" s="146">
        <f>'LCIA_AD-b'!AB95</f>
        <v>6.1240972441714326E-9</v>
      </c>
      <c r="AC92" s="146">
        <f>'LCIA_AD-b'!AC95</f>
        <v>9.594575730073783E-2</v>
      </c>
      <c r="AD92" s="146">
        <f>'LCIA_AD-b'!AD95</f>
        <v>2.3487396568850575E-2</v>
      </c>
      <c r="AE92" s="146">
        <f>'LCIA_AD-b'!AE95</f>
        <v>2.940076241528972E-2</v>
      </c>
      <c r="AF92" s="146">
        <f>'LCIA_AD-b'!AF95</f>
        <v>1.446571550515878E-4</v>
      </c>
      <c r="AG92" s="146">
        <f>'LCIA_AD-b'!AG95</f>
        <v>2.0595504957264077</v>
      </c>
      <c r="AH92" s="146">
        <f>'LCIA_AD-b'!AH95</f>
        <v>1.5998093238262185E-5</v>
      </c>
      <c r="AI92" s="146">
        <f>'LCIA_AD-b'!AI95</f>
        <v>7.1628573362001402E-6</v>
      </c>
      <c r="AJ92" s="146">
        <f>'LCIA_AD-b'!AJ95</f>
        <v>8.7488851852996961E-7</v>
      </c>
      <c r="AK92" s="146">
        <f>'LCIA_AD-b'!AK95</f>
        <v>4.3992966285190678E-5</v>
      </c>
    </row>
    <row r="93" spans="1:37" x14ac:dyDescent="0.35">
      <c r="A93" s="141"/>
      <c r="B93" s="146" t="s">
        <v>231</v>
      </c>
      <c r="C93" s="146">
        <f>'LCIA_AD-b'!C96</f>
        <v>0</v>
      </c>
      <c r="D93" s="146">
        <f>'LCIA_AD-b'!D96</f>
        <v>0</v>
      </c>
      <c r="E93" s="146">
        <f>'LCIA_AD-b'!E96</f>
        <v>0</v>
      </c>
      <c r="F93" s="146">
        <f>'LCIA_AD-b'!F96</f>
        <v>0</v>
      </c>
      <c r="G93" s="146">
        <f>'LCIA_AD-b'!G96</f>
        <v>0</v>
      </c>
      <c r="H93" s="146">
        <f>'LCIA_AD-b'!H96</f>
        <v>0</v>
      </c>
      <c r="I93" s="146">
        <f>'LCIA_AD-b'!I96</f>
        <v>0</v>
      </c>
      <c r="J93" s="146">
        <f>'LCIA_AD-b'!J96</f>
        <v>0</v>
      </c>
      <c r="K93" s="146">
        <f>'LCIA_AD-b'!K96</f>
        <v>0</v>
      </c>
      <c r="L93" s="146">
        <f>'LCIA_AD-b'!L96</f>
        <v>0</v>
      </c>
      <c r="M93" s="146">
        <f>'LCIA_AD-b'!M96</f>
        <v>0</v>
      </c>
      <c r="N93" s="146">
        <f>'LCIA_AD-b'!N96</f>
        <v>0</v>
      </c>
      <c r="O93" s="146">
        <f>'LCIA_AD-b'!O96</f>
        <v>0</v>
      </c>
      <c r="P93" s="146">
        <f>'LCIA_AD-b'!P96</f>
        <v>0</v>
      </c>
      <c r="Q93" s="146">
        <f>'LCIA_AD-b'!Q96</f>
        <v>0</v>
      </c>
      <c r="R93" s="146">
        <f>'LCIA_AD-b'!R96</f>
        <v>0</v>
      </c>
      <c r="S93" s="146">
        <f>'LCIA_AD-b'!S96</f>
        <v>0</v>
      </c>
      <c r="T93" s="146">
        <f>'LCIA_AD-b'!T96</f>
        <v>0</v>
      </c>
      <c r="U93" s="146">
        <f>'LCIA_AD-b'!U96</f>
        <v>0</v>
      </c>
      <c r="V93" s="146">
        <f>'LCIA_AD-b'!V96</f>
        <v>0</v>
      </c>
      <c r="W93" s="146">
        <f>'LCIA_AD-b'!W96</f>
        <v>0</v>
      </c>
      <c r="X93" s="146">
        <f>'LCIA_AD-b'!X96</f>
        <v>0</v>
      </c>
      <c r="Y93" s="146">
        <f>'LCIA_AD-b'!Y96</f>
        <v>0</v>
      </c>
      <c r="Z93" s="146">
        <f>'LCIA_AD-b'!Z96</f>
        <v>0</v>
      </c>
      <c r="AA93" s="146">
        <f>'LCIA_AD-b'!AA96</f>
        <v>0</v>
      </c>
      <c r="AB93" s="146">
        <f>'LCIA_AD-b'!AB96</f>
        <v>0</v>
      </c>
      <c r="AC93" s="146">
        <f>'LCIA_AD-b'!AC96</f>
        <v>0</v>
      </c>
      <c r="AD93" s="146">
        <f>'LCIA_AD-b'!AD96</f>
        <v>0</v>
      </c>
      <c r="AE93" s="146">
        <f>'LCIA_AD-b'!AE96</f>
        <v>0</v>
      </c>
      <c r="AF93" s="146">
        <f>'LCIA_AD-b'!AF96</f>
        <v>0</v>
      </c>
      <c r="AG93" s="146">
        <f>'LCIA_AD-b'!AG96</f>
        <v>0</v>
      </c>
      <c r="AH93" s="146">
        <f>'LCIA_AD-b'!AH96</f>
        <v>0</v>
      </c>
      <c r="AI93" s="146">
        <f>'LCIA_AD-b'!AI96</f>
        <v>0</v>
      </c>
      <c r="AJ93" s="146">
        <f>'LCIA_AD-b'!AJ96</f>
        <v>0</v>
      </c>
      <c r="AK93" s="146">
        <f>'LCIA_AD-b'!AK96</f>
        <v>0</v>
      </c>
    </row>
    <row r="94" spans="1:37" x14ac:dyDescent="0.35">
      <c r="A94" s="141"/>
      <c r="B94" s="146" t="s">
        <v>475</v>
      </c>
      <c r="C94" s="146">
        <f>'LCIA_AD-c'!C76</f>
        <v>25.323484679140069</v>
      </c>
      <c r="D94" s="146">
        <f>'LCIA_AD-c'!D76</f>
        <v>10.269223833856934</v>
      </c>
      <c r="E94" s="146">
        <f>'LCIA_AD-c'!E76</f>
        <v>3.412839052999317E-4</v>
      </c>
      <c r="F94" s="146">
        <f>'LCIA_AD-c'!F76</f>
        <v>1.3839804666791389E-4</v>
      </c>
      <c r="G94" s="146">
        <f>'LCIA_AD-c'!G76</f>
        <v>0</v>
      </c>
      <c r="H94" s="146">
        <f>'LCIA_AD-c'!H76</f>
        <v>0.33306443285432219</v>
      </c>
      <c r="I94" s="146">
        <f>'LCIA_AD-c'!I76</f>
        <v>3.5598291058777001</v>
      </c>
      <c r="J94" s="146">
        <f>'LCIA_AD-c'!J76</f>
        <v>4.0942046000432235</v>
      </c>
      <c r="K94" s="146">
        <f>'LCIA_AD-c'!K76</f>
        <v>5.3385441689734559E-4</v>
      </c>
      <c r="L94" s="146">
        <f>'LCIA_AD-c'!L76</f>
        <v>1.9750765050627191E-7</v>
      </c>
      <c r="M94" s="146">
        <f>'LCIA_AD-c'!M76</f>
        <v>1.6254063701120575E-6</v>
      </c>
      <c r="N94" s="146">
        <f>'LCIA_AD-c'!N76</f>
        <v>5.8569837908864588E-6</v>
      </c>
      <c r="O94" s="146">
        <f>'LCIA_AD-c'!O76</f>
        <v>3.8695115232443626E-6</v>
      </c>
      <c r="P94" s="146">
        <f>'LCIA_AD-c'!P76</f>
        <v>7.5463166809556347E-10</v>
      </c>
      <c r="Q94" s="146">
        <f>'LCIA_AD-c'!Q76</f>
        <v>1.6164636300101453E-8</v>
      </c>
      <c r="R94" s="146">
        <f>'LCIA_AD-c'!R76</f>
        <v>0.45223125542119935</v>
      </c>
      <c r="S94" s="146">
        <f>'LCIA_AD-c'!S76</f>
        <v>1.8907868453619421</v>
      </c>
      <c r="T94" s="146">
        <f>'LCIA_AD-c'!T76</f>
        <v>8.7572001573282794</v>
      </c>
      <c r="U94" s="146">
        <f>'LCIA_AD-c'!U76</f>
        <v>0.95061001901170838</v>
      </c>
      <c r="V94" s="146">
        <f>'LCIA_AD-c'!V76</f>
        <v>6.4275714594801406E-6</v>
      </c>
      <c r="W94" s="146">
        <f>'LCIA_AD-c'!W76</f>
        <v>5.62395266579793E-6</v>
      </c>
      <c r="X94" s="146">
        <f>'LCIA_AD-c'!X76</f>
        <v>5.2648250281807758E-2</v>
      </c>
      <c r="Y94" s="146">
        <f>'LCIA_AD-c'!Y76</f>
        <v>2.8512033040075297E-8</v>
      </c>
      <c r="Z94" s="146">
        <f>'LCIA_AD-c'!Z76</f>
        <v>2.3648891115542248E-5</v>
      </c>
      <c r="AA94" s="146">
        <f>'LCIA_AD-c'!AA76</f>
        <v>2.4908414657848246</v>
      </c>
      <c r="AB94" s="146">
        <f>'LCIA_AD-c'!AB76</f>
        <v>2.2417069662168297E-7</v>
      </c>
      <c r="AC94" s="146">
        <f>'LCIA_AD-c'!AC76</f>
        <v>2.3276391692275085</v>
      </c>
      <c r="AD94" s="146">
        <f>'LCIA_AD-c'!AD76</f>
        <v>0.23461093355564111</v>
      </c>
      <c r="AE94" s="146">
        <f>'LCIA_AD-c'!AE76</f>
        <v>0.20527427230162446</v>
      </c>
      <c r="AF94" s="146">
        <f>'LCIA_AD-c'!AF76</f>
        <v>2.2684314427908474E-3</v>
      </c>
      <c r="AG94" s="146">
        <f>'LCIA_AD-c'!AG76</f>
        <v>60.9470094373333</v>
      </c>
      <c r="AH94" s="146">
        <f>'LCIA_AD-c'!AH76</f>
        <v>5.2533204835333489E-4</v>
      </c>
      <c r="AI94" s="146">
        <f>'LCIA_AD-c'!AI76</f>
        <v>8.3369488018719993E-5</v>
      </c>
      <c r="AJ94" s="146">
        <f>'LCIA_AD-c'!AJ76</f>
        <v>1.0182948569236237E-5</v>
      </c>
      <c r="AK94" s="146">
        <f>'LCIA_AD-c'!AK76</f>
        <v>2.4627096600820888E-3</v>
      </c>
    </row>
    <row r="95" spans="1:37" x14ac:dyDescent="0.35">
      <c r="A95" s="141" t="s">
        <v>488</v>
      </c>
      <c r="B95" s="146"/>
      <c r="C95" s="146">
        <f>'LCIA_AD-c'!C77</f>
        <v>0</v>
      </c>
      <c r="D95" s="146">
        <f>'LCIA_AD-c'!D77</f>
        <v>0</v>
      </c>
      <c r="E95" s="146">
        <f>'LCIA_AD-c'!E77</f>
        <v>0</v>
      </c>
      <c r="F95" s="146">
        <f>'LCIA_AD-c'!F77</f>
        <v>0</v>
      </c>
      <c r="G95" s="146">
        <f>'LCIA_AD-c'!G77</f>
        <v>0</v>
      </c>
      <c r="H95" s="146">
        <f>'LCIA_AD-c'!H77</f>
        <v>0</v>
      </c>
      <c r="I95" s="146">
        <f>'LCIA_AD-c'!I77</f>
        <v>0</v>
      </c>
      <c r="J95" s="146">
        <f>'LCIA_AD-c'!J77</f>
        <v>0</v>
      </c>
      <c r="K95" s="146">
        <f>'LCIA_AD-c'!K77</f>
        <v>0</v>
      </c>
      <c r="L95" s="146">
        <f>'LCIA_AD-c'!L77</f>
        <v>0</v>
      </c>
      <c r="M95" s="146">
        <f>'LCIA_AD-c'!M77</f>
        <v>0</v>
      </c>
      <c r="N95" s="146">
        <f>'LCIA_AD-c'!N77</f>
        <v>0</v>
      </c>
      <c r="O95" s="146">
        <f>'LCIA_AD-c'!O77</f>
        <v>0</v>
      </c>
      <c r="P95" s="146">
        <f>'LCIA_AD-c'!P77</f>
        <v>0</v>
      </c>
      <c r="Q95" s="146">
        <f>'LCIA_AD-c'!Q77</f>
        <v>0</v>
      </c>
      <c r="R95" s="146">
        <f>'LCIA_AD-c'!R77</f>
        <v>0</v>
      </c>
      <c r="S95" s="146">
        <f>'LCIA_AD-c'!S77</f>
        <v>0</v>
      </c>
      <c r="T95" s="146">
        <f>'LCIA_AD-c'!T77</f>
        <v>0</v>
      </c>
      <c r="U95" s="146">
        <f>'LCIA_AD-c'!U77</f>
        <v>0</v>
      </c>
      <c r="V95" s="146">
        <f>'LCIA_AD-c'!V77</f>
        <v>0</v>
      </c>
      <c r="W95" s="146">
        <f>'LCIA_AD-c'!W77</f>
        <v>0</v>
      </c>
      <c r="X95" s="146">
        <f>'LCIA_AD-c'!X77</f>
        <v>0</v>
      </c>
      <c r="Y95" s="146">
        <f>'LCIA_AD-c'!Y77</f>
        <v>0</v>
      </c>
      <c r="Z95" s="146">
        <f>'LCIA_AD-c'!Z77</f>
        <v>0</v>
      </c>
      <c r="AA95" s="146">
        <f>'LCIA_AD-c'!AA77</f>
        <v>0</v>
      </c>
      <c r="AB95" s="146">
        <f>'LCIA_AD-c'!AB77</f>
        <v>0</v>
      </c>
      <c r="AC95" s="146">
        <f>'LCIA_AD-c'!AC77</f>
        <v>0</v>
      </c>
      <c r="AD95" s="146">
        <f>'LCIA_AD-c'!AD77</f>
        <v>0</v>
      </c>
      <c r="AE95" s="146">
        <f>'LCIA_AD-c'!AE77</f>
        <v>0</v>
      </c>
      <c r="AF95" s="146">
        <f>'LCIA_AD-c'!AF77</f>
        <v>0</v>
      </c>
      <c r="AG95" s="146">
        <f>'LCIA_AD-c'!AG77</f>
        <v>0</v>
      </c>
      <c r="AH95" s="146">
        <f>'LCIA_AD-c'!AH77</f>
        <v>0</v>
      </c>
      <c r="AI95" s="146">
        <f>'LCIA_AD-c'!AI77</f>
        <v>0</v>
      </c>
      <c r="AJ95" s="146">
        <f>'LCIA_AD-c'!AJ77</f>
        <v>0</v>
      </c>
      <c r="AK95" s="146">
        <f>'LCIA_AD-c'!AK77</f>
        <v>0</v>
      </c>
    </row>
    <row r="96" spans="1:37" x14ac:dyDescent="0.35">
      <c r="A96" s="141"/>
      <c r="B96" s="146" t="s">
        <v>415</v>
      </c>
      <c r="C96" s="141">
        <f>'LCIA_AD-c'!C78</f>
        <v>-108.47197525626564</v>
      </c>
      <c r="D96" s="141">
        <f>'LCIA_AD-c'!D78</f>
        <v>-30.835591949042005</v>
      </c>
      <c r="E96" s="141">
        <f>'LCIA_AD-c'!E78</f>
        <v>-1.4618738218737522E-3</v>
      </c>
      <c r="F96" s="141">
        <f>'LCIA_AD-c'!F78</f>
        <v>-4.1557042310503807E-4</v>
      </c>
      <c r="G96" s="141">
        <f>'LCIA_AD-c'!G78</f>
        <v>0</v>
      </c>
      <c r="H96" s="141">
        <f>'LCIA_AD-c'!H78</f>
        <v>0</v>
      </c>
      <c r="I96" s="141">
        <f>'LCIA_AD-c'!I78</f>
        <v>0</v>
      </c>
      <c r="J96" s="141">
        <f>'LCIA_AD-c'!J78</f>
        <v>0</v>
      </c>
      <c r="K96" s="141">
        <f>'LCIA_AD-c'!K78</f>
        <v>0</v>
      </c>
      <c r="L96" s="141">
        <f>'LCIA_AD-c'!L78</f>
        <v>0</v>
      </c>
      <c r="M96" s="141">
        <f>'LCIA_AD-c'!M78</f>
        <v>0</v>
      </c>
      <c r="N96" s="141">
        <f>'LCIA_AD-c'!N78</f>
        <v>0</v>
      </c>
      <c r="O96" s="141">
        <f>'LCIA_AD-c'!O78</f>
        <v>0</v>
      </c>
      <c r="P96" s="141">
        <f>'LCIA_AD-c'!P78</f>
        <v>0</v>
      </c>
      <c r="Q96" s="141">
        <f>'LCIA_AD-c'!Q78</f>
        <v>0</v>
      </c>
      <c r="R96" s="141">
        <f>'LCIA_AD-c'!R78</f>
        <v>0</v>
      </c>
      <c r="S96" s="141">
        <f>'LCIA_AD-c'!S78</f>
        <v>0</v>
      </c>
      <c r="T96" s="141">
        <f>'LCIA_AD-c'!T78</f>
        <v>-39.649864501255998</v>
      </c>
      <c r="U96" s="141">
        <f>'LCIA_AD-c'!U78</f>
        <v>-4.3040971333600266</v>
      </c>
      <c r="V96" s="141">
        <f>'LCIA_AD-c'!V78</f>
        <v>0</v>
      </c>
      <c r="W96" s="141">
        <f>'LCIA_AD-c'!W78</f>
        <v>0</v>
      </c>
      <c r="X96" s="141">
        <f>'LCIA_AD-c'!X78</f>
        <v>0</v>
      </c>
      <c r="Y96" s="141">
        <f>'LCIA_AD-c'!Y78</f>
        <v>0</v>
      </c>
      <c r="Z96" s="141">
        <f>'LCIA_AD-c'!Z78</f>
        <v>0</v>
      </c>
      <c r="AA96" s="141">
        <f>'LCIA_AD-c'!AA78</f>
        <v>0</v>
      </c>
      <c r="AB96" s="141">
        <f>'LCIA_AD-c'!AB78</f>
        <v>0</v>
      </c>
      <c r="AC96" s="141">
        <f>'LCIA_AD-c'!AC78</f>
        <v>0</v>
      </c>
      <c r="AD96" s="141">
        <f>'LCIA_AD-c'!AD78</f>
        <v>0</v>
      </c>
      <c r="AE96" s="141">
        <f>'LCIA_AD-c'!AE78</f>
        <v>0</v>
      </c>
      <c r="AF96" s="141">
        <f>'LCIA_AD-c'!AF78</f>
        <v>0</v>
      </c>
      <c r="AG96" s="141">
        <f>'LCIA_AD-c'!AG78</f>
        <v>-183.26152883992364</v>
      </c>
      <c r="AH96" s="141">
        <f>'LCIA_AD-c'!AH78</f>
        <v>-1.8774442450047984E-3</v>
      </c>
      <c r="AI96" s="141">
        <f>'LCIA_AD-c'!AI78</f>
        <v>0</v>
      </c>
      <c r="AJ96" s="141">
        <f>'LCIA_AD-c'!AJ78</f>
        <v>0</v>
      </c>
      <c r="AK96" s="141">
        <f>'LCIA_AD-c'!AK78</f>
        <v>0</v>
      </c>
    </row>
    <row r="98" spans="1:37" x14ac:dyDescent="0.35">
      <c r="A98" t="s">
        <v>500</v>
      </c>
      <c r="C98" s="40">
        <f>C54+C83-C89+C96</f>
        <v>-123.44879728393022</v>
      </c>
      <c r="D98" s="40">
        <f t="shared" ref="D98:AK98" si="11">D54+D83-D89+D96</f>
        <v>-28.832326882657441</v>
      </c>
      <c r="E98" s="40">
        <f t="shared" si="11"/>
        <v>-1.6637160396943439E-3</v>
      </c>
      <c r="F98" s="40">
        <f t="shared" si="11"/>
        <v>-3.8857237473592296E-4</v>
      </c>
      <c r="G98" s="40">
        <f t="shared" si="11"/>
        <v>-5.345593935089521E-17</v>
      </c>
      <c r="H98" s="40">
        <f t="shared" si="11"/>
        <v>-4.4138704450484068E-2</v>
      </c>
      <c r="I98" s="40">
        <f t="shared" si="11"/>
        <v>22.326276094751851</v>
      </c>
      <c r="J98" s="40">
        <f t="shared" si="11"/>
        <v>-3.6829784309592903</v>
      </c>
      <c r="K98" s="40">
        <f t="shared" si="11"/>
        <v>-0.21281773651037345</v>
      </c>
      <c r="L98" s="40">
        <f t="shared" si="11"/>
        <v>-5.4905566321267649E-8</v>
      </c>
      <c r="M98" s="40">
        <f t="shared" si="11"/>
        <v>1.9620855730221253E-5</v>
      </c>
      <c r="N98" s="40">
        <f t="shared" si="11"/>
        <v>-2.7692453459553762E-6</v>
      </c>
      <c r="O98" s="40">
        <f t="shared" si="11"/>
        <v>1.7544139212597613E-5</v>
      </c>
      <c r="P98" s="40">
        <f t="shared" si="11"/>
        <v>4.2723364024752673E-8</v>
      </c>
      <c r="Q98" s="40">
        <f t="shared" si="11"/>
        <v>1.3563218626599186E-6</v>
      </c>
      <c r="R98" s="40">
        <f t="shared" si="11"/>
        <v>0.44169490040954429</v>
      </c>
      <c r="S98" s="40">
        <f t="shared" si="11"/>
        <v>-2.07947820332374</v>
      </c>
      <c r="T98" s="40">
        <f t="shared" si="11"/>
        <v>-46.976849599915667</v>
      </c>
      <c r="U98" s="40">
        <f t="shared" si="11"/>
        <v>-5.0994544258247814</v>
      </c>
      <c r="V98" s="40">
        <f t="shared" si="11"/>
        <v>9.9510415702111712E-6</v>
      </c>
      <c r="W98" s="40">
        <f t="shared" si="11"/>
        <v>-5.1696101500353249E-6</v>
      </c>
      <c r="X98" s="40">
        <f t="shared" si="11"/>
        <v>5.4470613484007711</v>
      </c>
      <c r="Y98" s="40">
        <f t="shared" si="11"/>
        <v>-2.3854020605832248E-8</v>
      </c>
      <c r="Z98" s="40">
        <f t="shared" si="11"/>
        <v>5.3282351571541542E-5</v>
      </c>
      <c r="AA98" s="40">
        <f t="shared" si="11"/>
        <v>-1.5617203526203258</v>
      </c>
      <c r="AB98" s="40">
        <f t="shared" si="11"/>
        <v>-1.3124548223033693E-7</v>
      </c>
      <c r="AC98" s="40">
        <f t="shared" si="11"/>
        <v>2.9321223785798178</v>
      </c>
      <c r="AD98" s="40">
        <f t="shared" si="11"/>
        <v>0.36355151498532912</v>
      </c>
      <c r="AE98" s="40">
        <f t="shared" si="11"/>
        <v>-0.18869077047628957</v>
      </c>
      <c r="AF98" s="40">
        <f t="shared" si="11"/>
        <v>1.7446303945957586E-2</v>
      </c>
      <c r="AG98" s="40">
        <f t="shared" si="11"/>
        <v>-180.60395457540608</v>
      </c>
      <c r="AH98" s="40">
        <f t="shared" si="11"/>
        <v>-1.9919816898981229E-3</v>
      </c>
      <c r="AI98" s="40">
        <f t="shared" si="11"/>
        <v>-2.3347908341547622E-4</v>
      </c>
      <c r="AJ98" s="40">
        <f t="shared" si="11"/>
        <v>-2.8517693402156241E-5</v>
      </c>
      <c r="AK98" s="40">
        <f t="shared" si="11"/>
        <v>-4.6260708821668816E-3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W56" zoomScale="68" workbookViewId="0">
      <selection activeCell="AH83" sqref="AH83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19.040938704967669</v>
      </c>
      <c r="D29" s="115">
        <f t="shared" ref="D29:G29" si="6">SUM(D30:D34)</f>
        <v>110.20621816905711</v>
      </c>
      <c r="E29" s="115">
        <f t="shared" si="6"/>
        <v>0</v>
      </c>
      <c r="F29" s="115">
        <f t="shared" si="6"/>
        <v>7.6801640589139021E-4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3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37" x14ac:dyDescent="0.35">
      <c r="A34" s="114"/>
      <c r="B34" s="119" t="s">
        <v>415</v>
      </c>
      <c r="C34" s="120">
        <f>'LCI_AD-a'!$E34*'IW+f'!C26</f>
        <v>0</v>
      </c>
      <c r="D34" s="120">
        <f>'LCI_AD-a'!$E34*'IW+f'!D26</f>
        <v>0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37" x14ac:dyDescent="0.35">
      <c r="A35" s="113" t="s">
        <v>421</v>
      </c>
      <c r="B35" s="114"/>
      <c r="C35" s="115">
        <f>SUM(C36:C40)</f>
        <v>334.46535922908851</v>
      </c>
      <c r="D35" s="115">
        <f>SUM(D36:D40)</f>
        <v>28.798736254274726</v>
      </c>
      <c r="E35" s="115">
        <f>SUM(E36:E40)</f>
        <v>5522.3805611403441</v>
      </c>
      <c r="F35" s="115">
        <f>SUM(F36:F40)</f>
        <v>1.3006968299629756E-4</v>
      </c>
      <c r="G35" s="115">
        <f>SUM(G36:G40)</f>
        <v>100.55099164597983</v>
      </c>
    </row>
    <row r="36" spans="1:3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3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3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37" x14ac:dyDescent="0.35">
      <c r="A39" s="114"/>
      <c r="B39" s="114" t="s">
        <v>231</v>
      </c>
      <c r="C39" s="117">
        <f>'LCI_AD-a'!$E39*'IW+f'!C31</f>
        <v>0</v>
      </c>
      <c r="D39" s="117">
        <f>'LCI_AD-a'!$E39*'IW+f'!D31</f>
        <v>0</v>
      </c>
      <c r="E39" s="117">
        <f>'LCI_AD-a'!$E39*'IW+f'!E31</f>
        <v>0</v>
      </c>
      <c r="F39" s="117">
        <f>'LCI_AD-a'!$E39*'IW+f'!F31</f>
        <v>0</v>
      </c>
      <c r="G39" s="117">
        <f>'LCI_AD-a'!$E39*'IW+f'!G31</f>
        <v>0</v>
      </c>
    </row>
    <row r="40" spans="1:37" x14ac:dyDescent="0.35">
      <c r="A40" s="114"/>
      <c r="B40" s="114" t="s">
        <v>423</v>
      </c>
      <c r="C40" s="114">
        <f>'LCI_AD-e'!$E27*'IW+f'!C39</f>
        <v>274.12704844406284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37" x14ac:dyDescent="0.35">
      <c r="A41" s="113"/>
      <c r="B41" s="113"/>
      <c r="C41" s="113"/>
      <c r="D41" s="113"/>
      <c r="E41" s="113"/>
      <c r="F41" s="113"/>
      <c r="G41" s="113"/>
    </row>
    <row r="42" spans="1:37" x14ac:dyDescent="0.35">
      <c r="A42" s="113" t="s">
        <v>494</v>
      </c>
      <c r="B42" s="113"/>
      <c r="C42" s="115">
        <f>C5+C29-C35</f>
        <v>-215.01416355130698</v>
      </c>
      <c r="D42" s="115">
        <f t="shared" ref="D42:G42" si="7">D5+D29-D35</f>
        <v>93.340430558638388</v>
      </c>
      <c r="E42" s="115">
        <f t="shared" si="7"/>
        <v>-4911.3096202541974</v>
      </c>
      <c r="F42" s="115">
        <f t="shared" si="7"/>
        <v>7.7682830317483097E-4</v>
      </c>
      <c r="G42" s="115">
        <f t="shared" si="7"/>
        <v>-84.89042521160026</v>
      </c>
    </row>
    <row r="45" spans="1:37" ht="72.5" x14ac:dyDescent="0.35">
      <c r="A45" s="143" t="s">
        <v>0</v>
      </c>
      <c r="B45" s="141"/>
      <c r="C45" s="138" t="s">
        <v>376</v>
      </c>
      <c r="D45" s="138" t="s">
        <v>377</v>
      </c>
      <c r="E45" s="138" t="s">
        <v>378</v>
      </c>
      <c r="F45" s="138" t="s">
        <v>379</v>
      </c>
      <c r="G45" s="138" t="s">
        <v>380</v>
      </c>
      <c r="H45" s="138" t="s">
        <v>361</v>
      </c>
      <c r="I45" s="138" t="s">
        <v>381</v>
      </c>
      <c r="J45" s="138" t="s">
        <v>382</v>
      </c>
      <c r="K45" s="138" t="s">
        <v>363</v>
      </c>
      <c r="L45" s="138" t="s">
        <v>383</v>
      </c>
      <c r="M45" s="138" t="s">
        <v>384</v>
      </c>
      <c r="N45" s="138" t="s">
        <v>385</v>
      </c>
      <c r="O45" s="138" t="s">
        <v>386</v>
      </c>
      <c r="P45" s="138" t="s">
        <v>387</v>
      </c>
      <c r="Q45" s="138" t="s">
        <v>388</v>
      </c>
      <c r="R45" s="138" t="s">
        <v>367</v>
      </c>
      <c r="S45" s="138" t="s">
        <v>368</v>
      </c>
      <c r="T45" s="138" t="s">
        <v>389</v>
      </c>
      <c r="U45" s="138" t="s">
        <v>390</v>
      </c>
      <c r="V45" s="138" t="s">
        <v>391</v>
      </c>
      <c r="W45" s="138" t="s">
        <v>392</v>
      </c>
      <c r="X45" s="138" t="s">
        <v>369</v>
      </c>
      <c r="Y45" s="138" t="s">
        <v>371</v>
      </c>
      <c r="Z45" s="138" t="s">
        <v>372</v>
      </c>
      <c r="AA45" s="138" t="s">
        <v>393</v>
      </c>
      <c r="AB45" s="138" t="s">
        <v>394</v>
      </c>
      <c r="AC45" s="138" t="s">
        <v>374</v>
      </c>
      <c r="AD45" s="138" t="s">
        <v>395</v>
      </c>
      <c r="AE45" s="138" t="s">
        <v>396</v>
      </c>
      <c r="AF45" s="138" t="s">
        <v>397</v>
      </c>
      <c r="AG45" s="138" t="s">
        <v>398</v>
      </c>
      <c r="AH45" s="138" t="s">
        <v>399</v>
      </c>
      <c r="AI45" s="138" t="s">
        <v>400</v>
      </c>
      <c r="AJ45" s="138" t="s">
        <v>401</v>
      </c>
      <c r="AK45" s="138" t="s">
        <v>402</v>
      </c>
    </row>
    <row r="46" spans="1:37" x14ac:dyDescent="0.35">
      <c r="A46" s="143" t="s">
        <v>6</v>
      </c>
      <c r="B46" s="137"/>
      <c r="C46" s="142">
        <f>SUM(C48:C69)</f>
        <v>9.653662979745544</v>
      </c>
      <c r="D46" s="142">
        <f t="shared" ref="D46:AK46" si="8">SUM(D48:D69)</f>
        <v>9.5294773015429879</v>
      </c>
      <c r="E46" s="142">
        <f t="shared" si="8"/>
        <v>1.3010214999718646E-4</v>
      </c>
      <c r="F46" s="142">
        <f t="shared" si="8"/>
        <v>1.2842858875808901E-4</v>
      </c>
      <c r="G46" s="142">
        <f t="shared" si="8"/>
        <v>2.9140417551788394E-17</v>
      </c>
      <c r="H46" s="142">
        <f t="shared" si="8"/>
        <v>0.55300183663674096</v>
      </c>
      <c r="I46" s="142">
        <f t="shared" si="8"/>
        <v>2.8910466636883907</v>
      </c>
      <c r="J46" s="142">
        <f t="shared" si="8"/>
        <v>0.31262172904820917</v>
      </c>
      <c r="K46" s="142">
        <f t="shared" si="8"/>
        <v>6.5054071207673999E-3</v>
      </c>
      <c r="L46" s="142">
        <f t="shared" si="8"/>
        <v>1.3032536618117167E-7</v>
      </c>
      <c r="M46" s="142">
        <f t="shared" si="8"/>
        <v>1.0812064766557481E-5</v>
      </c>
      <c r="N46" s="142">
        <f t="shared" si="8"/>
        <v>3.602090774584072E-6</v>
      </c>
      <c r="O46" s="142">
        <f t="shared" si="8"/>
        <v>2.1753321220961258E-5</v>
      </c>
      <c r="P46" s="142">
        <f t="shared" si="8"/>
        <v>1.4177831037316396E-8</v>
      </c>
      <c r="Q46" s="142">
        <f t="shared" si="8"/>
        <v>4.2937336593197798E-7</v>
      </c>
      <c r="R46" s="142">
        <f t="shared" si="8"/>
        <v>1.4194712207843354</v>
      </c>
      <c r="S46" s="142">
        <f t="shared" si="8"/>
        <v>0.47358749312250698</v>
      </c>
      <c r="T46" s="142">
        <f t="shared" si="8"/>
        <v>2.5105244354751219</v>
      </c>
      <c r="U46" s="142">
        <f t="shared" si="8"/>
        <v>0.27252289253810941</v>
      </c>
      <c r="V46" s="142">
        <f t="shared" si="8"/>
        <v>8.5224842060031897E-6</v>
      </c>
      <c r="W46" s="142">
        <f t="shared" si="8"/>
        <v>4.9696395284935263E-6</v>
      </c>
      <c r="X46" s="142">
        <f t="shared" si="8"/>
        <v>0.15797252857600669</v>
      </c>
      <c r="Y46" s="142">
        <f t="shared" si="8"/>
        <v>1.0645453055431738E-9</v>
      </c>
      <c r="Z46" s="142">
        <f t="shared" si="8"/>
        <v>1.0544623842656928E-4</v>
      </c>
      <c r="AA46" s="142">
        <f t="shared" si="8"/>
        <v>4.2301942639810832</v>
      </c>
      <c r="AB46" s="142">
        <f t="shared" si="8"/>
        <v>4.3951795441278329E-7</v>
      </c>
      <c r="AC46" s="142">
        <f t="shared" si="8"/>
        <v>4.3185748922403295</v>
      </c>
      <c r="AD46" s="142">
        <f t="shared" si="8"/>
        <v>0.3110851481023954</v>
      </c>
      <c r="AE46" s="142">
        <f t="shared" si="8"/>
        <v>0.18139184279001375</v>
      </c>
      <c r="AF46" s="142">
        <f t="shared" si="8"/>
        <v>7.0995532005392057E-3</v>
      </c>
      <c r="AG46" s="142">
        <f t="shared" si="8"/>
        <v>36.829284813246559</v>
      </c>
      <c r="AH46" s="142">
        <f t="shared" si="8"/>
        <v>4.1647733163269646E-4</v>
      </c>
      <c r="AI46" s="142">
        <f t="shared" si="8"/>
        <v>1.2553050895828863E-4</v>
      </c>
      <c r="AJ46" s="142">
        <f t="shared" si="8"/>
        <v>1.5332596456693604E-5</v>
      </c>
      <c r="AK46" s="142">
        <f t="shared" si="8"/>
        <v>4.0558784296568809E-4</v>
      </c>
    </row>
    <row r="47" spans="1:37" x14ac:dyDescent="0.35">
      <c r="A47" s="143" t="s">
        <v>5</v>
      </c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</row>
    <row r="48" spans="1:37" x14ac:dyDescent="0.35">
      <c r="A48" s="143"/>
      <c r="B48" s="137" t="s">
        <v>249</v>
      </c>
      <c r="C48" s="137">
        <f>'LCIA_AD-a'!C47</f>
        <v>0.29375833601169027</v>
      </c>
      <c r="D48" s="137">
        <f>'LCIA_AD-a'!D47</f>
        <v>8.9990845888640369E-2</v>
      </c>
      <c r="E48" s="137">
        <f>'LCIA_AD-a'!E47</f>
        <v>3.9589730007048797E-6</v>
      </c>
      <c r="F48" s="137">
        <f>'LCIA_AD-a'!F47</f>
        <v>1.2128041505843192E-6</v>
      </c>
      <c r="G48" s="137">
        <f>'LCIA_AD-a'!G47</f>
        <v>9.0040097542142219E-20</v>
      </c>
      <c r="H48" s="137">
        <f>'LCIA_AD-a'!H47</f>
        <v>5.1931114803604956E-3</v>
      </c>
      <c r="I48" s="137">
        <f>'LCIA_AD-a'!I47</f>
        <v>0.24839018720173295</v>
      </c>
      <c r="J48" s="137">
        <f>'LCIA_AD-a'!J47</f>
        <v>1.234083364332369E-2</v>
      </c>
      <c r="K48" s="137">
        <f>'LCIA_AD-a'!K47</f>
        <v>2.1439753416220663E-5</v>
      </c>
      <c r="L48" s="137">
        <f>'LCIA_AD-a'!L47</f>
        <v>8.7015032149142414E-9</v>
      </c>
      <c r="M48" s="137">
        <f>'LCIA_AD-a'!M47</f>
        <v>1.6596905236710246E-7</v>
      </c>
      <c r="N48" s="137">
        <f>'LCIA_AD-a'!N47</f>
        <v>1.9676602640470916E-7</v>
      </c>
      <c r="O48" s="137">
        <f>'LCIA_AD-a'!O47</f>
        <v>1.0474046667854858E-7</v>
      </c>
      <c r="P48" s="137">
        <f>'LCIA_AD-a'!P47</f>
        <v>4.1389310905179983E-9</v>
      </c>
      <c r="Q48" s="137">
        <f>'LCIA_AD-a'!Q47</f>
        <v>1.2763337153218512E-7</v>
      </c>
      <c r="R48" s="137">
        <f>'LCIA_AD-a'!R47</f>
        <v>1.6534106080479432E-2</v>
      </c>
      <c r="S48" s="137">
        <f>'LCIA_AD-a'!S47</f>
        <v>1.1656841267618703E-2</v>
      </c>
      <c r="T48" s="137">
        <f>'LCIA_AD-a'!T47</f>
        <v>0.10249049260823448</v>
      </c>
      <c r="U48" s="137">
        <f>'LCIA_AD-a'!U47</f>
        <v>1.1125576504552512E-2</v>
      </c>
      <c r="V48" s="137">
        <f>'LCIA_AD-a'!V47</f>
        <v>9.6489525909131685E-7</v>
      </c>
      <c r="W48" s="137">
        <f>'LCIA_AD-a'!W47</f>
        <v>2.6554776215088471E-7</v>
      </c>
      <c r="X48" s="137">
        <f>'LCIA_AD-a'!X47</f>
        <v>6.7963986332143073E-4</v>
      </c>
      <c r="Y48" s="137">
        <f>'LCIA_AD-a'!Y47</f>
        <v>4.6233568878889853E-11</v>
      </c>
      <c r="Z48" s="137">
        <f>'LCIA_AD-a'!Z47</f>
        <v>3.7424948947123667E-7</v>
      </c>
      <c r="AA48" s="137">
        <f>'LCIA_AD-a'!AA47</f>
        <v>1.5755418847462184E-2</v>
      </c>
      <c r="AB48" s="137">
        <f>'LCIA_AD-a'!AB47</f>
        <v>1.5662117661554336E-9</v>
      </c>
      <c r="AC48" s="137">
        <f>'LCIA_AD-a'!AC47</f>
        <v>3.4269056902659287E-2</v>
      </c>
      <c r="AD48" s="137">
        <f>'LCIA_AD-a'!AD47</f>
        <v>3.5220034139757453E-2</v>
      </c>
      <c r="AE48" s="137">
        <f>'LCIA_AD-a'!AE47</f>
        <v>9.6924933185072934E-3</v>
      </c>
      <c r="AF48" s="137">
        <f>'LCIA_AD-a'!AF47</f>
        <v>1.9004186679781043E-3</v>
      </c>
      <c r="AG48" s="137">
        <f>'LCIA_AD-a'!AG47</f>
        <v>0.88904487549306932</v>
      </c>
      <c r="AH48" s="137">
        <f>'LCIA_AD-a'!AH47</f>
        <v>7.3843049600713193E-6</v>
      </c>
      <c r="AI48" s="137">
        <f>'LCIA_AD-a'!AI47</f>
        <v>1.0093591977195651E-5</v>
      </c>
      <c r="AJ48" s="137">
        <f>'LCIA_AD-a'!AJ47</f>
        <v>1.2328554537785757E-6</v>
      </c>
      <c r="AK48" s="137">
        <f>'LCIA_AD-a'!AK47</f>
        <v>1.4715139405635514E-5</v>
      </c>
    </row>
    <row r="49" spans="1:38" x14ac:dyDescent="0.35">
      <c r="A49" s="143"/>
      <c r="B49" s="137" t="s">
        <v>250</v>
      </c>
      <c r="C49" s="137">
        <f>'LCIA_AD-a'!C48</f>
        <v>0</v>
      </c>
      <c r="D49" s="137">
        <f>'LCIA_AD-a'!D48</f>
        <v>0</v>
      </c>
      <c r="E49" s="137">
        <f>'LCIA_AD-a'!E48</f>
        <v>0</v>
      </c>
      <c r="F49" s="137">
        <f>'LCIA_AD-a'!F48</f>
        <v>0</v>
      </c>
      <c r="G49" s="137">
        <f>'LCIA_AD-a'!G48</f>
        <v>0</v>
      </c>
      <c r="H49" s="137">
        <f>'LCIA_AD-a'!H48</f>
        <v>0</v>
      </c>
      <c r="I49" s="137">
        <f>'LCIA_AD-a'!I48</f>
        <v>0</v>
      </c>
      <c r="J49" s="137">
        <f>'LCIA_AD-a'!J48</f>
        <v>0</v>
      </c>
      <c r="K49" s="137">
        <f>'LCIA_AD-a'!K48</f>
        <v>0</v>
      </c>
      <c r="L49" s="137">
        <f>'LCIA_AD-a'!L48</f>
        <v>0</v>
      </c>
      <c r="M49" s="137">
        <f>'LCIA_AD-a'!M48</f>
        <v>0</v>
      </c>
      <c r="N49" s="137">
        <f>'LCIA_AD-a'!N48</f>
        <v>0</v>
      </c>
      <c r="O49" s="137">
        <f>'LCIA_AD-a'!O48</f>
        <v>0</v>
      </c>
      <c r="P49" s="137">
        <f>'LCIA_AD-a'!P48</f>
        <v>0</v>
      </c>
      <c r="Q49" s="137">
        <f>'LCIA_AD-a'!Q48</f>
        <v>0</v>
      </c>
      <c r="R49" s="137">
        <f>'LCIA_AD-a'!R48</f>
        <v>0</v>
      </c>
      <c r="S49" s="137">
        <f>'LCIA_AD-a'!S48</f>
        <v>0</v>
      </c>
      <c r="T49" s="137">
        <f>'LCIA_AD-a'!T48</f>
        <v>0</v>
      </c>
      <c r="U49" s="137">
        <f>'LCIA_AD-a'!U48</f>
        <v>0</v>
      </c>
      <c r="V49" s="137">
        <f>'LCIA_AD-a'!V48</f>
        <v>0</v>
      </c>
      <c r="W49" s="137">
        <f>'LCIA_AD-a'!W48</f>
        <v>0</v>
      </c>
      <c r="X49" s="137">
        <f>'LCIA_AD-a'!X48</f>
        <v>0</v>
      </c>
      <c r="Y49" s="137">
        <f>'LCIA_AD-a'!Y48</f>
        <v>0</v>
      </c>
      <c r="Z49" s="137">
        <f>'LCIA_AD-a'!Z48</f>
        <v>0</v>
      </c>
      <c r="AA49" s="137">
        <f>'LCIA_AD-a'!AA48</f>
        <v>0</v>
      </c>
      <c r="AB49" s="137">
        <f>'LCIA_AD-a'!AB48</f>
        <v>0</v>
      </c>
      <c r="AC49" s="137">
        <f>'LCIA_AD-a'!AC48</f>
        <v>0</v>
      </c>
      <c r="AD49" s="137">
        <f>'LCIA_AD-a'!AD48</f>
        <v>0</v>
      </c>
      <c r="AE49" s="137">
        <f>'LCIA_AD-a'!AE48</f>
        <v>0</v>
      </c>
      <c r="AF49" s="137">
        <f>'LCIA_AD-a'!AF48</f>
        <v>0</v>
      </c>
      <c r="AG49" s="137">
        <f>'LCIA_AD-a'!AG48</f>
        <v>0</v>
      </c>
      <c r="AH49" s="137">
        <f>'LCIA_AD-a'!AH48</f>
        <v>0</v>
      </c>
      <c r="AI49" s="137">
        <f>'LCIA_AD-a'!AI48</f>
        <v>0</v>
      </c>
      <c r="AJ49" s="137">
        <f>'LCIA_AD-a'!AJ48</f>
        <v>0</v>
      </c>
      <c r="AK49" s="137">
        <f>'LCIA_AD-a'!AK48</f>
        <v>0</v>
      </c>
    </row>
    <row r="50" spans="1:38" x14ac:dyDescent="0.35">
      <c r="A50" s="143" t="s">
        <v>235</v>
      </c>
      <c r="B50" s="137"/>
      <c r="C50" s="137">
        <f>'LCIA_AD-a'!C49</f>
        <v>0</v>
      </c>
      <c r="D50" s="137">
        <f>'LCIA_AD-a'!D49</f>
        <v>0</v>
      </c>
      <c r="E50" s="137">
        <f>'LCIA_AD-a'!E49</f>
        <v>0</v>
      </c>
      <c r="F50" s="137">
        <f>'LCIA_AD-a'!F49</f>
        <v>0</v>
      </c>
      <c r="G50" s="137">
        <f>'LCIA_AD-a'!G49</f>
        <v>0</v>
      </c>
      <c r="H50" s="137">
        <f>'LCIA_AD-a'!H49</f>
        <v>0</v>
      </c>
      <c r="I50" s="137">
        <f>'LCIA_AD-a'!I49</f>
        <v>0</v>
      </c>
      <c r="J50" s="137">
        <f>'LCIA_AD-a'!J49</f>
        <v>0</v>
      </c>
      <c r="K50" s="137">
        <f>'LCIA_AD-a'!K49</f>
        <v>0</v>
      </c>
      <c r="L50" s="137">
        <f>'LCIA_AD-a'!L49</f>
        <v>0</v>
      </c>
      <c r="M50" s="137">
        <f>'LCIA_AD-a'!M49</f>
        <v>0</v>
      </c>
      <c r="N50" s="137">
        <f>'LCIA_AD-a'!N49</f>
        <v>0</v>
      </c>
      <c r="O50" s="137">
        <f>'LCIA_AD-a'!O49</f>
        <v>0</v>
      </c>
      <c r="P50" s="137">
        <f>'LCIA_AD-a'!P49</f>
        <v>0</v>
      </c>
      <c r="Q50" s="137">
        <f>'LCIA_AD-a'!Q49</f>
        <v>0</v>
      </c>
      <c r="R50" s="137">
        <f>'LCIA_AD-a'!R49</f>
        <v>0</v>
      </c>
      <c r="S50" s="137">
        <f>'LCIA_AD-a'!S49</f>
        <v>0</v>
      </c>
      <c r="T50" s="137">
        <f>'LCIA_AD-a'!T49</f>
        <v>0</v>
      </c>
      <c r="U50" s="137">
        <f>'LCIA_AD-a'!U49</f>
        <v>0</v>
      </c>
      <c r="V50" s="137">
        <f>'LCIA_AD-a'!V49</f>
        <v>0</v>
      </c>
      <c r="W50" s="137">
        <f>'LCIA_AD-a'!W49</f>
        <v>0</v>
      </c>
      <c r="X50" s="137">
        <f>'LCIA_AD-a'!X49</f>
        <v>0</v>
      </c>
      <c r="Y50" s="137">
        <f>'LCIA_AD-a'!Y49</f>
        <v>0</v>
      </c>
      <c r="Z50" s="137">
        <f>'LCIA_AD-a'!Z49</f>
        <v>0</v>
      </c>
      <c r="AA50" s="137">
        <f>'LCIA_AD-a'!AA49</f>
        <v>0</v>
      </c>
      <c r="AB50" s="137">
        <f>'LCIA_AD-a'!AB49</f>
        <v>0</v>
      </c>
      <c r="AC50" s="137">
        <f>'LCIA_AD-a'!AC49</f>
        <v>0</v>
      </c>
      <c r="AD50" s="137">
        <f>'LCIA_AD-a'!AD49</f>
        <v>0</v>
      </c>
      <c r="AE50" s="137">
        <f>'LCIA_AD-a'!AE49</f>
        <v>0</v>
      </c>
      <c r="AF50" s="137">
        <f>'LCIA_AD-a'!AF49</f>
        <v>0</v>
      </c>
      <c r="AG50" s="137">
        <f>'LCIA_AD-a'!AG49</f>
        <v>0</v>
      </c>
      <c r="AH50" s="137">
        <f>'LCIA_AD-a'!AH49</f>
        <v>0</v>
      </c>
      <c r="AI50" s="137">
        <f>'LCIA_AD-a'!AI49</f>
        <v>0</v>
      </c>
      <c r="AJ50" s="137">
        <f>'LCIA_AD-a'!AJ49</f>
        <v>0</v>
      </c>
      <c r="AK50" s="137">
        <f>'LCIA_AD-a'!AK49</f>
        <v>0</v>
      </c>
    </row>
    <row r="51" spans="1:38" x14ac:dyDescent="0.35">
      <c r="A51" s="143"/>
      <c r="B51" s="137" t="s">
        <v>286</v>
      </c>
      <c r="C51" s="137">
        <f>'LCIA_AD-a'!C50</f>
        <v>0.1642293381452089</v>
      </c>
      <c r="D51" s="137">
        <f>'LCIA_AD-a'!D50</f>
        <v>5.0160114465116465E-2</v>
      </c>
      <c r="E51" s="137">
        <f>'LCIA_AD-a'!E50</f>
        <v>2.2133142652831479E-6</v>
      </c>
      <c r="F51" s="137">
        <f>'LCIA_AD-a'!F50</f>
        <v>6.7600648061868024E-7</v>
      </c>
      <c r="G51" s="137">
        <f>'LCIA_AD-a'!G50</f>
        <v>3.4259653114390555E-19</v>
      </c>
      <c r="H51" s="137">
        <f>'LCIA_AD-a'!H50</f>
        <v>1.9088748614477355E-3</v>
      </c>
      <c r="I51" s="137">
        <f>'LCIA_AD-a'!I50</f>
        <v>2.1165975185515697E-2</v>
      </c>
      <c r="J51" s="137">
        <f>'LCIA_AD-a'!J50</f>
        <v>7.7842440064621963E-3</v>
      </c>
      <c r="K51" s="137">
        <f>'LCIA_AD-a'!K50</f>
        <v>1.2090234903629117E-5</v>
      </c>
      <c r="L51" s="137">
        <f>'LCIA_AD-a'!L50</f>
        <v>1.3807900143766815E-9</v>
      </c>
      <c r="M51" s="137">
        <f>'LCIA_AD-a'!M50</f>
        <v>7.8521018154124293E-8</v>
      </c>
      <c r="N51" s="137">
        <f>'LCIA_AD-a'!N50</f>
        <v>5.1916740498462542E-8</v>
      </c>
      <c r="O51" s="137">
        <f>'LCIA_AD-a'!O50</f>
        <v>3.4957298081958831E-8</v>
      </c>
      <c r="P51" s="137">
        <f>'LCIA_AD-a'!P50</f>
        <v>1.6087202212299374E-11</v>
      </c>
      <c r="Q51" s="137">
        <f>'LCIA_AD-a'!Q50</f>
        <v>1.9821700798180701E-10</v>
      </c>
      <c r="R51" s="137">
        <f>'LCIA_AD-a'!R50</f>
        <v>9.3882236600461508E-3</v>
      </c>
      <c r="S51" s="137">
        <f>'LCIA_AD-a'!S50</f>
        <v>1.0847515163367839E-2</v>
      </c>
      <c r="T51" s="137">
        <f>'LCIA_AD-a'!T50</f>
        <v>5.9340583237830792E-2</v>
      </c>
      <c r="U51" s="137">
        <f>'LCIA_AD-a'!U50</f>
        <v>6.4415394809225063E-3</v>
      </c>
      <c r="V51" s="137">
        <f>'LCIA_AD-a'!V50</f>
        <v>2.2361093064658549E-8</v>
      </c>
      <c r="W51" s="137">
        <f>'LCIA_AD-a'!W50</f>
        <v>1.8378519819012135E-8</v>
      </c>
      <c r="X51" s="137">
        <f>'LCIA_AD-a'!X50</f>
        <v>4.9087972213900696E-4</v>
      </c>
      <c r="Y51" s="137">
        <f>'LCIA_AD-a'!Y50</f>
        <v>1.4130656214684504E-11</v>
      </c>
      <c r="Z51" s="137">
        <f>'LCIA_AD-a'!Z50</f>
        <v>2.3089230034193365E-7</v>
      </c>
      <c r="AA51" s="137">
        <f>'LCIA_AD-a'!AA50</f>
        <v>1.24610140420619E-2</v>
      </c>
      <c r="AB51" s="137">
        <f>'LCIA_AD-a'!AB50</f>
        <v>1.2166988717580699E-9</v>
      </c>
      <c r="AC51" s="137">
        <f>'LCIA_AD-a'!AC50</f>
        <v>1.357355809150523E-2</v>
      </c>
      <c r="AD51" s="137">
        <f>'LCIA_AD-a'!AD50</f>
        <v>8.1619861313748173E-4</v>
      </c>
      <c r="AE51" s="137">
        <f>'LCIA_AD-a'!AE50</f>
        <v>6.7081597339394266E-4</v>
      </c>
      <c r="AF51" s="137">
        <f>'LCIA_AD-a'!AF50</f>
        <v>1.5428172135718716E-5</v>
      </c>
      <c r="AG51" s="137">
        <f>'LCIA_AD-a'!AG50</f>
        <v>0.35931316945148462</v>
      </c>
      <c r="AH51" s="137">
        <f>'LCIA_AD-a'!AH50</f>
        <v>3.3268199102587953E-6</v>
      </c>
      <c r="AI51" s="137">
        <f>'LCIA_AD-a'!AI50</f>
        <v>3.14403300469906E-7</v>
      </c>
      <c r="AJ51" s="137">
        <f>'LCIA_AD-a'!AJ50</f>
        <v>3.8401970730154165E-8</v>
      </c>
      <c r="AK51" s="137">
        <f>'LCIA_AD-a'!AK50</f>
        <v>6.4212372885133327E-6</v>
      </c>
    </row>
    <row r="52" spans="1:38" x14ac:dyDescent="0.35">
      <c r="A52" s="143"/>
      <c r="B52" s="137" t="s">
        <v>235</v>
      </c>
      <c r="C52" s="137">
        <f>'LCIA_AD-a'!C51</f>
        <v>2.8461745710597834</v>
      </c>
      <c r="D52" s="137">
        <f>'LCIA_AD-a'!D51</f>
        <v>1.1214611679069222</v>
      </c>
      <c r="E52" s="137">
        <f>'LCIA_AD-a'!E51</f>
        <v>3.8357816275450525E-5</v>
      </c>
      <c r="F52" s="137">
        <f>'LCIA_AD-a'!F51</f>
        <v>1.5113901261020833E-5</v>
      </c>
      <c r="G52" s="137">
        <f>'LCIA_AD-a'!G51</f>
        <v>1.3417014761931066E-18</v>
      </c>
      <c r="H52" s="137">
        <f>'LCIA_AD-a'!H51</f>
        <v>7.0661974280644954E-2</v>
      </c>
      <c r="I52" s="137">
        <f>'LCIA_AD-a'!I51</f>
        <v>0.93416719125512804</v>
      </c>
      <c r="J52" s="137">
        <f>'LCIA_AD-a'!J51</f>
        <v>0.11947233209536294</v>
      </c>
      <c r="K52" s="137">
        <f>'LCIA_AD-a'!K51</f>
        <v>5.8252778621848689E-3</v>
      </c>
      <c r="L52" s="137">
        <f>'LCIA_AD-a'!L51</f>
        <v>7.543227881230801E-8</v>
      </c>
      <c r="M52" s="137">
        <f>'LCIA_AD-a'!M51</f>
        <v>9.2358423028085057E-6</v>
      </c>
      <c r="N52" s="137">
        <f>'LCIA_AD-a'!N51</f>
        <v>2.0141902382323624E-6</v>
      </c>
      <c r="O52" s="137">
        <f>'LCIA_AD-a'!O51</f>
        <v>2.073338334217323E-5</v>
      </c>
      <c r="P52" s="137">
        <f>'LCIA_AD-a'!P51</f>
        <v>1.6721138820675336E-10</v>
      </c>
      <c r="Q52" s="137">
        <f>'LCIA_AD-a'!Q51</f>
        <v>2.5414819458518307E-9</v>
      </c>
      <c r="R52" s="137">
        <f>'LCIA_AD-a'!R51</f>
        <v>0.10325709629067527</v>
      </c>
      <c r="S52" s="137">
        <f>'LCIA_AD-a'!S51</f>
        <v>0.20192306813671582</v>
      </c>
      <c r="T52" s="137">
        <f>'LCIA_AD-a'!T51</f>
        <v>0.81381304343515604</v>
      </c>
      <c r="U52" s="137">
        <f>'LCIA_AD-a'!U51</f>
        <v>8.8340903369667073E-2</v>
      </c>
      <c r="V52" s="137">
        <f>'LCIA_AD-a'!V51</f>
        <v>4.1790110398157114E-7</v>
      </c>
      <c r="W52" s="137">
        <f>'LCIA_AD-a'!W51</f>
        <v>9.1166986820938597E-7</v>
      </c>
      <c r="X52" s="137">
        <f>'LCIA_AD-a'!X51</f>
        <v>3.6914893888666471E-2</v>
      </c>
      <c r="Y52" s="137">
        <f>'LCIA_AD-a'!Y51</f>
        <v>3.4271490621614475E-10</v>
      </c>
      <c r="Z52" s="137">
        <f>'LCIA_AD-a'!Z51</f>
        <v>8.8111435597395313E-6</v>
      </c>
      <c r="AA52" s="137">
        <f>'LCIA_AD-a'!AA51</f>
        <v>0.52310036021523809</v>
      </c>
      <c r="AB52" s="137">
        <f>'LCIA_AD-a'!AB51</f>
        <v>5.3982752056258097E-8</v>
      </c>
      <c r="AC52" s="137">
        <f>'LCIA_AD-a'!AC51</f>
        <v>0.52930584039175488</v>
      </c>
      <c r="AD52" s="137">
        <f>'LCIA_AD-a'!AD51</f>
        <v>1.5262636374080941E-2</v>
      </c>
      <c r="AE52" s="137">
        <f>'LCIA_AD-a'!AE51</f>
        <v>3.3275950189642592E-2</v>
      </c>
      <c r="AF52" s="137">
        <f>'LCIA_AD-a'!AF51</f>
        <v>3.8173633035694057E-4</v>
      </c>
      <c r="AG52" s="137">
        <f>'LCIA_AD-a'!AG51</f>
        <v>7.4436332210323055</v>
      </c>
      <c r="AH52" s="137">
        <f>'LCIA_AD-a'!AH51</f>
        <v>1.04168902179637E-4</v>
      </c>
      <c r="AI52" s="137">
        <f>'LCIA_AD-a'!AI51</f>
        <v>7.999127841649449E-5</v>
      </c>
      <c r="AJ52" s="137">
        <f>'LCIA_AD-a'!AJ51</f>
        <v>9.7703259724914291E-6</v>
      </c>
      <c r="AK52" s="137">
        <f>'LCIA_AD-a'!AK51</f>
        <v>2.1385693372968594E-4</v>
      </c>
    </row>
    <row r="53" spans="1:38" x14ac:dyDescent="0.35">
      <c r="A53" s="143" t="s">
        <v>6</v>
      </c>
      <c r="B53" s="137"/>
      <c r="C53" s="137">
        <f>'LCIA_AD-a'!C52</f>
        <v>0</v>
      </c>
      <c r="D53" s="137">
        <f>'LCIA_AD-a'!D52</f>
        <v>0</v>
      </c>
      <c r="E53" s="137">
        <f>'LCIA_AD-a'!E52</f>
        <v>0</v>
      </c>
      <c r="F53" s="137">
        <f>'LCIA_AD-a'!F52</f>
        <v>0</v>
      </c>
      <c r="G53" s="137">
        <f>'LCIA_AD-a'!G52</f>
        <v>0</v>
      </c>
      <c r="H53" s="137">
        <f>'LCIA_AD-a'!H52</f>
        <v>0</v>
      </c>
      <c r="I53" s="137">
        <f>'LCIA_AD-a'!I52</f>
        <v>0</v>
      </c>
      <c r="J53" s="137">
        <f>'LCIA_AD-a'!J52</f>
        <v>0</v>
      </c>
      <c r="K53" s="137">
        <f>'LCIA_AD-a'!K52</f>
        <v>0</v>
      </c>
      <c r="L53" s="137">
        <f>'LCIA_AD-a'!L52</f>
        <v>0</v>
      </c>
      <c r="M53" s="137">
        <f>'LCIA_AD-a'!M52</f>
        <v>0</v>
      </c>
      <c r="N53" s="137">
        <f>'LCIA_AD-a'!N52</f>
        <v>0</v>
      </c>
      <c r="O53" s="137">
        <f>'LCIA_AD-a'!O52</f>
        <v>0</v>
      </c>
      <c r="P53" s="137">
        <f>'LCIA_AD-a'!P52</f>
        <v>0</v>
      </c>
      <c r="Q53" s="137">
        <f>'LCIA_AD-a'!Q52</f>
        <v>0</v>
      </c>
      <c r="R53" s="137">
        <f>'LCIA_AD-a'!R52</f>
        <v>0</v>
      </c>
      <c r="S53" s="137">
        <f>'LCIA_AD-a'!S52</f>
        <v>0</v>
      </c>
      <c r="T53" s="137">
        <f>'LCIA_AD-a'!T52</f>
        <v>0</v>
      </c>
      <c r="U53" s="137">
        <f>'LCIA_AD-a'!U52</f>
        <v>0</v>
      </c>
      <c r="V53" s="137">
        <f>'LCIA_AD-a'!V52</f>
        <v>0</v>
      </c>
      <c r="W53" s="137">
        <f>'LCIA_AD-a'!W52</f>
        <v>0</v>
      </c>
      <c r="X53" s="137">
        <f>'LCIA_AD-a'!X52</f>
        <v>0</v>
      </c>
      <c r="Y53" s="137">
        <f>'LCIA_AD-a'!Y52</f>
        <v>0</v>
      </c>
      <c r="Z53" s="137">
        <f>'LCIA_AD-a'!Z52</f>
        <v>0</v>
      </c>
      <c r="AA53" s="137">
        <f>'LCIA_AD-a'!AA52</f>
        <v>0</v>
      </c>
      <c r="AB53" s="137">
        <f>'LCIA_AD-a'!AB52</f>
        <v>0</v>
      </c>
      <c r="AC53" s="137">
        <f>'LCIA_AD-a'!AC52</f>
        <v>0</v>
      </c>
      <c r="AD53" s="137">
        <f>'LCIA_AD-a'!AD52</f>
        <v>0</v>
      </c>
      <c r="AE53" s="137">
        <f>'LCIA_AD-a'!AE52</f>
        <v>0</v>
      </c>
      <c r="AF53" s="137">
        <f>'LCIA_AD-a'!AF52</f>
        <v>0</v>
      </c>
      <c r="AG53" s="137">
        <f>'LCIA_AD-a'!AG52</f>
        <v>0</v>
      </c>
      <c r="AH53" s="137">
        <f>'LCIA_AD-a'!AH52</f>
        <v>0</v>
      </c>
      <c r="AI53" s="137">
        <f>'LCIA_AD-a'!AI52</f>
        <v>0</v>
      </c>
      <c r="AJ53" s="137">
        <f>'LCIA_AD-a'!AJ52</f>
        <v>0</v>
      </c>
      <c r="AK53" s="137">
        <f>'LCIA_AD-a'!AK52</f>
        <v>0</v>
      </c>
    </row>
    <row r="54" spans="1:38" x14ac:dyDescent="0.35">
      <c r="A54" s="143"/>
      <c r="B54" s="137" t="s">
        <v>8</v>
      </c>
      <c r="C54" s="137">
        <f>'LCIA_AD-a'!C53</f>
        <v>0.65727691815040523</v>
      </c>
      <c r="D54" s="137">
        <f>'LCIA_AD-a'!D53</f>
        <v>0.20135226339612622</v>
      </c>
      <c r="E54" s="137">
        <f>'LCIA_AD-a'!E53</f>
        <v>8.8581029164068104E-6</v>
      </c>
      <c r="F54" s="137">
        <f>'LCIA_AD-a'!F53</f>
        <v>2.7136189060669185E-6</v>
      </c>
      <c r="G54" s="137">
        <f>'LCIA_AD-a'!G53</f>
        <v>2.0146246273707774E-19</v>
      </c>
      <c r="H54" s="137">
        <f>'LCIA_AD-a'!H53</f>
        <v>1.1619456849343674E-2</v>
      </c>
      <c r="I54" s="137">
        <f>'LCIA_AD-a'!I53</f>
        <v>0.55576682166479929</v>
      </c>
      <c r="J54" s="137">
        <f>'LCIA_AD-a'!J53</f>
        <v>2.7612306137817434E-2</v>
      </c>
      <c r="K54" s="137">
        <f>'LCIA_AD-a'!K53</f>
        <v>4.7970911200822386E-5</v>
      </c>
      <c r="L54" s="137">
        <f>'LCIA_AD-a'!L53</f>
        <v>1.9469395469843191E-8</v>
      </c>
      <c r="M54" s="137">
        <f>'LCIA_AD-a'!M53</f>
        <v>3.7135159712999983E-7</v>
      </c>
      <c r="N54" s="137">
        <f>'LCIA_AD-a'!N53</f>
        <v>4.4025905507185927E-7</v>
      </c>
      <c r="O54" s="137">
        <f>'LCIA_AD-a'!O53</f>
        <v>2.3435417043406713E-7</v>
      </c>
      <c r="P54" s="137">
        <f>'LCIA_AD-a'!P53</f>
        <v>9.2607546343954807E-9</v>
      </c>
      <c r="Q54" s="137">
        <f>'LCIA_AD-a'!Q53</f>
        <v>2.8557647157451842E-7</v>
      </c>
      <c r="R54" s="137">
        <f>'LCIA_AD-a'!R53</f>
        <v>3.6994648174058696E-2</v>
      </c>
      <c r="S54" s="137">
        <f>'LCIA_AD-a'!S53</f>
        <v>2.6081890331255075E-2</v>
      </c>
      <c r="T54" s="137">
        <f>'LCIA_AD-a'!T53</f>
        <v>0.22931990981381525</v>
      </c>
      <c r="U54" s="137">
        <f>'LCIA_AD-a'!U53</f>
        <v>2.4893198732130022E-2</v>
      </c>
      <c r="V54" s="137">
        <f>'LCIA_AD-a'!V53</f>
        <v>2.1589289714938985E-6</v>
      </c>
      <c r="W54" s="137">
        <f>'LCIA_AD-a'!W53</f>
        <v>5.9415646581455464E-7</v>
      </c>
      <c r="X54" s="137">
        <f>'LCIA_AD-a'!X53</f>
        <v>1.5206771691350248E-3</v>
      </c>
      <c r="Y54" s="137">
        <f>'LCIA_AD-a'!Y53</f>
        <v>1.0344645221098301E-10</v>
      </c>
      <c r="Z54" s="137">
        <f>'LCIA_AD-a'!Z53</f>
        <v>8.3737385770468086E-7</v>
      </c>
      <c r="AA54" s="137">
        <f>'LCIA_AD-a'!AA53</f>
        <v>3.5252354996375815E-2</v>
      </c>
      <c r="AB54" s="137">
        <f>'LCIA_AD-a'!AB53</f>
        <v>3.5043595930111055E-9</v>
      </c>
      <c r="AC54" s="137">
        <f>'LCIA_AD-a'!AC53</f>
        <v>7.6676156376390969E-2</v>
      </c>
      <c r="AD54" s="137">
        <f>'LCIA_AD-a'!AD53</f>
        <v>7.8803944122323041E-2</v>
      </c>
      <c r="AE54" s="137">
        <f>'LCIA_AD-a'!AE53</f>
        <v>2.1686711002231247E-2</v>
      </c>
      <c r="AF54" s="137">
        <f>'LCIA_AD-a'!AF53</f>
        <v>4.2521391639229527E-3</v>
      </c>
      <c r="AG54" s="137">
        <f>'LCIA_AD-a'!AG53</f>
        <v>1.9892156382525288</v>
      </c>
      <c r="AH54" s="137">
        <f>'LCIA_AD-a'!AH53</f>
        <v>1.6522197370580419E-5</v>
      </c>
      <c r="AI54" s="137">
        <f>'LCIA_AD-a'!AI53</f>
        <v>2.258415920348486E-5</v>
      </c>
      <c r="AJ54" s="137">
        <f>'LCIA_AD-a'!AJ53</f>
        <v>2.7584831946769133E-6</v>
      </c>
      <c r="AK54" s="137">
        <f>'LCIA_AD-a'!AK53</f>
        <v>3.2924755804392892E-5</v>
      </c>
    </row>
    <row r="55" spans="1:38" x14ac:dyDescent="0.35">
      <c r="A55" s="143"/>
      <c r="B55" s="137" t="s">
        <v>18</v>
      </c>
      <c r="C55" s="137">
        <f>'LCIA_AD-a'!C54</f>
        <v>3.6111027769612272</v>
      </c>
      <c r="D55" s="137">
        <f>'LCIA_AD-a'!D54</f>
        <v>1.116041950307709</v>
      </c>
      <c r="E55" s="137">
        <f>'LCIA_AD-a'!E54</f>
        <v>4.8666732630834991E-5</v>
      </c>
      <c r="F55" s="137">
        <f>'LCIA_AD-a'!F54</f>
        <v>1.5040866614748277E-5</v>
      </c>
      <c r="G55" s="137">
        <f>'LCIA_AD-a'!G54</f>
        <v>2.7159126165986591E-17</v>
      </c>
      <c r="H55" s="137">
        <f>'LCIA_AD-a'!H54</f>
        <v>3.9384429899939365E-2</v>
      </c>
      <c r="I55" s="137">
        <f>'LCIA_AD-a'!I54</f>
        <v>1.1164091774138278</v>
      </c>
      <c r="J55" s="137">
        <f>'LCIA_AD-a'!J54</f>
        <v>0.14465944541327941</v>
      </c>
      <c r="K55" s="137">
        <f>'LCIA_AD-a'!K54</f>
        <v>5.9732092169600232E-4</v>
      </c>
      <c r="L55" s="137">
        <f>'LCIA_AD-a'!L54</f>
        <v>2.4810764281290643E-8</v>
      </c>
      <c r="M55" s="137">
        <f>'LCIA_AD-a'!M54</f>
        <v>9.5025968432804083E-7</v>
      </c>
      <c r="N55" s="137">
        <f>'LCIA_AD-a'!N54</f>
        <v>8.8695954394508445E-7</v>
      </c>
      <c r="O55" s="137">
        <f>'LCIA_AD-a'!O54</f>
        <v>6.3949866864703821E-7</v>
      </c>
      <c r="P55" s="137">
        <f>'LCIA_AD-a'!P54</f>
        <v>3.4244674996023721E-10</v>
      </c>
      <c r="Q55" s="137">
        <f>'LCIA_AD-a'!Q54</f>
        <v>5.640495591874525E-9</v>
      </c>
      <c r="R55" s="137">
        <f>'LCIA_AD-a'!R54</f>
        <v>1.2522888650153385</v>
      </c>
      <c r="S55" s="137">
        <f>'LCIA_AD-a'!S54</f>
        <v>0.22236732164114079</v>
      </c>
      <c r="T55" s="137">
        <f>'LCIA_AD-a'!T54</f>
        <v>1.2993103391764373</v>
      </c>
      <c r="U55" s="137">
        <f>'LCIA_AD-a'!U54</f>
        <v>0.1410432154146555</v>
      </c>
      <c r="V55" s="137">
        <f>'LCIA_AD-a'!V54</f>
        <v>4.8995566111538829E-6</v>
      </c>
      <c r="W55" s="137">
        <f>'LCIA_AD-a'!W54</f>
        <v>3.1636932996387812E-6</v>
      </c>
      <c r="X55" s="137">
        <f>'LCIA_AD-a'!X54</f>
        <v>8.7941767587420248E-3</v>
      </c>
      <c r="Y55" s="137">
        <f>'LCIA_AD-a'!Y54</f>
        <v>5.5520031014139023E-10</v>
      </c>
      <c r="Z55" s="137">
        <f>'LCIA_AD-a'!Z54</f>
        <v>4.2239854117750112E-5</v>
      </c>
      <c r="AA55" s="137">
        <f>'LCIA_AD-a'!AA54</f>
        <v>0.30103279985134818</v>
      </c>
      <c r="AB55" s="137">
        <f>'LCIA_AD-a'!AB54</f>
        <v>3.0275729153819333E-8</v>
      </c>
      <c r="AC55" s="137">
        <f>'LCIA_AD-a'!AC54</f>
        <v>0.29460585077001711</v>
      </c>
      <c r="AD55" s="137">
        <f>'LCIA_AD-a'!AD54</f>
        <v>0.17883454948602154</v>
      </c>
      <c r="AE55" s="137">
        <f>'LCIA_AD-a'!AE54</f>
        <v>0.11547480543681553</v>
      </c>
      <c r="AF55" s="137">
        <f>'LCIA_AD-a'!AF54</f>
        <v>4.3393968358153263E-4</v>
      </c>
      <c r="AG55" s="137">
        <f>'LCIA_AD-a'!AG54</f>
        <v>9.8425377317128095</v>
      </c>
      <c r="AH55" s="137">
        <f>'LCIA_AD-a'!AH54</f>
        <v>1.0994280141975609E-4</v>
      </c>
      <c r="AI55" s="137">
        <f>'LCIA_AD-a'!AI54</f>
        <v>1.1931549424189578E-5</v>
      </c>
      <c r="AJ55" s="137">
        <f>'LCIA_AD-a'!AJ54</f>
        <v>1.4573479701655237E-6</v>
      </c>
      <c r="AK55" s="137">
        <f>'LCIA_AD-a'!AK54</f>
        <v>1.367724192572127E-4</v>
      </c>
    </row>
    <row r="56" spans="1:38" x14ac:dyDescent="0.35">
      <c r="A56" s="143"/>
      <c r="B56" s="137" t="s">
        <v>96</v>
      </c>
      <c r="C56" s="137">
        <f>'LCIA_AD-a'!C55</f>
        <v>0.93797856177034611</v>
      </c>
      <c r="D56" s="137">
        <f>'LCIA_AD-a'!D55</f>
        <v>3.5623702451876329</v>
      </c>
      <c r="E56" s="137">
        <f>'LCIA_AD-a'!E55</f>
        <v>1.2641111233490304E-5</v>
      </c>
      <c r="F56" s="137">
        <f>'LCIA_AD-a'!F55</f>
        <v>4.801001102781587E-5</v>
      </c>
      <c r="G56" s="137">
        <f>'LCIA_AD-a'!G55</f>
        <v>0</v>
      </c>
      <c r="H56" s="137">
        <f>'LCIA_AD-a'!H55</f>
        <v>0</v>
      </c>
      <c r="I56" s="137">
        <f>'LCIA_AD-a'!I55</f>
        <v>0</v>
      </c>
      <c r="J56" s="137">
        <f>'LCIA_AD-a'!J55</f>
        <v>0</v>
      </c>
      <c r="K56" s="137">
        <f>'LCIA_AD-a'!K55</f>
        <v>0</v>
      </c>
      <c r="L56" s="137">
        <f>'LCIA_AD-a'!L55</f>
        <v>0</v>
      </c>
      <c r="M56" s="137">
        <f>'LCIA_AD-a'!M55</f>
        <v>0</v>
      </c>
      <c r="N56" s="137">
        <f>'LCIA_AD-a'!N55</f>
        <v>0</v>
      </c>
      <c r="O56" s="137">
        <f>'LCIA_AD-a'!O55</f>
        <v>0</v>
      </c>
      <c r="P56" s="137">
        <f>'LCIA_AD-a'!P55</f>
        <v>0</v>
      </c>
      <c r="Q56" s="137">
        <f>'LCIA_AD-a'!Q55</f>
        <v>0</v>
      </c>
      <c r="R56" s="137">
        <f>'LCIA_AD-a'!R55</f>
        <v>0</v>
      </c>
      <c r="S56" s="137">
        <f>'LCIA_AD-a'!S55</f>
        <v>0</v>
      </c>
      <c r="T56" s="137">
        <f>'LCIA_AD-a'!T55</f>
        <v>0</v>
      </c>
      <c r="U56" s="137">
        <f>'LCIA_AD-a'!U55</f>
        <v>0</v>
      </c>
      <c r="V56" s="137">
        <f>'LCIA_AD-a'!V55</f>
        <v>0</v>
      </c>
      <c r="W56" s="137">
        <f>'LCIA_AD-a'!W55</f>
        <v>0</v>
      </c>
      <c r="X56" s="137">
        <f>'LCIA_AD-a'!X55</f>
        <v>0</v>
      </c>
      <c r="Y56" s="137">
        <f>'LCIA_AD-a'!Y55</f>
        <v>0</v>
      </c>
      <c r="Z56" s="137">
        <f>'LCIA_AD-a'!Z55</f>
        <v>0</v>
      </c>
      <c r="AA56" s="137">
        <f>'LCIA_AD-a'!AA55</f>
        <v>0</v>
      </c>
      <c r="AB56" s="137">
        <f>'LCIA_AD-a'!AB55</f>
        <v>0</v>
      </c>
      <c r="AC56" s="137">
        <f>'LCIA_AD-a'!AC55</f>
        <v>0</v>
      </c>
      <c r="AD56" s="137">
        <f>'LCIA_AD-a'!AD55</f>
        <v>0</v>
      </c>
      <c r="AE56" s="137">
        <f>'LCIA_AD-a'!AE55</f>
        <v>0</v>
      </c>
      <c r="AF56" s="137">
        <f>'LCIA_AD-a'!AF55</f>
        <v>0</v>
      </c>
      <c r="AG56" s="137">
        <f>'LCIA_AD-a'!AG55</f>
        <v>4.5003488069579793</v>
      </c>
      <c r="AH56" s="137">
        <f>'LCIA_AD-a'!AH55</f>
        <v>6.0651122260989241E-5</v>
      </c>
      <c r="AI56" s="137">
        <f>'LCIA_AD-a'!AI55</f>
        <v>0</v>
      </c>
      <c r="AJ56" s="137">
        <f>'LCIA_AD-a'!AJ55</f>
        <v>0</v>
      </c>
      <c r="AK56" s="137">
        <f>'LCIA_AD-a'!AK55</f>
        <v>0</v>
      </c>
    </row>
    <row r="57" spans="1:38" x14ac:dyDescent="0.35">
      <c r="A57" s="143" t="s">
        <v>476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</row>
    <row r="58" spans="1:38" x14ac:dyDescent="0.35">
      <c r="A58" s="143"/>
      <c r="B58" s="137" t="s">
        <v>96</v>
      </c>
      <c r="C58" s="139">
        <f>'LCI_AD-e'!$E17*'IW+_end'!C12</f>
        <v>3.5567414908204329E-3</v>
      </c>
      <c r="D58" s="139">
        <f>'LCI_AD-e'!$E17*'IW+_end'!D12</f>
        <v>1.3508229903260017E-2</v>
      </c>
      <c r="E58" s="139">
        <f>'LCI_AD-e'!$E17*'IW+_end'!E12</f>
        <v>4.7934107075295262E-8</v>
      </c>
      <c r="F58" s="139">
        <f>'LCI_AD-e'!$E17*'IW+_end'!F12</f>
        <v>1.820502143194908E-7</v>
      </c>
      <c r="G58" s="139">
        <f>'LCI_AD-e'!$E17*'IW+_end'!G12</f>
        <v>0</v>
      </c>
      <c r="H58" s="139">
        <f>'LCI_AD-e'!$E17*'IW+_end'!H12</f>
        <v>0</v>
      </c>
      <c r="I58" s="139">
        <f>'LCI_AD-e'!$E17*'IW+_end'!I12</f>
        <v>0</v>
      </c>
      <c r="J58" s="139">
        <f>'LCI_AD-e'!$E17*'IW+_end'!J12</f>
        <v>0</v>
      </c>
      <c r="K58" s="139">
        <f>'LCI_AD-e'!$E17*'IW+_end'!K12</f>
        <v>0</v>
      </c>
      <c r="L58" s="139">
        <f>'LCI_AD-e'!$E17*'IW+_end'!L12</f>
        <v>0</v>
      </c>
      <c r="M58" s="139">
        <f>'LCI_AD-e'!$E17*'IW+_end'!M12</f>
        <v>0</v>
      </c>
      <c r="N58" s="139">
        <f>'LCI_AD-e'!$E17*'IW+_end'!N12</f>
        <v>0</v>
      </c>
      <c r="O58" s="139">
        <f>'LCI_AD-e'!$E17*'IW+_end'!O12</f>
        <v>0</v>
      </c>
      <c r="P58" s="139">
        <f>'LCI_AD-e'!$E17*'IW+_end'!P12</f>
        <v>0</v>
      </c>
      <c r="Q58" s="139">
        <f>'LCI_AD-e'!$E17*'IW+_end'!Q12</f>
        <v>0</v>
      </c>
      <c r="R58" s="139">
        <f>'LCI_AD-e'!$E17*'IW+_end'!R12</f>
        <v>0</v>
      </c>
      <c r="S58" s="139">
        <f>'LCI_AD-e'!$E17*'IW+_end'!S12</f>
        <v>0</v>
      </c>
      <c r="T58" s="139">
        <f>'LCI_AD-e'!$E17*'IW+_end'!T12</f>
        <v>0</v>
      </c>
      <c r="U58" s="139">
        <f>'LCI_AD-e'!$E17*'IW+_end'!U12</f>
        <v>0</v>
      </c>
      <c r="V58" s="139">
        <f>'LCI_AD-e'!$E17*'IW+_end'!V12</f>
        <v>0</v>
      </c>
      <c r="W58" s="139">
        <f>'LCI_AD-e'!$E17*'IW+_end'!W12</f>
        <v>0</v>
      </c>
      <c r="X58" s="139">
        <f>'LCI_AD-e'!$E17*'IW+_end'!X12</f>
        <v>0</v>
      </c>
      <c r="Y58" s="139">
        <f>'LCI_AD-e'!$E17*'IW+_end'!Y12</f>
        <v>0</v>
      </c>
      <c r="Z58" s="139">
        <f>'LCI_AD-e'!$E17*'IW+_end'!Z12</f>
        <v>0</v>
      </c>
      <c r="AA58" s="139">
        <f>'LCI_AD-e'!$E17*'IW+_end'!AA12</f>
        <v>0</v>
      </c>
      <c r="AB58" s="139">
        <f>'LCI_AD-e'!$E17*'IW+_end'!AB12</f>
        <v>0</v>
      </c>
      <c r="AC58" s="139">
        <f>'LCI_AD-e'!$E17*'IW+_end'!AC12</f>
        <v>0</v>
      </c>
      <c r="AD58" s="139">
        <f>'LCI_AD-e'!$E17*'IW+_end'!AD12</f>
        <v>0</v>
      </c>
      <c r="AE58" s="139">
        <f>'LCI_AD-e'!$E17*'IW+_end'!AE12</f>
        <v>0</v>
      </c>
      <c r="AF58" s="139">
        <f>'LCI_AD-e'!$E17*'IW+_end'!AF12</f>
        <v>0</v>
      </c>
      <c r="AG58" s="139">
        <f>'LCI_AD-e'!$E17*'IW+_end'!AG12</f>
        <v>1.7064971394080451E-2</v>
      </c>
      <c r="AH58" s="139">
        <f>'LCI_AD-e'!$E17*'IW+_end'!AH12</f>
        <v>2.2998432139358426E-7</v>
      </c>
      <c r="AI58" s="139">
        <f>'LCI_AD-e'!$E17*'IW+_end'!AI12</f>
        <v>0</v>
      </c>
      <c r="AJ58" s="139">
        <f>'LCI_AD-e'!$E17*'IW+_end'!AJ12</f>
        <v>0</v>
      </c>
      <c r="AK58" s="139">
        <f>'LCI_AD-e'!$E17*'IW+_end'!AK12</f>
        <v>0</v>
      </c>
    </row>
    <row r="59" spans="1:38" x14ac:dyDescent="0.35">
      <c r="A59" s="143"/>
      <c r="B59" s="137" t="s">
        <v>111</v>
      </c>
      <c r="C59" s="139">
        <f>'LCI_AD-e'!$E18*'IW+_end'!C20</f>
        <v>0.29152739048630238</v>
      </c>
      <c r="D59" s="139">
        <f>'LCI_AD-e'!$E18*'IW+_end'!D20</f>
        <v>0.21628026367883987</v>
      </c>
      <c r="E59" s="139">
        <f>'LCI_AD-e'!$E18*'IW+_end'!E20</f>
        <v>3.9289066093269601E-6</v>
      </c>
      <c r="F59" s="139">
        <f>'LCI_AD-e'!$E18*'IW+_end'!F20</f>
        <v>2.9148031545759594E-6</v>
      </c>
      <c r="G59" s="139">
        <f>'LCI_AD-e'!$E18*'IW+_end'!G20</f>
        <v>0</v>
      </c>
      <c r="H59" s="139">
        <f>'LCI_AD-e'!$E18*'IW+_end'!H20</f>
        <v>0</v>
      </c>
      <c r="I59" s="139">
        <f>'LCI_AD-e'!$E18*'IW+_end'!I20</f>
        <v>0</v>
      </c>
      <c r="J59" s="139">
        <f>'LCI_AD-e'!$E18*'IW+_end'!J20</f>
        <v>0</v>
      </c>
      <c r="K59" s="139">
        <f>'LCI_AD-e'!$E18*'IW+_end'!K20</f>
        <v>0</v>
      </c>
      <c r="L59" s="139">
        <f>'LCI_AD-e'!$E18*'IW+_end'!L20</f>
        <v>0</v>
      </c>
      <c r="M59" s="139">
        <f>'LCI_AD-e'!$E18*'IW+_end'!M20</f>
        <v>0</v>
      </c>
      <c r="N59" s="139">
        <f>'LCI_AD-e'!$E18*'IW+_end'!N20</f>
        <v>0</v>
      </c>
      <c r="O59" s="139">
        <f>'LCI_AD-e'!$E18*'IW+_end'!O20</f>
        <v>0</v>
      </c>
      <c r="P59" s="139">
        <f>'LCI_AD-e'!$E18*'IW+_end'!P20</f>
        <v>0</v>
      </c>
      <c r="Q59" s="139">
        <f>'LCI_AD-e'!$E18*'IW+_end'!Q20</f>
        <v>0</v>
      </c>
      <c r="R59" s="139">
        <f>'LCI_AD-e'!$E18*'IW+_end'!R20</f>
        <v>0</v>
      </c>
      <c r="S59" s="139">
        <f>'LCI_AD-e'!$E18*'IW+_end'!S20</f>
        <v>0</v>
      </c>
      <c r="T59" s="139">
        <f>'LCI_AD-e'!$E18*'IW+_end'!T20</f>
        <v>0</v>
      </c>
      <c r="U59" s="139">
        <f>'LCI_AD-e'!$E18*'IW+_end'!U20</f>
        <v>0</v>
      </c>
      <c r="V59" s="139">
        <f>'LCI_AD-e'!$E18*'IW+_end'!V20</f>
        <v>0</v>
      </c>
      <c r="W59" s="139">
        <f>'LCI_AD-e'!$E18*'IW+_end'!W20</f>
        <v>0</v>
      </c>
      <c r="X59" s="139">
        <f>'LCI_AD-e'!$E18*'IW+_end'!X20</f>
        <v>0</v>
      </c>
      <c r="Y59" s="139">
        <f>'LCI_AD-e'!$E18*'IW+_end'!Y20</f>
        <v>0</v>
      </c>
      <c r="Z59" s="139">
        <f>'LCI_AD-e'!$E18*'IW+_end'!Z20</f>
        <v>0</v>
      </c>
      <c r="AA59" s="139">
        <f>'LCI_AD-e'!$E18*'IW+_end'!AA20</f>
        <v>0</v>
      </c>
      <c r="AB59" s="139">
        <f>'LCI_AD-e'!$E18*'IW+_end'!AB20</f>
        <v>0</v>
      </c>
      <c r="AC59" s="139">
        <f>'LCI_AD-e'!$E18*'IW+_end'!AC20</f>
        <v>0</v>
      </c>
      <c r="AD59" s="139">
        <f>'LCI_AD-e'!$E18*'IW+_end'!AD20</f>
        <v>0</v>
      </c>
      <c r="AE59" s="139">
        <f>'LCI_AD-e'!$E18*'IW+_end'!AE20</f>
        <v>0</v>
      </c>
      <c r="AF59" s="139">
        <f>'LCI_AD-e'!$E18*'IW+_end'!AF20</f>
        <v>0</v>
      </c>
      <c r="AG59" s="139">
        <f>'LCI_AD-e'!$E18*'IW+_end'!AG20</f>
        <v>0.50780765416514217</v>
      </c>
      <c r="AH59" s="139">
        <f>'LCI_AD-e'!$E18*'IW+_end'!AH20</f>
        <v>6.8437097638770181E-6</v>
      </c>
      <c r="AI59" s="139">
        <f>'LCI_AD-e'!$E18*'IW+_end'!AI20</f>
        <v>0</v>
      </c>
      <c r="AJ59" s="139">
        <f>'LCI_AD-e'!$E18*'IW+_end'!AJ20</f>
        <v>0</v>
      </c>
      <c r="AK59" s="139">
        <f>'LCI_AD-e'!$E18*'IW+_end'!AK20</f>
        <v>0</v>
      </c>
    </row>
    <row r="60" spans="1:38" x14ac:dyDescent="0.35">
      <c r="A60" s="143"/>
      <c r="B60" s="137" t="s">
        <v>142</v>
      </c>
      <c r="C60" s="139">
        <f>'LCI_AD-e'!$E19*'IW+_end'!C19</f>
        <v>0</v>
      </c>
      <c r="D60" s="139">
        <f>'LCI_AD-e'!$E19*'IW+_end'!D19</f>
        <v>0</v>
      </c>
      <c r="E60" s="139">
        <f>'LCI_AD-e'!$E19*'IW+_end'!E19</f>
        <v>0</v>
      </c>
      <c r="F60" s="139">
        <f>'LCI_AD-e'!$E19*'IW+_end'!F19</f>
        <v>0</v>
      </c>
      <c r="G60" s="139">
        <f>'LCI_AD-e'!$E19*'IW+_end'!G19</f>
        <v>0</v>
      </c>
      <c r="H60" s="139">
        <f>'LCI_AD-e'!$E19*'IW+_end'!H19</f>
        <v>9.5156647565601674E-2</v>
      </c>
      <c r="I60" s="139">
        <f>'LCI_AD-e'!$E19*'IW+_end'!I19</f>
        <v>0</v>
      </c>
      <c r="J60" s="139">
        <f>'LCI_AD-e'!$E19*'IW+_end'!J19</f>
        <v>0</v>
      </c>
      <c r="K60" s="139">
        <f>'LCI_AD-e'!$E19*'IW+_end'!K19</f>
        <v>0</v>
      </c>
      <c r="L60" s="139">
        <f>'LCI_AD-e'!$E19*'IW+_end'!L19</f>
        <v>0</v>
      </c>
      <c r="M60" s="139">
        <f>'LCI_AD-e'!$E19*'IW+_end'!M19</f>
        <v>0</v>
      </c>
      <c r="N60" s="139">
        <f>'LCI_AD-e'!$E19*'IW+_end'!N19</f>
        <v>0</v>
      </c>
      <c r="O60" s="139">
        <f>'LCI_AD-e'!$E19*'IW+_end'!O19</f>
        <v>0</v>
      </c>
      <c r="P60" s="139">
        <f>'LCI_AD-e'!$E19*'IW+_end'!P19</f>
        <v>0</v>
      </c>
      <c r="Q60" s="139">
        <f>'LCI_AD-e'!$E19*'IW+_end'!Q19</f>
        <v>0</v>
      </c>
      <c r="R60" s="139">
        <f>'LCI_AD-e'!$E19*'IW+_end'!R19</f>
        <v>0</v>
      </c>
      <c r="S60" s="139">
        <f>'LCI_AD-e'!$E19*'IW+_end'!S19</f>
        <v>0</v>
      </c>
      <c r="T60" s="139">
        <f>'LCI_AD-e'!$E19*'IW+_end'!T19</f>
        <v>0</v>
      </c>
      <c r="U60" s="139">
        <f>'LCI_AD-e'!$E19*'IW+_end'!U19</f>
        <v>0</v>
      </c>
      <c r="V60" s="139">
        <f>'LCI_AD-e'!$E19*'IW+_end'!V19</f>
        <v>0</v>
      </c>
      <c r="W60" s="139">
        <f>'LCI_AD-e'!$E19*'IW+_end'!W19</f>
        <v>0</v>
      </c>
      <c r="X60" s="139">
        <f>'LCI_AD-e'!$E19*'IW+_end'!X19</f>
        <v>0</v>
      </c>
      <c r="Y60" s="139">
        <f>'LCI_AD-e'!$E19*'IW+_end'!Y19</f>
        <v>0</v>
      </c>
      <c r="Z60" s="139">
        <f>'LCI_AD-e'!$E19*'IW+_end'!Z19</f>
        <v>3.693628644820743E-6</v>
      </c>
      <c r="AA60" s="139">
        <f>'LCI_AD-e'!$E19*'IW+_end'!AA19</f>
        <v>0</v>
      </c>
      <c r="AB60" s="139">
        <f>'LCI_AD-e'!$E19*'IW+_end'!AB19</f>
        <v>0</v>
      </c>
      <c r="AC60" s="139">
        <f>'LCI_AD-e'!$E19*'IW+_end'!AC19</f>
        <v>0.56700878449699921</v>
      </c>
      <c r="AD60" s="139">
        <f>'LCI_AD-e'!$E19*'IW+_end'!AD19</f>
        <v>0</v>
      </c>
      <c r="AE60" s="139">
        <f>'LCI_AD-e'!$E19*'IW+_end'!AE19</f>
        <v>0</v>
      </c>
      <c r="AF60" s="139">
        <f>'LCI_AD-e'!$E19*'IW+_end'!AF19</f>
        <v>0</v>
      </c>
      <c r="AG60" s="139">
        <f>'LCI_AD-e'!$E19*'IW+_end'!AG19</f>
        <v>0.66216543206260081</v>
      </c>
      <c r="AH60" s="139">
        <f>'LCI_AD-e'!$E19*'IW+_end'!AH19</f>
        <v>3.6936286448042445E-6</v>
      </c>
      <c r="AI60" s="139">
        <f>'LCI_AD-e'!$E19*'IW+_end'!AI19</f>
        <v>0</v>
      </c>
      <c r="AJ60" s="139">
        <f>'LCI_AD-e'!$E19*'IW+_end'!AJ19</f>
        <v>0</v>
      </c>
      <c r="AK60" s="139">
        <f>'LCI_AD-e'!$E19*'IW+_end'!AK19</f>
        <v>0</v>
      </c>
    </row>
    <row r="61" spans="1:38" x14ac:dyDescent="0.35">
      <c r="A61" s="143"/>
      <c r="B61" s="137" t="s">
        <v>143</v>
      </c>
      <c r="C61" s="139">
        <f>'LCI_AD-e'!$E20*'IW+_end'!C16</f>
        <v>0</v>
      </c>
      <c r="D61" s="139">
        <f>'LCI_AD-e'!$E20*'IW+_end'!D16</f>
        <v>0</v>
      </c>
      <c r="E61" s="139">
        <f>'LCI_AD-e'!$E20*'IW+_end'!E16</f>
        <v>0</v>
      </c>
      <c r="F61" s="139">
        <f>'LCI_AD-e'!$E20*'IW+_end'!F16</f>
        <v>0</v>
      </c>
      <c r="G61" s="139">
        <f>'LCI_AD-e'!$E20*'IW+_end'!G16</f>
        <v>0</v>
      </c>
      <c r="H61" s="139">
        <f>'LCI_AD-e'!$E20*'IW+_end'!H16</f>
        <v>0</v>
      </c>
      <c r="I61" s="139">
        <f>'LCI_AD-e'!$E20*'IW+_end'!I16</f>
        <v>0</v>
      </c>
      <c r="J61" s="139">
        <f>'LCI_AD-e'!$E20*'IW+_end'!J16</f>
        <v>0</v>
      </c>
      <c r="K61" s="139">
        <f>'LCI_AD-e'!$E20*'IW+_end'!K16</f>
        <v>0</v>
      </c>
      <c r="L61" s="139">
        <f>'LCI_AD-e'!$E20*'IW+_end'!L16</f>
        <v>0</v>
      </c>
      <c r="M61" s="139">
        <f>'LCI_AD-e'!$E20*'IW+_end'!M16</f>
        <v>0</v>
      </c>
      <c r="N61" s="139">
        <f>'LCI_AD-e'!$E20*'IW+_end'!N16</f>
        <v>0</v>
      </c>
      <c r="O61" s="139">
        <f>'LCI_AD-e'!$E20*'IW+_end'!O16</f>
        <v>0</v>
      </c>
      <c r="P61" s="139">
        <f>'LCI_AD-e'!$E20*'IW+_end'!P16</f>
        <v>0</v>
      </c>
      <c r="Q61" s="139">
        <f>'LCI_AD-e'!$E20*'IW+_end'!Q16</f>
        <v>0</v>
      </c>
      <c r="R61" s="139">
        <f>'LCI_AD-e'!$E20*'IW+_end'!R16</f>
        <v>0</v>
      </c>
      <c r="S61" s="139">
        <f>'LCI_AD-e'!$E20*'IW+_end'!S16</f>
        <v>0</v>
      </c>
      <c r="T61" s="139">
        <f>'LCI_AD-e'!$E20*'IW+_end'!T16</f>
        <v>0</v>
      </c>
      <c r="U61" s="139">
        <f>'LCI_AD-e'!$E20*'IW+_end'!U16</f>
        <v>0</v>
      </c>
      <c r="V61" s="139">
        <f>'LCI_AD-e'!$E20*'IW+_end'!V16</f>
        <v>0</v>
      </c>
      <c r="W61" s="139">
        <f>'LCI_AD-e'!$E20*'IW+_end'!W16</f>
        <v>0</v>
      </c>
      <c r="X61" s="139">
        <f>'LCI_AD-e'!$E20*'IW+_end'!X16</f>
        <v>0</v>
      </c>
      <c r="Y61" s="139">
        <f>'LCI_AD-e'!$E20*'IW+_end'!Y16</f>
        <v>0</v>
      </c>
      <c r="Z61" s="139">
        <f>'LCI_AD-e'!$E20*'IW+_end'!Z16</f>
        <v>0</v>
      </c>
      <c r="AA61" s="139">
        <f>'LCI_AD-e'!$E20*'IW+_end'!AA16</f>
        <v>0</v>
      </c>
      <c r="AB61" s="139">
        <f>'LCI_AD-e'!$E20*'IW+_end'!AB16</f>
        <v>0</v>
      </c>
      <c r="AC61" s="139">
        <f>'LCI_AD-e'!$E20*'IW+_end'!AC16</f>
        <v>0</v>
      </c>
      <c r="AD61" s="139">
        <f>'LCI_AD-e'!$E20*'IW+_end'!AD16</f>
        <v>0</v>
      </c>
      <c r="AE61" s="139">
        <f>'LCI_AD-e'!$E20*'IW+_end'!AE16</f>
        <v>0</v>
      </c>
      <c r="AF61" s="139">
        <f>'LCI_AD-e'!$E20*'IW+_end'!AF16</f>
        <v>0</v>
      </c>
      <c r="AG61" s="139">
        <f>'LCI_AD-e'!$E20*'IW+_end'!AG16</f>
        <v>0</v>
      </c>
      <c r="AH61" s="139">
        <f>'LCI_AD-e'!$E20*'IW+_end'!AH16</f>
        <v>0</v>
      </c>
      <c r="AI61" s="139">
        <f>'LCI_AD-e'!$E20*'IW+_end'!AI16</f>
        <v>0</v>
      </c>
      <c r="AJ61" s="139">
        <f>'LCI_AD-e'!$E20*'IW+_end'!AJ16</f>
        <v>0</v>
      </c>
      <c r="AK61" s="139">
        <f>'LCI_AD-e'!$E20*'IW+_end'!AK16</f>
        <v>0</v>
      </c>
    </row>
    <row r="62" spans="1:38" x14ac:dyDescent="0.35">
      <c r="A62" s="143"/>
      <c r="B62" s="137" t="s">
        <v>144</v>
      </c>
      <c r="C62" s="139">
        <f>'LCI_AD-e'!$E21*'IW+_end'!C22</f>
        <v>0</v>
      </c>
      <c r="D62" s="139">
        <f>'LCI_AD-e'!$E21*'IW+_end'!D22</f>
        <v>0</v>
      </c>
      <c r="E62" s="139">
        <f>'LCI_AD-e'!$E21*'IW+_end'!E22</f>
        <v>0</v>
      </c>
      <c r="F62" s="139">
        <f>'LCI_AD-e'!$E21*'IW+_end'!F22</f>
        <v>0</v>
      </c>
      <c r="G62" s="139">
        <f>'LCI_AD-e'!$E21*'IW+_end'!G22</f>
        <v>0</v>
      </c>
      <c r="H62" s="139">
        <f>'LCI_AD-e'!$E21*'IW+_end'!H22</f>
        <v>0</v>
      </c>
      <c r="I62" s="139">
        <f>'LCI_AD-e'!$E21*'IW+_end'!I22</f>
        <v>0</v>
      </c>
      <c r="J62" s="139">
        <f>'LCI_AD-e'!$E21*'IW+_end'!J22</f>
        <v>0</v>
      </c>
      <c r="K62" s="139">
        <f>'LCI_AD-e'!$E21*'IW+_end'!K22</f>
        <v>0</v>
      </c>
      <c r="L62" s="139">
        <f>'LCI_AD-e'!$E21*'IW+_end'!L22</f>
        <v>0</v>
      </c>
      <c r="M62" s="139">
        <f>'LCI_AD-e'!$E21*'IW+_end'!M22</f>
        <v>0</v>
      </c>
      <c r="N62" s="139">
        <f>'LCI_AD-e'!$E21*'IW+_end'!N22</f>
        <v>0</v>
      </c>
      <c r="O62" s="139">
        <f>'LCI_AD-e'!$E21*'IW+_end'!O22</f>
        <v>0</v>
      </c>
      <c r="P62" s="139">
        <f>'LCI_AD-e'!$E21*'IW+_end'!P22</f>
        <v>0</v>
      </c>
      <c r="Q62" s="139">
        <f>'LCI_AD-e'!$E21*'IW+_end'!Q22</f>
        <v>0</v>
      </c>
      <c r="R62" s="139">
        <f>'LCI_AD-e'!$E21*'IW+_end'!R22</f>
        <v>0</v>
      </c>
      <c r="S62" s="139">
        <f>'LCI_AD-e'!$E21*'IW+_end'!S22</f>
        <v>0</v>
      </c>
      <c r="T62" s="139">
        <f>'LCI_AD-e'!$E21*'IW+_end'!T22</f>
        <v>0</v>
      </c>
      <c r="U62" s="139">
        <f>'LCI_AD-e'!$E21*'IW+_end'!U22</f>
        <v>0</v>
      </c>
      <c r="V62" s="139">
        <f>'LCI_AD-e'!$E21*'IW+_end'!V22</f>
        <v>0</v>
      </c>
      <c r="W62" s="139">
        <f>'LCI_AD-e'!$E21*'IW+_end'!W22</f>
        <v>0</v>
      </c>
      <c r="X62" s="139">
        <f>'LCI_AD-e'!$E21*'IW+_end'!X22</f>
        <v>0</v>
      </c>
      <c r="Y62" s="139">
        <f>'LCI_AD-e'!$E21*'IW+_end'!Y22</f>
        <v>0</v>
      </c>
      <c r="Z62" s="139">
        <f>'LCI_AD-e'!$E21*'IW+_end'!Z22</f>
        <v>3.9886858284203065E-5</v>
      </c>
      <c r="AA62" s="139">
        <f>'LCI_AD-e'!$E21*'IW+_end'!AA22</f>
        <v>0</v>
      </c>
      <c r="AB62" s="139">
        <f>'LCI_AD-e'!$E21*'IW+_end'!AB22</f>
        <v>0</v>
      </c>
      <c r="AC62" s="139">
        <f>'LCI_AD-e'!$E21*'IW+_end'!AC22</f>
        <v>0</v>
      </c>
      <c r="AD62" s="139">
        <f>'LCI_AD-e'!$E21*'IW+_end'!AD22</f>
        <v>0</v>
      </c>
      <c r="AE62" s="139">
        <f>'LCI_AD-e'!$E21*'IW+_end'!AE22</f>
        <v>0</v>
      </c>
      <c r="AF62" s="139">
        <f>'LCI_AD-e'!$E21*'IW+_end'!AF22</f>
        <v>0</v>
      </c>
      <c r="AG62" s="139">
        <f>'LCI_AD-e'!$E21*'IW+_end'!AG22</f>
        <v>0</v>
      </c>
      <c r="AH62" s="139">
        <f>'LCI_AD-e'!$E21*'IW+_end'!AH22</f>
        <v>3.9886858284203065E-5</v>
      </c>
      <c r="AI62" s="139">
        <f>'LCI_AD-e'!$E21*'IW+_end'!AI22</f>
        <v>0</v>
      </c>
      <c r="AJ62" s="139">
        <f>'LCI_AD-e'!$E21*'IW+_end'!AJ22</f>
        <v>0</v>
      </c>
      <c r="AK62" s="139">
        <f>'LCI_AD-e'!$E21*'IW+_end'!AK22</f>
        <v>0</v>
      </c>
      <c r="AL62" s="5"/>
    </row>
    <row r="63" spans="1:38" x14ac:dyDescent="0.35">
      <c r="A63" s="143"/>
      <c r="B63" s="137" t="s">
        <v>124</v>
      </c>
      <c r="C63" s="139">
        <f>'LCI_AD-e'!$E22*'IW+_end'!C13</f>
        <v>0</v>
      </c>
      <c r="D63" s="139">
        <f>'LCI_AD-e'!$E22*'IW+_end'!D13</f>
        <v>0</v>
      </c>
      <c r="E63" s="139">
        <f>'LCI_AD-e'!$E22*'IW+_end'!E13</f>
        <v>0</v>
      </c>
      <c r="F63" s="139">
        <f>'LCI_AD-e'!$E22*'IW+_end'!F13</f>
        <v>0</v>
      </c>
      <c r="G63" s="139">
        <f>'LCI_AD-e'!$E22*'IW+_end'!G13</f>
        <v>0</v>
      </c>
      <c r="H63" s="139">
        <f>'LCI_AD-e'!$E22*'IW+_end'!H13</f>
        <v>0.30639593521383979</v>
      </c>
      <c r="I63" s="139">
        <f>'LCI_AD-e'!$E22*'IW+_end'!I13</f>
        <v>0</v>
      </c>
      <c r="J63" s="139">
        <f>'LCI_AD-e'!$E22*'IW+_end'!J13</f>
        <v>0</v>
      </c>
      <c r="K63" s="139">
        <f>'LCI_AD-e'!$E22*'IW+_end'!K13</f>
        <v>0</v>
      </c>
      <c r="L63" s="139">
        <f>'LCI_AD-e'!$E22*'IW+_end'!L13</f>
        <v>0</v>
      </c>
      <c r="M63" s="139">
        <f>'LCI_AD-e'!$E22*'IW+_end'!M13</f>
        <v>0</v>
      </c>
      <c r="N63" s="139">
        <f>'LCI_AD-e'!$E22*'IW+_end'!N13</f>
        <v>0</v>
      </c>
      <c r="O63" s="139">
        <f>'LCI_AD-e'!$E22*'IW+_end'!O13</f>
        <v>0</v>
      </c>
      <c r="P63" s="139">
        <f>'LCI_AD-e'!$E22*'IW+_end'!P13</f>
        <v>0</v>
      </c>
      <c r="Q63" s="139">
        <f>'LCI_AD-e'!$E22*'IW+_end'!Q13</f>
        <v>0</v>
      </c>
      <c r="R63" s="139">
        <f>'LCI_AD-e'!$E22*'IW+_end'!R13</f>
        <v>0</v>
      </c>
      <c r="S63" s="139">
        <f>'LCI_AD-e'!$E22*'IW+_end'!S13</f>
        <v>0</v>
      </c>
      <c r="T63" s="139">
        <f>'LCI_AD-e'!$E22*'IW+_end'!T13</f>
        <v>0</v>
      </c>
      <c r="U63" s="139">
        <f>'LCI_AD-e'!$E22*'IW+_end'!U13</f>
        <v>0</v>
      </c>
      <c r="V63" s="139">
        <f>'LCI_AD-e'!$E22*'IW+_end'!V13</f>
        <v>0</v>
      </c>
      <c r="W63" s="139">
        <f>'LCI_AD-e'!$E22*'IW+_end'!W13</f>
        <v>0</v>
      </c>
      <c r="X63" s="139">
        <f>'LCI_AD-e'!$E22*'IW+_end'!X13</f>
        <v>0.10094506947741702</v>
      </c>
      <c r="Y63" s="139">
        <f>'LCI_AD-e'!$E22*'IW+_end'!Y13</f>
        <v>0</v>
      </c>
      <c r="Z63" s="139">
        <f>'LCI_AD-e'!$E22*'IW+_end'!Z13</f>
        <v>7.2010616154719623E-6</v>
      </c>
      <c r="AA63" s="139">
        <f>'LCI_AD-e'!$E22*'IW+_end'!AA13</f>
        <v>3.341631520308797</v>
      </c>
      <c r="AB63" s="139">
        <f>'LCI_AD-e'!$E22*'IW+_end'!AB13</f>
        <v>3.4887669236836335E-7</v>
      </c>
      <c r="AC63" s="139">
        <f>'LCI_AD-e'!$E22*'IW+_end'!AC13</f>
        <v>2.5127048968669792</v>
      </c>
      <c r="AD63" s="139">
        <f>'LCI_AD-e'!$E22*'IW+_end'!AD13</f>
        <v>0</v>
      </c>
      <c r="AE63" s="139">
        <f>'LCI_AD-e'!$E22*'IW+_end'!AE13</f>
        <v>0</v>
      </c>
      <c r="AF63" s="139">
        <f>'LCI_AD-e'!$E22*'IW+_end'!AF13</f>
        <v>0</v>
      </c>
      <c r="AG63" s="139">
        <f>'LCI_AD-e'!$E22*'IW+_end'!AG13</f>
        <v>6.2616774218670335</v>
      </c>
      <c r="AH63" s="139">
        <f>'LCI_AD-e'!$E22*'IW+_end'!AH13</f>
        <v>7.5499383087295122E-6</v>
      </c>
      <c r="AI63" s="139">
        <f>'LCI_AD-e'!$E22*'IW+_end'!AI13</f>
        <v>0</v>
      </c>
      <c r="AJ63" s="139">
        <f>'LCI_AD-e'!$E22*'IW+_end'!AJ13</f>
        <v>0</v>
      </c>
      <c r="AK63" s="139">
        <f>'LCI_AD-e'!$E22*'IW+_end'!AK13</f>
        <v>0</v>
      </c>
    </row>
    <row r="64" spans="1:38" x14ac:dyDescent="0.35">
      <c r="A64" s="143"/>
      <c r="B64" s="137" t="s">
        <v>110</v>
      </c>
      <c r="C64" s="139">
        <f>'LCI_AD-e'!$E23*'IW+_end'!C18</f>
        <v>0</v>
      </c>
      <c r="D64" s="139">
        <f>'LCI_AD-e'!$E23*'IW+_end'!D18</f>
        <v>0</v>
      </c>
      <c r="E64" s="139">
        <f>'LCI_AD-e'!$E23*'IW+_end'!E18</f>
        <v>0</v>
      </c>
      <c r="F64" s="139">
        <f>'LCI_AD-e'!$E23*'IW+_end'!F18</f>
        <v>0</v>
      </c>
      <c r="G64" s="139">
        <f>'LCI_AD-e'!$E23*'IW+_end'!G18</f>
        <v>0</v>
      </c>
      <c r="H64" s="139">
        <f>'LCI_AD-e'!$E23*'IW+_end'!H18</f>
        <v>2.2364720567461933E-2</v>
      </c>
      <c r="I64" s="139">
        <f>'LCI_AD-e'!$E23*'IW+_end'!I18</f>
        <v>0</v>
      </c>
      <c r="J64" s="139">
        <f>'LCI_AD-e'!$E23*'IW+_end'!J18</f>
        <v>0</v>
      </c>
      <c r="K64" s="139">
        <f>'LCI_AD-e'!$E23*'IW+_end'!K18</f>
        <v>0</v>
      </c>
      <c r="L64" s="139">
        <f>'LCI_AD-e'!$E23*'IW+_end'!L18</f>
        <v>0</v>
      </c>
      <c r="M64" s="139">
        <f>'LCI_AD-e'!$E23*'IW+_end'!M18</f>
        <v>0</v>
      </c>
      <c r="N64" s="139">
        <f>'LCI_AD-e'!$E23*'IW+_end'!N18</f>
        <v>0</v>
      </c>
      <c r="O64" s="139">
        <f>'LCI_AD-e'!$E23*'IW+_end'!O18</f>
        <v>0</v>
      </c>
      <c r="P64" s="139">
        <f>'LCI_AD-e'!$E23*'IW+_end'!P18</f>
        <v>0</v>
      </c>
      <c r="Q64" s="139">
        <f>'LCI_AD-e'!$E23*'IW+_end'!Q18</f>
        <v>0</v>
      </c>
      <c r="R64" s="139">
        <f>'LCI_AD-e'!$E23*'IW+_end'!R18</f>
        <v>0</v>
      </c>
      <c r="S64" s="139">
        <f>'LCI_AD-e'!$E23*'IW+_end'!S18</f>
        <v>0</v>
      </c>
      <c r="T64" s="139">
        <f>'LCI_AD-e'!$E23*'IW+_end'!T18</f>
        <v>0</v>
      </c>
      <c r="U64" s="139">
        <f>'LCI_AD-e'!$E23*'IW+_end'!U18</f>
        <v>0</v>
      </c>
      <c r="V64" s="139">
        <f>'LCI_AD-e'!$E23*'IW+_end'!V18</f>
        <v>0</v>
      </c>
      <c r="W64" s="139">
        <f>'LCI_AD-e'!$E23*'IW+_end'!W18</f>
        <v>0</v>
      </c>
      <c r="X64" s="139">
        <f>'LCI_AD-e'!$E23*'IW+_end'!X18</f>
        <v>8.5857459516006079E-3</v>
      </c>
      <c r="Y64" s="139">
        <f>'LCI_AD-e'!$E23*'IW+_end'!Y18</f>
        <v>0</v>
      </c>
      <c r="Z64" s="139">
        <f>'LCI_AD-e'!$E23*'IW+_end'!Z18</f>
        <v>2.1483541039720615E-6</v>
      </c>
      <c r="AA64" s="139">
        <f>'LCI_AD-e'!$E23*'IW+_end'!AA18</f>
        <v>0</v>
      </c>
      <c r="AB64" s="139">
        <f>'LCI_AD-e'!$E23*'IW+_end'!AB18</f>
        <v>0</v>
      </c>
      <c r="AC64" s="139">
        <f>'LCI_AD-e'!$E23*'IW+_end'!AC18</f>
        <v>0.28834095539643861</v>
      </c>
      <c r="AD64" s="139">
        <f>'LCI_AD-e'!$E23*'IW+_end'!AD18</f>
        <v>0</v>
      </c>
      <c r="AE64" s="139">
        <f>'LCI_AD-e'!$E23*'IW+_end'!AE18</f>
        <v>0</v>
      </c>
      <c r="AF64" s="139">
        <f>'LCI_AD-e'!$E23*'IW+_end'!AF18</f>
        <v>0</v>
      </c>
      <c r="AG64" s="139">
        <f>'LCI_AD-e'!$E23*'IW+_end'!AG18</f>
        <v>0.31929142191550119</v>
      </c>
      <c r="AH64" s="139">
        <f>'LCI_AD-e'!$E23*'IW+_end'!AH18</f>
        <v>2.1483541039484449E-6</v>
      </c>
      <c r="AI64" s="139">
        <f>'LCI_AD-e'!$E23*'IW+_end'!AI18</f>
        <v>0</v>
      </c>
      <c r="AJ64" s="139">
        <f>'LCI_AD-e'!$E23*'IW+_end'!AJ18</f>
        <v>0</v>
      </c>
      <c r="AK64" s="139">
        <f>'LCI_AD-e'!$E23*'IW+_end'!AK18</f>
        <v>0</v>
      </c>
    </row>
    <row r="65" spans="1:37" x14ac:dyDescent="0.35">
      <c r="A65" s="143"/>
      <c r="B65" s="137" t="s">
        <v>123</v>
      </c>
      <c r="C65" s="139">
        <f>'LCI_AD-e'!$E24*'IW+_end'!C17</f>
        <v>0</v>
      </c>
      <c r="D65" s="139">
        <f>'LCI_AD-e'!$E24*'IW+_end'!D17</f>
        <v>0</v>
      </c>
      <c r="E65" s="139">
        <f>'LCI_AD-e'!$E24*'IW+_end'!E17</f>
        <v>0</v>
      </c>
      <c r="F65" s="139">
        <f>'LCI_AD-e'!$E24*'IW+_end'!F17</f>
        <v>0</v>
      </c>
      <c r="G65" s="139">
        <f>'LCI_AD-e'!$E24*'IW+_end'!G17</f>
        <v>0</v>
      </c>
      <c r="H65" s="139">
        <f>'LCI_AD-e'!$E24*'IW+_end'!H17</f>
        <v>0</v>
      </c>
      <c r="I65" s="139">
        <f>'LCI_AD-e'!$E24*'IW+_end'!I17</f>
        <v>0</v>
      </c>
      <c r="J65" s="139">
        <f>'LCI_AD-e'!$E24*'IW+_end'!J17</f>
        <v>0</v>
      </c>
      <c r="K65" s="139">
        <f>'LCI_AD-e'!$E24*'IW+_end'!K17</f>
        <v>0</v>
      </c>
      <c r="L65" s="139">
        <f>'LCI_AD-e'!$E24*'IW+_end'!L17</f>
        <v>0</v>
      </c>
      <c r="M65" s="139">
        <f>'LCI_AD-e'!$E24*'IW+_end'!M17</f>
        <v>0</v>
      </c>
      <c r="N65" s="139">
        <f>'LCI_AD-e'!$E24*'IW+_end'!N17</f>
        <v>0</v>
      </c>
      <c r="O65" s="139">
        <f>'LCI_AD-e'!$E24*'IW+_end'!O17</f>
        <v>0</v>
      </c>
      <c r="P65" s="139">
        <f>'LCI_AD-e'!$E24*'IW+_end'!P17</f>
        <v>0</v>
      </c>
      <c r="Q65" s="139">
        <f>'LCI_AD-e'!$E24*'IW+_end'!Q17</f>
        <v>0</v>
      </c>
      <c r="R65" s="139">
        <f>'LCI_AD-e'!$E24*'IW+_end'!R17</f>
        <v>0</v>
      </c>
      <c r="S65" s="139">
        <f>'LCI_AD-e'!$E24*'IW+_end'!S17</f>
        <v>0</v>
      </c>
      <c r="T65" s="139">
        <f>'LCI_AD-e'!$E24*'IW+_end'!T17</f>
        <v>0</v>
      </c>
      <c r="U65" s="139">
        <f>'LCI_AD-e'!$E24*'IW+_end'!U17</f>
        <v>0</v>
      </c>
      <c r="V65" s="139">
        <f>'LCI_AD-e'!$E24*'IW+_end'!V17</f>
        <v>0</v>
      </c>
      <c r="W65" s="139">
        <f>'LCI_AD-e'!$E24*'IW+_end'!W17</f>
        <v>0</v>
      </c>
      <c r="X65" s="139">
        <f>'LCI_AD-e'!$E24*'IW+_end'!X17</f>
        <v>0</v>
      </c>
      <c r="Y65" s="139">
        <f>'LCI_AD-e'!$E24*'IW+_end'!Y17</f>
        <v>0</v>
      </c>
      <c r="Z65" s="139">
        <f>'LCI_AD-e'!$E24*'IW+_end'!Z17</f>
        <v>0</v>
      </c>
      <c r="AA65" s="139">
        <f>'LCI_AD-e'!$E24*'IW+_end'!AA17</f>
        <v>0</v>
      </c>
      <c r="AB65" s="139">
        <f>'LCI_AD-e'!$E24*'IW+_end'!AB17</f>
        <v>0</v>
      </c>
      <c r="AC65" s="139">
        <f>'LCI_AD-e'!$E24*'IW+_end'!AC17</f>
        <v>0</v>
      </c>
      <c r="AD65" s="139">
        <f>'LCI_AD-e'!$E24*'IW+_end'!AD17</f>
        <v>0</v>
      </c>
      <c r="AE65" s="139">
        <f>'LCI_AD-e'!$E24*'IW+_end'!AE17</f>
        <v>0</v>
      </c>
      <c r="AF65" s="139">
        <f>'LCI_AD-e'!$E24*'IW+_end'!AF17</f>
        <v>0</v>
      </c>
      <c r="AG65" s="139">
        <f>'LCI_AD-e'!$E24*'IW+_end'!AG17</f>
        <v>0</v>
      </c>
      <c r="AH65" s="139">
        <f>'LCI_AD-e'!$E24*'IW+_end'!AH17</f>
        <v>0</v>
      </c>
      <c r="AI65" s="139">
        <f>'LCI_AD-e'!$E24*'IW+_end'!AI17</f>
        <v>0</v>
      </c>
      <c r="AJ65" s="139">
        <f>'LCI_AD-e'!$E24*'IW+_end'!AJ17</f>
        <v>0</v>
      </c>
      <c r="AK65" s="139">
        <f>'LCI_AD-e'!$E24*'IW+_end'!AK17</f>
        <v>0</v>
      </c>
    </row>
    <row r="66" spans="1:37" x14ac:dyDescent="0.35">
      <c r="A66" s="143"/>
      <c r="B66" s="137" t="s">
        <v>145</v>
      </c>
      <c r="C66" s="139">
        <f>'LCI_AD-e'!$E25*'IW+_end'!C14</f>
        <v>0</v>
      </c>
      <c r="D66" s="139">
        <f>'LCI_AD-e'!$E25*'IW+_end'!D14</f>
        <v>0</v>
      </c>
      <c r="E66" s="139">
        <f>'LCI_AD-e'!$E25*'IW+_end'!E14</f>
        <v>0</v>
      </c>
      <c r="F66" s="139">
        <f>'LCI_AD-e'!$E25*'IW+_end'!F14</f>
        <v>0</v>
      </c>
      <c r="G66" s="139">
        <f>'LCI_AD-e'!$E25*'IW+_end'!G14</f>
        <v>0</v>
      </c>
      <c r="H66" s="139">
        <f>'LCI_AD-e'!$E25*'IW+_end'!H14</f>
        <v>0</v>
      </c>
      <c r="I66" s="139">
        <f>'LCI_AD-e'!$E25*'IW+_end'!I14</f>
        <v>0</v>
      </c>
      <c r="J66" s="139">
        <f>'LCI_AD-e'!$E25*'IW+_end'!J14</f>
        <v>0</v>
      </c>
      <c r="K66" s="139">
        <f>'LCI_AD-e'!$E25*'IW+_end'!K14</f>
        <v>0</v>
      </c>
      <c r="L66" s="139">
        <f>'LCI_AD-e'!$E25*'IW+_end'!L14</f>
        <v>0</v>
      </c>
      <c r="M66" s="139">
        <f>'LCI_AD-e'!$E25*'IW+_end'!M14</f>
        <v>0</v>
      </c>
      <c r="N66" s="139">
        <f>'LCI_AD-e'!$E25*'IW+_end'!N14</f>
        <v>0</v>
      </c>
      <c r="O66" s="139">
        <f>'LCI_AD-e'!$E25*'IW+_end'!O14</f>
        <v>0</v>
      </c>
      <c r="P66" s="139">
        <f>'LCI_AD-e'!$E25*'IW+_end'!P14</f>
        <v>0</v>
      </c>
      <c r="Q66" s="139">
        <f>'LCI_AD-e'!$E25*'IW+_end'!Q14</f>
        <v>0</v>
      </c>
      <c r="R66" s="139">
        <f>'LCI_AD-e'!$E25*'IW+_end'!R14</f>
        <v>0</v>
      </c>
      <c r="S66" s="139">
        <f>'LCI_AD-e'!$E25*'IW+_end'!S14</f>
        <v>0</v>
      </c>
      <c r="T66" s="139">
        <f>'LCI_AD-e'!$E25*'IW+_end'!T14</f>
        <v>0</v>
      </c>
      <c r="U66" s="139">
        <f>'LCI_AD-e'!$E25*'IW+_end'!U14</f>
        <v>0</v>
      </c>
      <c r="V66" s="139">
        <f>'LCI_AD-e'!$E25*'IW+_end'!V14</f>
        <v>0</v>
      </c>
      <c r="W66" s="139">
        <f>'LCI_AD-e'!$E25*'IW+_end'!W14</f>
        <v>0</v>
      </c>
      <c r="X66" s="139">
        <f>'LCI_AD-e'!$E25*'IW+_end'!X14</f>
        <v>0</v>
      </c>
      <c r="Y66" s="139">
        <f>'LCI_AD-e'!$E25*'IW+_end'!Y14</f>
        <v>0</v>
      </c>
      <c r="Z66" s="139">
        <f>'LCI_AD-e'!$E25*'IW+_end'!Z14</f>
        <v>0</v>
      </c>
      <c r="AA66" s="139">
        <f>'LCI_AD-e'!$E25*'IW+_end'!AA14</f>
        <v>0</v>
      </c>
      <c r="AB66" s="139">
        <f>'LCI_AD-e'!$E25*'IW+_end'!AB14</f>
        <v>0</v>
      </c>
      <c r="AC66" s="139">
        <f>'LCI_AD-e'!$E25*'IW+_end'!AC14</f>
        <v>0</v>
      </c>
      <c r="AD66" s="139">
        <f>'LCI_AD-e'!$E25*'IW+_end'!AD14</f>
        <v>0</v>
      </c>
      <c r="AE66" s="139">
        <f>'LCI_AD-e'!$E25*'IW+_end'!AE14</f>
        <v>0</v>
      </c>
      <c r="AF66" s="139">
        <f>'LCI_AD-e'!$E25*'IW+_end'!AF14</f>
        <v>0</v>
      </c>
      <c r="AG66" s="139">
        <f>'LCI_AD-e'!$E25*'IW+_end'!AG14</f>
        <v>0</v>
      </c>
      <c r="AH66" s="139">
        <f>'LCI_AD-e'!$E25*'IW+_end'!AH14</f>
        <v>0</v>
      </c>
      <c r="AI66" s="139">
        <f>'LCI_AD-e'!$E25*'IW+_end'!AI14</f>
        <v>0</v>
      </c>
      <c r="AJ66" s="139">
        <f>'LCI_AD-e'!$E25*'IW+_end'!AJ14</f>
        <v>0</v>
      </c>
      <c r="AK66" s="139">
        <f>'LCI_AD-e'!$E25*'IW+_end'!AK14</f>
        <v>0</v>
      </c>
    </row>
    <row r="67" spans="1:37" x14ac:dyDescent="0.35">
      <c r="A67" s="143"/>
      <c r="B67" s="137" t="s">
        <v>8</v>
      </c>
      <c r="C67" s="139">
        <f>'LCI_AD-e'!$E26*'IW+_end'!C2</f>
        <v>1.7913947869515948E-2</v>
      </c>
      <c r="D67" s="139">
        <f>'LCI_AD-e'!$E26*'IW+_end'!D2</f>
        <v>5.4878147250895142E-3</v>
      </c>
      <c r="E67" s="139">
        <f>'LCI_AD-e'!$E26*'IW+_end'!E2</f>
        <v>2.4142578186658168E-7</v>
      </c>
      <c r="F67" s="139">
        <f>'LCI_AD-e'!$E26*'IW+_end'!F2</f>
        <v>7.3959127847985427E-8</v>
      </c>
      <c r="G67" s="139">
        <f>'LCI_AD-e'!$E26*'IW+_end'!G2</f>
        <v>5.4908181855710048E-21</v>
      </c>
      <c r="H67" s="139">
        <f>'LCI_AD-e'!$E26*'IW+_end'!H2</f>
        <v>3.166859181012673E-4</v>
      </c>
      <c r="I67" s="139">
        <f>'LCI_AD-e'!$E26*'IW+_end'!I2</f>
        <v>1.5147310967386727E-2</v>
      </c>
      <c r="J67" s="139">
        <f>'LCI_AD-e'!$E26*'IW+_end'!J2</f>
        <v>7.5256775196354405E-4</v>
      </c>
      <c r="K67" s="139">
        <f>'LCI_AD-e'!$E26*'IW+_end'!K2</f>
        <v>1.3074373658562975E-6</v>
      </c>
      <c r="L67" s="139">
        <f>'LCI_AD-e'!$E26*'IW+_end'!L2</f>
        <v>5.3063438843892383E-10</v>
      </c>
      <c r="M67" s="139">
        <f>'LCI_AD-e'!$E26*'IW+_end'!M2</f>
        <v>1.0121111769706232E-8</v>
      </c>
      <c r="N67" s="139">
        <f>'LCI_AD-e'!$E26*'IW+_end'!N2</f>
        <v>1.1999170431594101E-8</v>
      </c>
      <c r="O67" s="139">
        <f>'LCI_AD-e'!$E26*'IW+_end'!O2</f>
        <v>6.3872749464158954E-9</v>
      </c>
      <c r="P67" s="139">
        <f>'LCI_AD-e'!$E26*'IW+_end'!P2</f>
        <v>2.5239997202362825E-10</v>
      </c>
      <c r="Q67" s="139">
        <f>'LCI_AD-e'!$E26*'IW+_end'!Q2</f>
        <v>7.7833282795662894E-9</v>
      </c>
      <c r="R67" s="139">
        <f>'LCI_AD-e'!$E26*'IW+_end'!R2</f>
        <v>1.0082815637373712E-3</v>
      </c>
      <c r="S67" s="139">
        <f>'LCI_AD-e'!$E26*'IW+_end'!S2</f>
        <v>7.1085658240872362E-4</v>
      </c>
      <c r="T67" s="139">
        <f>'LCI_AD-e'!$E26*'IW+_end'!T2</f>
        <v>6.2500672036481615E-3</v>
      </c>
      <c r="U67" s="139">
        <f>'LCI_AD-e'!$E26*'IW+_end'!U2</f>
        <v>6.784590361818151E-4</v>
      </c>
      <c r="V67" s="139">
        <f>'LCI_AD-e'!$E26*'IW+_end'!V2</f>
        <v>5.8841167217862592E-8</v>
      </c>
      <c r="W67" s="139">
        <f>'LCI_AD-e'!$E26*'IW+_end'!W2</f>
        <v>1.619361286090707E-8</v>
      </c>
      <c r="X67" s="139">
        <f>'LCI_AD-e'!$E26*'IW+_end'!X2</f>
        <v>4.1445744985090538E-5</v>
      </c>
      <c r="Y67" s="139">
        <f>'LCI_AD-e'!$E26*'IW+_end'!Y2</f>
        <v>2.8194118810815569E-12</v>
      </c>
      <c r="Z67" s="139">
        <f>'LCI_AD-e'!$E26*'IW+_end'!Z2</f>
        <v>2.2822453093940083E-8</v>
      </c>
      <c r="AA67" s="139">
        <f>'LCI_AD-e'!$E26*'IW+_end'!AA2</f>
        <v>9.6079571980076388E-4</v>
      </c>
      <c r="AB67" s="139">
        <f>'LCI_AD-e'!$E26*'IW+_end'!AB2</f>
        <v>9.5510603417955074E-11</v>
      </c>
      <c r="AC67" s="139">
        <f>'LCI_AD-e'!$E26*'IW+_end'!AC2</f>
        <v>2.0897929475856094E-3</v>
      </c>
      <c r="AD67" s="139">
        <f>'LCI_AD-e'!$E26*'IW+_end'!AD2</f>
        <v>2.1477853670749236E-3</v>
      </c>
      <c r="AE67" s="139">
        <f>'LCI_AD-e'!$E26*'IW+_end'!AE2</f>
        <v>5.9106686942310817E-4</v>
      </c>
      <c r="AF67" s="139">
        <f>'LCI_AD-e'!$E26*'IW+_end'!AF2</f>
        <v>1.158911825639559E-4</v>
      </c>
      <c r="AG67" s="139">
        <f>'LCI_AD-e'!$E26*'IW+_end'!AG2</f>
        <v>5.4215665058129088E-2</v>
      </c>
      <c r="AH67" s="139">
        <f>'LCI_AD-e'!$E26*'IW+_end'!AH2</f>
        <v>4.5030910749052388E-7</v>
      </c>
      <c r="AI67" s="139">
        <f>'LCI_AD-e'!$E26*'IW+_end'!AI2</f>
        <v>6.1552663645416226E-7</v>
      </c>
      <c r="AJ67" s="139">
        <f>'LCI_AD-e'!$E26*'IW+_end'!AJ2</f>
        <v>7.5181894851007521E-8</v>
      </c>
      <c r="AK67" s="139">
        <f>'LCI_AD-e'!$E26*'IW+_end'!AK2</f>
        <v>8.9735748024772357E-7</v>
      </c>
    </row>
    <row r="68" spans="1:37" x14ac:dyDescent="0.35">
      <c r="A68" s="143" t="s">
        <v>100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37" x14ac:dyDescent="0.35">
      <c r="A69" s="143"/>
      <c r="B69" s="137" t="s">
        <v>96</v>
      </c>
      <c r="C69" s="137">
        <f>'LCIA_AD-a'!C66</f>
        <v>0.8301443978002423</v>
      </c>
      <c r="D69" s="137">
        <f>'LCIA_AD-a'!D66</f>
        <v>3.1528244060836514</v>
      </c>
      <c r="E69" s="137">
        <f>'LCIA_AD-a'!E66</f>
        <v>1.118783317674697E-5</v>
      </c>
      <c r="F69" s="137">
        <f>'LCIA_AD-a'!F66</f>
        <v>4.2490567820490681E-5</v>
      </c>
      <c r="G69" s="137">
        <f>'LCIA_AD-a'!G66</f>
        <v>0</v>
      </c>
      <c r="H69" s="137">
        <f>'LCIA_AD-a'!H66</f>
        <v>0</v>
      </c>
      <c r="I69" s="137">
        <f>'LCIA_AD-a'!I66</f>
        <v>0</v>
      </c>
      <c r="J69" s="137">
        <f>'LCIA_AD-a'!J66</f>
        <v>0</v>
      </c>
      <c r="K69" s="137">
        <f>'LCIA_AD-a'!K66</f>
        <v>0</v>
      </c>
      <c r="L69" s="137">
        <f>'LCIA_AD-a'!L66</f>
        <v>0</v>
      </c>
      <c r="M69" s="137">
        <f>'LCIA_AD-a'!M66</f>
        <v>0</v>
      </c>
      <c r="N69" s="137">
        <f>'LCIA_AD-a'!N66</f>
        <v>0</v>
      </c>
      <c r="O69" s="137">
        <f>'LCIA_AD-a'!O66</f>
        <v>0</v>
      </c>
      <c r="P69" s="137">
        <f>'LCIA_AD-a'!P66</f>
        <v>0</v>
      </c>
      <c r="Q69" s="137">
        <f>'LCIA_AD-a'!Q66</f>
        <v>0</v>
      </c>
      <c r="R69" s="137">
        <f>'LCIA_AD-a'!R66</f>
        <v>0</v>
      </c>
      <c r="S69" s="137">
        <f>'LCIA_AD-a'!S66</f>
        <v>0</v>
      </c>
      <c r="T69" s="137">
        <f>'LCIA_AD-a'!T66</f>
        <v>0</v>
      </c>
      <c r="U69" s="137">
        <f>'LCIA_AD-a'!U66</f>
        <v>0</v>
      </c>
      <c r="V69" s="137">
        <f>'LCIA_AD-a'!V66</f>
        <v>0</v>
      </c>
      <c r="W69" s="137">
        <f>'LCIA_AD-a'!W66</f>
        <v>0</v>
      </c>
      <c r="X69" s="137">
        <f>'LCIA_AD-a'!X66</f>
        <v>0</v>
      </c>
      <c r="Y69" s="137">
        <f>'LCIA_AD-a'!Y66</f>
        <v>0</v>
      </c>
      <c r="Z69" s="137">
        <f>'LCIA_AD-a'!Z66</f>
        <v>0</v>
      </c>
      <c r="AA69" s="137">
        <f>'LCIA_AD-a'!AA66</f>
        <v>0</v>
      </c>
      <c r="AB69" s="137">
        <f>'LCIA_AD-a'!AB66</f>
        <v>0</v>
      </c>
      <c r="AC69" s="137">
        <f>'LCIA_AD-a'!AC66</f>
        <v>0</v>
      </c>
      <c r="AD69" s="137">
        <f>'LCIA_AD-a'!AD66</f>
        <v>0</v>
      </c>
      <c r="AE69" s="137">
        <f>'LCIA_AD-a'!AE66</f>
        <v>0</v>
      </c>
      <c r="AF69" s="137">
        <f>'LCIA_AD-a'!AF66</f>
        <v>0</v>
      </c>
      <c r="AG69" s="137">
        <f>'LCIA_AD-a'!AG66</f>
        <v>3.9829688038838937</v>
      </c>
      <c r="AH69" s="137">
        <f>'LCIA_AD-a'!AH66</f>
        <v>5.3678400996957153E-5</v>
      </c>
      <c r="AI69" s="137">
        <f>'LCIA_AD-a'!AI66</f>
        <v>0</v>
      </c>
      <c r="AJ69" s="137">
        <f>'LCIA_AD-a'!AJ66</f>
        <v>0</v>
      </c>
      <c r="AK69" s="137">
        <f>'LCIA_AD-a'!AK66</f>
        <v>0</v>
      </c>
    </row>
    <row r="70" spans="1:37" x14ac:dyDescent="0.35">
      <c r="A70" s="143" t="s">
        <v>108</v>
      </c>
      <c r="B70" s="137"/>
      <c r="C70" s="142">
        <f>SUM(C71:C75)</f>
        <v>3.5468131034964165</v>
      </c>
      <c r="D70" s="142">
        <f t="shared" ref="D70:AK70" si="9">SUM(D71:D75)</f>
        <v>2.6313331037750718</v>
      </c>
      <c r="E70" s="142">
        <f t="shared" si="9"/>
        <v>4.7800302472879612E-5</v>
      </c>
      <c r="F70" s="142">
        <f t="shared" si="9"/>
        <v>3.5462403740236048E-5</v>
      </c>
      <c r="G70" s="142">
        <f t="shared" si="9"/>
        <v>0</v>
      </c>
      <c r="H70" s="142">
        <f t="shared" si="9"/>
        <v>7.9951774603777057</v>
      </c>
      <c r="I70" s="142">
        <f t="shared" si="9"/>
        <v>0</v>
      </c>
      <c r="J70" s="142">
        <f t="shared" si="9"/>
        <v>0</v>
      </c>
      <c r="K70" s="142">
        <f t="shared" si="9"/>
        <v>-0.19421069896461307</v>
      </c>
      <c r="L70" s="142">
        <f t="shared" si="9"/>
        <v>0</v>
      </c>
      <c r="M70" s="142">
        <f t="shared" si="9"/>
        <v>0</v>
      </c>
      <c r="N70" s="142">
        <f t="shared" si="9"/>
        <v>0</v>
      </c>
      <c r="O70" s="142">
        <f t="shared" si="9"/>
        <v>0</v>
      </c>
      <c r="P70" s="142">
        <f t="shared" si="9"/>
        <v>0</v>
      </c>
      <c r="Q70" s="142">
        <f t="shared" si="9"/>
        <v>0</v>
      </c>
      <c r="R70" s="142">
        <f t="shared" si="9"/>
        <v>0</v>
      </c>
      <c r="S70" s="142">
        <f t="shared" si="9"/>
        <v>0</v>
      </c>
      <c r="T70" s="142">
        <f t="shared" si="9"/>
        <v>0</v>
      </c>
      <c r="U70" s="142">
        <f t="shared" si="9"/>
        <v>0</v>
      </c>
      <c r="V70" s="142">
        <f t="shared" si="9"/>
        <v>0</v>
      </c>
      <c r="W70" s="142">
        <f t="shared" si="9"/>
        <v>0</v>
      </c>
      <c r="X70" s="142">
        <f t="shared" si="9"/>
        <v>-0.67393084886835064</v>
      </c>
      <c r="Y70" s="142">
        <f t="shared" si="9"/>
        <v>0</v>
      </c>
      <c r="Z70" s="142">
        <f t="shared" si="9"/>
        <v>7.6801640589139021E-4</v>
      </c>
      <c r="AA70" s="142">
        <f t="shared" si="9"/>
        <v>0</v>
      </c>
      <c r="AB70" s="142">
        <f t="shared" si="9"/>
        <v>0</v>
      </c>
      <c r="AC70" s="142">
        <f t="shared" si="9"/>
        <v>103.07918225651237</v>
      </c>
      <c r="AD70" s="142">
        <f t="shared" si="9"/>
        <v>0</v>
      </c>
      <c r="AE70" s="142">
        <f t="shared" si="9"/>
        <v>0</v>
      </c>
      <c r="AF70" s="142">
        <f t="shared" si="9"/>
        <v>0</v>
      </c>
      <c r="AG70" s="142">
        <f t="shared" si="9"/>
        <v>116.38436437632861</v>
      </c>
      <c r="AH70" s="142">
        <f t="shared" si="9"/>
        <v>8.5127911209574808E-4</v>
      </c>
      <c r="AI70" s="142">
        <f t="shared" si="9"/>
        <v>0</v>
      </c>
      <c r="AJ70" s="142">
        <f t="shared" si="9"/>
        <v>0</v>
      </c>
      <c r="AK70" s="142">
        <f t="shared" si="9"/>
        <v>0</v>
      </c>
    </row>
    <row r="71" spans="1:37" x14ac:dyDescent="0.35">
      <c r="A71" s="143"/>
      <c r="B71" s="144" t="s">
        <v>111</v>
      </c>
      <c r="C71" s="137">
        <f>'LCIA_AD-a'!C68</f>
        <v>3.5468131034964165</v>
      </c>
      <c r="D71" s="137">
        <f>'LCIA_AD-a'!D68</f>
        <v>2.6313331037750718</v>
      </c>
      <c r="E71" s="137">
        <f>'LCIA_AD-a'!E68</f>
        <v>4.7800302472879612E-5</v>
      </c>
      <c r="F71" s="137">
        <f>'LCIA_AD-a'!F68</f>
        <v>3.5462403740236048E-5</v>
      </c>
      <c r="G71" s="137">
        <f>'LCIA_AD-a'!G68</f>
        <v>0</v>
      </c>
      <c r="H71" s="137">
        <f>'LCIA_AD-a'!H68</f>
        <v>0</v>
      </c>
      <c r="I71" s="137">
        <f>'LCIA_AD-a'!I68</f>
        <v>0</v>
      </c>
      <c r="J71" s="137">
        <f>'LCIA_AD-a'!J68</f>
        <v>0</v>
      </c>
      <c r="K71" s="137">
        <f>'LCIA_AD-a'!K68</f>
        <v>0</v>
      </c>
      <c r="L71" s="137">
        <f>'LCIA_AD-a'!L68</f>
        <v>0</v>
      </c>
      <c r="M71" s="137">
        <f>'LCIA_AD-a'!M68</f>
        <v>0</v>
      </c>
      <c r="N71" s="137">
        <f>'LCIA_AD-a'!N68</f>
        <v>0</v>
      </c>
      <c r="O71" s="137">
        <f>'LCIA_AD-a'!O68</f>
        <v>0</v>
      </c>
      <c r="P71" s="137">
        <f>'LCIA_AD-a'!P68</f>
        <v>0</v>
      </c>
      <c r="Q71" s="137">
        <f>'LCIA_AD-a'!Q68</f>
        <v>0</v>
      </c>
      <c r="R71" s="137">
        <f>'LCIA_AD-a'!R68</f>
        <v>0</v>
      </c>
      <c r="S71" s="137">
        <f>'LCIA_AD-a'!S68</f>
        <v>0</v>
      </c>
      <c r="T71" s="137">
        <f>'LCIA_AD-a'!T68</f>
        <v>0</v>
      </c>
      <c r="U71" s="137">
        <f>'LCIA_AD-a'!U68</f>
        <v>0</v>
      </c>
      <c r="V71" s="137">
        <f>'LCIA_AD-a'!V68</f>
        <v>0</v>
      </c>
      <c r="W71" s="137">
        <f>'LCIA_AD-a'!W68</f>
        <v>0</v>
      </c>
      <c r="X71" s="137">
        <f>'LCIA_AD-a'!X68</f>
        <v>0</v>
      </c>
      <c r="Y71" s="137">
        <f>'LCIA_AD-a'!Y68</f>
        <v>0</v>
      </c>
      <c r="Z71" s="137">
        <f>'LCIA_AD-a'!Z68</f>
        <v>0</v>
      </c>
      <c r="AA71" s="137">
        <f>'LCIA_AD-a'!AA68</f>
        <v>0</v>
      </c>
      <c r="AB71" s="137">
        <f>'LCIA_AD-a'!AB68</f>
        <v>0</v>
      </c>
      <c r="AC71" s="137">
        <f>'LCIA_AD-a'!AC68</f>
        <v>0</v>
      </c>
      <c r="AD71" s="137">
        <f>'LCIA_AD-a'!AD68</f>
        <v>0</v>
      </c>
      <c r="AE71" s="137">
        <f>'LCIA_AD-a'!AE68</f>
        <v>0</v>
      </c>
      <c r="AF71" s="137">
        <f>'LCIA_AD-a'!AF68</f>
        <v>0</v>
      </c>
      <c r="AG71" s="137">
        <f>'LCIA_AD-a'!AG68</f>
        <v>6.1781462072714879</v>
      </c>
      <c r="AH71" s="137">
        <f>'LCIA_AD-a'!AH68</f>
        <v>8.3262706212800522E-5</v>
      </c>
      <c r="AI71" s="137">
        <f>'LCIA_AD-a'!AI68</f>
        <v>0</v>
      </c>
      <c r="AJ71" s="137">
        <f>'LCIA_AD-a'!AJ68</f>
        <v>0</v>
      </c>
      <c r="AK71" s="137">
        <f>'LCIA_AD-a'!AK68</f>
        <v>0</v>
      </c>
    </row>
    <row r="72" spans="1:37" x14ac:dyDescent="0.35">
      <c r="A72" s="143"/>
      <c r="B72" s="144" t="s">
        <v>110</v>
      </c>
      <c r="C72" s="137">
        <f>'LCIA_AD-a'!C69</f>
        <v>0</v>
      </c>
      <c r="D72" s="137">
        <f>'LCIA_AD-a'!D69</f>
        <v>0</v>
      </c>
      <c r="E72" s="137">
        <f>'LCIA_AD-a'!E69</f>
        <v>0</v>
      </c>
      <c r="F72" s="137">
        <f>'LCIA_AD-a'!F69</f>
        <v>0</v>
      </c>
      <c r="G72" s="137">
        <f>'LCIA_AD-a'!G69</f>
        <v>0</v>
      </c>
      <c r="H72" s="137">
        <f>'LCIA_AD-a'!H69</f>
        <v>7.9951774603777057</v>
      </c>
      <c r="I72" s="137">
        <f>'LCIA_AD-a'!I69</f>
        <v>0</v>
      </c>
      <c r="J72" s="137">
        <f>'LCIA_AD-a'!J69</f>
        <v>0</v>
      </c>
      <c r="K72" s="137">
        <f>'LCIA_AD-a'!K69</f>
        <v>0</v>
      </c>
      <c r="L72" s="137">
        <f>'LCIA_AD-a'!L69</f>
        <v>0</v>
      </c>
      <c r="M72" s="137">
        <f>'LCIA_AD-a'!M69</f>
        <v>0</v>
      </c>
      <c r="N72" s="137">
        <f>'LCIA_AD-a'!N69</f>
        <v>0</v>
      </c>
      <c r="O72" s="137">
        <f>'LCIA_AD-a'!O69</f>
        <v>0</v>
      </c>
      <c r="P72" s="137">
        <f>'LCIA_AD-a'!P69</f>
        <v>0</v>
      </c>
      <c r="Q72" s="137">
        <f>'LCIA_AD-a'!Q69</f>
        <v>0</v>
      </c>
      <c r="R72" s="137">
        <f>'LCIA_AD-a'!R69</f>
        <v>0</v>
      </c>
      <c r="S72" s="137">
        <f>'LCIA_AD-a'!S69</f>
        <v>0</v>
      </c>
      <c r="T72" s="137">
        <f>'LCIA_AD-a'!T69</f>
        <v>0</v>
      </c>
      <c r="U72" s="137">
        <f>'LCIA_AD-a'!U69</f>
        <v>0</v>
      </c>
      <c r="V72" s="137">
        <f>'LCIA_AD-a'!V69</f>
        <v>0</v>
      </c>
      <c r="W72" s="137">
        <f>'LCIA_AD-a'!W69</f>
        <v>0</v>
      </c>
      <c r="X72" s="137">
        <f>'LCIA_AD-a'!X69</f>
        <v>3.0693235046556389</v>
      </c>
      <c r="Y72" s="137">
        <f>'LCIA_AD-a'!Y69</f>
        <v>0</v>
      </c>
      <c r="Z72" s="137">
        <f>'LCIA_AD-a'!Z69</f>
        <v>7.6801640589139021E-4</v>
      </c>
      <c r="AA72" s="137">
        <f>'LCIA_AD-a'!AA69</f>
        <v>0</v>
      </c>
      <c r="AB72" s="137">
        <f>'LCIA_AD-a'!AB69</f>
        <v>0</v>
      </c>
      <c r="AC72" s="137">
        <f>'LCIA_AD-a'!AC69</f>
        <v>103.07918225651237</v>
      </c>
      <c r="AD72" s="137">
        <f>'LCIA_AD-a'!AD69</f>
        <v>0</v>
      </c>
      <c r="AE72" s="137">
        <f>'LCIA_AD-a'!AE69</f>
        <v>0</v>
      </c>
      <c r="AF72" s="137">
        <f>'LCIA_AD-a'!AF69</f>
        <v>0</v>
      </c>
      <c r="AG72" s="137">
        <f>'LCIA_AD-a'!AG69</f>
        <v>114.14368322154573</v>
      </c>
      <c r="AH72" s="137">
        <f>'LCIA_AD-a'!AH69</f>
        <v>7.6801640588294753E-4</v>
      </c>
      <c r="AI72" s="137">
        <f>'LCIA_AD-a'!AI69</f>
        <v>0</v>
      </c>
      <c r="AJ72" s="137">
        <f>'LCIA_AD-a'!AJ69</f>
        <v>0</v>
      </c>
      <c r="AK72" s="137">
        <f>'LCIA_AD-a'!AK69</f>
        <v>0</v>
      </c>
    </row>
    <row r="73" spans="1:37" x14ac:dyDescent="0.35">
      <c r="A73" s="143"/>
      <c r="B73" s="144" t="s">
        <v>114</v>
      </c>
      <c r="C73" s="137">
        <f>'LCIA_AD-a'!C70</f>
        <v>0</v>
      </c>
      <c r="D73" s="137">
        <f>'LCIA_AD-a'!D70</f>
        <v>0</v>
      </c>
      <c r="E73" s="137">
        <f>'LCIA_AD-a'!E70</f>
        <v>0</v>
      </c>
      <c r="F73" s="137">
        <f>'LCIA_AD-a'!F70</f>
        <v>0</v>
      </c>
      <c r="G73" s="137">
        <f>'LCIA_AD-a'!G70</f>
        <v>0</v>
      </c>
      <c r="H73" s="137">
        <f>'LCIA_AD-a'!H70</f>
        <v>0</v>
      </c>
      <c r="I73" s="137">
        <f>'LCIA_AD-a'!I70</f>
        <v>0</v>
      </c>
      <c r="J73" s="137">
        <f>'LCIA_AD-a'!J70</f>
        <v>0</v>
      </c>
      <c r="K73" s="137">
        <f>'LCIA_AD-a'!K70</f>
        <v>0</v>
      </c>
      <c r="L73" s="137">
        <f>'LCIA_AD-a'!L70</f>
        <v>0</v>
      </c>
      <c r="M73" s="137">
        <f>'LCIA_AD-a'!M70</f>
        <v>0</v>
      </c>
      <c r="N73" s="137">
        <f>'LCIA_AD-a'!N70</f>
        <v>0</v>
      </c>
      <c r="O73" s="137">
        <f>'LCIA_AD-a'!O70</f>
        <v>0</v>
      </c>
      <c r="P73" s="137">
        <f>'LCIA_AD-a'!P70</f>
        <v>0</v>
      </c>
      <c r="Q73" s="137">
        <f>'LCIA_AD-a'!Q70</f>
        <v>0</v>
      </c>
      <c r="R73" s="137">
        <f>'LCIA_AD-a'!R70</f>
        <v>0</v>
      </c>
      <c r="S73" s="137">
        <f>'LCIA_AD-a'!S70</f>
        <v>0</v>
      </c>
      <c r="T73" s="137">
        <f>'LCIA_AD-a'!T70</f>
        <v>0</v>
      </c>
      <c r="U73" s="137">
        <f>'LCIA_AD-a'!U70</f>
        <v>0</v>
      </c>
      <c r="V73" s="137">
        <f>'LCIA_AD-a'!V70</f>
        <v>0</v>
      </c>
      <c r="W73" s="137">
        <f>'LCIA_AD-a'!W70</f>
        <v>0</v>
      </c>
      <c r="X73" s="137">
        <f>'LCIA_AD-a'!X70</f>
        <v>-3.7432543535239895</v>
      </c>
      <c r="Y73" s="137">
        <f>'LCIA_AD-a'!Y70</f>
        <v>0</v>
      </c>
      <c r="Z73" s="137">
        <f>'LCIA_AD-a'!Z70</f>
        <v>0</v>
      </c>
      <c r="AA73" s="137">
        <f>'LCIA_AD-a'!AA70</f>
        <v>0</v>
      </c>
      <c r="AB73" s="137">
        <f>'LCIA_AD-a'!AB70</f>
        <v>0</v>
      </c>
      <c r="AC73" s="137">
        <f>'LCIA_AD-a'!AC70</f>
        <v>0</v>
      </c>
      <c r="AD73" s="137">
        <f>'LCIA_AD-a'!AD70</f>
        <v>0</v>
      </c>
      <c r="AE73" s="137">
        <f>'LCIA_AD-a'!AE70</f>
        <v>0</v>
      </c>
      <c r="AF73" s="137">
        <f>'LCIA_AD-a'!AF70</f>
        <v>0</v>
      </c>
      <c r="AG73" s="137">
        <f>'LCIA_AD-a'!AG70</f>
        <v>-3.7432543535239895</v>
      </c>
      <c r="AH73" s="137">
        <f>'LCIA_AD-a'!AH70</f>
        <v>0</v>
      </c>
      <c r="AI73" s="137">
        <f>'LCIA_AD-a'!AI70</f>
        <v>0</v>
      </c>
      <c r="AJ73" s="137">
        <f>'LCIA_AD-a'!AJ70</f>
        <v>0</v>
      </c>
      <c r="AK73" s="137">
        <f>'LCIA_AD-a'!AK70</f>
        <v>0</v>
      </c>
    </row>
    <row r="74" spans="1:37" x14ac:dyDescent="0.35">
      <c r="A74" s="143"/>
      <c r="B74" s="144" t="s">
        <v>414</v>
      </c>
      <c r="C74" s="137">
        <f>'LCIA_AD-a'!C71</f>
        <v>0</v>
      </c>
      <c r="D74" s="137">
        <f>'LCIA_AD-a'!D71</f>
        <v>0</v>
      </c>
      <c r="E74" s="137">
        <f>'LCIA_AD-a'!E71</f>
        <v>0</v>
      </c>
      <c r="F74" s="137">
        <f>'LCIA_AD-a'!F71</f>
        <v>0</v>
      </c>
      <c r="G74" s="137">
        <f>'LCIA_AD-a'!G71</f>
        <v>0</v>
      </c>
      <c r="H74" s="137">
        <f>'LCIA_AD-a'!H71</f>
        <v>0</v>
      </c>
      <c r="I74" s="137">
        <f>'LCIA_AD-a'!I71</f>
        <v>0</v>
      </c>
      <c r="J74" s="137">
        <f>'LCIA_AD-a'!J71</f>
        <v>0</v>
      </c>
      <c r="K74" s="137">
        <f>'LCIA_AD-a'!K71</f>
        <v>-0.19421069896461307</v>
      </c>
      <c r="L74" s="137">
        <f>'LCIA_AD-a'!L71</f>
        <v>0</v>
      </c>
      <c r="M74" s="137">
        <f>'LCIA_AD-a'!M71</f>
        <v>0</v>
      </c>
      <c r="N74" s="137">
        <f>'LCIA_AD-a'!N71</f>
        <v>0</v>
      </c>
      <c r="O74" s="137">
        <f>'LCIA_AD-a'!O71</f>
        <v>0</v>
      </c>
      <c r="P74" s="137">
        <f>'LCIA_AD-a'!P71</f>
        <v>0</v>
      </c>
      <c r="Q74" s="137">
        <f>'LCIA_AD-a'!Q71</f>
        <v>0</v>
      </c>
      <c r="R74" s="137">
        <f>'LCIA_AD-a'!R71</f>
        <v>0</v>
      </c>
      <c r="S74" s="137">
        <f>'LCIA_AD-a'!S71</f>
        <v>0</v>
      </c>
      <c r="T74" s="137">
        <f>'LCIA_AD-a'!T71</f>
        <v>0</v>
      </c>
      <c r="U74" s="137">
        <f>'LCIA_AD-a'!U71</f>
        <v>0</v>
      </c>
      <c r="V74" s="137">
        <f>'LCIA_AD-a'!V71</f>
        <v>0</v>
      </c>
      <c r="W74" s="137">
        <f>'LCIA_AD-a'!W71</f>
        <v>0</v>
      </c>
      <c r="X74" s="137">
        <f>'LCIA_AD-a'!X71</f>
        <v>0</v>
      </c>
      <c r="Y74" s="137">
        <f>'LCIA_AD-a'!Y71</f>
        <v>0</v>
      </c>
      <c r="Z74" s="137">
        <f>'LCIA_AD-a'!Z71</f>
        <v>0</v>
      </c>
      <c r="AA74" s="137">
        <f>'LCIA_AD-a'!AA71</f>
        <v>0</v>
      </c>
      <c r="AB74" s="137">
        <f>'LCIA_AD-a'!AB71</f>
        <v>0</v>
      </c>
      <c r="AC74" s="137">
        <f>'LCIA_AD-a'!AC71</f>
        <v>0</v>
      </c>
      <c r="AD74" s="137">
        <f>'LCIA_AD-a'!AD71</f>
        <v>0</v>
      </c>
      <c r="AE74" s="137">
        <f>'LCIA_AD-a'!AE71</f>
        <v>0</v>
      </c>
      <c r="AF74" s="137">
        <f>'LCIA_AD-a'!AF71</f>
        <v>0</v>
      </c>
      <c r="AG74" s="137">
        <f>'LCIA_AD-a'!AG71</f>
        <v>-0.19421069896461307</v>
      </c>
      <c r="AH74" s="137">
        <f>'LCIA_AD-a'!AH71</f>
        <v>0</v>
      </c>
      <c r="AI74" s="137">
        <f>'LCIA_AD-a'!AI71</f>
        <v>0</v>
      </c>
      <c r="AJ74" s="137">
        <f>'LCIA_AD-a'!AJ71</f>
        <v>0</v>
      </c>
      <c r="AK74" s="137">
        <f>'LCIA_AD-a'!AK71</f>
        <v>0</v>
      </c>
    </row>
    <row r="75" spans="1:37" x14ac:dyDescent="0.35">
      <c r="A75" s="143"/>
      <c r="B75" s="144" t="s">
        <v>415</v>
      </c>
      <c r="C75" s="137">
        <f>'LCIA_AD-a'!C72</f>
        <v>0</v>
      </c>
      <c r="D75" s="137">
        <f>'LCIA_AD-a'!D72</f>
        <v>0</v>
      </c>
      <c r="E75" s="137">
        <f>'LCIA_AD-a'!E72</f>
        <v>0</v>
      </c>
      <c r="F75" s="137">
        <f>'LCIA_AD-a'!F72</f>
        <v>0</v>
      </c>
      <c r="G75" s="137">
        <f>'LCIA_AD-a'!G72</f>
        <v>0</v>
      </c>
      <c r="H75" s="137">
        <f>'LCIA_AD-a'!H72</f>
        <v>0</v>
      </c>
      <c r="I75" s="137">
        <f>'LCIA_AD-a'!I72</f>
        <v>0</v>
      </c>
      <c r="J75" s="137">
        <f>'LCIA_AD-a'!J72</f>
        <v>0</v>
      </c>
      <c r="K75" s="137">
        <f>'LCIA_AD-a'!K72</f>
        <v>0</v>
      </c>
      <c r="L75" s="137">
        <f>'LCIA_AD-a'!L72</f>
        <v>0</v>
      </c>
      <c r="M75" s="137">
        <f>'LCIA_AD-a'!M72</f>
        <v>0</v>
      </c>
      <c r="N75" s="137">
        <f>'LCIA_AD-a'!N72</f>
        <v>0</v>
      </c>
      <c r="O75" s="137">
        <f>'LCIA_AD-a'!O72</f>
        <v>0</v>
      </c>
      <c r="P75" s="137">
        <f>'LCIA_AD-a'!P72</f>
        <v>0</v>
      </c>
      <c r="Q75" s="137">
        <f>'LCIA_AD-a'!Q72</f>
        <v>0</v>
      </c>
      <c r="R75" s="137">
        <f>'LCIA_AD-a'!R72</f>
        <v>0</v>
      </c>
      <c r="S75" s="137">
        <f>'LCIA_AD-a'!S72</f>
        <v>0</v>
      </c>
      <c r="T75" s="137">
        <f>'LCIA_AD-a'!T72</f>
        <v>0</v>
      </c>
      <c r="U75" s="137">
        <f>'LCIA_AD-a'!U72</f>
        <v>0</v>
      </c>
      <c r="V75" s="137">
        <f>'LCIA_AD-a'!V72</f>
        <v>0</v>
      </c>
      <c r="W75" s="137">
        <f>'LCIA_AD-a'!W72</f>
        <v>0</v>
      </c>
      <c r="X75" s="137">
        <f>'LCIA_AD-a'!X72</f>
        <v>0</v>
      </c>
      <c r="Y75" s="137">
        <f>'LCIA_AD-a'!Y72</f>
        <v>0</v>
      </c>
      <c r="Z75" s="137">
        <f>'LCIA_AD-a'!Z72</f>
        <v>0</v>
      </c>
      <c r="AA75" s="137">
        <f>'LCIA_AD-a'!AA72</f>
        <v>0</v>
      </c>
      <c r="AB75" s="137">
        <f>'LCIA_AD-a'!AB72</f>
        <v>0</v>
      </c>
      <c r="AC75" s="137">
        <f>'LCIA_AD-a'!AC72</f>
        <v>0</v>
      </c>
      <c r="AD75" s="137">
        <f>'LCIA_AD-a'!AD72</f>
        <v>0</v>
      </c>
      <c r="AE75" s="137">
        <f>'LCIA_AD-a'!AE72</f>
        <v>0</v>
      </c>
      <c r="AF75" s="137">
        <f>'LCIA_AD-a'!AF72</f>
        <v>0</v>
      </c>
      <c r="AG75" s="137">
        <f>'LCIA_AD-a'!AG72</f>
        <v>0</v>
      </c>
      <c r="AH75" s="137">
        <f>'LCIA_AD-a'!AH72</f>
        <v>0</v>
      </c>
      <c r="AI75" s="137">
        <f>'LCIA_AD-a'!AI72</f>
        <v>0</v>
      </c>
      <c r="AJ75" s="137">
        <f>'LCIA_AD-a'!AJ72</f>
        <v>0</v>
      </c>
      <c r="AK75" s="137">
        <f>'LCIA_AD-a'!AK72</f>
        <v>0</v>
      </c>
    </row>
    <row r="76" spans="1:37" x14ac:dyDescent="0.35">
      <c r="A76" s="143" t="s">
        <v>421</v>
      </c>
      <c r="B76" s="137"/>
      <c r="C76" s="142">
        <f>SUM(C77:C81)</f>
        <v>164.49758783151395</v>
      </c>
      <c r="D76" s="142">
        <f>SUM(D77:D81)</f>
        <v>49.780159812651974</v>
      </c>
      <c r="E76" s="142">
        <f t="shared" ref="E76:AK76" si="10">SUM(E77:E81)</f>
        <v>2.2169294589145776E-3</v>
      </c>
      <c r="F76" s="142">
        <f t="shared" si="10"/>
        <v>6.7088584223604965E-4</v>
      </c>
      <c r="G76" s="142">
        <f t="shared" si="10"/>
        <v>2.3228051488571211E-16</v>
      </c>
      <c r="H76" s="142">
        <f t="shared" si="10"/>
        <v>2.0738739544075493</v>
      </c>
      <c r="I76" s="142">
        <f t="shared" si="10"/>
        <v>14.885136709898777</v>
      </c>
      <c r="J76" s="142">
        <f t="shared" si="10"/>
        <v>4.6669557965873061</v>
      </c>
      <c r="K76" s="142">
        <f t="shared" si="10"/>
        <v>0.16338700677622908</v>
      </c>
      <c r="L76" s="142">
        <f t="shared" si="10"/>
        <v>9.4542986527219679E-7</v>
      </c>
      <c r="M76" s="142">
        <f t="shared" si="10"/>
        <v>3.15415579433407E-5</v>
      </c>
      <c r="N76" s="142">
        <f t="shared" si="10"/>
        <v>2.7303476413982536E-5</v>
      </c>
      <c r="O76" s="142">
        <f t="shared" si="10"/>
        <v>2.4955343119729068E-5</v>
      </c>
      <c r="P76" s="142">
        <f t="shared" si="10"/>
        <v>1.4031292994138018E-8</v>
      </c>
      <c r="Q76" s="142">
        <f t="shared" si="10"/>
        <v>2.7282293687762236E-7</v>
      </c>
      <c r="R76" s="142">
        <f t="shared" si="10"/>
        <v>2.172013303288443</v>
      </c>
      <c r="S76" s="142">
        <f t="shared" si="10"/>
        <v>6.2516483378067473</v>
      </c>
      <c r="T76" s="142">
        <f t="shared" si="10"/>
        <v>59.443509955162767</v>
      </c>
      <c r="U76" s="142">
        <f t="shared" si="10"/>
        <v>6.4527410464108774</v>
      </c>
      <c r="V76" s="142">
        <f t="shared" si="10"/>
        <v>3.0094619145970442E-5</v>
      </c>
      <c r="W76" s="142">
        <f t="shared" si="10"/>
        <v>3.6677195798357421E-5</v>
      </c>
      <c r="X76" s="142">
        <f t="shared" si="10"/>
        <v>0.31726296166682333</v>
      </c>
      <c r="Y76" s="142">
        <f t="shared" si="10"/>
        <v>1.3757710951279004E-8</v>
      </c>
      <c r="Z76" s="142">
        <f t="shared" si="10"/>
        <v>1.4266731245086853E-4</v>
      </c>
      <c r="AA76" s="142">
        <f t="shared" si="10"/>
        <v>4.8352636562197047</v>
      </c>
      <c r="AB76" s="142">
        <f t="shared" si="10"/>
        <v>4.435439494282869E-7</v>
      </c>
      <c r="AC76" s="142">
        <f t="shared" si="10"/>
        <v>13.534994561853839</v>
      </c>
      <c r="AD76" s="142">
        <f t="shared" si="10"/>
        <v>1.0984943568119137</v>
      </c>
      <c r="AE76" s="142">
        <f t="shared" si="10"/>
        <v>1.3387176466400457</v>
      </c>
      <c r="AF76" s="142">
        <f t="shared" si="10"/>
        <v>1.2614157091396764E-2</v>
      </c>
      <c r="AG76" s="142">
        <f t="shared" si="10"/>
        <v>331.53243092654475</v>
      </c>
      <c r="AH76" s="142">
        <f t="shared" si="10"/>
        <v>3.2185321216434385E-3</v>
      </c>
      <c r="AI76" s="142">
        <f t="shared" si="10"/>
        <v>8.397868717257218E-4</v>
      </c>
      <c r="AJ76" s="142">
        <f t="shared" si="10"/>
        <v>1.0257357610235798E-4</v>
      </c>
      <c r="AK76" s="142">
        <f t="shared" si="10"/>
        <v>7.1632590388589481E-3</v>
      </c>
    </row>
    <row r="77" spans="1:37" x14ac:dyDescent="0.35">
      <c r="A77" s="143"/>
      <c r="B77" s="137" t="s">
        <v>228</v>
      </c>
      <c r="C77" s="137">
        <f>'LCIA_AD-a'!C74</f>
        <v>10.35843815099034</v>
      </c>
      <c r="D77" s="137">
        <f>'LCIA_AD-a'!D74</f>
        <v>3.3369667444896667</v>
      </c>
      <c r="E77" s="137">
        <f>'LCIA_AD-a'!E74</f>
        <v>1.3960038556185914E-4</v>
      </c>
      <c r="F77" s="137">
        <f>'LCIA_AD-a'!F74</f>
        <v>4.4972208874300386E-5</v>
      </c>
      <c r="G77" s="137">
        <f>'LCIA_AD-a'!G74</f>
        <v>7.1839059451077027E-17</v>
      </c>
      <c r="H77" s="137">
        <f>'LCIA_AD-a'!H74</f>
        <v>0.15976538150591041</v>
      </c>
      <c r="I77" s="137">
        <f>'LCIA_AD-a'!I74</f>
        <v>1.3286838950285187</v>
      </c>
      <c r="J77" s="137">
        <f>'LCIA_AD-a'!J74</f>
        <v>0.44167281808898784</v>
      </c>
      <c r="K77" s="137">
        <f>'LCIA_AD-a'!K74</f>
        <v>6.4966943598052953E-4</v>
      </c>
      <c r="L77" s="137">
        <f>'LCIA_AD-a'!L74</f>
        <v>9.9178611616952431E-8</v>
      </c>
      <c r="M77" s="137">
        <f>'LCIA_AD-a'!M74</f>
        <v>4.6569101689615966E-6</v>
      </c>
      <c r="N77" s="137">
        <f>'LCIA_AD-a'!N74</f>
        <v>3.2305737622603584E-6</v>
      </c>
      <c r="O77" s="137">
        <f>'LCIA_AD-a'!O74</f>
        <v>3.2697442520780137E-6</v>
      </c>
      <c r="P77" s="137">
        <f>'LCIA_AD-a'!P74</f>
        <v>1.3965488787624792E-9</v>
      </c>
      <c r="Q77" s="137">
        <f>'LCIA_AD-a'!Q74</f>
        <v>2.522741482903371E-8</v>
      </c>
      <c r="R77" s="137">
        <f>'LCIA_AD-a'!R74</f>
        <v>0.18924733002891919</v>
      </c>
      <c r="S77" s="137">
        <f>'LCIA_AD-a'!S74</f>
        <v>0.34162924878201517</v>
      </c>
      <c r="T77" s="137">
        <f>'LCIA_AD-a'!T74</f>
        <v>3.5833262224005518</v>
      </c>
      <c r="U77" s="137">
        <f>'LCIA_AD-a'!U74</f>
        <v>0.38897871107892706</v>
      </c>
      <c r="V77" s="137">
        <f>'LCIA_AD-a'!V74</f>
        <v>6.9458050003459681E-6</v>
      </c>
      <c r="W77" s="137">
        <f>'LCIA_AD-a'!W74</f>
        <v>9.4523840991512821E-6</v>
      </c>
      <c r="X77" s="137">
        <f>'LCIA_AD-a'!X74</f>
        <v>6.5295283178198271E-2</v>
      </c>
      <c r="Y77" s="137">
        <f>'LCIA_AD-a'!Y74</f>
        <v>1.0847755754146297E-9</v>
      </c>
      <c r="Z77" s="137">
        <f>'LCIA_AD-a'!Z74</f>
        <v>1.2853779227979255E-5</v>
      </c>
      <c r="AA77" s="137">
        <f>'LCIA_AD-a'!AA74</f>
        <v>0.37169565680962818</v>
      </c>
      <c r="AB77" s="137">
        <f>'LCIA_AD-a'!AB74</f>
        <v>3.5745885416060553E-8</v>
      </c>
      <c r="AC77" s="137">
        <f>'LCIA_AD-a'!AC74</f>
        <v>1.4643983888361911</v>
      </c>
      <c r="AD77" s="137">
        <f>'LCIA_AD-a'!AD74</f>
        <v>0.25352298793489464</v>
      </c>
      <c r="AE77" s="137">
        <f>'LCIA_AD-a'!AE74</f>
        <v>0.34501201961902173</v>
      </c>
      <c r="AF77" s="137">
        <f>'LCIA_AD-a'!AF74</f>
        <v>1.5683596768609758E-3</v>
      </c>
      <c r="AG77" s="137">
        <f>'LCIA_AD-a'!AG74</f>
        <v>22.631790736087716</v>
      </c>
      <c r="AH77" s="137">
        <f>'LCIA_AD-a'!AH74</f>
        <v>2.5063060710058747E-4</v>
      </c>
      <c r="AI77" s="137">
        <f>'LCIA_AD-a'!AI74</f>
        <v>3.4292573087756539E-4</v>
      </c>
      <c r="AJ77" s="137">
        <f>'LCIA_AD-a'!AJ74</f>
        <v>4.1885768565711923E-5</v>
      </c>
      <c r="AK77" s="137">
        <f>'LCIA_AD-a'!AK74</f>
        <v>5.8054288660261226E-4</v>
      </c>
    </row>
    <row r="78" spans="1:37" x14ac:dyDescent="0.35">
      <c r="A78" s="143"/>
      <c r="B78" s="137" t="s">
        <v>230</v>
      </c>
      <c r="C78" s="137">
        <f>'LCIA_AD-a'!C75</f>
        <v>7.5621190692666165</v>
      </c>
      <c r="D78" s="137">
        <f>'LCIA_AD-a'!D75</f>
        <v>2.2706139032262609</v>
      </c>
      <c r="E78" s="137">
        <f>'LCIA_AD-a'!E75</f>
        <v>1.0191447034255612E-4</v>
      </c>
      <c r="F78" s="137">
        <f>'LCIA_AD-a'!F75</f>
        <v>3.0601001013091792E-5</v>
      </c>
      <c r="G78" s="137">
        <f>'LCIA_AD-a'!G75</f>
        <v>1.1497481230567759E-16</v>
      </c>
      <c r="H78" s="137">
        <f>'LCIA_AD-a'!H75</f>
        <v>0.70476902100808392</v>
      </c>
      <c r="I78" s="137">
        <f>'LCIA_AD-a'!I75</f>
        <v>3.6906910779461204</v>
      </c>
      <c r="J78" s="137">
        <f>'LCIA_AD-a'!J75</f>
        <v>0.33849636256650795</v>
      </c>
      <c r="K78" s="137">
        <f>'LCIA_AD-a'!K75</f>
        <v>0.15668966620926444</v>
      </c>
      <c r="L78" s="137">
        <f>'LCIA_AD-a'!L75</f>
        <v>1.9633790233167265E-7</v>
      </c>
      <c r="M78" s="137">
        <f>'LCIA_AD-a'!M75</f>
        <v>7.3548680496487088E-6</v>
      </c>
      <c r="N78" s="137">
        <f>'LCIA_AD-a'!N75</f>
        <v>6.3051199392739216E-6</v>
      </c>
      <c r="O78" s="137">
        <f>'LCIA_AD-a'!O75</f>
        <v>1.1017961092851991E-5</v>
      </c>
      <c r="P78" s="137">
        <f>'LCIA_AD-a'!P75</f>
        <v>7.3071772848713008E-9</v>
      </c>
      <c r="Q78" s="137">
        <f>'LCIA_AD-a'!Q75</f>
        <v>1.4867259719273959E-7</v>
      </c>
      <c r="R78" s="137">
        <f>'LCIA_AD-a'!R75</f>
        <v>1.0741998489157791</v>
      </c>
      <c r="S78" s="137">
        <f>'LCIA_AD-a'!S75</f>
        <v>1.2438454860455115</v>
      </c>
      <c r="T78" s="137">
        <f>'LCIA_AD-a'!T75</f>
        <v>2.7219878231228605</v>
      </c>
      <c r="U78" s="137">
        <f>'LCIA_AD-a'!U75</f>
        <v>0.29547782338190726</v>
      </c>
      <c r="V78" s="137">
        <f>'LCIA_AD-a'!V75</f>
        <v>1.1380329385058165E-5</v>
      </c>
      <c r="W78" s="137">
        <f>'LCIA_AD-a'!W75</f>
        <v>1.5101048836186786E-5</v>
      </c>
      <c r="X78" s="137">
        <f>'LCIA_AD-a'!X75</f>
        <v>2.2656385776052428E-2</v>
      </c>
      <c r="Y78" s="137">
        <f>'LCIA_AD-a'!Y75</f>
        <v>6.0126879000854583E-10</v>
      </c>
      <c r="Z78" s="137">
        <f>'LCIA_AD-a'!Z75</f>
        <v>5.6746972480412308E-5</v>
      </c>
      <c r="AA78" s="137">
        <f>'LCIA_AD-a'!AA75</f>
        <v>0.43384146164752557</v>
      </c>
      <c r="AB78" s="137">
        <f>'LCIA_AD-a'!AB75</f>
        <v>4.3409608990377984E-8</v>
      </c>
      <c r="AC78" s="137">
        <f>'LCIA_AD-a'!AC75</f>
        <v>4.2975468876606771</v>
      </c>
      <c r="AD78" s="137">
        <f>'LCIA_AD-a'!AD75</f>
        <v>0.41538780694478905</v>
      </c>
      <c r="AE78" s="137">
        <f>'LCIA_AD-a'!AE75</f>
        <v>0.55118828252081775</v>
      </c>
      <c r="AF78" s="137">
        <f>'LCIA_AD-a'!AF75</f>
        <v>6.0768319209760883E-3</v>
      </c>
      <c r="AG78" s="137">
        <f>'LCIA_AD-a'!AG75</f>
        <v>25.791383312659651</v>
      </c>
      <c r="AH78" s="137">
        <f>'LCIA_AD-a'!AH75</f>
        <v>2.5980044854131523E-4</v>
      </c>
      <c r="AI78" s="137">
        <f>'LCIA_AD-a'!AI75</f>
        <v>3.7227889535239046E-4</v>
      </c>
      <c r="AJ78" s="137">
        <f>'LCIA_AD-a'!AJ75</f>
        <v>4.5471034246176504E-5</v>
      </c>
      <c r="AK78" s="137">
        <f>'LCIA_AD-a'!AK75</f>
        <v>5.3968069191696767E-3</v>
      </c>
    </row>
    <row r="79" spans="1:37" x14ac:dyDescent="0.35">
      <c r="A79" s="143"/>
      <c r="B79" s="137" t="s">
        <v>229</v>
      </c>
      <c r="C79" s="137">
        <f>'LCIA_AD-a'!C76</f>
        <v>4.672805668709656</v>
      </c>
      <c r="D79" s="137">
        <f>'LCIA_AD-a'!D76</f>
        <v>1.4230499308908755</v>
      </c>
      <c r="E79" s="137">
        <f>'LCIA_AD-a'!E76</f>
        <v>6.2975273250547161E-5</v>
      </c>
      <c r="F79" s="137">
        <f>'LCIA_AD-a'!F76</f>
        <v>1.9178404710284448E-5</v>
      </c>
      <c r="G79" s="137">
        <f>'LCIA_AD-a'!G76</f>
        <v>3.8351252146686007E-17</v>
      </c>
      <c r="H79" s="137">
        <f>'LCIA_AD-a'!H76</f>
        <v>9.0501306253378364E-2</v>
      </c>
      <c r="I79" s="137">
        <f>'LCIA_AD-a'!I76</f>
        <v>2.4469188380433797</v>
      </c>
      <c r="J79" s="137">
        <f>'LCIA_AD-a'!J76</f>
        <v>0.25452117604786123</v>
      </c>
      <c r="K79" s="137">
        <f>'LCIA_AD-a'!K76</f>
        <v>4.6061135544141327E-4</v>
      </c>
      <c r="L79" s="137">
        <f>'LCIA_AD-a'!L76</f>
        <v>6.7954840852507947E-8</v>
      </c>
      <c r="M79" s="137">
        <f>'LCIA_AD-a'!M76</f>
        <v>3.3822653762640168E-6</v>
      </c>
      <c r="N79" s="137">
        <f>'LCIA_AD-a'!N76</f>
        <v>2.2580610786893007E-6</v>
      </c>
      <c r="O79" s="137">
        <f>'LCIA_AD-a'!O76</f>
        <v>2.1001054301561887E-6</v>
      </c>
      <c r="P79" s="137">
        <f>'LCIA_AD-a'!P76</f>
        <v>8.4101397978904736E-10</v>
      </c>
      <c r="Q79" s="137">
        <f>'LCIA_AD-a'!Q76</f>
        <v>1.4609866583635377E-8</v>
      </c>
      <c r="R79" s="137">
        <f>'LCIA_AD-a'!R76</f>
        <v>0.43774715871875158</v>
      </c>
      <c r="S79" s="137">
        <f>'LCIA_AD-a'!S76</f>
        <v>0.80750302297936827</v>
      </c>
      <c r="T79" s="137">
        <f>'LCIA_AD-a'!T76</f>
        <v>1.6899583886444969</v>
      </c>
      <c r="U79" s="137">
        <f>'LCIA_AD-a'!U76</f>
        <v>0.18344835910684987</v>
      </c>
      <c r="V79" s="137">
        <f>'LCIA_AD-a'!V76</f>
        <v>4.1839195543371516E-6</v>
      </c>
      <c r="W79" s="137">
        <f>'LCIA_AD-a'!W76</f>
        <v>5.2373234079643975E-6</v>
      </c>
      <c r="X79" s="137">
        <f>'LCIA_AD-a'!X76</f>
        <v>1.4808884601528851E-2</v>
      </c>
      <c r="Y79" s="137">
        <f>'LCIA_AD-a'!Y76</f>
        <v>4.9916504449657591E-10</v>
      </c>
      <c r="Z79" s="137">
        <f>'LCIA_AD-a'!Z76</f>
        <v>8.31333748111013E-6</v>
      </c>
      <c r="AA79" s="137">
        <f>'LCIA_AD-a'!AA76</f>
        <v>0.40037884805765755</v>
      </c>
      <c r="AB79" s="137">
        <f>'LCIA_AD-a'!AB76</f>
        <v>3.9818577660412446E-8</v>
      </c>
      <c r="AC79" s="137">
        <f>'LCIA_AD-a'!AC76</f>
        <v>0.62383457282664401</v>
      </c>
      <c r="AD79" s="137">
        <f>'LCIA_AD-a'!AD76</f>
        <v>0.1527138918650883</v>
      </c>
      <c r="AE79" s="137">
        <f>'LCIA_AD-a'!AE76</f>
        <v>0.19116230439070045</v>
      </c>
      <c r="AF79" s="137">
        <f>'LCIA_AD-a'!AF76</f>
        <v>9.4055367393750227E-4</v>
      </c>
      <c r="AG79" s="137">
        <f>'LCIA_AD-a'!AG76</f>
        <v>13.391095550886918</v>
      </c>
      <c r="AH79" s="137">
        <f>'LCIA_AD-a'!AH76</f>
        <v>1.0401881169221188E-4</v>
      </c>
      <c r="AI79" s="137">
        <f>'LCIA_AD-a'!AI76</f>
        <v>4.6572544448635516E-5</v>
      </c>
      <c r="AJ79" s="137">
        <f>'LCIA_AD-a'!AJ76</f>
        <v>5.6884819150193094E-6</v>
      </c>
      <c r="AK79" s="137">
        <f>'LCIA_AD-a'!AK76</f>
        <v>2.8604009288160393E-4</v>
      </c>
    </row>
    <row r="80" spans="1:37" x14ac:dyDescent="0.35">
      <c r="A80" s="143"/>
      <c r="B80" s="137" t="s">
        <v>231</v>
      </c>
      <c r="C80" s="137">
        <f>'LCIA_AD-a'!C77</f>
        <v>0</v>
      </c>
      <c r="D80" s="137">
        <f>'LCIA_AD-a'!D77</f>
        <v>0</v>
      </c>
      <c r="E80" s="137">
        <f>'LCIA_AD-a'!E77</f>
        <v>0</v>
      </c>
      <c r="F80" s="137">
        <f>'LCIA_AD-a'!F77</f>
        <v>0</v>
      </c>
      <c r="G80" s="137">
        <f>'LCIA_AD-a'!G77</f>
        <v>0</v>
      </c>
      <c r="H80" s="137">
        <f>'LCIA_AD-a'!H77</f>
        <v>0</v>
      </c>
      <c r="I80" s="137">
        <f>'LCIA_AD-a'!I77</f>
        <v>0</v>
      </c>
      <c r="J80" s="137">
        <f>'LCIA_AD-a'!J77</f>
        <v>0</v>
      </c>
      <c r="K80" s="137">
        <f>'LCIA_AD-a'!K77</f>
        <v>0</v>
      </c>
      <c r="L80" s="137">
        <f>'LCIA_AD-a'!L77</f>
        <v>0</v>
      </c>
      <c r="M80" s="137">
        <f>'LCIA_AD-a'!M77</f>
        <v>0</v>
      </c>
      <c r="N80" s="137">
        <f>'LCIA_AD-a'!N77</f>
        <v>0</v>
      </c>
      <c r="O80" s="137">
        <f>'LCIA_AD-a'!O77</f>
        <v>0</v>
      </c>
      <c r="P80" s="137">
        <f>'LCIA_AD-a'!P77</f>
        <v>0</v>
      </c>
      <c r="Q80" s="137">
        <f>'LCIA_AD-a'!Q77</f>
        <v>0</v>
      </c>
      <c r="R80" s="137">
        <f>'LCIA_AD-a'!R77</f>
        <v>0</v>
      </c>
      <c r="S80" s="137">
        <f>'LCIA_AD-a'!S77</f>
        <v>0</v>
      </c>
      <c r="T80" s="137">
        <f>'LCIA_AD-a'!T77</f>
        <v>0</v>
      </c>
      <c r="U80" s="137">
        <f>'LCIA_AD-a'!U77</f>
        <v>0</v>
      </c>
      <c r="V80" s="137">
        <f>'LCIA_AD-a'!V77</f>
        <v>0</v>
      </c>
      <c r="W80" s="137">
        <f>'LCIA_AD-a'!W77</f>
        <v>0</v>
      </c>
      <c r="X80" s="137">
        <f>'LCIA_AD-a'!X77</f>
        <v>0</v>
      </c>
      <c r="Y80" s="137">
        <f>'LCIA_AD-a'!Y77</f>
        <v>0</v>
      </c>
      <c r="Z80" s="137">
        <f>'LCIA_AD-a'!Z77</f>
        <v>0</v>
      </c>
      <c r="AA80" s="137">
        <f>'LCIA_AD-a'!AA77</f>
        <v>0</v>
      </c>
      <c r="AB80" s="137">
        <f>'LCIA_AD-a'!AB77</f>
        <v>0</v>
      </c>
      <c r="AC80" s="137">
        <f>'LCIA_AD-a'!AC77</f>
        <v>0</v>
      </c>
      <c r="AD80" s="137">
        <f>'LCIA_AD-a'!AD77</f>
        <v>0</v>
      </c>
      <c r="AE80" s="137">
        <f>'LCIA_AD-a'!AE77</f>
        <v>0</v>
      </c>
      <c r="AF80" s="137">
        <f>'LCIA_AD-a'!AF77</f>
        <v>0</v>
      </c>
      <c r="AG80" s="137">
        <f>'LCIA_AD-a'!AG77</f>
        <v>0</v>
      </c>
      <c r="AH80" s="137">
        <f>'LCIA_AD-a'!AH77</f>
        <v>0</v>
      </c>
      <c r="AI80" s="137">
        <f>'LCIA_AD-a'!AI77</f>
        <v>0</v>
      </c>
      <c r="AJ80" s="137">
        <f>'LCIA_AD-a'!AJ77</f>
        <v>0</v>
      </c>
      <c r="AK80" s="137">
        <f>'LCIA_AD-a'!AK77</f>
        <v>0</v>
      </c>
    </row>
    <row r="81" spans="1:37" x14ac:dyDescent="0.35">
      <c r="A81" s="143"/>
      <c r="B81" s="137" t="s">
        <v>423</v>
      </c>
      <c r="C81" s="137">
        <f>'LCI_AD-e'!$E27*'IW+_end'!C39</f>
        <v>141.90422494254733</v>
      </c>
      <c r="D81" s="137">
        <f>'LCI_AD-e'!$E27*'IW+_end'!D39</f>
        <v>42.74952923404517</v>
      </c>
      <c r="E81" s="137">
        <f>'LCI_AD-e'!$E27*'IW+_end'!E39</f>
        <v>1.9124393297596154E-3</v>
      </c>
      <c r="F81" s="137">
        <f>'LCI_AD-e'!$E27*'IW+_end'!F39</f>
        <v>5.7613422763837306E-4</v>
      </c>
      <c r="G81" s="137">
        <f>'LCI_AD-e'!$E27*'IW+_end'!G39</f>
        <v>7.1153909822715203E-18</v>
      </c>
      <c r="H81" s="137">
        <f>'LCI_AD-e'!$E27*'IW+_end'!H39</f>
        <v>1.1188382456401766</v>
      </c>
      <c r="I81" s="137">
        <f>'LCI_AD-e'!$E27*'IW+_end'!I39</f>
        <v>7.4188428988807598</v>
      </c>
      <c r="J81" s="137">
        <f>'LCI_AD-e'!$E27*'IW+_end'!J39</f>
        <v>3.6322654398839496</v>
      </c>
      <c r="K81" s="137">
        <f>'LCI_AD-e'!$E27*'IW+_end'!K39</f>
        <v>5.5870597755426988E-3</v>
      </c>
      <c r="L81" s="137">
        <f>'LCI_AD-e'!$E27*'IW+_end'!L39</f>
        <v>5.8195851047106377E-7</v>
      </c>
      <c r="M81" s="137">
        <f>'LCI_AD-e'!$E27*'IW+_end'!M39</f>
        <v>1.6147514348466379E-5</v>
      </c>
      <c r="N81" s="137">
        <f>'LCI_AD-e'!$E27*'IW+_end'!N39</f>
        <v>1.5509721633758954E-5</v>
      </c>
      <c r="O81" s="137">
        <f>'LCI_AD-e'!$E27*'IW+_end'!O39</f>
        <v>8.5675323446428744E-6</v>
      </c>
      <c r="P81" s="137">
        <f>'LCI_AD-e'!$E27*'IW+_end'!P39</f>
        <v>4.4865528507151899E-9</v>
      </c>
      <c r="Q81" s="137">
        <f>'LCI_AD-e'!$E27*'IW+_end'!Q39</f>
        <v>8.4313058272213685E-8</v>
      </c>
      <c r="R81" s="137">
        <f>'LCI_AD-e'!$E27*'IW+_end'!R39</f>
        <v>0.47081896562499315</v>
      </c>
      <c r="S81" s="137">
        <f>'LCI_AD-e'!$E27*'IW+_end'!S39</f>
        <v>3.8586705799998522</v>
      </c>
      <c r="T81" s="137">
        <f>'LCI_AD-e'!$E27*'IW+_end'!T39</f>
        <v>51.448237520994859</v>
      </c>
      <c r="U81" s="137">
        <f>'LCI_AD-e'!$E27*'IW+_end'!U39</f>
        <v>5.5848361528431933</v>
      </c>
      <c r="V81" s="137">
        <f>'LCI_AD-e'!$E27*'IW+_end'!V39</f>
        <v>7.5845652062291584E-6</v>
      </c>
      <c r="W81" s="137">
        <f>'LCI_AD-e'!$E27*'IW+_end'!W39</f>
        <v>6.8864394550549524E-6</v>
      </c>
      <c r="X81" s="137">
        <f>'LCI_AD-e'!$E27*'IW+_end'!X39</f>
        <v>0.21450240811104379</v>
      </c>
      <c r="Y81" s="137">
        <f>'LCI_AD-e'!$E27*'IW+_end'!Y39</f>
        <v>1.1572501541359253E-8</v>
      </c>
      <c r="Z81" s="137">
        <f>'LCI_AD-e'!$E27*'IW+_end'!Z39</f>
        <v>6.4753223261366854E-5</v>
      </c>
      <c r="AA81" s="137">
        <f>'LCI_AD-e'!$E27*'IW+_end'!AA39</f>
        <v>3.6293476897048933</v>
      </c>
      <c r="AB81" s="137">
        <f>'LCI_AD-e'!$E27*'IW+_end'!AB39</f>
        <v>3.2456987736143592E-7</v>
      </c>
      <c r="AC81" s="137">
        <f>'LCI_AD-e'!$E27*'IW+_end'!AC39</f>
        <v>7.149214712530326</v>
      </c>
      <c r="AD81" s="137">
        <f>'LCI_AD-e'!$E27*'IW+_end'!AD39</f>
        <v>0.27686967006714158</v>
      </c>
      <c r="AE81" s="137">
        <f>'LCI_AD-e'!$E27*'IW+_end'!AE39</f>
        <v>0.25135504010950577</v>
      </c>
      <c r="AF81" s="137">
        <f>'LCI_AD-e'!$E27*'IW+_end'!AF39</f>
        <v>4.0284118196221991E-3</v>
      </c>
      <c r="AG81" s="137">
        <f>'LCI_AD-e'!$E27*'IW+_end'!AG39</f>
        <v>269.71816132691049</v>
      </c>
      <c r="AH81" s="137">
        <f>'LCI_AD-e'!$E27*'IW+_end'!AH39</f>
        <v>2.6040822543093238E-3</v>
      </c>
      <c r="AI81" s="137">
        <f>'LCI_AD-e'!$E27*'IW+_end'!AI39</f>
        <v>7.800970104713044E-5</v>
      </c>
      <c r="AJ81" s="137">
        <f>'LCI_AD-e'!$E27*'IW+_end'!AJ39</f>
        <v>9.5282913754502408E-6</v>
      </c>
      <c r="AK81" s="137">
        <f>'LCI_AD-e'!$E27*'IW+_end'!AK39</f>
        <v>8.9986914020505533E-4</v>
      </c>
    </row>
    <row r="83" spans="1:37" x14ac:dyDescent="0.35">
      <c r="A83" s="40" t="s">
        <v>500</v>
      </c>
      <c r="C83" s="40">
        <f>C46+C70-C76</f>
        <v>-151.29711174827199</v>
      </c>
      <c r="D83" s="40">
        <f t="shared" ref="D83:AK83" si="11">D46+D70-D76</f>
        <v>-37.619349407333914</v>
      </c>
      <c r="E83" s="40">
        <f t="shared" si="11"/>
        <v>-2.0390270064445117E-3</v>
      </c>
      <c r="F83" s="40">
        <f t="shared" si="11"/>
        <v>-5.0699484973772461E-4</v>
      </c>
      <c r="G83" s="40">
        <f t="shared" si="11"/>
        <v>-2.0314009733392372E-16</v>
      </c>
      <c r="H83" s="40">
        <f t="shared" si="11"/>
        <v>6.4743053426068968</v>
      </c>
      <c r="I83" s="40">
        <f t="shared" si="11"/>
        <v>-11.994090046210387</v>
      </c>
      <c r="J83" s="40">
        <f t="shared" si="11"/>
        <v>-4.3543340675390967</v>
      </c>
      <c r="K83" s="40">
        <f t="shared" si="11"/>
        <v>-0.35109229862007474</v>
      </c>
      <c r="L83" s="40">
        <f t="shared" si="11"/>
        <v>-8.1510449909102507E-7</v>
      </c>
      <c r="M83" s="40">
        <f t="shared" si="11"/>
        <v>-2.0729493176783219E-5</v>
      </c>
      <c r="N83" s="40">
        <f t="shared" si="11"/>
        <v>-2.3701385639398465E-5</v>
      </c>
      <c r="O83" s="40">
        <f t="shared" si="11"/>
        <v>-3.2020218987678104E-6</v>
      </c>
      <c r="P83" s="40">
        <f t="shared" si="11"/>
        <v>1.4653804317837755E-10</v>
      </c>
      <c r="Q83" s="40">
        <f t="shared" si="11"/>
        <v>1.5655042905435562E-7</v>
      </c>
      <c r="R83" s="40">
        <f t="shared" si="11"/>
        <v>-0.75254208250410759</v>
      </c>
      <c r="S83" s="40">
        <f t="shared" si="11"/>
        <v>-5.7780608446842407</v>
      </c>
      <c r="T83" s="40">
        <f t="shared" si="11"/>
        <v>-56.932985519687648</v>
      </c>
      <c r="U83" s="40">
        <f t="shared" si="11"/>
        <v>-6.1802181538727679</v>
      </c>
      <c r="V83" s="40">
        <f t="shared" si="11"/>
        <v>-2.157213493996725E-5</v>
      </c>
      <c r="W83" s="40">
        <f t="shared" si="11"/>
        <v>-3.1707556269863898E-5</v>
      </c>
      <c r="X83" s="40">
        <f t="shared" si="11"/>
        <v>-0.83322128195916723</v>
      </c>
      <c r="Y83" s="40">
        <f t="shared" si="11"/>
        <v>-1.269316564573583E-8</v>
      </c>
      <c r="Z83" s="40">
        <f t="shared" si="11"/>
        <v>7.30795331867091E-4</v>
      </c>
      <c r="AA83" s="40">
        <f t="shared" si="11"/>
        <v>-0.60506939223862144</v>
      </c>
      <c r="AB83" s="40">
        <f t="shared" si="11"/>
        <v>-4.0259950155036088E-9</v>
      </c>
      <c r="AC83" s="40">
        <f t="shared" si="11"/>
        <v>93.862762586898867</v>
      </c>
      <c r="AD83" s="40">
        <f t="shared" si="11"/>
        <v>-0.78740920870951825</v>
      </c>
      <c r="AE83" s="40">
        <f t="shared" si="11"/>
        <v>-1.157325803850032</v>
      </c>
      <c r="AF83" s="40">
        <f t="shared" si="11"/>
        <v>-5.5146038908575586E-3</v>
      </c>
      <c r="AG83" s="40">
        <f t="shared" si="11"/>
        <v>-178.31878173696958</v>
      </c>
      <c r="AH83" s="40">
        <f t="shared" si="11"/>
        <v>-1.950775677914994E-3</v>
      </c>
      <c r="AI83" s="40">
        <f t="shared" si="11"/>
        <v>-7.142563627674332E-4</v>
      </c>
      <c r="AJ83" s="40">
        <f t="shared" si="11"/>
        <v>-8.7240979645664379E-5</v>
      </c>
      <c r="AK83" s="40">
        <f t="shared" si="11"/>
        <v>-6.7576711958932598E-3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opLeftCell="G4" zoomScaleNormal="10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0</v>
      </c>
      <c r="C5" s="151">
        <f>LCIA_IC!AG78</f>
        <v>0</v>
      </c>
      <c r="D5" s="151">
        <f>'LCIA_AD-a'!AG72</f>
        <v>0</v>
      </c>
      <c r="E5" s="150">
        <f>'LCIA_AD-b'!AG91</f>
        <v>0</v>
      </c>
      <c r="F5" s="151">
        <f t="shared" ref="F5:G7" si="0">D5</f>
        <v>0</v>
      </c>
      <c r="G5" s="150">
        <f t="shared" si="0"/>
        <v>0</v>
      </c>
      <c r="H5" s="150">
        <f t="shared" ref="H5:H7" si="1">F5</f>
        <v>0</v>
      </c>
      <c r="I5" s="150">
        <f t="shared" ref="I5:I7" si="2">G5</f>
        <v>0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1"/>
        <v>-61.814269599634287</v>
      </c>
      <c r="I6" s="150">
        <f t="shared" si="2"/>
        <v>-30.827734611479176</v>
      </c>
    </row>
    <row r="7" spans="1:9" x14ac:dyDescent="0.35">
      <c r="A7" s="150" t="s">
        <v>510</v>
      </c>
      <c r="B7" s="150">
        <f>-LCIA_HC!AG45</f>
        <v>0</v>
      </c>
      <c r="C7" s="151">
        <f>-LCIA_IC!AG83</f>
        <v>0</v>
      </c>
      <c r="D7" s="151">
        <f>-'LCIA_AD-a'!AG77</f>
        <v>0</v>
      </c>
      <c r="E7" s="150">
        <f>-'LCIA_AD-b'!AG96</f>
        <v>0</v>
      </c>
      <c r="F7" s="151">
        <f t="shared" si="0"/>
        <v>0</v>
      </c>
      <c r="G7" s="150">
        <f t="shared" si="0"/>
        <v>0</v>
      </c>
      <c r="H7" s="150">
        <f t="shared" si="1"/>
        <v>0</v>
      </c>
      <c r="I7" s="150">
        <f t="shared" si="2"/>
        <v>0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-304.42307828021836</v>
      </c>
      <c r="E11" s="150">
        <f>D11</f>
        <v>-304.42307828021836</v>
      </c>
      <c r="F11" s="150"/>
      <c r="G11" s="150"/>
      <c r="H11" s="150"/>
      <c r="I11" s="150"/>
    </row>
    <row r="12" spans="1:9" x14ac:dyDescent="0.35">
      <c r="A12" s="150" t="s">
        <v>500</v>
      </c>
      <c r="B12" s="150">
        <f t="shared" ref="B12:D12" si="3">SUM(B3:B11)</f>
        <v>46.522352528175723</v>
      </c>
      <c r="C12" s="150">
        <f t="shared" si="3"/>
        <v>69.145236307764407</v>
      </c>
      <c r="D12" s="150">
        <f t="shared" si="3"/>
        <v>-365.30709279512854</v>
      </c>
      <c r="E12" s="150">
        <f>SUM(E3:E11)</f>
        <v>-433.13195787501417</v>
      </c>
      <c r="F12" s="150">
        <f t="shared" ref="F12:I12" si="4">SUM(F3:F11)</f>
        <v>-112.77908949552042</v>
      </c>
      <c r="G12" s="150">
        <f t="shared" si="4"/>
        <v>-180.60395457540605</v>
      </c>
      <c r="H12" s="150">
        <f t="shared" si="4"/>
        <v>-178.31878173696961</v>
      </c>
      <c r="I12" s="150">
        <f t="shared" si="4"/>
        <v>-246.14364681685521</v>
      </c>
    </row>
    <row r="14" spans="1:9" x14ac:dyDescent="0.35">
      <c r="A14" s="150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9" x14ac:dyDescent="0.35">
      <c r="A15" s="150"/>
      <c r="B15" s="150" t="s">
        <v>501</v>
      </c>
      <c r="C15" s="150" t="s">
        <v>502</v>
      </c>
      <c r="D15" s="150" t="s">
        <v>503</v>
      </c>
      <c r="E15" s="150" t="s">
        <v>504</v>
      </c>
      <c r="F15" s="150" t="s">
        <v>505</v>
      </c>
      <c r="G15" s="150" t="s">
        <v>506</v>
      </c>
      <c r="H15" s="150" t="s">
        <v>507</v>
      </c>
      <c r="I15" s="150" t="s">
        <v>508</v>
      </c>
    </row>
    <row r="16" spans="1:9" x14ac:dyDescent="0.35">
      <c r="A16" s="150" t="s">
        <v>294</v>
      </c>
      <c r="B16" s="150">
        <f>LCIA_HC!AH30</f>
        <v>1.5340506341983027E-4</v>
      </c>
      <c r="C16" s="150">
        <f>LCIA_IC!AH59</f>
        <v>2.6573392590665515E-4</v>
      </c>
      <c r="D16" s="150"/>
      <c r="E16" s="150"/>
      <c r="F16" s="150"/>
      <c r="G16" s="150"/>
      <c r="H16" s="150"/>
      <c r="I16" s="150"/>
    </row>
    <row r="17" spans="1:9" x14ac:dyDescent="0.35">
      <c r="A17" s="150" t="s">
        <v>514</v>
      </c>
      <c r="B17" s="151">
        <f>SUM(LCIA_HC!AH36:AH39)</f>
        <v>2.2105407326104959E-4</v>
      </c>
      <c r="C17" s="151">
        <f>SUM(LCIA_IC!AH74:AH77)</f>
        <v>1.6840143962800451E-4</v>
      </c>
      <c r="D17" s="150">
        <f>SUM('LCIA_AD-a'!AH68:AH71)</f>
        <v>8.5127911209574808E-4</v>
      </c>
      <c r="E17" s="150">
        <f>SUM('LCIA_AD-b'!AH87:AH90)</f>
        <v>2.975596271988494E-5</v>
      </c>
      <c r="F17" s="150">
        <f>D17</f>
        <v>8.5127911209574808E-4</v>
      </c>
      <c r="G17" s="150">
        <f>E17</f>
        <v>2.975596271988494E-5</v>
      </c>
      <c r="H17" s="150">
        <f>F17</f>
        <v>8.5127911209574808E-4</v>
      </c>
      <c r="I17" s="150">
        <f>G17</f>
        <v>2.975596271988494E-5</v>
      </c>
    </row>
    <row r="18" spans="1:9" x14ac:dyDescent="0.35">
      <c r="A18" s="150" t="s">
        <v>515</v>
      </c>
      <c r="B18" s="151">
        <f>LCIA_HC!AH40</f>
        <v>0</v>
      </c>
      <c r="C18" s="151">
        <f>LCIA_IC!AH78</f>
        <v>0</v>
      </c>
      <c r="D18" s="151">
        <f>'LCIA_AD-a'!AH72</f>
        <v>0</v>
      </c>
      <c r="E18" s="150">
        <f>'LCIA_AD-b'!AH91</f>
        <v>0</v>
      </c>
      <c r="F18" s="151">
        <f t="shared" ref="F18:G20" si="5">D18</f>
        <v>0</v>
      </c>
      <c r="G18" s="150">
        <f t="shared" si="5"/>
        <v>0</v>
      </c>
      <c r="H18" s="150">
        <f t="shared" ref="H18:H20" si="6">F18</f>
        <v>0</v>
      </c>
      <c r="I18" s="150">
        <f t="shared" ref="I18:I20" si="7">G18</f>
        <v>0</v>
      </c>
    </row>
    <row r="19" spans="1:9" x14ac:dyDescent="0.35">
      <c r="A19" s="150" t="s">
        <v>509</v>
      </c>
      <c r="B19" s="150">
        <f>-SUM(LCIA_HC!AH42:AH44)</f>
        <v>-2.0742574294223382E-4</v>
      </c>
      <c r="C19" s="151">
        <f>-SUM(LCIA_IC!AH80:AH82)</f>
        <v>-1.628607732822649E-4</v>
      </c>
      <c r="D19" s="150">
        <f>-SUM('LCIA_AD-a'!AH74:AH76)</f>
        <v>-6.1444986733411467E-4</v>
      </c>
      <c r="E19" s="150">
        <f>-SUM('LCIA_AD-b'!AH93:AH95)</f>
        <v>-3.1816304968268396E-4</v>
      </c>
      <c r="F19" s="150">
        <f t="shared" si="5"/>
        <v>-6.1444986733411467E-4</v>
      </c>
      <c r="G19" s="150">
        <f t="shared" si="5"/>
        <v>-3.1816304968268396E-4</v>
      </c>
      <c r="H19" s="150">
        <f t="shared" si="6"/>
        <v>-6.1444986733411467E-4</v>
      </c>
      <c r="I19" s="150">
        <f t="shared" si="7"/>
        <v>-3.1816304968268396E-4</v>
      </c>
    </row>
    <row r="20" spans="1:9" x14ac:dyDescent="0.35">
      <c r="A20" s="150" t="s">
        <v>510</v>
      </c>
      <c r="B20" s="150">
        <f>-LCIA_HC!AH45</f>
        <v>0</v>
      </c>
      <c r="C20" s="151">
        <f>-LCIA_IC!AH83</f>
        <v>0</v>
      </c>
      <c r="D20" s="151">
        <f>-'LCIA_AD-a'!AH77</f>
        <v>0</v>
      </c>
      <c r="E20" s="150">
        <f>-'LCIA_AD-b'!AH96</f>
        <v>0</v>
      </c>
      <c r="F20" s="151">
        <f t="shared" si="5"/>
        <v>0</v>
      </c>
      <c r="G20" s="150">
        <f t="shared" si="5"/>
        <v>0</v>
      </c>
      <c r="H20" s="150">
        <f t="shared" si="6"/>
        <v>0</v>
      </c>
      <c r="I20" s="150">
        <f t="shared" si="7"/>
        <v>0</v>
      </c>
    </row>
    <row r="21" spans="1:9" x14ac:dyDescent="0.35">
      <c r="A21" s="150" t="s">
        <v>6</v>
      </c>
      <c r="B21" s="150"/>
      <c r="C21" s="150"/>
      <c r="D21" s="150">
        <f>'LCIA_AD-a'!AH45</f>
        <v>4.3575177867047175E-4</v>
      </c>
      <c r="E21" s="150">
        <f>'LCIA_AD-b'!AH55</f>
        <v>5.0297485870563373E-4</v>
      </c>
      <c r="F21" s="150">
        <f>'LCIA_AD-c'!AH45</f>
        <v>6.3197861038764738E-4</v>
      </c>
      <c r="G21" s="150">
        <f>'LCIA_AD-d'!AH54</f>
        <v>6.9920169042280941E-4</v>
      </c>
      <c r="H21" s="150">
        <f>'LCIA_AD-e'!AH46</f>
        <v>4.1647733163269646E-4</v>
      </c>
      <c r="I21" s="150">
        <f>'LCIA_AD-f'!AH56</f>
        <v>4.8370041166785849E-4</v>
      </c>
    </row>
    <row r="22" spans="1:9" x14ac:dyDescent="0.35">
      <c r="A22" s="150" t="s">
        <v>511</v>
      </c>
      <c r="B22" s="150"/>
      <c r="C22" s="150"/>
      <c r="D22" s="150">
        <f>-'LCIA_AD-a'!AH78</f>
        <v>-1.4519731357361082E-3</v>
      </c>
      <c r="E22" s="150">
        <f>D22</f>
        <v>-1.4519731357361082E-3</v>
      </c>
      <c r="F22" s="150"/>
      <c r="G22" s="150"/>
      <c r="H22" s="150">
        <f>-'LCIA_AD-e'!AH81</f>
        <v>-2.6040822543093238E-3</v>
      </c>
      <c r="I22" s="150">
        <f>H22</f>
        <v>-2.6040822543093238E-3</v>
      </c>
    </row>
    <row r="23" spans="1:9" x14ac:dyDescent="0.35">
      <c r="A23" s="150" t="s">
        <v>513</v>
      </c>
      <c r="B23" s="150"/>
      <c r="C23" s="150"/>
      <c r="D23" s="150"/>
      <c r="E23" s="150"/>
      <c r="F23" s="150">
        <f>-'LCIA_AD-c'!AH76+'LCIA_AD-c'!AH78</f>
        <v>-2.4027762933581335E-3</v>
      </c>
      <c r="G23" s="150">
        <f>F23</f>
        <v>-2.4027762933581335E-3</v>
      </c>
      <c r="H23" s="150"/>
      <c r="I23" s="150"/>
    </row>
    <row r="24" spans="1:9" x14ac:dyDescent="0.35">
      <c r="A24" s="150" t="s">
        <v>512</v>
      </c>
      <c r="B24" s="150"/>
      <c r="C24" s="150"/>
      <c r="D24" s="150">
        <f>-'LCIA_AD-a'!AH79</f>
        <v>-2.9767632713422133E-3</v>
      </c>
      <c r="E24" s="150">
        <f>D24</f>
        <v>-2.9767632713422133E-3</v>
      </c>
      <c r="F24" s="150"/>
      <c r="G24" s="150"/>
      <c r="H24" s="150"/>
      <c r="I24" s="150"/>
    </row>
    <row r="25" spans="1:9" x14ac:dyDescent="0.35">
      <c r="A25" s="150" t="s">
        <v>500</v>
      </c>
      <c r="B25" s="151">
        <f>SUM(B16:B24)</f>
        <v>1.6703339373864607E-4</v>
      </c>
      <c r="C25" s="151">
        <f t="shared" ref="C25:I25" si="8">SUM(C16:C24)</f>
        <v>2.7127459225239476E-4</v>
      </c>
      <c r="D25" s="151">
        <f t="shared" si="8"/>
        <v>-3.7561553836462161E-3</v>
      </c>
      <c r="E25" s="151">
        <f t="shared" si="8"/>
        <v>-4.2141686353354864E-3</v>
      </c>
      <c r="F25" s="151">
        <f t="shared" si="8"/>
        <v>-1.5339684382088526E-3</v>
      </c>
      <c r="G25" s="151">
        <f t="shared" si="8"/>
        <v>-1.9919816898981233E-3</v>
      </c>
      <c r="H25" s="151">
        <f t="shared" si="8"/>
        <v>-1.950775677914994E-3</v>
      </c>
      <c r="I25" s="151">
        <f t="shared" si="8"/>
        <v>-2.4087889296042645E-3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50"/>
      <c r="B28" s="150" t="s">
        <v>501</v>
      </c>
      <c r="C28" s="150" t="s">
        <v>502</v>
      </c>
      <c r="D28" s="150" t="s">
        <v>503</v>
      </c>
      <c r="E28" s="150" t="s">
        <v>504</v>
      </c>
      <c r="F28" s="150" t="s">
        <v>505</v>
      </c>
      <c r="G28" s="150" t="s">
        <v>506</v>
      </c>
      <c r="H28" s="150" t="s">
        <v>507</v>
      </c>
      <c r="I28" s="150" t="s">
        <v>508</v>
      </c>
    </row>
    <row r="29" spans="1:9" x14ac:dyDescent="0.35">
      <c r="A29" s="150" t="s">
        <v>294</v>
      </c>
      <c r="B29" s="150">
        <f>LCIA_HC!C70</f>
        <v>34.264521044421535</v>
      </c>
      <c r="C29" s="152">
        <f>LCIA_IC!C29</f>
        <v>35.421319139716672</v>
      </c>
      <c r="D29" s="150"/>
      <c r="E29" s="150"/>
      <c r="F29" s="150"/>
      <c r="G29" s="150"/>
      <c r="H29" s="150"/>
      <c r="I29" s="150"/>
    </row>
    <row r="30" spans="1:9" x14ac:dyDescent="0.35">
      <c r="A30" s="150" t="s">
        <v>514</v>
      </c>
      <c r="B30" s="151">
        <f>SUM(LCIA_HC!C76:C79)</f>
        <v>35.750237253277092</v>
      </c>
      <c r="C30" s="151">
        <f>SUM(LCIA_IC!C44:C47)</f>
        <v>27.051024108006885</v>
      </c>
      <c r="D30" s="150">
        <f>SUM('LCIA_AD-a'!C28:C31)</f>
        <v>19.040938704967669</v>
      </c>
      <c r="E30" s="150">
        <f>SUM('LCIA_AD-b'!C37:C40)</f>
        <v>3.6020203114535199</v>
      </c>
      <c r="F30" s="150">
        <f>D30</f>
        <v>19.040938704967669</v>
      </c>
      <c r="G30" s="150">
        <f>E30</f>
        <v>3.6020203114535199</v>
      </c>
      <c r="H30" s="150">
        <f>F30</f>
        <v>19.040938704967669</v>
      </c>
      <c r="I30" s="150">
        <f>G30</f>
        <v>3.6020203114535199</v>
      </c>
    </row>
    <row r="31" spans="1:9" x14ac:dyDescent="0.35">
      <c r="A31" s="150" t="s">
        <v>515</v>
      </c>
      <c r="B31" s="151">
        <f>LCIA_HC!C80</f>
        <v>0</v>
      </c>
      <c r="C31" s="151">
        <f>LCIA_IC!C48</f>
        <v>0</v>
      </c>
      <c r="D31" s="151">
        <f>'LCIA_AD-a'!C32</f>
        <v>0</v>
      </c>
      <c r="E31" s="150">
        <f>'LCIA_AD-b'!C41</f>
        <v>0</v>
      </c>
      <c r="F31" s="151">
        <f>D31</f>
        <v>0</v>
      </c>
      <c r="G31" s="150">
        <f t="shared" ref="G31:G33" si="9">E31</f>
        <v>0</v>
      </c>
      <c r="H31" s="150">
        <f t="shared" ref="H31:H33" si="10">F31</f>
        <v>0</v>
      </c>
      <c r="I31" s="150">
        <f t="shared" ref="I31:I33" si="11">G31</f>
        <v>0</v>
      </c>
    </row>
    <row r="32" spans="1:9" x14ac:dyDescent="0.35">
      <c r="A32" s="150" t="s">
        <v>509</v>
      </c>
      <c r="B32" s="150">
        <f>-SUM(LCIA_HC!C82:C84)</f>
        <v>-22.992325521765316</v>
      </c>
      <c r="C32" s="151">
        <f>-SUM(LCIA_IC!C50:C52)</f>
        <v>-18.060377937268509</v>
      </c>
      <c r="D32" s="150">
        <f>-SUM('LCIA_AD-a'!C34:C36)</f>
        <v>-60.338310785025655</v>
      </c>
      <c r="E32" s="150">
        <f>-SUM('LCIA_AD-b'!C43:C45)</f>
        <v>-29.873713727434399</v>
      </c>
      <c r="F32" s="150">
        <f>D32</f>
        <v>-60.338310785025655</v>
      </c>
      <c r="G32" s="150">
        <f t="shared" si="9"/>
        <v>-29.873713727434399</v>
      </c>
      <c r="H32" s="150">
        <f t="shared" si="10"/>
        <v>-60.338310785025655</v>
      </c>
      <c r="I32" s="150">
        <f t="shared" si="11"/>
        <v>-29.873713727434399</v>
      </c>
    </row>
    <row r="33" spans="1:9" x14ac:dyDescent="0.35">
      <c r="A33" s="150" t="s">
        <v>510</v>
      </c>
      <c r="B33" s="150">
        <f>-LCIA_HC!C85</f>
        <v>0</v>
      </c>
      <c r="C33" s="151">
        <f>-LCIA_IC!C53</f>
        <v>0</v>
      </c>
      <c r="D33" s="151">
        <f>-'LCIA_AD-a'!C37</f>
        <v>0</v>
      </c>
      <c r="E33" s="150">
        <f>-'LCIA_AD-b'!C46</f>
        <v>0</v>
      </c>
      <c r="F33" s="151">
        <f>D33</f>
        <v>0</v>
      </c>
      <c r="G33" s="150">
        <f t="shared" si="9"/>
        <v>0</v>
      </c>
      <c r="H33" s="150">
        <f t="shared" si="10"/>
        <v>0</v>
      </c>
      <c r="I33" s="150">
        <f t="shared" si="11"/>
        <v>0</v>
      </c>
    </row>
    <row r="34" spans="1:9" x14ac:dyDescent="0.35">
      <c r="A34" s="150" t="s">
        <v>6</v>
      </c>
      <c r="B34" s="150"/>
      <c r="C34" s="150"/>
      <c r="D34" s="152">
        <f>'LCIA_AD-a'!C5</f>
        <v>130.89983518703079</v>
      </c>
      <c r="E34" s="152">
        <f>'LCIA_AD-b'!C5</f>
        <v>115.03586225244955</v>
      </c>
      <c r="F34" s="152">
        <f>'LCIA_AD-c'!C5</f>
        <v>166.06528020235362</v>
      </c>
      <c r="G34" s="152">
        <f>'LCIA_AD-d'!C5</f>
        <v>150.20130726777239</v>
      </c>
      <c r="H34" s="152">
        <f>'LCIA_AD-e'!C5</f>
        <v>100.41025697281384</v>
      </c>
      <c r="I34" s="152">
        <f>'LCIA_AD-f'!C5</f>
        <v>64.523122487452923</v>
      </c>
    </row>
    <row r="35" spans="1:9" x14ac:dyDescent="0.35">
      <c r="A35" s="150" t="s">
        <v>511</v>
      </c>
      <c r="B35" s="150"/>
      <c r="C35" s="150"/>
      <c r="D35" s="150">
        <f>-'LCIA_AD-a'!C38</f>
        <v>-152.84659670820477</v>
      </c>
      <c r="E35" s="150">
        <f>D35</f>
        <v>-152.84659670820477</v>
      </c>
      <c r="F35" s="150"/>
      <c r="G35" s="150"/>
      <c r="H35" s="150">
        <f>-'LCIA_AD-e'!C40</f>
        <v>-274.12704844406284</v>
      </c>
      <c r="I35" s="150">
        <f>H35</f>
        <v>-274.12704844406284</v>
      </c>
    </row>
    <row r="36" spans="1:9" x14ac:dyDescent="0.35">
      <c r="A36" s="150" t="s">
        <v>513</v>
      </c>
      <c r="B36" s="150"/>
      <c r="C36" s="150"/>
      <c r="D36" s="150"/>
      <c r="E36" s="150"/>
      <c r="F36" s="150">
        <f>-'LCIA_AD-c'!C36+'LCIA_AD-c'!C38</f>
        <v>-357.84584617827744</v>
      </c>
      <c r="G36" s="150">
        <f>F36</f>
        <v>-357.84584617827744</v>
      </c>
      <c r="H36" s="150"/>
      <c r="I36" s="150"/>
    </row>
    <row r="37" spans="1:9" x14ac:dyDescent="0.35">
      <c r="A37" s="150" t="s">
        <v>512</v>
      </c>
      <c r="B37" s="150"/>
      <c r="C37" s="150"/>
      <c r="D37" s="150">
        <f>-'LCIA_AD-a'!C39</f>
        <v>-434.30973512854933</v>
      </c>
      <c r="E37" s="150">
        <f>D37</f>
        <v>-434.30973512854933</v>
      </c>
      <c r="F37" s="150"/>
      <c r="G37" s="150"/>
      <c r="H37" s="150"/>
      <c r="I37" s="150"/>
    </row>
    <row r="38" spans="1:9" x14ac:dyDescent="0.35">
      <c r="A38" s="150" t="s">
        <v>500</v>
      </c>
      <c r="B38" s="150">
        <f>SUM(B29:B37)</f>
        <v>47.022432775933304</v>
      </c>
      <c r="C38" s="150">
        <f>SUM(C29:C37)</f>
        <v>44.411965310455045</v>
      </c>
      <c r="D38" s="150">
        <f>SUM(D29:D37)</f>
        <v>-497.5538687297813</v>
      </c>
      <c r="E38" s="150">
        <f t="shared" ref="E38:H38" si="12">SUM(E29:E37)</f>
        <v>-498.39216300028545</v>
      </c>
      <c r="F38" s="150">
        <f t="shared" si="12"/>
        <v>-233.0779380559818</v>
      </c>
      <c r="G38" s="150">
        <f t="shared" si="12"/>
        <v>-233.91623232648593</v>
      </c>
      <c r="H38" s="150">
        <f t="shared" si="12"/>
        <v>-215.01416355130698</v>
      </c>
      <c r="I38" s="150">
        <f>SUM(I29:I37)</f>
        <v>-235.87561937259079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238E-BB70-4AEA-8780-569C61DCA0BB}">
  <dimension ref="A1:I50"/>
  <sheetViews>
    <sheetView topLeftCell="A10" zoomScale="80" zoomScaleNormal="80" workbookViewId="0">
      <selection activeCell="D24" sqref="D24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3" width="12.36328125" bestFit="1" customWidth="1"/>
    <col min="4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50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50"/>
      <c r="B2" s="150" t="s">
        <v>501</v>
      </c>
      <c r="C2" s="150" t="s">
        <v>502</v>
      </c>
      <c r="D2" s="150" t="s">
        <v>503</v>
      </c>
      <c r="E2" s="150" t="s">
        <v>504</v>
      </c>
      <c r="F2" s="150" t="s">
        <v>505</v>
      </c>
      <c r="G2" s="150" t="s">
        <v>506</v>
      </c>
      <c r="H2" s="150" t="s">
        <v>507</v>
      </c>
      <c r="I2" s="150" t="s">
        <v>508</v>
      </c>
    </row>
    <row r="3" spans="1:9" x14ac:dyDescent="0.35">
      <c r="A3" s="150" t="s">
        <v>294</v>
      </c>
      <c r="B3" s="150">
        <f>LCIA_HC!AG30</f>
        <v>45.531422488575686</v>
      </c>
      <c r="C3" s="150">
        <f>LCIA_IC!AG59</f>
        <v>48.310093052891858</v>
      </c>
      <c r="D3" s="150"/>
      <c r="E3" s="150"/>
      <c r="F3" s="150"/>
      <c r="G3" s="150"/>
      <c r="H3" s="150"/>
      <c r="I3" s="150"/>
    </row>
    <row r="4" spans="1:9" x14ac:dyDescent="0.35">
      <c r="A4" s="150" t="s">
        <v>514</v>
      </c>
      <c r="B4" s="151">
        <f>SUM(LCIA_HC!AG36:AG39)</f>
        <v>20.965010453055651</v>
      </c>
      <c r="C4" s="151">
        <f>SUM(LCIA_IC!AG74:AG77)</f>
        <v>36.498991748391838</v>
      </c>
      <c r="D4" s="150">
        <f>SUM('LCIA_AD-a'!AG68:AG71)</f>
        <v>116.38436437632861</v>
      </c>
      <c r="E4" s="150">
        <f>SUM('LCIA_AD-b'!AG87:AG90)</f>
        <v>8.3638888951952861</v>
      </c>
      <c r="F4" s="150">
        <f>SUM('LCIA_AD-c'!AG66:AG69)</f>
        <v>116.38436437632861</v>
      </c>
      <c r="G4" s="150">
        <f>SUM('LCIA_AD-d'!AG84:AG87)</f>
        <v>8.3638888951952861</v>
      </c>
      <c r="H4" s="150">
        <f>F4</f>
        <v>116.38436437632861</v>
      </c>
      <c r="I4" s="150">
        <f>G4</f>
        <v>8.3638888951952861</v>
      </c>
    </row>
    <row r="5" spans="1:9" x14ac:dyDescent="0.35">
      <c r="A5" s="150" t="s">
        <v>515</v>
      </c>
      <c r="B5" s="151">
        <f>LCIA_HC!AG40</f>
        <v>0</v>
      </c>
      <c r="C5" s="151">
        <f>LCIA_IC!AG78</f>
        <v>0</v>
      </c>
      <c r="D5" s="151">
        <f>'LCIA_AD-a'!AG72</f>
        <v>0</v>
      </c>
      <c r="E5" s="150">
        <f>'LCIA_AD-b'!AG91</f>
        <v>0</v>
      </c>
      <c r="F5" s="151">
        <f t="shared" ref="F5:I7" si="0">D5</f>
        <v>0</v>
      </c>
      <c r="G5" s="150">
        <f t="shared" si="0"/>
        <v>0</v>
      </c>
      <c r="H5" s="150">
        <f t="shared" si="0"/>
        <v>0</v>
      </c>
      <c r="I5" s="150">
        <f t="shared" si="0"/>
        <v>0</v>
      </c>
    </row>
    <row r="6" spans="1:9" x14ac:dyDescent="0.35">
      <c r="A6" s="150" t="s">
        <v>509</v>
      </c>
      <c r="B6" s="150">
        <f>-SUM(LCIA_HC!AG42:AG44)</f>
        <v>-19.974080413455617</v>
      </c>
      <c r="C6" s="151">
        <f>-SUM(LCIA_IC!AG80:AG82)</f>
        <v>-15.663848493519279</v>
      </c>
      <c r="D6" s="150">
        <f>-SUM('LCIA_AD-a'!AG74:AG76)</f>
        <v>-61.814269599634287</v>
      </c>
      <c r="E6" s="150">
        <f>-SUM('LCIA_AD-b'!AG93:AG95)</f>
        <v>-30.827734611479176</v>
      </c>
      <c r="F6" s="150">
        <f t="shared" si="0"/>
        <v>-61.814269599634287</v>
      </c>
      <c r="G6" s="150">
        <f t="shared" si="0"/>
        <v>-30.827734611479176</v>
      </c>
      <c r="H6" s="150">
        <f t="shared" si="0"/>
        <v>-61.814269599634287</v>
      </c>
      <c r="I6" s="150">
        <f t="shared" si="0"/>
        <v>-30.827734611479176</v>
      </c>
    </row>
    <row r="7" spans="1:9" x14ac:dyDescent="0.35">
      <c r="A7" s="150" t="s">
        <v>510</v>
      </c>
      <c r="B7" s="150">
        <f>-LCIA_HC!AG45</f>
        <v>0</v>
      </c>
      <c r="C7" s="151">
        <f>-LCIA_IC!AG83</f>
        <v>0</v>
      </c>
      <c r="D7" s="151">
        <f>-'LCIA_AD-a'!AG77</f>
        <v>0</v>
      </c>
      <c r="E7" s="150">
        <f>-'LCIA_AD-b'!AG96</f>
        <v>0</v>
      </c>
      <c r="F7" s="151">
        <f t="shared" si="0"/>
        <v>0</v>
      </c>
      <c r="G7" s="150">
        <f t="shared" si="0"/>
        <v>0</v>
      </c>
      <c r="H7" s="150">
        <f t="shared" si="0"/>
        <v>0</v>
      </c>
      <c r="I7" s="150">
        <f t="shared" si="0"/>
        <v>0</v>
      </c>
    </row>
    <row r="8" spans="1:9" x14ac:dyDescent="0.35">
      <c r="A8" s="150" t="s">
        <v>6</v>
      </c>
      <c r="B8" s="150"/>
      <c r="C8" s="150"/>
      <c r="D8" s="150">
        <f>'LCIA_AD-a'!AG45</f>
        <v>34.934198842188046</v>
      </c>
      <c r="E8" s="150">
        <f>'LCIA_AD-b'!AG55</f>
        <v>44.143274255280637</v>
      </c>
      <c r="F8" s="150">
        <f>'LCIA_AD-c'!AG45</f>
        <v>76.859354005042192</v>
      </c>
      <c r="G8" s="150">
        <f>'LCIA_AD-d'!AG54</f>
        <v>86.06842941813477</v>
      </c>
      <c r="H8" s="150">
        <f>'LCIA_AD-e'!AG46</f>
        <v>36.829284813246559</v>
      </c>
      <c r="I8" s="150">
        <f>'LCIA_AD-f'!AG56</f>
        <v>46.038360226339158</v>
      </c>
    </row>
    <row r="9" spans="1:9" x14ac:dyDescent="0.35">
      <c r="A9" s="150" t="s">
        <v>511</v>
      </c>
      <c r="B9" s="150"/>
      <c r="C9" s="150"/>
      <c r="D9" s="150">
        <f>-'LCIA_AD-a'!AG78</f>
        <v>-150.38830813379255</v>
      </c>
      <c r="E9" s="150">
        <f>D9</f>
        <v>-150.38830813379255</v>
      </c>
      <c r="F9" s="150"/>
      <c r="G9" s="150"/>
      <c r="H9" s="150">
        <f>-'LCIA_AD-e'!AG81</f>
        <v>-269.71816132691049</v>
      </c>
      <c r="I9" s="150">
        <f>H9</f>
        <v>-269.71816132691049</v>
      </c>
    </row>
    <row r="10" spans="1:9" x14ac:dyDescent="0.35">
      <c r="A10" s="150" t="s">
        <v>513</v>
      </c>
      <c r="B10" s="150"/>
      <c r="C10" s="150"/>
      <c r="D10" s="150"/>
      <c r="E10" s="150"/>
      <c r="F10" s="150">
        <f>-'LCIA_AD-c'!AG76 +'LCIA_AD-c'!AG78</f>
        <v>-244.20853827725693</v>
      </c>
      <c r="G10" s="150">
        <f>F10</f>
        <v>-244.20853827725693</v>
      </c>
      <c r="H10" s="150"/>
      <c r="I10" s="150"/>
    </row>
    <row r="11" spans="1:9" x14ac:dyDescent="0.35">
      <c r="A11" s="150" t="s">
        <v>512</v>
      </c>
      <c r="B11" s="150"/>
      <c r="C11" s="150"/>
      <c r="D11" s="150">
        <f>-'LCIA_AD-a'!AG79</f>
        <v>-304.42307828021836</v>
      </c>
      <c r="E11" s="150">
        <f>D11</f>
        <v>-304.42307828021836</v>
      </c>
      <c r="F11" s="150"/>
      <c r="G11" s="150"/>
      <c r="H11" s="150"/>
      <c r="I11" s="150"/>
    </row>
    <row r="12" spans="1:9" x14ac:dyDescent="0.35">
      <c r="A12" s="150" t="s">
        <v>516</v>
      </c>
      <c r="B12" s="150"/>
      <c r="C12" s="150">
        <f>'[5]Sheet1 (2)'!$D$67</f>
        <v>8.5686161087507493</v>
      </c>
      <c r="D12" s="150">
        <f>'[5]Sheet1 (2)'!$D$103</f>
        <v>11.65237169451485</v>
      </c>
      <c r="E12" s="150">
        <f>'[5]Sheet1 (2)'!$D$64</f>
        <v>8.25616987444511</v>
      </c>
      <c r="F12" s="150">
        <f>'[5]Sheet1 (2)'!$D$21</f>
        <v>9.8184010459733049</v>
      </c>
      <c r="G12" s="150">
        <f>D12</f>
        <v>11.65237169451485</v>
      </c>
      <c r="H12" s="150">
        <f>G12</f>
        <v>11.65237169451485</v>
      </c>
      <c r="I12" s="150">
        <f>H12</f>
        <v>11.65237169451485</v>
      </c>
    </row>
    <row r="13" spans="1:9" x14ac:dyDescent="0.35">
      <c r="A13" s="150" t="s">
        <v>517</v>
      </c>
      <c r="B13" s="150"/>
      <c r="C13" s="150">
        <f>C14-C12</f>
        <v>49.078797405833825</v>
      </c>
      <c r="D13" s="150">
        <f t="shared" ref="D13:I13" si="1">D14-D12</f>
        <v>45.370149351458451</v>
      </c>
      <c r="E13" s="150">
        <f t="shared" si="1"/>
        <v>49.547466757292284</v>
      </c>
      <c r="F13" s="150">
        <f t="shared" si="1"/>
        <v>55.640168326252251</v>
      </c>
      <c r="G13" s="150">
        <f t="shared" si="1"/>
        <v>45.370149351458451</v>
      </c>
      <c r="H13" s="150">
        <f t="shared" si="1"/>
        <v>45.370149351458451</v>
      </c>
      <c r="I13" s="150">
        <f t="shared" si="1"/>
        <v>45.370149351458451</v>
      </c>
    </row>
    <row r="14" spans="1:9" x14ac:dyDescent="0.35">
      <c r="A14" s="153" t="s">
        <v>520</v>
      </c>
      <c r="B14" s="150"/>
      <c r="C14" s="150">
        <f>'[5]Sheet1 (2)'!$D$31</f>
        <v>57.647413514584578</v>
      </c>
      <c r="D14" s="150">
        <f>'[5]Sheet1 (2)'!$D$32</f>
        <v>57.022521045973299</v>
      </c>
      <c r="E14" s="150">
        <f>'[5]Sheet1 (2)'!$D$28</f>
        <v>57.803636631737398</v>
      </c>
      <c r="F14" s="150">
        <f>'[5]Sheet1 (2)'!$D$29</f>
        <v>65.458569372225554</v>
      </c>
      <c r="G14" s="150">
        <f>D14</f>
        <v>57.022521045973299</v>
      </c>
      <c r="H14" s="150">
        <f>G14</f>
        <v>57.022521045973299</v>
      </c>
      <c r="I14" s="150">
        <f>H14</f>
        <v>57.022521045973299</v>
      </c>
    </row>
    <row r="15" spans="1:9" x14ac:dyDescent="0.35">
      <c r="A15" s="150" t="s">
        <v>519</v>
      </c>
      <c r="B15" s="150"/>
      <c r="C15" s="150">
        <f t="shared" ref="C15:I15" si="2">SUM(C3:C11)+C12</f>
        <v>77.713852416515152</v>
      </c>
      <c r="D15" s="150">
        <f t="shared" si="2"/>
        <v>-353.6547211006137</v>
      </c>
      <c r="E15" s="150">
        <f t="shared" si="2"/>
        <v>-424.87578800056906</v>
      </c>
      <c r="F15" s="150">
        <f t="shared" si="2"/>
        <v>-102.96068844954712</v>
      </c>
      <c r="G15" s="150">
        <f t="shared" si="2"/>
        <v>-168.95158288089121</v>
      </c>
      <c r="H15" s="150">
        <f t="shared" si="2"/>
        <v>-166.66641004245477</v>
      </c>
      <c r="I15" s="150">
        <f t="shared" si="2"/>
        <v>-234.49127512234037</v>
      </c>
    </row>
    <row r="16" spans="1:9" x14ac:dyDescent="0.35">
      <c r="A16" s="150" t="s">
        <v>518</v>
      </c>
      <c r="B16" s="150">
        <f>SUM(B3:B11)</f>
        <v>46.522352528175723</v>
      </c>
      <c r="C16" s="150">
        <f t="shared" ref="C16:I16" si="3">SUM(C3:C11)+C14</f>
        <v>126.79264982234898</v>
      </c>
      <c r="D16" s="150">
        <f t="shared" si="3"/>
        <v>-308.28457174915525</v>
      </c>
      <c r="E16" s="150">
        <f t="shared" si="3"/>
        <v>-375.32832124327678</v>
      </c>
      <c r="F16" s="150">
        <f t="shared" si="3"/>
        <v>-47.32052012329487</v>
      </c>
      <c r="G16" s="150">
        <f t="shared" si="3"/>
        <v>-123.58143352943276</v>
      </c>
      <c r="H16" s="150">
        <f t="shared" si="3"/>
        <v>-121.29626069099632</v>
      </c>
      <c r="I16" s="150">
        <f t="shared" si="3"/>
        <v>-189.12112577088192</v>
      </c>
    </row>
    <row r="18" spans="1:9" x14ac:dyDescent="0.35">
      <c r="A18" s="150"/>
      <c r="B18" s="165" t="s">
        <v>399</v>
      </c>
      <c r="C18" s="166"/>
      <c r="D18" s="166"/>
      <c r="E18" s="166"/>
      <c r="F18" s="166"/>
      <c r="G18" s="166"/>
      <c r="H18" s="166"/>
      <c r="I18" s="167"/>
    </row>
    <row r="19" spans="1:9" x14ac:dyDescent="0.35">
      <c r="A19" s="150"/>
      <c r="B19" s="150" t="s">
        <v>501</v>
      </c>
      <c r="C19" s="150" t="s">
        <v>502</v>
      </c>
      <c r="D19" s="150" t="s">
        <v>503</v>
      </c>
      <c r="E19" s="150" t="s">
        <v>504</v>
      </c>
      <c r="F19" s="150" t="s">
        <v>505</v>
      </c>
      <c r="G19" s="150" t="s">
        <v>506</v>
      </c>
      <c r="H19" s="150" t="s">
        <v>507</v>
      </c>
      <c r="I19" s="150" t="s">
        <v>508</v>
      </c>
    </row>
    <row r="20" spans="1:9" x14ac:dyDescent="0.35">
      <c r="A20" s="150" t="s">
        <v>294</v>
      </c>
      <c r="B20" s="150">
        <f>LCIA_HC!AH30</f>
        <v>1.5340506341983027E-4</v>
      </c>
      <c r="C20" s="150">
        <f>LCIA_IC!AH59</f>
        <v>2.6573392590665515E-4</v>
      </c>
      <c r="D20" s="150"/>
      <c r="E20" s="150"/>
      <c r="F20" s="150"/>
      <c r="G20" s="150"/>
      <c r="H20" s="150"/>
      <c r="I20" s="150"/>
    </row>
    <row r="21" spans="1:9" x14ac:dyDescent="0.35">
      <c r="A21" s="150" t="s">
        <v>514</v>
      </c>
      <c r="B21" s="151">
        <f>SUM(LCIA_HC!AH36:AH39)</f>
        <v>2.2105407326104959E-4</v>
      </c>
      <c r="C21" s="151">
        <f>SUM(LCIA_IC!AH74:AH77)</f>
        <v>1.6840143962800451E-4</v>
      </c>
      <c r="D21" s="150">
        <f>SUM('LCIA_AD-a'!AH68:AH71)</f>
        <v>8.5127911209574808E-4</v>
      </c>
      <c r="E21" s="150">
        <f>SUM('LCIA_AD-b'!AH87:AH90)</f>
        <v>2.975596271988494E-5</v>
      </c>
      <c r="F21" s="150">
        <f>D21</f>
        <v>8.5127911209574808E-4</v>
      </c>
      <c r="G21" s="150">
        <f>E21</f>
        <v>2.975596271988494E-5</v>
      </c>
      <c r="H21" s="150">
        <f>F21</f>
        <v>8.5127911209574808E-4</v>
      </c>
      <c r="I21" s="150">
        <f>G21</f>
        <v>2.975596271988494E-5</v>
      </c>
    </row>
    <row r="22" spans="1:9" x14ac:dyDescent="0.35">
      <c r="A22" s="150" t="s">
        <v>515</v>
      </c>
      <c r="B22" s="151">
        <f>LCIA_HC!AH40</f>
        <v>0</v>
      </c>
      <c r="C22" s="151">
        <f>LCIA_IC!AH78</f>
        <v>0</v>
      </c>
      <c r="D22" s="151">
        <f>'LCIA_AD-a'!AH72</f>
        <v>0</v>
      </c>
      <c r="E22" s="150">
        <f>'LCIA_AD-b'!AH91</f>
        <v>0</v>
      </c>
      <c r="F22" s="151">
        <f t="shared" ref="F22:I24" si="4">D22</f>
        <v>0</v>
      </c>
      <c r="G22" s="150">
        <f t="shared" si="4"/>
        <v>0</v>
      </c>
      <c r="H22" s="150">
        <f t="shared" si="4"/>
        <v>0</v>
      </c>
      <c r="I22" s="150">
        <f t="shared" si="4"/>
        <v>0</v>
      </c>
    </row>
    <row r="23" spans="1:9" x14ac:dyDescent="0.35">
      <c r="A23" s="150" t="s">
        <v>509</v>
      </c>
      <c r="B23" s="150">
        <f>-SUM(LCIA_HC!AH42:AH44)</f>
        <v>-2.0742574294223382E-4</v>
      </c>
      <c r="C23" s="151">
        <f>-SUM(LCIA_IC!AH80:AH82)</f>
        <v>-1.628607732822649E-4</v>
      </c>
      <c r="D23" s="150">
        <f>-SUM('LCIA_AD-a'!AH74:AH76)</f>
        <v>-6.1444986733411467E-4</v>
      </c>
      <c r="E23" s="150">
        <f>-SUM('LCIA_AD-b'!AH93:AH95)</f>
        <v>-3.1816304968268396E-4</v>
      </c>
      <c r="F23" s="150">
        <f t="shared" si="4"/>
        <v>-6.1444986733411467E-4</v>
      </c>
      <c r="G23" s="150">
        <f t="shared" si="4"/>
        <v>-3.1816304968268396E-4</v>
      </c>
      <c r="H23" s="150">
        <f t="shared" si="4"/>
        <v>-6.1444986733411467E-4</v>
      </c>
      <c r="I23" s="150">
        <f t="shared" si="4"/>
        <v>-3.1816304968268396E-4</v>
      </c>
    </row>
    <row r="24" spans="1:9" x14ac:dyDescent="0.35">
      <c r="A24" s="150" t="s">
        <v>510</v>
      </c>
      <c r="B24" s="150">
        <f>-LCIA_HC!AH45</f>
        <v>0</v>
      </c>
      <c r="C24" s="151">
        <f>-LCIA_IC!AH83</f>
        <v>0</v>
      </c>
      <c r="D24" s="151">
        <f>-'LCIA_AD-a'!AH77</f>
        <v>0</v>
      </c>
      <c r="E24" s="150">
        <f>-'LCIA_AD-b'!AH96</f>
        <v>0</v>
      </c>
      <c r="F24" s="151">
        <f t="shared" si="4"/>
        <v>0</v>
      </c>
      <c r="G24" s="150">
        <f t="shared" si="4"/>
        <v>0</v>
      </c>
      <c r="H24" s="150">
        <f t="shared" si="4"/>
        <v>0</v>
      </c>
      <c r="I24" s="150">
        <f t="shared" si="4"/>
        <v>0</v>
      </c>
    </row>
    <row r="25" spans="1:9" x14ac:dyDescent="0.35">
      <c r="A25" s="150" t="s">
        <v>6</v>
      </c>
      <c r="B25" s="150"/>
      <c r="C25" s="150"/>
      <c r="D25" s="150">
        <f>'LCIA_AD-a'!AH45</f>
        <v>4.3575177867047175E-4</v>
      </c>
      <c r="E25" s="150">
        <f>'LCIA_AD-b'!AH55</f>
        <v>5.0297485870563373E-4</v>
      </c>
      <c r="F25" s="150">
        <f>'LCIA_AD-c'!AH45</f>
        <v>6.3197861038764738E-4</v>
      </c>
      <c r="G25" s="150">
        <f>'LCIA_AD-d'!AH54</f>
        <v>6.9920169042280941E-4</v>
      </c>
      <c r="H25" s="150">
        <f>'LCIA_AD-e'!AH46</f>
        <v>4.1647733163269646E-4</v>
      </c>
      <c r="I25" s="150">
        <f>'LCIA_AD-f'!AH56</f>
        <v>4.8370041166785849E-4</v>
      </c>
    </row>
    <row r="26" spans="1:9" x14ac:dyDescent="0.35">
      <c r="A26" s="150" t="s">
        <v>511</v>
      </c>
      <c r="B26" s="150"/>
      <c r="C26" s="150"/>
      <c r="D26" s="150">
        <f>-'LCIA_AD-a'!AH78</f>
        <v>-1.4519731357361082E-3</v>
      </c>
      <c r="E26" s="150">
        <f>D26</f>
        <v>-1.4519731357361082E-3</v>
      </c>
      <c r="F26" s="150"/>
      <c r="G26" s="150"/>
      <c r="H26" s="150">
        <f>-'LCIA_AD-e'!AH81</f>
        <v>-2.6040822543093238E-3</v>
      </c>
      <c r="I26" s="150">
        <f>H26</f>
        <v>-2.6040822543093238E-3</v>
      </c>
    </row>
    <row r="27" spans="1:9" x14ac:dyDescent="0.35">
      <c r="A27" s="150" t="s">
        <v>513</v>
      </c>
      <c r="B27" s="150"/>
      <c r="C27" s="150"/>
      <c r="D27" s="150"/>
      <c r="E27" s="150"/>
      <c r="F27" s="150">
        <f>-'LCIA_AD-c'!AH76+'LCIA_AD-c'!AH78</f>
        <v>-2.4027762933581335E-3</v>
      </c>
      <c r="G27" s="150">
        <f>F27</f>
        <v>-2.4027762933581335E-3</v>
      </c>
      <c r="H27" s="150"/>
      <c r="I27" s="150"/>
    </row>
    <row r="28" spans="1:9" x14ac:dyDescent="0.35">
      <c r="A28" s="150" t="s">
        <v>512</v>
      </c>
      <c r="B28" s="150"/>
      <c r="C28" s="150"/>
      <c r="D28" s="150">
        <f>-'LCIA_AD-a'!AH79</f>
        <v>-2.9767632713422133E-3</v>
      </c>
      <c r="E28" s="150">
        <f>D28</f>
        <v>-2.9767632713422133E-3</v>
      </c>
      <c r="F28" s="150"/>
      <c r="G28" s="150"/>
      <c r="H28" s="150"/>
      <c r="I28" s="150"/>
    </row>
    <row r="29" spans="1:9" x14ac:dyDescent="0.35">
      <c r="A29" s="150" t="s">
        <v>516</v>
      </c>
      <c r="B29" s="150"/>
      <c r="C29" s="150">
        <f>'[5]Sheet1 (2)'!$C$67</f>
        <v>8.7834481906373191E-5</v>
      </c>
      <c r="D29" s="150">
        <f>'[5]Sheet1 (2)'!$C$103</f>
        <v>1.1978609910258791E-4</v>
      </c>
      <c r="E29" s="150">
        <f>'[5]Sheet1 (2)'!$C$64</f>
        <v>8.4941595027887272E-5</v>
      </c>
      <c r="F29" s="150">
        <f>'[5]Sheet1 (2)'!$C$21</f>
        <v>9.9406029420316813E-5</v>
      </c>
      <c r="G29" s="150">
        <f>D29</f>
        <v>1.1978609910258791E-4</v>
      </c>
      <c r="H29" s="150">
        <f>G29</f>
        <v>1.1978609910258791E-4</v>
      </c>
      <c r="I29" s="150">
        <f>H29</f>
        <v>1.1978609910258791E-4</v>
      </c>
    </row>
    <row r="30" spans="1:9" x14ac:dyDescent="0.35">
      <c r="A30" s="150" t="s">
        <v>517</v>
      </c>
      <c r="B30" s="150"/>
      <c r="C30" s="150">
        <f>C31-C29</f>
        <v>5.2410502127091545E-4</v>
      </c>
      <c r="D30" s="150">
        <f>D31-D29</f>
        <v>4.8636763031772892E-4</v>
      </c>
      <c r="E30" s="150">
        <f>E31-E29</f>
        <v>5.2844435158864436E-4</v>
      </c>
      <c r="F30" s="150">
        <f>F31-F29</f>
        <v>5.8485564571911957E-4</v>
      </c>
      <c r="G30" s="150">
        <f>G31-G29</f>
        <v>4.8636763031772892E-4</v>
      </c>
      <c r="H30" s="150">
        <f t="shared" ref="H30:I30" si="5">H31-H29</f>
        <v>4.8636763031772892E-4</v>
      </c>
      <c r="I30" s="150">
        <f t="shared" si="5"/>
        <v>4.8636763031772892E-4</v>
      </c>
    </row>
    <row r="31" spans="1:9" x14ac:dyDescent="0.35">
      <c r="A31" s="153" t="s">
        <v>520</v>
      </c>
      <c r="B31" s="150"/>
      <c r="C31" s="150">
        <f>'[5]Sheet1 (2)'!$C$31</f>
        <v>6.1193950317728861E-4</v>
      </c>
      <c r="D31" s="150">
        <f>'[5]Sheet1 (2)'!$C$32</f>
        <v>6.061537294203168E-4</v>
      </c>
      <c r="E31" s="150">
        <f>'[5]Sheet1 (2)'!$C$28</f>
        <v>6.1338594661653162E-4</v>
      </c>
      <c r="F31" s="150">
        <f>'[5]Sheet1 (2)'!$C$29</f>
        <v>6.8426167513943635E-4</v>
      </c>
      <c r="G31" s="150">
        <f>D31</f>
        <v>6.061537294203168E-4</v>
      </c>
      <c r="H31" s="150">
        <f>G31</f>
        <v>6.061537294203168E-4</v>
      </c>
      <c r="I31" s="150">
        <f>H31</f>
        <v>6.061537294203168E-4</v>
      </c>
    </row>
    <row r="32" spans="1:9" x14ac:dyDescent="0.35">
      <c r="A32" s="153" t="s">
        <v>519</v>
      </c>
      <c r="B32" s="150"/>
      <c r="C32" s="150">
        <f t="shared" ref="C32:I32" si="6">SUM(C20:C28)+C29</f>
        <v>3.5910907415876792E-4</v>
      </c>
      <c r="D32" s="150">
        <f t="shared" si="6"/>
        <v>-3.6363692845436282E-3</v>
      </c>
      <c r="E32" s="150">
        <f t="shared" si="6"/>
        <v>-4.1292270403075993E-3</v>
      </c>
      <c r="F32" s="150">
        <f t="shared" si="6"/>
        <v>-1.4345624087885357E-3</v>
      </c>
      <c r="G32" s="150">
        <f t="shared" si="6"/>
        <v>-1.8721955907955354E-3</v>
      </c>
      <c r="H32" s="150">
        <f t="shared" si="6"/>
        <v>-1.8309895788124061E-3</v>
      </c>
      <c r="I32" s="150">
        <f t="shared" si="6"/>
        <v>-2.2890028305016766E-3</v>
      </c>
    </row>
    <row r="33" spans="1:9" x14ac:dyDescent="0.35">
      <c r="A33" s="150" t="s">
        <v>518</v>
      </c>
      <c r="B33" s="151">
        <f>SUM(B20:B28)</f>
        <v>1.6703339373864607E-4</v>
      </c>
      <c r="C33" s="151">
        <f t="shared" ref="C33:I33" si="7">SUM(C20:C28)+C31</f>
        <v>8.8321409542968337E-4</v>
      </c>
      <c r="D33" s="151">
        <f t="shared" si="7"/>
        <v>-3.1500016542258995E-3</v>
      </c>
      <c r="E33" s="151">
        <f t="shared" si="7"/>
        <v>-3.6007826887189546E-3</v>
      </c>
      <c r="F33" s="151">
        <f t="shared" si="7"/>
        <v>-8.4970676306941623E-4</v>
      </c>
      <c r="G33" s="151">
        <f t="shared" si="7"/>
        <v>-1.3858279604778065E-3</v>
      </c>
      <c r="H33" s="151">
        <f t="shared" si="7"/>
        <v>-1.3446219484946772E-3</v>
      </c>
      <c r="I33" s="151">
        <f t="shared" si="7"/>
        <v>-1.8026352001839477E-3</v>
      </c>
    </row>
    <row r="35" spans="1:9" x14ac:dyDescent="0.35">
      <c r="B35" s="165" t="s">
        <v>403</v>
      </c>
      <c r="C35" s="166"/>
      <c r="D35" s="166"/>
      <c r="E35" s="166"/>
      <c r="F35" s="166"/>
      <c r="G35" s="166"/>
      <c r="H35" s="166"/>
      <c r="I35" s="167"/>
    </row>
    <row r="36" spans="1:9" x14ac:dyDescent="0.35">
      <c r="A36" s="150"/>
      <c r="B36" s="150" t="s">
        <v>501</v>
      </c>
      <c r="C36" s="150" t="s">
        <v>502</v>
      </c>
      <c r="D36" s="150" t="s">
        <v>503</v>
      </c>
      <c r="E36" s="150" t="s">
        <v>504</v>
      </c>
      <c r="F36" s="150" t="s">
        <v>505</v>
      </c>
      <c r="G36" s="150" t="s">
        <v>506</v>
      </c>
      <c r="H36" s="150" t="s">
        <v>507</v>
      </c>
      <c r="I36" s="150" t="s">
        <v>508</v>
      </c>
    </row>
    <row r="37" spans="1:9" x14ac:dyDescent="0.35">
      <c r="A37" s="150" t="s">
        <v>294</v>
      </c>
      <c r="B37" s="150">
        <f>LCIA_HC!C70</f>
        <v>34.264521044421535</v>
      </c>
      <c r="C37" s="152">
        <f>LCIA_IC!C29</f>
        <v>35.421319139716672</v>
      </c>
      <c r="D37" s="150"/>
      <c r="E37" s="150"/>
      <c r="F37" s="150"/>
      <c r="G37" s="150"/>
      <c r="H37" s="150"/>
      <c r="I37" s="150"/>
    </row>
    <row r="38" spans="1:9" x14ac:dyDescent="0.35">
      <c r="A38" s="150" t="s">
        <v>514</v>
      </c>
      <c r="B38" s="151">
        <f>SUM(LCIA_HC!C76:C79)</f>
        <v>35.750237253277092</v>
      </c>
      <c r="C38" s="151">
        <f>SUM(LCIA_IC!C44:C47)</f>
        <v>27.051024108006885</v>
      </c>
      <c r="D38" s="150">
        <f>SUM('LCIA_AD-a'!C28:C31)</f>
        <v>19.040938704967669</v>
      </c>
      <c r="E38" s="150">
        <f>SUM('LCIA_AD-b'!C37:C40)</f>
        <v>3.6020203114535199</v>
      </c>
      <c r="F38" s="150">
        <f>D38</f>
        <v>19.040938704967669</v>
      </c>
      <c r="G38" s="150">
        <f>E38</f>
        <v>3.6020203114535199</v>
      </c>
      <c r="H38" s="150">
        <f>F38</f>
        <v>19.040938704967669</v>
      </c>
      <c r="I38" s="150">
        <f>G38</f>
        <v>3.6020203114535199</v>
      </c>
    </row>
    <row r="39" spans="1:9" x14ac:dyDescent="0.35">
      <c r="A39" s="150" t="s">
        <v>515</v>
      </c>
      <c r="B39" s="151">
        <f>LCIA_HC!C80</f>
        <v>0</v>
      </c>
      <c r="C39" s="151">
        <f>LCIA_IC!C48</f>
        <v>0</v>
      </c>
      <c r="D39" s="151">
        <f>'LCIA_AD-a'!C32</f>
        <v>0</v>
      </c>
      <c r="E39" s="150">
        <f>'LCIA_AD-b'!C41</f>
        <v>0</v>
      </c>
      <c r="F39" s="151">
        <f>D39</f>
        <v>0</v>
      </c>
      <c r="G39" s="150">
        <f t="shared" ref="G39:I41" si="8">E39</f>
        <v>0</v>
      </c>
      <c r="H39" s="150">
        <f t="shared" si="8"/>
        <v>0</v>
      </c>
      <c r="I39" s="150">
        <f t="shared" si="8"/>
        <v>0</v>
      </c>
    </row>
    <row r="40" spans="1:9" x14ac:dyDescent="0.35">
      <c r="A40" s="150" t="s">
        <v>509</v>
      </c>
      <c r="B40" s="150">
        <f>-SUM(LCIA_HC!C82:C84)</f>
        <v>-22.992325521765316</v>
      </c>
      <c r="C40" s="151">
        <f>-SUM(LCIA_IC!C50:C52)</f>
        <v>-18.060377937268509</v>
      </c>
      <c r="D40" s="150">
        <f>-SUM('LCIA_AD-a'!C34:C36)</f>
        <v>-60.338310785025655</v>
      </c>
      <c r="E40" s="150">
        <f>-SUM('LCIA_AD-b'!C43:C45)</f>
        <v>-29.873713727434399</v>
      </c>
      <c r="F40" s="150">
        <f>D40</f>
        <v>-60.338310785025655</v>
      </c>
      <c r="G40" s="150">
        <f t="shared" si="8"/>
        <v>-29.873713727434399</v>
      </c>
      <c r="H40" s="150">
        <f t="shared" si="8"/>
        <v>-60.338310785025655</v>
      </c>
      <c r="I40" s="150">
        <f t="shared" si="8"/>
        <v>-29.873713727434399</v>
      </c>
    </row>
    <row r="41" spans="1:9" x14ac:dyDescent="0.35">
      <c r="A41" s="150" t="s">
        <v>510</v>
      </c>
      <c r="B41" s="150">
        <f>-LCIA_HC!C85</f>
        <v>0</v>
      </c>
      <c r="C41" s="151">
        <f>-LCIA_IC!C53</f>
        <v>0</v>
      </c>
      <c r="D41" s="151">
        <f>-'LCIA_AD-a'!C37</f>
        <v>0</v>
      </c>
      <c r="E41" s="150">
        <f>-'LCIA_AD-b'!C46</f>
        <v>0</v>
      </c>
      <c r="F41" s="151">
        <f>D41</f>
        <v>0</v>
      </c>
      <c r="G41" s="150">
        <f t="shared" si="8"/>
        <v>0</v>
      </c>
      <c r="H41" s="150">
        <f t="shared" si="8"/>
        <v>0</v>
      </c>
      <c r="I41" s="150">
        <f t="shared" si="8"/>
        <v>0</v>
      </c>
    </row>
    <row r="42" spans="1:9" x14ac:dyDescent="0.35">
      <c r="A42" s="150" t="s">
        <v>6</v>
      </c>
      <c r="B42" s="150"/>
      <c r="C42" s="150"/>
      <c r="D42" s="152">
        <f>'LCIA_AD-a'!C5</f>
        <v>130.89983518703079</v>
      </c>
      <c r="E42" s="152">
        <f>'LCIA_AD-b'!C5</f>
        <v>115.03586225244955</v>
      </c>
      <c r="F42" s="152">
        <f>'LCIA_AD-c'!C5</f>
        <v>166.06528020235362</v>
      </c>
      <c r="G42" s="152">
        <f>'LCIA_AD-d'!C5</f>
        <v>150.20130726777239</v>
      </c>
      <c r="H42" s="152">
        <f>'LCIA_AD-e'!C5</f>
        <v>100.41025697281384</v>
      </c>
      <c r="I42" s="152">
        <f>'LCIA_AD-f'!C5</f>
        <v>64.523122487452923</v>
      </c>
    </row>
    <row r="43" spans="1:9" x14ac:dyDescent="0.35">
      <c r="A43" s="150" t="s">
        <v>511</v>
      </c>
      <c r="B43" s="150"/>
      <c r="C43" s="150"/>
      <c r="D43" s="150">
        <f>-'LCIA_AD-a'!C38</f>
        <v>-152.84659670820477</v>
      </c>
      <c r="E43" s="150">
        <f>D43</f>
        <v>-152.84659670820477</v>
      </c>
      <c r="F43" s="150"/>
      <c r="G43" s="150"/>
      <c r="H43" s="150">
        <f>-'LCIA_AD-e'!C40</f>
        <v>-274.12704844406284</v>
      </c>
      <c r="I43" s="150">
        <f>H43</f>
        <v>-274.12704844406284</v>
      </c>
    </row>
    <row r="44" spans="1:9" x14ac:dyDescent="0.35">
      <c r="A44" s="150" t="s">
        <v>513</v>
      </c>
      <c r="B44" s="150"/>
      <c r="C44" s="150"/>
      <c r="D44" s="150"/>
      <c r="E44" s="150"/>
      <c r="F44" s="150">
        <f>-'LCIA_AD-c'!C36+'LCIA_AD-c'!C38</f>
        <v>-357.84584617827744</v>
      </c>
      <c r="G44" s="150">
        <f>F44</f>
        <v>-357.84584617827744</v>
      </c>
      <c r="H44" s="150"/>
      <c r="I44" s="150"/>
    </row>
    <row r="45" spans="1:9" x14ac:dyDescent="0.35">
      <c r="A45" s="150" t="s">
        <v>512</v>
      </c>
      <c r="B45" s="150"/>
      <c r="C45" s="150"/>
      <c r="D45" s="150">
        <f>-'LCIA_AD-a'!C39</f>
        <v>-434.30973512854933</v>
      </c>
      <c r="E45" s="150">
        <f>D45</f>
        <v>-434.30973512854933</v>
      </c>
      <c r="F45" s="150"/>
      <c r="G45" s="150"/>
      <c r="H45" s="150"/>
      <c r="I45" s="150"/>
    </row>
    <row r="46" spans="1:9" x14ac:dyDescent="0.35">
      <c r="A46" s="150" t="s">
        <v>516</v>
      </c>
      <c r="B46" s="150"/>
      <c r="C46" s="150">
        <f>'[5]Sheet1 (2)'!$B$67</f>
        <v>11.182</v>
      </c>
      <c r="D46" s="150">
        <f>'[5]Sheet1 (2)'!$B$103</f>
        <v>15.137029999999999</v>
      </c>
      <c r="E46" s="150">
        <f>'[5]Sheet1 (2)'!$B$64</f>
        <v>10.7113</v>
      </c>
      <c r="F46" s="150">
        <f>'[5]Sheet1 (2)'!$B$21</f>
        <v>13.0648</v>
      </c>
      <c r="G46" s="150">
        <f>D46</f>
        <v>15.137029999999999</v>
      </c>
      <c r="H46" s="150">
        <f>G46</f>
        <v>15.137029999999999</v>
      </c>
      <c r="I46" s="150">
        <f>H46</f>
        <v>15.137029999999999</v>
      </c>
    </row>
    <row r="47" spans="1:9" x14ac:dyDescent="0.35">
      <c r="A47" s="150" t="s">
        <v>517</v>
      </c>
      <c r="B47" s="150"/>
      <c r="C47" s="150">
        <f t="shared" ref="C47:I47" si="9">C48-C46</f>
        <v>59.778940000000006</v>
      </c>
      <c r="D47" s="150">
        <f t="shared" si="9"/>
        <v>54.882510000000011</v>
      </c>
      <c r="E47" s="150">
        <f t="shared" si="9"/>
        <v>60.484990000000003</v>
      </c>
      <c r="F47" s="150">
        <f t="shared" si="9"/>
        <v>69.663640000000001</v>
      </c>
      <c r="G47" s="150">
        <f t="shared" si="9"/>
        <v>54.882510000000011</v>
      </c>
      <c r="H47" s="150">
        <f t="shared" si="9"/>
        <v>54.882510000000011</v>
      </c>
      <c r="I47" s="150">
        <f t="shared" si="9"/>
        <v>54.882510000000011</v>
      </c>
    </row>
    <row r="48" spans="1:9" x14ac:dyDescent="0.35">
      <c r="A48" s="153" t="s">
        <v>520</v>
      </c>
      <c r="B48" s="150"/>
      <c r="C48" s="150">
        <f>'[5]Sheet1 (2)'!$B$31</f>
        <v>70.960940000000008</v>
      </c>
      <c r="D48" s="150">
        <f>'[5]Sheet1 (2)'!$B$32</f>
        <v>70.019540000000006</v>
      </c>
      <c r="E48" s="150">
        <f>'[5]Sheet1 (2)'!$B$28</f>
        <v>71.196290000000005</v>
      </c>
      <c r="F48" s="150">
        <f>'[5]Sheet1 (2)'!$B$29</f>
        <v>82.728440000000006</v>
      </c>
      <c r="G48" s="150">
        <f>D48</f>
        <v>70.019540000000006</v>
      </c>
      <c r="H48" s="150">
        <f>G48</f>
        <v>70.019540000000006</v>
      </c>
      <c r="I48" s="150">
        <f>H48</f>
        <v>70.019540000000006</v>
      </c>
    </row>
    <row r="49" spans="1:9" x14ac:dyDescent="0.35">
      <c r="A49" s="153" t="s">
        <v>519</v>
      </c>
      <c r="B49" s="150"/>
      <c r="C49" s="152">
        <f t="shared" ref="C49:I49" si="10">SUM(C37:C45)+C46</f>
        <v>55.593965310455047</v>
      </c>
      <c r="D49" s="152">
        <f t="shared" si="10"/>
        <v>-482.41683872978132</v>
      </c>
      <c r="E49" s="152">
        <f t="shared" si="10"/>
        <v>-487.68086300028546</v>
      </c>
      <c r="F49" s="152">
        <f t="shared" si="10"/>
        <v>-220.01313805598181</v>
      </c>
      <c r="G49" s="152">
        <f t="shared" si="10"/>
        <v>-218.77920232648592</v>
      </c>
      <c r="H49" s="152">
        <f t="shared" si="10"/>
        <v>-199.87713355130697</v>
      </c>
      <c r="I49" s="152">
        <f t="shared" si="10"/>
        <v>-220.73858937259078</v>
      </c>
    </row>
    <row r="50" spans="1:9" x14ac:dyDescent="0.35">
      <c r="A50" s="150" t="s">
        <v>518</v>
      </c>
      <c r="B50" s="150">
        <f>SUM(B37:B45)</f>
        <v>47.022432775933304</v>
      </c>
      <c r="C50" s="152">
        <f t="shared" ref="C50:I50" si="11">SUM(C37:C45)+C48</f>
        <v>115.37290531045505</v>
      </c>
      <c r="D50" s="152">
        <f t="shared" si="11"/>
        <v>-427.53432872978129</v>
      </c>
      <c r="E50" s="152">
        <f t="shared" si="11"/>
        <v>-427.19587300028547</v>
      </c>
      <c r="F50" s="152">
        <f t="shared" si="11"/>
        <v>-150.3494980559818</v>
      </c>
      <c r="G50" s="152">
        <f t="shared" si="11"/>
        <v>-163.89669232648592</v>
      </c>
      <c r="H50" s="152">
        <f t="shared" si="11"/>
        <v>-144.99462355130697</v>
      </c>
      <c r="I50" s="152">
        <f t="shared" si="11"/>
        <v>-165.85607937259078</v>
      </c>
    </row>
  </sheetData>
  <mergeCells count="3">
    <mergeCell ref="B1:I1"/>
    <mergeCell ref="B18:I18"/>
    <mergeCell ref="B35:I35"/>
  </mergeCells>
  <pageMargins left="0.7" right="0.7" top="0.75" bottom="0.75" header="0.3" footer="0.3"/>
  <pageSetup paperSize="9" orientation="portrait" verticalDpi="597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A47" sqref="A47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0.85320898331472361</v>
      </c>
      <c r="D37">
        <v>4.8301274278822047E-2</v>
      </c>
      <c r="E37">
        <v>14.098718725961758</v>
      </c>
      <c r="F37">
        <v>7.1783374543658748E-8</v>
      </c>
      <c r="G37">
        <v>4.8504812372133804E-2</v>
      </c>
      <c r="I37" t="s">
        <v>521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M34" zoomScale="80" zoomScaleNormal="80" workbookViewId="0">
      <selection activeCell="AO49" sqref="AO49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19.040938704967669</v>
      </c>
      <c r="D27" s="115">
        <f t="shared" ref="D27:G27" si="6">SUM(D28:D32)</f>
        <v>110.20621816905711</v>
      </c>
      <c r="E27" s="115">
        <f t="shared" si="6"/>
        <v>0</v>
      </c>
      <c r="F27" s="115">
        <f t="shared" si="6"/>
        <v>7.6801640589139021E-4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0</v>
      </c>
      <c r="D32" s="120">
        <f>'LCI_AD-a'!$E34*'IW+f'!D26</f>
        <v>0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37" x14ac:dyDescent="0.35">
      <c r="A33" s="113" t="s">
        <v>421</v>
      </c>
      <c r="B33" s="114"/>
      <c r="C33" s="115">
        <f>SUM(C34:C39)</f>
        <v>647.4946426217798</v>
      </c>
      <c r="D33" s="115">
        <f t="shared" ref="D33:G33" si="7">SUM(D34:D39)</f>
        <v>47.678880270162722</v>
      </c>
      <c r="E33" s="115">
        <f t="shared" si="7"/>
        <v>10681.120529832806</v>
      </c>
      <c r="F33" s="115">
        <f t="shared" si="7"/>
        <v>1.5773280752390576E-4</v>
      </c>
      <c r="G33" s="115">
        <f t="shared" si="7"/>
        <v>122.80127838945866</v>
      </c>
    </row>
    <row r="34" spans="1:3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3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3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37" x14ac:dyDescent="0.35">
      <c r="A37" s="114"/>
      <c r="B37" s="114" t="s">
        <v>231</v>
      </c>
      <c r="C37" s="117">
        <f>'LCI_AD-a'!$E39*'IW+f'!C31</f>
        <v>0</v>
      </c>
      <c r="D37" s="117">
        <f>'LCI_AD-a'!$E39*'IW+f'!D31</f>
        <v>0</v>
      </c>
      <c r="E37" s="117">
        <f>'LCI_AD-a'!$E39*'IW+f'!E31</f>
        <v>0</v>
      </c>
      <c r="F37" s="117">
        <f>'LCI_AD-a'!$E39*'IW+f'!F31</f>
        <v>0</v>
      </c>
      <c r="G37" s="117">
        <f>'LCI_AD-a'!$E39*'IW+f'!G31</f>
        <v>0</v>
      </c>
    </row>
    <row r="38" spans="1:37" x14ac:dyDescent="0.35">
      <c r="A38" s="114"/>
      <c r="B38" s="114" t="s">
        <v>423</v>
      </c>
      <c r="C38" s="114">
        <f>'LCI_AD-a'!$E40*'IW+f'!C39</f>
        <v>152.84659670820477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37" x14ac:dyDescent="0.35">
      <c r="A39" s="114"/>
      <c r="B39" s="114" t="s">
        <v>424</v>
      </c>
      <c r="C39" s="114">
        <f>'LCI_AD-a'!$E41*'IW+f'!C37</f>
        <v>434.30973512854933</v>
      </c>
      <c r="D39" s="114">
        <f>'LCI_AD-a'!$E41*'IW+f'!D37</f>
        <v>24.586841030327683</v>
      </c>
      <c r="E39" s="114">
        <f>'LCI_AD-a'!$E41*'IW+f'!E37</f>
        <v>7176.6834565379841</v>
      </c>
      <c r="F39" s="114">
        <f>'LCI_AD-a'!$E41*'IW+f'!F37</f>
        <v>3.6539955619747495E-5</v>
      </c>
      <c r="G39" s="114">
        <f>'LCI_AD-a'!$E41*'IW+f'!G37</f>
        <v>24.690448208783977</v>
      </c>
    </row>
    <row r="40" spans="1:37" x14ac:dyDescent="0.35">
      <c r="A40" s="114"/>
      <c r="B40" s="114"/>
      <c r="C40" s="114"/>
      <c r="D40" s="114"/>
      <c r="E40" s="114"/>
      <c r="F40" s="114"/>
      <c r="G40" s="114"/>
    </row>
    <row r="41" spans="1:37" x14ac:dyDescent="0.35">
      <c r="A41" s="115" t="s">
        <v>494</v>
      </c>
      <c r="B41" s="114"/>
      <c r="C41" s="115">
        <f>C5+C27-C33</f>
        <v>-497.55386872978136</v>
      </c>
      <c r="D41" s="115">
        <f t="shared" ref="D41:G41" si="8">D5+D27-D33</f>
        <v>68.240006922760827</v>
      </c>
      <c r="E41" s="115">
        <f t="shared" si="8"/>
        <v>-10077.1820849867</v>
      </c>
      <c r="F41" s="115">
        <f t="shared" si="8"/>
        <v>7.0991945431243505E-4</v>
      </c>
      <c r="G41" s="115">
        <f t="shared" si="8"/>
        <v>-107.21750201880396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1" t="s">
        <v>0</v>
      </c>
      <c r="B44" s="141"/>
      <c r="C44" s="138" t="s">
        <v>376</v>
      </c>
      <c r="D44" s="138" t="s">
        <v>377</v>
      </c>
      <c r="E44" s="138" t="s">
        <v>378</v>
      </c>
      <c r="F44" s="138" t="s">
        <v>379</v>
      </c>
      <c r="G44" s="138" t="s">
        <v>380</v>
      </c>
      <c r="H44" s="138" t="s">
        <v>361</v>
      </c>
      <c r="I44" s="138" t="s">
        <v>381</v>
      </c>
      <c r="J44" s="138" t="s">
        <v>382</v>
      </c>
      <c r="K44" s="138" t="s">
        <v>363</v>
      </c>
      <c r="L44" s="138" t="s">
        <v>383</v>
      </c>
      <c r="M44" s="138" t="s">
        <v>384</v>
      </c>
      <c r="N44" s="138" t="s">
        <v>385</v>
      </c>
      <c r="O44" s="138" t="s">
        <v>386</v>
      </c>
      <c r="P44" s="138" t="s">
        <v>387</v>
      </c>
      <c r="Q44" s="138" t="s">
        <v>388</v>
      </c>
      <c r="R44" s="138" t="s">
        <v>367</v>
      </c>
      <c r="S44" s="138" t="s">
        <v>368</v>
      </c>
      <c r="T44" s="138" t="s">
        <v>389</v>
      </c>
      <c r="U44" s="138" t="s">
        <v>390</v>
      </c>
      <c r="V44" s="138" t="s">
        <v>391</v>
      </c>
      <c r="W44" s="138" t="s">
        <v>392</v>
      </c>
      <c r="X44" s="138" t="s">
        <v>369</v>
      </c>
      <c r="Y44" s="138" t="s">
        <v>371</v>
      </c>
      <c r="Z44" s="138" t="s">
        <v>372</v>
      </c>
      <c r="AA44" s="138" t="s">
        <v>393</v>
      </c>
      <c r="AB44" s="138" t="s">
        <v>394</v>
      </c>
      <c r="AC44" s="138" t="s">
        <v>374</v>
      </c>
      <c r="AD44" s="138" t="s">
        <v>395</v>
      </c>
      <c r="AE44" s="138" t="s">
        <v>396</v>
      </c>
      <c r="AF44" s="138" t="s">
        <v>397</v>
      </c>
      <c r="AG44" s="138" t="s">
        <v>398</v>
      </c>
      <c r="AH44" s="138" t="s">
        <v>399</v>
      </c>
      <c r="AI44" s="138" t="s">
        <v>400</v>
      </c>
      <c r="AJ44" s="138" t="s">
        <v>401</v>
      </c>
      <c r="AK44" s="138" t="s">
        <v>402</v>
      </c>
    </row>
    <row r="45" spans="1:37" x14ac:dyDescent="0.35">
      <c r="A45" s="142" t="s">
        <v>6</v>
      </c>
      <c r="B45" s="137"/>
      <c r="C45" s="142">
        <f>SUM(C47:C66)</f>
        <v>11.103899786935969</v>
      </c>
      <c r="D45" s="142">
        <f t="shared" ref="D45:AK45" si="9">SUM(D47:D66)</f>
        <v>12.427980878547018</v>
      </c>
      <c r="E45" s="142">
        <f t="shared" si="9"/>
        <v>1.4964695149029833E-4</v>
      </c>
      <c r="F45" s="142">
        <f t="shared" si="9"/>
        <v>1.6749167033828279E-4</v>
      </c>
      <c r="G45" s="142">
        <f t="shared" si="9"/>
        <v>2.9134926733602826E-17</v>
      </c>
      <c r="H45" s="142">
        <f t="shared" si="9"/>
        <v>0.19212070443769053</v>
      </c>
      <c r="I45" s="142">
        <f t="shared" si="9"/>
        <v>2.8758993527210039</v>
      </c>
      <c r="J45" s="142">
        <f t="shared" si="9"/>
        <v>0.31186916129624564</v>
      </c>
      <c r="K45" s="142">
        <f t="shared" si="9"/>
        <v>6.5040996834015439E-3</v>
      </c>
      <c r="L45" s="142">
        <f t="shared" si="9"/>
        <v>1.2979473179273274E-7</v>
      </c>
      <c r="M45" s="142">
        <f t="shared" si="9"/>
        <v>1.0801943654787775E-5</v>
      </c>
      <c r="N45" s="142">
        <f t="shared" si="9"/>
        <v>3.590091604152478E-6</v>
      </c>
      <c r="O45" s="142">
        <f t="shared" si="9"/>
        <v>2.1746933946014843E-5</v>
      </c>
      <c r="P45" s="142">
        <f t="shared" si="9"/>
        <v>1.3925431065292768E-8</v>
      </c>
      <c r="Q45" s="142">
        <f t="shared" si="9"/>
        <v>4.215900376524117E-7</v>
      </c>
      <c r="R45" s="142">
        <f t="shared" si="9"/>
        <v>1.4184629392205981</v>
      </c>
      <c r="S45" s="142">
        <f t="shared" si="9"/>
        <v>0.47287663654009826</v>
      </c>
      <c r="T45" s="142">
        <f t="shared" si="9"/>
        <v>2.5042743682714739</v>
      </c>
      <c r="U45" s="142">
        <f t="shared" si="9"/>
        <v>0.27184443350192761</v>
      </c>
      <c r="V45" s="142">
        <f t="shared" si="9"/>
        <v>8.4636430387853277E-6</v>
      </c>
      <c r="W45" s="142">
        <f t="shared" si="9"/>
        <v>4.9534459156326189E-6</v>
      </c>
      <c r="X45" s="142">
        <f t="shared" si="9"/>
        <v>6.8232945354996799E-2</v>
      </c>
      <c r="Y45" s="142">
        <f t="shared" si="9"/>
        <v>1.0617258936620923E-9</v>
      </c>
      <c r="Z45" s="142">
        <f t="shared" si="9"/>
        <v>6.6540367116844096E-5</v>
      </c>
      <c r="AA45" s="142">
        <f t="shared" si="9"/>
        <v>1.2076471579956156</v>
      </c>
      <c r="AB45" s="142">
        <f t="shared" si="9"/>
        <v>1.2395946375775294E-7</v>
      </c>
      <c r="AC45" s="142">
        <f t="shared" si="9"/>
        <v>1.5753215405259473</v>
      </c>
      <c r="AD45" s="142">
        <f t="shared" si="9"/>
        <v>0.30893736273532046</v>
      </c>
      <c r="AE45" s="142">
        <f t="shared" si="9"/>
        <v>0.18080077592059063</v>
      </c>
      <c r="AF45" s="142">
        <f t="shared" si="9"/>
        <v>6.9836620179752496E-3</v>
      </c>
      <c r="AG45" s="142">
        <f t="shared" si="9"/>
        <v>34.934198842188046</v>
      </c>
      <c r="AH45" s="142">
        <f t="shared" si="9"/>
        <v>4.3575177867047175E-4</v>
      </c>
      <c r="AI45" s="142">
        <f t="shared" si="9"/>
        <v>1.2491498232183447E-4</v>
      </c>
      <c r="AJ45" s="142">
        <f t="shared" si="9"/>
        <v>1.5257414561842597E-5</v>
      </c>
      <c r="AK45" s="142">
        <f t="shared" si="9"/>
        <v>4.0469048548544035E-4</v>
      </c>
    </row>
    <row r="46" spans="1:37" x14ac:dyDescent="0.35">
      <c r="A46" s="142" t="s">
        <v>5</v>
      </c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</row>
    <row r="47" spans="1:37" x14ac:dyDescent="0.35">
      <c r="A47" s="137"/>
      <c r="B47" s="137" t="s">
        <v>249</v>
      </c>
      <c r="C47" s="137">
        <f>'LCI_AD-a'!$E4*'IW+_end'!C2</f>
        <v>0.29375833601169027</v>
      </c>
      <c r="D47" s="137">
        <f>'LCI_AD-a'!$E4*'IW+_end'!D2</f>
        <v>8.9990845888640369E-2</v>
      </c>
      <c r="E47" s="137">
        <f>'LCI_AD-a'!$E4*'IW+_end'!E2</f>
        <v>3.9589730007048797E-6</v>
      </c>
      <c r="F47" s="137">
        <f>'LCI_AD-a'!$E4*'IW+_end'!F2</f>
        <v>1.2128041505843192E-6</v>
      </c>
      <c r="G47" s="137">
        <f>'LCI_AD-a'!$E4*'IW+_end'!G2</f>
        <v>9.0040097542142219E-20</v>
      </c>
      <c r="H47" s="137">
        <f>'LCI_AD-a'!$E4*'IW+_end'!H2</f>
        <v>5.1931114803604956E-3</v>
      </c>
      <c r="I47" s="137">
        <f>'LCI_AD-a'!$E4*'IW+_end'!I2</f>
        <v>0.24839018720173295</v>
      </c>
      <c r="J47" s="137">
        <f>'LCI_AD-a'!$E4*'IW+_end'!J2</f>
        <v>1.234083364332369E-2</v>
      </c>
      <c r="K47" s="137">
        <f>'LCI_AD-a'!$E4*'IW+_end'!K2</f>
        <v>2.1439753416220663E-5</v>
      </c>
      <c r="L47" s="137">
        <f>'LCI_AD-a'!$E4*'IW+_end'!L2</f>
        <v>8.7015032149142414E-9</v>
      </c>
      <c r="M47" s="137">
        <f>'LCI_AD-a'!$E4*'IW+_end'!M2</f>
        <v>1.6596905236710246E-7</v>
      </c>
      <c r="N47" s="137">
        <f>'LCI_AD-a'!$E4*'IW+_end'!N2</f>
        <v>1.9676602640470916E-7</v>
      </c>
      <c r="O47" s="137">
        <f>'LCI_AD-a'!$E4*'IW+_end'!O2</f>
        <v>1.0474046667854858E-7</v>
      </c>
      <c r="P47" s="137">
        <f>'LCI_AD-a'!$E4*'IW+_end'!P2</f>
        <v>4.1389310905179983E-9</v>
      </c>
      <c r="Q47" s="137">
        <f>'LCI_AD-a'!$E4*'IW+_end'!Q2</f>
        <v>1.2763337153218512E-7</v>
      </c>
      <c r="R47" s="137">
        <f>'LCI_AD-a'!$E4*'IW+_end'!R2</f>
        <v>1.6534106080479432E-2</v>
      </c>
      <c r="S47" s="137">
        <f>'LCI_AD-a'!$E4*'IW+_end'!S2</f>
        <v>1.1656841267618703E-2</v>
      </c>
      <c r="T47" s="137">
        <f>'LCI_AD-a'!$E4*'IW+_end'!T2</f>
        <v>0.10249049260823448</v>
      </c>
      <c r="U47" s="137">
        <f>'LCI_AD-a'!$E4*'IW+_end'!U2</f>
        <v>1.1125576504552512E-2</v>
      </c>
      <c r="V47" s="137">
        <f>'LCI_AD-a'!$E4*'IW+_end'!V2</f>
        <v>9.6489525909131685E-7</v>
      </c>
      <c r="W47" s="137">
        <f>'LCI_AD-a'!$E4*'IW+_end'!W2</f>
        <v>2.6554776215088471E-7</v>
      </c>
      <c r="X47" s="137">
        <f>'LCI_AD-a'!$E4*'IW+_end'!X2</f>
        <v>6.7963986332143073E-4</v>
      </c>
      <c r="Y47" s="137">
        <f>'LCI_AD-a'!$E4*'IW+_end'!Y2</f>
        <v>4.6233568878889853E-11</v>
      </c>
      <c r="Z47" s="137">
        <f>'LCI_AD-a'!$E4*'IW+_end'!Z2</f>
        <v>3.7424948947123667E-7</v>
      </c>
      <c r="AA47" s="137">
        <f>'LCI_AD-a'!$E4*'IW+_end'!AA2</f>
        <v>1.5755418847462184E-2</v>
      </c>
      <c r="AB47" s="137">
        <f>'LCI_AD-a'!$E4*'IW+_end'!AB2</f>
        <v>1.5662117661554336E-9</v>
      </c>
      <c r="AC47" s="137">
        <f>'LCI_AD-a'!$E4*'IW+_end'!AC2</f>
        <v>3.4269056902659287E-2</v>
      </c>
      <c r="AD47" s="137">
        <f>'LCI_AD-a'!$E4*'IW+_end'!AD2</f>
        <v>3.5220034139757453E-2</v>
      </c>
      <c r="AE47" s="137">
        <f>'LCI_AD-a'!$E4*'IW+_end'!AE2</f>
        <v>9.6924933185072934E-3</v>
      </c>
      <c r="AF47" s="137">
        <f>'LCI_AD-a'!$E4*'IW+_end'!AF2</f>
        <v>1.9004186679781043E-3</v>
      </c>
      <c r="AG47" s="137">
        <f>'LCI_AD-a'!$E4*'IW+_end'!AG2</f>
        <v>0.88904487549306932</v>
      </c>
      <c r="AH47" s="137">
        <f>'LCI_AD-a'!$E4*'IW+_end'!AH2</f>
        <v>7.3843049600713193E-6</v>
      </c>
      <c r="AI47" s="137">
        <f>'LCI_AD-a'!$E4*'IW+_end'!AI2</f>
        <v>1.0093591977195651E-5</v>
      </c>
      <c r="AJ47" s="137">
        <f>'LCI_AD-a'!$E4*'IW+_end'!AJ2</f>
        <v>1.2328554537785757E-6</v>
      </c>
      <c r="AK47" s="137">
        <f>'LCI_AD-a'!$E4*'IW+_end'!AK2</f>
        <v>1.4715139405635514E-5</v>
      </c>
    </row>
    <row r="48" spans="1:37" x14ac:dyDescent="0.35">
      <c r="A48" s="137"/>
      <c r="B48" s="137" t="s">
        <v>250</v>
      </c>
      <c r="C48" s="137">
        <f>'LCI_AD-a'!$E5*'IW+_end'!C3</f>
        <v>0</v>
      </c>
      <c r="D48" s="137">
        <f>'LCI_AD-a'!$E5*'IW+_end'!D3</f>
        <v>0</v>
      </c>
      <c r="E48" s="137">
        <f>'LCI_AD-a'!$E5*'IW+_end'!E3</f>
        <v>0</v>
      </c>
      <c r="F48" s="137">
        <f>'LCI_AD-a'!$E5*'IW+_end'!F3</f>
        <v>0</v>
      </c>
      <c r="G48" s="137">
        <f>'LCI_AD-a'!$E5*'IW+_end'!G3</f>
        <v>0</v>
      </c>
      <c r="H48" s="137">
        <f>'LCI_AD-a'!$E5*'IW+_end'!H3</f>
        <v>0</v>
      </c>
      <c r="I48" s="137">
        <f>'LCI_AD-a'!$E5*'IW+_end'!I3</f>
        <v>0</v>
      </c>
      <c r="J48" s="137">
        <f>'LCI_AD-a'!$E5*'IW+_end'!J3</f>
        <v>0</v>
      </c>
      <c r="K48" s="137">
        <f>'LCI_AD-a'!$E5*'IW+_end'!K3</f>
        <v>0</v>
      </c>
      <c r="L48" s="137">
        <f>'LCI_AD-a'!$E5*'IW+_end'!L3</f>
        <v>0</v>
      </c>
      <c r="M48" s="137">
        <f>'LCI_AD-a'!$E5*'IW+_end'!M3</f>
        <v>0</v>
      </c>
      <c r="N48" s="137">
        <f>'LCI_AD-a'!$E5*'IW+_end'!N3</f>
        <v>0</v>
      </c>
      <c r="O48" s="137">
        <f>'LCI_AD-a'!$E5*'IW+_end'!O3</f>
        <v>0</v>
      </c>
      <c r="P48" s="137">
        <f>'LCI_AD-a'!$E5*'IW+_end'!P3</f>
        <v>0</v>
      </c>
      <c r="Q48" s="137">
        <f>'LCI_AD-a'!$E5*'IW+_end'!Q3</f>
        <v>0</v>
      </c>
      <c r="R48" s="137">
        <f>'LCI_AD-a'!$E5*'IW+_end'!R3</f>
        <v>0</v>
      </c>
      <c r="S48" s="137">
        <f>'LCI_AD-a'!$E5*'IW+_end'!S3</f>
        <v>0</v>
      </c>
      <c r="T48" s="137">
        <f>'LCI_AD-a'!$E5*'IW+_end'!T3</f>
        <v>0</v>
      </c>
      <c r="U48" s="137">
        <f>'LCI_AD-a'!$E5*'IW+_end'!U3</f>
        <v>0</v>
      </c>
      <c r="V48" s="137">
        <f>'LCI_AD-a'!$E5*'IW+_end'!V3</f>
        <v>0</v>
      </c>
      <c r="W48" s="137">
        <f>'LCI_AD-a'!$E5*'IW+_end'!W3</f>
        <v>0</v>
      </c>
      <c r="X48" s="137">
        <f>'LCI_AD-a'!$E5*'IW+_end'!X3</f>
        <v>0</v>
      </c>
      <c r="Y48" s="137">
        <f>'LCI_AD-a'!$E5*'IW+_end'!Y3</f>
        <v>0</v>
      </c>
      <c r="Z48" s="137">
        <f>'LCI_AD-a'!$E5*'IW+_end'!Z3</f>
        <v>0</v>
      </c>
      <c r="AA48" s="137">
        <f>'LCI_AD-a'!$E5*'IW+_end'!AA3</f>
        <v>0</v>
      </c>
      <c r="AB48" s="137">
        <f>'LCI_AD-a'!$E5*'IW+_end'!AB3</f>
        <v>0</v>
      </c>
      <c r="AC48" s="137">
        <f>'LCI_AD-a'!$E5*'IW+_end'!AC3</f>
        <v>0</v>
      </c>
      <c r="AD48" s="137">
        <f>'LCI_AD-a'!$E5*'IW+_end'!AD3</f>
        <v>0</v>
      </c>
      <c r="AE48" s="137">
        <f>'LCI_AD-a'!$E5*'IW+_end'!AE3</f>
        <v>0</v>
      </c>
      <c r="AF48" s="137">
        <f>'LCI_AD-a'!$E5*'IW+_end'!AF3</f>
        <v>0</v>
      </c>
      <c r="AG48" s="137">
        <f>'LCI_AD-a'!$E5*'IW+_end'!AG3</f>
        <v>0</v>
      </c>
      <c r="AH48" s="137">
        <f>'LCI_AD-a'!$E5*'IW+_end'!AH3</f>
        <v>0</v>
      </c>
      <c r="AI48" s="137">
        <f>'LCI_AD-a'!$E5*'IW+_end'!AI3</f>
        <v>0</v>
      </c>
      <c r="AJ48" s="137">
        <f>'LCI_AD-a'!$E5*'IW+_end'!AJ3</f>
        <v>0</v>
      </c>
      <c r="AK48" s="137">
        <f>'LCI_AD-a'!$E5*'IW+_end'!AK3</f>
        <v>0</v>
      </c>
    </row>
    <row r="49" spans="1:38" x14ac:dyDescent="0.35">
      <c r="A49" s="143" t="s">
        <v>235</v>
      </c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</row>
    <row r="50" spans="1:38" x14ac:dyDescent="0.35">
      <c r="A50" s="137"/>
      <c r="B50" s="137" t="s">
        <v>286</v>
      </c>
      <c r="C50" s="145">
        <f>'LCI_AD-a'!$E7*'IW+_end'!C5</f>
        <v>0.1642293381452089</v>
      </c>
      <c r="D50" s="145">
        <f>'LCI_AD-a'!$E7*'IW+_end'!D5</f>
        <v>5.0160114465116465E-2</v>
      </c>
      <c r="E50" s="145">
        <f>'LCI_AD-a'!$E7*'IW+_end'!E5</f>
        <v>2.2133142652831479E-6</v>
      </c>
      <c r="F50" s="145">
        <f>'LCI_AD-a'!$E7*'IW+_end'!F5</f>
        <v>6.7600648061868024E-7</v>
      </c>
      <c r="G50" s="145">
        <f>'LCI_AD-a'!$E7*'IW+_end'!G5</f>
        <v>3.4259653114390555E-19</v>
      </c>
      <c r="H50" s="145">
        <f>'LCI_AD-a'!$E7*'IW+_end'!H5</f>
        <v>1.9088748614477355E-3</v>
      </c>
      <c r="I50" s="145">
        <f>'LCI_AD-a'!$E7*'IW+_end'!I5</f>
        <v>2.1165975185515697E-2</v>
      </c>
      <c r="J50" s="145">
        <f>'LCI_AD-a'!$E7*'IW+_end'!J5</f>
        <v>7.7842440064621963E-3</v>
      </c>
      <c r="K50" s="145">
        <f>'LCI_AD-a'!$E7*'IW+_end'!K5</f>
        <v>1.2090234903629117E-5</v>
      </c>
      <c r="L50" s="145">
        <f>'LCI_AD-a'!$E7*'IW+_end'!L5</f>
        <v>1.3807900143766815E-9</v>
      </c>
      <c r="M50" s="145">
        <f>'LCI_AD-a'!$E7*'IW+_end'!M5</f>
        <v>7.8521018154124293E-8</v>
      </c>
      <c r="N50" s="145">
        <f>'LCI_AD-a'!$E7*'IW+_end'!N5</f>
        <v>5.1916740498462542E-8</v>
      </c>
      <c r="O50" s="145">
        <f>'LCI_AD-a'!$E7*'IW+_end'!O5</f>
        <v>3.4957298081958831E-8</v>
      </c>
      <c r="P50" s="145">
        <f>'LCI_AD-a'!$E7*'IW+_end'!P5</f>
        <v>1.6087202212299374E-11</v>
      </c>
      <c r="Q50" s="145">
        <f>'LCI_AD-a'!$E7*'IW+_end'!Q5</f>
        <v>1.9821700798180701E-10</v>
      </c>
      <c r="R50" s="145">
        <f>'LCI_AD-a'!$E7*'IW+_end'!R5</f>
        <v>9.3882236600461508E-3</v>
      </c>
      <c r="S50" s="145">
        <f>'LCI_AD-a'!$E7*'IW+_end'!S5</f>
        <v>1.0847515163367839E-2</v>
      </c>
      <c r="T50" s="145">
        <f>'LCI_AD-a'!$E7*'IW+_end'!T5</f>
        <v>5.9340583237830792E-2</v>
      </c>
      <c r="U50" s="145">
        <f>'LCI_AD-a'!$E7*'IW+_end'!U5</f>
        <v>6.4415394809225063E-3</v>
      </c>
      <c r="V50" s="145">
        <f>'LCI_AD-a'!$E7*'IW+_end'!V5</f>
        <v>2.2361093064658549E-8</v>
      </c>
      <c r="W50" s="145">
        <f>'LCI_AD-a'!$E7*'IW+_end'!W5</f>
        <v>1.8378519819012135E-8</v>
      </c>
      <c r="X50" s="145">
        <f>'LCI_AD-a'!$E7*'IW+_end'!X5</f>
        <v>4.9087972213900696E-4</v>
      </c>
      <c r="Y50" s="145">
        <f>'LCI_AD-a'!$E7*'IW+_end'!Y5</f>
        <v>1.4130656214684504E-11</v>
      </c>
      <c r="Z50" s="145">
        <f>'LCI_AD-a'!$E7*'IW+_end'!Z5</f>
        <v>2.3089230034193365E-7</v>
      </c>
      <c r="AA50" s="145">
        <f>'LCI_AD-a'!$E7*'IW+_end'!AA5</f>
        <v>1.24610140420619E-2</v>
      </c>
      <c r="AB50" s="145">
        <f>'LCI_AD-a'!$E7*'IW+_end'!AB5</f>
        <v>1.2166988717580699E-9</v>
      </c>
      <c r="AC50" s="145">
        <f>'LCI_AD-a'!$E7*'IW+_end'!AC5</f>
        <v>1.357355809150523E-2</v>
      </c>
      <c r="AD50" s="145">
        <f>'LCI_AD-a'!$E7*'IW+_end'!AD5</f>
        <v>8.1619861313748173E-4</v>
      </c>
      <c r="AE50" s="145">
        <f>'LCI_AD-a'!$E7*'IW+_end'!AE5</f>
        <v>6.7081597339394266E-4</v>
      </c>
      <c r="AF50" s="145">
        <f>'LCI_AD-a'!$E7*'IW+_end'!AF5</f>
        <v>1.5428172135718716E-5</v>
      </c>
      <c r="AG50" s="145">
        <f>'LCI_AD-a'!$E7*'IW+_end'!AG5</f>
        <v>0.35931316945148462</v>
      </c>
      <c r="AH50" s="145">
        <f>'LCI_AD-a'!$E7*'IW+_end'!AH5</f>
        <v>3.3268199102587953E-6</v>
      </c>
      <c r="AI50" s="145">
        <f>'LCI_AD-a'!$E7*'IW+_end'!AI5</f>
        <v>3.14403300469906E-7</v>
      </c>
      <c r="AJ50" s="145">
        <f>'LCI_AD-a'!$E7*'IW+_end'!AJ5</f>
        <v>3.8401970730154165E-8</v>
      </c>
      <c r="AK50" s="145">
        <f>'LCI_AD-a'!$E7*'IW+_end'!AK5</f>
        <v>6.4212372885133327E-6</v>
      </c>
      <c r="AL50" s="140"/>
    </row>
    <row r="51" spans="1:38" x14ac:dyDescent="0.35">
      <c r="A51" s="137"/>
      <c r="B51" s="137" t="s">
        <v>235</v>
      </c>
      <c r="C51" s="137">
        <f>'LCI_AD-a'!$E8*'IW+_end'!C4</f>
        <v>2.8461745710597834</v>
      </c>
      <c r="D51" s="137">
        <f>'LCI_AD-a'!$E8*'IW+_end'!D4</f>
        <v>1.1214611679069222</v>
      </c>
      <c r="E51" s="137">
        <f>'LCI_AD-a'!$E8*'IW+_end'!E4</f>
        <v>3.8357816275450525E-5</v>
      </c>
      <c r="F51" s="137">
        <f>'LCI_AD-a'!$E8*'IW+_end'!F4</f>
        <v>1.5113901261020833E-5</v>
      </c>
      <c r="G51" s="137">
        <f>'LCI_AD-a'!$E8*'IW+_end'!G4</f>
        <v>1.3417014761931066E-18</v>
      </c>
      <c r="H51" s="137">
        <f>'LCI_AD-a'!$E8*'IW+_end'!H4</f>
        <v>7.0661974280644954E-2</v>
      </c>
      <c r="I51" s="137">
        <f>'LCI_AD-a'!$E8*'IW+_end'!I4</f>
        <v>0.93416719125512804</v>
      </c>
      <c r="J51" s="137">
        <f>'LCI_AD-a'!$E8*'IW+_end'!J4</f>
        <v>0.11947233209536294</v>
      </c>
      <c r="K51" s="137">
        <f>'LCI_AD-a'!$E8*'IW+_end'!K4</f>
        <v>5.8252778621848689E-3</v>
      </c>
      <c r="L51" s="137">
        <f>'LCI_AD-a'!$E8*'IW+_end'!L4</f>
        <v>7.543227881230801E-8</v>
      </c>
      <c r="M51" s="137">
        <f>'LCI_AD-a'!$E8*'IW+_end'!M4</f>
        <v>9.2358423028085057E-6</v>
      </c>
      <c r="N51" s="137">
        <f>'LCI_AD-a'!$E8*'IW+_end'!N4</f>
        <v>2.0141902382323624E-6</v>
      </c>
      <c r="O51" s="137">
        <f>'LCI_AD-a'!$E8*'IW+_end'!O4</f>
        <v>2.073338334217323E-5</v>
      </c>
      <c r="P51" s="137">
        <f>'LCI_AD-a'!$E8*'IW+_end'!P4</f>
        <v>1.6721138820675336E-10</v>
      </c>
      <c r="Q51" s="137">
        <f>'LCI_AD-a'!$E8*'IW+_end'!Q4</f>
        <v>2.5414819458518307E-9</v>
      </c>
      <c r="R51" s="137">
        <f>'LCI_AD-a'!$E8*'IW+_end'!R4</f>
        <v>0.10325709629067527</v>
      </c>
      <c r="S51" s="137">
        <f>'LCI_AD-a'!$E8*'IW+_end'!S4</f>
        <v>0.20192306813671582</v>
      </c>
      <c r="T51" s="137">
        <f>'LCI_AD-a'!$E8*'IW+_end'!T4</f>
        <v>0.81381304343515604</v>
      </c>
      <c r="U51" s="137">
        <f>'LCI_AD-a'!$E8*'IW+_end'!U4</f>
        <v>8.8340903369667073E-2</v>
      </c>
      <c r="V51" s="137">
        <f>'LCI_AD-a'!$E8*'IW+_end'!V4</f>
        <v>4.1790110398157114E-7</v>
      </c>
      <c r="W51" s="137">
        <f>'LCI_AD-a'!$E8*'IW+_end'!W4</f>
        <v>9.1166986820938597E-7</v>
      </c>
      <c r="X51" s="137">
        <f>'LCI_AD-a'!$E8*'IW+_end'!X4</f>
        <v>3.6914893888666471E-2</v>
      </c>
      <c r="Y51" s="137">
        <f>'LCI_AD-a'!$E8*'IW+_end'!Y4</f>
        <v>3.4271490621614475E-10</v>
      </c>
      <c r="Z51" s="137">
        <f>'LCI_AD-a'!$E8*'IW+_end'!Z4</f>
        <v>8.8111435597395313E-6</v>
      </c>
      <c r="AA51" s="137">
        <f>'LCI_AD-a'!$E8*'IW+_end'!AA4</f>
        <v>0.52310036021523809</v>
      </c>
      <c r="AB51" s="137">
        <f>'LCI_AD-a'!$E8*'IW+_end'!AB4</f>
        <v>5.3982752056258097E-8</v>
      </c>
      <c r="AC51" s="137">
        <f>'LCI_AD-a'!$E8*'IW+_end'!AC4</f>
        <v>0.52930584039175488</v>
      </c>
      <c r="AD51" s="137">
        <f>'LCI_AD-a'!$E8*'IW+_end'!AD4</f>
        <v>1.5262636374080941E-2</v>
      </c>
      <c r="AE51" s="137">
        <f>'LCI_AD-a'!$E8*'IW+_end'!AE4</f>
        <v>3.3275950189642592E-2</v>
      </c>
      <c r="AF51" s="137">
        <f>'LCI_AD-a'!$E8*'IW+_end'!AF4</f>
        <v>3.8173633035694057E-4</v>
      </c>
      <c r="AG51" s="137">
        <f>'LCI_AD-a'!$E8*'IW+_end'!AG4</f>
        <v>7.4436332210323055</v>
      </c>
      <c r="AH51" s="137">
        <f>'LCI_AD-a'!$E8*'IW+_end'!AH4</f>
        <v>1.04168902179637E-4</v>
      </c>
      <c r="AI51" s="137">
        <f>'LCI_AD-a'!$E8*'IW+_end'!AI4</f>
        <v>7.999127841649449E-5</v>
      </c>
      <c r="AJ51" s="137">
        <f>'LCI_AD-a'!$E8*'IW+_end'!AJ4</f>
        <v>9.7703259724914291E-6</v>
      </c>
      <c r="AK51" s="137">
        <f>'LCI_AD-a'!$E8*'IW+_end'!AK4</f>
        <v>2.1385693372968594E-4</v>
      </c>
    </row>
    <row r="52" spans="1:38" x14ac:dyDescent="0.35">
      <c r="A52" s="143" t="s">
        <v>6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</row>
    <row r="53" spans="1:38" x14ac:dyDescent="0.35">
      <c r="A53" s="137"/>
      <c r="B53" s="137" t="s">
        <v>8</v>
      </c>
      <c r="C53" s="137">
        <f>'LCI_AD-a'!$E10*'IW+_end'!C2</f>
        <v>0.65727691815040523</v>
      </c>
      <c r="D53" s="137">
        <f>'LCI_AD-a'!$E10*'IW+_end'!D2</f>
        <v>0.20135226339612622</v>
      </c>
      <c r="E53" s="137">
        <f>'LCI_AD-a'!$E10*'IW+_end'!E2</f>
        <v>8.8581029164068104E-6</v>
      </c>
      <c r="F53" s="137">
        <f>'LCI_AD-a'!$E10*'IW+_end'!F2</f>
        <v>2.7136189060669185E-6</v>
      </c>
      <c r="G53" s="137">
        <f>'LCI_AD-a'!$E10*'IW+_end'!G2</f>
        <v>2.0146246273707774E-19</v>
      </c>
      <c r="H53" s="137">
        <f>'LCI_AD-a'!$E10*'IW+_end'!H2</f>
        <v>1.1619456849343674E-2</v>
      </c>
      <c r="I53" s="137">
        <f>'LCI_AD-a'!$E10*'IW+_end'!I2</f>
        <v>0.55576682166479929</v>
      </c>
      <c r="J53" s="137">
        <f>'LCI_AD-a'!$E10*'IW+_end'!J2</f>
        <v>2.7612306137817434E-2</v>
      </c>
      <c r="K53" s="137">
        <f>'LCI_AD-a'!$E10*'IW+_end'!K2</f>
        <v>4.7970911200822386E-5</v>
      </c>
      <c r="L53" s="137">
        <f>'LCI_AD-a'!$E10*'IW+_end'!L2</f>
        <v>1.9469395469843191E-8</v>
      </c>
      <c r="M53" s="137">
        <f>'LCI_AD-a'!$E10*'IW+_end'!M2</f>
        <v>3.7135159712999983E-7</v>
      </c>
      <c r="N53" s="137">
        <f>'LCI_AD-a'!$E10*'IW+_end'!N2</f>
        <v>4.4025905507185927E-7</v>
      </c>
      <c r="O53" s="137">
        <f>'LCI_AD-a'!$E10*'IW+_end'!O2</f>
        <v>2.3435417043406713E-7</v>
      </c>
      <c r="P53" s="137">
        <f>'LCI_AD-a'!$E10*'IW+_end'!P2</f>
        <v>9.2607546343954807E-9</v>
      </c>
      <c r="Q53" s="137">
        <f>'LCI_AD-a'!$E10*'IW+_end'!Q2</f>
        <v>2.8557647157451842E-7</v>
      </c>
      <c r="R53" s="137">
        <f>'LCI_AD-a'!$E10*'IW+_end'!R2</f>
        <v>3.6994648174058696E-2</v>
      </c>
      <c r="S53" s="137">
        <f>'LCI_AD-a'!$E10*'IW+_end'!S2</f>
        <v>2.6081890331255075E-2</v>
      </c>
      <c r="T53" s="137">
        <f>'LCI_AD-a'!$E10*'IW+_end'!T2</f>
        <v>0.22931990981381525</v>
      </c>
      <c r="U53" s="137">
        <f>'LCI_AD-a'!$E10*'IW+_end'!U2</f>
        <v>2.4893198732130022E-2</v>
      </c>
      <c r="V53" s="137">
        <f>'LCI_AD-a'!$E10*'IW+_end'!V2</f>
        <v>2.1589289714938985E-6</v>
      </c>
      <c r="W53" s="137">
        <f>'LCI_AD-a'!$E10*'IW+_end'!W2</f>
        <v>5.9415646581455464E-7</v>
      </c>
      <c r="X53" s="137">
        <f>'LCI_AD-a'!$E10*'IW+_end'!X2</f>
        <v>1.5206771691350248E-3</v>
      </c>
      <c r="Y53" s="137">
        <f>'LCI_AD-a'!$E10*'IW+_end'!Y2</f>
        <v>1.0344645221098301E-10</v>
      </c>
      <c r="Z53" s="137">
        <f>'LCI_AD-a'!$E10*'IW+_end'!Z2</f>
        <v>8.3737385770468086E-7</v>
      </c>
      <c r="AA53" s="137">
        <f>'LCI_AD-a'!$E10*'IW+_end'!AA2</f>
        <v>3.5252354996375815E-2</v>
      </c>
      <c r="AB53" s="137">
        <f>'LCI_AD-a'!$E10*'IW+_end'!AB2</f>
        <v>3.5043595930111055E-9</v>
      </c>
      <c r="AC53" s="137">
        <f>'LCI_AD-a'!$E10*'IW+_end'!AC2</f>
        <v>7.6676156376390969E-2</v>
      </c>
      <c r="AD53" s="137">
        <f>'LCI_AD-a'!$E10*'IW+_end'!AD2</f>
        <v>7.8803944122323041E-2</v>
      </c>
      <c r="AE53" s="137">
        <f>'LCI_AD-a'!$E10*'IW+_end'!AE2</f>
        <v>2.1686711002231247E-2</v>
      </c>
      <c r="AF53" s="137">
        <f>'LCI_AD-a'!$E10*'IW+_end'!AF2</f>
        <v>4.2521391639229527E-3</v>
      </c>
      <c r="AG53" s="137">
        <f>'LCI_AD-a'!$E10*'IW+_end'!AG2</f>
        <v>1.9892156382525288</v>
      </c>
      <c r="AH53" s="137">
        <f>'LCI_AD-a'!$E10*'IW+_end'!AH2</f>
        <v>1.6522197370580419E-5</v>
      </c>
      <c r="AI53" s="137">
        <f>'LCI_AD-a'!$E10*'IW+_end'!AI2</f>
        <v>2.258415920348486E-5</v>
      </c>
      <c r="AJ53" s="137">
        <f>'LCI_AD-a'!$E10*'IW+_end'!AJ2</f>
        <v>2.7584831946769133E-6</v>
      </c>
      <c r="AK53" s="137">
        <f>'LCI_AD-a'!$E10*'IW+_end'!AK2</f>
        <v>3.2924755804392892E-5</v>
      </c>
    </row>
    <row r="54" spans="1:38" x14ac:dyDescent="0.35">
      <c r="A54" s="137"/>
      <c r="B54" s="137" t="s">
        <v>18</v>
      </c>
      <c r="C54" s="137">
        <f>'LCI_AD-a'!$E11*'IW+_end'!C11</f>
        <v>3.6111027769612272</v>
      </c>
      <c r="D54" s="137">
        <f>'LCI_AD-a'!$E11*'IW+_end'!D11</f>
        <v>1.116041950307709</v>
      </c>
      <c r="E54" s="137">
        <f>'LCI_AD-a'!$E11*'IW+_end'!E11</f>
        <v>4.8666732630834991E-5</v>
      </c>
      <c r="F54" s="137">
        <f>'LCI_AD-a'!$E11*'IW+_end'!F11</f>
        <v>1.5040866614748277E-5</v>
      </c>
      <c r="G54" s="137">
        <f>'LCI_AD-a'!$E11*'IW+_end'!G11</f>
        <v>2.7159126165986591E-17</v>
      </c>
      <c r="H54" s="137">
        <f>'LCI_AD-a'!$E11*'IW+_end'!H11</f>
        <v>3.9384429899939365E-2</v>
      </c>
      <c r="I54" s="137">
        <f>'LCI_AD-a'!$E11*'IW+_end'!I11</f>
        <v>1.1164091774138278</v>
      </c>
      <c r="J54" s="137">
        <f>'LCI_AD-a'!$E11*'IW+_end'!J11</f>
        <v>0.14465944541327941</v>
      </c>
      <c r="K54" s="137">
        <f>'LCI_AD-a'!$E11*'IW+_end'!K11</f>
        <v>5.9732092169600232E-4</v>
      </c>
      <c r="L54" s="137">
        <f>'LCI_AD-a'!$E11*'IW+_end'!L11</f>
        <v>2.4810764281290643E-8</v>
      </c>
      <c r="M54" s="137">
        <f>'LCI_AD-a'!$E11*'IW+_end'!M11</f>
        <v>9.5025968432804083E-7</v>
      </c>
      <c r="N54" s="137">
        <f>'LCI_AD-a'!$E11*'IW+_end'!N11</f>
        <v>8.8695954394508445E-7</v>
      </c>
      <c r="O54" s="137">
        <f>'LCI_AD-a'!$E11*'IW+_end'!O11</f>
        <v>6.3949866864703821E-7</v>
      </c>
      <c r="P54" s="137">
        <f>'LCI_AD-a'!$E11*'IW+_end'!P11</f>
        <v>3.4244674996023721E-10</v>
      </c>
      <c r="Q54" s="137">
        <f>'LCI_AD-a'!$E11*'IW+_end'!Q11</f>
        <v>5.640495591874525E-9</v>
      </c>
      <c r="R54" s="137">
        <f>'LCI_AD-a'!$E11*'IW+_end'!R11</f>
        <v>1.2522888650153385</v>
      </c>
      <c r="S54" s="137">
        <f>'LCI_AD-a'!$E11*'IW+_end'!S11</f>
        <v>0.22236732164114079</v>
      </c>
      <c r="T54" s="137">
        <f>'LCI_AD-a'!$E11*'IW+_end'!T11</f>
        <v>1.2993103391764373</v>
      </c>
      <c r="U54" s="137">
        <f>'LCI_AD-a'!$E11*'IW+_end'!U11</f>
        <v>0.1410432154146555</v>
      </c>
      <c r="V54" s="137">
        <f>'LCI_AD-a'!$E11*'IW+_end'!V11</f>
        <v>4.8995566111538829E-6</v>
      </c>
      <c r="W54" s="137">
        <f>'LCI_AD-a'!$E11*'IW+_end'!W11</f>
        <v>3.1636932996387812E-6</v>
      </c>
      <c r="X54" s="137">
        <f>'LCI_AD-a'!$E11*'IW+_end'!X11</f>
        <v>8.7941767587420248E-3</v>
      </c>
      <c r="Y54" s="137">
        <f>'LCI_AD-a'!$E11*'IW+_end'!Y11</f>
        <v>5.5520031014139023E-10</v>
      </c>
      <c r="Z54" s="137">
        <f>'LCI_AD-a'!$E11*'IW+_end'!Z11</f>
        <v>4.2239854117750112E-5</v>
      </c>
      <c r="AA54" s="137">
        <f>'LCI_AD-a'!$E11*'IW+_end'!AA11</f>
        <v>0.30103279985134818</v>
      </c>
      <c r="AB54" s="137">
        <f>'LCI_AD-a'!$E11*'IW+_end'!AB11</f>
        <v>3.0275729153819333E-8</v>
      </c>
      <c r="AC54" s="137">
        <f>'LCI_AD-a'!$E11*'IW+_end'!AC11</f>
        <v>0.29460585077001711</v>
      </c>
      <c r="AD54" s="137">
        <f>'LCI_AD-a'!$E11*'IW+_end'!AD11</f>
        <v>0.17883454948602154</v>
      </c>
      <c r="AE54" s="137">
        <f>'LCI_AD-a'!$E11*'IW+_end'!AE11</f>
        <v>0.11547480543681553</v>
      </c>
      <c r="AF54" s="137">
        <f>'LCI_AD-a'!$E11*'IW+_end'!AF11</f>
        <v>4.3393968358153263E-4</v>
      </c>
      <c r="AG54" s="137">
        <f>'LCI_AD-a'!$E11*'IW+_end'!AG11</f>
        <v>9.8425377317128095</v>
      </c>
      <c r="AH54" s="137">
        <f>'LCI_AD-a'!$E11*'IW+_end'!AH11</f>
        <v>1.0994280141975609E-4</v>
      </c>
      <c r="AI54" s="137">
        <f>'LCI_AD-a'!$E11*'IW+_end'!AI11</f>
        <v>1.1931549424189578E-5</v>
      </c>
      <c r="AJ54" s="137">
        <f>'LCI_AD-a'!$E11*'IW+_end'!AJ11</f>
        <v>1.4573479701655237E-6</v>
      </c>
      <c r="AK54" s="137">
        <f>'LCI_AD-a'!$E11*'IW+_end'!AK11</f>
        <v>1.367724192572127E-4</v>
      </c>
    </row>
    <row r="55" spans="1:38" x14ac:dyDescent="0.35">
      <c r="A55" s="137"/>
      <c r="B55" s="137" t="s">
        <v>96</v>
      </c>
      <c r="C55" s="137">
        <f>'LCI_AD-a'!$E12*'IW+_end'!C12</f>
        <v>0.93797856177034611</v>
      </c>
      <c r="D55" s="137">
        <f>'LCI_AD-a'!$E12*'IW+_end'!D12</f>
        <v>3.5623702451876329</v>
      </c>
      <c r="E55" s="137">
        <f>'LCI_AD-a'!$E12*'IW+_end'!E12</f>
        <v>1.2641111233490304E-5</v>
      </c>
      <c r="F55" s="137">
        <f>'LCI_AD-a'!$E12*'IW+_end'!F12</f>
        <v>4.801001102781587E-5</v>
      </c>
      <c r="G55" s="137">
        <f>'LCI_AD-a'!$E12*'IW+_end'!G12</f>
        <v>0</v>
      </c>
      <c r="H55" s="137">
        <f>'LCI_AD-a'!$E12*'IW+_end'!H12</f>
        <v>0</v>
      </c>
      <c r="I55" s="137">
        <f>'LCI_AD-a'!$E12*'IW+_end'!I12</f>
        <v>0</v>
      </c>
      <c r="J55" s="137">
        <f>'LCI_AD-a'!$E12*'IW+_end'!J12</f>
        <v>0</v>
      </c>
      <c r="K55" s="137">
        <f>'LCI_AD-a'!$E12*'IW+_end'!K12</f>
        <v>0</v>
      </c>
      <c r="L55" s="137">
        <f>'LCI_AD-a'!$E12*'IW+_end'!L12</f>
        <v>0</v>
      </c>
      <c r="M55" s="137">
        <f>'LCI_AD-a'!$E12*'IW+_end'!M12</f>
        <v>0</v>
      </c>
      <c r="N55" s="137">
        <f>'LCI_AD-a'!$E12*'IW+_end'!N12</f>
        <v>0</v>
      </c>
      <c r="O55" s="137">
        <f>'LCI_AD-a'!$E12*'IW+_end'!O12</f>
        <v>0</v>
      </c>
      <c r="P55" s="137">
        <f>'LCI_AD-a'!$E12*'IW+_end'!P12</f>
        <v>0</v>
      </c>
      <c r="Q55" s="137">
        <f>'LCI_AD-a'!$E12*'IW+_end'!Q12</f>
        <v>0</v>
      </c>
      <c r="R55" s="137">
        <f>'LCI_AD-a'!$E12*'IW+_end'!R12</f>
        <v>0</v>
      </c>
      <c r="S55" s="137">
        <f>'LCI_AD-a'!$E12*'IW+_end'!S12</f>
        <v>0</v>
      </c>
      <c r="T55" s="137">
        <f>'LCI_AD-a'!$E12*'IW+_end'!T12</f>
        <v>0</v>
      </c>
      <c r="U55" s="137">
        <f>'LCI_AD-a'!$E12*'IW+_end'!U12</f>
        <v>0</v>
      </c>
      <c r="V55" s="137">
        <f>'LCI_AD-a'!$E12*'IW+_end'!V12</f>
        <v>0</v>
      </c>
      <c r="W55" s="137">
        <f>'LCI_AD-a'!$E12*'IW+_end'!W12</f>
        <v>0</v>
      </c>
      <c r="X55" s="137">
        <f>'LCI_AD-a'!$E12*'IW+_end'!X12</f>
        <v>0</v>
      </c>
      <c r="Y55" s="137">
        <f>'LCI_AD-a'!$E12*'IW+_end'!Y12</f>
        <v>0</v>
      </c>
      <c r="Z55" s="137">
        <f>'LCI_AD-a'!$E12*'IW+_end'!Z12</f>
        <v>0</v>
      </c>
      <c r="AA55" s="137">
        <f>'LCI_AD-a'!$E12*'IW+_end'!AA12</f>
        <v>0</v>
      </c>
      <c r="AB55" s="137">
        <f>'LCI_AD-a'!$E12*'IW+_end'!AB12</f>
        <v>0</v>
      </c>
      <c r="AC55" s="137">
        <f>'LCI_AD-a'!$E12*'IW+_end'!AC12</f>
        <v>0</v>
      </c>
      <c r="AD55" s="137">
        <f>'LCI_AD-a'!$E12*'IW+_end'!AD12</f>
        <v>0</v>
      </c>
      <c r="AE55" s="137">
        <f>'LCI_AD-a'!$E12*'IW+_end'!AE12</f>
        <v>0</v>
      </c>
      <c r="AF55" s="137">
        <f>'LCI_AD-a'!$E12*'IW+_end'!AF12</f>
        <v>0</v>
      </c>
      <c r="AG55" s="137">
        <f>'LCI_AD-a'!$E12*'IW+_end'!AG12</f>
        <v>4.5003488069579793</v>
      </c>
      <c r="AH55" s="137">
        <f>'LCI_AD-a'!$E12*'IW+_end'!AH12</f>
        <v>6.0651122260989241E-5</v>
      </c>
      <c r="AI55" s="137">
        <f>'LCI_AD-a'!$E12*'IW+_end'!AI12</f>
        <v>0</v>
      </c>
      <c r="AJ55" s="137">
        <f>'LCI_AD-a'!$E12*'IW+_end'!AJ12</f>
        <v>0</v>
      </c>
      <c r="AK55" s="137">
        <f>'LCI_AD-a'!$E12*'IW+_end'!AK12</f>
        <v>0</v>
      </c>
    </row>
    <row r="56" spans="1:38" x14ac:dyDescent="0.35">
      <c r="A56" s="142" t="s">
        <v>7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</row>
    <row r="57" spans="1:38" x14ac:dyDescent="0.35">
      <c r="A57" s="137"/>
      <c r="B57" s="137" t="s">
        <v>50</v>
      </c>
      <c r="C57" s="137">
        <f>'LCI_AD-a'!$E16*'IW+_end'!C13</f>
        <v>0</v>
      </c>
      <c r="D57" s="137">
        <f>'LCI_AD-a'!$E16*'IW+_end'!D13</f>
        <v>0</v>
      </c>
      <c r="E57" s="137">
        <f>'LCI_AD-a'!$E16*'IW+_end'!E13</f>
        <v>0</v>
      </c>
      <c r="F57" s="137">
        <f>'LCI_AD-a'!$E16*'IW+_end'!F13</f>
        <v>0</v>
      </c>
      <c r="G57" s="137">
        <f>'LCI_AD-a'!$E16*'IW+_end'!G13</f>
        <v>0</v>
      </c>
      <c r="H57" s="137">
        <f>'LCI_AD-a'!$E16*'IW+_end'!H13</f>
        <v>2.9345112064544088E-2</v>
      </c>
      <c r="I57" s="137">
        <f>'LCI_AD-a'!$E16*'IW+_end'!I13</f>
        <v>0</v>
      </c>
      <c r="J57" s="137">
        <f>'LCI_AD-a'!$E16*'IW+_end'!J13</f>
        <v>0</v>
      </c>
      <c r="K57" s="137">
        <f>'LCI_AD-a'!$E16*'IW+_end'!K13</f>
        <v>0</v>
      </c>
      <c r="L57" s="137">
        <f>'LCI_AD-a'!$E16*'IW+_end'!L13</f>
        <v>0</v>
      </c>
      <c r="M57" s="137">
        <f>'LCI_AD-a'!$E16*'IW+_end'!M13</f>
        <v>0</v>
      </c>
      <c r="N57" s="137">
        <f>'LCI_AD-a'!$E16*'IW+_end'!N13</f>
        <v>0</v>
      </c>
      <c r="O57" s="137">
        <f>'LCI_AD-a'!$E16*'IW+_end'!O13</f>
        <v>0</v>
      </c>
      <c r="P57" s="137">
        <f>'LCI_AD-a'!$E16*'IW+_end'!P13</f>
        <v>0</v>
      </c>
      <c r="Q57" s="137">
        <f>'LCI_AD-a'!$E16*'IW+_end'!Q13</f>
        <v>0</v>
      </c>
      <c r="R57" s="137">
        <f>'LCI_AD-a'!$E16*'IW+_end'!R13</f>
        <v>0</v>
      </c>
      <c r="S57" s="137">
        <f>'LCI_AD-a'!$E16*'IW+_end'!S13</f>
        <v>0</v>
      </c>
      <c r="T57" s="137">
        <f>'LCI_AD-a'!$E16*'IW+_end'!T13</f>
        <v>0</v>
      </c>
      <c r="U57" s="137">
        <f>'LCI_AD-a'!$E16*'IW+_end'!U13</f>
        <v>0</v>
      </c>
      <c r="V57" s="137">
        <f>'LCI_AD-a'!$E16*'IW+_end'!V13</f>
        <v>0</v>
      </c>
      <c r="W57" s="137">
        <f>'LCI_AD-a'!$E16*'IW+_end'!W13</f>
        <v>0</v>
      </c>
      <c r="X57" s="137">
        <f>'LCI_AD-a'!$E16*'IW+_end'!X13</f>
        <v>9.6680276587565762E-3</v>
      </c>
      <c r="Y57" s="137">
        <f>'LCI_AD-a'!$E16*'IW+_end'!Y13</f>
        <v>0</v>
      </c>
      <c r="Z57" s="137">
        <f>'LCI_AD-a'!$E16*'IW+_end'!Z13</f>
        <v>6.8968264850586225E-7</v>
      </c>
      <c r="AA57" s="137">
        <f>'LCI_AD-a'!$E16*'IW+_end'!AA13</f>
        <v>0.32004521004312952</v>
      </c>
      <c r="AB57" s="137">
        <f>'LCI_AD-a'!$E16*'IW+_end'!AB13</f>
        <v>3.341371231675092E-8</v>
      </c>
      <c r="AC57" s="137">
        <f>'LCI_AD-a'!$E16*'IW+_end'!AC13</f>
        <v>0.24065465076169715</v>
      </c>
      <c r="AD57" s="137">
        <f>'LCI_AD-a'!$E16*'IW+_end'!AD13</f>
        <v>0</v>
      </c>
      <c r="AE57" s="137">
        <f>'LCI_AD-a'!$E16*'IW+_end'!AE13</f>
        <v>0</v>
      </c>
      <c r="AF57" s="137">
        <f>'LCI_AD-a'!$E16*'IW+_end'!AF13</f>
        <v>0</v>
      </c>
      <c r="AG57" s="137">
        <f>'LCI_AD-a'!$E16*'IW+_end'!AG13</f>
        <v>0.59971300052812737</v>
      </c>
      <c r="AH57" s="137">
        <f>'LCI_AD-a'!$E16*'IW+_end'!AH13</f>
        <v>7.230963609077751E-7</v>
      </c>
      <c r="AI57" s="137">
        <f>'LCI_AD-a'!$E16*'IW+_end'!AI13</f>
        <v>0</v>
      </c>
      <c r="AJ57" s="137">
        <f>'LCI_AD-a'!$E16*'IW+_end'!AJ13</f>
        <v>0</v>
      </c>
      <c r="AK57" s="137">
        <f>'LCI_AD-a'!$E16*'IW+_end'!AK13</f>
        <v>0</v>
      </c>
    </row>
    <row r="58" spans="1:38" x14ac:dyDescent="0.35">
      <c r="A58" s="137"/>
      <c r="B58" s="137" t="s">
        <v>51</v>
      </c>
      <c r="C58" s="137">
        <f>'LCI_AD-a'!$E17*'IW+_end'!C14</f>
        <v>0</v>
      </c>
      <c r="D58" s="137">
        <f>'LCI_AD-a'!$E17*'IW+_end'!D14</f>
        <v>0</v>
      </c>
      <c r="E58" s="137">
        <f>'LCI_AD-a'!$E17*'IW+_end'!E14</f>
        <v>0</v>
      </c>
      <c r="F58" s="137">
        <f>'LCI_AD-a'!$E17*'IW+_end'!F14</f>
        <v>0</v>
      </c>
      <c r="G58" s="137">
        <f>'LCI_AD-a'!$E17*'IW+_end'!G14</f>
        <v>0</v>
      </c>
      <c r="H58" s="137">
        <f>'LCI_AD-a'!$E17*'IW+_end'!H14</f>
        <v>0</v>
      </c>
      <c r="I58" s="137">
        <f>'LCI_AD-a'!$E17*'IW+_end'!I14</f>
        <v>0</v>
      </c>
      <c r="J58" s="137">
        <f>'LCI_AD-a'!$E17*'IW+_end'!J14</f>
        <v>0</v>
      </c>
      <c r="K58" s="137">
        <f>'LCI_AD-a'!$E17*'IW+_end'!K14</f>
        <v>0</v>
      </c>
      <c r="L58" s="137">
        <f>'LCI_AD-a'!$E17*'IW+_end'!L14</f>
        <v>0</v>
      </c>
      <c r="M58" s="137">
        <f>'LCI_AD-a'!$E17*'IW+_end'!M14</f>
        <v>0</v>
      </c>
      <c r="N58" s="137">
        <f>'LCI_AD-a'!$E17*'IW+_end'!N14</f>
        <v>0</v>
      </c>
      <c r="O58" s="137">
        <f>'LCI_AD-a'!$E17*'IW+_end'!O14</f>
        <v>0</v>
      </c>
      <c r="P58" s="137">
        <f>'LCI_AD-a'!$E17*'IW+_end'!P14</f>
        <v>0</v>
      </c>
      <c r="Q58" s="137">
        <f>'LCI_AD-a'!$E17*'IW+_end'!Q14</f>
        <v>0</v>
      </c>
      <c r="R58" s="137">
        <f>'LCI_AD-a'!$E17*'IW+_end'!R14</f>
        <v>0</v>
      </c>
      <c r="S58" s="137">
        <f>'LCI_AD-a'!$E17*'IW+_end'!S14</f>
        <v>0</v>
      </c>
      <c r="T58" s="137">
        <f>'LCI_AD-a'!$E17*'IW+_end'!T14</f>
        <v>0</v>
      </c>
      <c r="U58" s="137">
        <f>'LCI_AD-a'!$E17*'IW+_end'!U14</f>
        <v>0</v>
      </c>
      <c r="V58" s="137">
        <f>'LCI_AD-a'!$E17*'IW+_end'!V14</f>
        <v>0</v>
      </c>
      <c r="W58" s="137">
        <f>'LCI_AD-a'!$E17*'IW+_end'!W14</f>
        <v>0</v>
      </c>
      <c r="X58" s="137">
        <f>'LCI_AD-a'!$E17*'IW+_end'!X14</f>
        <v>0</v>
      </c>
      <c r="Y58" s="137">
        <f>'LCI_AD-a'!$E17*'IW+_end'!Y14</f>
        <v>0</v>
      </c>
      <c r="Z58" s="137">
        <f>'LCI_AD-a'!$E17*'IW+_end'!Z14</f>
        <v>0</v>
      </c>
      <c r="AA58" s="137">
        <f>'LCI_AD-a'!$E17*'IW+_end'!AA14</f>
        <v>0</v>
      </c>
      <c r="AB58" s="137">
        <f>'LCI_AD-a'!$E17*'IW+_end'!AB14</f>
        <v>0</v>
      </c>
      <c r="AC58" s="137">
        <f>'LCI_AD-a'!$E17*'IW+_end'!AC14</f>
        <v>0</v>
      </c>
      <c r="AD58" s="137">
        <f>'LCI_AD-a'!$E17*'IW+_end'!AD14</f>
        <v>0</v>
      </c>
      <c r="AE58" s="137">
        <f>'LCI_AD-a'!$E17*'IW+_end'!AE14</f>
        <v>0</v>
      </c>
      <c r="AF58" s="137">
        <f>'LCI_AD-a'!$E17*'IW+_end'!AF14</f>
        <v>0</v>
      </c>
      <c r="AG58" s="137">
        <f>'LCI_AD-a'!$E17*'IW+_end'!AG14</f>
        <v>0</v>
      </c>
      <c r="AH58" s="137">
        <f>'LCI_AD-a'!$E17*'IW+_end'!AH14</f>
        <v>0</v>
      </c>
      <c r="AI58" s="137">
        <f>'LCI_AD-a'!$E17*'IW+_end'!AI14</f>
        <v>0</v>
      </c>
      <c r="AJ58" s="137">
        <f>'LCI_AD-a'!$E17*'IW+_end'!AJ14</f>
        <v>0</v>
      </c>
      <c r="AK58" s="137">
        <f>'LCI_AD-a'!$E17*'IW+_end'!AK14</f>
        <v>0</v>
      </c>
    </row>
    <row r="59" spans="1:38" x14ac:dyDescent="0.35">
      <c r="A59" s="137"/>
      <c r="B59" s="137" t="s">
        <v>52</v>
      </c>
      <c r="C59" s="137">
        <f>'LCI_AD-a'!$E18*'IW+_end'!C15</f>
        <v>0</v>
      </c>
      <c r="D59" s="137">
        <f>'LCI_AD-a'!$E18*'IW+_end'!D15</f>
        <v>0</v>
      </c>
      <c r="E59" s="137">
        <f>'LCI_AD-a'!$E18*'IW+_end'!E15</f>
        <v>0</v>
      </c>
      <c r="F59" s="137">
        <f>'LCI_AD-a'!$E18*'IW+_end'!F15</f>
        <v>0</v>
      </c>
      <c r="G59" s="137">
        <f>'LCI_AD-a'!$E18*'IW+_end'!G15</f>
        <v>0</v>
      </c>
      <c r="H59" s="137">
        <f>'LCI_AD-a'!$E18*'IW+_end'!H15</f>
        <v>7.5301896698104316E-3</v>
      </c>
      <c r="I59" s="137">
        <f>'LCI_AD-a'!$E18*'IW+_end'!I15</f>
        <v>0</v>
      </c>
      <c r="J59" s="137">
        <f>'LCI_AD-a'!$E18*'IW+_end'!J15</f>
        <v>0</v>
      </c>
      <c r="K59" s="137">
        <f>'LCI_AD-a'!$E18*'IW+_end'!K15</f>
        <v>0</v>
      </c>
      <c r="L59" s="137">
        <f>'LCI_AD-a'!$E18*'IW+_end'!L15</f>
        <v>0</v>
      </c>
      <c r="M59" s="137">
        <f>'LCI_AD-a'!$E18*'IW+_end'!M15</f>
        <v>0</v>
      </c>
      <c r="N59" s="137">
        <f>'LCI_AD-a'!$E18*'IW+_end'!N15</f>
        <v>0</v>
      </c>
      <c r="O59" s="137">
        <f>'LCI_AD-a'!$E18*'IW+_end'!O15</f>
        <v>0</v>
      </c>
      <c r="P59" s="137">
        <f>'LCI_AD-a'!$E18*'IW+_end'!P15</f>
        <v>0</v>
      </c>
      <c r="Q59" s="137">
        <f>'LCI_AD-a'!$E18*'IW+_end'!Q15</f>
        <v>0</v>
      </c>
      <c r="R59" s="137">
        <f>'LCI_AD-a'!$E18*'IW+_end'!R15</f>
        <v>0</v>
      </c>
      <c r="S59" s="137">
        <f>'LCI_AD-a'!$E18*'IW+_end'!S15</f>
        <v>0</v>
      </c>
      <c r="T59" s="137">
        <f>'LCI_AD-a'!$E18*'IW+_end'!T15</f>
        <v>0</v>
      </c>
      <c r="U59" s="137">
        <f>'LCI_AD-a'!$E18*'IW+_end'!U15</f>
        <v>0</v>
      </c>
      <c r="V59" s="137">
        <f>'LCI_AD-a'!$E18*'IW+_end'!V15</f>
        <v>0</v>
      </c>
      <c r="W59" s="137">
        <f>'LCI_AD-a'!$E18*'IW+_end'!W15</f>
        <v>0</v>
      </c>
      <c r="X59" s="137">
        <f>'LCI_AD-a'!$E18*'IW+_end'!X15</f>
        <v>0</v>
      </c>
      <c r="Y59" s="137">
        <f>'LCI_AD-a'!$E18*'IW+_end'!Y15</f>
        <v>0</v>
      </c>
      <c r="Z59" s="137">
        <f>'LCI_AD-a'!$E18*'IW+_end'!Z15</f>
        <v>2.9229407484295913E-7</v>
      </c>
      <c r="AA59" s="137">
        <f>'LCI_AD-a'!$E18*'IW+_end'!AA15</f>
        <v>0</v>
      </c>
      <c r="AB59" s="137">
        <f>'LCI_AD-a'!$E18*'IW+_end'!AB15</f>
        <v>0</v>
      </c>
      <c r="AC59" s="137">
        <f>'LCI_AD-a'!$E18*'IW+_end'!AC15</f>
        <v>4.4870051656323025E-2</v>
      </c>
      <c r="AD59" s="137">
        <f>'LCI_AD-a'!$E18*'IW+_end'!AD15</f>
        <v>0</v>
      </c>
      <c r="AE59" s="137">
        <f>'LCI_AD-a'!$E18*'IW+_end'!AE15</f>
        <v>0</v>
      </c>
      <c r="AF59" s="137">
        <f>'LCI_AD-a'!$E18*'IW+_end'!AF15</f>
        <v>0</v>
      </c>
      <c r="AG59" s="137">
        <f>'LCI_AD-a'!$E18*'IW+_end'!AG15</f>
        <v>5.2400241326133461E-2</v>
      </c>
      <c r="AH59" s="137">
        <f>'LCI_AD-a'!$E18*'IW+_end'!AH15</f>
        <v>2.9229407484165353E-7</v>
      </c>
      <c r="AI59" s="137">
        <f>'LCI_AD-a'!$E18*'IW+_end'!AI15</f>
        <v>0</v>
      </c>
      <c r="AJ59" s="137">
        <f>'LCI_AD-a'!$E18*'IW+_end'!AJ15</f>
        <v>0</v>
      </c>
      <c r="AK59" s="137">
        <f>'LCI_AD-a'!$E18*'IW+_end'!AK15</f>
        <v>0</v>
      </c>
    </row>
    <row r="60" spans="1:38" x14ac:dyDescent="0.35">
      <c r="A60" s="137"/>
      <c r="B60" s="137" t="s">
        <v>53</v>
      </c>
      <c r="C60" s="137">
        <f>'LCI_AD-a'!$E19*'IW+_end'!C22</f>
        <v>0</v>
      </c>
      <c r="D60" s="137">
        <f>'LCI_AD-a'!$E19*'IW+_end'!D22</f>
        <v>0</v>
      </c>
      <c r="E60" s="137">
        <f>'LCI_AD-a'!$E19*'IW+_end'!E22</f>
        <v>0</v>
      </c>
      <c r="F60" s="137">
        <f>'LCI_AD-a'!$E19*'IW+_end'!F22</f>
        <v>0</v>
      </c>
      <c r="G60" s="137">
        <f>'LCI_AD-a'!$E19*'IW+_end'!G22</f>
        <v>0</v>
      </c>
      <c r="H60" s="137">
        <f>'LCI_AD-a'!$E19*'IW+_end'!H22</f>
        <v>0</v>
      </c>
      <c r="I60" s="137">
        <f>'LCI_AD-a'!$E19*'IW+_end'!I22</f>
        <v>0</v>
      </c>
      <c r="J60" s="137">
        <f>'LCI_AD-a'!$E19*'IW+_end'!J22</f>
        <v>0</v>
      </c>
      <c r="K60" s="137">
        <f>'LCI_AD-a'!$E19*'IW+_end'!K22</f>
        <v>0</v>
      </c>
      <c r="L60" s="137">
        <f>'LCI_AD-a'!$E19*'IW+_end'!L22</f>
        <v>0</v>
      </c>
      <c r="M60" s="137">
        <f>'LCI_AD-a'!$E19*'IW+_end'!M22</f>
        <v>0</v>
      </c>
      <c r="N60" s="137">
        <f>'LCI_AD-a'!$E19*'IW+_end'!N22</f>
        <v>0</v>
      </c>
      <c r="O60" s="137">
        <f>'LCI_AD-a'!$E19*'IW+_end'!O22</f>
        <v>0</v>
      </c>
      <c r="P60" s="137">
        <f>'LCI_AD-a'!$E19*'IW+_end'!P22</f>
        <v>0</v>
      </c>
      <c r="Q60" s="137">
        <f>'LCI_AD-a'!$E19*'IW+_end'!Q22</f>
        <v>0</v>
      </c>
      <c r="R60" s="137">
        <f>'LCI_AD-a'!$E19*'IW+_end'!R22</f>
        <v>0</v>
      </c>
      <c r="S60" s="137">
        <f>'LCI_AD-a'!$E19*'IW+_end'!S22</f>
        <v>0</v>
      </c>
      <c r="T60" s="137">
        <f>'LCI_AD-a'!$E19*'IW+_end'!T22</f>
        <v>0</v>
      </c>
      <c r="U60" s="137">
        <f>'LCI_AD-a'!$E19*'IW+_end'!U22</f>
        <v>0</v>
      </c>
      <c r="V60" s="137">
        <f>'LCI_AD-a'!$E19*'IW+_end'!V22</f>
        <v>0</v>
      </c>
      <c r="W60" s="137">
        <f>'LCI_AD-a'!$E19*'IW+_end'!W22</f>
        <v>0</v>
      </c>
      <c r="X60" s="137">
        <f>'LCI_AD-a'!$E19*'IW+_end'!X22</f>
        <v>0</v>
      </c>
      <c r="Y60" s="137">
        <f>'LCI_AD-a'!$E19*'IW+_end'!Y22</f>
        <v>0</v>
      </c>
      <c r="Z60" s="137">
        <f>'LCI_AD-a'!$E19*'IW+_end'!Z22</f>
        <v>1.0521444232463526E-5</v>
      </c>
      <c r="AA60" s="137">
        <f>'LCI_AD-a'!$E19*'IW+_end'!AA22</f>
        <v>0</v>
      </c>
      <c r="AB60" s="137">
        <f>'LCI_AD-a'!$E19*'IW+_end'!AB22</f>
        <v>0</v>
      </c>
      <c r="AC60" s="137">
        <f>'LCI_AD-a'!$E19*'IW+_end'!AC22</f>
        <v>0</v>
      </c>
      <c r="AD60" s="137">
        <f>'LCI_AD-a'!$E19*'IW+_end'!AD22</f>
        <v>0</v>
      </c>
      <c r="AE60" s="137">
        <f>'LCI_AD-a'!$E19*'IW+_end'!AE22</f>
        <v>0</v>
      </c>
      <c r="AF60" s="137">
        <f>'LCI_AD-a'!$E19*'IW+_end'!AF22</f>
        <v>0</v>
      </c>
      <c r="AG60" s="137">
        <f>'LCI_AD-a'!$E19*'IW+_end'!AG22</f>
        <v>0</v>
      </c>
      <c r="AH60" s="137">
        <f>'LCI_AD-a'!$E19*'IW+_end'!AH22</f>
        <v>1.0521444232463526E-5</v>
      </c>
      <c r="AI60" s="137">
        <f>'LCI_AD-a'!$E19*'IW+_end'!AI22</f>
        <v>0</v>
      </c>
      <c r="AJ60" s="137">
        <f>'LCI_AD-a'!$E19*'IW+_end'!AJ22</f>
        <v>0</v>
      </c>
      <c r="AK60" s="137">
        <f>'LCI_AD-a'!$E19*'IW+_end'!AK22</f>
        <v>0</v>
      </c>
    </row>
    <row r="61" spans="1:38" x14ac:dyDescent="0.35">
      <c r="A61" s="137"/>
      <c r="B61" s="137" t="s">
        <v>54</v>
      </c>
      <c r="C61" s="137">
        <f>'LCI_AD-a'!$E20*'IW+_end'!C17</f>
        <v>0</v>
      </c>
      <c r="D61" s="137">
        <f>'LCI_AD-a'!$E20*'IW+_end'!D17</f>
        <v>0</v>
      </c>
      <c r="E61" s="137">
        <f>'LCI_AD-a'!$E20*'IW+_end'!E17</f>
        <v>0</v>
      </c>
      <c r="F61" s="137">
        <f>'LCI_AD-a'!$E20*'IW+_end'!F17</f>
        <v>0</v>
      </c>
      <c r="G61" s="137">
        <f>'LCI_AD-a'!$E20*'IW+_end'!G17</f>
        <v>0</v>
      </c>
      <c r="H61" s="137">
        <f>'LCI_AD-a'!$E20*'IW+_end'!H17</f>
        <v>0</v>
      </c>
      <c r="I61" s="137">
        <f>'LCI_AD-a'!$E20*'IW+_end'!I17</f>
        <v>0</v>
      </c>
      <c r="J61" s="137">
        <f>'LCI_AD-a'!$E20*'IW+_end'!J17</f>
        <v>0</v>
      </c>
      <c r="K61" s="137">
        <f>'LCI_AD-a'!$E20*'IW+_end'!K17</f>
        <v>0</v>
      </c>
      <c r="L61" s="137">
        <f>'LCI_AD-a'!$E20*'IW+_end'!L17</f>
        <v>0</v>
      </c>
      <c r="M61" s="137">
        <f>'LCI_AD-a'!$E20*'IW+_end'!M17</f>
        <v>0</v>
      </c>
      <c r="N61" s="137">
        <f>'LCI_AD-a'!$E20*'IW+_end'!N17</f>
        <v>0</v>
      </c>
      <c r="O61" s="137">
        <f>'LCI_AD-a'!$E20*'IW+_end'!O17</f>
        <v>0</v>
      </c>
      <c r="P61" s="137">
        <f>'LCI_AD-a'!$E20*'IW+_end'!P17</f>
        <v>0</v>
      </c>
      <c r="Q61" s="137">
        <f>'LCI_AD-a'!$E20*'IW+_end'!Q17</f>
        <v>0</v>
      </c>
      <c r="R61" s="137">
        <f>'LCI_AD-a'!$E20*'IW+_end'!R17</f>
        <v>0</v>
      </c>
      <c r="S61" s="137">
        <f>'LCI_AD-a'!$E20*'IW+_end'!S17</f>
        <v>0</v>
      </c>
      <c r="T61" s="137">
        <f>'LCI_AD-a'!$E20*'IW+_end'!T17</f>
        <v>0</v>
      </c>
      <c r="U61" s="137">
        <f>'LCI_AD-a'!$E20*'IW+_end'!U17</f>
        <v>0</v>
      </c>
      <c r="V61" s="137">
        <f>'LCI_AD-a'!$E20*'IW+_end'!V17</f>
        <v>0</v>
      </c>
      <c r="W61" s="137">
        <f>'LCI_AD-a'!$E20*'IW+_end'!W17</f>
        <v>0</v>
      </c>
      <c r="X61" s="137">
        <f>'LCI_AD-a'!$E20*'IW+_end'!X17</f>
        <v>0</v>
      </c>
      <c r="Y61" s="137">
        <f>'LCI_AD-a'!$E20*'IW+_end'!Y17</f>
        <v>0</v>
      </c>
      <c r="Z61" s="137">
        <f>'LCI_AD-a'!$E20*'IW+_end'!Z17</f>
        <v>0</v>
      </c>
      <c r="AA61" s="137">
        <f>'LCI_AD-a'!$E20*'IW+_end'!AA17</f>
        <v>0</v>
      </c>
      <c r="AB61" s="137">
        <f>'LCI_AD-a'!$E20*'IW+_end'!AB17</f>
        <v>0</v>
      </c>
      <c r="AC61" s="137">
        <f>'LCI_AD-a'!$E20*'IW+_end'!AC17</f>
        <v>0</v>
      </c>
      <c r="AD61" s="137">
        <f>'LCI_AD-a'!$E20*'IW+_end'!AD17</f>
        <v>0</v>
      </c>
      <c r="AE61" s="137">
        <f>'LCI_AD-a'!$E20*'IW+_end'!AE17</f>
        <v>0</v>
      </c>
      <c r="AF61" s="137">
        <f>'LCI_AD-a'!$E20*'IW+_end'!AF17</f>
        <v>0</v>
      </c>
      <c r="AG61" s="137">
        <f>'LCI_AD-a'!$E20*'IW+_end'!AG17</f>
        <v>0</v>
      </c>
      <c r="AH61" s="137">
        <f>'LCI_AD-a'!$E20*'IW+_end'!AH17</f>
        <v>0</v>
      </c>
      <c r="AI61" s="137">
        <f>'LCI_AD-a'!$E20*'IW+_end'!AI17</f>
        <v>0</v>
      </c>
      <c r="AJ61" s="137">
        <f>'LCI_AD-a'!$E20*'IW+_end'!AJ17</f>
        <v>0</v>
      </c>
      <c r="AK61" s="137">
        <f>'LCI_AD-a'!$E20*'IW+_end'!AK17</f>
        <v>0</v>
      </c>
    </row>
    <row r="62" spans="1:38" x14ac:dyDescent="0.35">
      <c r="A62" s="137"/>
      <c r="B62" s="137" t="s">
        <v>55</v>
      </c>
      <c r="C62" s="137">
        <f>'LCI_AD-a'!$E21*'IW+_end'!C18</f>
        <v>0</v>
      </c>
      <c r="D62" s="137">
        <f>'LCI_AD-a'!$E21*'IW+_end'!D18</f>
        <v>0</v>
      </c>
      <c r="E62" s="137">
        <f>'LCI_AD-a'!$E21*'IW+_end'!E18</f>
        <v>0</v>
      </c>
      <c r="F62" s="137">
        <f>'LCI_AD-a'!$E21*'IW+_end'!F18</f>
        <v>0</v>
      </c>
      <c r="G62" s="137">
        <f>'LCI_AD-a'!$E21*'IW+_end'!G18</f>
        <v>0</v>
      </c>
      <c r="H62" s="137">
        <f>'LCI_AD-a'!$E21*'IW+_end'!H18</f>
        <v>2.64775553315998E-2</v>
      </c>
      <c r="I62" s="137">
        <f>'LCI_AD-a'!$E21*'IW+_end'!I18</f>
        <v>0</v>
      </c>
      <c r="J62" s="137">
        <f>'LCI_AD-a'!$E21*'IW+_end'!J18</f>
        <v>0</v>
      </c>
      <c r="K62" s="137">
        <f>'LCI_AD-a'!$E21*'IW+_end'!K18</f>
        <v>0</v>
      </c>
      <c r="L62" s="137">
        <f>'LCI_AD-a'!$E21*'IW+_end'!L18</f>
        <v>0</v>
      </c>
      <c r="M62" s="137">
        <f>'LCI_AD-a'!$E21*'IW+_end'!M18</f>
        <v>0</v>
      </c>
      <c r="N62" s="137">
        <f>'LCI_AD-a'!$E21*'IW+_end'!N18</f>
        <v>0</v>
      </c>
      <c r="O62" s="137">
        <f>'LCI_AD-a'!$E21*'IW+_end'!O18</f>
        <v>0</v>
      </c>
      <c r="P62" s="137">
        <f>'LCI_AD-a'!$E21*'IW+_end'!P18</f>
        <v>0</v>
      </c>
      <c r="Q62" s="137">
        <f>'LCI_AD-a'!$E21*'IW+_end'!Q18</f>
        <v>0</v>
      </c>
      <c r="R62" s="137">
        <f>'LCI_AD-a'!$E21*'IW+_end'!R18</f>
        <v>0</v>
      </c>
      <c r="S62" s="137">
        <f>'LCI_AD-a'!$E21*'IW+_end'!S18</f>
        <v>0</v>
      </c>
      <c r="T62" s="137">
        <f>'LCI_AD-a'!$E21*'IW+_end'!T18</f>
        <v>0</v>
      </c>
      <c r="U62" s="137">
        <f>'LCI_AD-a'!$E21*'IW+_end'!U18</f>
        <v>0</v>
      </c>
      <c r="V62" s="137">
        <f>'LCI_AD-a'!$E21*'IW+_end'!V18</f>
        <v>0</v>
      </c>
      <c r="W62" s="137">
        <f>'LCI_AD-a'!$E21*'IW+_end'!W18</f>
        <v>0</v>
      </c>
      <c r="X62" s="137">
        <f>'LCI_AD-a'!$E21*'IW+_end'!X18</f>
        <v>1.0164650294236277E-2</v>
      </c>
      <c r="Y62" s="137">
        <f>'LCI_AD-a'!$E21*'IW+_end'!Y18</f>
        <v>0</v>
      </c>
      <c r="Z62" s="137">
        <f>'LCI_AD-a'!$E21*'IW+_end'!Z18</f>
        <v>2.5434328360242584E-6</v>
      </c>
      <c r="AA62" s="137">
        <f>'LCI_AD-a'!$E21*'IW+_end'!AA18</f>
        <v>0</v>
      </c>
      <c r="AB62" s="137">
        <f>'LCI_AD-a'!$E21*'IW+_end'!AB18</f>
        <v>0</v>
      </c>
      <c r="AC62" s="137">
        <f>'LCI_AD-a'!$E21*'IW+_end'!AC18</f>
        <v>0.3413663755755999</v>
      </c>
      <c r="AD62" s="137">
        <f>'LCI_AD-a'!$E21*'IW+_end'!AD18</f>
        <v>0</v>
      </c>
      <c r="AE62" s="137">
        <f>'LCI_AD-a'!$E21*'IW+_end'!AE18</f>
        <v>0</v>
      </c>
      <c r="AF62" s="137">
        <f>'LCI_AD-a'!$E21*'IW+_end'!AF18</f>
        <v>0</v>
      </c>
      <c r="AG62" s="137">
        <f>'LCI_AD-a'!$E21*'IW+_end'!AG18</f>
        <v>0.37800858120143599</v>
      </c>
      <c r="AH62" s="137">
        <f>'LCI_AD-a'!$E21*'IW+_end'!AH18</f>
        <v>2.5434328359962991E-6</v>
      </c>
      <c r="AI62" s="137">
        <f>'LCI_AD-a'!$E21*'IW+_end'!AI18</f>
        <v>0</v>
      </c>
      <c r="AJ62" s="137">
        <f>'LCI_AD-a'!$E21*'IW+_end'!AJ18</f>
        <v>0</v>
      </c>
      <c r="AK62" s="137">
        <f>'LCI_AD-a'!$E21*'IW+_end'!AK18</f>
        <v>0</v>
      </c>
    </row>
    <row r="63" spans="1:38" x14ac:dyDescent="0.35">
      <c r="A63" s="137"/>
      <c r="B63" s="137" t="s">
        <v>58</v>
      </c>
      <c r="C63" s="137">
        <f>'LCI_AD-a'!$E22*'IW+_end'!C12</f>
        <v>0.59739459327648203</v>
      </c>
      <c r="D63" s="137">
        <f>'LCI_AD-a'!$E22*'IW+_end'!D12</f>
        <v>2.2688585970530526</v>
      </c>
      <c r="E63" s="137">
        <f>'LCI_AD-a'!$E22*'IW+_end'!E12</f>
        <v>8.0510704739781323E-6</v>
      </c>
      <c r="F63" s="137">
        <f>'LCI_AD-a'!$E22*'IW+_end'!F12</f>
        <v>3.0577373705672909E-5</v>
      </c>
      <c r="G63" s="137">
        <f>'LCI_AD-a'!$E22*'IW+_end'!G12</f>
        <v>0</v>
      </c>
      <c r="H63" s="137">
        <f>'LCI_AD-a'!$E22*'IW+_end'!H12</f>
        <v>0</v>
      </c>
      <c r="I63" s="137">
        <f>'LCI_AD-a'!$E22*'IW+_end'!I12</f>
        <v>0</v>
      </c>
      <c r="J63" s="137">
        <f>'LCI_AD-a'!$E22*'IW+_end'!J12</f>
        <v>0</v>
      </c>
      <c r="K63" s="137">
        <f>'LCI_AD-a'!$E22*'IW+_end'!K12</f>
        <v>0</v>
      </c>
      <c r="L63" s="137">
        <f>'LCI_AD-a'!$E22*'IW+_end'!L12</f>
        <v>0</v>
      </c>
      <c r="M63" s="137">
        <f>'LCI_AD-a'!$E22*'IW+_end'!M12</f>
        <v>0</v>
      </c>
      <c r="N63" s="137">
        <f>'LCI_AD-a'!$E22*'IW+_end'!N12</f>
        <v>0</v>
      </c>
      <c r="O63" s="137">
        <f>'LCI_AD-a'!$E22*'IW+_end'!O12</f>
        <v>0</v>
      </c>
      <c r="P63" s="137">
        <f>'LCI_AD-a'!$E22*'IW+_end'!P12</f>
        <v>0</v>
      </c>
      <c r="Q63" s="137">
        <f>'LCI_AD-a'!$E22*'IW+_end'!Q12</f>
        <v>0</v>
      </c>
      <c r="R63" s="137">
        <f>'LCI_AD-a'!$E22*'IW+_end'!R12</f>
        <v>0</v>
      </c>
      <c r="S63" s="137">
        <f>'LCI_AD-a'!$E22*'IW+_end'!S12</f>
        <v>0</v>
      </c>
      <c r="T63" s="137">
        <f>'LCI_AD-a'!$E22*'IW+_end'!T12</f>
        <v>0</v>
      </c>
      <c r="U63" s="137">
        <f>'LCI_AD-a'!$E22*'IW+_end'!U12</f>
        <v>0</v>
      </c>
      <c r="V63" s="137">
        <f>'LCI_AD-a'!$E22*'IW+_end'!V12</f>
        <v>0</v>
      </c>
      <c r="W63" s="137">
        <f>'LCI_AD-a'!$E22*'IW+_end'!W12</f>
        <v>0</v>
      </c>
      <c r="X63" s="137">
        <f>'LCI_AD-a'!$E22*'IW+_end'!X12</f>
        <v>0</v>
      </c>
      <c r="Y63" s="137">
        <f>'LCI_AD-a'!$E22*'IW+_end'!Y12</f>
        <v>0</v>
      </c>
      <c r="Z63" s="137">
        <f>'LCI_AD-a'!$E22*'IW+_end'!Z12</f>
        <v>0</v>
      </c>
      <c r="AA63" s="137">
        <f>'LCI_AD-a'!$E22*'IW+_end'!AA12</f>
        <v>0</v>
      </c>
      <c r="AB63" s="137">
        <f>'LCI_AD-a'!$E22*'IW+_end'!AB12</f>
        <v>0</v>
      </c>
      <c r="AC63" s="137">
        <f>'LCI_AD-a'!$E22*'IW+_end'!AC12</f>
        <v>0</v>
      </c>
      <c r="AD63" s="137">
        <f>'LCI_AD-a'!$E22*'IW+_end'!AD12</f>
        <v>0</v>
      </c>
      <c r="AE63" s="137">
        <f>'LCI_AD-a'!$E22*'IW+_end'!AE12</f>
        <v>0</v>
      </c>
      <c r="AF63" s="137">
        <f>'LCI_AD-a'!$E22*'IW+_end'!AF12</f>
        <v>0</v>
      </c>
      <c r="AG63" s="137">
        <f>'LCI_AD-a'!$E22*'IW+_end'!AG12</f>
        <v>2.8662531903295347</v>
      </c>
      <c r="AH63" s="137">
        <f>'LCI_AD-a'!$E22*'IW+_end'!AH12</f>
        <v>3.8628444179449193E-5</v>
      </c>
      <c r="AI63" s="137">
        <f>'LCI_AD-a'!$E22*'IW+_end'!AI12</f>
        <v>0</v>
      </c>
      <c r="AJ63" s="137">
        <f>'LCI_AD-a'!$E22*'IW+_end'!AJ12</f>
        <v>0</v>
      </c>
      <c r="AK63" s="137">
        <f>'LCI_AD-a'!$E22*'IW+_end'!AK12</f>
        <v>0</v>
      </c>
    </row>
    <row r="64" spans="1:38" x14ac:dyDescent="0.35">
      <c r="A64" s="137"/>
      <c r="B64" s="137" t="s">
        <v>59</v>
      </c>
      <c r="C64" s="137">
        <f>'LCI_AD-a'!$E23*'IW+_end'!C20</f>
        <v>1.1658402937605814</v>
      </c>
      <c r="D64" s="137">
        <f>'LCI_AD-a'!$E23*'IW+_end'!D20</f>
        <v>0.86492128825816816</v>
      </c>
      <c r="E64" s="137">
        <f>'LCI_AD-a'!$E23*'IW+_end'!E20</f>
        <v>1.5711997517402574E-5</v>
      </c>
      <c r="F64" s="137">
        <f>'LCI_AD-a'!$E23*'IW+_end'!F20</f>
        <v>1.1656520371264299E-5</v>
      </c>
      <c r="G64" s="137">
        <f>'LCI_AD-a'!$E23*'IW+_end'!G20</f>
        <v>0</v>
      </c>
      <c r="H64" s="137">
        <f>'LCI_AD-a'!$E23*'IW+_end'!H20</f>
        <v>0</v>
      </c>
      <c r="I64" s="137">
        <f>'LCI_AD-a'!$E23*'IW+_end'!I20</f>
        <v>0</v>
      </c>
      <c r="J64" s="137">
        <f>'LCI_AD-a'!$E23*'IW+_end'!J20</f>
        <v>0</v>
      </c>
      <c r="K64" s="137">
        <f>'LCI_AD-a'!$E23*'IW+_end'!K20</f>
        <v>0</v>
      </c>
      <c r="L64" s="137">
        <f>'LCI_AD-a'!$E23*'IW+_end'!L20</f>
        <v>0</v>
      </c>
      <c r="M64" s="137">
        <f>'LCI_AD-a'!$E23*'IW+_end'!M20</f>
        <v>0</v>
      </c>
      <c r="N64" s="137">
        <f>'LCI_AD-a'!$E23*'IW+_end'!N20</f>
        <v>0</v>
      </c>
      <c r="O64" s="137">
        <f>'LCI_AD-a'!$E23*'IW+_end'!O20</f>
        <v>0</v>
      </c>
      <c r="P64" s="137">
        <f>'LCI_AD-a'!$E23*'IW+_end'!P20</f>
        <v>0</v>
      </c>
      <c r="Q64" s="137">
        <f>'LCI_AD-a'!$E23*'IW+_end'!Q20</f>
        <v>0</v>
      </c>
      <c r="R64" s="137">
        <f>'LCI_AD-a'!$E23*'IW+_end'!R20</f>
        <v>0</v>
      </c>
      <c r="S64" s="137">
        <f>'LCI_AD-a'!$E23*'IW+_end'!S20</f>
        <v>0</v>
      </c>
      <c r="T64" s="137">
        <f>'LCI_AD-a'!$E23*'IW+_end'!T20</f>
        <v>0</v>
      </c>
      <c r="U64" s="137">
        <f>'LCI_AD-a'!$E23*'IW+_end'!U20</f>
        <v>0</v>
      </c>
      <c r="V64" s="137">
        <f>'LCI_AD-a'!$E23*'IW+_end'!V20</f>
        <v>0</v>
      </c>
      <c r="W64" s="137">
        <f>'LCI_AD-a'!$E23*'IW+_end'!W20</f>
        <v>0</v>
      </c>
      <c r="X64" s="137">
        <f>'LCI_AD-a'!$E23*'IW+_end'!X20</f>
        <v>0</v>
      </c>
      <c r="Y64" s="137">
        <f>'LCI_AD-a'!$E23*'IW+_end'!Y20</f>
        <v>0</v>
      </c>
      <c r="Z64" s="137">
        <f>'LCI_AD-a'!$E23*'IW+_end'!Z20</f>
        <v>0</v>
      </c>
      <c r="AA64" s="137">
        <f>'LCI_AD-a'!$E23*'IW+_end'!AA20</f>
        <v>0</v>
      </c>
      <c r="AB64" s="137">
        <f>'LCI_AD-a'!$E23*'IW+_end'!AB20</f>
        <v>0</v>
      </c>
      <c r="AC64" s="137">
        <f>'LCI_AD-a'!$E23*'IW+_end'!AC20</f>
        <v>0</v>
      </c>
      <c r="AD64" s="137">
        <f>'LCI_AD-a'!$E23*'IW+_end'!AD20</f>
        <v>0</v>
      </c>
      <c r="AE64" s="137">
        <f>'LCI_AD-a'!$E23*'IW+_end'!AE20</f>
        <v>0</v>
      </c>
      <c r="AF64" s="137">
        <f>'LCI_AD-a'!$E23*'IW+_end'!AF20</f>
        <v>0</v>
      </c>
      <c r="AG64" s="137">
        <f>'LCI_AD-a'!$E23*'IW+_end'!AG20</f>
        <v>2.0307615820187492</v>
      </c>
      <c r="AH64" s="137">
        <f>'LCI_AD-a'!$E23*'IW+_end'!AH20</f>
        <v>2.7368517888563288E-5</v>
      </c>
      <c r="AI64" s="137">
        <f>'LCI_AD-a'!$E23*'IW+_end'!AI20</f>
        <v>0</v>
      </c>
      <c r="AJ64" s="137">
        <f>'LCI_AD-a'!$E23*'IW+_end'!AJ20</f>
        <v>0</v>
      </c>
      <c r="AK64" s="137">
        <f>'LCI_AD-a'!$E23*'IW+_end'!AK20</f>
        <v>0</v>
      </c>
    </row>
    <row r="65" spans="1:41" x14ac:dyDescent="0.35">
      <c r="A65" s="142" t="s">
        <v>100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</row>
    <row r="66" spans="1:41" x14ac:dyDescent="0.35">
      <c r="A66" s="137"/>
      <c r="B66" s="137" t="s">
        <v>96</v>
      </c>
      <c r="C66" s="137">
        <f>'LCI_AD-a'!$E27*'IW+_end'!C12</f>
        <v>0.8301443978002423</v>
      </c>
      <c r="D66" s="137">
        <f>'LCI_AD-a'!$E27*'IW+_end'!D12</f>
        <v>3.1528244060836514</v>
      </c>
      <c r="E66" s="137">
        <f>'LCI_AD-a'!$E27*'IW+_end'!E12</f>
        <v>1.118783317674697E-5</v>
      </c>
      <c r="F66" s="137">
        <f>'LCI_AD-a'!$E27*'IW+_end'!F12</f>
        <v>4.2490567820490681E-5</v>
      </c>
      <c r="G66" s="137">
        <f>'LCI_AD-a'!$E27*'IW+_end'!G12</f>
        <v>0</v>
      </c>
      <c r="H66" s="137">
        <f>'LCI_AD-a'!$E27*'IW+_end'!H12</f>
        <v>0</v>
      </c>
      <c r="I66" s="137">
        <f>'LCI_AD-a'!$E27*'IW+_end'!I12</f>
        <v>0</v>
      </c>
      <c r="J66" s="137">
        <f>'LCI_AD-a'!$E27*'IW+_end'!J12</f>
        <v>0</v>
      </c>
      <c r="K66" s="137">
        <f>'LCI_AD-a'!$E27*'IW+_end'!K12</f>
        <v>0</v>
      </c>
      <c r="L66" s="137">
        <f>'LCI_AD-a'!$E27*'IW+_end'!L12</f>
        <v>0</v>
      </c>
      <c r="M66" s="137">
        <f>'LCI_AD-a'!$E27*'IW+_end'!M12</f>
        <v>0</v>
      </c>
      <c r="N66" s="137">
        <f>'LCI_AD-a'!$E27*'IW+_end'!N12</f>
        <v>0</v>
      </c>
      <c r="O66" s="137">
        <f>'LCI_AD-a'!$E27*'IW+_end'!O12</f>
        <v>0</v>
      </c>
      <c r="P66" s="137">
        <f>'LCI_AD-a'!$E27*'IW+_end'!P12</f>
        <v>0</v>
      </c>
      <c r="Q66" s="137">
        <f>'LCI_AD-a'!$E27*'IW+_end'!Q12</f>
        <v>0</v>
      </c>
      <c r="R66" s="137">
        <f>'LCI_AD-a'!$E27*'IW+_end'!R12</f>
        <v>0</v>
      </c>
      <c r="S66" s="137">
        <f>'LCI_AD-a'!$E27*'IW+_end'!S12</f>
        <v>0</v>
      </c>
      <c r="T66" s="137">
        <f>'LCI_AD-a'!$E27*'IW+_end'!T12</f>
        <v>0</v>
      </c>
      <c r="U66" s="137">
        <f>'LCI_AD-a'!$E27*'IW+_end'!U12</f>
        <v>0</v>
      </c>
      <c r="V66" s="137">
        <f>'LCI_AD-a'!$E27*'IW+_end'!V12</f>
        <v>0</v>
      </c>
      <c r="W66" s="137">
        <f>'LCI_AD-a'!$E27*'IW+_end'!W12</f>
        <v>0</v>
      </c>
      <c r="X66" s="137">
        <f>'LCI_AD-a'!$E27*'IW+_end'!X12</f>
        <v>0</v>
      </c>
      <c r="Y66" s="137">
        <f>'LCI_AD-a'!$E27*'IW+_end'!Y12</f>
        <v>0</v>
      </c>
      <c r="Z66" s="137">
        <f>'LCI_AD-a'!$E27*'IW+_end'!Z12</f>
        <v>0</v>
      </c>
      <c r="AA66" s="137">
        <f>'LCI_AD-a'!$E27*'IW+_end'!AA12</f>
        <v>0</v>
      </c>
      <c r="AB66" s="137">
        <f>'LCI_AD-a'!$E27*'IW+_end'!AB12</f>
        <v>0</v>
      </c>
      <c r="AC66" s="137">
        <f>'LCI_AD-a'!$E27*'IW+_end'!AC12</f>
        <v>0</v>
      </c>
      <c r="AD66" s="137">
        <f>'LCI_AD-a'!$E27*'IW+_end'!AD12</f>
        <v>0</v>
      </c>
      <c r="AE66" s="137">
        <f>'LCI_AD-a'!$E27*'IW+_end'!AE12</f>
        <v>0</v>
      </c>
      <c r="AF66" s="137">
        <f>'LCI_AD-a'!$E27*'IW+_end'!AF12</f>
        <v>0</v>
      </c>
      <c r="AG66" s="137">
        <f>'LCI_AD-a'!$E27*'IW+_end'!AG12</f>
        <v>3.9829688038838937</v>
      </c>
      <c r="AH66" s="137">
        <f>'LCI_AD-a'!$E27*'IW+_end'!AH12</f>
        <v>5.3678400996957153E-5</v>
      </c>
      <c r="AI66" s="137">
        <f>'LCI_AD-a'!$E27*'IW+_end'!AI12</f>
        <v>0</v>
      </c>
      <c r="AJ66" s="137">
        <f>'LCI_AD-a'!$E27*'IW+_end'!AJ12</f>
        <v>0</v>
      </c>
      <c r="AK66" s="137">
        <f>'LCI_AD-a'!$E27*'IW+_end'!AK12</f>
        <v>0</v>
      </c>
    </row>
    <row r="67" spans="1:41" x14ac:dyDescent="0.35">
      <c r="A67" s="143" t="s">
        <v>108</v>
      </c>
      <c r="B67" s="137"/>
      <c r="C67" s="142">
        <f>SUM(C68:C72)</f>
        <v>3.5468131034964165</v>
      </c>
      <c r="D67" s="142">
        <f t="shared" ref="D67:AK67" si="10">SUM(D68:D72)</f>
        <v>2.6313331037750718</v>
      </c>
      <c r="E67" s="142">
        <f t="shared" si="10"/>
        <v>4.7800302472879612E-5</v>
      </c>
      <c r="F67" s="142">
        <f t="shared" si="10"/>
        <v>3.5462403740236048E-5</v>
      </c>
      <c r="G67" s="142">
        <f t="shared" si="10"/>
        <v>0</v>
      </c>
      <c r="H67" s="142">
        <f t="shared" si="10"/>
        <v>7.9951774603777057</v>
      </c>
      <c r="I67" s="142">
        <f t="shared" si="10"/>
        <v>0</v>
      </c>
      <c r="J67" s="142">
        <f t="shared" si="10"/>
        <v>0</v>
      </c>
      <c r="K67" s="142">
        <f t="shared" si="10"/>
        <v>-0.19421069896461307</v>
      </c>
      <c r="L67" s="142">
        <f t="shared" si="10"/>
        <v>0</v>
      </c>
      <c r="M67" s="142">
        <f t="shared" si="10"/>
        <v>0</v>
      </c>
      <c r="N67" s="142">
        <f t="shared" si="10"/>
        <v>0</v>
      </c>
      <c r="O67" s="142">
        <f t="shared" si="10"/>
        <v>0</v>
      </c>
      <c r="P67" s="142">
        <f t="shared" si="10"/>
        <v>0</v>
      </c>
      <c r="Q67" s="142">
        <f t="shared" si="10"/>
        <v>0</v>
      </c>
      <c r="R67" s="142">
        <f t="shared" si="10"/>
        <v>0</v>
      </c>
      <c r="S67" s="142">
        <f t="shared" si="10"/>
        <v>0</v>
      </c>
      <c r="T67" s="142">
        <f t="shared" si="10"/>
        <v>0</v>
      </c>
      <c r="U67" s="142">
        <f t="shared" si="10"/>
        <v>0</v>
      </c>
      <c r="V67" s="142">
        <f t="shared" si="10"/>
        <v>0</v>
      </c>
      <c r="W67" s="142">
        <f t="shared" si="10"/>
        <v>0</v>
      </c>
      <c r="X67" s="142">
        <f t="shared" si="10"/>
        <v>-0.67393084886835064</v>
      </c>
      <c r="Y67" s="142">
        <f t="shared" si="10"/>
        <v>0</v>
      </c>
      <c r="Z67" s="142">
        <f t="shared" si="10"/>
        <v>7.6801640589139021E-4</v>
      </c>
      <c r="AA67" s="142">
        <f t="shared" si="10"/>
        <v>0</v>
      </c>
      <c r="AB67" s="142">
        <f t="shared" si="10"/>
        <v>0</v>
      </c>
      <c r="AC67" s="142">
        <f t="shared" si="10"/>
        <v>103.07918225651237</v>
      </c>
      <c r="AD67" s="142">
        <f t="shared" si="10"/>
        <v>0</v>
      </c>
      <c r="AE67" s="142">
        <f t="shared" si="10"/>
        <v>0</v>
      </c>
      <c r="AF67" s="142">
        <f t="shared" si="10"/>
        <v>0</v>
      </c>
      <c r="AG67" s="142">
        <f t="shared" si="10"/>
        <v>116.38436437632861</v>
      </c>
      <c r="AH67" s="142">
        <f t="shared" si="10"/>
        <v>8.5127911209574808E-4</v>
      </c>
      <c r="AI67" s="142">
        <f t="shared" si="10"/>
        <v>0</v>
      </c>
      <c r="AJ67" s="142">
        <f t="shared" si="10"/>
        <v>0</v>
      </c>
      <c r="AK67" s="142">
        <f t="shared" si="10"/>
        <v>0</v>
      </c>
    </row>
    <row r="68" spans="1:41" x14ac:dyDescent="0.35">
      <c r="A68" s="137"/>
      <c r="B68" s="144" t="s">
        <v>111</v>
      </c>
      <c r="C68" s="137">
        <f>'LCI_AD-a'!$E30*'IW+_end'!C20</f>
        <v>3.5468131034964165</v>
      </c>
      <c r="D68" s="137">
        <f>'LCI_AD-a'!$E30*'IW+_end'!D20</f>
        <v>2.6313331037750718</v>
      </c>
      <c r="E68" s="137">
        <f>'LCI_AD-a'!$E30*'IW+_end'!E20</f>
        <v>4.7800302472879612E-5</v>
      </c>
      <c r="F68" s="137">
        <f>'LCI_AD-a'!$E30*'IW+_end'!F20</f>
        <v>3.5462403740236048E-5</v>
      </c>
      <c r="G68" s="137">
        <f>'LCI_AD-a'!$E30*'IW+_end'!G20</f>
        <v>0</v>
      </c>
      <c r="H68" s="137">
        <f>'LCI_AD-a'!$E30*'IW+_end'!H20</f>
        <v>0</v>
      </c>
      <c r="I68" s="137">
        <f>'LCI_AD-a'!$E30*'IW+_end'!I20</f>
        <v>0</v>
      </c>
      <c r="J68" s="137">
        <f>'LCI_AD-a'!$E30*'IW+_end'!J20</f>
        <v>0</v>
      </c>
      <c r="K68" s="137">
        <f>'LCI_AD-a'!$E30*'IW+_end'!K20</f>
        <v>0</v>
      </c>
      <c r="L68" s="137">
        <f>'LCI_AD-a'!$E30*'IW+_end'!L20</f>
        <v>0</v>
      </c>
      <c r="M68" s="137">
        <f>'LCI_AD-a'!$E30*'IW+_end'!M20</f>
        <v>0</v>
      </c>
      <c r="N68" s="137">
        <f>'LCI_AD-a'!$E30*'IW+_end'!N20</f>
        <v>0</v>
      </c>
      <c r="O68" s="137">
        <f>'LCI_AD-a'!$E30*'IW+_end'!O20</f>
        <v>0</v>
      </c>
      <c r="P68" s="137">
        <f>'LCI_AD-a'!$E30*'IW+_end'!P20</f>
        <v>0</v>
      </c>
      <c r="Q68" s="137">
        <f>'LCI_AD-a'!$E30*'IW+_end'!Q20</f>
        <v>0</v>
      </c>
      <c r="R68" s="137">
        <f>'LCI_AD-a'!$E30*'IW+_end'!R20</f>
        <v>0</v>
      </c>
      <c r="S68" s="137">
        <f>'LCI_AD-a'!$E30*'IW+_end'!S20</f>
        <v>0</v>
      </c>
      <c r="T68" s="137">
        <f>'LCI_AD-a'!$E30*'IW+_end'!T20</f>
        <v>0</v>
      </c>
      <c r="U68" s="137">
        <f>'LCI_AD-a'!$E30*'IW+_end'!U20</f>
        <v>0</v>
      </c>
      <c r="V68" s="137">
        <f>'LCI_AD-a'!$E30*'IW+_end'!V20</f>
        <v>0</v>
      </c>
      <c r="W68" s="137">
        <f>'LCI_AD-a'!$E30*'IW+_end'!W20</f>
        <v>0</v>
      </c>
      <c r="X68" s="137">
        <f>'LCI_AD-a'!$E30*'IW+_end'!X20</f>
        <v>0</v>
      </c>
      <c r="Y68" s="137">
        <f>'LCI_AD-a'!$E30*'IW+_end'!Y20</f>
        <v>0</v>
      </c>
      <c r="Z68" s="137">
        <f>'LCI_AD-a'!$E30*'IW+_end'!Z20</f>
        <v>0</v>
      </c>
      <c r="AA68" s="137">
        <f>'LCI_AD-a'!$E30*'IW+_end'!AA20</f>
        <v>0</v>
      </c>
      <c r="AB68" s="137">
        <f>'LCI_AD-a'!$E30*'IW+_end'!AB20</f>
        <v>0</v>
      </c>
      <c r="AC68" s="137">
        <f>'LCI_AD-a'!$E30*'IW+_end'!AC20</f>
        <v>0</v>
      </c>
      <c r="AD68" s="137">
        <f>'LCI_AD-a'!$E30*'IW+_end'!AD20</f>
        <v>0</v>
      </c>
      <c r="AE68" s="137">
        <f>'LCI_AD-a'!$E30*'IW+_end'!AE20</f>
        <v>0</v>
      </c>
      <c r="AF68" s="137">
        <f>'LCI_AD-a'!$E30*'IW+_end'!AF20</f>
        <v>0</v>
      </c>
      <c r="AG68" s="137">
        <f>'LCI_AD-a'!$E30*'IW+_end'!AG20</f>
        <v>6.1781462072714879</v>
      </c>
      <c r="AH68" s="137">
        <f>'LCI_AD-a'!$E30*'IW+_end'!AH20</f>
        <v>8.3262706212800522E-5</v>
      </c>
      <c r="AI68" s="137">
        <f>'LCI_AD-a'!$E30*'IW+_end'!AI20</f>
        <v>0</v>
      </c>
      <c r="AJ68" s="137">
        <f>'LCI_AD-a'!$E30*'IW+_end'!AJ20</f>
        <v>0</v>
      </c>
      <c r="AK68" s="137">
        <f>'LCI_AD-a'!$E30*'IW+_end'!AK20</f>
        <v>0</v>
      </c>
    </row>
    <row r="69" spans="1:41" x14ac:dyDescent="0.35">
      <c r="A69" s="137"/>
      <c r="B69" s="144" t="s">
        <v>110</v>
      </c>
      <c r="C69" s="137">
        <f>'LCI_AD-a'!$E31*'IW+_end'!C18</f>
        <v>0</v>
      </c>
      <c r="D69" s="137">
        <f>'LCI_AD-a'!$E31*'IW+_end'!D18</f>
        <v>0</v>
      </c>
      <c r="E69" s="137">
        <f>'LCI_AD-a'!$E31*'IW+_end'!E18</f>
        <v>0</v>
      </c>
      <c r="F69" s="137">
        <f>'LCI_AD-a'!$E31*'IW+_end'!F18</f>
        <v>0</v>
      </c>
      <c r="G69" s="137">
        <f>'LCI_AD-a'!$E31*'IW+_end'!G18</f>
        <v>0</v>
      </c>
      <c r="H69" s="137">
        <f>'LCI_AD-a'!$E31*'IW+_end'!H18</f>
        <v>7.9951774603777057</v>
      </c>
      <c r="I69" s="137">
        <f>'LCI_AD-a'!$E31*'IW+_end'!I18</f>
        <v>0</v>
      </c>
      <c r="J69" s="137">
        <f>'LCI_AD-a'!$E31*'IW+_end'!J18</f>
        <v>0</v>
      </c>
      <c r="K69" s="137">
        <f>'LCI_AD-a'!$E31*'IW+_end'!K18</f>
        <v>0</v>
      </c>
      <c r="L69" s="137">
        <f>'LCI_AD-a'!$E31*'IW+_end'!L18</f>
        <v>0</v>
      </c>
      <c r="M69" s="137">
        <f>'LCI_AD-a'!$E31*'IW+_end'!M18</f>
        <v>0</v>
      </c>
      <c r="N69" s="137">
        <f>'LCI_AD-a'!$E31*'IW+_end'!N18</f>
        <v>0</v>
      </c>
      <c r="O69" s="137">
        <f>'LCI_AD-a'!$E31*'IW+_end'!O18</f>
        <v>0</v>
      </c>
      <c r="P69" s="137">
        <f>'LCI_AD-a'!$E31*'IW+_end'!P18</f>
        <v>0</v>
      </c>
      <c r="Q69" s="137">
        <f>'LCI_AD-a'!$E31*'IW+_end'!Q18</f>
        <v>0</v>
      </c>
      <c r="R69" s="137">
        <f>'LCI_AD-a'!$E31*'IW+_end'!R18</f>
        <v>0</v>
      </c>
      <c r="S69" s="137">
        <f>'LCI_AD-a'!$E31*'IW+_end'!S18</f>
        <v>0</v>
      </c>
      <c r="T69" s="137">
        <f>'LCI_AD-a'!$E31*'IW+_end'!T18</f>
        <v>0</v>
      </c>
      <c r="U69" s="137">
        <f>'LCI_AD-a'!$E31*'IW+_end'!U18</f>
        <v>0</v>
      </c>
      <c r="V69" s="137">
        <f>'LCI_AD-a'!$E31*'IW+_end'!V18</f>
        <v>0</v>
      </c>
      <c r="W69" s="137">
        <f>'LCI_AD-a'!$E31*'IW+_end'!W18</f>
        <v>0</v>
      </c>
      <c r="X69" s="137">
        <f>'LCI_AD-a'!$E31*'IW+_end'!X18</f>
        <v>3.0693235046556389</v>
      </c>
      <c r="Y69" s="137">
        <f>'LCI_AD-a'!$E31*'IW+_end'!Y18</f>
        <v>0</v>
      </c>
      <c r="Z69" s="137">
        <f>'LCI_AD-a'!$E31*'IW+_end'!Z18</f>
        <v>7.6801640589139021E-4</v>
      </c>
      <c r="AA69" s="137">
        <f>'LCI_AD-a'!$E31*'IW+_end'!AA18</f>
        <v>0</v>
      </c>
      <c r="AB69" s="137">
        <f>'LCI_AD-a'!$E31*'IW+_end'!AB18</f>
        <v>0</v>
      </c>
      <c r="AC69" s="137">
        <f>'LCI_AD-a'!$E31*'IW+_end'!AC18</f>
        <v>103.07918225651237</v>
      </c>
      <c r="AD69" s="137">
        <f>'LCI_AD-a'!$E31*'IW+_end'!AD18</f>
        <v>0</v>
      </c>
      <c r="AE69" s="137">
        <f>'LCI_AD-a'!$E31*'IW+_end'!AE18</f>
        <v>0</v>
      </c>
      <c r="AF69" s="137">
        <f>'LCI_AD-a'!$E31*'IW+_end'!AF18</f>
        <v>0</v>
      </c>
      <c r="AG69" s="137">
        <f>'LCI_AD-a'!$E31*'IW+_end'!AG18</f>
        <v>114.14368322154573</v>
      </c>
      <c r="AH69" s="137">
        <f>'LCI_AD-a'!$E31*'IW+_end'!AH18</f>
        <v>7.6801640588294753E-4</v>
      </c>
      <c r="AI69" s="137">
        <f>'LCI_AD-a'!$E31*'IW+_end'!AI18</f>
        <v>0</v>
      </c>
      <c r="AJ69" s="137">
        <f>'LCI_AD-a'!$E31*'IW+_end'!AJ18</f>
        <v>0</v>
      </c>
      <c r="AK69" s="137">
        <f>'LCI_AD-a'!$E31*'IW+_end'!AK18</f>
        <v>0</v>
      </c>
    </row>
    <row r="70" spans="1:41" x14ac:dyDescent="0.35">
      <c r="A70" s="137"/>
      <c r="B70" s="144" t="s">
        <v>114</v>
      </c>
      <c r="C70" s="137">
        <f>'LCI_AD-a'!$E32*'IW+_end'!C21</f>
        <v>0</v>
      </c>
      <c r="D70" s="137">
        <f>'LCI_AD-a'!$E32*'IW+_end'!D21</f>
        <v>0</v>
      </c>
      <c r="E70" s="137">
        <f>'LCI_AD-a'!$E32*'IW+_end'!E21</f>
        <v>0</v>
      </c>
      <c r="F70" s="137">
        <f>'LCI_AD-a'!$E32*'IW+_end'!F21</f>
        <v>0</v>
      </c>
      <c r="G70" s="137">
        <f>'LCI_AD-a'!$E32*'IW+_end'!G21</f>
        <v>0</v>
      </c>
      <c r="H70" s="137">
        <f>'LCI_AD-a'!$E32*'IW+_end'!H21</f>
        <v>0</v>
      </c>
      <c r="I70" s="137">
        <f>'LCI_AD-a'!$E32*'IW+_end'!I21</f>
        <v>0</v>
      </c>
      <c r="J70" s="137">
        <f>'LCI_AD-a'!$E32*'IW+_end'!J21</f>
        <v>0</v>
      </c>
      <c r="K70" s="137">
        <f>'LCI_AD-a'!$E32*'IW+_end'!K21</f>
        <v>0</v>
      </c>
      <c r="L70" s="137">
        <f>'LCI_AD-a'!$E32*'IW+_end'!L21</f>
        <v>0</v>
      </c>
      <c r="M70" s="137">
        <f>'LCI_AD-a'!$E32*'IW+_end'!M21</f>
        <v>0</v>
      </c>
      <c r="N70" s="137">
        <f>'LCI_AD-a'!$E32*'IW+_end'!N21</f>
        <v>0</v>
      </c>
      <c r="O70" s="137">
        <f>'LCI_AD-a'!$E32*'IW+_end'!O21</f>
        <v>0</v>
      </c>
      <c r="P70" s="137">
        <f>'LCI_AD-a'!$E32*'IW+_end'!P21</f>
        <v>0</v>
      </c>
      <c r="Q70" s="137">
        <f>'LCI_AD-a'!$E32*'IW+_end'!Q21</f>
        <v>0</v>
      </c>
      <c r="R70" s="137">
        <f>'LCI_AD-a'!$E32*'IW+_end'!R21</f>
        <v>0</v>
      </c>
      <c r="S70" s="137">
        <f>'LCI_AD-a'!$E32*'IW+_end'!S21</f>
        <v>0</v>
      </c>
      <c r="T70" s="137">
        <f>'LCI_AD-a'!$E32*'IW+_end'!T21</f>
        <v>0</v>
      </c>
      <c r="U70" s="137">
        <f>'LCI_AD-a'!$E32*'IW+_end'!U21</f>
        <v>0</v>
      </c>
      <c r="V70" s="137">
        <f>'LCI_AD-a'!$E32*'IW+_end'!V21</f>
        <v>0</v>
      </c>
      <c r="W70" s="137">
        <f>'LCI_AD-a'!$E32*'IW+_end'!W21</f>
        <v>0</v>
      </c>
      <c r="X70" s="137">
        <f>'LCI_AD-a'!$E32*'IW+_end'!X21</f>
        <v>-3.7432543535239895</v>
      </c>
      <c r="Y70" s="137">
        <f>'LCI_AD-a'!$E32*'IW+_end'!Y21</f>
        <v>0</v>
      </c>
      <c r="Z70" s="137">
        <f>'LCI_AD-a'!$E32*'IW+_end'!Z21</f>
        <v>0</v>
      </c>
      <c r="AA70" s="137">
        <f>'LCI_AD-a'!$E32*'IW+_end'!AA21</f>
        <v>0</v>
      </c>
      <c r="AB70" s="137">
        <f>'LCI_AD-a'!$E32*'IW+_end'!AB21</f>
        <v>0</v>
      </c>
      <c r="AC70" s="137">
        <f>'LCI_AD-a'!$E32*'IW+_end'!AC21</f>
        <v>0</v>
      </c>
      <c r="AD70" s="137">
        <f>'LCI_AD-a'!$E32*'IW+_end'!AD21</f>
        <v>0</v>
      </c>
      <c r="AE70" s="137">
        <f>'LCI_AD-a'!$E32*'IW+_end'!AE21</f>
        <v>0</v>
      </c>
      <c r="AF70" s="137">
        <f>'LCI_AD-a'!$E32*'IW+_end'!AF21</f>
        <v>0</v>
      </c>
      <c r="AG70" s="137">
        <f>'LCI_AD-a'!$E32*'IW+_end'!AG21</f>
        <v>-3.7432543535239895</v>
      </c>
      <c r="AH70" s="137">
        <f>'LCI_AD-a'!$E32*'IW+_end'!AH21</f>
        <v>0</v>
      </c>
      <c r="AI70" s="137">
        <f>'LCI_AD-a'!$E32*'IW+_end'!AI21</f>
        <v>0</v>
      </c>
      <c r="AJ70" s="137">
        <f>'LCI_AD-a'!$E32*'IW+_end'!AJ21</f>
        <v>0</v>
      </c>
      <c r="AK70" s="137">
        <f>'LCI_AD-a'!$E32*'IW+_end'!AK21</f>
        <v>0</v>
      </c>
    </row>
    <row r="71" spans="1:41" x14ac:dyDescent="0.35">
      <c r="A71" s="137"/>
      <c r="B71" s="144" t="s">
        <v>414</v>
      </c>
      <c r="C71" s="139">
        <f>'LCI_AD-a'!$E33*'IW+_end'!C25</f>
        <v>0</v>
      </c>
      <c r="D71" s="139">
        <f>'LCI_AD-a'!$E33*'IW+_end'!D25</f>
        <v>0</v>
      </c>
      <c r="E71" s="139">
        <f>'LCI_AD-a'!$E33*'IW+_end'!E25</f>
        <v>0</v>
      </c>
      <c r="F71" s="139">
        <f>'LCI_AD-a'!$E33*'IW+_end'!F25</f>
        <v>0</v>
      </c>
      <c r="G71" s="139">
        <f>'LCI_AD-a'!$E33*'IW+_end'!G25</f>
        <v>0</v>
      </c>
      <c r="H71" s="139">
        <f>'LCI_AD-a'!$E33*'IW+_end'!H25</f>
        <v>0</v>
      </c>
      <c r="I71" s="139">
        <f>'LCI_AD-a'!$E33*'IW+_end'!I25</f>
        <v>0</v>
      </c>
      <c r="J71" s="139">
        <f>'LCI_AD-a'!$E33*'IW+_end'!J25</f>
        <v>0</v>
      </c>
      <c r="K71" s="139">
        <f>'LCI_AD-a'!$E33*'IW+_end'!K25</f>
        <v>-0.19421069896461307</v>
      </c>
      <c r="L71" s="139">
        <f>'LCI_AD-a'!$E33*'IW+_end'!L25</f>
        <v>0</v>
      </c>
      <c r="M71" s="139">
        <f>'LCI_AD-a'!$E33*'IW+_end'!M25</f>
        <v>0</v>
      </c>
      <c r="N71" s="139">
        <f>'LCI_AD-a'!$E33*'IW+_end'!N25</f>
        <v>0</v>
      </c>
      <c r="O71" s="139">
        <f>'LCI_AD-a'!$E33*'IW+_end'!O25</f>
        <v>0</v>
      </c>
      <c r="P71" s="139">
        <f>'LCI_AD-a'!$E33*'IW+_end'!P25</f>
        <v>0</v>
      </c>
      <c r="Q71" s="139">
        <f>'LCI_AD-a'!$E33*'IW+_end'!Q25</f>
        <v>0</v>
      </c>
      <c r="R71" s="139">
        <f>'LCI_AD-a'!$E33*'IW+_end'!R25</f>
        <v>0</v>
      </c>
      <c r="S71" s="139">
        <f>'LCI_AD-a'!$E33*'IW+_end'!S25</f>
        <v>0</v>
      </c>
      <c r="T71" s="139">
        <f>'LCI_AD-a'!$E33*'IW+_end'!T25</f>
        <v>0</v>
      </c>
      <c r="U71" s="139">
        <f>'LCI_AD-a'!$E33*'IW+_end'!U25</f>
        <v>0</v>
      </c>
      <c r="V71" s="139">
        <f>'LCI_AD-a'!$E33*'IW+_end'!V25</f>
        <v>0</v>
      </c>
      <c r="W71" s="139">
        <f>'LCI_AD-a'!$E33*'IW+_end'!W25</f>
        <v>0</v>
      </c>
      <c r="X71" s="139">
        <f>'LCI_AD-a'!$E33*'IW+_end'!X25</f>
        <v>0</v>
      </c>
      <c r="Y71" s="139">
        <f>'LCI_AD-a'!$E33*'IW+_end'!Y25</f>
        <v>0</v>
      </c>
      <c r="Z71" s="139">
        <f>'LCI_AD-a'!$E33*'IW+_end'!Z25</f>
        <v>0</v>
      </c>
      <c r="AA71" s="139">
        <f>'LCI_AD-a'!$E33*'IW+_end'!AA25</f>
        <v>0</v>
      </c>
      <c r="AB71" s="139">
        <f>'LCI_AD-a'!$E33*'IW+_end'!AB25</f>
        <v>0</v>
      </c>
      <c r="AC71" s="139">
        <f>'LCI_AD-a'!$E33*'IW+_end'!AC25</f>
        <v>0</v>
      </c>
      <c r="AD71" s="139">
        <f>'LCI_AD-a'!$E33*'IW+_end'!AD25</f>
        <v>0</v>
      </c>
      <c r="AE71" s="139">
        <f>'LCI_AD-a'!$E33*'IW+_end'!AE25</f>
        <v>0</v>
      </c>
      <c r="AF71" s="139">
        <f>'LCI_AD-a'!$E33*'IW+_end'!AF25</f>
        <v>0</v>
      </c>
      <c r="AG71" s="139">
        <f>'LCI_AD-a'!$E33*'IW+_end'!AG25</f>
        <v>-0.19421069896461307</v>
      </c>
      <c r="AH71" s="139">
        <f>'LCI_AD-a'!$E33*'IW+_end'!AH25</f>
        <v>0</v>
      </c>
      <c r="AI71" s="139">
        <f>'LCI_AD-a'!$E33*'IW+_end'!AI25</f>
        <v>0</v>
      </c>
      <c r="AJ71" s="139">
        <f>'LCI_AD-a'!$E33*'IW+_end'!AJ25</f>
        <v>0</v>
      </c>
      <c r="AK71" s="139">
        <f>'LCI_AD-a'!$E33*'IW+_end'!AK25</f>
        <v>0</v>
      </c>
    </row>
    <row r="72" spans="1:41" x14ac:dyDescent="0.35">
      <c r="A72" s="137"/>
      <c r="B72" s="144" t="s">
        <v>415</v>
      </c>
      <c r="C72" s="139">
        <f>'LCI_AD-a'!$E34*'IW+_end'!C26</f>
        <v>0</v>
      </c>
      <c r="D72" s="139">
        <f>'LCI_AD-a'!$E34*'IW+_end'!D26</f>
        <v>0</v>
      </c>
      <c r="E72" s="139">
        <f>'LCI_AD-a'!$E34*'IW+_end'!E26</f>
        <v>0</v>
      </c>
      <c r="F72" s="139">
        <f>'LCI_AD-a'!$E34*'IW+_end'!F26</f>
        <v>0</v>
      </c>
      <c r="G72" s="139">
        <f>'LCI_AD-a'!$E34*'IW+_end'!G26</f>
        <v>0</v>
      </c>
      <c r="H72" s="139">
        <f>'LCI_AD-a'!$E34*'IW+_end'!H26</f>
        <v>0</v>
      </c>
      <c r="I72" s="139">
        <f>'LCI_AD-a'!$E34*'IW+_end'!I26</f>
        <v>0</v>
      </c>
      <c r="J72" s="139">
        <f>'LCI_AD-a'!$E34*'IW+_end'!J26</f>
        <v>0</v>
      </c>
      <c r="K72" s="139">
        <f>'LCI_AD-a'!$E34*'IW+_end'!K26</f>
        <v>0</v>
      </c>
      <c r="L72" s="139">
        <f>'LCI_AD-a'!$E34*'IW+_end'!L26</f>
        <v>0</v>
      </c>
      <c r="M72" s="139">
        <f>'LCI_AD-a'!$E34*'IW+_end'!M26</f>
        <v>0</v>
      </c>
      <c r="N72" s="139">
        <f>'LCI_AD-a'!$E34*'IW+_end'!N26</f>
        <v>0</v>
      </c>
      <c r="O72" s="139">
        <f>'LCI_AD-a'!$E34*'IW+_end'!O26</f>
        <v>0</v>
      </c>
      <c r="P72" s="139">
        <f>'LCI_AD-a'!$E34*'IW+_end'!P26</f>
        <v>0</v>
      </c>
      <c r="Q72" s="139">
        <f>'LCI_AD-a'!$E34*'IW+_end'!Q26</f>
        <v>0</v>
      </c>
      <c r="R72" s="139">
        <f>'LCI_AD-a'!$E34*'IW+_end'!R26</f>
        <v>0</v>
      </c>
      <c r="S72" s="139">
        <f>'LCI_AD-a'!$E34*'IW+_end'!S26</f>
        <v>0</v>
      </c>
      <c r="T72" s="139">
        <f>'LCI_AD-a'!$E34*'IW+_end'!T26</f>
        <v>0</v>
      </c>
      <c r="U72" s="139">
        <f>'LCI_AD-a'!$E34*'IW+_end'!U26</f>
        <v>0</v>
      </c>
      <c r="V72" s="139">
        <f>'LCI_AD-a'!$E34*'IW+_end'!V26</f>
        <v>0</v>
      </c>
      <c r="W72" s="139">
        <f>'LCI_AD-a'!$E34*'IW+_end'!W26</f>
        <v>0</v>
      </c>
      <c r="X72" s="139">
        <f>'LCI_AD-a'!$E34*'IW+_end'!X26</f>
        <v>0</v>
      </c>
      <c r="Y72" s="139">
        <f>'LCI_AD-a'!$E34*'IW+_end'!Y26</f>
        <v>0</v>
      </c>
      <c r="Z72" s="139">
        <f>'LCI_AD-a'!$E34*'IW+_end'!Z26</f>
        <v>0</v>
      </c>
      <c r="AA72" s="139">
        <f>'LCI_AD-a'!$E34*'IW+_end'!AA26</f>
        <v>0</v>
      </c>
      <c r="AB72" s="139">
        <f>'LCI_AD-a'!$E34*'IW+_end'!AB26</f>
        <v>0</v>
      </c>
      <c r="AC72" s="139">
        <f>'LCI_AD-a'!$E34*'IW+_end'!AC26</f>
        <v>0</v>
      </c>
      <c r="AD72" s="139">
        <f>'LCI_AD-a'!$E34*'IW+_end'!AD26</f>
        <v>0</v>
      </c>
      <c r="AE72" s="139">
        <f>'LCI_AD-a'!$E34*'IW+_end'!AE26</f>
        <v>0</v>
      </c>
      <c r="AF72" s="139">
        <f>'LCI_AD-a'!$E34*'IW+_end'!AF26</f>
        <v>0</v>
      </c>
      <c r="AG72" s="139">
        <f>'LCI_AD-a'!$E34*'IW+_end'!AG26</f>
        <v>0</v>
      </c>
      <c r="AH72" s="139">
        <f>'LCI_AD-a'!$E34*'IW+_end'!AH26</f>
        <v>0</v>
      </c>
      <c r="AI72" s="139">
        <f>'LCI_AD-a'!$E34*'IW+_end'!AI26</f>
        <v>0</v>
      </c>
      <c r="AJ72" s="139">
        <f>'LCI_AD-a'!$E34*'IW+_end'!AJ26</f>
        <v>0</v>
      </c>
      <c r="AK72" s="139">
        <f>'LCI_AD-a'!$E34*'IW+_end'!AK26</f>
        <v>0</v>
      </c>
    </row>
    <row r="73" spans="1:41" x14ac:dyDescent="0.35">
      <c r="A73" s="143" t="s">
        <v>421</v>
      </c>
      <c r="B73" s="137"/>
      <c r="C73" s="142">
        <f>SUM(C74:C79)</f>
        <v>267.44523533234303</v>
      </c>
      <c r="D73" s="142">
        <f t="shared" ref="D73:AK73" si="11">SUM(D74:D79)</f>
        <v>81.075177557763979</v>
      </c>
      <c r="E73" s="142">
        <f t="shared" si="11"/>
        <v>3.6043520678363753E-3</v>
      </c>
      <c r="F73" s="142">
        <f t="shared" si="11"/>
        <v>1.0926479341364752E-3</v>
      </c>
      <c r="G73" s="142">
        <f t="shared" si="11"/>
        <v>2.2913249342082834E-16</v>
      </c>
      <c r="H73" s="142">
        <f t="shared" si="11"/>
        <v>2.1886085991838247</v>
      </c>
      <c r="I73" s="142">
        <f t="shared" si="11"/>
        <v>15.297859700032728</v>
      </c>
      <c r="J73" s="142">
        <f t="shared" si="11"/>
        <v>7.6785544520206894</v>
      </c>
      <c r="K73" s="142">
        <f t="shared" si="11"/>
        <v>0.16161028329321314</v>
      </c>
      <c r="L73" s="142">
        <f t="shared" si="11"/>
        <v>8.8220319919238284E-7</v>
      </c>
      <c r="M73" s="142">
        <f t="shared" si="11"/>
        <v>2.4781307147255999E-5</v>
      </c>
      <c r="N73" s="142">
        <f t="shared" si="11"/>
        <v>2.6107326974969113E-5</v>
      </c>
      <c r="O73" s="142">
        <f t="shared" si="11"/>
        <v>2.4883201122369785E-5</v>
      </c>
      <c r="P73" s="142">
        <f t="shared" si="11"/>
        <v>1.2897951999667795E-8</v>
      </c>
      <c r="Q73" s="142">
        <f t="shared" si="11"/>
        <v>2.5378861305127127E-7</v>
      </c>
      <c r="R73" s="142">
        <f t="shared" si="11"/>
        <v>2.4223008100754924</v>
      </c>
      <c r="S73" s="142">
        <f t="shared" si="11"/>
        <v>6.6614008048436943</v>
      </c>
      <c r="T73" s="142">
        <f t="shared" si="11"/>
        <v>96.679311401006487</v>
      </c>
      <c r="U73" s="142">
        <f t="shared" si="11"/>
        <v>10.494777483068871</v>
      </c>
      <c r="V73" s="142">
        <f t="shared" si="11"/>
        <v>3.2263923082177006E-5</v>
      </c>
      <c r="W73" s="142">
        <f t="shared" si="11"/>
        <v>3.8671978596604111E-5</v>
      </c>
      <c r="X73" s="142">
        <f t="shared" si="11"/>
        <v>0.36029694864339301</v>
      </c>
      <c r="Y73" s="142">
        <f t="shared" si="11"/>
        <v>4.123539476740228E-8</v>
      </c>
      <c r="Z73" s="142">
        <f t="shared" si="11"/>
        <v>1.458838675402641E-4</v>
      </c>
      <c r="AA73" s="142">
        <f t="shared" si="11"/>
        <v>8.6283958251910082</v>
      </c>
      <c r="AB73" s="142">
        <f t="shared" si="11"/>
        <v>8.2194267935248677E-7</v>
      </c>
      <c r="AC73" s="142">
        <f t="shared" si="11"/>
        <v>14.917136978699823</v>
      </c>
      <c r="AD73" s="142">
        <f t="shared" si="11"/>
        <v>1.1776643813972913</v>
      </c>
      <c r="AE73" s="142">
        <f t="shared" si="11"/>
        <v>1.4115272187760499</v>
      </c>
      <c r="AF73" s="142">
        <f t="shared" si="11"/>
        <v>1.4299476305420299E-2</v>
      </c>
      <c r="AG73" s="142">
        <f t="shared" si="11"/>
        <v>516.6256560136452</v>
      </c>
      <c r="AH73" s="142">
        <f t="shared" si="11"/>
        <v>5.0431862744124362E-3</v>
      </c>
      <c r="AI73" s="142">
        <f t="shared" si="11"/>
        <v>1.0031848825955239E-3</v>
      </c>
      <c r="AJ73" s="142">
        <f t="shared" si="11"/>
        <v>1.2253139976836278E-4</v>
      </c>
      <c r="AK73" s="142">
        <f t="shared" si="11"/>
        <v>1.0424627317828294E-2</v>
      </c>
    </row>
    <row r="74" spans="1:41" x14ac:dyDescent="0.35">
      <c r="A74" s="137"/>
      <c r="B74" s="137" t="s">
        <v>228</v>
      </c>
      <c r="C74" s="137">
        <f>'LCI_AD-a'!$E36*'IW+_end'!C28</f>
        <v>10.35843815099034</v>
      </c>
      <c r="D74" s="137">
        <f>'LCI_AD-a'!$E36*'IW+_end'!D28</f>
        <v>3.3369667444896667</v>
      </c>
      <c r="E74" s="137">
        <f>'LCI_AD-a'!$E36*'IW+_end'!E28</f>
        <v>1.3960038556185914E-4</v>
      </c>
      <c r="F74" s="137">
        <f>'LCI_AD-a'!$E36*'IW+_end'!F28</f>
        <v>4.4972208874300386E-5</v>
      </c>
      <c r="G74" s="137">
        <f>'LCI_AD-a'!$E36*'IW+_end'!G28</f>
        <v>7.1839059451077027E-17</v>
      </c>
      <c r="H74" s="137">
        <f>'LCI_AD-a'!$E36*'IW+_end'!H28</f>
        <v>0.15976538150591041</v>
      </c>
      <c r="I74" s="137">
        <f>'LCI_AD-a'!$E36*'IW+_end'!I28</f>
        <v>1.3286838950285187</v>
      </c>
      <c r="J74" s="137">
        <f>'LCI_AD-a'!$E36*'IW+_end'!J28</f>
        <v>0.44167281808898784</v>
      </c>
      <c r="K74" s="137">
        <f>'LCI_AD-a'!$E36*'IW+_end'!K28</f>
        <v>6.4966943598052953E-4</v>
      </c>
      <c r="L74" s="137">
        <f>'LCI_AD-a'!$E36*'IW+_end'!L28</f>
        <v>9.9178611616952431E-8</v>
      </c>
      <c r="M74" s="137">
        <f>'LCI_AD-a'!$E36*'IW+_end'!M28</f>
        <v>4.6569101689615966E-6</v>
      </c>
      <c r="N74" s="137">
        <f>'LCI_AD-a'!$E36*'IW+_end'!N28</f>
        <v>3.2305737622603584E-6</v>
      </c>
      <c r="O74" s="137">
        <f>'LCI_AD-a'!$E36*'IW+_end'!O28</f>
        <v>3.2697442520780137E-6</v>
      </c>
      <c r="P74" s="137">
        <f>'LCI_AD-a'!$E36*'IW+_end'!P28</f>
        <v>1.3965488787624792E-9</v>
      </c>
      <c r="Q74" s="137">
        <f>'LCI_AD-a'!$E36*'IW+_end'!Q28</f>
        <v>2.522741482903371E-8</v>
      </c>
      <c r="R74" s="137">
        <f>'LCI_AD-a'!$E36*'IW+_end'!R28</f>
        <v>0.18924733002891919</v>
      </c>
      <c r="S74" s="137">
        <f>'LCI_AD-a'!$E36*'IW+_end'!S28</f>
        <v>0.34162924878201517</v>
      </c>
      <c r="T74" s="137">
        <f>'LCI_AD-a'!$E36*'IW+_end'!T28</f>
        <v>3.5833262224005518</v>
      </c>
      <c r="U74" s="137">
        <f>'LCI_AD-a'!$E36*'IW+_end'!U28</f>
        <v>0.38897871107892706</v>
      </c>
      <c r="V74" s="137">
        <f>'LCI_AD-a'!$E36*'IW+_end'!V28</f>
        <v>6.9458050003459681E-6</v>
      </c>
      <c r="W74" s="137">
        <f>'LCI_AD-a'!$E36*'IW+_end'!W28</f>
        <v>9.4523840991512821E-6</v>
      </c>
      <c r="X74" s="137">
        <f>'LCI_AD-a'!$E36*'IW+_end'!X28</f>
        <v>6.5295283178198271E-2</v>
      </c>
      <c r="Y74" s="137">
        <f>'LCI_AD-a'!$E36*'IW+_end'!Y28</f>
        <v>1.0847755754146297E-9</v>
      </c>
      <c r="Z74" s="137">
        <f>'LCI_AD-a'!$E36*'IW+_end'!Z28</f>
        <v>1.2853779227979255E-5</v>
      </c>
      <c r="AA74" s="137">
        <f>'LCI_AD-a'!$E36*'IW+_end'!AA28</f>
        <v>0.37169565680962818</v>
      </c>
      <c r="AB74" s="137">
        <f>'LCI_AD-a'!$E36*'IW+_end'!AB28</f>
        <v>3.5745885416060553E-8</v>
      </c>
      <c r="AC74" s="137">
        <f>'LCI_AD-a'!$E36*'IW+_end'!AC28</f>
        <v>1.4643983888361911</v>
      </c>
      <c r="AD74" s="137">
        <f>'LCI_AD-a'!$E36*'IW+_end'!AD28</f>
        <v>0.25352298793489464</v>
      </c>
      <c r="AE74" s="137">
        <f>'LCI_AD-a'!$E36*'IW+_end'!AE28</f>
        <v>0.34501201961902173</v>
      </c>
      <c r="AF74" s="137">
        <f>'LCI_AD-a'!$E36*'IW+_end'!AF28</f>
        <v>1.5683596768609758E-3</v>
      </c>
      <c r="AG74" s="137">
        <f>'LCI_AD-a'!$E36*'IW+_end'!AG28</f>
        <v>22.631790736087716</v>
      </c>
      <c r="AH74" s="137">
        <f>'LCI_AD-a'!$E36*'IW+_end'!AH28</f>
        <v>2.5063060710058747E-4</v>
      </c>
      <c r="AI74" s="137">
        <f>'LCI_AD-a'!$E36*'IW+_end'!AI28</f>
        <v>3.4292573087756539E-4</v>
      </c>
      <c r="AJ74" s="137">
        <f>'LCI_AD-a'!$E36*'IW+_end'!AJ28</f>
        <v>4.1885768565711923E-5</v>
      </c>
      <c r="AK74" s="137">
        <f>'LCI_AD-a'!$E36*'IW+_end'!AK28</f>
        <v>5.8054288660261226E-4</v>
      </c>
    </row>
    <row r="75" spans="1:41" x14ac:dyDescent="0.35">
      <c r="A75" s="137"/>
      <c r="B75" s="137" t="s">
        <v>230</v>
      </c>
      <c r="C75" s="137">
        <f>'LCI_AD-a'!$E37*'IW+_end'!C30</f>
        <v>7.5621190692666165</v>
      </c>
      <c r="D75" s="137">
        <f>'LCI_AD-a'!$E37*'IW+_end'!D30</f>
        <v>2.2706139032262609</v>
      </c>
      <c r="E75" s="137">
        <f>'LCI_AD-a'!$E37*'IW+_end'!E30</f>
        <v>1.0191447034255612E-4</v>
      </c>
      <c r="F75" s="137">
        <f>'LCI_AD-a'!$E37*'IW+_end'!F30</f>
        <v>3.0601001013091792E-5</v>
      </c>
      <c r="G75" s="137">
        <f>'LCI_AD-a'!$E37*'IW+_end'!G30</f>
        <v>1.1497481230567759E-16</v>
      </c>
      <c r="H75" s="137">
        <f>'LCI_AD-a'!$E37*'IW+_end'!H30</f>
        <v>0.70476902100808392</v>
      </c>
      <c r="I75" s="137">
        <f>'LCI_AD-a'!$E37*'IW+_end'!I30</f>
        <v>3.6906910779461204</v>
      </c>
      <c r="J75" s="137">
        <f>'LCI_AD-a'!$E37*'IW+_end'!J30</f>
        <v>0.33849636256650795</v>
      </c>
      <c r="K75" s="137">
        <f>'LCI_AD-a'!$E37*'IW+_end'!K30</f>
        <v>0.15668966620926444</v>
      </c>
      <c r="L75" s="137">
        <f>'LCI_AD-a'!$E37*'IW+_end'!L30</f>
        <v>1.9633790233167265E-7</v>
      </c>
      <c r="M75" s="137">
        <f>'LCI_AD-a'!$E37*'IW+_end'!M30</f>
        <v>7.3548680496487088E-6</v>
      </c>
      <c r="N75" s="137">
        <f>'LCI_AD-a'!$E37*'IW+_end'!N30</f>
        <v>6.3051199392739216E-6</v>
      </c>
      <c r="O75" s="137">
        <f>'LCI_AD-a'!$E37*'IW+_end'!O30</f>
        <v>1.1017961092851991E-5</v>
      </c>
      <c r="P75" s="137">
        <f>'LCI_AD-a'!$E37*'IW+_end'!P30</f>
        <v>7.3071772848713008E-9</v>
      </c>
      <c r="Q75" s="137">
        <f>'LCI_AD-a'!$E37*'IW+_end'!Q30</f>
        <v>1.4867259719273959E-7</v>
      </c>
      <c r="R75" s="137">
        <f>'LCI_AD-a'!$E37*'IW+_end'!R30</f>
        <v>1.0741998489157791</v>
      </c>
      <c r="S75" s="137">
        <f>'LCI_AD-a'!$E37*'IW+_end'!S30</f>
        <v>1.2438454860455115</v>
      </c>
      <c r="T75" s="137">
        <f>'LCI_AD-a'!$E37*'IW+_end'!T30</f>
        <v>2.7219878231228605</v>
      </c>
      <c r="U75" s="137">
        <f>'LCI_AD-a'!$E37*'IW+_end'!U30</f>
        <v>0.29547782338190726</v>
      </c>
      <c r="V75" s="137">
        <f>'LCI_AD-a'!$E37*'IW+_end'!V30</f>
        <v>1.1380329385058165E-5</v>
      </c>
      <c r="W75" s="137">
        <f>'LCI_AD-a'!$E37*'IW+_end'!W30</f>
        <v>1.5101048836186786E-5</v>
      </c>
      <c r="X75" s="137">
        <f>'LCI_AD-a'!$E37*'IW+_end'!X30</f>
        <v>2.2656385776052428E-2</v>
      </c>
      <c r="Y75" s="137">
        <f>'LCI_AD-a'!$E37*'IW+_end'!Y30</f>
        <v>6.0126879000854583E-10</v>
      </c>
      <c r="Z75" s="137">
        <f>'LCI_AD-a'!$E37*'IW+_end'!Z30</f>
        <v>5.6746972480412308E-5</v>
      </c>
      <c r="AA75" s="137">
        <f>'LCI_AD-a'!$E37*'IW+_end'!AA30</f>
        <v>0.43384146164752557</v>
      </c>
      <c r="AB75" s="137">
        <f>'LCI_AD-a'!$E37*'IW+_end'!AB30</f>
        <v>4.3409608990377984E-8</v>
      </c>
      <c r="AC75" s="137">
        <f>'LCI_AD-a'!$E37*'IW+_end'!AC30</f>
        <v>4.2975468876606771</v>
      </c>
      <c r="AD75" s="137">
        <f>'LCI_AD-a'!$E37*'IW+_end'!AD30</f>
        <v>0.41538780694478905</v>
      </c>
      <c r="AE75" s="137">
        <f>'LCI_AD-a'!$E37*'IW+_end'!AE30</f>
        <v>0.55118828252081775</v>
      </c>
      <c r="AF75" s="137">
        <f>'LCI_AD-a'!$E37*'IW+_end'!AF30</f>
        <v>6.0768319209760883E-3</v>
      </c>
      <c r="AG75" s="137">
        <f>'LCI_AD-a'!$E37*'IW+_end'!AG30</f>
        <v>25.791383312659651</v>
      </c>
      <c r="AH75" s="137">
        <f>'LCI_AD-a'!$E37*'IW+_end'!AH30</f>
        <v>2.5980044854131523E-4</v>
      </c>
      <c r="AI75" s="137">
        <f>'LCI_AD-a'!$E37*'IW+_end'!AI30</f>
        <v>3.7227889535239046E-4</v>
      </c>
      <c r="AJ75" s="137">
        <f>'LCI_AD-a'!$E37*'IW+_end'!AJ30</f>
        <v>4.5471034246176504E-5</v>
      </c>
      <c r="AK75" s="137">
        <f>'LCI_AD-a'!$E37*'IW+_end'!AK30</f>
        <v>5.3968069191696767E-3</v>
      </c>
    </row>
    <row r="76" spans="1:41" x14ac:dyDescent="0.35">
      <c r="A76" s="137"/>
      <c r="B76" s="137" t="s">
        <v>229</v>
      </c>
      <c r="C76" s="137">
        <f>'LCI_AD-a'!$E38*'IW+_end'!C29</f>
        <v>4.672805668709656</v>
      </c>
      <c r="D76" s="137">
        <f>'LCI_AD-a'!$E38*'IW+_end'!D29</f>
        <v>1.4230499308908755</v>
      </c>
      <c r="E76" s="137">
        <f>'LCI_AD-a'!$E38*'IW+_end'!E29</f>
        <v>6.2975273250547161E-5</v>
      </c>
      <c r="F76" s="137">
        <f>'LCI_AD-a'!$E38*'IW+_end'!F29</f>
        <v>1.9178404710284448E-5</v>
      </c>
      <c r="G76" s="137">
        <f>'LCI_AD-a'!$E38*'IW+_end'!G29</f>
        <v>3.8351252146686007E-17</v>
      </c>
      <c r="H76" s="137">
        <f>'LCI_AD-a'!$E38*'IW+_end'!H29</f>
        <v>9.0501306253378364E-2</v>
      </c>
      <c r="I76" s="137">
        <f>'LCI_AD-a'!$E38*'IW+_end'!I29</f>
        <v>2.4469188380433797</v>
      </c>
      <c r="J76" s="137">
        <f>'LCI_AD-a'!$E38*'IW+_end'!J29</f>
        <v>0.25452117604786123</v>
      </c>
      <c r="K76" s="137">
        <f>'LCI_AD-a'!$E38*'IW+_end'!K29</f>
        <v>4.6061135544141327E-4</v>
      </c>
      <c r="L76" s="137">
        <f>'LCI_AD-a'!$E38*'IW+_end'!L29</f>
        <v>6.7954840852507947E-8</v>
      </c>
      <c r="M76" s="137">
        <f>'LCI_AD-a'!$E38*'IW+_end'!M29</f>
        <v>3.3822653762640168E-6</v>
      </c>
      <c r="N76" s="137">
        <f>'LCI_AD-a'!$E38*'IW+_end'!N29</f>
        <v>2.2580610786893007E-6</v>
      </c>
      <c r="O76" s="137">
        <f>'LCI_AD-a'!$E38*'IW+_end'!O29</f>
        <v>2.1001054301561887E-6</v>
      </c>
      <c r="P76" s="137">
        <f>'LCI_AD-a'!$E38*'IW+_end'!P29</f>
        <v>8.4101397978904736E-10</v>
      </c>
      <c r="Q76" s="137">
        <f>'LCI_AD-a'!$E38*'IW+_end'!Q29</f>
        <v>1.4609866583635377E-8</v>
      </c>
      <c r="R76" s="137">
        <f>'LCI_AD-a'!$E38*'IW+_end'!R29</f>
        <v>0.43774715871875158</v>
      </c>
      <c r="S76" s="137">
        <f>'LCI_AD-a'!$E38*'IW+_end'!S29</f>
        <v>0.80750302297936827</v>
      </c>
      <c r="T76" s="137">
        <f>'LCI_AD-a'!$E38*'IW+_end'!T29</f>
        <v>1.6899583886444969</v>
      </c>
      <c r="U76" s="137">
        <f>'LCI_AD-a'!$E38*'IW+_end'!U29</f>
        <v>0.18344835910684987</v>
      </c>
      <c r="V76" s="137">
        <f>'LCI_AD-a'!$E38*'IW+_end'!V29</f>
        <v>4.1839195543371516E-6</v>
      </c>
      <c r="W76" s="137">
        <f>'LCI_AD-a'!$E38*'IW+_end'!W29</f>
        <v>5.2373234079643975E-6</v>
      </c>
      <c r="X76" s="137">
        <f>'LCI_AD-a'!$E38*'IW+_end'!X29</f>
        <v>1.4808884601528851E-2</v>
      </c>
      <c r="Y76" s="137">
        <f>'LCI_AD-a'!$E38*'IW+_end'!Y29</f>
        <v>4.9916504449657591E-10</v>
      </c>
      <c r="Z76" s="137">
        <f>'LCI_AD-a'!$E38*'IW+_end'!Z29</f>
        <v>8.31333748111013E-6</v>
      </c>
      <c r="AA76" s="137">
        <f>'LCI_AD-a'!$E38*'IW+_end'!AA29</f>
        <v>0.40037884805765755</v>
      </c>
      <c r="AB76" s="137">
        <f>'LCI_AD-a'!$E38*'IW+_end'!AB29</f>
        <v>3.9818577660412446E-8</v>
      </c>
      <c r="AC76" s="137">
        <f>'LCI_AD-a'!$E38*'IW+_end'!AC29</f>
        <v>0.62383457282664401</v>
      </c>
      <c r="AD76" s="137">
        <f>'LCI_AD-a'!$E38*'IW+_end'!AD29</f>
        <v>0.1527138918650883</v>
      </c>
      <c r="AE76" s="137">
        <f>'LCI_AD-a'!$E38*'IW+_end'!AE29</f>
        <v>0.19116230439070045</v>
      </c>
      <c r="AF76" s="137">
        <f>'LCI_AD-a'!$E38*'IW+_end'!AF29</f>
        <v>9.4055367393750227E-4</v>
      </c>
      <c r="AG76" s="137">
        <f>'LCI_AD-a'!$E38*'IW+_end'!AG29</f>
        <v>13.391095550886918</v>
      </c>
      <c r="AH76" s="137">
        <f>'LCI_AD-a'!$E38*'IW+_end'!AH29</f>
        <v>1.0401881169221188E-4</v>
      </c>
      <c r="AI76" s="137">
        <f>'LCI_AD-a'!$E38*'IW+_end'!AI29</f>
        <v>4.6572544448635516E-5</v>
      </c>
      <c r="AJ76" s="137">
        <f>'LCI_AD-a'!$E38*'IW+_end'!AJ29</f>
        <v>5.6884819150193094E-6</v>
      </c>
      <c r="AK76" s="137">
        <f>'LCI_AD-a'!$E38*'IW+_end'!AK29</f>
        <v>2.8604009288160393E-4</v>
      </c>
    </row>
    <row r="77" spans="1:41" x14ac:dyDescent="0.35">
      <c r="A77" s="137"/>
      <c r="B77" s="137" t="s">
        <v>231</v>
      </c>
      <c r="C77" s="139">
        <f>'LCI_AD-a'!$E39*'IW+_end'!C31</f>
        <v>0</v>
      </c>
      <c r="D77" s="139">
        <f>'LCI_AD-a'!$E39*'IW+_end'!D31</f>
        <v>0</v>
      </c>
      <c r="E77" s="139">
        <f>'LCI_AD-a'!$E39*'IW+_end'!E31</f>
        <v>0</v>
      </c>
      <c r="F77" s="139">
        <f>'LCI_AD-a'!$E39*'IW+_end'!F31</f>
        <v>0</v>
      </c>
      <c r="G77" s="139">
        <f>'LCI_AD-a'!$E39*'IW+_end'!G31</f>
        <v>0</v>
      </c>
      <c r="H77" s="139">
        <f>'LCI_AD-a'!$E39*'IW+_end'!H31</f>
        <v>0</v>
      </c>
      <c r="I77" s="139">
        <f>'LCI_AD-a'!$E39*'IW+_end'!I31</f>
        <v>0</v>
      </c>
      <c r="J77" s="139">
        <f>'LCI_AD-a'!$E39*'IW+_end'!J31</f>
        <v>0</v>
      </c>
      <c r="K77" s="139">
        <f>'LCI_AD-a'!$E39*'IW+_end'!K31</f>
        <v>0</v>
      </c>
      <c r="L77" s="139">
        <f>'LCI_AD-a'!$E39*'IW+_end'!L31</f>
        <v>0</v>
      </c>
      <c r="M77" s="139">
        <f>'LCI_AD-a'!$E39*'IW+_end'!M31</f>
        <v>0</v>
      </c>
      <c r="N77" s="139">
        <f>'LCI_AD-a'!$E39*'IW+_end'!N31</f>
        <v>0</v>
      </c>
      <c r="O77" s="139">
        <f>'LCI_AD-a'!$E39*'IW+_end'!O31</f>
        <v>0</v>
      </c>
      <c r="P77" s="139">
        <f>'LCI_AD-a'!$E39*'IW+_end'!P31</f>
        <v>0</v>
      </c>
      <c r="Q77" s="139">
        <f>'LCI_AD-a'!$E39*'IW+_end'!Q31</f>
        <v>0</v>
      </c>
      <c r="R77" s="139">
        <f>'LCI_AD-a'!$E39*'IW+_end'!R31</f>
        <v>0</v>
      </c>
      <c r="S77" s="139">
        <f>'LCI_AD-a'!$E39*'IW+_end'!S31</f>
        <v>0</v>
      </c>
      <c r="T77" s="139">
        <f>'LCI_AD-a'!$E39*'IW+_end'!T31</f>
        <v>0</v>
      </c>
      <c r="U77" s="139">
        <f>'LCI_AD-a'!$E39*'IW+_end'!U31</f>
        <v>0</v>
      </c>
      <c r="V77" s="139">
        <f>'LCI_AD-a'!$E39*'IW+_end'!V31</f>
        <v>0</v>
      </c>
      <c r="W77" s="139">
        <f>'LCI_AD-a'!$E39*'IW+_end'!W31</f>
        <v>0</v>
      </c>
      <c r="X77" s="139">
        <f>'LCI_AD-a'!$E39*'IW+_end'!X31</f>
        <v>0</v>
      </c>
      <c r="Y77" s="139">
        <f>'LCI_AD-a'!$E39*'IW+_end'!Y31</f>
        <v>0</v>
      </c>
      <c r="Z77" s="139">
        <f>'LCI_AD-a'!$E39*'IW+_end'!Z31</f>
        <v>0</v>
      </c>
      <c r="AA77" s="139">
        <f>'LCI_AD-a'!$E39*'IW+_end'!AA31</f>
        <v>0</v>
      </c>
      <c r="AB77" s="139">
        <f>'LCI_AD-a'!$E39*'IW+_end'!AB31</f>
        <v>0</v>
      </c>
      <c r="AC77" s="139">
        <f>'LCI_AD-a'!$E39*'IW+_end'!AC31</f>
        <v>0</v>
      </c>
      <c r="AD77" s="139">
        <f>'LCI_AD-a'!$E39*'IW+_end'!AD31</f>
        <v>0</v>
      </c>
      <c r="AE77" s="139">
        <f>'LCI_AD-a'!$E39*'IW+_end'!AE31</f>
        <v>0</v>
      </c>
      <c r="AF77" s="139">
        <f>'LCI_AD-a'!$E39*'IW+_end'!AF31</f>
        <v>0</v>
      </c>
      <c r="AG77" s="139">
        <f>'LCI_AD-a'!$E39*'IW+_end'!AG31</f>
        <v>0</v>
      </c>
      <c r="AH77" s="139">
        <f>'LCI_AD-a'!$E39*'IW+_end'!AH31</f>
        <v>0</v>
      </c>
      <c r="AI77" s="139">
        <f>'LCI_AD-a'!$E39*'IW+_end'!AI31</f>
        <v>0</v>
      </c>
      <c r="AJ77" s="139">
        <f>'LCI_AD-a'!$E39*'IW+_end'!AJ31</f>
        <v>0</v>
      </c>
      <c r="AK77" s="139">
        <f>'LCI_AD-a'!$E39*'IW+_end'!AK31</f>
        <v>0</v>
      </c>
      <c r="AL77" s="5"/>
      <c r="AM77" s="5"/>
      <c r="AN77" s="5"/>
      <c r="AO77" s="5"/>
    </row>
    <row r="78" spans="1:41" x14ac:dyDescent="0.35">
      <c r="A78" s="137"/>
      <c r="B78" s="137" t="s">
        <v>423</v>
      </c>
      <c r="C78" s="137">
        <f>'LCI_AD-a'!$E40*'IW+_end'!C39</f>
        <v>79.122355725541553</v>
      </c>
      <c r="D78" s="137">
        <f>'LCI_AD-a'!$E40*'IW+_end'!D39</f>
        <v>23.836101148679735</v>
      </c>
      <c r="E78" s="137">
        <f>'LCI_AD-a'!$E40*'IW+_end'!E39</f>
        <v>1.0663298081083918E-3</v>
      </c>
      <c r="F78" s="137">
        <f>'LCI_AD-a'!$E40*'IW+_end'!F39</f>
        <v>3.2123847844078986E-4</v>
      </c>
      <c r="G78" s="137">
        <f>'LCI_AD-a'!$E40*'IW+_end'!G39</f>
        <v>3.9673695173877574E-18</v>
      </c>
      <c r="H78" s="137">
        <f>'LCI_AD-a'!$E40*'IW+_end'!H39</f>
        <v>0.6238370824175532</v>
      </c>
      <c r="I78" s="137">
        <f>'LCI_AD-a'!$E40*'IW+_end'!I39</f>
        <v>4.1365669496789703</v>
      </c>
      <c r="J78" s="137">
        <f>'LCI_AD-a'!$E40*'IW+_end'!J39</f>
        <v>2.0252631543595361</v>
      </c>
      <c r="K78" s="137">
        <f>'LCI_AD-a'!$E40*'IW+_end'!K39</f>
        <v>3.1152090869692628E-3</v>
      </c>
      <c r="L78" s="137">
        <f>'LCI_AD-a'!$E40*'IW+_end'!L39</f>
        <v>3.2448595735356284E-7</v>
      </c>
      <c r="M78" s="137">
        <f>'LCI_AD-a'!$E40*'IW+_end'!M39</f>
        <v>9.0034625458115586E-6</v>
      </c>
      <c r="N78" s="137">
        <f>'LCI_AD-a'!$E40*'IW+_end'!N39</f>
        <v>8.6478447897322669E-6</v>
      </c>
      <c r="O78" s="137">
        <f>'LCI_AD-a'!$E40*'IW+_end'!O39</f>
        <v>4.7770483376190579E-6</v>
      </c>
      <c r="P78" s="137">
        <f>'LCI_AD-a'!$E40*'IW+_end'!P39</f>
        <v>2.5015931046411975E-9</v>
      </c>
      <c r="Q78" s="137">
        <f>'LCI_AD-a'!$E40*'IW+_end'!Q39</f>
        <v>4.7010917339658551E-8</v>
      </c>
      <c r="R78" s="137">
        <f>'LCI_AD-a'!$E40*'IW+_end'!R39</f>
        <v>0.26251724143939015</v>
      </c>
      <c r="S78" s="137">
        <f>'LCI_AD-a'!$E40*'IW+_end'!S39</f>
        <v>2.1515011718787056</v>
      </c>
      <c r="T78" s="137">
        <f>'LCI_AD-a'!$E40*'IW+_end'!T39</f>
        <v>28.68629001170623</v>
      </c>
      <c r="U78" s="137">
        <f>'LCI_AD-a'!$E40*'IW+_end'!U39</f>
        <v>3.1139692488580235</v>
      </c>
      <c r="V78" s="137">
        <f>'LCI_AD-a'!$E40*'IW+_end'!V39</f>
        <v>4.2289696907459561E-6</v>
      </c>
      <c r="W78" s="137">
        <f>'LCI_AD-a'!$E40*'IW+_end'!W39</f>
        <v>3.8397116961518526E-6</v>
      </c>
      <c r="X78" s="137">
        <f>'LCI_AD-a'!$E40*'IW+_end'!X39</f>
        <v>0.1196013427043396</v>
      </c>
      <c r="Y78" s="137">
        <f>'LCI_AD-a'!$E40*'IW+_end'!Y39</f>
        <v>6.4525463139700086E-9</v>
      </c>
      <c r="Z78" s="137">
        <f>'LCI_AD-a'!$E40*'IW+_end'!Z39</f>
        <v>3.6104827515428799E-5</v>
      </c>
      <c r="AA78" s="137">
        <f>'LCI_AD-a'!$E40*'IW+_end'!AA39</f>
        <v>2.0236362875930318</v>
      </c>
      <c r="AB78" s="137">
        <f>'LCI_AD-a'!$E40*'IW+_end'!AB39</f>
        <v>1.8097229525607338E-7</v>
      </c>
      <c r="AC78" s="137">
        <f>'LCI_AD-a'!$E40*'IW+_end'!AC39</f>
        <v>3.9862288094108491</v>
      </c>
      <c r="AD78" s="137">
        <f>'LCI_AD-a'!$E40*'IW+_end'!AD39</f>
        <v>0.15437581603743655</v>
      </c>
      <c r="AE78" s="137">
        <f>'LCI_AD-a'!$E40*'IW+_end'!AE39</f>
        <v>0.14014947690954263</v>
      </c>
      <c r="AF78" s="137">
        <f>'LCI_AD-a'!$E40*'IW+_end'!AF39</f>
        <v>2.2461447721529837E-3</v>
      </c>
      <c r="AG78" s="137">
        <f>'LCI_AD-a'!$E40*'IW+_end'!AG39</f>
        <v>150.38830813379255</v>
      </c>
      <c r="AH78" s="137">
        <f>'LCI_AD-a'!$E40*'IW+_end'!AH39</f>
        <v>1.4519731357361082E-3</v>
      </c>
      <c r="AI78" s="137">
        <f>'LCI_AD-a'!$E40*'IW+_end'!AI39</f>
        <v>4.3496318159612132E-5</v>
      </c>
      <c r="AJ78" s="137">
        <f>'LCI_AD-a'!$E40*'IW+_end'!AJ39</f>
        <v>5.3127442820692258E-6</v>
      </c>
      <c r="AK78" s="137">
        <f>'LCI_AD-a'!$E40*'IW+_end'!AK39</f>
        <v>5.0174521756887942E-4</v>
      </c>
    </row>
    <row r="79" spans="1:41" x14ac:dyDescent="0.35">
      <c r="A79" s="137"/>
      <c r="B79" s="137" t="s">
        <v>424</v>
      </c>
      <c r="C79" s="137">
        <f>'LCI_AD-a'!$E41*'IW+_end'!C37</f>
        <v>165.72951671783488</v>
      </c>
      <c r="D79" s="137">
        <f>'LCI_AD-a'!$E41*'IW+_end'!D37</f>
        <v>50.208445830477444</v>
      </c>
      <c r="E79" s="137">
        <f>'LCI_AD-a'!$E41*'IW+_end'!E37</f>
        <v>2.233532130573021E-3</v>
      </c>
      <c r="F79" s="137">
        <f>'LCI_AD-a'!$E41*'IW+_end'!F37</f>
        <v>6.7665784109800873E-4</v>
      </c>
      <c r="G79" s="137">
        <f>'LCI_AD-a'!$E41*'IW+_end'!G37</f>
        <v>0</v>
      </c>
      <c r="H79" s="137">
        <f>'LCI_AD-a'!$E41*'IW+_end'!H37</f>
        <v>0.60973580799889859</v>
      </c>
      <c r="I79" s="137">
        <f>'LCI_AD-a'!$E41*'IW+_end'!I37</f>
        <v>3.6949989393357403</v>
      </c>
      <c r="J79" s="137">
        <f>'LCI_AD-a'!$E41*'IW+_end'!J37</f>
        <v>4.6186009409577959</v>
      </c>
      <c r="K79" s="137">
        <f>'LCI_AD-a'!$E41*'IW+_end'!K37</f>
        <v>6.9512720555747092E-4</v>
      </c>
      <c r="L79" s="137">
        <f>'LCI_AD-a'!$E41*'IW+_end'!L37</f>
        <v>1.942458870376869E-7</v>
      </c>
      <c r="M79" s="137">
        <f>'LCI_AD-a'!$E41*'IW+_end'!M37</f>
        <v>3.8380100657011859E-7</v>
      </c>
      <c r="N79" s="137">
        <f>'LCI_AD-a'!$E41*'IW+_end'!N37</f>
        <v>5.6657274050132662E-6</v>
      </c>
      <c r="O79" s="137">
        <f>'LCI_AD-a'!$E41*'IW+_end'!O37</f>
        <v>3.7183420096645349E-6</v>
      </c>
      <c r="P79" s="137">
        <f>'LCI_AD-a'!$E41*'IW+_end'!P37</f>
        <v>8.5161875160376881E-10</v>
      </c>
      <c r="Q79" s="137">
        <f>'LCI_AD-a'!$E41*'IW+_end'!Q37</f>
        <v>1.8267817106203998E-8</v>
      </c>
      <c r="R79" s="137">
        <f>'LCI_AD-a'!$E41*'IW+_end'!R37</f>
        <v>0.45858923097265208</v>
      </c>
      <c r="S79" s="137">
        <f>'LCI_AD-a'!$E41*'IW+_end'!S37</f>
        <v>2.1169218751580945</v>
      </c>
      <c r="T79" s="137">
        <f>'LCI_AD-a'!$E41*'IW+_end'!T37</f>
        <v>59.997748955132359</v>
      </c>
      <c r="U79" s="137">
        <f>'LCI_AD-a'!$E41*'IW+_end'!U37</f>
        <v>6.512903340643164</v>
      </c>
      <c r="V79" s="137">
        <f>'LCI_AD-a'!$E41*'IW+_end'!V37</f>
        <v>5.5248994516897712E-6</v>
      </c>
      <c r="W79" s="137">
        <f>'LCI_AD-a'!$E41*'IW+_end'!W37</f>
        <v>5.0415105571497885E-6</v>
      </c>
      <c r="X79" s="137">
        <f>'LCI_AD-a'!$E41*'IW+_end'!X37</f>
        <v>0.13793505238327383</v>
      </c>
      <c r="Y79" s="137">
        <f>'LCI_AD-a'!$E41*'IW+_end'!Y37</f>
        <v>3.2597639043512518E-8</v>
      </c>
      <c r="Z79" s="137">
        <f>'LCI_AD-a'!$E41*'IW+_end'!Z37</f>
        <v>3.1864950835333603E-5</v>
      </c>
      <c r="AA79" s="137">
        <f>'LCI_AD-a'!$E41*'IW+_end'!AA37</f>
        <v>5.398843571083165</v>
      </c>
      <c r="AB79" s="137">
        <f>'LCI_AD-a'!$E41*'IW+_end'!AB37</f>
        <v>5.2199631202956241E-7</v>
      </c>
      <c r="AC79" s="137">
        <f>'LCI_AD-a'!$E41*'IW+_end'!AC37</f>
        <v>4.5451283199654604</v>
      </c>
      <c r="AD79" s="137">
        <f>'LCI_AD-a'!$E41*'IW+_end'!AD37</f>
        <v>0.20166387861508275</v>
      </c>
      <c r="AE79" s="137">
        <f>'LCI_AD-a'!$E41*'IW+_end'!AE37</f>
        <v>0.18401513533596728</v>
      </c>
      <c r="AF79" s="137">
        <f>'LCI_AD-a'!$E41*'IW+_end'!AF37</f>
        <v>3.4675862614927488E-3</v>
      </c>
      <c r="AG79" s="137">
        <f>'LCI_AD-a'!$E41*'IW+_end'!AG37</f>
        <v>304.42307828021836</v>
      </c>
      <c r="AH79" s="137">
        <f>'LCI_AD-a'!$E41*'IW+_end'!AH37</f>
        <v>2.9767632713422133E-3</v>
      </c>
      <c r="AI79" s="137">
        <f>'LCI_AD-a'!$E41*'IW+_end'!AI37</f>
        <v>1.9791139375732039E-4</v>
      </c>
      <c r="AJ79" s="137">
        <f>'LCI_AD-a'!$E41*'IW+_end'!AJ37</f>
        <v>2.4173370759385802E-5</v>
      </c>
      <c r="AK79" s="137">
        <f>'LCI_AD-a'!$E41*'IW+_end'!AK37</f>
        <v>3.6594922016055208E-3</v>
      </c>
    </row>
    <row r="81" spans="3:37" x14ac:dyDescent="0.35">
      <c r="C81" s="40">
        <f>C45+C67-C73</f>
        <v>-252.79452244191066</v>
      </c>
      <c r="D81" s="40">
        <f t="shared" ref="D81:AK81" si="12">D45+D67-D73</f>
        <v>-66.015863575441884</v>
      </c>
      <c r="E81" s="40">
        <f t="shared" si="12"/>
        <v>-3.4069048138731972E-3</v>
      </c>
      <c r="F81" s="40">
        <f t="shared" si="12"/>
        <v>-8.8969386005795627E-4</v>
      </c>
      <c r="G81" s="40">
        <f t="shared" si="12"/>
        <v>-1.9999756668722551E-16</v>
      </c>
      <c r="H81" s="40">
        <f t="shared" si="12"/>
        <v>5.9986895656315724</v>
      </c>
      <c r="I81" s="40">
        <f t="shared" si="12"/>
        <v>-12.421960347311725</v>
      </c>
      <c r="J81" s="40">
        <f t="shared" si="12"/>
        <v>-7.366685290724444</v>
      </c>
      <c r="K81" s="40">
        <f t="shared" si="12"/>
        <v>-0.34931688257442467</v>
      </c>
      <c r="L81" s="40">
        <f t="shared" si="12"/>
        <v>-7.5240846739965015E-7</v>
      </c>
      <c r="M81" s="40">
        <f t="shared" si="12"/>
        <v>-1.3979363492468224E-5</v>
      </c>
      <c r="N81" s="40">
        <f t="shared" si="12"/>
        <v>-2.2517235370816636E-5</v>
      </c>
      <c r="O81" s="40">
        <f t="shared" si="12"/>
        <v>-3.1362671763549418E-6</v>
      </c>
      <c r="P81" s="40">
        <f t="shared" si="12"/>
        <v>1.0274790656249731E-9</v>
      </c>
      <c r="Q81" s="40">
        <f t="shared" si="12"/>
        <v>1.6780142460114043E-7</v>
      </c>
      <c r="R81" s="40">
        <f t="shared" si="12"/>
        <v>-1.0038378708548943</v>
      </c>
      <c r="S81" s="40">
        <f t="shared" si="12"/>
        <v>-6.1885241683035961</v>
      </c>
      <c r="T81" s="40">
        <f t="shared" si="12"/>
        <v>-94.17503703273502</v>
      </c>
      <c r="U81" s="40">
        <f t="shared" si="12"/>
        <v>-10.222933049566944</v>
      </c>
      <c r="V81" s="40">
        <f t="shared" si="12"/>
        <v>-2.3800280043391677E-5</v>
      </c>
      <c r="W81" s="40">
        <f t="shared" si="12"/>
        <v>-3.3718532680971494E-5</v>
      </c>
      <c r="X81" s="40">
        <f t="shared" si="12"/>
        <v>-0.96599485215674685</v>
      </c>
      <c r="Y81" s="40">
        <f t="shared" si="12"/>
        <v>-4.0173668873740187E-8</v>
      </c>
      <c r="Z81" s="40">
        <f t="shared" si="12"/>
        <v>6.8867290546797022E-4</v>
      </c>
      <c r="AA81" s="40">
        <f t="shared" si="12"/>
        <v>-7.4207486671953928</v>
      </c>
      <c r="AB81" s="40">
        <f t="shared" si="12"/>
        <v>-6.9798321559473383E-7</v>
      </c>
      <c r="AC81" s="40">
        <f t="shared" si="12"/>
        <v>89.737366818338501</v>
      </c>
      <c r="AD81" s="40">
        <f t="shared" si="12"/>
        <v>-0.86872701866197088</v>
      </c>
      <c r="AE81" s="40">
        <f t="shared" si="12"/>
        <v>-1.2307264428554592</v>
      </c>
      <c r="AF81" s="40">
        <f t="shared" si="12"/>
        <v>-7.315814287445049E-3</v>
      </c>
      <c r="AG81" s="40">
        <f t="shared" si="12"/>
        <v>-365.30709279512854</v>
      </c>
      <c r="AH81" s="40">
        <f t="shared" si="12"/>
        <v>-3.7561553836462161E-3</v>
      </c>
      <c r="AI81" s="40">
        <f t="shared" si="12"/>
        <v>-8.7826990027368935E-4</v>
      </c>
      <c r="AJ81" s="40">
        <f t="shared" si="12"/>
        <v>-1.0727398520652018E-4</v>
      </c>
      <c r="AK81" s="40">
        <f t="shared" si="12"/>
        <v>-1.0019936832342853E-2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66" workbookViewId="0">
      <selection activeCell="C55" sqref="C55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27.051024108006885</v>
      </c>
      <c r="D43" s="118">
        <f t="shared" ref="D43:G43" si="5">SUM(D44:D48)</f>
        <v>27.72184138909309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0</v>
      </c>
      <c r="D48" s="117">
        <f>LCI_IC!$E23*'IW+f'!D26</f>
        <v>0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18.060377937268509</v>
      </c>
      <c r="D49" s="118">
        <f t="shared" ref="D49:G49" si="6">SUM(D50:D53)</f>
        <v>3.0243757543063747</v>
      </c>
      <c r="E49" s="118">
        <f t="shared" si="6"/>
        <v>272.37872239296553</v>
      </c>
      <c r="F49" s="118">
        <f t="shared" si="6"/>
        <v>1.7447473121140668E-5</v>
      </c>
      <c r="G49" s="118">
        <f t="shared" si="6"/>
        <v>25.414108019136457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0</v>
      </c>
      <c r="D53" s="117">
        <f>LCI_IC!$E28*'IW+f'!D31</f>
        <v>0</v>
      </c>
      <c r="E53" s="117">
        <f>LCI_IC!$E28*'IW+f'!E31</f>
        <v>0</v>
      </c>
      <c r="F53" s="117">
        <f>LCI_IC!$E28*'IW+f'!F31</f>
        <v>0</v>
      </c>
      <c r="G53" s="117">
        <f>LCI_IC!$E28*'IW+f'!G31</f>
        <v>0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2">
        <f>C29+C43-C49</f>
        <v>44.411965310455045</v>
      </c>
      <c r="D55" s="115">
        <f t="shared" ref="D55:G55" si="7">D29+D43-D49</f>
        <v>56.765408013582018</v>
      </c>
      <c r="E55" s="115">
        <f t="shared" si="7"/>
        <v>64.83384775522552</v>
      </c>
      <c r="F55" s="115">
        <f t="shared" si="7"/>
        <v>1.1110200227298706E-4</v>
      </c>
      <c r="G55" s="115">
        <f t="shared" si="7"/>
        <v>-12.13527938033733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7" t="s">
        <v>0</v>
      </c>
      <c r="B58" s="137"/>
      <c r="C58" s="138" t="s">
        <v>376</v>
      </c>
      <c r="D58" s="138" t="s">
        <v>377</v>
      </c>
      <c r="E58" s="138" t="s">
        <v>378</v>
      </c>
      <c r="F58" s="138" t="s">
        <v>379</v>
      </c>
      <c r="G58" s="138" t="s">
        <v>380</v>
      </c>
      <c r="H58" s="138" t="s">
        <v>361</v>
      </c>
      <c r="I58" s="138" t="s">
        <v>381</v>
      </c>
      <c r="J58" s="138" t="s">
        <v>382</v>
      </c>
      <c r="K58" s="138" t="s">
        <v>363</v>
      </c>
      <c r="L58" s="138" t="s">
        <v>383</v>
      </c>
      <c r="M58" s="138" t="s">
        <v>384</v>
      </c>
      <c r="N58" s="138" t="s">
        <v>385</v>
      </c>
      <c r="O58" s="138" t="s">
        <v>386</v>
      </c>
      <c r="P58" s="138" t="s">
        <v>387</v>
      </c>
      <c r="Q58" s="138" t="s">
        <v>388</v>
      </c>
      <c r="R58" s="138" t="s">
        <v>367</v>
      </c>
      <c r="S58" s="138" t="s">
        <v>368</v>
      </c>
      <c r="T58" s="138" t="s">
        <v>389</v>
      </c>
      <c r="U58" s="138" t="s">
        <v>390</v>
      </c>
      <c r="V58" s="138" t="s">
        <v>391</v>
      </c>
      <c r="W58" s="138" t="s">
        <v>392</v>
      </c>
      <c r="X58" s="138" t="s">
        <v>369</v>
      </c>
      <c r="Y58" s="138" t="s">
        <v>371</v>
      </c>
      <c r="Z58" s="138" t="s">
        <v>372</v>
      </c>
      <c r="AA58" s="138" t="s">
        <v>393</v>
      </c>
      <c r="AB58" s="138" t="s">
        <v>394</v>
      </c>
      <c r="AC58" s="138" t="s">
        <v>374</v>
      </c>
      <c r="AD58" s="138" t="s">
        <v>395</v>
      </c>
      <c r="AE58" s="138" t="s">
        <v>396</v>
      </c>
      <c r="AF58" s="138" t="s">
        <v>397</v>
      </c>
      <c r="AG58" s="138" t="s">
        <v>398</v>
      </c>
      <c r="AH58" s="138" t="s">
        <v>399</v>
      </c>
      <c r="AI58" s="138" t="s">
        <v>400</v>
      </c>
      <c r="AJ58" s="138" t="s">
        <v>401</v>
      </c>
      <c r="AK58" s="138" t="s">
        <v>402</v>
      </c>
    </row>
    <row r="59" spans="1:37" x14ac:dyDescent="0.35">
      <c r="A59" s="137" t="s">
        <v>294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42">
        <f>SUM(AG61:AG72)</f>
        <v>48.310093052891858</v>
      </c>
      <c r="AH59" s="142">
        <f>SUM(AH61:AH72)</f>
        <v>2.6573392590665515E-4</v>
      </c>
      <c r="AI59" s="137"/>
      <c r="AJ59" s="137"/>
      <c r="AK59" s="137"/>
    </row>
    <row r="60" spans="1:37" x14ac:dyDescent="0.35">
      <c r="A60" s="137" t="s">
        <v>5</v>
      </c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</row>
    <row r="61" spans="1:37" x14ac:dyDescent="0.35">
      <c r="A61" s="137"/>
      <c r="B61" s="137" t="s">
        <v>249</v>
      </c>
      <c r="C61" s="137">
        <f>LCI_IC!$E4*'IW+_end'!C2</f>
        <v>0.29375833601169027</v>
      </c>
      <c r="D61" s="137">
        <f>LCI_IC!$E4*'IW+_end'!D2</f>
        <v>8.9990845888640369E-2</v>
      </c>
      <c r="E61" s="137">
        <f>LCI_IC!$E4*'IW+_end'!E2</f>
        <v>3.9589730007048797E-6</v>
      </c>
      <c r="F61" s="137">
        <f>LCI_IC!$E4*'IW+_end'!F2</f>
        <v>1.2128041505843192E-6</v>
      </c>
      <c r="G61" s="137">
        <f>LCI_IC!$E4*'IW+_end'!G2</f>
        <v>9.0040097542142219E-20</v>
      </c>
      <c r="H61" s="137">
        <f>LCI_IC!$E4*'IW+_end'!H2</f>
        <v>5.1931114803604956E-3</v>
      </c>
      <c r="I61" s="137">
        <f>LCI_IC!$E4*'IW+_end'!I2</f>
        <v>0.24839018720173295</v>
      </c>
      <c r="J61" s="137">
        <f>LCI_IC!$E4*'IW+_end'!J2</f>
        <v>1.234083364332369E-2</v>
      </c>
      <c r="K61" s="137">
        <f>LCI_IC!$E4*'IW+_end'!K2</f>
        <v>2.1439753416220663E-5</v>
      </c>
      <c r="L61" s="137">
        <f>LCI_IC!$E4*'IW+_end'!L2</f>
        <v>8.7015032149142414E-9</v>
      </c>
      <c r="M61" s="137">
        <f>LCI_IC!$E4*'IW+_end'!M2</f>
        <v>1.6596905236710246E-7</v>
      </c>
      <c r="N61" s="137">
        <f>LCI_IC!$E4*'IW+_end'!N2</f>
        <v>1.9676602640470916E-7</v>
      </c>
      <c r="O61" s="137">
        <f>LCI_IC!$E4*'IW+_end'!O2</f>
        <v>1.0474046667854858E-7</v>
      </c>
      <c r="P61" s="137">
        <f>LCI_IC!$E4*'IW+_end'!P2</f>
        <v>4.1389310905179983E-9</v>
      </c>
      <c r="Q61" s="137">
        <f>LCI_IC!$E4*'IW+_end'!Q2</f>
        <v>1.2763337153218512E-7</v>
      </c>
      <c r="R61" s="137">
        <f>LCI_IC!$E4*'IW+_end'!R2</f>
        <v>1.6534106080479432E-2</v>
      </c>
      <c r="S61" s="137">
        <f>LCI_IC!$E4*'IW+_end'!S2</f>
        <v>1.1656841267618703E-2</v>
      </c>
      <c r="T61" s="137">
        <f>LCI_IC!$E4*'IW+_end'!T2</f>
        <v>0.10249049260823448</v>
      </c>
      <c r="U61" s="137">
        <f>LCI_IC!$E4*'IW+_end'!U2</f>
        <v>1.1125576504552512E-2</v>
      </c>
      <c r="V61" s="137">
        <f>LCI_IC!$E4*'IW+_end'!V2</f>
        <v>9.6489525909131685E-7</v>
      </c>
      <c r="W61" s="137">
        <f>LCI_IC!$E4*'IW+_end'!W2</f>
        <v>2.6554776215088471E-7</v>
      </c>
      <c r="X61" s="137">
        <f>LCI_IC!$E4*'IW+_end'!X2</f>
        <v>6.7963986332143073E-4</v>
      </c>
      <c r="Y61" s="137">
        <f>LCI_IC!$E4*'IW+_end'!Y2</f>
        <v>4.6233568878889853E-11</v>
      </c>
      <c r="Z61" s="137">
        <f>LCI_IC!$E4*'IW+_end'!Z2</f>
        <v>3.7424948947123667E-7</v>
      </c>
      <c r="AA61" s="137">
        <f>LCI_IC!$E4*'IW+_end'!AA2</f>
        <v>1.5755418847462184E-2</v>
      </c>
      <c r="AB61" s="137">
        <f>LCI_IC!$E4*'IW+_end'!AB2</f>
        <v>1.5662117661554336E-9</v>
      </c>
      <c r="AC61" s="137">
        <f>LCI_IC!$E4*'IW+_end'!AC2</f>
        <v>3.4269056902659287E-2</v>
      </c>
      <c r="AD61" s="137">
        <f>LCI_IC!$E4*'IW+_end'!AD2</f>
        <v>3.5220034139757453E-2</v>
      </c>
      <c r="AE61" s="137">
        <f>LCI_IC!$E4*'IW+_end'!AE2</f>
        <v>9.6924933185072934E-3</v>
      </c>
      <c r="AF61" s="137">
        <f>LCI_IC!$E4*'IW+_end'!AF2</f>
        <v>1.9004186679781043E-3</v>
      </c>
      <c r="AG61" s="137">
        <f>LCI_IC!$E4*'IW+_end'!AG2</f>
        <v>0.88904487549306932</v>
      </c>
      <c r="AH61" s="137">
        <f>LCI_IC!$E4*'IW+_end'!AH2</f>
        <v>7.3843049600713193E-6</v>
      </c>
      <c r="AI61" s="137">
        <f>LCI_IC!$E4*'IW+_end'!AI2</f>
        <v>1.0093591977195651E-5</v>
      </c>
      <c r="AJ61" s="137">
        <f>LCI_IC!$E4*'IW+_end'!AJ2</f>
        <v>1.2328554537785757E-6</v>
      </c>
      <c r="AK61" s="137">
        <f>LCI_IC!$E4*'IW+_end'!AK2</f>
        <v>1.4715139405635514E-5</v>
      </c>
    </row>
    <row r="62" spans="1:37" x14ac:dyDescent="0.35">
      <c r="A62" s="137"/>
      <c r="B62" s="137" t="s">
        <v>250</v>
      </c>
      <c r="C62" s="137">
        <f>LCI_IC!$E5*'IW+_end'!C3</f>
        <v>0</v>
      </c>
      <c r="D62" s="137">
        <f>LCI_IC!$E5*'IW+_end'!D3</f>
        <v>0</v>
      </c>
      <c r="E62" s="137">
        <f>LCI_IC!$E5*'IW+_end'!E3</f>
        <v>0</v>
      </c>
      <c r="F62" s="137">
        <f>LCI_IC!$E5*'IW+_end'!F3</f>
        <v>0</v>
      </c>
      <c r="G62" s="137">
        <f>LCI_IC!$E5*'IW+_end'!G3</f>
        <v>0</v>
      </c>
      <c r="H62" s="137">
        <f>LCI_IC!$E5*'IW+_end'!H3</f>
        <v>0</v>
      </c>
      <c r="I62" s="137">
        <f>LCI_IC!$E5*'IW+_end'!I3</f>
        <v>0</v>
      </c>
      <c r="J62" s="137">
        <f>LCI_IC!$E5*'IW+_end'!J3</f>
        <v>0</v>
      </c>
      <c r="K62" s="137">
        <f>LCI_IC!$E5*'IW+_end'!K3</f>
        <v>0</v>
      </c>
      <c r="L62" s="137">
        <f>LCI_IC!$E5*'IW+_end'!L3</f>
        <v>0</v>
      </c>
      <c r="M62" s="137">
        <f>LCI_IC!$E5*'IW+_end'!M3</f>
        <v>0</v>
      </c>
      <c r="N62" s="137">
        <f>LCI_IC!$E5*'IW+_end'!N3</f>
        <v>0</v>
      </c>
      <c r="O62" s="137">
        <f>LCI_IC!$E5*'IW+_end'!O3</f>
        <v>0</v>
      </c>
      <c r="P62" s="137">
        <f>LCI_IC!$E5*'IW+_end'!P3</f>
        <v>0</v>
      </c>
      <c r="Q62" s="137">
        <f>LCI_IC!$E5*'IW+_end'!Q3</f>
        <v>0</v>
      </c>
      <c r="R62" s="137">
        <f>LCI_IC!$E5*'IW+_end'!R3</f>
        <v>0</v>
      </c>
      <c r="S62" s="137">
        <f>LCI_IC!$E5*'IW+_end'!S3</f>
        <v>0</v>
      </c>
      <c r="T62" s="137">
        <f>LCI_IC!$E5*'IW+_end'!T3</f>
        <v>0</v>
      </c>
      <c r="U62" s="137">
        <f>LCI_IC!$E5*'IW+_end'!U3</f>
        <v>0</v>
      </c>
      <c r="V62" s="137">
        <f>LCI_IC!$E5*'IW+_end'!V3</f>
        <v>0</v>
      </c>
      <c r="W62" s="137">
        <f>LCI_IC!$E5*'IW+_end'!W3</f>
        <v>0</v>
      </c>
      <c r="X62" s="137">
        <f>LCI_IC!$E5*'IW+_end'!X3</f>
        <v>0</v>
      </c>
      <c r="Y62" s="137">
        <f>LCI_IC!$E5*'IW+_end'!Y3</f>
        <v>0</v>
      </c>
      <c r="Z62" s="137">
        <f>LCI_IC!$E5*'IW+_end'!Z3</f>
        <v>0</v>
      </c>
      <c r="AA62" s="137">
        <f>LCI_IC!$E5*'IW+_end'!AA3</f>
        <v>0</v>
      </c>
      <c r="AB62" s="137">
        <f>LCI_IC!$E5*'IW+_end'!AB3</f>
        <v>0</v>
      </c>
      <c r="AC62" s="137">
        <f>LCI_IC!$E5*'IW+_end'!AC3</f>
        <v>0</v>
      </c>
      <c r="AD62" s="137">
        <f>LCI_IC!$E5*'IW+_end'!AD3</f>
        <v>0</v>
      </c>
      <c r="AE62" s="137">
        <f>LCI_IC!$E5*'IW+_end'!AE3</f>
        <v>0</v>
      </c>
      <c r="AF62" s="137">
        <f>LCI_IC!$E5*'IW+_end'!AF3</f>
        <v>0</v>
      </c>
      <c r="AG62" s="137">
        <f>LCI_IC!$E5*'IW+_end'!AG3</f>
        <v>0</v>
      </c>
      <c r="AH62" s="137">
        <f>LCI_IC!$E5*'IW+_end'!AH3</f>
        <v>0</v>
      </c>
      <c r="AI62" s="137">
        <f>LCI_IC!$E5*'IW+_end'!AI3</f>
        <v>0</v>
      </c>
      <c r="AJ62" s="137">
        <f>LCI_IC!$E5*'IW+_end'!AJ3</f>
        <v>0</v>
      </c>
      <c r="AK62" s="137">
        <f>LCI_IC!$E5*'IW+_end'!AK3</f>
        <v>0</v>
      </c>
    </row>
    <row r="63" spans="1:37" x14ac:dyDescent="0.35">
      <c r="A63" s="137" t="s">
        <v>235</v>
      </c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</row>
    <row r="64" spans="1:37" x14ac:dyDescent="0.35">
      <c r="A64" s="137"/>
      <c r="B64" s="137" t="s">
        <v>286</v>
      </c>
      <c r="C64" s="139">
        <f>LCI_IC!$E8*'IW+_end'!C5</f>
        <v>0.1642293381452089</v>
      </c>
      <c r="D64" s="139">
        <f>LCI_IC!$E8*'IW+_end'!D5</f>
        <v>5.0160114465116465E-2</v>
      </c>
      <c r="E64" s="139">
        <f>LCI_IC!$E8*'IW+_end'!E5</f>
        <v>2.2133142652831479E-6</v>
      </c>
      <c r="F64" s="139">
        <f>LCI_IC!$E8*'IW+_end'!F5</f>
        <v>6.7600648061868024E-7</v>
      </c>
      <c r="G64" s="139">
        <f>LCI_IC!$E8*'IW+_end'!G5</f>
        <v>3.4259653114390555E-19</v>
      </c>
      <c r="H64" s="139">
        <f>LCI_IC!$E8*'IW+_end'!H5</f>
        <v>1.9088748614477355E-3</v>
      </c>
      <c r="I64" s="139">
        <f>LCI_IC!$E8*'IW+_end'!I5</f>
        <v>2.1165975185515697E-2</v>
      </c>
      <c r="J64" s="139">
        <f>LCI_IC!$E8*'IW+_end'!J5</f>
        <v>7.7842440064621963E-3</v>
      </c>
      <c r="K64" s="139">
        <f>LCI_IC!$E8*'IW+_end'!K5</f>
        <v>1.2090234903629117E-5</v>
      </c>
      <c r="L64" s="139">
        <f>LCI_IC!$E8*'IW+_end'!L5</f>
        <v>1.3807900143766815E-9</v>
      </c>
      <c r="M64" s="139">
        <f>LCI_IC!$E8*'IW+_end'!M5</f>
        <v>7.8521018154124293E-8</v>
      </c>
      <c r="N64" s="139">
        <f>LCI_IC!$E8*'IW+_end'!N5</f>
        <v>5.1916740498462542E-8</v>
      </c>
      <c r="O64" s="139">
        <f>LCI_IC!$E8*'IW+_end'!O5</f>
        <v>3.4957298081958831E-8</v>
      </c>
      <c r="P64" s="139">
        <f>LCI_IC!$E8*'IW+_end'!P5</f>
        <v>1.6087202212299374E-11</v>
      </c>
      <c r="Q64" s="139">
        <f>LCI_IC!$E8*'IW+_end'!Q5</f>
        <v>1.9821700798180701E-10</v>
      </c>
      <c r="R64" s="139">
        <f>LCI_IC!$E8*'IW+_end'!R5</f>
        <v>9.3882236600461508E-3</v>
      </c>
      <c r="S64" s="139">
        <f>LCI_IC!$E8*'IW+_end'!S5</f>
        <v>1.0847515163367839E-2</v>
      </c>
      <c r="T64" s="139">
        <f>LCI_IC!$E8*'IW+_end'!T5</f>
        <v>5.9340583237830792E-2</v>
      </c>
      <c r="U64" s="139">
        <f>LCI_IC!$E8*'IW+_end'!U5</f>
        <v>6.4415394809225063E-3</v>
      </c>
      <c r="V64" s="139">
        <f>LCI_IC!$E8*'IW+_end'!V5</f>
        <v>2.2361093064658549E-8</v>
      </c>
      <c r="W64" s="139">
        <f>LCI_IC!$E8*'IW+_end'!W5</f>
        <v>1.8378519819012135E-8</v>
      </c>
      <c r="X64" s="139">
        <f>LCI_IC!$E8*'IW+_end'!X5</f>
        <v>4.9087972213900696E-4</v>
      </c>
      <c r="Y64" s="139">
        <f>LCI_IC!$E8*'IW+_end'!Y5</f>
        <v>1.4130656214684504E-11</v>
      </c>
      <c r="Z64" s="139">
        <f>LCI_IC!$E8*'IW+_end'!Z5</f>
        <v>2.3089230034193365E-7</v>
      </c>
      <c r="AA64" s="139">
        <f>LCI_IC!$E8*'IW+_end'!AA5</f>
        <v>1.24610140420619E-2</v>
      </c>
      <c r="AB64" s="139">
        <f>LCI_IC!$E8*'IW+_end'!AB5</f>
        <v>1.2166988717580699E-9</v>
      </c>
      <c r="AC64" s="139">
        <f>LCI_IC!$E8*'IW+_end'!AC5</f>
        <v>1.357355809150523E-2</v>
      </c>
      <c r="AD64" s="139">
        <f>LCI_IC!$E8*'IW+_end'!AD5</f>
        <v>8.1619861313748173E-4</v>
      </c>
      <c r="AE64" s="139">
        <f>LCI_IC!$E8*'IW+_end'!AE5</f>
        <v>6.7081597339394266E-4</v>
      </c>
      <c r="AF64" s="139">
        <f>LCI_IC!$E8*'IW+_end'!AF5</f>
        <v>1.5428172135718716E-5</v>
      </c>
      <c r="AG64" s="139">
        <f>LCI_IC!$E8*'IW+_end'!AG5</f>
        <v>0.35931316945148462</v>
      </c>
      <c r="AH64" s="139">
        <f>LCI_IC!$E8*'IW+_end'!AH5</f>
        <v>3.3268199102587953E-6</v>
      </c>
      <c r="AI64" s="139">
        <f>LCI_IC!$E8*'IW+_end'!AI5</f>
        <v>3.14403300469906E-7</v>
      </c>
      <c r="AJ64" s="139">
        <f>LCI_IC!$E8*'IW+_end'!AJ5</f>
        <v>3.8401970730154165E-8</v>
      </c>
      <c r="AK64" s="139">
        <f>LCI_IC!$E8*'IW+_end'!AK5</f>
        <v>6.4212372885133327E-6</v>
      </c>
    </row>
    <row r="65" spans="1:43" x14ac:dyDescent="0.35">
      <c r="A65" s="137"/>
      <c r="B65" s="137" t="s">
        <v>235</v>
      </c>
      <c r="C65" s="137">
        <f>LCI_IC!$E7*'IW+_end'!C4</f>
        <v>2.8461745710597834</v>
      </c>
      <c r="D65" s="137">
        <f>LCI_IC!$E7*'IW+_end'!D4</f>
        <v>1.1214611679069222</v>
      </c>
      <c r="E65" s="137">
        <f>LCI_IC!$E7*'IW+_end'!E4</f>
        <v>3.8357816275450525E-5</v>
      </c>
      <c r="F65" s="137">
        <f>LCI_IC!$E7*'IW+_end'!F4</f>
        <v>1.5113901261020833E-5</v>
      </c>
      <c r="G65" s="137">
        <f>LCI_IC!$E7*'IW+_end'!G4</f>
        <v>1.3417014761931066E-18</v>
      </c>
      <c r="H65" s="137">
        <f>LCI_IC!$E7*'IW+_end'!H4</f>
        <v>7.0661974280644954E-2</v>
      </c>
      <c r="I65" s="137">
        <f>LCI_IC!$E7*'IW+_end'!I4</f>
        <v>0.93416719125512804</v>
      </c>
      <c r="J65" s="137">
        <f>LCI_IC!$E7*'IW+_end'!J4</f>
        <v>0.11947233209536294</v>
      </c>
      <c r="K65" s="137">
        <f>LCI_IC!$E7*'IW+_end'!K4</f>
        <v>5.8252778621848689E-3</v>
      </c>
      <c r="L65" s="137">
        <f>LCI_IC!$E7*'IW+_end'!L4</f>
        <v>7.543227881230801E-8</v>
      </c>
      <c r="M65" s="137">
        <f>LCI_IC!$E7*'IW+_end'!M4</f>
        <v>9.2358423028085057E-6</v>
      </c>
      <c r="N65" s="137">
        <f>LCI_IC!$E7*'IW+_end'!N4</f>
        <v>2.0141902382323624E-6</v>
      </c>
      <c r="O65" s="137">
        <f>LCI_IC!$E7*'IW+_end'!O4</f>
        <v>2.073338334217323E-5</v>
      </c>
      <c r="P65" s="137">
        <f>LCI_IC!$E7*'IW+_end'!P4</f>
        <v>1.6721138820675336E-10</v>
      </c>
      <c r="Q65" s="137">
        <f>LCI_IC!$E7*'IW+_end'!Q4</f>
        <v>2.5414819458518307E-9</v>
      </c>
      <c r="R65" s="137">
        <f>LCI_IC!$E7*'IW+_end'!R4</f>
        <v>0.10325709629067527</v>
      </c>
      <c r="S65" s="137">
        <f>LCI_IC!$E7*'IW+_end'!S4</f>
        <v>0.20192306813671582</v>
      </c>
      <c r="T65" s="137">
        <f>LCI_IC!$E7*'IW+_end'!T4</f>
        <v>0.81381304343515604</v>
      </c>
      <c r="U65" s="137">
        <f>LCI_IC!$E7*'IW+_end'!U4</f>
        <v>8.8340903369667073E-2</v>
      </c>
      <c r="V65" s="137">
        <f>LCI_IC!$E7*'IW+_end'!V4</f>
        <v>4.1790110398157114E-7</v>
      </c>
      <c r="W65" s="137">
        <f>LCI_IC!$E7*'IW+_end'!W4</f>
        <v>9.1166986820938597E-7</v>
      </c>
      <c r="X65" s="137">
        <f>LCI_IC!$E7*'IW+_end'!X4</f>
        <v>3.6914893888666471E-2</v>
      </c>
      <c r="Y65" s="137">
        <f>LCI_IC!$E7*'IW+_end'!Y4</f>
        <v>3.4271490621614475E-10</v>
      </c>
      <c r="Z65" s="137">
        <f>LCI_IC!$E7*'IW+_end'!Z4</f>
        <v>8.8111435597395313E-6</v>
      </c>
      <c r="AA65" s="137">
        <f>LCI_IC!$E7*'IW+_end'!AA4</f>
        <v>0.52310036021523809</v>
      </c>
      <c r="AB65" s="137">
        <f>LCI_IC!$E7*'IW+_end'!AB4</f>
        <v>5.3982752056258097E-8</v>
      </c>
      <c r="AC65" s="137">
        <f>LCI_IC!$E7*'IW+_end'!AC4</f>
        <v>0.52930584039175488</v>
      </c>
      <c r="AD65" s="137">
        <f>LCI_IC!$E7*'IW+_end'!AD4</f>
        <v>1.5262636374080941E-2</v>
      </c>
      <c r="AE65" s="137">
        <f>LCI_IC!$E7*'IW+_end'!AE4</f>
        <v>3.3275950189642592E-2</v>
      </c>
      <c r="AF65" s="137">
        <f>LCI_IC!$E7*'IW+_end'!AF4</f>
        <v>3.8173633035694057E-4</v>
      </c>
      <c r="AG65" s="137">
        <f>LCI_IC!$E7*'IW+_end'!AG4</f>
        <v>7.4436332210323055</v>
      </c>
      <c r="AH65" s="137">
        <f>LCI_IC!$E7*'IW+_end'!AH4</f>
        <v>1.04168902179637E-4</v>
      </c>
      <c r="AI65" s="137">
        <f>LCI_IC!$E7*'IW+_end'!AI4</f>
        <v>7.999127841649449E-5</v>
      </c>
      <c r="AJ65" s="137">
        <f>LCI_IC!$E7*'IW+_end'!AJ4</f>
        <v>9.7703259724914291E-6</v>
      </c>
      <c r="AK65" s="137">
        <f>LCI_IC!$E7*'IW+_end'!AK4</f>
        <v>2.1385693372968594E-4</v>
      </c>
    </row>
    <row r="66" spans="1:43" x14ac:dyDescent="0.35">
      <c r="A66" s="137" t="s">
        <v>300</v>
      </c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</row>
    <row r="67" spans="1:43" x14ac:dyDescent="0.35">
      <c r="A67" s="137"/>
      <c r="B67" s="137" t="s">
        <v>301</v>
      </c>
      <c r="C67" s="137">
        <f>LCI_IC!$E10*'IW+_end'!C35</f>
        <v>1.639546218529585</v>
      </c>
      <c r="D67" s="137">
        <f>LCI_IC!$E10*'IW+_end'!D35</f>
        <v>0.50112891249836111</v>
      </c>
      <c r="E67" s="137">
        <f>LCI_IC!$E10*'IW+_end'!E35</f>
        <v>2.2096119213815607E-5</v>
      </c>
      <c r="F67" s="137">
        <f>LCI_IC!$E10*'IW+_end'!F35</f>
        <v>6.753700546474559E-6</v>
      </c>
      <c r="G67" s="137">
        <f>LCI_IC!$E10*'IW+_end'!G35</f>
        <v>4.3333901754761425E-18</v>
      </c>
      <c r="H67" s="137">
        <f>LCI_IC!$E10*'IW+_end'!H35</f>
        <v>2.495593568506508E-2</v>
      </c>
      <c r="I67" s="137">
        <f>LCI_IC!$E10*'IW+_end'!I35</f>
        <v>0.39389429210808058</v>
      </c>
      <c r="J67" s="137">
        <f>LCI_IC!$E10*'IW+_end'!J35</f>
        <v>6.7029319550731117E-2</v>
      </c>
      <c r="K67" s="137">
        <f>LCI_IC!$E10*'IW+_end'!K35</f>
        <v>1.3227472847376623E-2</v>
      </c>
      <c r="L67" s="137">
        <f>LCI_IC!$E10*'IW+_end'!L35</f>
        <v>1.2741441376363931E-8</v>
      </c>
      <c r="M67" s="137">
        <f>LCI_IC!$E10*'IW+_end'!M35</f>
        <v>1.0361858495461141E-6</v>
      </c>
      <c r="N67" s="137">
        <f>LCI_IC!$E10*'IW+_end'!N35</f>
        <v>4.2094923747696886E-7</v>
      </c>
      <c r="O67" s="137">
        <f>LCI_IC!$E10*'IW+_end'!O35</f>
        <v>2.7379013551440849E-7</v>
      </c>
      <c r="P67" s="137">
        <f>LCI_IC!$E10*'IW+_end'!P35</f>
        <v>5.7739233933437292E-10</v>
      </c>
      <c r="Q67" s="137">
        <f>LCI_IC!$E10*'IW+_end'!Q35</f>
        <v>1.0136355764856495E-8</v>
      </c>
      <c r="R67" s="137">
        <f>LCI_IC!$E10*'IW+_end'!R35</f>
        <v>24.23257003073666</v>
      </c>
      <c r="S67" s="137">
        <f>LCI_IC!$E10*'IW+_end'!S35</f>
        <v>0.18275150808402318</v>
      </c>
      <c r="T67" s="137">
        <f>LCI_IC!$E10*'IW+_end'!T35</f>
        <v>0.60026385749342459</v>
      </c>
      <c r="U67" s="137">
        <f>LCI_IC!$E10*'IW+_end'!U35</f>
        <v>6.5157375370135551E-2</v>
      </c>
      <c r="V67" s="137">
        <f>LCI_IC!$E10*'IW+_end'!V35</f>
        <v>8.9773711251486744E-7</v>
      </c>
      <c r="W67" s="137">
        <f>LCI_IC!$E10*'IW+_end'!W35</f>
        <v>6.7295879022802748E-7</v>
      </c>
      <c r="X67" s="137">
        <f>LCI_IC!$E10*'IW+_end'!X35</f>
        <v>6.19419661143558E-3</v>
      </c>
      <c r="Y67" s="137">
        <f>LCI_IC!$E10*'IW+_end'!Y35</f>
        <v>1.3310269112425958E-10</v>
      </c>
      <c r="Z67" s="137">
        <f>LCI_IC!$E10*'IW+_end'!Z35</f>
        <v>2.3213179468259162E-6</v>
      </c>
      <c r="AA67" s="137">
        <f>LCI_IC!$E10*'IW+_end'!AA35</f>
        <v>0.19734284744008171</v>
      </c>
      <c r="AB67" s="137">
        <f>LCI_IC!$E10*'IW+_end'!AB35</f>
        <v>1.8567087746188296E-8</v>
      </c>
      <c r="AC67" s="137">
        <f>LCI_IC!$E10*'IW+_end'!AC35</f>
        <v>0.18042544447611356</v>
      </c>
      <c r="AD67" s="137">
        <f>LCI_IC!$E10*'IW+_end'!AD35</f>
        <v>3.2768020775961776E-2</v>
      </c>
      <c r="AE67" s="137">
        <f>LCI_IC!$E10*'IW+_end'!AE35</f>
        <v>2.4562995843323009E-2</v>
      </c>
      <c r="AF67" s="137">
        <f>LCI_IC!$E10*'IW+_end'!AF35</f>
        <v>6.4059721338951951E-4</v>
      </c>
      <c r="AG67" s="137">
        <f>LCI_IC!$E10*'IW+_end'!AG35</f>
        <v>28.162732396030638</v>
      </c>
      <c r="AH67" s="137">
        <f>LCI_IC!$E10*'IW+_end'!AH35</f>
        <v>3.4046714515457196E-5</v>
      </c>
      <c r="AI67" s="137">
        <f>LCI_IC!$E10*'IW+_end'!AI35</f>
        <v>9.0310464111356095E-6</v>
      </c>
      <c r="AJ67" s="137">
        <f>LCI_IC!$E10*'IW+_end'!AJ35</f>
        <v>1.1030735982248163E-6</v>
      </c>
      <c r="AK67" s="137">
        <f>LCI_IC!$E10*'IW+_end'!AK35</f>
        <v>2.6276844716575351E-4</v>
      </c>
    </row>
    <row r="68" spans="1:43" x14ac:dyDescent="0.35">
      <c r="A68" s="137" t="s">
        <v>302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</row>
    <row r="69" spans="1:43" x14ac:dyDescent="0.35">
      <c r="A69" s="137"/>
      <c r="B69" s="137" t="s">
        <v>96</v>
      </c>
      <c r="C69" s="137">
        <f>LCI_IC!$E13*'IW+_end'!C12</f>
        <v>8.7490211685808825E-2</v>
      </c>
      <c r="D69" s="137">
        <f>LCI_IC!$E13*'IW+_end'!D12</f>
        <v>0.33228107715643329</v>
      </c>
      <c r="E69" s="137">
        <f>LCI_IC!$E13*'IW+_end'!E12</f>
        <v>1.1791031723310412E-6</v>
      </c>
      <c r="F69" s="137">
        <f>LCI_IC!$E13*'IW+_end'!F12</f>
        <v>4.4781471550199997E-6</v>
      </c>
      <c r="G69" s="137">
        <f>LCI_IC!$E13*'IW+_end'!G12</f>
        <v>0</v>
      </c>
      <c r="H69" s="137">
        <f>LCI_IC!$E13*'IW+_end'!H12</f>
        <v>0</v>
      </c>
      <c r="I69" s="137">
        <f>LCI_IC!$E13*'IW+_end'!I12</f>
        <v>0</v>
      </c>
      <c r="J69" s="137">
        <f>LCI_IC!$E13*'IW+_end'!J12</f>
        <v>0</v>
      </c>
      <c r="K69" s="137">
        <f>LCI_IC!$E13*'IW+_end'!K12</f>
        <v>0</v>
      </c>
      <c r="L69" s="137">
        <f>LCI_IC!$E13*'IW+_end'!L12</f>
        <v>0</v>
      </c>
      <c r="M69" s="137">
        <f>LCI_IC!$E13*'IW+_end'!M12</f>
        <v>0</v>
      </c>
      <c r="N69" s="137">
        <f>LCI_IC!$E13*'IW+_end'!N12</f>
        <v>0</v>
      </c>
      <c r="O69" s="137">
        <f>LCI_IC!$E13*'IW+_end'!O12</f>
        <v>0</v>
      </c>
      <c r="P69" s="137">
        <f>LCI_IC!$E13*'IW+_end'!P12</f>
        <v>0</v>
      </c>
      <c r="Q69" s="137">
        <f>LCI_IC!$E13*'IW+_end'!Q12</f>
        <v>0</v>
      </c>
      <c r="R69" s="137">
        <f>LCI_IC!$E13*'IW+_end'!R12</f>
        <v>0</v>
      </c>
      <c r="S69" s="137">
        <f>LCI_IC!$E13*'IW+_end'!S12</f>
        <v>0</v>
      </c>
      <c r="T69" s="137">
        <f>LCI_IC!$E13*'IW+_end'!T12</f>
        <v>0</v>
      </c>
      <c r="U69" s="137">
        <f>LCI_IC!$E13*'IW+_end'!U12</f>
        <v>0</v>
      </c>
      <c r="V69" s="137">
        <f>LCI_IC!$E13*'IW+_end'!V12</f>
        <v>0</v>
      </c>
      <c r="W69" s="137">
        <f>LCI_IC!$E13*'IW+_end'!W12</f>
        <v>0</v>
      </c>
      <c r="X69" s="137">
        <f>LCI_IC!$E13*'IW+_end'!X12</f>
        <v>0</v>
      </c>
      <c r="Y69" s="137">
        <f>LCI_IC!$E13*'IW+_end'!Y12</f>
        <v>0</v>
      </c>
      <c r="Z69" s="137">
        <f>LCI_IC!$E13*'IW+_end'!Z12</f>
        <v>0</v>
      </c>
      <c r="AA69" s="137">
        <f>LCI_IC!$E13*'IW+_end'!AA12</f>
        <v>0</v>
      </c>
      <c r="AB69" s="137">
        <f>LCI_IC!$E13*'IW+_end'!AB12</f>
        <v>0</v>
      </c>
      <c r="AC69" s="137">
        <f>LCI_IC!$E13*'IW+_end'!AC12</f>
        <v>0</v>
      </c>
      <c r="AD69" s="137">
        <f>LCI_IC!$E13*'IW+_end'!AD12</f>
        <v>0</v>
      </c>
      <c r="AE69" s="137">
        <f>LCI_IC!$E13*'IW+_end'!AE12</f>
        <v>0</v>
      </c>
      <c r="AF69" s="137">
        <f>LCI_IC!$E13*'IW+_end'!AF12</f>
        <v>0</v>
      </c>
      <c r="AG69" s="137">
        <f>LCI_IC!$E13*'IW+_end'!AG12</f>
        <v>0.41977128884224213</v>
      </c>
      <c r="AH69" s="137">
        <f>LCI_IC!$E13*'IW+_end'!AH12</f>
        <v>5.6572503273214794E-6</v>
      </c>
      <c r="AI69" s="137">
        <f>LCI_IC!$E13*'IW+_end'!AI12</f>
        <v>0</v>
      </c>
      <c r="AJ69" s="137">
        <f>LCI_IC!$E13*'IW+_end'!AJ12</f>
        <v>0</v>
      </c>
      <c r="AK69" s="137">
        <f>LCI_IC!$E13*'IW+_end'!AK12</f>
        <v>0</v>
      </c>
    </row>
    <row r="70" spans="1:43" x14ac:dyDescent="0.35">
      <c r="A70" s="137"/>
      <c r="B70" s="137" t="s">
        <v>110</v>
      </c>
      <c r="C70" s="139">
        <f>LCI_IC!$E14*'IW+_end'!C18</f>
        <v>0</v>
      </c>
      <c r="D70" s="139">
        <f>LCI_IC!$E14*'IW+_end'!D18</f>
        <v>0</v>
      </c>
      <c r="E70" s="139">
        <f>LCI_IC!$E14*'IW+_end'!E18</f>
        <v>0</v>
      </c>
      <c r="F70" s="139">
        <f>LCI_IC!$E14*'IW+_end'!F18</f>
        <v>0</v>
      </c>
      <c r="G70" s="139">
        <f>LCI_IC!$E14*'IW+_end'!G18</f>
        <v>0</v>
      </c>
      <c r="H70" s="139">
        <f>LCI_IC!$E14*'IW+_end'!H18</f>
        <v>0.35688626153808867</v>
      </c>
      <c r="I70" s="139">
        <f>LCI_IC!$E14*'IW+_end'!I18</f>
        <v>0</v>
      </c>
      <c r="J70" s="139">
        <f>LCI_IC!$E14*'IW+_end'!J18</f>
        <v>0</v>
      </c>
      <c r="K70" s="139">
        <f>LCI_IC!$E14*'IW+_end'!K18</f>
        <v>0</v>
      </c>
      <c r="L70" s="139">
        <f>LCI_IC!$E14*'IW+_end'!L18</f>
        <v>0</v>
      </c>
      <c r="M70" s="139">
        <f>LCI_IC!$E14*'IW+_end'!M18</f>
        <v>0</v>
      </c>
      <c r="N70" s="139">
        <f>LCI_IC!$E14*'IW+_end'!N18</f>
        <v>0</v>
      </c>
      <c r="O70" s="139">
        <f>LCI_IC!$E14*'IW+_end'!O18</f>
        <v>0</v>
      </c>
      <c r="P70" s="139">
        <f>LCI_IC!$E14*'IW+_end'!P18</f>
        <v>0</v>
      </c>
      <c r="Q70" s="139">
        <f>LCI_IC!$E14*'IW+_end'!Q18</f>
        <v>0</v>
      </c>
      <c r="R70" s="139">
        <f>LCI_IC!$E14*'IW+_end'!R18</f>
        <v>0</v>
      </c>
      <c r="S70" s="139">
        <f>LCI_IC!$E14*'IW+_end'!S18</f>
        <v>0</v>
      </c>
      <c r="T70" s="139">
        <f>LCI_IC!$E14*'IW+_end'!T18</f>
        <v>0</v>
      </c>
      <c r="U70" s="139">
        <f>LCI_IC!$E14*'IW+_end'!U18</f>
        <v>0</v>
      </c>
      <c r="V70" s="139">
        <f>LCI_IC!$E14*'IW+_end'!V18</f>
        <v>0</v>
      </c>
      <c r="W70" s="139">
        <f>LCI_IC!$E14*'IW+_end'!W18</f>
        <v>0</v>
      </c>
      <c r="X70" s="139">
        <f>LCI_IC!$E14*'IW+_end'!X18</f>
        <v>0.13700751439928474</v>
      </c>
      <c r="Y70" s="139">
        <f>LCI_IC!$E14*'IW+_end'!Y18</f>
        <v>0</v>
      </c>
      <c r="Z70" s="139">
        <f>LCI_IC!$E14*'IW+_end'!Z18</f>
        <v>3.4282479064016783E-5</v>
      </c>
      <c r="AA70" s="139">
        <f>LCI_IC!$E14*'IW+_end'!AA18</f>
        <v>0</v>
      </c>
      <c r="AB70" s="139">
        <f>LCI_IC!$E14*'IW+_end'!AB18</f>
        <v>0</v>
      </c>
      <c r="AC70" s="139">
        <f>LCI_IC!$E14*'IW+_end'!AC18</f>
        <v>4.6012166934681247</v>
      </c>
      <c r="AD70" s="139">
        <f>LCI_IC!$E14*'IW+_end'!AD18</f>
        <v>0</v>
      </c>
      <c r="AE70" s="139">
        <f>LCI_IC!$E14*'IW+_end'!AE18</f>
        <v>0</v>
      </c>
      <c r="AF70" s="139">
        <f>LCI_IC!$E14*'IW+_end'!AF18</f>
        <v>0</v>
      </c>
      <c r="AG70" s="139">
        <f>LCI_IC!$E14*'IW+_end'!AG18</f>
        <v>5.0951104694054985</v>
      </c>
      <c r="AH70" s="139">
        <f>LCI_IC!$E14*'IW+_end'!AH18</f>
        <v>3.4282479063639921E-5</v>
      </c>
      <c r="AI70" s="139">
        <f>LCI_IC!$E14*'IW+_end'!AI18</f>
        <v>0</v>
      </c>
      <c r="AJ70" s="139">
        <f>LCI_IC!$E14*'IW+_end'!AJ18</f>
        <v>0</v>
      </c>
      <c r="AK70" s="139">
        <f>LCI_IC!$E14*'IW+_end'!AK18</f>
        <v>0</v>
      </c>
    </row>
    <row r="71" spans="1:43" x14ac:dyDescent="0.35">
      <c r="A71" s="137"/>
      <c r="B71" s="137" t="s">
        <v>111</v>
      </c>
      <c r="C71" s="137">
        <f>LCI_IC!$E15*'IW+_end'!C20</f>
        <v>3.0559652145688294</v>
      </c>
      <c r="D71" s="137">
        <f>LCI_IC!$E15*'IW+_end'!D20</f>
        <v>2.2671796337825203</v>
      </c>
      <c r="E71" s="137">
        <f>LCI_IC!$E15*'IW+_end'!E20</f>
        <v>4.1185158997802283E-5</v>
      </c>
      <c r="F71" s="137">
        <f>LCI_IC!$E15*'IW+_end'!F20</f>
        <v>3.0554717458420595E-5</v>
      </c>
      <c r="G71" s="137">
        <f>LCI_IC!$E15*'IW+_end'!G20</f>
        <v>0</v>
      </c>
      <c r="H71" s="137">
        <f>LCI_IC!$E15*'IW+_end'!H20</f>
        <v>0</v>
      </c>
      <c r="I71" s="137">
        <f>LCI_IC!$E15*'IW+_end'!I20</f>
        <v>0</v>
      </c>
      <c r="J71" s="137">
        <f>LCI_IC!$E15*'IW+_end'!J20</f>
        <v>0</v>
      </c>
      <c r="K71" s="137">
        <f>LCI_IC!$E15*'IW+_end'!K20</f>
        <v>0</v>
      </c>
      <c r="L71" s="137">
        <f>LCI_IC!$E15*'IW+_end'!L20</f>
        <v>0</v>
      </c>
      <c r="M71" s="137">
        <f>LCI_IC!$E15*'IW+_end'!M20</f>
        <v>0</v>
      </c>
      <c r="N71" s="137">
        <f>LCI_IC!$E15*'IW+_end'!N20</f>
        <v>0</v>
      </c>
      <c r="O71" s="137">
        <f>LCI_IC!$E15*'IW+_end'!O20</f>
        <v>0</v>
      </c>
      <c r="P71" s="137">
        <f>LCI_IC!$E15*'IW+_end'!P20</f>
        <v>0</v>
      </c>
      <c r="Q71" s="137">
        <f>LCI_IC!$E15*'IW+_end'!Q20</f>
        <v>0</v>
      </c>
      <c r="R71" s="137">
        <f>LCI_IC!$E15*'IW+_end'!R20</f>
        <v>0</v>
      </c>
      <c r="S71" s="137">
        <f>LCI_IC!$E15*'IW+_end'!S20</f>
        <v>0</v>
      </c>
      <c r="T71" s="137">
        <f>LCI_IC!$E15*'IW+_end'!T20</f>
        <v>0</v>
      </c>
      <c r="U71" s="137">
        <f>LCI_IC!$E15*'IW+_end'!U20</f>
        <v>0</v>
      </c>
      <c r="V71" s="137">
        <f>LCI_IC!$E15*'IW+_end'!V20</f>
        <v>0</v>
      </c>
      <c r="W71" s="137">
        <f>LCI_IC!$E15*'IW+_end'!W20</f>
        <v>0</v>
      </c>
      <c r="X71" s="137">
        <f>LCI_IC!$E15*'IW+_end'!X20</f>
        <v>0</v>
      </c>
      <c r="Y71" s="137">
        <f>LCI_IC!$E15*'IW+_end'!Y20</f>
        <v>0</v>
      </c>
      <c r="Z71" s="137">
        <f>LCI_IC!$E15*'IW+_end'!Z20</f>
        <v>0</v>
      </c>
      <c r="AA71" s="137">
        <f>LCI_IC!$E15*'IW+_end'!AA20</f>
        <v>0</v>
      </c>
      <c r="AB71" s="137">
        <f>LCI_IC!$E15*'IW+_end'!AB20</f>
        <v>0</v>
      </c>
      <c r="AC71" s="137">
        <f>LCI_IC!$E15*'IW+_end'!AC20</f>
        <v>0</v>
      </c>
      <c r="AD71" s="137">
        <f>LCI_IC!$E15*'IW+_end'!AD20</f>
        <v>0</v>
      </c>
      <c r="AE71" s="137">
        <f>LCI_IC!$E15*'IW+_end'!AE20</f>
        <v>0</v>
      </c>
      <c r="AF71" s="137">
        <f>LCI_IC!$E15*'IW+_end'!AF20</f>
        <v>0</v>
      </c>
      <c r="AG71" s="137">
        <f>LCI_IC!$E15*'IW+_end'!AG20</f>
        <v>5.3231448483513493</v>
      </c>
      <c r="AH71" s="137">
        <f>LCI_IC!$E15*'IW+_end'!AH20</f>
        <v>7.1739876455951352E-5</v>
      </c>
      <c r="AI71" s="137">
        <f>LCI_IC!$E15*'IW+_end'!AI20</f>
        <v>0</v>
      </c>
      <c r="AJ71" s="137">
        <f>LCI_IC!$E15*'IW+_end'!AJ20</f>
        <v>0</v>
      </c>
      <c r="AK71" s="137">
        <f>LCI_IC!$E15*'IW+_end'!AK20</f>
        <v>0</v>
      </c>
    </row>
    <row r="72" spans="1:43" x14ac:dyDescent="0.35">
      <c r="A72" s="137"/>
      <c r="B72" s="137" t="s">
        <v>249</v>
      </c>
      <c r="C72" s="137">
        <f>LCI_IC!$E17*'IW+_end'!C2</f>
        <v>0.2039824918397809</v>
      </c>
      <c r="D72" s="137">
        <f>LCI_IC!$E17*'IW+_end'!D2</f>
        <v>6.2488633467763302E-2</v>
      </c>
      <c r="E72" s="137">
        <f>LCI_IC!$E17*'IW+_end'!E2</f>
        <v>2.7490664223331478E-6</v>
      </c>
      <c r="F72" s="137">
        <f>LCI_IC!$E17*'IW+_end'!F2</f>
        <v>8.4215759153800914E-7</v>
      </c>
      <c r="G72" s="137">
        <f>LCI_IC!$E17*'IW+_end'!G2</f>
        <v>6.252283326323102E-20</v>
      </c>
      <c r="H72" s="137">
        <f>LCI_IC!$E17*'IW+_end'!H2</f>
        <v>3.606038332554933E-3</v>
      </c>
      <c r="I72" s="137">
        <f>LCI_IC!$E17*'IW+_end'!I2</f>
        <v>0.17247935844769632</v>
      </c>
      <c r="J72" s="137">
        <f>LCI_IC!$E17*'IW+_end'!J2</f>
        <v>8.5693363875985126E-3</v>
      </c>
      <c r="K72" s="137">
        <f>LCI_IC!$E17*'IW+_end'!K2</f>
        <v>1.4887524165772464E-5</v>
      </c>
      <c r="L72" s="137">
        <f>LCI_IC!$E17*'IW+_end'!L2</f>
        <v>6.0422261802961613E-9</v>
      </c>
      <c r="M72" s="137">
        <f>LCI_IC!$E17*'IW+_end'!M2</f>
        <v>1.1524704738517235E-7</v>
      </c>
      <c r="N72" s="137">
        <f>LCI_IC!$E17*'IW+_end'!N2</f>
        <v>1.3663212053954253E-7</v>
      </c>
      <c r="O72" s="137">
        <f>LCI_IC!$E17*'IW+_end'!O2</f>
        <v>7.2730604617469096E-8</v>
      </c>
      <c r="P72" s="137">
        <f>LCI_IC!$E17*'IW+_end'!P2</f>
        <v>2.8740273003296317E-9</v>
      </c>
      <c r="Q72" s="137">
        <f>LCI_IC!$E17*'IW+_end'!Q2</f>
        <v>8.862718083347123E-8</v>
      </c>
      <c r="R72" s="137">
        <f>LCI_IC!$E17*'IW+_end'!R2</f>
        <v>1.1481097709190627E-2</v>
      </c>
      <c r="S72" s="137">
        <f>LCI_IC!$E17*'IW+_end'!S2</f>
        <v>8.0943797579757122E-3</v>
      </c>
      <c r="T72" s="137">
        <f>LCI_IC!$E17*'IW+_end'!T2</f>
        <v>7.1168247873253002E-2</v>
      </c>
      <c r="U72" s="137">
        <f>LCI_IC!$E17*'IW+_end'!U2</f>
        <v>7.7254754685920739E-3</v>
      </c>
      <c r="V72" s="137">
        <f>LCI_IC!$E17*'IW+_end'!V2</f>
        <v>6.7001243942914083E-7</v>
      </c>
      <c r="W72" s="137">
        <f>LCI_IC!$E17*'IW+_end'!W2</f>
        <v>1.8439338594244798E-7</v>
      </c>
      <c r="X72" s="137">
        <f>LCI_IC!$E17*'IW+_end'!X2</f>
        <v>4.719342938694904E-4</v>
      </c>
      <c r="Y72" s="137">
        <f>LCI_IC!$E17*'IW+_end'!Y2</f>
        <v>3.2104071375822308E-11</v>
      </c>
      <c r="Z72" s="137">
        <f>LCI_IC!$E17*'IW+_end'!Z2</f>
        <v>2.5987464549455609E-7</v>
      </c>
      <c r="AA72" s="137">
        <f>LCI_IC!$E17*'IW+_end'!AA2</f>
        <v>1.0940386033358009E-2</v>
      </c>
      <c r="AB72" s="137">
        <f>LCI_IC!$E17*'IW+_end'!AB2</f>
        <v>1.0875598736931017E-9</v>
      </c>
      <c r="AC72" s="137">
        <f>LCI_IC!$E17*'IW+_end'!AC2</f>
        <v>2.3796048530604092E-2</v>
      </c>
      <c r="AD72" s="137">
        <f>LCI_IC!$E17*'IW+_end'!AD2</f>
        <v>2.4456396451755423E-2</v>
      </c>
      <c r="AE72" s="137">
        <f>LCI_IC!$E17*'IW+_end'!AE2</f>
        <v>6.7303585868993517E-3</v>
      </c>
      <c r="AF72" s="137">
        <f>LCI_IC!$E17*'IW+_end'!AF2</f>
        <v>1.3196293957002266E-3</v>
      </c>
      <c r="AG72" s="137">
        <f>LCI_IC!$E17*'IW+_end'!AG2</f>
        <v>0.61734278428526745</v>
      </c>
      <c r="AH72" s="137">
        <f>LCI_IC!$E17*'IW+_end'!AH2</f>
        <v>5.12757849431806E-6</v>
      </c>
      <c r="AI72" s="137">
        <f>LCI_IC!$E17*'IW+_end'!AI2</f>
        <v>7.0088769941849565E-6</v>
      </c>
      <c r="AJ72" s="137">
        <f>LCI_IC!$E17*'IW+_end'!AJ2</f>
        <v>8.5608099145145577E-7</v>
      </c>
      <c r="AK72" s="137">
        <f>LCI_IC!$E17*'IW+_end'!AK2</f>
        <v>1.0218027663432276E-5</v>
      </c>
    </row>
    <row r="73" spans="1:43" x14ac:dyDescent="0.35">
      <c r="A73" s="137" t="s">
        <v>351</v>
      </c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47">
        <f>SUM(AG74:AG78)</f>
        <v>36.498991748391838</v>
      </c>
      <c r="AH73" s="147">
        <f>SUM(AH74:AH78)</f>
        <v>1.6840143962800451E-4</v>
      </c>
      <c r="AI73" s="137"/>
      <c r="AJ73" s="137"/>
      <c r="AK73" s="137"/>
    </row>
    <row r="74" spans="1:43" x14ac:dyDescent="0.35">
      <c r="A74" s="137"/>
      <c r="B74" s="137" t="s">
        <v>110</v>
      </c>
      <c r="C74" s="139">
        <f>LCI_IC!$E19*'IW+_end'!C18</f>
        <v>0</v>
      </c>
      <c r="D74" s="139">
        <f>LCI_IC!$E19*'IW+_end'!D18</f>
        <v>0</v>
      </c>
      <c r="E74" s="139">
        <f>LCI_IC!$E19*'IW+_end'!E18</f>
        <v>0</v>
      </c>
      <c r="F74" s="139">
        <f>LCI_IC!$E19*'IW+_end'!F18</f>
        <v>0</v>
      </c>
      <c r="G74" s="139">
        <f>LCI_IC!$E19*'IW+_end'!G18</f>
        <v>0</v>
      </c>
      <c r="H74" s="139">
        <f>LCI_IC!$E19*'IW+_end'!H18</f>
        <v>0.52167445673855295</v>
      </c>
      <c r="I74" s="139">
        <f>LCI_IC!$E19*'IW+_end'!I18</f>
        <v>0</v>
      </c>
      <c r="J74" s="139">
        <f>LCI_IC!$E19*'IW+_end'!J18</f>
        <v>0</v>
      </c>
      <c r="K74" s="139">
        <f>LCI_IC!$E19*'IW+_end'!K18</f>
        <v>0</v>
      </c>
      <c r="L74" s="139">
        <f>LCI_IC!$E19*'IW+_end'!L18</f>
        <v>0</v>
      </c>
      <c r="M74" s="139">
        <f>LCI_IC!$E19*'IW+_end'!M18</f>
        <v>0</v>
      </c>
      <c r="N74" s="139">
        <f>LCI_IC!$E19*'IW+_end'!N18</f>
        <v>0</v>
      </c>
      <c r="O74" s="139">
        <f>LCI_IC!$E19*'IW+_end'!O18</f>
        <v>0</v>
      </c>
      <c r="P74" s="139">
        <f>LCI_IC!$E19*'IW+_end'!P18</f>
        <v>0</v>
      </c>
      <c r="Q74" s="139">
        <f>LCI_IC!$E19*'IW+_end'!Q18</f>
        <v>0</v>
      </c>
      <c r="R74" s="139">
        <f>LCI_IC!$E19*'IW+_end'!R18</f>
        <v>0</v>
      </c>
      <c r="S74" s="139">
        <f>LCI_IC!$E19*'IW+_end'!S18</f>
        <v>0</v>
      </c>
      <c r="T74" s="139">
        <f>LCI_IC!$E19*'IW+_end'!T18</f>
        <v>0</v>
      </c>
      <c r="U74" s="139">
        <f>LCI_IC!$E19*'IW+_end'!U18</f>
        <v>0</v>
      </c>
      <c r="V74" s="139">
        <f>LCI_IC!$E19*'IW+_end'!V18</f>
        <v>0</v>
      </c>
      <c r="W74" s="139">
        <f>LCI_IC!$E19*'IW+_end'!W18</f>
        <v>0</v>
      </c>
      <c r="X74" s="139">
        <f>LCI_IC!$E19*'IW+_end'!X18</f>
        <v>0.20026918474057975</v>
      </c>
      <c r="Y74" s="139">
        <f>LCI_IC!$E19*'IW+_end'!Y18</f>
        <v>0</v>
      </c>
      <c r="Z74" s="139">
        <f>LCI_IC!$E19*'IW+_end'!Z18</f>
        <v>5.0112026067618947E-5</v>
      </c>
      <c r="AA74" s="139">
        <f>LCI_IC!$E19*'IW+_end'!AA18</f>
        <v>0</v>
      </c>
      <c r="AB74" s="139">
        <f>LCI_IC!$E19*'IW+_end'!AB18</f>
        <v>0</v>
      </c>
      <c r="AC74" s="139">
        <f>LCI_IC!$E19*'IW+_end'!AC18</f>
        <v>6.7257764660273125</v>
      </c>
      <c r="AD74" s="139">
        <f>LCI_IC!$E19*'IW+_end'!AD18</f>
        <v>0</v>
      </c>
      <c r="AE74" s="139">
        <f>LCI_IC!$E19*'IW+_end'!AE18</f>
        <v>0</v>
      </c>
      <c r="AF74" s="139">
        <f>LCI_IC!$E19*'IW+_end'!AF18</f>
        <v>0</v>
      </c>
      <c r="AG74" s="139">
        <f>LCI_IC!$E19*'IW+_end'!AG18</f>
        <v>7.4477201075064459</v>
      </c>
      <c r="AH74" s="139">
        <f>LCI_IC!$E19*'IW+_end'!AH18</f>
        <v>5.0112026067068077E-5</v>
      </c>
      <c r="AI74" s="139">
        <f>LCI_IC!$E19*'IW+_end'!AI18</f>
        <v>0</v>
      </c>
      <c r="AJ74" s="139">
        <f>LCI_IC!$E19*'IW+_end'!AJ18</f>
        <v>0</v>
      </c>
      <c r="AK74" s="139">
        <f>LCI_IC!$E19*'IW+_end'!AK18</f>
        <v>0</v>
      </c>
    </row>
    <row r="75" spans="1:43" x14ac:dyDescent="0.35">
      <c r="A75" s="137"/>
      <c r="B75" s="137" t="s">
        <v>111</v>
      </c>
      <c r="C75" s="139">
        <f>LCI_IC!$E20*'IW+_end'!C20</f>
        <v>5.0388758798033857</v>
      </c>
      <c r="D75" s="139">
        <f>LCI_IC!$E20*'IW+_end'!D20</f>
        <v>3.7382744794953595</v>
      </c>
      <c r="E75" s="139">
        <f>LCI_IC!$E20*'IW+_end'!E20</f>
        <v>6.7908791399372509E-5</v>
      </c>
      <c r="F75" s="139">
        <f>LCI_IC!$E20*'IW+_end'!F20</f>
        <v>5.0380622162011616E-5</v>
      </c>
      <c r="G75" s="139">
        <f>LCI_IC!$E20*'IW+_end'!G20</f>
        <v>0</v>
      </c>
      <c r="H75" s="139">
        <f>LCI_IC!$E20*'IW+_end'!H20</f>
        <v>0</v>
      </c>
      <c r="I75" s="139">
        <f>LCI_IC!$E20*'IW+_end'!I20</f>
        <v>0</v>
      </c>
      <c r="J75" s="139">
        <f>LCI_IC!$E20*'IW+_end'!J20</f>
        <v>0</v>
      </c>
      <c r="K75" s="139">
        <f>LCI_IC!$E20*'IW+_end'!K20</f>
        <v>0</v>
      </c>
      <c r="L75" s="139">
        <f>LCI_IC!$E20*'IW+_end'!L20</f>
        <v>0</v>
      </c>
      <c r="M75" s="139">
        <f>LCI_IC!$E20*'IW+_end'!M20</f>
        <v>0</v>
      </c>
      <c r="N75" s="139">
        <f>LCI_IC!$E20*'IW+_end'!N20</f>
        <v>0</v>
      </c>
      <c r="O75" s="139">
        <f>LCI_IC!$E20*'IW+_end'!O20</f>
        <v>0</v>
      </c>
      <c r="P75" s="139">
        <f>LCI_IC!$E20*'IW+_end'!P20</f>
        <v>0</v>
      </c>
      <c r="Q75" s="139">
        <f>LCI_IC!$E20*'IW+_end'!Q20</f>
        <v>0</v>
      </c>
      <c r="R75" s="139">
        <f>LCI_IC!$E20*'IW+_end'!R20</f>
        <v>0</v>
      </c>
      <c r="S75" s="139">
        <f>LCI_IC!$E20*'IW+_end'!S20</f>
        <v>0</v>
      </c>
      <c r="T75" s="139">
        <f>LCI_IC!$E20*'IW+_end'!T20</f>
        <v>0</v>
      </c>
      <c r="U75" s="139">
        <f>LCI_IC!$E20*'IW+_end'!U20</f>
        <v>0</v>
      </c>
      <c r="V75" s="139">
        <f>LCI_IC!$E20*'IW+_end'!V20</f>
        <v>0</v>
      </c>
      <c r="W75" s="139">
        <f>LCI_IC!$E20*'IW+_end'!W20</f>
        <v>0</v>
      </c>
      <c r="X75" s="139">
        <f>LCI_IC!$E20*'IW+_end'!X20</f>
        <v>0</v>
      </c>
      <c r="Y75" s="139">
        <f>LCI_IC!$E20*'IW+_end'!Y20</f>
        <v>0</v>
      </c>
      <c r="Z75" s="139">
        <f>LCI_IC!$E20*'IW+_end'!Z20</f>
        <v>0</v>
      </c>
      <c r="AA75" s="139">
        <f>LCI_IC!$E20*'IW+_end'!AA20</f>
        <v>0</v>
      </c>
      <c r="AB75" s="139">
        <f>LCI_IC!$E20*'IW+_end'!AB20</f>
        <v>0</v>
      </c>
      <c r="AC75" s="139">
        <f>LCI_IC!$E20*'IW+_end'!AC20</f>
        <v>0</v>
      </c>
      <c r="AD75" s="139">
        <f>LCI_IC!$E20*'IW+_end'!AD20</f>
        <v>0</v>
      </c>
      <c r="AE75" s="139">
        <f>LCI_IC!$E20*'IW+_end'!AE20</f>
        <v>0</v>
      </c>
      <c r="AF75" s="139">
        <f>LCI_IC!$E20*'IW+_end'!AF20</f>
        <v>0</v>
      </c>
      <c r="AG75" s="139">
        <f>LCI_IC!$E20*'IW+_end'!AG20</f>
        <v>8.7771503592987443</v>
      </c>
      <c r="AH75" s="139">
        <f>LCI_IC!$E20*'IW+_end'!AH20</f>
        <v>1.1828941356093644E-4</v>
      </c>
      <c r="AI75" s="139">
        <f>LCI_IC!$E20*'IW+_end'!AI20</f>
        <v>0</v>
      </c>
      <c r="AJ75" s="139">
        <f>LCI_IC!$E20*'IW+_end'!AJ20</f>
        <v>0</v>
      </c>
      <c r="AK75" s="139">
        <f>LCI_IC!$E20*'IW+_end'!AK20</f>
        <v>0</v>
      </c>
    </row>
    <row r="76" spans="1:43" x14ac:dyDescent="0.35">
      <c r="A76" s="137"/>
      <c r="B76" s="137" t="s">
        <v>114</v>
      </c>
      <c r="C76" s="139">
        <f>LCI_IC!$E21*'IW+_end'!C21</f>
        <v>0</v>
      </c>
      <c r="D76" s="139">
        <f>LCI_IC!$E21*'IW+_end'!D21</f>
        <v>0</v>
      </c>
      <c r="E76" s="139">
        <f>LCI_IC!$E21*'IW+_end'!E21</f>
        <v>0</v>
      </c>
      <c r="F76" s="139">
        <f>LCI_IC!$E21*'IW+_end'!F21</f>
        <v>0</v>
      </c>
      <c r="G76" s="139">
        <f>LCI_IC!$E21*'IW+_end'!G21</f>
        <v>0</v>
      </c>
      <c r="H76" s="139">
        <f>LCI_IC!$E21*'IW+_end'!H21</f>
        <v>0</v>
      </c>
      <c r="I76" s="139">
        <f>LCI_IC!$E21*'IW+_end'!I21</f>
        <v>0</v>
      </c>
      <c r="J76" s="139">
        <f>LCI_IC!$E21*'IW+_end'!J21</f>
        <v>0</v>
      </c>
      <c r="K76" s="139">
        <f>LCI_IC!$E21*'IW+_end'!K21</f>
        <v>0</v>
      </c>
      <c r="L76" s="139">
        <f>LCI_IC!$E21*'IW+_end'!L21</f>
        <v>0</v>
      </c>
      <c r="M76" s="139">
        <f>LCI_IC!$E21*'IW+_end'!M21</f>
        <v>0</v>
      </c>
      <c r="N76" s="139">
        <f>LCI_IC!$E21*'IW+_end'!N21</f>
        <v>0</v>
      </c>
      <c r="O76" s="139">
        <f>LCI_IC!$E21*'IW+_end'!O21</f>
        <v>0</v>
      </c>
      <c r="P76" s="139">
        <f>LCI_IC!$E21*'IW+_end'!P21</f>
        <v>0</v>
      </c>
      <c r="Q76" s="139">
        <f>LCI_IC!$E21*'IW+_end'!Q21</f>
        <v>0</v>
      </c>
      <c r="R76" s="139">
        <f>LCI_IC!$E21*'IW+_end'!R21</f>
        <v>0</v>
      </c>
      <c r="S76" s="139">
        <f>LCI_IC!$E21*'IW+_end'!S21</f>
        <v>0</v>
      </c>
      <c r="T76" s="139">
        <f>LCI_IC!$E21*'IW+_end'!T21</f>
        <v>0</v>
      </c>
      <c r="U76" s="139">
        <f>LCI_IC!$E21*'IW+_end'!U21</f>
        <v>0</v>
      </c>
      <c r="V76" s="139">
        <f>LCI_IC!$E21*'IW+_end'!V21</f>
        <v>0</v>
      </c>
      <c r="W76" s="139">
        <f>LCI_IC!$E21*'IW+_end'!W21</f>
        <v>0</v>
      </c>
      <c r="X76" s="139">
        <f>LCI_IC!$E21*'IW+_end'!X21</f>
        <v>20.469849149257051</v>
      </c>
      <c r="Y76" s="139">
        <f>LCI_IC!$E21*'IW+_end'!Y21</f>
        <v>0</v>
      </c>
      <c r="Z76" s="139">
        <f>LCI_IC!$E21*'IW+_end'!Z21</f>
        <v>0</v>
      </c>
      <c r="AA76" s="139">
        <f>LCI_IC!$E21*'IW+_end'!AA21</f>
        <v>0</v>
      </c>
      <c r="AB76" s="139">
        <f>LCI_IC!$E21*'IW+_end'!AB21</f>
        <v>0</v>
      </c>
      <c r="AC76" s="139">
        <f>LCI_IC!$E21*'IW+_end'!AC21</f>
        <v>0</v>
      </c>
      <c r="AD76" s="139">
        <f>LCI_IC!$E21*'IW+_end'!AD21</f>
        <v>0</v>
      </c>
      <c r="AE76" s="139">
        <f>LCI_IC!$E21*'IW+_end'!AE21</f>
        <v>0</v>
      </c>
      <c r="AF76" s="139">
        <f>LCI_IC!$E21*'IW+_end'!AF21</f>
        <v>0</v>
      </c>
      <c r="AG76" s="139">
        <f>LCI_IC!$E21*'IW+_end'!AG21</f>
        <v>20.469849149257051</v>
      </c>
      <c r="AH76" s="139">
        <f>LCI_IC!$E21*'IW+_end'!AH21</f>
        <v>0</v>
      </c>
      <c r="AI76" s="139">
        <f>LCI_IC!$E21*'IW+_end'!AI21</f>
        <v>0</v>
      </c>
      <c r="AJ76" s="139">
        <f>LCI_IC!$E21*'IW+_end'!AJ21</f>
        <v>0</v>
      </c>
      <c r="AK76" s="139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A77" s="137"/>
      <c r="B77" s="137" t="s">
        <v>414</v>
      </c>
      <c r="C77" s="139">
        <f>LCI_IC!$E22*'IW+_end'!C25</f>
        <v>0</v>
      </c>
      <c r="D77" s="139">
        <f>LCI_IC!$E22*'IW+_end'!D25</f>
        <v>0</v>
      </c>
      <c r="E77" s="139">
        <f>LCI_IC!$E22*'IW+_end'!E25</f>
        <v>0</v>
      </c>
      <c r="F77" s="139">
        <f>LCI_IC!$E22*'IW+_end'!F25</f>
        <v>0</v>
      </c>
      <c r="G77" s="139">
        <f>LCI_IC!$E22*'IW+_end'!G25</f>
        <v>0</v>
      </c>
      <c r="H77" s="139">
        <f>LCI_IC!$E22*'IW+_end'!H25</f>
        <v>0</v>
      </c>
      <c r="I77" s="139">
        <f>LCI_IC!$E22*'IW+_end'!I25</f>
        <v>0</v>
      </c>
      <c r="J77" s="139">
        <f>LCI_IC!$E22*'IW+_end'!J25</f>
        <v>0</v>
      </c>
      <c r="K77" s="139">
        <f>LCI_IC!$E22*'IW+_end'!K25</f>
        <v>-0.19572786767040548</v>
      </c>
      <c r="L77" s="139">
        <f>LCI_IC!$E22*'IW+_end'!L25</f>
        <v>0</v>
      </c>
      <c r="M77" s="139">
        <f>LCI_IC!$E22*'IW+_end'!M25</f>
        <v>0</v>
      </c>
      <c r="N77" s="139">
        <f>LCI_IC!$E22*'IW+_end'!N25</f>
        <v>0</v>
      </c>
      <c r="O77" s="139">
        <f>LCI_IC!$E22*'IW+_end'!O25</f>
        <v>0</v>
      </c>
      <c r="P77" s="139">
        <f>LCI_IC!$E22*'IW+_end'!P25</f>
        <v>0</v>
      </c>
      <c r="Q77" s="139">
        <f>LCI_IC!$E22*'IW+_end'!Q25</f>
        <v>0</v>
      </c>
      <c r="R77" s="139">
        <f>LCI_IC!$E22*'IW+_end'!R25</f>
        <v>0</v>
      </c>
      <c r="S77" s="139">
        <f>LCI_IC!$E22*'IW+_end'!S25</f>
        <v>0</v>
      </c>
      <c r="T77" s="139">
        <f>LCI_IC!$E22*'IW+_end'!T25</f>
        <v>0</v>
      </c>
      <c r="U77" s="139">
        <f>LCI_IC!$E22*'IW+_end'!U25</f>
        <v>0</v>
      </c>
      <c r="V77" s="139">
        <f>LCI_IC!$E22*'IW+_end'!V25</f>
        <v>0</v>
      </c>
      <c r="W77" s="139">
        <f>LCI_IC!$E22*'IW+_end'!W25</f>
        <v>0</v>
      </c>
      <c r="X77" s="139">
        <f>LCI_IC!$E22*'IW+_end'!X25</f>
        <v>0</v>
      </c>
      <c r="Y77" s="139">
        <f>LCI_IC!$E22*'IW+_end'!Y25</f>
        <v>0</v>
      </c>
      <c r="Z77" s="139">
        <f>LCI_IC!$E22*'IW+_end'!Z25</f>
        <v>0</v>
      </c>
      <c r="AA77" s="139">
        <f>LCI_IC!$E22*'IW+_end'!AA25</f>
        <v>0</v>
      </c>
      <c r="AB77" s="139">
        <f>LCI_IC!$E22*'IW+_end'!AB25</f>
        <v>0</v>
      </c>
      <c r="AC77" s="139">
        <f>LCI_IC!$E22*'IW+_end'!AC25</f>
        <v>0</v>
      </c>
      <c r="AD77" s="139">
        <f>LCI_IC!$E22*'IW+_end'!AD25</f>
        <v>0</v>
      </c>
      <c r="AE77" s="139">
        <f>LCI_IC!$E22*'IW+_end'!AE25</f>
        <v>0</v>
      </c>
      <c r="AF77" s="139">
        <f>LCI_IC!$E22*'IW+_end'!AF25</f>
        <v>0</v>
      </c>
      <c r="AG77" s="139">
        <f>LCI_IC!$E22*'IW+_end'!AG25</f>
        <v>-0.19572786767040548</v>
      </c>
      <c r="AH77" s="139">
        <f>LCI_IC!$E22*'IW+_end'!AH25</f>
        <v>0</v>
      </c>
      <c r="AI77" s="139">
        <f>LCI_IC!$E22*'IW+_end'!AI25</f>
        <v>0</v>
      </c>
      <c r="AJ77" s="139">
        <f>LCI_IC!$E22*'IW+_end'!AJ25</f>
        <v>0</v>
      </c>
      <c r="AK77" s="139">
        <f>LCI_IC!$E22*'IW+_end'!AK25</f>
        <v>0</v>
      </c>
      <c r="AL77" s="5"/>
      <c r="AM77" s="5"/>
      <c r="AN77" s="5"/>
    </row>
    <row r="78" spans="1:43" x14ac:dyDescent="0.35">
      <c r="A78" s="137"/>
      <c r="B78" s="137" t="s">
        <v>415</v>
      </c>
      <c r="C78" s="139">
        <f>LCI_IC!$E23*'IW+_end'!C26</f>
        <v>0</v>
      </c>
      <c r="D78" s="139">
        <f>LCI_IC!$E23*'IW+_end'!D26</f>
        <v>0</v>
      </c>
      <c r="E78" s="139">
        <f>LCI_IC!$E23*'IW+_end'!E26</f>
        <v>0</v>
      </c>
      <c r="F78" s="139">
        <f>LCI_IC!$E23*'IW+_end'!F26</f>
        <v>0</v>
      </c>
      <c r="G78" s="139">
        <f>LCI_IC!$E23*'IW+_end'!G26</f>
        <v>0</v>
      </c>
      <c r="H78" s="139">
        <f>LCI_IC!$E23*'IW+_end'!H26</f>
        <v>0</v>
      </c>
      <c r="I78" s="139">
        <f>LCI_IC!$E23*'IW+_end'!I26</f>
        <v>0</v>
      </c>
      <c r="J78" s="139">
        <f>LCI_IC!$E23*'IW+_end'!J26</f>
        <v>0</v>
      </c>
      <c r="K78" s="139">
        <f>LCI_IC!$E23*'IW+_end'!K26</f>
        <v>0</v>
      </c>
      <c r="L78" s="139">
        <f>LCI_IC!$E23*'IW+_end'!L26</f>
        <v>0</v>
      </c>
      <c r="M78" s="139">
        <f>LCI_IC!$E23*'IW+_end'!M26</f>
        <v>0</v>
      </c>
      <c r="N78" s="139">
        <f>LCI_IC!$E23*'IW+_end'!N26</f>
        <v>0</v>
      </c>
      <c r="O78" s="139">
        <f>LCI_IC!$E23*'IW+_end'!O26</f>
        <v>0</v>
      </c>
      <c r="P78" s="139">
        <f>LCI_IC!$E23*'IW+_end'!P26</f>
        <v>0</v>
      </c>
      <c r="Q78" s="139">
        <f>LCI_IC!$E23*'IW+_end'!Q26</f>
        <v>0</v>
      </c>
      <c r="R78" s="139">
        <f>LCI_IC!$E23*'IW+_end'!R26</f>
        <v>0</v>
      </c>
      <c r="S78" s="139">
        <f>LCI_IC!$E23*'IW+_end'!S26</f>
        <v>0</v>
      </c>
      <c r="T78" s="139">
        <f>LCI_IC!$E23*'IW+_end'!T26</f>
        <v>0</v>
      </c>
      <c r="U78" s="139">
        <f>LCI_IC!$E23*'IW+_end'!U26</f>
        <v>0</v>
      </c>
      <c r="V78" s="139">
        <f>LCI_IC!$E23*'IW+_end'!V26</f>
        <v>0</v>
      </c>
      <c r="W78" s="139">
        <f>LCI_IC!$E23*'IW+_end'!W26</f>
        <v>0</v>
      </c>
      <c r="X78" s="139">
        <f>LCI_IC!$E23*'IW+_end'!X26</f>
        <v>0</v>
      </c>
      <c r="Y78" s="139">
        <f>LCI_IC!$E23*'IW+_end'!Y26</f>
        <v>0</v>
      </c>
      <c r="Z78" s="139">
        <f>LCI_IC!$E23*'IW+_end'!Z26</f>
        <v>0</v>
      </c>
      <c r="AA78" s="139">
        <f>LCI_IC!$E23*'IW+_end'!AA26</f>
        <v>0</v>
      </c>
      <c r="AB78" s="139">
        <f>LCI_IC!$E23*'IW+_end'!AB26</f>
        <v>0</v>
      </c>
      <c r="AC78" s="139">
        <f>LCI_IC!$E23*'IW+_end'!AC26</f>
        <v>0</v>
      </c>
      <c r="AD78" s="139">
        <f>LCI_IC!$E23*'IW+_end'!AD26</f>
        <v>0</v>
      </c>
      <c r="AE78" s="139">
        <f>LCI_IC!$E23*'IW+_end'!AE26</f>
        <v>0</v>
      </c>
      <c r="AF78" s="139">
        <f>LCI_IC!$E23*'IW+_end'!AF26</f>
        <v>0</v>
      </c>
      <c r="AG78" s="139">
        <f>LCI_IC!$E23*'IW+_end'!AG26</f>
        <v>0</v>
      </c>
      <c r="AH78" s="139">
        <f>LCI_IC!$E23*'IW+_end'!AH26</f>
        <v>0</v>
      </c>
      <c r="AI78" s="139">
        <f>LCI_IC!$E23*'IW+_end'!AI26</f>
        <v>0</v>
      </c>
      <c r="AJ78" s="139">
        <f>LCI_IC!$E23*'IW+_end'!AJ26</f>
        <v>0</v>
      </c>
      <c r="AK78" s="139">
        <f>LCI_IC!$E23*'IW+_end'!AK26</f>
        <v>0</v>
      </c>
    </row>
    <row r="79" spans="1:43" x14ac:dyDescent="0.35">
      <c r="A79" s="137" t="s">
        <v>421</v>
      </c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47">
        <f>SUM(AG80:AG83)</f>
        <v>15.663848493519279</v>
      </c>
      <c r="AH79" s="147">
        <f>SUM(AH80:AH83)</f>
        <v>1.628607732822649E-4</v>
      </c>
      <c r="AI79" s="137"/>
      <c r="AJ79" s="137"/>
      <c r="AK79" s="137"/>
    </row>
    <row r="80" spans="1:43" x14ac:dyDescent="0.35">
      <c r="A80" s="137"/>
      <c r="B80" s="137" t="s">
        <v>228</v>
      </c>
      <c r="C80" s="139">
        <f>LCI_IC!$E25*'IW+_end'!C28</f>
        <v>5.2695252881170891</v>
      </c>
      <c r="D80" s="139">
        <f>LCI_IC!$E25*'IW+_end'!D28</f>
        <v>1.6975754828456335</v>
      </c>
      <c r="E80" s="139">
        <f>LCI_IC!$E25*'IW+_end'!E28</f>
        <v>7.1017247120289212E-5</v>
      </c>
      <c r="F80" s="139">
        <f>LCI_IC!$E25*'IW+_end'!F28</f>
        <v>2.2878178010161936E-5</v>
      </c>
      <c r="G80" s="139">
        <f>LCI_IC!$E25*'IW+_end'!G28</f>
        <v>3.6545832000339221E-17</v>
      </c>
      <c r="H80" s="139">
        <f>LCI_IC!$E25*'IW+_end'!H28</f>
        <v>8.1275546152735273E-2</v>
      </c>
      <c r="I80" s="139">
        <f>LCI_IC!$E25*'IW+_end'!I28</f>
        <v>0.67592558672537861</v>
      </c>
      <c r="J80" s="139">
        <f>LCI_IC!$E25*'IW+_end'!J28</f>
        <v>0.22468697018491576</v>
      </c>
      <c r="K80" s="139">
        <f>LCI_IC!$E25*'IW+_end'!K28</f>
        <v>3.304986207296957E-4</v>
      </c>
      <c r="L80" s="139">
        <f>LCI_IC!$E25*'IW+_end'!L28</f>
        <v>5.0453957859072375E-8</v>
      </c>
      <c r="M80" s="139">
        <f>LCI_IC!$E25*'IW+_end'!M28</f>
        <v>2.3690546337322672E-6</v>
      </c>
      <c r="N80" s="139">
        <f>LCI_IC!$E25*'IW+_end'!N28</f>
        <v>1.643451443857967E-6</v>
      </c>
      <c r="O80" s="139">
        <f>LCI_IC!$E25*'IW+_end'!O28</f>
        <v>1.6633781821976012E-6</v>
      </c>
      <c r="P80" s="139">
        <f>LCI_IC!$E25*'IW+_end'!P28</f>
        <v>7.1044973435757444E-10</v>
      </c>
      <c r="Q80" s="139">
        <f>LCI_IC!$E25*'IW+_end'!Q28</f>
        <v>1.2833643301978255E-8</v>
      </c>
      <c r="R80" s="139">
        <f>LCI_IC!$E25*'IW+_end'!R28</f>
        <v>9.6273547880448243E-2</v>
      </c>
      <c r="S80" s="139">
        <f>LCI_IC!$E25*'IW+_end'!S28</f>
        <v>0.17379299266706141</v>
      </c>
      <c r="T80" s="139">
        <f>LCI_IC!$E25*'IW+_end'!T28</f>
        <v>1.8229030158091446</v>
      </c>
      <c r="U80" s="139">
        <f>LCI_IC!$E25*'IW+_end'!U28</f>
        <v>0.19788052259342093</v>
      </c>
      <c r="V80" s="139">
        <f>LCI_IC!$E25*'IW+_end'!V28</f>
        <v>3.5334569326123635E-6</v>
      </c>
      <c r="W80" s="139">
        <f>LCI_IC!$E25*'IW+_end'!W28</f>
        <v>4.8085991649920127E-6</v>
      </c>
      <c r="X80" s="139">
        <f>LCI_IC!$E25*'IW+_end'!X28</f>
        <v>3.32168943702566E-2</v>
      </c>
      <c r="Y80" s="139">
        <f>LCI_IC!$E25*'IW+_end'!Y28</f>
        <v>5.5184500242757582E-10</v>
      </c>
      <c r="Z80" s="139">
        <f>LCI_IC!$E25*'IW+_end'!Z28</f>
        <v>6.5389505350509874E-6</v>
      </c>
      <c r="AA80" s="139">
        <f>LCI_IC!$E25*'IW+_end'!AA28</f>
        <v>0.18908831954114289</v>
      </c>
      <c r="AB80" s="139">
        <f>LCI_IC!$E25*'IW+_end'!AB28</f>
        <v>1.8184579991729549E-8</v>
      </c>
      <c r="AC80" s="139">
        <f>LCI_IC!$E25*'IW+_end'!AC28</f>
        <v>0.74496601025826104</v>
      </c>
      <c r="AD80" s="139">
        <f>LCI_IC!$E25*'IW+_end'!AD28</f>
        <v>0.12897174038869993</v>
      </c>
      <c r="AE80" s="139">
        <f>LCI_IC!$E25*'IW+_end'!AE28</f>
        <v>0.1755138695222084</v>
      </c>
      <c r="AF80" s="139">
        <f>LCI_IC!$E25*'IW+_end'!AF28</f>
        <v>7.9785300231694802E-4</v>
      </c>
      <c r="AG80" s="139">
        <f>LCI_IC!$E25*'IW+_end'!AG28</f>
        <v>11.513202266674375</v>
      </c>
      <c r="AH80" s="139">
        <f>LCI_IC!$E25*'IW+_end'!AH28</f>
        <v>1.2750033381880217E-4</v>
      </c>
      <c r="AI80" s="139">
        <f>LCI_IC!$E25*'IW+_end'!AI28</f>
        <v>1.7445253661456663E-4</v>
      </c>
      <c r="AJ80" s="139">
        <f>LCI_IC!$E25*'IW+_end'!AJ28</f>
        <v>2.1308049867357334E-5</v>
      </c>
      <c r="AK80" s="139">
        <f>LCI_IC!$E25*'IW+_end'!AK28</f>
        <v>2.9533269178196308E-4</v>
      </c>
    </row>
    <row r="81" spans="1:38" x14ac:dyDescent="0.35">
      <c r="A81" s="137"/>
      <c r="B81" s="137" t="s">
        <v>230</v>
      </c>
      <c r="C81" s="139">
        <f>LCI_IC!$E26*'IW+_end'!C30</f>
        <v>0.3967073033596194</v>
      </c>
      <c r="D81" s="139">
        <f>LCI_IC!$E26*'IW+_end'!D30</f>
        <v>0.1191159660763061</v>
      </c>
      <c r="E81" s="139">
        <f>LCI_IC!$E26*'IW+_end'!E30</f>
        <v>5.3464133971696797E-6</v>
      </c>
      <c r="F81" s="139">
        <f>LCI_IC!$E26*'IW+_end'!F30</f>
        <v>1.6053225928887607E-6</v>
      </c>
      <c r="G81" s="139">
        <f>LCI_IC!$E26*'IW+_end'!G30</f>
        <v>6.0315564098208772E-18</v>
      </c>
      <c r="H81" s="139">
        <f>LCI_IC!$E26*'IW+_end'!H30</f>
        <v>3.6972046493130739E-2</v>
      </c>
      <c r="I81" s="139">
        <f>LCI_IC!$E26*'IW+_end'!I30</f>
        <v>0.19361293992523776</v>
      </c>
      <c r="J81" s="139">
        <f>LCI_IC!$E26*'IW+_end'!J30</f>
        <v>1.7757453692648931E-2</v>
      </c>
      <c r="K81" s="139">
        <f>LCI_IC!$E26*'IW+_end'!K30</f>
        <v>8.2199095751906114E-3</v>
      </c>
      <c r="L81" s="139">
        <f>LCI_IC!$E26*'IW+_end'!L30</f>
        <v>1.0299848371580312E-8</v>
      </c>
      <c r="M81" s="139">
        <f>LCI_IC!$E26*'IW+_end'!M30</f>
        <v>3.8583495496652206E-7</v>
      </c>
      <c r="N81" s="139">
        <f>LCI_IC!$E26*'IW+_end'!N30</f>
        <v>3.3076537218699235E-7</v>
      </c>
      <c r="O81" s="139">
        <f>LCI_IC!$E26*'IW+_end'!O30</f>
        <v>5.7800010732843616E-7</v>
      </c>
      <c r="P81" s="139">
        <f>LCI_IC!$E26*'IW+_end'!P30</f>
        <v>3.8333310667284813E-10</v>
      </c>
      <c r="Q81" s="139">
        <f>LCI_IC!$E26*'IW+_end'!Q30</f>
        <v>7.7993356856152418E-9</v>
      </c>
      <c r="R81" s="139">
        <f>LCI_IC!$E26*'IW+_end'!R30</f>
        <v>5.6352316252806255E-2</v>
      </c>
      <c r="S81" s="139">
        <f>LCI_IC!$E26*'IW+_end'!S30</f>
        <v>6.5251893555942728E-2</v>
      </c>
      <c r="T81" s="139">
        <f>LCI_IC!$E26*'IW+_end'!T30</f>
        <v>0.14279495458850452</v>
      </c>
      <c r="U81" s="139">
        <f>LCI_IC!$E26*'IW+_end'!U30</f>
        <v>1.550070944965619E-2</v>
      </c>
      <c r="V81" s="139">
        <f>LCI_IC!$E26*'IW+_end'!V30</f>
        <v>5.9700987783157153E-7</v>
      </c>
      <c r="W81" s="139">
        <f>LCI_IC!$E26*'IW+_end'!W30</f>
        <v>7.9219810040448936E-7</v>
      </c>
      <c r="X81" s="139">
        <f>LCI_IC!$E26*'IW+_end'!X30</f>
        <v>1.1885496145678462E-3</v>
      </c>
      <c r="Y81" s="139">
        <f>LCI_IC!$E26*'IW+_end'!Y30</f>
        <v>3.154244439868681E-11</v>
      </c>
      <c r="Z81" s="139">
        <f>LCI_IC!$E26*'IW+_end'!Z30</f>
        <v>2.9769351977038009E-6</v>
      </c>
      <c r="AA81" s="139">
        <f>LCI_IC!$E26*'IW+_end'!AA30</f>
        <v>2.2759239144389307E-2</v>
      </c>
      <c r="AB81" s="139">
        <f>LCI_IC!$E26*'IW+_end'!AB30</f>
        <v>2.2772596893450455E-9</v>
      </c>
      <c r="AC81" s="139">
        <f>LCI_IC!$E26*'IW+_end'!AC30</f>
        <v>0.22544847829680265</v>
      </c>
      <c r="AD81" s="139">
        <f>LCI_IC!$E26*'IW+_end'!AD30</f>
        <v>2.1791163988841386E-2</v>
      </c>
      <c r="AE81" s="139">
        <f>LCI_IC!$E26*'IW+_end'!AE30</f>
        <v>2.8915230664763869E-2</v>
      </c>
      <c r="AF81" s="139">
        <f>LCI_IC!$E26*'IW+_end'!AF30</f>
        <v>3.187894269130934E-4</v>
      </c>
      <c r="AG81" s="139">
        <f>LCI_IC!$E26*'IW+_end'!AG30</f>
        <v>1.3530109788223386</v>
      </c>
      <c r="AH81" s="139">
        <f>LCI_IC!$E26*'IW+_end'!AH30</f>
        <v>1.3629081267883298E-5</v>
      </c>
      <c r="AI81" s="139">
        <f>LCI_IC!$E26*'IW+_end'!AI30</f>
        <v>1.952967882681957E-5</v>
      </c>
      <c r="AJ81" s="139">
        <f>LCI_IC!$E26*'IW+_end'!AJ30</f>
        <v>2.3854016594482158E-6</v>
      </c>
      <c r="AK81" s="139">
        <f>LCI_IC!$E26*'IW+_end'!AK30</f>
        <v>2.8311544688015209E-4</v>
      </c>
      <c r="AL81" s="5"/>
    </row>
    <row r="82" spans="1:38" x14ac:dyDescent="0.35">
      <c r="A82" s="137"/>
      <c r="B82" s="137" t="s">
        <v>229</v>
      </c>
      <c r="C82" s="139">
        <f>LCI_IC!$E27*'IW+_end'!C29</f>
        <v>0.97623124234043357</v>
      </c>
      <c r="D82" s="139">
        <f>LCI_IC!$E27*'IW+_end'!D29</f>
        <v>0.29730014480351519</v>
      </c>
      <c r="E82" s="139">
        <f>LCI_IC!$E27*'IW+_end'!E29</f>
        <v>1.3156641555583139E-5</v>
      </c>
      <c r="F82" s="139">
        <f>LCI_IC!$E27*'IW+_end'!F29</f>
        <v>4.0067058602072442E-6</v>
      </c>
      <c r="G82" s="139">
        <f>LCI_IC!$E27*'IW+_end'!G29</f>
        <v>8.0122507082151047E-18</v>
      </c>
      <c r="H82" s="139">
        <f>LCI_IC!$E27*'IW+_end'!H29</f>
        <v>1.8907313699943473E-2</v>
      </c>
      <c r="I82" s="139">
        <f>LCI_IC!$E27*'IW+_end'!I29</f>
        <v>0.51120435698087308</v>
      </c>
      <c r="J82" s="139">
        <f>LCI_IC!$E27*'IW+_end'!J29</f>
        <v>5.3173947626151644E-2</v>
      </c>
      <c r="K82" s="139">
        <f>LCI_IC!$E27*'IW+_end'!K29</f>
        <v>9.6229808735626593E-5</v>
      </c>
      <c r="L82" s="139">
        <f>LCI_IC!$E27*'IW+_end'!L29</f>
        <v>1.4196960758012698E-8</v>
      </c>
      <c r="M82" s="139">
        <f>LCI_IC!$E27*'IW+_end'!M29</f>
        <v>7.0661469025032901E-7</v>
      </c>
      <c r="N82" s="139">
        <f>LCI_IC!$E27*'IW+_end'!N29</f>
        <v>4.7174865132753393E-7</v>
      </c>
      <c r="O82" s="139">
        <f>LCI_IC!$E27*'IW+_end'!O29</f>
        <v>4.3874893981914798E-7</v>
      </c>
      <c r="P82" s="139">
        <f>LCI_IC!$E27*'IW+_end'!P29</f>
        <v>1.7570260364408665E-10</v>
      </c>
      <c r="Q82" s="139">
        <f>LCI_IC!$E27*'IW+_end'!Q29</f>
        <v>3.0522579402085028E-9</v>
      </c>
      <c r="R82" s="139">
        <f>LCI_IC!$E27*'IW+_end'!R29</f>
        <v>9.1453076135521755E-2</v>
      </c>
      <c r="S82" s="139">
        <f>LCI_IC!$E27*'IW+_end'!S29</f>
        <v>0.16870157571403721</v>
      </c>
      <c r="T82" s="139">
        <f>LCI_IC!$E27*'IW+_end'!T29</f>
        <v>0.35306201332049525</v>
      </c>
      <c r="U82" s="139">
        <f>LCI_IC!$E27*'IW+_end'!U29</f>
        <v>3.8325586855754525E-2</v>
      </c>
      <c r="V82" s="139">
        <f>LCI_IC!$E27*'IW+_end'!V29</f>
        <v>8.740943394529977E-7</v>
      </c>
      <c r="W82" s="139">
        <f>LCI_IC!$E27*'IW+_end'!W29</f>
        <v>1.0941689211114937E-6</v>
      </c>
      <c r="X82" s="139">
        <f>LCI_IC!$E27*'IW+_end'!X29</f>
        <v>3.0938363024668085E-3</v>
      </c>
      <c r="Y82" s="139">
        <f>LCI_IC!$E27*'IW+_end'!Y29</f>
        <v>1.0428435207243975E-10</v>
      </c>
      <c r="Z82" s="139">
        <f>LCI_IC!$E27*'IW+_end'!Z29</f>
        <v>1.7368023308832582E-6</v>
      </c>
      <c r="AA82" s="139">
        <f>LCI_IC!$E27*'IW+_end'!AA29</f>
        <v>8.3646179181701572E-2</v>
      </c>
      <c r="AB82" s="139">
        <f>LCI_IC!$E27*'IW+_end'!AB29</f>
        <v>8.3188008005450799E-9</v>
      </c>
      <c r="AC82" s="139">
        <f>LCI_IC!$E27*'IW+_end'!AC29</f>
        <v>0.13033000797005942</v>
      </c>
      <c r="AD82" s="139">
        <f>LCI_IC!$E27*'IW+_end'!AD29</f>
        <v>3.1904616401320557E-2</v>
      </c>
      <c r="AE82" s="139">
        <f>LCI_IC!$E27*'IW+_end'!AE29</f>
        <v>3.9937165620569509E-2</v>
      </c>
      <c r="AF82" s="139">
        <f>LCI_IC!$E27*'IW+_end'!AF29</f>
        <v>1.9649819545126027E-4</v>
      </c>
      <c r="AG82" s="139">
        <f>LCI_IC!$E27*'IW+_end'!AG29</f>
        <v>2.7976352480225652</v>
      </c>
      <c r="AH82" s="139">
        <f>LCI_IC!$E27*'IW+_end'!AH29</f>
        <v>2.1731358195579435E-5</v>
      </c>
      <c r="AI82" s="139">
        <f>LCI_IC!$E27*'IW+_end'!AI29</f>
        <v>9.7298231832100408E-6</v>
      </c>
      <c r="AJ82" s="139">
        <f>LCI_IC!$E27*'IW+_end'!AJ29</f>
        <v>1.1884238636578835E-6</v>
      </c>
      <c r="AK82" s="139">
        <f>LCI_IC!$E27*'IW+_end'!AK29</f>
        <v>5.9758803389333032E-5</v>
      </c>
      <c r="AL82" s="5"/>
    </row>
    <row r="83" spans="1:38" x14ac:dyDescent="0.35">
      <c r="A83" s="137"/>
      <c r="B83" s="137" t="s">
        <v>231</v>
      </c>
      <c r="C83" s="139">
        <f>LCI_IC!$E28*'IW+_end'!C31</f>
        <v>0</v>
      </c>
      <c r="D83" s="139">
        <f>LCI_IC!$E28*'IW+_end'!D31</f>
        <v>0</v>
      </c>
      <c r="E83" s="139">
        <f>LCI_IC!$E28*'IW+_end'!E31</f>
        <v>0</v>
      </c>
      <c r="F83" s="139">
        <f>LCI_IC!$E28*'IW+_end'!F31</f>
        <v>0</v>
      </c>
      <c r="G83" s="139">
        <f>LCI_IC!$E28*'IW+_end'!G31</f>
        <v>0</v>
      </c>
      <c r="H83" s="139">
        <f>LCI_IC!$E28*'IW+_end'!H31</f>
        <v>0</v>
      </c>
      <c r="I83" s="139">
        <f>LCI_IC!$E28*'IW+_end'!I31</f>
        <v>0</v>
      </c>
      <c r="J83" s="139">
        <f>LCI_IC!$E28*'IW+_end'!J31</f>
        <v>0</v>
      </c>
      <c r="K83" s="139">
        <f>LCI_IC!$E28*'IW+_end'!K31</f>
        <v>0</v>
      </c>
      <c r="L83" s="139">
        <f>LCI_IC!$E28*'IW+_end'!L31</f>
        <v>0</v>
      </c>
      <c r="M83" s="139">
        <f>LCI_IC!$E28*'IW+_end'!M31</f>
        <v>0</v>
      </c>
      <c r="N83" s="139">
        <f>LCI_IC!$E28*'IW+_end'!N31</f>
        <v>0</v>
      </c>
      <c r="O83" s="139">
        <f>LCI_IC!$E28*'IW+_end'!O31</f>
        <v>0</v>
      </c>
      <c r="P83" s="139">
        <f>LCI_IC!$E28*'IW+_end'!P31</f>
        <v>0</v>
      </c>
      <c r="Q83" s="139">
        <f>LCI_IC!$E28*'IW+_end'!Q31</f>
        <v>0</v>
      </c>
      <c r="R83" s="139">
        <f>LCI_IC!$E28*'IW+_end'!R31</f>
        <v>0</v>
      </c>
      <c r="S83" s="139">
        <f>LCI_IC!$E28*'IW+_end'!S31</f>
        <v>0</v>
      </c>
      <c r="T83" s="139">
        <f>LCI_IC!$E28*'IW+_end'!T31</f>
        <v>0</v>
      </c>
      <c r="U83" s="139">
        <f>LCI_IC!$E28*'IW+_end'!U31</f>
        <v>0</v>
      </c>
      <c r="V83" s="139">
        <f>LCI_IC!$E28*'IW+_end'!V31</f>
        <v>0</v>
      </c>
      <c r="W83" s="139">
        <f>LCI_IC!$E28*'IW+_end'!W31</f>
        <v>0</v>
      </c>
      <c r="X83" s="139">
        <f>LCI_IC!$E28*'IW+_end'!X31</f>
        <v>0</v>
      </c>
      <c r="Y83" s="139">
        <f>LCI_IC!$E28*'IW+_end'!Y31</f>
        <v>0</v>
      </c>
      <c r="Z83" s="139">
        <f>LCI_IC!$E28*'IW+_end'!Z31</f>
        <v>0</v>
      </c>
      <c r="AA83" s="139">
        <f>LCI_IC!$E28*'IW+_end'!AA31</f>
        <v>0</v>
      </c>
      <c r="AB83" s="139">
        <f>LCI_IC!$E28*'IW+_end'!AB31</f>
        <v>0</v>
      </c>
      <c r="AC83" s="139">
        <f>LCI_IC!$E28*'IW+_end'!AC31</f>
        <v>0</v>
      </c>
      <c r="AD83" s="139">
        <f>LCI_IC!$E28*'IW+_end'!AD31</f>
        <v>0</v>
      </c>
      <c r="AE83" s="139">
        <f>LCI_IC!$E28*'IW+_end'!AE31</f>
        <v>0</v>
      </c>
      <c r="AF83" s="139">
        <f>LCI_IC!$E28*'IW+_end'!AF31</f>
        <v>0</v>
      </c>
      <c r="AG83" s="139">
        <f>LCI_IC!$E28*'IW+_end'!AG31</f>
        <v>0</v>
      </c>
      <c r="AH83" s="139">
        <f>LCI_IC!$E28*'IW+_end'!AH31</f>
        <v>0</v>
      </c>
      <c r="AI83" s="139">
        <f>LCI_IC!$E28*'IW+_end'!AI31</f>
        <v>0</v>
      </c>
      <c r="AJ83" s="139">
        <f>LCI_IC!$E28*'IW+_end'!AJ31</f>
        <v>0</v>
      </c>
      <c r="AK83" s="139">
        <f>LCI_IC!$E28*'IW+_end'!AK31</f>
        <v>0</v>
      </c>
    </row>
    <row r="84" spans="1:38" x14ac:dyDescent="0.35">
      <c r="A84" t="s">
        <v>499</v>
      </c>
      <c r="AG84" s="148">
        <f>AG59+AG73-AG79</f>
        <v>69.145236307764407</v>
      </c>
      <c r="AH84" s="148">
        <f>AH59+AH73-AH79</f>
        <v>2.7127459225239476E-4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workbookViewId="0">
      <selection activeCell="E29" sqref="E29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v>0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v>0</v>
      </c>
      <c r="F28" s="50" t="s">
        <v>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30</vt:i4>
      </vt:variant>
      <vt:variant>
        <vt:lpstr>Plages nommées</vt:lpstr>
      </vt:variant>
      <vt:variant>
        <vt:i4>5</vt:i4>
      </vt:variant>
    </vt:vector>
  </HeadingPairs>
  <TitlesOfParts>
    <vt:vector size="35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LCI_AD-a</vt:lpstr>
      <vt:lpstr>LCI_AD-c</vt:lpstr>
      <vt:lpstr>LCI_HC</vt:lpstr>
      <vt:lpstr>LCI_AD-b</vt:lpstr>
      <vt:lpstr>LCIA_AD-b</vt:lpstr>
      <vt:lpstr>LCIA_HC</vt:lpstr>
      <vt:lpstr>LCIA_AD-c</vt:lpstr>
      <vt:lpstr>LCIA_AD-d</vt:lpstr>
      <vt:lpstr>LCIA_AD-e</vt:lpstr>
      <vt:lpstr>Figures</vt:lpstr>
      <vt:lpstr>Figures_transport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2026-04-03T10:05:06Z</dcterms:modified>
</cp:coreProperties>
</file>