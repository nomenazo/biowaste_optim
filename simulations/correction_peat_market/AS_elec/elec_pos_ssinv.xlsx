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elec\"/>
    </mc:Choice>
  </mc:AlternateContent>
  <xr:revisionPtr revIDLastSave="0" documentId="13_ncr:1_{A0800967-D4FA-4CA6-8084-19616AD6FD7B}" xr6:coauthVersionLast="36" xr6:coauthVersionMax="36" xr10:uidLastSave="{00000000-0000-0000-0000-000000000000}"/>
  <bookViews>
    <workbookView xWindow="0" yWindow="0" windowWidth="19200" windowHeight="77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N9" i="1" l="1"/>
  <c r="AM9" i="1"/>
  <c r="AL9" i="1"/>
  <c r="AK9" i="1"/>
  <c r="AN8" i="1"/>
  <c r="AM8" i="1"/>
  <c r="AL8" i="1"/>
  <c r="AK8" i="1"/>
  <c r="AN7" i="1"/>
  <c r="AM7" i="1"/>
  <c r="AL7" i="1"/>
  <c r="AK7" i="1"/>
  <c r="AN6" i="1"/>
  <c r="AM6" i="1"/>
  <c r="AL6" i="1"/>
  <c r="AK6" i="1"/>
  <c r="AN5" i="1"/>
  <c r="AM5" i="1"/>
  <c r="AL5" i="1"/>
  <c r="AK5" i="1"/>
  <c r="AN4" i="1"/>
  <c r="AM4" i="1"/>
  <c r="AL4" i="1"/>
  <c r="AK4" i="1"/>
  <c r="AN3" i="1"/>
  <c r="AM3" i="1"/>
  <c r="AL3" i="1"/>
  <c r="AK3" i="1"/>
</calcChain>
</file>

<file path=xl/sharedStrings.xml><?xml version="1.0" encoding="utf-8"?>
<sst xmlns="http://schemas.openxmlformats.org/spreadsheetml/2006/main" count="56" uniqueCount="46">
  <si>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</si>
  <si>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</si>
  <si>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</si>
  <si>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</si>
  <si>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</si>
  <si>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</si>
  <si>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</si>
  <si>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</si>
  <si>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</si>
  <si>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</si>
  <si>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</si>
  <si>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</si>
  <si>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</si>
  <si>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</si>
  <si>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</si>
  <si>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</si>
  <si>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</si>
  <si>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</si>
  <si>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</si>
  <si>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</si>
  <si>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</si>
  <si>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</si>
  <si>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</si>
  <si>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</si>
  <si>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</si>
  <si>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</si>
  <si>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</si>
  <si>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</si>
  <si>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</si>
  <si>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</si>
  <si>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</si>
  <si>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</si>
  <si>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</si>
  <si>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</si>
  <si>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</si>
  <si>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</si>
  <si>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</si>
  <si>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</si>
  <si>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</si>
  <si>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</si>
  <si>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</si>
  <si>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</si>
  <si>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</si>
  <si>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</si>
  <si>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AD-cog-comp</t>
  </si>
  <si>
    <t>AD-biomet-dig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</si>
</sst>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"/>
  <sheetViews>
    <sheetView tabSelected="1" topLeftCell="W1" workbookViewId="0">
      <selection activeCell="AK5" sqref="AK5:AN5"/>
    </sheetView>
  </sheetViews>
  <sheetFormatPr baseColWidth="10" defaultColWidth="8.7265625" defaultRowHeight="14.5" x14ac:dyDescent="0.35"/>
  <sheetData>
    <row r="1" spans="1:40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6"/>
      <c r="AB1" s="2" t="s">
        <v>2</v>
      </c>
      <c r="AC1" s="5" t="s">
        <v>3</v>
      </c>
      <c r="AD1" s="7"/>
      <c r="AE1" s="7"/>
      <c r="AF1" s="7"/>
      <c r="AG1" s="7"/>
      <c r="AH1" s="6"/>
    </row>
    <row r="2" spans="1:40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t="s">
        <v>4</v>
      </c>
      <c r="AK2" t="s">
        <v>0</v>
      </c>
      <c r="AL2" t="s">
        <v>1</v>
      </c>
      <c r="AM2" t="s">
        <v>44</v>
      </c>
      <c r="AN2" t="s">
        <v>45</v>
      </c>
    </row>
    <row r="3" spans="1:40" x14ac:dyDescent="0.35">
      <c r="A3" s="1">
        <v>0</v>
      </c>
      <c r="B3" t="s">
        <v>37</v>
      </c>
      <c r="C3">
        <v>0.6</v>
      </c>
      <c r="D3" s="3">
        <v>7.15</v>
      </c>
      <c r="E3">
        <v>2.52</v>
      </c>
      <c r="I3">
        <v>1.29</v>
      </c>
      <c r="X3">
        <v>2.3199999999999998</v>
      </c>
      <c r="AA3">
        <v>16.11</v>
      </c>
      <c r="AC3" s="3">
        <v>70.62</v>
      </c>
      <c r="AD3" s="4">
        <v>-544740.82515175932</v>
      </c>
      <c r="AE3" s="4">
        <v>-216176.53282024019</v>
      </c>
      <c r="AF3" s="4">
        <v>-3.1432058462932519</v>
      </c>
      <c r="AG3" s="4">
        <v>188919.45792481489</v>
      </c>
      <c r="AH3" s="4">
        <v>2.2999443118901919</v>
      </c>
      <c r="AJ3" t="s">
        <v>37</v>
      </c>
      <c r="AK3">
        <f>SUM(D3:Y3)</f>
        <v>13.280000000000001</v>
      </c>
      <c r="AL3">
        <f>SUM(Z3:AA3)</f>
        <v>16.11</v>
      </c>
      <c r="AM3">
        <f>AB3</f>
        <v>0</v>
      </c>
      <c r="AN3">
        <f>AC3</f>
        <v>70.62</v>
      </c>
    </row>
    <row r="4" spans="1:40" x14ac:dyDescent="0.35">
      <c r="A4" s="1">
        <v>1</v>
      </c>
      <c r="B4" t="s">
        <v>38</v>
      </c>
      <c r="C4">
        <v>0.6</v>
      </c>
      <c r="D4" s="3">
        <v>7.15</v>
      </c>
      <c r="E4">
        <v>2.52</v>
      </c>
      <c r="I4">
        <v>1.29</v>
      </c>
      <c r="X4">
        <v>2.3199999999999998</v>
      </c>
      <c r="AB4" s="3">
        <v>86.73</v>
      </c>
      <c r="AD4" s="4">
        <v>-238425.49384453599</v>
      </c>
      <c r="AE4" s="4">
        <v>-411513.84720396152</v>
      </c>
      <c r="AF4" s="4">
        <v>-3.6061644866251359</v>
      </c>
      <c r="AG4" s="4">
        <v>-179147.4373195029</v>
      </c>
      <c r="AH4" s="4">
        <v>0.37306072389175349</v>
      </c>
      <c r="AJ4" t="s">
        <v>38</v>
      </c>
      <c r="AK4">
        <f t="shared" ref="AK4:AK9" si="0">SUM(D4:Y4)</f>
        <v>13.280000000000001</v>
      </c>
      <c r="AL4">
        <f t="shared" ref="AL4:AL9" si="1">SUM(Z4:AA4)</f>
        <v>0</v>
      </c>
      <c r="AM4">
        <f t="shared" ref="AM4:AN9" si="2">AB4</f>
        <v>86.73</v>
      </c>
      <c r="AN4">
        <f t="shared" si="2"/>
        <v>0</v>
      </c>
    </row>
    <row r="5" spans="1:40" x14ac:dyDescent="0.35">
      <c r="A5" s="1">
        <v>2</v>
      </c>
      <c r="B5" t="s">
        <v>39</v>
      </c>
      <c r="C5">
        <v>0.6</v>
      </c>
      <c r="D5" s="3">
        <v>7.15</v>
      </c>
      <c r="E5">
        <v>2.52</v>
      </c>
      <c r="I5">
        <v>1.29</v>
      </c>
      <c r="X5">
        <v>2.3199999999999998</v>
      </c>
      <c r="Z5" s="3">
        <v>5.35</v>
      </c>
      <c r="AA5">
        <v>1.35</v>
      </c>
      <c r="AB5" s="3">
        <v>80.03</v>
      </c>
      <c r="AD5" s="4">
        <v>-262547.94462275051</v>
      </c>
      <c r="AE5" s="4">
        <v>-399495.40530784131</v>
      </c>
      <c r="AF5" s="4">
        <v>-3.6059008173598359</v>
      </c>
      <c r="AG5" s="4">
        <v>-158881.46891361111</v>
      </c>
      <c r="AH5" s="4">
        <v>0.4149897620013091</v>
      </c>
      <c r="AJ5" t="s">
        <v>39</v>
      </c>
      <c r="AK5">
        <f t="shared" si="0"/>
        <v>13.280000000000001</v>
      </c>
      <c r="AL5">
        <f t="shared" si="1"/>
        <v>6.6999999999999993</v>
      </c>
      <c r="AM5">
        <f t="shared" si="2"/>
        <v>80.03</v>
      </c>
      <c r="AN5">
        <f t="shared" si="2"/>
        <v>0</v>
      </c>
    </row>
    <row r="6" spans="1:40" x14ac:dyDescent="0.35">
      <c r="A6" s="1">
        <v>3</v>
      </c>
      <c r="B6" t="s">
        <v>40</v>
      </c>
      <c r="C6">
        <v>0.6</v>
      </c>
      <c r="D6" s="3">
        <v>7.15</v>
      </c>
      <c r="E6">
        <v>2.52</v>
      </c>
      <c r="I6">
        <v>1.29</v>
      </c>
      <c r="X6">
        <v>2.3199999999999998</v>
      </c>
      <c r="AB6" s="3">
        <v>86.73</v>
      </c>
      <c r="AD6" s="4">
        <v>-238425.49384453599</v>
      </c>
      <c r="AE6" s="4">
        <v>-411513.84720396152</v>
      </c>
      <c r="AF6" s="4">
        <v>-3.6061644866251359</v>
      </c>
      <c r="AG6" s="4">
        <v>-179147.4373195029</v>
      </c>
      <c r="AH6" s="4">
        <v>0.37306072389175349</v>
      </c>
      <c r="AJ6" t="s">
        <v>40</v>
      </c>
      <c r="AK6">
        <f t="shared" si="0"/>
        <v>13.280000000000001</v>
      </c>
      <c r="AL6">
        <f t="shared" si="1"/>
        <v>0</v>
      </c>
      <c r="AM6">
        <f t="shared" si="2"/>
        <v>86.73</v>
      </c>
      <c r="AN6">
        <f t="shared" si="2"/>
        <v>0</v>
      </c>
    </row>
    <row r="7" spans="1:40" x14ac:dyDescent="0.35">
      <c r="A7" s="1">
        <v>4</v>
      </c>
      <c r="B7" t="s">
        <v>41</v>
      </c>
      <c r="C7">
        <v>0.6</v>
      </c>
      <c r="D7" s="3">
        <v>7.15</v>
      </c>
      <c r="E7">
        <v>2.52</v>
      </c>
      <c r="I7">
        <v>1.29</v>
      </c>
      <c r="X7">
        <v>2.3199999999999998</v>
      </c>
      <c r="AB7" s="3">
        <v>86.73</v>
      </c>
      <c r="AD7" s="4">
        <v>-238425.49384453599</v>
      </c>
      <c r="AE7" s="4">
        <v>-411513.84720396152</v>
      </c>
      <c r="AF7" s="4">
        <v>-3.6061644866251359</v>
      </c>
      <c r="AG7" s="4">
        <v>-179147.4373195029</v>
      </c>
      <c r="AH7" s="4">
        <v>0.37306072389175349</v>
      </c>
      <c r="AJ7" t="s">
        <v>41</v>
      </c>
      <c r="AK7">
        <f t="shared" si="0"/>
        <v>13.280000000000001</v>
      </c>
      <c r="AL7">
        <f t="shared" si="1"/>
        <v>0</v>
      </c>
      <c r="AM7">
        <f t="shared" si="2"/>
        <v>86.73</v>
      </c>
      <c r="AN7">
        <f t="shared" si="2"/>
        <v>0</v>
      </c>
    </row>
    <row r="8" spans="1:40" x14ac:dyDescent="0.35">
      <c r="A8" s="1">
        <v>5</v>
      </c>
      <c r="B8" t="s">
        <v>42</v>
      </c>
      <c r="C8">
        <v>0.6</v>
      </c>
      <c r="D8" s="3">
        <v>7.15</v>
      </c>
      <c r="E8">
        <v>2.52</v>
      </c>
      <c r="I8">
        <v>1.29</v>
      </c>
      <c r="X8">
        <v>2.3199999999999998</v>
      </c>
      <c r="Z8" s="3">
        <v>5.35</v>
      </c>
      <c r="AA8">
        <v>1.35</v>
      </c>
      <c r="AB8" s="3">
        <v>80.03</v>
      </c>
      <c r="AD8" s="4">
        <v>-262547.94462275051</v>
      </c>
      <c r="AE8" s="4">
        <v>-399495.40530784131</v>
      </c>
      <c r="AF8" s="4">
        <v>-3.6059008173598359</v>
      </c>
      <c r="AG8" s="4">
        <v>-158881.46891361111</v>
      </c>
      <c r="AH8" s="4">
        <v>0.4149897620013091</v>
      </c>
      <c r="AJ8" t="s">
        <v>42</v>
      </c>
      <c r="AK8">
        <f t="shared" si="0"/>
        <v>13.280000000000001</v>
      </c>
      <c r="AL8">
        <f t="shared" si="1"/>
        <v>6.6999999999999993</v>
      </c>
      <c r="AM8">
        <f t="shared" si="2"/>
        <v>80.03</v>
      </c>
      <c r="AN8">
        <f t="shared" si="2"/>
        <v>0</v>
      </c>
    </row>
    <row r="9" spans="1:40" x14ac:dyDescent="0.35">
      <c r="A9" s="1">
        <v>6</v>
      </c>
      <c r="B9" t="s">
        <v>43</v>
      </c>
      <c r="C9">
        <v>0.6</v>
      </c>
      <c r="D9" s="3">
        <v>7.15</v>
      </c>
      <c r="E9">
        <v>2.52</v>
      </c>
      <c r="I9">
        <v>1.29</v>
      </c>
      <c r="X9">
        <v>2.3199999999999998</v>
      </c>
      <c r="AB9" s="3">
        <v>86.73</v>
      </c>
      <c r="AD9" s="4">
        <v>-238425.49384453599</v>
      </c>
      <c r="AE9" s="4">
        <v>-411513.84720396152</v>
      </c>
      <c r="AF9" s="4">
        <v>-3.6061644866251359</v>
      </c>
      <c r="AG9" s="4">
        <v>-179147.4373195029</v>
      </c>
      <c r="AH9" s="4">
        <v>0.37306072389175349</v>
      </c>
      <c r="AJ9" t="s">
        <v>43</v>
      </c>
      <c r="AK9">
        <f t="shared" si="0"/>
        <v>13.280000000000001</v>
      </c>
      <c r="AL9">
        <f t="shared" si="1"/>
        <v>0</v>
      </c>
      <c r="AM9">
        <f t="shared" si="2"/>
        <v>86.73</v>
      </c>
      <c r="AN9">
        <f t="shared" si="2"/>
        <v>0</v>
      </c>
    </row>
  </sheetData>
  <mergeCells count="4">
    <mergeCell ref="B1:C1"/>
    <mergeCell ref="D1:Y1"/>
    <mergeCell ref="Z1:AA1"/>
    <mergeCell ref="AC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2026-03-31T15:43:17Z</dcterms:created>
  <dcterms:modified xsi:type="dcterms:W3CDTF">2026-04-03T13:03:12Z</dcterms:modified>
</cp:coreProperties>
</file>