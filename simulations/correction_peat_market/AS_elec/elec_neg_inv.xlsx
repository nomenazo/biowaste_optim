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Users\hravoaha\Desktop\Thèse\Thèse 2023\Objectif 2\biowaste_optim\simulations\correction_peat_market\AS_elec\"/>
    </mc:Choice>
  </mc:AlternateContent>
  <xr:revisionPtr revIDLastSave="0" documentId="13_ncr:1_{CABA43F4-86A9-4713-8047-4B1255C3073C}" xr6:coauthVersionLast="36" xr6:coauthVersionMax="36" xr10:uidLastSave="{00000000-0000-0000-0000-000000000000}"/>
  <bookViews>
    <workbookView xWindow="0" yWindow="0" windowWidth="19200" windowHeight="8150" xr2:uid="{00000000-000D-0000-FFFF-FFFF00000000}"/>
  </bookViews>
  <sheets>
    <sheet name="results" sheetId="1" r:id="rId1"/>
  </sheets>
  <calcPr calcId="191029"/>
</workbook>
</file>

<file path=xl/calcChain.xml><?xml version="1.0" encoding="utf-8"?>
<calcChain xmlns="http://schemas.openxmlformats.org/spreadsheetml/2006/main">
  <c r="AY9" i="1" l="1"/>
  <c r="AX9" i="1"/>
  <c r="AW9" i="1"/>
  <c r="AV9" i="1"/>
  <c r="AU9" i="1"/>
  <c r="AT9" i="1"/>
  <c r="AS9" i="1"/>
  <c r="AR9" i="1"/>
  <c r="AY8" i="1"/>
  <c r="AX8" i="1"/>
  <c r="AW8" i="1"/>
  <c r="AV8" i="1"/>
  <c r="AU8" i="1"/>
  <c r="AT8" i="1"/>
  <c r="AS8" i="1"/>
  <c r="AR8" i="1"/>
  <c r="AY7" i="1"/>
  <c r="AX7" i="1"/>
  <c r="AW7" i="1"/>
  <c r="AV7" i="1"/>
  <c r="AU7" i="1"/>
  <c r="AT7" i="1"/>
  <c r="AS7" i="1"/>
  <c r="AR7" i="1"/>
  <c r="AY6" i="1"/>
  <c r="AX6" i="1"/>
  <c r="AW6" i="1"/>
  <c r="AV6" i="1"/>
  <c r="AU6" i="1"/>
  <c r="AT6" i="1"/>
  <c r="AS6" i="1"/>
  <c r="AR6" i="1"/>
  <c r="AY5" i="1"/>
  <c r="AX5" i="1"/>
  <c r="AW5" i="1"/>
  <c r="AV5" i="1"/>
  <c r="AU5" i="1"/>
  <c r="AT5" i="1"/>
  <c r="AS5" i="1"/>
  <c r="AR5" i="1"/>
  <c r="AY4" i="1"/>
  <c r="AX4" i="1"/>
  <c r="AW4" i="1"/>
  <c r="AV4" i="1"/>
  <c r="AU4" i="1"/>
  <c r="AT4" i="1"/>
  <c r="AS4" i="1"/>
  <c r="AR4" i="1"/>
  <c r="AY3" i="1"/>
  <c r="AX3" i="1"/>
  <c r="AW3" i="1"/>
  <c r="AV3" i="1"/>
  <c r="AU3" i="1"/>
  <c r="AT3" i="1"/>
  <c r="AS3" i="1"/>
  <c r="AR3" i="1"/>
</calcChain>
</file>

<file path=xl/sharedStrings.xml><?xml version="1.0" encoding="utf-8"?>
<sst xmlns="http://schemas.openxmlformats.org/spreadsheetml/2006/main" count="71" uniqueCount="56">
  <si>
    <t>HC</t>
  </si>
  <si>
    <t>IC</t>
  </si>
  <si>
    <t>AD-a</t>
  </si>
  <si>
    <t>AD-b</t>
  </si>
  <si>
    <t>AD-c</t>
  </si>
  <si>
    <t>AD-d</t>
  </si>
  <si>
    <t>AD-e</t>
  </si>
  <si>
    <t>AD-f</t>
  </si>
  <si>
    <t>name</t>
  </si>
  <si>
    <t>sort</t>
  </si>
  <si>
    <t>Compiègne</t>
  </si>
  <si>
    <t>Venette</t>
  </si>
  <si>
    <t>Jaux</t>
  </si>
  <si>
    <t>Armancourt</t>
  </si>
  <si>
    <t>Le Meux</t>
  </si>
  <si>
    <t>La Croix-St-Ouen</t>
  </si>
  <si>
    <t>St-Sauveur</t>
  </si>
  <si>
    <t>Bethisy-St-Pierre</t>
  </si>
  <si>
    <t>Bethisy-St-Martin</t>
  </si>
  <si>
    <t>Bienville</t>
  </si>
  <si>
    <t>Choisy-au-Bac</t>
  </si>
  <si>
    <t>Clairoix</t>
  </si>
  <si>
    <t>Janville</t>
  </si>
  <si>
    <t>Jonquières</t>
  </si>
  <si>
    <t>Lachelle</t>
  </si>
  <si>
    <t>Margny-lès-Compiègne</t>
  </si>
  <si>
    <t>Nery</t>
  </si>
  <si>
    <t>Saint-Jean-aux-Bois</t>
  </si>
  <si>
    <t>Saintines</t>
  </si>
  <si>
    <t>Saint-Vaast de Longmont</t>
  </si>
  <si>
    <t>Verberie</t>
  </si>
  <si>
    <t>Vieux-Moulin</t>
  </si>
  <si>
    <t>Suez</t>
  </si>
  <si>
    <t>Gurdebeke</t>
  </si>
  <si>
    <t>Villiers</t>
  </si>
  <si>
    <t>Refood</t>
  </si>
  <si>
    <t>Biometa</t>
  </si>
  <si>
    <t>Carbon</t>
  </si>
  <si>
    <t>EQ</t>
  </si>
  <si>
    <t>HH</t>
  </si>
  <si>
    <t>EQssC</t>
  </si>
  <si>
    <t>HHssC</t>
  </si>
  <si>
    <t>minCO2</t>
  </si>
  <si>
    <t>minEQ</t>
  </si>
  <si>
    <t>minHH</t>
  </si>
  <si>
    <t>minEQ&amp;HH</t>
  </si>
  <si>
    <t>minCO2&amp;EQ</t>
  </si>
  <si>
    <t>minCO2&amp;HH</t>
  </si>
  <si>
    <t>minCO2&amp;EQ&amp;HH</t>
  </si>
  <si>
    <t>AD-cog-dig</t>
  </si>
  <si>
    <t>AD-cog-comp</t>
  </si>
  <si>
    <t>AD-biomet-dig</t>
  </si>
  <si>
    <t>AD-biomet-comp</t>
  </si>
  <si>
    <t>AD-heat-dig</t>
  </si>
  <si>
    <t>AD-heat-comp</t>
  </si>
  <si>
    <t>minCC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</si>
</sst>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center"/>
    </xf>
    <xf numFmtId="2" fontId="0" fillId="0" borderId="0" xfId="0" applyNumberFormat="1"/>
    <xf numFmtId="11" fontId="0" fillId="0" borderId="0" xfId="0" applyNumberFormat="1"/>
    <xf numFmtId="0" fontId="1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2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9"/>
  <sheetViews>
    <sheetView tabSelected="1" topLeftCell="AL1" workbookViewId="0">
      <selection activeCell="AR5" sqref="AR5:AY5"/>
    </sheetView>
  </sheetViews>
  <sheetFormatPr baseColWidth="10" defaultColWidth="8.7265625" defaultRowHeight="14.5" x14ac:dyDescent="0.35"/>
  <sheetData>
    <row r="1" spans="1:51" x14ac:dyDescent="0.35">
      <c r="A1" s="2"/>
      <c r="B1" s="5"/>
      <c r="C1" s="6"/>
      <c r="D1" s="5" t="s">
        <v>0</v>
      </c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6"/>
      <c r="Z1" s="5" t="s">
        <v>1</v>
      </c>
      <c r="AA1" s="7"/>
      <c r="AB1" s="6"/>
      <c r="AC1" s="2" t="s">
        <v>2</v>
      </c>
      <c r="AD1" s="5" t="s">
        <v>3</v>
      </c>
      <c r="AE1" s="6"/>
      <c r="AF1" s="5" t="s">
        <v>4</v>
      </c>
      <c r="AG1" s="6"/>
      <c r="AH1" s="2" t="s">
        <v>5</v>
      </c>
      <c r="AI1" s="2" t="s">
        <v>6</v>
      </c>
      <c r="AJ1" s="8" t="s">
        <v>7</v>
      </c>
      <c r="AK1" s="9"/>
      <c r="AL1" s="9"/>
      <c r="AM1" s="9"/>
      <c r="AN1" s="9"/>
      <c r="AO1" s="10"/>
    </row>
    <row r="2" spans="1:51" x14ac:dyDescent="0.35">
      <c r="A2" s="2"/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  <c r="H2" s="2" t="s">
        <v>14</v>
      </c>
      <c r="I2" s="2" t="s">
        <v>15</v>
      </c>
      <c r="J2" s="2" t="s">
        <v>16</v>
      </c>
      <c r="K2" s="2" t="s">
        <v>17</v>
      </c>
      <c r="L2" s="2" t="s">
        <v>18</v>
      </c>
      <c r="M2" s="2" t="s">
        <v>19</v>
      </c>
      <c r="N2" s="2" t="s">
        <v>20</v>
      </c>
      <c r="O2" s="2" t="s">
        <v>21</v>
      </c>
      <c r="P2" s="2" t="s">
        <v>22</v>
      </c>
      <c r="Q2" s="2" t="s">
        <v>23</v>
      </c>
      <c r="R2" s="2" t="s">
        <v>24</v>
      </c>
      <c r="S2" s="2" t="s">
        <v>25</v>
      </c>
      <c r="T2" s="2" t="s">
        <v>26</v>
      </c>
      <c r="U2" s="2" t="s">
        <v>27</v>
      </c>
      <c r="V2" s="2" t="s">
        <v>28</v>
      </c>
      <c r="W2" s="2" t="s">
        <v>29</v>
      </c>
      <c r="X2" s="2" t="s">
        <v>30</v>
      </c>
      <c r="Y2" s="2" t="s">
        <v>31</v>
      </c>
      <c r="Z2" s="2" t="s">
        <v>32</v>
      </c>
      <c r="AA2" s="2" t="s">
        <v>33</v>
      </c>
      <c r="AB2" s="2" t="s">
        <v>34</v>
      </c>
      <c r="AC2" s="2" t="s">
        <v>34</v>
      </c>
      <c r="AD2" s="2" t="s">
        <v>35</v>
      </c>
      <c r="AE2" s="2" t="s">
        <v>34</v>
      </c>
      <c r="AF2" s="2" t="s">
        <v>36</v>
      </c>
      <c r="AG2" s="2" t="s">
        <v>34</v>
      </c>
      <c r="AH2" s="2" t="s">
        <v>34</v>
      </c>
      <c r="AI2" s="2" t="s">
        <v>34</v>
      </c>
      <c r="AJ2" s="2" t="s">
        <v>34</v>
      </c>
      <c r="AK2" s="2" t="s">
        <v>37</v>
      </c>
      <c r="AL2" s="2" t="s">
        <v>38</v>
      </c>
      <c r="AM2" s="2" t="s">
        <v>39</v>
      </c>
      <c r="AN2" s="2" t="s">
        <v>40</v>
      </c>
      <c r="AO2" s="2" t="s">
        <v>41</v>
      </c>
      <c r="AQ2" t="s">
        <v>8</v>
      </c>
      <c r="AR2" t="s">
        <v>0</v>
      </c>
      <c r="AS2" t="s">
        <v>1</v>
      </c>
      <c r="AT2" t="s">
        <v>49</v>
      </c>
      <c r="AU2" t="s">
        <v>50</v>
      </c>
      <c r="AV2" t="s">
        <v>51</v>
      </c>
      <c r="AW2" t="s">
        <v>52</v>
      </c>
      <c r="AX2" t="s">
        <v>53</v>
      </c>
      <c r="AY2" t="s">
        <v>54</v>
      </c>
    </row>
    <row r="3" spans="1:51" x14ac:dyDescent="0.35">
      <c r="A3" s="1">
        <v>0</v>
      </c>
      <c r="B3" t="s">
        <v>42</v>
      </c>
      <c r="C3">
        <v>0.6</v>
      </c>
      <c r="AD3" s="3">
        <v>6.49</v>
      </c>
      <c r="AE3">
        <v>93.51</v>
      </c>
      <c r="AK3" s="4">
        <v>-1486673.104124899</v>
      </c>
      <c r="AL3" s="4">
        <v>-1284826.3420084841</v>
      </c>
      <c r="AM3" s="4">
        <v>-12.151181001563559</v>
      </c>
      <c r="AN3" s="4">
        <v>-198476.46438849371</v>
      </c>
      <c r="AO3" s="4">
        <v>0.3664482015918577</v>
      </c>
      <c r="AQ3" t="s">
        <v>55</v>
      </c>
      <c r="AR3">
        <f>SUM(D3:Y3)</f>
        <v>0</v>
      </c>
      <c r="AS3">
        <f>SUM(Z3:AB3)</f>
        <v>0</v>
      </c>
      <c r="AT3">
        <f>AC3</f>
        <v>0</v>
      </c>
      <c r="AU3">
        <f>SUM(AD3:AE3)</f>
        <v>100</v>
      </c>
      <c r="AV3">
        <f>SUM(AF3:AG3)</f>
        <v>0</v>
      </c>
      <c r="AW3">
        <f>AH3</f>
        <v>0</v>
      </c>
      <c r="AX3">
        <f>AI3</f>
        <v>0</v>
      </c>
      <c r="AY3">
        <f>AJ3</f>
        <v>0</v>
      </c>
    </row>
    <row r="4" spans="1:51" x14ac:dyDescent="0.35">
      <c r="A4" s="1">
        <v>1</v>
      </c>
      <c r="B4" t="s">
        <v>43</v>
      </c>
      <c r="C4">
        <v>0.6</v>
      </c>
      <c r="AD4" s="3">
        <v>6.49</v>
      </c>
      <c r="AE4">
        <v>93.51</v>
      </c>
      <c r="AK4" s="4">
        <v>-1486673.1043109959</v>
      </c>
      <c r="AL4" s="4">
        <v>-1284826.3421707549</v>
      </c>
      <c r="AM4" s="4">
        <v>-12.15118100313531</v>
      </c>
      <c r="AN4" s="4">
        <v>-198476.4644159727</v>
      </c>
      <c r="AO4" s="4">
        <v>0.36644820157272662</v>
      </c>
      <c r="AQ4" t="s">
        <v>43</v>
      </c>
      <c r="AR4">
        <f t="shared" ref="AR4:AR9" si="0">SUM(D4:Y4)</f>
        <v>0</v>
      </c>
      <c r="AS4">
        <f t="shared" ref="AS4:AS9" si="1">SUM(Z4:AB4)</f>
        <v>0</v>
      </c>
      <c r="AT4">
        <f t="shared" ref="AT4:AT9" si="2">AC4</f>
        <v>0</v>
      </c>
      <c r="AU4">
        <f t="shared" ref="AU4:AU9" si="3">SUM(AD4:AE4)</f>
        <v>100</v>
      </c>
      <c r="AV4">
        <f t="shared" ref="AV4:AV9" si="4">SUM(AF4:AG4)</f>
        <v>0</v>
      </c>
      <c r="AW4">
        <f t="shared" ref="AW4:AY9" si="5">AH4</f>
        <v>0</v>
      </c>
      <c r="AX4">
        <f t="shared" si="5"/>
        <v>0</v>
      </c>
      <c r="AY4">
        <f t="shared" si="5"/>
        <v>0</v>
      </c>
    </row>
    <row r="5" spans="1:51" x14ac:dyDescent="0.35">
      <c r="A5" s="1">
        <v>2</v>
      </c>
      <c r="B5" t="s">
        <v>44</v>
      </c>
      <c r="C5">
        <v>0.6</v>
      </c>
      <c r="AD5" s="3">
        <v>6.49</v>
      </c>
      <c r="AE5">
        <v>93.51</v>
      </c>
      <c r="AK5" s="4">
        <v>-1486673.1043109959</v>
      </c>
      <c r="AL5" s="4">
        <v>-1284826.3421707549</v>
      </c>
      <c r="AM5" s="4">
        <v>-12.15118100313531</v>
      </c>
      <c r="AN5" s="4">
        <v>-198476.4644159727</v>
      </c>
      <c r="AO5" s="4">
        <v>0.36644820157272662</v>
      </c>
      <c r="AQ5" t="s">
        <v>44</v>
      </c>
      <c r="AR5">
        <f t="shared" si="0"/>
        <v>0</v>
      </c>
      <c r="AS5">
        <f t="shared" si="1"/>
        <v>0</v>
      </c>
      <c r="AT5">
        <f t="shared" si="2"/>
        <v>0</v>
      </c>
      <c r="AU5">
        <f t="shared" si="3"/>
        <v>100</v>
      </c>
      <c r="AV5">
        <f t="shared" si="4"/>
        <v>0</v>
      </c>
      <c r="AW5">
        <f t="shared" si="5"/>
        <v>0</v>
      </c>
      <c r="AX5">
        <f t="shared" si="5"/>
        <v>0</v>
      </c>
      <c r="AY5">
        <f t="shared" si="5"/>
        <v>0</v>
      </c>
    </row>
    <row r="6" spans="1:51" x14ac:dyDescent="0.35">
      <c r="A6" s="1">
        <v>3</v>
      </c>
      <c r="B6" t="s">
        <v>45</v>
      </c>
      <c r="C6">
        <v>0.6</v>
      </c>
      <c r="AD6" s="3">
        <v>6.49</v>
      </c>
      <c r="AE6">
        <v>93.51</v>
      </c>
      <c r="AK6" s="4">
        <v>-1486673.1043109959</v>
      </c>
      <c r="AL6" s="4">
        <v>-1284826.3421707549</v>
      </c>
      <c r="AM6" s="4">
        <v>-12.15118100313531</v>
      </c>
      <c r="AN6" s="4">
        <v>-198476.4644159727</v>
      </c>
      <c r="AO6" s="4">
        <v>0.36644820157272662</v>
      </c>
      <c r="AQ6" t="s">
        <v>45</v>
      </c>
      <c r="AR6">
        <f t="shared" si="0"/>
        <v>0</v>
      </c>
      <c r="AS6">
        <f t="shared" si="1"/>
        <v>0</v>
      </c>
      <c r="AT6">
        <f t="shared" si="2"/>
        <v>0</v>
      </c>
      <c r="AU6">
        <f t="shared" si="3"/>
        <v>100</v>
      </c>
      <c r="AV6">
        <f t="shared" si="4"/>
        <v>0</v>
      </c>
      <c r="AW6">
        <f t="shared" si="5"/>
        <v>0</v>
      </c>
      <c r="AX6">
        <f t="shared" si="5"/>
        <v>0</v>
      </c>
      <c r="AY6">
        <f t="shared" si="5"/>
        <v>0</v>
      </c>
    </row>
    <row r="7" spans="1:51" x14ac:dyDescent="0.35">
      <c r="A7" s="1">
        <v>4</v>
      </c>
      <c r="B7" t="s">
        <v>46</v>
      </c>
      <c r="C7">
        <v>0.6</v>
      </c>
      <c r="AD7" s="3">
        <v>6.49</v>
      </c>
      <c r="AE7">
        <v>93.51</v>
      </c>
      <c r="AK7" s="4">
        <v>-1486673.104312357</v>
      </c>
      <c r="AL7" s="4">
        <v>-1284826.34217188</v>
      </c>
      <c r="AM7" s="4">
        <v>-12.15118100314573</v>
      </c>
      <c r="AN7" s="4">
        <v>-198476.4644164264</v>
      </c>
      <c r="AO7" s="4">
        <v>0.36644820157135699</v>
      </c>
      <c r="AQ7" t="s">
        <v>46</v>
      </c>
      <c r="AR7">
        <f t="shared" si="0"/>
        <v>0</v>
      </c>
      <c r="AS7">
        <f t="shared" si="1"/>
        <v>0</v>
      </c>
      <c r="AT7">
        <f t="shared" si="2"/>
        <v>0</v>
      </c>
      <c r="AU7">
        <f t="shared" si="3"/>
        <v>100</v>
      </c>
      <c r="AV7">
        <f t="shared" si="4"/>
        <v>0</v>
      </c>
      <c r="AW7">
        <f t="shared" si="5"/>
        <v>0</v>
      </c>
      <c r="AX7">
        <f t="shared" si="5"/>
        <v>0</v>
      </c>
      <c r="AY7">
        <f t="shared" si="5"/>
        <v>0</v>
      </c>
    </row>
    <row r="8" spans="1:51" x14ac:dyDescent="0.35">
      <c r="A8" s="1">
        <v>5</v>
      </c>
      <c r="B8" t="s">
        <v>47</v>
      </c>
      <c r="C8">
        <v>0.6</v>
      </c>
      <c r="AD8" s="3">
        <v>6.49</v>
      </c>
      <c r="AE8">
        <v>93.51</v>
      </c>
      <c r="AK8" s="4">
        <v>-1486673.1043109959</v>
      </c>
      <c r="AL8" s="4">
        <v>-1284826.3421707549</v>
      </c>
      <c r="AM8" s="4">
        <v>-12.15118100313531</v>
      </c>
      <c r="AN8" s="4">
        <v>-198476.4644159727</v>
      </c>
      <c r="AO8" s="4">
        <v>0.36644820157272662</v>
      </c>
      <c r="AQ8" t="s">
        <v>47</v>
      </c>
      <c r="AR8">
        <f t="shared" si="0"/>
        <v>0</v>
      </c>
      <c r="AS8">
        <f t="shared" si="1"/>
        <v>0</v>
      </c>
      <c r="AT8">
        <f t="shared" si="2"/>
        <v>0</v>
      </c>
      <c r="AU8">
        <f t="shared" si="3"/>
        <v>100</v>
      </c>
      <c r="AV8">
        <f t="shared" si="4"/>
        <v>0</v>
      </c>
      <c r="AW8">
        <f t="shared" si="5"/>
        <v>0</v>
      </c>
      <c r="AX8">
        <f t="shared" si="5"/>
        <v>0</v>
      </c>
      <c r="AY8">
        <f t="shared" si="5"/>
        <v>0</v>
      </c>
    </row>
    <row r="9" spans="1:51" x14ac:dyDescent="0.35">
      <c r="A9" s="1">
        <v>6</v>
      </c>
      <c r="B9" t="s">
        <v>48</v>
      </c>
      <c r="C9">
        <v>0.6</v>
      </c>
      <c r="AD9" s="3">
        <v>6.49</v>
      </c>
      <c r="AE9">
        <v>93.51</v>
      </c>
      <c r="AK9" s="4">
        <v>-1486673.1043109959</v>
      </c>
      <c r="AL9" s="4">
        <v>-1284826.3421707549</v>
      </c>
      <c r="AM9" s="4">
        <v>-12.15118100313531</v>
      </c>
      <c r="AN9" s="4">
        <v>-198476.4644159727</v>
      </c>
      <c r="AO9" s="4">
        <v>0.36644820157272662</v>
      </c>
      <c r="AQ9" t="s">
        <v>48</v>
      </c>
      <c r="AR9">
        <f t="shared" si="0"/>
        <v>0</v>
      </c>
      <c r="AS9">
        <f t="shared" si="1"/>
        <v>0</v>
      </c>
      <c r="AT9">
        <f t="shared" si="2"/>
        <v>0</v>
      </c>
      <c r="AU9">
        <f t="shared" si="3"/>
        <v>100</v>
      </c>
      <c r="AV9">
        <f t="shared" si="4"/>
        <v>0</v>
      </c>
      <c r="AW9">
        <f t="shared" si="5"/>
        <v>0</v>
      </c>
      <c r="AX9">
        <f t="shared" si="5"/>
        <v>0</v>
      </c>
      <c r="AY9">
        <f t="shared" si="5"/>
        <v>0</v>
      </c>
    </row>
  </sheetData>
  <mergeCells count="5">
    <mergeCell ref="B1:C1"/>
    <mergeCell ref="D1:Y1"/>
    <mergeCell ref="Z1:AB1"/>
    <mergeCell ref="AD1:AE1"/>
    <mergeCell ref="AF1:A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Nomena Ravoahangy</cp:lastModifiedBy>
  <dcterms:created xsi:type="dcterms:W3CDTF">2026-03-31T15:43:17Z</dcterms:created>
  <dcterms:modified xsi:type="dcterms:W3CDTF">2026-04-02T14:36:46Z</dcterms:modified>
</cp:coreProperties>
</file>