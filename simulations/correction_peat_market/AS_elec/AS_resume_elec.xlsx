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elec\"/>
    </mc:Choice>
  </mc:AlternateContent>
  <xr:revisionPtr revIDLastSave="0" documentId="13_ncr:1_{4F01DC6A-D893-4B7E-A6B1-E36771645E60}" xr6:coauthVersionLast="36" xr6:coauthVersionMax="36" xr10:uidLastSave="{00000000-0000-0000-0000-000000000000}"/>
  <bookViews>
    <workbookView xWindow="0" yWindow="0" windowWidth="22260" windowHeight="12650" activeTab="1" xr2:uid="{00000000-000D-0000-FFFF-FFFF00000000}"/>
  </bookViews>
  <sheets>
    <sheet name="inv" sheetId="1" r:id="rId1"/>
    <sheet name="ss_inv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" i="2" l="1"/>
  <c r="P12" i="2"/>
  <c r="Q12" i="2"/>
  <c r="R12" i="2"/>
  <c r="O8" i="2"/>
  <c r="P8" i="2"/>
  <c r="Q8" i="2"/>
  <c r="R8" i="2"/>
  <c r="O4" i="2"/>
  <c r="P4" i="2"/>
  <c r="Q4" i="2"/>
  <c r="R4" i="2"/>
  <c r="AB13" i="1"/>
  <c r="AC13" i="1"/>
  <c r="AD13" i="1"/>
  <c r="AE13" i="1"/>
  <c r="AF13" i="1"/>
  <c r="AG13" i="1"/>
  <c r="AH13" i="1"/>
  <c r="AI13" i="1"/>
  <c r="AB9" i="1"/>
  <c r="AC9" i="1"/>
  <c r="AD9" i="1"/>
  <c r="AE9" i="1"/>
  <c r="AF9" i="1"/>
  <c r="AG9" i="1"/>
  <c r="AH9" i="1"/>
  <c r="AI9" i="1"/>
  <c r="AB5" i="1"/>
  <c r="AC5" i="1"/>
  <c r="AD5" i="1"/>
  <c r="AE5" i="1"/>
  <c r="AF5" i="1"/>
  <c r="AG5" i="1"/>
  <c r="AH5" i="1"/>
  <c r="AI5" i="1"/>
  <c r="H12" i="2" l="1"/>
  <c r="I12" i="2"/>
  <c r="J12" i="2"/>
  <c r="H8" i="2"/>
  <c r="I8" i="2"/>
  <c r="J8" i="2"/>
  <c r="H4" i="2"/>
  <c r="B3" i="2" s="1"/>
  <c r="I4" i="2"/>
  <c r="C3" i="2" s="1"/>
  <c r="J4" i="2"/>
  <c r="D3" i="2" s="1"/>
  <c r="K4" i="2"/>
  <c r="E3" i="2" s="1"/>
  <c r="Q13" i="1"/>
  <c r="R13" i="1"/>
  <c r="S13" i="1"/>
  <c r="T13" i="1"/>
  <c r="U13" i="1"/>
  <c r="V13" i="1"/>
  <c r="W13" i="1"/>
  <c r="X13" i="1"/>
  <c r="Q9" i="1"/>
  <c r="R9" i="1"/>
  <c r="S9" i="1"/>
  <c r="T9" i="1"/>
  <c r="U9" i="1"/>
  <c r="V9" i="1"/>
  <c r="W9" i="1"/>
  <c r="X9" i="1"/>
  <c r="Q5" i="1"/>
  <c r="R5" i="1"/>
  <c r="S5" i="1"/>
  <c r="T5" i="1"/>
  <c r="U5" i="1"/>
  <c r="V5" i="1"/>
  <c r="W5" i="1"/>
  <c r="X5" i="1"/>
  <c r="K12" i="2" l="1"/>
  <c r="K8" i="2"/>
  <c r="C13" i="1" l="1"/>
  <c r="D13" i="1"/>
  <c r="E13" i="1"/>
  <c r="F13" i="1"/>
  <c r="G13" i="1"/>
  <c r="H13" i="1"/>
  <c r="I13" i="1"/>
  <c r="J13" i="1"/>
  <c r="C9" i="1"/>
  <c r="D9" i="1"/>
  <c r="E9" i="1"/>
  <c r="F9" i="1"/>
  <c r="G9" i="1"/>
  <c r="H9" i="1"/>
  <c r="I9" i="1"/>
  <c r="J9" i="1"/>
  <c r="C5" i="1"/>
  <c r="D5" i="1"/>
  <c r="E5" i="1"/>
  <c r="F5" i="1"/>
  <c r="G5" i="1"/>
  <c r="H5" i="1"/>
  <c r="I5" i="1"/>
  <c r="J5" i="1"/>
  <c r="N2" i="2" l="1"/>
  <c r="O2" i="2"/>
  <c r="P2" i="2"/>
  <c r="Q2" i="2"/>
  <c r="R2" i="2"/>
  <c r="S2" i="2"/>
  <c r="N4" i="2"/>
  <c r="B5" i="2"/>
  <c r="C5" i="2"/>
  <c r="D5" i="2"/>
  <c r="E5" i="2"/>
  <c r="S4" i="2"/>
  <c r="N8" i="2"/>
  <c r="B9" i="2"/>
  <c r="C9" i="2"/>
  <c r="D9" i="2"/>
  <c r="E9" i="2"/>
  <c r="S8" i="2"/>
  <c r="N12" i="2"/>
  <c r="B13" i="2"/>
  <c r="C13" i="2"/>
  <c r="D13" i="2"/>
  <c r="E13" i="2"/>
  <c r="S12" i="2"/>
  <c r="G2" i="2" l="1"/>
  <c r="H2" i="2"/>
  <c r="I2" i="2"/>
  <c r="J2" i="2"/>
  <c r="K2" i="2"/>
  <c r="G4" i="2"/>
  <c r="L4" i="2"/>
  <c r="G8" i="2"/>
  <c r="B7" i="2"/>
  <c r="C7" i="2"/>
  <c r="D7" i="2"/>
  <c r="E7" i="2"/>
  <c r="L8" i="2"/>
  <c r="G12" i="2"/>
  <c r="B11" i="2"/>
  <c r="C11" i="2"/>
  <c r="D11" i="2"/>
  <c r="E11" i="2"/>
  <c r="L12" i="2"/>
  <c r="B2" i="2" l="1"/>
  <c r="C2" i="2"/>
  <c r="D2" i="2"/>
  <c r="E2" i="2"/>
  <c r="A4" i="2"/>
  <c r="B4" i="2"/>
  <c r="C4" i="2"/>
  <c r="D4" i="2"/>
  <c r="E4" i="2"/>
  <c r="A8" i="2"/>
  <c r="B8" i="2"/>
  <c r="C8" i="2"/>
  <c r="D8" i="2"/>
  <c r="E8" i="2"/>
  <c r="A12" i="2"/>
  <c r="B12" i="2"/>
  <c r="C12" i="2"/>
  <c r="D12" i="2"/>
  <c r="E12" i="2"/>
  <c r="AA3" i="1" l="1"/>
  <c r="AB3" i="1"/>
  <c r="AC3" i="1"/>
  <c r="AD3" i="1"/>
  <c r="AE3" i="1"/>
  <c r="AF3" i="1"/>
  <c r="AG3" i="1"/>
  <c r="AH3" i="1"/>
  <c r="AI3" i="1"/>
  <c r="AA5" i="1"/>
  <c r="C6" i="1"/>
  <c r="D6" i="1"/>
  <c r="E6" i="1"/>
  <c r="F6" i="1"/>
  <c r="G6" i="1"/>
  <c r="H6" i="1"/>
  <c r="I6" i="1"/>
  <c r="J6" i="1"/>
  <c r="AA9" i="1"/>
  <c r="C10" i="1"/>
  <c r="D10" i="1"/>
  <c r="E10" i="1"/>
  <c r="F10" i="1"/>
  <c r="G10" i="1"/>
  <c r="H10" i="1"/>
  <c r="I10" i="1"/>
  <c r="J10" i="1"/>
  <c r="AA13" i="1"/>
  <c r="C14" i="1"/>
  <c r="D14" i="1"/>
  <c r="E14" i="1"/>
  <c r="F14" i="1"/>
  <c r="G14" i="1"/>
  <c r="H14" i="1"/>
  <c r="I14" i="1"/>
  <c r="J14" i="1"/>
  <c r="P3" i="1" l="1"/>
  <c r="Q3" i="1"/>
  <c r="R3" i="1"/>
  <c r="S3" i="1"/>
  <c r="T3" i="1"/>
  <c r="U3" i="1"/>
  <c r="V3" i="1"/>
  <c r="W3" i="1"/>
  <c r="X3" i="1"/>
  <c r="Y3" i="1"/>
  <c r="P5" i="1"/>
  <c r="C4" i="1"/>
  <c r="D4" i="1"/>
  <c r="E4" i="1"/>
  <c r="F4" i="1"/>
  <c r="G4" i="1"/>
  <c r="H4" i="1"/>
  <c r="I4" i="1"/>
  <c r="J4" i="1"/>
  <c r="Y5" i="1"/>
  <c r="M4" i="1" s="1"/>
  <c r="P9" i="1"/>
  <c r="C8" i="1"/>
  <c r="D8" i="1"/>
  <c r="E8" i="1"/>
  <c r="F8" i="1"/>
  <c r="G8" i="1"/>
  <c r="H8" i="1"/>
  <c r="I8" i="1"/>
  <c r="J8" i="1"/>
  <c r="Y9" i="1"/>
  <c r="M8" i="1" s="1"/>
  <c r="P13" i="1"/>
  <c r="C12" i="1"/>
  <c r="D12" i="1"/>
  <c r="E12" i="1"/>
  <c r="F12" i="1"/>
  <c r="G12" i="1"/>
  <c r="H12" i="1"/>
  <c r="I12" i="1"/>
  <c r="J12" i="1"/>
  <c r="Y13" i="1"/>
  <c r="M12" i="1" s="1"/>
  <c r="A3" i="1"/>
  <c r="C3" i="1"/>
  <c r="D3" i="1"/>
  <c r="E3" i="1"/>
  <c r="F3" i="1"/>
  <c r="G3" i="1"/>
  <c r="H3" i="1"/>
  <c r="I3" i="1"/>
  <c r="J3" i="1"/>
  <c r="M3" i="1"/>
  <c r="A5" i="1"/>
  <c r="M5" i="1"/>
  <c r="A9" i="1"/>
  <c r="M9" i="1"/>
  <c r="A13" i="1"/>
  <c r="M13" i="1"/>
</calcChain>
</file>

<file path=xl/sharedStrings.xml><?xml version="1.0" encoding="utf-8"?>
<sst xmlns="http://schemas.openxmlformats.org/spreadsheetml/2006/main" count="7" uniqueCount="4">
  <si>
    <t>name</t>
  </si>
  <si>
    <t>norm</t>
  </si>
  <si>
    <t>neg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</si>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</sst>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investment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inv!$A$3</c:f>
              <c:strCache>
                <c:ptCount val="1"/>
                <c:pt idx="0">
                  <c:v>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inv!$A$4:$A$14</c:f>
              <c:numCache>
                <c:formatCode>General</c:formatCode>
                <c:ptCount val="11"/>
                <c:pt idx="1">
                  <c:v>0</c:v>
                </c:pt>
                <c:pt idx="5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2-4B88-848C-62138C936889}"/>
            </c:ext>
          </c:extLst>
        </c:ser>
        <c:ser>
          <c:idx val="1"/>
          <c:order val="1"/>
          <c:tx>
            <c:strRef>
              <c:f>inv!$B$3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inv!$B$4:$B$14</c:f>
            </c:numRef>
          </c:val>
          <c:extLst>
            <c:ext xmlns:c16="http://schemas.microsoft.com/office/drawing/2014/chart" uri="{C3380CC4-5D6E-409C-BE32-E72D297353CC}">
              <c16:uniqueId val="{00000001-A1C2-4B88-848C-62138C936889}"/>
            </c:ext>
          </c:extLst>
        </c:ser>
        <c:ser>
          <c:idx val="2"/>
          <c:order val="2"/>
          <c:tx>
            <c:strRef>
              <c:f>inv!$C$3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inv!$C$4:$C$14</c:f>
              <c:numCache>
                <c:formatCode>General</c:formatCode>
                <c:ptCount val="11"/>
                <c:pt idx="0">
                  <c:v>0</c:v>
                </c:pt>
                <c:pt idx="1">
                  <c:v>6.5</c:v>
                </c:pt>
                <c:pt idx="2">
                  <c:v>6.5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1.29</c:v>
                </c:pt>
                <c:pt idx="10">
                  <c:v>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C2-4B88-848C-62138C936889}"/>
            </c:ext>
          </c:extLst>
        </c:ser>
        <c:ser>
          <c:idx val="3"/>
          <c:order val="3"/>
          <c:tx>
            <c:strRef>
              <c:f>inv!$D$3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inv!$D$4:$D$14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2-4B88-848C-62138C936889}"/>
            </c:ext>
          </c:extLst>
        </c:ser>
        <c:ser>
          <c:idx val="4"/>
          <c:order val="4"/>
          <c:tx>
            <c:strRef>
              <c:f>inv!$E$3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inv!$E$4:$E$14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C2-4B88-848C-62138C936889}"/>
            </c:ext>
          </c:extLst>
        </c:ser>
        <c:ser>
          <c:idx val="5"/>
          <c:order val="5"/>
          <c:tx>
            <c:strRef>
              <c:f>inv!$F$3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inv!$F$4:$F$14</c:f>
              <c:numCache>
                <c:formatCode>General</c:formatCode>
                <c:ptCount val="11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C2-4B88-848C-62138C936889}"/>
            </c:ext>
          </c:extLst>
        </c:ser>
        <c:ser>
          <c:idx val="6"/>
          <c:order val="6"/>
          <c:tx>
            <c:strRef>
              <c:f>inv!$G$3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inv!$G$4:$G$14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C2-4B88-848C-62138C936889}"/>
            </c:ext>
          </c:extLst>
        </c:ser>
        <c:ser>
          <c:idx val="7"/>
          <c:order val="7"/>
          <c:tx>
            <c:strRef>
              <c:f>inv!$H$3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inv!$H$4:$H$14</c:f>
              <c:numCache>
                <c:formatCode>General</c:formatCode>
                <c:ptCount val="11"/>
                <c:pt idx="0">
                  <c:v>0</c:v>
                </c:pt>
                <c:pt idx="1">
                  <c:v>93.51</c:v>
                </c:pt>
                <c:pt idx="2">
                  <c:v>93.51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C2-4B88-848C-62138C936889}"/>
            </c:ext>
          </c:extLst>
        </c:ser>
        <c:ser>
          <c:idx val="8"/>
          <c:order val="8"/>
          <c:tx>
            <c:strRef>
              <c:f>inv!$I$3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inv!$I$4:$I$14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C2-4B88-848C-62138C936889}"/>
            </c:ext>
          </c:extLst>
        </c:ser>
        <c:ser>
          <c:idx val="9"/>
          <c:order val="9"/>
          <c:tx>
            <c:strRef>
              <c:f>inv!$J$3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inv!$J$4:$J$14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100</c:v>
                </c:pt>
                <c:pt idx="8">
                  <c:v>0</c:v>
                </c:pt>
                <c:pt idx="9">
                  <c:v>98.71</c:v>
                </c:pt>
                <c:pt idx="10">
                  <c:v>98.71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1C2-4B88-848C-62138C936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8726336"/>
        <c:axId val="897936624"/>
      </c:barChart>
      <c:catAx>
        <c:axId val="1178726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7936624"/>
        <c:crosses val="autoZero"/>
        <c:auto val="1"/>
        <c:lblAlgn val="ctr"/>
        <c:lblOffset val="100"/>
        <c:noMultiLvlLbl val="0"/>
      </c:catAx>
      <c:valAx>
        <c:axId val="8979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872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 investment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ss_inv!$A$2</c:f>
              <c:strCache>
                <c:ptCount val="1"/>
                <c:pt idx="0">
                  <c:v>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ss_inv!$A$3:$A$13</c:f>
              <c:numCache>
                <c:formatCode>General</c:formatCode>
                <c:ptCount val="11"/>
                <c:pt idx="1">
                  <c:v>0</c:v>
                </c:pt>
                <c:pt idx="5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7-4F25-82FB-B11EDF34468E}"/>
            </c:ext>
          </c:extLst>
        </c:ser>
        <c:ser>
          <c:idx val="1"/>
          <c:order val="1"/>
          <c:tx>
            <c:strRef>
              <c:f>ss_inv!$B$2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ss_inv!$B$3:$B$13</c:f>
              <c:numCache>
                <c:formatCode>General</c:formatCode>
                <c:ptCount val="11"/>
                <c:pt idx="0">
                  <c:v>6.5</c:v>
                </c:pt>
                <c:pt idx="1">
                  <c:v>13.280000000000001</c:v>
                </c:pt>
                <c:pt idx="2">
                  <c:v>13.280000000000001</c:v>
                </c:pt>
                <c:pt idx="4">
                  <c:v>6.5</c:v>
                </c:pt>
                <c:pt idx="5">
                  <c:v>13.280000000000001</c:v>
                </c:pt>
                <c:pt idx="6">
                  <c:v>13.280000000000001</c:v>
                </c:pt>
                <c:pt idx="8">
                  <c:v>6.5</c:v>
                </c:pt>
                <c:pt idx="9">
                  <c:v>13.280000000000001</c:v>
                </c:pt>
                <c:pt idx="10">
                  <c:v>13.280000000000001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7-4F25-82FB-B11EDF34468E}"/>
            </c:ext>
          </c:extLst>
        </c:ser>
        <c:ser>
          <c:idx val="2"/>
          <c:order val="2"/>
          <c:tx>
            <c:strRef>
              <c:f>ss_inv!$C$2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ss_inv!$C$3:$C$13</c:f>
              <c:numCache>
                <c:formatCode>General</c:formatCode>
                <c:ptCount val="11"/>
                <c:pt idx="0">
                  <c:v>0</c:v>
                </c:pt>
                <c:pt idx="1">
                  <c:v>16.11</c:v>
                </c:pt>
                <c:pt idx="2">
                  <c:v>16.11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A7-4F25-82FB-B11EDF34468E}"/>
            </c:ext>
          </c:extLst>
        </c:ser>
        <c:ser>
          <c:idx val="3"/>
          <c:order val="3"/>
          <c:tx>
            <c:strRef>
              <c:f>ss_inv!$D$2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ss_inv!$D$3:$D$13</c:f>
              <c:numCache>
                <c:formatCode>General</c:formatCode>
                <c:ptCount val="11"/>
                <c:pt idx="0">
                  <c:v>93.51</c:v>
                </c:pt>
                <c:pt idx="1">
                  <c:v>0</c:v>
                </c:pt>
                <c:pt idx="2">
                  <c:v>0</c:v>
                </c:pt>
                <c:pt idx="4">
                  <c:v>93.51</c:v>
                </c:pt>
                <c:pt idx="5">
                  <c:v>86.73</c:v>
                </c:pt>
                <c:pt idx="6">
                  <c:v>86.73</c:v>
                </c:pt>
                <c:pt idx="8">
                  <c:v>93.51</c:v>
                </c:pt>
                <c:pt idx="9">
                  <c:v>86.73</c:v>
                </c:pt>
                <c:pt idx="10">
                  <c:v>80.03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A7-4F25-82FB-B11EDF34468E}"/>
            </c:ext>
          </c:extLst>
        </c:ser>
        <c:ser>
          <c:idx val="4"/>
          <c:order val="4"/>
          <c:tx>
            <c:strRef>
              <c:f>ss_inv!$E$2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ss_inv!$E$3:$E$13</c:f>
              <c:numCache>
                <c:formatCode>General</c:formatCode>
                <c:ptCount val="11"/>
                <c:pt idx="0">
                  <c:v>0</c:v>
                </c:pt>
                <c:pt idx="1">
                  <c:v>70.62</c:v>
                </c:pt>
                <c:pt idx="2">
                  <c:v>70.62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A7-4F25-82FB-B11EDF34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0516592"/>
        <c:axId val="262860048"/>
      </c:barChart>
      <c:catAx>
        <c:axId val="26051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2860048"/>
        <c:crosses val="autoZero"/>
        <c:auto val="1"/>
        <c:lblAlgn val="ctr"/>
        <c:lblOffset val="100"/>
        <c:noMultiLvlLbl val="0"/>
      </c:catAx>
      <c:valAx>
        <c:axId val="2628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51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800100</xdr:colOff>
      <xdr:row>17</xdr:row>
      <xdr:rowOff>130175</xdr:rowOff>
    </xdr:from>
    <xdr:to>
      <xdr:col>20</xdr:col>
      <xdr:colOff>63500</xdr:colOff>
      <xdr:row>39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41FB7D3-2B9B-4763-A9F9-2C40D8A8F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19049</xdr:colOff>
      <xdr:row>2</xdr:row>
      <xdr:rowOff>142875</xdr:rowOff>
    </xdr:from>
    <xdr:to>
      <xdr:col>25</xdr:col>
      <xdr:colOff>231774</xdr:colOff>
      <xdr:row>26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8623481-A560-4FC0-8A70-129023783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ll_dig_in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S/AS_neg_inv_al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S/AS_pos_inv_al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all_dig_inv2_V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lec_neg_in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lec_pos_in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ll_dig_ss_inv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S/AS_neg_ssinv_al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S/AS_pos_ssinv_al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lec_neg_ssinv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_pos_ssinv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S_march&#233;/AS_march&#233;_hobby/ss_inv/AS_neg_ssinv_ma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Feuil2"/>
      <sheetName val="Feuil1"/>
      <sheetName val="Feuil3"/>
    </sheetNames>
    <sheetDataSet>
      <sheetData sheetId="0">
        <row r="2">
          <cell r="AQ2" t="str">
            <v>name</v>
          </cell>
          <cell r="AR2" t="str">
            <v>HC</v>
          </cell>
          <cell r="AS2" t="str">
            <v>IC</v>
          </cell>
          <cell r="AT2" t="str">
            <v>AD-cog-dig</v>
          </cell>
          <cell r="AU2" t="str">
            <v>AD-cog-comp</v>
          </cell>
          <cell r="AV2" t="str">
            <v>AD-biomet-dig</v>
          </cell>
          <cell r="AW2" t="str">
            <v>AD-biomet-comp</v>
          </cell>
          <cell r="AX2" t="str">
            <v>AD-heat-dig</v>
          </cell>
          <cell r="AY2" t="str">
            <v>AD-heat-comp</v>
          </cell>
        </row>
        <row r="3">
          <cell r="AQ3" t="str">
            <v>minCC</v>
          </cell>
          <cell r="AZ3">
            <v>100.01</v>
          </cell>
        </row>
        <row r="4">
          <cell r="AQ4" t="str">
            <v>minEQ</v>
          </cell>
          <cell r="AZ4">
            <v>100</v>
          </cell>
        </row>
        <row r="5">
          <cell r="AQ5" t="str">
            <v>minHH</v>
          </cell>
          <cell r="AZ5">
            <v>100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Q2" t="str">
            <v>name</v>
          </cell>
          <cell r="AR2" t="str">
            <v>HC</v>
          </cell>
          <cell r="AS2" t="str">
            <v>IC</v>
          </cell>
          <cell r="AT2" t="str">
            <v>AD-cog-dig</v>
          </cell>
          <cell r="AU2" t="str">
            <v>AD-cog-comp</v>
          </cell>
          <cell r="AV2" t="str">
            <v>AD-biomet-dig</v>
          </cell>
          <cell r="AW2" t="str">
            <v>AD-biomet-comp</v>
          </cell>
          <cell r="AX2" t="str">
            <v>AD-heat-dig</v>
          </cell>
          <cell r="AY2" t="str">
            <v>AD-heat-comp</v>
          </cell>
        </row>
        <row r="3">
          <cell r="AQ3" t="str">
            <v>minCO2</v>
          </cell>
          <cell r="AZ3">
            <v>100.00999999999999</v>
          </cell>
        </row>
        <row r="4">
          <cell r="AQ4" t="str">
            <v>minEQ</v>
          </cell>
          <cell r="AZ4">
            <v>100.00999999999999</v>
          </cell>
        </row>
        <row r="5">
          <cell r="AQ5" t="str">
            <v>minHH</v>
          </cell>
          <cell r="AZ5">
            <v>100.00999999999999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Q2" t="str">
            <v>name</v>
          </cell>
          <cell r="AR2" t="str">
            <v>HC</v>
          </cell>
          <cell r="AS2" t="str">
            <v>IC</v>
          </cell>
          <cell r="AT2" t="str">
            <v>AD-cog-dig</v>
          </cell>
          <cell r="AU2" t="str">
            <v>AD-cog-comp</v>
          </cell>
          <cell r="AV2" t="str">
            <v>AD-biomet-dig</v>
          </cell>
          <cell r="AW2" t="str">
            <v>AD-biomet-comp</v>
          </cell>
          <cell r="AX2" t="str">
            <v>AD-heat-dig</v>
          </cell>
          <cell r="AY2" t="str">
            <v>AD-heat-comp</v>
          </cell>
        </row>
        <row r="3">
          <cell r="AQ3" t="str">
            <v>minCO2</v>
          </cell>
        </row>
        <row r="4">
          <cell r="AQ4" t="str">
            <v>minEQ</v>
          </cell>
        </row>
        <row r="5">
          <cell r="AQ5" t="str">
            <v>minHH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R3">
            <v>6.5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93.51</v>
          </cell>
          <cell r="AX3">
            <v>0</v>
          </cell>
          <cell r="AY3">
            <v>0</v>
          </cell>
        </row>
        <row r="4"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100</v>
          </cell>
        </row>
        <row r="5">
          <cell r="AR5">
            <v>1.29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98.71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R3">
            <v>0</v>
          </cell>
          <cell r="AS3">
            <v>0</v>
          </cell>
          <cell r="AT3">
            <v>0</v>
          </cell>
          <cell r="AU3">
            <v>100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</row>
        <row r="4">
          <cell r="AR4">
            <v>0</v>
          </cell>
          <cell r="AS4">
            <v>0</v>
          </cell>
          <cell r="AT4">
            <v>0</v>
          </cell>
          <cell r="AU4">
            <v>100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</row>
        <row r="5">
          <cell r="AR5">
            <v>0</v>
          </cell>
          <cell r="AS5">
            <v>0</v>
          </cell>
          <cell r="AT5">
            <v>0</v>
          </cell>
          <cell r="AU5">
            <v>100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R3">
            <v>6.5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93.51</v>
          </cell>
          <cell r="AX3">
            <v>0</v>
          </cell>
          <cell r="AY3">
            <v>0</v>
          </cell>
        </row>
        <row r="4"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100</v>
          </cell>
        </row>
        <row r="5">
          <cell r="AR5">
            <v>1.29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98.71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inte de capacité"/>
      <sheetName val="results"/>
      <sheetName val="Feuil1"/>
      <sheetName val="Feuil2"/>
    </sheetNames>
    <sheetDataSet>
      <sheetData sheetId="0"/>
      <sheetData sheetId="1">
        <row r="2">
          <cell r="AK2" t="str">
            <v>HC</v>
          </cell>
          <cell r="AL2" t="str">
            <v>IC</v>
          </cell>
          <cell r="AM2" t="str">
            <v>AD-cog-comp</v>
          </cell>
          <cell r="AN2" t="str">
            <v>AD-biomet-dig</v>
          </cell>
        </row>
        <row r="3">
          <cell r="AJ3" t="str">
            <v>minCC</v>
          </cell>
          <cell r="AK3">
            <v>13.280000000000001</v>
          </cell>
          <cell r="AL3">
            <v>16.11</v>
          </cell>
          <cell r="AM3">
            <v>0</v>
          </cell>
          <cell r="AN3">
            <v>70.62</v>
          </cell>
        </row>
        <row r="4">
          <cell r="AJ4" t="str">
            <v>minEQ</v>
          </cell>
          <cell r="AK4">
            <v>13.280000000000001</v>
          </cell>
          <cell r="AL4">
            <v>0</v>
          </cell>
          <cell r="AM4">
            <v>86.73</v>
          </cell>
          <cell r="AN4">
            <v>0</v>
          </cell>
        </row>
        <row r="5">
          <cell r="AJ5" t="str">
            <v>minHH</v>
          </cell>
          <cell r="AK5">
            <v>13.280000000000001</v>
          </cell>
          <cell r="AL5">
            <v>0</v>
          </cell>
          <cell r="AM5">
            <v>86.73</v>
          </cell>
          <cell r="AN5">
            <v>0</v>
          </cell>
        </row>
      </sheetData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 refreshError="1">
        <row r="2">
          <cell r="AJ2" t="str">
            <v>name</v>
          </cell>
          <cell r="AK2" t="str">
            <v>HC</v>
          </cell>
          <cell r="AL2" t="str">
            <v>IC</v>
          </cell>
          <cell r="AM2" t="str">
            <v>AD-cog-comp</v>
          </cell>
          <cell r="AN2" t="str">
            <v>AD-biomet-dig</v>
          </cell>
        </row>
        <row r="3">
          <cell r="AJ3" t="str">
            <v>minCO2</v>
          </cell>
          <cell r="AO3">
            <v>100.00999999999999</v>
          </cell>
        </row>
        <row r="4">
          <cell r="AJ4" t="str">
            <v>minEQ</v>
          </cell>
          <cell r="AO4">
            <v>100.00999999999999</v>
          </cell>
        </row>
        <row r="5">
          <cell r="AJ5" t="str">
            <v>minHH</v>
          </cell>
          <cell r="AO5">
            <v>100.00999999999999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J2" t="str">
            <v>name</v>
          </cell>
          <cell r="AK2" t="str">
            <v>HC</v>
          </cell>
          <cell r="AL2" t="str">
            <v>IC</v>
          </cell>
          <cell r="AM2" t="str">
            <v>AD-cog-comp</v>
          </cell>
          <cell r="AN2" t="str">
            <v>AD-biomet-dig</v>
          </cell>
        </row>
        <row r="3">
          <cell r="AJ3" t="str">
            <v>minCO2</v>
          </cell>
          <cell r="AO3">
            <v>100.01</v>
          </cell>
        </row>
        <row r="4">
          <cell r="AJ4" t="str">
            <v>minEQ</v>
          </cell>
          <cell r="AO4">
            <v>100.00999999999999</v>
          </cell>
        </row>
        <row r="5">
          <cell r="AJ5" t="str">
            <v>minHH</v>
          </cell>
          <cell r="AO5">
            <v>100.00999999999999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6.5</v>
          </cell>
          <cell r="AL3">
            <v>0</v>
          </cell>
          <cell r="AM3">
            <v>93.51</v>
          </cell>
          <cell r="AN3">
            <v>0</v>
          </cell>
        </row>
        <row r="4">
          <cell r="AK4">
            <v>6.5</v>
          </cell>
          <cell r="AL4">
            <v>0</v>
          </cell>
          <cell r="AM4">
            <v>93.51</v>
          </cell>
        </row>
        <row r="5">
          <cell r="AK5">
            <v>6.5</v>
          </cell>
          <cell r="AL5">
            <v>0</v>
          </cell>
          <cell r="AM5">
            <v>93.51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13.280000000000001</v>
          </cell>
          <cell r="AL3">
            <v>16.11</v>
          </cell>
          <cell r="AM3">
            <v>0</v>
          </cell>
          <cell r="AN3">
            <v>70.62</v>
          </cell>
        </row>
        <row r="4">
          <cell r="AK4">
            <v>13.280000000000001</v>
          </cell>
          <cell r="AL4">
            <v>0</v>
          </cell>
          <cell r="AM4">
            <v>86.73</v>
          </cell>
          <cell r="AN4">
            <v>0</v>
          </cell>
        </row>
        <row r="5">
          <cell r="AK5">
            <v>13.280000000000001</v>
          </cell>
          <cell r="AL5">
            <v>6.6999999999999993</v>
          </cell>
          <cell r="AM5">
            <v>80.03</v>
          </cell>
          <cell r="AN5">
            <v>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4">
          <cell r="AN4">
            <v>0</v>
          </cell>
        </row>
        <row r="5">
          <cell r="AN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14"/>
  <sheetViews>
    <sheetView topLeftCell="D16" workbookViewId="0">
      <selection activeCell="W17" sqref="W17"/>
    </sheetView>
  </sheetViews>
  <sheetFormatPr baseColWidth="10" defaultColWidth="8.7265625" defaultRowHeight="14.5" x14ac:dyDescent="0.35"/>
  <cols>
    <col min="2" max="2" width="0" hidden="1" customWidth="1"/>
    <col min="6" max="6" width="14.54296875" customWidth="1"/>
    <col min="8" max="8" width="11.7265625" customWidth="1"/>
    <col min="9" max="9" width="12.453125" customWidth="1"/>
    <col min="10" max="12" width="19.08984375" customWidth="1"/>
  </cols>
  <sheetData>
    <row r="2" spans="1:35" x14ac:dyDescent="0.35">
      <c r="A2" t="s">
        <v>1</v>
      </c>
      <c r="P2" t="s">
        <v>2</v>
      </c>
      <c r="AA2" t="s">
        <v>3</v>
      </c>
    </row>
    <row r="3" spans="1:35" x14ac:dyDescent="0.35">
      <c r="A3" t="str">
        <f>[1]results!AQ2</f>
        <v>name</v>
      </c>
      <c r="C3" t="str">
        <f>[1]results!AR2</f>
        <v>HC</v>
      </c>
      <c r="D3" t="str">
        <f>[1]results!AS2</f>
        <v>IC</v>
      </c>
      <c r="E3" t="str">
        <f>[1]results!AT2</f>
        <v>AD-cog-dig</v>
      </c>
      <c r="F3" t="str">
        <f>[1]results!AU2</f>
        <v>AD-cog-comp</v>
      </c>
      <c r="G3" t="str">
        <f>[1]results!AV2</f>
        <v>AD-biomet-dig</v>
      </c>
      <c r="H3" t="str">
        <f>[1]results!AW2</f>
        <v>AD-biomet-comp</v>
      </c>
      <c r="I3" t="str">
        <f>[1]results!AX2</f>
        <v>AD-heat-dig</v>
      </c>
      <c r="J3" t="str">
        <f>[1]results!AY2</f>
        <v>AD-heat-comp</v>
      </c>
      <c r="M3">
        <f>[1]results!AZ2</f>
        <v>0</v>
      </c>
      <c r="P3" t="str">
        <f>[2]results!AQ2</f>
        <v>name</v>
      </c>
      <c r="Q3" t="str">
        <f>[2]results!AR2</f>
        <v>HC</v>
      </c>
      <c r="R3" t="str">
        <f>[2]results!AS2</f>
        <v>IC</v>
      </c>
      <c r="S3" t="str">
        <f>[2]results!AT2</f>
        <v>AD-cog-dig</v>
      </c>
      <c r="T3" t="str">
        <f>[2]results!AU2</f>
        <v>AD-cog-comp</v>
      </c>
      <c r="U3" t="str">
        <f>[2]results!AV2</f>
        <v>AD-biomet-dig</v>
      </c>
      <c r="V3" t="str">
        <f>[2]results!AW2</f>
        <v>AD-biomet-comp</v>
      </c>
      <c r="W3" t="str">
        <f>[2]results!AX2</f>
        <v>AD-heat-dig</v>
      </c>
      <c r="X3" t="str">
        <f>[2]results!AY2</f>
        <v>AD-heat-comp</v>
      </c>
      <c r="Y3">
        <f>[2]results!AZ2</f>
        <v>0</v>
      </c>
      <c r="AA3" t="str">
        <f>[3]results!AQ2</f>
        <v>name</v>
      </c>
      <c r="AB3" t="str">
        <f>[3]results!AR2</f>
        <v>HC</v>
      </c>
      <c r="AC3" t="str">
        <f>[3]results!AS2</f>
        <v>IC</v>
      </c>
      <c r="AD3" t="str">
        <f>[3]results!AT2</f>
        <v>AD-cog-dig</v>
      </c>
      <c r="AE3" t="str">
        <f>[3]results!AU2</f>
        <v>AD-cog-comp</v>
      </c>
      <c r="AF3" t="str">
        <f>[3]results!AV2</f>
        <v>AD-biomet-dig</v>
      </c>
      <c r="AG3" t="str">
        <f>[3]results!AW2</f>
        <v>AD-biomet-comp</v>
      </c>
      <c r="AH3" t="str">
        <f>[3]results!AX2</f>
        <v>AD-heat-dig</v>
      </c>
      <c r="AI3" t="str">
        <f>[3]results!AY2</f>
        <v>AD-heat-comp</v>
      </c>
    </row>
    <row r="4" spans="1:35" x14ac:dyDescent="0.35">
      <c r="B4">
        <v>-0.5</v>
      </c>
      <c r="C4">
        <f t="shared" ref="C4:J4" si="0">Q5</f>
        <v>0</v>
      </c>
      <c r="D4">
        <f t="shared" si="0"/>
        <v>0</v>
      </c>
      <c r="E4">
        <f t="shared" si="0"/>
        <v>0</v>
      </c>
      <c r="F4">
        <f t="shared" si="0"/>
        <v>100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M4">
        <f t="shared" ref="M4" si="1">Y5</f>
        <v>100.00999999999999</v>
      </c>
    </row>
    <row r="5" spans="1:35" x14ac:dyDescent="0.35">
      <c r="A5" t="str">
        <f>[1]results!AQ3</f>
        <v>minCC</v>
      </c>
      <c r="C5">
        <f>[4]results!AR3</f>
        <v>6.5</v>
      </c>
      <c r="D5">
        <f>[4]results!AS3</f>
        <v>0</v>
      </c>
      <c r="E5">
        <f>[4]results!AT3</f>
        <v>0</v>
      </c>
      <c r="F5">
        <f>[4]results!AU3</f>
        <v>0</v>
      </c>
      <c r="G5">
        <f>[4]results!AV3</f>
        <v>0</v>
      </c>
      <c r="H5">
        <f>[4]results!AW3</f>
        <v>93.51</v>
      </c>
      <c r="I5">
        <f>[4]results!AX3</f>
        <v>0</v>
      </c>
      <c r="J5">
        <f>[4]results!AY3</f>
        <v>0</v>
      </c>
      <c r="M5">
        <f>[1]results!AZ3</f>
        <v>100.01</v>
      </c>
      <c r="P5" t="str">
        <f>[2]results!AQ3</f>
        <v>minCO2</v>
      </c>
      <c r="Q5">
        <f>[5]results!AR3</f>
        <v>0</v>
      </c>
      <c r="R5">
        <f>[5]results!AS3</f>
        <v>0</v>
      </c>
      <c r="S5">
        <f>[5]results!AT3</f>
        <v>0</v>
      </c>
      <c r="T5">
        <f>[5]results!AU3</f>
        <v>100</v>
      </c>
      <c r="U5">
        <f>[5]results!AV3</f>
        <v>0</v>
      </c>
      <c r="V5">
        <f>[5]results!AW3</f>
        <v>0</v>
      </c>
      <c r="W5">
        <f>[5]results!AX3</f>
        <v>0</v>
      </c>
      <c r="X5">
        <f>[5]results!AY3</f>
        <v>0</v>
      </c>
      <c r="Y5">
        <f>[2]results!AZ3</f>
        <v>100.00999999999999</v>
      </c>
      <c r="AA5" t="str">
        <f>[3]results!AQ3</f>
        <v>minCO2</v>
      </c>
      <c r="AB5">
        <f>[6]results!AR3</f>
        <v>6.5</v>
      </c>
      <c r="AC5">
        <f>[6]results!AS3</f>
        <v>0</v>
      </c>
      <c r="AD5">
        <f>[6]results!AT3</f>
        <v>0</v>
      </c>
      <c r="AE5">
        <f>[6]results!AU3</f>
        <v>0</v>
      </c>
      <c r="AF5">
        <f>[6]results!AV3</f>
        <v>0</v>
      </c>
      <c r="AG5">
        <f>[6]results!AW3</f>
        <v>93.51</v>
      </c>
      <c r="AH5">
        <f>[6]results!AX3</f>
        <v>0</v>
      </c>
      <c r="AI5">
        <f>[6]results!AY3</f>
        <v>0</v>
      </c>
    </row>
    <row r="6" spans="1:35" x14ac:dyDescent="0.35">
      <c r="B6">
        <v>0.5</v>
      </c>
      <c r="C6">
        <f t="shared" ref="C6:J6" si="2">AB5</f>
        <v>6.5</v>
      </c>
      <c r="D6">
        <f t="shared" si="2"/>
        <v>0</v>
      </c>
      <c r="E6">
        <f t="shared" si="2"/>
        <v>0</v>
      </c>
      <c r="F6">
        <f t="shared" si="2"/>
        <v>0</v>
      </c>
      <c r="G6">
        <f t="shared" si="2"/>
        <v>0</v>
      </c>
      <c r="H6">
        <f t="shared" si="2"/>
        <v>93.51</v>
      </c>
      <c r="I6">
        <f t="shared" si="2"/>
        <v>0</v>
      </c>
      <c r="J6">
        <f t="shared" si="2"/>
        <v>0</v>
      </c>
    </row>
    <row r="8" spans="1:35" x14ac:dyDescent="0.35">
      <c r="B8">
        <v>-0.5</v>
      </c>
      <c r="C8">
        <f t="shared" ref="C8:J8" si="3">Q9</f>
        <v>0</v>
      </c>
      <c r="D8">
        <f t="shared" si="3"/>
        <v>0</v>
      </c>
      <c r="E8">
        <f t="shared" si="3"/>
        <v>0</v>
      </c>
      <c r="F8">
        <f t="shared" si="3"/>
        <v>100</v>
      </c>
      <c r="G8">
        <f t="shared" si="3"/>
        <v>0</v>
      </c>
      <c r="H8">
        <f t="shared" si="3"/>
        <v>0</v>
      </c>
      <c r="I8">
        <f t="shared" si="3"/>
        <v>0</v>
      </c>
      <c r="J8">
        <f t="shared" si="3"/>
        <v>0</v>
      </c>
      <c r="M8">
        <f t="shared" ref="M8" si="4">Y9</f>
        <v>100.00999999999999</v>
      </c>
    </row>
    <row r="9" spans="1:35" x14ac:dyDescent="0.35">
      <c r="A9" t="str">
        <f>[1]results!AQ4</f>
        <v>minEQ</v>
      </c>
      <c r="C9">
        <f>[4]results!AR4</f>
        <v>0</v>
      </c>
      <c r="D9">
        <f>[4]results!AS4</f>
        <v>0</v>
      </c>
      <c r="E9">
        <f>[4]results!AT4</f>
        <v>0</v>
      </c>
      <c r="F9">
        <f>[4]results!AU4</f>
        <v>0</v>
      </c>
      <c r="G9">
        <f>[4]results!AV4</f>
        <v>0</v>
      </c>
      <c r="H9">
        <f>[4]results!AW4</f>
        <v>0</v>
      </c>
      <c r="I9">
        <f>[4]results!AX4</f>
        <v>0</v>
      </c>
      <c r="J9">
        <f>[4]results!AY4</f>
        <v>100</v>
      </c>
      <c r="M9">
        <f>[1]results!AZ4</f>
        <v>100</v>
      </c>
      <c r="P9" t="str">
        <f>[2]results!AQ4</f>
        <v>minEQ</v>
      </c>
      <c r="Q9">
        <f>[5]results!AR4</f>
        <v>0</v>
      </c>
      <c r="R9">
        <f>[5]results!AS4</f>
        <v>0</v>
      </c>
      <c r="S9">
        <f>[5]results!AT4</f>
        <v>0</v>
      </c>
      <c r="T9">
        <f>[5]results!AU4</f>
        <v>100</v>
      </c>
      <c r="U9">
        <f>[5]results!AV4</f>
        <v>0</v>
      </c>
      <c r="V9">
        <f>[5]results!AW4</f>
        <v>0</v>
      </c>
      <c r="W9">
        <f>[5]results!AX4</f>
        <v>0</v>
      </c>
      <c r="X9">
        <f>[5]results!AY4</f>
        <v>0</v>
      </c>
      <c r="Y9">
        <f>[2]results!AZ4</f>
        <v>100.00999999999999</v>
      </c>
      <c r="AA9" t="str">
        <f>[3]results!AQ4</f>
        <v>minEQ</v>
      </c>
      <c r="AB9">
        <f>[6]results!AR4</f>
        <v>0</v>
      </c>
      <c r="AC9">
        <f>[6]results!AS4</f>
        <v>0</v>
      </c>
      <c r="AD9">
        <f>[6]results!AT4</f>
        <v>0</v>
      </c>
      <c r="AE9">
        <f>[6]results!AU4</f>
        <v>0</v>
      </c>
      <c r="AF9">
        <f>[6]results!AV4</f>
        <v>0</v>
      </c>
      <c r="AG9">
        <f>[6]results!AW4</f>
        <v>0</v>
      </c>
      <c r="AH9">
        <f>[6]results!AX4</f>
        <v>0</v>
      </c>
      <c r="AI9">
        <f>[6]results!AY4</f>
        <v>100</v>
      </c>
    </row>
    <row r="10" spans="1:35" x14ac:dyDescent="0.35">
      <c r="B10">
        <v>0.5</v>
      </c>
      <c r="C10">
        <f t="shared" ref="C10:J10" si="5">AB9</f>
        <v>0</v>
      </c>
      <c r="D10">
        <f t="shared" si="5"/>
        <v>0</v>
      </c>
      <c r="E10">
        <f t="shared" si="5"/>
        <v>0</v>
      </c>
      <c r="F10">
        <f t="shared" si="5"/>
        <v>0</v>
      </c>
      <c r="G10">
        <f t="shared" si="5"/>
        <v>0</v>
      </c>
      <c r="H10">
        <f t="shared" si="5"/>
        <v>0</v>
      </c>
      <c r="I10">
        <f t="shared" si="5"/>
        <v>0</v>
      </c>
      <c r="J10">
        <f t="shared" si="5"/>
        <v>100</v>
      </c>
    </row>
    <row r="12" spans="1:35" x14ac:dyDescent="0.35">
      <c r="B12">
        <v>-0.5</v>
      </c>
      <c r="C12">
        <f t="shared" ref="C12:J12" si="6">Q13</f>
        <v>0</v>
      </c>
      <c r="D12">
        <f t="shared" si="6"/>
        <v>0</v>
      </c>
      <c r="E12">
        <f t="shared" si="6"/>
        <v>0</v>
      </c>
      <c r="F12">
        <f t="shared" si="6"/>
        <v>100</v>
      </c>
      <c r="G12">
        <f t="shared" si="6"/>
        <v>0</v>
      </c>
      <c r="H12">
        <f t="shared" si="6"/>
        <v>0</v>
      </c>
      <c r="I12">
        <f t="shared" si="6"/>
        <v>0</v>
      </c>
      <c r="J12">
        <f t="shared" si="6"/>
        <v>0</v>
      </c>
      <c r="M12">
        <f t="shared" ref="M12" si="7">Y13</f>
        <v>100.00999999999999</v>
      </c>
    </row>
    <row r="13" spans="1:35" x14ac:dyDescent="0.35">
      <c r="A13" t="str">
        <f>[1]results!AQ5</f>
        <v>minHH</v>
      </c>
      <c r="C13">
        <f>[4]results!AR5</f>
        <v>1.29</v>
      </c>
      <c r="D13">
        <f>[4]results!AS5</f>
        <v>0</v>
      </c>
      <c r="E13">
        <f>[4]results!AT5</f>
        <v>0</v>
      </c>
      <c r="F13">
        <f>[4]results!AU5</f>
        <v>0</v>
      </c>
      <c r="G13">
        <f>[4]results!AV5</f>
        <v>0</v>
      </c>
      <c r="H13">
        <f>[4]results!AW5</f>
        <v>0</v>
      </c>
      <c r="I13">
        <f>[4]results!AX5</f>
        <v>0</v>
      </c>
      <c r="J13">
        <f>[4]results!AY5</f>
        <v>98.71</v>
      </c>
      <c r="M13">
        <f>[1]results!AZ5</f>
        <v>100</v>
      </c>
      <c r="P13" t="str">
        <f>[2]results!AQ5</f>
        <v>minHH</v>
      </c>
      <c r="Q13">
        <f>[5]results!AR5</f>
        <v>0</v>
      </c>
      <c r="R13">
        <f>[5]results!AS5</f>
        <v>0</v>
      </c>
      <c r="S13">
        <f>[5]results!AT5</f>
        <v>0</v>
      </c>
      <c r="T13">
        <f>[5]results!AU5</f>
        <v>100</v>
      </c>
      <c r="U13">
        <f>[5]results!AV5</f>
        <v>0</v>
      </c>
      <c r="V13">
        <f>[5]results!AW5</f>
        <v>0</v>
      </c>
      <c r="W13">
        <f>[5]results!AX5</f>
        <v>0</v>
      </c>
      <c r="X13">
        <f>[5]results!AY5</f>
        <v>0</v>
      </c>
      <c r="Y13">
        <f>[2]results!AZ5</f>
        <v>100.00999999999999</v>
      </c>
      <c r="AA13" t="str">
        <f>[3]results!AQ5</f>
        <v>minHH</v>
      </c>
      <c r="AB13">
        <f>[6]results!AR5</f>
        <v>1.29</v>
      </c>
      <c r="AC13">
        <f>[6]results!AS5</f>
        <v>0</v>
      </c>
      <c r="AD13">
        <f>[6]results!AT5</f>
        <v>0</v>
      </c>
      <c r="AE13">
        <f>[6]results!AU5</f>
        <v>0</v>
      </c>
      <c r="AF13">
        <f>[6]results!AV5</f>
        <v>0</v>
      </c>
      <c r="AG13">
        <f>[6]results!AW5</f>
        <v>0</v>
      </c>
      <c r="AH13">
        <f>[6]results!AX5</f>
        <v>0</v>
      </c>
      <c r="AI13">
        <f>[6]results!AY5</f>
        <v>98.71</v>
      </c>
    </row>
    <row r="14" spans="1:35" x14ac:dyDescent="0.35">
      <c r="B14">
        <v>0.5</v>
      </c>
      <c r="C14">
        <f t="shared" ref="C14:J14" si="8">AB13</f>
        <v>1.29</v>
      </c>
      <c r="D14">
        <f t="shared" si="8"/>
        <v>0</v>
      </c>
      <c r="E14">
        <f t="shared" si="8"/>
        <v>0</v>
      </c>
      <c r="F14">
        <f t="shared" si="8"/>
        <v>0</v>
      </c>
      <c r="G14">
        <f t="shared" si="8"/>
        <v>0</v>
      </c>
      <c r="H14">
        <f t="shared" si="8"/>
        <v>0</v>
      </c>
      <c r="I14">
        <f t="shared" si="8"/>
        <v>0</v>
      </c>
      <c r="J14">
        <f t="shared" si="8"/>
        <v>98.71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B012-5109-44C6-8E37-563FE0CBD43E}">
  <dimension ref="A1:S13"/>
  <sheetViews>
    <sheetView tabSelected="1" topLeftCell="G1" workbookViewId="0">
      <selection activeCell="B3" sqref="B3:E3"/>
    </sheetView>
  </sheetViews>
  <sheetFormatPr baseColWidth="10" defaultRowHeight="14.5" x14ac:dyDescent="0.35"/>
  <cols>
    <col min="4" max="4" width="20.7265625" customWidth="1"/>
  </cols>
  <sheetData>
    <row r="1" spans="1:19" x14ac:dyDescent="0.35">
      <c r="A1" t="s">
        <v>1</v>
      </c>
      <c r="G1" t="s">
        <v>2</v>
      </c>
      <c r="N1" t="s">
        <v>3</v>
      </c>
    </row>
    <row r="2" spans="1:19" x14ac:dyDescent="0.35">
      <c r="A2" t="s">
        <v>0</v>
      </c>
      <c r="B2" t="str">
        <f>[7]results!AK2</f>
        <v>HC</v>
      </c>
      <c r="C2" t="str">
        <f>[7]results!AL2</f>
        <v>IC</v>
      </c>
      <c r="D2" t="str">
        <f>[7]results!AM2</f>
        <v>AD-cog-comp</v>
      </c>
      <c r="E2" t="str">
        <f>[7]results!AN2</f>
        <v>AD-biomet-dig</v>
      </c>
      <c r="G2" t="str">
        <f>[8]results!AJ2</f>
        <v>name</v>
      </c>
      <c r="H2" t="str">
        <f>[8]results!AK2</f>
        <v>HC</v>
      </c>
      <c r="I2" t="str">
        <f>[8]results!AL2</f>
        <v>IC</v>
      </c>
      <c r="J2" t="str">
        <f>[8]results!AM2</f>
        <v>AD-cog-comp</v>
      </c>
      <c r="K2" t="str">
        <f>[8]results!AN2</f>
        <v>AD-biomet-dig</v>
      </c>
      <c r="N2" t="str">
        <f>[9]results!AJ2</f>
        <v>name</v>
      </c>
      <c r="O2" t="str">
        <f>[9]results!AK2</f>
        <v>HC</v>
      </c>
      <c r="P2" t="str">
        <f>[9]results!AL2</f>
        <v>IC</v>
      </c>
      <c r="Q2" t="str">
        <f>[9]results!AM2</f>
        <v>AD-cog-comp</v>
      </c>
      <c r="R2" t="str">
        <f>[9]results!AN2</f>
        <v>AD-biomet-dig</v>
      </c>
      <c r="S2">
        <f>[9]results!AO2</f>
        <v>0</v>
      </c>
    </row>
    <row r="3" spans="1:19" x14ac:dyDescent="0.35">
      <c r="B3">
        <f t="shared" ref="B3:E3" si="0">H4</f>
        <v>6.5</v>
      </c>
      <c r="C3">
        <f t="shared" si="0"/>
        <v>0</v>
      </c>
      <c r="D3">
        <f t="shared" si="0"/>
        <v>93.51</v>
      </c>
      <c r="E3">
        <f t="shared" si="0"/>
        <v>0</v>
      </c>
    </row>
    <row r="4" spans="1:19" x14ac:dyDescent="0.35">
      <c r="A4" t="str">
        <f>[7]results!AJ3</f>
        <v>minCC</v>
      </c>
      <c r="B4">
        <f>[7]results!AK3</f>
        <v>13.280000000000001</v>
      </c>
      <c r="C4">
        <f>[7]results!AL3</f>
        <v>16.11</v>
      </c>
      <c r="D4">
        <f>[7]results!AM3</f>
        <v>0</v>
      </c>
      <c r="E4">
        <f>[7]results!AN3</f>
        <v>70.62</v>
      </c>
      <c r="G4" t="str">
        <f>[8]results!AJ3</f>
        <v>minCO2</v>
      </c>
      <c r="H4">
        <f>[10]results!AK3</f>
        <v>6.5</v>
      </c>
      <c r="I4">
        <f>[10]results!AL3</f>
        <v>0</v>
      </c>
      <c r="J4">
        <f>[10]results!AM3</f>
        <v>93.51</v>
      </c>
      <c r="K4">
        <f>[10]results!AN3</f>
        <v>0</v>
      </c>
      <c r="L4">
        <f>[8]results!AO3</f>
        <v>100.00999999999999</v>
      </c>
      <c r="N4" t="str">
        <f>[9]results!AJ3</f>
        <v>minCO2</v>
      </c>
      <c r="O4">
        <f>[11]results!AK3</f>
        <v>13.280000000000001</v>
      </c>
      <c r="P4">
        <f>[11]results!AL3</f>
        <v>16.11</v>
      </c>
      <c r="Q4">
        <f>[11]results!AM3</f>
        <v>0</v>
      </c>
      <c r="R4">
        <f>[11]results!AN3</f>
        <v>70.62</v>
      </c>
      <c r="S4">
        <f>[9]results!AO3</f>
        <v>100.01</v>
      </c>
    </row>
    <row r="5" spans="1:19" x14ac:dyDescent="0.35">
      <c r="B5">
        <f>O4</f>
        <v>13.280000000000001</v>
      </c>
      <c r="C5">
        <f>P4</f>
        <v>16.11</v>
      </c>
      <c r="D5">
        <f>Q4</f>
        <v>0</v>
      </c>
      <c r="E5">
        <f>R4</f>
        <v>70.62</v>
      </c>
    </row>
    <row r="7" spans="1:19" x14ac:dyDescent="0.35">
      <c r="B7">
        <f>H8</f>
        <v>6.5</v>
      </c>
      <c r="C7">
        <f>I8</f>
        <v>0</v>
      </c>
      <c r="D7">
        <f>J8</f>
        <v>93.51</v>
      </c>
      <c r="E7">
        <f>K8</f>
        <v>0</v>
      </c>
    </row>
    <row r="8" spans="1:19" x14ac:dyDescent="0.35">
      <c r="A8" t="str">
        <f>[7]results!AJ4</f>
        <v>minEQ</v>
      </c>
      <c r="B8">
        <f>[7]results!AK4</f>
        <v>13.280000000000001</v>
      </c>
      <c r="C8">
        <f>[7]results!AL4</f>
        <v>0</v>
      </c>
      <c r="D8">
        <f>[7]results!AM4</f>
        <v>86.73</v>
      </c>
      <c r="E8">
        <f>[7]results!AN4</f>
        <v>0</v>
      </c>
      <c r="G8" t="str">
        <f>[8]results!AJ4</f>
        <v>minEQ</v>
      </c>
      <c r="H8">
        <f>[10]results!AK4</f>
        <v>6.5</v>
      </c>
      <c r="I8">
        <f>[10]results!AL4</f>
        <v>0</v>
      </c>
      <c r="J8">
        <f>[10]results!AM4</f>
        <v>93.51</v>
      </c>
      <c r="K8">
        <f>[12]results!AN4</f>
        <v>0</v>
      </c>
      <c r="L8">
        <f>[8]results!AO4</f>
        <v>100.00999999999999</v>
      </c>
      <c r="N8" t="str">
        <f>[9]results!AJ4</f>
        <v>minEQ</v>
      </c>
      <c r="O8">
        <f>[11]results!AK4</f>
        <v>13.280000000000001</v>
      </c>
      <c r="P8">
        <f>[11]results!AL4</f>
        <v>0</v>
      </c>
      <c r="Q8">
        <f>[11]results!AM4</f>
        <v>86.73</v>
      </c>
      <c r="R8">
        <f>[11]results!AN4</f>
        <v>0</v>
      </c>
      <c r="S8">
        <f>[9]results!AO4</f>
        <v>100.00999999999999</v>
      </c>
    </row>
    <row r="9" spans="1:19" x14ac:dyDescent="0.35">
      <c r="B9">
        <f>O8</f>
        <v>13.280000000000001</v>
      </c>
      <c r="C9">
        <f>P8</f>
        <v>0</v>
      </c>
      <c r="D9">
        <f>Q8</f>
        <v>86.73</v>
      </c>
      <c r="E9">
        <f>R8</f>
        <v>0</v>
      </c>
    </row>
    <row r="11" spans="1:19" x14ac:dyDescent="0.35">
      <c r="B11">
        <f>H12</f>
        <v>6.5</v>
      </c>
      <c r="C11">
        <f>I12</f>
        <v>0</v>
      </c>
      <c r="D11">
        <f>J12</f>
        <v>93.51</v>
      </c>
      <c r="E11">
        <f>K12</f>
        <v>0</v>
      </c>
    </row>
    <row r="12" spans="1:19" x14ac:dyDescent="0.35">
      <c r="A12" t="str">
        <f>[7]results!AJ5</f>
        <v>minHH</v>
      </c>
      <c r="B12">
        <f>[7]results!AK5</f>
        <v>13.280000000000001</v>
      </c>
      <c r="C12">
        <f>[7]results!AL5</f>
        <v>0</v>
      </c>
      <c r="D12">
        <f>[7]results!AM5</f>
        <v>86.73</v>
      </c>
      <c r="E12">
        <f>[7]results!AN5</f>
        <v>0</v>
      </c>
      <c r="G12" t="str">
        <f>[8]results!AJ5</f>
        <v>minHH</v>
      </c>
      <c r="H12">
        <f>[10]results!AK5</f>
        <v>6.5</v>
      </c>
      <c r="I12">
        <f>[10]results!AL5</f>
        <v>0</v>
      </c>
      <c r="J12">
        <f>[10]results!AM5</f>
        <v>93.51</v>
      </c>
      <c r="K12">
        <f>[12]results!AN5</f>
        <v>0</v>
      </c>
      <c r="L12">
        <f>[8]results!AO5</f>
        <v>100.00999999999999</v>
      </c>
      <c r="N12" t="str">
        <f>[9]results!AJ5</f>
        <v>minHH</v>
      </c>
      <c r="O12">
        <f>[11]results!AK5</f>
        <v>13.280000000000001</v>
      </c>
      <c r="P12">
        <f>[11]results!AL5</f>
        <v>6.6999999999999993</v>
      </c>
      <c r="Q12">
        <f>[11]results!AM5</f>
        <v>80.03</v>
      </c>
      <c r="R12">
        <f>[11]results!AN5</f>
        <v>0</v>
      </c>
      <c r="S12">
        <f>[9]results!AO5</f>
        <v>100.00999999999999</v>
      </c>
    </row>
    <row r="13" spans="1:19" x14ac:dyDescent="0.35">
      <c r="B13">
        <f>O12</f>
        <v>13.280000000000001</v>
      </c>
      <c r="C13">
        <f>P12</f>
        <v>6.6999999999999993</v>
      </c>
      <c r="D13">
        <f>Q12</f>
        <v>80.03</v>
      </c>
      <c r="E13">
        <f>R12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inv</vt:lpstr>
      <vt:lpstr>ss_inv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hravoaha</dc:creator>
  <cp:lastModifiedBy>Nomena Ravoahangy</cp:lastModifiedBy>
  <dcterms:created xsi:type="dcterms:W3CDTF">2015-06-05T18:19:34Z</dcterms:created>
  <dcterms:modified xsi:type="dcterms:W3CDTF">2026-04-03T14:00:15Z</dcterms:modified>
</cp:coreProperties>
</file>