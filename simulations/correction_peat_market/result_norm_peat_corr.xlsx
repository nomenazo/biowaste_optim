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2117653F-2171-4DCC-9A07-1118A51634CF}" xr6:coauthVersionLast="36" xr6:coauthVersionMax="36" xr10:uidLastSave="{00000000-0000-0000-0000-000000000000}"/>
  <bookViews>
    <workbookView xWindow="0" yWindow="0" windowWidth="19200" windowHeight="6350" activeTab="5" xr2:uid="{DCD3CA2F-96EC-4CF6-B25F-28CD58F61490}"/>
  </bookViews>
  <sheets>
    <sheet name="all_cons" sheetId="9" r:id="rId1"/>
    <sheet name="peat_cons" sheetId="8" r:id="rId2"/>
    <sheet name="hobby_cons" sheetId="7" r:id="rId3"/>
    <sheet name="brut2" sheetId="6" r:id="rId4"/>
    <sheet name="all_dig" sheetId="11" r:id="rId5"/>
    <sheet name="dig_only" sheetId="1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3" l="1"/>
  <c r="C2" i="13"/>
  <c r="D2" i="13"/>
  <c r="E2" i="13"/>
  <c r="F2" i="13"/>
  <c r="B3" i="13"/>
  <c r="S8" i="13" s="1"/>
  <c r="C3" i="13"/>
  <c r="D3" i="13"/>
  <c r="E3" i="13"/>
  <c r="F3" i="13"/>
  <c r="B4" i="13"/>
  <c r="C4" i="13"/>
  <c r="D4" i="13"/>
  <c r="E4" i="13"/>
  <c r="F4" i="13"/>
  <c r="B5" i="13"/>
  <c r="C5" i="13"/>
  <c r="D5" i="13"/>
  <c r="E5" i="13"/>
  <c r="F5" i="13"/>
  <c r="B6" i="13"/>
  <c r="C6" i="13"/>
  <c r="D6" i="13"/>
  <c r="E6" i="13"/>
  <c r="F6" i="13"/>
  <c r="B7" i="13"/>
  <c r="C7" i="13"/>
  <c r="D7" i="13"/>
  <c r="E7" i="13"/>
  <c r="F7" i="13"/>
  <c r="B8" i="13"/>
  <c r="C8" i="13"/>
  <c r="D8" i="13"/>
  <c r="E8" i="13"/>
  <c r="F8" i="13"/>
  <c r="B9" i="13"/>
  <c r="C9" i="13"/>
  <c r="D9" i="13"/>
  <c r="E9" i="13"/>
  <c r="F9" i="13"/>
  <c r="B10" i="13"/>
  <c r="C10" i="13"/>
  <c r="D10" i="13"/>
  <c r="E10" i="13"/>
  <c r="F10" i="13"/>
  <c r="B11" i="13"/>
  <c r="C11" i="13"/>
  <c r="D11" i="13"/>
  <c r="E11" i="13"/>
  <c r="F11" i="13"/>
  <c r="B12" i="13"/>
  <c r="C12" i="13"/>
  <c r="D12" i="13"/>
  <c r="E12" i="13"/>
  <c r="F12" i="13"/>
  <c r="B13" i="13"/>
  <c r="C13" i="13"/>
  <c r="D13" i="13"/>
  <c r="E13" i="13"/>
  <c r="F13" i="13"/>
  <c r="B14" i="13"/>
  <c r="C14" i="13"/>
  <c r="D14" i="13"/>
  <c r="E14" i="13"/>
  <c r="F14" i="13"/>
  <c r="B15" i="13"/>
  <c r="C15" i="13"/>
  <c r="D15" i="13"/>
  <c r="E15" i="13"/>
  <c r="F15" i="13"/>
  <c r="X15" i="13"/>
  <c r="W15" i="13"/>
  <c r="X14" i="13"/>
  <c r="W14" i="13"/>
  <c r="X13" i="13"/>
  <c r="W13" i="13"/>
  <c r="X12" i="13"/>
  <c r="W12" i="13"/>
  <c r="X11" i="13"/>
  <c r="W11" i="13"/>
  <c r="X10" i="13"/>
  <c r="W10" i="13"/>
  <c r="X9" i="13"/>
  <c r="W9" i="13"/>
  <c r="B9" i="11"/>
  <c r="C9" i="11"/>
  <c r="D9" i="11"/>
  <c r="E9" i="11"/>
  <c r="F9" i="11"/>
  <c r="B10" i="11"/>
  <c r="C10" i="11"/>
  <c r="D10" i="11"/>
  <c r="E10" i="11"/>
  <c r="F10" i="11"/>
  <c r="B11" i="11"/>
  <c r="C11" i="11"/>
  <c r="D11" i="11"/>
  <c r="E11" i="11"/>
  <c r="F11" i="11"/>
  <c r="B12" i="11"/>
  <c r="C12" i="11"/>
  <c r="D12" i="11"/>
  <c r="E12" i="11"/>
  <c r="F12" i="11"/>
  <c r="B13" i="11"/>
  <c r="C13" i="11"/>
  <c r="D13" i="11"/>
  <c r="E13" i="11"/>
  <c r="F13" i="11"/>
  <c r="B14" i="11"/>
  <c r="C14" i="11"/>
  <c r="D14" i="11"/>
  <c r="E14" i="11"/>
  <c r="F14" i="11"/>
  <c r="B15" i="11"/>
  <c r="C15" i="11"/>
  <c r="D15" i="11"/>
  <c r="E15" i="11"/>
  <c r="F15" i="11"/>
  <c r="B2" i="11"/>
  <c r="C2" i="11"/>
  <c r="D2" i="11"/>
  <c r="E2" i="11"/>
  <c r="F2" i="11"/>
  <c r="B3" i="11"/>
  <c r="C3" i="11"/>
  <c r="T3" i="11" s="1"/>
  <c r="D3" i="11"/>
  <c r="U6" i="11" s="1"/>
  <c r="E3" i="11"/>
  <c r="F3" i="11"/>
  <c r="B4" i="11"/>
  <c r="C4" i="11"/>
  <c r="D4" i="11"/>
  <c r="E4" i="11"/>
  <c r="F4" i="11"/>
  <c r="B5" i="11"/>
  <c r="S5" i="11" s="1"/>
  <c r="C5" i="11"/>
  <c r="D5" i="11"/>
  <c r="E5" i="11"/>
  <c r="F5" i="11"/>
  <c r="B6" i="11"/>
  <c r="C6" i="11"/>
  <c r="D6" i="11"/>
  <c r="E6" i="11"/>
  <c r="L14" i="11" s="1"/>
  <c r="F6" i="11"/>
  <c r="B7" i="11"/>
  <c r="C7" i="11"/>
  <c r="D7" i="11"/>
  <c r="U7" i="11" s="1"/>
  <c r="E7" i="11"/>
  <c r="F7" i="11"/>
  <c r="B8" i="11"/>
  <c r="C8" i="11"/>
  <c r="T8" i="11" s="1"/>
  <c r="D8" i="11"/>
  <c r="E8" i="11"/>
  <c r="F8" i="11"/>
  <c r="X15" i="11"/>
  <c r="W15" i="11"/>
  <c r="X14" i="11"/>
  <c r="W14" i="11"/>
  <c r="X13" i="11"/>
  <c r="W13" i="11"/>
  <c r="X12" i="11"/>
  <c r="W12" i="11"/>
  <c r="X11" i="11"/>
  <c r="W11" i="11"/>
  <c r="X10" i="11"/>
  <c r="W10" i="11"/>
  <c r="X9" i="11"/>
  <c r="W9" i="11"/>
  <c r="K5" i="11"/>
  <c r="U2" i="11"/>
  <c r="U3" i="11" l="1"/>
  <c r="I10" i="11"/>
  <c r="K8" i="11"/>
  <c r="T7" i="11"/>
  <c r="M6" i="11"/>
  <c r="M8" i="11"/>
  <c r="T5" i="13"/>
  <c r="U4" i="13"/>
  <c r="T7" i="13"/>
  <c r="L2" i="13"/>
  <c r="I12" i="13"/>
  <c r="L10" i="13"/>
  <c r="M3" i="13"/>
  <c r="U6" i="13"/>
  <c r="M6" i="13"/>
  <c r="I4" i="13"/>
  <c r="M7" i="13"/>
  <c r="M10" i="13"/>
  <c r="L13" i="13"/>
  <c r="T3" i="13"/>
  <c r="M4" i="13"/>
  <c r="L8" i="13"/>
  <c r="K2" i="13"/>
  <c r="M8" i="13"/>
  <c r="S6" i="13"/>
  <c r="M9" i="13"/>
  <c r="M14" i="13"/>
  <c r="J13" i="13"/>
  <c r="L14" i="13"/>
  <c r="I15" i="13"/>
  <c r="K13" i="13"/>
  <c r="M13" i="13"/>
  <c r="M11" i="13"/>
  <c r="M2" i="13"/>
  <c r="J4" i="13"/>
  <c r="J12" i="13"/>
  <c r="J15" i="13"/>
  <c r="J9" i="13"/>
  <c r="K12" i="13"/>
  <c r="P12" i="13" s="1"/>
  <c r="K15" i="13"/>
  <c r="I13" i="13"/>
  <c r="O13" i="13" s="1"/>
  <c r="L4" i="13"/>
  <c r="L7" i="13"/>
  <c r="K9" i="13"/>
  <c r="L12" i="13"/>
  <c r="J3" i="13"/>
  <c r="L9" i="13"/>
  <c r="I11" i="13"/>
  <c r="I2" i="13"/>
  <c r="K3" i="13"/>
  <c r="J11" i="13"/>
  <c r="I5" i="13"/>
  <c r="K8" i="13"/>
  <c r="L3" i="13"/>
  <c r="K4" i="13"/>
  <c r="J5" i="13"/>
  <c r="U5" i="13"/>
  <c r="I6" i="13"/>
  <c r="T6" i="13"/>
  <c r="S7" i="13"/>
  <c r="K5" i="13"/>
  <c r="J6" i="13"/>
  <c r="I7" i="13"/>
  <c r="I10" i="13"/>
  <c r="K11" i="13"/>
  <c r="M12" i="13"/>
  <c r="I14" i="13"/>
  <c r="T8" i="13"/>
  <c r="L11" i="13"/>
  <c r="M5" i="13"/>
  <c r="M15" i="13"/>
  <c r="T2" i="13"/>
  <c r="S3" i="13"/>
  <c r="L5" i="13"/>
  <c r="J7" i="13"/>
  <c r="K7" i="13"/>
  <c r="I9" i="13"/>
  <c r="K14" i="13"/>
  <c r="U2" i="13"/>
  <c r="S4" i="13"/>
  <c r="U7" i="13"/>
  <c r="L15" i="13"/>
  <c r="L6" i="13"/>
  <c r="U8" i="13"/>
  <c r="J2" i="13"/>
  <c r="I3" i="13"/>
  <c r="U3" i="13"/>
  <c r="T4" i="13"/>
  <c r="S5" i="13"/>
  <c r="K6" i="13"/>
  <c r="I8" i="13"/>
  <c r="J10" i="13"/>
  <c r="J14" i="13"/>
  <c r="S2" i="13"/>
  <c r="J8" i="13"/>
  <c r="K10" i="13"/>
  <c r="M3" i="11"/>
  <c r="M13" i="11"/>
  <c r="M15" i="11"/>
  <c r="K15" i="11"/>
  <c r="I12" i="11"/>
  <c r="J2" i="11"/>
  <c r="I13" i="11"/>
  <c r="I4" i="11"/>
  <c r="K13" i="11"/>
  <c r="I15" i="11"/>
  <c r="L13" i="11"/>
  <c r="I3" i="11"/>
  <c r="K6" i="11"/>
  <c r="T4" i="11"/>
  <c r="I7" i="11"/>
  <c r="L8" i="11"/>
  <c r="J13" i="11"/>
  <c r="K14" i="11"/>
  <c r="I9" i="11"/>
  <c r="K11" i="11"/>
  <c r="M14" i="11"/>
  <c r="J9" i="11"/>
  <c r="K10" i="11"/>
  <c r="M12" i="11"/>
  <c r="L7" i="11"/>
  <c r="L11" i="11"/>
  <c r="S4" i="11"/>
  <c r="J6" i="11"/>
  <c r="M7" i="11"/>
  <c r="K9" i="11"/>
  <c r="L10" i="11"/>
  <c r="M11" i="11"/>
  <c r="J12" i="11"/>
  <c r="J3" i="11"/>
  <c r="K2" i="11"/>
  <c r="J7" i="11"/>
  <c r="S8" i="11"/>
  <c r="M10" i="11"/>
  <c r="L4" i="11"/>
  <c r="I14" i="11"/>
  <c r="O13" i="11"/>
  <c r="J4" i="11"/>
  <c r="T5" i="11"/>
  <c r="K12" i="11"/>
  <c r="M2" i="11"/>
  <c r="L3" i="11"/>
  <c r="K4" i="11"/>
  <c r="J5" i="11"/>
  <c r="U5" i="11"/>
  <c r="W5" i="11" s="1"/>
  <c r="I6" i="11"/>
  <c r="T6" i="11"/>
  <c r="S7" i="11"/>
  <c r="J11" i="11"/>
  <c r="L12" i="11"/>
  <c r="J15" i="11"/>
  <c r="O15" i="11" s="1"/>
  <c r="L15" i="11"/>
  <c r="L9" i="11"/>
  <c r="L2" i="11"/>
  <c r="U4" i="11"/>
  <c r="J10" i="11"/>
  <c r="S2" i="11"/>
  <c r="M5" i="11"/>
  <c r="L6" i="11"/>
  <c r="K7" i="11"/>
  <c r="O7" i="11" s="1"/>
  <c r="J8" i="11"/>
  <c r="U8" i="11"/>
  <c r="W8" i="11" s="1"/>
  <c r="S6" i="11"/>
  <c r="K3" i="11"/>
  <c r="I5" i="11"/>
  <c r="M4" i="11"/>
  <c r="L5" i="11"/>
  <c r="I8" i="11"/>
  <c r="J14" i="11"/>
  <c r="I2" i="11"/>
  <c r="T2" i="11"/>
  <c r="S3" i="11"/>
  <c r="M9" i="11"/>
  <c r="I11" i="11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2" i="9"/>
  <c r="C2" i="9"/>
  <c r="D2" i="9"/>
  <c r="E2" i="9"/>
  <c r="F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1" i="6"/>
  <c r="B2" i="8"/>
  <c r="C2" i="8"/>
  <c r="D2" i="8"/>
  <c r="E2" i="8"/>
  <c r="F2" i="8"/>
  <c r="B3" i="8"/>
  <c r="C3" i="8"/>
  <c r="D3" i="8"/>
  <c r="E3" i="8"/>
  <c r="F3" i="8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C8" i="8"/>
  <c r="D8" i="8"/>
  <c r="E8" i="8"/>
  <c r="F8" i="8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14" i="7"/>
  <c r="C14" i="7"/>
  <c r="D14" i="7"/>
  <c r="E14" i="7"/>
  <c r="F14" i="7"/>
  <c r="B15" i="7"/>
  <c r="C15" i="7"/>
  <c r="D15" i="7"/>
  <c r="E15" i="7"/>
  <c r="F15" i="7"/>
  <c r="B2" i="7"/>
  <c r="C2" i="7"/>
  <c r="D2" i="7"/>
  <c r="E2" i="7"/>
  <c r="F2" i="7"/>
  <c r="B3" i="7"/>
  <c r="C3" i="7"/>
  <c r="D3" i="7"/>
  <c r="E3" i="7"/>
  <c r="F3" i="7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6"/>
  <c r="C9" i="6"/>
  <c r="D9" i="6"/>
  <c r="E9" i="6"/>
  <c r="F9" i="6"/>
  <c r="B10" i="6"/>
  <c r="C10" i="6"/>
  <c r="D10" i="6"/>
  <c r="E10" i="6"/>
  <c r="F10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2" i="6"/>
  <c r="C2" i="6"/>
  <c r="D2" i="6"/>
  <c r="E2" i="6"/>
  <c r="F2" i="6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X8" i="11" l="1"/>
  <c r="X4" i="11"/>
  <c r="W6" i="13"/>
  <c r="P13" i="13"/>
  <c r="P2" i="13"/>
  <c r="P15" i="13"/>
  <c r="P11" i="13"/>
  <c r="O4" i="13"/>
  <c r="P4" i="13"/>
  <c r="X8" i="13"/>
  <c r="O12" i="13"/>
  <c r="O15" i="13"/>
  <c r="O2" i="13"/>
  <c r="P5" i="13"/>
  <c r="P6" i="13"/>
  <c r="O6" i="13"/>
  <c r="X5" i="13"/>
  <c r="W5" i="13"/>
  <c r="W3" i="13"/>
  <c r="X3" i="13"/>
  <c r="P10" i="13"/>
  <c r="O10" i="13"/>
  <c r="O5" i="13"/>
  <c r="X2" i="13"/>
  <c r="W2" i="13"/>
  <c r="O3" i="13"/>
  <c r="P3" i="13"/>
  <c r="X6" i="13"/>
  <c r="P9" i="13"/>
  <c r="O9" i="13"/>
  <c r="O11" i="13"/>
  <c r="W8" i="13"/>
  <c r="O8" i="13"/>
  <c r="P8" i="13"/>
  <c r="P14" i="13"/>
  <c r="O14" i="13"/>
  <c r="X4" i="13"/>
  <c r="W4" i="13"/>
  <c r="P7" i="13"/>
  <c r="O7" i="13"/>
  <c r="X7" i="13"/>
  <c r="W7" i="13"/>
  <c r="P4" i="11"/>
  <c r="P13" i="11"/>
  <c r="P9" i="11"/>
  <c r="P10" i="11"/>
  <c r="P15" i="11"/>
  <c r="P7" i="11"/>
  <c r="O9" i="11"/>
  <c r="O14" i="11"/>
  <c r="O4" i="11"/>
  <c r="P12" i="11"/>
  <c r="X5" i="11"/>
  <c r="P14" i="11"/>
  <c r="O3" i="11"/>
  <c r="O12" i="11"/>
  <c r="P3" i="11"/>
  <c r="P8" i="11"/>
  <c r="O8" i="11"/>
  <c r="O6" i="11"/>
  <c r="P6" i="11"/>
  <c r="W3" i="11"/>
  <c r="X3" i="11"/>
  <c r="X7" i="11"/>
  <c r="W7" i="11"/>
  <c r="W4" i="11"/>
  <c r="W2" i="11"/>
  <c r="X2" i="11"/>
  <c r="W6" i="11"/>
  <c r="X6" i="11"/>
  <c r="P2" i="11"/>
  <c r="O2" i="11"/>
  <c r="P11" i="11"/>
  <c r="O11" i="11"/>
  <c r="O10" i="11"/>
  <c r="P5" i="11"/>
  <c r="O5" i="11"/>
  <c r="W9" i="9"/>
  <c r="W15" i="9"/>
  <c r="X15" i="9"/>
  <c r="W14" i="9"/>
  <c r="W13" i="9"/>
  <c r="X13" i="9"/>
  <c r="X12" i="9"/>
  <c r="X11" i="9"/>
  <c r="X10" i="9"/>
  <c r="W10" i="9"/>
  <c r="U15" i="8"/>
  <c r="T15" i="8"/>
  <c r="S15" i="8"/>
  <c r="U14" i="8"/>
  <c r="T14" i="8"/>
  <c r="S14" i="8"/>
  <c r="U13" i="8"/>
  <c r="T13" i="8"/>
  <c r="S13" i="8"/>
  <c r="U12" i="8"/>
  <c r="T12" i="8"/>
  <c r="S12" i="8"/>
  <c r="U11" i="8"/>
  <c r="T11" i="8"/>
  <c r="S11" i="8"/>
  <c r="U10" i="8"/>
  <c r="T10" i="8"/>
  <c r="S10" i="8"/>
  <c r="U9" i="8"/>
  <c r="T9" i="8"/>
  <c r="S9" i="8"/>
  <c r="U8" i="8"/>
  <c r="T8" i="8"/>
  <c r="S8" i="8"/>
  <c r="U7" i="8"/>
  <c r="T7" i="8"/>
  <c r="S7" i="8"/>
  <c r="X7" i="8" s="1"/>
  <c r="U6" i="8"/>
  <c r="T6" i="8"/>
  <c r="S6" i="8"/>
  <c r="U5" i="8"/>
  <c r="T5" i="8"/>
  <c r="S5" i="8"/>
  <c r="U4" i="8"/>
  <c r="T4" i="8"/>
  <c r="S4" i="8"/>
  <c r="U3" i="8"/>
  <c r="T3" i="8"/>
  <c r="S3" i="8"/>
  <c r="U2" i="8"/>
  <c r="T2" i="8"/>
  <c r="S2" i="8"/>
  <c r="U15" i="7"/>
  <c r="T15" i="7"/>
  <c r="S15" i="7"/>
  <c r="U14" i="7"/>
  <c r="T14" i="7"/>
  <c r="S14" i="7"/>
  <c r="U13" i="7"/>
  <c r="T13" i="7"/>
  <c r="S13" i="7"/>
  <c r="U12" i="7"/>
  <c r="T12" i="7"/>
  <c r="S12" i="7"/>
  <c r="W12" i="7" s="1"/>
  <c r="U11" i="7"/>
  <c r="T11" i="7"/>
  <c r="S11" i="7"/>
  <c r="U10" i="7"/>
  <c r="T10" i="7"/>
  <c r="S10" i="7"/>
  <c r="U9" i="7"/>
  <c r="T9" i="7"/>
  <c r="S9" i="7"/>
  <c r="X9" i="7" s="1"/>
  <c r="U8" i="7"/>
  <c r="T8" i="7"/>
  <c r="S8" i="7"/>
  <c r="X8" i="7" s="1"/>
  <c r="U7" i="7"/>
  <c r="T7" i="7"/>
  <c r="S7" i="7"/>
  <c r="X7" i="7" s="1"/>
  <c r="U6" i="7"/>
  <c r="T6" i="7"/>
  <c r="S6" i="7"/>
  <c r="U5" i="7"/>
  <c r="T5" i="7"/>
  <c r="S5" i="7"/>
  <c r="U4" i="7"/>
  <c r="T4" i="7"/>
  <c r="S4" i="7"/>
  <c r="W4" i="7" s="1"/>
  <c r="U3" i="7"/>
  <c r="T3" i="7"/>
  <c r="S3" i="7"/>
  <c r="U2" i="7"/>
  <c r="T2" i="7"/>
  <c r="S2" i="7"/>
  <c r="W2" i="7" s="1"/>
  <c r="U10" i="6"/>
  <c r="U11" i="6"/>
  <c r="U12" i="6"/>
  <c r="U13" i="6"/>
  <c r="U14" i="6"/>
  <c r="U15" i="6"/>
  <c r="U9" i="6"/>
  <c r="T10" i="6"/>
  <c r="T11" i="6"/>
  <c r="T12" i="6"/>
  <c r="T13" i="6"/>
  <c r="T14" i="6"/>
  <c r="T15" i="6"/>
  <c r="T9" i="6"/>
  <c r="S10" i="6"/>
  <c r="S11" i="6"/>
  <c r="S12" i="6"/>
  <c r="S13" i="6"/>
  <c r="S14" i="6"/>
  <c r="X14" i="6" s="1"/>
  <c r="S15" i="6"/>
  <c r="S9" i="6"/>
  <c r="X9" i="6" s="1"/>
  <c r="U3" i="6"/>
  <c r="U4" i="6"/>
  <c r="U5" i="6"/>
  <c r="U6" i="6"/>
  <c r="U7" i="6"/>
  <c r="U8" i="6"/>
  <c r="U2" i="6"/>
  <c r="T3" i="6"/>
  <c r="T4" i="6"/>
  <c r="T5" i="6"/>
  <c r="T6" i="6"/>
  <c r="T7" i="6"/>
  <c r="T8" i="6"/>
  <c r="T2" i="6"/>
  <c r="S3" i="6"/>
  <c r="X3" i="6" s="1"/>
  <c r="S4" i="6"/>
  <c r="S5" i="6"/>
  <c r="S6" i="6"/>
  <c r="S7" i="6"/>
  <c r="S8" i="6"/>
  <c r="S2" i="6"/>
  <c r="X11" i="8" l="1"/>
  <c r="W8" i="8"/>
  <c r="X5" i="7"/>
  <c r="X6" i="7"/>
  <c r="W5" i="6"/>
  <c r="W2" i="6"/>
  <c r="X11" i="6"/>
  <c r="W13" i="6"/>
  <c r="W7" i="6"/>
  <c r="X7" i="6"/>
  <c r="X5" i="6"/>
  <c r="X6" i="6"/>
  <c r="W4" i="6"/>
  <c r="W8" i="6"/>
  <c r="W6" i="6"/>
  <c r="W13" i="7"/>
  <c r="W14" i="7"/>
  <c r="W11" i="7"/>
  <c r="X3" i="8"/>
  <c r="X12" i="6"/>
  <c r="X13" i="6"/>
  <c r="X15" i="6"/>
  <c r="X10" i="6"/>
  <c r="X14" i="8"/>
  <c r="X15" i="8"/>
  <c r="X8" i="8"/>
  <c r="X4" i="8"/>
  <c r="X6" i="8"/>
  <c r="X5" i="8"/>
  <c r="X13" i="7"/>
  <c r="X15" i="7"/>
  <c r="X11" i="7"/>
  <c r="W9" i="7"/>
  <c r="W10" i="7"/>
  <c r="X12" i="7"/>
  <c r="X14" i="7"/>
  <c r="W5" i="7"/>
  <c r="X4" i="7"/>
  <c r="W6" i="7"/>
  <c r="X3" i="7"/>
  <c r="W15" i="6"/>
  <c r="W14" i="6"/>
  <c r="W12" i="6"/>
  <c r="W11" i="6"/>
  <c r="W10" i="6"/>
  <c r="W9" i="6"/>
  <c r="W3" i="6"/>
  <c r="X2" i="6"/>
  <c r="X8" i="6"/>
  <c r="X4" i="6"/>
  <c r="W2" i="8"/>
  <c r="W5" i="8"/>
  <c r="W7" i="8"/>
  <c r="W3" i="8"/>
  <c r="W6" i="8"/>
  <c r="X13" i="8"/>
  <c r="W10" i="8"/>
  <c r="W13" i="8"/>
  <c r="X12" i="8"/>
  <c r="X9" i="8"/>
  <c r="W14" i="8"/>
  <c r="W11" i="8"/>
  <c r="X9" i="9"/>
  <c r="X14" i="9"/>
  <c r="W12" i="9"/>
  <c r="W11" i="9"/>
  <c r="W4" i="8"/>
  <c r="W12" i="8"/>
  <c r="X2" i="8"/>
  <c r="W9" i="8"/>
  <c r="X10" i="8"/>
  <c r="W15" i="8"/>
  <c r="X2" i="7"/>
  <c r="X10" i="7"/>
  <c r="W3" i="7"/>
  <c r="W8" i="7"/>
  <c r="W7" i="7"/>
  <c r="W15" i="7"/>
  <c r="U6" i="9"/>
  <c r="T6" i="9"/>
  <c r="S2" i="9"/>
  <c r="K13" i="7"/>
  <c r="I12" i="7"/>
  <c r="K12" i="7"/>
  <c r="L12" i="7"/>
  <c r="I5" i="7"/>
  <c r="K5" i="7"/>
  <c r="L5" i="7"/>
  <c r="M5" i="7"/>
  <c r="M15" i="7"/>
  <c r="K15" i="7"/>
  <c r="M14" i="7"/>
  <c r="L14" i="7"/>
  <c r="K14" i="7"/>
  <c r="J14" i="7"/>
  <c r="I14" i="7"/>
  <c r="M13" i="7"/>
  <c r="I13" i="7"/>
  <c r="L11" i="7"/>
  <c r="K11" i="7"/>
  <c r="M10" i="7"/>
  <c r="L10" i="7"/>
  <c r="K10" i="7"/>
  <c r="J10" i="7"/>
  <c r="I10" i="7"/>
  <c r="M9" i="7"/>
  <c r="J9" i="7"/>
  <c r="I9" i="7"/>
  <c r="M8" i="7"/>
  <c r="L8" i="7"/>
  <c r="K8" i="7"/>
  <c r="J8" i="7"/>
  <c r="M7" i="7"/>
  <c r="K7" i="7"/>
  <c r="J5" i="7"/>
  <c r="M6" i="7"/>
  <c r="K6" i="7"/>
  <c r="J6" i="7"/>
  <c r="I6" i="7"/>
  <c r="M3" i="7"/>
  <c r="L7" i="7"/>
  <c r="I4" i="7"/>
  <c r="L3" i="7"/>
  <c r="K3" i="7"/>
  <c r="J3" i="7"/>
  <c r="I7" i="7"/>
  <c r="L13" i="7"/>
  <c r="K4" i="7"/>
  <c r="O6" i="7" l="1"/>
  <c r="P6" i="7"/>
  <c r="P10" i="7"/>
  <c r="O10" i="7"/>
  <c r="P5" i="7"/>
  <c r="O5" i="7"/>
  <c r="P14" i="7"/>
  <c r="O14" i="7"/>
  <c r="T2" i="9"/>
  <c r="S4" i="9"/>
  <c r="T4" i="9"/>
  <c r="U4" i="9"/>
  <c r="S7" i="9"/>
  <c r="S8" i="9"/>
  <c r="T8" i="9"/>
  <c r="S3" i="9"/>
  <c r="T7" i="9"/>
  <c r="U2" i="9"/>
  <c r="X2" i="9" s="1"/>
  <c r="U8" i="9"/>
  <c r="T3" i="9"/>
  <c r="U7" i="9"/>
  <c r="U5" i="9"/>
  <c r="W2" i="9"/>
  <c r="S5" i="9"/>
  <c r="U3" i="9"/>
  <c r="S6" i="9"/>
  <c r="T5" i="9"/>
  <c r="J13" i="7"/>
  <c r="P13" i="7" s="1"/>
  <c r="L15" i="7"/>
  <c r="M4" i="7"/>
  <c r="I11" i="7"/>
  <c r="I3" i="7"/>
  <c r="J15" i="7"/>
  <c r="J7" i="7"/>
  <c r="O7" i="7" s="1"/>
  <c r="L9" i="7"/>
  <c r="I8" i="7"/>
  <c r="M12" i="7"/>
  <c r="I15" i="7"/>
  <c r="J12" i="7"/>
  <c r="P12" i="7" s="1"/>
  <c r="K9" i="7"/>
  <c r="O9" i="7" s="1"/>
  <c r="L6" i="7"/>
  <c r="M11" i="7"/>
  <c r="J11" i="7"/>
  <c r="L4" i="7"/>
  <c r="M12" i="8"/>
  <c r="K12" i="9"/>
  <c r="J4" i="7"/>
  <c r="P4" i="7" s="1"/>
  <c r="L12" i="8"/>
  <c r="J12" i="9"/>
  <c r="I9" i="8"/>
  <c r="I8" i="8"/>
  <c r="I4" i="8"/>
  <c r="I13" i="8"/>
  <c r="I15" i="8"/>
  <c r="I7" i="8"/>
  <c r="I5" i="8"/>
  <c r="I10" i="8"/>
  <c r="I2" i="8"/>
  <c r="I11" i="8"/>
  <c r="I3" i="8"/>
  <c r="I14" i="8"/>
  <c r="I6" i="8"/>
  <c r="J12" i="8"/>
  <c r="K9" i="9"/>
  <c r="K5" i="9"/>
  <c r="K4" i="9"/>
  <c r="K15" i="9"/>
  <c r="K7" i="9"/>
  <c r="K10" i="9"/>
  <c r="K2" i="9"/>
  <c r="K13" i="9"/>
  <c r="K8" i="9"/>
  <c r="K11" i="9"/>
  <c r="K3" i="9"/>
  <c r="K14" i="9"/>
  <c r="K6" i="9"/>
  <c r="J4" i="8"/>
  <c r="J15" i="8"/>
  <c r="J7" i="8"/>
  <c r="J11" i="8"/>
  <c r="J10" i="8"/>
  <c r="J2" i="8"/>
  <c r="J13" i="8"/>
  <c r="J5" i="8"/>
  <c r="J3" i="8"/>
  <c r="J14" i="8"/>
  <c r="J6" i="8"/>
  <c r="J8" i="8"/>
  <c r="J9" i="8"/>
  <c r="I12" i="8"/>
  <c r="J14" i="9"/>
  <c r="J6" i="9"/>
  <c r="J5" i="9"/>
  <c r="J9" i="9"/>
  <c r="J4" i="9"/>
  <c r="J13" i="9"/>
  <c r="J15" i="9"/>
  <c r="J7" i="9"/>
  <c r="J2" i="9"/>
  <c r="J8" i="9"/>
  <c r="J11" i="9"/>
  <c r="J3" i="9"/>
  <c r="J10" i="9"/>
  <c r="I11" i="9"/>
  <c r="I3" i="9"/>
  <c r="I14" i="9"/>
  <c r="I6" i="9"/>
  <c r="I9" i="9"/>
  <c r="I15" i="9"/>
  <c r="I2" i="9"/>
  <c r="I4" i="9"/>
  <c r="I13" i="9"/>
  <c r="I5" i="9"/>
  <c r="I10" i="9"/>
  <c r="I8" i="9"/>
  <c r="I7" i="9"/>
  <c r="L10" i="8"/>
  <c r="L2" i="8"/>
  <c r="L13" i="8"/>
  <c r="L5" i="8"/>
  <c r="L8" i="8"/>
  <c r="L14" i="8"/>
  <c r="L11" i="8"/>
  <c r="L3" i="8"/>
  <c r="L6" i="8"/>
  <c r="L4" i="8"/>
  <c r="L9" i="8"/>
  <c r="L15" i="8"/>
  <c r="L7" i="8"/>
  <c r="M12" i="9"/>
  <c r="M13" i="8"/>
  <c r="M5" i="8"/>
  <c r="M8" i="8"/>
  <c r="M11" i="8"/>
  <c r="M3" i="8"/>
  <c r="M4" i="8"/>
  <c r="M14" i="8"/>
  <c r="M6" i="8"/>
  <c r="M15" i="8"/>
  <c r="M7" i="8"/>
  <c r="M10" i="8"/>
  <c r="M2" i="8"/>
  <c r="M9" i="8"/>
  <c r="L12" i="9"/>
  <c r="M15" i="9"/>
  <c r="M7" i="9"/>
  <c r="M11" i="9"/>
  <c r="M14" i="9"/>
  <c r="M10" i="9"/>
  <c r="M2" i="9"/>
  <c r="M6" i="9"/>
  <c r="M13" i="9"/>
  <c r="M5" i="9"/>
  <c r="M8" i="9"/>
  <c r="M9" i="9"/>
  <c r="M3" i="9"/>
  <c r="M4" i="9"/>
  <c r="K15" i="8"/>
  <c r="K7" i="8"/>
  <c r="K11" i="8"/>
  <c r="K10" i="8"/>
  <c r="K2" i="8"/>
  <c r="K3" i="8"/>
  <c r="K13" i="8"/>
  <c r="K5" i="8"/>
  <c r="K8" i="8"/>
  <c r="K14" i="8"/>
  <c r="K9" i="8"/>
  <c r="K4" i="8"/>
  <c r="K6" i="8"/>
  <c r="K12" i="8"/>
  <c r="L4" i="9"/>
  <c r="L15" i="9"/>
  <c r="L7" i="9"/>
  <c r="L8" i="9"/>
  <c r="L10" i="9"/>
  <c r="L2" i="9"/>
  <c r="L13" i="9"/>
  <c r="L5" i="9"/>
  <c r="L14" i="9"/>
  <c r="L6" i="9"/>
  <c r="L9" i="9"/>
  <c r="L11" i="9"/>
  <c r="L3" i="9"/>
  <c r="I12" i="9"/>
  <c r="J2" i="7"/>
  <c r="I2" i="7"/>
  <c r="M2" i="7"/>
  <c r="L2" i="7"/>
  <c r="K2" i="7"/>
  <c r="J10" i="6"/>
  <c r="L8" i="6"/>
  <c r="I7" i="6"/>
  <c r="K12" i="6"/>
  <c r="M5" i="6"/>
  <c r="L12" i="6"/>
  <c r="P7" i="7" l="1"/>
  <c r="W3" i="9"/>
  <c r="P9" i="7"/>
  <c r="O4" i="7"/>
  <c r="P3" i="7"/>
  <c r="O3" i="7"/>
  <c r="O8" i="7"/>
  <c r="P8" i="7"/>
  <c r="P11" i="7"/>
  <c r="O11" i="7"/>
  <c r="O12" i="7"/>
  <c r="O13" i="7"/>
  <c r="O2" i="7"/>
  <c r="P2" i="7"/>
  <c r="P15" i="7"/>
  <c r="O15" i="7"/>
  <c r="X7" i="9"/>
  <c r="O7" i="8"/>
  <c r="P7" i="8"/>
  <c r="P6" i="8"/>
  <c r="O6" i="8"/>
  <c r="P15" i="8"/>
  <c r="O15" i="8"/>
  <c r="P14" i="8"/>
  <c r="O14" i="8"/>
  <c r="P3" i="8"/>
  <c r="O3" i="8"/>
  <c r="P4" i="8"/>
  <c r="O4" i="8"/>
  <c r="O13" i="8"/>
  <c r="P13" i="8"/>
  <c r="P11" i="8"/>
  <c r="O11" i="8"/>
  <c r="P8" i="8"/>
  <c r="O8" i="8"/>
  <c r="P12" i="8"/>
  <c r="O12" i="8"/>
  <c r="P2" i="8"/>
  <c r="O2" i="8"/>
  <c r="P9" i="8"/>
  <c r="O9" i="8"/>
  <c r="O10" i="8"/>
  <c r="P10" i="8"/>
  <c r="P5" i="8"/>
  <c r="O5" i="8"/>
  <c r="P4" i="9"/>
  <c r="O4" i="9"/>
  <c r="O8" i="9"/>
  <c r="P8" i="9"/>
  <c r="P6" i="9"/>
  <c r="O6" i="9"/>
  <c r="W5" i="9"/>
  <c r="X3" i="9"/>
  <c r="P15" i="9"/>
  <c r="O15" i="9"/>
  <c r="W8" i="9"/>
  <c r="P10" i="9"/>
  <c r="O10" i="9"/>
  <c r="O14" i="9"/>
  <c r="P14" i="9"/>
  <c r="W6" i="9"/>
  <c r="X6" i="9"/>
  <c r="X8" i="9"/>
  <c r="O9" i="9"/>
  <c r="P9" i="9"/>
  <c r="P12" i="9"/>
  <c r="O12" i="9"/>
  <c r="P5" i="9"/>
  <c r="O5" i="9"/>
  <c r="O3" i="9"/>
  <c r="P3" i="9"/>
  <c r="X4" i="9"/>
  <c r="W4" i="9"/>
  <c r="P2" i="9"/>
  <c r="O2" i="9"/>
  <c r="P7" i="9"/>
  <c r="O7" i="9"/>
  <c r="P13" i="9"/>
  <c r="O13" i="9"/>
  <c r="P11" i="9"/>
  <c r="O11" i="9"/>
  <c r="X5" i="9"/>
  <c r="W7" i="9"/>
  <c r="I13" i="6"/>
  <c r="K14" i="6"/>
  <c r="K10" i="6"/>
  <c r="I9" i="6"/>
  <c r="M14" i="6"/>
  <c r="L7" i="6"/>
  <c r="K13" i="6"/>
  <c r="I12" i="6"/>
  <c r="J6" i="6"/>
  <c r="M7" i="6"/>
  <c r="K9" i="6"/>
  <c r="I11" i="6"/>
  <c r="L13" i="6"/>
  <c r="J15" i="6"/>
  <c r="I5" i="6"/>
  <c r="M8" i="6"/>
  <c r="K7" i="6"/>
  <c r="J13" i="6"/>
  <c r="J9" i="6"/>
  <c r="I15" i="6"/>
  <c r="J12" i="6"/>
  <c r="M3" i="6"/>
  <c r="K6" i="6"/>
  <c r="I8" i="6"/>
  <c r="L9" i="6"/>
  <c r="J11" i="6"/>
  <c r="M13" i="6"/>
  <c r="K15" i="6"/>
  <c r="L14" i="6"/>
  <c r="L10" i="6"/>
  <c r="M10" i="6"/>
  <c r="K5" i="6"/>
  <c r="L6" i="6"/>
  <c r="J8" i="6"/>
  <c r="M9" i="6"/>
  <c r="K11" i="6"/>
  <c r="I14" i="6"/>
  <c r="L15" i="6"/>
  <c r="M12" i="6"/>
  <c r="M11" i="6"/>
  <c r="J7" i="6"/>
  <c r="P7" i="6" s="1"/>
  <c r="M4" i="6"/>
  <c r="I6" i="6"/>
  <c r="L5" i="6"/>
  <c r="M6" i="6"/>
  <c r="K8" i="6"/>
  <c r="I10" i="6"/>
  <c r="L11" i="6"/>
  <c r="J14" i="6"/>
  <c r="M15" i="6"/>
  <c r="J5" i="6"/>
  <c r="L3" i="6"/>
  <c r="J4" i="6"/>
  <c r="J2" i="6"/>
  <c r="I2" i="6"/>
  <c r="I3" i="6"/>
  <c r="J3" i="6"/>
  <c r="M2" i="6"/>
  <c r="K3" i="6"/>
  <c r="I4" i="6"/>
  <c r="K4" i="6"/>
  <c r="L4" i="6"/>
  <c r="K2" i="6"/>
  <c r="L2" i="6"/>
  <c r="O3" i="6" l="1"/>
  <c r="P3" i="6"/>
  <c r="O8" i="6"/>
  <c r="P8" i="6"/>
  <c r="P12" i="6"/>
  <c r="O12" i="6"/>
  <c r="P6" i="6"/>
  <c r="O6" i="6"/>
  <c r="O2" i="6"/>
  <c r="P2" i="6"/>
  <c r="O10" i="6"/>
  <c r="P10" i="6"/>
  <c r="O5" i="6"/>
  <c r="P5" i="6"/>
  <c r="O13" i="6"/>
  <c r="P13" i="6"/>
  <c r="P14" i="6"/>
  <c r="O14" i="6"/>
  <c r="O7" i="6"/>
  <c r="O4" i="6"/>
  <c r="P4" i="6"/>
  <c r="P15" i="6"/>
  <c r="O15" i="6"/>
  <c r="O11" i="6"/>
  <c r="P11" i="6"/>
  <c r="P9" i="6"/>
  <c r="O9" i="6"/>
</calcChain>
</file>

<file path=xl/sharedStrings.xml><?xml version="1.0" encoding="utf-8"?>
<sst xmlns="http://schemas.openxmlformats.org/spreadsheetml/2006/main" count="361" uniqueCount="23">
  <si>
    <t>Carbon</t>
  </si>
  <si>
    <t>EQ</t>
  </si>
  <si>
    <t>HH</t>
  </si>
  <si>
    <t>Scenario</t>
  </si>
  <si>
    <t>EQ (excl. CO2)</t>
  </si>
  <si>
    <t>HH (excl. CO2)</t>
  </si>
  <si>
    <t>minCO2</t>
  </si>
  <si>
    <t>minEQ</t>
  </si>
  <si>
    <t>minHH</t>
  </si>
  <si>
    <t>minCO2&amp;EQ</t>
  </si>
  <si>
    <t>minCO2&amp;HH</t>
  </si>
  <si>
    <t>minCO2&amp;EQ&amp;HH</t>
  </si>
  <si>
    <t>minEQ&amp;HH</t>
  </si>
  <si>
    <t>minCO2_inv</t>
  </si>
  <si>
    <t>minEQ_inv</t>
  </si>
  <si>
    <t>minHH_inv</t>
  </si>
  <si>
    <t>minEQ&amp;HH_inv</t>
  </si>
  <si>
    <t>minCO2&amp;EQ_inv</t>
  </si>
  <si>
    <t>minCO2&amp;HH_inv</t>
  </si>
  <si>
    <t>minCO2&amp;EQ&amp;HH_inv</t>
  </si>
  <si>
    <t>dist nor</t>
  </si>
  <si>
    <t>dist eucl</t>
  </si>
  <si>
    <t>Normalisation par type d'investissement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</si>
</sst>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11" fontId="0" fillId="2" borderId="1" xfId="0" applyNumberFormat="1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4" borderId="1" xfId="0" applyFill="1" applyBorder="1"/>
    <xf numFmtId="11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6" borderId="1" xfId="0" applyNumberFormat="1" applyFill="1" applyBorder="1"/>
  </cellXfs>
  <cellStyles count="1">
    <cellStyle name="Normal" xfId="0" builtinId="0"/>
  </cellStyles>
  <dxfs count="5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all_cons!$H$2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all_cons!$I$2:$M$2</c:f>
              <c:numCache>
                <c:formatCode>General</c:formatCode>
                <c:ptCount val="5"/>
                <c:pt idx="0">
                  <c:v>0.22738096294174365</c:v>
                </c:pt>
                <c:pt idx="1">
                  <c:v>0.90145741322624351</c:v>
                </c:pt>
                <c:pt idx="2">
                  <c:v>0.68175195336579097</c:v>
                </c:pt>
                <c:pt idx="3">
                  <c:v>0.76899505755828279</c:v>
                </c:pt>
                <c:pt idx="4">
                  <c:v>0.78649858919274485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B-4754-80AD-2E24CE6E8289}"/>
            </c:ext>
          </c:extLst>
        </c:ser>
        <c:ser>
          <c:idx val="1"/>
          <c:order val="1"/>
          <c:tx>
            <c:strRef>
              <c:f>all_cons!$H$3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all_cons!$I$3:$M$3</c:f>
              <c:numCache>
                <c:formatCode>General</c:formatCode>
                <c:ptCount val="5"/>
                <c:pt idx="0">
                  <c:v>0.99999999999999978</c:v>
                </c:pt>
                <c:pt idx="1">
                  <c:v>0.65290637442045185</c:v>
                </c:pt>
                <c:pt idx="2">
                  <c:v>0.99999999999999911</c:v>
                </c:pt>
                <c:pt idx="3">
                  <c:v>0</c:v>
                </c:pt>
                <c:pt idx="4">
                  <c:v>1.0977491629849288E-16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B-4754-80AD-2E24CE6E8289}"/>
            </c:ext>
          </c:extLst>
        </c:ser>
        <c:ser>
          <c:idx val="2"/>
          <c:order val="2"/>
          <c:tx>
            <c:strRef>
              <c:f>all_cons!$H$4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all_cons!$I$4:$M$4</c:f>
              <c:numCache>
                <c:formatCode>General</c:formatCode>
                <c:ptCount val="5"/>
                <c:pt idx="0">
                  <c:v>0.33829800767748625</c:v>
                </c:pt>
                <c:pt idx="1">
                  <c:v>0.78721042254218088</c:v>
                </c:pt>
                <c:pt idx="2">
                  <c:v>0.67771631419741163</c:v>
                </c:pt>
                <c:pt idx="3">
                  <c:v>0.60447804818732964</c:v>
                </c:pt>
                <c:pt idx="4">
                  <c:v>0.64263382442178774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B-4754-80AD-2E24CE6E8289}"/>
            </c:ext>
          </c:extLst>
        </c:ser>
        <c:ser>
          <c:idx val="3"/>
          <c:order val="3"/>
          <c:tx>
            <c:strRef>
              <c:f>all_cons!$H$5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all_cons!$I$5:$M$5</c:f>
              <c:numCache>
                <c:formatCode>General</c:formatCode>
                <c:ptCount val="5"/>
                <c:pt idx="0">
                  <c:v>0.3776338714986594</c:v>
                </c:pt>
                <c:pt idx="1">
                  <c:v>0.77423747994245207</c:v>
                </c:pt>
                <c:pt idx="2">
                  <c:v>0.69245921527723198</c:v>
                </c:pt>
                <c:pt idx="3">
                  <c:v>0.56328295993559485</c:v>
                </c:pt>
                <c:pt idx="4">
                  <c:v>0.59746936790908245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B-4754-80AD-2E24CE6E8289}"/>
            </c:ext>
          </c:extLst>
        </c:ser>
        <c:ser>
          <c:idx val="4"/>
          <c:order val="4"/>
          <c:tx>
            <c:strRef>
              <c:f>all_cons!$H$6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all_cons!$I$6:$M$6</c:f>
              <c:numCache>
                <c:formatCode>General</c:formatCode>
                <c:ptCount val="5"/>
                <c:pt idx="0">
                  <c:v>1</c:v>
                </c:pt>
                <c:pt idx="1">
                  <c:v>0.65290637442045185</c:v>
                </c:pt>
                <c:pt idx="2">
                  <c:v>0.99999999999999911</c:v>
                </c:pt>
                <c:pt idx="3">
                  <c:v>0</c:v>
                </c:pt>
                <c:pt idx="4">
                  <c:v>1.0977491629849288E-16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B-4754-80AD-2E24CE6E8289}"/>
            </c:ext>
          </c:extLst>
        </c:ser>
        <c:ser>
          <c:idx val="5"/>
          <c:order val="5"/>
          <c:tx>
            <c:strRef>
              <c:f>all_cons!$H$7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all_cons!$I$7:$M$7</c:f>
              <c:numCache>
                <c:formatCode>General</c:formatCode>
                <c:ptCount val="5"/>
                <c:pt idx="0">
                  <c:v>0.3382980086590241</c:v>
                </c:pt>
                <c:pt idx="1">
                  <c:v>0.7872104215311756</c:v>
                </c:pt>
                <c:pt idx="2">
                  <c:v>0.67771631416169908</c:v>
                </c:pt>
                <c:pt idx="3">
                  <c:v>0.60447804673146988</c:v>
                </c:pt>
                <c:pt idx="4">
                  <c:v>0.64263382314868567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CB-4754-80AD-2E24CE6E8289}"/>
            </c:ext>
          </c:extLst>
        </c:ser>
        <c:ser>
          <c:idx val="6"/>
          <c:order val="6"/>
          <c:tx>
            <c:strRef>
              <c:f>all_cons!$H$8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all_cons!$I$8:$M$8</c:f>
              <c:numCache>
                <c:formatCode>General</c:formatCode>
                <c:ptCount val="5"/>
                <c:pt idx="0">
                  <c:v>1</c:v>
                </c:pt>
                <c:pt idx="1">
                  <c:v>0.65290637442045196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CB-4754-80AD-2E24CE6E8289}"/>
            </c:ext>
          </c:extLst>
        </c:ser>
        <c:ser>
          <c:idx val="7"/>
          <c:order val="7"/>
          <c:tx>
            <c:strRef>
              <c:f>all_cons!$H$9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all_cons!$I$9:$M$9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0.60144691330838329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CB-4754-80AD-2E24CE6E8289}"/>
            </c:ext>
          </c:extLst>
        </c:ser>
        <c:ser>
          <c:idx val="8"/>
          <c:order val="8"/>
          <c:tx>
            <c:strRef>
              <c:f>all_cons!$H$10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all_cons!$I$10:$M$10</c:f>
              <c:numCache>
                <c:formatCode>General</c:formatCode>
                <c:ptCount val="5"/>
                <c:pt idx="0">
                  <c:v>0.29161344019425067</c:v>
                </c:pt>
                <c:pt idx="1">
                  <c:v>0</c:v>
                </c:pt>
                <c:pt idx="2">
                  <c:v>2.294847282853289E-3</c:v>
                </c:pt>
                <c:pt idx="3">
                  <c:v>3.7578187147200112E-2</c:v>
                </c:pt>
                <c:pt idx="4">
                  <c:v>0.10425230209380255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CB-4754-80AD-2E24CE6E8289}"/>
            </c:ext>
          </c:extLst>
        </c:ser>
        <c:ser>
          <c:idx val="9"/>
          <c:order val="9"/>
          <c:tx>
            <c:strRef>
              <c:f>all_cons!$H$11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all_cons!$I$11:$M$11</c:f>
              <c:numCache>
                <c:formatCode>General</c:formatCode>
                <c:ptCount val="5"/>
                <c:pt idx="0">
                  <c:v>0.28553839822697102</c:v>
                </c:pt>
                <c:pt idx="1">
                  <c:v>3.5371711148715658E-3</c:v>
                </c:pt>
                <c:pt idx="2">
                  <c:v>0</c:v>
                </c:pt>
                <c:pt idx="3">
                  <c:v>4.0947817509029788E-2</c:v>
                </c:pt>
                <c:pt idx="4">
                  <c:v>0.10247111399367705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CB-4754-80AD-2E24CE6E8289}"/>
            </c:ext>
          </c:extLst>
        </c:ser>
        <c:ser>
          <c:idx val="10"/>
          <c:order val="10"/>
          <c:tx>
            <c:strRef>
              <c:f>all_cons!$H$12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all_cons!$I$12:$M$12</c:f>
              <c:numCache>
                <c:formatCode>General</c:formatCode>
                <c:ptCount val="5"/>
                <c:pt idx="0">
                  <c:v>0.29161344019425067</c:v>
                </c:pt>
                <c:pt idx="1">
                  <c:v>0</c:v>
                </c:pt>
                <c:pt idx="2">
                  <c:v>2.294847282853289E-3</c:v>
                </c:pt>
                <c:pt idx="3">
                  <c:v>3.7578187147200112E-2</c:v>
                </c:pt>
                <c:pt idx="4">
                  <c:v>0.10425230209380255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CB-4754-80AD-2E24CE6E8289}"/>
            </c:ext>
          </c:extLst>
        </c:ser>
        <c:ser>
          <c:idx val="11"/>
          <c:order val="11"/>
          <c:tx>
            <c:strRef>
              <c:f>all_cons!$H$13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all_cons!$I$13:$M$13</c:f>
              <c:numCache>
                <c:formatCode>General</c:formatCode>
                <c:ptCount val="5"/>
                <c:pt idx="0">
                  <c:v>0.28553839822697102</c:v>
                </c:pt>
                <c:pt idx="1">
                  <c:v>3.5371711148727029E-3</c:v>
                </c:pt>
                <c:pt idx="2">
                  <c:v>3.3625174878573088E-16</c:v>
                </c:pt>
                <c:pt idx="3">
                  <c:v>4.0947817509029788E-2</c:v>
                </c:pt>
                <c:pt idx="4">
                  <c:v>0.10247111399367687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CB-4754-80AD-2E24CE6E8289}"/>
            </c:ext>
          </c:extLst>
        </c:ser>
        <c:ser>
          <c:idx val="12"/>
          <c:order val="12"/>
          <c:tx>
            <c:strRef>
              <c:f>all_cons!$H$14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all_cons!$I$14:$M$14</c:f>
              <c:numCache>
                <c:formatCode>General</c:formatCode>
                <c:ptCount val="5"/>
                <c:pt idx="0">
                  <c:v>0.26745792776910726</c:v>
                </c:pt>
                <c:pt idx="1">
                  <c:v>2.760334206077894E-2</c:v>
                </c:pt>
                <c:pt idx="2">
                  <c:v>2.9324611620002747E-3</c:v>
                </c:pt>
                <c:pt idx="3">
                  <c:v>5.7765755092400589E-2</c:v>
                </c:pt>
                <c:pt idx="4">
                  <c:v>9.8380846329631302E-2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CB-4754-80AD-2E24CE6E8289}"/>
            </c:ext>
          </c:extLst>
        </c:ser>
        <c:ser>
          <c:idx val="13"/>
          <c:order val="13"/>
          <c:tx>
            <c:strRef>
              <c:f>all_cons!$H$15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all_cons!$I$15:$M$15</c:f>
              <c:numCache>
                <c:formatCode>General</c:formatCode>
                <c:ptCount val="5"/>
                <c:pt idx="0">
                  <c:v>0.28553839822697125</c:v>
                </c:pt>
                <c:pt idx="1">
                  <c:v>3.5371711148727029E-3</c:v>
                </c:pt>
                <c:pt idx="2">
                  <c:v>3.3625174878573088E-16</c:v>
                </c:pt>
                <c:pt idx="3">
                  <c:v>4.0947817509029788E-2</c:v>
                </c:pt>
                <c:pt idx="4">
                  <c:v>0.10247111399367687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CB-4754-80AD-2E24CE6E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72864"/>
        <c:axId val="2041927328"/>
      </c:lineChart>
      <c:catAx>
        <c:axId val="666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27328"/>
        <c:crosses val="autoZero"/>
        <c:auto val="1"/>
        <c:lblAlgn val="ctr"/>
        <c:lblOffset val="100"/>
        <c:noMultiLvlLbl val="0"/>
      </c:catAx>
      <c:valAx>
        <c:axId val="204192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0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62690591608218"/>
          <c:y val="2.7628556179514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peat_cons!$H$2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peat_cons!$I$2:$M$2</c:f>
              <c:numCache>
                <c:formatCode>General</c:formatCode>
                <c:ptCount val="5"/>
                <c:pt idx="0">
                  <c:v>8.5942246732611055E-2</c:v>
                </c:pt>
                <c:pt idx="1">
                  <c:v>1</c:v>
                </c:pt>
                <c:pt idx="2">
                  <c:v>0.5845650804572996</c:v>
                </c:pt>
                <c:pt idx="3">
                  <c:v>0.88981716866121974</c:v>
                </c:pt>
                <c:pt idx="4">
                  <c:v>0.80312328393541876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C-403D-BF18-8FF5A8AC2192}"/>
            </c:ext>
          </c:extLst>
        </c:ser>
        <c:ser>
          <c:idx val="1"/>
          <c:order val="1"/>
          <c:tx>
            <c:strRef>
              <c:f>peat_cons!$H$3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peat_cons!$I$3:$M$3</c:f>
              <c:numCache>
                <c:formatCode>General</c:formatCode>
                <c:ptCount val="5"/>
                <c:pt idx="0">
                  <c:v>1</c:v>
                </c:pt>
                <c:pt idx="1">
                  <c:v>0.79784967675024487</c:v>
                </c:pt>
                <c:pt idx="2">
                  <c:v>1</c:v>
                </c:pt>
                <c:pt idx="3">
                  <c:v>0.10252799308073519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C-403D-BF18-8FF5A8AC2192}"/>
            </c:ext>
          </c:extLst>
        </c:ser>
        <c:ser>
          <c:idx val="2"/>
          <c:order val="2"/>
          <c:tx>
            <c:strRef>
              <c:f>peat_cons!$H$4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peat_cons!$I$4:$M$4</c:f>
              <c:numCache>
                <c:formatCode>General</c:formatCode>
                <c:ptCount val="5"/>
                <c:pt idx="0">
                  <c:v>0.13500732783175087</c:v>
                </c:pt>
                <c:pt idx="1">
                  <c:v>0.91774110239853524</c:v>
                </c:pt>
                <c:pt idx="2">
                  <c:v>0.53187218816070214</c:v>
                </c:pt>
                <c:pt idx="3">
                  <c:v>0.72919707046166193</c:v>
                </c:pt>
                <c:pt idx="4">
                  <c:v>0.55652581134979162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C-403D-BF18-8FF5A8AC2192}"/>
            </c:ext>
          </c:extLst>
        </c:ser>
        <c:ser>
          <c:idx val="3"/>
          <c:order val="3"/>
          <c:tx>
            <c:strRef>
              <c:f>peat_cons!$H$5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peat_cons!$I$5:$M$5</c:f>
              <c:numCache>
                <c:formatCode>General</c:formatCode>
                <c:ptCount val="5"/>
                <c:pt idx="0">
                  <c:v>0.13762304471820855</c:v>
                </c:pt>
                <c:pt idx="1">
                  <c:v>0.91678013214264942</c:v>
                </c:pt>
                <c:pt idx="2">
                  <c:v>0.53199748552659054</c:v>
                </c:pt>
                <c:pt idx="3">
                  <c:v>0.72448416728591947</c:v>
                </c:pt>
                <c:pt idx="4">
                  <c:v>0.54899057439721244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C-403D-BF18-8FF5A8AC2192}"/>
            </c:ext>
          </c:extLst>
        </c:ser>
        <c:ser>
          <c:idx val="4"/>
          <c:order val="4"/>
          <c:tx>
            <c:strRef>
              <c:f>peat_cons!$H$6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peat_cons!$I$6:$M$6</c:f>
              <c:numCache>
                <c:formatCode>General</c:formatCode>
                <c:ptCount val="5"/>
                <c:pt idx="0">
                  <c:v>0.9297477347576959</c:v>
                </c:pt>
                <c:pt idx="1">
                  <c:v>0.80101231775547077</c:v>
                </c:pt>
                <c:pt idx="2">
                  <c:v>0.95205875423787678</c:v>
                </c:pt>
                <c:pt idx="3">
                  <c:v>0.13378340077222159</c:v>
                </c:pt>
                <c:pt idx="4">
                  <c:v>6.753713487143276E-3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5C-403D-BF18-8FF5A8AC2192}"/>
            </c:ext>
          </c:extLst>
        </c:ser>
        <c:ser>
          <c:idx val="5"/>
          <c:order val="5"/>
          <c:tx>
            <c:strRef>
              <c:f>peat_cons!$H$7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peat_cons!$I$7:$M$7</c:f>
              <c:numCache>
                <c:formatCode>General</c:formatCode>
                <c:ptCount val="5"/>
                <c:pt idx="0">
                  <c:v>0.13762304471820855</c:v>
                </c:pt>
                <c:pt idx="1">
                  <c:v>0.91678013214264886</c:v>
                </c:pt>
                <c:pt idx="2">
                  <c:v>0.53199748552659054</c:v>
                </c:pt>
                <c:pt idx="3">
                  <c:v>0.72448416728591947</c:v>
                </c:pt>
                <c:pt idx="4">
                  <c:v>0.54899057439721155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5C-403D-BF18-8FF5A8AC2192}"/>
            </c:ext>
          </c:extLst>
        </c:ser>
        <c:ser>
          <c:idx val="6"/>
          <c:order val="6"/>
          <c:tx>
            <c:strRef>
              <c:f>peat_cons!$H$8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peat_cons!$I$8:$M$8</c:f>
              <c:numCache>
                <c:formatCode>General</c:formatCode>
                <c:ptCount val="5"/>
                <c:pt idx="0">
                  <c:v>0.92974773475769434</c:v>
                </c:pt>
                <c:pt idx="1">
                  <c:v>0.80101231775546367</c:v>
                </c:pt>
                <c:pt idx="2">
                  <c:v>0.95205875423787223</c:v>
                </c:pt>
                <c:pt idx="3">
                  <c:v>0.13378340077222073</c:v>
                </c:pt>
                <c:pt idx="4">
                  <c:v>6.7537134871447965E-3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5C-403D-BF18-8FF5A8AC2192}"/>
            </c:ext>
          </c:extLst>
        </c:ser>
        <c:ser>
          <c:idx val="7"/>
          <c:order val="7"/>
          <c:tx>
            <c:strRef>
              <c:f>peat_cons!$H$9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peat_cons!$I$9:$M$9</c:f>
              <c:numCache>
                <c:formatCode>General</c:formatCode>
                <c:ptCount val="5"/>
                <c:pt idx="0">
                  <c:v>0</c:v>
                </c:pt>
                <c:pt idx="1">
                  <c:v>0.99248610783020252</c:v>
                </c:pt>
                <c:pt idx="2">
                  <c:v>0.56225644484135628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5C-403D-BF18-8FF5A8AC2192}"/>
            </c:ext>
          </c:extLst>
        </c:ser>
        <c:ser>
          <c:idx val="8"/>
          <c:order val="8"/>
          <c:tx>
            <c:strRef>
              <c:f>peat_cons!$H$10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peat_cons!$I$10:$M$10</c:f>
              <c:numCache>
                <c:formatCode>General</c:formatCode>
                <c:ptCount val="5"/>
                <c:pt idx="0">
                  <c:v>0.56157998601423265</c:v>
                </c:pt>
                <c:pt idx="1">
                  <c:v>0</c:v>
                </c:pt>
                <c:pt idx="2">
                  <c:v>0.1997996894865649</c:v>
                </c:pt>
                <c:pt idx="3">
                  <c:v>0</c:v>
                </c:pt>
                <c:pt idx="4">
                  <c:v>8.9878791681925196E-2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5C-403D-BF18-8FF5A8AC2192}"/>
            </c:ext>
          </c:extLst>
        </c:ser>
        <c:ser>
          <c:idx val="9"/>
          <c:order val="9"/>
          <c:tx>
            <c:strRef>
              <c:f>peat_cons!$H$11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peat_cons!$I$11:$M$11</c:f>
              <c:numCache>
                <c:formatCode>General</c:formatCode>
                <c:ptCount val="5"/>
                <c:pt idx="0">
                  <c:v>0.55369829778786572</c:v>
                </c:pt>
                <c:pt idx="1">
                  <c:v>0.11428386791795953</c:v>
                </c:pt>
                <c:pt idx="2">
                  <c:v>0</c:v>
                </c:pt>
                <c:pt idx="3">
                  <c:v>0.61541507635471338</c:v>
                </c:pt>
                <c:pt idx="4">
                  <c:v>0.88812891698951091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5C-403D-BF18-8FF5A8AC2192}"/>
            </c:ext>
          </c:extLst>
        </c:ser>
        <c:ser>
          <c:idx val="10"/>
          <c:order val="10"/>
          <c:tx>
            <c:strRef>
              <c:f>peat_cons!$H$12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peat_cons!$I$12:$M$12</c:f>
              <c:numCache>
                <c:formatCode>General</c:formatCode>
                <c:ptCount val="5"/>
                <c:pt idx="0">
                  <c:v>0.56093527354660144</c:v>
                </c:pt>
                <c:pt idx="1">
                  <c:v>0.11111639434087599</c:v>
                </c:pt>
                <c:pt idx="2">
                  <c:v>1.1366743659405724E-5</c:v>
                </c:pt>
                <c:pt idx="3">
                  <c:v>0.6196716834321826</c:v>
                </c:pt>
                <c:pt idx="4">
                  <c:v>0.90039942347610802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5C-403D-BF18-8FF5A8AC2192}"/>
            </c:ext>
          </c:extLst>
        </c:ser>
        <c:ser>
          <c:idx val="11"/>
          <c:order val="11"/>
          <c:tx>
            <c:strRef>
              <c:f>peat_cons!$H$13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peat_cons!$I$13:$M$13</c:f>
              <c:numCache>
                <c:formatCode>General</c:formatCode>
                <c:ptCount val="5"/>
                <c:pt idx="0">
                  <c:v>0.55433470510744332</c:v>
                </c:pt>
                <c:pt idx="1">
                  <c:v>4.5971463705099299E-3</c:v>
                </c:pt>
                <c:pt idx="2">
                  <c:v>0.19721771857949671</c:v>
                </c:pt>
                <c:pt idx="3">
                  <c:v>3.7164383980798472E-3</c:v>
                </c:pt>
                <c:pt idx="4">
                  <c:v>8.8036903964201191E-2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5C-403D-BF18-8FF5A8AC2192}"/>
            </c:ext>
          </c:extLst>
        </c:ser>
        <c:ser>
          <c:idx val="12"/>
          <c:order val="12"/>
          <c:tx>
            <c:strRef>
              <c:f>peat_cons!$H$14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peat_cons!$I$14:$M$14</c:f>
              <c:numCache>
                <c:formatCode>General</c:formatCode>
                <c:ptCount val="5"/>
                <c:pt idx="0">
                  <c:v>0.53277138289507253</c:v>
                </c:pt>
                <c:pt idx="1">
                  <c:v>3.5875166806351312E-2</c:v>
                </c:pt>
                <c:pt idx="2">
                  <c:v>0.20051707948379982</c:v>
                </c:pt>
                <c:pt idx="3">
                  <c:v>2.2265306463659321E-2</c:v>
                </c:pt>
                <c:pt idx="4">
                  <c:v>8.3807247493849227E-2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5C-403D-BF18-8FF5A8AC2192}"/>
            </c:ext>
          </c:extLst>
        </c:ser>
        <c:ser>
          <c:idx val="13"/>
          <c:order val="13"/>
          <c:tx>
            <c:strRef>
              <c:f>peat_cons!$H$15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peat_cons!$I$1:$M$1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peat_cons!$I$15:$M$15</c:f>
              <c:numCache>
                <c:formatCode>General</c:formatCode>
                <c:ptCount val="5"/>
                <c:pt idx="0">
                  <c:v>0.55433470510744354</c:v>
                </c:pt>
                <c:pt idx="1">
                  <c:v>4.5971463705099299E-3</c:v>
                </c:pt>
                <c:pt idx="2">
                  <c:v>0.19721771857949671</c:v>
                </c:pt>
                <c:pt idx="3">
                  <c:v>3.7164383980798472E-3</c:v>
                </c:pt>
                <c:pt idx="4">
                  <c:v>8.8036903964201191E-2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5C-403D-BF18-8FF5A8AC2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9008"/>
        <c:axId val="81129391"/>
      </c:lineChart>
      <c:catAx>
        <c:axId val="8588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9391"/>
        <c:crosses val="autoZero"/>
        <c:auto val="1"/>
        <c:lblAlgn val="ctr"/>
        <c:lblOffset val="100"/>
        <c:noMultiLvlLbl val="0"/>
      </c:catAx>
      <c:valAx>
        <c:axId val="81129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hobby_cons!$H$2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hobby_cons!$I$2:$M$2</c:f>
              <c:numCache>
                <c:formatCode>General</c:formatCode>
                <c:ptCount val="5"/>
                <c:pt idx="0">
                  <c:v>0.1030547063086137</c:v>
                </c:pt>
                <c:pt idx="1">
                  <c:v>1</c:v>
                </c:pt>
                <c:pt idx="2">
                  <c:v>0.52266552426295376</c:v>
                </c:pt>
                <c:pt idx="3">
                  <c:v>0.92971636309612937</c:v>
                </c:pt>
                <c:pt idx="4">
                  <c:v>0.8246425616314893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0-491C-B67D-FDB4C7E91DD7}"/>
            </c:ext>
          </c:extLst>
        </c:ser>
        <c:ser>
          <c:idx val="1"/>
          <c:order val="1"/>
          <c:tx>
            <c:strRef>
              <c:f>hobby_cons!$H$3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hobby_cons!$I$3:$M$3</c:f>
              <c:numCache>
                <c:formatCode>General</c:formatCode>
                <c:ptCount val="5"/>
                <c:pt idx="0">
                  <c:v>0.99999999999999978</c:v>
                </c:pt>
                <c:pt idx="1">
                  <c:v>0.75925772813020997</c:v>
                </c:pt>
                <c:pt idx="2">
                  <c:v>0.99999999999999933</c:v>
                </c:pt>
                <c:pt idx="3">
                  <c:v>0</c:v>
                </c:pt>
                <c:pt idx="4">
                  <c:v>1.1151676769783214E-16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0-491C-B67D-FDB4C7E91DD7}"/>
            </c:ext>
          </c:extLst>
        </c:ser>
        <c:ser>
          <c:idx val="2"/>
          <c:order val="2"/>
          <c:tx>
            <c:strRef>
              <c:f>hobby_cons!$H$4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hobby_cons!$I$4:$M$4</c:f>
              <c:numCache>
                <c:formatCode>General</c:formatCode>
                <c:ptCount val="5"/>
                <c:pt idx="0">
                  <c:v>0.1489673071074672</c:v>
                </c:pt>
                <c:pt idx="1">
                  <c:v>0.9109760371891289</c:v>
                </c:pt>
                <c:pt idx="2">
                  <c:v>0.51773763779927784</c:v>
                </c:pt>
                <c:pt idx="3">
                  <c:v>0.85354771909980887</c:v>
                </c:pt>
                <c:pt idx="4">
                  <c:v>0.80230580615989155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30-491C-B67D-FDB4C7E91DD7}"/>
            </c:ext>
          </c:extLst>
        </c:ser>
        <c:ser>
          <c:idx val="3"/>
          <c:order val="3"/>
          <c:tx>
            <c:strRef>
              <c:f>hobby_cons!$H$5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hobby_cons!$I$5:$M$5</c:f>
              <c:numCache>
                <c:formatCode>General</c:formatCode>
                <c:ptCount val="5"/>
                <c:pt idx="0">
                  <c:v>0.14896730411981274</c:v>
                </c:pt>
                <c:pt idx="1">
                  <c:v>0.91097603436845209</c:v>
                </c:pt>
                <c:pt idx="2">
                  <c:v>0.5177376339988532</c:v>
                </c:pt>
                <c:pt idx="3">
                  <c:v>0.85354772127565692</c:v>
                </c:pt>
                <c:pt idx="4">
                  <c:v>0.80230580959879239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30-491C-B67D-FDB4C7E91DD7}"/>
            </c:ext>
          </c:extLst>
        </c:ser>
        <c:ser>
          <c:idx val="4"/>
          <c:order val="4"/>
          <c:tx>
            <c:strRef>
              <c:f>hobby_cons!$H$6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hobby_cons!$I$6:$M$6</c:f>
              <c:numCache>
                <c:formatCode>General</c:formatCode>
                <c:ptCount val="5"/>
                <c:pt idx="0">
                  <c:v>1</c:v>
                </c:pt>
                <c:pt idx="1">
                  <c:v>0.75925772813020997</c:v>
                </c:pt>
                <c:pt idx="2">
                  <c:v>0.99999999999999933</c:v>
                </c:pt>
                <c:pt idx="3">
                  <c:v>0</c:v>
                </c:pt>
                <c:pt idx="4">
                  <c:v>1.1151676769783214E-16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30-491C-B67D-FDB4C7E91DD7}"/>
            </c:ext>
          </c:extLst>
        </c:ser>
        <c:ser>
          <c:idx val="5"/>
          <c:order val="5"/>
          <c:tx>
            <c:strRef>
              <c:f>hobby_cons!$H$7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hobby_cons!$I$7:$M$7</c:f>
              <c:numCache>
                <c:formatCode>General</c:formatCode>
                <c:ptCount val="5"/>
                <c:pt idx="0">
                  <c:v>0.10305470630861352</c:v>
                </c:pt>
                <c:pt idx="1">
                  <c:v>1</c:v>
                </c:pt>
                <c:pt idx="2">
                  <c:v>0.52266552426295299</c:v>
                </c:pt>
                <c:pt idx="3">
                  <c:v>0.92971636309612937</c:v>
                </c:pt>
                <c:pt idx="4">
                  <c:v>0.82464256163148886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30-491C-B67D-FDB4C7E91DD7}"/>
            </c:ext>
          </c:extLst>
        </c:ser>
        <c:ser>
          <c:idx val="6"/>
          <c:order val="6"/>
          <c:tx>
            <c:strRef>
              <c:f>hobby_cons!$H$8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hobby_cons!$I$8:$M$8</c:f>
              <c:numCache>
                <c:formatCode>General</c:formatCode>
                <c:ptCount val="5"/>
                <c:pt idx="0">
                  <c:v>1</c:v>
                </c:pt>
                <c:pt idx="1">
                  <c:v>0.7592577281302102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30-491C-B67D-FDB4C7E91DD7}"/>
            </c:ext>
          </c:extLst>
        </c:ser>
        <c:ser>
          <c:idx val="7"/>
          <c:order val="7"/>
          <c:tx>
            <c:strRef>
              <c:f>hobby_cons!$H$9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hobby_cons!$I$9:$M$9</c:f>
              <c:numCache>
                <c:formatCode>General</c:formatCode>
                <c:ptCount val="5"/>
                <c:pt idx="0">
                  <c:v>0</c:v>
                </c:pt>
                <c:pt idx="1">
                  <c:v>0.88803582643896661</c:v>
                </c:pt>
                <c:pt idx="2">
                  <c:v>0.42519989989666102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30-491C-B67D-FDB4C7E91DD7}"/>
            </c:ext>
          </c:extLst>
        </c:ser>
        <c:ser>
          <c:idx val="8"/>
          <c:order val="8"/>
          <c:tx>
            <c:strRef>
              <c:f>hobby_cons!$H$10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hobby_cons!$I$10:$M$10</c:f>
              <c:numCache>
                <c:formatCode>General</c:formatCode>
                <c:ptCount val="5"/>
                <c:pt idx="0">
                  <c:v>0.39929651224976459</c:v>
                </c:pt>
                <c:pt idx="1">
                  <c:v>0</c:v>
                </c:pt>
                <c:pt idx="2">
                  <c:v>0.15109619240210187</c:v>
                </c:pt>
                <c:pt idx="3">
                  <c:v>3.9796403811484589E-2</c:v>
                </c:pt>
                <c:pt idx="4">
                  <c:v>0.10590652351714319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30-491C-B67D-FDB4C7E91DD7}"/>
            </c:ext>
          </c:extLst>
        </c:ser>
        <c:ser>
          <c:idx val="9"/>
          <c:order val="9"/>
          <c:tx>
            <c:strRef>
              <c:f>hobby_cons!$H$11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hobby_cons!$I$11:$M$11</c:f>
              <c:numCache>
                <c:formatCode>General</c:formatCode>
                <c:ptCount val="5"/>
                <c:pt idx="0">
                  <c:v>0.39369244747216314</c:v>
                </c:pt>
                <c:pt idx="1">
                  <c:v>0.10225651351135061</c:v>
                </c:pt>
                <c:pt idx="2">
                  <c:v>0</c:v>
                </c:pt>
                <c:pt idx="3">
                  <c:v>0.63072017327591023</c:v>
                </c:pt>
                <c:pt idx="4">
                  <c:v>0.89009902789586048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30-491C-B67D-FDB4C7E91DD7}"/>
            </c:ext>
          </c:extLst>
        </c:ser>
        <c:ser>
          <c:idx val="10"/>
          <c:order val="10"/>
          <c:tx>
            <c:strRef>
              <c:f>hobby_cons!$H$12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hobby_cons!$I$12:$M$12</c:f>
              <c:numCache>
                <c:formatCode>General</c:formatCode>
                <c:ptCount val="5"/>
                <c:pt idx="0">
                  <c:v>0.39883810659760432</c:v>
                </c:pt>
                <c:pt idx="1">
                  <c:v>9.942238818349286E-2</c:v>
                </c:pt>
                <c:pt idx="2">
                  <c:v>8.5959677483003611E-6</c:v>
                </c:pt>
                <c:pt idx="3">
                  <c:v>0.63480738269925774</c:v>
                </c:pt>
                <c:pt idx="4">
                  <c:v>0.90215344405772668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30-491C-B67D-FDB4C7E91DD7}"/>
            </c:ext>
          </c:extLst>
        </c:ser>
        <c:ser>
          <c:idx val="11"/>
          <c:order val="11"/>
          <c:tx>
            <c:strRef>
              <c:f>hobby_cons!$H$13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hobby_cons!$I$13:$M$13</c:f>
              <c:numCache>
                <c:formatCode>General</c:formatCode>
                <c:ptCount val="5"/>
                <c:pt idx="0">
                  <c:v>0.3941449479696989</c:v>
                </c:pt>
                <c:pt idx="1">
                  <c:v>4.1133378534857186E-3</c:v>
                </c:pt>
                <c:pt idx="2">
                  <c:v>0.14914360692034498</c:v>
                </c:pt>
                <c:pt idx="3">
                  <c:v>4.3364941326334186E-2</c:v>
                </c:pt>
                <c:pt idx="4">
                  <c:v>0.10409707244867039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30-491C-B67D-FDB4C7E91DD7}"/>
            </c:ext>
          </c:extLst>
        </c:ser>
        <c:ser>
          <c:idx val="12"/>
          <c:order val="12"/>
          <c:tx>
            <c:strRef>
              <c:f>hobby_cons!$H$14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hobby_cons!$I$14:$M$14</c:f>
              <c:numCache>
                <c:formatCode>General</c:formatCode>
                <c:ptCount val="5"/>
                <c:pt idx="0">
                  <c:v>0.37881292124804272</c:v>
                </c:pt>
                <c:pt idx="1">
                  <c:v>3.2099626535996212E-2</c:v>
                </c:pt>
                <c:pt idx="2">
                  <c:v>0.1516387102474904</c:v>
                </c:pt>
                <c:pt idx="3">
                  <c:v>6.1175631148129905E-2</c:v>
                </c:pt>
                <c:pt idx="4">
                  <c:v>9.9941902540154712E-2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30-491C-B67D-FDB4C7E91DD7}"/>
            </c:ext>
          </c:extLst>
        </c:ser>
        <c:ser>
          <c:idx val="13"/>
          <c:order val="13"/>
          <c:tx>
            <c:strRef>
              <c:f>hobby_cons!$H$15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hobby_cons!$I$1:$M$1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hobby_cons!$I$15:$M$15</c:f>
              <c:numCache>
                <c:formatCode>General</c:formatCode>
                <c:ptCount val="5"/>
                <c:pt idx="0">
                  <c:v>0.39414494796969907</c:v>
                </c:pt>
                <c:pt idx="1">
                  <c:v>4.1133378534857186E-3</c:v>
                </c:pt>
                <c:pt idx="2">
                  <c:v>0.14914360692034498</c:v>
                </c:pt>
                <c:pt idx="3">
                  <c:v>4.3364941326334186E-2</c:v>
                </c:pt>
                <c:pt idx="4">
                  <c:v>0.10409707244867039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30-491C-B67D-FDB4C7E9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8384"/>
        <c:axId val="81298703"/>
      </c:lineChart>
      <c:catAx>
        <c:axId val="6650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298703"/>
        <c:crosses val="autoZero"/>
        <c:auto val="1"/>
        <c:lblAlgn val="ctr"/>
        <c:lblOffset val="100"/>
        <c:noMultiLvlLbl val="0"/>
      </c:catAx>
      <c:valAx>
        <c:axId val="812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0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brut2!$I$2:$M$2</c:f>
              <c:numCache>
                <c:formatCode>0.00E+00</c:formatCode>
                <c:ptCount val="5"/>
                <c:pt idx="0">
                  <c:v>8.5942246732611527E-2</c:v>
                </c:pt>
                <c:pt idx="1">
                  <c:v>1</c:v>
                </c:pt>
                <c:pt idx="2">
                  <c:v>0.58456508045730093</c:v>
                </c:pt>
                <c:pt idx="3">
                  <c:v>0.88981716866121996</c:v>
                </c:pt>
                <c:pt idx="4">
                  <c:v>0.80312328393541843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1-4CE7-87B1-BD6D52AC3706}"/>
            </c:ext>
          </c:extLst>
        </c:ser>
        <c:ser>
          <c:idx val="1"/>
          <c:order val="1"/>
          <c:tx>
            <c:strRef>
              <c:f>brut2!$H$3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brut2!$I$3:$M$3</c:f>
              <c:numCache>
                <c:formatCode>0.00E+00</c:formatCode>
                <c:ptCount val="5"/>
                <c:pt idx="0">
                  <c:v>1</c:v>
                </c:pt>
                <c:pt idx="1">
                  <c:v>0.79784967675024432</c:v>
                </c:pt>
                <c:pt idx="2">
                  <c:v>1</c:v>
                </c:pt>
                <c:pt idx="3">
                  <c:v>0.10252799308073519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1-4CE7-87B1-BD6D52AC3706}"/>
            </c:ext>
          </c:extLst>
        </c:ser>
        <c:ser>
          <c:idx val="2"/>
          <c:order val="2"/>
          <c:tx>
            <c:strRef>
              <c:f>brut2!$H$4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brut2!$I$4:$M$4</c:f>
              <c:numCache>
                <c:formatCode>0.00E+00</c:formatCode>
                <c:ptCount val="5"/>
                <c:pt idx="0">
                  <c:v>0.13500732783175085</c:v>
                </c:pt>
                <c:pt idx="1">
                  <c:v>0.91774110239853335</c:v>
                </c:pt>
                <c:pt idx="2">
                  <c:v>0.53187218816070159</c:v>
                </c:pt>
                <c:pt idx="3">
                  <c:v>0.72919707046166193</c:v>
                </c:pt>
                <c:pt idx="4">
                  <c:v>0.55652581134979173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1-4CE7-87B1-BD6D52AC3706}"/>
            </c:ext>
          </c:extLst>
        </c:ser>
        <c:ser>
          <c:idx val="3"/>
          <c:order val="3"/>
          <c:tx>
            <c:strRef>
              <c:f>brut2!$H$5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brut2!$I$5:$M$5</c:f>
              <c:numCache>
                <c:formatCode>0.00E+00</c:formatCode>
                <c:ptCount val="5"/>
                <c:pt idx="0">
                  <c:v>0.13762304471820849</c:v>
                </c:pt>
                <c:pt idx="1">
                  <c:v>0.91678013214264809</c:v>
                </c:pt>
                <c:pt idx="2">
                  <c:v>0.53199748552659043</c:v>
                </c:pt>
                <c:pt idx="3">
                  <c:v>0.72448416728591947</c:v>
                </c:pt>
                <c:pt idx="4">
                  <c:v>0.54899057439721233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71-4CE7-87B1-BD6D52AC3706}"/>
            </c:ext>
          </c:extLst>
        </c:ser>
        <c:ser>
          <c:idx val="4"/>
          <c:order val="4"/>
          <c:tx>
            <c:strRef>
              <c:f>brut2!$H$6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brut2!$I$6:$M$6</c:f>
              <c:numCache>
                <c:formatCode>0.00E+00</c:formatCode>
                <c:ptCount val="5"/>
                <c:pt idx="0">
                  <c:v>0.92974773475769412</c:v>
                </c:pt>
                <c:pt idx="1">
                  <c:v>0.80101231775546256</c:v>
                </c:pt>
                <c:pt idx="2">
                  <c:v>0.95205875423787145</c:v>
                </c:pt>
                <c:pt idx="3">
                  <c:v>0.13378340077222073</c:v>
                </c:pt>
                <c:pt idx="4">
                  <c:v>6.7537134871448867E-3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71-4CE7-87B1-BD6D52AC3706}"/>
            </c:ext>
          </c:extLst>
        </c:ser>
        <c:ser>
          <c:idx val="5"/>
          <c:order val="5"/>
          <c:tx>
            <c:strRef>
              <c:f>brut2!$H$7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brut2!$I$7:$M$7</c:f>
              <c:numCache>
                <c:formatCode>0.00E+00</c:formatCode>
                <c:ptCount val="5"/>
                <c:pt idx="0">
                  <c:v>0.13762304471820849</c:v>
                </c:pt>
                <c:pt idx="1">
                  <c:v>0.91678013214264753</c:v>
                </c:pt>
                <c:pt idx="2">
                  <c:v>0.53199748552659043</c:v>
                </c:pt>
                <c:pt idx="3">
                  <c:v>0.72448416728591947</c:v>
                </c:pt>
                <c:pt idx="4">
                  <c:v>0.54899057439721155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71-4CE7-87B1-BD6D52AC3706}"/>
            </c:ext>
          </c:extLst>
        </c:ser>
        <c:ser>
          <c:idx val="6"/>
          <c:order val="6"/>
          <c:tx>
            <c:strRef>
              <c:f>brut2!$H$8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brut2!$I$8:$M$8</c:f>
              <c:numCache>
                <c:formatCode>0.00E+00</c:formatCode>
                <c:ptCount val="5"/>
                <c:pt idx="0">
                  <c:v>0.92974773475769412</c:v>
                </c:pt>
                <c:pt idx="1">
                  <c:v>0.80101231775546256</c:v>
                </c:pt>
                <c:pt idx="2">
                  <c:v>0.9520587542378719</c:v>
                </c:pt>
                <c:pt idx="3">
                  <c:v>0.13378340077222073</c:v>
                </c:pt>
                <c:pt idx="4">
                  <c:v>6.7537134871448867E-3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1-4CE7-87B1-BD6D52AC3706}"/>
            </c:ext>
          </c:extLst>
        </c:ser>
        <c:ser>
          <c:idx val="7"/>
          <c:order val="7"/>
          <c:tx>
            <c:strRef>
              <c:f>brut2!$H$9</c:f>
              <c:strCache>
                <c:ptCount val="1"/>
                <c:pt idx="0">
                  <c:v>minCO2_inv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brut2!$I$9:$M$9</c:f>
              <c:numCache>
                <c:formatCode>0.00E+00</c:formatCode>
                <c:ptCount val="5"/>
                <c:pt idx="0">
                  <c:v>0</c:v>
                </c:pt>
                <c:pt idx="1">
                  <c:v>0.99248610783020108</c:v>
                </c:pt>
                <c:pt idx="2">
                  <c:v>0.56225644484135606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71-4CE7-87B1-BD6D52AC3706}"/>
            </c:ext>
          </c:extLst>
        </c:ser>
        <c:ser>
          <c:idx val="8"/>
          <c:order val="8"/>
          <c:tx>
            <c:strRef>
              <c:f>brut2!$H$10</c:f>
              <c:strCache>
                <c:ptCount val="1"/>
                <c:pt idx="0">
                  <c:v>minEQ_inv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brut2!$I$10:$M$10</c:f>
              <c:numCache>
                <c:formatCode>0.00E+00</c:formatCode>
                <c:ptCount val="5"/>
                <c:pt idx="0">
                  <c:v>0.56157998601423231</c:v>
                </c:pt>
                <c:pt idx="1">
                  <c:v>0</c:v>
                </c:pt>
                <c:pt idx="2">
                  <c:v>0.19979968948656482</c:v>
                </c:pt>
                <c:pt idx="3">
                  <c:v>0</c:v>
                </c:pt>
                <c:pt idx="4">
                  <c:v>8.9878791681925599E-2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1-4CE7-87B1-BD6D52AC3706}"/>
            </c:ext>
          </c:extLst>
        </c:ser>
        <c:ser>
          <c:idx val="9"/>
          <c:order val="9"/>
          <c:tx>
            <c:strRef>
              <c:f>brut2!$H$11</c:f>
              <c:strCache>
                <c:ptCount val="1"/>
                <c:pt idx="0">
                  <c:v>minHH_inv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brut2!$I$11:$M$11</c:f>
              <c:numCache>
                <c:formatCode>0.00E+00</c:formatCode>
                <c:ptCount val="5"/>
                <c:pt idx="0">
                  <c:v>0.5536982977878655</c:v>
                </c:pt>
                <c:pt idx="1">
                  <c:v>0.11428386791795979</c:v>
                </c:pt>
                <c:pt idx="2">
                  <c:v>0</c:v>
                </c:pt>
                <c:pt idx="3">
                  <c:v>0.61541507635471338</c:v>
                </c:pt>
                <c:pt idx="4">
                  <c:v>0.88812891698951091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71-4CE7-87B1-BD6D52AC3706}"/>
            </c:ext>
          </c:extLst>
        </c:ser>
        <c:ser>
          <c:idx val="10"/>
          <c:order val="10"/>
          <c:tx>
            <c:strRef>
              <c:f>brut2!$H$12</c:f>
              <c:strCache>
                <c:ptCount val="1"/>
                <c:pt idx="0">
                  <c:v>minEQ&amp;HH_inv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brut2!$I$12:$M$12</c:f>
              <c:numCache>
                <c:formatCode>0.00E+00</c:formatCode>
                <c:ptCount val="5"/>
                <c:pt idx="0">
                  <c:v>0.56093527354660122</c:v>
                </c:pt>
                <c:pt idx="1">
                  <c:v>0.11111639434087625</c:v>
                </c:pt>
                <c:pt idx="2">
                  <c:v>1.1366743659405719E-5</c:v>
                </c:pt>
                <c:pt idx="3">
                  <c:v>0.6196716834321826</c:v>
                </c:pt>
                <c:pt idx="4">
                  <c:v>0.90039942347610802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71-4CE7-87B1-BD6D52AC3706}"/>
            </c:ext>
          </c:extLst>
        </c:ser>
        <c:ser>
          <c:idx val="11"/>
          <c:order val="11"/>
          <c:tx>
            <c:strRef>
              <c:f>brut2!$H$13</c:f>
              <c:strCache>
                <c:ptCount val="1"/>
                <c:pt idx="0">
                  <c:v>minCO2&amp;EQ_inv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brut2!$I$13:$M$13</c:f>
              <c:numCache>
                <c:formatCode>0.00E+00</c:formatCode>
                <c:ptCount val="5"/>
                <c:pt idx="0">
                  <c:v>0.55433470510744309</c:v>
                </c:pt>
                <c:pt idx="1">
                  <c:v>4.597146370510413E-3</c:v>
                </c:pt>
                <c:pt idx="2">
                  <c:v>0.19721771857949663</c:v>
                </c:pt>
                <c:pt idx="3">
                  <c:v>3.7164383980798472E-3</c:v>
                </c:pt>
                <c:pt idx="4">
                  <c:v>8.803690396420126E-2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71-4CE7-87B1-BD6D52AC3706}"/>
            </c:ext>
          </c:extLst>
        </c:ser>
        <c:ser>
          <c:idx val="12"/>
          <c:order val="12"/>
          <c:tx>
            <c:strRef>
              <c:f>brut2!$H$14</c:f>
              <c:strCache>
                <c:ptCount val="1"/>
                <c:pt idx="0">
                  <c:v>minCO2&amp;HH_inv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brut2!$I$14:$M$14</c:f>
              <c:numCache>
                <c:formatCode>0.00E+00</c:formatCode>
                <c:ptCount val="5"/>
                <c:pt idx="0">
                  <c:v>0.53277138289507242</c:v>
                </c:pt>
                <c:pt idx="1">
                  <c:v>3.5875166806351735E-2</c:v>
                </c:pt>
                <c:pt idx="2">
                  <c:v>0.20051707948379974</c:v>
                </c:pt>
                <c:pt idx="3">
                  <c:v>2.2265306463659321E-2</c:v>
                </c:pt>
                <c:pt idx="4">
                  <c:v>8.380724749384931E-2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71-4CE7-87B1-BD6D52AC3706}"/>
            </c:ext>
          </c:extLst>
        </c:ser>
        <c:ser>
          <c:idx val="13"/>
          <c:order val="13"/>
          <c:tx>
            <c:strRef>
              <c:f>brut2!$H$15</c:f>
              <c:strCache>
                <c:ptCount val="1"/>
                <c:pt idx="0">
                  <c:v>minCO2&amp;EQ&amp;HH_inv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brut2!$I$15:$M$15</c:f>
              <c:numCache>
                <c:formatCode>0.00E+00</c:formatCode>
                <c:ptCount val="5"/>
                <c:pt idx="0">
                  <c:v>0.55433470510744343</c:v>
                </c:pt>
                <c:pt idx="1">
                  <c:v>4.597146370510413E-3</c:v>
                </c:pt>
                <c:pt idx="2">
                  <c:v>0.19721771857949663</c:v>
                </c:pt>
                <c:pt idx="3">
                  <c:v>3.7164383980798472E-3</c:v>
                </c:pt>
                <c:pt idx="4">
                  <c:v>8.803690396420126E-2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71-4CE7-87B1-BD6D52AC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374192"/>
        <c:axId val="1131523344"/>
      </c:lineChart>
      <c:catAx>
        <c:axId val="6613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1523344"/>
        <c:crosses val="autoZero"/>
        <c:auto val="1"/>
        <c:lblAlgn val="ctr"/>
        <c:lblOffset val="100"/>
        <c:noMultiLvlLbl val="0"/>
      </c:catAx>
      <c:valAx>
        <c:axId val="113152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3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brut2!$I$2:$M$2</c:f>
              <c:numCache>
                <c:formatCode>0.00E+00</c:formatCode>
                <c:ptCount val="5"/>
                <c:pt idx="0">
                  <c:v>8.5942246732611527E-2</c:v>
                </c:pt>
                <c:pt idx="1">
                  <c:v>1</c:v>
                </c:pt>
                <c:pt idx="2">
                  <c:v>0.58456508045730093</c:v>
                </c:pt>
                <c:pt idx="3">
                  <c:v>0.88981716866121996</c:v>
                </c:pt>
                <c:pt idx="4">
                  <c:v>0.80312328393541843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5-4468-BFCB-EB69E6A9F933}"/>
            </c:ext>
          </c:extLst>
        </c:ser>
        <c:ser>
          <c:idx val="1"/>
          <c:order val="1"/>
          <c:tx>
            <c:strRef>
              <c:f>brut2!$H$3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brut2!$I$3:$M$3</c:f>
              <c:numCache>
                <c:formatCode>0.00E+00</c:formatCode>
                <c:ptCount val="5"/>
                <c:pt idx="0">
                  <c:v>1</c:v>
                </c:pt>
                <c:pt idx="1">
                  <c:v>0.79784967675024432</c:v>
                </c:pt>
                <c:pt idx="2">
                  <c:v>1</c:v>
                </c:pt>
                <c:pt idx="3">
                  <c:v>0.10252799308073519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5-4468-BFCB-EB69E6A9F933}"/>
            </c:ext>
          </c:extLst>
        </c:ser>
        <c:ser>
          <c:idx val="2"/>
          <c:order val="2"/>
          <c:tx>
            <c:strRef>
              <c:f>brut2!$H$4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brut2!$I$4:$M$4</c:f>
              <c:numCache>
                <c:formatCode>0.00E+00</c:formatCode>
                <c:ptCount val="5"/>
                <c:pt idx="0">
                  <c:v>0.13500732783175085</c:v>
                </c:pt>
                <c:pt idx="1">
                  <c:v>0.91774110239853335</c:v>
                </c:pt>
                <c:pt idx="2">
                  <c:v>0.53187218816070159</c:v>
                </c:pt>
                <c:pt idx="3">
                  <c:v>0.72919707046166193</c:v>
                </c:pt>
                <c:pt idx="4">
                  <c:v>0.55652581134979173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5-4468-BFCB-EB69E6A9F933}"/>
            </c:ext>
          </c:extLst>
        </c:ser>
        <c:ser>
          <c:idx val="3"/>
          <c:order val="3"/>
          <c:tx>
            <c:strRef>
              <c:f>brut2!$H$5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brut2!$I$5:$M$5</c:f>
              <c:numCache>
                <c:formatCode>0.00E+00</c:formatCode>
                <c:ptCount val="5"/>
                <c:pt idx="0">
                  <c:v>0.13762304471820849</c:v>
                </c:pt>
                <c:pt idx="1">
                  <c:v>0.91678013214264809</c:v>
                </c:pt>
                <c:pt idx="2">
                  <c:v>0.53199748552659043</c:v>
                </c:pt>
                <c:pt idx="3">
                  <c:v>0.72448416728591947</c:v>
                </c:pt>
                <c:pt idx="4">
                  <c:v>0.54899057439721233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5-4468-BFCB-EB69E6A9F933}"/>
            </c:ext>
          </c:extLst>
        </c:ser>
        <c:ser>
          <c:idx val="4"/>
          <c:order val="4"/>
          <c:tx>
            <c:strRef>
              <c:f>brut2!$H$6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brut2!$I$6:$M$6</c:f>
              <c:numCache>
                <c:formatCode>0.00E+00</c:formatCode>
                <c:ptCount val="5"/>
                <c:pt idx="0">
                  <c:v>0.92974773475769412</c:v>
                </c:pt>
                <c:pt idx="1">
                  <c:v>0.80101231775546256</c:v>
                </c:pt>
                <c:pt idx="2">
                  <c:v>0.95205875423787145</c:v>
                </c:pt>
                <c:pt idx="3">
                  <c:v>0.13378340077222073</c:v>
                </c:pt>
                <c:pt idx="4">
                  <c:v>6.7537134871448867E-3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5-4468-BFCB-EB69E6A9F933}"/>
            </c:ext>
          </c:extLst>
        </c:ser>
        <c:ser>
          <c:idx val="5"/>
          <c:order val="5"/>
          <c:tx>
            <c:strRef>
              <c:f>brut2!$H$7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brut2!$I$7:$M$7</c:f>
              <c:numCache>
                <c:formatCode>0.00E+00</c:formatCode>
                <c:ptCount val="5"/>
                <c:pt idx="0">
                  <c:v>0.13762304471820849</c:v>
                </c:pt>
                <c:pt idx="1">
                  <c:v>0.91678013214264753</c:v>
                </c:pt>
                <c:pt idx="2">
                  <c:v>0.53199748552659043</c:v>
                </c:pt>
                <c:pt idx="3">
                  <c:v>0.72448416728591947</c:v>
                </c:pt>
                <c:pt idx="4">
                  <c:v>0.54899057439721155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75-4468-BFCB-EB69E6A9F933}"/>
            </c:ext>
          </c:extLst>
        </c:ser>
        <c:ser>
          <c:idx val="6"/>
          <c:order val="6"/>
          <c:tx>
            <c:strRef>
              <c:f>brut2!$H$8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brut2!$I$8:$M$8</c:f>
              <c:numCache>
                <c:formatCode>0.00E+00</c:formatCode>
                <c:ptCount val="5"/>
                <c:pt idx="0">
                  <c:v>0.92974773475769412</c:v>
                </c:pt>
                <c:pt idx="1">
                  <c:v>0.80101231775546256</c:v>
                </c:pt>
                <c:pt idx="2">
                  <c:v>0.9520587542378719</c:v>
                </c:pt>
                <c:pt idx="3">
                  <c:v>0.13378340077222073</c:v>
                </c:pt>
                <c:pt idx="4">
                  <c:v>6.7537134871448867E-3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75-4468-BFCB-EB69E6A9F933}"/>
            </c:ext>
          </c:extLst>
        </c:ser>
        <c:ser>
          <c:idx val="7"/>
          <c:order val="7"/>
          <c:tx>
            <c:strRef>
              <c:f>brut2!$H$9</c:f>
              <c:strCache>
                <c:ptCount val="1"/>
                <c:pt idx="0">
                  <c:v>minCO2_inv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brut2!$I$9:$M$9</c:f>
              <c:numCache>
                <c:formatCode>0.00E+00</c:formatCode>
                <c:ptCount val="5"/>
                <c:pt idx="0">
                  <c:v>0</c:v>
                </c:pt>
                <c:pt idx="1">
                  <c:v>0.99248610783020108</c:v>
                </c:pt>
                <c:pt idx="2">
                  <c:v>0.56225644484135606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75-4468-BFCB-EB69E6A9F933}"/>
            </c:ext>
          </c:extLst>
        </c:ser>
        <c:ser>
          <c:idx val="8"/>
          <c:order val="8"/>
          <c:tx>
            <c:strRef>
              <c:f>brut2!$H$10</c:f>
              <c:strCache>
                <c:ptCount val="1"/>
                <c:pt idx="0">
                  <c:v>minEQ_inv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brut2!$I$10:$M$10</c:f>
              <c:numCache>
                <c:formatCode>0.00E+00</c:formatCode>
                <c:ptCount val="5"/>
                <c:pt idx="0">
                  <c:v>0.56157998601423231</c:v>
                </c:pt>
                <c:pt idx="1">
                  <c:v>0</c:v>
                </c:pt>
                <c:pt idx="2">
                  <c:v>0.19979968948656482</c:v>
                </c:pt>
                <c:pt idx="3">
                  <c:v>0</c:v>
                </c:pt>
                <c:pt idx="4">
                  <c:v>8.9878791681925599E-2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75-4468-BFCB-EB69E6A9F933}"/>
            </c:ext>
          </c:extLst>
        </c:ser>
        <c:ser>
          <c:idx val="9"/>
          <c:order val="9"/>
          <c:tx>
            <c:strRef>
              <c:f>brut2!$H$11</c:f>
              <c:strCache>
                <c:ptCount val="1"/>
                <c:pt idx="0">
                  <c:v>minHH_inv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brut2!$I$11:$M$11</c:f>
              <c:numCache>
                <c:formatCode>0.00E+00</c:formatCode>
                <c:ptCount val="5"/>
                <c:pt idx="0">
                  <c:v>0.5536982977878655</c:v>
                </c:pt>
                <c:pt idx="1">
                  <c:v>0.11428386791795979</c:v>
                </c:pt>
                <c:pt idx="2">
                  <c:v>0</c:v>
                </c:pt>
                <c:pt idx="3">
                  <c:v>0.61541507635471338</c:v>
                </c:pt>
                <c:pt idx="4">
                  <c:v>0.88812891698951091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75-4468-BFCB-EB69E6A9F933}"/>
            </c:ext>
          </c:extLst>
        </c:ser>
        <c:ser>
          <c:idx val="10"/>
          <c:order val="10"/>
          <c:tx>
            <c:strRef>
              <c:f>brut2!$H$12</c:f>
              <c:strCache>
                <c:ptCount val="1"/>
                <c:pt idx="0">
                  <c:v>minEQ&amp;HH_inv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brut2!$I$12:$M$12</c:f>
              <c:numCache>
                <c:formatCode>0.00E+00</c:formatCode>
                <c:ptCount val="5"/>
                <c:pt idx="0">
                  <c:v>0.56093527354660122</c:v>
                </c:pt>
                <c:pt idx="1">
                  <c:v>0.11111639434087625</c:v>
                </c:pt>
                <c:pt idx="2">
                  <c:v>1.1366743659405719E-5</c:v>
                </c:pt>
                <c:pt idx="3">
                  <c:v>0.6196716834321826</c:v>
                </c:pt>
                <c:pt idx="4">
                  <c:v>0.90039942347610802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75-4468-BFCB-EB69E6A9F933}"/>
            </c:ext>
          </c:extLst>
        </c:ser>
        <c:ser>
          <c:idx val="11"/>
          <c:order val="11"/>
          <c:tx>
            <c:strRef>
              <c:f>brut2!$H$13</c:f>
              <c:strCache>
                <c:ptCount val="1"/>
                <c:pt idx="0">
                  <c:v>minCO2&amp;EQ_inv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brut2!$I$13:$M$13</c:f>
              <c:numCache>
                <c:formatCode>0.00E+00</c:formatCode>
                <c:ptCount val="5"/>
                <c:pt idx="0">
                  <c:v>0.55433470510744309</c:v>
                </c:pt>
                <c:pt idx="1">
                  <c:v>4.597146370510413E-3</c:v>
                </c:pt>
                <c:pt idx="2">
                  <c:v>0.19721771857949663</c:v>
                </c:pt>
                <c:pt idx="3">
                  <c:v>3.7164383980798472E-3</c:v>
                </c:pt>
                <c:pt idx="4">
                  <c:v>8.803690396420126E-2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75-4468-BFCB-EB69E6A9F933}"/>
            </c:ext>
          </c:extLst>
        </c:ser>
        <c:ser>
          <c:idx val="12"/>
          <c:order val="12"/>
          <c:tx>
            <c:strRef>
              <c:f>brut2!$H$14</c:f>
              <c:strCache>
                <c:ptCount val="1"/>
                <c:pt idx="0">
                  <c:v>minCO2&amp;HH_inv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brut2!$I$14:$M$14</c:f>
              <c:numCache>
                <c:formatCode>0.00E+00</c:formatCode>
                <c:ptCount val="5"/>
                <c:pt idx="0">
                  <c:v>0.53277138289507242</c:v>
                </c:pt>
                <c:pt idx="1">
                  <c:v>3.5875166806351735E-2</c:v>
                </c:pt>
                <c:pt idx="2">
                  <c:v>0.20051707948379974</c:v>
                </c:pt>
                <c:pt idx="3">
                  <c:v>2.2265306463659321E-2</c:v>
                </c:pt>
                <c:pt idx="4">
                  <c:v>8.380724749384931E-2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75-4468-BFCB-EB69E6A9F933}"/>
            </c:ext>
          </c:extLst>
        </c:ser>
        <c:ser>
          <c:idx val="13"/>
          <c:order val="13"/>
          <c:tx>
            <c:strRef>
              <c:f>brut2!$H$15</c:f>
              <c:strCache>
                <c:ptCount val="1"/>
                <c:pt idx="0">
                  <c:v>minCO2&amp;EQ&amp;HH_inv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brut2!$I$15:$M$15</c:f>
              <c:numCache>
                <c:formatCode>0.00E+00</c:formatCode>
                <c:ptCount val="5"/>
                <c:pt idx="0">
                  <c:v>0.55433470510744343</c:v>
                </c:pt>
                <c:pt idx="1">
                  <c:v>4.597146370510413E-3</c:v>
                </c:pt>
                <c:pt idx="2">
                  <c:v>0.19721771857949663</c:v>
                </c:pt>
                <c:pt idx="3">
                  <c:v>3.7164383980798472E-3</c:v>
                </c:pt>
                <c:pt idx="4">
                  <c:v>8.803690396420126E-2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75-4468-BFCB-EB69E6A9F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520767"/>
        <c:axId val="1909936207"/>
      </c:lineChart>
      <c:catAx>
        <c:axId val="31952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9936207"/>
        <c:crosses val="autoZero"/>
        <c:auto val="1"/>
        <c:lblAlgn val="ctr"/>
        <c:lblOffset val="100"/>
        <c:noMultiLvlLbl val="0"/>
      </c:catAx>
      <c:valAx>
        <c:axId val="190993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952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all_dig!$H$2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all_dig!$I$2:$M$2</c:f>
              <c:numCache>
                <c:formatCode>General</c:formatCode>
                <c:ptCount val="5"/>
                <c:pt idx="0">
                  <c:v>0.27465645053734056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0-450C-BC1E-63E75A6C3074}"/>
            </c:ext>
          </c:extLst>
        </c:ser>
        <c:ser>
          <c:idx val="1"/>
          <c:order val="1"/>
          <c:tx>
            <c:strRef>
              <c:f>all_dig!$H$3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all_dig!$I$3:$M$3</c:f>
              <c:numCache>
                <c:formatCode>General</c:formatCode>
                <c:ptCount val="5"/>
                <c:pt idx="0">
                  <c:v>1</c:v>
                </c:pt>
                <c:pt idx="1">
                  <c:v>0.42857164878887488</c:v>
                </c:pt>
                <c:pt idx="2">
                  <c:v>0.82167896002386465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0-450C-BC1E-63E75A6C3074}"/>
            </c:ext>
          </c:extLst>
        </c:ser>
        <c:ser>
          <c:idx val="2"/>
          <c:order val="2"/>
          <c:tx>
            <c:strRef>
              <c:f>all_dig!$H$4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all_dig!$I$4:$M$4</c:f>
              <c:numCache>
                <c:formatCode>General</c:formatCode>
                <c:ptCount val="5"/>
                <c:pt idx="0">
                  <c:v>1</c:v>
                </c:pt>
                <c:pt idx="1">
                  <c:v>0.42857164878887488</c:v>
                </c:pt>
                <c:pt idx="2">
                  <c:v>0.82167896002386465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0-450C-BC1E-63E75A6C3074}"/>
            </c:ext>
          </c:extLst>
        </c:ser>
        <c:ser>
          <c:idx val="3"/>
          <c:order val="3"/>
          <c:tx>
            <c:strRef>
              <c:f>all_dig!$H$5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all_dig!$I$5:$M$5</c:f>
              <c:numCache>
                <c:formatCode>General</c:formatCode>
                <c:ptCount val="5"/>
                <c:pt idx="0">
                  <c:v>1</c:v>
                </c:pt>
                <c:pt idx="1">
                  <c:v>0.42857164878887488</c:v>
                </c:pt>
                <c:pt idx="2">
                  <c:v>0.82167896002386465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0-450C-BC1E-63E75A6C3074}"/>
            </c:ext>
          </c:extLst>
        </c:ser>
        <c:ser>
          <c:idx val="4"/>
          <c:order val="4"/>
          <c:tx>
            <c:strRef>
              <c:f>all_dig!$H$6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all_dig!$I$6:$M$6</c:f>
              <c:numCache>
                <c:formatCode>General</c:formatCode>
                <c:ptCount val="5"/>
                <c:pt idx="0">
                  <c:v>1</c:v>
                </c:pt>
                <c:pt idx="1">
                  <c:v>0.42857164878887488</c:v>
                </c:pt>
                <c:pt idx="2">
                  <c:v>0.82167896002386465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0-450C-BC1E-63E75A6C3074}"/>
            </c:ext>
          </c:extLst>
        </c:ser>
        <c:ser>
          <c:idx val="5"/>
          <c:order val="5"/>
          <c:tx>
            <c:strRef>
              <c:f>all_dig!$H$7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all_dig!$I$7:$M$7</c:f>
              <c:numCache>
                <c:formatCode>General</c:formatCode>
                <c:ptCount val="5"/>
                <c:pt idx="0">
                  <c:v>0.94284245422827873</c:v>
                </c:pt>
                <c:pt idx="1">
                  <c:v>0.46615048247053564</c:v>
                </c:pt>
                <c:pt idx="2">
                  <c:v>0.82441094866599562</c:v>
                </c:pt>
                <c:pt idx="3">
                  <c:v>5.5060557381666785E-2</c:v>
                </c:pt>
                <c:pt idx="4">
                  <c:v>2.1760026589415997E-2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0-450C-BC1E-63E75A6C3074}"/>
            </c:ext>
          </c:extLst>
        </c:ser>
        <c:ser>
          <c:idx val="6"/>
          <c:order val="6"/>
          <c:tx>
            <c:strRef>
              <c:f>all_dig!$H$8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all_dig!$I$8:$M$8</c:f>
              <c:numCache>
                <c:formatCode>General</c:formatCode>
                <c:ptCount val="5"/>
                <c:pt idx="0">
                  <c:v>1</c:v>
                </c:pt>
                <c:pt idx="1">
                  <c:v>0.42857164878887488</c:v>
                </c:pt>
                <c:pt idx="2">
                  <c:v>0.82167896002386465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0-450C-BC1E-63E75A6C3074}"/>
            </c:ext>
          </c:extLst>
        </c:ser>
        <c:ser>
          <c:idx val="7"/>
          <c:order val="7"/>
          <c:tx>
            <c:strRef>
              <c:f>all_dig!$H$9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all_dig!$I$9:$M$9</c:f>
              <c:numCache>
                <c:formatCode>General</c:formatCode>
                <c:ptCount val="5"/>
                <c:pt idx="0">
                  <c:v>0</c:v>
                </c:pt>
                <c:pt idx="1">
                  <c:v>1.8118998806792179E-2</c:v>
                </c:pt>
                <c:pt idx="2">
                  <c:v>2.4095416379030375E-3</c:v>
                </c:pt>
                <c:pt idx="3">
                  <c:v>5.8471181723225754E-2</c:v>
                </c:pt>
                <c:pt idx="4">
                  <c:v>0.12909285343569851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0-450C-BC1E-63E75A6C3074}"/>
            </c:ext>
          </c:extLst>
        </c:ser>
        <c:ser>
          <c:idx val="8"/>
          <c:order val="8"/>
          <c:tx>
            <c:strRef>
              <c:f>all_dig!$H$10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all_dig!$I$10:$M$10</c:f>
              <c:numCache>
                <c:formatCode>General</c:formatCode>
                <c:ptCount val="5"/>
                <c:pt idx="0">
                  <c:v>3.297491480807388E-2</c:v>
                </c:pt>
                <c:pt idx="1">
                  <c:v>0</c:v>
                </c:pt>
                <c:pt idx="2">
                  <c:v>1.8856277287884835E-3</c:v>
                </c:pt>
                <c:pt idx="3">
                  <c:v>3.8037086263283067E-2</c:v>
                </c:pt>
                <c:pt idx="4">
                  <c:v>0.13679722889795792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F0-450C-BC1E-63E75A6C3074}"/>
            </c:ext>
          </c:extLst>
        </c:ser>
        <c:ser>
          <c:idx val="9"/>
          <c:order val="9"/>
          <c:tx>
            <c:strRef>
              <c:f>all_dig!$H$11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all_dig!$I$11:$M$11</c:f>
              <c:numCache>
                <c:formatCode>General</c:formatCode>
                <c:ptCount val="5"/>
                <c:pt idx="0">
                  <c:v>2.468181848286375E-2</c:v>
                </c:pt>
                <c:pt idx="1">
                  <c:v>2.3218202733809421E-3</c:v>
                </c:pt>
                <c:pt idx="2">
                  <c:v>0</c:v>
                </c:pt>
                <c:pt idx="3">
                  <c:v>4.1447866039492756E-2</c:v>
                </c:pt>
                <c:pt idx="4">
                  <c:v>0.13445999901094827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F0-450C-BC1E-63E75A6C3074}"/>
            </c:ext>
          </c:extLst>
        </c:ser>
        <c:ser>
          <c:idx val="10"/>
          <c:order val="10"/>
          <c:tx>
            <c:strRef>
              <c:f>all_dig!$H$12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all_dig!$I$12:$M$12</c:f>
              <c:numCache>
                <c:formatCode>General</c:formatCode>
                <c:ptCount val="5"/>
                <c:pt idx="0">
                  <c:v>3.2974914808073304E-2</c:v>
                </c:pt>
                <c:pt idx="1">
                  <c:v>0</c:v>
                </c:pt>
                <c:pt idx="2">
                  <c:v>1.8856277287884835E-3</c:v>
                </c:pt>
                <c:pt idx="3">
                  <c:v>3.8037086263283067E-2</c:v>
                </c:pt>
                <c:pt idx="4">
                  <c:v>0.13679722889795792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F0-450C-BC1E-63E75A6C3074}"/>
            </c:ext>
          </c:extLst>
        </c:ser>
        <c:ser>
          <c:idx val="11"/>
          <c:order val="11"/>
          <c:tx>
            <c:strRef>
              <c:f>all_dig!$H$13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all_dig!$I$13:$M$13</c:f>
              <c:numCache>
                <c:formatCode>General</c:formatCode>
                <c:ptCount val="5"/>
                <c:pt idx="0">
                  <c:v>2.4681818482863466E-2</c:v>
                </c:pt>
                <c:pt idx="1">
                  <c:v>2.3218202733809421E-3</c:v>
                </c:pt>
                <c:pt idx="2">
                  <c:v>0</c:v>
                </c:pt>
                <c:pt idx="3">
                  <c:v>4.1447866039492756E-2</c:v>
                </c:pt>
                <c:pt idx="4">
                  <c:v>0.13445999901094827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F0-450C-BC1E-63E75A6C3074}"/>
            </c:ext>
          </c:extLst>
        </c:ser>
        <c:ser>
          <c:idx val="12"/>
          <c:order val="12"/>
          <c:tx>
            <c:strRef>
              <c:f>all_dig!$H$14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all_dig!$I$14:$M$14</c:f>
              <c:numCache>
                <c:formatCode>General</c:formatCode>
                <c:ptCount val="5"/>
                <c:pt idx="0">
                  <c:v>0</c:v>
                </c:pt>
                <c:pt idx="1">
                  <c:v>1.8118998806792179E-2</c:v>
                </c:pt>
                <c:pt idx="2">
                  <c:v>2.4095416379027613E-3</c:v>
                </c:pt>
                <c:pt idx="3">
                  <c:v>5.8471181723225754E-2</c:v>
                </c:pt>
                <c:pt idx="4">
                  <c:v>0.12909285343569851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F0-450C-BC1E-63E75A6C3074}"/>
            </c:ext>
          </c:extLst>
        </c:ser>
        <c:ser>
          <c:idx val="13"/>
          <c:order val="13"/>
          <c:tx>
            <c:strRef>
              <c:f>all_dig!$H$15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all_dig!$I$1:$M$1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all_dig!$I$15:$M$15</c:f>
              <c:numCache>
                <c:formatCode>General</c:formatCode>
                <c:ptCount val="5"/>
                <c:pt idx="0">
                  <c:v>2.4681818482863466E-2</c:v>
                </c:pt>
                <c:pt idx="1">
                  <c:v>2.3218202733806931E-3</c:v>
                </c:pt>
                <c:pt idx="2">
                  <c:v>0</c:v>
                </c:pt>
                <c:pt idx="3">
                  <c:v>4.1447866039492756E-2</c:v>
                </c:pt>
                <c:pt idx="4">
                  <c:v>0.13445999901094849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F0-450C-BC1E-63E75A6C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78495"/>
        <c:axId val="435098959"/>
      </c:lineChart>
      <c:catAx>
        <c:axId val="9017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098959"/>
        <c:crosses val="autoZero"/>
        <c:auto val="1"/>
        <c:lblAlgn val="ctr"/>
        <c:lblOffset val="100"/>
        <c:noMultiLvlLbl val="0"/>
      </c:catAx>
      <c:valAx>
        <c:axId val="435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dig_only!$H$2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dig_only!$I$2:$M$2</c:f>
              <c:numCache>
                <c:formatCode>General</c:formatCode>
                <c:ptCount val="5"/>
                <c:pt idx="0">
                  <c:v>3.6525699099396854E-2</c:v>
                </c:pt>
                <c:pt idx="1">
                  <c:v>1</c:v>
                </c:pt>
                <c:pt idx="2">
                  <c:v>0.99804356962857943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1-4FA9-939D-F372C2FCEAE7}"/>
            </c:ext>
          </c:extLst>
        </c:ser>
        <c:ser>
          <c:idx val="1"/>
          <c:order val="1"/>
          <c:tx>
            <c:strRef>
              <c:f>dig_only!$H$3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dig_only!$I$3:$M$3</c:f>
              <c:numCache>
                <c:formatCode>General</c:formatCode>
                <c:ptCount val="5"/>
                <c:pt idx="0">
                  <c:v>1</c:v>
                </c:pt>
                <c:pt idx="1">
                  <c:v>0.5732438935049895</c:v>
                </c:pt>
                <c:pt idx="2">
                  <c:v>1</c:v>
                </c:pt>
                <c:pt idx="3">
                  <c:v>0.16663419358012083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1-4FA9-939D-F372C2FCEAE7}"/>
            </c:ext>
          </c:extLst>
        </c:ser>
        <c:ser>
          <c:idx val="2"/>
          <c:order val="2"/>
          <c:tx>
            <c:strRef>
              <c:f>dig_only!$H$4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dig_only!$I$4:$M$4</c:f>
              <c:numCache>
                <c:formatCode>General</c:formatCode>
                <c:ptCount val="5"/>
                <c:pt idx="0">
                  <c:v>0.84964049146302856</c:v>
                </c:pt>
                <c:pt idx="1">
                  <c:v>0.5755162070703399</c:v>
                </c:pt>
                <c:pt idx="2">
                  <c:v>0.94028113615400521</c:v>
                </c:pt>
                <c:pt idx="3">
                  <c:v>0.21743221955520659</c:v>
                </c:pt>
                <c:pt idx="4">
                  <c:v>3.9846999964915378E-2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1-4FA9-939D-F372C2FCEAE7}"/>
            </c:ext>
          </c:extLst>
        </c:ser>
        <c:ser>
          <c:idx val="3"/>
          <c:order val="3"/>
          <c:tx>
            <c:strRef>
              <c:f>dig_only!$H$5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dig_only!$I$5:$M$5</c:f>
              <c:numCache>
                <c:formatCode>General</c:formatCode>
                <c:ptCount val="5"/>
                <c:pt idx="0">
                  <c:v>0.84964049146302856</c:v>
                </c:pt>
                <c:pt idx="1">
                  <c:v>0.5755162070703399</c:v>
                </c:pt>
                <c:pt idx="2">
                  <c:v>0.94028113615400477</c:v>
                </c:pt>
                <c:pt idx="3">
                  <c:v>0.21743221955520659</c:v>
                </c:pt>
                <c:pt idx="4">
                  <c:v>3.984699996491578E-2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01-4FA9-939D-F372C2FCEAE7}"/>
            </c:ext>
          </c:extLst>
        </c:ser>
        <c:ser>
          <c:idx val="4"/>
          <c:order val="4"/>
          <c:tx>
            <c:strRef>
              <c:f>dig_only!$H$6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dig_only!$I$6:$M$6</c:f>
              <c:numCache>
                <c:formatCode>General</c:formatCode>
                <c:ptCount val="5"/>
                <c:pt idx="0">
                  <c:v>0.84964049146302856</c:v>
                </c:pt>
                <c:pt idx="1">
                  <c:v>0.5755162070703399</c:v>
                </c:pt>
                <c:pt idx="2">
                  <c:v>0.94028113615400477</c:v>
                </c:pt>
                <c:pt idx="3">
                  <c:v>0.21743221955520659</c:v>
                </c:pt>
                <c:pt idx="4">
                  <c:v>3.984699996491578E-2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01-4FA9-939D-F372C2FCEAE7}"/>
            </c:ext>
          </c:extLst>
        </c:ser>
        <c:ser>
          <c:idx val="5"/>
          <c:order val="5"/>
          <c:tx>
            <c:strRef>
              <c:f>dig_only!$H$7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dig_only!$I$7:$M$7</c:f>
              <c:numCache>
                <c:formatCode>General</c:formatCode>
                <c:ptCount val="5"/>
                <c:pt idx="0">
                  <c:v>3.7361856117969827E-2</c:v>
                </c:pt>
                <c:pt idx="1">
                  <c:v>0.99494745360102732</c:v>
                </c:pt>
                <c:pt idx="2">
                  <c:v>0.98735022699218489</c:v>
                </c:pt>
                <c:pt idx="3">
                  <c:v>0.97430703854047152</c:v>
                </c:pt>
                <c:pt idx="4">
                  <c:v>0.82728618878688398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01-4FA9-939D-F372C2FCEAE7}"/>
            </c:ext>
          </c:extLst>
        </c:ser>
        <c:ser>
          <c:idx val="6"/>
          <c:order val="6"/>
          <c:tx>
            <c:strRef>
              <c:f>dig_only!$H$8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dig_only!$I$8:$M$8</c:f>
              <c:numCache>
                <c:formatCode>General</c:formatCode>
                <c:ptCount val="5"/>
                <c:pt idx="0">
                  <c:v>0.84964049146302856</c:v>
                </c:pt>
                <c:pt idx="1">
                  <c:v>0.5755162070703399</c:v>
                </c:pt>
                <c:pt idx="2">
                  <c:v>0.94028113615400477</c:v>
                </c:pt>
                <c:pt idx="3">
                  <c:v>0.21743221955520659</c:v>
                </c:pt>
                <c:pt idx="4">
                  <c:v>3.984699996491578E-2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01-4FA9-939D-F372C2FCEAE7}"/>
            </c:ext>
          </c:extLst>
        </c:ser>
        <c:ser>
          <c:idx val="7"/>
          <c:order val="7"/>
          <c:tx>
            <c:strRef>
              <c:f>dig_only!$H$9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dig_only!$I$9:$M$9</c:f>
              <c:numCache>
                <c:formatCode>General</c:formatCode>
                <c:ptCount val="5"/>
                <c:pt idx="0">
                  <c:v>0</c:v>
                </c:pt>
                <c:pt idx="1">
                  <c:v>2.5775808275036033E-2</c:v>
                </c:pt>
                <c:pt idx="2">
                  <c:v>4.1099074813481431E-3</c:v>
                </c:pt>
                <c:pt idx="3">
                  <c:v>3.6186813726711432E-2</c:v>
                </c:pt>
                <c:pt idx="4">
                  <c:v>0.49446388187823742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01-4FA9-939D-F372C2FCEAE7}"/>
            </c:ext>
          </c:extLst>
        </c:ser>
        <c:ser>
          <c:idx val="8"/>
          <c:order val="8"/>
          <c:tx>
            <c:strRef>
              <c:f>dig_only!$H$10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dig_only!$I$10:$M$10</c:f>
              <c:numCache>
                <c:formatCode>General</c:formatCode>
                <c:ptCount val="5"/>
                <c:pt idx="0">
                  <c:v>6.1658473099668834E-2</c:v>
                </c:pt>
                <c:pt idx="1">
                  <c:v>0</c:v>
                </c:pt>
                <c:pt idx="2">
                  <c:v>3.2162778960440419E-3</c:v>
                </c:pt>
                <c:pt idx="3">
                  <c:v>0</c:v>
                </c:pt>
                <c:pt idx="4">
                  <c:v>0.53028607384858806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01-4FA9-939D-F372C2FCEAE7}"/>
            </c:ext>
          </c:extLst>
        </c:ser>
        <c:ser>
          <c:idx val="9"/>
          <c:order val="9"/>
          <c:tx>
            <c:strRef>
              <c:f>dig_only!$H$11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dig_only!$I$11:$M$11</c:f>
              <c:numCache>
                <c:formatCode>General</c:formatCode>
                <c:ptCount val="5"/>
                <c:pt idx="0">
                  <c:v>4.6151544282503135E-2</c:v>
                </c:pt>
                <c:pt idx="1">
                  <c:v>3.3029857142727131E-3</c:v>
                </c:pt>
                <c:pt idx="2">
                  <c:v>0</c:v>
                </c:pt>
                <c:pt idx="3">
                  <c:v>6.0401622702843487E-3</c:v>
                </c:pt>
                <c:pt idx="4">
                  <c:v>0.51941891166244669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01-4FA9-939D-F372C2FCEAE7}"/>
            </c:ext>
          </c:extLst>
        </c:ser>
        <c:ser>
          <c:idx val="10"/>
          <c:order val="10"/>
          <c:tx>
            <c:strRef>
              <c:f>dig_only!$H$12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dig_only!$I$12:$M$12</c:f>
              <c:numCache>
                <c:formatCode>General</c:formatCode>
                <c:ptCount val="5"/>
                <c:pt idx="0">
                  <c:v>6.1658473099668834E-2</c:v>
                </c:pt>
                <c:pt idx="1">
                  <c:v>0</c:v>
                </c:pt>
                <c:pt idx="2">
                  <c:v>3.2162778960440419E-3</c:v>
                </c:pt>
                <c:pt idx="3">
                  <c:v>0</c:v>
                </c:pt>
                <c:pt idx="4">
                  <c:v>0.53028607384858806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01-4FA9-939D-F372C2FCEAE7}"/>
            </c:ext>
          </c:extLst>
        </c:ser>
        <c:ser>
          <c:idx val="11"/>
          <c:order val="11"/>
          <c:tx>
            <c:strRef>
              <c:f>dig_only!$H$13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dig_only!$I$13:$M$13</c:f>
              <c:numCache>
                <c:formatCode>General</c:formatCode>
                <c:ptCount val="5"/>
                <c:pt idx="0">
                  <c:v>4.6151544282502607E-2</c:v>
                </c:pt>
                <c:pt idx="1">
                  <c:v>3.3029857142727131E-3</c:v>
                </c:pt>
                <c:pt idx="2">
                  <c:v>0</c:v>
                </c:pt>
                <c:pt idx="3">
                  <c:v>6.0401622702843487E-3</c:v>
                </c:pt>
                <c:pt idx="4">
                  <c:v>0.51941891166244669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01-4FA9-939D-F372C2FCEAE7}"/>
            </c:ext>
          </c:extLst>
        </c:ser>
        <c:ser>
          <c:idx val="12"/>
          <c:order val="12"/>
          <c:tx>
            <c:strRef>
              <c:f>dig_only!$H$14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dig_only!$I$14:$M$14</c:f>
              <c:numCache>
                <c:formatCode>General</c:formatCode>
                <c:ptCount val="5"/>
                <c:pt idx="0">
                  <c:v>0</c:v>
                </c:pt>
                <c:pt idx="1">
                  <c:v>2.5775808275036033E-2</c:v>
                </c:pt>
                <c:pt idx="2">
                  <c:v>4.1099074813476721E-3</c:v>
                </c:pt>
                <c:pt idx="3">
                  <c:v>3.6186813726711432E-2</c:v>
                </c:pt>
                <c:pt idx="4">
                  <c:v>0.49446388187823742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01-4FA9-939D-F372C2FCEAE7}"/>
            </c:ext>
          </c:extLst>
        </c:ser>
        <c:ser>
          <c:idx val="13"/>
          <c:order val="13"/>
          <c:tx>
            <c:strRef>
              <c:f>dig_only!$H$15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dig_only!$I$1:$M$1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dig_only!$I$15:$M$15</c:f>
              <c:numCache>
                <c:formatCode>General</c:formatCode>
                <c:ptCount val="5"/>
                <c:pt idx="0">
                  <c:v>4.6151544282502607E-2</c:v>
                </c:pt>
                <c:pt idx="1">
                  <c:v>3.3029857142723592E-3</c:v>
                </c:pt>
                <c:pt idx="2">
                  <c:v>0</c:v>
                </c:pt>
                <c:pt idx="3">
                  <c:v>6.0401622702843487E-3</c:v>
                </c:pt>
                <c:pt idx="4">
                  <c:v>0.5194189116624478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01-4FA9-939D-F372C2FC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78495"/>
        <c:axId val="435098959"/>
      </c:lineChart>
      <c:catAx>
        <c:axId val="9017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098959"/>
        <c:crosses val="autoZero"/>
        <c:auto val="1"/>
        <c:lblAlgn val="ctr"/>
        <c:lblOffset val="100"/>
        <c:noMultiLvlLbl val="0"/>
      </c:catAx>
      <c:valAx>
        <c:axId val="435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708024</xdr:colOff>
      <xdr:row>14</xdr:row>
      <xdr:rowOff>22224</xdr:rowOff>
    </xdr:from>
    <xdr:to>
      <xdr:col>11</xdr:col>
      <xdr:colOff>438149</xdr:colOff>
      <xdr:row>41</xdr:row>
      <xdr:rowOff>174624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D86ABC-4756-45B7-90F8-AC9B2324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16</xdr:row>
      <xdr:rowOff>95249</xdr:rowOff>
    </xdr:from>
    <xdr:to>
      <xdr:col>11</xdr:col>
      <xdr:colOff>482600</xdr:colOff>
      <xdr:row>39</xdr:row>
      <xdr:rowOff>69848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4E0E83-3593-41F6-8958-B7083A5D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182562</xdr:colOff>
      <xdr:row>19</xdr:row>
      <xdr:rowOff>51594</xdr:rowOff>
    </xdr:from>
    <xdr:to>
      <xdr:col>18</xdr:col>
      <xdr:colOff>92075</xdr:colOff>
      <xdr:row>43</xdr:row>
      <xdr:rowOff>124620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F4BE00-AF4B-4EEF-B2D7-E2FFA687C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2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7414E71-AD53-488C-BD98-7C68BCADD75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123825</xdr:rowOff>
    </xdr:to>
    <xdr:sp macro="" textlink="">
      <xdr:nvSpPr>
        <xdr:cNvPr id="3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2A31C687-9682-4654-8D42-9A35F1F6DD8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20</xdr:row>
      <xdr:rowOff>123825</xdr:rowOff>
    </xdr:to>
    <xdr:sp macro="" textlink="">
      <xdr:nvSpPr>
        <xdr:cNvPr id="4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25D6DF6-B412-4ADC-8035-9491F9F8725C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387801</xdr:colOff>
      <xdr:row>23</xdr:row>
      <xdr:rowOff>24492</xdr:rowOff>
    </xdr:from>
    <xdr:to>
      <xdr:col>13</xdr:col>
      <xdr:colOff>486682</xdr:colOff>
      <xdr:row>47</xdr:row>
      <xdr:rowOff>120651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98AE07-6DB6-43C3-880F-5563B897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455898</xdr:colOff>
      <xdr:row>1</xdr:row>
      <xdr:rowOff>32562</xdr:rowOff>
    </xdr:from>
    <xdr:to>
      <xdr:col>17</xdr:col>
      <xdr:colOff>122114</xdr:colOff>
      <xdr:row>18</xdr:row>
      <xdr:rowOff>8138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36422B0-D81B-41C2-8A5C-B010EC002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329405</xdr:colOff>
      <xdr:row>4</xdr:row>
      <xdr:rowOff>13494</xdr:rowOff>
    </xdr:from>
    <xdr:to>
      <xdr:col>13</xdr:col>
      <xdr:colOff>452437</xdr:colOff>
      <xdr:row>24</xdr:row>
      <xdr:rowOff>166688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D701A1-52C2-4735-B4AF-11151A6D3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329405</xdr:colOff>
      <xdr:row>4</xdr:row>
      <xdr:rowOff>13494</xdr:rowOff>
    </xdr:from>
    <xdr:to>
      <xdr:col>13</xdr:col>
      <xdr:colOff>452437</xdr:colOff>
      <xdr:row>24</xdr:row>
      <xdr:rowOff>166688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6F5168-604F-4492-A0F6-7EF746A80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_cons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l_cons_in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ro_cons_ss_in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_cons_inv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obby_const__ssin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obby_cobs_in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s_const__ssin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s_const_inv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ss_in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inv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ig_ssinv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ig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-679337.00423561712</v>
          </cell>
          <cell r="AE3">
            <v>-407233.47507375729</v>
          </cell>
          <cell r="AF3">
            <v>-4.5570685738874568</v>
          </cell>
          <cell r="AG3">
            <v>107350.647831018</v>
          </cell>
          <cell r="AH3">
            <v>2.361649902726374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  <cell r="AG4">
            <v>-179147.4367931734</v>
          </cell>
          <cell r="AH4">
            <v>0.37306072406859048</v>
          </cell>
        </row>
        <row r="5">
          <cell r="AD5">
            <v>-617461.34486945753</v>
          </cell>
          <cell r="AE5">
            <v>-442326.77329162101</v>
          </cell>
          <cell r="AF5">
            <v>-4.567728347797912</v>
          </cell>
          <cell r="AG5">
            <v>46057.915700153957</v>
          </cell>
          <cell r="AH5">
            <v>1.997901107312372</v>
          </cell>
        </row>
        <row r="6">
          <cell r="AD6">
            <v>-595517.62543056207</v>
          </cell>
          <cell r="AE6">
            <v>-446311.67775772192</v>
          </cell>
          <cell r="AF6">
            <v>-4.5287863151388814</v>
          </cell>
          <cell r="AG6">
            <v>30710.204731085669</v>
          </cell>
          <cell r="AH6">
            <v>1.883706942548123</v>
          </cell>
        </row>
        <row r="7">
          <cell r="AD7">
            <v>-248327.3927667542</v>
          </cell>
          <cell r="AE7">
            <v>-483581.00663625158</v>
          </cell>
          <cell r="AF7">
            <v>-3.716445296378966</v>
          </cell>
          <cell r="AG7">
            <v>-179147.4367931734</v>
          </cell>
          <cell r="AH7">
            <v>0.37306072406859048</v>
          </cell>
        </row>
        <row r="8">
          <cell r="AD8">
            <v>-617461.34432190144</v>
          </cell>
          <cell r="AE8">
            <v>-442326.77360217192</v>
          </cell>
          <cell r="AF8">
            <v>-4.5677283478922437</v>
          </cell>
          <cell r="AG8">
            <v>46057.915157756397</v>
          </cell>
          <cell r="AH8">
            <v>1.9979011040934509</v>
          </cell>
        </row>
        <row r="9">
          <cell r="AD9">
            <v>-248327.39276675411</v>
          </cell>
          <cell r="AE9">
            <v>-483581.00663625152</v>
          </cell>
          <cell r="AF9">
            <v>-3.7164452963789638</v>
          </cell>
          <cell r="AG9">
            <v>-179147.4367931734</v>
          </cell>
          <cell r="AH9">
            <v>0.3730607240685902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-806182.67563673132</v>
          </cell>
          <cell r="AL3">
            <v>-376964.10549032228</v>
          </cell>
          <cell r="AM3">
            <v>-4.7691870352180299</v>
          </cell>
          <cell r="AN3">
            <v>193414.23549361821</v>
          </cell>
          <cell r="AO3">
            <v>2.9014685381230998</v>
          </cell>
        </row>
        <row r="4">
          <cell r="AK4">
            <v>-643504.57746848045</v>
          </cell>
          <cell r="AL4">
            <v>-684134.54392147821</v>
          </cell>
          <cell r="AM4">
            <v>-6.3517927378926764</v>
          </cell>
          <cell r="AN4">
            <v>-165147.24454810651</v>
          </cell>
          <cell r="AO4">
            <v>0.63665305931573191</v>
          </cell>
        </row>
        <row r="5">
          <cell r="AK5">
            <v>-646893.5717235842</v>
          </cell>
          <cell r="AL5">
            <v>-683048.02951931709</v>
          </cell>
          <cell r="AM5">
            <v>-6.3578543683243343</v>
          </cell>
          <cell r="AN5">
            <v>-163891.8494255149</v>
          </cell>
          <cell r="AO5">
            <v>0.63214948940507365</v>
          </cell>
        </row>
        <row r="6">
          <cell r="AK6">
            <v>-643504.57746848045</v>
          </cell>
          <cell r="AL6">
            <v>-684134.54392147821</v>
          </cell>
          <cell r="AM6">
            <v>-6.3517927378926764</v>
          </cell>
          <cell r="AN6">
            <v>-165147.24454810651</v>
          </cell>
          <cell r="AO6">
            <v>0.63665305931573191</v>
          </cell>
        </row>
        <row r="7">
          <cell r="AK7">
            <v>-646893.5717235842</v>
          </cell>
          <cell r="AL7">
            <v>-683048.02951931674</v>
          </cell>
          <cell r="AM7">
            <v>-6.3578543683243334</v>
          </cell>
          <cell r="AN7">
            <v>-163891.8494255149</v>
          </cell>
          <cell r="AO7">
            <v>0.63214948940507321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-646893.57172358409</v>
          </cell>
          <cell r="AL9">
            <v>-683048.02951931674</v>
          </cell>
          <cell r="AM9">
            <v>-6.3578543683243334</v>
          </cell>
          <cell r="AN9">
            <v>-163891.8494255149</v>
          </cell>
          <cell r="AO9">
            <v>0.63214948940507321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-865985.05637241132</v>
          </cell>
          <cell r="AE3">
            <v>-447789.14297205547</v>
          </cell>
          <cell r="AF3">
            <v>-5.4484883681293041</v>
          </cell>
          <cell r="AG3">
            <v>135428.74081269561</v>
          </cell>
          <cell r="AH3">
            <v>2.380595647859896</v>
          </cell>
        </row>
        <row r="4">
          <cell r="AD4">
            <v>-438432.76205715322</v>
          </cell>
          <cell r="AE4">
            <v>-495566.44217257423</v>
          </cell>
          <cell r="AF4">
            <v>-4.473181890515888</v>
          </cell>
          <cell r="AG4">
            <v>-130513.778671432</v>
          </cell>
          <cell r="AH4">
            <v>0.41689187738810352</v>
          </cell>
        </row>
        <row r="5">
          <cell r="AD5">
            <v>-843034.76912883844</v>
          </cell>
          <cell r="AE5">
            <v>-467230.65510733117</v>
          </cell>
          <cell r="AF5">
            <v>-5.5721941924678751</v>
          </cell>
          <cell r="AG5">
            <v>81172.039565046405</v>
          </cell>
          <cell r="AH5">
            <v>1.777644150385755</v>
          </cell>
        </row>
        <row r="6">
          <cell r="AD6">
            <v>-841811.26246081176</v>
          </cell>
          <cell r="AE6">
            <v>-467457.77600775898</v>
          </cell>
          <cell r="AF6">
            <v>-5.5719000348830638</v>
          </cell>
          <cell r="AG6">
            <v>79580.043404655211</v>
          </cell>
          <cell r="AH6">
            <v>1.759219864213063</v>
          </cell>
        </row>
        <row r="7">
          <cell r="AD7">
            <v>-471293.39594797982</v>
          </cell>
          <cell r="AE7">
            <v>-494818.96651613503</v>
          </cell>
          <cell r="AF7">
            <v>-4.5857323896124127</v>
          </cell>
          <cell r="AG7">
            <v>-119955.85138524931</v>
          </cell>
          <cell r="AH7">
            <v>0.4334052731576824</v>
          </cell>
        </row>
        <row r="8">
          <cell r="AD8">
            <v>-841811.26246081176</v>
          </cell>
          <cell r="AE8">
            <v>-467457.77600775909</v>
          </cell>
          <cell r="AF8">
            <v>-5.5719000348830638</v>
          </cell>
          <cell r="AG8">
            <v>79580.043404655211</v>
          </cell>
          <cell r="AH8">
            <v>1.759219864213061</v>
          </cell>
        </row>
        <row r="9">
          <cell r="AD9">
            <v>-471293.39594798052</v>
          </cell>
          <cell r="AE9">
            <v>-494818.96651613672</v>
          </cell>
          <cell r="AF9">
            <v>-4.5857323896124234</v>
          </cell>
          <cell r="AG9">
            <v>-119955.8513852496</v>
          </cell>
          <cell r="AH9">
            <v>0.43340527315768612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-906184.70966323232</v>
          </cell>
          <cell r="AL3">
            <v>-449565.01682961697</v>
          </cell>
          <cell r="AM3">
            <v>-5.5008618105132454</v>
          </cell>
          <cell r="AN3">
            <v>172647.97445518119</v>
          </cell>
          <cell r="AO3">
            <v>2.8619757265941228</v>
          </cell>
        </row>
        <row r="4">
          <cell r="AK4">
            <v>-643504.57746848033</v>
          </cell>
          <cell r="AL4">
            <v>-684134.54392147809</v>
          </cell>
          <cell r="AM4">
            <v>-6.3517927378926764</v>
          </cell>
          <cell r="AN4">
            <v>-165147.24454810651</v>
          </cell>
          <cell r="AO4">
            <v>0.63665305931573113</v>
          </cell>
        </row>
        <row r="5">
          <cell r="AK5">
            <v>-647191.25248678739</v>
          </cell>
          <cell r="AL5">
            <v>-657124.07733635709</v>
          </cell>
          <cell r="AM5">
            <v>-6.8208576195735402</v>
          </cell>
          <cell r="AN5">
            <v>42737.025947058923</v>
          </cell>
          <cell r="AO5">
            <v>2.58844154833199</v>
          </cell>
        </row>
        <row r="6">
          <cell r="AK6">
            <v>-643806.14298086078</v>
          </cell>
          <cell r="AL6">
            <v>-657872.6951489296</v>
          </cell>
          <cell r="AM6">
            <v>-6.8208309341453326</v>
          </cell>
          <cell r="AN6">
            <v>44174.887467003588</v>
          </cell>
          <cell r="AO6">
            <v>2.6184439655639462</v>
          </cell>
        </row>
        <row r="7">
          <cell r="AK7">
            <v>-646893.5717235842</v>
          </cell>
          <cell r="AL7">
            <v>-683048.02951931674</v>
          </cell>
          <cell r="AM7">
            <v>-6.3578543683243334</v>
          </cell>
          <cell r="AN7">
            <v>-163891.8494255149</v>
          </cell>
          <cell r="AO7">
            <v>0.63214948940507321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-646893.57172358409</v>
          </cell>
          <cell r="AL9">
            <v>-683048.02951931674</v>
          </cell>
          <cell r="AM9">
            <v>-6.3578543683243334</v>
          </cell>
          <cell r="AN9">
            <v>-163891.8494255149</v>
          </cell>
          <cell r="AO9">
            <v>0.63214948940507321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-838389.41707749316</v>
          </cell>
          <cell r="AE3">
            <v>-419990.32799216418</v>
          </cell>
          <cell r="AF3">
            <v>-5.1982883251426726</v>
          </cell>
          <cell r="AG3">
            <v>147922.51350655401</v>
          </cell>
          <cell r="AH3">
            <v>2.4255259674342899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  <cell r="AG4">
            <v>-179147.4367931734</v>
          </cell>
          <cell r="AH4">
            <v>0.37306072406859048</v>
          </cell>
        </row>
        <row r="5">
          <cell r="AD5">
            <v>-808185.47670422029</v>
          </cell>
          <cell r="AE5">
            <v>-443505.49284776213</v>
          </cell>
          <cell r="AF5">
            <v>-5.2135865166078119</v>
          </cell>
          <cell r="AG5">
            <v>121126.7340676389</v>
          </cell>
          <cell r="AH5">
            <v>2.369931681633286</v>
          </cell>
        </row>
        <row r="6">
          <cell r="AD6">
            <v>-808185.47866967064</v>
          </cell>
          <cell r="AE6">
            <v>-443505.49359282758</v>
          </cell>
          <cell r="AF6">
            <v>-5.2135865284058971</v>
          </cell>
          <cell r="AG6">
            <v>121126.7348330923</v>
          </cell>
          <cell r="AH6">
            <v>2.3699316901924181</v>
          </cell>
        </row>
        <row r="7">
          <cell r="AD7">
            <v>-248327.3927667542</v>
          </cell>
          <cell r="AE7">
            <v>-483581.00663625158</v>
          </cell>
          <cell r="AF7">
            <v>-3.716445296378966</v>
          </cell>
          <cell r="AG7">
            <v>-179147.4367931734</v>
          </cell>
          <cell r="AH7">
            <v>0.37306072406859048</v>
          </cell>
        </row>
        <row r="8">
          <cell r="AD8">
            <v>-838389.41707749327</v>
          </cell>
          <cell r="AE8">
            <v>-419990.32799216418</v>
          </cell>
          <cell r="AF8">
            <v>-5.1982883251426752</v>
          </cell>
          <cell r="AG8">
            <v>147922.51350655401</v>
          </cell>
          <cell r="AH8">
            <v>2.4255259674342891</v>
          </cell>
        </row>
        <row r="9">
          <cell r="AD9">
            <v>-248327.39276675411</v>
          </cell>
          <cell r="AE9">
            <v>-483581.00663625152</v>
          </cell>
          <cell r="AF9">
            <v>-3.7164452963789638</v>
          </cell>
          <cell r="AG9">
            <v>-179147.4367931734</v>
          </cell>
          <cell r="AH9">
            <v>0.3730607240685902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-906184.70966323232</v>
          </cell>
          <cell r="AL3">
            <v>-449565.01682961697</v>
          </cell>
          <cell r="AM3">
            <v>-5.5008618105132454</v>
          </cell>
          <cell r="AN3">
            <v>172647.97445518119</v>
          </cell>
          <cell r="AO3">
            <v>2.8619757265941228</v>
          </cell>
        </row>
        <row r="4">
          <cell r="AK4">
            <v>-643504.57746848045</v>
          </cell>
          <cell r="AL4">
            <v>-684134.54392147809</v>
          </cell>
          <cell r="AM4">
            <v>-6.3517927378926764</v>
          </cell>
          <cell r="AN4">
            <v>-165147.2445481066</v>
          </cell>
          <cell r="AO4">
            <v>0.63665305931573102</v>
          </cell>
        </row>
        <row r="5">
          <cell r="AK5">
            <v>-647191.25248678739</v>
          </cell>
          <cell r="AL5">
            <v>-657124.07733635709</v>
          </cell>
          <cell r="AM5">
            <v>-6.8208576195735402</v>
          </cell>
          <cell r="AN5">
            <v>42737.025947058923</v>
          </cell>
          <cell r="AO5">
            <v>2.58844154833199</v>
          </cell>
        </row>
        <row r="6">
          <cell r="AK6">
            <v>-643806.14298086078</v>
          </cell>
          <cell r="AL6">
            <v>-657872.69514892949</v>
          </cell>
          <cell r="AM6">
            <v>-6.8208309341453326</v>
          </cell>
          <cell r="AN6">
            <v>44174.887467003573</v>
          </cell>
          <cell r="AO6">
            <v>2.6184439655639449</v>
          </cell>
        </row>
        <row r="7">
          <cell r="AK7">
            <v>-646893.5717235842</v>
          </cell>
          <cell r="AL7">
            <v>-683048.02951931674</v>
          </cell>
          <cell r="AM7">
            <v>-6.3578543683243334</v>
          </cell>
          <cell r="AN7">
            <v>-163891.8494255149</v>
          </cell>
          <cell r="AO7">
            <v>0.63214948940507321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-646893.57172358409</v>
          </cell>
          <cell r="AL9">
            <v>-683048.02951931674</v>
          </cell>
          <cell r="AM9">
            <v>-6.3578543683243334</v>
          </cell>
          <cell r="AN9">
            <v>-163891.8494255149</v>
          </cell>
          <cell r="AO9">
            <v>0.63214948940507321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-865985.05637241108</v>
          </cell>
          <cell r="AE3">
            <v>-447789.14297205512</v>
          </cell>
          <cell r="AF3">
            <v>-5.4484883681293006</v>
          </cell>
          <cell r="AG3">
            <v>135428.7408126957</v>
          </cell>
          <cell r="AH3">
            <v>2.3805956478598951</v>
          </cell>
        </row>
        <row r="4">
          <cell r="AD4">
            <v>-438432.7620571531</v>
          </cell>
          <cell r="AE4">
            <v>-495566.44217257411</v>
          </cell>
          <cell r="AF4">
            <v>-4.4731818905158871</v>
          </cell>
          <cell r="AG4">
            <v>-130513.778671432</v>
          </cell>
          <cell r="AH4">
            <v>0.41689187738810329</v>
          </cell>
        </row>
        <row r="5">
          <cell r="AD5">
            <v>-843034.76912883844</v>
          </cell>
          <cell r="AE5">
            <v>-467230.65510733129</v>
          </cell>
          <cell r="AF5">
            <v>-5.572194192467876</v>
          </cell>
          <cell r="AG5">
            <v>81172.039565046405</v>
          </cell>
          <cell r="AH5">
            <v>1.777644150385755</v>
          </cell>
        </row>
        <row r="6">
          <cell r="AD6">
            <v>-841811.26246081176</v>
          </cell>
          <cell r="AE6">
            <v>-467457.77600775898</v>
          </cell>
          <cell r="AF6">
            <v>-5.5719000348830638</v>
          </cell>
          <cell r="AG6">
            <v>79580.043404655211</v>
          </cell>
          <cell r="AH6">
            <v>1.759219864213063</v>
          </cell>
        </row>
        <row r="7">
          <cell r="AD7">
            <v>-471293.39594798052</v>
          </cell>
          <cell r="AE7">
            <v>-494818.96651613672</v>
          </cell>
          <cell r="AF7">
            <v>-4.5857323896124242</v>
          </cell>
          <cell r="AG7">
            <v>-119955.8513852496</v>
          </cell>
          <cell r="AH7">
            <v>0.43340527315768612</v>
          </cell>
        </row>
        <row r="8">
          <cell r="AD8">
            <v>-841811.26246081176</v>
          </cell>
          <cell r="AE8">
            <v>-467457.77600775909</v>
          </cell>
          <cell r="AF8">
            <v>-5.5719000348830638</v>
          </cell>
          <cell r="AG8">
            <v>79580.043404655211</v>
          </cell>
          <cell r="AH8">
            <v>1.759219864213061</v>
          </cell>
        </row>
        <row r="9">
          <cell r="AD9">
            <v>-471293.39594798052</v>
          </cell>
          <cell r="AE9">
            <v>-494818.96651613672</v>
          </cell>
          <cell r="AF9">
            <v>-4.5857323896124234</v>
          </cell>
          <cell r="AG9">
            <v>-119955.8513852496</v>
          </cell>
          <cell r="AH9">
            <v>0.43340527315768612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-906184.70966323232</v>
          </cell>
          <cell r="AL3">
            <v>-449565.01682961697</v>
          </cell>
          <cell r="AM3">
            <v>-5.5008618105132454</v>
          </cell>
          <cell r="AN3">
            <v>172647.97445518119</v>
          </cell>
          <cell r="AO3">
            <v>2.8619757265941228</v>
          </cell>
        </row>
        <row r="4">
          <cell r="AK4">
            <v>-643504.57746848045</v>
          </cell>
          <cell r="AL4">
            <v>-684134.54392147821</v>
          </cell>
          <cell r="AM4">
            <v>-6.3517927378926764</v>
          </cell>
          <cell r="AN4">
            <v>-165147.24454810651</v>
          </cell>
          <cell r="AO4">
            <v>0.63665305931573191</v>
          </cell>
        </row>
        <row r="5">
          <cell r="AK5">
            <v>-647191.25248678739</v>
          </cell>
          <cell r="AL5">
            <v>-657124.07733635709</v>
          </cell>
          <cell r="AM5">
            <v>-6.8208576195735402</v>
          </cell>
          <cell r="AN5">
            <v>42737.025947058923</v>
          </cell>
          <cell r="AO5">
            <v>2.58844154833199</v>
          </cell>
        </row>
        <row r="6">
          <cell r="AK6">
            <v>-643806.14298086078</v>
          </cell>
          <cell r="AL6">
            <v>-657872.6951489296</v>
          </cell>
          <cell r="AM6">
            <v>-6.8208309341453326</v>
          </cell>
          <cell r="AN6">
            <v>44174.887467003588</v>
          </cell>
          <cell r="AO6">
            <v>2.6184439655639462</v>
          </cell>
        </row>
        <row r="7">
          <cell r="AK7">
            <v>-646893.5717235842</v>
          </cell>
          <cell r="AL7">
            <v>-683048.02951931674</v>
          </cell>
          <cell r="AM7">
            <v>-6.3578543683243334</v>
          </cell>
          <cell r="AN7">
            <v>-163891.8494255149</v>
          </cell>
          <cell r="AO7">
            <v>0.63214948940507321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-646893.57172358409</v>
          </cell>
          <cell r="AL9">
            <v>-683048.02951931674</v>
          </cell>
          <cell r="AM9">
            <v>-6.3578543683243334</v>
          </cell>
          <cell r="AN9">
            <v>-163891.8494255149</v>
          </cell>
          <cell r="AO9">
            <v>0.63214948940507321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-544740.82216742123</v>
          </cell>
          <cell r="AE3">
            <v>-216176.5307118264</v>
          </cell>
          <cell r="AF3">
            <v>-3.1432058249703072</v>
          </cell>
          <cell r="AG3">
            <v>188919.45845114451</v>
          </cell>
          <cell r="AH3">
            <v>2.29994431206703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  <cell r="AG4">
            <v>-179147.4367931734</v>
          </cell>
          <cell r="AH4">
            <v>0.37306072406859048</v>
          </cell>
        </row>
        <row r="5">
          <cell r="AD5">
            <v>-248327.39276675429</v>
          </cell>
          <cell r="AE5">
            <v>-483581.00663625158</v>
          </cell>
          <cell r="AF5">
            <v>-3.716445296378966</v>
          </cell>
          <cell r="AG5">
            <v>-179147.4367931734</v>
          </cell>
          <cell r="AH5">
            <v>0.37306072406859048</v>
          </cell>
        </row>
        <row r="6">
          <cell r="AD6">
            <v>-248327.39276675429</v>
          </cell>
          <cell r="AE6">
            <v>-483581.00663625158</v>
          </cell>
          <cell r="AF6">
            <v>-3.716445296378966</v>
          </cell>
          <cell r="AG6">
            <v>-179147.4367931734</v>
          </cell>
          <cell r="AH6">
            <v>0.37306072406859048</v>
          </cell>
        </row>
        <row r="7">
          <cell r="AD7">
            <v>-248327.39276675429</v>
          </cell>
          <cell r="AE7">
            <v>-483581.00663625158</v>
          </cell>
          <cell r="AF7">
            <v>-3.716445296378966</v>
          </cell>
          <cell r="AG7">
            <v>-179147.4367931734</v>
          </cell>
          <cell r="AH7">
            <v>0.37306072406859048</v>
          </cell>
        </row>
        <row r="8">
          <cell r="AD8">
            <v>-271684.96473506151</v>
          </cell>
          <cell r="AE8">
            <v>-465995.69028784567</v>
          </cell>
          <cell r="AF8">
            <v>-3.70766291307008</v>
          </cell>
          <cell r="AG8">
            <v>-158881.4683872817</v>
          </cell>
          <cell r="AH8">
            <v>0.41498976217814582</v>
          </cell>
        </row>
        <row r="9">
          <cell r="AD9">
            <v>-248327.39276675429</v>
          </cell>
          <cell r="AE9">
            <v>-483581.00663625158</v>
          </cell>
          <cell r="AF9">
            <v>-3.716445296378966</v>
          </cell>
          <cell r="AG9">
            <v>-179147.4367931734</v>
          </cell>
          <cell r="AH9">
            <v>0.37306072406859048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-656979.85768527805</v>
          </cell>
          <cell r="AL3">
            <v>-675655.61323850357</v>
          </cell>
          <cell r="AM3">
            <v>-6.3501085388078984</v>
          </cell>
          <cell r="AN3">
            <v>-157626.13047503939</v>
          </cell>
          <cell r="AO3">
            <v>0.6218076246817259</v>
          </cell>
        </row>
        <row r="4">
          <cell r="AK4">
            <v>-643504.57746848033</v>
          </cell>
          <cell r="AL4">
            <v>-684134.54392147809</v>
          </cell>
          <cell r="AM4">
            <v>-6.3517927378926764</v>
          </cell>
          <cell r="AN4">
            <v>-165147.24454810651</v>
          </cell>
          <cell r="AO4">
            <v>0.63665305931573146</v>
          </cell>
        </row>
        <row r="5">
          <cell r="AK5">
            <v>-646893.5717235842</v>
          </cell>
          <cell r="AL5">
            <v>-683048.02951931686</v>
          </cell>
          <cell r="AM5">
            <v>-6.3578543683243343</v>
          </cell>
          <cell r="AN5">
            <v>-163891.8494255149</v>
          </cell>
          <cell r="AO5">
            <v>0.6321494894050731</v>
          </cell>
        </row>
        <row r="6">
          <cell r="AK6">
            <v>-643504.57746848057</v>
          </cell>
          <cell r="AL6">
            <v>-684134.54392147809</v>
          </cell>
          <cell r="AM6">
            <v>-6.3517927378926764</v>
          </cell>
          <cell r="AN6">
            <v>-165147.24454810651</v>
          </cell>
          <cell r="AO6">
            <v>0.63665305931573146</v>
          </cell>
        </row>
        <row r="7">
          <cell r="AK7">
            <v>-646893.57172358432</v>
          </cell>
          <cell r="AL7">
            <v>-683048.02951931686</v>
          </cell>
          <cell r="AM7">
            <v>-6.3578543683243343</v>
          </cell>
          <cell r="AN7">
            <v>-163891.8494255149</v>
          </cell>
          <cell r="AO7">
            <v>0.6321494894050731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-646893.57172358432</v>
          </cell>
          <cell r="AL9">
            <v>-683048.02951931697</v>
          </cell>
          <cell r="AM9">
            <v>-6.3578543683243343</v>
          </cell>
          <cell r="AN9">
            <v>-163891.8494255149</v>
          </cell>
          <cell r="AO9">
            <v>0.63214948940507354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-648997.27223131806</v>
          </cell>
          <cell r="AE3">
            <v>-355185.37606215652</v>
          </cell>
          <cell r="AF3">
            <v>-4.4768691209916529</v>
          </cell>
          <cell r="AG3">
            <v>42694.046201274381</v>
          </cell>
          <cell r="AH3">
            <v>0.83131192868738801</v>
          </cell>
        </row>
        <row r="4">
          <cell r="AD4">
            <v>-438432.76205715322</v>
          </cell>
          <cell r="AE4">
            <v>-495566.44217257423</v>
          </cell>
          <cell r="AF4">
            <v>-4.473181890515888</v>
          </cell>
          <cell r="AG4">
            <v>-130513.778671432</v>
          </cell>
          <cell r="AH4">
            <v>0.41689187738810329</v>
          </cell>
        </row>
        <row r="5">
          <cell r="AD5">
            <v>-471293.39594798058</v>
          </cell>
          <cell r="AE5">
            <v>-494818.96651613677</v>
          </cell>
          <cell r="AF5">
            <v>-4.5857323896124242</v>
          </cell>
          <cell r="AG5">
            <v>-119955.8513852496</v>
          </cell>
          <cell r="AH5">
            <v>0.43340527315768612</v>
          </cell>
        </row>
        <row r="6">
          <cell r="AD6">
            <v>-471293.39594798058</v>
          </cell>
          <cell r="AE6">
            <v>-494818.96651613677</v>
          </cell>
          <cell r="AF6">
            <v>-4.5857323896124251</v>
          </cell>
          <cell r="AG6">
            <v>-119955.8513852496</v>
          </cell>
          <cell r="AH6">
            <v>0.43340527315768629</v>
          </cell>
        </row>
        <row r="7">
          <cell r="AD7">
            <v>-471293.39594798058</v>
          </cell>
          <cell r="AE7">
            <v>-494818.96651613677</v>
          </cell>
          <cell r="AF7">
            <v>-4.5857323896124251</v>
          </cell>
          <cell r="AG7">
            <v>-119955.8513852496</v>
          </cell>
          <cell r="AH7">
            <v>0.43340527315768629</v>
          </cell>
        </row>
        <row r="8">
          <cell r="AD8">
            <v>-648814.53254341986</v>
          </cell>
          <cell r="AE8">
            <v>-356847.40699566918</v>
          </cell>
          <cell r="AF8">
            <v>-4.4970225695542414</v>
          </cell>
          <cell r="AG8">
            <v>37353.987928351882</v>
          </cell>
          <cell r="AH8">
            <v>0.75973586218435352</v>
          </cell>
        </row>
        <row r="9">
          <cell r="AD9">
            <v>-471293.39594798058</v>
          </cell>
          <cell r="AE9">
            <v>-494818.96651613677</v>
          </cell>
          <cell r="AF9">
            <v>-4.5857323896124251</v>
          </cell>
          <cell r="AG9">
            <v>-119955.8513852496</v>
          </cell>
          <cell r="AH9">
            <v>0.43340527315768629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-656979.85768527805</v>
          </cell>
          <cell r="AL3">
            <v>-675655.61323850357</v>
          </cell>
          <cell r="AM3">
            <v>-6.3501085388078984</v>
          </cell>
          <cell r="AN3">
            <v>-157626.13047503939</v>
          </cell>
          <cell r="AO3">
            <v>0.6218076246817259</v>
          </cell>
        </row>
        <row r="4">
          <cell r="AK4">
            <v>-643504.57746848057</v>
          </cell>
          <cell r="AL4">
            <v>-684134.54392147809</v>
          </cell>
          <cell r="AM4">
            <v>-6.3517927378926764</v>
          </cell>
          <cell r="AN4">
            <v>-165147.24454810651</v>
          </cell>
          <cell r="AO4">
            <v>0.63665305931573146</v>
          </cell>
        </row>
        <row r="5">
          <cell r="AK5">
            <v>-646893.5717235842</v>
          </cell>
          <cell r="AL5">
            <v>-683048.02951931686</v>
          </cell>
          <cell r="AM5">
            <v>-6.3578543683243343</v>
          </cell>
          <cell r="AN5">
            <v>-163891.8494255149</v>
          </cell>
          <cell r="AO5">
            <v>0.6321494894050731</v>
          </cell>
        </row>
        <row r="6">
          <cell r="AK6">
            <v>-643504.57746848057</v>
          </cell>
          <cell r="AL6">
            <v>-684134.54392147809</v>
          </cell>
          <cell r="AM6">
            <v>-6.3517927378926764</v>
          </cell>
          <cell r="AN6">
            <v>-165147.24454810651</v>
          </cell>
          <cell r="AO6">
            <v>0.63665305931573146</v>
          </cell>
        </row>
        <row r="7">
          <cell r="AK7">
            <v>-646893.57172358432</v>
          </cell>
          <cell r="AL7">
            <v>-683048.02951931686</v>
          </cell>
          <cell r="AM7">
            <v>-6.3578543683243343</v>
          </cell>
          <cell r="AN7">
            <v>-163891.8494255149</v>
          </cell>
          <cell r="AO7">
            <v>0.6321494894050731</v>
          </cell>
        </row>
        <row r="8">
          <cell r="AK8">
            <v>-656979.85768527805</v>
          </cell>
          <cell r="AL8">
            <v>-675655.61323850357</v>
          </cell>
          <cell r="AM8">
            <v>-6.3501085388078993</v>
          </cell>
          <cell r="AN8">
            <v>-157626.13047503939</v>
          </cell>
          <cell r="AO8">
            <v>0.6218076246817259</v>
          </cell>
        </row>
        <row r="9">
          <cell r="AK9">
            <v>-646893.57172358432</v>
          </cell>
          <cell r="AL9">
            <v>-683048.02951931697</v>
          </cell>
          <cell r="AM9">
            <v>-6.3578543683243343</v>
          </cell>
          <cell r="AN9">
            <v>-163891.8494255149</v>
          </cell>
          <cell r="AO9">
            <v>0.63214948940507354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3D9-31AF-4FEF-8C0E-358C3905DD4E}">
  <dimension ref="A1:X15"/>
  <sheetViews>
    <sheetView zoomScale="80" zoomScaleNormal="80" workbookViewId="0">
      <selection activeCell="M21" sqref="M21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  <c r="O1" t="s">
        <v>20</v>
      </c>
      <c r="P1" t="s">
        <v>21</v>
      </c>
      <c r="R1" s="13"/>
      <c r="S1" s="13" t="s">
        <v>0</v>
      </c>
      <c r="T1" s="13" t="s">
        <v>1</v>
      </c>
      <c r="U1" s="13" t="s">
        <v>2</v>
      </c>
      <c r="W1" t="s">
        <v>20</v>
      </c>
      <c r="X1" t="s">
        <v>21</v>
      </c>
    </row>
    <row r="2" spans="1:24" x14ac:dyDescent="0.35">
      <c r="A2" t="s">
        <v>6</v>
      </c>
      <c r="B2" s="2">
        <f>[1]results!AD3</f>
        <v>-679337.00423561712</v>
      </c>
      <c r="C2" s="2">
        <f>[1]results!AE3</f>
        <v>-407233.47507375729</v>
      </c>
      <c r="D2" s="2">
        <f>[1]results!AF3</f>
        <v>-4.5570685738874568</v>
      </c>
      <c r="E2" s="2">
        <f>[1]results!AG3</f>
        <v>107350.647831018</v>
      </c>
      <c r="F2" s="2">
        <f>[1]results!AH3</f>
        <v>2.361649902726374</v>
      </c>
      <c r="H2" t="s">
        <v>6</v>
      </c>
      <c r="I2">
        <f>(B2-MIN(B$2:B$15))/(MAX(B$2:B$15)-MIN(B$2:B$15))</f>
        <v>0.22738096294174365</v>
      </c>
      <c r="J2">
        <f>(C2-MIN(C$2:C$15))/(MAX(C$2:C$15)-MIN(C$2:C$15))</f>
        <v>0.90145741322624351</v>
      </c>
      <c r="K2">
        <f>(D2-MIN(D$2:D$15))/(MAX(D$2:D$15)-MIN(D$2:D$15))</f>
        <v>0.68175195336579097</v>
      </c>
      <c r="L2">
        <f>(E2-MIN(E$2:E$15))/(MAX(E$2:E$15)-MIN(E$2:E$15))</f>
        <v>0.76899505755828279</v>
      </c>
      <c r="M2">
        <f>(F2-MIN(F$2:F$15))/(MAX(F$2:F$15)-MIN(F$2:F$15))</f>
        <v>0.78649858919274485</v>
      </c>
      <c r="O2">
        <f>SUM(I2:K2)</f>
        <v>1.8105903295337782</v>
      </c>
      <c r="P2">
        <f>SQRT((I2*I2)+(J2*J2)+(K2*K2))</f>
        <v>1.1528717604690197</v>
      </c>
      <c r="R2" s="13" t="s">
        <v>6</v>
      </c>
      <c r="S2" s="13">
        <f>(B2-MIN(B$2:B$8))/(MAX(B$2:B$8)-MIN(B$2:B$8))</f>
        <v>0</v>
      </c>
      <c r="T2" s="13">
        <f>(C2-MIN(C$2:C$8))/(MAX(C$2:C$8)-MIN(C$2:C$8))</f>
        <v>1</v>
      </c>
      <c r="U2" s="13">
        <f>(D2-MIN(D$2:D$8))/(MAX(D$2:D$8)-MIN(D$2:D$8))</f>
        <v>1.2522008967331841E-2</v>
      </c>
      <c r="W2">
        <f>SUM(S2:U2)</f>
        <v>1.0125220089673319</v>
      </c>
      <c r="X2">
        <f>SQRT((S2*S2)+(T2*T2)+(U2*U2))</f>
        <v>1.0000783972812222</v>
      </c>
    </row>
    <row r="3" spans="1:24" x14ac:dyDescent="0.35">
      <c r="A3" t="s">
        <v>7</v>
      </c>
      <c r="B3" s="2">
        <f>[1]results!AD4</f>
        <v>-248327.39276675429</v>
      </c>
      <c r="C3" s="2">
        <f>[1]results!AE4</f>
        <v>-483581.00663625158</v>
      </c>
      <c r="D3" s="2">
        <f>[1]results!AF4</f>
        <v>-3.716445296378966</v>
      </c>
      <c r="E3" s="2">
        <f>[1]results!AG4</f>
        <v>-179147.4367931734</v>
      </c>
      <c r="F3" s="2">
        <f>[1]results!AH4</f>
        <v>0.37306072406859048</v>
      </c>
      <c r="H3" t="s">
        <v>7</v>
      </c>
      <c r="I3">
        <f t="shared" ref="I3:M15" si="0">(B3-MIN(B$2:B$15))/(MAX(B$2:B$15)-MIN(B$2:B$15))</f>
        <v>0.99999999999999978</v>
      </c>
      <c r="J3">
        <f t="shared" si="0"/>
        <v>0.65290637442045185</v>
      </c>
      <c r="K3">
        <f t="shared" si="0"/>
        <v>0.99999999999999911</v>
      </c>
      <c r="L3">
        <f t="shared" si="0"/>
        <v>0</v>
      </c>
      <c r="M3">
        <f t="shared" si="0"/>
        <v>1.0977491629849288E-16</v>
      </c>
      <c r="O3">
        <f t="shared" ref="O3:O15" si="1">SUM(I3:K3)</f>
        <v>2.6529063744204509</v>
      </c>
      <c r="P3">
        <f t="shared" ref="P3:P15" si="2">SQRT((I3*I3)+(J3*J3)+(K3*K3))</f>
        <v>1.5576542407603997</v>
      </c>
      <c r="R3" s="13" t="s">
        <v>7</v>
      </c>
      <c r="S3" s="13">
        <f t="shared" ref="S3:U8" si="3">(B3-MIN(B$2:B$8))/(MAX(B$2:B$8)-MIN(B$2:B$8))</f>
        <v>0.99999999999999978</v>
      </c>
      <c r="T3" s="13">
        <f t="shared" si="3"/>
        <v>0</v>
      </c>
      <c r="U3" s="13">
        <f t="shared" si="3"/>
        <v>0.99999999999999745</v>
      </c>
      <c r="W3">
        <f t="shared" ref="W3:W15" si="4">SUM(S3:U3)</f>
        <v>1.9999999999999973</v>
      </c>
      <c r="X3">
        <f t="shared" ref="X3:X15" si="5">SQRT((S3*S3)+(T3*T3)+(U3*U3))</f>
        <v>1.4142135623730931</v>
      </c>
    </row>
    <row r="4" spans="1:24" x14ac:dyDescent="0.35">
      <c r="A4" t="s">
        <v>8</v>
      </c>
      <c r="B4" s="2">
        <f>[1]results!AD5</f>
        <v>-617461.34486945753</v>
      </c>
      <c r="C4" s="2">
        <f>[1]results!AE5</f>
        <v>-442326.77329162101</v>
      </c>
      <c r="D4" s="2">
        <f>[1]results!AF5</f>
        <v>-4.567728347797912</v>
      </c>
      <c r="E4" s="2">
        <f>[1]results!AG5</f>
        <v>46057.915700153957</v>
      </c>
      <c r="F4" s="2">
        <f>[1]results!AH5</f>
        <v>1.997901107312372</v>
      </c>
      <c r="H4" t="s">
        <v>8</v>
      </c>
      <c r="I4">
        <f t="shared" si="0"/>
        <v>0.33829800767748625</v>
      </c>
      <c r="J4">
        <f t="shared" si="0"/>
        <v>0.78721042254218088</v>
      </c>
      <c r="K4">
        <f t="shared" si="0"/>
        <v>0.67771631419741163</v>
      </c>
      <c r="L4">
        <f t="shared" si="0"/>
        <v>0.60447804818732964</v>
      </c>
      <c r="M4">
        <f t="shared" si="0"/>
        <v>0.64263382442178774</v>
      </c>
      <c r="O4">
        <f t="shared" si="1"/>
        <v>1.8032247444170788</v>
      </c>
      <c r="P4">
        <f t="shared" si="2"/>
        <v>1.0924491722212619</v>
      </c>
      <c r="R4" s="13" t="s">
        <v>8</v>
      </c>
      <c r="S4" s="13">
        <f t="shared" si="3"/>
        <v>0.14355981333058881</v>
      </c>
      <c r="T4" s="13">
        <f t="shared" si="3"/>
        <v>0.54034796541996788</v>
      </c>
      <c r="U4" s="13">
        <f t="shared" si="3"/>
        <v>1.1081114963092783E-10</v>
      </c>
      <c r="W4">
        <f t="shared" si="4"/>
        <v>0.68390777886136789</v>
      </c>
      <c r="X4">
        <f t="shared" si="5"/>
        <v>0.55909332292293767</v>
      </c>
    </row>
    <row r="5" spans="1:24" x14ac:dyDescent="0.35">
      <c r="A5" t="s">
        <v>12</v>
      </c>
      <c r="B5" s="2">
        <f>[1]results!AD6</f>
        <v>-595517.62543056207</v>
      </c>
      <c r="C5" s="2">
        <f>[1]results!AE6</f>
        <v>-446311.67775772192</v>
      </c>
      <c r="D5" s="2">
        <f>[1]results!AF6</f>
        <v>-4.5287863151388814</v>
      </c>
      <c r="E5" s="2">
        <f>[1]results!AG6</f>
        <v>30710.204731085669</v>
      </c>
      <c r="F5" s="2">
        <f>[1]results!AH6</f>
        <v>1.883706942548123</v>
      </c>
      <c r="H5" t="s">
        <v>12</v>
      </c>
      <c r="I5">
        <f t="shared" si="0"/>
        <v>0.3776338714986594</v>
      </c>
      <c r="J5">
        <f t="shared" si="0"/>
        <v>0.77423747994245207</v>
      </c>
      <c r="K5">
        <f t="shared" si="0"/>
        <v>0.69245921527723198</v>
      </c>
      <c r="L5">
        <f t="shared" si="0"/>
        <v>0.56328295993559485</v>
      </c>
      <c r="M5">
        <f t="shared" si="0"/>
        <v>0.59746936790908245</v>
      </c>
      <c r="O5">
        <f t="shared" si="1"/>
        <v>1.8443305667183434</v>
      </c>
      <c r="P5">
        <f t="shared" si="2"/>
        <v>1.1052378843819393</v>
      </c>
      <c r="R5" s="13" t="s">
        <v>12</v>
      </c>
      <c r="S5" s="13">
        <f t="shared" si="3"/>
        <v>0.19447218014327353</v>
      </c>
      <c r="T5" s="13">
        <f t="shared" si="3"/>
        <v>0.48815368507392859</v>
      </c>
      <c r="U5" s="13">
        <f t="shared" si="3"/>
        <v>4.5745105208117476E-2</v>
      </c>
      <c r="W5">
        <f t="shared" si="4"/>
        <v>0.72837097042531962</v>
      </c>
      <c r="X5">
        <f t="shared" si="5"/>
        <v>0.52745242795102942</v>
      </c>
    </row>
    <row r="6" spans="1:24" x14ac:dyDescent="0.35">
      <c r="A6" t="s">
        <v>9</v>
      </c>
      <c r="B6" s="2">
        <f>[1]results!AD7</f>
        <v>-248327.3927667542</v>
      </c>
      <c r="C6" s="2">
        <f>[1]results!AE7</f>
        <v>-483581.00663625158</v>
      </c>
      <c r="D6" s="2">
        <f>[1]results!AF7</f>
        <v>-3.716445296378966</v>
      </c>
      <c r="E6" s="2">
        <f>[1]results!AG7</f>
        <v>-179147.4367931734</v>
      </c>
      <c r="F6" s="2">
        <f>[1]results!AH7</f>
        <v>0.37306072406859048</v>
      </c>
      <c r="H6" t="s">
        <v>9</v>
      </c>
      <c r="I6">
        <f t="shared" si="0"/>
        <v>1</v>
      </c>
      <c r="J6">
        <f t="shared" si="0"/>
        <v>0.65290637442045185</v>
      </c>
      <c r="K6">
        <f t="shared" si="0"/>
        <v>0.99999999999999911</v>
      </c>
      <c r="L6">
        <f t="shared" si="0"/>
        <v>0</v>
      </c>
      <c r="M6">
        <f t="shared" si="0"/>
        <v>1.0977491629849288E-16</v>
      </c>
      <c r="O6">
        <f t="shared" si="1"/>
        <v>2.6529063744204509</v>
      </c>
      <c r="P6">
        <f t="shared" si="2"/>
        <v>1.5576542407603997</v>
      </c>
      <c r="R6" s="13" t="s">
        <v>9</v>
      </c>
      <c r="S6" s="13">
        <f t="shared" si="3"/>
        <v>0.99999999999999989</v>
      </c>
      <c r="T6" s="13">
        <f t="shared" si="3"/>
        <v>0</v>
      </c>
      <c r="U6" s="13">
        <f t="shared" si="3"/>
        <v>0.99999999999999745</v>
      </c>
      <c r="W6">
        <f t="shared" si="4"/>
        <v>1.9999999999999973</v>
      </c>
      <c r="X6">
        <f t="shared" si="5"/>
        <v>1.4142135623730931</v>
      </c>
    </row>
    <row r="7" spans="1:24" x14ac:dyDescent="0.35">
      <c r="A7" t="s">
        <v>10</v>
      </c>
      <c r="B7" s="2">
        <f>[1]results!AD8</f>
        <v>-617461.34432190144</v>
      </c>
      <c r="C7" s="2">
        <f>[1]results!AE8</f>
        <v>-442326.77360217192</v>
      </c>
      <c r="D7" s="2">
        <f>[1]results!AF8</f>
        <v>-4.5677283478922437</v>
      </c>
      <c r="E7" s="2">
        <f>[1]results!AG8</f>
        <v>46057.915157756397</v>
      </c>
      <c r="F7" s="2">
        <f>[1]results!AH8</f>
        <v>1.9979011040934509</v>
      </c>
      <c r="H7" t="s">
        <v>10</v>
      </c>
      <c r="I7">
        <f t="shared" si="0"/>
        <v>0.3382980086590241</v>
      </c>
      <c r="J7">
        <f t="shared" si="0"/>
        <v>0.7872104215311756</v>
      </c>
      <c r="K7">
        <f t="shared" si="0"/>
        <v>0.67771631416169908</v>
      </c>
      <c r="L7">
        <f t="shared" si="0"/>
        <v>0.60447804673146988</v>
      </c>
      <c r="M7">
        <f t="shared" si="0"/>
        <v>0.64263382314868567</v>
      </c>
      <c r="O7">
        <f t="shared" si="1"/>
        <v>1.8032247443518987</v>
      </c>
      <c r="P7">
        <f t="shared" si="2"/>
        <v>1.0924491717745366</v>
      </c>
      <c r="R7" s="13" t="s">
        <v>10</v>
      </c>
      <c r="S7" s="13">
        <f t="shared" si="3"/>
        <v>0.14355981460099226</v>
      </c>
      <c r="T7" s="13">
        <f t="shared" si="3"/>
        <v>0.54034796135237195</v>
      </c>
      <c r="U7" s="13">
        <f t="shared" si="3"/>
        <v>0</v>
      </c>
      <c r="W7">
        <f t="shared" si="4"/>
        <v>0.68390777595336427</v>
      </c>
      <c r="X7">
        <f t="shared" si="5"/>
        <v>0.5590933193179255</v>
      </c>
    </row>
    <row r="8" spans="1:24" x14ac:dyDescent="0.35">
      <c r="A8" t="s">
        <v>11</v>
      </c>
      <c r="B8" s="2">
        <f>[1]results!AD9</f>
        <v>-248327.39276675411</v>
      </c>
      <c r="C8" s="2">
        <f>[1]results!AE9</f>
        <v>-483581.00663625152</v>
      </c>
      <c r="D8" s="2">
        <f>[1]results!AF9</f>
        <v>-3.7164452963789638</v>
      </c>
      <c r="E8" s="2">
        <f>[1]results!AG9</f>
        <v>-179147.4367931734</v>
      </c>
      <c r="F8" s="2">
        <f>[1]results!AH9</f>
        <v>0.3730607240685902</v>
      </c>
      <c r="H8" t="s">
        <v>11</v>
      </c>
      <c r="I8">
        <f t="shared" si="0"/>
        <v>1</v>
      </c>
      <c r="J8">
        <f t="shared" si="0"/>
        <v>0.65290637442045196</v>
      </c>
      <c r="K8">
        <f t="shared" si="0"/>
        <v>1</v>
      </c>
      <c r="L8">
        <f t="shared" si="0"/>
        <v>0</v>
      </c>
      <c r="M8">
        <f t="shared" si="0"/>
        <v>0</v>
      </c>
      <c r="O8">
        <f t="shared" si="1"/>
        <v>2.6529063744204517</v>
      </c>
      <c r="P8">
        <f t="shared" si="2"/>
        <v>1.5576542407604004</v>
      </c>
      <c r="R8" s="13" t="s">
        <v>11</v>
      </c>
      <c r="S8" s="13">
        <f t="shared" si="3"/>
        <v>1</v>
      </c>
      <c r="T8" s="13">
        <f t="shared" si="3"/>
        <v>7.6240396673232997E-16</v>
      </c>
      <c r="U8" s="13">
        <f t="shared" si="3"/>
        <v>1</v>
      </c>
      <c r="W8">
        <f>SUM(S8:U8)</f>
        <v>2.0000000000000009</v>
      </c>
      <c r="X8">
        <f t="shared" si="5"/>
        <v>1.4142135623730951</v>
      </c>
    </row>
    <row r="9" spans="1:24" x14ac:dyDescent="0.35">
      <c r="A9" t="s">
        <v>13</v>
      </c>
      <c r="B9" s="2">
        <f>[2]results!AK3</f>
        <v>-806182.67563673132</v>
      </c>
      <c r="C9" s="2">
        <f>[2]results!AL3</f>
        <v>-376964.10549032228</v>
      </c>
      <c r="D9" s="2">
        <f>[2]results!AM3</f>
        <v>-4.7691870352180299</v>
      </c>
      <c r="E9" s="2">
        <f>[2]results!AN3</f>
        <v>193414.23549361821</v>
      </c>
      <c r="F9" s="2">
        <f>[2]results!AO3</f>
        <v>2.9014685381230998</v>
      </c>
      <c r="H9" t="s">
        <v>6</v>
      </c>
      <c r="I9">
        <f t="shared" si="0"/>
        <v>0</v>
      </c>
      <c r="J9">
        <f t="shared" si="0"/>
        <v>1</v>
      </c>
      <c r="K9">
        <f t="shared" si="0"/>
        <v>0.60144691330838329</v>
      </c>
      <c r="L9">
        <f t="shared" si="0"/>
        <v>1</v>
      </c>
      <c r="M9">
        <f t="shared" si="0"/>
        <v>1</v>
      </c>
      <c r="O9">
        <f t="shared" si="1"/>
        <v>1.6014469133083833</v>
      </c>
      <c r="P9">
        <f t="shared" si="2"/>
        <v>1.1669354693076144</v>
      </c>
      <c r="R9" s="12" t="s">
        <v>13</v>
      </c>
      <c r="S9" s="14">
        <v>0</v>
      </c>
      <c r="T9" s="14">
        <v>0</v>
      </c>
      <c r="U9" s="14">
        <v>0</v>
      </c>
      <c r="W9">
        <f t="shared" si="4"/>
        <v>0</v>
      </c>
      <c r="X9">
        <f t="shared" si="5"/>
        <v>0</v>
      </c>
    </row>
    <row r="10" spans="1:24" x14ac:dyDescent="0.35">
      <c r="A10" t="s">
        <v>14</v>
      </c>
      <c r="B10" s="2">
        <f>[2]results!AK4</f>
        <v>-643504.57746848045</v>
      </c>
      <c r="C10" s="2">
        <f>[2]results!AL4</f>
        <v>-684134.54392147821</v>
      </c>
      <c r="D10" s="2">
        <f>[2]results!AM4</f>
        <v>-6.3517927378926764</v>
      </c>
      <c r="E10" s="2">
        <f>[2]results!AN4</f>
        <v>-165147.24454810651</v>
      </c>
      <c r="F10" s="2">
        <f>[2]results!AO4</f>
        <v>0.63665305931573191</v>
      </c>
      <c r="H10" t="s">
        <v>7</v>
      </c>
      <c r="I10">
        <f t="shared" si="0"/>
        <v>0.29161344019425067</v>
      </c>
      <c r="J10">
        <f t="shared" si="0"/>
        <v>0</v>
      </c>
      <c r="K10">
        <f t="shared" si="0"/>
        <v>2.294847282853289E-3</v>
      </c>
      <c r="L10">
        <f t="shared" si="0"/>
        <v>3.7578187147200112E-2</v>
      </c>
      <c r="M10">
        <f t="shared" si="0"/>
        <v>0.10425230209380255</v>
      </c>
      <c r="O10">
        <f t="shared" si="1"/>
        <v>0.29390828747710396</v>
      </c>
      <c r="P10">
        <f t="shared" si="2"/>
        <v>0.2916224696863694</v>
      </c>
      <c r="R10" s="12" t="s">
        <v>14</v>
      </c>
      <c r="S10" s="14">
        <v>0</v>
      </c>
      <c r="T10" s="14">
        <v>0</v>
      </c>
      <c r="U10" s="14">
        <v>0</v>
      </c>
      <c r="W10">
        <f t="shared" si="4"/>
        <v>0</v>
      </c>
      <c r="X10">
        <f t="shared" si="5"/>
        <v>0</v>
      </c>
    </row>
    <row r="11" spans="1:24" x14ac:dyDescent="0.35">
      <c r="A11" t="s">
        <v>15</v>
      </c>
      <c r="B11" s="2">
        <f>[2]results!AK5</f>
        <v>-646893.5717235842</v>
      </c>
      <c r="C11" s="2">
        <f>[2]results!AL5</f>
        <v>-683048.02951931709</v>
      </c>
      <c r="D11" s="2">
        <f>[2]results!AM5</f>
        <v>-6.3578543683243343</v>
      </c>
      <c r="E11" s="2">
        <f>[2]results!AN5</f>
        <v>-163891.8494255149</v>
      </c>
      <c r="F11" s="2">
        <f>[2]results!AO5</f>
        <v>0.63214948940507365</v>
      </c>
      <c r="H11" t="s">
        <v>8</v>
      </c>
      <c r="I11">
        <f t="shared" si="0"/>
        <v>0.28553839822697102</v>
      </c>
      <c r="J11">
        <f t="shared" si="0"/>
        <v>3.5371711148715658E-3</v>
      </c>
      <c r="K11">
        <f t="shared" si="0"/>
        <v>0</v>
      </c>
      <c r="L11">
        <f t="shared" si="0"/>
        <v>4.0947817509029788E-2</v>
      </c>
      <c r="M11">
        <f t="shared" si="0"/>
        <v>0.10247111399367705</v>
      </c>
      <c r="O11">
        <f t="shared" si="1"/>
        <v>0.28907556934184259</v>
      </c>
      <c r="P11">
        <f t="shared" si="2"/>
        <v>0.28556030613781069</v>
      </c>
      <c r="R11" s="12" t="s">
        <v>15</v>
      </c>
      <c r="S11" s="14">
        <v>0</v>
      </c>
      <c r="T11" s="14">
        <v>0</v>
      </c>
      <c r="U11" s="14">
        <v>0</v>
      </c>
      <c r="W11">
        <f t="shared" si="4"/>
        <v>0</v>
      </c>
      <c r="X11">
        <f t="shared" si="5"/>
        <v>0</v>
      </c>
    </row>
    <row r="12" spans="1:24" x14ac:dyDescent="0.35">
      <c r="A12" t="s">
        <v>16</v>
      </c>
      <c r="B12" s="2">
        <f>[2]results!AK6</f>
        <v>-643504.57746848045</v>
      </c>
      <c r="C12" s="2">
        <f>[2]results!AL6</f>
        <v>-684134.54392147821</v>
      </c>
      <c r="D12" s="2">
        <f>[2]results!AM6</f>
        <v>-6.3517927378926764</v>
      </c>
      <c r="E12" s="2">
        <f>[2]results!AN6</f>
        <v>-165147.24454810651</v>
      </c>
      <c r="F12" s="2">
        <f>[2]results!AO6</f>
        <v>0.63665305931573191</v>
      </c>
      <c r="H12" t="s">
        <v>12</v>
      </c>
      <c r="I12">
        <f t="shared" si="0"/>
        <v>0.29161344019425067</v>
      </c>
      <c r="J12">
        <f t="shared" si="0"/>
        <v>0</v>
      </c>
      <c r="K12">
        <f t="shared" si="0"/>
        <v>2.294847282853289E-3</v>
      </c>
      <c r="L12">
        <f t="shared" si="0"/>
        <v>3.7578187147200112E-2</v>
      </c>
      <c r="M12">
        <f t="shared" si="0"/>
        <v>0.10425230209380255</v>
      </c>
      <c r="O12">
        <f t="shared" si="1"/>
        <v>0.29390828747710396</v>
      </c>
      <c r="P12">
        <f t="shared" si="2"/>
        <v>0.2916224696863694</v>
      </c>
      <c r="R12" s="12" t="s">
        <v>16</v>
      </c>
      <c r="S12" s="14">
        <v>0</v>
      </c>
      <c r="T12" s="14">
        <v>0</v>
      </c>
      <c r="U12" s="14">
        <v>0</v>
      </c>
      <c r="W12">
        <f t="shared" si="4"/>
        <v>0</v>
      </c>
      <c r="X12">
        <f t="shared" si="5"/>
        <v>0</v>
      </c>
    </row>
    <row r="13" spans="1:24" x14ac:dyDescent="0.35">
      <c r="A13" t="s">
        <v>17</v>
      </c>
      <c r="B13" s="2">
        <f>[2]results!AK7</f>
        <v>-646893.5717235842</v>
      </c>
      <c r="C13" s="2">
        <f>[2]results!AL7</f>
        <v>-683048.02951931674</v>
      </c>
      <c r="D13" s="2">
        <f>[2]results!AM7</f>
        <v>-6.3578543683243334</v>
      </c>
      <c r="E13" s="2">
        <f>[2]results!AN7</f>
        <v>-163891.8494255149</v>
      </c>
      <c r="F13" s="2">
        <f>[2]results!AO7</f>
        <v>0.63214948940507321</v>
      </c>
      <c r="H13" t="s">
        <v>9</v>
      </c>
      <c r="I13">
        <f t="shared" si="0"/>
        <v>0.28553839822697102</v>
      </c>
      <c r="J13">
        <f t="shared" si="0"/>
        <v>3.5371711148727029E-3</v>
      </c>
      <c r="K13">
        <f t="shared" si="0"/>
        <v>3.3625174878573088E-16</v>
      </c>
      <c r="L13">
        <f t="shared" si="0"/>
        <v>4.0947817509029788E-2</v>
      </c>
      <c r="M13">
        <f t="shared" si="0"/>
        <v>0.10247111399367687</v>
      </c>
      <c r="O13">
        <f t="shared" si="1"/>
        <v>0.28907556934184409</v>
      </c>
      <c r="P13">
        <f t="shared" si="2"/>
        <v>0.28556030613781069</v>
      </c>
      <c r="R13" s="12" t="s">
        <v>17</v>
      </c>
      <c r="S13" s="14">
        <v>0</v>
      </c>
      <c r="T13" s="14">
        <v>0</v>
      </c>
      <c r="U13" s="14">
        <v>0</v>
      </c>
      <c r="W13">
        <f t="shared" si="4"/>
        <v>0</v>
      </c>
      <c r="X13">
        <f t="shared" si="5"/>
        <v>0</v>
      </c>
    </row>
    <row r="14" spans="1:24" x14ac:dyDescent="0.35">
      <c r="A14" t="s">
        <v>18</v>
      </c>
      <c r="B14" s="2">
        <f>[2]results!AK8</f>
        <v>-656979.85768527805</v>
      </c>
      <c r="C14" s="2">
        <f>[2]results!AL8</f>
        <v>-675655.61323850357</v>
      </c>
      <c r="D14" s="2">
        <f>[2]results!AM8</f>
        <v>-6.3501085388078993</v>
      </c>
      <c r="E14" s="2">
        <f>[2]results!AN8</f>
        <v>-157626.13047503939</v>
      </c>
      <c r="F14" s="2">
        <f>[2]results!AO8</f>
        <v>0.6218076246817259</v>
      </c>
      <c r="H14" t="s">
        <v>10</v>
      </c>
      <c r="I14">
        <f t="shared" si="0"/>
        <v>0.26745792776910726</v>
      </c>
      <c r="J14">
        <f t="shared" si="0"/>
        <v>2.760334206077894E-2</v>
      </c>
      <c r="K14">
        <f t="shared" si="0"/>
        <v>2.9324611620002747E-3</v>
      </c>
      <c r="L14">
        <f t="shared" si="0"/>
        <v>5.7765755092400589E-2</v>
      </c>
      <c r="M14">
        <f t="shared" si="0"/>
        <v>9.8380846329631302E-2</v>
      </c>
      <c r="O14">
        <f t="shared" si="1"/>
        <v>0.29799373099188653</v>
      </c>
      <c r="P14">
        <f t="shared" si="2"/>
        <v>0.26889456474227219</v>
      </c>
      <c r="R14" s="12" t="s">
        <v>18</v>
      </c>
      <c r="S14" s="14">
        <v>0</v>
      </c>
      <c r="T14" s="14">
        <v>0</v>
      </c>
      <c r="U14" s="14">
        <v>0</v>
      </c>
      <c r="W14">
        <f t="shared" si="4"/>
        <v>0</v>
      </c>
      <c r="X14">
        <f t="shared" si="5"/>
        <v>0</v>
      </c>
    </row>
    <row r="15" spans="1:24" x14ac:dyDescent="0.35">
      <c r="A15" t="s">
        <v>19</v>
      </c>
      <c r="B15" s="2">
        <f>[2]results!AK9</f>
        <v>-646893.57172358409</v>
      </c>
      <c r="C15" s="2">
        <f>[2]results!AL9</f>
        <v>-683048.02951931674</v>
      </c>
      <c r="D15" s="2">
        <f>[2]results!AM9</f>
        <v>-6.3578543683243334</v>
      </c>
      <c r="E15" s="2">
        <f>[2]results!AN9</f>
        <v>-163891.8494255149</v>
      </c>
      <c r="F15" s="2">
        <f>[2]results!AO9</f>
        <v>0.63214948940507321</v>
      </c>
      <c r="H15" t="s">
        <v>11</v>
      </c>
      <c r="I15">
        <f t="shared" si="0"/>
        <v>0.28553839822697125</v>
      </c>
      <c r="J15">
        <f t="shared" si="0"/>
        <v>3.5371711148727029E-3</v>
      </c>
      <c r="K15">
        <f t="shared" si="0"/>
        <v>3.3625174878573088E-16</v>
      </c>
      <c r="L15">
        <f t="shared" si="0"/>
        <v>4.0947817509029788E-2</v>
      </c>
      <c r="M15">
        <f t="shared" si="0"/>
        <v>0.10247111399367687</v>
      </c>
      <c r="O15">
        <f t="shared" si="1"/>
        <v>0.28907556934184431</v>
      </c>
      <c r="P15">
        <f t="shared" si="2"/>
        <v>0.28556030613781097</v>
      </c>
      <c r="R15" s="12" t="s">
        <v>19</v>
      </c>
      <c r="S15" s="14">
        <v>0</v>
      </c>
      <c r="T15" s="14">
        <v>0</v>
      </c>
      <c r="U15" s="14">
        <v>0</v>
      </c>
      <c r="W15">
        <f t="shared" si="4"/>
        <v>0</v>
      </c>
      <c r="X15">
        <f t="shared" si="5"/>
        <v>0</v>
      </c>
    </row>
  </sheetData>
  <conditionalFormatting sqref="O2:O15">
    <cfRule type="expression" dxfId="49" priority="6">
      <formula>O2=MIN($O$2:$O$15)</formula>
    </cfRule>
  </conditionalFormatting>
  <conditionalFormatting sqref="W2:W8">
    <cfRule type="expression" dxfId="48" priority="5">
      <formula>W2=MIN($W$2:$W$8)</formula>
    </cfRule>
  </conditionalFormatting>
  <conditionalFormatting sqref="X2:X8">
    <cfRule type="expression" dxfId="47" priority="4">
      <formula>X2=MIN($X$2:$X$8)</formula>
    </cfRule>
  </conditionalFormatting>
  <conditionalFormatting sqref="P9:P15">
    <cfRule type="expression" dxfId="46" priority="3">
      <formula>P9=MIN($P$9:$P$15)</formula>
    </cfRule>
  </conditionalFormatting>
  <conditionalFormatting sqref="W9:W15">
    <cfRule type="expression" dxfId="45" priority="2">
      <formula>W9=MIN($W$9:$W$15)</formula>
    </cfRule>
  </conditionalFormatting>
  <conditionalFormatting sqref="X9:X15">
    <cfRule type="expression" dxfId="44" priority="1">
      <formula>X9=MIN($X$9:$X$15)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0A70-16E2-41FA-B795-DDC71CE18097}">
  <dimension ref="A1:X16"/>
  <sheetViews>
    <sheetView zoomScale="66" workbookViewId="0">
      <selection activeCell="B2" sqref="B2"/>
    </sheetView>
  </sheetViews>
  <sheetFormatPr baseColWidth="10" defaultRowHeight="14.5" x14ac:dyDescent="0.35"/>
  <cols>
    <col min="1" max="1" width="18.6328125" bestFit="1" customWidth="1"/>
    <col min="8" max="8" width="19.6328125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  <c r="O1" t="s">
        <v>20</v>
      </c>
      <c r="P1" t="s">
        <v>21</v>
      </c>
      <c r="S1" t="s">
        <v>0</v>
      </c>
      <c r="T1" t="s">
        <v>1</v>
      </c>
      <c r="U1" t="s">
        <v>2</v>
      </c>
      <c r="W1" t="s">
        <v>20</v>
      </c>
      <c r="X1" t="s">
        <v>21</v>
      </c>
    </row>
    <row r="2" spans="1:24" x14ac:dyDescent="0.35">
      <c r="A2" t="s">
        <v>6</v>
      </c>
      <c r="B2" s="2">
        <f>[3]results!AD3</f>
        <v>-865985.05637241132</v>
      </c>
      <c r="C2" s="2">
        <f>[3]results!AE3</f>
        <v>-447789.14297205547</v>
      </c>
      <c r="D2" s="2">
        <f>[3]results!AF3</f>
        <v>-5.4484883681293041</v>
      </c>
      <c r="E2" s="2">
        <f>[3]results!AG3</f>
        <v>135428.74081269561</v>
      </c>
      <c r="F2" s="2">
        <f>[3]results!AH3</f>
        <v>2.380595647859896</v>
      </c>
      <c r="H2" t="s">
        <v>6</v>
      </c>
      <c r="I2">
        <f>(B2-MIN(B$2:B$15))/(MAX(B$2:B$15)-MIN(B$2:B$15))</f>
        <v>8.5942246732611055E-2</v>
      </c>
      <c r="J2">
        <f>(C2-MIN(C$2:C$15))/(MAX(C$2:C$15)-MIN(C$2:C$15))</f>
        <v>1</v>
      </c>
      <c r="K2">
        <f>(D2-MIN(D$2:D$15))/(MAX(D$2:D$15)-MIN(D$2:D$15))</f>
        <v>0.5845650804572996</v>
      </c>
      <c r="L2">
        <f>(E2-MIN(E$2:E$15))/(MAX(E$2:E$15)-MIN(E$2:E$15))</f>
        <v>0.88981716866121974</v>
      </c>
      <c r="M2">
        <f>(F2-MIN(F$2:F$15))/(MAX(F$2:F$15)-MIN(F$2:F$15))</f>
        <v>0.80312328393541876</v>
      </c>
      <c r="O2">
        <f>SUM(I2:K2)</f>
        <v>1.6705073271899105</v>
      </c>
      <c r="P2">
        <f>SQRT((I2*I2)+(J2*J2)+(K2*K2))</f>
        <v>1.1615086754146513</v>
      </c>
      <c r="R2" t="s">
        <v>6</v>
      </c>
      <c r="S2">
        <f>(B2-MIN(B$2:B$8))/(MAX(B$2:B$8)-MIN(B$2:B$8))</f>
        <v>0</v>
      </c>
      <c r="T2">
        <f>(C2-MIN(C$2:C$8))/(MAX(C$2:C$8)-MIN(C$2:C$8))</f>
        <v>1</v>
      </c>
      <c r="U2">
        <f>(D2-MIN(D$2:D$8))/(MAX(D$2:D$8)-MIN(D$2:D$8))</f>
        <v>0.11256090957203434</v>
      </c>
      <c r="W2">
        <f>SUM(S2:U2)</f>
        <v>1.1125609095720344</v>
      </c>
      <c r="X2">
        <f>SQRT((S2*S2)+(T2*T2)+(U2*U2))</f>
        <v>1.0063150393210287</v>
      </c>
    </row>
    <row r="3" spans="1:24" x14ac:dyDescent="0.35">
      <c r="A3" t="s">
        <v>7</v>
      </c>
      <c r="B3" s="2">
        <f>[3]results!AD4</f>
        <v>-438432.76205715322</v>
      </c>
      <c r="C3" s="2">
        <f>[3]results!AE4</f>
        <v>-495566.44217257423</v>
      </c>
      <c r="D3" s="2">
        <f>[3]results!AF4</f>
        <v>-4.473181890515888</v>
      </c>
      <c r="E3" s="2">
        <f>[3]results!AG4</f>
        <v>-130513.778671432</v>
      </c>
      <c r="F3" s="2">
        <f>[3]results!AH4</f>
        <v>0.41689187738810352</v>
      </c>
      <c r="H3" t="s">
        <v>7</v>
      </c>
      <c r="I3">
        <f t="shared" ref="I3:M15" si="0">(B3-MIN(B$2:B$15))/(MAX(B$2:B$15)-MIN(B$2:B$15))</f>
        <v>1</v>
      </c>
      <c r="J3">
        <f t="shared" si="0"/>
        <v>0.79784967675024487</v>
      </c>
      <c r="K3">
        <f t="shared" si="0"/>
        <v>1</v>
      </c>
      <c r="L3">
        <f t="shared" si="0"/>
        <v>0.10252799308073519</v>
      </c>
      <c r="M3">
        <f t="shared" si="0"/>
        <v>0</v>
      </c>
      <c r="O3">
        <f t="shared" ref="O3:O15" si="1">SUM(I3:K3)</f>
        <v>2.797849676750245</v>
      </c>
      <c r="P3">
        <f t="shared" ref="P3:P15" si="2">SQRT((I3*I3)+(J3*J3)+(K3*K3))</f>
        <v>1.6237500136075349</v>
      </c>
      <c r="R3" t="s">
        <v>7</v>
      </c>
      <c r="S3">
        <f t="shared" ref="S3:U8" si="3">(B3-MIN(B$2:B$8))/(MAX(B$2:B$8)-MIN(B$2:B$8))</f>
        <v>1</v>
      </c>
      <c r="T3">
        <f t="shared" si="3"/>
        <v>0</v>
      </c>
      <c r="U3">
        <f t="shared" si="3"/>
        <v>1</v>
      </c>
      <c r="W3">
        <f t="shared" ref="W3:W15" si="4">SUM(S3:U3)</f>
        <v>2</v>
      </c>
      <c r="X3">
        <f t="shared" ref="X3:X15" si="5">SQRT((S3*S3)+(T3*T3)+(U3*U3))</f>
        <v>1.4142135623730951</v>
      </c>
    </row>
    <row r="4" spans="1:24" x14ac:dyDescent="0.35">
      <c r="A4" t="s">
        <v>8</v>
      </c>
      <c r="B4" s="2">
        <f>[3]results!AD5</f>
        <v>-843034.76912883844</v>
      </c>
      <c r="C4" s="2">
        <f>[3]results!AE5</f>
        <v>-467230.65510733117</v>
      </c>
      <c r="D4" s="2">
        <f>[3]results!AF5</f>
        <v>-5.5721941924678751</v>
      </c>
      <c r="E4" s="2">
        <f>[3]results!AG5</f>
        <v>81172.039565046405</v>
      </c>
      <c r="F4" s="2">
        <f>[3]results!AH5</f>
        <v>1.777644150385755</v>
      </c>
      <c r="H4" t="s">
        <v>8</v>
      </c>
      <c r="I4">
        <f t="shared" si="0"/>
        <v>0.13500732783175087</v>
      </c>
      <c r="J4">
        <f t="shared" si="0"/>
        <v>0.91774110239853524</v>
      </c>
      <c r="K4">
        <f t="shared" si="0"/>
        <v>0.53187218816070214</v>
      </c>
      <c r="L4">
        <f t="shared" si="0"/>
        <v>0.72919707046166193</v>
      </c>
      <c r="M4">
        <f t="shared" si="0"/>
        <v>0.55652581134979162</v>
      </c>
      <c r="O4">
        <f t="shared" si="1"/>
        <v>1.5846206183909883</v>
      </c>
      <c r="P4">
        <f t="shared" si="2"/>
        <v>1.069281877775361</v>
      </c>
      <c r="R4" t="s">
        <v>8</v>
      </c>
      <c r="S4">
        <f t="shared" si="3"/>
        <v>5.3678316193645201E-2</v>
      </c>
      <c r="T4">
        <f t="shared" si="3"/>
        <v>0.59308055372320823</v>
      </c>
      <c r="U4">
        <f t="shared" si="3"/>
        <v>0</v>
      </c>
      <c r="W4">
        <f t="shared" si="4"/>
        <v>0.64675886991685339</v>
      </c>
      <c r="X4">
        <f t="shared" si="5"/>
        <v>0.59550474795253505</v>
      </c>
    </row>
    <row r="5" spans="1:24" x14ac:dyDescent="0.35">
      <c r="A5" t="s">
        <v>12</v>
      </c>
      <c r="B5" s="2">
        <f>[3]results!AD6</f>
        <v>-841811.26246081176</v>
      </c>
      <c r="C5" s="2">
        <f>[3]results!AE6</f>
        <v>-467457.77600775898</v>
      </c>
      <c r="D5" s="2">
        <f>[3]results!AF6</f>
        <v>-5.5719000348830638</v>
      </c>
      <c r="E5" s="2">
        <f>[3]results!AG6</f>
        <v>79580.043404655211</v>
      </c>
      <c r="F5" s="2">
        <f>[3]results!AH6</f>
        <v>1.759219864213063</v>
      </c>
      <c r="H5" t="s">
        <v>12</v>
      </c>
      <c r="I5">
        <f t="shared" si="0"/>
        <v>0.13762304471820855</v>
      </c>
      <c r="J5">
        <f t="shared" si="0"/>
        <v>0.91678013214264942</v>
      </c>
      <c r="K5">
        <f t="shared" si="0"/>
        <v>0.53199748552659054</v>
      </c>
      <c r="L5">
        <f t="shared" si="0"/>
        <v>0.72448416728591947</v>
      </c>
      <c r="M5">
        <f t="shared" si="0"/>
        <v>0.54899057439721244</v>
      </c>
      <c r="O5">
        <f t="shared" si="1"/>
        <v>1.5864006623874485</v>
      </c>
      <c r="P5">
        <f t="shared" si="2"/>
        <v>1.0688532348903748</v>
      </c>
      <c r="R5" t="s">
        <v>12</v>
      </c>
      <c r="S5">
        <f t="shared" si="3"/>
        <v>5.653997004112641E-2</v>
      </c>
      <c r="T5">
        <f t="shared" si="3"/>
        <v>0.58832681284148547</v>
      </c>
      <c r="U5">
        <f t="shared" si="3"/>
        <v>2.6765631675710537E-4</v>
      </c>
      <c r="W5">
        <f t="shared" si="4"/>
        <v>0.64513443919936897</v>
      </c>
      <c r="X5">
        <f t="shared" si="5"/>
        <v>0.5910374595238238</v>
      </c>
    </row>
    <row r="6" spans="1:24" x14ac:dyDescent="0.35">
      <c r="A6" t="s">
        <v>9</v>
      </c>
      <c r="B6" s="2">
        <f>[3]results!AD7</f>
        <v>-471293.39594797982</v>
      </c>
      <c r="C6" s="2">
        <f>[3]results!AE7</f>
        <v>-494818.96651613503</v>
      </c>
      <c r="D6" s="2">
        <f>[3]results!AF7</f>
        <v>-4.5857323896124127</v>
      </c>
      <c r="E6" s="2">
        <f>[3]results!AG7</f>
        <v>-119955.85138524931</v>
      </c>
      <c r="F6" s="2">
        <f>[3]results!AH7</f>
        <v>0.4334052731576824</v>
      </c>
      <c r="H6" t="s">
        <v>9</v>
      </c>
      <c r="I6">
        <f t="shared" si="0"/>
        <v>0.9297477347576959</v>
      </c>
      <c r="J6">
        <f t="shared" si="0"/>
        <v>0.80101231775547077</v>
      </c>
      <c r="K6">
        <f t="shared" si="0"/>
        <v>0.95205875423787678</v>
      </c>
      <c r="L6">
        <f t="shared" si="0"/>
        <v>0.13378340077222159</v>
      </c>
      <c r="M6">
        <f t="shared" si="0"/>
        <v>6.753713487143276E-3</v>
      </c>
      <c r="O6">
        <f t="shared" si="1"/>
        <v>2.6828188067510435</v>
      </c>
      <c r="P6">
        <f t="shared" si="2"/>
        <v>1.5532119800606858</v>
      </c>
      <c r="R6" t="s">
        <v>9</v>
      </c>
      <c r="S6">
        <f t="shared" si="3"/>
        <v>0.92314242180958428</v>
      </c>
      <c r="T6">
        <f t="shared" si="3"/>
        <v>1.5644996032573667E-2</v>
      </c>
      <c r="U6">
        <f t="shared" si="3"/>
        <v>0.89758940923898622</v>
      </c>
      <c r="W6">
        <f t="shared" si="4"/>
        <v>1.836376827081144</v>
      </c>
      <c r="X6">
        <f t="shared" si="5"/>
        <v>1.2876736560259809</v>
      </c>
    </row>
    <row r="7" spans="1:24" x14ac:dyDescent="0.35">
      <c r="A7" t="s">
        <v>10</v>
      </c>
      <c r="B7" s="2">
        <f>[3]results!AD8</f>
        <v>-841811.26246081176</v>
      </c>
      <c r="C7" s="2">
        <f>[3]results!AE8</f>
        <v>-467457.77600775909</v>
      </c>
      <c r="D7" s="2">
        <f>[3]results!AF8</f>
        <v>-5.5719000348830638</v>
      </c>
      <c r="E7" s="2">
        <f>[3]results!AG8</f>
        <v>79580.043404655211</v>
      </c>
      <c r="F7" s="2">
        <f>[3]results!AH8</f>
        <v>1.759219864213061</v>
      </c>
      <c r="H7" t="s">
        <v>10</v>
      </c>
      <c r="I7">
        <f t="shared" si="0"/>
        <v>0.13762304471820855</v>
      </c>
      <c r="J7">
        <f t="shared" si="0"/>
        <v>0.91678013214264886</v>
      </c>
      <c r="K7">
        <f t="shared" si="0"/>
        <v>0.53199748552659054</v>
      </c>
      <c r="L7">
        <f t="shared" si="0"/>
        <v>0.72448416728591947</v>
      </c>
      <c r="M7">
        <f t="shared" si="0"/>
        <v>0.54899057439721155</v>
      </c>
      <c r="O7">
        <f t="shared" si="1"/>
        <v>1.586400662387448</v>
      </c>
      <c r="P7">
        <f t="shared" si="2"/>
        <v>1.0688532348903743</v>
      </c>
      <c r="R7" t="s">
        <v>10</v>
      </c>
      <c r="S7">
        <f t="shared" si="3"/>
        <v>5.653997004112641E-2</v>
      </c>
      <c r="T7">
        <f t="shared" si="3"/>
        <v>0.58832681284148303</v>
      </c>
      <c r="U7">
        <f t="shared" si="3"/>
        <v>2.6765631675710537E-4</v>
      </c>
      <c r="W7">
        <f t="shared" si="4"/>
        <v>0.64513443919936653</v>
      </c>
      <c r="X7">
        <f t="shared" si="5"/>
        <v>0.59103745952382136</v>
      </c>
    </row>
    <row r="8" spans="1:24" x14ac:dyDescent="0.35">
      <c r="A8" t="s">
        <v>11</v>
      </c>
      <c r="B8" s="2">
        <f>[3]results!AD9</f>
        <v>-471293.39594798052</v>
      </c>
      <c r="C8" s="2">
        <f>[3]results!AE9</f>
        <v>-494818.96651613672</v>
      </c>
      <c r="D8" s="2">
        <f>[3]results!AF9</f>
        <v>-4.5857323896124234</v>
      </c>
      <c r="E8" s="2">
        <f>[3]results!AG9</f>
        <v>-119955.8513852496</v>
      </c>
      <c r="F8" s="2">
        <f>[3]results!AH9</f>
        <v>0.43340527315768612</v>
      </c>
      <c r="H8" t="s">
        <v>11</v>
      </c>
      <c r="I8">
        <f t="shared" si="0"/>
        <v>0.92974773475769434</v>
      </c>
      <c r="J8">
        <f t="shared" si="0"/>
        <v>0.80101231775546367</v>
      </c>
      <c r="K8">
        <f t="shared" si="0"/>
        <v>0.95205875423787223</v>
      </c>
      <c r="L8">
        <f t="shared" si="0"/>
        <v>0.13378340077222073</v>
      </c>
      <c r="M8">
        <f t="shared" si="0"/>
        <v>6.7537134871447965E-3</v>
      </c>
      <c r="O8">
        <f t="shared" si="1"/>
        <v>2.6828188067510301</v>
      </c>
      <c r="P8">
        <f t="shared" si="2"/>
        <v>1.5532119800606783</v>
      </c>
      <c r="R8" t="s">
        <v>11</v>
      </c>
      <c r="S8">
        <f t="shared" si="3"/>
        <v>0.92314242180958261</v>
      </c>
      <c r="T8">
        <f t="shared" si="3"/>
        <v>1.5644996032538338E-2</v>
      </c>
      <c r="U8">
        <f t="shared" si="3"/>
        <v>0.89758940923897645</v>
      </c>
      <c r="W8">
        <f t="shared" si="4"/>
        <v>1.8363768270810974</v>
      </c>
      <c r="X8">
        <f t="shared" si="5"/>
        <v>1.2876736560259725</v>
      </c>
    </row>
    <row r="9" spans="1:24" x14ac:dyDescent="0.35">
      <c r="A9" t="s">
        <v>13</v>
      </c>
      <c r="B9" s="2">
        <f>[4]results!AK3</f>
        <v>-906184.70966323232</v>
      </c>
      <c r="C9" s="2">
        <f>[4]results!AL3</f>
        <v>-449565.01682961697</v>
      </c>
      <c r="D9" s="2">
        <f>[4]results!AM3</f>
        <v>-5.5008618105132454</v>
      </c>
      <c r="E9" s="2">
        <f>[4]results!AN3</f>
        <v>172647.97445518119</v>
      </c>
      <c r="F9" s="2">
        <f>[4]results!AO3</f>
        <v>2.8619757265941228</v>
      </c>
      <c r="H9" t="s">
        <v>6</v>
      </c>
      <c r="I9">
        <f t="shared" si="0"/>
        <v>0</v>
      </c>
      <c r="J9">
        <f t="shared" si="0"/>
        <v>0.99248610783020252</v>
      </c>
      <c r="K9">
        <f t="shared" si="0"/>
        <v>0.56225644484135628</v>
      </c>
      <c r="L9">
        <f t="shared" si="0"/>
        <v>1</v>
      </c>
      <c r="M9">
        <f t="shared" si="0"/>
        <v>1</v>
      </c>
      <c r="O9">
        <f t="shared" si="1"/>
        <v>1.5547425526715588</v>
      </c>
      <c r="P9">
        <f t="shared" si="2"/>
        <v>1.1406844366438886</v>
      </c>
      <c r="R9" t="s">
        <v>13</v>
      </c>
      <c r="S9">
        <f>(B9-MIN(B$9:B$15))/(MAX(B$9:B$15)-MIN(B$9:B$15))</f>
        <v>0</v>
      </c>
      <c r="T9">
        <f>(C9-MIN(C$9:C$15))/(MAX(C$9:C$15)-MIN(C$9:C$15))</f>
        <v>1</v>
      </c>
      <c r="U9">
        <f>(D9-MIN(D$9:D$15))/(MAX(D$9:D$15)-MIN(D$9:D$15))</f>
        <v>1</v>
      </c>
      <c r="W9">
        <f t="shared" si="4"/>
        <v>2</v>
      </c>
      <c r="X9">
        <f t="shared" si="5"/>
        <v>1.4142135623730951</v>
      </c>
    </row>
    <row r="10" spans="1:24" x14ac:dyDescent="0.35">
      <c r="A10" t="s">
        <v>14</v>
      </c>
      <c r="B10" s="2">
        <f>[4]results!AK4</f>
        <v>-643504.57746848033</v>
      </c>
      <c r="C10" s="2">
        <f>[4]results!AL4</f>
        <v>-684134.54392147809</v>
      </c>
      <c r="D10" s="2">
        <f>[4]results!AM4</f>
        <v>-6.3517927378926764</v>
      </c>
      <c r="E10" s="2">
        <f>[4]results!AN4</f>
        <v>-165147.24454810651</v>
      </c>
      <c r="F10" s="2">
        <f>[4]results!AO4</f>
        <v>0.63665305931573113</v>
      </c>
      <c r="H10" t="s">
        <v>7</v>
      </c>
      <c r="I10">
        <f t="shared" si="0"/>
        <v>0.56157998601423265</v>
      </c>
      <c r="J10">
        <f t="shared" si="0"/>
        <v>0</v>
      </c>
      <c r="K10">
        <f t="shared" si="0"/>
        <v>0.1997996894865649</v>
      </c>
      <c r="L10">
        <f t="shared" si="0"/>
        <v>0</v>
      </c>
      <c r="M10">
        <f t="shared" si="0"/>
        <v>8.9878791681925196E-2</v>
      </c>
      <c r="O10">
        <f t="shared" si="1"/>
        <v>0.76137967550079755</v>
      </c>
      <c r="P10">
        <f t="shared" si="2"/>
        <v>0.59606375213619012</v>
      </c>
      <c r="R10" t="s">
        <v>14</v>
      </c>
      <c r="S10">
        <f t="shared" ref="S10:U15" si="6">(B10-MIN(B$9:B$15))/(MAX(B$9:B$15)-MIN(B$9:B$15))</f>
        <v>1</v>
      </c>
      <c r="T10">
        <f t="shared" si="6"/>
        <v>0</v>
      </c>
      <c r="U10">
        <f t="shared" si="6"/>
        <v>0.35535331132209513</v>
      </c>
      <c r="W10">
        <f t="shared" si="4"/>
        <v>1.3553533113220952</v>
      </c>
      <c r="X10">
        <f t="shared" si="5"/>
        <v>1.0612615021132057</v>
      </c>
    </row>
    <row r="11" spans="1:24" x14ac:dyDescent="0.35">
      <c r="A11" t="s">
        <v>15</v>
      </c>
      <c r="B11" s="2">
        <f>[4]results!AK5</f>
        <v>-647191.25248678739</v>
      </c>
      <c r="C11" s="2">
        <f>[4]results!AL5</f>
        <v>-657124.07733635709</v>
      </c>
      <c r="D11" s="2">
        <f>[4]results!AM5</f>
        <v>-6.8208576195735402</v>
      </c>
      <c r="E11" s="2">
        <f>[4]results!AN5</f>
        <v>42737.025947058923</v>
      </c>
      <c r="F11" s="2">
        <f>[4]results!AO5</f>
        <v>2.58844154833199</v>
      </c>
      <c r="H11" t="s">
        <v>8</v>
      </c>
      <c r="I11">
        <f t="shared" si="0"/>
        <v>0.55369829778786572</v>
      </c>
      <c r="J11">
        <f t="shared" si="0"/>
        <v>0.11428386791795953</v>
      </c>
      <c r="K11">
        <f t="shared" si="0"/>
        <v>0</v>
      </c>
      <c r="L11">
        <f t="shared" si="0"/>
        <v>0.61541507635471338</v>
      </c>
      <c r="M11">
        <f t="shared" si="0"/>
        <v>0.88812891698951091</v>
      </c>
      <c r="O11">
        <f t="shared" si="1"/>
        <v>0.66798216570582525</v>
      </c>
      <c r="P11">
        <f t="shared" si="2"/>
        <v>0.56536944331956041</v>
      </c>
      <c r="R11" t="s">
        <v>15</v>
      </c>
      <c r="S11">
        <f t="shared" si="6"/>
        <v>0.98596515470163637</v>
      </c>
      <c r="T11">
        <f t="shared" si="6"/>
        <v>0.11514908573159752</v>
      </c>
      <c r="U11">
        <f t="shared" si="6"/>
        <v>0</v>
      </c>
      <c r="W11">
        <f t="shared" si="4"/>
        <v>1.1011142404332339</v>
      </c>
      <c r="X11">
        <f t="shared" si="5"/>
        <v>0.99266640833194542</v>
      </c>
    </row>
    <row r="12" spans="1:24" x14ac:dyDescent="0.35">
      <c r="A12" t="s">
        <v>16</v>
      </c>
      <c r="B12" s="2">
        <f>[4]results!AK6</f>
        <v>-643806.14298086078</v>
      </c>
      <c r="C12" s="2">
        <f>[4]results!AL6</f>
        <v>-657872.6951489296</v>
      </c>
      <c r="D12" s="2">
        <f>[4]results!AM6</f>
        <v>-6.8208309341453326</v>
      </c>
      <c r="E12" s="2">
        <f>[4]results!AN6</f>
        <v>44174.887467003588</v>
      </c>
      <c r="F12" s="2">
        <f>[4]results!AO6</f>
        <v>2.6184439655639462</v>
      </c>
      <c r="H12" t="s">
        <v>12</v>
      </c>
      <c r="I12">
        <f t="shared" si="0"/>
        <v>0.56093527354660144</v>
      </c>
      <c r="J12">
        <f t="shared" si="0"/>
        <v>0.11111639434087599</v>
      </c>
      <c r="K12">
        <f t="shared" si="0"/>
        <v>1.1366743659405724E-5</v>
      </c>
      <c r="L12">
        <f t="shared" si="0"/>
        <v>0.6196716834321826</v>
      </c>
      <c r="M12">
        <f t="shared" si="0"/>
        <v>0.90039942347610802</v>
      </c>
      <c r="O12">
        <f t="shared" si="1"/>
        <v>0.67206303463113681</v>
      </c>
      <c r="P12">
        <f t="shared" si="2"/>
        <v>0.57183497123673765</v>
      </c>
      <c r="R12" t="s">
        <v>16</v>
      </c>
      <c r="S12">
        <f t="shared" si="6"/>
        <v>0.99885196680136867</v>
      </c>
      <c r="T12">
        <f t="shared" si="6"/>
        <v>0.11195763191466868</v>
      </c>
      <c r="U12">
        <f t="shared" si="6"/>
        <v>2.0216297676432878E-5</v>
      </c>
      <c r="W12">
        <f t="shared" si="4"/>
        <v>1.1108298150137137</v>
      </c>
      <c r="X12">
        <f t="shared" si="5"/>
        <v>1.0051068417514635</v>
      </c>
    </row>
    <row r="13" spans="1:24" x14ac:dyDescent="0.35">
      <c r="A13" t="s">
        <v>17</v>
      </c>
      <c r="B13" s="2">
        <f>[4]results!AK7</f>
        <v>-646893.5717235842</v>
      </c>
      <c r="C13" s="2">
        <f>[4]results!AL7</f>
        <v>-683048.02951931674</v>
      </c>
      <c r="D13" s="2">
        <f>[4]results!AM7</f>
        <v>-6.3578543683243334</v>
      </c>
      <c r="E13" s="2">
        <f>[4]results!AN7</f>
        <v>-163891.8494255149</v>
      </c>
      <c r="F13" s="2">
        <f>[4]results!AO7</f>
        <v>0.63214948940507321</v>
      </c>
      <c r="H13" t="s">
        <v>9</v>
      </c>
      <c r="I13">
        <f t="shared" si="0"/>
        <v>0.55433470510744332</v>
      </c>
      <c r="J13">
        <f t="shared" si="0"/>
        <v>4.5971463705099299E-3</v>
      </c>
      <c r="K13">
        <f t="shared" si="0"/>
        <v>0.19721771857949671</v>
      </c>
      <c r="L13">
        <f t="shared" si="0"/>
        <v>3.7164383980798472E-3</v>
      </c>
      <c r="M13">
        <f t="shared" si="0"/>
        <v>8.8036903964201191E-2</v>
      </c>
      <c r="O13">
        <f t="shared" si="1"/>
        <v>0.75614957005744987</v>
      </c>
      <c r="P13">
        <f t="shared" si="2"/>
        <v>0.58839011511327211</v>
      </c>
      <c r="R13" t="s">
        <v>17</v>
      </c>
      <c r="S13">
        <f t="shared" si="6"/>
        <v>0.98709839900418794</v>
      </c>
      <c r="T13">
        <f t="shared" si="6"/>
        <v>4.6319503459452179E-3</v>
      </c>
      <c r="U13">
        <f t="shared" si="6"/>
        <v>0.35076115247579376</v>
      </c>
      <c r="W13">
        <f t="shared" si="4"/>
        <v>1.3424915018259269</v>
      </c>
      <c r="X13">
        <f t="shared" si="5"/>
        <v>1.0475772479234098</v>
      </c>
    </row>
    <row r="14" spans="1:24" x14ac:dyDescent="0.35">
      <c r="A14" t="s">
        <v>18</v>
      </c>
      <c r="B14" s="2">
        <f>[4]results!AK8</f>
        <v>-656979.85768527805</v>
      </c>
      <c r="C14" s="2">
        <f>[4]results!AL8</f>
        <v>-675655.61323850357</v>
      </c>
      <c r="D14" s="2">
        <f>[4]results!AM8</f>
        <v>-6.3501085388078993</v>
      </c>
      <c r="E14" s="2">
        <f>[4]results!AN8</f>
        <v>-157626.13047503939</v>
      </c>
      <c r="F14" s="2">
        <f>[4]results!AO8</f>
        <v>0.6218076246817259</v>
      </c>
      <c r="H14" t="s">
        <v>10</v>
      </c>
      <c r="I14">
        <f t="shared" si="0"/>
        <v>0.53277138289507253</v>
      </c>
      <c r="J14">
        <f t="shared" si="0"/>
        <v>3.5875166806351312E-2</v>
      </c>
      <c r="K14">
        <f t="shared" si="0"/>
        <v>0.20051707948379982</v>
      </c>
      <c r="L14">
        <f t="shared" si="0"/>
        <v>2.2265306463659321E-2</v>
      </c>
      <c r="M14">
        <f t="shared" si="0"/>
        <v>8.3807247493849227E-2</v>
      </c>
      <c r="O14">
        <f t="shared" si="1"/>
        <v>0.76916362918522363</v>
      </c>
      <c r="P14">
        <f t="shared" si="2"/>
        <v>0.57038537252459764</v>
      </c>
      <c r="R14" t="s">
        <v>18</v>
      </c>
      <c r="S14">
        <f t="shared" si="6"/>
        <v>0.94870080160151926</v>
      </c>
      <c r="T14">
        <f t="shared" si="6"/>
        <v>3.6146769736437399E-2</v>
      </c>
      <c r="U14">
        <f t="shared" si="6"/>
        <v>0.35662922377061734</v>
      </c>
      <c r="W14">
        <f t="shared" si="4"/>
        <v>1.341476795108574</v>
      </c>
      <c r="X14">
        <f t="shared" si="5"/>
        <v>1.0141618229695777</v>
      </c>
    </row>
    <row r="15" spans="1:24" x14ac:dyDescent="0.35">
      <c r="A15" t="s">
        <v>19</v>
      </c>
      <c r="B15" s="2">
        <f>[4]results!AK9</f>
        <v>-646893.57172358409</v>
      </c>
      <c r="C15" s="2">
        <f>[4]results!AL9</f>
        <v>-683048.02951931674</v>
      </c>
      <c r="D15" s="2">
        <f>[4]results!AM9</f>
        <v>-6.3578543683243334</v>
      </c>
      <c r="E15" s="2">
        <f>[4]results!AN9</f>
        <v>-163891.8494255149</v>
      </c>
      <c r="F15" s="2">
        <f>[4]results!AO9</f>
        <v>0.63214948940507321</v>
      </c>
      <c r="H15" t="s">
        <v>11</v>
      </c>
      <c r="I15">
        <f t="shared" si="0"/>
        <v>0.55433470510744354</v>
      </c>
      <c r="J15">
        <f t="shared" si="0"/>
        <v>4.5971463705099299E-3</v>
      </c>
      <c r="K15">
        <f t="shared" si="0"/>
        <v>0.19721771857949671</v>
      </c>
      <c r="L15">
        <f t="shared" si="0"/>
        <v>3.7164383980798472E-3</v>
      </c>
      <c r="M15">
        <f t="shared" si="0"/>
        <v>8.8036903964201191E-2</v>
      </c>
      <c r="O15">
        <f t="shared" si="1"/>
        <v>0.75614957005745009</v>
      </c>
      <c r="P15">
        <f t="shared" si="2"/>
        <v>0.58839011511327233</v>
      </c>
      <c r="R15" t="s">
        <v>19</v>
      </c>
      <c r="S15">
        <f t="shared" si="6"/>
        <v>0.98709839900418839</v>
      </c>
      <c r="T15">
        <f t="shared" si="6"/>
        <v>4.6319503459452179E-3</v>
      </c>
      <c r="U15">
        <f t="shared" si="6"/>
        <v>0.35076115247579376</v>
      </c>
      <c r="W15">
        <f t="shared" si="4"/>
        <v>1.3424915018259274</v>
      </c>
      <c r="X15">
        <f t="shared" si="5"/>
        <v>1.0475772479234102</v>
      </c>
    </row>
    <row r="16" spans="1:24" x14ac:dyDescent="0.35">
      <c r="B16" s="2"/>
      <c r="C16" s="2"/>
      <c r="D16" s="2"/>
      <c r="E16" s="2"/>
      <c r="F16" s="2"/>
    </row>
  </sheetData>
  <conditionalFormatting sqref="O2:O15">
    <cfRule type="expression" dxfId="43" priority="6">
      <formula>O2=MIN($O$2:$O$15)</formula>
    </cfRule>
  </conditionalFormatting>
  <conditionalFormatting sqref="P2:P15">
    <cfRule type="expression" dxfId="42" priority="5">
      <formula>P2=MIN($P$2:$P$15)</formula>
    </cfRule>
  </conditionalFormatting>
  <conditionalFormatting sqref="W2:W8">
    <cfRule type="expression" dxfId="41" priority="4">
      <formula>W2=MIN($W$2:$W$8)</formula>
    </cfRule>
  </conditionalFormatting>
  <conditionalFormatting sqref="X2:X8">
    <cfRule type="expression" dxfId="40" priority="3">
      <formula>X2=MIN($X$2:$X$8)</formula>
    </cfRule>
  </conditionalFormatting>
  <conditionalFormatting sqref="W9:W15">
    <cfRule type="expression" dxfId="39" priority="2">
      <formula>W9=MIN($W$9:$W$15)</formula>
    </cfRule>
  </conditionalFormatting>
  <conditionalFormatting sqref="X9:X15">
    <cfRule type="expression" dxfId="38" priority="1">
      <formula>X9=MIN($X$9:$X$15)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1DAF-7BBC-44F7-8A75-9D14F9B9D504}">
  <dimension ref="A1:X15"/>
  <sheetViews>
    <sheetView zoomScale="80" zoomScaleNormal="80" workbookViewId="0">
      <selection activeCell="A8" sqref="A8"/>
    </sheetView>
  </sheetViews>
  <sheetFormatPr baseColWidth="10" defaultRowHeight="14.5" x14ac:dyDescent="0.35"/>
  <cols>
    <col min="1" max="1" width="18.6328125" bestFit="1" customWidth="1"/>
    <col min="8" max="8" width="21.26953125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  <c r="O1" t="s">
        <v>20</v>
      </c>
      <c r="P1" t="s">
        <v>21</v>
      </c>
      <c r="R1" s="11"/>
      <c r="S1" s="11" t="s">
        <v>0</v>
      </c>
      <c r="T1" s="11" t="s">
        <v>1</v>
      </c>
      <c r="U1" s="11" t="s">
        <v>2</v>
      </c>
      <c r="W1" t="s">
        <v>20</v>
      </c>
      <c r="X1" t="s">
        <v>21</v>
      </c>
    </row>
    <row r="2" spans="1:24" x14ac:dyDescent="0.35">
      <c r="A2" t="s">
        <v>6</v>
      </c>
      <c r="B2" s="2">
        <f>[5]results!AD3</f>
        <v>-838389.41707749316</v>
      </c>
      <c r="C2" s="2">
        <f>[5]results!AE3</f>
        <v>-419990.32799216418</v>
      </c>
      <c r="D2" s="2">
        <f>[5]results!AF3</f>
        <v>-5.1982883251426726</v>
      </c>
      <c r="E2" s="2">
        <f>[5]results!AG3</f>
        <v>147922.51350655401</v>
      </c>
      <c r="F2" s="2">
        <f>[5]results!AH3</f>
        <v>2.4255259674342899</v>
      </c>
      <c r="H2" t="s">
        <v>6</v>
      </c>
      <c r="I2">
        <f>(B2-MIN(B$2:B$15))/(MAX(B$2:B$15)-MIN(B$2:B$15))</f>
        <v>0.1030547063086137</v>
      </c>
      <c r="J2">
        <f>(C2-MIN(C$2:C$15))/(MAX(C$2:C$15)-MIN(C$2:C$15))</f>
        <v>1</v>
      </c>
      <c r="K2">
        <f>(D2-MIN(D$2:D$15))/(MAX(D$2:D$15)-MIN(D$2:D$15))</f>
        <v>0.52266552426295376</v>
      </c>
      <c r="L2">
        <f>(E2-MIN(E$2:E$15))/(MAX(E$2:E$15)-MIN(E$2:E$15))</f>
        <v>0.92971636309612937</v>
      </c>
      <c r="M2">
        <f>(F2-MIN(F$2:F$15))/(MAX(F$2:F$15)-MIN(F$2:F$15))</f>
        <v>0.8246425616314893</v>
      </c>
      <c r="O2">
        <f>SUM(I2:K2)</f>
        <v>1.6257202305715674</v>
      </c>
      <c r="P2">
        <f>SQRT((I2*I2)+(J2*J2)+(K2*K2))</f>
        <v>1.1330487733303554</v>
      </c>
      <c r="R2" s="11" t="s">
        <v>6</v>
      </c>
      <c r="S2" s="11">
        <f>(B2-MIN(B$2:B$8))/(MAX(B$2:B$8)-MIN(B$2:B$8))</f>
        <v>1.9729336413900117E-16</v>
      </c>
      <c r="T2" s="11">
        <f>(C2-MIN(C$2:C$8))/(MAX(C$2:C$8)-MIN(C$2:C$8))</f>
        <v>1</v>
      </c>
      <c r="U2" s="11">
        <f>(D2-MIN(D$2:D$8))/(MAX(D$2:D$8)-MIN(D$2:D$8))</f>
        <v>1.0218276630129773E-2</v>
      </c>
      <c r="W2">
        <f>SUM(S2:U2)</f>
        <v>1.01021827663013</v>
      </c>
      <c r="X2">
        <f>SQRT((S2*S2)+(T2*T2)+(U2*U2))</f>
        <v>1.0000522052259522</v>
      </c>
    </row>
    <row r="3" spans="1:24" x14ac:dyDescent="0.35">
      <c r="A3" t="s">
        <v>7</v>
      </c>
      <c r="B3" s="2">
        <f>[5]results!AD4</f>
        <v>-248327.39276675429</v>
      </c>
      <c r="C3" s="2">
        <f>[5]results!AE4</f>
        <v>-483581.00663625158</v>
      </c>
      <c r="D3" s="2">
        <f>[5]results!AF4</f>
        <v>-3.716445296378966</v>
      </c>
      <c r="E3" s="2">
        <f>[5]results!AG4</f>
        <v>-179147.4367931734</v>
      </c>
      <c r="F3" s="2">
        <f>[5]results!AH4</f>
        <v>0.37306072406859048</v>
      </c>
      <c r="H3" t="s">
        <v>7</v>
      </c>
      <c r="I3">
        <f t="shared" ref="I3:I15" si="0">(B3-MIN(B$2:B$15))/(MAX(B$2:B$15)-MIN(B$2:B$15))</f>
        <v>0.99999999999999978</v>
      </c>
      <c r="J3">
        <f t="shared" ref="J3:J15" si="1">(C3-MIN(C$2:C$15))/(MAX(C$2:C$15)-MIN(C$2:C$15))</f>
        <v>0.75925772813020997</v>
      </c>
      <c r="K3">
        <f t="shared" ref="K3:K15" si="2">(D3-MIN(D$2:D$15))/(MAX(D$2:D$15)-MIN(D$2:D$15))</f>
        <v>0.99999999999999933</v>
      </c>
      <c r="L3">
        <f t="shared" ref="L3:L15" si="3">(E3-MIN(E$2:E$15))/(MAX(E$2:E$15)-MIN(E$2:E$15))</f>
        <v>0</v>
      </c>
      <c r="M3">
        <f t="shared" ref="M3:M15" si="4">(F3-MIN(F$2:F$15))/(MAX(F$2:F$15)-MIN(F$2:F$15))</f>
        <v>1.1151676769783214E-16</v>
      </c>
      <c r="O3">
        <f t="shared" ref="O3:O15" si="5">SUM(I3:K3)</f>
        <v>2.7592577281302093</v>
      </c>
      <c r="P3">
        <f t="shared" ref="P3:P15" si="6">SQRT((I3*I3)+(J3*J3)+(K3*K3))</f>
        <v>1.6051393390374076</v>
      </c>
      <c r="R3" s="11" t="s">
        <v>7</v>
      </c>
      <c r="S3" s="11">
        <f t="shared" ref="S3:U8" si="7">(B3-MIN(B$2:B$8))/(MAX(B$2:B$8)-MIN(B$2:B$8))</f>
        <v>0.99999999999999978</v>
      </c>
      <c r="T3" s="11">
        <f t="shared" si="7"/>
        <v>0</v>
      </c>
      <c r="U3" s="11">
        <f t="shared" si="7"/>
        <v>0.99999999999999856</v>
      </c>
      <c r="W3">
        <f t="shared" ref="W3:W15" si="8">SUM(S3:U3)</f>
        <v>1.9999999999999982</v>
      </c>
      <c r="X3">
        <f t="shared" ref="X3:X15" si="9">SQRT((S3*S3)+(T3*T3)+(U3*U3))</f>
        <v>1.4142135623730938</v>
      </c>
    </row>
    <row r="4" spans="1:24" x14ac:dyDescent="0.35">
      <c r="A4" t="s">
        <v>8</v>
      </c>
      <c r="B4" s="2">
        <f>[5]results!AD5</f>
        <v>-808185.47670422029</v>
      </c>
      <c r="C4" s="2">
        <f>[5]results!AE5</f>
        <v>-443505.49284776213</v>
      </c>
      <c r="D4" s="2">
        <f>[5]results!AF5</f>
        <v>-5.2135865166078119</v>
      </c>
      <c r="E4" s="2">
        <f>[5]results!AG5</f>
        <v>121126.7340676389</v>
      </c>
      <c r="F4" s="2">
        <f>[5]results!AH5</f>
        <v>2.369931681633286</v>
      </c>
      <c r="H4" t="s">
        <v>8</v>
      </c>
      <c r="I4">
        <f t="shared" si="0"/>
        <v>0.1489673071074672</v>
      </c>
      <c r="J4">
        <f t="shared" si="1"/>
        <v>0.9109760371891289</v>
      </c>
      <c r="K4">
        <f t="shared" si="2"/>
        <v>0.51773763779927784</v>
      </c>
      <c r="L4">
        <f t="shared" si="3"/>
        <v>0.85354771909980887</v>
      </c>
      <c r="M4">
        <f t="shared" si="4"/>
        <v>0.80230580615989155</v>
      </c>
      <c r="O4">
        <f t="shared" si="5"/>
        <v>1.5776809820958739</v>
      </c>
      <c r="P4">
        <f t="shared" si="6"/>
        <v>1.0583576241108843</v>
      </c>
      <c r="R4" s="11" t="s">
        <v>8</v>
      </c>
      <c r="S4" s="11">
        <f t="shared" si="7"/>
        <v>5.118773811711521E-2</v>
      </c>
      <c r="T4" s="11">
        <f t="shared" si="7"/>
        <v>0.63021050636665332</v>
      </c>
      <c r="U4" s="11">
        <f t="shared" si="7"/>
        <v>7.8804089574849412E-9</v>
      </c>
      <c r="W4">
        <f t="shared" si="8"/>
        <v>0.6813982523641775</v>
      </c>
      <c r="X4">
        <f t="shared" si="9"/>
        <v>0.632285905954308</v>
      </c>
    </row>
    <row r="5" spans="1:24" x14ac:dyDescent="0.35">
      <c r="A5" t="s">
        <v>12</v>
      </c>
      <c r="B5" s="2">
        <f>[5]results!AD6</f>
        <v>-808185.47866967064</v>
      </c>
      <c r="C5" s="2">
        <f>[5]results!AE6</f>
        <v>-443505.49359282758</v>
      </c>
      <c r="D5" s="2">
        <f>[5]results!AF6</f>
        <v>-5.2135865284058971</v>
      </c>
      <c r="E5" s="2">
        <f>[5]results!AG6</f>
        <v>121126.7348330923</v>
      </c>
      <c r="F5" s="2">
        <f>[5]results!AH6</f>
        <v>2.3699316901924181</v>
      </c>
      <c r="H5" t="s">
        <v>12</v>
      </c>
      <c r="I5">
        <f t="shared" si="0"/>
        <v>0.14896730411981274</v>
      </c>
      <c r="J5">
        <f t="shared" si="1"/>
        <v>0.91097603436845209</v>
      </c>
      <c r="K5">
        <f t="shared" si="2"/>
        <v>0.5177376339988532</v>
      </c>
      <c r="L5">
        <f t="shared" si="3"/>
        <v>0.85354772127565692</v>
      </c>
      <c r="M5">
        <f t="shared" si="4"/>
        <v>0.80230580959879239</v>
      </c>
      <c r="O5">
        <f t="shared" si="5"/>
        <v>1.5776809724871179</v>
      </c>
      <c r="P5">
        <f t="shared" si="6"/>
        <v>1.0583576194033502</v>
      </c>
      <c r="R5" s="11" t="s">
        <v>12</v>
      </c>
      <c r="S5" s="11">
        <f t="shared" si="7"/>
        <v>5.1187734786193588E-2</v>
      </c>
      <c r="T5" s="11">
        <f t="shared" si="7"/>
        <v>0.63021049465007062</v>
      </c>
      <c r="U5" s="11">
        <f t="shared" si="7"/>
        <v>0</v>
      </c>
      <c r="W5">
        <f t="shared" si="8"/>
        <v>0.68139822943626416</v>
      </c>
      <c r="X5">
        <f t="shared" si="9"/>
        <v>0.63228589400652324</v>
      </c>
    </row>
    <row r="6" spans="1:24" x14ac:dyDescent="0.35">
      <c r="A6" t="s">
        <v>9</v>
      </c>
      <c r="B6" s="2">
        <f>[5]results!AD7</f>
        <v>-248327.3927667542</v>
      </c>
      <c r="C6" s="2">
        <f>[5]results!AE7</f>
        <v>-483581.00663625158</v>
      </c>
      <c r="D6" s="2">
        <f>[5]results!AF7</f>
        <v>-3.716445296378966</v>
      </c>
      <c r="E6" s="2">
        <f>[5]results!AG7</f>
        <v>-179147.4367931734</v>
      </c>
      <c r="F6" s="2">
        <f>[5]results!AH7</f>
        <v>0.37306072406859048</v>
      </c>
      <c r="H6" t="s">
        <v>9</v>
      </c>
      <c r="I6">
        <f t="shared" si="0"/>
        <v>1</v>
      </c>
      <c r="J6">
        <f t="shared" si="1"/>
        <v>0.75925772813020997</v>
      </c>
      <c r="K6">
        <f t="shared" si="2"/>
        <v>0.99999999999999933</v>
      </c>
      <c r="L6">
        <f t="shared" si="3"/>
        <v>0</v>
      </c>
      <c r="M6">
        <f t="shared" si="4"/>
        <v>1.1151676769783214E-16</v>
      </c>
      <c r="O6">
        <f t="shared" si="5"/>
        <v>2.7592577281302093</v>
      </c>
      <c r="P6">
        <f t="shared" si="6"/>
        <v>1.6051393390374078</v>
      </c>
      <c r="R6" s="11" t="s">
        <v>9</v>
      </c>
      <c r="S6" s="11">
        <f t="shared" si="7"/>
        <v>0.99999999999999978</v>
      </c>
      <c r="T6" s="11">
        <f t="shared" si="7"/>
        <v>0</v>
      </c>
      <c r="U6" s="11">
        <f t="shared" si="7"/>
        <v>0.99999999999999856</v>
      </c>
      <c r="W6">
        <f t="shared" si="8"/>
        <v>1.9999999999999982</v>
      </c>
      <c r="X6">
        <f t="shared" si="9"/>
        <v>1.4142135623730938</v>
      </c>
    </row>
    <row r="7" spans="1:24" x14ac:dyDescent="0.35">
      <c r="A7" t="s">
        <v>10</v>
      </c>
      <c r="B7" s="2">
        <f>[5]results!AD8</f>
        <v>-838389.41707749327</v>
      </c>
      <c r="C7" s="2">
        <f>[5]results!AE8</f>
        <v>-419990.32799216418</v>
      </c>
      <c r="D7" s="2">
        <f>[5]results!AF8</f>
        <v>-5.1982883251426752</v>
      </c>
      <c r="E7" s="2">
        <f>[5]results!AG8</f>
        <v>147922.51350655401</v>
      </c>
      <c r="F7" s="2">
        <f>[5]results!AH8</f>
        <v>2.4255259674342891</v>
      </c>
      <c r="H7" t="s">
        <v>10</v>
      </c>
      <c r="I7">
        <f t="shared" si="0"/>
        <v>0.10305470630861352</v>
      </c>
      <c r="J7">
        <f t="shared" si="1"/>
        <v>1</v>
      </c>
      <c r="K7">
        <f t="shared" si="2"/>
        <v>0.52266552426295299</v>
      </c>
      <c r="L7">
        <f t="shared" si="3"/>
        <v>0.92971636309612937</v>
      </c>
      <c r="M7">
        <f t="shared" si="4"/>
        <v>0.82464256163148886</v>
      </c>
      <c r="O7">
        <f t="shared" si="5"/>
        <v>1.6257202305715666</v>
      </c>
      <c r="P7">
        <f t="shared" si="6"/>
        <v>1.1330487733303549</v>
      </c>
      <c r="R7" s="11" t="s">
        <v>10</v>
      </c>
      <c r="S7" s="11">
        <f t="shared" si="7"/>
        <v>0</v>
      </c>
      <c r="T7" s="11">
        <f t="shared" si="7"/>
        <v>1</v>
      </c>
      <c r="U7" s="11">
        <f t="shared" si="7"/>
        <v>1.0218276630127993E-2</v>
      </c>
      <c r="W7">
        <f t="shared" si="8"/>
        <v>1.010218276630128</v>
      </c>
      <c r="X7">
        <f t="shared" si="9"/>
        <v>1.0000522052259522</v>
      </c>
    </row>
    <row r="8" spans="1:24" x14ac:dyDescent="0.35">
      <c r="A8" t="s">
        <v>11</v>
      </c>
      <c r="B8" s="2">
        <f>[5]results!AD9</f>
        <v>-248327.39276675411</v>
      </c>
      <c r="C8" s="2">
        <f>[5]results!AE9</f>
        <v>-483581.00663625152</v>
      </c>
      <c r="D8" s="2">
        <f>[5]results!AF9</f>
        <v>-3.7164452963789638</v>
      </c>
      <c r="E8" s="2">
        <f>[5]results!AG9</f>
        <v>-179147.4367931734</v>
      </c>
      <c r="F8" s="2">
        <f>[5]results!AH9</f>
        <v>0.3730607240685902</v>
      </c>
      <c r="H8" t="s">
        <v>11</v>
      </c>
      <c r="I8">
        <f t="shared" si="0"/>
        <v>1</v>
      </c>
      <c r="J8">
        <f t="shared" si="1"/>
        <v>0.7592577281302102</v>
      </c>
      <c r="K8">
        <f t="shared" si="2"/>
        <v>1</v>
      </c>
      <c r="L8">
        <f t="shared" si="3"/>
        <v>0</v>
      </c>
      <c r="M8">
        <f t="shared" si="4"/>
        <v>0</v>
      </c>
      <c r="O8">
        <f t="shared" si="5"/>
        <v>2.7592577281302102</v>
      </c>
      <c r="P8">
        <f t="shared" si="6"/>
        <v>1.6051393390374085</v>
      </c>
      <c r="R8" s="11" t="s">
        <v>11</v>
      </c>
      <c r="S8" s="11">
        <f t="shared" si="7"/>
        <v>1</v>
      </c>
      <c r="T8" s="11">
        <f t="shared" si="7"/>
        <v>9.1534894979265182E-16</v>
      </c>
      <c r="U8" s="11">
        <f t="shared" si="7"/>
        <v>1</v>
      </c>
      <c r="W8">
        <f t="shared" si="8"/>
        <v>2.0000000000000009</v>
      </c>
      <c r="X8">
        <f t="shared" si="9"/>
        <v>1.4142135623730951</v>
      </c>
    </row>
    <row r="9" spans="1:24" x14ac:dyDescent="0.35">
      <c r="A9" t="s">
        <v>13</v>
      </c>
      <c r="B9" s="2">
        <f>[6]results!AK3</f>
        <v>-906184.70966323232</v>
      </c>
      <c r="C9" s="2">
        <f>[6]results!AL3</f>
        <v>-449565.01682961697</v>
      </c>
      <c r="D9" s="2">
        <f>[6]results!AM3</f>
        <v>-5.5008618105132454</v>
      </c>
      <c r="E9" s="2">
        <f>[6]results!AN3</f>
        <v>172647.97445518119</v>
      </c>
      <c r="F9" s="2">
        <f>[6]results!AO3</f>
        <v>2.8619757265941228</v>
      </c>
      <c r="H9" t="s">
        <v>6</v>
      </c>
      <c r="I9">
        <f t="shared" si="0"/>
        <v>0</v>
      </c>
      <c r="J9">
        <f t="shared" si="1"/>
        <v>0.88803582643896661</v>
      </c>
      <c r="K9">
        <f t="shared" si="2"/>
        <v>0.42519989989666102</v>
      </c>
      <c r="L9">
        <f t="shared" si="3"/>
        <v>1</v>
      </c>
      <c r="M9">
        <f t="shared" si="4"/>
        <v>1</v>
      </c>
      <c r="O9">
        <f t="shared" si="5"/>
        <v>1.3132357263356276</v>
      </c>
      <c r="P9">
        <f t="shared" si="6"/>
        <v>0.98458244139902729</v>
      </c>
      <c r="R9" s="12" t="s">
        <v>13</v>
      </c>
      <c r="S9" s="12">
        <f>(B9-MIN(B$9:B$15))/(MAX(B$9:B$15)-MIN(B$9:B$15))</f>
        <v>0</v>
      </c>
      <c r="T9" s="12">
        <f>(C9-MIN(C$9:C$15))/(MAX(C$9:C$15)-MIN(C$9:C$15))</f>
        <v>1</v>
      </c>
      <c r="U9" s="12">
        <f>(D9-MIN(D$9:D$15))/(MAX(D$9:D$15)-MIN(D$9:D$15))</f>
        <v>1</v>
      </c>
      <c r="W9">
        <f t="shared" si="8"/>
        <v>2</v>
      </c>
      <c r="X9">
        <f t="shared" si="9"/>
        <v>1.4142135623730951</v>
      </c>
    </row>
    <row r="10" spans="1:24" x14ac:dyDescent="0.35">
      <c r="A10" t="s">
        <v>14</v>
      </c>
      <c r="B10" s="2">
        <f>[6]results!AK4</f>
        <v>-643504.57746848045</v>
      </c>
      <c r="C10" s="2">
        <f>[6]results!AL4</f>
        <v>-684134.54392147809</v>
      </c>
      <c r="D10" s="2">
        <f>[6]results!AM4</f>
        <v>-6.3517927378926764</v>
      </c>
      <c r="E10" s="2">
        <f>[6]results!AN4</f>
        <v>-165147.2445481066</v>
      </c>
      <c r="F10" s="2">
        <f>[6]results!AO4</f>
        <v>0.63665305931573102</v>
      </c>
      <c r="H10" t="s">
        <v>7</v>
      </c>
      <c r="I10">
        <f t="shared" si="0"/>
        <v>0.39929651224976459</v>
      </c>
      <c r="J10">
        <f t="shared" si="1"/>
        <v>0</v>
      </c>
      <c r="K10">
        <f t="shared" si="2"/>
        <v>0.15109619240210187</v>
      </c>
      <c r="L10">
        <f t="shared" si="3"/>
        <v>3.9796403811484589E-2</v>
      </c>
      <c r="M10">
        <f t="shared" si="4"/>
        <v>0.10590652351714319</v>
      </c>
      <c r="O10">
        <f t="shared" si="5"/>
        <v>0.5503927046518664</v>
      </c>
      <c r="P10">
        <f t="shared" si="6"/>
        <v>0.42692828912270431</v>
      </c>
      <c r="R10" s="12" t="s">
        <v>14</v>
      </c>
      <c r="S10" s="12">
        <f t="shared" ref="S10:U15" si="10">(B10-MIN(B$9:B$15))/(MAX(B$9:B$15)-MIN(B$9:B$15))</f>
        <v>1</v>
      </c>
      <c r="T10" s="12">
        <f t="shared" si="10"/>
        <v>0</v>
      </c>
      <c r="U10" s="12">
        <f t="shared" si="10"/>
        <v>0.35535331132209513</v>
      </c>
      <c r="W10">
        <f t="shared" si="8"/>
        <v>1.3553533113220952</v>
      </c>
      <c r="X10">
        <f t="shared" si="9"/>
        <v>1.0612615021132057</v>
      </c>
    </row>
    <row r="11" spans="1:24" x14ac:dyDescent="0.35">
      <c r="A11" t="s">
        <v>15</v>
      </c>
      <c r="B11" s="2">
        <f>[6]results!AK5</f>
        <v>-647191.25248678739</v>
      </c>
      <c r="C11" s="2">
        <f>[6]results!AL5</f>
        <v>-657124.07733635709</v>
      </c>
      <c r="D11" s="2">
        <f>[6]results!AM5</f>
        <v>-6.8208576195735402</v>
      </c>
      <c r="E11" s="2">
        <f>[6]results!AN5</f>
        <v>42737.025947058923</v>
      </c>
      <c r="F11" s="2">
        <f>[6]results!AO5</f>
        <v>2.58844154833199</v>
      </c>
      <c r="H11" t="s">
        <v>8</v>
      </c>
      <c r="I11">
        <f t="shared" si="0"/>
        <v>0.39369244747216314</v>
      </c>
      <c r="J11">
        <f t="shared" si="1"/>
        <v>0.10225651351135061</v>
      </c>
      <c r="K11">
        <f t="shared" si="2"/>
        <v>0</v>
      </c>
      <c r="L11">
        <f t="shared" si="3"/>
        <v>0.63072017327591023</v>
      </c>
      <c r="M11">
        <f t="shared" si="4"/>
        <v>0.89009902789586048</v>
      </c>
      <c r="O11">
        <f t="shared" si="5"/>
        <v>0.49594896098351376</v>
      </c>
      <c r="P11">
        <f t="shared" si="6"/>
        <v>0.40675562411860877</v>
      </c>
      <c r="R11" s="12" t="s">
        <v>15</v>
      </c>
      <c r="S11" s="12">
        <f t="shared" si="10"/>
        <v>0.98596515470163681</v>
      </c>
      <c r="T11" s="12">
        <f t="shared" si="10"/>
        <v>0.11514908573159752</v>
      </c>
      <c r="U11" s="12">
        <f t="shared" si="10"/>
        <v>0</v>
      </c>
      <c r="W11">
        <f t="shared" si="8"/>
        <v>1.1011142404332344</v>
      </c>
      <c r="X11">
        <f t="shared" si="9"/>
        <v>0.99266640833194575</v>
      </c>
    </row>
    <row r="12" spans="1:24" x14ac:dyDescent="0.35">
      <c r="A12" t="s">
        <v>16</v>
      </c>
      <c r="B12" s="2">
        <f>[6]results!AK6</f>
        <v>-643806.14298086078</v>
      </c>
      <c r="C12" s="2">
        <f>[6]results!AL6</f>
        <v>-657872.69514892949</v>
      </c>
      <c r="D12" s="2">
        <f>[6]results!AM6</f>
        <v>-6.8208309341453326</v>
      </c>
      <c r="E12" s="2">
        <f>[6]results!AN6</f>
        <v>44174.887467003573</v>
      </c>
      <c r="F12" s="2">
        <f>[6]results!AO6</f>
        <v>2.6184439655639449</v>
      </c>
      <c r="H12" t="s">
        <v>12</v>
      </c>
      <c r="I12">
        <f t="shared" si="0"/>
        <v>0.39883810659760432</v>
      </c>
      <c r="J12">
        <f t="shared" si="1"/>
        <v>9.942238818349286E-2</v>
      </c>
      <c r="K12">
        <f t="shared" si="2"/>
        <v>8.5959677483003611E-6</v>
      </c>
      <c r="L12">
        <f t="shared" si="3"/>
        <v>0.63480738269925774</v>
      </c>
      <c r="M12">
        <f t="shared" si="4"/>
        <v>0.90215344405772668</v>
      </c>
      <c r="O12">
        <f t="shared" si="5"/>
        <v>0.49826909074884551</v>
      </c>
      <c r="P12">
        <f t="shared" si="6"/>
        <v>0.41104336343062614</v>
      </c>
      <c r="R12" s="12" t="s">
        <v>16</v>
      </c>
      <c r="S12" s="12">
        <f t="shared" si="10"/>
        <v>0.99885196680136912</v>
      </c>
      <c r="T12" s="12">
        <f t="shared" si="10"/>
        <v>0.11195763191466916</v>
      </c>
      <c r="U12" s="12">
        <f t="shared" si="10"/>
        <v>2.0216297676432878E-5</v>
      </c>
      <c r="W12">
        <f t="shared" si="8"/>
        <v>1.1108298150137146</v>
      </c>
      <c r="X12">
        <f t="shared" si="9"/>
        <v>1.0051068417514641</v>
      </c>
    </row>
    <row r="13" spans="1:24" x14ac:dyDescent="0.35">
      <c r="A13" t="s">
        <v>17</v>
      </c>
      <c r="B13" s="2">
        <f>[6]results!AK7</f>
        <v>-646893.5717235842</v>
      </c>
      <c r="C13" s="2">
        <f>[6]results!AL7</f>
        <v>-683048.02951931674</v>
      </c>
      <c r="D13" s="2">
        <f>[6]results!AM7</f>
        <v>-6.3578543683243334</v>
      </c>
      <c r="E13" s="2">
        <f>[6]results!AN7</f>
        <v>-163891.8494255149</v>
      </c>
      <c r="F13" s="2">
        <f>[6]results!AO7</f>
        <v>0.63214948940507321</v>
      </c>
      <c r="H13" t="s">
        <v>9</v>
      </c>
      <c r="I13">
        <f t="shared" si="0"/>
        <v>0.3941449479696989</v>
      </c>
      <c r="J13">
        <f t="shared" si="1"/>
        <v>4.1133378534857186E-3</v>
      </c>
      <c r="K13">
        <f t="shared" si="2"/>
        <v>0.14914360692034498</v>
      </c>
      <c r="L13">
        <f t="shared" si="3"/>
        <v>4.3364941326334186E-2</v>
      </c>
      <c r="M13">
        <f t="shared" si="4"/>
        <v>0.10409707244867039</v>
      </c>
      <c r="O13">
        <f t="shared" si="5"/>
        <v>0.54740189274352957</v>
      </c>
      <c r="P13">
        <f t="shared" si="6"/>
        <v>0.42143917122586499</v>
      </c>
      <c r="R13" s="12" t="s">
        <v>17</v>
      </c>
      <c r="S13" s="12">
        <f t="shared" si="10"/>
        <v>0.98709839900418828</v>
      </c>
      <c r="T13" s="12">
        <f t="shared" si="10"/>
        <v>4.6319503459452179E-3</v>
      </c>
      <c r="U13" s="12">
        <f t="shared" si="10"/>
        <v>0.35076115247579376</v>
      </c>
      <c r="W13">
        <f t="shared" si="8"/>
        <v>1.3424915018259274</v>
      </c>
      <c r="X13">
        <f t="shared" si="9"/>
        <v>1.0475772479234102</v>
      </c>
    </row>
    <row r="14" spans="1:24" x14ac:dyDescent="0.35">
      <c r="A14" t="s">
        <v>18</v>
      </c>
      <c r="B14" s="2">
        <f>[6]results!AK8</f>
        <v>-656979.85768527805</v>
      </c>
      <c r="C14" s="2">
        <f>[6]results!AL8</f>
        <v>-675655.61323850357</v>
      </c>
      <c r="D14" s="2">
        <f>[6]results!AM8</f>
        <v>-6.3501085388078993</v>
      </c>
      <c r="E14" s="2">
        <f>[6]results!AN8</f>
        <v>-157626.13047503939</v>
      </c>
      <c r="F14" s="2">
        <f>[6]results!AO8</f>
        <v>0.6218076246817259</v>
      </c>
      <c r="H14" t="s">
        <v>10</v>
      </c>
      <c r="I14">
        <f t="shared" si="0"/>
        <v>0.37881292124804272</v>
      </c>
      <c r="J14">
        <f t="shared" si="1"/>
        <v>3.2099626535996212E-2</v>
      </c>
      <c r="K14">
        <f t="shared" si="2"/>
        <v>0.1516387102474904</v>
      </c>
      <c r="L14">
        <f t="shared" si="3"/>
        <v>6.1175631148129905E-2</v>
      </c>
      <c r="M14">
        <f t="shared" si="4"/>
        <v>9.9941902540154712E-2</v>
      </c>
      <c r="O14">
        <f t="shared" si="5"/>
        <v>0.56255125803152939</v>
      </c>
      <c r="P14">
        <f t="shared" si="6"/>
        <v>0.40929685287545103</v>
      </c>
      <c r="R14" s="12" t="s">
        <v>18</v>
      </c>
      <c r="S14" s="12">
        <f t="shared" si="10"/>
        <v>0.94870080160151971</v>
      </c>
      <c r="T14" s="12">
        <f t="shared" si="10"/>
        <v>3.6146769736437399E-2</v>
      </c>
      <c r="U14" s="12">
        <f t="shared" si="10"/>
        <v>0.35662922377061734</v>
      </c>
      <c r="W14">
        <f t="shared" si="8"/>
        <v>1.3414767951085744</v>
      </c>
      <c r="X14">
        <f t="shared" si="9"/>
        <v>1.0141618229695781</v>
      </c>
    </row>
    <row r="15" spans="1:24" x14ac:dyDescent="0.35">
      <c r="A15" t="s">
        <v>19</v>
      </c>
      <c r="B15" s="2">
        <f>[6]results!AK9</f>
        <v>-646893.57172358409</v>
      </c>
      <c r="C15" s="2">
        <f>[6]results!AL9</f>
        <v>-683048.02951931674</v>
      </c>
      <c r="D15" s="2">
        <f>[6]results!AM9</f>
        <v>-6.3578543683243334</v>
      </c>
      <c r="E15" s="2">
        <f>[6]results!AN9</f>
        <v>-163891.8494255149</v>
      </c>
      <c r="F15" s="2">
        <f>[6]results!AO9</f>
        <v>0.63214948940507321</v>
      </c>
      <c r="H15" t="s">
        <v>11</v>
      </c>
      <c r="I15">
        <f t="shared" si="0"/>
        <v>0.39414494796969907</v>
      </c>
      <c r="J15">
        <f t="shared" si="1"/>
        <v>4.1133378534857186E-3</v>
      </c>
      <c r="K15">
        <f t="shared" si="2"/>
        <v>0.14914360692034498</v>
      </c>
      <c r="L15">
        <f t="shared" si="3"/>
        <v>4.3364941326334186E-2</v>
      </c>
      <c r="M15">
        <f t="shared" si="4"/>
        <v>0.10409707244867039</v>
      </c>
      <c r="O15">
        <f t="shared" si="5"/>
        <v>0.54740189274352979</v>
      </c>
      <c r="P15">
        <f t="shared" si="6"/>
        <v>0.42143917122586511</v>
      </c>
      <c r="R15" s="12" t="s">
        <v>19</v>
      </c>
      <c r="S15" s="12">
        <f t="shared" si="10"/>
        <v>0.98709839900418872</v>
      </c>
      <c r="T15" s="12">
        <f t="shared" si="10"/>
        <v>4.6319503459452179E-3</v>
      </c>
      <c r="U15" s="12">
        <f t="shared" si="10"/>
        <v>0.35076115247579376</v>
      </c>
      <c r="W15">
        <f t="shared" si="8"/>
        <v>1.3424915018259278</v>
      </c>
      <c r="X15">
        <f t="shared" si="9"/>
        <v>1.0475772479234107</v>
      </c>
    </row>
  </sheetData>
  <conditionalFormatting sqref="O2:O15">
    <cfRule type="expression" dxfId="37" priority="6">
      <formula>O2=MIN($O$2:$O$15)</formula>
    </cfRule>
  </conditionalFormatting>
  <conditionalFormatting sqref="P2:P15">
    <cfRule type="expression" dxfId="36" priority="5">
      <formula>P2=MIN($P$2:$P$15)</formula>
    </cfRule>
  </conditionalFormatting>
  <conditionalFormatting sqref="W2:W8">
    <cfRule type="expression" dxfId="35" priority="4">
      <formula>W2=MIN($W$2:$W$8)</formula>
    </cfRule>
  </conditionalFormatting>
  <conditionalFormatting sqref="X2:X8">
    <cfRule type="expression" dxfId="34" priority="3">
      <formula>X2=MIN($X$2:$X$8)</formula>
    </cfRule>
  </conditionalFormatting>
  <conditionalFormatting sqref="W9:W15">
    <cfRule type="expression" dxfId="33" priority="2">
      <formula>W9=MIN($W$9:$W$15)</formula>
    </cfRule>
  </conditionalFormatting>
  <conditionalFormatting sqref="X9:X15">
    <cfRule type="expression" dxfId="32" priority="1">
      <formula>X9=MIN($X$9:$X$15)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EAE2-E189-42E2-800F-26948044793E}">
  <dimension ref="A1:X16"/>
  <sheetViews>
    <sheetView zoomScale="78" zoomScaleNormal="100" workbookViewId="0">
      <selection activeCell="K19" sqref="K19"/>
    </sheetView>
  </sheetViews>
  <sheetFormatPr baseColWidth="10" defaultRowHeight="14.5" x14ac:dyDescent="0.35"/>
  <cols>
    <col min="1" max="1" width="18.6328125" bestFit="1" customWidth="1"/>
    <col min="8" max="8" width="20.54296875" bestFit="1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s="1" t="s">
        <v>0</v>
      </c>
      <c r="J1" s="1" t="s">
        <v>1</v>
      </c>
      <c r="K1" s="1" t="s">
        <v>2</v>
      </c>
      <c r="L1" s="1" t="s">
        <v>4</v>
      </c>
      <c r="M1" s="1" t="s">
        <v>5</v>
      </c>
      <c r="O1" s="3" t="s">
        <v>20</v>
      </c>
      <c r="P1" s="3" t="s">
        <v>21</v>
      </c>
      <c r="R1" s="4"/>
      <c r="S1" s="5" t="s">
        <v>0</v>
      </c>
      <c r="T1" s="5" t="s">
        <v>1</v>
      </c>
      <c r="U1" s="5" t="s">
        <v>2</v>
      </c>
      <c r="W1" s="3" t="s">
        <v>20</v>
      </c>
      <c r="X1" s="3" t="s">
        <v>21</v>
      </c>
    </row>
    <row r="2" spans="1:24" x14ac:dyDescent="0.35">
      <c r="A2" t="s">
        <v>6</v>
      </c>
      <c r="B2" s="2">
        <f>[7]results!AD3</f>
        <v>-865985.05637241108</v>
      </c>
      <c r="C2" s="2">
        <f>[7]results!AE3</f>
        <v>-447789.14297205512</v>
      </c>
      <c r="D2" s="2">
        <f>[7]results!AF3</f>
        <v>-5.4484883681293006</v>
      </c>
      <c r="E2" s="2">
        <f>[7]results!AG3</f>
        <v>135428.7408126957</v>
      </c>
      <c r="F2" s="2">
        <f>[7]results!AH3</f>
        <v>2.3805956478598951</v>
      </c>
      <c r="H2" t="s">
        <v>6</v>
      </c>
      <c r="I2" s="2">
        <f>(B2-MIN(B$2:B$15))/(MAX(B$2:B$15)-MIN(B$2:B$15))</f>
        <v>8.5942246732611527E-2</v>
      </c>
      <c r="J2" s="2">
        <f>(C2-MIN(C$2:C$15))/(MAX(C$2:C$15)-MIN(C$2:C$15))</f>
        <v>1</v>
      </c>
      <c r="K2" s="2">
        <f>(D2-MIN(D$2:D$15))/(MAX(D$2:D$15)-MIN(D$2:D$15))</f>
        <v>0.58456508045730093</v>
      </c>
      <c r="L2" s="2">
        <f>(E2-MIN(E$2:E$15))/(MAX(E$2:E$15)-MIN(E$2:E$15))</f>
        <v>0.88981716866121996</v>
      </c>
      <c r="M2" s="2">
        <f>(F2-MIN(F$2:F$15))/(MAX(F$2:F$15)-MIN(F$2:F$15))</f>
        <v>0.80312328393541843</v>
      </c>
      <c r="O2" s="2">
        <f>SUM(I2:K2)</f>
        <v>1.6705073271899122</v>
      </c>
      <c r="P2">
        <f>SQRT((I2*I2)+(J2*J2)+(K2*K2))</f>
        <v>1.1615086754146522</v>
      </c>
      <c r="R2" s="4" t="s">
        <v>6</v>
      </c>
      <c r="S2" s="6">
        <f>(B2-MIN(B$2:B$8))/(MAX(B$2:B$8)-MIN(B$2:B$8))</f>
        <v>0</v>
      </c>
      <c r="T2" s="6">
        <f>(C2-MIN(C$2:C$8))/(MAX(C$2:C$8)-MIN(C$2:C$8))</f>
        <v>1</v>
      </c>
      <c r="U2" s="6">
        <f>(D2-MIN(D$2:D$8))/(MAX(D$2:D$8)-MIN(D$2:D$8))</f>
        <v>0.1125609095720382</v>
      </c>
      <c r="W2" s="2">
        <f>SUM(S2:U2)</f>
        <v>1.1125609095720381</v>
      </c>
      <c r="X2">
        <f>SQRT((S2*S2)+(T2*T2)+(U2*U2))</f>
        <v>1.0063150393210292</v>
      </c>
    </row>
    <row r="3" spans="1:24" x14ac:dyDescent="0.35">
      <c r="A3" t="s">
        <v>7</v>
      </c>
      <c r="B3" s="2">
        <f>[7]results!AD4</f>
        <v>-438432.7620571531</v>
      </c>
      <c r="C3" s="2">
        <f>[7]results!AE4</f>
        <v>-495566.44217257411</v>
      </c>
      <c r="D3" s="2">
        <f>[7]results!AF4</f>
        <v>-4.4731818905158871</v>
      </c>
      <c r="E3" s="2">
        <f>[7]results!AG4</f>
        <v>-130513.778671432</v>
      </c>
      <c r="F3" s="2">
        <f>[7]results!AH4</f>
        <v>0.41689187738810329</v>
      </c>
      <c r="H3" t="s">
        <v>7</v>
      </c>
      <c r="I3" s="2">
        <f t="shared" ref="I3:L4" si="0">(B3-MIN(B$2:B$15))/(MAX(B$2:B$15)-MIN(B$2:B$15))</f>
        <v>1</v>
      </c>
      <c r="J3" s="2">
        <f t="shared" si="0"/>
        <v>0.79784967675024432</v>
      </c>
      <c r="K3" s="2">
        <f t="shared" si="0"/>
        <v>1</v>
      </c>
      <c r="L3" s="2">
        <f t="shared" si="0"/>
        <v>0.10252799308073519</v>
      </c>
      <c r="M3" s="2">
        <f t="shared" ref="M3:M15" si="1">(F3-MIN(F$2:F$15))/(MAX(F$2:F$15)-MIN(F$2:F$15))</f>
        <v>0</v>
      </c>
      <c r="O3" s="2">
        <f t="shared" ref="O3:O15" si="2">SUM(I3:K3)</f>
        <v>2.7978496767502445</v>
      </c>
      <c r="P3">
        <f t="shared" ref="P3:P15" si="3">SQRT((I3*I3)+(J3*J3)+(K3*K3))</f>
        <v>1.6237500136075347</v>
      </c>
      <c r="R3" s="4" t="s">
        <v>7</v>
      </c>
      <c r="S3" s="6">
        <f t="shared" ref="S3:S8" si="4">(B3-MIN(B$2:B$8))/(MAX(B$2:B$8)-MIN(B$2:B$8))</f>
        <v>1</v>
      </c>
      <c r="T3" s="6">
        <f t="shared" ref="T3:T8" si="5">(C3-MIN(C$2:C$8))/(MAX(C$2:C$8)-MIN(C$2:C$8))</f>
        <v>0</v>
      </c>
      <c r="U3" s="6">
        <f t="shared" ref="U3:U8" si="6">(D3-MIN(D$2:D$8))/(MAX(D$2:D$8)-MIN(D$2:D$8))</f>
        <v>1</v>
      </c>
      <c r="W3" s="2">
        <f t="shared" ref="W3:W15" si="7">SUM(S3:U3)</f>
        <v>2</v>
      </c>
      <c r="X3">
        <f t="shared" ref="X3:X15" si="8">SQRT((S3*S3)+(T3*T3)+(U3*U3))</f>
        <v>1.4142135623730951</v>
      </c>
    </row>
    <row r="4" spans="1:24" x14ac:dyDescent="0.35">
      <c r="A4" t="s">
        <v>8</v>
      </c>
      <c r="B4" s="2">
        <f>[7]results!AD5</f>
        <v>-843034.76912883844</v>
      </c>
      <c r="C4" s="2">
        <f>[7]results!AE5</f>
        <v>-467230.65510733129</v>
      </c>
      <c r="D4" s="2">
        <f>[7]results!AF5</f>
        <v>-5.572194192467876</v>
      </c>
      <c r="E4" s="2">
        <f>[7]results!AG5</f>
        <v>81172.039565046405</v>
      </c>
      <c r="F4" s="2">
        <f>[7]results!AH5</f>
        <v>1.777644150385755</v>
      </c>
      <c r="H4" t="s">
        <v>8</v>
      </c>
      <c r="I4" s="2">
        <f t="shared" si="0"/>
        <v>0.13500732783175085</v>
      </c>
      <c r="J4" s="2">
        <f t="shared" si="0"/>
        <v>0.91774110239853335</v>
      </c>
      <c r="K4" s="2">
        <f t="shared" si="0"/>
        <v>0.53187218816070159</v>
      </c>
      <c r="L4" s="2">
        <f t="shared" si="0"/>
        <v>0.72919707046166193</v>
      </c>
      <c r="M4" s="2">
        <f t="shared" si="1"/>
        <v>0.55652581134979173</v>
      </c>
      <c r="O4" s="2">
        <f t="shared" si="2"/>
        <v>1.5846206183909857</v>
      </c>
      <c r="P4">
        <f t="shared" si="3"/>
        <v>1.069281877775359</v>
      </c>
      <c r="R4" s="4" t="s">
        <v>8</v>
      </c>
      <c r="S4" s="6">
        <f t="shared" si="4"/>
        <v>5.3678316193644673E-2</v>
      </c>
      <c r="T4" s="6">
        <f t="shared" si="5"/>
        <v>0.59308055372320045</v>
      </c>
      <c r="U4" s="6">
        <f t="shared" si="6"/>
        <v>0</v>
      </c>
      <c r="W4" s="2">
        <f t="shared" si="7"/>
        <v>0.64675886991684517</v>
      </c>
      <c r="X4">
        <f t="shared" si="8"/>
        <v>0.59550474795252717</v>
      </c>
    </row>
    <row r="5" spans="1:24" x14ac:dyDescent="0.35">
      <c r="A5" t="s">
        <v>12</v>
      </c>
      <c r="B5" s="2">
        <f>[7]results!AD6</f>
        <v>-841811.26246081176</v>
      </c>
      <c r="C5" s="2">
        <f>[7]results!AE6</f>
        <v>-467457.77600775898</v>
      </c>
      <c r="D5" s="2">
        <f>[7]results!AF6</f>
        <v>-5.5719000348830638</v>
      </c>
      <c r="E5" s="2">
        <f>[7]results!AG6</f>
        <v>79580.043404655211</v>
      </c>
      <c r="F5" s="2">
        <f>[7]results!AH6</f>
        <v>1.759219864213063</v>
      </c>
      <c r="H5" t="s">
        <v>12</v>
      </c>
      <c r="I5" s="2">
        <f t="shared" ref="I5:I15" si="9">(B5-MIN(B$2:B$15))/(MAX(B$2:B$15)-MIN(B$2:B$15))</f>
        <v>0.13762304471820849</v>
      </c>
      <c r="J5" s="2">
        <f t="shared" ref="J5:J15" si="10">(C5-MIN(C$2:C$15))/(MAX(C$2:C$15)-MIN(C$2:C$15))</f>
        <v>0.91678013214264809</v>
      </c>
      <c r="K5" s="2">
        <f t="shared" ref="K5:K15" si="11">(D5-MIN(D$2:D$15))/(MAX(D$2:D$15)-MIN(D$2:D$15))</f>
        <v>0.53199748552659043</v>
      </c>
      <c r="L5" s="2">
        <f t="shared" ref="L5:L15" si="12">(E5-MIN(E$2:E$15))/(MAX(E$2:E$15)-MIN(E$2:E$15))</f>
        <v>0.72448416728591947</v>
      </c>
      <c r="M5" s="2">
        <f t="shared" si="1"/>
        <v>0.54899057439721233</v>
      </c>
      <c r="O5" s="2">
        <f t="shared" si="2"/>
        <v>1.5864006623874469</v>
      </c>
      <c r="P5">
        <f t="shared" si="3"/>
        <v>1.0688532348903736</v>
      </c>
      <c r="R5" s="4" t="s">
        <v>12</v>
      </c>
      <c r="S5" s="6">
        <f t="shared" si="4"/>
        <v>5.6539970041125882E-2</v>
      </c>
      <c r="T5" s="6">
        <f t="shared" si="5"/>
        <v>0.58832681284148014</v>
      </c>
      <c r="U5" s="6">
        <f t="shared" si="6"/>
        <v>2.676563167579131E-4</v>
      </c>
      <c r="W5" s="2">
        <f t="shared" si="7"/>
        <v>0.64513443919936397</v>
      </c>
      <c r="X5">
        <f t="shared" si="8"/>
        <v>0.59103745952381848</v>
      </c>
    </row>
    <row r="6" spans="1:24" x14ac:dyDescent="0.35">
      <c r="A6" t="s">
        <v>9</v>
      </c>
      <c r="B6" s="2">
        <f>[7]results!AD7</f>
        <v>-471293.39594798052</v>
      </c>
      <c r="C6" s="2">
        <f>[7]results!AE7</f>
        <v>-494818.96651613672</v>
      </c>
      <c r="D6" s="2">
        <f>[7]results!AF7</f>
        <v>-4.5857323896124242</v>
      </c>
      <c r="E6" s="2">
        <f>[7]results!AG7</f>
        <v>-119955.8513852496</v>
      </c>
      <c r="F6" s="2">
        <f>[7]results!AH7</f>
        <v>0.43340527315768612</v>
      </c>
      <c r="H6" t="s">
        <v>9</v>
      </c>
      <c r="I6" s="2">
        <f t="shared" si="9"/>
        <v>0.92974773475769412</v>
      </c>
      <c r="J6" s="2">
        <f t="shared" si="10"/>
        <v>0.80101231775546256</v>
      </c>
      <c r="K6" s="2">
        <f t="shared" si="11"/>
        <v>0.95205875423787145</v>
      </c>
      <c r="L6" s="2">
        <f t="shared" si="12"/>
        <v>0.13378340077222073</v>
      </c>
      <c r="M6" s="2">
        <f t="shared" si="1"/>
        <v>6.7537134871448867E-3</v>
      </c>
      <c r="O6" s="2">
        <f t="shared" si="2"/>
        <v>2.6828188067510279</v>
      </c>
      <c r="P6">
        <f t="shared" si="3"/>
        <v>1.5532119800606772</v>
      </c>
      <c r="R6" s="4" t="s">
        <v>9</v>
      </c>
      <c r="S6" s="6">
        <f t="shared" si="4"/>
        <v>0.92314242180958228</v>
      </c>
      <c r="T6" s="6">
        <f t="shared" si="5"/>
        <v>1.5644996032535823E-2</v>
      </c>
      <c r="U6" s="6">
        <f t="shared" si="6"/>
        <v>0.89758940923897501</v>
      </c>
      <c r="W6" s="2">
        <f t="shared" si="7"/>
        <v>1.836376827081093</v>
      </c>
      <c r="X6">
        <f t="shared" si="8"/>
        <v>1.2876736560259712</v>
      </c>
    </row>
    <row r="7" spans="1:24" x14ac:dyDescent="0.35">
      <c r="A7" t="s">
        <v>10</v>
      </c>
      <c r="B7" s="2">
        <f>[7]results!AD8</f>
        <v>-841811.26246081176</v>
      </c>
      <c r="C7" s="2">
        <f>[7]results!AE8</f>
        <v>-467457.77600775909</v>
      </c>
      <c r="D7" s="2">
        <f>[7]results!AF8</f>
        <v>-5.5719000348830638</v>
      </c>
      <c r="E7" s="2">
        <f>[7]results!AG8</f>
        <v>79580.043404655211</v>
      </c>
      <c r="F7" s="2">
        <f>[7]results!AH8</f>
        <v>1.759219864213061</v>
      </c>
      <c r="H7" t="s">
        <v>10</v>
      </c>
      <c r="I7" s="2">
        <f t="shared" si="9"/>
        <v>0.13762304471820849</v>
      </c>
      <c r="J7" s="2">
        <f t="shared" si="10"/>
        <v>0.91678013214264753</v>
      </c>
      <c r="K7" s="2">
        <f t="shared" si="11"/>
        <v>0.53199748552659043</v>
      </c>
      <c r="L7" s="2">
        <f t="shared" si="12"/>
        <v>0.72448416728591947</v>
      </c>
      <c r="M7" s="2">
        <f t="shared" si="1"/>
        <v>0.54899057439721155</v>
      </c>
      <c r="O7" s="2">
        <f t="shared" si="2"/>
        <v>1.5864006623874465</v>
      </c>
      <c r="P7">
        <f t="shared" si="3"/>
        <v>1.068853234890373</v>
      </c>
      <c r="R7" s="4" t="s">
        <v>10</v>
      </c>
      <c r="S7" s="6">
        <f t="shared" si="4"/>
        <v>5.6539970041125882E-2</v>
      </c>
      <c r="T7" s="6">
        <f t="shared" si="5"/>
        <v>0.5883268128414777</v>
      </c>
      <c r="U7" s="6">
        <f t="shared" si="6"/>
        <v>2.676563167579131E-4</v>
      </c>
      <c r="W7" s="2">
        <f t="shared" si="7"/>
        <v>0.64513443919936153</v>
      </c>
      <c r="X7">
        <f t="shared" si="8"/>
        <v>0.59103745952381603</v>
      </c>
    </row>
    <row r="8" spans="1:24" x14ac:dyDescent="0.35">
      <c r="A8" t="s">
        <v>11</v>
      </c>
      <c r="B8" s="2">
        <f>[7]results!AD9</f>
        <v>-471293.39594798052</v>
      </c>
      <c r="C8" s="2">
        <f>[7]results!AE9</f>
        <v>-494818.96651613672</v>
      </c>
      <c r="D8" s="2">
        <f>[7]results!AF9</f>
        <v>-4.5857323896124234</v>
      </c>
      <c r="E8" s="2">
        <f>[7]results!AG9</f>
        <v>-119955.8513852496</v>
      </c>
      <c r="F8" s="2">
        <f>[7]results!AH9</f>
        <v>0.43340527315768612</v>
      </c>
      <c r="H8" t="s">
        <v>11</v>
      </c>
      <c r="I8" s="2">
        <f t="shared" si="9"/>
        <v>0.92974773475769412</v>
      </c>
      <c r="J8" s="2">
        <f t="shared" si="10"/>
        <v>0.80101231775546256</v>
      </c>
      <c r="K8" s="2">
        <f t="shared" si="11"/>
        <v>0.9520587542378719</v>
      </c>
      <c r="L8" s="2">
        <f t="shared" si="12"/>
        <v>0.13378340077222073</v>
      </c>
      <c r="M8" s="2">
        <f t="shared" si="1"/>
        <v>6.7537134871448867E-3</v>
      </c>
      <c r="O8" s="2">
        <f t="shared" si="2"/>
        <v>2.6828188067510284</v>
      </c>
      <c r="P8">
        <f t="shared" si="3"/>
        <v>1.5532119800606774</v>
      </c>
      <c r="R8" s="4" t="s">
        <v>11</v>
      </c>
      <c r="S8" s="6">
        <f t="shared" si="4"/>
        <v>0.92314242180958228</v>
      </c>
      <c r="T8" s="6">
        <f t="shared" si="5"/>
        <v>1.5644996032535823E-2</v>
      </c>
      <c r="U8" s="6">
        <f t="shared" si="6"/>
        <v>0.89758940923897579</v>
      </c>
      <c r="W8" s="2">
        <f t="shared" si="7"/>
        <v>1.8363768270810938</v>
      </c>
      <c r="X8">
        <f t="shared" si="8"/>
        <v>1.2876736560259716</v>
      </c>
    </row>
    <row r="9" spans="1:24" x14ac:dyDescent="0.35">
      <c r="A9" t="s">
        <v>13</v>
      </c>
      <c r="B9" s="2">
        <f>[8]results!AK3</f>
        <v>-906184.70966323232</v>
      </c>
      <c r="C9" s="2">
        <f>[8]results!AL3</f>
        <v>-449565.01682961697</v>
      </c>
      <c r="D9" s="2">
        <f>[8]results!AM3</f>
        <v>-5.5008618105132454</v>
      </c>
      <c r="E9" s="2">
        <f>[8]results!AN3</f>
        <v>172647.97445518119</v>
      </c>
      <c r="F9" s="2">
        <f>[8]results!AO3</f>
        <v>2.8619757265941228</v>
      </c>
      <c r="H9" t="s">
        <v>13</v>
      </c>
      <c r="I9" s="2">
        <f t="shared" si="9"/>
        <v>0</v>
      </c>
      <c r="J9" s="2">
        <f t="shared" si="10"/>
        <v>0.99248610783020108</v>
      </c>
      <c r="K9" s="2">
        <f t="shared" si="11"/>
        <v>0.56225644484135606</v>
      </c>
      <c r="L9" s="2">
        <f t="shared" si="12"/>
        <v>1</v>
      </c>
      <c r="M9" s="2">
        <f t="shared" si="1"/>
        <v>1</v>
      </c>
      <c r="O9" s="2">
        <f t="shared" si="2"/>
        <v>1.554742552671557</v>
      </c>
      <c r="P9">
        <f t="shared" si="3"/>
        <v>1.1406844366438873</v>
      </c>
      <c r="R9" s="7" t="s">
        <v>13</v>
      </c>
      <c r="S9" s="8">
        <f>(B9-MIN(B$9:B$15))/(MAX(B$9:B$15)-MIN(B$9:B$15))</f>
        <v>0</v>
      </c>
      <c r="T9" s="8">
        <f>(C9-MIN(C$9:C$15))/(MAX(C$9:C$15)-MIN(C$9:C$15))</f>
        <v>1</v>
      </c>
      <c r="U9" s="8">
        <f>(D9-MIN(D$9:D$15))/(MAX(D$9:D$15)-MIN(D$9:D$15))</f>
        <v>1</v>
      </c>
      <c r="W9" s="2">
        <f t="shared" si="7"/>
        <v>2</v>
      </c>
      <c r="X9">
        <f t="shared" si="8"/>
        <v>1.4142135623730951</v>
      </c>
    </row>
    <row r="10" spans="1:24" x14ac:dyDescent="0.35">
      <c r="A10" t="s">
        <v>14</v>
      </c>
      <c r="B10" s="2">
        <f>[8]results!AK4</f>
        <v>-643504.57746848045</v>
      </c>
      <c r="C10" s="2">
        <f>[8]results!AL4</f>
        <v>-684134.54392147821</v>
      </c>
      <c r="D10" s="2">
        <f>[8]results!AM4</f>
        <v>-6.3517927378926764</v>
      </c>
      <c r="E10" s="2">
        <f>[8]results!AN4</f>
        <v>-165147.24454810651</v>
      </c>
      <c r="F10" s="2">
        <f>[8]results!AO4</f>
        <v>0.63665305931573191</v>
      </c>
      <c r="H10" t="s">
        <v>14</v>
      </c>
      <c r="I10" s="2">
        <f t="shared" si="9"/>
        <v>0.56157998601423231</v>
      </c>
      <c r="J10" s="2">
        <f t="shared" si="10"/>
        <v>0</v>
      </c>
      <c r="K10" s="2">
        <f t="shared" si="11"/>
        <v>0.19979968948656482</v>
      </c>
      <c r="L10" s="2">
        <f t="shared" si="12"/>
        <v>0</v>
      </c>
      <c r="M10" s="2">
        <f t="shared" si="1"/>
        <v>8.9878791681925599E-2</v>
      </c>
      <c r="O10" s="2">
        <f t="shared" si="2"/>
        <v>0.7613796755007971</v>
      </c>
      <c r="P10">
        <f t="shared" si="3"/>
        <v>0.59606375213618978</v>
      </c>
      <c r="R10" s="7" t="s">
        <v>14</v>
      </c>
      <c r="S10" s="8">
        <f t="shared" ref="S10:S15" si="13">(B10-MIN(B$9:B$15))/(MAX(B$9:B$15)-MIN(B$9:B$15))</f>
        <v>1</v>
      </c>
      <c r="T10" s="8">
        <f t="shared" ref="T10:T15" si="14">(C10-MIN(C$9:C$15))/(MAX(C$9:C$15)-MIN(C$9:C$15))</f>
        <v>0</v>
      </c>
      <c r="U10" s="8">
        <f t="shared" ref="U10:U15" si="15">(D10-MIN(D$9:D$15))/(MAX(D$9:D$15)-MIN(D$9:D$15))</f>
        <v>0.35535331132209513</v>
      </c>
      <c r="W10" s="2">
        <f t="shared" si="7"/>
        <v>1.3553533113220952</v>
      </c>
      <c r="X10">
        <f t="shared" si="8"/>
        <v>1.0612615021132057</v>
      </c>
    </row>
    <row r="11" spans="1:24" x14ac:dyDescent="0.35">
      <c r="A11" t="s">
        <v>15</v>
      </c>
      <c r="B11" s="2">
        <f>[8]results!AK5</f>
        <v>-647191.25248678739</v>
      </c>
      <c r="C11" s="2">
        <f>[8]results!AL5</f>
        <v>-657124.07733635709</v>
      </c>
      <c r="D11" s="2">
        <f>[8]results!AM5</f>
        <v>-6.8208576195735402</v>
      </c>
      <c r="E11" s="2">
        <f>[8]results!AN5</f>
        <v>42737.025947058923</v>
      </c>
      <c r="F11" s="2">
        <f>[8]results!AO5</f>
        <v>2.58844154833199</v>
      </c>
      <c r="H11" t="s">
        <v>15</v>
      </c>
      <c r="I11" s="2">
        <f t="shared" si="9"/>
        <v>0.5536982977878655</v>
      </c>
      <c r="J11" s="2">
        <f t="shared" si="10"/>
        <v>0.11428386791795979</v>
      </c>
      <c r="K11" s="2">
        <f t="shared" si="11"/>
        <v>0</v>
      </c>
      <c r="L11" s="2">
        <f t="shared" si="12"/>
        <v>0.61541507635471338</v>
      </c>
      <c r="M11" s="2">
        <f t="shared" si="1"/>
        <v>0.88812891698951091</v>
      </c>
      <c r="O11" s="2">
        <f t="shared" si="2"/>
        <v>0.66798216570582525</v>
      </c>
      <c r="P11">
        <f t="shared" si="3"/>
        <v>0.56536944331956018</v>
      </c>
      <c r="R11" s="7" t="s">
        <v>15</v>
      </c>
      <c r="S11" s="8">
        <f t="shared" si="13"/>
        <v>0.98596515470163681</v>
      </c>
      <c r="T11" s="8">
        <f t="shared" si="14"/>
        <v>0.11514908573159795</v>
      </c>
      <c r="U11" s="8">
        <f t="shared" si="15"/>
        <v>0</v>
      </c>
      <c r="W11" s="2">
        <f t="shared" si="7"/>
        <v>1.1011142404332348</v>
      </c>
      <c r="X11">
        <f t="shared" si="8"/>
        <v>0.99266640833194586</v>
      </c>
    </row>
    <row r="12" spans="1:24" x14ac:dyDescent="0.35">
      <c r="A12" t="s">
        <v>16</v>
      </c>
      <c r="B12" s="2">
        <f>[8]results!AK6</f>
        <v>-643806.14298086078</v>
      </c>
      <c r="C12" s="2">
        <f>[8]results!AL6</f>
        <v>-657872.6951489296</v>
      </c>
      <c r="D12" s="2">
        <f>[8]results!AM6</f>
        <v>-6.8208309341453326</v>
      </c>
      <c r="E12" s="2">
        <f>[8]results!AN6</f>
        <v>44174.887467003588</v>
      </c>
      <c r="F12" s="2">
        <f>[8]results!AO6</f>
        <v>2.6184439655639462</v>
      </c>
      <c r="H12" t="s">
        <v>16</v>
      </c>
      <c r="I12" s="2">
        <f t="shared" si="9"/>
        <v>0.56093527354660122</v>
      </c>
      <c r="J12" s="2">
        <f t="shared" si="10"/>
        <v>0.11111639434087625</v>
      </c>
      <c r="K12" s="2">
        <f t="shared" si="11"/>
        <v>1.1366743659405719E-5</v>
      </c>
      <c r="L12" s="2">
        <f t="shared" si="12"/>
        <v>0.6196716834321826</v>
      </c>
      <c r="M12" s="2">
        <f t="shared" si="1"/>
        <v>0.90039942347610802</v>
      </c>
      <c r="O12" s="2">
        <f t="shared" si="2"/>
        <v>0.67206303463113692</v>
      </c>
      <c r="P12">
        <f t="shared" si="3"/>
        <v>0.57183497123673743</v>
      </c>
      <c r="R12" s="7" t="s">
        <v>16</v>
      </c>
      <c r="S12" s="8">
        <f t="shared" si="13"/>
        <v>0.99885196680136912</v>
      </c>
      <c r="T12" s="8">
        <f t="shared" si="14"/>
        <v>0.11195763191466911</v>
      </c>
      <c r="U12" s="8">
        <f t="shared" si="15"/>
        <v>2.0216297676432878E-5</v>
      </c>
      <c r="W12" s="2">
        <f t="shared" si="7"/>
        <v>1.1108298150137146</v>
      </c>
      <c r="X12">
        <f t="shared" si="8"/>
        <v>1.0051068417514641</v>
      </c>
    </row>
    <row r="13" spans="1:24" x14ac:dyDescent="0.35">
      <c r="A13" t="s">
        <v>17</v>
      </c>
      <c r="B13" s="2">
        <f>[8]results!AK7</f>
        <v>-646893.5717235842</v>
      </c>
      <c r="C13" s="2">
        <f>[8]results!AL7</f>
        <v>-683048.02951931674</v>
      </c>
      <c r="D13" s="2">
        <f>[8]results!AM7</f>
        <v>-6.3578543683243334</v>
      </c>
      <c r="E13" s="2">
        <f>[8]results!AN7</f>
        <v>-163891.8494255149</v>
      </c>
      <c r="F13" s="2">
        <f>[8]results!AO7</f>
        <v>0.63214948940507321</v>
      </c>
      <c r="H13" t="s">
        <v>17</v>
      </c>
      <c r="I13" s="2">
        <f t="shared" si="9"/>
        <v>0.55433470510744309</v>
      </c>
      <c r="J13" s="2">
        <f t="shared" si="10"/>
        <v>4.597146370510413E-3</v>
      </c>
      <c r="K13" s="2">
        <f t="shared" si="11"/>
        <v>0.19721771857949663</v>
      </c>
      <c r="L13" s="2">
        <f t="shared" si="12"/>
        <v>3.7164383980798472E-3</v>
      </c>
      <c r="M13" s="2">
        <f t="shared" si="1"/>
        <v>8.803690396420126E-2</v>
      </c>
      <c r="O13" s="2">
        <f t="shared" si="2"/>
        <v>0.7561495700574502</v>
      </c>
      <c r="P13">
        <f t="shared" si="3"/>
        <v>0.58839011511327188</v>
      </c>
      <c r="R13" s="7" t="s">
        <v>17</v>
      </c>
      <c r="S13" s="8">
        <f t="shared" si="13"/>
        <v>0.98709839900418828</v>
      </c>
      <c r="T13" s="8">
        <f t="shared" si="14"/>
        <v>4.6319503459457123E-3</v>
      </c>
      <c r="U13" s="8">
        <f t="shared" si="15"/>
        <v>0.35076115247579376</v>
      </c>
      <c r="W13" s="2">
        <f t="shared" si="7"/>
        <v>1.3424915018259278</v>
      </c>
      <c r="X13">
        <f t="shared" si="8"/>
        <v>1.0475772479234102</v>
      </c>
    </row>
    <row r="14" spans="1:24" x14ac:dyDescent="0.35">
      <c r="A14" t="s">
        <v>18</v>
      </c>
      <c r="B14" s="2">
        <f>[8]results!AK8</f>
        <v>-656979.85768527805</v>
      </c>
      <c r="C14" s="2">
        <f>[8]results!AL8</f>
        <v>-675655.61323850357</v>
      </c>
      <c r="D14" s="2">
        <f>[8]results!AM8</f>
        <v>-6.3501085388078993</v>
      </c>
      <c r="E14" s="2">
        <f>[8]results!AN8</f>
        <v>-157626.13047503939</v>
      </c>
      <c r="F14" s="2">
        <f>[8]results!AO8</f>
        <v>0.6218076246817259</v>
      </c>
      <c r="H14" t="s">
        <v>18</v>
      </c>
      <c r="I14" s="2">
        <f t="shared" si="9"/>
        <v>0.53277138289507242</v>
      </c>
      <c r="J14" s="2">
        <f t="shared" si="10"/>
        <v>3.5875166806351735E-2</v>
      </c>
      <c r="K14" s="2">
        <f t="shared" si="11"/>
        <v>0.20051707948379974</v>
      </c>
      <c r="L14" s="2">
        <f t="shared" si="12"/>
        <v>2.2265306463659321E-2</v>
      </c>
      <c r="M14" s="2">
        <f t="shared" si="1"/>
        <v>8.380724749384931E-2</v>
      </c>
      <c r="O14" s="2">
        <f t="shared" si="2"/>
        <v>0.76916362918522385</v>
      </c>
      <c r="P14">
        <f t="shared" si="3"/>
        <v>0.57038537252459753</v>
      </c>
      <c r="R14" s="7" t="s">
        <v>18</v>
      </c>
      <c r="S14" s="8">
        <f t="shared" si="13"/>
        <v>0.94870080160151971</v>
      </c>
      <c r="T14" s="8">
        <f t="shared" si="14"/>
        <v>3.6146769736437878E-2</v>
      </c>
      <c r="U14" s="8">
        <f t="shared" si="15"/>
        <v>0.35662922377061734</v>
      </c>
      <c r="W14" s="2">
        <f t="shared" si="7"/>
        <v>1.3414767951085751</v>
      </c>
      <c r="X14">
        <f t="shared" si="8"/>
        <v>1.0141618229695781</v>
      </c>
    </row>
    <row r="15" spans="1:24" x14ac:dyDescent="0.35">
      <c r="A15" t="s">
        <v>19</v>
      </c>
      <c r="B15" s="2">
        <f>[8]results!AK9</f>
        <v>-646893.57172358409</v>
      </c>
      <c r="C15" s="2">
        <f>[8]results!AL9</f>
        <v>-683048.02951931674</v>
      </c>
      <c r="D15" s="2">
        <f>[8]results!AM9</f>
        <v>-6.3578543683243334</v>
      </c>
      <c r="E15" s="2">
        <f>[8]results!AN9</f>
        <v>-163891.8494255149</v>
      </c>
      <c r="F15" s="2">
        <f>[8]results!AO9</f>
        <v>0.63214948940507321</v>
      </c>
      <c r="H15" t="s">
        <v>19</v>
      </c>
      <c r="I15" s="2">
        <f t="shared" si="9"/>
        <v>0.55433470510744343</v>
      </c>
      <c r="J15" s="2">
        <f t="shared" si="10"/>
        <v>4.597146370510413E-3</v>
      </c>
      <c r="K15" s="2">
        <f t="shared" si="11"/>
        <v>0.19721771857949663</v>
      </c>
      <c r="L15" s="2">
        <f t="shared" si="12"/>
        <v>3.7164383980798472E-3</v>
      </c>
      <c r="M15" s="2">
        <f t="shared" si="1"/>
        <v>8.803690396420126E-2</v>
      </c>
      <c r="O15" s="2">
        <f t="shared" si="2"/>
        <v>0.75614957005745054</v>
      </c>
      <c r="P15">
        <f t="shared" si="3"/>
        <v>0.58839011511327211</v>
      </c>
      <c r="R15" s="7" t="s">
        <v>19</v>
      </c>
      <c r="S15" s="8">
        <f t="shared" si="13"/>
        <v>0.98709839900418872</v>
      </c>
      <c r="T15" s="8">
        <f t="shared" si="14"/>
        <v>4.6319503459457123E-3</v>
      </c>
      <c r="U15" s="8">
        <f t="shared" si="15"/>
        <v>0.35076115247579376</v>
      </c>
      <c r="W15" s="2">
        <f t="shared" si="7"/>
        <v>1.3424915018259282</v>
      </c>
      <c r="X15">
        <f t="shared" si="8"/>
        <v>1.0475772479234107</v>
      </c>
    </row>
    <row r="16" spans="1:24" x14ac:dyDescent="0.35">
      <c r="L16" s="2"/>
      <c r="R16" s="9" t="s">
        <v>22</v>
      </c>
      <c r="S16" s="10"/>
      <c r="T16" s="10"/>
      <c r="U16" s="10"/>
      <c r="W16" s="2"/>
    </row>
  </sheetData>
  <conditionalFormatting sqref="B15 B1:B3 B6 B8:B10 B13">
    <cfRule type="cellIs" dxfId="31" priority="15" operator="equal">
      <formula>$B$3</formula>
    </cfRule>
    <cfRule type="expression" dxfId="30" priority="16">
      <formula>B2=_xludf.value($B$3)</formula>
    </cfRule>
  </conditionalFormatting>
  <conditionalFormatting sqref="B2">
    <cfRule type="cellIs" dxfId="29" priority="11" operator="equal">
      <formula>$B$2</formula>
    </cfRule>
  </conditionalFormatting>
  <conditionalFormatting sqref="B7 B14">
    <cfRule type="cellIs" dxfId="28" priority="21" operator="equal">
      <formula>$B$3</formula>
    </cfRule>
    <cfRule type="expression" dxfId="27" priority="22">
      <formula>#REF!=_xludf.value($B$3)</formula>
    </cfRule>
  </conditionalFormatting>
  <conditionalFormatting sqref="B2:B15">
    <cfRule type="cellIs" dxfId="26" priority="39" operator="equal">
      <formula>$B$10</formula>
    </cfRule>
    <cfRule type="cellIs" dxfId="25" priority="40" operator="equal">
      <formula>#REF!</formula>
    </cfRule>
    <cfRule type="cellIs" dxfId="24" priority="41" operator="equal">
      <formula>$B$4</formula>
    </cfRule>
    <cfRule type="cellIs" dxfId="23" priority="42" operator="equal">
      <formula>"$B$4"</formula>
    </cfRule>
    <cfRule type="cellIs" dxfId="22" priority="43" operator="equal">
      <formula>$B$7</formula>
    </cfRule>
  </conditionalFormatting>
  <conditionalFormatting sqref="B4:B5 B11:B12">
    <cfRule type="cellIs" dxfId="21" priority="48" operator="equal">
      <formula>$B$3</formula>
    </cfRule>
    <cfRule type="expression" dxfId="20" priority="49">
      <formula>B6=_xludf.value($B$3)</formula>
    </cfRule>
  </conditionalFormatting>
  <conditionalFormatting sqref="O2:O15">
    <cfRule type="expression" dxfId="19" priority="8">
      <formula>O2=MIN($O$2:$O$15)</formula>
    </cfRule>
  </conditionalFormatting>
  <conditionalFormatting sqref="P2:P15">
    <cfRule type="expression" dxfId="18" priority="7">
      <formula>P2=MIN($P$2:$P$15)</formula>
    </cfRule>
  </conditionalFormatting>
  <conditionalFormatting sqref="W2:W8">
    <cfRule type="expression" dxfId="17" priority="6">
      <formula>W2=MIN($W$2:$W$8)</formula>
    </cfRule>
  </conditionalFormatting>
  <conditionalFormatting sqref="W9:W15">
    <cfRule type="expression" dxfId="16" priority="5">
      <formula>W9=MIN($W$9:$W$16)</formula>
    </cfRule>
  </conditionalFormatting>
  <conditionalFormatting sqref="X2:X8">
    <cfRule type="expression" dxfId="15" priority="4">
      <formula>X2=MIN($X$2:$X$8)</formula>
    </cfRule>
  </conditionalFormatting>
  <conditionalFormatting sqref="X9:X15">
    <cfRule type="expression" dxfId="14" priority="3">
      <formula>X9=MIN($X$9:$X$16)</formula>
    </cfRule>
  </conditionalFormatting>
  <conditionalFormatting sqref="I1">
    <cfRule type="cellIs" dxfId="13" priority="1" operator="equal">
      <formula>$B$3</formula>
    </cfRule>
    <cfRule type="expression" dxfId="12" priority="2">
      <formula>I2=_xludf.value($B$3)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8B6B-C841-4BBF-BE35-C78FA083CB09}">
  <dimension ref="A1:X15"/>
  <sheetViews>
    <sheetView zoomScale="80" zoomScaleNormal="80" workbookViewId="0">
      <selection activeCell="B6" sqref="B6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  <c r="O1" t="s">
        <v>20</v>
      </c>
      <c r="P1" t="s">
        <v>21</v>
      </c>
      <c r="R1" s="13"/>
      <c r="S1" s="13" t="s">
        <v>0</v>
      </c>
      <c r="T1" s="13" t="s">
        <v>1</v>
      </c>
      <c r="U1" s="13" t="s">
        <v>2</v>
      </c>
      <c r="W1" t="s">
        <v>20</v>
      </c>
      <c r="X1" t="s">
        <v>21</v>
      </c>
    </row>
    <row r="2" spans="1:24" x14ac:dyDescent="0.35">
      <c r="A2" t="s">
        <v>6</v>
      </c>
      <c r="B2" s="2">
        <f>[9]results!AD3</f>
        <v>-544740.82216742123</v>
      </c>
      <c r="C2" s="2">
        <f>[9]results!AE3</f>
        <v>-216176.5307118264</v>
      </c>
      <c r="D2" s="2">
        <f>[9]results!AF3</f>
        <v>-3.1432058249703072</v>
      </c>
      <c r="E2" s="2">
        <f>[9]results!AG3</f>
        <v>188919.45845114451</v>
      </c>
      <c r="F2" s="2">
        <f>[9]results!AH3</f>
        <v>2.29994431206703</v>
      </c>
      <c r="H2" t="s">
        <v>6</v>
      </c>
      <c r="I2">
        <f>(B2-MIN(B$2:B$15))/(MAX(B$2:B$15)-MIN(B$2:B$15))</f>
        <v>0.27465645053734056</v>
      </c>
      <c r="J2">
        <f>(C2-MIN(C$2:C$15))/(MAX(C$2:C$15)-MIN(C$2:C$15))</f>
        <v>1</v>
      </c>
      <c r="K2">
        <f>(D2-MIN(D$2:D$15))/(MAX(D$2:D$15)-MIN(D$2:D$15))</f>
        <v>1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2.2746564505373406</v>
      </c>
      <c r="P2">
        <f>SQRT((I2*I2)+(J2*J2)+(K2*K2))</f>
        <v>1.4406374165006857</v>
      </c>
      <c r="R2" s="13" t="s">
        <v>6</v>
      </c>
      <c r="S2" s="13">
        <f>(B2-MIN(B$2:B$8))/(MAX(B$2:B$8)-MIN(B$2:B$8))</f>
        <v>0</v>
      </c>
      <c r="T2" s="13">
        <f>(C2-MIN(C$2:C$8))/(MAX(C$2:C$8)-MIN(C$2:C$8))</f>
        <v>1</v>
      </c>
      <c r="U2" s="13">
        <f>(D2-MIN(D$2:D$8))/(MAX(D$2:D$8)-MIN(D$2:D$8))</f>
        <v>1</v>
      </c>
      <c r="W2">
        <f>SUM(S2:U2)</f>
        <v>2</v>
      </c>
      <c r="X2">
        <f>SQRT((S2*S2)+(T2*T2)+(U2*U2))</f>
        <v>1.4142135623730951</v>
      </c>
    </row>
    <row r="3" spans="1:24" x14ac:dyDescent="0.35">
      <c r="A3" t="s">
        <v>7</v>
      </c>
      <c r="B3" s="2">
        <f>[9]results!AD4</f>
        <v>-248327.39276675429</v>
      </c>
      <c r="C3" s="2">
        <f>[9]results!AE4</f>
        <v>-483581.00663625158</v>
      </c>
      <c r="D3" s="2">
        <f>[9]results!AF4</f>
        <v>-3.716445296378966</v>
      </c>
      <c r="E3" s="2">
        <f>[9]results!AG4</f>
        <v>-179147.4367931734</v>
      </c>
      <c r="F3" s="2">
        <f>[9]results!AH4</f>
        <v>0.37306072406859048</v>
      </c>
      <c r="H3" t="s">
        <v>7</v>
      </c>
      <c r="I3">
        <f t="shared" ref="I3:M15" si="0">(B3-MIN(B$2:B$15))/(MAX(B$2:B$15)-MIN(B$2:B$15))</f>
        <v>1</v>
      </c>
      <c r="J3">
        <f t="shared" si="0"/>
        <v>0.42857164878887488</v>
      </c>
      <c r="K3">
        <f t="shared" si="0"/>
        <v>0.82167896002386465</v>
      </c>
      <c r="L3">
        <f t="shared" si="0"/>
        <v>0</v>
      </c>
      <c r="M3">
        <f t="shared" si="0"/>
        <v>0</v>
      </c>
      <c r="O3">
        <f t="shared" ref="O3:O15" si="1">SUM(I3:K3)</f>
        <v>2.2502506088127396</v>
      </c>
      <c r="P3">
        <f t="shared" ref="P3:P15" si="2">SQRT((I3*I3)+(J3*J3)+(K3*K3))</f>
        <v>1.3633891489562011</v>
      </c>
      <c r="R3" s="13" t="s">
        <v>7</v>
      </c>
      <c r="S3" s="13">
        <f t="shared" ref="S3:U8" si="3">(B3-MIN(B$2:B$8))/(MAX(B$2:B$8)-MIN(B$2:B$8))</f>
        <v>1</v>
      </c>
      <c r="T3" s="13">
        <f t="shared" si="3"/>
        <v>0</v>
      </c>
      <c r="U3" s="13">
        <f t="shared" si="3"/>
        <v>0</v>
      </c>
      <c r="W3">
        <f t="shared" ref="W3:W15" si="4">SUM(S3:U3)</f>
        <v>1</v>
      </c>
      <c r="X3">
        <f t="shared" ref="X3:X15" si="5">SQRT((S3*S3)+(T3*T3)+(U3*U3))</f>
        <v>1</v>
      </c>
    </row>
    <row r="4" spans="1:24" x14ac:dyDescent="0.35">
      <c r="A4" t="s">
        <v>8</v>
      </c>
      <c r="B4" s="2">
        <f>[9]results!AD5</f>
        <v>-248327.39276675429</v>
      </c>
      <c r="C4" s="2">
        <f>[9]results!AE5</f>
        <v>-483581.00663625158</v>
      </c>
      <c r="D4" s="2">
        <f>[9]results!AF5</f>
        <v>-3.716445296378966</v>
      </c>
      <c r="E4" s="2">
        <f>[9]results!AG5</f>
        <v>-179147.4367931734</v>
      </c>
      <c r="F4" s="2">
        <f>[9]results!AH5</f>
        <v>0.37306072406859048</v>
      </c>
      <c r="H4" t="s">
        <v>8</v>
      </c>
      <c r="I4">
        <f t="shared" si="0"/>
        <v>1</v>
      </c>
      <c r="J4">
        <f t="shared" si="0"/>
        <v>0.42857164878887488</v>
      </c>
      <c r="K4">
        <f t="shared" si="0"/>
        <v>0.82167896002386465</v>
      </c>
      <c r="L4">
        <f t="shared" si="0"/>
        <v>0</v>
      </c>
      <c r="M4">
        <f t="shared" si="0"/>
        <v>0</v>
      </c>
      <c r="O4">
        <f t="shared" si="1"/>
        <v>2.2502506088127396</v>
      </c>
      <c r="P4">
        <f t="shared" si="2"/>
        <v>1.3633891489562011</v>
      </c>
      <c r="R4" s="13" t="s">
        <v>8</v>
      </c>
      <c r="S4" s="13">
        <f t="shared" si="3"/>
        <v>1</v>
      </c>
      <c r="T4" s="13">
        <f t="shared" si="3"/>
        <v>0</v>
      </c>
      <c r="U4" s="13">
        <f t="shared" si="3"/>
        <v>0</v>
      </c>
      <c r="W4">
        <f t="shared" si="4"/>
        <v>1</v>
      </c>
      <c r="X4">
        <f t="shared" si="5"/>
        <v>1</v>
      </c>
    </row>
    <row r="5" spans="1:24" x14ac:dyDescent="0.35">
      <c r="A5" t="s">
        <v>12</v>
      </c>
      <c r="B5" s="2">
        <f>[9]results!AD6</f>
        <v>-248327.39276675429</v>
      </c>
      <c r="C5" s="2">
        <f>[9]results!AE6</f>
        <v>-483581.00663625158</v>
      </c>
      <c r="D5" s="2">
        <f>[9]results!AF6</f>
        <v>-3.716445296378966</v>
      </c>
      <c r="E5" s="2">
        <f>[9]results!AG6</f>
        <v>-179147.4367931734</v>
      </c>
      <c r="F5" s="2">
        <f>[9]results!AH6</f>
        <v>0.37306072406859048</v>
      </c>
      <c r="H5" t="s">
        <v>12</v>
      </c>
      <c r="I5">
        <f t="shared" si="0"/>
        <v>1</v>
      </c>
      <c r="J5">
        <f t="shared" si="0"/>
        <v>0.42857164878887488</v>
      </c>
      <c r="K5">
        <f t="shared" si="0"/>
        <v>0.82167896002386465</v>
      </c>
      <c r="L5">
        <f t="shared" si="0"/>
        <v>0</v>
      </c>
      <c r="M5">
        <f t="shared" si="0"/>
        <v>0</v>
      </c>
      <c r="O5">
        <f t="shared" si="1"/>
        <v>2.2502506088127396</v>
      </c>
      <c r="P5">
        <f t="shared" si="2"/>
        <v>1.3633891489562011</v>
      </c>
      <c r="R5" s="13" t="s">
        <v>12</v>
      </c>
      <c r="S5" s="13">
        <f t="shared" si="3"/>
        <v>1</v>
      </c>
      <c r="T5" s="13">
        <f t="shared" si="3"/>
        <v>0</v>
      </c>
      <c r="U5" s="13">
        <f t="shared" si="3"/>
        <v>0</v>
      </c>
      <c r="W5">
        <f t="shared" si="4"/>
        <v>1</v>
      </c>
      <c r="X5">
        <f t="shared" si="5"/>
        <v>1</v>
      </c>
    </row>
    <row r="6" spans="1:24" x14ac:dyDescent="0.35">
      <c r="A6" t="s">
        <v>9</v>
      </c>
      <c r="B6" s="2">
        <f>[9]results!AD7</f>
        <v>-248327.39276675429</v>
      </c>
      <c r="C6" s="2">
        <f>[9]results!AE7</f>
        <v>-483581.00663625158</v>
      </c>
      <c r="D6" s="2">
        <f>[9]results!AF7</f>
        <v>-3.716445296378966</v>
      </c>
      <c r="E6" s="2">
        <f>[9]results!AG7</f>
        <v>-179147.4367931734</v>
      </c>
      <c r="F6" s="2">
        <f>[9]results!AH7</f>
        <v>0.37306072406859048</v>
      </c>
      <c r="H6" t="s">
        <v>9</v>
      </c>
      <c r="I6">
        <f t="shared" si="0"/>
        <v>1</v>
      </c>
      <c r="J6">
        <f t="shared" si="0"/>
        <v>0.42857164878887488</v>
      </c>
      <c r="K6">
        <f t="shared" si="0"/>
        <v>0.82167896002386465</v>
      </c>
      <c r="L6">
        <f t="shared" si="0"/>
        <v>0</v>
      </c>
      <c r="M6">
        <f t="shared" si="0"/>
        <v>0</v>
      </c>
      <c r="O6">
        <f t="shared" si="1"/>
        <v>2.2502506088127396</v>
      </c>
      <c r="P6">
        <f t="shared" si="2"/>
        <v>1.3633891489562011</v>
      </c>
      <c r="R6" s="13" t="s">
        <v>9</v>
      </c>
      <c r="S6" s="13">
        <f t="shared" si="3"/>
        <v>1</v>
      </c>
      <c r="T6" s="13">
        <f t="shared" si="3"/>
        <v>0</v>
      </c>
      <c r="U6" s="13">
        <f t="shared" si="3"/>
        <v>0</v>
      </c>
      <c r="W6">
        <f t="shared" si="4"/>
        <v>1</v>
      </c>
      <c r="X6">
        <f t="shared" si="5"/>
        <v>1</v>
      </c>
    </row>
    <row r="7" spans="1:24" x14ac:dyDescent="0.35">
      <c r="A7" t="s">
        <v>10</v>
      </c>
      <c r="B7" s="2">
        <f>[9]results!AD8</f>
        <v>-271684.96473506151</v>
      </c>
      <c r="C7" s="2">
        <f>[9]results!AE8</f>
        <v>-465995.69028784567</v>
      </c>
      <c r="D7" s="2">
        <f>[9]results!AF8</f>
        <v>-3.70766291307008</v>
      </c>
      <c r="E7" s="2">
        <f>[9]results!AG8</f>
        <v>-158881.4683872817</v>
      </c>
      <c r="F7" s="2">
        <f>[9]results!AH8</f>
        <v>0.41498976217814582</v>
      </c>
      <c r="H7" t="s">
        <v>10</v>
      </c>
      <c r="I7">
        <f t="shared" si="0"/>
        <v>0.94284245422827873</v>
      </c>
      <c r="J7">
        <f t="shared" si="0"/>
        <v>0.46615048247053564</v>
      </c>
      <c r="K7">
        <f t="shared" si="0"/>
        <v>0.82441094866599562</v>
      </c>
      <c r="L7">
        <f t="shared" si="0"/>
        <v>5.5060557381666785E-2</v>
      </c>
      <c r="M7">
        <f t="shared" si="0"/>
        <v>2.1760026589415997E-2</v>
      </c>
      <c r="O7">
        <f t="shared" si="1"/>
        <v>2.2334038853648099</v>
      </c>
      <c r="P7">
        <f t="shared" si="2"/>
        <v>1.3363762861122177</v>
      </c>
      <c r="R7" s="13" t="s">
        <v>10</v>
      </c>
      <c r="S7" s="13">
        <f t="shared" si="3"/>
        <v>0.92119934641444856</v>
      </c>
      <c r="T7" s="13">
        <f t="shared" si="3"/>
        <v>6.5762984286680121E-2</v>
      </c>
      <c r="U7" s="13">
        <f t="shared" si="3"/>
        <v>1.5320618601689286E-2</v>
      </c>
      <c r="W7">
        <f t="shared" si="4"/>
        <v>1.002282949302818</v>
      </c>
      <c r="X7">
        <f t="shared" si="5"/>
        <v>0.92367078945424919</v>
      </c>
    </row>
    <row r="8" spans="1:24" x14ac:dyDescent="0.35">
      <c r="A8" t="s">
        <v>11</v>
      </c>
      <c r="B8" s="2">
        <f>[9]results!AD9</f>
        <v>-248327.39276675429</v>
      </c>
      <c r="C8" s="2">
        <f>[9]results!AE9</f>
        <v>-483581.00663625158</v>
      </c>
      <c r="D8" s="2">
        <f>[9]results!AF9</f>
        <v>-3.716445296378966</v>
      </c>
      <c r="E8" s="2">
        <f>[9]results!AG9</f>
        <v>-179147.4367931734</v>
      </c>
      <c r="F8" s="2">
        <f>[9]results!AH9</f>
        <v>0.37306072406859048</v>
      </c>
      <c r="H8" t="s">
        <v>11</v>
      </c>
      <c r="I8">
        <f t="shared" si="0"/>
        <v>1</v>
      </c>
      <c r="J8">
        <f t="shared" si="0"/>
        <v>0.42857164878887488</v>
      </c>
      <c r="K8">
        <f t="shared" si="0"/>
        <v>0.82167896002386465</v>
      </c>
      <c r="L8">
        <f t="shared" si="0"/>
        <v>0</v>
      </c>
      <c r="M8">
        <f t="shared" si="0"/>
        <v>0</v>
      </c>
      <c r="O8">
        <f t="shared" si="1"/>
        <v>2.2502506088127396</v>
      </c>
      <c r="P8">
        <f t="shared" si="2"/>
        <v>1.3633891489562011</v>
      </c>
      <c r="R8" s="13" t="s">
        <v>11</v>
      </c>
      <c r="S8" s="13">
        <f t="shared" si="3"/>
        <v>1</v>
      </c>
      <c r="T8" s="13">
        <f t="shared" si="3"/>
        <v>0</v>
      </c>
      <c r="U8" s="13">
        <f t="shared" si="3"/>
        <v>0</v>
      </c>
      <c r="W8">
        <f>SUM(S8:U8)</f>
        <v>1</v>
      </c>
      <c r="X8">
        <f t="shared" si="5"/>
        <v>1</v>
      </c>
    </row>
    <row r="9" spans="1:24" x14ac:dyDescent="0.35">
      <c r="A9" t="s">
        <v>13</v>
      </c>
      <c r="B9" s="2">
        <f>[10]results!AK3</f>
        <v>-656979.85768527805</v>
      </c>
      <c r="C9" s="2">
        <f>[10]results!AL3</f>
        <v>-675655.61323850357</v>
      </c>
      <c r="D9" s="2">
        <f>[10]results!AM3</f>
        <v>-6.3501085388078984</v>
      </c>
      <c r="E9" s="2">
        <f>[10]results!AN3</f>
        <v>-157626.13047503939</v>
      </c>
      <c r="F9" s="2">
        <f>[10]results!AO3</f>
        <v>0.6218076246817259</v>
      </c>
      <c r="H9" t="s">
        <v>6</v>
      </c>
      <c r="I9">
        <f t="shared" si="0"/>
        <v>0</v>
      </c>
      <c r="J9">
        <f t="shared" si="0"/>
        <v>1.8118998806792179E-2</v>
      </c>
      <c r="K9">
        <f t="shared" si="0"/>
        <v>2.4095416379030375E-3</v>
      </c>
      <c r="L9">
        <f t="shared" si="0"/>
        <v>5.8471181723225754E-2</v>
      </c>
      <c r="M9">
        <f t="shared" si="0"/>
        <v>0.12909285343569851</v>
      </c>
      <c r="O9">
        <f t="shared" si="1"/>
        <v>2.0528540444695216E-2</v>
      </c>
      <c r="P9">
        <f t="shared" si="2"/>
        <v>1.8278512211482772E-2</v>
      </c>
      <c r="R9" s="12" t="s">
        <v>13</v>
      </c>
      <c r="S9" s="14">
        <v>0</v>
      </c>
      <c r="T9" s="14">
        <v>0</v>
      </c>
      <c r="U9" s="14">
        <v>0</v>
      </c>
      <c r="W9">
        <f t="shared" si="4"/>
        <v>0</v>
      </c>
      <c r="X9">
        <f t="shared" si="5"/>
        <v>0</v>
      </c>
    </row>
    <row r="10" spans="1:24" x14ac:dyDescent="0.35">
      <c r="A10" t="s">
        <v>14</v>
      </c>
      <c r="B10" s="2">
        <f>[10]results!AK4</f>
        <v>-643504.57746848033</v>
      </c>
      <c r="C10" s="2">
        <f>[10]results!AL4</f>
        <v>-684134.54392147809</v>
      </c>
      <c r="D10" s="2">
        <f>[10]results!AM4</f>
        <v>-6.3517927378926764</v>
      </c>
      <c r="E10" s="2">
        <f>[10]results!AN4</f>
        <v>-165147.24454810651</v>
      </c>
      <c r="F10" s="2">
        <f>[10]results!AO4</f>
        <v>0.63665305931573146</v>
      </c>
      <c r="H10" t="s">
        <v>7</v>
      </c>
      <c r="I10">
        <f t="shared" si="0"/>
        <v>3.297491480807388E-2</v>
      </c>
      <c r="J10">
        <f t="shared" si="0"/>
        <v>0</v>
      </c>
      <c r="K10">
        <f t="shared" si="0"/>
        <v>1.8856277287884835E-3</v>
      </c>
      <c r="L10">
        <f t="shared" si="0"/>
        <v>3.8037086263283067E-2</v>
      </c>
      <c r="M10">
        <f t="shared" si="0"/>
        <v>0.13679722889795792</v>
      </c>
      <c r="O10">
        <f t="shared" si="1"/>
        <v>3.4860542536862361E-2</v>
      </c>
      <c r="P10">
        <f t="shared" si="2"/>
        <v>3.3028784393787577E-2</v>
      </c>
      <c r="R10" s="12" t="s">
        <v>14</v>
      </c>
      <c r="S10" s="14">
        <v>0</v>
      </c>
      <c r="T10" s="14">
        <v>0</v>
      </c>
      <c r="U10" s="14">
        <v>0</v>
      </c>
      <c r="W10">
        <f t="shared" si="4"/>
        <v>0</v>
      </c>
      <c r="X10">
        <f t="shared" si="5"/>
        <v>0</v>
      </c>
    </row>
    <row r="11" spans="1:24" x14ac:dyDescent="0.35">
      <c r="A11" t="s">
        <v>15</v>
      </c>
      <c r="B11" s="2">
        <f>[10]results!AK5</f>
        <v>-646893.5717235842</v>
      </c>
      <c r="C11" s="2">
        <f>[10]results!AL5</f>
        <v>-683048.02951931686</v>
      </c>
      <c r="D11" s="2">
        <f>[10]results!AM5</f>
        <v>-6.3578543683243343</v>
      </c>
      <c r="E11" s="2">
        <f>[10]results!AN5</f>
        <v>-163891.8494255149</v>
      </c>
      <c r="F11" s="2">
        <f>[10]results!AO5</f>
        <v>0.6321494894050731</v>
      </c>
      <c r="H11" t="s">
        <v>8</v>
      </c>
      <c r="I11">
        <f t="shared" si="0"/>
        <v>2.468181848286375E-2</v>
      </c>
      <c r="J11">
        <f t="shared" si="0"/>
        <v>2.3218202733809421E-3</v>
      </c>
      <c r="K11">
        <f t="shared" si="0"/>
        <v>0</v>
      </c>
      <c r="L11">
        <f t="shared" si="0"/>
        <v>4.1447866039492756E-2</v>
      </c>
      <c r="M11">
        <f t="shared" si="0"/>
        <v>0.13445999901094827</v>
      </c>
      <c r="O11">
        <f t="shared" si="1"/>
        <v>2.7003638756244692E-2</v>
      </c>
      <c r="P11">
        <f t="shared" si="2"/>
        <v>2.4790784840398202E-2</v>
      </c>
      <c r="R11" s="12" t="s">
        <v>15</v>
      </c>
      <c r="S11" s="14">
        <v>0</v>
      </c>
      <c r="T11" s="14">
        <v>0</v>
      </c>
      <c r="U11" s="14">
        <v>0</v>
      </c>
      <c r="W11">
        <f t="shared" si="4"/>
        <v>0</v>
      </c>
      <c r="X11">
        <f t="shared" si="5"/>
        <v>0</v>
      </c>
    </row>
    <row r="12" spans="1:24" x14ac:dyDescent="0.35">
      <c r="A12" t="s">
        <v>16</v>
      </c>
      <c r="B12" s="2">
        <f>[10]results!AK6</f>
        <v>-643504.57746848057</v>
      </c>
      <c r="C12" s="2">
        <f>[10]results!AL6</f>
        <v>-684134.54392147809</v>
      </c>
      <c r="D12" s="2">
        <f>[10]results!AM6</f>
        <v>-6.3517927378926764</v>
      </c>
      <c r="E12" s="2">
        <f>[10]results!AN6</f>
        <v>-165147.24454810651</v>
      </c>
      <c r="F12" s="2">
        <f>[10]results!AO6</f>
        <v>0.63665305931573146</v>
      </c>
      <c r="H12" t="s">
        <v>12</v>
      </c>
      <c r="I12">
        <f t="shared" si="0"/>
        <v>3.2974914808073304E-2</v>
      </c>
      <c r="J12">
        <f t="shared" si="0"/>
        <v>0</v>
      </c>
      <c r="K12">
        <f t="shared" si="0"/>
        <v>1.8856277287884835E-3</v>
      </c>
      <c r="L12">
        <f t="shared" si="0"/>
        <v>3.8037086263283067E-2</v>
      </c>
      <c r="M12">
        <f t="shared" si="0"/>
        <v>0.13679722889795792</v>
      </c>
      <c r="O12">
        <f t="shared" si="1"/>
        <v>3.4860542536861786E-2</v>
      </c>
      <c r="P12">
        <f t="shared" si="2"/>
        <v>3.3028784393787008E-2</v>
      </c>
      <c r="R12" s="12" t="s">
        <v>16</v>
      </c>
      <c r="S12" s="14">
        <v>0</v>
      </c>
      <c r="T12" s="14">
        <v>0</v>
      </c>
      <c r="U12" s="14">
        <v>0</v>
      </c>
      <c r="W12">
        <f t="shared" si="4"/>
        <v>0</v>
      </c>
      <c r="X12">
        <f t="shared" si="5"/>
        <v>0</v>
      </c>
    </row>
    <row r="13" spans="1:24" x14ac:dyDescent="0.35">
      <c r="A13" t="s">
        <v>17</v>
      </c>
      <c r="B13" s="2">
        <f>[10]results!AK7</f>
        <v>-646893.57172358432</v>
      </c>
      <c r="C13" s="2">
        <f>[10]results!AL7</f>
        <v>-683048.02951931686</v>
      </c>
      <c r="D13" s="2">
        <f>[10]results!AM7</f>
        <v>-6.3578543683243343</v>
      </c>
      <c r="E13" s="2">
        <f>[10]results!AN7</f>
        <v>-163891.8494255149</v>
      </c>
      <c r="F13" s="2">
        <f>[10]results!AO7</f>
        <v>0.6321494894050731</v>
      </c>
      <c r="H13" t="s">
        <v>9</v>
      </c>
      <c r="I13">
        <f t="shared" si="0"/>
        <v>2.4681818482863466E-2</v>
      </c>
      <c r="J13">
        <f t="shared" si="0"/>
        <v>2.3218202733809421E-3</v>
      </c>
      <c r="K13">
        <f t="shared" si="0"/>
        <v>0</v>
      </c>
      <c r="L13">
        <f t="shared" si="0"/>
        <v>4.1447866039492756E-2</v>
      </c>
      <c r="M13">
        <f t="shared" si="0"/>
        <v>0.13445999901094827</v>
      </c>
      <c r="O13">
        <f t="shared" si="1"/>
        <v>2.7003638756244407E-2</v>
      </c>
      <c r="P13">
        <f t="shared" si="2"/>
        <v>2.4790784840397921E-2</v>
      </c>
      <c r="R13" s="12" t="s">
        <v>17</v>
      </c>
      <c r="S13" s="14">
        <v>0</v>
      </c>
      <c r="T13" s="14">
        <v>0</v>
      </c>
      <c r="U13" s="14">
        <v>0</v>
      </c>
      <c r="W13">
        <f t="shared" si="4"/>
        <v>0</v>
      </c>
      <c r="X13">
        <f t="shared" si="5"/>
        <v>0</v>
      </c>
    </row>
    <row r="14" spans="1:24" x14ac:dyDescent="0.35">
      <c r="A14" t="s">
        <v>18</v>
      </c>
      <c r="B14" s="2">
        <f>[10]results!AK8</f>
        <v>-656979.85768527805</v>
      </c>
      <c r="C14" s="2">
        <f>[10]results!AL8</f>
        <v>-675655.61323850357</v>
      </c>
      <c r="D14" s="2">
        <f>[10]results!AM8</f>
        <v>-6.3501085388078993</v>
      </c>
      <c r="E14" s="2">
        <f>[10]results!AN8</f>
        <v>-157626.13047503939</v>
      </c>
      <c r="F14" s="2">
        <f>[10]results!AO8</f>
        <v>0.6218076246817259</v>
      </c>
      <c r="H14" t="s">
        <v>10</v>
      </c>
      <c r="I14">
        <f t="shared" si="0"/>
        <v>0</v>
      </c>
      <c r="J14">
        <f t="shared" si="0"/>
        <v>1.8118998806792179E-2</v>
      </c>
      <c r="K14">
        <f t="shared" si="0"/>
        <v>2.4095416379027613E-3</v>
      </c>
      <c r="L14">
        <f t="shared" si="0"/>
        <v>5.8471181723225754E-2</v>
      </c>
      <c r="M14">
        <f t="shared" si="0"/>
        <v>0.12909285343569851</v>
      </c>
      <c r="O14">
        <f t="shared" si="1"/>
        <v>2.0528540444694938E-2</v>
      </c>
      <c r="P14">
        <f t="shared" si="2"/>
        <v>1.8278512211482734E-2</v>
      </c>
      <c r="R14" s="12" t="s">
        <v>18</v>
      </c>
      <c r="S14" s="14">
        <v>0</v>
      </c>
      <c r="T14" s="14">
        <v>0</v>
      </c>
      <c r="U14" s="14">
        <v>0</v>
      </c>
      <c r="W14">
        <f t="shared" si="4"/>
        <v>0</v>
      </c>
      <c r="X14">
        <f t="shared" si="5"/>
        <v>0</v>
      </c>
    </row>
    <row r="15" spans="1:24" x14ac:dyDescent="0.35">
      <c r="A15" t="s">
        <v>19</v>
      </c>
      <c r="B15" s="2">
        <f>[10]results!AK9</f>
        <v>-646893.57172358432</v>
      </c>
      <c r="C15" s="2">
        <f>[10]results!AL9</f>
        <v>-683048.02951931697</v>
      </c>
      <c r="D15" s="2">
        <f>[10]results!AM9</f>
        <v>-6.3578543683243343</v>
      </c>
      <c r="E15" s="2">
        <f>[10]results!AN9</f>
        <v>-163891.8494255149</v>
      </c>
      <c r="F15" s="2">
        <f>[10]results!AO9</f>
        <v>0.63214948940507354</v>
      </c>
      <c r="H15" t="s">
        <v>11</v>
      </c>
      <c r="I15">
        <f t="shared" si="0"/>
        <v>2.4681818482863466E-2</v>
      </c>
      <c r="J15">
        <f t="shared" si="0"/>
        <v>2.3218202733806931E-3</v>
      </c>
      <c r="K15">
        <f t="shared" si="0"/>
        <v>0</v>
      </c>
      <c r="L15">
        <f t="shared" si="0"/>
        <v>4.1447866039492756E-2</v>
      </c>
      <c r="M15">
        <f t="shared" si="0"/>
        <v>0.13445999901094849</v>
      </c>
      <c r="O15">
        <f t="shared" si="1"/>
        <v>2.7003638756244158E-2</v>
      </c>
      <c r="P15">
        <f t="shared" si="2"/>
        <v>2.47907848403979E-2</v>
      </c>
      <c r="R15" s="12" t="s">
        <v>19</v>
      </c>
      <c r="S15" s="14">
        <v>0</v>
      </c>
      <c r="T15" s="14">
        <v>0</v>
      </c>
      <c r="U15" s="14">
        <v>0</v>
      </c>
      <c r="W15">
        <f t="shared" si="4"/>
        <v>0</v>
      </c>
      <c r="X15">
        <f t="shared" si="5"/>
        <v>0</v>
      </c>
    </row>
  </sheetData>
  <conditionalFormatting sqref="O2:O15">
    <cfRule type="expression" dxfId="11" priority="6">
      <formula>O2=MIN($O$2:$O$15)</formula>
    </cfRule>
  </conditionalFormatting>
  <conditionalFormatting sqref="W2:W8">
    <cfRule type="expression" dxfId="10" priority="5">
      <formula>W2=MIN($W$2:$W$8)</formula>
    </cfRule>
  </conditionalFormatting>
  <conditionalFormatting sqref="X2:X8">
    <cfRule type="expression" dxfId="9" priority="4">
      <formula>X2=MIN($X$2:$X$8)</formula>
    </cfRule>
  </conditionalFormatting>
  <conditionalFormatting sqref="P9:P15">
    <cfRule type="expression" dxfId="8" priority="3">
      <formula>P9=MIN($P$9:$P$15)</formula>
    </cfRule>
  </conditionalFormatting>
  <conditionalFormatting sqref="W9:W15">
    <cfRule type="expression" dxfId="7" priority="2">
      <formula>W9=MIN($W$9:$W$15)</formula>
    </cfRule>
  </conditionalFormatting>
  <conditionalFormatting sqref="X9:X15">
    <cfRule type="expression" dxfId="6" priority="1">
      <formula>X9=MIN($X$9:$X$15)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3D56-913B-4272-B4C8-8ABC903DE576}">
  <dimension ref="A1:X15"/>
  <sheetViews>
    <sheetView tabSelected="1" zoomScale="80" zoomScaleNormal="80" workbookViewId="0">
      <selection activeCell="F18" sqref="F18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24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  <c r="O1" t="s">
        <v>20</v>
      </c>
      <c r="P1" t="s">
        <v>21</v>
      </c>
      <c r="R1" s="13"/>
      <c r="S1" s="13" t="s">
        <v>0</v>
      </c>
      <c r="T1" s="13" t="s">
        <v>1</v>
      </c>
      <c r="U1" s="13" t="s">
        <v>2</v>
      </c>
      <c r="W1" t="s">
        <v>20</v>
      </c>
      <c r="X1" t="s">
        <v>21</v>
      </c>
    </row>
    <row r="2" spans="1:24" x14ac:dyDescent="0.35">
      <c r="A2" t="s">
        <v>6</v>
      </c>
      <c r="B2" s="2">
        <f>[11]results!AD3</f>
        <v>-648997.27223131806</v>
      </c>
      <c r="C2" s="2">
        <f>[11]results!AE3</f>
        <v>-355185.37606215652</v>
      </c>
      <c r="D2" s="2">
        <f>[11]results!AF3</f>
        <v>-4.4768691209916529</v>
      </c>
      <c r="E2" s="2">
        <f>[11]results!AG3</f>
        <v>42694.046201274381</v>
      </c>
      <c r="F2" s="2">
        <f>[11]results!AH3</f>
        <v>0.83131192868738801</v>
      </c>
      <c r="H2" t="s">
        <v>6</v>
      </c>
      <c r="I2">
        <f>(B2-MIN(B$2:B$15))/(MAX(B$2:B$15)-MIN(B$2:B$15))</f>
        <v>3.6525699099396854E-2</v>
      </c>
      <c r="J2">
        <f>(C2-MIN(C$2:C$15))/(MAX(C$2:C$15)-MIN(C$2:C$15))</f>
        <v>1</v>
      </c>
      <c r="K2">
        <f>(D2-MIN(D$2:D$15))/(MAX(D$2:D$15)-MIN(D$2:D$15))</f>
        <v>0.99804356962857943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2.0345692687279762</v>
      </c>
      <c r="P2">
        <f>SQRT((I2*I2)+(J2*J2)+(K2*K2))</f>
        <v>1.4133029022724239</v>
      </c>
      <c r="R2" s="13" t="s">
        <v>6</v>
      </c>
      <c r="S2" s="13">
        <f>(B2-MIN(B$2:B$8))/(MAX(B$2:B$8)-MIN(B$2:B$8))</f>
        <v>0</v>
      </c>
      <c r="T2" s="13">
        <f>(C2-MIN(C$2:C$8))/(MAX(C$2:C$8)-MIN(C$2:C$8))</f>
        <v>1</v>
      </c>
      <c r="U2" s="13">
        <f>(D2-MIN(D$2:D$8))/(MAX(D$2:D$8)-MIN(D$2:D$8))</f>
        <v>0.96723932363372023</v>
      </c>
      <c r="W2">
        <f>SUM(S2:U2)</f>
        <v>1.9672393236337202</v>
      </c>
      <c r="X2">
        <f>SQRT((S2*S2)+(T2*T2)+(U2*U2))</f>
        <v>1.3912411398400411</v>
      </c>
    </row>
    <row r="3" spans="1:24" x14ac:dyDescent="0.35">
      <c r="A3" t="s">
        <v>7</v>
      </c>
      <c r="B3" s="2">
        <f>[11]results!AD4</f>
        <v>-438432.76205715322</v>
      </c>
      <c r="C3" s="2">
        <f>[11]results!AE4</f>
        <v>-495566.44217257423</v>
      </c>
      <c r="D3" s="2">
        <f>[11]results!AF4</f>
        <v>-4.473181890515888</v>
      </c>
      <c r="E3" s="2">
        <f>[11]results!AG4</f>
        <v>-130513.778671432</v>
      </c>
      <c r="F3" s="2">
        <f>[11]results!AH4</f>
        <v>0.41689187738810329</v>
      </c>
      <c r="H3" t="s">
        <v>7</v>
      </c>
      <c r="I3">
        <f t="shared" ref="I3:M15" si="0">(B3-MIN(B$2:B$15))/(MAX(B$2:B$15)-MIN(B$2:B$15))</f>
        <v>1</v>
      </c>
      <c r="J3">
        <f t="shared" si="0"/>
        <v>0.5732438935049895</v>
      </c>
      <c r="K3">
        <f t="shared" si="0"/>
        <v>1</v>
      </c>
      <c r="L3">
        <f t="shared" si="0"/>
        <v>0.16663419358012083</v>
      </c>
      <c r="M3">
        <f t="shared" si="0"/>
        <v>0</v>
      </c>
      <c r="O3">
        <f t="shared" ref="O3:O15" si="1">SUM(I3:K3)</f>
        <v>2.5732438935049897</v>
      </c>
      <c r="P3">
        <f t="shared" ref="P3:P15" si="2">SQRT((I3*I3)+(J3*J3)+(K3*K3))</f>
        <v>1.5259779033265062</v>
      </c>
      <c r="R3" s="13" t="s">
        <v>7</v>
      </c>
      <c r="S3" s="13">
        <f t="shared" ref="S3:U8" si="3">(B3-MIN(B$2:B$8))/(MAX(B$2:B$8)-MIN(B$2:B$8))</f>
        <v>1</v>
      </c>
      <c r="T3" s="13">
        <f t="shared" si="3"/>
        <v>0</v>
      </c>
      <c r="U3" s="13">
        <f t="shared" si="3"/>
        <v>1</v>
      </c>
      <c r="W3">
        <f t="shared" ref="W3:W15" si="4">SUM(S3:U3)</f>
        <v>2</v>
      </c>
      <c r="X3">
        <f t="shared" ref="X3:X15" si="5">SQRT((S3*S3)+(T3*T3)+(U3*U3))</f>
        <v>1.4142135623730951</v>
      </c>
    </row>
    <row r="4" spans="1:24" x14ac:dyDescent="0.35">
      <c r="A4" t="s">
        <v>8</v>
      </c>
      <c r="B4" s="2">
        <f>[11]results!AD5</f>
        <v>-471293.39594798058</v>
      </c>
      <c r="C4" s="2">
        <f>[11]results!AE5</f>
        <v>-494818.96651613677</v>
      </c>
      <c r="D4" s="2">
        <f>[11]results!AF5</f>
        <v>-4.5857323896124242</v>
      </c>
      <c r="E4" s="2">
        <f>[11]results!AG5</f>
        <v>-119955.8513852496</v>
      </c>
      <c r="F4" s="2">
        <f>[11]results!AH5</f>
        <v>0.43340527315768612</v>
      </c>
      <c r="H4" t="s">
        <v>8</v>
      </c>
      <c r="I4">
        <f t="shared" si="0"/>
        <v>0.84964049146302856</v>
      </c>
      <c r="J4">
        <f t="shared" si="0"/>
        <v>0.5755162070703399</v>
      </c>
      <c r="K4">
        <f t="shared" si="0"/>
        <v>0.94028113615400521</v>
      </c>
      <c r="L4">
        <f t="shared" si="0"/>
        <v>0.21743221955520659</v>
      </c>
      <c r="M4">
        <f t="shared" si="0"/>
        <v>3.9846999964915378E-2</v>
      </c>
      <c r="O4">
        <f t="shared" si="1"/>
        <v>2.3654378346873735</v>
      </c>
      <c r="P4">
        <f t="shared" si="2"/>
        <v>1.3918464298697735</v>
      </c>
      <c r="R4" s="13" t="s">
        <v>8</v>
      </c>
      <c r="S4" s="13">
        <f t="shared" si="3"/>
        <v>0.84394030188825619</v>
      </c>
      <c r="T4" s="13">
        <f t="shared" si="3"/>
        <v>5.3246187477271507E-3</v>
      </c>
      <c r="U4" s="13">
        <f t="shared" si="3"/>
        <v>7.8913769981447551E-15</v>
      </c>
      <c r="W4">
        <f t="shared" si="4"/>
        <v>0.84926492063599124</v>
      </c>
      <c r="X4">
        <f t="shared" si="5"/>
        <v>0.84395709885991821</v>
      </c>
    </row>
    <row r="5" spans="1:24" x14ac:dyDescent="0.35">
      <c r="A5" t="s">
        <v>12</v>
      </c>
      <c r="B5" s="2">
        <f>[11]results!AD6</f>
        <v>-471293.39594798058</v>
      </c>
      <c r="C5" s="2">
        <f>[11]results!AE6</f>
        <v>-494818.96651613677</v>
      </c>
      <c r="D5" s="2">
        <f>[11]results!AF6</f>
        <v>-4.5857323896124251</v>
      </c>
      <c r="E5" s="2">
        <f>[11]results!AG6</f>
        <v>-119955.8513852496</v>
      </c>
      <c r="F5" s="2">
        <f>[11]results!AH6</f>
        <v>0.43340527315768629</v>
      </c>
      <c r="H5" t="s">
        <v>12</v>
      </c>
      <c r="I5">
        <f t="shared" si="0"/>
        <v>0.84964049146302856</v>
      </c>
      <c r="J5">
        <f t="shared" si="0"/>
        <v>0.5755162070703399</v>
      </c>
      <c r="K5">
        <f t="shared" si="0"/>
        <v>0.94028113615400477</v>
      </c>
      <c r="L5">
        <f t="shared" si="0"/>
        <v>0.21743221955520659</v>
      </c>
      <c r="M5">
        <f t="shared" si="0"/>
        <v>3.984699996491578E-2</v>
      </c>
      <c r="O5">
        <f t="shared" si="1"/>
        <v>2.365437834687373</v>
      </c>
      <c r="P5">
        <f t="shared" si="2"/>
        <v>1.391846429869773</v>
      </c>
      <c r="R5" s="13" t="s">
        <v>12</v>
      </c>
      <c r="S5" s="13">
        <f t="shared" si="3"/>
        <v>0.84394030188825619</v>
      </c>
      <c r="T5" s="13">
        <f t="shared" si="3"/>
        <v>5.3246187477271507E-3</v>
      </c>
      <c r="U5" s="13">
        <f t="shared" si="3"/>
        <v>0</v>
      </c>
      <c r="W5">
        <f t="shared" si="4"/>
        <v>0.84926492063598336</v>
      </c>
      <c r="X5">
        <f t="shared" si="5"/>
        <v>0.84395709885991821</v>
      </c>
    </row>
    <row r="6" spans="1:24" x14ac:dyDescent="0.35">
      <c r="A6" t="s">
        <v>9</v>
      </c>
      <c r="B6" s="2">
        <f>[11]results!AD7</f>
        <v>-471293.39594798058</v>
      </c>
      <c r="C6" s="2">
        <f>[11]results!AE7</f>
        <v>-494818.96651613677</v>
      </c>
      <c r="D6" s="2">
        <f>[11]results!AF7</f>
        <v>-4.5857323896124251</v>
      </c>
      <c r="E6" s="2">
        <f>[11]results!AG7</f>
        <v>-119955.8513852496</v>
      </c>
      <c r="F6" s="2">
        <f>[11]results!AH7</f>
        <v>0.43340527315768629</v>
      </c>
      <c r="H6" t="s">
        <v>9</v>
      </c>
      <c r="I6">
        <f t="shared" si="0"/>
        <v>0.84964049146302856</v>
      </c>
      <c r="J6">
        <f t="shared" si="0"/>
        <v>0.5755162070703399</v>
      </c>
      <c r="K6">
        <f t="shared" si="0"/>
        <v>0.94028113615400477</v>
      </c>
      <c r="L6">
        <f t="shared" si="0"/>
        <v>0.21743221955520659</v>
      </c>
      <c r="M6">
        <f t="shared" si="0"/>
        <v>3.984699996491578E-2</v>
      </c>
      <c r="O6">
        <f t="shared" si="1"/>
        <v>2.365437834687373</v>
      </c>
      <c r="P6">
        <f t="shared" si="2"/>
        <v>1.391846429869773</v>
      </c>
      <c r="R6" s="13" t="s">
        <v>9</v>
      </c>
      <c r="S6" s="13">
        <f t="shared" si="3"/>
        <v>0.84394030188825619</v>
      </c>
      <c r="T6" s="13">
        <f t="shared" si="3"/>
        <v>5.3246187477271507E-3</v>
      </c>
      <c r="U6" s="13">
        <f t="shared" si="3"/>
        <v>0</v>
      </c>
      <c r="W6">
        <f t="shared" si="4"/>
        <v>0.84926492063598336</v>
      </c>
      <c r="X6">
        <f t="shared" si="5"/>
        <v>0.84395709885991821</v>
      </c>
    </row>
    <row r="7" spans="1:24" x14ac:dyDescent="0.35">
      <c r="A7" t="s">
        <v>10</v>
      </c>
      <c r="B7" s="2">
        <f>[11]results!AD8</f>
        <v>-648814.53254341986</v>
      </c>
      <c r="C7" s="2">
        <f>[11]results!AE8</f>
        <v>-356847.40699566918</v>
      </c>
      <c r="D7" s="2">
        <f>[11]results!AF8</f>
        <v>-4.4970225695542414</v>
      </c>
      <c r="E7" s="2">
        <f>[11]results!AG8</f>
        <v>37353.987928351882</v>
      </c>
      <c r="F7" s="2">
        <f>[11]results!AH8</f>
        <v>0.75973586218435352</v>
      </c>
      <c r="H7" t="s">
        <v>10</v>
      </c>
      <c r="I7">
        <f t="shared" si="0"/>
        <v>3.7361856117969827E-2</v>
      </c>
      <c r="J7">
        <f t="shared" si="0"/>
        <v>0.99494745360102732</v>
      </c>
      <c r="K7">
        <f t="shared" si="0"/>
        <v>0.98735022699218489</v>
      </c>
      <c r="L7">
        <f t="shared" si="0"/>
        <v>0.97430703854047152</v>
      </c>
      <c r="M7">
        <f t="shared" si="0"/>
        <v>0.82728618878688398</v>
      </c>
      <c r="O7">
        <f t="shared" si="1"/>
        <v>2.019659536711182</v>
      </c>
      <c r="P7">
        <f t="shared" si="2"/>
        <v>1.4022042698769916</v>
      </c>
      <c r="R7" s="13" t="s">
        <v>10</v>
      </c>
      <c r="S7" s="13">
        <f t="shared" si="3"/>
        <v>8.6785606818094024E-4</v>
      </c>
      <c r="T7" s="13">
        <f t="shared" si="3"/>
        <v>0.98816057621185616</v>
      </c>
      <c r="U7" s="13">
        <f t="shared" si="3"/>
        <v>0.78817793586233043</v>
      </c>
      <c r="W7">
        <f t="shared" si="4"/>
        <v>1.7772063681423675</v>
      </c>
      <c r="X7">
        <f t="shared" si="5"/>
        <v>1.2639962563764604</v>
      </c>
    </row>
    <row r="8" spans="1:24" x14ac:dyDescent="0.35">
      <c r="A8" t="s">
        <v>11</v>
      </c>
      <c r="B8" s="2">
        <f>[11]results!AD9</f>
        <v>-471293.39594798058</v>
      </c>
      <c r="C8" s="2">
        <f>[11]results!AE9</f>
        <v>-494818.96651613677</v>
      </c>
      <c r="D8" s="2">
        <f>[11]results!AF9</f>
        <v>-4.5857323896124251</v>
      </c>
      <c r="E8" s="2">
        <f>[11]results!AG9</f>
        <v>-119955.8513852496</v>
      </c>
      <c r="F8" s="2">
        <f>[11]results!AH9</f>
        <v>0.43340527315768629</v>
      </c>
      <c r="H8" t="s">
        <v>11</v>
      </c>
      <c r="I8">
        <f t="shared" si="0"/>
        <v>0.84964049146302856</v>
      </c>
      <c r="J8">
        <f t="shared" si="0"/>
        <v>0.5755162070703399</v>
      </c>
      <c r="K8">
        <f t="shared" si="0"/>
        <v>0.94028113615400477</v>
      </c>
      <c r="L8">
        <f t="shared" si="0"/>
        <v>0.21743221955520659</v>
      </c>
      <c r="M8">
        <f t="shared" si="0"/>
        <v>3.984699996491578E-2</v>
      </c>
      <c r="O8">
        <f t="shared" si="1"/>
        <v>2.365437834687373</v>
      </c>
      <c r="P8">
        <f t="shared" si="2"/>
        <v>1.391846429869773</v>
      </c>
      <c r="R8" s="13" t="s">
        <v>11</v>
      </c>
      <c r="S8" s="13">
        <f t="shared" si="3"/>
        <v>0.84394030188825619</v>
      </c>
      <c r="T8" s="13">
        <f t="shared" si="3"/>
        <v>5.3246187477271507E-3</v>
      </c>
      <c r="U8" s="13">
        <f t="shared" si="3"/>
        <v>0</v>
      </c>
      <c r="W8">
        <f>SUM(S8:U8)</f>
        <v>0.84926492063598336</v>
      </c>
      <c r="X8">
        <f t="shared" si="5"/>
        <v>0.84395709885991821</v>
      </c>
    </row>
    <row r="9" spans="1:24" x14ac:dyDescent="0.35">
      <c r="A9" t="s">
        <v>13</v>
      </c>
      <c r="B9" s="2">
        <f>[12]results!AK3</f>
        <v>-656979.85768527805</v>
      </c>
      <c r="C9" s="2">
        <f>[12]results!AL3</f>
        <v>-675655.61323850357</v>
      </c>
      <c r="D9" s="2">
        <f>[12]results!AM3</f>
        <v>-6.3501085388078984</v>
      </c>
      <c r="E9" s="2">
        <f>[12]results!AN3</f>
        <v>-157626.13047503939</v>
      </c>
      <c r="F9" s="2">
        <f>[12]results!AO3</f>
        <v>0.6218076246817259</v>
      </c>
      <c r="H9" t="s">
        <v>6</v>
      </c>
      <c r="I9">
        <f t="shared" si="0"/>
        <v>0</v>
      </c>
      <c r="J9">
        <f t="shared" si="0"/>
        <v>2.5775808275036033E-2</v>
      </c>
      <c r="K9">
        <f t="shared" si="0"/>
        <v>4.1099074813481431E-3</v>
      </c>
      <c r="L9">
        <f t="shared" si="0"/>
        <v>3.6186813726711432E-2</v>
      </c>
      <c r="M9">
        <f t="shared" si="0"/>
        <v>0.49446388187823742</v>
      </c>
      <c r="O9">
        <f t="shared" si="1"/>
        <v>2.9885715756384178E-2</v>
      </c>
      <c r="P9">
        <f t="shared" si="2"/>
        <v>2.6101410531552838E-2</v>
      </c>
      <c r="R9" s="12" t="s">
        <v>13</v>
      </c>
      <c r="S9" s="14">
        <v>0</v>
      </c>
      <c r="T9" s="14">
        <v>0</v>
      </c>
      <c r="U9" s="14">
        <v>0</v>
      </c>
      <c r="W9">
        <f t="shared" si="4"/>
        <v>0</v>
      </c>
      <c r="X9">
        <f t="shared" si="5"/>
        <v>0</v>
      </c>
    </row>
    <row r="10" spans="1:24" x14ac:dyDescent="0.35">
      <c r="A10" t="s">
        <v>14</v>
      </c>
      <c r="B10" s="2">
        <f>[12]results!AK4</f>
        <v>-643504.57746848057</v>
      </c>
      <c r="C10" s="2">
        <f>[12]results!AL4</f>
        <v>-684134.54392147809</v>
      </c>
      <c r="D10" s="2">
        <f>[12]results!AM4</f>
        <v>-6.3517927378926764</v>
      </c>
      <c r="E10" s="2">
        <f>[12]results!AN4</f>
        <v>-165147.24454810651</v>
      </c>
      <c r="F10" s="2">
        <f>[12]results!AO4</f>
        <v>0.63665305931573146</v>
      </c>
      <c r="H10" t="s">
        <v>7</v>
      </c>
      <c r="I10">
        <f t="shared" si="0"/>
        <v>6.1658473099668834E-2</v>
      </c>
      <c r="J10">
        <f t="shared" si="0"/>
        <v>0</v>
      </c>
      <c r="K10">
        <f t="shared" si="0"/>
        <v>3.2162778960440419E-3</v>
      </c>
      <c r="L10">
        <f t="shared" si="0"/>
        <v>0</v>
      </c>
      <c r="M10">
        <f t="shared" si="0"/>
        <v>0.53028607384858806</v>
      </c>
      <c r="O10">
        <f t="shared" si="1"/>
        <v>6.4874750995712882E-2</v>
      </c>
      <c r="P10">
        <f t="shared" si="2"/>
        <v>6.1742301127243118E-2</v>
      </c>
      <c r="R10" s="12" t="s">
        <v>14</v>
      </c>
      <c r="S10" s="14">
        <v>0</v>
      </c>
      <c r="T10" s="14">
        <v>0</v>
      </c>
      <c r="U10" s="14">
        <v>0</v>
      </c>
      <c r="W10">
        <f t="shared" si="4"/>
        <v>0</v>
      </c>
      <c r="X10">
        <f t="shared" si="5"/>
        <v>0</v>
      </c>
    </row>
    <row r="11" spans="1:24" x14ac:dyDescent="0.35">
      <c r="A11" t="s">
        <v>15</v>
      </c>
      <c r="B11" s="2">
        <f>[12]results!AK5</f>
        <v>-646893.5717235842</v>
      </c>
      <c r="C11" s="2">
        <f>[12]results!AL5</f>
        <v>-683048.02951931686</v>
      </c>
      <c r="D11" s="2">
        <f>[12]results!AM5</f>
        <v>-6.3578543683243343</v>
      </c>
      <c r="E11" s="2">
        <f>[12]results!AN5</f>
        <v>-163891.8494255149</v>
      </c>
      <c r="F11" s="2">
        <f>[12]results!AO5</f>
        <v>0.6321494894050731</v>
      </c>
      <c r="H11" t="s">
        <v>8</v>
      </c>
      <c r="I11">
        <f t="shared" si="0"/>
        <v>4.6151544282503135E-2</v>
      </c>
      <c r="J11">
        <f t="shared" si="0"/>
        <v>3.3029857142727131E-3</v>
      </c>
      <c r="K11">
        <f t="shared" si="0"/>
        <v>0</v>
      </c>
      <c r="L11">
        <f t="shared" si="0"/>
        <v>6.0401622702843487E-3</v>
      </c>
      <c r="M11">
        <f t="shared" si="0"/>
        <v>0.51941891166244669</v>
      </c>
      <c r="O11">
        <f t="shared" si="1"/>
        <v>4.9454529996775846E-2</v>
      </c>
      <c r="P11">
        <f t="shared" si="2"/>
        <v>4.6269587790346019E-2</v>
      </c>
      <c r="R11" s="12" t="s">
        <v>15</v>
      </c>
      <c r="S11" s="14">
        <v>0</v>
      </c>
      <c r="T11" s="14">
        <v>0</v>
      </c>
      <c r="U11" s="14">
        <v>0</v>
      </c>
      <c r="W11">
        <f t="shared" si="4"/>
        <v>0</v>
      </c>
      <c r="X11">
        <f t="shared" si="5"/>
        <v>0</v>
      </c>
    </row>
    <row r="12" spans="1:24" x14ac:dyDescent="0.35">
      <c r="A12" t="s">
        <v>16</v>
      </c>
      <c r="B12" s="2">
        <f>[12]results!AK6</f>
        <v>-643504.57746848057</v>
      </c>
      <c r="C12" s="2">
        <f>[12]results!AL6</f>
        <v>-684134.54392147809</v>
      </c>
      <c r="D12" s="2">
        <f>[12]results!AM6</f>
        <v>-6.3517927378926764</v>
      </c>
      <c r="E12" s="2">
        <f>[12]results!AN6</f>
        <v>-165147.24454810651</v>
      </c>
      <c r="F12" s="2">
        <f>[12]results!AO6</f>
        <v>0.63665305931573146</v>
      </c>
      <c r="H12" t="s">
        <v>12</v>
      </c>
      <c r="I12">
        <f t="shared" si="0"/>
        <v>6.1658473099668834E-2</v>
      </c>
      <c r="J12">
        <f t="shared" si="0"/>
        <v>0</v>
      </c>
      <c r="K12">
        <f t="shared" si="0"/>
        <v>3.2162778960440419E-3</v>
      </c>
      <c r="L12">
        <f t="shared" si="0"/>
        <v>0</v>
      </c>
      <c r="M12">
        <f t="shared" si="0"/>
        <v>0.53028607384858806</v>
      </c>
      <c r="O12">
        <f t="shared" si="1"/>
        <v>6.4874750995712882E-2</v>
      </c>
      <c r="P12">
        <f t="shared" si="2"/>
        <v>6.1742301127243118E-2</v>
      </c>
      <c r="R12" s="12" t="s">
        <v>16</v>
      </c>
      <c r="S12" s="14">
        <v>0</v>
      </c>
      <c r="T12" s="14">
        <v>0</v>
      </c>
      <c r="U12" s="14">
        <v>0</v>
      </c>
      <c r="W12">
        <f t="shared" si="4"/>
        <v>0</v>
      </c>
      <c r="X12">
        <f t="shared" si="5"/>
        <v>0</v>
      </c>
    </row>
    <row r="13" spans="1:24" x14ac:dyDescent="0.35">
      <c r="A13" t="s">
        <v>17</v>
      </c>
      <c r="B13" s="2">
        <f>[12]results!AK7</f>
        <v>-646893.57172358432</v>
      </c>
      <c r="C13" s="2">
        <f>[12]results!AL7</f>
        <v>-683048.02951931686</v>
      </c>
      <c r="D13" s="2">
        <f>[12]results!AM7</f>
        <v>-6.3578543683243343</v>
      </c>
      <c r="E13" s="2">
        <f>[12]results!AN7</f>
        <v>-163891.8494255149</v>
      </c>
      <c r="F13" s="2">
        <f>[12]results!AO7</f>
        <v>0.6321494894050731</v>
      </c>
      <c r="H13" t="s">
        <v>9</v>
      </c>
      <c r="I13">
        <f t="shared" si="0"/>
        <v>4.6151544282502607E-2</v>
      </c>
      <c r="J13">
        <f t="shared" si="0"/>
        <v>3.3029857142727131E-3</v>
      </c>
      <c r="K13">
        <f t="shared" si="0"/>
        <v>0</v>
      </c>
      <c r="L13">
        <f t="shared" si="0"/>
        <v>6.0401622702843487E-3</v>
      </c>
      <c r="M13">
        <f t="shared" si="0"/>
        <v>0.51941891166244669</v>
      </c>
      <c r="O13">
        <f t="shared" si="1"/>
        <v>4.9454529996775319E-2</v>
      </c>
      <c r="P13">
        <f t="shared" si="2"/>
        <v>4.6269587790345491E-2</v>
      </c>
      <c r="R13" s="12" t="s">
        <v>17</v>
      </c>
      <c r="S13" s="14">
        <v>0</v>
      </c>
      <c r="T13" s="14">
        <v>0</v>
      </c>
      <c r="U13" s="14">
        <v>0</v>
      </c>
      <c r="W13">
        <f t="shared" si="4"/>
        <v>0</v>
      </c>
      <c r="X13">
        <f t="shared" si="5"/>
        <v>0</v>
      </c>
    </row>
    <row r="14" spans="1:24" x14ac:dyDescent="0.35">
      <c r="A14" t="s">
        <v>18</v>
      </c>
      <c r="B14" s="2">
        <f>[12]results!AK8</f>
        <v>-656979.85768527805</v>
      </c>
      <c r="C14" s="2">
        <f>[12]results!AL8</f>
        <v>-675655.61323850357</v>
      </c>
      <c r="D14" s="2">
        <f>[12]results!AM8</f>
        <v>-6.3501085388078993</v>
      </c>
      <c r="E14" s="2">
        <f>[12]results!AN8</f>
        <v>-157626.13047503939</v>
      </c>
      <c r="F14" s="2">
        <f>[12]results!AO8</f>
        <v>0.6218076246817259</v>
      </c>
      <c r="H14" t="s">
        <v>10</v>
      </c>
      <c r="I14">
        <f t="shared" si="0"/>
        <v>0</v>
      </c>
      <c r="J14">
        <f t="shared" si="0"/>
        <v>2.5775808275036033E-2</v>
      </c>
      <c r="K14">
        <f t="shared" si="0"/>
        <v>4.1099074813476721E-3</v>
      </c>
      <c r="L14">
        <f t="shared" si="0"/>
        <v>3.6186813726711432E-2</v>
      </c>
      <c r="M14">
        <f t="shared" si="0"/>
        <v>0.49446388187823742</v>
      </c>
      <c r="O14">
        <f t="shared" si="1"/>
        <v>2.9885715756383706E-2</v>
      </c>
      <c r="P14">
        <f t="shared" si="2"/>
        <v>2.6101410531552766E-2</v>
      </c>
      <c r="R14" s="12" t="s">
        <v>18</v>
      </c>
      <c r="S14" s="14">
        <v>0</v>
      </c>
      <c r="T14" s="14">
        <v>0</v>
      </c>
      <c r="U14" s="14">
        <v>0</v>
      </c>
      <c r="W14">
        <f t="shared" si="4"/>
        <v>0</v>
      </c>
      <c r="X14">
        <f t="shared" si="5"/>
        <v>0</v>
      </c>
    </row>
    <row r="15" spans="1:24" x14ac:dyDescent="0.35">
      <c r="A15" t="s">
        <v>19</v>
      </c>
      <c r="B15" s="2">
        <f>[12]results!AK9</f>
        <v>-646893.57172358432</v>
      </c>
      <c r="C15" s="2">
        <f>[12]results!AL9</f>
        <v>-683048.02951931697</v>
      </c>
      <c r="D15" s="2">
        <f>[12]results!AM9</f>
        <v>-6.3578543683243343</v>
      </c>
      <c r="E15" s="2">
        <f>[12]results!AN9</f>
        <v>-163891.8494255149</v>
      </c>
      <c r="F15" s="2">
        <f>[12]results!AO9</f>
        <v>0.63214948940507354</v>
      </c>
      <c r="H15" t="s">
        <v>11</v>
      </c>
      <c r="I15">
        <f t="shared" si="0"/>
        <v>4.6151544282502607E-2</v>
      </c>
      <c r="J15">
        <f t="shared" si="0"/>
        <v>3.3029857142723592E-3</v>
      </c>
      <c r="K15">
        <f t="shared" si="0"/>
        <v>0</v>
      </c>
      <c r="L15">
        <f t="shared" si="0"/>
        <v>6.0401622702843487E-3</v>
      </c>
      <c r="M15">
        <f t="shared" si="0"/>
        <v>0.5194189116624478</v>
      </c>
      <c r="O15">
        <f t="shared" si="1"/>
        <v>4.9454529996774965E-2</v>
      </c>
      <c r="P15">
        <f t="shared" si="2"/>
        <v>4.6269587790345471E-2</v>
      </c>
      <c r="R15" s="12" t="s">
        <v>19</v>
      </c>
      <c r="S15" s="14">
        <v>0</v>
      </c>
      <c r="T15" s="14">
        <v>0</v>
      </c>
      <c r="U15" s="14">
        <v>0</v>
      </c>
      <c r="W15">
        <f t="shared" si="4"/>
        <v>0</v>
      </c>
      <c r="X15">
        <f t="shared" si="5"/>
        <v>0</v>
      </c>
    </row>
  </sheetData>
  <conditionalFormatting sqref="O2:O15">
    <cfRule type="expression" dxfId="5" priority="6">
      <formula>O2=MIN($O$2:$O$15)</formula>
    </cfRule>
  </conditionalFormatting>
  <conditionalFormatting sqref="W2:W8">
    <cfRule type="expression" dxfId="4" priority="5">
      <formula>W2=MIN($W$2:$W$8)</formula>
    </cfRule>
  </conditionalFormatting>
  <conditionalFormatting sqref="X2:X8">
    <cfRule type="expression" dxfId="3" priority="4">
      <formula>X2=MIN($X$2:$X$8)</formula>
    </cfRule>
  </conditionalFormatting>
  <conditionalFormatting sqref="P9:P15">
    <cfRule type="expression" dxfId="2" priority="3">
      <formula>P9=MIN($P$9:$P$15)</formula>
    </cfRule>
  </conditionalFormatting>
  <conditionalFormatting sqref="W9:W15">
    <cfRule type="expression" dxfId="1" priority="2">
      <formula>W9=MIN($W$9:$W$15)</formula>
    </cfRule>
  </conditionalFormatting>
  <conditionalFormatting sqref="X9:X15">
    <cfRule type="expression" dxfId="0" priority="1">
      <formula>X9=MIN($X$9:$X$15)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all_cons</vt:lpstr>
      <vt:lpstr>peat_cons</vt:lpstr>
      <vt:lpstr>hobby_cons</vt:lpstr>
      <vt:lpstr>brut2</vt:lpstr>
      <vt:lpstr>all_dig</vt:lpstr>
      <vt:lpstr>dig_only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2026-02-16T09:43:34Z</dcterms:created>
  <dcterms:modified xsi:type="dcterms:W3CDTF">2026-03-06T13:56:34Z</dcterms:modified>
</cp:coreProperties>
</file>