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325A116E-1894-4202-BD13-61E64F2B9841}" xr6:coauthVersionLast="36" xr6:coauthVersionMax="36" xr10:uidLastSave="{00000000-0000-0000-0000-000000000000}"/>
  <bookViews>
    <workbookView minimized="1" xWindow="0" yWindow="0" windowWidth="19200" windowHeight="6350" xr2:uid="{00000000-000D-0000-FFFF-FFFF00000000}"/>
  </bookViews>
  <sheets>
    <sheet name="results" sheetId="1" r:id="rId1"/>
    <sheet name="Feuil2" sheetId="3" r:id="rId2"/>
    <sheet name="Feuil1" sheetId="2" r:id="rId3"/>
    <sheet name="Feuil3" sheetId="4" r:id="rId4"/>
  </sheets>
  <externalReferences>
    <externalReference r:id="rId5"/>
    <externalReference r:id="rId6"/>
    <externalReference r:id="rId7"/>
    <externalReference r:id="rId8"/>
  </externalReferences>
  <calcPr calcId="191029"/>
</workbook>
</file>

<file path=xl/calcChain.xml><?xml version="1.0" encoding="utf-8"?>
<calcChain xmlns="http://schemas.openxmlformats.org/spreadsheetml/2006/main">
  <c r="I11" i="3" l="1"/>
  <c r="H11" i="3"/>
  <c r="I8" i="3"/>
  <c r="H8" i="3"/>
  <c r="I5" i="3"/>
  <c r="H5" i="3"/>
  <c r="D11" i="3"/>
  <c r="C11" i="3"/>
  <c r="D8" i="3"/>
  <c r="C8" i="3"/>
  <c r="D5" i="3"/>
  <c r="C5" i="3"/>
  <c r="E6" i="4" l="1"/>
  <c r="E4" i="4"/>
  <c r="E3" i="4"/>
  <c r="D6" i="4"/>
  <c r="D4" i="4" l="1"/>
  <c r="D3" i="4"/>
  <c r="C6" i="4"/>
  <c r="C4" i="4"/>
  <c r="C3" i="4"/>
  <c r="H10" i="3" l="1"/>
  <c r="I10" i="3"/>
  <c r="J10" i="3"/>
  <c r="C10" i="3"/>
  <c r="D10" i="3"/>
  <c r="E10" i="3"/>
  <c r="H7" i="3"/>
  <c r="I7" i="3"/>
  <c r="J7" i="3"/>
  <c r="C7" i="3"/>
  <c r="D7" i="3"/>
  <c r="E7" i="3"/>
  <c r="H4" i="3"/>
  <c r="I4" i="3"/>
  <c r="J4" i="3"/>
  <c r="C4" i="3"/>
  <c r="D4" i="3"/>
  <c r="E4" i="3"/>
  <c r="J11" i="3" l="1"/>
  <c r="J8" i="3"/>
  <c r="E11" i="3"/>
  <c r="E5" i="3"/>
  <c r="E8" i="3"/>
  <c r="J5" i="3"/>
  <c r="B3" i="2"/>
  <c r="B9" i="2" l="1"/>
  <c r="B8" i="2"/>
  <c r="B7" i="2"/>
  <c r="B5" i="2"/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<sst xmlns="http://schemas.openxmlformats.org/spreadsheetml/2006/main" count="121" uniqueCount="75">
  <si>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</si>
  <si>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</si>
  <si>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</si>
  <si>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</si>
  <si>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</si>
  <si>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</si>
  <si>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</si>
  <si>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</si>
  <si>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</si>
  <si>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</si>
  <si>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</si>
  <si>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</si>
  <si>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</si>
  <si>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</si>
  <si>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</si>
  <si>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</si>
  <si>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</si>
  <si>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</si>
  <si>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</si>
  <si>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</si>
  <si>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</si>
  <si>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</si>
  <si>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</si>
  <si>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</si>
  <si>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</si>
  <si>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</si>
  <si>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</si>
  <si>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</si>
  <si>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</si>
  <si>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</si>
  <si>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</si>
  <si>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</si>
  <si>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</si>
  <si>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</si>
  <si>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</si>
  <si>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</si>
  <si>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</si>
  <si>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</si>
  <si>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</si>
  <si>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</si>
  <si>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</si>
  <si>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</si>
  <si>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</si>
  <si>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</si>
  <si>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</si>
  <si>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</si>
  <si>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</si>
  <si>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</si>
  <si>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</si>
  <si>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</si>
  <si>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</si>
  <si>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</si>
  <si>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</si>
  <si>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</si>
  <si>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</si>
  <si>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Peat_hobby_mark</t>
  </si>
  <si>
    <t>Peat_pro_mark</t>
  </si>
  <si>
    <t>Peat_hobby_mark(ub)</t>
  </si>
  <si>
    <t>Peat_pro_mark(ub)</t>
  </si>
  <si>
    <t>AD-f(lb)</t>
  </si>
  <si>
    <t>AD-f(ub)</t>
  </si>
  <si>
    <t>fausse contrainte</t>
  </si>
  <si>
    <t>minCC</t>
  </si>
  <si>
    <t>inv</t>
  </si>
  <si>
    <t>ss_inv</t>
  </si>
  <si>
    <t>Climate change</t>
  </si>
  <si>
    <t>Other impact indicators</t>
  </si>
  <si>
    <t>Net impact</t>
  </si>
  <si>
    <t>Total impact</t>
  </si>
  <si>
    <t>Process</t>
  </si>
  <si>
    <t>Substitution</t>
  </si>
  <si>
    <t>Peat</t>
  </si>
  <si>
    <t>Fertilizer</t>
  </si>
  <si>
    <t>Transport of coproduct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</si>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</sst>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General</c:formatCode>
                <c:ptCount val="7"/>
                <c:pt idx="0">
                  <c:v>6.5</c:v>
                </c:pt>
                <c:pt idx="1">
                  <c:v>0</c:v>
                </c:pt>
                <c:pt idx="2">
                  <c:v>1.29</c:v>
                </c:pt>
                <c:pt idx="3">
                  <c:v>0</c:v>
                </c:pt>
                <c:pt idx="4">
                  <c:v>1.29</c:v>
                </c:pt>
                <c:pt idx="5">
                  <c:v>6.5</c:v>
                </c:pt>
                <c:pt idx="6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C-4F7E-8EC3-CABDAD71498D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7C-4F7E-8EC3-CABDAD71498D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C-4F7E-8EC3-CABDAD71498D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7C-4F7E-8EC3-CABDAD71498D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C-4F7E-8EC3-CABDAD71498D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7C-4F7E-8EC3-CABDAD71498D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7C-4F7E-8EC3-CABDAD71498D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93.51</c:v>
                </c:pt>
                <c:pt idx="1">
                  <c:v>100</c:v>
                </c:pt>
                <c:pt idx="2">
                  <c:v>98.71</c:v>
                </c:pt>
                <c:pt idx="3">
                  <c:v>100</c:v>
                </c:pt>
                <c:pt idx="4">
                  <c:v>98.71</c:v>
                </c:pt>
                <c:pt idx="5">
                  <c:v>93.51</c:v>
                </c:pt>
                <c:pt idx="6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7C-4F7E-8EC3-CABDAD714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1430799"/>
        <c:axId val="1091674895"/>
      </c:barChart>
      <c:catAx>
        <c:axId val="191143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1674895"/>
        <c:crosses val="autoZero"/>
        <c:auto val="1"/>
        <c:lblAlgn val="ctr"/>
        <c:lblOffset val="100"/>
        <c:noMultiLvlLbl val="0"/>
      </c:catAx>
      <c:valAx>
        <c:axId val="109167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143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</a:t>
            </a:r>
            <a:r>
              <a:rPr lang="fr-FR" baseline="0"/>
              <a:t> du CC dans EQ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Feuil2!$C$3</c:f>
              <c:strCache>
                <c:ptCount val="1"/>
                <c:pt idx="0">
                  <c:v>Climate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Feuil2!$B$4:$B$11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Feuil2!$C$4:$C$11</c:f>
              <c:numCache>
                <c:formatCode>0.00E+00</c:formatCode>
                <c:ptCount val="8"/>
                <c:pt idx="0">
                  <c:v>-405095.98916297092</c:v>
                </c:pt>
                <c:pt idx="1">
                  <c:v>-444474.03345047898</c:v>
                </c:pt>
                <c:pt idx="3">
                  <c:v>-304433.56984307815</c:v>
                </c:pt>
                <c:pt idx="4">
                  <c:v>-518987.2993733717</c:v>
                </c:pt>
                <c:pt idx="6">
                  <c:v>-304433.56984307815</c:v>
                </c:pt>
                <c:pt idx="7">
                  <c:v>-519156.18009380205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6-49A4-A03F-0B01EE9BAFB3}"/>
            </c:ext>
          </c:extLst>
        </c:ser>
        <c:ser>
          <c:idx val="1"/>
          <c:order val="1"/>
          <c:tx>
            <c:strRef>
              <c:f>Feuil2!$D$3</c:f>
              <c:strCache>
                <c:ptCount val="1"/>
                <c:pt idx="0">
                  <c:v>Other impact indicators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Feuil2!$B$4:$B$11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Feuil2!$D$4:$D$11</c:f>
              <c:numCache>
                <c:formatCode>0.00E+00</c:formatCode>
                <c:ptCount val="8"/>
                <c:pt idx="0">
                  <c:v>188919.45845114451</c:v>
                </c:pt>
                <c:pt idx="1">
                  <c:v>-34562.503224742322</c:v>
                </c:pt>
                <c:pt idx="3">
                  <c:v>-179147.4367931734</c:v>
                </c:pt>
                <c:pt idx="4">
                  <c:v>-165147.24454810651</c:v>
                </c:pt>
                <c:pt idx="6">
                  <c:v>-179147.4367931734</c:v>
                </c:pt>
                <c:pt idx="7">
                  <c:v>-163891.8494255149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6-49A4-A03F-0B01EE9B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3386543"/>
        <c:axId val="1387086671"/>
      </c:barChart>
      <c:lineChart>
        <c:grouping val="standard"/>
        <c:varyColors val="0"/>
        <c:ser>
          <c:idx val="2"/>
          <c:order val="2"/>
          <c:tx>
            <c:strRef>
              <c:f>Feuil2!$E$3</c:f>
              <c:strCache>
                <c:ptCount val="1"/>
                <c:pt idx="0">
                  <c:v>Net impact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Feuil2!$B$4:$B$11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Feuil2!$E$4:$E$11</c:f>
              <c:numCache>
                <c:formatCode>0.00E+00</c:formatCode>
                <c:ptCount val="8"/>
                <c:pt idx="0">
                  <c:v>-216176.5307118264</c:v>
                </c:pt>
                <c:pt idx="1">
                  <c:v>-479036.53667522129</c:v>
                </c:pt>
                <c:pt idx="3">
                  <c:v>-483581.00663625158</c:v>
                </c:pt>
                <c:pt idx="4">
                  <c:v>-684134.54392147821</c:v>
                </c:pt>
                <c:pt idx="6">
                  <c:v>-483581.00663625158</c:v>
                </c:pt>
                <c:pt idx="7">
                  <c:v>-683048.02951931697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A6-49A4-A03F-0B01EE9B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386543"/>
        <c:axId val="1387086671"/>
      </c:lineChart>
      <c:catAx>
        <c:axId val="63338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7086671"/>
        <c:crosses val="autoZero"/>
        <c:auto val="1"/>
        <c:lblAlgn val="ctr"/>
        <c:lblOffset val="100"/>
        <c:noMultiLvlLbl val="0"/>
      </c:catAx>
      <c:valAx>
        <c:axId val="138708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338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Contribution du CC dans HH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Feuil2!$H$3</c:f>
              <c:strCache>
                <c:ptCount val="1"/>
                <c:pt idx="0">
                  <c:v>Climate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Feuil2!$G$4:$G$11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Feuil2!$H$4:$H$11</c:f>
              <c:numCache>
                <c:formatCode>0.00E+00</c:formatCode>
                <c:ptCount val="8"/>
                <c:pt idx="0">
                  <c:v>-5.4431501370373372</c:v>
                </c:pt>
                <c:pt idx="1">
                  <c:v>-5.9806112434967904</c:v>
                </c:pt>
                <c:pt idx="3">
                  <c:v>-4.0895060204475566</c:v>
                </c:pt>
                <c:pt idx="4">
                  <c:v>-6.9884457972084082</c:v>
                </c:pt>
                <c:pt idx="6">
                  <c:v>-4.0895060204475566</c:v>
                </c:pt>
                <c:pt idx="7">
                  <c:v>-6.9900038577294081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9-4C83-8ABB-F484B7D9587C}"/>
            </c:ext>
          </c:extLst>
        </c:ser>
        <c:ser>
          <c:idx val="1"/>
          <c:order val="1"/>
          <c:tx>
            <c:strRef>
              <c:f>Feuil2!$I$3</c:f>
              <c:strCache>
                <c:ptCount val="1"/>
                <c:pt idx="0">
                  <c:v>Other impact indicators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Feuil2!$G$4:$G$11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Feuil2!$I$4:$I$11</c:f>
              <c:numCache>
                <c:formatCode>0.00E+00</c:formatCode>
                <c:ptCount val="8"/>
                <c:pt idx="0">
                  <c:v>2.29994431206703</c:v>
                </c:pt>
                <c:pt idx="1">
                  <c:v>0.88092441684732015</c:v>
                </c:pt>
                <c:pt idx="3">
                  <c:v>0.37306072406859048</c:v>
                </c:pt>
                <c:pt idx="4">
                  <c:v>0.63665305931573202</c:v>
                </c:pt>
                <c:pt idx="6">
                  <c:v>0.37306072406859048</c:v>
                </c:pt>
                <c:pt idx="7">
                  <c:v>0.63214948940507365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9-4C83-8ABB-F484B7D9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479343"/>
        <c:axId val="1242286095"/>
      </c:barChart>
      <c:lineChart>
        <c:grouping val="standard"/>
        <c:varyColors val="0"/>
        <c:ser>
          <c:idx val="2"/>
          <c:order val="2"/>
          <c:tx>
            <c:strRef>
              <c:f>Feuil2!$J$3</c:f>
              <c:strCache>
                <c:ptCount val="1"/>
                <c:pt idx="0">
                  <c:v>Total impact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Feuil2!$G$4:$G$11</c:f>
              <c:strCache>
                <c:ptCount val="8"/>
                <c:pt idx="1">
                  <c:v>minCC</c:v>
                </c:pt>
                <c:pt idx="4">
                  <c:v>minEQ</c:v>
                </c:pt>
                <c:pt idx="7">
                  <c:v>minHH</c:v>
                </c:pt>
              </c:strCache>
            </c:strRef>
          </c:cat>
          <c:val>
            <c:numRef>
              <c:f>Feuil2!$J$4:$J$11</c:f>
              <c:numCache>
                <c:formatCode>0.00E+00</c:formatCode>
                <c:ptCount val="8"/>
                <c:pt idx="0">
                  <c:v>-3.1432058249703072</c:v>
                </c:pt>
                <c:pt idx="1">
                  <c:v>-5.0996868266494699</c:v>
                </c:pt>
                <c:pt idx="3">
                  <c:v>-3.716445296378966</c:v>
                </c:pt>
                <c:pt idx="4">
                  <c:v>-6.3517927378926764</c:v>
                </c:pt>
                <c:pt idx="6">
                  <c:v>-3.716445296378966</c:v>
                </c:pt>
                <c:pt idx="7">
                  <c:v>-6.3578543683243343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D9-4C83-8ABB-F484B7D9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479343"/>
        <c:axId val="1242286095"/>
      </c:lineChart>
      <c:catAx>
        <c:axId val="63147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2286095"/>
        <c:crosses val="autoZero"/>
        <c:auto val="1"/>
        <c:lblAlgn val="ctr"/>
        <c:lblOffset val="100"/>
        <c:noMultiLvlLbl val="0"/>
      </c:catAx>
      <c:valAx>
        <c:axId val="124228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4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179389</xdr:colOff>
      <xdr:row>12</xdr:row>
      <xdr:rowOff>125413</xdr:rowOff>
    </xdr:from>
    <xdr:to>
      <xdr:col>54</xdr:col>
      <xdr:colOff>485776</xdr:colOff>
      <xdr:row>27</xdr:row>
      <xdr:rowOff>106362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336A55-355B-49F0-A3D9-487ADE892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12</xdr:row>
      <xdr:rowOff>114300</xdr:rowOff>
    </xdr:from>
    <xdr:to>
      <xdr:col>9</xdr:col>
      <xdr:colOff>200025</xdr:colOff>
      <xdr:row>39</xdr:row>
      <xdr:rowOff>76199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F94E2B0-E0E0-42F3-BBD0-7BCC7B2EF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731837</xdr:colOff>
      <xdr:row>12</xdr:row>
      <xdr:rowOff>57150</xdr:rowOff>
    </xdr:from>
    <xdr:to>
      <xdr:col>17</xdr:col>
      <xdr:colOff>400050</xdr:colOff>
      <xdr:row>37</xdr:row>
      <xdr:rowOff>171449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4362BCB-1D8F-4541-82E4-8ADEB11EF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_dig_ss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all_dig_inv2_V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mpact_brut_2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/>
      <sheetData sheetId="1">
        <row r="2">
          <cell r="AK2" t="str">
            <v>HC</v>
          </cell>
        </row>
      </sheetData>
      <sheetData sheetId="2"/>
      <sheetData sheetId="3">
        <row r="3">
          <cell r="B3">
            <v>-405095.98916297092</v>
          </cell>
          <cell r="C3">
            <v>188919.45845114451</v>
          </cell>
          <cell r="D3">
            <v>-216176.5307118264</v>
          </cell>
          <cell r="G3">
            <v>-5.4431501370373372</v>
          </cell>
          <cell r="H3">
            <v>2.29994431206703</v>
          </cell>
          <cell r="I3">
            <v>-3.1432058249703072</v>
          </cell>
        </row>
        <row r="4">
          <cell r="B4">
            <v>-304433.56984307815</v>
          </cell>
          <cell r="C4">
            <v>-179147.4367931734</v>
          </cell>
          <cell r="D4">
            <v>-483581.00663625158</v>
          </cell>
          <cell r="G4">
            <v>-4.0895060204475566</v>
          </cell>
          <cell r="H4">
            <v>0.37306072406859048</v>
          </cell>
          <cell r="I4">
            <v>-3.716445296378966</v>
          </cell>
        </row>
        <row r="5">
          <cell r="B5">
            <v>-304433.56984307815</v>
          </cell>
          <cell r="C5">
            <v>-179147.4367931734</v>
          </cell>
          <cell r="D5">
            <v>-483581.00663625158</v>
          </cell>
          <cell r="G5">
            <v>-4.0895060204475566</v>
          </cell>
          <cell r="H5">
            <v>0.37306072406859048</v>
          </cell>
          <cell r="I5">
            <v>-3.716445296378966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L3">
            <v>-479036.53667522129</v>
          </cell>
          <cell r="AM3">
            <v>-5.0996868266494699</v>
          </cell>
          <cell r="AN3">
            <v>-34562.503224742322</v>
          </cell>
          <cell r="AO3">
            <v>0.88092441684732015</v>
          </cell>
        </row>
        <row r="4">
          <cell r="AL4">
            <v>-684134.54392147821</v>
          </cell>
          <cell r="AM4">
            <v>-6.3517927378926764</v>
          </cell>
          <cell r="AN4">
            <v>-165147.24454810651</v>
          </cell>
          <cell r="AO4">
            <v>0.63665305931573202</v>
          </cell>
        </row>
        <row r="5">
          <cell r="AL5">
            <v>-683048.02951931697</v>
          </cell>
          <cell r="AM5">
            <v>-6.3578543683243343</v>
          </cell>
          <cell r="AN5">
            <v>-163891.8494255149</v>
          </cell>
          <cell r="AO5">
            <v>0.63214948940507365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-235.87561937259079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0">
          <cell r="C50">
            <v>-83.146870437350444</v>
          </cell>
        </row>
      </sheetData>
      <sheetData sheetId="14">
        <row r="30">
          <cell r="AG30">
            <v>45.531422488575686</v>
          </cell>
          <cell r="AH30">
            <v>1.5340506341983027E-4</v>
          </cell>
        </row>
        <row r="35">
          <cell r="AG35">
            <v>20.965010453055651</v>
          </cell>
          <cell r="AH35">
            <v>2.2105407326104959E-4</v>
          </cell>
        </row>
        <row r="41">
          <cell r="AG41">
            <v>19.974080413455617</v>
          </cell>
          <cell r="AH41">
            <v>2.0742574294223382E-4</v>
          </cell>
        </row>
        <row r="70">
          <cell r="C70">
            <v>34.264521044421535</v>
          </cell>
        </row>
        <row r="76">
          <cell r="C76">
            <v>0</v>
          </cell>
        </row>
        <row r="77">
          <cell r="C77">
            <v>35.750237253277092</v>
          </cell>
        </row>
        <row r="78">
          <cell r="C78">
            <v>0</v>
          </cell>
        </row>
        <row r="79">
          <cell r="C79">
            <v>0</v>
          </cell>
        </row>
        <row r="82">
          <cell r="C82">
            <v>18.308110784151349</v>
          </cell>
        </row>
        <row r="83">
          <cell r="C83">
            <v>1.3338680131740035</v>
          </cell>
        </row>
        <row r="84">
          <cell r="C84">
            <v>3.3503467244399605</v>
          </cell>
        </row>
      </sheetData>
      <sheetData sheetId="15">
        <row r="40">
          <cell r="C40">
            <v>-233.0779380559818</v>
          </cell>
        </row>
      </sheetData>
      <sheetData sheetId="16">
        <row r="49">
          <cell r="C49">
            <v>-233.91623232648593</v>
          </cell>
        </row>
      </sheetData>
      <sheetData sheetId="17">
        <row r="83">
          <cell r="C83">
            <v>-151.29711174827199</v>
          </cell>
        </row>
      </sheetData>
      <sheetData sheetId="18"/>
      <sheetData sheetId="19"/>
      <sheetData sheetId="20"/>
      <sheetData sheetId="21">
        <row r="41">
          <cell r="C41">
            <v>-82.308576166846308</v>
          </cell>
        </row>
      </sheetData>
      <sheetData sheetId="22">
        <row r="55">
          <cell r="C55">
            <v>44.411965310455045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3">
          <cell r="D3">
            <v>0.15622311715281942</v>
          </cell>
          <cell r="E3">
            <v>1.4464434392429546E-6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F1" zoomScale="120" zoomScaleNormal="120" workbookViewId="0">
      <selection activeCell="AQ2" sqref="AQ2:AY9"/>
    </sheetView>
  </sheetViews>
  <sheetFormatPr baseColWidth="10" defaultColWidth="8.7265625" defaultRowHeight="14.5" x14ac:dyDescent="0.35"/>
  <cols>
    <col min="37" max="37" width="11.7265625" customWidth="1"/>
    <col min="38" max="38" width="13" customWidth="1"/>
    <col min="39" max="39" width="11.26953125" customWidth="1"/>
    <col min="40" max="40" width="11.54296875" customWidth="1"/>
  </cols>
  <sheetData>
    <row r="1" spans="1:52" x14ac:dyDescent="0.35">
      <c r="A1" s="2"/>
      <c r="B1" s="11"/>
      <c r="C1" s="12"/>
      <c r="D1" s="11" t="s">
        <v>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2"/>
      <c r="Z1" s="11" t="s">
        <v>1</v>
      </c>
      <c r="AA1" s="13"/>
      <c r="AB1" s="12"/>
      <c r="AC1" s="2" t="s">
        <v>2</v>
      </c>
      <c r="AD1" s="11" t="s">
        <v>3</v>
      </c>
      <c r="AE1" s="12"/>
      <c r="AF1" s="11" t="s">
        <v>4</v>
      </c>
      <c r="AG1" s="12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J3" s="3">
        <v>93.51</v>
      </c>
      <c r="AK3" s="4">
        <v>-656979.85768527805</v>
      </c>
      <c r="AL3" s="4">
        <v>-675655.61323850357</v>
      </c>
      <c r="AM3" s="4">
        <v>-6.3501085388078984</v>
      </c>
      <c r="AN3" s="4">
        <v>-157626.13047503939</v>
      </c>
      <c r="AO3" s="4">
        <v>0.6218076246817259</v>
      </c>
      <c r="AQ3" t="s">
        <v>62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0</v>
      </c>
      <c r="AX3">
        <f>AI3</f>
        <v>0</v>
      </c>
      <c r="AY3">
        <f>AJ3</f>
        <v>93.51</v>
      </c>
      <c r="AZ3">
        <f>SUM(AR3:AY3)</f>
        <v>100.01</v>
      </c>
    </row>
    <row r="4" spans="1:52" x14ac:dyDescent="0.35">
      <c r="A4" s="1">
        <v>1</v>
      </c>
      <c r="B4" t="s">
        <v>43</v>
      </c>
      <c r="C4">
        <v>0.6</v>
      </c>
      <c r="AJ4" s="3">
        <v>100</v>
      </c>
      <c r="AK4" s="4">
        <v>-643504.57746848033</v>
      </c>
      <c r="AL4" s="4">
        <v>-684134.54392147809</v>
      </c>
      <c r="AM4" s="4">
        <v>-6.3517927378926764</v>
      </c>
      <c r="AN4" s="4">
        <v>-165147.24454810651</v>
      </c>
      <c r="AO4" s="4">
        <v>0.63665305931573146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  <c r="AZ4">
        <f t="shared" ref="AZ4:AZ9" si="6">SUM(AR4:AY4)</f>
        <v>100</v>
      </c>
    </row>
    <row r="5" spans="1:52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-646893.5717235842</v>
      </c>
      <c r="AL5" s="4">
        <v>-683048.02951931686</v>
      </c>
      <c r="AM5" s="4">
        <v>-6.3578543683243343</v>
      </c>
      <c r="AN5" s="4">
        <v>-163891.8494255149</v>
      </c>
      <c r="AO5" s="4">
        <v>0.6321494894050731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  <c r="AZ5">
        <f t="shared" si="6"/>
        <v>100</v>
      </c>
    </row>
    <row r="6" spans="1:52" x14ac:dyDescent="0.35">
      <c r="A6" s="1">
        <v>3</v>
      </c>
      <c r="B6" t="s">
        <v>45</v>
      </c>
      <c r="C6">
        <v>0.6</v>
      </c>
      <c r="AJ6" s="3">
        <v>100</v>
      </c>
      <c r="AK6" s="4">
        <v>-643504.57746848057</v>
      </c>
      <c r="AL6" s="4">
        <v>-684134.54392147809</v>
      </c>
      <c r="AM6" s="4">
        <v>-6.3517927378926764</v>
      </c>
      <c r="AN6" s="4">
        <v>-165147.24454810651</v>
      </c>
      <c r="AO6" s="4">
        <v>0.63665305931573146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  <c r="AZ6">
        <f t="shared" si="6"/>
        <v>100</v>
      </c>
    </row>
    <row r="7" spans="1:52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-646893.57172358432</v>
      </c>
      <c r="AL7" s="4">
        <v>-683048.02951931686</v>
      </c>
      <c r="AM7" s="4">
        <v>-6.3578543683243343</v>
      </c>
      <c r="AN7" s="4">
        <v>-163891.8494255149</v>
      </c>
      <c r="AO7" s="4">
        <v>0.6321494894050731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  <c r="AZ7">
        <f t="shared" si="6"/>
        <v>100</v>
      </c>
    </row>
    <row r="8" spans="1:52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J8" s="3">
        <v>93.51</v>
      </c>
      <c r="AK8" s="4">
        <v>-656979.85768527805</v>
      </c>
      <c r="AL8" s="4">
        <v>-675655.61323850357</v>
      </c>
      <c r="AM8" s="4">
        <v>-6.3501085388078993</v>
      </c>
      <c r="AN8" s="4">
        <v>-157626.13047503939</v>
      </c>
      <c r="AO8" s="4">
        <v>0.6218076246817259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5"/>
        <v>0</v>
      </c>
      <c r="AY8">
        <f t="shared" si="5"/>
        <v>93.51</v>
      </c>
      <c r="AZ8">
        <f t="shared" si="6"/>
        <v>100.01</v>
      </c>
    </row>
    <row r="9" spans="1:52" x14ac:dyDescent="0.35">
      <c r="A9" s="1">
        <v>6</v>
      </c>
      <c r="B9" t="s">
        <v>48</v>
      </c>
      <c r="C9">
        <v>0.6</v>
      </c>
      <c r="I9">
        <v>1.29</v>
      </c>
      <c r="AJ9" s="3">
        <v>98.71</v>
      </c>
      <c r="AK9" s="4">
        <v>-646893.57172358432</v>
      </c>
      <c r="AL9" s="4">
        <v>-683048.02951931697</v>
      </c>
      <c r="AM9" s="4">
        <v>-6.3578543683243343</v>
      </c>
      <c r="AN9" s="4">
        <v>-163891.8494255149</v>
      </c>
      <c r="AO9" s="4">
        <v>0.63214948940507354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  <c r="AZ9">
        <f t="shared" si="6"/>
        <v>100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0726-E12E-4441-8E73-FD02F84D9D5C}">
  <dimension ref="A3:J11"/>
  <sheetViews>
    <sheetView workbookViewId="0">
      <selection activeCell="I12" sqref="I12"/>
    </sheetView>
  </sheetViews>
  <sheetFormatPr baseColWidth="10" defaultRowHeight="14.5" x14ac:dyDescent="0.35"/>
  <cols>
    <col min="3" max="3" width="14.08984375" customWidth="1"/>
  </cols>
  <sheetData>
    <row r="3" spans="1:10" x14ac:dyDescent="0.35">
      <c r="B3" t="s">
        <v>8</v>
      </c>
      <c r="C3" t="s">
        <v>65</v>
      </c>
      <c r="D3" t="s">
        <v>66</v>
      </c>
      <c r="E3" t="s">
        <v>67</v>
      </c>
      <c r="G3" t="s">
        <v>8</v>
      </c>
      <c r="H3" t="s">
        <v>65</v>
      </c>
      <c r="I3" t="s">
        <v>66</v>
      </c>
      <c r="J3" t="s">
        <v>68</v>
      </c>
    </row>
    <row r="4" spans="1:10" x14ac:dyDescent="0.35">
      <c r="A4" t="s">
        <v>64</v>
      </c>
      <c r="C4" s="4">
        <f>[1]Feuil2!B3</f>
        <v>-405095.98916297092</v>
      </c>
      <c r="D4" s="4">
        <f>[1]Feuil2!C3</f>
        <v>188919.45845114451</v>
      </c>
      <c r="E4" s="4">
        <f>[1]Feuil2!D3</f>
        <v>-216176.5307118264</v>
      </c>
      <c r="H4" s="4">
        <f>[1]Feuil2!G3</f>
        <v>-5.4431501370373372</v>
      </c>
      <c r="I4" s="4">
        <f>[1]Feuil2!H3</f>
        <v>2.29994431206703</v>
      </c>
      <c r="J4" s="4">
        <f>[1]Feuil2!I3</f>
        <v>-3.1432058249703072</v>
      </c>
    </row>
    <row r="5" spans="1:10" x14ac:dyDescent="0.35">
      <c r="A5" t="s">
        <v>63</v>
      </c>
      <c r="B5" t="s">
        <v>62</v>
      </c>
      <c r="C5" s="4">
        <f>[2]results!$AL$3-[2]results!$AN$3</f>
        <v>-444474.03345047898</v>
      </c>
      <c r="D5" s="4">
        <f>[2]results!$AN$3</f>
        <v>-34562.503224742322</v>
      </c>
      <c r="E5" s="4">
        <f>C5+D5</f>
        <v>-479036.53667522129</v>
      </c>
      <c r="G5" t="s">
        <v>62</v>
      </c>
      <c r="H5" s="4">
        <f>[2]results!$AM$3-[2]results!$AO$3</f>
        <v>-5.9806112434967904</v>
      </c>
      <c r="I5" s="4">
        <f>[2]results!$AO$3</f>
        <v>0.88092441684732015</v>
      </c>
      <c r="J5" s="4">
        <f>H5+I5</f>
        <v>-5.0996868266494699</v>
      </c>
    </row>
    <row r="6" spans="1:10" x14ac:dyDescent="0.35">
      <c r="C6" s="4"/>
      <c r="D6" s="4"/>
      <c r="E6" s="4"/>
      <c r="H6" s="4"/>
      <c r="I6" s="4"/>
      <c r="J6" s="4"/>
    </row>
    <row r="7" spans="1:10" x14ac:dyDescent="0.35">
      <c r="A7" t="s">
        <v>64</v>
      </c>
      <c r="C7" s="4">
        <f>[1]Feuil2!B4</f>
        <v>-304433.56984307815</v>
      </c>
      <c r="D7" s="4">
        <f>[1]Feuil2!C4</f>
        <v>-179147.4367931734</v>
      </c>
      <c r="E7" s="4">
        <f>[1]Feuil2!D4</f>
        <v>-483581.00663625158</v>
      </c>
      <c r="H7" s="4">
        <f>[1]Feuil2!G4</f>
        <v>-4.0895060204475566</v>
      </c>
      <c r="I7" s="4">
        <f>[1]Feuil2!H4</f>
        <v>0.37306072406859048</v>
      </c>
      <c r="J7" s="4">
        <f>[1]Feuil2!I4</f>
        <v>-3.716445296378966</v>
      </c>
    </row>
    <row r="8" spans="1:10" x14ac:dyDescent="0.35">
      <c r="A8" t="s">
        <v>63</v>
      </c>
      <c r="B8" t="s">
        <v>43</v>
      </c>
      <c r="C8" s="4">
        <f>[2]results!$AL$4-[2]results!$AN$4</f>
        <v>-518987.2993733717</v>
      </c>
      <c r="D8" s="4">
        <f>[2]results!$AN$4</f>
        <v>-165147.24454810651</v>
      </c>
      <c r="E8" s="4">
        <f>C8+D8</f>
        <v>-684134.54392147821</v>
      </c>
      <c r="G8" t="s">
        <v>43</v>
      </c>
      <c r="H8" s="4">
        <f>[2]results!$AM$4-[2]results!$AO$4</f>
        <v>-6.9884457972084082</v>
      </c>
      <c r="I8" s="4">
        <f>[2]results!$AO$4</f>
        <v>0.63665305931573202</v>
      </c>
      <c r="J8" s="4">
        <f t="shared" ref="J8:J11" si="0">H8+I8</f>
        <v>-6.3517927378926764</v>
      </c>
    </row>
    <row r="9" spans="1:10" x14ac:dyDescent="0.35">
      <c r="C9" s="4"/>
      <c r="D9" s="4"/>
      <c r="E9" s="4"/>
      <c r="H9" s="4"/>
      <c r="I9" s="4"/>
      <c r="J9" s="4"/>
    </row>
    <row r="10" spans="1:10" x14ac:dyDescent="0.35">
      <c r="A10" t="s">
        <v>64</v>
      </c>
      <c r="C10" s="4">
        <f>[1]Feuil2!B5</f>
        <v>-304433.56984307815</v>
      </c>
      <c r="D10" s="4">
        <f>[1]Feuil2!C5</f>
        <v>-179147.4367931734</v>
      </c>
      <c r="E10" s="4">
        <f>[1]Feuil2!D5</f>
        <v>-483581.00663625158</v>
      </c>
      <c r="H10" s="4">
        <f>[1]Feuil2!G5</f>
        <v>-4.0895060204475566</v>
      </c>
      <c r="I10" s="4">
        <f>[1]Feuil2!H5</f>
        <v>0.37306072406859048</v>
      </c>
      <c r="J10" s="4">
        <f>[1]Feuil2!I5</f>
        <v>-3.716445296378966</v>
      </c>
    </row>
    <row r="11" spans="1:10" x14ac:dyDescent="0.35">
      <c r="A11" t="s">
        <v>63</v>
      </c>
      <c r="B11" t="s">
        <v>44</v>
      </c>
      <c r="C11" s="4">
        <f>[2]results!$AL$5-[2]results!$AN$5</f>
        <v>-519156.18009380205</v>
      </c>
      <c r="D11" s="4">
        <f>[2]results!$AN$5</f>
        <v>-163891.8494255149</v>
      </c>
      <c r="E11" s="4">
        <f>C11+D11</f>
        <v>-683048.02951931697</v>
      </c>
      <c r="G11" t="s">
        <v>44</v>
      </c>
      <c r="H11" s="4">
        <f>[2]results!$AM$5-[2]results!$AO$5</f>
        <v>-6.9900038577294081</v>
      </c>
      <c r="I11" s="4">
        <f>[2]results!$AO$5</f>
        <v>0.63214948940507365</v>
      </c>
      <c r="J11" s="4">
        <f t="shared" si="0"/>
        <v>-6.3578543683243343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E57D-E0A9-4AB9-83EB-9CBD85369548}">
  <dimension ref="A2:I14"/>
  <sheetViews>
    <sheetView workbookViewId="0">
      <selection activeCell="C8" sqref="C8"/>
    </sheetView>
  </sheetViews>
  <sheetFormatPr baseColWidth="10" defaultRowHeight="14.5" x14ac:dyDescent="0.35"/>
  <cols>
    <col min="2" max="2" width="28.08984375" bestFit="1" customWidth="1"/>
    <col min="3" max="3" width="25.6328125" bestFit="1" customWidth="1"/>
    <col min="4" max="4" width="15.36328125" customWidth="1"/>
    <col min="6" max="6" width="19.6328125" customWidth="1"/>
    <col min="7" max="7" width="21.81640625" customWidth="1"/>
  </cols>
  <sheetData>
    <row r="2" spans="1:9" x14ac:dyDescent="0.35">
      <c r="A2" t="s">
        <v>8</v>
      </c>
      <c r="B2" t="s">
        <v>55</v>
      </c>
      <c r="C2" t="s">
        <v>56</v>
      </c>
      <c r="D2" t="s">
        <v>7</v>
      </c>
      <c r="F2" t="s">
        <v>57</v>
      </c>
      <c r="G2" t="s">
        <v>58</v>
      </c>
      <c r="H2" t="s">
        <v>59</v>
      </c>
      <c r="I2" t="s">
        <v>60</v>
      </c>
    </row>
    <row r="3" spans="1:9" x14ac:dyDescent="0.35">
      <c r="A3" t="s">
        <v>42</v>
      </c>
      <c r="B3" s="9">
        <f>91256.49+95355.32</f>
        <v>186611.81</v>
      </c>
      <c r="C3">
        <v>30974.22</v>
      </c>
      <c r="D3" s="8">
        <v>3000</v>
      </c>
      <c r="F3">
        <v>186611.81</v>
      </c>
      <c r="G3">
        <v>185060.41</v>
      </c>
      <c r="H3">
        <v>3000</v>
      </c>
      <c r="I3">
        <v>7000</v>
      </c>
    </row>
    <row r="4" spans="1:9" x14ac:dyDescent="0.35">
      <c r="A4" t="s">
        <v>43</v>
      </c>
      <c r="B4">
        <v>0</v>
      </c>
      <c r="C4">
        <v>135096.79999999999</v>
      </c>
      <c r="D4">
        <v>3208.2</v>
      </c>
    </row>
    <row r="5" spans="1:9" x14ac:dyDescent="0.35">
      <c r="A5" t="s">
        <v>44</v>
      </c>
      <c r="B5">
        <f>18092.86+133358.57</f>
        <v>151451.43</v>
      </c>
      <c r="C5">
        <v>0</v>
      </c>
      <c r="D5">
        <v>3166.9</v>
      </c>
    </row>
    <row r="6" spans="1:9" x14ac:dyDescent="0.35">
      <c r="A6" t="s">
        <v>45</v>
      </c>
      <c r="B6">
        <v>0</v>
      </c>
      <c r="C6">
        <v>135096.79999999999</v>
      </c>
      <c r="D6">
        <v>3208.2</v>
      </c>
    </row>
    <row r="7" spans="1:9" x14ac:dyDescent="0.35">
      <c r="A7" t="s">
        <v>46</v>
      </c>
      <c r="B7">
        <f>18092.86+133358.57</f>
        <v>151451.43</v>
      </c>
      <c r="C7">
        <v>0</v>
      </c>
      <c r="D7">
        <v>3166.9</v>
      </c>
    </row>
    <row r="8" spans="1:9" x14ac:dyDescent="0.35">
      <c r="A8" t="s">
        <v>47</v>
      </c>
      <c r="B8" s="10">
        <f>91256.49+95355.32</f>
        <v>186611.81</v>
      </c>
      <c r="C8">
        <v>30974.22</v>
      </c>
      <c r="D8" s="8">
        <v>3000</v>
      </c>
    </row>
    <row r="9" spans="1:9" x14ac:dyDescent="0.35">
      <c r="A9" t="s">
        <v>48</v>
      </c>
      <c r="B9">
        <f>18092.86+133358.57</f>
        <v>151451.43</v>
      </c>
      <c r="C9">
        <v>0</v>
      </c>
      <c r="D9">
        <v>3166.9</v>
      </c>
    </row>
    <row r="14" spans="1:9" x14ac:dyDescent="0.35">
      <c r="C14" s="10" t="s">
        <v>61</v>
      </c>
    </row>
  </sheetData>
  <pageMargins left="0.7" right="0.7" top="0.75" bottom="0.75" header="0.3" footer="0.3"/>
  <pageSetup paperSize="9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330E-029F-4B78-B3B7-D5E7F0183C46}">
  <dimension ref="A1:I7"/>
  <sheetViews>
    <sheetView workbookViewId="0">
      <selection activeCell="G3" sqref="G3"/>
    </sheetView>
  </sheetViews>
  <sheetFormatPr baseColWidth="10" defaultRowHeight="14.5" x14ac:dyDescent="0.35"/>
  <cols>
    <col min="1" max="1" width="17.453125" customWidth="1"/>
    <col min="2" max="2" width="23.7265625" customWidth="1"/>
    <col min="5" max="5" width="11.81640625" bestFit="1" customWidth="1"/>
    <col min="6" max="6" width="11.81640625" customWidth="1"/>
  </cols>
  <sheetData>
    <row r="1" spans="1:9" x14ac:dyDescent="0.35">
      <c r="C1" t="s">
        <v>0</v>
      </c>
      <c r="G1" t="s">
        <v>54</v>
      </c>
    </row>
    <row r="2" spans="1:9" x14ac:dyDescent="0.35">
      <c r="C2" t="s">
        <v>37</v>
      </c>
      <c r="D2" t="s">
        <v>38</v>
      </c>
      <c r="E2" t="s">
        <v>39</v>
      </c>
      <c r="G2" t="s">
        <v>37</v>
      </c>
      <c r="H2" t="s">
        <v>38</v>
      </c>
      <c r="I2" t="s">
        <v>39</v>
      </c>
    </row>
    <row r="3" spans="1:9" x14ac:dyDescent="0.35">
      <c r="A3" t="s">
        <v>69</v>
      </c>
      <c r="C3">
        <f>[3]LCIA_HC!$C$70</f>
        <v>34.264521044421535</v>
      </c>
      <c r="D3">
        <f>[3]LCIA_HC!$AG$30</f>
        <v>45.531422488575686</v>
      </c>
      <c r="E3">
        <f>[3]LCIA_HC!$AH$30</f>
        <v>1.5340506341983027E-4</v>
      </c>
    </row>
    <row r="4" spans="1:9" x14ac:dyDescent="0.35">
      <c r="A4" t="s">
        <v>70</v>
      </c>
      <c r="B4" t="s">
        <v>72</v>
      </c>
      <c r="C4" s="4">
        <f>SUM([3]LCIA_HC!$C$76:$C$79)-SUM([3]LCIA_HC!$C$82:$C$84)</f>
        <v>12.757911731511776</v>
      </c>
      <c r="D4" s="4">
        <f>[3]LCIA_HC!$AG$35-[3]LCIA_HC!$AG$41</f>
        <v>0.99093003960003401</v>
      </c>
      <c r="E4" s="4">
        <f>[3]LCIA_HC!$AH$35-[3]LCIA_HC!$AH$41</f>
        <v>1.3628330318815769E-5</v>
      </c>
      <c r="F4" s="4"/>
    </row>
    <row r="5" spans="1:9" x14ac:dyDescent="0.35">
      <c r="B5" t="s">
        <v>71</v>
      </c>
    </row>
    <row r="6" spans="1:9" x14ac:dyDescent="0.35">
      <c r="B6" t="s">
        <v>73</v>
      </c>
      <c r="C6">
        <f>20*0.6*0.189</f>
        <v>2.2679999999999998</v>
      </c>
      <c r="D6">
        <f>[4]Feuil1!$D$3*20*0.6</f>
        <v>1.8746774058338329</v>
      </c>
      <c r="E6">
        <f>[4]Feuil1!$E$3*20*0.6</f>
        <v>1.7357321270915453E-5</v>
      </c>
    </row>
    <row r="7" spans="1:9" x14ac:dyDescent="0.35">
      <c r="B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results</vt:lpstr>
      <vt:lpstr>Feuil2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2026-04-03T10:05:58Z</dcterms:modified>
</cp:coreProperties>
</file>