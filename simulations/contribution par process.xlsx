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B485FC27-C5C5-4791-9541-7037E8E719CA}" xr6:coauthVersionLast="36" xr6:coauthVersionMax="36" xr10:uidLastSave="{00000000-0000-0000-0000-000000000000}"/>
  <bookViews>
    <workbookView xWindow="0" yWindow="0" windowWidth="19200" windowHeight="6950" xr2:uid="{1BC7C774-926D-45AB-9AA8-82AE4C6921CD}"/>
  </bookViews>
  <sheets>
    <sheet name="Feuil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C7" i="1" l="1"/>
  <c r="C4" i="1"/>
  <c r="AA10" i="1"/>
  <c r="AA7" i="1"/>
  <c r="AA4" i="1"/>
  <c r="Q10" i="1"/>
  <c r="Q7" i="1"/>
  <c r="Q4" i="1"/>
  <c r="C3" i="1"/>
  <c r="H10" i="1"/>
  <c r="H7" i="1"/>
  <c r="H4" i="1"/>
  <c r="V4" i="1" l="1"/>
  <c r="V10" i="1"/>
  <c r="V7" i="1"/>
  <c r="L7" i="1"/>
  <c r="L10" i="1"/>
  <c r="L4" i="1"/>
  <c r="C10" i="1"/>
  <c r="D4" i="1"/>
  <c r="E4" i="1" s="1"/>
  <c r="D3" i="1"/>
  <c r="E3" i="1" s="1"/>
  <c r="AA9" i="1"/>
  <c r="Q9" i="1"/>
  <c r="H9" i="1"/>
  <c r="AA6" i="1"/>
  <c r="Q6" i="1"/>
  <c r="H6" i="1"/>
  <c r="AA3" i="1"/>
  <c r="Q3" i="1"/>
  <c r="H3" i="1"/>
  <c r="D7" i="1"/>
  <c r="D6" i="1"/>
  <c r="D9" i="1" s="1"/>
  <c r="V9" i="1"/>
  <c r="V6" i="1"/>
  <c r="V3" i="1"/>
  <c r="L9" i="1"/>
  <c r="L6" i="1"/>
  <c r="L3" i="1"/>
  <c r="C9" i="1"/>
  <c r="C6" i="1"/>
  <c r="E6" i="1" s="1"/>
  <c r="E9" i="1" l="1"/>
  <c r="F7" i="1"/>
  <c r="E7" i="1"/>
  <c r="F6" i="1"/>
  <c r="D10" i="1"/>
  <c r="F10" i="1" s="1"/>
  <c r="F9" i="1"/>
  <c r="F3" i="1"/>
  <c r="F4" i="1"/>
  <c r="E10" i="1" l="1"/>
  <c r="M9" i="1" l="1"/>
  <c r="M6" i="1"/>
  <c r="M3" i="1"/>
  <c r="M10" i="1"/>
  <c r="M7" i="1"/>
  <c r="M4" i="1"/>
  <c r="W9" i="1"/>
  <c r="W7" i="1"/>
  <c r="W6" i="1"/>
  <c r="W4" i="1"/>
  <c r="W3" i="1"/>
  <c r="W10" i="1"/>
  <c r="N10" i="1" l="1"/>
  <c r="O10" i="1"/>
  <c r="N3" i="1"/>
  <c r="O3" i="1"/>
  <c r="X9" i="1"/>
  <c r="Y9" i="1"/>
  <c r="N7" i="1"/>
  <c r="O7" i="1"/>
  <c r="O6" i="1"/>
  <c r="N6" i="1"/>
  <c r="X7" i="1"/>
  <c r="Y7" i="1"/>
  <c r="N4" i="1"/>
  <c r="X10" i="1"/>
  <c r="Y10" i="1"/>
  <c r="X3" i="1"/>
  <c r="Y3" i="1"/>
  <c r="X4" i="1"/>
  <c r="Y4" i="1"/>
  <c r="X6" i="1"/>
  <c r="Y6" i="1"/>
  <c r="O9" i="1"/>
  <c r="N9" i="1"/>
</calcChain>
</file>

<file path=xl/sharedStrings.xml><?xml version="1.0" encoding="utf-8"?>
<sst xmlns="http://schemas.openxmlformats.org/spreadsheetml/2006/main" count="48" uniqueCount="14">
  <si>
    <t>CC</t>
  </si>
  <si>
    <t>ss_inv</t>
  </si>
  <si>
    <t>inv</t>
  </si>
  <si>
    <t>minCC</t>
  </si>
  <si>
    <t>minEQ</t>
  </si>
  <si>
    <t>minHH</t>
  </si>
  <si>
    <t>Process</t>
  </si>
  <si>
    <t>Total</t>
  </si>
  <si>
    <t>Incineration</t>
  </si>
  <si>
    <t>Substitution</t>
  </si>
  <si>
    <t>EQ</t>
  </si>
  <si>
    <t>HH</t>
  </si>
  <si>
    <t>Transport</t>
  </si>
  <si>
    <t>Total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</si>
</sst>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CC</a:t>
            </a:r>
          </a:p>
        </c:rich>
      </c:tx>
      <c:layout>
        <c:manualLayout>
          <c:xMode val="edge"/>
          <c:yMode val="edge"/>
          <c:x val="0.33761789151356081"/>
          <c:y val="2.3346303501945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Feuil1!$E$2</c:f>
              <c:strCache>
                <c:ptCount val="1"/>
                <c:pt idx="0">
                  <c:v>Total process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Feuil1!$B$3:$B$10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Feuil1!$E$3:$E$10</c:f>
              <c:numCache>
                <c:formatCode>0.00E+00</c:formatCode>
                <c:ptCount val="8"/>
                <c:pt idx="0">
                  <c:v>493366.14681729232</c:v>
                </c:pt>
                <c:pt idx="1">
                  <c:v>541965.34798615903</c:v>
                </c:pt>
                <c:pt idx="3">
                  <c:v>418900.38543195894</c:v>
                </c:pt>
                <c:pt idx="4">
                  <c:v>355459.36071926582</c:v>
                </c:pt>
                <c:pt idx="6">
                  <c:v>418900.38543195894</c:v>
                </c:pt>
                <c:pt idx="7">
                  <c:v>353378.4107379918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8-4D3B-A172-A6849D8FAC44}"/>
            </c:ext>
          </c:extLst>
        </c:ser>
        <c:ser>
          <c:idx val="3"/>
          <c:order val="1"/>
          <c:tx>
            <c:strRef>
              <c:f>Feuil1!$F$2</c:f>
              <c:strCache>
                <c:ptCount val="1"/>
                <c:pt idx="0">
                  <c:v>Substitution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Feuil1!$B$3:$B$10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Feuil1!$F$3:$F$10</c:f>
              <c:numCache>
                <c:formatCode>0.00E+00</c:formatCode>
                <c:ptCount val="8"/>
                <c:pt idx="0">
                  <c:v>-742192.63940444961</c:v>
                </c:pt>
                <c:pt idx="1">
                  <c:v>-907406.06903514802</c:v>
                </c:pt>
                <c:pt idx="3">
                  <c:v>-394983.87715279532</c:v>
                </c:pt>
                <c:pt idx="4">
                  <c:v>-638355.48375363869</c:v>
                </c:pt>
                <c:pt idx="6">
                  <c:v>-394983.87715279532</c:v>
                </c:pt>
                <c:pt idx="7">
                  <c:v>-643330.62699404941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8-4D3B-A172-A6849D8FAC44}"/>
            </c:ext>
          </c:extLst>
        </c:ser>
        <c:ser>
          <c:idx val="4"/>
          <c:order val="2"/>
          <c:tx>
            <c:strRef>
              <c:f>Feuil1!$G$2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Feuil1!$B$3:$B$10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Feuil1!$G$3:$G$10</c:f>
              <c:numCache>
                <c:formatCode>General</c:formatCode>
                <c:ptCount val="8"/>
                <c:pt idx="0">
                  <c:v>127478.38504464801</c:v>
                </c:pt>
                <c:pt idx="1">
                  <c:v>117225.033158152</c:v>
                </c:pt>
                <c:pt idx="3">
                  <c:v>103807.956510302</c:v>
                </c:pt>
                <c:pt idx="4">
                  <c:v>127934.20251730899</c:v>
                </c:pt>
                <c:pt idx="6">
                  <c:v>103807.956510302</c:v>
                </c:pt>
                <c:pt idx="7">
                  <c:v>125093.630105358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98-4D3B-A172-A6849D8FA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724607"/>
        <c:axId val="469898703"/>
      </c:barChart>
      <c:lineChart>
        <c:grouping val="standard"/>
        <c:varyColors val="0"/>
        <c:ser>
          <c:idx val="5"/>
          <c:order val="3"/>
          <c:tx>
            <c:strRef>
              <c:f>Feuil1!$H$2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Feuil1!$B$3:$B$10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Feuil1!$H$3:$H$10</c:f>
              <c:numCache>
                <c:formatCode>0.00E+00</c:formatCode>
                <c:ptCount val="8"/>
                <c:pt idx="0">
                  <c:v>-544740.82216742123</c:v>
                </c:pt>
                <c:pt idx="1">
                  <c:v>-651101.69874275709</c:v>
                </c:pt>
                <c:pt idx="3">
                  <c:v>-248327.39276675429</c:v>
                </c:pt>
                <c:pt idx="4">
                  <c:v>-579266.27008729789</c:v>
                </c:pt>
                <c:pt idx="6">
                  <c:v>-248327.39276675429</c:v>
                </c:pt>
                <c:pt idx="7">
                  <c:v>-583481.79089703155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98-4D3B-A172-A6849D8FA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24607"/>
        <c:axId val="469898703"/>
      </c:lineChart>
      <c:catAx>
        <c:axId val="1367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9898703"/>
        <c:crosses val="autoZero"/>
        <c:auto val="1"/>
        <c:lblAlgn val="ctr"/>
        <c:lblOffset val="100"/>
        <c:noMultiLvlLbl val="0"/>
      </c:catAx>
      <c:valAx>
        <c:axId val="4698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Feuil1!$N$2</c:f>
              <c:strCache>
                <c:ptCount val="1"/>
                <c:pt idx="0">
                  <c:v>Total process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Feuil1!$K$3:$K$10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Feuil1!$N$3:$N$10</c:f>
              <c:numCache>
                <c:formatCode>0.00E+00</c:formatCode>
                <c:ptCount val="8"/>
                <c:pt idx="0">
                  <c:v>287721.49197569134</c:v>
                </c:pt>
                <c:pt idx="1">
                  <c:v>336918.36029780458</c:v>
                </c:pt>
                <c:pt idx="3">
                  <c:v>211445.34985321952</c:v>
                </c:pt>
                <c:pt idx="4">
                  <c:v>216919.58350920171</c:v>
                </c:pt>
                <c:pt idx="6">
                  <c:v>211445.34985321952</c:v>
                </c:pt>
                <c:pt idx="7">
                  <c:v>216898.60349551291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44-44D4-9395-93E85E928B0C}"/>
            </c:ext>
          </c:extLst>
        </c:ser>
        <c:ser>
          <c:idx val="3"/>
          <c:order val="1"/>
          <c:tx>
            <c:strRef>
              <c:f>Feuil1!$O$2</c:f>
              <c:strCache>
                <c:ptCount val="1"/>
                <c:pt idx="0">
                  <c:v>Substitution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Feuil1!$K$3:$K$10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Feuil1!$O$3:$O$10</c:f>
              <c:numCache>
                <c:formatCode>0.00E+00</c:formatCode>
                <c:ptCount val="8"/>
                <c:pt idx="0">
                  <c:v>-609467.41520424571</c:v>
                </c:pt>
                <c:pt idx="1">
                  <c:v>-913067.65553186717</c:v>
                </c:pt>
                <c:pt idx="3">
                  <c:v>-781031.64970779605</c:v>
                </c:pt>
                <c:pt idx="4">
                  <c:v>-1007040.1972417668</c:v>
                </c:pt>
                <c:pt idx="6">
                  <c:v>-781031.64970779605</c:v>
                </c:pt>
                <c:pt idx="7">
                  <c:v>-1003578.8973223799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44-44D4-9395-93E85E928B0C}"/>
            </c:ext>
          </c:extLst>
        </c:ser>
        <c:ser>
          <c:idx val="4"/>
          <c:order val="2"/>
          <c:tx>
            <c:strRef>
              <c:f>Feuil1!$P$2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Feuil1!$K$3:$K$10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Feuil1!$P$3:$P$10</c:f>
              <c:numCache>
                <c:formatCode>General</c:formatCode>
                <c:ptCount val="8"/>
                <c:pt idx="0">
                  <c:v>105569.392516728</c:v>
                </c:pt>
                <c:pt idx="1">
                  <c:v>97112.758558841306</c:v>
                </c:pt>
                <c:pt idx="3">
                  <c:v>86005.293218324907</c:v>
                </c:pt>
                <c:pt idx="4">
                  <c:v>105986.069811087</c:v>
                </c:pt>
                <c:pt idx="6">
                  <c:v>86005.293218324907</c:v>
                </c:pt>
                <c:pt idx="7">
                  <c:v>103632.26430754999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44-44D4-9395-93E85E928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4636351"/>
        <c:axId val="123281903"/>
      </c:barChart>
      <c:lineChart>
        <c:grouping val="standard"/>
        <c:varyColors val="0"/>
        <c:ser>
          <c:idx val="5"/>
          <c:order val="3"/>
          <c:tx>
            <c:strRef>
              <c:f>Feuil1!$Q$2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Feuil1!$K$3:$K$10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Feuil1!$Q$3:$Q$10</c:f>
              <c:numCache>
                <c:formatCode>0.00E+00</c:formatCode>
                <c:ptCount val="8"/>
                <c:pt idx="0">
                  <c:v>-216176.5307118264</c:v>
                </c:pt>
                <c:pt idx="1">
                  <c:v>-479036.53667522129</c:v>
                </c:pt>
                <c:pt idx="3">
                  <c:v>-483581.00663625158</c:v>
                </c:pt>
                <c:pt idx="4">
                  <c:v>-684134.54392147821</c:v>
                </c:pt>
                <c:pt idx="6">
                  <c:v>-483581.00663625158</c:v>
                </c:pt>
                <c:pt idx="7">
                  <c:v>-683048.02951931697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44-44D4-9395-93E85E928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636351"/>
        <c:axId val="123281903"/>
      </c:lineChart>
      <c:catAx>
        <c:axId val="13846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281903"/>
        <c:crosses val="autoZero"/>
        <c:auto val="1"/>
        <c:lblAlgn val="ctr"/>
        <c:lblOffset val="100"/>
        <c:noMultiLvlLbl val="0"/>
      </c:catAx>
      <c:valAx>
        <c:axId val="1232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6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Feuil1!$X$2</c:f>
              <c:strCache>
                <c:ptCount val="1"/>
                <c:pt idx="0">
                  <c:v>Total process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Feuil1!$U$3:$U$10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Feuil1!$X$3:$X$10</c:f>
              <c:numCache>
                <c:formatCode>0.00E+00</c:formatCode>
                <c:ptCount val="8"/>
                <c:pt idx="0">
                  <c:v>2.603210699574106</c:v>
                </c:pt>
                <c:pt idx="1">
                  <c:v>3.0982667816985217</c:v>
                </c:pt>
                <c:pt idx="3">
                  <c:v>2.4335516669812094</c:v>
                </c:pt>
                <c:pt idx="4">
                  <c:v>2.5204878693293784</c:v>
                </c:pt>
                <c:pt idx="6">
                  <c:v>2.4335516669812094</c:v>
                </c:pt>
                <c:pt idx="7">
                  <c:v>2.5068183387117622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1F-4BD2-99EA-791DBE454BA4}"/>
            </c:ext>
          </c:extLst>
        </c:ser>
        <c:ser>
          <c:idx val="3"/>
          <c:order val="1"/>
          <c:tx>
            <c:strRef>
              <c:f>Feuil1!$Y$2</c:f>
              <c:strCache>
                <c:ptCount val="1"/>
                <c:pt idx="0">
                  <c:v>Substitution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Feuil1!$U$3:$U$10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Feuil1!$Y$3:$Y$10</c:f>
              <c:numCache>
                <c:formatCode>0.00E+00</c:formatCode>
                <c:ptCount val="8"/>
                <c:pt idx="0">
                  <c:v>-6.8343600641126532</c:v>
                </c:pt>
                <c:pt idx="1">
                  <c:v>-9.2172455291788218</c:v>
                </c:pt>
                <c:pt idx="3">
                  <c:v>-7.0567998152837825</c:v>
                </c:pt>
                <c:pt idx="4">
                  <c:v>-9.985516055620554</c:v>
                </c:pt>
                <c:pt idx="6">
                  <c:v>-7.0567998152837825</c:v>
                </c:pt>
                <c:pt idx="7">
                  <c:v>-9.9528870241670369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1F-4BD2-99EA-791DBE454BA4}"/>
            </c:ext>
          </c:extLst>
        </c:ser>
        <c:ser>
          <c:idx val="4"/>
          <c:order val="2"/>
          <c:tx>
            <c:strRef>
              <c:f>Feuil1!$Z$2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Feuil1!$U$3:$U$10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Feuil1!$Z$3:$Z$10</c:f>
              <c:numCache>
                <c:formatCode>General</c:formatCode>
                <c:ptCount val="8"/>
                <c:pt idx="0">
                  <c:v>1.08794353956824</c:v>
                </c:pt>
                <c:pt idx="1">
                  <c:v>1.01929192083083</c:v>
                </c:pt>
                <c:pt idx="3" formatCode="0.00E+00">
                  <c:v>0.90680285192360699</c:v>
                </c:pt>
                <c:pt idx="4">
                  <c:v>1.1132354483985001</c:v>
                </c:pt>
                <c:pt idx="6">
                  <c:v>0.90680285192360699</c:v>
                </c:pt>
                <c:pt idx="7">
                  <c:v>1.08821431713094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1F-4BD2-99EA-791DBE454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679311"/>
        <c:axId val="670468031"/>
      </c:barChart>
      <c:lineChart>
        <c:grouping val="standard"/>
        <c:varyColors val="0"/>
        <c:ser>
          <c:idx val="5"/>
          <c:order val="3"/>
          <c:tx>
            <c:strRef>
              <c:f>Feuil1!$AA$2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Feuil1!$U$3:$U$10</c:f>
              <c:strCache>
                <c:ptCount val="7"/>
                <c:pt idx="0">
                  <c:v>minCC</c:v>
                </c:pt>
                <c:pt idx="3">
                  <c:v>minEQ</c:v>
                </c:pt>
                <c:pt idx="6">
                  <c:v>minHH</c:v>
                </c:pt>
              </c:strCache>
            </c:strRef>
          </c:cat>
          <c:val>
            <c:numRef>
              <c:f>Feuil1!$AA$3:$AA$10</c:f>
              <c:numCache>
                <c:formatCode>0.00E+00</c:formatCode>
                <c:ptCount val="8"/>
                <c:pt idx="0">
                  <c:v>-3.1432058249703072</c:v>
                </c:pt>
                <c:pt idx="1">
                  <c:v>-5.0996868266494699</c:v>
                </c:pt>
                <c:pt idx="3">
                  <c:v>-3.716445296378966</c:v>
                </c:pt>
                <c:pt idx="4">
                  <c:v>-6.3517927378926764</c:v>
                </c:pt>
                <c:pt idx="6">
                  <c:v>-3.716445296378966</c:v>
                </c:pt>
                <c:pt idx="7">
                  <c:v>-6.3578543683243343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1F-4BD2-99EA-791DBE454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679311"/>
        <c:axId val="670468031"/>
      </c:lineChart>
      <c:catAx>
        <c:axId val="38667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468031"/>
        <c:crosses val="autoZero"/>
        <c:auto val="1"/>
        <c:lblAlgn val="ctr"/>
        <c:lblOffset val="100"/>
        <c:noMultiLvlLbl val="0"/>
      </c:catAx>
      <c:valAx>
        <c:axId val="67046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667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128587</xdr:rowOff>
    </xdr:from>
    <xdr:to>
      <xdr:col>7</xdr:col>
      <xdr:colOff>569912</xdr:colOff>
      <xdr:row>31</xdr:row>
      <xdr:rowOff>53976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54BE17A-EE4B-441B-8E12-D2A3A45E2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544512</xdr:colOff>
      <xdr:row>13</xdr:row>
      <xdr:rowOff>61913</xdr:rowOff>
    </xdr:from>
    <xdr:to>
      <xdr:col>19</xdr:col>
      <xdr:colOff>620712</xdr:colOff>
      <xdr:row>35</xdr:row>
      <xdr:rowOff>131763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BBAFB86-4AA2-4D71-8860-273AA876E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554038</xdr:colOff>
      <xdr:row>15</xdr:row>
      <xdr:rowOff>161925</xdr:rowOff>
    </xdr:from>
    <xdr:to>
      <xdr:col>28</xdr:col>
      <xdr:colOff>619125</xdr:colOff>
      <xdr:row>36</xdr:row>
      <xdr:rowOff>180977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19EEE51-8109-4A19-9270-90A2D9CDF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_peat_market/all_dig_ss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_peat_market/impact_brut_2%20-%20Copi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ll_dig_inv2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 refreshError="1"/>
      <sheetData sheetId="1">
        <row r="3">
          <cell r="AD3">
            <v>-544740.82216742123</v>
          </cell>
          <cell r="AE3">
            <v>-216176.5307118264</v>
          </cell>
          <cell r="AF3">
            <v>-3.1432058249703072</v>
          </cell>
          <cell r="AX3">
            <v>14598.36355587391</v>
          </cell>
          <cell r="AY3">
            <v>18307.190713916687</v>
          </cell>
          <cell r="AZ3">
            <v>0</v>
          </cell>
          <cell r="BA3">
            <v>376242.62027969374</v>
          </cell>
          <cell r="BD3">
            <v>19398.615198578285</v>
          </cell>
          <cell r="BE3">
            <v>24968.637769751538</v>
          </cell>
          <cell r="BF3">
            <v>0</v>
          </cell>
          <cell r="BG3">
            <v>174134.9227763011</v>
          </cell>
          <cell r="BK3">
            <v>6.5358067728752731E-2</v>
          </cell>
          <cell r="BL3">
            <v>0.13734219331420006</v>
          </cell>
          <cell r="BM3">
            <v>0</v>
          </cell>
          <cell r="BN3">
            <v>1.4318302299145982</v>
          </cell>
        </row>
        <row r="4">
          <cell r="AD4">
            <v>-248327.39276675429</v>
          </cell>
          <cell r="AE4">
            <v>-483581.00663625158</v>
          </cell>
          <cell r="AF4">
            <v>-3.716445296378966</v>
          </cell>
          <cell r="AX4">
            <v>14598.36355587391</v>
          </cell>
          <cell r="AY4">
            <v>0</v>
          </cell>
          <cell r="AZ4">
            <v>320084.04960827704</v>
          </cell>
          <cell r="BA4">
            <v>0</v>
          </cell>
          <cell r="BD4">
            <v>19398.615198578285</v>
          </cell>
          <cell r="BE4">
            <v>0</v>
          </cell>
          <cell r="BF4">
            <v>122827.41842358082</v>
          </cell>
          <cell r="BG4">
            <v>0</v>
          </cell>
          <cell r="BK4">
            <v>6.5358067728752731E-2</v>
          </cell>
          <cell r="BL4">
            <v>0</v>
          </cell>
          <cell r="BM4">
            <v>1.3995133906359016</v>
          </cell>
          <cell r="BN4">
            <v>0</v>
          </cell>
        </row>
        <row r="5">
          <cell r="AD5">
            <v>-248327.39276675429</v>
          </cell>
          <cell r="AE5">
            <v>-483581.00663625158</v>
          </cell>
          <cell r="AF5">
            <v>-3.716445296378966</v>
          </cell>
          <cell r="AX5">
            <v>14598.36355587391</v>
          </cell>
          <cell r="AY5">
            <v>0</v>
          </cell>
          <cell r="AZ5">
            <v>320084.04960827704</v>
          </cell>
          <cell r="BA5">
            <v>0</v>
          </cell>
          <cell r="BD5">
            <v>19398.615198578285</v>
          </cell>
          <cell r="BE5">
            <v>0</v>
          </cell>
          <cell r="BF5">
            <v>122827.41842358082</v>
          </cell>
          <cell r="BG5">
            <v>0</v>
          </cell>
          <cell r="BK5">
            <v>6.5358067728752731E-2</v>
          </cell>
          <cell r="BL5">
            <v>0</v>
          </cell>
          <cell r="BM5">
            <v>1.3995133906359016</v>
          </cell>
          <cell r="BN5">
            <v>0</v>
          </cell>
        </row>
        <row r="12">
          <cell r="AK12">
            <v>5347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14">
          <cell r="C14">
            <v>39.3762728014812</v>
          </cell>
          <cell r="D14">
            <v>32.363622700140461</v>
          </cell>
          <cell r="E14">
            <v>4.5290827034624785E-4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-651101.69874275709</v>
          </cell>
          <cell r="AL3">
            <v>-479036.53667522129</v>
          </cell>
          <cell r="AM3">
            <v>-5.0996868266494699</v>
          </cell>
          <cell r="BM3">
            <v>7145.2833669563552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450602.09235139471</v>
          </cell>
          <cell r="BS3">
            <v>0</v>
          </cell>
          <cell r="BT3">
            <v>0</v>
          </cell>
          <cell r="BW3">
            <v>9494.804125810153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258204.23994093403</v>
          </cell>
          <cell r="CC3">
            <v>0</v>
          </cell>
          <cell r="CD3">
            <v>0</v>
          </cell>
          <cell r="CG3">
            <v>3.1990018090127463E-2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2.0975965549918389</v>
          </cell>
          <cell r="CM3">
            <v>0</v>
          </cell>
          <cell r="CN3">
            <v>0</v>
          </cell>
        </row>
        <row r="4">
          <cell r="AK4">
            <v>-579266.27008729789</v>
          </cell>
          <cell r="AL4">
            <v>-684134.54392147821</v>
          </cell>
          <cell r="AM4">
            <v>-6.3517927378926764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271241.38845145784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147700.26727814128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1.5518076607128235</v>
          </cell>
        </row>
        <row r="5">
          <cell r="AK5">
            <v>-583481.79089703155</v>
          </cell>
          <cell r="AL5">
            <v>-683048.02951931697</v>
          </cell>
          <cell r="AM5">
            <v>-6.3578543683243343</v>
          </cell>
          <cell r="BM5">
            <v>1418.0639297497999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267742.37454043399</v>
          </cell>
          <cell r="BW5">
            <v>1884.3534341992456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145794.93383025326</v>
          </cell>
          <cell r="CG5">
            <v>6.3487882055791424E-3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1.531789341889628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6E9C-5B8E-46A5-AE02-C859809DF435}">
  <dimension ref="A1:AA10"/>
  <sheetViews>
    <sheetView tabSelected="1" topLeftCell="W1" zoomScale="120" zoomScaleNormal="120" workbookViewId="0">
      <selection activeCell="AD11" sqref="AD11"/>
    </sheetView>
  </sheetViews>
  <sheetFormatPr baseColWidth="10" defaultRowHeight="14.5" x14ac:dyDescent="0.35"/>
  <cols>
    <col min="2" max="2" width="11.453125" customWidth="1"/>
    <col min="27" max="27" width="16.08984375" bestFit="1" customWidth="1"/>
  </cols>
  <sheetData>
    <row r="1" spans="1:27" x14ac:dyDescent="0.35">
      <c r="A1" t="s">
        <v>0</v>
      </c>
      <c r="J1" t="s">
        <v>10</v>
      </c>
      <c r="T1" t="s">
        <v>11</v>
      </c>
    </row>
    <row r="2" spans="1:27" x14ac:dyDescent="0.35">
      <c r="C2" t="s">
        <v>6</v>
      </c>
      <c r="D2" t="s">
        <v>8</v>
      </c>
      <c r="E2" t="s">
        <v>13</v>
      </c>
      <c r="F2" t="s">
        <v>9</v>
      </c>
      <c r="G2" t="s">
        <v>12</v>
      </c>
      <c r="H2" t="s">
        <v>7</v>
      </c>
      <c r="L2" t="s">
        <v>6</v>
      </c>
      <c r="M2" t="s">
        <v>8</v>
      </c>
      <c r="N2" t="s">
        <v>13</v>
      </c>
      <c r="O2" t="s">
        <v>9</v>
      </c>
      <c r="P2" t="s">
        <v>12</v>
      </c>
      <c r="Q2" t="s">
        <v>7</v>
      </c>
      <c r="V2" t="s">
        <v>6</v>
      </c>
      <c r="W2" t="s">
        <v>8</v>
      </c>
      <c r="X2" t="s">
        <v>13</v>
      </c>
      <c r="Y2" t="s">
        <v>9</v>
      </c>
      <c r="Z2" t="s">
        <v>12</v>
      </c>
      <c r="AA2" t="s">
        <v>7</v>
      </c>
    </row>
    <row r="3" spans="1:27" x14ac:dyDescent="0.35">
      <c r="A3" t="s">
        <v>1</v>
      </c>
      <c r="B3" t="s">
        <v>3</v>
      </c>
      <c r="C3" s="1">
        <f>SUM([1]results!$AX$3:$BA$3)</f>
        <v>409148.17454948433</v>
      </c>
      <c r="D3" s="1">
        <f>[1]results!$AK$12*0.4*[2]Feuil1!$C$14</f>
        <v>84217.972267808</v>
      </c>
      <c r="E3" s="1">
        <f>C3+D3</f>
        <v>493366.14681729232</v>
      </c>
      <c r="F3" s="1">
        <f>H3-C3+D3+G3</f>
        <v>-742192.63940444961</v>
      </c>
      <c r="G3" s="3">
        <v>127478.38504464801</v>
      </c>
      <c r="H3" s="1">
        <f>[1]results!$AD$3</f>
        <v>-544740.82216742123</v>
      </c>
      <c r="J3" t="s">
        <v>1</v>
      </c>
      <c r="K3" t="s">
        <v>3</v>
      </c>
      <c r="L3" s="1">
        <f>SUM([1]results!$BD$3:$BG$3)</f>
        <v>218502.17574463092</v>
      </c>
      <c r="M3">
        <f>[1]results!$AK$12*0.4*[2]Feuil1!$D$14</f>
        <v>69219.316231060424</v>
      </c>
      <c r="N3" s="1">
        <f>L3+M3</f>
        <v>287721.49197569134</v>
      </c>
      <c r="O3" s="1">
        <f>Q3-(L3+M3+P3)</f>
        <v>-609467.41520424571</v>
      </c>
      <c r="P3" s="3">
        <v>105569.392516728</v>
      </c>
      <c r="Q3" s="1">
        <f>[1]results!$AE$3</f>
        <v>-216176.5307118264</v>
      </c>
      <c r="T3" t="s">
        <v>1</v>
      </c>
      <c r="U3" t="s">
        <v>3</v>
      </c>
      <c r="V3" s="1">
        <f>SUM([1]results!$BK$3:$BN$3)</f>
        <v>1.6345304909575509</v>
      </c>
      <c r="W3" s="1">
        <f>[1]results!$AK$12*0.4*[2]Feuil1!$E$14</f>
        <v>0.96868020861655502</v>
      </c>
      <c r="X3" s="1">
        <f>V3+W3</f>
        <v>2.603210699574106</v>
      </c>
      <c r="Y3" s="1">
        <f>AA3-(Z3+V3+W3)</f>
        <v>-6.8343600641126532</v>
      </c>
      <c r="Z3" s="3">
        <v>1.08794353956824</v>
      </c>
      <c r="AA3" s="1">
        <f>[1]results!$AF$3</f>
        <v>-3.1432058249703072</v>
      </c>
    </row>
    <row r="4" spans="1:27" x14ac:dyDescent="0.35">
      <c r="A4" t="s">
        <v>2</v>
      </c>
      <c r="C4" s="1">
        <f>SUM([3]results!$BM$3:$BT$3)</f>
        <v>457747.37571835105</v>
      </c>
      <c r="D4" s="1">
        <f>[1]results!$AK$12*0.4*[2]Feuil1!$C$14</f>
        <v>84217.972267808</v>
      </c>
      <c r="E4" s="1">
        <f t="shared" ref="E4:E10" si="0">C4+D4</f>
        <v>541965.34798615903</v>
      </c>
      <c r="F4" s="1">
        <f t="shared" ref="F4:F10" si="1">H4-C4+D4+G4</f>
        <v>-907406.06903514802</v>
      </c>
      <c r="G4" s="3">
        <v>117225.033158152</v>
      </c>
      <c r="H4" s="1">
        <f>[3]results!$AK$3</f>
        <v>-651101.69874275709</v>
      </c>
      <c r="J4" t="s">
        <v>2</v>
      </c>
      <c r="L4" s="1">
        <f>SUM([3]results!$BW$3:$CD$3)</f>
        <v>267699.04406674416</v>
      </c>
      <c r="M4">
        <f>[1]results!$AK$12*0.4*[2]Feuil1!$D$14</f>
        <v>69219.316231060424</v>
      </c>
      <c r="N4" s="1">
        <f t="shared" ref="N4:N10" si="2">L4+M4</f>
        <v>336918.36029780458</v>
      </c>
      <c r="O4" s="1">
        <f t="shared" ref="O4:O10" si="3">Q4-(L4+M4+P4)</f>
        <v>-913067.65553186717</v>
      </c>
      <c r="P4" s="3">
        <v>97112.758558841306</v>
      </c>
      <c r="Q4" s="1">
        <f>[3]results!$AL$3</f>
        <v>-479036.53667522129</v>
      </c>
      <c r="T4" t="s">
        <v>2</v>
      </c>
      <c r="V4" s="1">
        <f>SUM([3]results!$CG$3:$CN$3)</f>
        <v>2.1295865730819665</v>
      </c>
      <c r="W4" s="1">
        <f>[1]results!$AK$12*0.4*[2]Feuil1!$E$14</f>
        <v>0.96868020861655502</v>
      </c>
      <c r="X4" s="1">
        <f t="shared" ref="X4:X10" si="4">V4+W4</f>
        <v>3.0982667816985217</v>
      </c>
      <c r="Y4" s="1">
        <f t="shared" ref="Y4:Y10" si="5">AA4-(Z4+V4+W4)</f>
        <v>-9.2172455291788218</v>
      </c>
      <c r="Z4" s="3">
        <v>1.01929192083083</v>
      </c>
      <c r="AA4" s="1">
        <f>[3]results!$AM$3</f>
        <v>-5.0996868266494699</v>
      </c>
    </row>
    <row r="5" spans="1:27" x14ac:dyDescent="0.35">
      <c r="E5" s="1"/>
      <c r="F5" s="1"/>
      <c r="N5" s="1"/>
      <c r="O5" s="1"/>
      <c r="X5" s="1"/>
      <c r="Y5" s="1"/>
    </row>
    <row r="6" spans="1:27" x14ac:dyDescent="0.35">
      <c r="A6" t="s">
        <v>1</v>
      </c>
      <c r="B6" t="s">
        <v>4</v>
      </c>
      <c r="C6" s="1">
        <f>SUM([1]results!$AX$4:$BA$4)</f>
        <v>334682.41316415096</v>
      </c>
      <c r="D6" s="1">
        <f>5347*0.4*[2]Feuil1!$C$14</f>
        <v>84217.972267808</v>
      </c>
      <c r="E6" s="1">
        <f t="shared" si="0"/>
        <v>418900.38543195894</v>
      </c>
      <c r="F6" s="1">
        <f t="shared" si="1"/>
        <v>-394983.87715279532</v>
      </c>
      <c r="G6" s="3">
        <v>103807.956510302</v>
      </c>
      <c r="H6" s="1">
        <f>[1]results!$AD$4</f>
        <v>-248327.39276675429</v>
      </c>
      <c r="J6" t="s">
        <v>1</v>
      </c>
      <c r="K6" t="s">
        <v>4</v>
      </c>
      <c r="L6" s="1">
        <f>SUM([1]results!$BD$4:$BG$4)</f>
        <v>142226.0336221591</v>
      </c>
      <c r="M6">
        <f>[1]results!$AK$12*0.4*[2]Feuil1!$D$14</f>
        <v>69219.316231060424</v>
      </c>
      <c r="N6" s="1">
        <f t="shared" si="2"/>
        <v>211445.34985321952</v>
      </c>
      <c r="O6" s="1">
        <f t="shared" si="3"/>
        <v>-781031.64970779605</v>
      </c>
      <c r="P6" s="3">
        <v>86005.293218324907</v>
      </c>
      <c r="Q6" s="1">
        <f>[1]results!$AE$4</f>
        <v>-483581.00663625158</v>
      </c>
      <c r="T6" t="s">
        <v>1</v>
      </c>
      <c r="U6" t="s">
        <v>4</v>
      </c>
      <c r="V6" s="1">
        <f>SUM([1]results!$BK$4:$BN$4)</f>
        <v>1.4648714583646543</v>
      </c>
      <c r="W6" s="1">
        <f>[1]results!$AK$12*0.4*[2]Feuil1!$E$14</f>
        <v>0.96868020861655502</v>
      </c>
      <c r="X6" s="1">
        <f t="shared" si="4"/>
        <v>2.4335516669812094</v>
      </c>
      <c r="Y6" s="1">
        <f t="shared" si="5"/>
        <v>-7.0567998152837825</v>
      </c>
      <c r="Z6" s="2">
        <v>0.90680285192360699</v>
      </c>
      <c r="AA6" s="1">
        <f>[1]results!$AF$4</f>
        <v>-3.716445296378966</v>
      </c>
    </row>
    <row r="7" spans="1:27" x14ac:dyDescent="0.35">
      <c r="A7" t="s">
        <v>2</v>
      </c>
      <c r="C7" s="1">
        <f>SUM([3]results!$BM$4:$BT$4)</f>
        <v>271241.38845145784</v>
      </c>
      <c r="D7" s="1">
        <f>5347*0.4*[2]Feuil1!$C$14</f>
        <v>84217.972267808</v>
      </c>
      <c r="E7" s="1">
        <f t="shared" si="0"/>
        <v>355459.36071926582</v>
      </c>
      <c r="F7" s="1">
        <f t="shared" si="1"/>
        <v>-638355.48375363869</v>
      </c>
      <c r="G7" s="3">
        <v>127934.20251730899</v>
      </c>
      <c r="H7" s="1">
        <f>[3]results!$AK$4</f>
        <v>-579266.27008729789</v>
      </c>
      <c r="J7" t="s">
        <v>2</v>
      </c>
      <c r="L7" s="1">
        <f>SUM([3]results!$BW$4:$CD$4)</f>
        <v>147700.26727814128</v>
      </c>
      <c r="M7">
        <f>[1]results!$AK$12*0.4*[2]Feuil1!$D$14</f>
        <v>69219.316231060424</v>
      </c>
      <c r="N7" s="1">
        <f t="shared" si="2"/>
        <v>216919.58350920171</v>
      </c>
      <c r="O7" s="1">
        <f t="shared" si="3"/>
        <v>-1007040.1972417668</v>
      </c>
      <c r="P7" s="3">
        <v>105986.069811087</v>
      </c>
      <c r="Q7" s="1">
        <f>[3]results!$AL$4</f>
        <v>-684134.54392147821</v>
      </c>
      <c r="T7" t="s">
        <v>2</v>
      </c>
      <c r="V7" s="1">
        <f>SUM([3]results!$CG$4:$CN$4)</f>
        <v>1.5518076607128235</v>
      </c>
      <c r="W7" s="1">
        <f>[1]results!$AK$12*0.4*[2]Feuil1!$E$14</f>
        <v>0.96868020861655502</v>
      </c>
      <c r="X7" s="1">
        <f t="shared" si="4"/>
        <v>2.5204878693293784</v>
      </c>
      <c r="Y7" s="1">
        <f t="shared" si="5"/>
        <v>-9.985516055620554</v>
      </c>
      <c r="Z7" s="3">
        <v>1.1132354483985001</v>
      </c>
      <c r="AA7" s="1">
        <f>[3]results!$AM$4</f>
        <v>-6.3517927378926764</v>
      </c>
    </row>
    <row r="8" spans="1:27" x14ac:dyDescent="0.35">
      <c r="E8" s="1"/>
      <c r="F8" s="1"/>
      <c r="N8" s="1"/>
      <c r="O8" s="1"/>
      <c r="X8" s="1"/>
      <c r="Y8" s="1"/>
    </row>
    <row r="9" spans="1:27" x14ac:dyDescent="0.35">
      <c r="A9" t="s">
        <v>1</v>
      </c>
      <c r="B9" t="s">
        <v>5</v>
      </c>
      <c r="C9" s="1">
        <f>SUM([1]results!$AX$5:$BA$5)</f>
        <v>334682.41316415096</v>
      </c>
      <c r="D9" s="1">
        <f>D6</f>
        <v>84217.972267808</v>
      </c>
      <c r="E9" s="1">
        <f t="shared" si="0"/>
        <v>418900.38543195894</v>
      </c>
      <c r="F9" s="1">
        <f t="shared" si="1"/>
        <v>-394983.87715279532</v>
      </c>
      <c r="G9" s="3">
        <v>103807.956510302</v>
      </c>
      <c r="H9" s="1">
        <f>[1]results!$AD$5</f>
        <v>-248327.39276675429</v>
      </c>
      <c r="J9" t="s">
        <v>1</v>
      </c>
      <c r="K9" t="s">
        <v>5</v>
      </c>
      <c r="L9" s="1">
        <f>SUM([1]results!$BD$5:$BG$5)</f>
        <v>142226.0336221591</v>
      </c>
      <c r="M9">
        <f>[1]results!$AK$12*0.4*[2]Feuil1!$D$14</f>
        <v>69219.316231060424</v>
      </c>
      <c r="N9" s="1">
        <f t="shared" si="2"/>
        <v>211445.34985321952</v>
      </c>
      <c r="O9" s="1">
        <f t="shared" si="3"/>
        <v>-781031.64970779605</v>
      </c>
      <c r="P9" s="3">
        <v>86005.293218324907</v>
      </c>
      <c r="Q9" s="1">
        <f>[1]results!$AE$5</f>
        <v>-483581.00663625158</v>
      </c>
      <c r="T9" t="s">
        <v>1</v>
      </c>
      <c r="U9" t="s">
        <v>5</v>
      </c>
      <c r="V9" s="1">
        <f>SUM([1]results!$BK$5:$BN$5)</f>
        <v>1.4648714583646543</v>
      </c>
      <c r="W9" s="1">
        <f>[1]results!$AK$12*0.4*[2]Feuil1!$E$14</f>
        <v>0.96868020861655502</v>
      </c>
      <c r="X9" s="1">
        <f t="shared" si="4"/>
        <v>2.4335516669812094</v>
      </c>
      <c r="Y9" s="1">
        <f t="shared" si="5"/>
        <v>-7.0567998152837825</v>
      </c>
      <c r="Z9" s="3">
        <v>0.90680285192360699</v>
      </c>
      <c r="AA9" s="1">
        <f>[1]results!$AF$5</f>
        <v>-3.716445296378966</v>
      </c>
    </row>
    <row r="10" spans="1:27" x14ac:dyDescent="0.35">
      <c r="A10" t="s">
        <v>2</v>
      </c>
      <c r="C10" s="1">
        <f>SUM([3]results!$BM$5:$BT$5)</f>
        <v>269160.43847018381</v>
      </c>
      <c r="D10" s="1">
        <f>D7</f>
        <v>84217.972267808</v>
      </c>
      <c r="E10" s="1">
        <f t="shared" si="0"/>
        <v>353378.4107379918</v>
      </c>
      <c r="F10" s="1">
        <f t="shared" si="1"/>
        <v>-643330.62699404941</v>
      </c>
      <c r="G10" s="3">
        <v>125093.630105358</v>
      </c>
      <c r="H10" s="1">
        <f>[3]results!$AK$5</f>
        <v>-583481.79089703155</v>
      </c>
      <c r="J10" t="s">
        <v>2</v>
      </c>
      <c r="L10" s="1">
        <f>SUM([3]results!$BW$5:$CD$5)</f>
        <v>147679.28726445249</v>
      </c>
      <c r="M10">
        <f>[1]results!$AK$12*0.4*[2]Feuil1!$D$14</f>
        <v>69219.316231060424</v>
      </c>
      <c r="N10" s="1">
        <f t="shared" si="2"/>
        <v>216898.60349551291</v>
      </c>
      <c r="O10" s="1">
        <f t="shared" si="3"/>
        <v>-1003578.8973223799</v>
      </c>
      <c r="P10" s="3">
        <v>103632.26430754999</v>
      </c>
      <c r="Q10" s="1">
        <f>[3]results!$AL$5</f>
        <v>-683048.02951931697</v>
      </c>
      <c r="T10" t="s">
        <v>2</v>
      </c>
      <c r="V10" s="1">
        <f>SUM([3]results!$CG$5:$CN$5)</f>
        <v>1.5381381300952071</v>
      </c>
      <c r="W10" s="1">
        <f>[1]results!$AK$12*0.4*[2]Feuil1!$E$14</f>
        <v>0.96868020861655502</v>
      </c>
      <c r="X10" s="1">
        <f t="shared" si="4"/>
        <v>2.5068183387117622</v>
      </c>
      <c r="Y10" s="1">
        <f t="shared" si="5"/>
        <v>-9.9528870241670369</v>
      </c>
      <c r="Z10" s="3">
        <v>1.08821431713094</v>
      </c>
      <c r="AA10" s="1">
        <f>[3]results!$AM$5</f>
        <v>-6.3578543683243343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2026-03-20T12:43:46Z</dcterms:created>
  <dcterms:modified xsi:type="dcterms:W3CDTF">2026-03-26T12:58:35Z</dcterms:modified>
</cp:coreProperties>
</file>