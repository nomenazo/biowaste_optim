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"/>
    </mc:Choice>
  </mc:AlternateContent>
  <xr:revisionPtr revIDLastSave="0" documentId="13_ncr:1_{5A451053-60A8-4889-A7A7-3CD054372172}" xr6:coauthVersionLast="36" xr6:coauthVersionMax="36" xr10:uidLastSave="{00000000-0000-0000-0000-000000000000}"/>
  <bookViews>
    <workbookView xWindow="0" yWindow="0" windowWidth="19200" windowHeight="6930" activeTab="1" xr2:uid="{BD795A54-42EA-4E68-B177-EFA19F9D6A6F}"/>
  </bookViews>
  <sheets>
    <sheet name="without_cons" sheetId="1" r:id="rId1"/>
    <sheet name="with_cons" sheetId="2" r:id="rId2"/>
  </sheets>
  <externalReferences>
    <externalReference r:id="rId3"/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C5" i="2"/>
  <c r="D5" i="2"/>
  <c r="B6" i="2"/>
  <c r="C6" i="2"/>
  <c r="D6" i="2"/>
  <c r="B7" i="2"/>
  <c r="C7" i="2"/>
  <c r="D7" i="2"/>
  <c r="B5" i="1"/>
  <c r="C5" i="1"/>
  <c r="D5" i="1"/>
  <c r="B6" i="1"/>
  <c r="C6" i="1"/>
  <c r="D6" i="1"/>
  <c r="B7" i="1"/>
  <c r="C7" i="1"/>
  <c r="D7" i="1"/>
  <c r="B2" i="2" l="1"/>
  <c r="C2" i="2"/>
  <c r="D2" i="2"/>
  <c r="B3" i="2"/>
  <c r="C3" i="2"/>
  <c r="D3" i="2"/>
  <c r="B4" i="2"/>
  <c r="C4" i="2"/>
  <c r="D4" i="2"/>
  <c r="B2" i="1" l="1"/>
  <c r="C2" i="1"/>
  <c r="D2" i="1"/>
  <c r="B3" i="1"/>
  <c r="C3" i="1"/>
  <c r="D3" i="1"/>
  <c r="B4" i="1"/>
  <c r="C4" i="1"/>
  <c r="D4" i="1"/>
</calcChain>
</file>

<file path=xl/sharedStrings.xml><?xml version="1.0" encoding="utf-8"?>
<sst xmlns="http://schemas.openxmlformats.org/spreadsheetml/2006/main" count="20" uniqueCount="10">
  <si>
    <t>Scenario</t>
  </si>
  <si>
    <t>CC (kgCO2 eq)</t>
  </si>
  <si>
    <t>HH (DALY)</t>
  </si>
  <si>
    <t>EQ (PDF.m2.yr)</t>
  </si>
  <si>
    <t>minEQ</t>
  </si>
  <si>
    <t>minHH</t>
  </si>
  <si>
    <t>minEQ_inv</t>
  </si>
  <si>
    <t>minHH_inv</t>
  </si>
  <si>
    <t>minCC</t>
  </si>
  <si>
    <t>minCC_inv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</si>
</sst>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_peat_market/sscons_ssinv_v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_peat_market/all_dig_ss_inv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s_cons_mark_tech_inv_V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ll_dig_inv2_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-648997.27223131794</v>
          </cell>
          <cell r="AE3">
            <v>-355185.37606215652</v>
          </cell>
          <cell r="AF3">
            <v>-4.4768691209916538</v>
          </cell>
        </row>
        <row r="4">
          <cell r="AD4">
            <v>-438432.76205715322</v>
          </cell>
          <cell r="AE4">
            <v>-495566.44217257423</v>
          </cell>
          <cell r="AF4">
            <v>-4.473181890515888</v>
          </cell>
        </row>
        <row r="5">
          <cell r="AD5">
            <v>-471293.39594798058</v>
          </cell>
          <cell r="AE5">
            <v>-494818.96651613677</v>
          </cell>
          <cell r="AF5">
            <v>-4.5857323896124251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Contrainte de capacité"/>
    </sheetNames>
    <sheetDataSet>
      <sheetData sheetId="0">
        <row r="3">
          <cell r="AD3">
            <v>-544740.82216742123</v>
          </cell>
          <cell r="AE3">
            <v>-216176.5307118264</v>
          </cell>
          <cell r="AF3">
            <v>-3.1432058249703072</v>
          </cell>
        </row>
        <row r="4">
          <cell r="AD4">
            <v>-248327.39276675429</v>
          </cell>
          <cell r="AE4">
            <v>-483581.00663625158</v>
          </cell>
          <cell r="AF4">
            <v>-3.716445296378966</v>
          </cell>
        </row>
        <row r="5">
          <cell r="AD5">
            <v>-248327.39276675429</v>
          </cell>
          <cell r="AE5">
            <v>-483581.00663625158</v>
          </cell>
          <cell r="AF5">
            <v>-3.716445296378966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-718486.07287387794</v>
          </cell>
          <cell r="AL3">
            <v>-494036.4148091661</v>
          </cell>
          <cell r="AM3">
            <v>-5.4497729533321912</v>
          </cell>
        </row>
        <row r="4">
          <cell r="AK4">
            <v>-579266.27008729789</v>
          </cell>
          <cell r="AL4">
            <v>-684134.54392147821</v>
          </cell>
          <cell r="AM4">
            <v>-6.3517927378926764</v>
          </cell>
        </row>
        <row r="5">
          <cell r="AK5">
            <v>-583481.79089703155</v>
          </cell>
          <cell r="AL5">
            <v>-683048.02951931697</v>
          </cell>
          <cell r="AM5">
            <v>-6.3578543683243343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-651101.69874275709</v>
          </cell>
          <cell r="AL3">
            <v>-479036.53667522129</v>
          </cell>
          <cell r="AM3">
            <v>-5.0996868266494699</v>
          </cell>
        </row>
        <row r="4">
          <cell r="AK4">
            <v>-579266.27008729789</v>
          </cell>
          <cell r="AL4">
            <v>-684134.54392147821</v>
          </cell>
          <cell r="AM4">
            <v>-6.3517927378926764</v>
          </cell>
        </row>
        <row r="5">
          <cell r="AK5">
            <v>-583481.79089703155</v>
          </cell>
          <cell r="AL5">
            <v>-683048.02951931697</v>
          </cell>
          <cell r="AM5">
            <v>-6.3578543683243343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A65C-48DF-462C-9202-534C2A273F13}">
  <dimension ref="A1:D7"/>
  <sheetViews>
    <sheetView workbookViewId="0">
      <selection activeCell="B5" sqref="B5:D7"/>
    </sheetView>
  </sheetViews>
  <sheetFormatPr baseColWidth="10" defaultRowHeight="14.5" x14ac:dyDescent="0.35"/>
  <cols>
    <col min="2" max="2" width="15.26953125" customWidth="1"/>
    <col min="3" max="3" width="17.6328125" customWidth="1"/>
    <col min="4" max="4" width="15.179687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 t="s">
        <v>8</v>
      </c>
      <c r="B2" s="1">
        <f>[1]results!AD3</f>
        <v>-648997.27223131794</v>
      </c>
      <c r="C2" s="1">
        <f>[1]results!AE3</f>
        <v>-355185.37606215652</v>
      </c>
      <c r="D2" s="1">
        <f>[1]results!AF3</f>
        <v>-4.4768691209916538</v>
      </c>
    </row>
    <row r="3" spans="1:4" x14ac:dyDescent="0.35">
      <c r="A3" t="s">
        <v>4</v>
      </c>
      <c r="B3" s="1">
        <f>[1]results!AD4</f>
        <v>-438432.76205715322</v>
      </c>
      <c r="C3" s="1">
        <f>[1]results!AE4</f>
        <v>-495566.44217257423</v>
      </c>
      <c r="D3" s="1">
        <f>[1]results!AF4</f>
        <v>-4.473181890515888</v>
      </c>
    </row>
    <row r="4" spans="1:4" x14ac:dyDescent="0.35">
      <c r="A4" t="s">
        <v>5</v>
      </c>
      <c r="B4" s="1">
        <f>[1]results!AD5</f>
        <v>-471293.39594798058</v>
      </c>
      <c r="C4" s="1">
        <f>[1]results!AE5</f>
        <v>-494818.96651613677</v>
      </c>
      <c r="D4" s="1">
        <f>[1]results!AF5</f>
        <v>-4.5857323896124251</v>
      </c>
    </row>
    <row r="5" spans="1:4" x14ac:dyDescent="0.35">
      <c r="A5" t="s">
        <v>9</v>
      </c>
      <c r="B5" s="1">
        <f>[3]results!AK3</f>
        <v>-718486.07287387794</v>
      </c>
      <c r="C5" s="1">
        <f>[3]results!AL3</f>
        <v>-494036.4148091661</v>
      </c>
      <c r="D5" s="1">
        <f>[3]results!AM3</f>
        <v>-5.4497729533321912</v>
      </c>
    </row>
    <row r="6" spans="1:4" x14ac:dyDescent="0.35">
      <c r="A6" t="s">
        <v>6</v>
      </c>
      <c r="B6" s="1">
        <f>[3]results!AK4</f>
        <v>-579266.27008729789</v>
      </c>
      <c r="C6" s="1">
        <f>[3]results!AL4</f>
        <v>-684134.54392147821</v>
      </c>
      <c r="D6" s="1">
        <f>[3]results!AM4</f>
        <v>-6.3517927378926764</v>
      </c>
    </row>
    <row r="7" spans="1:4" x14ac:dyDescent="0.35">
      <c r="A7" t="s">
        <v>7</v>
      </c>
      <c r="B7" s="1">
        <f>[3]results!AK5</f>
        <v>-583481.79089703155</v>
      </c>
      <c r="C7" s="1">
        <f>[3]results!AL5</f>
        <v>-683048.02951931697</v>
      </c>
      <c r="D7" s="1">
        <f>[3]results!AM5</f>
        <v>-6.3578543683243343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C4330-51D3-4D2E-8DA6-22CE66AAE3DC}">
  <dimension ref="A1:D7"/>
  <sheetViews>
    <sheetView tabSelected="1" workbookViewId="0">
      <selection activeCell="D26" sqref="D26"/>
    </sheetView>
  </sheetViews>
  <sheetFormatPr baseColWidth="10" defaultRowHeight="14.5" x14ac:dyDescent="0.35"/>
  <cols>
    <col min="2" max="2" width="12.81640625" bestFit="1" customWidth="1"/>
    <col min="3" max="3" width="13.6328125" bestFit="1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 t="s">
        <v>8</v>
      </c>
      <c r="B2" s="1">
        <f>[2]results!AD3</f>
        <v>-544740.82216742123</v>
      </c>
      <c r="C2" s="1">
        <f>[2]results!AE3</f>
        <v>-216176.5307118264</v>
      </c>
      <c r="D2" s="1">
        <f>[2]results!AF3</f>
        <v>-3.1432058249703072</v>
      </c>
    </row>
    <row r="3" spans="1:4" x14ac:dyDescent="0.35">
      <c r="A3" t="s">
        <v>4</v>
      </c>
      <c r="B3" s="1">
        <f>[2]results!AD4</f>
        <v>-248327.39276675429</v>
      </c>
      <c r="C3" s="1">
        <f>[2]results!AE4</f>
        <v>-483581.00663625158</v>
      </c>
      <c r="D3" s="1">
        <f>[2]results!AF4</f>
        <v>-3.716445296378966</v>
      </c>
    </row>
    <row r="4" spans="1:4" x14ac:dyDescent="0.35">
      <c r="A4" t="s">
        <v>5</v>
      </c>
      <c r="B4" s="1">
        <f>[2]results!AD5</f>
        <v>-248327.39276675429</v>
      </c>
      <c r="C4" s="1">
        <f>[2]results!AE5</f>
        <v>-483581.00663625158</v>
      </c>
      <c r="D4" s="1">
        <f>[2]results!AF5</f>
        <v>-3.716445296378966</v>
      </c>
    </row>
    <row r="5" spans="1:4" x14ac:dyDescent="0.35">
      <c r="A5" t="s">
        <v>9</v>
      </c>
      <c r="B5" s="1">
        <f>[4]results!AK3</f>
        <v>-651101.69874275709</v>
      </c>
      <c r="C5" s="1">
        <f>[4]results!AL3</f>
        <v>-479036.53667522129</v>
      </c>
      <c r="D5" s="1">
        <f>[4]results!AM3</f>
        <v>-5.0996868266494699</v>
      </c>
    </row>
    <row r="6" spans="1:4" x14ac:dyDescent="0.35">
      <c r="A6" t="s">
        <v>6</v>
      </c>
      <c r="B6" s="1">
        <f>[4]results!AK4</f>
        <v>-579266.27008729789</v>
      </c>
      <c r="C6" s="1">
        <f>[4]results!AL4</f>
        <v>-684134.54392147821</v>
      </c>
      <c r="D6" s="1">
        <f>[4]results!AM4</f>
        <v>-6.3517927378926764</v>
      </c>
    </row>
    <row r="7" spans="1:4" x14ac:dyDescent="0.35">
      <c r="A7" t="s">
        <v>7</v>
      </c>
      <c r="B7" s="1">
        <f>[4]results!AK5</f>
        <v>-583481.79089703155</v>
      </c>
      <c r="C7" s="1">
        <f>[4]results!AL5</f>
        <v>-683048.02951931697</v>
      </c>
      <c r="D7" s="1">
        <f>[4]results!AM5</f>
        <v>-6.3578543683243343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without_cons</vt:lpstr>
      <vt:lpstr>with_cons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2026-03-12T13:13:30Z</dcterms:created>
  <dcterms:modified xsi:type="dcterms:W3CDTF">2026-03-19T15:32:36Z</dcterms:modified>
</cp:coreProperties>
</file>