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_peat_HC\"/>
    </mc:Choice>
  </mc:AlternateContent>
  <xr:revisionPtr revIDLastSave="0" documentId="13_ncr:1_{56BEA05A-62F7-4AEF-9D99-40984E57FF11}" xr6:coauthVersionLast="36" xr6:coauthVersionMax="36" xr10:uidLastSave="{00000000-0000-0000-0000-000000000000}"/>
  <bookViews>
    <workbookView xWindow="0" yWindow="0" windowWidth="12770" windowHeight="224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9" i="1" l="1"/>
  <c r="AM9" i="1"/>
  <c r="AL9" i="1"/>
  <c r="AK9" i="1"/>
  <c r="AO9" i="1" s="1"/>
  <c r="AN8" i="1"/>
  <c r="AM8" i="1"/>
  <c r="AL8" i="1"/>
  <c r="AK8" i="1"/>
  <c r="AO8" i="1" s="1"/>
  <c r="AN7" i="1"/>
  <c r="AM7" i="1"/>
  <c r="AL7" i="1"/>
  <c r="AK7" i="1"/>
  <c r="AO7" i="1" s="1"/>
  <c r="AO6" i="1"/>
  <c r="AN6" i="1"/>
  <c r="AM6" i="1"/>
  <c r="AL6" i="1"/>
  <c r="AK6" i="1"/>
  <c r="AN5" i="1"/>
  <c r="AM5" i="1"/>
  <c r="AL5" i="1"/>
  <c r="AO5" i="1" s="1"/>
  <c r="AK5" i="1"/>
  <c r="AN4" i="1"/>
  <c r="AM4" i="1"/>
  <c r="AL4" i="1"/>
  <c r="AK4" i="1"/>
  <c r="AO4" i="1" s="1"/>
  <c r="AN3" i="1"/>
  <c r="AM3" i="1"/>
  <c r="AL3" i="1"/>
  <c r="AK3" i="1"/>
  <c r="AO3" i="1" s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<sst xmlns="http://schemas.openxmlformats.org/spreadsheetml/2006/main" count="56" uniqueCount="46">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</sst>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AB1" workbookViewId="0">
      <selection activeCell="AK17" sqref="AK17"/>
    </sheetView>
  </sheetViews>
  <sheetFormatPr baseColWidth="10" defaultColWidth="8.7265625" defaultRowHeight="14.5" x14ac:dyDescent="0.35"/>
  <sheetData>
    <row r="1" spans="1:4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8" t="s">
        <v>3</v>
      </c>
      <c r="AD1" s="9"/>
      <c r="AE1" s="9"/>
      <c r="AF1" s="9"/>
      <c r="AG1" s="9"/>
      <c r="AH1" s="10"/>
    </row>
    <row r="2" spans="1:41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1" x14ac:dyDescent="0.35">
      <c r="A3" s="1">
        <v>0</v>
      </c>
      <c r="B3" t="s">
        <v>37</v>
      </c>
      <c r="C3">
        <v>0.6</v>
      </c>
      <c r="AB3" s="3">
        <v>22.07</v>
      </c>
      <c r="AC3" s="3">
        <v>77.930000000000007</v>
      </c>
      <c r="AD3" s="4">
        <v>-469330.6388984978</v>
      </c>
      <c r="AE3" s="4">
        <v>-259204.762700864</v>
      </c>
      <c r="AF3" s="4">
        <v>-3.058018808051294</v>
      </c>
      <c r="AG3" s="4">
        <v>143944.3688782017</v>
      </c>
      <c r="AH3" s="4">
        <v>2.371416490173218</v>
      </c>
      <c r="AJ3" t="s">
        <v>37</v>
      </c>
      <c r="AK3">
        <f>SUM(D3:Y3)</f>
        <v>0</v>
      </c>
      <c r="AL3">
        <f>SUM(Z3:AA3)</f>
        <v>0</v>
      </c>
      <c r="AM3">
        <f>AB3</f>
        <v>22.07</v>
      </c>
      <c r="AN3">
        <f>AC3</f>
        <v>77.930000000000007</v>
      </c>
      <c r="AO3">
        <f>SUM(AK3:AN3)</f>
        <v>100</v>
      </c>
    </row>
    <row r="4" spans="1:41" x14ac:dyDescent="0.35">
      <c r="A4" s="1">
        <v>1</v>
      </c>
      <c r="B4" t="s">
        <v>38</v>
      </c>
      <c r="C4">
        <v>0.6</v>
      </c>
      <c r="AB4" s="3">
        <v>93.51</v>
      </c>
      <c r="AC4" s="3">
        <v>6.49</v>
      </c>
      <c r="AD4" s="4">
        <v>-152274.74178398619</v>
      </c>
      <c r="AE4" s="4">
        <v>-434379.63232827722</v>
      </c>
      <c r="AF4" s="4">
        <v>-3.0865549116479789</v>
      </c>
      <c r="AG4" s="4">
        <v>-165710.99591940609</v>
      </c>
      <c r="AH4" s="4">
        <v>0.53049059778102325</v>
      </c>
      <c r="AJ4" t="s">
        <v>38</v>
      </c>
      <c r="AK4">
        <f t="shared" ref="AK4:AK9" si="0">SUM(D4:Y4)</f>
        <v>0</v>
      </c>
      <c r="AL4">
        <f t="shared" ref="AL4:AL9" si="1">SUM(Z4:AA4)</f>
        <v>0</v>
      </c>
      <c r="AM4">
        <f t="shared" ref="AM4:AN9" si="2">AB4</f>
        <v>93.51</v>
      </c>
      <c r="AN4">
        <f t="shared" si="2"/>
        <v>6.49</v>
      </c>
      <c r="AO4">
        <f t="shared" ref="AO4:AO9" si="3">SUM(AK4:AN4)</f>
        <v>100</v>
      </c>
    </row>
    <row r="5" spans="1:41" x14ac:dyDescent="0.35">
      <c r="A5" s="1">
        <v>2</v>
      </c>
      <c r="B5" t="s">
        <v>39</v>
      </c>
      <c r="C5">
        <v>0.6</v>
      </c>
      <c r="AB5" s="3">
        <v>87.36</v>
      </c>
      <c r="AC5" s="3">
        <v>12.64</v>
      </c>
      <c r="AD5" s="4">
        <v>-180191.32311227391</v>
      </c>
      <c r="AE5" s="4">
        <v>-419793.41956676048</v>
      </c>
      <c r="AF5" s="4">
        <v>-3.0887463668770909</v>
      </c>
      <c r="AG5" s="4">
        <v>-139241.93409240161</v>
      </c>
      <c r="AH5" s="4">
        <v>0.68844396000360453</v>
      </c>
      <c r="AJ5" t="s">
        <v>39</v>
      </c>
      <c r="AK5">
        <f t="shared" si="0"/>
        <v>0</v>
      </c>
      <c r="AL5">
        <f t="shared" si="1"/>
        <v>0</v>
      </c>
      <c r="AM5">
        <f t="shared" si="2"/>
        <v>87.36</v>
      </c>
      <c r="AN5">
        <f t="shared" si="2"/>
        <v>12.64</v>
      </c>
      <c r="AO5">
        <f t="shared" si="3"/>
        <v>100</v>
      </c>
    </row>
    <row r="6" spans="1:41" x14ac:dyDescent="0.35">
      <c r="A6" s="1">
        <v>3</v>
      </c>
      <c r="B6" t="s">
        <v>40</v>
      </c>
      <c r="C6">
        <v>0.6</v>
      </c>
      <c r="AB6" s="3">
        <v>93.51</v>
      </c>
      <c r="AC6" s="3">
        <v>6.49</v>
      </c>
      <c r="AD6" s="4">
        <v>-152274.74178398619</v>
      </c>
      <c r="AE6" s="4">
        <v>-434379.63232827728</v>
      </c>
      <c r="AF6" s="4">
        <v>-3.0865549116479798</v>
      </c>
      <c r="AG6" s="4">
        <v>-165710.99591940609</v>
      </c>
      <c r="AH6" s="4">
        <v>0.53049059778102337</v>
      </c>
      <c r="AJ6" t="s">
        <v>40</v>
      </c>
      <c r="AK6">
        <f t="shared" si="0"/>
        <v>0</v>
      </c>
      <c r="AL6">
        <f t="shared" si="1"/>
        <v>0</v>
      </c>
      <c r="AM6">
        <f t="shared" si="2"/>
        <v>93.51</v>
      </c>
      <c r="AN6">
        <f t="shared" si="2"/>
        <v>6.49</v>
      </c>
      <c r="AO6">
        <f t="shared" si="3"/>
        <v>100</v>
      </c>
    </row>
    <row r="7" spans="1:41" x14ac:dyDescent="0.35">
      <c r="A7" s="1">
        <v>4</v>
      </c>
      <c r="B7" t="s">
        <v>41</v>
      </c>
      <c r="C7">
        <v>0.6</v>
      </c>
      <c r="AB7" s="3">
        <v>93.51</v>
      </c>
      <c r="AC7" s="3">
        <v>6.49</v>
      </c>
      <c r="AD7" s="4">
        <v>-152274.74178398619</v>
      </c>
      <c r="AE7" s="4">
        <v>-434379.63232827722</v>
      </c>
      <c r="AF7" s="4">
        <v>-3.0865549116479789</v>
      </c>
      <c r="AG7" s="4">
        <v>-165710.99591940609</v>
      </c>
      <c r="AH7" s="4">
        <v>0.53049059778102325</v>
      </c>
      <c r="AJ7" t="s">
        <v>41</v>
      </c>
      <c r="AK7">
        <f t="shared" si="0"/>
        <v>0</v>
      </c>
      <c r="AL7">
        <f t="shared" si="1"/>
        <v>0</v>
      </c>
      <c r="AM7">
        <f t="shared" si="2"/>
        <v>93.51</v>
      </c>
      <c r="AN7">
        <f t="shared" si="2"/>
        <v>6.49</v>
      </c>
      <c r="AO7">
        <f t="shared" si="3"/>
        <v>100</v>
      </c>
    </row>
    <row r="8" spans="1:41" x14ac:dyDescent="0.35">
      <c r="A8" s="1">
        <v>5</v>
      </c>
      <c r="B8" t="s">
        <v>42</v>
      </c>
      <c r="C8">
        <v>0.6</v>
      </c>
      <c r="AB8" s="3">
        <v>93.51</v>
      </c>
      <c r="AC8" s="3">
        <v>6.49</v>
      </c>
      <c r="AD8" s="4">
        <v>-152274.7415890776</v>
      </c>
      <c r="AE8" s="4">
        <v>-434379.63224709983</v>
      </c>
      <c r="AF8" s="4">
        <v>-3.0865549104355021</v>
      </c>
      <c r="AG8" s="4">
        <v>-165710.9959836402</v>
      </c>
      <c r="AH8" s="4">
        <v>0.53049059703379353</v>
      </c>
      <c r="AJ8" t="s">
        <v>42</v>
      </c>
      <c r="AK8">
        <f t="shared" si="0"/>
        <v>0</v>
      </c>
      <c r="AL8">
        <f t="shared" si="1"/>
        <v>0</v>
      </c>
      <c r="AM8">
        <f t="shared" si="2"/>
        <v>93.51</v>
      </c>
      <c r="AN8">
        <f t="shared" si="2"/>
        <v>6.49</v>
      </c>
      <c r="AO8">
        <f t="shared" si="3"/>
        <v>100</v>
      </c>
    </row>
    <row r="9" spans="1:41" x14ac:dyDescent="0.35">
      <c r="A9" s="1">
        <v>6</v>
      </c>
      <c r="B9" t="s">
        <v>43</v>
      </c>
      <c r="C9">
        <v>0.6</v>
      </c>
      <c r="D9" s="3">
        <v>0.37</v>
      </c>
      <c r="E9">
        <v>2.52</v>
      </c>
      <c r="I9">
        <v>1.29</v>
      </c>
      <c r="X9">
        <v>2.3199999999999998</v>
      </c>
      <c r="AB9" s="3">
        <v>93.51</v>
      </c>
      <c r="AD9" s="4">
        <v>-117971.8673677115</v>
      </c>
      <c r="AE9" s="4">
        <v>-419682.9362887512</v>
      </c>
      <c r="AF9" s="4">
        <v>-2.9229404979291189</v>
      </c>
      <c r="AG9" s="4">
        <v>-175080.50192566341</v>
      </c>
      <c r="AH9" s="4">
        <v>0.36976557423345469</v>
      </c>
      <c r="AJ9" t="s">
        <v>43</v>
      </c>
      <c r="AK9">
        <f t="shared" si="0"/>
        <v>6.5</v>
      </c>
      <c r="AL9">
        <f t="shared" si="1"/>
        <v>0</v>
      </c>
      <c r="AM9">
        <f t="shared" si="2"/>
        <v>93.51</v>
      </c>
      <c r="AN9">
        <f t="shared" si="2"/>
        <v>0</v>
      </c>
      <c r="AO9">
        <f t="shared" si="3"/>
        <v>100.01</v>
      </c>
    </row>
  </sheetData>
  <mergeCells count="3">
    <mergeCell ref="B1:C1"/>
    <mergeCell ref="D1:Y1"/>
    <mergeCell ref="Z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2026-02-20T09:59:06Z</dcterms:created>
  <dcterms:modified xsi:type="dcterms:W3CDTF">2026-02-20T12:34:50Z</dcterms:modified>
</cp:coreProperties>
</file>