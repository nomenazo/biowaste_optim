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_peat_HC\"/>
    </mc:Choice>
  </mc:AlternateContent>
  <xr:revisionPtr revIDLastSave="0" documentId="13_ncr:1_{92FD3618-91E1-4A4D-8280-0B70C68F2C05}" xr6:coauthVersionLast="36" xr6:coauthVersionMax="36" xr10:uidLastSave="{00000000-0000-0000-0000-000000000000}"/>
  <bookViews>
    <workbookView xWindow="0" yWindow="0" windowWidth="19200" windowHeight="6640" xr2:uid="{9F4004D4-A1D9-4A72-950D-807AD9ECE5A0}"/>
  </bookViews>
  <sheets>
    <sheet name="Feuil1" sheetId="1" r:id="rId1"/>
    <sheet name="Feuil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F6" i="1"/>
  <c r="E6" i="1"/>
  <c r="D6" i="1"/>
  <c r="C6" i="1"/>
  <c r="G13" i="1" l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E13" i="1" l="1"/>
  <c r="D13" i="1"/>
  <c r="C13" i="1"/>
  <c r="E12" i="1"/>
  <c r="D12" i="1"/>
  <c r="C12" i="1"/>
  <c r="E11" i="1" l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G3" i="1" l="1"/>
  <c r="F3" i="1"/>
  <c r="G26" i="1" l="1"/>
  <c r="F26" i="1"/>
  <c r="F16" i="1"/>
  <c r="F18" i="1" s="1"/>
  <c r="G16" i="1"/>
  <c r="G18" i="1" s="1"/>
  <c r="G14" i="1"/>
  <c r="F14" i="1"/>
  <c r="C14" i="1"/>
  <c r="G4" i="1" l="1"/>
  <c r="F4" i="1"/>
  <c r="C3" i="1" l="1"/>
  <c r="C16" i="1" s="1"/>
  <c r="C18" i="1" s="1"/>
  <c r="E14" i="1" l="1"/>
  <c r="D14" i="1"/>
  <c r="E3" i="1"/>
  <c r="D3" i="1"/>
  <c r="D16" i="1" l="1"/>
  <c r="D18" i="1" s="1"/>
  <c r="E16" i="1"/>
  <c r="E18" i="1" s="1"/>
  <c r="C32" i="1" l="1"/>
  <c r="C31" i="1"/>
  <c r="C29" i="1"/>
  <c r="C28" i="1"/>
  <c r="C27" i="1"/>
  <c r="C26" i="1"/>
  <c r="C25" i="1"/>
  <c r="C24" i="1"/>
  <c r="C23" i="1"/>
</calcChain>
</file>

<file path=xl/sharedStrings.xml><?xml version="1.0" encoding="utf-8"?>
<sst xmlns="http://schemas.openxmlformats.org/spreadsheetml/2006/main" count="86" uniqueCount="51">
  <si>
    <t>Process</t>
  </si>
  <si>
    <t>Unit reference</t>
  </si>
  <si>
    <t>Carbon</t>
  </si>
  <si>
    <t>tkm</t>
  </si>
  <si>
    <t>Waste transport, truck</t>
  </si>
  <si>
    <t>Treatment technologies</t>
  </si>
  <si>
    <t>AD-a</t>
  </si>
  <si>
    <t>AD-b</t>
  </si>
  <si>
    <t>HC</t>
  </si>
  <si>
    <t>IC</t>
  </si>
  <si>
    <t>Transport of coproduct</t>
  </si>
  <si>
    <t>t of waste</t>
  </si>
  <si>
    <t>MJ.km</t>
  </si>
  <si>
    <t>kWh.km</t>
  </si>
  <si>
    <t>Conventional products</t>
  </si>
  <si>
    <t>MJ</t>
  </si>
  <si>
    <t>kWh</t>
  </si>
  <si>
    <t>Net impact of coproduct use</t>
  </si>
  <si>
    <t>kgCO2</t>
  </si>
  <si>
    <t>Comp</t>
  </si>
  <si>
    <t>Dig</t>
  </si>
  <si>
    <t>Heat</t>
  </si>
  <si>
    <t>Elect</t>
  </si>
  <si>
    <t>AD-c</t>
  </si>
  <si>
    <t>Biomet</t>
  </si>
  <si>
    <t>Gas</t>
  </si>
  <si>
    <t>Home Composting</t>
  </si>
  <si>
    <t>Industrial Composting</t>
  </si>
  <si>
    <t>AD+CHP+Composting</t>
  </si>
  <si>
    <t>AD+CHP+Digestate</t>
  </si>
  <si>
    <t>AD+Injection+Digestate</t>
  </si>
  <si>
    <t>m3</t>
  </si>
  <si>
    <t>m3.km</t>
  </si>
  <si>
    <t>Waste collection</t>
  </si>
  <si>
    <t>Comp_dec</t>
  </si>
  <si>
    <t>N-fertilizer</t>
  </si>
  <si>
    <t>P-fertilizer</t>
  </si>
  <si>
    <t>K-fertilizer</t>
  </si>
  <si>
    <t>Peat</t>
  </si>
  <si>
    <t>kg</t>
  </si>
  <si>
    <t>t/t of waste</t>
  </si>
  <si>
    <t>AD-d</t>
  </si>
  <si>
    <t>AD-e</t>
  </si>
  <si>
    <t>AD-f</t>
  </si>
  <si>
    <t>Inc</t>
  </si>
  <si>
    <t>PDF.m2.yr</t>
  </si>
  <si>
    <t>DALY</t>
  </si>
  <si>
    <t>HH</t>
  </si>
  <si>
    <t>EQssC</t>
  </si>
  <si>
    <t>HHssC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</si>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</sst>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LCA_tech_para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LCA_Carb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ecoinvent_process/municipal_waste_collection_service_by_21_metric_ton_lorry___Cutoff__U___RoW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-peat-ind/LCA_peat_cor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-peat-ind/LCA_Carb_peat_cor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-HC/LCA_HC_correc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-HC/LCA_Carb_HC_corr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102">
          <cell r="AG102">
            <v>-268.34014085734225</v>
          </cell>
        </row>
      </sheetData>
      <sheetData sheetId="1">
        <row r="4">
          <cell r="AG4">
            <v>3.2363622700140461E-2</v>
          </cell>
          <cell r="AH4">
            <v>4.5290827034624787E-7</v>
          </cell>
        </row>
        <row r="5">
          <cell r="AG5">
            <v>0.15622311715281942</v>
          </cell>
          <cell r="AH5">
            <v>1.4464434392429546E-6</v>
          </cell>
        </row>
      </sheetData>
      <sheetData sheetId="2">
        <row r="42">
          <cell r="E42">
            <v>3876.4660709036466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99">
          <cell r="AG99">
            <v>-201.83380910205278</v>
          </cell>
        </row>
      </sheetData>
      <sheetData sheetId="14">
        <row r="46">
          <cell r="AG46">
            <v>-209.55449775755659</v>
          </cell>
        </row>
      </sheetData>
      <sheetData sheetId="15">
        <row r="80">
          <cell r="AG80">
            <v>-195.86519901883881</v>
          </cell>
        </row>
      </sheetData>
      <sheetData sheetId="16">
        <row r="98">
          <cell r="AG98">
            <v>-202.80044861589312</v>
          </cell>
        </row>
      </sheetData>
      <sheetData sheetId="17">
        <row r="83">
          <cell r="AG83">
            <v>-261.40489126028797</v>
          </cell>
        </row>
      </sheetData>
      <sheetData sheetId="18"/>
      <sheetData sheetId="19"/>
      <sheetData sheetId="20">
        <row r="4">
          <cell r="C4">
            <v>0.189012950359117</v>
          </cell>
        </row>
      </sheetData>
      <sheetData sheetId="21">
        <row r="81">
          <cell r="AG81">
            <v>-194.89855950499845</v>
          </cell>
        </row>
      </sheetData>
      <sheetData sheetId="22">
        <row r="84">
          <cell r="AG84">
            <v>-140.00263317406106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HC"/>
      <sheetName val="LCI_AD-a"/>
      <sheetName val="LCI_AD-c"/>
      <sheetName val="LCI_AD-b"/>
      <sheetName val="LCIA_HC"/>
      <sheetName val="LCIA_AD-b"/>
      <sheetName val="LCIA_AD-c"/>
      <sheetName val="LCIA_AD-d"/>
      <sheetName val="LCIA_AD-e"/>
      <sheetName val="Figures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4">
          <cell r="AC4">
            <v>1.5113032530720022E-2</v>
          </cell>
          <cell r="AD4">
            <v>2.2042254192680735E-7</v>
          </cell>
        </row>
        <row r="5">
          <cell r="AC5">
            <v>6.3010311670069097E-2</v>
          </cell>
          <cell r="AD5">
            <v>1.9021702798128903E-7</v>
          </cell>
        </row>
        <row r="31">
          <cell r="AC31">
            <v>8.2740684822632665E-3</v>
          </cell>
          <cell r="AD31">
            <v>4.4209285281899682E-8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 setup"/>
      <sheetName val="Inventory"/>
      <sheetName val="Impacts"/>
      <sheetName val="Direct inventory contributions"/>
      <sheetName val="Direct impact contributions"/>
    </sheetNames>
    <sheetDataSet>
      <sheetData sheetId="0" refreshError="1"/>
      <sheetData sheetId="1" refreshError="1"/>
      <sheetData sheetId="2">
        <row r="33">
          <cell r="F33">
            <v>0.45667050096514972</v>
          </cell>
        </row>
        <row r="34">
          <cell r="F34">
            <v>2.997916574982404E-6</v>
          </cell>
        </row>
      </sheetData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51">
          <cell r="C51">
            <v>-235.87561937259079</v>
          </cell>
        </row>
        <row r="102">
          <cell r="AG102">
            <v>-246.14364681685521</v>
          </cell>
          <cell r="AH102">
            <v>-2.4087889296042645E-3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50">
          <cell r="C50">
            <v>-83.146870437350444</v>
          </cell>
        </row>
        <row r="99">
          <cell r="AG99">
            <v>-179.63731506156569</v>
          </cell>
          <cell r="AH99">
            <v>-1.457745505945845E-3</v>
          </cell>
        </row>
      </sheetData>
      <sheetData sheetId="14" refreshError="1"/>
      <sheetData sheetId="15">
        <row r="40">
          <cell r="C40">
            <v>-233.0779380559818</v>
          </cell>
        </row>
        <row r="80">
          <cell r="AG80">
            <v>-112.77908949552042</v>
          </cell>
          <cell r="AH80">
            <v>-1.5339684382088524E-3</v>
          </cell>
        </row>
      </sheetData>
      <sheetData sheetId="16">
        <row r="49">
          <cell r="C49">
            <v>-233.91623232648593</v>
          </cell>
        </row>
        <row r="98">
          <cell r="AG98">
            <v>-180.60395457540608</v>
          </cell>
          <cell r="AH98">
            <v>-1.9919816898981229E-3</v>
          </cell>
        </row>
      </sheetData>
      <sheetData sheetId="17">
        <row r="83">
          <cell r="C83">
            <v>-151.29711174827199</v>
          </cell>
          <cell r="AG83">
            <v>-178.31878173696958</v>
          </cell>
          <cell r="AH83">
            <v>-1.950775677914994E-3</v>
          </cell>
        </row>
      </sheetData>
      <sheetData sheetId="18" refreshError="1"/>
      <sheetData sheetId="19" refreshError="1"/>
      <sheetData sheetId="20" refreshError="1"/>
      <sheetData sheetId="21">
        <row r="41">
          <cell r="C41">
            <v>-82.308576166846308</v>
          </cell>
        </row>
        <row r="81">
          <cell r="AG81">
            <v>-111.81244998168006</v>
          </cell>
          <cell r="AH81">
            <v>-9.9973225425657448E-4</v>
          </cell>
        </row>
      </sheetData>
      <sheetData sheetId="22">
        <row r="55">
          <cell r="C55">
            <v>44.411965310455045</v>
          </cell>
        </row>
        <row r="84">
          <cell r="AG84">
            <v>69.145236307764407</v>
          </cell>
          <cell r="AH84">
            <v>2.7127459225239476E-4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HC"/>
      <sheetName val="LCI_AD-a"/>
      <sheetName val="LCI_AD-c"/>
      <sheetName val="LCI_AD-b"/>
      <sheetName val="LCIA_HC"/>
      <sheetName val="LCIA_AD-b"/>
      <sheetName val="LCIA_AD-c"/>
      <sheetName val="LCIA_AD-d"/>
      <sheetName val="LCIA_AD-e"/>
      <sheetName val="Figures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102">
          <cell r="AG102">
            <v>-69.344039327523348</v>
          </cell>
          <cell r="AH102">
            <v>-2.6065538915760408E-5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9">
          <cell r="AG99">
            <v>-79.632739323069075</v>
          </cell>
          <cell r="AH99">
            <v>-1.0998667101415476E-4</v>
          </cell>
        </row>
      </sheetData>
      <sheetData sheetId="15">
        <row r="80">
          <cell r="AG80">
            <v>51.618888337340763</v>
          </cell>
          <cell r="AH80">
            <v>6.8161844175129087E-4</v>
          </cell>
        </row>
      </sheetData>
      <sheetData sheetId="16">
        <row r="98">
          <cell r="AG98">
            <v>-28.322830408818469</v>
          </cell>
          <cell r="AH98">
            <v>6.030672455975127E-5</v>
          </cell>
        </row>
      </sheetData>
      <sheetData sheetId="17">
        <row r="83">
          <cell r="AG83">
            <v>10.59767941863592</v>
          </cell>
          <cell r="AH83">
            <v>5.9524617827577913E-4</v>
          </cell>
        </row>
      </sheetData>
      <sheetData sheetId="18"/>
      <sheetData sheetId="19"/>
      <sheetData sheetId="20">
        <row r="81">
          <cell r="AG81">
            <v>0.30897942309017878</v>
          </cell>
          <cell r="AH81">
            <v>5.1132504617738481E-4</v>
          </cell>
        </row>
      </sheetData>
      <sheetData sheetId="21">
        <row r="84">
          <cell r="AG84">
            <v>56.408704609001795</v>
          </cell>
          <cell r="AH84">
            <v>9.9624701237589216E-5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</row>
        <row r="29">
          <cell r="C29">
            <v>0.66714792714666193</v>
          </cell>
        </row>
        <row r="30">
          <cell r="C30">
            <v>0.38986915383247311</v>
          </cell>
        </row>
        <row r="31">
          <cell r="C31">
            <v>1.4284515611925735E-2</v>
          </cell>
        </row>
        <row r="37">
          <cell r="C37">
            <v>3.7452427019751884E-2</v>
          </cell>
        </row>
        <row r="38">
          <cell r="C38">
            <v>0.73571240611880662</v>
          </cell>
        </row>
        <row r="39">
          <cell r="C39">
            <v>3.1810426802821895E-2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4">
          <cell r="E24">
            <v>509.03089819946877</v>
          </cell>
        </row>
      </sheetData>
      <sheetData sheetId="9"/>
      <sheetData sheetId="10">
        <row r="24">
          <cell r="E24">
            <v>509.03089819946877</v>
          </cell>
        </row>
      </sheetData>
      <sheetData sheetId="11">
        <row r="23">
          <cell r="E23">
            <v>131.83340888752835</v>
          </cell>
        </row>
      </sheetData>
      <sheetData sheetId="12"/>
      <sheetData sheetId="13"/>
      <sheetData sheetId="14">
        <row r="15">
          <cell r="E15">
            <v>11.6046876865655</v>
          </cell>
        </row>
      </sheetData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>
        <row r="25">
          <cell r="E25">
            <v>9.1614439984537466</v>
          </cell>
        </row>
      </sheetData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6">
          <cell r="AG46">
            <v>7.0865175841729453</v>
          </cell>
          <cell r="AH46">
            <v>-2.3526145534246868E-4</v>
          </cell>
        </row>
        <row r="87">
          <cell r="C87">
            <v>-8.8273720278716645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HC"/>
      <sheetName val="LCI_AD-a"/>
      <sheetName val="LCI_AD-c"/>
      <sheetName val="LCI_AD-b"/>
      <sheetName val="LCIA_HC"/>
      <sheetName val="LCIA_AD-b"/>
      <sheetName val="LCIA_AD-c"/>
      <sheetName val="LCIA_AD-d"/>
      <sheetName val="LCIA_AD-e"/>
      <sheetName val="Figures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6">
          <cell r="AG46">
            <v>26.234953944788906</v>
          </cell>
          <cell r="AH46">
            <v>2.2801483464610157E-5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6E0B-B9EE-48A8-800F-BDEF0A29E888}">
  <dimension ref="A1:G36"/>
  <sheetViews>
    <sheetView tabSelected="1" zoomScale="80" zoomScaleNormal="80" zoomScaleSheetLayoutView="90" workbookViewId="0">
      <selection activeCell="Q19" sqref="Q19"/>
    </sheetView>
  </sheetViews>
  <sheetFormatPr baseColWidth="10" defaultRowHeight="14.5" x14ac:dyDescent="0.35"/>
  <cols>
    <col min="1" max="1" width="27.1796875" customWidth="1"/>
    <col min="2" max="2" width="14.90625" hidden="1" customWidth="1"/>
    <col min="3" max="3" width="12.26953125" bestFit="1" customWidth="1"/>
    <col min="4" max="4" width="17.81640625" customWidth="1"/>
    <col min="5" max="5" width="14.1796875" customWidth="1"/>
    <col min="6" max="7" width="12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50</v>
      </c>
      <c r="E1" s="1" t="s">
        <v>47</v>
      </c>
      <c r="F1" s="1" t="s">
        <v>48</v>
      </c>
      <c r="G1" s="1" t="s">
        <v>49</v>
      </c>
    </row>
    <row r="2" spans="1:7" x14ac:dyDescent="0.35">
      <c r="C2" t="s">
        <v>18</v>
      </c>
      <c r="D2" t="s">
        <v>45</v>
      </c>
      <c r="E2" t="s">
        <v>46</v>
      </c>
      <c r="F2" t="s">
        <v>45</v>
      </c>
      <c r="G2" t="s">
        <v>46</v>
      </c>
    </row>
    <row r="3" spans="1:7" x14ac:dyDescent="0.35">
      <c r="A3" s="1" t="s">
        <v>4</v>
      </c>
      <c r="B3" t="s">
        <v>3</v>
      </c>
      <c r="C3">
        <f>'[1]IW+f'!$C$4</f>
        <v>0.189012950359117</v>
      </c>
      <c r="D3">
        <f>'[1]IW+_end'!$AG$5</f>
        <v>0.15622311715281942</v>
      </c>
      <c r="E3">
        <f>'[1]IW+_end'!$AH$5</f>
        <v>1.4464434392429546E-6</v>
      </c>
      <c r="F3">
        <f>'[2]IW+_end'!$AC$5</f>
        <v>6.3010311670069097E-2</v>
      </c>
      <c r="G3">
        <f>'[2]IW+_end'!$AD$5</f>
        <v>1.9021702798128903E-7</v>
      </c>
    </row>
    <row r="4" spans="1:7" x14ac:dyDescent="0.35">
      <c r="A4" s="1" t="s">
        <v>33</v>
      </c>
      <c r="B4" t="s">
        <v>3</v>
      </c>
      <c r="C4">
        <v>1.38914</v>
      </c>
      <c r="D4">
        <v>1.1513199999999999</v>
      </c>
      <c r="E4" s="3">
        <v>1.23597E-5</v>
      </c>
      <c r="F4">
        <f>[3]Impacts!$F$33</f>
        <v>0.45667050096514972</v>
      </c>
      <c r="G4">
        <f>[3]Impacts!$F$34</f>
        <v>2.997916574982404E-6</v>
      </c>
    </row>
    <row r="5" spans="1:7" x14ac:dyDescent="0.35">
      <c r="A5" s="2" t="s">
        <v>5</v>
      </c>
    </row>
    <row r="6" spans="1:7" x14ac:dyDescent="0.35">
      <c r="A6" t="s">
        <v>8</v>
      </c>
      <c r="B6" t="s">
        <v>11</v>
      </c>
      <c r="C6" s="3">
        <f>[7]LCIA_HC!$C$87</f>
        <v>-8.8273720278716645</v>
      </c>
      <c r="D6" s="3">
        <f>[7]LCIA_HC!$AG$46</f>
        <v>7.0865175841729453</v>
      </c>
      <c r="E6" s="3">
        <f>[7]LCIA_HC!$AH$46</f>
        <v>-2.3526145534246868E-4</v>
      </c>
      <c r="F6" s="3">
        <f>[8]LCIA_HC!$AG$46</f>
        <v>26.234953944788906</v>
      </c>
      <c r="G6" s="3">
        <f>[8]LCIA_HC!$AH$46</f>
        <v>2.2801483464610157E-5</v>
      </c>
    </row>
    <row r="7" spans="1:7" x14ac:dyDescent="0.35">
      <c r="A7" t="s">
        <v>9</v>
      </c>
      <c r="B7" t="s">
        <v>11</v>
      </c>
      <c r="C7" s="3">
        <f>[4]LCIA_IC!$C$55</f>
        <v>44.411965310455045</v>
      </c>
      <c r="D7" s="3">
        <f>[4]LCIA_IC!$AG$84</f>
        <v>69.145236307764407</v>
      </c>
      <c r="E7" s="3">
        <f>[4]LCIA_IC!$AH$84</f>
        <v>2.7127459225239476E-4</v>
      </c>
      <c r="F7" s="3">
        <f>[5]LCIA_IC!$AG$84</f>
        <v>56.408704609001795</v>
      </c>
      <c r="G7" s="3">
        <f>[5]LCIA_IC!$AH$84</f>
        <v>9.9624701237589216E-5</v>
      </c>
    </row>
    <row r="8" spans="1:7" x14ac:dyDescent="0.35">
      <c r="A8" t="s">
        <v>6</v>
      </c>
      <c r="B8" t="s">
        <v>11</v>
      </c>
      <c r="C8" s="3">
        <f>'[4]LCIA_AD-a'!$C$41</f>
        <v>-82.308576166846308</v>
      </c>
      <c r="D8">
        <f>'[4]LCIA_AD-a'!$AG$81</f>
        <v>-111.81244998168006</v>
      </c>
      <c r="E8" s="3">
        <f>'[4]LCIA_AD-a'!$AH$81</f>
        <v>-9.9973225425657448E-4</v>
      </c>
      <c r="F8">
        <f>'[5]LCIA_AD-a'!$AG$81</f>
        <v>0.30897942309017878</v>
      </c>
      <c r="G8">
        <f>'[5]LCIA_AD-a'!$AH$81</f>
        <v>5.1132504617738481E-4</v>
      </c>
    </row>
    <row r="9" spans="1:7" x14ac:dyDescent="0.35">
      <c r="A9" t="s">
        <v>7</v>
      </c>
      <c r="B9" t="s">
        <v>11</v>
      </c>
      <c r="C9" s="3">
        <f>'[4]LCIA_AD-b'!$C$50</f>
        <v>-83.146870437350444</v>
      </c>
      <c r="D9">
        <f>'[4]LCIA_AD-b'!$AG$99</f>
        <v>-179.63731506156569</v>
      </c>
      <c r="E9" s="3">
        <f>'[4]LCIA_AD-b'!$AH$99</f>
        <v>-1.457745505945845E-3</v>
      </c>
      <c r="F9">
        <f>'[5]LCIA_AD-b'!$AG$99</f>
        <v>-79.632739323069075</v>
      </c>
      <c r="G9">
        <f>'[5]LCIA_AD-b'!$AH$99</f>
        <v>-1.0998667101415476E-4</v>
      </c>
    </row>
    <row r="10" spans="1:7" x14ac:dyDescent="0.35">
      <c r="A10" t="s">
        <v>23</v>
      </c>
      <c r="B10" t="s">
        <v>11</v>
      </c>
      <c r="C10" s="3">
        <f>'[4]LCIA_AD-c'!$C$40</f>
        <v>-233.0779380559818</v>
      </c>
      <c r="D10">
        <f>'[4]LCIA_AD-c'!$AG$80</f>
        <v>-112.77908949552042</v>
      </c>
      <c r="E10" s="3">
        <f>'[4]LCIA_AD-c'!$AH$80</f>
        <v>-1.5339684382088524E-3</v>
      </c>
      <c r="F10">
        <f>'[5]LCIA_AD-c'!$AG$80</f>
        <v>51.618888337340763</v>
      </c>
      <c r="G10">
        <f>'[5]LCIA_AD-c'!$AH$80</f>
        <v>6.8161844175129087E-4</v>
      </c>
    </row>
    <row r="11" spans="1:7" x14ac:dyDescent="0.35">
      <c r="A11" t="s">
        <v>41</v>
      </c>
      <c r="B11" t="s">
        <v>11</v>
      </c>
      <c r="C11" s="3">
        <f>'[4]LCIA_AD-d'!$C$49</f>
        <v>-233.91623232648593</v>
      </c>
      <c r="D11">
        <f>'[4]LCIA_AD-d'!$AG$98</f>
        <v>-180.60395457540608</v>
      </c>
      <c r="E11" s="3">
        <f>'[4]LCIA_AD-d'!$AH$98</f>
        <v>-1.9919816898981229E-3</v>
      </c>
      <c r="F11">
        <f>'[5]LCIA_AD-d'!$AG$98</f>
        <v>-28.322830408818469</v>
      </c>
      <c r="G11">
        <f>'[5]LCIA_AD-d'!$AH$98</f>
        <v>6.030672455975127E-5</v>
      </c>
    </row>
    <row r="12" spans="1:7" x14ac:dyDescent="0.35">
      <c r="A12" t="s">
        <v>42</v>
      </c>
      <c r="B12" t="s">
        <v>11</v>
      </c>
      <c r="C12" s="3">
        <f>'[4]LCIA_AD-e'!$C$83</f>
        <v>-151.29711174827199</v>
      </c>
      <c r="D12">
        <f>'[4]LCIA_AD-e'!$AG$83</f>
        <v>-178.31878173696958</v>
      </c>
      <c r="E12" s="3">
        <f>'[4]LCIA_AD-e'!$AH$83</f>
        <v>-1.950775677914994E-3</v>
      </c>
      <c r="F12">
        <f>'[5]LCIA_AD-e'!$AG$83</f>
        <v>10.59767941863592</v>
      </c>
      <c r="G12">
        <f>'[5]LCIA_AD-e'!$AH$83</f>
        <v>5.9524617827577913E-4</v>
      </c>
    </row>
    <row r="13" spans="1:7" x14ac:dyDescent="0.35">
      <c r="A13" t="s">
        <v>43</v>
      </c>
      <c r="B13" t="s">
        <v>11</v>
      </c>
      <c r="C13" s="3">
        <f>'[4]LCIA_AD-f'!$C$51</f>
        <v>-235.87561937259079</v>
      </c>
      <c r="D13">
        <f>'[4]LCIA_AD-f'!$AG$102</f>
        <v>-246.14364681685521</v>
      </c>
      <c r="E13" s="3">
        <f>'[4]LCIA_AD-f'!$AH$102</f>
        <v>-2.4087889296042645E-3</v>
      </c>
      <c r="F13">
        <f>'[5]LCIA_AD-f'!$AG$102</f>
        <v>-69.344039327523348</v>
      </c>
      <c r="G13">
        <f>'[5]LCIA_AD-f'!$AH$102</f>
        <v>-2.6065538915760408E-5</v>
      </c>
    </row>
    <row r="14" spans="1:7" x14ac:dyDescent="0.35">
      <c r="A14" t="s">
        <v>44</v>
      </c>
      <c r="B14" t="s">
        <v>11</v>
      </c>
      <c r="C14" s="3">
        <f>0.0393762728014812*1000</f>
        <v>39.3762728014812</v>
      </c>
      <c r="D14">
        <f>'[1]IW+_end'!$AG$4*1000</f>
        <v>32.363622700140461</v>
      </c>
      <c r="E14" s="3">
        <f>'[1]IW+_end'!$AH$4*1000</f>
        <v>4.5290827034624785E-4</v>
      </c>
      <c r="F14">
        <f>'[2]IW+_end'!$AC$4*1000</f>
        <v>15.113032530720021</v>
      </c>
      <c r="G14">
        <f>'[2]IW+_end'!$AD$4*1000</f>
        <v>2.2042254192680734E-4</v>
      </c>
    </row>
    <row r="15" spans="1:7" x14ac:dyDescent="0.35">
      <c r="A15" s="2" t="s">
        <v>10</v>
      </c>
    </row>
    <row r="16" spans="1:7" x14ac:dyDescent="0.35">
      <c r="A16" t="s">
        <v>19</v>
      </c>
      <c r="B16" t="s">
        <v>3</v>
      </c>
      <c r="C16">
        <f t="shared" ref="C16:G16" si="0">C3</f>
        <v>0.189012950359117</v>
      </c>
      <c r="D16">
        <f t="shared" si="0"/>
        <v>0.15622311715281942</v>
      </c>
      <c r="E16">
        <f t="shared" si="0"/>
        <v>1.4464434392429546E-6</v>
      </c>
      <c r="F16">
        <f t="shared" si="0"/>
        <v>6.3010311670069097E-2</v>
      </c>
      <c r="G16">
        <f t="shared" si="0"/>
        <v>1.9021702798128903E-7</v>
      </c>
    </row>
    <row r="17" spans="1:7" x14ac:dyDescent="0.35">
      <c r="A17" t="s">
        <v>34</v>
      </c>
      <c r="B17" t="s">
        <v>3</v>
      </c>
      <c r="C17" s="3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t="s">
        <v>20</v>
      </c>
      <c r="B18" t="s">
        <v>3</v>
      </c>
      <c r="C18">
        <f>C16</f>
        <v>0.189012950359117</v>
      </c>
      <c r="D18">
        <f>D16</f>
        <v>0.15622311715281942</v>
      </c>
      <c r="E18">
        <f>E16</f>
        <v>1.4464434392429546E-6</v>
      </c>
      <c r="F18">
        <f>F16</f>
        <v>6.3010311670069097E-2</v>
      </c>
      <c r="G18">
        <f>G16</f>
        <v>1.9021702798128903E-7</v>
      </c>
    </row>
    <row r="19" spans="1:7" x14ac:dyDescent="0.35">
      <c r="A19" t="s">
        <v>21</v>
      </c>
      <c r="B19" t="s">
        <v>12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t="s">
        <v>22</v>
      </c>
      <c r="B20" t="s">
        <v>13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t="s">
        <v>24</v>
      </c>
      <c r="B21" t="s">
        <v>32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5">
      <c r="A22" s="2" t="s">
        <v>14</v>
      </c>
    </row>
    <row r="23" spans="1:7" x14ac:dyDescent="0.35">
      <c r="A23" t="s">
        <v>35</v>
      </c>
      <c r="B23" t="s">
        <v>39</v>
      </c>
      <c r="C23">
        <f>'[6]IW+f'!$C$28</f>
        <v>1.5776478677100687</v>
      </c>
      <c r="D23">
        <v>1.2566999999999999</v>
      </c>
      <c r="E23" s="3">
        <v>1.3917000000000001E-5</v>
      </c>
    </row>
    <row r="24" spans="1:7" x14ac:dyDescent="0.35">
      <c r="A24" t="s">
        <v>36</v>
      </c>
      <c r="B24" t="s">
        <v>39</v>
      </c>
      <c r="C24">
        <f>'[6]IW+f'!$C$30</f>
        <v>0.38986915383247311</v>
      </c>
      <c r="D24">
        <v>0.51358999999999999</v>
      </c>
      <c r="E24" s="3">
        <v>5.1734999999999997E-6</v>
      </c>
    </row>
    <row r="25" spans="1:7" x14ac:dyDescent="0.35">
      <c r="A25" t="s">
        <v>37</v>
      </c>
      <c r="B25" t="s">
        <v>39</v>
      </c>
      <c r="C25">
        <f>'[6]IW+f'!$C$29</f>
        <v>0.66714792714666193</v>
      </c>
      <c r="D25">
        <v>0.72350000000000003</v>
      </c>
      <c r="E25" s="3">
        <v>5.6199000000000002E-6</v>
      </c>
    </row>
    <row r="26" spans="1:7" x14ac:dyDescent="0.35">
      <c r="A26" t="s">
        <v>38</v>
      </c>
      <c r="B26" t="s">
        <v>39</v>
      </c>
      <c r="C26" s="3">
        <f>'[6]IW+f'!$C$31</f>
        <v>1.4284515611925735E-2</v>
      </c>
      <c r="D26">
        <v>1.2982469999999999E-2</v>
      </c>
      <c r="E26" s="3">
        <v>1.0766E-7</v>
      </c>
      <c r="F26">
        <f>'[2]IW+_end'!$AC$31</f>
        <v>8.2740684822632665E-3</v>
      </c>
      <c r="G26" s="3">
        <f>'[2]IW+_end'!$AD$31</f>
        <v>4.4209285281899682E-8</v>
      </c>
    </row>
    <row r="27" spans="1:7" x14ac:dyDescent="0.35">
      <c r="A27" t="s">
        <v>21</v>
      </c>
      <c r="B27" t="s">
        <v>15</v>
      </c>
      <c r="C27">
        <f>'[6]IW+f'!$C$39</f>
        <v>3.1810426802821895E-2</v>
      </c>
      <c r="D27">
        <v>6.9578360000000006E-2</v>
      </c>
      <c r="E27" s="3">
        <v>6.7176999999999999E-7</v>
      </c>
    </row>
    <row r="28" spans="1:7" x14ac:dyDescent="0.35">
      <c r="A28" t="s">
        <v>22</v>
      </c>
      <c r="B28" t="s">
        <v>16</v>
      </c>
      <c r="C28">
        <f>'[6]IW+f'!$C$37</f>
        <v>3.7452427019751884E-2</v>
      </c>
      <c r="D28">
        <v>0.10004979</v>
      </c>
      <c r="E28" s="3">
        <v>4.3286000000000003E-7</v>
      </c>
    </row>
    <row r="29" spans="1:7" x14ac:dyDescent="0.35">
      <c r="A29" t="s">
        <v>25</v>
      </c>
      <c r="B29" t="s">
        <v>31</v>
      </c>
      <c r="C29">
        <f>'[6]IW+f'!$C$38</f>
        <v>0.73571240611880662</v>
      </c>
      <c r="D29">
        <v>0.46230322000000001</v>
      </c>
      <c r="E29" s="3">
        <v>3.9848000000000004E-6</v>
      </c>
    </row>
    <row r="30" spans="1:7" x14ac:dyDescent="0.35">
      <c r="A30" s="2" t="s">
        <v>17</v>
      </c>
    </row>
    <row r="31" spans="1:7" x14ac:dyDescent="0.35">
      <c r="A31" t="s">
        <v>34</v>
      </c>
      <c r="B31" t="s">
        <v>40</v>
      </c>
      <c r="C31" s="3">
        <f>[6]LCIA_HC!$C$75</f>
        <v>-320.64976274672284</v>
      </c>
      <c r="D31">
        <v>0</v>
      </c>
      <c r="E31">
        <v>0</v>
      </c>
    </row>
    <row r="32" spans="1:7" x14ac:dyDescent="0.35">
      <c r="A32" t="s">
        <v>19</v>
      </c>
      <c r="B32" t="s">
        <v>40</v>
      </c>
      <c r="C32" s="3">
        <f>[6]LCIA_IC!$C$43</f>
        <v>-264.03464255865981</v>
      </c>
      <c r="D32">
        <v>0</v>
      </c>
      <c r="E32">
        <v>0</v>
      </c>
    </row>
    <row r="33" spans="1:5" x14ac:dyDescent="0.35">
      <c r="A33" t="s">
        <v>20</v>
      </c>
      <c r="B33" t="s">
        <v>40</v>
      </c>
      <c r="C33" s="3">
        <v>0</v>
      </c>
      <c r="D33">
        <v>0</v>
      </c>
      <c r="E33">
        <v>0</v>
      </c>
    </row>
    <row r="34" spans="1:5" x14ac:dyDescent="0.35">
      <c r="A34" t="s">
        <v>21</v>
      </c>
      <c r="B34" t="s">
        <v>15</v>
      </c>
      <c r="C34">
        <v>0</v>
      </c>
      <c r="D34">
        <v>0</v>
      </c>
      <c r="E34">
        <v>0</v>
      </c>
    </row>
    <row r="35" spans="1:5" x14ac:dyDescent="0.35">
      <c r="A35" t="s">
        <v>22</v>
      </c>
      <c r="B35" t="s">
        <v>16</v>
      </c>
      <c r="C35">
        <v>0</v>
      </c>
      <c r="D35">
        <v>0</v>
      </c>
      <c r="E35">
        <v>0</v>
      </c>
    </row>
    <row r="36" spans="1:5" x14ac:dyDescent="0.35">
      <c r="A36" t="s">
        <v>24</v>
      </c>
      <c r="B36" t="s">
        <v>31</v>
      </c>
      <c r="C36">
        <v>0</v>
      </c>
      <c r="D36">
        <v>0</v>
      </c>
      <c r="E36">
        <v>0</v>
      </c>
    </row>
  </sheetData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F1CD-1CDC-4E41-9B2A-3F388EBABF4A}">
  <dimension ref="A1:B5"/>
  <sheetViews>
    <sheetView workbookViewId="0">
      <selection activeCell="B18" sqref="B18"/>
    </sheetView>
  </sheetViews>
  <sheetFormatPr baseColWidth="10" defaultRowHeight="14.5" x14ac:dyDescent="0.35"/>
  <sheetData>
    <row r="1" spans="1:2" x14ac:dyDescent="0.35">
      <c r="A1" t="s">
        <v>8</v>
      </c>
      <c r="B1" t="s">
        <v>26</v>
      </c>
    </row>
    <row r="2" spans="1:2" x14ac:dyDescent="0.35">
      <c r="A2" t="s">
        <v>9</v>
      </c>
      <c r="B2" t="s">
        <v>27</v>
      </c>
    </row>
    <row r="3" spans="1:2" x14ac:dyDescent="0.35">
      <c r="A3" t="s">
        <v>6</v>
      </c>
      <c r="B3" t="s">
        <v>29</v>
      </c>
    </row>
    <row r="4" spans="1:2" x14ac:dyDescent="0.35">
      <c r="A4" t="s">
        <v>7</v>
      </c>
      <c r="B4" t="s">
        <v>28</v>
      </c>
    </row>
    <row r="5" spans="1:2" x14ac:dyDescent="0.35">
      <c r="A5" t="s">
        <v>23</v>
      </c>
      <c r="B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2025-09-10T08:13:22Z</dcterms:created>
  <dcterms:modified xsi:type="dcterms:W3CDTF">2026-02-13T15:45:35Z</dcterms:modified>
</cp:coreProperties>
</file>