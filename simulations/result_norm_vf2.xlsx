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8FD5FD12-0DD5-4696-BB9B-1053441B7752}" xr6:coauthVersionLast="36" xr6:coauthVersionMax="36" xr10:uidLastSave="{00000000-0000-0000-0000-000000000000}"/>
  <bookViews>
    <workbookView xWindow="0" yWindow="0" windowWidth="19200" windowHeight="6350" activeTab="2" xr2:uid="{DCD3CA2F-96EC-4CF6-B25F-28CD58F61490}"/>
  </bookViews>
  <sheets>
    <sheet name="corr_peat_HC2" sheetId="9" r:id="rId1"/>
    <sheet name="corr_peat2" sheetId="8" r:id="rId2"/>
    <sheet name="corr_HC2" sheetId="7" r:id="rId3"/>
    <sheet name="brut2" sheetId="6" r:id="rId4"/>
    <sheet name="brut" sheetId="1" r:id="rId5"/>
    <sheet name="corr_HC" sheetId="2" r:id="rId6"/>
    <sheet name="corr_peat" sheetId="3" r:id="rId7"/>
    <sheet name="corr_peat_HC" sheetId="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9" l="1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2" i="9"/>
  <c r="C2" i="9"/>
  <c r="D2" i="9"/>
  <c r="E2" i="9"/>
  <c r="F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2" i="8"/>
  <c r="C2" i="8"/>
  <c r="D2" i="8"/>
  <c r="E2" i="8"/>
  <c r="F2" i="8"/>
  <c r="B3" i="8"/>
  <c r="C3" i="8"/>
  <c r="D3" i="8"/>
  <c r="E3" i="8"/>
  <c r="F3" i="8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W9" i="9" l="1"/>
  <c r="W15" i="9"/>
  <c r="X15" i="9"/>
  <c r="W14" i="9"/>
  <c r="W13" i="9"/>
  <c r="X13" i="9"/>
  <c r="X12" i="9"/>
  <c r="X11" i="9"/>
  <c r="X10" i="9"/>
  <c r="W10" i="9"/>
  <c r="U15" i="8"/>
  <c r="T15" i="8"/>
  <c r="S15" i="8"/>
  <c r="X15" i="8" s="1"/>
  <c r="U14" i="8"/>
  <c r="X14" i="8" s="1"/>
  <c r="T14" i="8"/>
  <c r="S14" i="8"/>
  <c r="U13" i="8"/>
  <c r="T13" i="8"/>
  <c r="S13" i="8"/>
  <c r="U12" i="8"/>
  <c r="T12" i="8"/>
  <c r="S12" i="8"/>
  <c r="U11" i="8"/>
  <c r="T11" i="8"/>
  <c r="X11" i="8" s="1"/>
  <c r="S11" i="8"/>
  <c r="U10" i="8"/>
  <c r="T10" i="8"/>
  <c r="S10" i="8"/>
  <c r="U9" i="8"/>
  <c r="T9" i="8"/>
  <c r="S9" i="8"/>
  <c r="X8" i="8"/>
  <c r="U8" i="8"/>
  <c r="T8" i="8"/>
  <c r="S8" i="8"/>
  <c r="W8" i="8" s="1"/>
  <c r="U7" i="8"/>
  <c r="T7" i="8"/>
  <c r="S7" i="8"/>
  <c r="X7" i="8" s="1"/>
  <c r="U6" i="8"/>
  <c r="X6" i="8" s="1"/>
  <c r="T6" i="8"/>
  <c r="S6" i="8"/>
  <c r="U5" i="8"/>
  <c r="T5" i="8"/>
  <c r="S5" i="8"/>
  <c r="X5" i="8" s="1"/>
  <c r="U4" i="8"/>
  <c r="T4" i="8"/>
  <c r="S4" i="8"/>
  <c r="X4" i="8" s="1"/>
  <c r="U3" i="8"/>
  <c r="T3" i="8"/>
  <c r="X3" i="8" s="1"/>
  <c r="S3" i="8"/>
  <c r="U2" i="8"/>
  <c r="T2" i="8"/>
  <c r="S2" i="8"/>
  <c r="U15" i="7"/>
  <c r="T15" i="7"/>
  <c r="S15" i="7"/>
  <c r="X15" i="7" s="1"/>
  <c r="P15" i="7"/>
  <c r="O15" i="7"/>
  <c r="X14" i="7"/>
  <c r="U14" i="7"/>
  <c r="T14" i="7"/>
  <c r="S14" i="7"/>
  <c r="W14" i="7" s="1"/>
  <c r="P14" i="7"/>
  <c r="O14" i="7"/>
  <c r="W13" i="7"/>
  <c r="U13" i="7"/>
  <c r="T13" i="7"/>
  <c r="S13" i="7"/>
  <c r="X13" i="7" s="1"/>
  <c r="P13" i="7"/>
  <c r="O13" i="7"/>
  <c r="X12" i="7"/>
  <c r="U12" i="7"/>
  <c r="T12" i="7"/>
  <c r="S12" i="7"/>
  <c r="W12" i="7" s="1"/>
  <c r="P12" i="7"/>
  <c r="O12" i="7"/>
  <c r="W11" i="7"/>
  <c r="U11" i="7"/>
  <c r="T11" i="7"/>
  <c r="X11" i="7" s="1"/>
  <c r="S11" i="7"/>
  <c r="P11" i="7"/>
  <c r="O11" i="7"/>
  <c r="U10" i="7"/>
  <c r="T10" i="7"/>
  <c r="S10" i="7"/>
  <c r="W10" i="7" s="1"/>
  <c r="P10" i="7"/>
  <c r="O10" i="7"/>
  <c r="U9" i="7"/>
  <c r="T9" i="7"/>
  <c r="W9" i="7" s="1"/>
  <c r="S9" i="7"/>
  <c r="X9" i="7" s="1"/>
  <c r="P9" i="7"/>
  <c r="O9" i="7"/>
  <c r="U8" i="7"/>
  <c r="T8" i="7"/>
  <c r="S8" i="7"/>
  <c r="X8" i="7" s="1"/>
  <c r="P8" i="7"/>
  <c r="O8" i="7"/>
  <c r="U7" i="7"/>
  <c r="T7" i="7"/>
  <c r="S7" i="7"/>
  <c r="X7" i="7" s="1"/>
  <c r="P7" i="7"/>
  <c r="O7" i="7"/>
  <c r="X6" i="7"/>
  <c r="U6" i="7"/>
  <c r="T6" i="7"/>
  <c r="S6" i="7"/>
  <c r="W6" i="7" s="1"/>
  <c r="P6" i="7"/>
  <c r="O6" i="7"/>
  <c r="W5" i="7"/>
  <c r="U5" i="7"/>
  <c r="T5" i="7"/>
  <c r="S5" i="7"/>
  <c r="X5" i="7" s="1"/>
  <c r="P5" i="7"/>
  <c r="O5" i="7"/>
  <c r="U4" i="7"/>
  <c r="X4" i="7" s="1"/>
  <c r="T4" i="7"/>
  <c r="S4" i="7"/>
  <c r="W4" i="7" s="1"/>
  <c r="P4" i="7"/>
  <c r="O4" i="7"/>
  <c r="U3" i="7"/>
  <c r="T3" i="7"/>
  <c r="X3" i="7" s="1"/>
  <c r="S3" i="7"/>
  <c r="P3" i="7"/>
  <c r="O3" i="7"/>
  <c r="U2" i="7"/>
  <c r="T2" i="7"/>
  <c r="S2" i="7"/>
  <c r="W2" i="7" s="1"/>
  <c r="P2" i="7"/>
  <c r="O2" i="7"/>
  <c r="X3" i="6"/>
  <c r="X4" i="6"/>
  <c r="X5" i="6"/>
  <c r="X6" i="6"/>
  <c r="X7" i="6"/>
  <c r="X8" i="6"/>
  <c r="X9" i="6"/>
  <c r="X10" i="6"/>
  <c r="X11" i="6"/>
  <c r="X12" i="6"/>
  <c r="X13" i="6"/>
  <c r="X14" i="6"/>
  <c r="X15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2" i="6"/>
  <c r="U10" i="6"/>
  <c r="U11" i="6"/>
  <c r="U12" i="6"/>
  <c r="U13" i="6"/>
  <c r="U14" i="6"/>
  <c r="U15" i="6"/>
  <c r="U9" i="6"/>
  <c r="T10" i="6"/>
  <c r="T11" i="6"/>
  <c r="T12" i="6"/>
  <c r="T13" i="6"/>
  <c r="T14" i="6"/>
  <c r="T15" i="6"/>
  <c r="T9" i="6"/>
  <c r="S10" i="6"/>
  <c r="S11" i="6"/>
  <c r="S12" i="6"/>
  <c r="S13" i="6"/>
  <c r="S14" i="6"/>
  <c r="S15" i="6"/>
  <c r="S9" i="6"/>
  <c r="U3" i="6"/>
  <c r="U4" i="6"/>
  <c r="U5" i="6"/>
  <c r="U6" i="6"/>
  <c r="U7" i="6"/>
  <c r="U8" i="6"/>
  <c r="U2" i="6"/>
  <c r="T3" i="6"/>
  <c r="T4" i="6"/>
  <c r="T5" i="6"/>
  <c r="T6" i="6"/>
  <c r="T7" i="6"/>
  <c r="T8" i="6"/>
  <c r="T2" i="6"/>
  <c r="S3" i="6"/>
  <c r="S4" i="6"/>
  <c r="S5" i="6"/>
  <c r="S6" i="6"/>
  <c r="S7" i="6"/>
  <c r="S8" i="6"/>
  <c r="S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2" i="6"/>
  <c r="W2" i="8" l="1"/>
  <c r="W5" i="8"/>
  <c r="W7" i="8"/>
  <c r="W3" i="8"/>
  <c r="W6" i="8"/>
  <c r="X13" i="8"/>
  <c r="W10" i="8"/>
  <c r="W13" i="8"/>
  <c r="X12" i="8"/>
  <c r="X9" i="8"/>
  <c r="W14" i="8"/>
  <c r="W11" i="8"/>
  <c r="X9" i="9"/>
  <c r="X14" i="9"/>
  <c r="W12" i="9"/>
  <c r="W11" i="9"/>
  <c r="W4" i="8"/>
  <c r="W12" i="8"/>
  <c r="X2" i="8"/>
  <c r="W9" i="8"/>
  <c r="X10" i="8"/>
  <c r="W15" i="8"/>
  <c r="X2" i="7"/>
  <c r="X10" i="7"/>
  <c r="W3" i="7"/>
  <c r="W8" i="7"/>
  <c r="W7" i="7"/>
  <c r="W15" i="7"/>
  <c r="U6" i="9"/>
  <c r="T6" i="9"/>
  <c r="S2" i="9"/>
  <c r="K13" i="7"/>
  <c r="B12" i="7"/>
  <c r="I12" i="7" s="1"/>
  <c r="C12" i="7"/>
  <c r="D12" i="7"/>
  <c r="K12" i="7" s="1"/>
  <c r="E12" i="7"/>
  <c r="L12" i="7" s="1"/>
  <c r="F12" i="7"/>
  <c r="B5" i="7"/>
  <c r="I5" i="7" s="1"/>
  <c r="C5" i="7"/>
  <c r="D5" i="7"/>
  <c r="K5" i="7" s="1"/>
  <c r="E5" i="7"/>
  <c r="L5" i="7" s="1"/>
  <c r="F5" i="7"/>
  <c r="M5" i="7" s="1"/>
  <c r="F15" i="7"/>
  <c r="M15" i="7" s="1"/>
  <c r="E15" i="7"/>
  <c r="D15" i="7"/>
  <c r="K15" i="7" s="1"/>
  <c r="C15" i="7"/>
  <c r="B15" i="7"/>
  <c r="F14" i="7"/>
  <c r="M14" i="7" s="1"/>
  <c r="E14" i="7"/>
  <c r="L14" i="7" s="1"/>
  <c r="D14" i="7"/>
  <c r="K14" i="7" s="1"/>
  <c r="C14" i="7"/>
  <c r="J14" i="7" s="1"/>
  <c r="B14" i="7"/>
  <c r="I14" i="7" s="1"/>
  <c r="F13" i="7"/>
  <c r="M13" i="7" s="1"/>
  <c r="E13" i="7"/>
  <c r="D13" i="7"/>
  <c r="C13" i="7"/>
  <c r="B13" i="7"/>
  <c r="I13" i="7" s="1"/>
  <c r="F11" i="7"/>
  <c r="E11" i="7"/>
  <c r="L11" i="7" s="1"/>
  <c r="D11" i="7"/>
  <c r="K11" i="7" s="1"/>
  <c r="C11" i="7"/>
  <c r="B11" i="7"/>
  <c r="F10" i="7"/>
  <c r="M10" i="7" s="1"/>
  <c r="E10" i="7"/>
  <c r="L10" i="7" s="1"/>
  <c r="D10" i="7"/>
  <c r="K10" i="7" s="1"/>
  <c r="C10" i="7"/>
  <c r="J10" i="7" s="1"/>
  <c r="B10" i="7"/>
  <c r="I10" i="7" s="1"/>
  <c r="F9" i="7"/>
  <c r="M9" i="7" s="1"/>
  <c r="E9" i="7"/>
  <c r="D9" i="7"/>
  <c r="C9" i="7"/>
  <c r="J9" i="7" s="1"/>
  <c r="B9" i="7"/>
  <c r="I9" i="7" s="1"/>
  <c r="F8" i="7"/>
  <c r="M8" i="7" s="1"/>
  <c r="E8" i="7"/>
  <c r="L8" i="7" s="1"/>
  <c r="D8" i="7"/>
  <c r="K8" i="7" s="1"/>
  <c r="C8" i="7"/>
  <c r="J8" i="7" s="1"/>
  <c r="B8" i="7"/>
  <c r="F7" i="7"/>
  <c r="M7" i="7" s="1"/>
  <c r="E7" i="7"/>
  <c r="D7" i="7"/>
  <c r="K7" i="7" s="1"/>
  <c r="C7" i="7"/>
  <c r="J5" i="7" s="1"/>
  <c r="B7" i="7"/>
  <c r="F6" i="7"/>
  <c r="M6" i="7" s="1"/>
  <c r="E6" i="7"/>
  <c r="D6" i="7"/>
  <c r="K6" i="7" s="1"/>
  <c r="C6" i="7"/>
  <c r="J6" i="7" s="1"/>
  <c r="B6" i="7"/>
  <c r="I6" i="7" s="1"/>
  <c r="F4" i="7"/>
  <c r="M3" i="7" s="1"/>
  <c r="E4" i="7"/>
  <c r="L7" i="7" s="1"/>
  <c r="D4" i="7"/>
  <c r="C4" i="7"/>
  <c r="B4" i="7"/>
  <c r="I4" i="7" s="1"/>
  <c r="F3" i="7"/>
  <c r="E3" i="7"/>
  <c r="L3" i="7" s="1"/>
  <c r="D3" i="7"/>
  <c r="K3" i="7" s="1"/>
  <c r="C3" i="7"/>
  <c r="J3" i="7" s="1"/>
  <c r="B3" i="7"/>
  <c r="I7" i="7" s="1"/>
  <c r="F2" i="7"/>
  <c r="E2" i="7"/>
  <c r="L13" i="7" s="1"/>
  <c r="D2" i="7"/>
  <c r="K4" i="7" s="1"/>
  <c r="C2" i="7"/>
  <c r="B2" i="7"/>
  <c r="B5" i="6"/>
  <c r="C5" i="6"/>
  <c r="D5" i="6"/>
  <c r="E5" i="6"/>
  <c r="F5" i="6"/>
  <c r="B12" i="6"/>
  <c r="C12" i="6"/>
  <c r="D12" i="6"/>
  <c r="E12" i="6"/>
  <c r="F12" i="6"/>
  <c r="T2" i="9" l="1"/>
  <c r="S4" i="9"/>
  <c r="T4" i="9"/>
  <c r="U4" i="9"/>
  <c r="S7" i="9"/>
  <c r="S8" i="9"/>
  <c r="T8" i="9"/>
  <c r="S3" i="9"/>
  <c r="W3" i="9" s="1"/>
  <c r="T7" i="9"/>
  <c r="U2" i="9"/>
  <c r="U8" i="9"/>
  <c r="T3" i="9"/>
  <c r="U7" i="9"/>
  <c r="U5" i="9"/>
  <c r="W2" i="9"/>
  <c r="X2" i="9"/>
  <c r="S5" i="9"/>
  <c r="U3" i="9"/>
  <c r="S6" i="9"/>
  <c r="T5" i="9"/>
  <c r="J13" i="7"/>
  <c r="L15" i="7"/>
  <c r="M4" i="7"/>
  <c r="I11" i="7"/>
  <c r="I3" i="7"/>
  <c r="J15" i="7"/>
  <c r="J7" i="7"/>
  <c r="L9" i="7"/>
  <c r="I8" i="7"/>
  <c r="M12" i="7"/>
  <c r="I15" i="7"/>
  <c r="J12" i="7"/>
  <c r="K9" i="7"/>
  <c r="L6" i="7"/>
  <c r="M11" i="7"/>
  <c r="J11" i="7"/>
  <c r="L4" i="7"/>
  <c r="M12" i="8"/>
  <c r="K12" i="9"/>
  <c r="J4" i="7"/>
  <c r="L12" i="8"/>
  <c r="J12" i="9"/>
  <c r="I9" i="8"/>
  <c r="I8" i="8"/>
  <c r="I4" i="8"/>
  <c r="I13" i="8"/>
  <c r="I15" i="8"/>
  <c r="I7" i="8"/>
  <c r="I5" i="8"/>
  <c r="I10" i="8"/>
  <c r="I2" i="8"/>
  <c r="I11" i="8"/>
  <c r="I3" i="8"/>
  <c r="I14" i="8"/>
  <c r="I6" i="8"/>
  <c r="J12" i="8"/>
  <c r="K9" i="9"/>
  <c r="K5" i="9"/>
  <c r="K4" i="9"/>
  <c r="K15" i="9"/>
  <c r="K7" i="9"/>
  <c r="K10" i="9"/>
  <c r="K2" i="9"/>
  <c r="K13" i="9"/>
  <c r="K8" i="9"/>
  <c r="K11" i="9"/>
  <c r="K3" i="9"/>
  <c r="K14" i="9"/>
  <c r="K6" i="9"/>
  <c r="J4" i="8"/>
  <c r="J15" i="8"/>
  <c r="J7" i="8"/>
  <c r="J11" i="8"/>
  <c r="J10" i="8"/>
  <c r="J2" i="8"/>
  <c r="J13" i="8"/>
  <c r="J5" i="8"/>
  <c r="J3" i="8"/>
  <c r="J14" i="8"/>
  <c r="J6" i="8"/>
  <c r="J8" i="8"/>
  <c r="J9" i="8"/>
  <c r="I12" i="8"/>
  <c r="J14" i="9"/>
  <c r="J6" i="9"/>
  <c r="J5" i="9"/>
  <c r="J9" i="9"/>
  <c r="J4" i="9"/>
  <c r="J13" i="9"/>
  <c r="J15" i="9"/>
  <c r="J7" i="9"/>
  <c r="J2" i="9"/>
  <c r="J8" i="9"/>
  <c r="J11" i="9"/>
  <c r="J3" i="9"/>
  <c r="J10" i="9"/>
  <c r="I11" i="9"/>
  <c r="I3" i="9"/>
  <c r="I14" i="9"/>
  <c r="I6" i="9"/>
  <c r="I9" i="9"/>
  <c r="I15" i="9"/>
  <c r="I2" i="9"/>
  <c r="I4" i="9"/>
  <c r="I13" i="9"/>
  <c r="I5" i="9"/>
  <c r="I10" i="9"/>
  <c r="I8" i="9"/>
  <c r="I7" i="9"/>
  <c r="L10" i="8"/>
  <c r="L2" i="8"/>
  <c r="L13" i="8"/>
  <c r="L5" i="8"/>
  <c r="L8" i="8"/>
  <c r="L14" i="8"/>
  <c r="L11" i="8"/>
  <c r="L3" i="8"/>
  <c r="L6" i="8"/>
  <c r="L4" i="8"/>
  <c r="L9" i="8"/>
  <c r="L15" i="8"/>
  <c r="L7" i="8"/>
  <c r="M12" i="9"/>
  <c r="M13" i="8"/>
  <c r="M5" i="8"/>
  <c r="M8" i="8"/>
  <c r="M11" i="8"/>
  <c r="M3" i="8"/>
  <c r="M4" i="8"/>
  <c r="M14" i="8"/>
  <c r="M6" i="8"/>
  <c r="M15" i="8"/>
  <c r="M7" i="8"/>
  <c r="M10" i="8"/>
  <c r="M2" i="8"/>
  <c r="M9" i="8"/>
  <c r="L12" i="9"/>
  <c r="M15" i="9"/>
  <c r="M7" i="9"/>
  <c r="M11" i="9"/>
  <c r="M14" i="9"/>
  <c r="M10" i="9"/>
  <c r="M2" i="9"/>
  <c r="M6" i="9"/>
  <c r="M13" i="9"/>
  <c r="M5" i="9"/>
  <c r="M8" i="9"/>
  <c r="M9" i="9"/>
  <c r="M3" i="9"/>
  <c r="M4" i="9"/>
  <c r="K15" i="8"/>
  <c r="K7" i="8"/>
  <c r="K11" i="8"/>
  <c r="K10" i="8"/>
  <c r="K2" i="8"/>
  <c r="K3" i="8"/>
  <c r="K13" i="8"/>
  <c r="K5" i="8"/>
  <c r="K8" i="8"/>
  <c r="K14" i="8"/>
  <c r="K9" i="8"/>
  <c r="K4" i="8"/>
  <c r="K6" i="8"/>
  <c r="K12" i="8"/>
  <c r="L4" i="9"/>
  <c r="L15" i="9"/>
  <c r="L7" i="9"/>
  <c r="L8" i="9"/>
  <c r="L10" i="9"/>
  <c r="L2" i="9"/>
  <c r="L13" i="9"/>
  <c r="L5" i="9"/>
  <c r="L14" i="9"/>
  <c r="L6" i="9"/>
  <c r="L9" i="9"/>
  <c r="L11" i="9"/>
  <c r="L3" i="9"/>
  <c r="I12" i="9"/>
  <c r="J2" i="7"/>
  <c r="I2" i="7"/>
  <c r="M2" i="7"/>
  <c r="L2" i="7"/>
  <c r="K2" i="7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1" i="6"/>
  <c r="E11" i="6"/>
  <c r="D11" i="6"/>
  <c r="C11" i="6"/>
  <c r="B11" i="6"/>
  <c r="F10" i="6"/>
  <c r="E10" i="6"/>
  <c r="D10" i="6"/>
  <c r="C10" i="6"/>
  <c r="J10" i="6" s="1"/>
  <c r="B10" i="6"/>
  <c r="F9" i="6"/>
  <c r="E9" i="6"/>
  <c r="D9" i="6"/>
  <c r="C9" i="6"/>
  <c r="B9" i="6"/>
  <c r="F8" i="6"/>
  <c r="E8" i="6"/>
  <c r="L8" i="6" s="1"/>
  <c r="D8" i="6"/>
  <c r="C8" i="6"/>
  <c r="B8" i="6"/>
  <c r="F7" i="6"/>
  <c r="E7" i="6"/>
  <c r="D7" i="6"/>
  <c r="C7" i="6"/>
  <c r="B7" i="6"/>
  <c r="I7" i="6" s="1"/>
  <c r="F6" i="6"/>
  <c r="E6" i="6"/>
  <c r="D6" i="6"/>
  <c r="C6" i="6"/>
  <c r="B6" i="6"/>
  <c r="F4" i="6"/>
  <c r="E4" i="6"/>
  <c r="D4" i="6"/>
  <c r="C4" i="6"/>
  <c r="B4" i="6"/>
  <c r="F3" i="6"/>
  <c r="E3" i="6"/>
  <c r="D3" i="6"/>
  <c r="K12" i="6" s="1"/>
  <c r="C3" i="6"/>
  <c r="B3" i="6"/>
  <c r="F2" i="6"/>
  <c r="M5" i="6" s="1"/>
  <c r="E2" i="6"/>
  <c r="L12" i="6" s="1"/>
  <c r="D2" i="6"/>
  <c r="C2" i="6"/>
  <c r="B2" i="6"/>
  <c r="X7" i="9" l="1"/>
  <c r="O7" i="8"/>
  <c r="P7" i="8"/>
  <c r="P6" i="8"/>
  <c r="O6" i="8"/>
  <c r="P15" i="8"/>
  <c r="O15" i="8"/>
  <c r="P14" i="8"/>
  <c r="O14" i="8"/>
  <c r="P3" i="8"/>
  <c r="O3" i="8"/>
  <c r="P4" i="8"/>
  <c r="O4" i="8"/>
  <c r="O13" i="8"/>
  <c r="P13" i="8"/>
  <c r="P11" i="8"/>
  <c r="O11" i="8"/>
  <c r="P8" i="8"/>
  <c r="O8" i="8"/>
  <c r="P12" i="8"/>
  <c r="O12" i="8"/>
  <c r="P2" i="8"/>
  <c r="O2" i="8"/>
  <c r="P9" i="8"/>
  <c r="O9" i="8"/>
  <c r="O10" i="8"/>
  <c r="P10" i="8"/>
  <c r="P5" i="8"/>
  <c r="O5" i="8"/>
  <c r="P4" i="9"/>
  <c r="O4" i="9"/>
  <c r="O8" i="9"/>
  <c r="P8" i="9"/>
  <c r="P6" i="9"/>
  <c r="O6" i="9"/>
  <c r="W5" i="9"/>
  <c r="X3" i="9"/>
  <c r="P15" i="9"/>
  <c r="O15" i="9"/>
  <c r="W8" i="9"/>
  <c r="P10" i="9"/>
  <c r="O10" i="9"/>
  <c r="O14" i="9"/>
  <c r="P14" i="9"/>
  <c r="W6" i="9"/>
  <c r="X6" i="9"/>
  <c r="X8" i="9"/>
  <c r="O9" i="9"/>
  <c r="P9" i="9"/>
  <c r="P12" i="9"/>
  <c r="O12" i="9"/>
  <c r="P5" i="9"/>
  <c r="O5" i="9"/>
  <c r="O3" i="9"/>
  <c r="P3" i="9"/>
  <c r="X4" i="9"/>
  <c r="W4" i="9"/>
  <c r="P2" i="9"/>
  <c r="O2" i="9"/>
  <c r="P7" i="9"/>
  <c r="O7" i="9"/>
  <c r="P13" i="9"/>
  <c r="O13" i="9"/>
  <c r="P11" i="9"/>
  <c r="O11" i="9"/>
  <c r="X5" i="9"/>
  <c r="W7" i="9"/>
  <c r="I13" i="6"/>
  <c r="K14" i="6"/>
  <c r="K10" i="6"/>
  <c r="I9" i="6"/>
  <c r="M14" i="6"/>
  <c r="L7" i="6"/>
  <c r="K13" i="6"/>
  <c r="I12" i="6"/>
  <c r="J6" i="6"/>
  <c r="M7" i="6"/>
  <c r="K9" i="6"/>
  <c r="I11" i="6"/>
  <c r="L13" i="6"/>
  <c r="J15" i="6"/>
  <c r="I5" i="6"/>
  <c r="M8" i="6"/>
  <c r="K7" i="6"/>
  <c r="J13" i="6"/>
  <c r="J9" i="6"/>
  <c r="I15" i="6"/>
  <c r="J12" i="6"/>
  <c r="M3" i="6"/>
  <c r="K6" i="6"/>
  <c r="I8" i="6"/>
  <c r="L9" i="6"/>
  <c r="J11" i="6"/>
  <c r="M13" i="6"/>
  <c r="K15" i="6"/>
  <c r="L14" i="6"/>
  <c r="L10" i="6"/>
  <c r="M10" i="6"/>
  <c r="K5" i="6"/>
  <c r="L6" i="6"/>
  <c r="J8" i="6"/>
  <c r="M9" i="6"/>
  <c r="K11" i="6"/>
  <c r="I14" i="6"/>
  <c r="L15" i="6"/>
  <c r="M12" i="6"/>
  <c r="M11" i="6"/>
  <c r="J7" i="6"/>
  <c r="M4" i="6"/>
  <c r="I6" i="6"/>
  <c r="L5" i="6"/>
  <c r="M6" i="6"/>
  <c r="K8" i="6"/>
  <c r="I10" i="6"/>
  <c r="L11" i="6"/>
  <c r="J14" i="6"/>
  <c r="M15" i="6"/>
  <c r="J5" i="6"/>
  <c r="L3" i="6"/>
  <c r="J4" i="6"/>
  <c r="J2" i="6"/>
  <c r="I2" i="6"/>
  <c r="I3" i="6"/>
  <c r="J3" i="6"/>
  <c r="M2" i="6"/>
  <c r="K3" i="6"/>
  <c r="I4" i="6"/>
  <c r="K4" i="6"/>
  <c r="L4" i="6"/>
  <c r="K2" i="6"/>
  <c r="L2" i="6"/>
  <c r="B2" i="4" l="1"/>
  <c r="C2" i="4"/>
  <c r="D2" i="4"/>
  <c r="E2" i="4"/>
  <c r="F2" i="4"/>
  <c r="B3" i="4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 l="1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" i="3" l="1"/>
  <c r="C2" i="3"/>
  <c r="D2" i="3"/>
  <c r="E2" i="3"/>
  <c r="F2" i="3"/>
  <c r="B3" i="3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2" i="2" l="1"/>
  <c r="C2" i="2"/>
  <c r="D2" i="2"/>
  <c r="E2" i="2"/>
  <c r="F2" i="2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 l="1"/>
  <c r="I11" i="2" s="1"/>
  <c r="C15" i="2"/>
  <c r="D15" i="2"/>
  <c r="E15" i="2"/>
  <c r="F15" i="2"/>
  <c r="M10" i="2" s="1"/>
  <c r="B16" i="2"/>
  <c r="I9" i="2" s="1"/>
  <c r="C16" i="2"/>
  <c r="J9" i="2" s="1"/>
  <c r="D16" i="2"/>
  <c r="E16" i="2"/>
  <c r="F16" i="2"/>
  <c r="B17" i="2"/>
  <c r="C17" i="2"/>
  <c r="D17" i="2"/>
  <c r="K2" i="2" s="1"/>
  <c r="E17" i="2"/>
  <c r="L13" i="2" s="1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I21" i="2" s="1"/>
  <c r="C21" i="2"/>
  <c r="D21" i="2"/>
  <c r="E21" i="2"/>
  <c r="F21" i="2"/>
  <c r="B22" i="2"/>
  <c r="C22" i="2"/>
  <c r="D22" i="2"/>
  <c r="E22" i="2"/>
  <c r="L22" i="2" s="1"/>
  <c r="F22" i="2"/>
  <c r="B23" i="2"/>
  <c r="C23" i="2"/>
  <c r="D23" i="2"/>
  <c r="E23" i="2"/>
  <c r="F23" i="2"/>
  <c r="B24" i="2"/>
  <c r="C24" i="2"/>
  <c r="J24" i="2" s="1"/>
  <c r="D24" i="2"/>
  <c r="E24" i="2"/>
  <c r="F24" i="2"/>
  <c r="B25" i="2"/>
  <c r="C25" i="2"/>
  <c r="D25" i="2"/>
  <c r="E25" i="2"/>
  <c r="F25" i="2"/>
  <c r="M25" i="2" s="1"/>
  <c r="B26" i="2"/>
  <c r="C26" i="2"/>
  <c r="D26" i="2"/>
  <c r="E26" i="2"/>
  <c r="F26" i="2"/>
  <c r="B27" i="2"/>
  <c r="C27" i="2"/>
  <c r="D27" i="2"/>
  <c r="K27" i="2" s="1"/>
  <c r="E27" i="2"/>
  <c r="F27" i="2"/>
  <c r="M27" i="2" s="1"/>
  <c r="J2" i="2" l="1"/>
  <c r="I12" i="2"/>
  <c r="J8" i="2"/>
  <c r="M9" i="2"/>
  <c r="K19" i="2"/>
  <c r="K3" i="2"/>
  <c r="M17" i="2"/>
  <c r="L14" i="2"/>
  <c r="K10" i="2"/>
  <c r="L25" i="2"/>
  <c r="M20" i="2"/>
  <c r="J19" i="2"/>
  <c r="J5" i="2"/>
  <c r="K25" i="2"/>
  <c r="J22" i="2"/>
  <c r="I19" i="2"/>
  <c r="M15" i="2"/>
  <c r="I14" i="2"/>
  <c r="M13" i="2"/>
  <c r="K4" i="2"/>
  <c r="I3" i="2"/>
  <c r="J25" i="2"/>
  <c r="I22" i="2"/>
  <c r="M18" i="2"/>
  <c r="L15" i="2"/>
  <c r="K5" i="2"/>
  <c r="J4" i="2"/>
  <c r="L26" i="2"/>
  <c r="I25" i="2"/>
  <c r="K23" i="2"/>
  <c r="M21" i="2"/>
  <c r="J20" i="2"/>
  <c r="L18" i="2"/>
  <c r="I17" i="2"/>
  <c r="K15" i="2"/>
  <c r="I10" i="2"/>
  <c r="J14" i="2"/>
  <c r="I7" i="2"/>
  <c r="K12" i="2"/>
  <c r="I4" i="2"/>
  <c r="L4" i="2"/>
  <c r="M5" i="2"/>
  <c r="K6" i="2"/>
  <c r="L3" i="2"/>
  <c r="K13" i="2"/>
  <c r="M2" i="2"/>
  <c r="I24" i="2"/>
  <c r="L17" i="2"/>
  <c r="I6" i="2"/>
  <c r="I27" i="2"/>
  <c r="M23" i="2"/>
  <c r="L20" i="2"/>
  <c r="K17" i="2"/>
  <c r="M6" i="2"/>
  <c r="M3" i="2"/>
  <c r="I13" i="2"/>
  <c r="L2" i="2"/>
  <c r="M26" i="2"/>
  <c r="L23" i="2"/>
  <c r="K20" i="2"/>
  <c r="J17" i="2"/>
  <c r="K8" i="2"/>
  <c r="M7" i="2"/>
  <c r="L7" i="2"/>
  <c r="L12" i="2"/>
  <c r="K26" i="2"/>
  <c r="M24" i="2"/>
  <c r="J23" i="2"/>
  <c r="L21" i="2"/>
  <c r="I20" i="2"/>
  <c r="K18" i="2"/>
  <c r="M16" i="2"/>
  <c r="J15" i="2"/>
  <c r="L11" i="2"/>
  <c r="M4" i="2"/>
  <c r="L8" i="2"/>
  <c r="J6" i="2"/>
  <c r="L5" i="2"/>
  <c r="K7" i="2"/>
  <c r="J11" i="2"/>
  <c r="J16" i="2"/>
  <c r="J12" i="2"/>
  <c r="M12" i="2"/>
  <c r="J27" i="2"/>
  <c r="K22" i="2"/>
  <c r="I16" i="2"/>
  <c r="J26" i="2"/>
  <c r="L24" i="2"/>
  <c r="I23" i="2"/>
  <c r="K21" i="2"/>
  <c r="M19" i="2"/>
  <c r="J18" i="2"/>
  <c r="L16" i="2"/>
  <c r="I15" i="2"/>
  <c r="J13" i="2"/>
  <c r="K14" i="2"/>
  <c r="J10" i="2"/>
  <c r="K9" i="2"/>
  <c r="J7" i="2"/>
  <c r="I8" i="2"/>
  <c r="I5" i="2"/>
  <c r="L27" i="2"/>
  <c r="I26" i="2"/>
  <c r="K24" i="2"/>
  <c r="M22" i="2"/>
  <c r="J21" i="2"/>
  <c r="L19" i="2"/>
  <c r="I18" i="2"/>
  <c r="K16" i="2"/>
  <c r="I2" i="2"/>
  <c r="M14" i="2"/>
  <c r="L6" i="2"/>
  <c r="M11" i="2"/>
  <c r="J3" i="2"/>
  <c r="M8" i="2"/>
  <c r="L9" i="2"/>
  <c r="L10" i="2"/>
  <c r="K11" i="2"/>
  <c r="B2" i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 l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J21" i="1" s="1"/>
  <c r="D21" i="1"/>
  <c r="E21" i="1"/>
  <c r="F21" i="1"/>
  <c r="B22" i="1"/>
  <c r="C22" i="1"/>
  <c r="D22" i="1"/>
  <c r="E22" i="1"/>
  <c r="F22" i="1"/>
  <c r="M22" i="1" s="1"/>
  <c r="B23" i="1"/>
  <c r="C23" i="1"/>
  <c r="D23" i="1"/>
  <c r="E23" i="1"/>
  <c r="F23" i="1"/>
  <c r="B24" i="1"/>
  <c r="C24" i="1"/>
  <c r="D24" i="1"/>
  <c r="K24" i="1" s="1"/>
  <c r="E24" i="1"/>
  <c r="F24" i="1"/>
  <c r="B25" i="1"/>
  <c r="C25" i="1"/>
  <c r="D25" i="1"/>
  <c r="E25" i="1"/>
  <c r="F25" i="1"/>
  <c r="B26" i="1"/>
  <c r="I26" i="1" s="1"/>
  <c r="C26" i="1"/>
  <c r="D26" i="1"/>
  <c r="E26" i="1"/>
  <c r="F26" i="1"/>
  <c r="B27" i="1"/>
  <c r="C27" i="1"/>
  <c r="D27" i="1"/>
  <c r="E27" i="1"/>
  <c r="L27" i="1" s="1"/>
  <c r="F27" i="1"/>
  <c r="L22" i="1" l="1"/>
  <c r="J27" i="1"/>
  <c r="L25" i="1"/>
  <c r="I24" i="1"/>
  <c r="K22" i="1"/>
  <c r="M20" i="1"/>
  <c r="J19" i="1"/>
  <c r="L17" i="1"/>
  <c r="I16" i="1"/>
  <c r="M25" i="1"/>
  <c r="J16" i="1"/>
  <c r="I27" i="1"/>
  <c r="K25" i="1"/>
  <c r="M23" i="1"/>
  <c r="J22" i="1"/>
  <c r="L20" i="1"/>
  <c r="I19" i="1"/>
  <c r="K17" i="1"/>
  <c r="M6" i="1"/>
  <c r="M7" i="1"/>
  <c r="M8" i="1"/>
  <c r="M9" i="1"/>
  <c r="M10" i="1"/>
  <c r="M11" i="1"/>
  <c r="M3" i="1"/>
  <c r="M4" i="1"/>
  <c r="M12" i="1"/>
  <c r="M2" i="1"/>
  <c r="M14" i="1"/>
  <c r="M5" i="1"/>
  <c r="M13" i="1"/>
  <c r="M15" i="1"/>
  <c r="K27" i="1"/>
  <c r="M17" i="1"/>
  <c r="M26" i="1"/>
  <c r="J25" i="1"/>
  <c r="L23" i="1"/>
  <c r="I22" i="1"/>
  <c r="K20" i="1"/>
  <c r="M18" i="1"/>
  <c r="J17" i="1"/>
  <c r="L7" i="1"/>
  <c r="L15" i="1"/>
  <c r="L8" i="1"/>
  <c r="L9" i="1"/>
  <c r="L10" i="1"/>
  <c r="L2" i="1"/>
  <c r="L12" i="1"/>
  <c r="L5" i="1"/>
  <c r="L14" i="1"/>
  <c r="L3" i="1"/>
  <c r="L11" i="1"/>
  <c r="L4" i="1"/>
  <c r="L13" i="1"/>
  <c r="L6" i="1"/>
  <c r="K16" i="1"/>
  <c r="K19" i="1"/>
  <c r="L26" i="1"/>
  <c r="I25" i="1"/>
  <c r="K23" i="1"/>
  <c r="M21" i="1"/>
  <c r="J20" i="1"/>
  <c r="L18" i="1"/>
  <c r="I17" i="1"/>
  <c r="K7" i="1"/>
  <c r="K15" i="1"/>
  <c r="K8" i="1"/>
  <c r="K9" i="1"/>
  <c r="K10" i="1"/>
  <c r="K4" i="1"/>
  <c r="K13" i="1"/>
  <c r="K6" i="1"/>
  <c r="K3" i="1"/>
  <c r="K11" i="1"/>
  <c r="K12" i="1"/>
  <c r="K2" i="1"/>
  <c r="K5" i="1"/>
  <c r="K14" i="1"/>
  <c r="L19" i="1"/>
  <c r="J24" i="1"/>
  <c r="I21" i="1"/>
  <c r="K26" i="1"/>
  <c r="M24" i="1"/>
  <c r="J23" i="1"/>
  <c r="L21" i="1"/>
  <c r="I20" i="1"/>
  <c r="K18" i="1"/>
  <c r="M16" i="1"/>
  <c r="J6" i="1"/>
  <c r="J14" i="1"/>
  <c r="J8" i="1"/>
  <c r="J10" i="1"/>
  <c r="J3" i="1"/>
  <c r="J12" i="1"/>
  <c r="J2" i="1"/>
  <c r="J5" i="1"/>
  <c r="J15" i="1"/>
  <c r="J9" i="1"/>
  <c r="J11" i="1"/>
  <c r="J4" i="1"/>
  <c r="J13" i="1"/>
  <c r="J7" i="1"/>
  <c r="I18" i="1"/>
  <c r="M27" i="1"/>
  <c r="J26" i="1"/>
  <c r="L24" i="1"/>
  <c r="I23" i="1"/>
  <c r="K21" i="1"/>
  <c r="M19" i="1"/>
  <c r="J18" i="1"/>
  <c r="L16" i="1"/>
  <c r="I4" i="1"/>
  <c r="I12" i="1"/>
  <c r="I2" i="1"/>
  <c r="I6" i="1"/>
  <c r="I14" i="1"/>
  <c r="I8" i="1"/>
  <c r="I11" i="1"/>
  <c r="I5" i="1"/>
  <c r="I7" i="1"/>
  <c r="I15" i="1"/>
  <c r="I9" i="1"/>
  <c r="I10" i="1"/>
  <c r="I3" i="1"/>
  <c r="I13" i="1"/>
</calcChain>
</file>

<file path=xl/sharedStrings.xml><?xml version="1.0" encoding="utf-8"?>
<sst xmlns="http://schemas.openxmlformats.org/spreadsheetml/2006/main" count="353" uniqueCount="36">
  <si>
    <t>1_inv</t>
  </si>
  <si>
    <t>2_inv</t>
  </si>
  <si>
    <t>3_inv</t>
  </si>
  <si>
    <t>4_inv</t>
  </si>
  <si>
    <t>5_inv</t>
  </si>
  <si>
    <t>6_inv</t>
  </si>
  <si>
    <t>7_inv</t>
  </si>
  <si>
    <t>8_inv</t>
  </si>
  <si>
    <t>9_inv</t>
  </si>
  <si>
    <t>10_inv</t>
  </si>
  <si>
    <t>11_inv</t>
  </si>
  <si>
    <t>12_inv</t>
  </si>
  <si>
    <t>13_inv</t>
  </si>
  <si>
    <t>Carbon</t>
  </si>
  <si>
    <t>EQ</t>
  </si>
  <si>
    <t>HH</t>
  </si>
  <si>
    <t>Scenario</t>
  </si>
  <si>
    <t>EQ (excl. CO2)</t>
  </si>
  <si>
    <t>HH (excl. CO2)</t>
  </si>
  <si>
    <t>minCO2</t>
  </si>
  <si>
    <t>minEQ</t>
  </si>
  <si>
    <t>minHH</t>
  </si>
  <si>
    <t>minCO2&amp;EQ</t>
  </si>
  <si>
    <t>minCO2&amp;HH</t>
  </si>
  <si>
    <t>minCO2&amp;EQ&amp;HH</t>
  </si>
  <si>
    <t>minEQ&amp;HH</t>
  </si>
  <si>
    <t>minCO2_inv</t>
  </si>
  <si>
    <t>minEQ_inv</t>
  </si>
  <si>
    <t>minHH_inv</t>
  </si>
  <si>
    <t>minEQ&amp;HH_inv</t>
  </si>
  <si>
    <t>minCO2&amp;EQ_inv</t>
  </si>
  <si>
    <t>minCO2&amp;HH_inv</t>
  </si>
  <si>
    <t>minCO2&amp;EQ&amp;HH_inv</t>
  </si>
  <si>
    <t>dist nor</t>
  </si>
  <si>
    <t>dist eucl</t>
  </si>
  <si>
    <t>Normalisation par type d'investissement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</si>
</sst>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11" fontId="0" fillId="2" borderId="1" xfId="0" applyNumberFormat="1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4" borderId="1" xfId="0" applyFill="1" applyBorder="1"/>
    <xf numFmtId="11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6" borderId="1" xfId="0" applyNumberFormat="1" applyFill="1" applyBorder="1"/>
  </cellXfs>
  <cellStyles count="1">
    <cellStyle name="Normal" xfId="0" builtinId="0"/>
  </cellStyles>
  <dxfs count="44">
    <dxf>
      <font>
        <color rgb="FF9C0006"/>
      </font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corr_peat_HC2!$I$2:$M$2</c:f>
              <c:numCache>
                <c:formatCode>General</c:formatCode>
                <c:ptCount val="5"/>
                <c:pt idx="0">
                  <c:v>0.28314796316451074</c:v>
                </c:pt>
                <c:pt idx="1">
                  <c:v>1</c:v>
                </c:pt>
                <c:pt idx="2">
                  <c:v>0.95747517385488723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B-4754-80AD-2E24CE6E8289}"/>
            </c:ext>
          </c:extLst>
        </c:ser>
        <c:ser>
          <c:idx val="1"/>
          <c:order val="1"/>
          <c:tx>
            <c:strRef>
              <c:f>corr_peat_HC2!$H$3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corr_peat_HC2!$I$3:$M$3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0.94849154914703904</c:v>
                </c:pt>
                <c:pt idx="3">
                  <c:v>2.9369202415624962E-2</c:v>
                </c:pt>
                <c:pt idx="4">
                  <c:v>8.0296230610275576E-2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B-4754-80AD-2E24CE6E8289}"/>
            </c:ext>
          </c:extLst>
        </c:ser>
        <c:ser>
          <c:idx val="2"/>
          <c:order val="2"/>
          <c:tx>
            <c:strRef>
              <c:f>corr_peat_HC2!$H$4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corr_peat_HC2!$I$4:$M$4</c:f>
              <c:numCache>
                <c:formatCode>General</c:formatCode>
                <c:ptCount val="5"/>
                <c:pt idx="0">
                  <c:v>0.87305811838149283</c:v>
                </c:pt>
                <c:pt idx="1">
                  <c:v>0.59856688682248527</c:v>
                </c:pt>
                <c:pt idx="2">
                  <c:v>0.9478016437689033</c:v>
                </c:pt>
                <c:pt idx="3">
                  <c:v>0.11233784921832995</c:v>
                </c:pt>
                <c:pt idx="4">
                  <c:v>0.15920777355952309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B-4754-80AD-2E24CE6E8289}"/>
            </c:ext>
          </c:extLst>
        </c:ser>
        <c:ser>
          <c:idx val="3"/>
          <c:order val="3"/>
          <c:tx>
            <c:strRef>
              <c:f>corr_peat_HC2!$H$5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corr_peat_HC2!$I$5:$M$5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0.56210485449342129</c:v>
                </c:pt>
                <c:pt idx="2">
                  <c:v>0.94849154914703881</c:v>
                </c:pt>
                <c:pt idx="3">
                  <c:v>2.9369202415624962E-2</c:v>
                </c:pt>
                <c:pt idx="4">
                  <c:v>8.0296230610275632E-2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B-4754-80AD-2E24CE6E8289}"/>
            </c:ext>
          </c:extLst>
        </c:ser>
        <c:ser>
          <c:idx val="4"/>
          <c:order val="4"/>
          <c:tx>
            <c:strRef>
              <c:f>corr_peat_HC2!$H$6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corr_peat_HC2!$I$6:$M$6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0.94849154914703904</c:v>
                </c:pt>
                <c:pt idx="3">
                  <c:v>2.9369202415624962E-2</c:v>
                </c:pt>
                <c:pt idx="4">
                  <c:v>8.0296230610275576E-2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B-4754-80AD-2E24CE6E8289}"/>
            </c:ext>
          </c:extLst>
        </c:ser>
        <c:ser>
          <c:idx val="5"/>
          <c:order val="5"/>
          <c:tx>
            <c:strRef>
              <c:f>corr_peat_HC2!$H$7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corr_peat_HC2!$I$7:$M$7</c:f>
              <c:numCache>
                <c:formatCode>General</c:formatCode>
                <c:ptCount val="5"/>
                <c:pt idx="0">
                  <c:v>0.93001431230031695</c:v>
                </c:pt>
                <c:pt idx="1">
                  <c:v>0.56210485469634541</c:v>
                </c:pt>
                <c:pt idx="2">
                  <c:v>0.94849154952874626</c:v>
                </c:pt>
                <c:pt idx="3">
                  <c:v>2.9369202214279834E-2</c:v>
                </c:pt>
                <c:pt idx="4">
                  <c:v>8.0296230236968871E-2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CB-4754-80AD-2E24CE6E8289}"/>
            </c:ext>
          </c:extLst>
        </c:ser>
        <c:ser>
          <c:idx val="6"/>
          <c:order val="6"/>
          <c:tx>
            <c:strRef>
              <c:f>corr_peat_HC2!$H$8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0.59884306850997748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CB-4754-80AD-2E24CE6E8289}"/>
            </c:ext>
          </c:extLst>
        </c:ser>
        <c:ser>
          <c:idx val="7"/>
          <c:order val="7"/>
          <c:tx>
            <c:strRef>
              <c:f>corr_peat_HC2!$H$9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corr_peat_HC2!$I$9:$M$9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CB-4754-80AD-2E24CE6E8289}"/>
            </c:ext>
          </c:extLst>
        </c:ser>
        <c:ser>
          <c:idx val="8"/>
          <c:order val="8"/>
          <c:tx>
            <c:strRef>
              <c:f>corr_peat_HC2!$H$10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corr_peat_HC2!$I$10:$M$10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CB-4754-80AD-2E24CE6E8289}"/>
            </c:ext>
          </c:extLst>
        </c:ser>
        <c:ser>
          <c:idx val="9"/>
          <c:order val="9"/>
          <c:tx>
            <c:strRef>
              <c:f>corr_peat_HC2!$H$11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corr_peat_HC2!$I$11:$M$11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CB-4754-80AD-2E24CE6E8289}"/>
            </c:ext>
          </c:extLst>
        </c:ser>
        <c:ser>
          <c:idx val="10"/>
          <c:order val="10"/>
          <c:tx>
            <c:strRef>
              <c:f>corr_peat_HC2!$H$12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corr_peat_HC2!$I$12:$M$12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CB-4754-80AD-2E24CE6E8289}"/>
            </c:ext>
          </c:extLst>
        </c:ser>
        <c:ser>
          <c:idx val="11"/>
          <c:order val="11"/>
          <c:tx>
            <c:strRef>
              <c:f>corr_peat_HC2!$H$13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corr_peat_HC2!$I$13:$M$13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CB-4754-80AD-2E24CE6E8289}"/>
            </c:ext>
          </c:extLst>
        </c:ser>
        <c:ser>
          <c:idx val="12"/>
          <c:order val="12"/>
          <c:tx>
            <c:strRef>
              <c:f>corr_peat_HC2!$H$14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corr_peat_HC2!$I$14:$M$14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CB-4754-80AD-2E24CE6E8289}"/>
            </c:ext>
          </c:extLst>
        </c:ser>
        <c:ser>
          <c:idx val="13"/>
          <c:order val="13"/>
          <c:tx>
            <c:strRef>
              <c:f>corr_peat_HC2!$H$15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corr_peat_HC2!$I$15:$M$15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5.0240576187426299E-2</c:v>
                </c:pt>
                <c:pt idx="4">
                  <c:v>0.13393824532688434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CB-4754-80AD-2E24CE6E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72864"/>
        <c:axId val="2041927328"/>
      </c:lineChart>
      <c:catAx>
        <c:axId val="666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27328"/>
        <c:crosses val="autoZero"/>
        <c:auto val="1"/>
        <c:lblAlgn val="ctr"/>
        <c:lblOffset val="100"/>
        <c:noMultiLvlLbl val="0"/>
      </c:catAx>
      <c:valAx>
        <c:axId val="204192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0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62690591608218"/>
          <c:y val="2.7628556179514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corr_peat2!$I$2:$M$2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C-403D-BF18-8FF5A8AC2192}"/>
            </c:ext>
          </c:extLst>
        </c:ser>
        <c:ser>
          <c:idx val="1"/>
          <c:order val="1"/>
          <c:tx>
            <c:strRef>
              <c:f>corr_peat2!$H$3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corr_peat2!$I$3:$M$3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0.48060565214416329</c:v>
                </c:pt>
                <c:pt idx="2">
                  <c:v>0.97715586155231038</c:v>
                </c:pt>
                <c:pt idx="3">
                  <c:v>9.1672276432916699E-2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C-403D-BF18-8FF5A8AC2192}"/>
            </c:ext>
          </c:extLst>
        </c:ser>
        <c:ser>
          <c:idx val="2"/>
          <c:order val="2"/>
          <c:tx>
            <c:strRef>
              <c:f>corr_peat2!$H$4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corr_peat2!$I$4:$M$4</c:f>
              <c:numCache>
                <c:formatCode>General</c:formatCode>
                <c:ptCount val="5"/>
                <c:pt idx="0">
                  <c:v>0.9543699298632965</c:v>
                </c:pt>
                <c:pt idx="1">
                  <c:v>0.50239565208284032</c:v>
                </c:pt>
                <c:pt idx="2">
                  <c:v>0.97585533208726694</c:v>
                </c:pt>
                <c:pt idx="3">
                  <c:v>0.13131840439094425</c:v>
                </c:pt>
                <c:pt idx="4">
                  <c:v>4.3894899037455928E-2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C-403D-BF18-8FF5A8AC2192}"/>
            </c:ext>
          </c:extLst>
        </c:ser>
        <c:ser>
          <c:idx val="3"/>
          <c:order val="3"/>
          <c:tx>
            <c:strRef>
              <c:f>corr_peat2!$H$5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corr_peat2!$I$5:$M$5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0.48060565214416329</c:v>
                </c:pt>
                <c:pt idx="2">
                  <c:v>0.97715586155231038</c:v>
                </c:pt>
                <c:pt idx="3">
                  <c:v>9.1672276432916699E-2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C-403D-BF18-8FF5A8AC2192}"/>
            </c:ext>
          </c:extLst>
        </c:ser>
        <c:ser>
          <c:idx val="4"/>
          <c:order val="4"/>
          <c:tx>
            <c:strRef>
              <c:f>corr_peat2!$H$6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corr_peat2!$I$6:$M$6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0.48060565214416329</c:v>
                </c:pt>
                <c:pt idx="2">
                  <c:v>0.97715586155231038</c:v>
                </c:pt>
                <c:pt idx="3">
                  <c:v>9.1672276432916699E-2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5C-403D-BF18-8FF5A8AC2192}"/>
            </c:ext>
          </c:extLst>
        </c:ser>
        <c:ser>
          <c:idx val="5"/>
          <c:order val="5"/>
          <c:tx>
            <c:strRef>
              <c:f>corr_peat2!$H$7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corr_peat2!$I$7:$M$7</c:f>
              <c:numCache>
                <c:formatCode>General</c:formatCode>
                <c:ptCount val="5"/>
                <c:pt idx="0">
                  <c:v>0.97477821729515568</c:v>
                </c:pt>
                <c:pt idx="1">
                  <c:v>0.49252779349442943</c:v>
                </c:pt>
                <c:pt idx="2">
                  <c:v>0.97628714386155535</c:v>
                </c:pt>
                <c:pt idx="3">
                  <c:v>0.11347127556233043</c:v>
                </c:pt>
                <c:pt idx="4">
                  <c:v>2.4151691177495042E-2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5C-403D-BF18-8FF5A8AC2192}"/>
            </c:ext>
          </c:extLst>
        </c:ser>
        <c:ser>
          <c:idx val="6"/>
          <c:order val="6"/>
          <c:tx>
            <c:strRef>
              <c:f>corr_peat2!$H$8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corr_peat2!$I$8:$M$8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0.48060565214416329</c:v>
                </c:pt>
                <c:pt idx="2">
                  <c:v>0.97715586155231038</c:v>
                </c:pt>
                <c:pt idx="3">
                  <c:v>9.1672276432916699E-2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5C-403D-BF18-8FF5A8AC2192}"/>
            </c:ext>
          </c:extLst>
        </c:ser>
        <c:ser>
          <c:idx val="7"/>
          <c:order val="7"/>
          <c:tx>
            <c:strRef>
              <c:f>corr_peat2!$H$9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corr_peat2!$I$9:$M$9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5C-403D-BF18-8FF5A8AC2192}"/>
            </c:ext>
          </c:extLst>
        </c:ser>
        <c:ser>
          <c:idx val="8"/>
          <c:order val="8"/>
          <c:tx>
            <c:strRef>
              <c:f>corr_peat2!$H$10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corr_peat2!$I$10:$M$10</c:f>
              <c:numCache>
                <c:formatCode>General</c:formatCode>
                <c:ptCount val="5"/>
                <c:pt idx="0">
                  <c:v>0.58626566007692948</c:v>
                </c:pt>
                <c:pt idx="1">
                  <c:v>0</c:v>
                </c:pt>
                <c:pt idx="2">
                  <c:v>4.3456136433329979E-3</c:v>
                </c:pt>
                <c:pt idx="3">
                  <c:v>0</c:v>
                </c:pt>
                <c:pt idx="4">
                  <c:v>0.14338020703475673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5C-403D-BF18-8FF5A8AC2192}"/>
            </c:ext>
          </c:extLst>
        </c:ser>
        <c:ser>
          <c:idx val="9"/>
          <c:order val="9"/>
          <c:tx>
            <c:strRef>
              <c:f>corr_peat2!$H$11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corr_peat2!$I$11:$M$11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1.3256975402921585E-3</c:v>
                </c:pt>
                <c:pt idx="4">
                  <c:v>0.14291226389168171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5C-403D-BF18-8FF5A8AC2192}"/>
            </c:ext>
          </c:extLst>
        </c:ser>
        <c:ser>
          <c:idx val="10"/>
          <c:order val="10"/>
          <c:tx>
            <c:strRef>
              <c:f>corr_peat2!$H$12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corr_peat2!$I$12:$M$12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1.3256975402921585E-3</c:v>
                </c:pt>
                <c:pt idx="4">
                  <c:v>0.14291226389168171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5C-403D-BF18-8FF5A8AC2192}"/>
            </c:ext>
          </c:extLst>
        </c:ser>
        <c:ser>
          <c:idx val="11"/>
          <c:order val="11"/>
          <c:tx>
            <c:strRef>
              <c:f>corr_peat2!$H$13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corr_peat2!$I$13:$M$13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1.3256975402921585E-3</c:v>
                </c:pt>
                <c:pt idx="4">
                  <c:v>0.14291226389168171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5C-403D-BF18-8FF5A8AC2192}"/>
            </c:ext>
          </c:extLst>
        </c:ser>
        <c:ser>
          <c:idx val="12"/>
          <c:order val="12"/>
          <c:tx>
            <c:strRef>
              <c:f>corr_peat2!$H$14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corr_peat2!$I$14:$M$14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1.3256975402921585E-3</c:v>
                </c:pt>
                <c:pt idx="4">
                  <c:v>0.14291226389168171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5C-403D-BF18-8FF5A8AC2192}"/>
            </c:ext>
          </c:extLst>
        </c:ser>
        <c:ser>
          <c:idx val="13"/>
          <c:order val="13"/>
          <c:tx>
            <c:strRef>
              <c:f>corr_peat2!$H$15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corr_peat2!$I$15:$M$15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1.3256975402921585E-3</c:v>
                </c:pt>
                <c:pt idx="4">
                  <c:v>0.14291226389168171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5C-403D-BF18-8FF5A8AC2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9008"/>
        <c:axId val="81129391"/>
      </c:lineChart>
      <c:catAx>
        <c:axId val="8588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9391"/>
        <c:crosses val="autoZero"/>
        <c:auto val="1"/>
        <c:lblAlgn val="ctr"/>
        <c:lblOffset val="100"/>
        <c:noMultiLvlLbl val="0"/>
      </c:catAx>
      <c:valAx>
        <c:axId val="81129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corr_HC2!$I$2:$M$2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0-491C-B67D-FDB4C7E91DD7}"/>
            </c:ext>
          </c:extLst>
        </c:ser>
        <c:ser>
          <c:idx val="1"/>
          <c:order val="1"/>
          <c:tx>
            <c:strRef>
              <c:f>corr_HC2!$H$3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corr_HC2!$I$3:$M$3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0-491C-B67D-FDB4C7E91DD7}"/>
            </c:ext>
          </c:extLst>
        </c:ser>
        <c:ser>
          <c:idx val="2"/>
          <c:order val="2"/>
          <c:tx>
            <c:strRef>
              <c:f>corr_HC2!$H$4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corr_HC2!$I$4:$M$4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30-491C-B67D-FDB4C7E91DD7}"/>
            </c:ext>
          </c:extLst>
        </c:ser>
        <c:ser>
          <c:idx val="3"/>
          <c:order val="3"/>
          <c:tx>
            <c:strRef>
              <c:f>corr_HC2!$H$5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corr_HC2!$I$5:$M$5</c:f>
              <c:numCache>
                <c:formatCode>General</c:formatCode>
                <c:ptCount val="5"/>
                <c:pt idx="0">
                  <c:v>0.26104173312300699</c:v>
                </c:pt>
                <c:pt idx="1">
                  <c:v>0.60644530721404299</c:v>
                </c:pt>
                <c:pt idx="2">
                  <c:v>0.5724393224890203</c:v>
                </c:pt>
                <c:pt idx="3">
                  <c:v>0.78901759807760841</c:v>
                </c:pt>
                <c:pt idx="4">
                  <c:v>0.7848486533615735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30-491C-B67D-FDB4C7E91DD7}"/>
            </c:ext>
          </c:extLst>
        </c:ser>
        <c:ser>
          <c:idx val="4"/>
          <c:order val="4"/>
          <c:tx>
            <c:strRef>
              <c:f>corr_HC2!$H$6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corr_HC2!$I$6:$M$6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30-491C-B67D-FDB4C7E91DD7}"/>
            </c:ext>
          </c:extLst>
        </c:ser>
        <c:ser>
          <c:idx val="5"/>
          <c:order val="5"/>
          <c:tx>
            <c:strRef>
              <c:f>corr_HC2!$H$7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corr_HC2!$I$7:$M$7</c:f>
              <c:numCache>
                <c:formatCode>General</c:formatCode>
                <c:ptCount val="5"/>
                <c:pt idx="0">
                  <c:v>0.43100760991813275</c:v>
                </c:pt>
                <c:pt idx="1">
                  <c:v>1</c:v>
                </c:pt>
                <c:pt idx="2">
                  <c:v>0.84857932423803528</c:v>
                </c:pt>
                <c:pt idx="3">
                  <c:v>0.75562869006909728</c:v>
                </c:pt>
                <c:pt idx="4">
                  <c:v>0.23614059326099732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30-491C-B67D-FDB4C7E91DD7}"/>
            </c:ext>
          </c:extLst>
        </c:ser>
        <c:ser>
          <c:idx val="6"/>
          <c:order val="6"/>
          <c:tx>
            <c:strRef>
              <c:f>corr_HC2!$H$8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0.54409525114157209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30-491C-B67D-FDB4C7E91DD7}"/>
            </c:ext>
          </c:extLst>
        </c:ser>
        <c:ser>
          <c:idx val="7"/>
          <c:order val="7"/>
          <c:tx>
            <c:strRef>
              <c:f>corr_HC2!$H$9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corr_HC2!$I$9:$M$9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0.3840556446252571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30-491C-B67D-FDB4C7E91DD7}"/>
            </c:ext>
          </c:extLst>
        </c:ser>
        <c:ser>
          <c:idx val="8"/>
          <c:order val="8"/>
          <c:tx>
            <c:strRef>
              <c:f>corr_HC2!$H$10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corr_HC2!$I$10:$M$10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30-491C-B67D-FDB4C7E91DD7}"/>
            </c:ext>
          </c:extLst>
        </c:ser>
        <c:ser>
          <c:idx val="9"/>
          <c:order val="9"/>
          <c:tx>
            <c:strRef>
              <c:f>corr_HC2!$H$11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corr_HC2!$I$11:$M$11</c:f>
              <c:numCache>
                <c:formatCode>General</c:formatCode>
                <c:ptCount val="5"/>
                <c:pt idx="0">
                  <c:v>8.0289320685516266E-2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0.63037767560374813</c:v>
                </c:pt>
                <c:pt idx="4">
                  <c:v>0.8887018040840462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30-491C-B67D-FDB4C7E91DD7}"/>
            </c:ext>
          </c:extLst>
        </c:ser>
        <c:ser>
          <c:idx val="10"/>
          <c:order val="10"/>
          <c:tx>
            <c:strRef>
              <c:f>corr_HC2!$H$12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corr_HC2!$I$12:$M$12</c:f>
              <c:numCache>
                <c:formatCode>General</c:formatCode>
                <c:ptCount val="5"/>
                <c:pt idx="0">
                  <c:v>8.0289320685516266E-2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0.63037767560374813</c:v>
                </c:pt>
                <c:pt idx="4">
                  <c:v>0.8887018040840462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30-491C-B67D-FDB4C7E91DD7}"/>
            </c:ext>
          </c:extLst>
        </c:ser>
        <c:ser>
          <c:idx val="11"/>
          <c:order val="11"/>
          <c:tx>
            <c:strRef>
              <c:f>corr_HC2!$H$13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corr_HC2!$I$13:$M$13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30-491C-B67D-FDB4C7E91DD7}"/>
            </c:ext>
          </c:extLst>
        </c:ser>
        <c:ser>
          <c:idx val="12"/>
          <c:order val="12"/>
          <c:tx>
            <c:strRef>
              <c:f>corr_HC2!$H$14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corr_HC2!$I$14:$M$14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30-491C-B67D-FDB4C7E91DD7}"/>
            </c:ext>
          </c:extLst>
        </c:ser>
        <c:ser>
          <c:idx val="13"/>
          <c:order val="13"/>
          <c:tx>
            <c:strRef>
              <c:f>corr_HC2!$H$15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corr_HC2!$I$15:$M$15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30-491C-B67D-FDB4C7E9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8384"/>
        <c:axId val="81298703"/>
      </c:lineChart>
      <c:catAx>
        <c:axId val="6650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298703"/>
        <c:crosses val="autoZero"/>
        <c:auto val="1"/>
        <c:lblAlgn val="ctr"/>
        <c:lblOffset val="100"/>
        <c:noMultiLvlLbl val="0"/>
      </c:catAx>
      <c:valAx>
        <c:axId val="812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0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brut2!$I$2:$M$2</c:f>
              <c:numCache>
                <c:formatCode>0.00E+00</c:formatCode>
                <c:ptCount val="5"/>
                <c:pt idx="0">
                  <c:v>3.2741421273487926E-2</c:v>
                </c:pt>
                <c:pt idx="1">
                  <c:v>0.72780850905951977</c:v>
                </c:pt>
                <c:pt idx="2">
                  <c:v>0.49484198619671971</c:v>
                </c:pt>
                <c:pt idx="3">
                  <c:v>0.76853030210138862</c:v>
                </c:pt>
                <c:pt idx="4">
                  <c:v>0.64084416280250711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1-4CE7-87B1-BD6D52AC3706}"/>
            </c:ext>
          </c:extLst>
        </c:ser>
        <c:ser>
          <c:idx val="1"/>
          <c:order val="1"/>
          <c:tx>
            <c:strRef>
              <c:f>brut2!$H$3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brut2!$I$3:$M$3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1-4CE7-87B1-BD6D52AC3706}"/>
            </c:ext>
          </c:extLst>
        </c:ser>
        <c:ser>
          <c:idx val="2"/>
          <c:order val="2"/>
          <c:tx>
            <c:strRef>
              <c:f>brut2!$H$4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brut2!$I$4:$M$4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1-4CE7-87B1-BD6D52AC3706}"/>
            </c:ext>
          </c:extLst>
        </c:ser>
        <c:ser>
          <c:idx val="3"/>
          <c:order val="3"/>
          <c:tx>
            <c:strRef>
              <c:f>brut2!$H$5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brut2!$I$5:$M$5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71-4CE7-87B1-BD6D52AC3706}"/>
            </c:ext>
          </c:extLst>
        </c:ser>
        <c:ser>
          <c:idx val="4"/>
          <c:order val="4"/>
          <c:tx>
            <c:strRef>
              <c:f>brut2!$H$6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brut2!$I$6:$M$6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71-4CE7-87B1-BD6D52AC3706}"/>
            </c:ext>
          </c:extLst>
        </c:ser>
        <c:ser>
          <c:idx val="5"/>
          <c:order val="5"/>
          <c:tx>
            <c:strRef>
              <c:f>brut2!$H$7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brut2!$I$7:$M$7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71-4CE7-87B1-BD6D52AC3706}"/>
            </c:ext>
          </c:extLst>
        </c:ser>
        <c:ser>
          <c:idx val="6"/>
          <c:order val="6"/>
          <c:tx>
            <c:strRef>
              <c:f>brut2!$H$8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brut2!$I$8:$M$8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1-4CE7-87B1-BD6D52AC3706}"/>
            </c:ext>
          </c:extLst>
        </c:ser>
        <c:ser>
          <c:idx val="7"/>
          <c:order val="7"/>
          <c:tx>
            <c:strRef>
              <c:f>brut2!$H$9</c:f>
              <c:strCache>
                <c:ptCount val="1"/>
                <c:pt idx="0">
                  <c:v>minCO2_inv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brut2!$I$9:$M$9</c:f>
              <c:numCache>
                <c:formatCode>0.00E+00</c:formatCode>
                <c:ptCount val="5"/>
                <c:pt idx="0">
                  <c:v>0</c:v>
                </c:pt>
                <c:pt idx="1">
                  <c:v>0.87719196365925212</c:v>
                </c:pt>
                <c:pt idx="2">
                  <c:v>0.6682667421862919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71-4CE7-87B1-BD6D52AC3706}"/>
            </c:ext>
          </c:extLst>
        </c:ser>
        <c:ser>
          <c:idx val="8"/>
          <c:order val="8"/>
          <c:tx>
            <c:strRef>
              <c:f>brut2!$H$10</c:f>
              <c:strCache>
                <c:ptCount val="1"/>
                <c:pt idx="0">
                  <c:v>minEQ_inv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brut2!$I$10:$M$10</c:f>
              <c:numCache>
                <c:formatCode>0.00E+00</c:formatCode>
                <c:ptCount val="5"/>
                <c:pt idx="0">
                  <c:v>0.69589687428858571</c:v>
                </c:pt>
                <c:pt idx="1">
                  <c:v>0</c:v>
                </c:pt>
                <c:pt idx="2">
                  <c:v>0.2811524592214239</c:v>
                </c:pt>
                <c:pt idx="3">
                  <c:v>0</c:v>
                </c:pt>
                <c:pt idx="4">
                  <c:v>8.8246560653889777E-2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1-4CE7-87B1-BD6D52AC3706}"/>
            </c:ext>
          </c:extLst>
        </c:ser>
        <c:ser>
          <c:idx val="9"/>
          <c:order val="9"/>
          <c:tx>
            <c:strRef>
              <c:f>brut2!$H$11</c:f>
              <c:strCache>
                <c:ptCount val="1"/>
                <c:pt idx="0">
                  <c:v>minHH_inv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brut2!$I$11:$M$11</c:f>
              <c:numCache>
                <c:formatCode>0.00E+00</c:formatCode>
                <c:ptCount val="5"/>
                <c:pt idx="0">
                  <c:v>0.14033202608543258</c:v>
                </c:pt>
                <c:pt idx="1">
                  <c:v>0.10243544979006275</c:v>
                </c:pt>
                <c:pt idx="2">
                  <c:v>0</c:v>
                </c:pt>
                <c:pt idx="3">
                  <c:v>0.62056727544112689</c:v>
                </c:pt>
                <c:pt idx="4">
                  <c:v>0.88724357692410905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71-4CE7-87B1-BD6D52AC3706}"/>
            </c:ext>
          </c:extLst>
        </c:ser>
        <c:ser>
          <c:idx val="10"/>
          <c:order val="10"/>
          <c:tx>
            <c:strRef>
              <c:f>brut2!$H$12</c:f>
              <c:strCache>
                <c:ptCount val="1"/>
                <c:pt idx="0">
                  <c:v>minEQ&amp;HH_inv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brut2!$I$12:$M$12</c:f>
              <c:numCache>
                <c:formatCode>0.00E+00</c:formatCode>
                <c:ptCount val="5"/>
                <c:pt idx="0">
                  <c:v>0.15382203012832354</c:v>
                </c:pt>
                <c:pt idx="1">
                  <c:v>9.4590731518093135E-2</c:v>
                </c:pt>
                <c:pt idx="2">
                  <c:v>6.0863950605493898E-3</c:v>
                </c:pt>
                <c:pt idx="3">
                  <c:v>0.6377389822001196</c:v>
                </c:pt>
                <c:pt idx="4">
                  <c:v>0.93653711968589248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71-4CE7-87B1-BD6D52AC3706}"/>
            </c:ext>
          </c:extLst>
        </c:ser>
        <c:ser>
          <c:idx val="11"/>
          <c:order val="11"/>
          <c:tx>
            <c:strRef>
              <c:f>brut2!$H$13</c:f>
              <c:strCache>
                <c:ptCount val="1"/>
                <c:pt idx="0">
                  <c:v>minCO2&amp;EQ_inv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brut2!$I$13:$M$13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71-4CE7-87B1-BD6D52AC3706}"/>
            </c:ext>
          </c:extLst>
        </c:ser>
        <c:ser>
          <c:idx val="12"/>
          <c:order val="12"/>
          <c:tx>
            <c:strRef>
              <c:f>brut2!$H$14</c:f>
              <c:strCache>
                <c:ptCount val="1"/>
                <c:pt idx="0">
                  <c:v>minCO2&amp;HH_inv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brut2!$I$14:$M$14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71-4CE7-87B1-BD6D52AC3706}"/>
            </c:ext>
          </c:extLst>
        </c:ser>
        <c:ser>
          <c:idx val="13"/>
          <c:order val="13"/>
          <c:tx>
            <c:strRef>
              <c:f>brut2!$H$15</c:f>
              <c:strCache>
                <c:ptCount val="1"/>
                <c:pt idx="0">
                  <c:v>minCO2&amp;EQ&amp;HH_inv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brut2!$I$15:$M$15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71-4CE7-87B1-BD6D52AC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374192"/>
        <c:axId val="1131523344"/>
      </c:lineChart>
      <c:catAx>
        <c:axId val="6613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1523344"/>
        <c:crosses val="autoZero"/>
        <c:auto val="1"/>
        <c:lblAlgn val="ctr"/>
        <c:lblOffset val="100"/>
        <c:noMultiLvlLbl val="0"/>
      </c:catAx>
      <c:valAx>
        <c:axId val="113152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3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brut!$H$2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brut!$I$2:$M$2</c:f>
              <c:numCache>
                <c:formatCode>0.00E+00</c:formatCode>
                <c:ptCount val="5"/>
                <c:pt idx="0">
                  <c:v>1.8022743128362943E-2</c:v>
                </c:pt>
                <c:pt idx="1">
                  <c:v>0.72780850905951977</c:v>
                </c:pt>
                <c:pt idx="2">
                  <c:v>0.2814745884748947</c:v>
                </c:pt>
                <c:pt idx="3">
                  <c:v>0.78576422681700842</c:v>
                </c:pt>
                <c:pt idx="4">
                  <c:v>0.65121510411622174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9-447B-9C75-46829DBD2E64}"/>
            </c:ext>
          </c:extLst>
        </c:ser>
        <c:ser>
          <c:idx val="1"/>
          <c:order val="1"/>
          <c:tx>
            <c:strRef>
              <c:f>brut!$H$3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brut!$I$3:$M$3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9-447B-9C75-46829DBD2E64}"/>
            </c:ext>
          </c:extLst>
        </c:ser>
        <c:ser>
          <c:idx val="2"/>
          <c:order val="2"/>
          <c:tx>
            <c:strRef>
              <c:f>brut!$H$4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brut!$I$4:$M$4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9-447B-9C75-46829DBD2E64}"/>
            </c:ext>
          </c:extLst>
        </c:ser>
        <c:ser>
          <c:idx val="3"/>
          <c:order val="3"/>
          <c:tx>
            <c:strRef>
              <c:f>brut!$H$5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brut!$I$5:$M$5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79-447B-9C75-46829DBD2E64}"/>
            </c:ext>
          </c:extLst>
        </c:ser>
        <c:ser>
          <c:idx val="4"/>
          <c:order val="4"/>
          <c:tx>
            <c:strRef>
              <c:f>brut!$H$6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brut!$I$6:$M$6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79-447B-9C75-46829DBD2E64}"/>
            </c:ext>
          </c:extLst>
        </c:ser>
        <c:ser>
          <c:idx val="5"/>
          <c:order val="5"/>
          <c:tx>
            <c:strRef>
              <c:f>brut!$H$7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brut!$I$7:$M$7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79-447B-9C75-46829DBD2E64}"/>
            </c:ext>
          </c:extLst>
        </c:ser>
        <c:ser>
          <c:idx val="6"/>
          <c:order val="6"/>
          <c:tx>
            <c:strRef>
              <c:f>brut!$H$8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brut!$I$8:$M$8</c:f>
              <c:numCache>
                <c:formatCode>0.00E+00</c:formatCode>
                <c:ptCount val="5"/>
                <c:pt idx="0">
                  <c:v>0.79329784455373964</c:v>
                </c:pt>
                <c:pt idx="1">
                  <c:v>0.6866386964625385</c:v>
                </c:pt>
                <c:pt idx="2">
                  <c:v>0.79634224703145362</c:v>
                </c:pt>
                <c:pt idx="3">
                  <c:v>7.5614408633221539E-2</c:v>
                </c:pt>
                <c:pt idx="4">
                  <c:v>9.1575862897088963E-3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79-447B-9C75-46829DBD2E64}"/>
            </c:ext>
          </c:extLst>
        </c:ser>
        <c:ser>
          <c:idx val="7"/>
          <c:order val="7"/>
          <c:tx>
            <c:strRef>
              <c:f>brut!$H$9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brut!$I$9:$M$9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79-447B-9C75-46829DBD2E64}"/>
            </c:ext>
          </c:extLst>
        </c:ser>
        <c:ser>
          <c:idx val="8"/>
          <c:order val="8"/>
          <c:tx>
            <c:strRef>
              <c:f>brut!$H$10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brut!$I$10:$M$10</c:f>
              <c:numCache>
                <c:formatCode>0.00E+00</c:formatCode>
                <c:ptCount val="5"/>
                <c:pt idx="0">
                  <c:v>1</c:v>
                </c:pt>
                <c:pt idx="1">
                  <c:v>0.78444117504097433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79-447B-9C75-46829DBD2E64}"/>
            </c:ext>
          </c:extLst>
        </c:ser>
        <c:ser>
          <c:idx val="9"/>
          <c:order val="9"/>
          <c:tx>
            <c:strRef>
              <c:f>brut!$H$11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brut!$I$11:$M$11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79-447B-9C75-46829DBD2E64}"/>
            </c:ext>
          </c:extLst>
        </c:ser>
        <c:ser>
          <c:idx val="10"/>
          <c:order val="10"/>
          <c:tx>
            <c:strRef>
              <c:f>brut!$H$12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brut!$I$12:$M$12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79-447B-9C75-46829DBD2E64}"/>
            </c:ext>
          </c:extLst>
        </c:ser>
        <c:ser>
          <c:idx val="11"/>
          <c:order val="11"/>
          <c:tx>
            <c:strRef>
              <c:f>brut!$H$13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brut!$I$13:$M$13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79-447B-9C75-46829DBD2E64}"/>
            </c:ext>
          </c:extLst>
        </c:ser>
        <c:ser>
          <c:idx val="12"/>
          <c:order val="12"/>
          <c:tx>
            <c:strRef>
              <c:f>brut!$H$14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brut!$I$14:$M$14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79-447B-9C75-46829DBD2E64}"/>
            </c:ext>
          </c:extLst>
        </c:ser>
        <c:ser>
          <c:idx val="13"/>
          <c:order val="13"/>
          <c:tx>
            <c:strRef>
              <c:f>brut!$H$15</c:f>
              <c:strCache>
                <c:ptCount val="1"/>
                <c:pt idx="0">
                  <c:v>1_inv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brut!$I$15:$M$15</c:f>
              <c:numCache>
                <c:formatCode>0.00E+00</c:formatCode>
                <c:ptCount val="5"/>
                <c:pt idx="0">
                  <c:v>0</c:v>
                </c:pt>
                <c:pt idx="1">
                  <c:v>0.87719196365925212</c:v>
                </c:pt>
                <c:pt idx="2">
                  <c:v>0.38012155697226485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79-447B-9C75-46829DBD2E64}"/>
            </c:ext>
          </c:extLst>
        </c:ser>
        <c:ser>
          <c:idx val="14"/>
          <c:order val="14"/>
          <c:tx>
            <c:strRef>
              <c:f>brut!$H$16</c:f>
              <c:strCache>
                <c:ptCount val="1"/>
                <c:pt idx="0">
                  <c:v>2_inv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brut!$I$16:$M$16</c:f>
              <c:numCache>
                <c:formatCode>0.00E+00</c:formatCode>
                <c:ptCount val="5"/>
                <c:pt idx="0">
                  <c:v>0.38306127594068756</c:v>
                </c:pt>
                <c:pt idx="1">
                  <c:v>0</c:v>
                </c:pt>
                <c:pt idx="2">
                  <c:v>0.15992432931225575</c:v>
                </c:pt>
                <c:pt idx="3">
                  <c:v>7.4454344875710315E-2</c:v>
                </c:pt>
                <c:pt idx="4">
                  <c:v>0.11457424471944649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79-447B-9C75-46829DBD2E64}"/>
            </c:ext>
          </c:extLst>
        </c:ser>
        <c:ser>
          <c:idx val="15"/>
          <c:order val="15"/>
          <c:tx>
            <c:strRef>
              <c:f>brut!$H$17</c:f>
              <c:strCache>
                <c:ptCount val="1"/>
                <c:pt idx="0">
                  <c:v>3_inv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brut!$I$17:$M$17</c:f>
              <c:numCache>
                <c:formatCode>0.00E+00</c:formatCode>
                <c:ptCount val="5"/>
                <c:pt idx="0">
                  <c:v>7.7246740075649994E-2</c:v>
                </c:pt>
                <c:pt idx="1">
                  <c:v>0.10243544979006275</c:v>
                </c:pt>
                <c:pt idx="2">
                  <c:v>0</c:v>
                </c:pt>
                <c:pt idx="3">
                  <c:v>0.64881769037256376</c:v>
                </c:pt>
                <c:pt idx="4">
                  <c:v>0.89049951800970928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79-447B-9C75-46829DBD2E64}"/>
            </c:ext>
          </c:extLst>
        </c:ser>
        <c:ser>
          <c:idx val="16"/>
          <c:order val="16"/>
          <c:tx>
            <c:strRef>
              <c:f>brut!$H$18</c:f>
              <c:strCache>
                <c:ptCount val="1"/>
                <c:pt idx="0">
                  <c:v>4_inv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brut!$I$18:$M$18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79-447B-9C75-46829DBD2E64}"/>
            </c:ext>
          </c:extLst>
        </c:ser>
        <c:ser>
          <c:idx val="17"/>
          <c:order val="17"/>
          <c:tx>
            <c:strRef>
              <c:f>brut!$H$19</c:f>
              <c:strCache>
                <c:ptCount val="1"/>
                <c:pt idx="0">
                  <c:v>5_inv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brut!$I$19:$M$19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79-447B-9C75-46829DBD2E64}"/>
            </c:ext>
          </c:extLst>
        </c:ser>
        <c:ser>
          <c:idx val="18"/>
          <c:order val="18"/>
          <c:tx>
            <c:strRef>
              <c:f>brut!$H$20</c:f>
              <c:strCache>
                <c:ptCount val="1"/>
                <c:pt idx="0">
                  <c:v>6_inv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brut!$I$20:$M$20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79-447B-9C75-46829DBD2E64}"/>
            </c:ext>
          </c:extLst>
        </c:ser>
        <c:ser>
          <c:idx val="19"/>
          <c:order val="19"/>
          <c:tx>
            <c:strRef>
              <c:f>brut!$H$21</c:f>
              <c:strCache>
                <c:ptCount val="1"/>
                <c:pt idx="0">
                  <c:v>7_inv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brut!$I$21:$M$21</c:f>
              <c:numCache>
                <c:formatCode>0.00E+00</c:formatCode>
                <c:ptCount val="5"/>
                <c:pt idx="0">
                  <c:v>0.37615037773150628</c:v>
                </c:pt>
                <c:pt idx="1">
                  <c:v>2.4753406829040213E-4</c:v>
                </c:pt>
                <c:pt idx="2">
                  <c:v>0.15467227705830666</c:v>
                </c:pt>
                <c:pt idx="3">
                  <c:v>7.7340823278394463E-2</c:v>
                </c:pt>
                <c:pt idx="4">
                  <c:v>0.11267620025004137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079-447B-9C75-46829DBD2E64}"/>
            </c:ext>
          </c:extLst>
        </c:ser>
        <c:ser>
          <c:idx val="20"/>
          <c:order val="20"/>
          <c:tx>
            <c:strRef>
              <c:f>brut!$H$22</c:f>
              <c:strCache>
                <c:ptCount val="1"/>
                <c:pt idx="0">
                  <c:v>8_inv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brut!$I$22:$M$22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79-447B-9C75-46829DBD2E64}"/>
            </c:ext>
          </c:extLst>
        </c:ser>
        <c:ser>
          <c:idx val="21"/>
          <c:order val="21"/>
          <c:tx>
            <c:strRef>
              <c:f>brut!$H$23</c:f>
              <c:strCache>
                <c:ptCount val="1"/>
                <c:pt idx="0">
                  <c:v>9_inv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brut!$I$23:$M$23</c:f>
              <c:numCache>
                <c:formatCode>0.00E+00</c:formatCode>
                <c:ptCount val="5"/>
                <c:pt idx="0">
                  <c:v>0.38306127594068756</c:v>
                </c:pt>
                <c:pt idx="1">
                  <c:v>0</c:v>
                </c:pt>
                <c:pt idx="2">
                  <c:v>0.15992432931225575</c:v>
                </c:pt>
                <c:pt idx="3">
                  <c:v>7.4454344875710315E-2</c:v>
                </c:pt>
                <c:pt idx="4">
                  <c:v>0.11457424471944649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079-447B-9C75-46829DBD2E64}"/>
            </c:ext>
          </c:extLst>
        </c:ser>
        <c:ser>
          <c:idx val="22"/>
          <c:order val="22"/>
          <c:tx>
            <c:strRef>
              <c:f>brut!$H$24</c:f>
              <c:strCache>
                <c:ptCount val="1"/>
                <c:pt idx="0">
                  <c:v>10_inv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brut!$I$24:$M$24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079-447B-9C75-46829DBD2E64}"/>
            </c:ext>
          </c:extLst>
        </c:ser>
        <c:ser>
          <c:idx val="23"/>
          <c:order val="23"/>
          <c:tx>
            <c:strRef>
              <c:f>brut!$H$25</c:f>
              <c:strCache>
                <c:ptCount val="1"/>
                <c:pt idx="0">
                  <c:v>11_inv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brut!$I$25:$M$25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079-447B-9C75-46829DBD2E64}"/>
            </c:ext>
          </c:extLst>
        </c:ser>
        <c:ser>
          <c:idx val="24"/>
          <c:order val="24"/>
          <c:tx>
            <c:strRef>
              <c:f>brut!$H$26</c:f>
              <c:strCache>
                <c:ptCount val="1"/>
                <c:pt idx="0">
                  <c:v>12_inv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brut!$I$26:$M$26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079-447B-9C75-46829DBD2E64}"/>
            </c:ext>
          </c:extLst>
        </c:ser>
        <c:ser>
          <c:idx val="25"/>
          <c:order val="25"/>
          <c:tx>
            <c:strRef>
              <c:f>brut!$H$27</c:f>
              <c:strCache>
                <c:ptCount val="1"/>
                <c:pt idx="0">
                  <c:v>13_inv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brut!$I$27:$M$27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079-447B-9C75-46829DBD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620176"/>
        <c:axId val="2041863264"/>
      </c:lineChart>
      <c:catAx>
        <c:axId val="8556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863264"/>
        <c:crosses val="autoZero"/>
        <c:auto val="1"/>
        <c:lblAlgn val="ctr"/>
        <c:lblOffset val="100"/>
        <c:noMultiLvlLbl val="0"/>
      </c:catAx>
      <c:valAx>
        <c:axId val="2041863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62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corr_HC!$H$2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corr_HC!$I$2:$M$2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7BB-9EB3-8F1DC49F1E8D}"/>
            </c:ext>
          </c:extLst>
        </c:ser>
        <c:ser>
          <c:idx val="1"/>
          <c:order val="1"/>
          <c:tx>
            <c:strRef>
              <c:f>corr_HC!$H$3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corr_HC!$I$3:$M$3</c:f>
              <c:numCache>
                <c:formatCode>General</c:formatCode>
                <c:ptCount val="5"/>
                <c:pt idx="0">
                  <c:v>0.97395646762860899</c:v>
                </c:pt>
                <c:pt idx="1">
                  <c:v>0.51925720145508092</c:v>
                </c:pt>
                <c:pt idx="2">
                  <c:v>0.97291157460885136</c:v>
                </c:pt>
                <c:pt idx="3">
                  <c:v>1.716119544279315E-2</c:v>
                </c:pt>
                <c:pt idx="4">
                  <c:v>5.0133857460328439E-2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7BB-9EB3-8F1DC49F1E8D}"/>
            </c:ext>
          </c:extLst>
        </c:ser>
        <c:ser>
          <c:idx val="2"/>
          <c:order val="2"/>
          <c:tx>
            <c:strRef>
              <c:f>corr_HC!$H$4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corr_HC!$I$4:$M$4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A-47BB-9EB3-8F1DC49F1E8D}"/>
            </c:ext>
          </c:extLst>
        </c:ser>
        <c:ser>
          <c:idx val="3"/>
          <c:order val="3"/>
          <c:tx>
            <c:strRef>
              <c:f>corr_HC!$H$5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corr_HC!$I$5:$M$5</c:f>
              <c:numCache>
                <c:formatCode>General</c:formatCode>
                <c:ptCount val="5"/>
                <c:pt idx="0">
                  <c:v>0.97395646762860899</c:v>
                </c:pt>
                <c:pt idx="1">
                  <c:v>0.51925720145508092</c:v>
                </c:pt>
                <c:pt idx="2">
                  <c:v>0.97291157460885136</c:v>
                </c:pt>
                <c:pt idx="3">
                  <c:v>1.716119544279315E-2</c:v>
                </c:pt>
                <c:pt idx="4">
                  <c:v>5.0133857460328439E-2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A-47BB-9EB3-8F1DC49F1E8D}"/>
            </c:ext>
          </c:extLst>
        </c:ser>
        <c:ser>
          <c:idx val="4"/>
          <c:order val="4"/>
          <c:tx>
            <c:strRef>
              <c:f>corr_HC!$H$6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corr_HC!$I$6:$M$6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A-47BB-9EB3-8F1DC49F1E8D}"/>
            </c:ext>
          </c:extLst>
        </c:ser>
        <c:ser>
          <c:idx val="5"/>
          <c:order val="5"/>
          <c:tx>
            <c:strRef>
              <c:f>corr_HC!$H$7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corr_HC!$I$7:$M$7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A-47BB-9EB3-8F1DC49F1E8D}"/>
            </c:ext>
          </c:extLst>
        </c:ser>
        <c:ser>
          <c:idx val="6"/>
          <c:order val="6"/>
          <c:tx>
            <c:strRef>
              <c:f>corr_HC!$H$8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corr_HC!$I$8:$M$8</c:f>
              <c:numCache>
                <c:formatCode>General</c:formatCode>
                <c:ptCount val="5"/>
                <c:pt idx="0">
                  <c:v>1</c:v>
                </c:pt>
                <c:pt idx="1">
                  <c:v>0.54409525108272971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A-47BB-9EB3-8F1DC49F1E8D}"/>
            </c:ext>
          </c:extLst>
        </c:ser>
        <c:ser>
          <c:idx val="7"/>
          <c:order val="7"/>
          <c:tx>
            <c:strRef>
              <c:f>corr_HC!$H$9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corr_HC!$I$9:$M$9</c:f>
              <c:numCache>
                <c:formatCode>General</c:formatCode>
                <c:ptCount val="5"/>
                <c:pt idx="0">
                  <c:v>1</c:v>
                </c:pt>
                <c:pt idx="1">
                  <c:v>0.54409525108272971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BA-47BB-9EB3-8F1DC49F1E8D}"/>
            </c:ext>
          </c:extLst>
        </c:ser>
        <c:ser>
          <c:idx val="8"/>
          <c:order val="8"/>
          <c:tx>
            <c:strRef>
              <c:f>corr_HC!$H$10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corr_HC!$I$10:$M$10</c:f>
              <c:numCache>
                <c:formatCode>General</c:formatCode>
                <c:ptCount val="5"/>
                <c:pt idx="0">
                  <c:v>0.9999999999228022</c:v>
                </c:pt>
                <c:pt idx="1">
                  <c:v>0.54409525114157209</c:v>
                </c:pt>
                <c:pt idx="2">
                  <c:v>0.99999999997769762</c:v>
                </c:pt>
                <c:pt idx="3">
                  <c:v>9.9850375080031378E-11</c:v>
                </c:pt>
                <c:pt idx="4">
                  <c:v>3.1096748266723256E-11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BA-47BB-9EB3-8F1DC49F1E8D}"/>
            </c:ext>
          </c:extLst>
        </c:ser>
        <c:ser>
          <c:idx val="9"/>
          <c:order val="9"/>
          <c:tx>
            <c:strRef>
              <c:f>corr_HC!$H$11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corr_HC!$I$11:$M$11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9BA-47BB-9EB3-8F1DC49F1E8D}"/>
            </c:ext>
          </c:extLst>
        </c:ser>
        <c:ser>
          <c:idx val="10"/>
          <c:order val="10"/>
          <c:tx>
            <c:strRef>
              <c:f>corr_HC!$H$12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corr_HC!$I$12:$M$12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BA-47BB-9EB3-8F1DC49F1E8D}"/>
            </c:ext>
          </c:extLst>
        </c:ser>
        <c:ser>
          <c:idx val="11"/>
          <c:order val="11"/>
          <c:tx>
            <c:strRef>
              <c:f>corr_HC!$H$13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corr_HC!$I$13:$M$13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BA-47BB-9EB3-8F1DC49F1E8D}"/>
            </c:ext>
          </c:extLst>
        </c:ser>
        <c:ser>
          <c:idx val="12"/>
          <c:order val="12"/>
          <c:tx>
            <c:strRef>
              <c:f>corr_HC!$H$14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corr_HC!$I$14:$M$14</c:f>
              <c:numCache>
                <c:formatCode>General</c:formatCode>
                <c:ptCount val="5"/>
                <c:pt idx="0">
                  <c:v>0.9999999999228022</c:v>
                </c:pt>
                <c:pt idx="1">
                  <c:v>0.54409525114157209</c:v>
                </c:pt>
                <c:pt idx="2">
                  <c:v>0.99999999997769762</c:v>
                </c:pt>
                <c:pt idx="3">
                  <c:v>9.9850702042906674E-11</c:v>
                </c:pt>
                <c:pt idx="4">
                  <c:v>3.1096748266723256E-11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BA-47BB-9EB3-8F1DC49F1E8D}"/>
            </c:ext>
          </c:extLst>
        </c:ser>
        <c:ser>
          <c:idx val="13"/>
          <c:order val="13"/>
          <c:tx>
            <c:strRef>
              <c:f>corr_HC!$H$15</c:f>
              <c:strCache>
                <c:ptCount val="1"/>
                <c:pt idx="0">
                  <c:v>1_inv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corr_HC!$I$15:$M$15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0.38405564461669173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9BA-47BB-9EB3-8F1DC49F1E8D}"/>
            </c:ext>
          </c:extLst>
        </c:ser>
        <c:ser>
          <c:idx val="14"/>
          <c:order val="14"/>
          <c:tx>
            <c:strRef>
              <c:f>corr_HC!$H$16</c:f>
              <c:strCache>
                <c:ptCount val="1"/>
                <c:pt idx="0">
                  <c:v>2_inv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corr_HC!$I$16:$M$16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BA-47BB-9EB3-8F1DC49F1E8D}"/>
            </c:ext>
          </c:extLst>
        </c:ser>
        <c:ser>
          <c:idx val="15"/>
          <c:order val="15"/>
          <c:tx>
            <c:strRef>
              <c:f>corr_HC!$H$17</c:f>
              <c:strCache>
                <c:ptCount val="1"/>
                <c:pt idx="0">
                  <c:v>3_inv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corr_HC!$I$17:$M$17</c:f>
              <c:numCache>
                <c:formatCode>General</c:formatCode>
                <c:ptCount val="5"/>
                <c:pt idx="0">
                  <c:v>8.0289320679318113E-2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0.63037767564065528</c:v>
                </c:pt>
                <c:pt idx="4">
                  <c:v>0.88870180408750721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9BA-47BB-9EB3-8F1DC49F1E8D}"/>
            </c:ext>
          </c:extLst>
        </c:ser>
        <c:ser>
          <c:idx val="16"/>
          <c:order val="16"/>
          <c:tx>
            <c:strRef>
              <c:f>corr_HC!$H$18</c:f>
              <c:strCache>
                <c:ptCount val="1"/>
                <c:pt idx="0">
                  <c:v>4_inv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corr_HC!$I$18:$M$18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BA-47BB-9EB3-8F1DC49F1E8D}"/>
            </c:ext>
          </c:extLst>
        </c:ser>
        <c:ser>
          <c:idx val="17"/>
          <c:order val="17"/>
          <c:tx>
            <c:strRef>
              <c:f>corr_HC!$H$19</c:f>
              <c:strCache>
                <c:ptCount val="1"/>
                <c:pt idx="0">
                  <c:v>5_inv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corr_HC!$I$19:$M$19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9BA-47BB-9EB3-8F1DC49F1E8D}"/>
            </c:ext>
          </c:extLst>
        </c:ser>
        <c:ser>
          <c:idx val="18"/>
          <c:order val="18"/>
          <c:tx>
            <c:strRef>
              <c:f>corr_HC!$H$20</c:f>
              <c:strCache>
                <c:ptCount val="1"/>
                <c:pt idx="0">
                  <c:v>6_inv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corr_HC!$I$20:$M$20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9BA-47BB-9EB3-8F1DC49F1E8D}"/>
            </c:ext>
          </c:extLst>
        </c:ser>
        <c:ser>
          <c:idx val="19"/>
          <c:order val="19"/>
          <c:tx>
            <c:strRef>
              <c:f>corr_HC!$H$21</c:f>
              <c:strCache>
                <c:ptCount val="1"/>
                <c:pt idx="0">
                  <c:v>7_inv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corr_HC!$I$21:$M$21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9BA-47BB-9EB3-8F1DC49F1E8D}"/>
            </c:ext>
          </c:extLst>
        </c:ser>
        <c:ser>
          <c:idx val="20"/>
          <c:order val="20"/>
          <c:tx>
            <c:strRef>
              <c:f>corr_HC!$H$22</c:f>
              <c:strCache>
                <c:ptCount val="1"/>
                <c:pt idx="0">
                  <c:v>8_inv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corr_HC!$I$22:$M$22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9BA-47BB-9EB3-8F1DC49F1E8D}"/>
            </c:ext>
          </c:extLst>
        </c:ser>
        <c:ser>
          <c:idx val="21"/>
          <c:order val="21"/>
          <c:tx>
            <c:strRef>
              <c:f>corr_HC!$H$23</c:f>
              <c:strCache>
                <c:ptCount val="1"/>
                <c:pt idx="0">
                  <c:v>9_inv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corr_HC!$I$23:$M$23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9BA-47BB-9EB3-8F1DC49F1E8D}"/>
            </c:ext>
          </c:extLst>
        </c:ser>
        <c:ser>
          <c:idx val="22"/>
          <c:order val="22"/>
          <c:tx>
            <c:strRef>
              <c:f>corr_HC!$H$24</c:f>
              <c:strCache>
                <c:ptCount val="1"/>
                <c:pt idx="0">
                  <c:v>10_inv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corr_HC!$I$24:$M$24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9BA-47BB-9EB3-8F1DC49F1E8D}"/>
            </c:ext>
          </c:extLst>
        </c:ser>
        <c:ser>
          <c:idx val="23"/>
          <c:order val="23"/>
          <c:tx>
            <c:strRef>
              <c:f>corr_HC!$H$25</c:f>
              <c:strCache>
                <c:ptCount val="1"/>
                <c:pt idx="0">
                  <c:v>11_inv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corr_HC!$I$25:$M$25</c:f>
              <c:numCache>
                <c:formatCode>General</c:formatCode>
                <c:ptCount val="5"/>
                <c:pt idx="0">
                  <c:v>8.0289320679318113E-2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0.63037767564065528</c:v>
                </c:pt>
                <c:pt idx="4">
                  <c:v>0.88870180408750721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9BA-47BB-9EB3-8F1DC49F1E8D}"/>
            </c:ext>
          </c:extLst>
        </c:ser>
        <c:ser>
          <c:idx val="24"/>
          <c:order val="24"/>
          <c:tx>
            <c:strRef>
              <c:f>corr_HC!$H$26</c:f>
              <c:strCache>
                <c:ptCount val="1"/>
                <c:pt idx="0">
                  <c:v>12_inv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corr_HC!$I$26:$M$26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0.38405564461669173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9BA-47BB-9EB3-8F1DC49F1E8D}"/>
            </c:ext>
          </c:extLst>
        </c:ser>
        <c:ser>
          <c:idx val="25"/>
          <c:order val="25"/>
          <c:tx>
            <c:strRef>
              <c:f>corr_HC!$H$27</c:f>
              <c:strCache>
                <c:ptCount val="1"/>
                <c:pt idx="0">
                  <c:v>13_inv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corr_HC!$I$27:$M$27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9BA-47BB-9EB3-8F1DC49F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931056"/>
        <c:axId val="81926863"/>
      </c:lineChart>
      <c:catAx>
        <c:axId val="6229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26863"/>
        <c:crosses val="autoZero"/>
        <c:auto val="1"/>
        <c:lblAlgn val="ctr"/>
        <c:lblOffset val="100"/>
        <c:noMultiLvlLbl val="0"/>
      </c:catAx>
      <c:valAx>
        <c:axId val="819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708024</xdr:colOff>
      <xdr:row>14</xdr:row>
      <xdr:rowOff>22224</xdr:rowOff>
    </xdr:from>
    <xdr:to>
      <xdr:col>11</xdr:col>
      <xdr:colOff>438149</xdr:colOff>
      <xdr:row>41</xdr:row>
      <xdr:rowOff>174624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D86ABC-4756-45B7-90F8-AC9B2324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16</xdr:row>
      <xdr:rowOff>95249</xdr:rowOff>
    </xdr:from>
    <xdr:to>
      <xdr:col>11</xdr:col>
      <xdr:colOff>482600</xdr:colOff>
      <xdr:row>39</xdr:row>
      <xdr:rowOff>69848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4E0E83-3593-41F6-8958-B7083A5D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182562</xdr:colOff>
      <xdr:row>19</xdr:row>
      <xdr:rowOff>51594</xdr:rowOff>
    </xdr:from>
    <xdr:to>
      <xdr:col>18</xdr:col>
      <xdr:colOff>92075</xdr:colOff>
      <xdr:row>43</xdr:row>
      <xdr:rowOff>124620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F4BE00-AF4B-4EEF-B2D7-E2FFA687C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2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7414E71-AD53-488C-BD98-7C68BCADD75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123825</xdr:rowOff>
    </xdr:to>
    <xdr:sp macro="" textlink="">
      <xdr:nvSpPr>
        <xdr:cNvPr id="3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2A31C687-9682-4654-8D42-9A35F1F6DD8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20</xdr:row>
      <xdr:rowOff>123825</xdr:rowOff>
    </xdr:to>
    <xdr:sp macro="" textlink="">
      <xdr:nvSpPr>
        <xdr:cNvPr id="4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25D6DF6-B412-4ADC-8035-9491F9F8725C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387801</xdr:colOff>
      <xdr:row>23</xdr:row>
      <xdr:rowOff>24492</xdr:rowOff>
    </xdr:from>
    <xdr:to>
      <xdr:col>13</xdr:col>
      <xdr:colOff>486682</xdr:colOff>
      <xdr:row>47</xdr:row>
      <xdr:rowOff>120651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98AE07-6DB6-43C3-880F-5563B897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120650</xdr:rowOff>
    </xdr:to>
    <xdr:sp macro="" textlink="">
      <xdr:nvSpPr>
        <xdr:cNvPr id="1025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CEAA6EBB-9285-4FF6-A197-12043B1939EB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6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CE010834-D458-4DE7-AD88-F6D7522551B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304800</xdr:colOff>
      <xdr:row>32</xdr:row>
      <xdr:rowOff>120650</xdr:rowOff>
    </xdr:to>
    <xdr:sp macro="" textlink="">
      <xdr:nvSpPr>
        <xdr:cNvPr id="1027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4A15D809-D238-41F8-8CD0-35264C20F2F5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448582</xdr:colOff>
      <xdr:row>3</xdr:row>
      <xdr:rowOff>122464</xdr:rowOff>
    </xdr:from>
    <xdr:to>
      <xdr:col>30</xdr:col>
      <xdr:colOff>483507</xdr:colOff>
      <xdr:row>46</xdr:row>
      <xdr:rowOff>30389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129EDB-2AEB-4386-B67E-FDDD63ED8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12699</xdr:colOff>
      <xdr:row>0</xdr:row>
      <xdr:rowOff>58736</xdr:rowOff>
    </xdr:from>
    <xdr:to>
      <xdr:col>22</xdr:col>
      <xdr:colOff>180975</xdr:colOff>
      <xdr:row>27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B6A351-1F91-4B52-BCCC-50EEBDC4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ss_inv_resul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inv_resul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ss_inv_resul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inv_resul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ss_inv_resul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HC_corr2_ss_inv_resul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inv_resul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HC_corr_inv_result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ss_inv_resul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brut_ss_inv_result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inv_resul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brut_inv_resul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inv_result_vf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ss_inv_result_vf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ss_inv_result_vf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inv_result_vf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-469330.6388984978</v>
          </cell>
          <cell r="AE3">
            <v>-225029.63746269559</v>
          </cell>
          <cell r="AF3">
            <v>-2.6012347539696949</v>
          </cell>
          <cell r="AG3">
            <v>109769.2436400334</v>
          </cell>
          <cell r="AH3">
            <v>2.3564966649116048</v>
          </cell>
        </row>
        <row r="4">
          <cell r="AD4">
            <v>-152274.74178398619</v>
          </cell>
          <cell r="AE4">
            <v>-400204.50709010882</v>
          </cell>
          <cell r="AF4">
            <v>-2.6297708575663798</v>
          </cell>
          <cell r="AG4">
            <v>-175282.55174734921</v>
          </cell>
          <cell r="AH4">
            <v>0.52727472891447225</v>
          </cell>
        </row>
        <row r="5">
          <cell r="AD5">
            <v>-180191.32311227391</v>
          </cell>
          <cell r="AE5">
            <v>-385618.29432859208</v>
          </cell>
          <cell r="AF5">
            <v>-2.6319623127954919</v>
          </cell>
          <cell r="AG5">
            <v>-151813.94643265431</v>
          </cell>
          <cell r="AH5">
            <v>0.68421999225983565</v>
          </cell>
        </row>
        <row r="6">
          <cell r="AD6">
            <v>-152274.74178398619</v>
          </cell>
          <cell r="AE6">
            <v>-400204.50709010882</v>
          </cell>
          <cell r="AF6">
            <v>-2.6297708575663798</v>
          </cell>
          <cell r="AG6">
            <v>-175282.55174734921</v>
          </cell>
          <cell r="AH6">
            <v>0.52727472891447225</v>
          </cell>
        </row>
        <row r="7">
          <cell r="AD7">
            <v>-152274.7415890776</v>
          </cell>
          <cell r="AE7">
            <v>-400204.50700893142</v>
          </cell>
          <cell r="AF7">
            <v>-2.6297708563539031</v>
          </cell>
          <cell r="AG7">
            <v>-175282.5517908425</v>
          </cell>
          <cell r="AH7">
            <v>0.52727472817421106</v>
          </cell>
        </row>
        <row r="8">
          <cell r="AD8">
            <v>-152274.74178398619</v>
          </cell>
          <cell r="AE8">
            <v>-400204.50709010882</v>
          </cell>
          <cell r="AF8">
            <v>-2.6297708575663798</v>
          </cell>
          <cell r="AG8">
            <v>-175282.55174734921</v>
          </cell>
          <cell r="AH8">
            <v>0.52727472891447225</v>
          </cell>
        </row>
        <row r="9">
          <cell r="AD9">
            <v>-117971.8673677115</v>
          </cell>
          <cell r="AE9">
            <v>-385507.81105058279</v>
          </cell>
          <cell r="AF9">
            <v>-2.466156443847519</v>
          </cell>
          <cell r="AG9">
            <v>-192341.56997202779</v>
          </cell>
          <cell r="AH9">
            <v>0.36396616896104639</v>
          </cell>
        </row>
        <row r="10">
          <cell r="AD10">
            <v>-117971.8673677115</v>
          </cell>
          <cell r="AE10">
            <v>-385507.81105058279</v>
          </cell>
          <cell r="AF10">
            <v>-2.466156443847519</v>
          </cell>
          <cell r="AG10">
            <v>-192341.56997202779</v>
          </cell>
          <cell r="AH10">
            <v>0.36396616896104639</v>
          </cell>
        </row>
        <row r="11">
          <cell r="AD11">
            <v>-117971.8673677115</v>
          </cell>
          <cell r="AE11">
            <v>-385507.81105058279</v>
          </cell>
          <cell r="AF11">
            <v>-2.466156443847519</v>
          </cell>
          <cell r="AG11">
            <v>-192341.56997202779</v>
          </cell>
          <cell r="AH11">
            <v>0.36396616896104639</v>
          </cell>
        </row>
        <row r="12">
          <cell r="AD12">
            <v>-117971.8673677115</v>
          </cell>
          <cell r="AE12">
            <v>-385507.81105058279</v>
          </cell>
          <cell r="AF12">
            <v>-2.466156443847519</v>
          </cell>
          <cell r="AG12">
            <v>-192341.56997202779</v>
          </cell>
          <cell r="AH12">
            <v>0.36396616896104639</v>
          </cell>
        </row>
        <row r="13">
          <cell r="AD13">
            <v>-469330.6388984978</v>
          </cell>
          <cell r="AE13">
            <v>-225029.63746269559</v>
          </cell>
          <cell r="AF13">
            <v>-2.6012347539696949</v>
          </cell>
          <cell r="AG13">
            <v>109769.2436400334</v>
          </cell>
          <cell r="AH13">
            <v>2.3564966649116048</v>
          </cell>
        </row>
        <row r="14">
          <cell r="AD14">
            <v>-469330.6388984978</v>
          </cell>
          <cell r="AE14">
            <v>-225029.63746269559</v>
          </cell>
          <cell r="AF14">
            <v>-2.6012347539696949</v>
          </cell>
          <cell r="AG14">
            <v>109769.2436400334</v>
          </cell>
          <cell r="AH14">
            <v>2.3564966649116048</v>
          </cell>
        </row>
        <row r="15">
          <cell r="AD15">
            <v>-117971.8673677115</v>
          </cell>
          <cell r="AE15">
            <v>-385507.81105058279</v>
          </cell>
          <cell r="AF15">
            <v>-2.466156443847519</v>
          </cell>
          <cell r="AG15">
            <v>-192341.56997202779</v>
          </cell>
          <cell r="AH15">
            <v>0.36396616896104639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K4">
            <v>-608113.14266050921</v>
          </cell>
          <cell r="AL4">
            <v>-625068.02890172915</v>
          </cell>
          <cell r="AM4">
            <v>-5.642614112627415</v>
          </cell>
          <cell r="AN4">
            <v>-165459.44921123519</v>
          </cell>
          <cell r="AO4">
            <v>0.63571057002381026</v>
          </cell>
        </row>
        <row r="5">
          <cell r="AK5">
            <v>-608113.14266050921</v>
          </cell>
          <cell r="AL5">
            <v>-625068.02890172915</v>
          </cell>
          <cell r="AM5">
            <v>-5.642614112627415</v>
          </cell>
          <cell r="AN5">
            <v>-165459.44921123519</v>
          </cell>
          <cell r="AO5">
            <v>0.63571057002381026</v>
          </cell>
        </row>
        <row r="6">
          <cell r="AK6">
            <v>-608113.14266050921</v>
          </cell>
          <cell r="AL6">
            <v>-625068.02890172915</v>
          </cell>
          <cell r="AM6">
            <v>-5.642614112627415</v>
          </cell>
          <cell r="AN6">
            <v>-165459.44921123519</v>
          </cell>
          <cell r="AO6">
            <v>0.63571057002381026</v>
          </cell>
        </row>
        <row r="7">
          <cell r="AK7">
            <v>-608113.14266050921</v>
          </cell>
          <cell r="AL7">
            <v>-625068.02890172915</v>
          </cell>
          <cell r="AM7">
            <v>-5.642614112627415</v>
          </cell>
          <cell r="AN7">
            <v>-165459.44921123519</v>
          </cell>
          <cell r="AO7">
            <v>0.63571057002381026</v>
          </cell>
        </row>
        <row r="8">
          <cell r="AK8">
            <v>-608113.14266050921</v>
          </cell>
          <cell r="AL8">
            <v>-625068.02890172915</v>
          </cell>
          <cell r="AM8">
            <v>-5.642614112627415</v>
          </cell>
          <cell r="AN8">
            <v>-165459.44921123519</v>
          </cell>
          <cell r="AO8">
            <v>0.63571057002381026</v>
          </cell>
        </row>
        <row r="9">
          <cell r="AK9">
            <v>-608113.14266050921</v>
          </cell>
          <cell r="AL9">
            <v>-625068.02890172915</v>
          </cell>
          <cell r="AM9">
            <v>-5.642614112627415</v>
          </cell>
          <cell r="AN9">
            <v>-165459.44921123519</v>
          </cell>
          <cell r="AO9">
            <v>0.63571057002381026</v>
          </cell>
        </row>
        <row r="10">
          <cell r="AK10">
            <v>-608113.14266050921</v>
          </cell>
          <cell r="AL10">
            <v>-625068.02890172915</v>
          </cell>
          <cell r="AM10">
            <v>-5.642614112627415</v>
          </cell>
          <cell r="AN10">
            <v>-165459.44921123519</v>
          </cell>
          <cell r="AO10">
            <v>0.63571057002381026</v>
          </cell>
        </row>
        <row r="11">
          <cell r="AK11">
            <v>-608113.14266050921</v>
          </cell>
          <cell r="AL11">
            <v>-625068.02890172915</v>
          </cell>
          <cell r="AM11">
            <v>-5.642614112627415</v>
          </cell>
          <cell r="AN11">
            <v>-165459.44921123519</v>
          </cell>
          <cell r="AO11">
            <v>0.63571057002381026</v>
          </cell>
        </row>
        <row r="12">
          <cell r="AK12">
            <v>-608113.14266050921</v>
          </cell>
          <cell r="AL12">
            <v>-625068.02890172915</v>
          </cell>
          <cell r="AM12">
            <v>-5.642614112627415</v>
          </cell>
          <cell r="AN12">
            <v>-165459.44921123519</v>
          </cell>
          <cell r="AO12">
            <v>0.63571057002381026</v>
          </cell>
        </row>
        <row r="13">
          <cell r="AK13">
            <v>-608113.14266050921</v>
          </cell>
          <cell r="AL13">
            <v>-625068.02890172915</v>
          </cell>
          <cell r="AM13">
            <v>-5.642614112627415</v>
          </cell>
          <cell r="AN13">
            <v>-165459.44921123519</v>
          </cell>
          <cell r="AO13">
            <v>0.63571057002381026</v>
          </cell>
        </row>
        <row r="14">
          <cell r="AK14">
            <v>-608113.14266050921</v>
          </cell>
          <cell r="AL14">
            <v>-625068.02890172915</v>
          </cell>
          <cell r="AM14">
            <v>-5.642614112627415</v>
          </cell>
          <cell r="AN14">
            <v>-165459.44921123519</v>
          </cell>
          <cell r="AO14">
            <v>0.63571057002381026</v>
          </cell>
        </row>
        <row r="15">
          <cell r="AK15">
            <v>-608113.14266050921</v>
          </cell>
          <cell r="AL15">
            <v>-625068.02890172915</v>
          </cell>
          <cell r="AM15">
            <v>-5.642614112627415</v>
          </cell>
          <cell r="AN15">
            <v>-165459.44921123519</v>
          </cell>
          <cell r="AO15">
            <v>0.63571057002381026</v>
          </cell>
        </row>
        <row r="16">
          <cell r="AK16">
            <v>-608113.14266050921</v>
          </cell>
          <cell r="AL16">
            <v>-625068.02890172915</v>
          </cell>
          <cell r="AM16">
            <v>-5.642614112627415</v>
          </cell>
          <cell r="AN16">
            <v>-165459.44921123519</v>
          </cell>
          <cell r="AO16">
            <v>0.63571057002381026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-768179.85353884823</v>
          </cell>
          <cell r="AE3">
            <v>-381253.32283796958</v>
          </cell>
          <cell r="AF3">
            <v>-4.6226147683854473</v>
          </cell>
          <cell r="AG3">
            <v>58552.234965922857</v>
          </cell>
          <cell r="AH3">
            <v>1.7274448256697681</v>
          </cell>
        </row>
        <row r="4">
          <cell r="AD4">
            <v>-539361.45806396857</v>
          </cell>
          <cell r="AE4">
            <v>-508573.65110909048</v>
          </cell>
          <cell r="AF4">
            <v>-4.6482459715826634</v>
          </cell>
          <cell r="AG4">
            <v>-165777.421386984</v>
          </cell>
          <cell r="AH4">
            <v>0.40289240963853928</v>
          </cell>
        </row>
        <row r="5">
          <cell r="AD5">
            <v>-549802.4574980553</v>
          </cell>
          <cell r="AE5">
            <v>-503232.21842567192</v>
          </cell>
          <cell r="AF5">
            <v>-4.649705170188855</v>
          </cell>
          <cell r="AG5">
            <v>-155986.01897814759</v>
          </cell>
          <cell r="AH5">
            <v>0.46103133915119338</v>
          </cell>
        </row>
        <row r="6">
          <cell r="AD6">
            <v>-539361.45806396857</v>
          </cell>
          <cell r="AE6">
            <v>-508573.65110909048</v>
          </cell>
          <cell r="AF6">
            <v>-4.6482459715826634</v>
          </cell>
          <cell r="AG6">
            <v>-165777.421386984</v>
          </cell>
          <cell r="AH6">
            <v>0.40289240963853928</v>
          </cell>
        </row>
        <row r="7">
          <cell r="AD7">
            <v>-545132.66591350711</v>
          </cell>
          <cell r="AE7">
            <v>-505651.14924383751</v>
          </cell>
          <cell r="AF7">
            <v>-4.649220675868567</v>
          </cell>
          <cell r="AG7">
            <v>-160393.72356882799</v>
          </cell>
          <cell r="AH7">
            <v>0.43488125533277239</v>
          </cell>
        </row>
        <row r="8">
          <cell r="AD8">
            <v>-539361.45806396857</v>
          </cell>
          <cell r="AE8">
            <v>-508573.65110909048</v>
          </cell>
          <cell r="AF8">
            <v>-4.6482459715826634</v>
          </cell>
          <cell r="AG8">
            <v>-165777.421386984</v>
          </cell>
          <cell r="AH8">
            <v>0.40289240963853928</v>
          </cell>
        </row>
        <row r="9">
          <cell r="AD9">
            <v>-494403.49009286048</v>
          </cell>
          <cell r="AE9">
            <v>-500806.27403490001</v>
          </cell>
          <cell r="AF9">
            <v>-4.4454628818853337</v>
          </cell>
          <cell r="AG9">
            <v>-174260.90411705381</v>
          </cell>
          <cell r="AH9">
            <v>0.38983662482210663</v>
          </cell>
        </row>
        <row r="10">
          <cell r="AD10">
            <v>-539361.45806396857</v>
          </cell>
          <cell r="AE10">
            <v>-508573.65110909048</v>
          </cell>
          <cell r="AF10">
            <v>-4.6482459715826634</v>
          </cell>
          <cell r="AG10">
            <v>-165777.421386984</v>
          </cell>
          <cell r="AH10">
            <v>0.40289240963853928</v>
          </cell>
        </row>
        <row r="11">
          <cell r="AD11">
            <v>-181849.97281374241</v>
          </cell>
          <cell r="AE11">
            <v>-430612.47044473089</v>
          </cell>
          <cell r="AF11">
            <v>-2.9262803937927799</v>
          </cell>
          <cell r="AG11">
            <v>-203557.99055381629</v>
          </cell>
          <cell r="AH11">
            <v>0.3605530797965012</v>
          </cell>
        </row>
        <row r="12">
          <cell r="AD12">
            <v>-539361.45806396857</v>
          </cell>
          <cell r="AE12">
            <v>-508573.65110909048</v>
          </cell>
          <cell r="AF12">
            <v>-4.6482459715826634</v>
          </cell>
          <cell r="AG12">
            <v>-165777.421386984</v>
          </cell>
          <cell r="AH12">
            <v>0.40289240963853928</v>
          </cell>
        </row>
        <row r="13">
          <cell r="AD13">
            <v>-768179.85353884823</v>
          </cell>
          <cell r="AE13">
            <v>-381253.32283796958</v>
          </cell>
          <cell r="AF13">
            <v>-4.6226147683854473</v>
          </cell>
          <cell r="AG13">
            <v>58552.234965922857</v>
          </cell>
          <cell r="AH13">
            <v>1.7274448256697681</v>
          </cell>
        </row>
        <row r="14">
          <cell r="AD14">
            <v>-768179.85353884823</v>
          </cell>
          <cell r="AE14">
            <v>-381253.32283796958</v>
          </cell>
          <cell r="AF14">
            <v>-4.6226147683854473</v>
          </cell>
          <cell r="AG14">
            <v>58552.234965922857</v>
          </cell>
          <cell r="AH14">
            <v>1.7274448256697681</v>
          </cell>
        </row>
        <row r="15">
          <cell r="AD15">
            <v>-539361.45806396857</v>
          </cell>
          <cell r="AE15">
            <v>-508573.65110909048</v>
          </cell>
          <cell r="AF15">
            <v>-4.6482459715826634</v>
          </cell>
          <cell r="AG15">
            <v>-165777.421386984</v>
          </cell>
          <cell r="AH15">
            <v>0.40289240963853928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-768179.85353884823</v>
          </cell>
          <cell r="AL3">
            <v>-381253.32283796958</v>
          </cell>
          <cell r="AM3">
            <v>-4.6226147683854473</v>
          </cell>
          <cell r="AN3">
            <v>58552.234965922857</v>
          </cell>
          <cell r="AO3">
            <v>1.7274448256697681</v>
          </cell>
        </row>
        <row r="4">
          <cell r="AK4">
            <v>-634031.48587802402</v>
          </cell>
          <cell r="AL4">
            <v>-626385.6173974399</v>
          </cell>
          <cell r="AM4">
            <v>-5.7397424705023239</v>
          </cell>
          <cell r="AN4">
            <v>-170884.1705219007</v>
          </cell>
          <cell r="AO4">
            <v>0.61772383195463199</v>
          </cell>
        </row>
        <row r="5">
          <cell r="AK5">
            <v>-635489.74845376587</v>
          </cell>
          <cell r="AL5">
            <v>-626373.71185913985</v>
          </cell>
          <cell r="AM5">
            <v>-5.7446182642016108</v>
          </cell>
          <cell r="AN5">
            <v>-171176.25465287891</v>
          </cell>
          <cell r="AO5">
            <v>0.61689191499457596</v>
          </cell>
        </row>
        <row r="6">
          <cell r="AK6">
            <v>-635489.74845376587</v>
          </cell>
          <cell r="AL6">
            <v>-626373.71185913985</v>
          </cell>
          <cell r="AM6">
            <v>-5.7446182642016108</v>
          </cell>
          <cell r="AN6">
            <v>-171176.25465287891</v>
          </cell>
          <cell r="AO6">
            <v>0.61689191499457596</v>
          </cell>
        </row>
        <row r="7">
          <cell r="AK7">
            <v>-635489.74845376587</v>
          </cell>
          <cell r="AL7">
            <v>-626373.71185913985</v>
          </cell>
          <cell r="AM7">
            <v>-5.7446182642016108</v>
          </cell>
          <cell r="AN7">
            <v>-171176.25465287891</v>
          </cell>
          <cell r="AO7">
            <v>0.61689191499457596</v>
          </cell>
        </row>
        <row r="8">
          <cell r="AK8">
            <v>-635489.74845376587</v>
          </cell>
          <cell r="AL8">
            <v>-626373.71185913985</v>
          </cell>
          <cell r="AM8">
            <v>-5.7446182642016108</v>
          </cell>
          <cell r="AN8">
            <v>-171176.25465287891</v>
          </cell>
          <cell r="AO8">
            <v>0.61689191499457596</v>
          </cell>
        </row>
        <row r="9">
          <cell r="AK9">
            <v>-634031.48587802402</v>
          </cell>
          <cell r="AL9">
            <v>-626385.6173974399</v>
          </cell>
          <cell r="AM9">
            <v>-5.7397424705023239</v>
          </cell>
          <cell r="AN9">
            <v>-170884.1705219007</v>
          </cell>
          <cell r="AO9">
            <v>0.61772383195463199</v>
          </cell>
        </row>
        <row r="10">
          <cell r="AK10">
            <v>-635489.74845376587</v>
          </cell>
          <cell r="AL10">
            <v>-626373.71185913985</v>
          </cell>
          <cell r="AM10">
            <v>-5.7446182642016108</v>
          </cell>
          <cell r="AN10">
            <v>-171176.25465287891</v>
          </cell>
          <cell r="AO10">
            <v>0.61689191499457596</v>
          </cell>
        </row>
        <row r="11">
          <cell r="AK11">
            <v>-614258.26456573897</v>
          </cell>
          <cell r="AL11">
            <v>-625921.44778011297</v>
          </cell>
          <cell r="AM11">
            <v>-5.6692333753218422</v>
          </cell>
          <cell r="AN11">
            <v>-166828.65401306169</v>
          </cell>
          <cell r="AO11">
            <v>0.63041925444081326</v>
          </cell>
        </row>
        <row r="12">
          <cell r="AK12">
            <v>-539361.45806396857</v>
          </cell>
          <cell r="AL12">
            <v>-508573.65110909048</v>
          </cell>
          <cell r="AM12">
            <v>-4.6482459715826634</v>
          </cell>
          <cell r="AN12">
            <v>-165777.421386984</v>
          </cell>
          <cell r="AO12">
            <v>0.40289240963853928</v>
          </cell>
        </row>
        <row r="13">
          <cell r="AK13">
            <v>-635489.74845376587</v>
          </cell>
          <cell r="AL13">
            <v>-626373.71185913985</v>
          </cell>
          <cell r="AM13">
            <v>-5.7446182642016108</v>
          </cell>
          <cell r="AN13">
            <v>-171176.25465287891</v>
          </cell>
          <cell r="AO13">
            <v>0.61689191499457596</v>
          </cell>
        </row>
        <row r="14">
          <cell r="AK14">
            <v>-768179.85353884823</v>
          </cell>
          <cell r="AL14">
            <v>-381253.32283796958</v>
          </cell>
          <cell r="AM14">
            <v>-4.6226147683854473</v>
          </cell>
          <cell r="AN14">
            <v>58552.234965922857</v>
          </cell>
          <cell r="AO14">
            <v>1.7274448256697681</v>
          </cell>
        </row>
        <row r="15">
          <cell r="AK15">
            <v>-635489.74845376587</v>
          </cell>
          <cell r="AL15">
            <v>-626373.71185913985</v>
          </cell>
          <cell r="AM15">
            <v>-5.7446182642016108</v>
          </cell>
          <cell r="AN15">
            <v>-171176.25465287891</v>
          </cell>
          <cell r="AO15">
            <v>0.61689191499457596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-818093.70361632097</v>
          </cell>
          <cell r="AE3">
            <v>-393131.57978474197</v>
          </cell>
          <cell r="AF3">
            <v>-5.000279529603894</v>
          </cell>
          <cell r="AG3">
            <v>163042.81900663199</v>
          </cell>
          <cell r="AH3">
            <v>2.4952662973280328</v>
          </cell>
        </row>
        <row r="4">
          <cell r="AD4">
            <v>-206547.64447281981</v>
          </cell>
          <cell r="AE4">
            <v>-472723.10069549771</v>
          </cell>
          <cell r="AF4">
            <v>-3.4813193291665132</v>
          </cell>
          <cell r="AG4">
            <v>-175282.76632134159</v>
          </cell>
          <cell r="AH4">
            <v>0.52727472817421117</v>
          </cell>
        </row>
        <row r="5">
          <cell r="AD5">
            <v>-818093.70361632097</v>
          </cell>
          <cell r="AE5">
            <v>-393131.57978474197</v>
          </cell>
          <cell r="AF5">
            <v>-5.000279529603894</v>
          </cell>
          <cell r="AG5">
            <v>163042.81900663199</v>
          </cell>
          <cell r="AH5">
            <v>2.4952662973280328</v>
          </cell>
        </row>
        <row r="6">
          <cell r="AD6">
            <v>-206547.64447281981</v>
          </cell>
          <cell r="AE6">
            <v>-472723.10069549771</v>
          </cell>
          <cell r="AF6">
            <v>-3.4813193291665132</v>
          </cell>
          <cell r="AG6">
            <v>-175282.76632134159</v>
          </cell>
          <cell r="AH6">
            <v>0.52727472817421117</v>
          </cell>
        </row>
        <row r="7">
          <cell r="AD7">
            <v>-598443.87065936555</v>
          </cell>
          <cell r="AE7">
            <v>-276275.10280052898</v>
          </cell>
          <cell r="AF7">
            <v>-3.914218080882633</v>
          </cell>
          <cell r="AG7">
            <v>87649.014450924733</v>
          </cell>
          <cell r="AH7">
            <v>0.99037633251015689</v>
          </cell>
        </row>
        <row r="8">
          <cell r="AD8">
            <v>-598443.87065936555</v>
          </cell>
          <cell r="AE8">
            <v>-276275.10280052898</v>
          </cell>
          <cell r="AF8">
            <v>-3.914218080882633</v>
          </cell>
          <cell r="AG8">
            <v>87649.014450924733</v>
          </cell>
          <cell r="AH8">
            <v>0.99037633251015689</v>
          </cell>
        </row>
        <row r="9">
          <cell r="AD9">
            <v>-187749.62711382151</v>
          </cell>
          <cell r="AE9">
            <v>-462573.42162441002</v>
          </cell>
          <cell r="AF9">
            <v>-3.3870031280117479</v>
          </cell>
          <cell r="AG9">
            <v>-181393.0199352651</v>
          </cell>
          <cell r="AH9">
            <v>0.40245629233357022</v>
          </cell>
        </row>
        <row r="10">
          <cell r="AD10">
            <v>-187749.62711382151</v>
          </cell>
          <cell r="AE10">
            <v>-462573.42162441002</v>
          </cell>
          <cell r="AF10">
            <v>-3.3870031280117479</v>
          </cell>
          <cell r="AG10">
            <v>-181393.0199352651</v>
          </cell>
          <cell r="AH10">
            <v>0.40245629233357022</v>
          </cell>
        </row>
        <row r="11">
          <cell r="AD11">
            <v>-187749.62716954219</v>
          </cell>
          <cell r="AE11">
            <v>-462573.42160036502</v>
          </cell>
          <cell r="AF11">
            <v>-3.3870031280894</v>
          </cell>
          <cell r="AG11">
            <v>-181393.01989971331</v>
          </cell>
          <cell r="AH11">
            <v>0.4024562924109919</v>
          </cell>
        </row>
        <row r="12">
          <cell r="AD12">
            <v>-598443.87065936555</v>
          </cell>
          <cell r="AE12">
            <v>-276275.10280052898</v>
          </cell>
          <cell r="AF12">
            <v>-3.914218080882633</v>
          </cell>
          <cell r="AG12">
            <v>87649.014450924733</v>
          </cell>
          <cell r="AH12">
            <v>0.99037633251015689</v>
          </cell>
        </row>
        <row r="13">
          <cell r="AD13">
            <v>-818093.70361632097</v>
          </cell>
          <cell r="AE13">
            <v>-393131.57978474197</v>
          </cell>
          <cell r="AF13">
            <v>-5.000279529603894</v>
          </cell>
          <cell r="AG13">
            <v>163042.81900663199</v>
          </cell>
          <cell r="AH13">
            <v>2.4952662973280328</v>
          </cell>
        </row>
        <row r="14">
          <cell r="AD14">
            <v>-818093.70361632097</v>
          </cell>
          <cell r="AE14">
            <v>-393131.57978474197</v>
          </cell>
          <cell r="AF14">
            <v>-5.000279529603894</v>
          </cell>
          <cell r="AG14">
            <v>163042.81900663199</v>
          </cell>
          <cell r="AH14">
            <v>2.4952662973280328</v>
          </cell>
        </row>
        <row r="15">
          <cell r="AD15">
            <v>-187749.62716954219</v>
          </cell>
          <cell r="AE15">
            <v>-462573.42160036502</v>
          </cell>
          <cell r="AF15">
            <v>-3.3870031280894</v>
          </cell>
          <cell r="AG15">
            <v>-181393.0198997132</v>
          </cell>
          <cell r="AH15">
            <v>0.4024562924109919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-721123.90716989816</v>
          </cell>
          <cell r="AE7">
            <v>-437095.04996141582</v>
          </cell>
          <cell r="AF7">
            <v>-4.8756795012192589</v>
          </cell>
          <cell r="AG7">
            <v>99537.154556529626</v>
          </cell>
          <cell r="AH7">
            <v>2.3564966604137632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-909541.78229965246</v>
          </cell>
          <cell r="AL3">
            <v>-450390.30490598618</v>
          </cell>
          <cell r="AM3">
            <v>-5.5315918548801939</v>
          </cell>
          <cell r="AN3">
            <v>174657.56140634569</v>
          </cell>
          <cell r="AO3">
            <v>2.8921597016395739</v>
          </cell>
        </row>
        <row r="4">
          <cell r="AK4">
            <v>-644442.1846872702</v>
          </cell>
          <cell r="AL4">
            <v>-684909.40473820688</v>
          </cell>
          <cell r="AM4">
            <v>-6.364898685252375</v>
          </cell>
          <cell r="AN4">
            <v>-165459.6313217275</v>
          </cell>
          <cell r="AO4">
            <v>0.63571057002381026</v>
          </cell>
        </row>
        <row r="5">
          <cell r="AK5">
            <v>-851589.58048812114</v>
          </cell>
          <cell r="AL5">
            <v>-660654.74717186799</v>
          </cell>
          <cell r="AM5">
            <v>-6.8687928515880721</v>
          </cell>
          <cell r="AN5">
            <v>43053.317941363552</v>
          </cell>
          <cell r="AO5">
            <v>2.6150602038266331</v>
          </cell>
        </row>
        <row r="6">
          <cell r="AK6">
            <v>-644442.1846872702</v>
          </cell>
          <cell r="AL6">
            <v>-684909.40473820688</v>
          </cell>
          <cell r="AM6">
            <v>-6.364898685252375</v>
          </cell>
          <cell r="AN6">
            <v>-165459.6313217275</v>
          </cell>
          <cell r="AO6">
            <v>0.63571057002381026</v>
          </cell>
        </row>
        <row r="7">
          <cell r="AK7">
            <v>-644442.1846872702</v>
          </cell>
          <cell r="AL7">
            <v>-684909.40473820688</v>
          </cell>
          <cell r="AM7">
            <v>-6.364898685252375</v>
          </cell>
          <cell r="AN7">
            <v>-165459.6313217275</v>
          </cell>
          <cell r="AO7">
            <v>0.63571057002381026</v>
          </cell>
        </row>
        <row r="8">
          <cell r="AK8">
            <v>-644442.1846872702</v>
          </cell>
          <cell r="AL8">
            <v>-684909.40473820688</v>
          </cell>
          <cell r="AM8">
            <v>-6.364898685252375</v>
          </cell>
          <cell r="AN8">
            <v>-165459.6313217275</v>
          </cell>
          <cell r="AO8">
            <v>0.63571057002381026</v>
          </cell>
        </row>
        <row r="9">
          <cell r="AK9">
            <v>-644442.1846872702</v>
          </cell>
          <cell r="AL9">
            <v>-684909.40473820688</v>
          </cell>
          <cell r="AM9">
            <v>-6.364898685252375</v>
          </cell>
          <cell r="AN9">
            <v>-165459.6313217275</v>
          </cell>
          <cell r="AO9">
            <v>0.63571057002381026</v>
          </cell>
        </row>
        <row r="10">
          <cell r="AK10">
            <v>-644442.1846872702</v>
          </cell>
          <cell r="AL10">
            <v>-684909.40473820688</v>
          </cell>
          <cell r="AM10">
            <v>-6.364898685252375</v>
          </cell>
          <cell r="AN10">
            <v>-165459.6313217275</v>
          </cell>
          <cell r="AO10">
            <v>0.63571057002381026</v>
          </cell>
        </row>
        <row r="11">
          <cell r="AK11">
            <v>-644442.1846872702</v>
          </cell>
          <cell r="AL11">
            <v>-684909.40473820688</v>
          </cell>
          <cell r="AM11">
            <v>-6.364898685252375</v>
          </cell>
          <cell r="AN11">
            <v>-165459.6313217275</v>
          </cell>
          <cell r="AO11">
            <v>0.63571057002381026</v>
          </cell>
        </row>
        <row r="12">
          <cell r="AK12">
            <v>-644442.1846872702</v>
          </cell>
          <cell r="AL12">
            <v>-684909.40473820688</v>
          </cell>
          <cell r="AM12">
            <v>-6.364898685252375</v>
          </cell>
          <cell r="AN12">
            <v>-165459.6313217275</v>
          </cell>
          <cell r="AO12">
            <v>0.63571057002381026</v>
          </cell>
        </row>
        <row r="13">
          <cell r="AK13">
            <v>-851589.58048812114</v>
          </cell>
          <cell r="AL13">
            <v>-660654.74717186799</v>
          </cell>
          <cell r="AM13">
            <v>-6.8687928515880721</v>
          </cell>
          <cell r="AN13">
            <v>43053.317941363552</v>
          </cell>
          <cell r="AO13">
            <v>2.6150602038266331</v>
          </cell>
        </row>
        <row r="14">
          <cell r="AK14">
            <v>-909541.78229965246</v>
          </cell>
          <cell r="AL14">
            <v>-450390.30490598618</v>
          </cell>
          <cell r="AM14">
            <v>-5.5315918548801939</v>
          </cell>
          <cell r="AN14">
            <v>174657.56140634569</v>
          </cell>
          <cell r="AO14">
            <v>2.8921597016395739</v>
          </cell>
        </row>
        <row r="15">
          <cell r="AK15">
            <v>-644442.1846872702</v>
          </cell>
          <cell r="AL15">
            <v>-684909.40473820688</v>
          </cell>
          <cell r="AM15">
            <v>-6.364898685252375</v>
          </cell>
          <cell r="AN15">
            <v>-165459.6313217275</v>
          </cell>
          <cell r="AO15">
            <v>0.63571057002381026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-851589.58048812114</v>
          </cell>
          <cell r="AL7">
            <v>-660654.74717186799</v>
          </cell>
          <cell r="AM7">
            <v>-6.8687928515880721</v>
          </cell>
          <cell r="AN7">
            <v>43053.317941363552</v>
          </cell>
          <cell r="AO7">
            <v>2.6150602038266331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-900529.643526776</v>
          </cell>
          <cell r="AE3">
            <v>-500204.87427557592</v>
          </cell>
          <cell r="AF3">
            <v>-5.9650553132270554</v>
          </cell>
          <cell r="AG3">
            <v>83802.282082538615</v>
          </cell>
          <cell r="AH3">
            <v>1.905592268949883</v>
          </cell>
        </row>
        <row r="4">
          <cell r="AD4">
            <v>-527008.18586465344</v>
          </cell>
          <cell r="AE4">
            <v>-534021.29708947102</v>
          </cell>
          <cell r="AF4">
            <v>-5.0198331186547049</v>
          </cell>
          <cell r="AG4">
            <v>-129423.62059813261</v>
          </cell>
          <cell r="AH4">
            <v>0.43291799196733549</v>
          </cell>
        </row>
        <row r="5">
          <cell r="AD5">
            <v>-898781.77147895657</v>
          </cell>
          <cell r="AE5">
            <v>-507697.85586750339</v>
          </cell>
          <cell r="AF5">
            <v>-6.0240218397631953</v>
          </cell>
          <cell r="AG5">
            <v>69693.914180888794</v>
          </cell>
          <cell r="AH5">
            <v>1.7574704079985639</v>
          </cell>
        </row>
        <row r="6">
          <cell r="AD6">
            <v>-527008.18586465344</v>
          </cell>
          <cell r="AE6">
            <v>-534021.29708947102</v>
          </cell>
          <cell r="AF6">
            <v>-5.0198331186547049</v>
          </cell>
          <cell r="AG6">
            <v>-129423.62059813261</v>
          </cell>
          <cell r="AH6">
            <v>0.43291799196733549</v>
          </cell>
        </row>
        <row r="7">
          <cell r="AD7">
            <v>-754212.43985085678</v>
          </cell>
          <cell r="AE7">
            <v>-431127.63636989292</v>
          </cell>
          <cell r="AF7">
            <v>-5.3123461667569956</v>
          </cell>
          <cell r="AG7">
            <v>19284.315940239961</v>
          </cell>
          <cell r="AH7">
            <v>0.75784279742481853</v>
          </cell>
        </row>
        <row r="8">
          <cell r="AD8">
            <v>-754212.43985085678</v>
          </cell>
          <cell r="AE8">
            <v>-431127.63636989292</v>
          </cell>
          <cell r="AF8">
            <v>-5.3123461667569956</v>
          </cell>
          <cell r="AG8">
            <v>19284.315940239961</v>
          </cell>
          <cell r="AH8">
            <v>0.75784279742481853</v>
          </cell>
        </row>
        <row r="9">
          <cell r="AD9">
            <v>-356646.70301638811</v>
          </cell>
          <cell r="AE9">
            <v>-510653.0221198299</v>
          </cell>
          <cell r="AF9">
            <v>-4.2713820774622668</v>
          </cell>
          <cell r="AG9">
            <v>-165053.11410720629</v>
          </cell>
          <cell r="AH9">
            <v>0.38625754579389809</v>
          </cell>
        </row>
        <row r="10">
          <cell r="AD10">
            <v>-527008.18586465344</v>
          </cell>
          <cell r="AE10">
            <v>-534021.29708947102</v>
          </cell>
          <cell r="AF10">
            <v>-5.0198331186547049</v>
          </cell>
          <cell r="AG10">
            <v>-129423.62059813261</v>
          </cell>
          <cell r="AH10">
            <v>0.43291799196733549</v>
          </cell>
        </row>
        <row r="11">
          <cell r="AD11">
            <v>-211637.8204826203</v>
          </cell>
          <cell r="AE11">
            <v>-485832.53615539032</v>
          </cell>
          <cell r="AF11">
            <v>-3.6014435413618622</v>
          </cell>
          <cell r="AG11">
            <v>-191550.41529105839</v>
          </cell>
          <cell r="AH11">
            <v>0.36458746415175558</v>
          </cell>
        </row>
        <row r="12">
          <cell r="AD12">
            <v>-754212.43985085678</v>
          </cell>
          <cell r="AE12">
            <v>-431127.63636989292</v>
          </cell>
          <cell r="AF12">
            <v>-5.3123461667569956</v>
          </cell>
          <cell r="AG12">
            <v>19284.315940239961</v>
          </cell>
          <cell r="AH12">
            <v>0.75784279742481853</v>
          </cell>
        </row>
        <row r="13">
          <cell r="AD13">
            <v>-898781.77147895657</v>
          </cell>
          <cell r="AE13">
            <v>-507697.85586750339</v>
          </cell>
          <cell r="AF13">
            <v>-6.0240218397631953</v>
          </cell>
          <cell r="AG13">
            <v>69693.914180888794</v>
          </cell>
          <cell r="AH13">
            <v>1.7574704079985639</v>
          </cell>
        </row>
        <row r="14">
          <cell r="AD14">
            <v>-898781.77147895657</v>
          </cell>
          <cell r="AE14">
            <v>-507697.85586750339</v>
          </cell>
          <cell r="AF14">
            <v>-6.0240218397631953</v>
          </cell>
          <cell r="AG14">
            <v>69693.914180888794</v>
          </cell>
          <cell r="AH14">
            <v>1.7574704079985639</v>
          </cell>
        </row>
        <row r="15">
          <cell r="AD15">
            <v>-527008.18586465344</v>
          </cell>
          <cell r="AE15">
            <v>-534021.29708947102</v>
          </cell>
          <cell r="AF15">
            <v>-5.0198331186547049</v>
          </cell>
          <cell r="AG15">
            <v>-129423.62059813261</v>
          </cell>
          <cell r="AH15">
            <v>0.43291799196733549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-898781.77147895657</v>
          </cell>
          <cell r="AE7">
            <v>-507697.85586750339</v>
          </cell>
          <cell r="AF7">
            <v>-6.0240218397631953</v>
          </cell>
          <cell r="AG7">
            <v>69693.914180888794</v>
          </cell>
          <cell r="AH7">
            <v>1.7574704079985639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-913173.23611822585</v>
          </cell>
          <cell r="AL3">
            <v>-462294.07700228808</v>
          </cell>
          <cell r="AM3">
            <v>-5.6405530308313656</v>
          </cell>
          <cell r="AN3">
            <v>158876.19866794301</v>
          </cell>
          <cell r="AO3">
            <v>2.730940448070116</v>
          </cell>
        </row>
        <row r="4">
          <cell r="AK4">
            <v>-644442.1846872702</v>
          </cell>
          <cell r="AL4">
            <v>-684909.40473820688</v>
          </cell>
          <cell r="AM4">
            <v>-6.364898685252375</v>
          </cell>
          <cell r="AN4">
            <v>-165459.6313217275</v>
          </cell>
          <cell r="AO4">
            <v>0.63571057002381026</v>
          </cell>
        </row>
        <row r="5">
          <cell r="AK5">
            <v>-858981.91221275914</v>
          </cell>
          <cell r="AL5">
            <v>-658913.15514688112</v>
          </cell>
          <cell r="AM5">
            <v>-6.8909747589820043</v>
          </cell>
          <cell r="AN5">
            <v>35812.571022898883</v>
          </cell>
          <cell r="AO5">
            <v>2.4718236557718929</v>
          </cell>
        </row>
        <row r="6">
          <cell r="AK6">
            <v>-665277.59612264379</v>
          </cell>
          <cell r="AL6">
            <v>-681593.77756979864</v>
          </cell>
          <cell r="AM6">
            <v>-6.4197814117706908</v>
          </cell>
          <cell r="AN6">
            <v>-159168.6793901209</v>
          </cell>
          <cell r="AO6">
            <v>0.62092629934983035</v>
          </cell>
        </row>
        <row r="7">
          <cell r="AK7">
            <v>-754212.43985085678</v>
          </cell>
          <cell r="AL7">
            <v>-431127.63636989292</v>
          </cell>
          <cell r="AM7">
            <v>-5.3123461667569956</v>
          </cell>
          <cell r="AN7">
            <v>19284.315940239961</v>
          </cell>
          <cell r="AO7">
            <v>0.75784279742481853</v>
          </cell>
        </row>
        <row r="8">
          <cell r="AK8">
            <v>-665277.59612264379</v>
          </cell>
          <cell r="AL8">
            <v>-681593.77756979864</v>
          </cell>
          <cell r="AM8">
            <v>-6.4197814117706908</v>
          </cell>
          <cell r="AN8">
            <v>-159168.6793901209</v>
          </cell>
          <cell r="AO8">
            <v>0.62092629934983035</v>
          </cell>
        </row>
        <row r="9">
          <cell r="AK9">
            <v>-649290.42453486356</v>
          </cell>
          <cell r="AL9">
            <v>-684846.58510462474</v>
          </cell>
          <cell r="AM9">
            <v>-6.3821754750983128</v>
          </cell>
          <cell r="AN9">
            <v>-164448.13246880911</v>
          </cell>
          <cell r="AO9">
            <v>0.63121912683002368</v>
          </cell>
        </row>
        <row r="10">
          <cell r="AK10">
            <v>-665277.59612264379</v>
          </cell>
          <cell r="AL10">
            <v>-681593.77756979864</v>
          </cell>
          <cell r="AM10">
            <v>-6.4197814117706908</v>
          </cell>
          <cell r="AN10">
            <v>-159168.6793901209</v>
          </cell>
          <cell r="AO10">
            <v>0.62092629934983035</v>
          </cell>
        </row>
        <row r="11">
          <cell r="AK11">
            <v>-644442.1846872702</v>
          </cell>
          <cell r="AL11">
            <v>-684909.40473820688</v>
          </cell>
          <cell r="AM11">
            <v>-6.364898685252375</v>
          </cell>
          <cell r="AN11">
            <v>-165459.6313217275</v>
          </cell>
          <cell r="AO11">
            <v>0.63571057002381026</v>
          </cell>
        </row>
        <row r="12">
          <cell r="AK12">
            <v>-754212.43985085678</v>
          </cell>
          <cell r="AL12">
            <v>-431127.63636989292</v>
          </cell>
          <cell r="AM12">
            <v>-5.3123461667569956</v>
          </cell>
          <cell r="AN12">
            <v>19284.315940239961</v>
          </cell>
          <cell r="AO12">
            <v>0.75784279742481853</v>
          </cell>
        </row>
        <row r="13">
          <cell r="AK13">
            <v>-898781.77147895657</v>
          </cell>
          <cell r="AL13">
            <v>-507697.85586750339</v>
          </cell>
          <cell r="AM13">
            <v>-6.0240218397631953</v>
          </cell>
          <cell r="AN13">
            <v>69693.914180888794</v>
          </cell>
          <cell r="AO13">
            <v>1.7574704079985639</v>
          </cell>
        </row>
        <row r="14">
          <cell r="AK14">
            <v>-898781.77147895657</v>
          </cell>
          <cell r="AL14">
            <v>-507697.85586750339</v>
          </cell>
          <cell r="AM14">
            <v>-6.0240218397631953</v>
          </cell>
          <cell r="AN14">
            <v>69693.914180888794</v>
          </cell>
          <cell r="AO14">
            <v>1.7574704079985639</v>
          </cell>
        </row>
        <row r="15">
          <cell r="AK15">
            <v>-665277.59612264379</v>
          </cell>
          <cell r="AL15">
            <v>-681593.77756979864</v>
          </cell>
          <cell r="AM15">
            <v>-6.4197814117706908</v>
          </cell>
          <cell r="AN15">
            <v>-159168.6793901209</v>
          </cell>
          <cell r="AO15">
            <v>0.62092629934983035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-853772.54412361525</v>
          </cell>
          <cell r="AL7">
            <v>-660904.0016222928</v>
          </cell>
          <cell r="AM7">
            <v>-6.8795862517447279</v>
          </cell>
          <cell r="AN7">
            <v>41381.970786916027</v>
          </cell>
          <cell r="AO7">
            <v>2.5851013239793339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-768179.85353884823</v>
          </cell>
          <cell r="AL3">
            <v>-415428.44807613798</v>
          </cell>
          <cell r="AM3">
            <v>-5.0793988224670468</v>
          </cell>
          <cell r="AN3">
            <v>92727.360204091223</v>
          </cell>
          <cell r="AO3">
            <v>1.765209108988617</v>
          </cell>
        </row>
        <row r="4">
          <cell r="AK4">
            <v>-634031.48587802402</v>
          </cell>
          <cell r="AL4">
            <v>-660560.7426356083</v>
          </cell>
          <cell r="AM4">
            <v>-6.1965265245839234</v>
          </cell>
          <cell r="AN4">
            <v>-154242.59406741831</v>
          </cell>
          <cell r="AO4">
            <v>0.62331509930680706</v>
          </cell>
        </row>
        <row r="5">
          <cell r="AK5">
            <v>-635489.74845376587</v>
          </cell>
          <cell r="AL5">
            <v>-660548.83709730825</v>
          </cell>
          <cell r="AM5">
            <v>-6.2014023182832094</v>
          </cell>
          <cell r="AN5">
            <v>-153915.1866065145</v>
          </cell>
          <cell r="AO5">
            <v>0.62269132026698426</v>
          </cell>
        </row>
        <row r="6">
          <cell r="AK6">
            <v>-635489.74845376587</v>
          </cell>
          <cell r="AL6">
            <v>-660548.83709730825</v>
          </cell>
          <cell r="AM6">
            <v>-6.2014023182832094</v>
          </cell>
          <cell r="AN6">
            <v>-153915.1866065145</v>
          </cell>
          <cell r="AO6">
            <v>0.62269132026698426</v>
          </cell>
        </row>
        <row r="7">
          <cell r="AK7">
            <v>-635489.74845376587</v>
          </cell>
          <cell r="AL7">
            <v>-660548.83709730825</v>
          </cell>
          <cell r="AM7">
            <v>-6.2014023182832094</v>
          </cell>
          <cell r="AN7">
            <v>-153915.1866065145</v>
          </cell>
          <cell r="AO7">
            <v>0.62269132026698426</v>
          </cell>
        </row>
        <row r="8">
          <cell r="AK8">
            <v>-635489.74845376587</v>
          </cell>
          <cell r="AL8">
            <v>-660548.83709730825</v>
          </cell>
          <cell r="AM8">
            <v>-6.2014023182832094</v>
          </cell>
          <cell r="AN8">
            <v>-153915.1866065145</v>
          </cell>
          <cell r="AO8">
            <v>0.62269132026698426</v>
          </cell>
        </row>
        <row r="9">
          <cell r="AK9">
            <v>-635489.74845376587</v>
          </cell>
          <cell r="AL9">
            <v>-660548.83709730825</v>
          </cell>
          <cell r="AM9">
            <v>-6.2014023182832094</v>
          </cell>
          <cell r="AN9">
            <v>-153915.1866065145</v>
          </cell>
          <cell r="AO9">
            <v>0.62269132026698426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-768179.85353884823</v>
          </cell>
          <cell r="AE3">
            <v>-415428.44807613798</v>
          </cell>
          <cell r="AF3">
            <v>-5.0793988224670468</v>
          </cell>
          <cell r="AG3">
            <v>92727.360204091223</v>
          </cell>
          <cell r="AH3">
            <v>1.765209108988617</v>
          </cell>
        </row>
        <row r="4">
          <cell r="AD4">
            <v>-539361.45806396857</v>
          </cell>
          <cell r="AE4">
            <v>-542748.77634725894</v>
          </cell>
          <cell r="AF4">
            <v>-5.1050300256642629</v>
          </cell>
          <cell r="AG4">
            <v>-131602.29614881569</v>
          </cell>
          <cell r="AH4">
            <v>0.43218596492948658</v>
          </cell>
        </row>
        <row r="5">
          <cell r="AD5">
            <v>-549802.4574980553</v>
          </cell>
          <cell r="AE5">
            <v>-537407.34366384032</v>
          </cell>
          <cell r="AF5">
            <v>-5.1064892242704536</v>
          </cell>
          <cell r="AG5">
            <v>-121810.8937399792</v>
          </cell>
          <cell r="AH5">
            <v>0.49069888125255418</v>
          </cell>
        </row>
        <row r="6">
          <cell r="AD6">
            <v>-539361.45806396857</v>
          </cell>
          <cell r="AE6">
            <v>-542748.77634725894</v>
          </cell>
          <cell r="AF6">
            <v>-5.1050300256642629</v>
          </cell>
          <cell r="AG6">
            <v>-131602.29614881569</v>
          </cell>
          <cell r="AH6">
            <v>0.43218596492948658</v>
          </cell>
        </row>
        <row r="7">
          <cell r="AD7">
            <v>-539361.45806396857</v>
          </cell>
          <cell r="AE7">
            <v>-542748.77634725894</v>
          </cell>
          <cell r="AF7">
            <v>-5.1050300256642629</v>
          </cell>
          <cell r="AG7">
            <v>-131602.29614881569</v>
          </cell>
          <cell r="AH7">
            <v>0.43218596492948658</v>
          </cell>
        </row>
        <row r="8">
          <cell r="AD8">
            <v>-545132.66591350711</v>
          </cell>
          <cell r="AE8">
            <v>-539826.27448200586</v>
          </cell>
          <cell r="AF8">
            <v>-5.1060047299501674</v>
          </cell>
          <cell r="AG8">
            <v>-126218.5983306597</v>
          </cell>
          <cell r="AH8">
            <v>0.46438072823725618</v>
          </cell>
        </row>
        <row r="9">
          <cell r="AD9">
            <v>-539361.45806396857</v>
          </cell>
          <cell r="AE9">
            <v>-542748.77634725894</v>
          </cell>
          <cell r="AF9">
            <v>-5.1050300256642629</v>
          </cell>
          <cell r="AG9">
            <v>-131602.29614881569</v>
          </cell>
          <cell r="AH9">
            <v>0.43218596492948658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-469330.6388984978</v>
          </cell>
          <cell r="AE3">
            <v>-259204.762700864</v>
          </cell>
          <cell r="AF3">
            <v>-3.058018808051294</v>
          </cell>
          <cell r="AG3">
            <v>143944.3688782017</v>
          </cell>
          <cell r="AH3">
            <v>2.371416490173218</v>
          </cell>
        </row>
        <row r="4">
          <cell r="AD4">
            <v>-152274.74178398619</v>
          </cell>
          <cell r="AE4">
            <v>-434379.63232827722</v>
          </cell>
          <cell r="AF4">
            <v>-3.0865549116479789</v>
          </cell>
          <cell r="AG4">
            <v>-165710.99591940609</v>
          </cell>
          <cell r="AH4">
            <v>0.53049059778102325</v>
          </cell>
        </row>
        <row r="5">
          <cell r="AD5">
            <v>-180191.32311227391</v>
          </cell>
          <cell r="AE5">
            <v>-419793.41956676048</v>
          </cell>
          <cell r="AF5">
            <v>-3.0887463668770909</v>
          </cell>
          <cell r="AG5">
            <v>-139241.93409240161</v>
          </cell>
          <cell r="AH5">
            <v>0.68844396000360453</v>
          </cell>
        </row>
        <row r="6">
          <cell r="AD6">
            <v>-152274.74178398619</v>
          </cell>
          <cell r="AE6">
            <v>-434379.63232827728</v>
          </cell>
          <cell r="AF6">
            <v>-3.0865549116479798</v>
          </cell>
          <cell r="AG6">
            <v>-165710.99591940609</v>
          </cell>
          <cell r="AH6">
            <v>0.53049059778102337</v>
          </cell>
        </row>
        <row r="7">
          <cell r="AD7">
            <v>-152274.74178398619</v>
          </cell>
          <cell r="AE7">
            <v>-434379.63232827722</v>
          </cell>
          <cell r="AF7">
            <v>-3.0865549116479789</v>
          </cell>
          <cell r="AG7">
            <v>-165710.99591940609</v>
          </cell>
          <cell r="AH7">
            <v>0.53049059778102325</v>
          </cell>
        </row>
        <row r="8">
          <cell r="AD8">
            <v>-152274.7415890776</v>
          </cell>
          <cell r="AE8">
            <v>-434379.63224709983</v>
          </cell>
          <cell r="AF8">
            <v>-3.0865549104355021</v>
          </cell>
          <cell r="AG8">
            <v>-165710.9959836402</v>
          </cell>
          <cell r="AH8">
            <v>0.53049059703379353</v>
          </cell>
        </row>
        <row r="9">
          <cell r="AD9">
            <v>-117971.8673677115</v>
          </cell>
          <cell r="AE9">
            <v>-419682.9362887512</v>
          </cell>
          <cell r="AF9">
            <v>-2.9229404979291189</v>
          </cell>
          <cell r="AG9">
            <v>-175080.50192566341</v>
          </cell>
          <cell r="AH9">
            <v>0.36976557423345469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-608113.14266050921</v>
          </cell>
          <cell r="AL3">
            <v>-659243.15413989755</v>
          </cell>
          <cell r="AM3">
            <v>-6.0993981667090136</v>
          </cell>
          <cell r="AN3">
            <v>-159052.50859835799</v>
          </cell>
          <cell r="AO3">
            <v>0.63786318567137745</v>
          </cell>
        </row>
        <row r="4">
          <cell r="AK4">
            <v>-608113.14266050921</v>
          </cell>
          <cell r="AL4">
            <v>-659243.15413989755</v>
          </cell>
          <cell r="AM4">
            <v>-6.0993981667090136</v>
          </cell>
          <cell r="AN4">
            <v>-159052.50859835799</v>
          </cell>
          <cell r="AO4">
            <v>0.63786318567137745</v>
          </cell>
        </row>
        <row r="5">
          <cell r="AK5">
            <v>-608113.14266050921</v>
          </cell>
          <cell r="AL5">
            <v>-659243.15413989755</v>
          </cell>
          <cell r="AM5">
            <v>-6.0993981667090136</v>
          </cell>
          <cell r="AN5">
            <v>-159052.50859835799</v>
          </cell>
          <cell r="AO5">
            <v>0.63786318567137745</v>
          </cell>
        </row>
        <row r="6">
          <cell r="AK6">
            <v>-608113.14266050921</v>
          </cell>
          <cell r="AL6">
            <v>-659243.15413989755</v>
          </cell>
          <cell r="AM6">
            <v>-6.0993981667090136</v>
          </cell>
          <cell r="AN6">
            <v>-159052.50859835799</v>
          </cell>
          <cell r="AO6">
            <v>0.63786318567137745</v>
          </cell>
        </row>
        <row r="7">
          <cell r="AK7">
            <v>-608113.14266050921</v>
          </cell>
          <cell r="AL7">
            <v>-659243.15413989755</v>
          </cell>
          <cell r="AM7">
            <v>-6.0993981667090136</v>
          </cell>
          <cell r="AN7">
            <v>-159052.50859835799</v>
          </cell>
          <cell r="AO7">
            <v>0.63786318567137745</v>
          </cell>
        </row>
        <row r="8">
          <cell r="AK8">
            <v>-608113.14266050921</v>
          </cell>
          <cell r="AL8">
            <v>-659243.15413989755</v>
          </cell>
          <cell r="AM8">
            <v>-6.0993981667090136</v>
          </cell>
          <cell r="AN8">
            <v>-159052.50859835799</v>
          </cell>
          <cell r="AO8">
            <v>0.63786318567137745</v>
          </cell>
        </row>
        <row r="9">
          <cell r="AK9">
            <v>-608113.14266050921</v>
          </cell>
          <cell r="AL9">
            <v>-659243.15413989755</v>
          </cell>
          <cell r="AM9">
            <v>-6.0993981667090136</v>
          </cell>
          <cell r="AN9">
            <v>-159052.50859835799</v>
          </cell>
          <cell r="AO9">
            <v>0.63786318567137745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3D9-31AF-4FEF-8C0E-358C3905DD4E}">
  <dimension ref="A1:X15"/>
  <sheetViews>
    <sheetView zoomScale="80" zoomScaleNormal="80" workbookViewId="0">
      <selection activeCell="O25" sqref="O25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R1" s="13"/>
      <c r="S1" s="13" t="s">
        <v>13</v>
      </c>
      <c r="T1" s="13" t="s">
        <v>14</v>
      </c>
      <c r="U1" s="13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[15]results!AD3</f>
        <v>-469330.6388984978</v>
      </c>
      <c r="C2" s="2">
        <f>[15]results!AE3</f>
        <v>-259204.762700864</v>
      </c>
      <c r="D2" s="2">
        <f>[15]results!AF3</f>
        <v>-3.058018808051294</v>
      </c>
      <c r="E2" s="2">
        <f>[15]results!AG3</f>
        <v>143944.3688782017</v>
      </c>
      <c r="F2" s="2">
        <f>[15]results!AH3</f>
        <v>2.371416490173218</v>
      </c>
      <c r="H2" t="s">
        <v>19</v>
      </c>
      <c r="I2">
        <f>(B2-MIN(B$2:B$15))/(MAX(B$2:B$15)-MIN(B$2:B$15))</f>
        <v>0.28314796316451074</v>
      </c>
      <c r="J2">
        <f>(C2-MIN(C$2:C$15))/(MAX(C$2:C$15)-MIN(C$2:C$15))</f>
        <v>1</v>
      </c>
      <c r="K2">
        <f>(D2-MIN(D$2:D$15))/(MAX(D$2:D$15)-MIN(D$2:D$15))</f>
        <v>0.95747517385488723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2.2406231370193979</v>
      </c>
      <c r="P2">
        <f>SQRT((I2*I2)+(J2*J2)+(K2*K2))</f>
        <v>1.4131282594275218</v>
      </c>
      <c r="R2" s="13" t="s">
        <v>19</v>
      </c>
      <c r="S2" s="13">
        <f>(B2-MIN(B$2:B$8))/(MAX(B$2:B$8)-MIN(B$2:B$8))</f>
        <v>0</v>
      </c>
      <c r="T2" s="13">
        <f>(C2-MIN(C$2:C$8))/(MAX(C$2:C$8)-MIN(C$2:C$8))</f>
        <v>1</v>
      </c>
      <c r="U2" s="13">
        <f>(D2-MIN(D$2:D$8))/(MAX(D$2:D$8)-MIN(D$2:D$8))</f>
        <v>0.18532250408722792</v>
      </c>
      <c r="W2">
        <f>SUM(S2:U2)</f>
        <v>1.1853225040872279</v>
      </c>
      <c r="X2">
        <f>SQRT((S2*S2)+(T2*T2)+(U2*U2))</f>
        <v>1.0170272516118537</v>
      </c>
    </row>
    <row r="3" spans="1:24" x14ac:dyDescent="0.35">
      <c r="A3" t="s">
        <v>20</v>
      </c>
      <c r="B3" s="2">
        <f>[15]results!AD4</f>
        <v>-152274.74178398619</v>
      </c>
      <c r="C3" s="2">
        <f>[15]results!AE4</f>
        <v>-434379.63232827722</v>
      </c>
      <c r="D3" s="2">
        <f>[15]results!AF4</f>
        <v>-3.0865549116479789</v>
      </c>
      <c r="E3" s="2">
        <f>[15]results!AG4</f>
        <v>-165710.99591940609</v>
      </c>
      <c r="F3" s="2">
        <f>[15]results!AH4</f>
        <v>0.53049059778102325</v>
      </c>
      <c r="H3" t="s">
        <v>20</v>
      </c>
      <c r="I3">
        <f t="shared" ref="I3:M15" si="0">(B3-MIN(B$2:B$15))/(MAX(B$2:B$15)-MIN(B$2:B$15))</f>
        <v>0.93001431190265893</v>
      </c>
      <c r="J3">
        <f t="shared" si="0"/>
        <v>0.5621048544934214</v>
      </c>
      <c r="K3">
        <f t="shared" si="0"/>
        <v>0.94849154914703904</v>
      </c>
      <c r="L3">
        <f t="shared" si="0"/>
        <v>2.9369202415624962E-2</v>
      </c>
      <c r="M3">
        <f t="shared" si="0"/>
        <v>8.0296230610275576E-2</v>
      </c>
      <c r="O3">
        <f t="shared" ref="O3:O15" si="1">SUM(I3:K3)</f>
        <v>2.4406107155431194</v>
      </c>
      <c r="P3">
        <f t="shared" ref="P3:P15" si="2">SQRT((I3*I3)+(J3*J3)+(K3*K3))</f>
        <v>1.4424024079958397</v>
      </c>
      <c r="R3" s="13" t="s">
        <v>20</v>
      </c>
      <c r="S3" s="13">
        <f t="shared" ref="S3:U8" si="3">(B3-MIN(B$2:B$8))/(MAX(B$2:B$8)-MIN(B$2:B$8))</f>
        <v>0.90237080387426993</v>
      </c>
      <c r="T3" s="13">
        <f t="shared" si="3"/>
        <v>3.3228316959659627E-16</v>
      </c>
      <c r="U3" s="13">
        <f t="shared" si="3"/>
        <v>1.3216994326055309E-2</v>
      </c>
      <c r="W3">
        <f t="shared" ref="W3:W15" si="4">SUM(S3:U3)</f>
        <v>0.91558779820032554</v>
      </c>
      <c r="X3">
        <f t="shared" ref="X3:X15" si="5">SQRT((S3*S3)+(T3*T3)+(U3*U3))</f>
        <v>0.90246759311551517</v>
      </c>
    </row>
    <row r="4" spans="1:24" x14ac:dyDescent="0.35">
      <c r="A4" t="s">
        <v>21</v>
      </c>
      <c r="B4" s="2">
        <f>[15]results!AD5</f>
        <v>-180191.32311227391</v>
      </c>
      <c r="C4" s="2">
        <f>[15]results!AE5</f>
        <v>-419793.41956676048</v>
      </c>
      <c r="D4" s="2">
        <f>[15]results!AF5</f>
        <v>-3.0887463668770909</v>
      </c>
      <c r="E4" s="2">
        <f>[15]results!AG5</f>
        <v>-139241.93409240161</v>
      </c>
      <c r="F4" s="2">
        <f>[15]results!AH5</f>
        <v>0.68844396000360453</v>
      </c>
      <c r="H4" t="s">
        <v>21</v>
      </c>
      <c r="I4">
        <f t="shared" si="0"/>
        <v>0.87305811838149283</v>
      </c>
      <c r="J4">
        <f t="shared" si="0"/>
        <v>0.59856688682248527</v>
      </c>
      <c r="K4">
        <f t="shared" si="0"/>
        <v>0.9478016437689033</v>
      </c>
      <c r="L4">
        <f t="shared" si="0"/>
        <v>0.11233784921832995</v>
      </c>
      <c r="M4">
        <f t="shared" si="0"/>
        <v>0.15920777355952309</v>
      </c>
      <c r="O4">
        <f t="shared" si="1"/>
        <v>2.4194266489728813</v>
      </c>
      <c r="P4">
        <f t="shared" si="2"/>
        <v>1.4208591598055134</v>
      </c>
      <c r="R4" s="13" t="s">
        <v>21</v>
      </c>
      <c r="S4" s="13">
        <f t="shared" si="3"/>
        <v>0.82291759652537744</v>
      </c>
      <c r="T4" s="13">
        <f t="shared" si="3"/>
        <v>8.3266582658464774E-2</v>
      </c>
      <c r="U4" s="13">
        <f t="shared" si="3"/>
        <v>0</v>
      </c>
      <c r="W4">
        <f t="shared" si="4"/>
        <v>0.9061841791838422</v>
      </c>
      <c r="X4">
        <f t="shared" si="5"/>
        <v>0.82711951642959236</v>
      </c>
    </row>
    <row r="5" spans="1:24" x14ac:dyDescent="0.35">
      <c r="A5" t="s">
        <v>25</v>
      </c>
      <c r="B5" s="2">
        <f>[15]results!AD6</f>
        <v>-152274.74178398619</v>
      </c>
      <c r="C5" s="2">
        <f>[15]results!AE6</f>
        <v>-434379.63232827728</v>
      </c>
      <c r="D5" s="2">
        <f>[15]results!AF6</f>
        <v>-3.0865549116479798</v>
      </c>
      <c r="E5" s="2">
        <f>[15]results!AG6</f>
        <v>-165710.99591940609</v>
      </c>
      <c r="F5" s="2">
        <f>[15]results!AH6</f>
        <v>0.53049059778102337</v>
      </c>
      <c r="H5" t="s">
        <v>25</v>
      </c>
      <c r="I5">
        <f t="shared" si="0"/>
        <v>0.93001431190265893</v>
      </c>
      <c r="J5">
        <f t="shared" si="0"/>
        <v>0.56210485449342129</v>
      </c>
      <c r="K5">
        <f t="shared" si="0"/>
        <v>0.94849154914703881</v>
      </c>
      <c r="L5">
        <f t="shared" si="0"/>
        <v>2.9369202415624962E-2</v>
      </c>
      <c r="M5">
        <f t="shared" si="0"/>
        <v>8.0296230610275632E-2</v>
      </c>
      <c r="O5">
        <f t="shared" si="1"/>
        <v>2.4406107155431189</v>
      </c>
      <c r="P5">
        <f t="shared" si="2"/>
        <v>1.4424024079958393</v>
      </c>
      <c r="R5" s="13" t="s">
        <v>25</v>
      </c>
      <c r="S5" s="13">
        <f t="shared" si="3"/>
        <v>0.90237080387426993</v>
      </c>
      <c r="T5" s="13">
        <f t="shared" si="3"/>
        <v>0</v>
      </c>
      <c r="U5" s="13">
        <f t="shared" si="3"/>
        <v>1.3216994326049952E-2</v>
      </c>
      <c r="W5">
        <f t="shared" si="4"/>
        <v>0.91558779820031988</v>
      </c>
      <c r="X5">
        <f t="shared" si="5"/>
        <v>0.90246759311551517</v>
      </c>
    </row>
    <row r="6" spans="1:24" x14ac:dyDescent="0.35">
      <c r="A6" t="s">
        <v>22</v>
      </c>
      <c r="B6" s="2">
        <f>[15]results!AD7</f>
        <v>-152274.74178398619</v>
      </c>
      <c r="C6" s="2">
        <f>[15]results!AE7</f>
        <v>-434379.63232827722</v>
      </c>
      <c r="D6" s="2">
        <f>[15]results!AF7</f>
        <v>-3.0865549116479789</v>
      </c>
      <c r="E6" s="2">
        <f>[15]results!AG7</f>
        <v>-165710.99591940609</v>
      </c>
      <c r="F6" s="2">
        <f>[15]results!AH7</f>
        <v>0.53049059778102325</v>
      </c>
      <c r="H6" t="s">
        <v>22</v>
      </c>
      <c r="I6">
        <f t="shared" si="0"/>
        <v>0.93001431190265893</v>
      </c>
      <c r="J6">
        <f t="shared" si="0"/>
        <v>0.5621048544934214</v>
      </c>
      <c r="K6">
        <f t="shared" si="0"/>
        <v>0.94849154914703904</v>
      </c>
      <c r="L6">
        <f t="shared" si="0"/>
        <v>2.9369202415624962E-2</v>
      </c>
      <c r="M6">
        <f t="shared" si="0"/>
        <v>8.0296230610275576E-2</v>
      </c>
      <c r="O6">
        <f t="shared" si="1"/>
        <v>2.4406107155431194</v>
      </c>
      <c r="P6">
        <f t="shared" si="2"/>
        <v>1.4424024079958397</v>
      </c>
      <c r="R6" s="13" t="s">
        <v>22</v>
      </c>
      <c r="S6" s="13">
        <f t="shared" si="3"/>
        <v>0.90237080387426993</v>
      </c>
      <c r="T6" s="13">
        <f t="shared" si="3"/>
        <v>3.3228316959659627E-16</v>
      </c>
      <c r="U6" s="13">
        <f t="shared" si="3"/>
        <v>1.3216994326055309E-2</v>
      </c>
      <c r="W6">
        <f t="shared" si="4"/>
        <v>0.91558779820032554</v>
      </c>
      <c r="X6">
        <f t="shared" si="5"/>
        <v>0.90246759311551517</v>
      </c>
    </row>
    <row r="7" spans="1:24" x14ac:dyDescent="0.35">
      <c r="A7" t="s">
        <v>23</v>
      </c>
      <c r="B7" s="2">
        <f>[15]results!AD8</f>
        <v>-152274.7415890776</v>
      </c>
      <c r="C7" s="2">
        <f>[15]results!AE8</f>
        <v>-434379.63224709983</v>
      </c>
      <c r="D7" s="2">
        <f>[15]results!AF8</f>
        <v>-3.0865549104355021</v>
      </c>
      <c r="E7" s="2">
        <f>[15]results!AG8</f>
        <v>-165710.9959836402</v>
      </c>
      <c r="F7" s="2">
        <f>[15]results!AH8</f>
        <v>0.53049059703379353</v>
      </c>
      <c r="H7" t="s">
        <v>23</v>
      </c>
      <c r="I7">
        <f t="shared" si="0"/>
        <v>0.93001431230031695</v>
      </c>
      <c r="J7">
        <f t="shared" si="0"/>
        <v>0.56210485469634541</v>
      </c>
      <c r="K7">
        <f t="shared" si="0"/>
        <v>0.94849154952874626</v>
      </c>
      <c r="L7">
        <f t="shared" si="0"/>
        <v>2.9369202214279834E-2</v>
      </c>
      <c r="M7">
        <f t="shared" si="0"/>
        <v>8.0296230236968871E-2</v>
      </c>
      <c r="O7">
        <f t="shared" si="1"/>
        <v>2.4406107165254087</v>
      </c>
      <c r="P7">
        <f t="shared" si="2"/>
        <v>1.4424024085823184</v>
      </c>
      <c r="R7" s="13" t="s">
        <v>23</v>
      </c>
      <c r="S7" s="13">
        <f t="shared" si="3"/>
        <v>0.90237080442899809</v>
      </c>
      <c r="T7" s="13">
        <f t="shared" si="3"/>
        <v>4.6340808941646588E-10</v>
      </c>
      <c r="U7" s="13">
        <f t="shared" si="3"/>
        <v>1.3217001638684188E-2</v>
      </c>
      <c r="W7">
        <f t="shared" si="4"/>
        <v>0.9155878065310904</v>
      </c>
      <c r="X7">
        <f t="shared" si="5"/>
        <v>0.90246759377728025</v>
      </c>
    </row>
    <row r="8" spans="1:24" x14ac:dyDescent="0.35">
      <c r="A8" t="s">
        <v>24</v>
      </c>
      <c r="B8" s="2">
        <f>[15]results!AD9</f>
        <v>-117971.8673677115</v>
      </c>
      <c r="C8" s="2">
        <f>[15]results!AE9</f>
        <v>-419682.9362887512</v>
      </c>
      <c r="D8" s="2">
        <f>[15]results!AF9</f>
        <v>-2.9229404979291189</v>
      </c>
      <c r="E8" s="2">
        <f>[15]results!AG9</f>
        <v>-175080.50192566341</v>
      </c>
      <c r="F8" s="2">
        <f>[15]results!AH9</f>
        <v>0.36976557423345469</v>
      </c>
      <c r="H8" t="s">
        <v>24</v>
      </c>
      <c r="I8">
        <f t="shared" si="0"/>
        <v>1</v>
      </c>
      <c r="J8">
        <f t="shared" si="0"/>
        <v>0.59884306850997748</v>
      </c>
      <c r="K8">
        <f t="shared" si="0"/>
        <v>1</v>
      </c>
      <c r="L8">
        <f t="shared" si="0"/>
        <v>0</v>
      </c>
      <c r="M8">
        <f t="shared" si="0"/>
        <v>0</v>
      </c>
      <c r="O8">
        <f t="shared" si="1"/>
        <v>2.5988430685099777</v>
      </c>
      <c r="P8">
        <f t="shared" si="2"/>
        <v>1.5357776599177517</v>
      </c>
      <c r="R8" s="13" t="s">
        <v>24</v>
      </c>
      <c r="S8" s="13">
        <f t="shared" si="3"/>
        <v>1</v>
      </c>
      <c r="T8" s="13">
        <f t="shared" si="3"/>
        <v>8.389728544274129E-2</v>
      </c>
      <c r="U8" s="13">
        <f t="shared" si="3"/>
        <v>1</v>
      </c>
      <c r="W8">
        <f>SUM(S8:U8)</f>
        <v>2.0838972854427413</v>
      </c>
      <c r="X8">
        <f t="shared" si="5"/>
        <v>1.4166999521792401</v>
      </c>
    </row>
    <row r="9" spans="1:24" x14ac:dyDescent="0.35">
      <c r="A9" t="s">
        <v>26</v>
      </c>
      <c r="B9" s="2">
        <f>[16]results!AK3</f>
        <v>-608113.14266050921</v>
      </c>
      <c r="C9" s="2">
        <f>[16]results!AL3</f>
        <v>-659243.15413989755</v>
      </c>
      <c r="D9" s="2">
        <f>[16]results!AM3</f>
        <v>-6.0993981667090136</v>
      </c>
      <c r="E9" s="2">
        <f>[16]results!AN3</f>
        <v>-159052.50859835799</v>
      </c>
      <c r="F9" s="2">
        <f>[16]results!AO3</f>
        <v>0.63786318567137745</v>
      </c>
      <c r="H9" t="s">
        <v>19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5.0240576187426299E-2</v>
      </c>
      <c r="M9">
        <f t="shared" si="0"/>
        <v>0.13393824532688434</v>
      </c>
      <c r="O9">
        <f t="shared" si="1"/>
        <v>0</v>
      </c>
      <c r="P9">
        <f t="shared" si="2"/>
        <v>0</v>
      </c>
      <c r="R9" s="12" t="s">
        <v>26</v>
      </c>
      <c r="S9" s="14">
        <v>0</v>
      </c>
      <c r="T9" s="14">
        <v>0</v>
      </c>
      <c r="U9" s="14">
        <v>0</v>
      </c>
      <c r="W9">
        <f t="shared" si="4"/>
        <v>0</v>
      </c>
      <c r="X9">
        <f t="shared" si="5"/>
        <v>0</v>
      </c>
    </row>
    <row r="10" spans="1:24" x14ac:dyDescent="0.35">
      <c r="A10" t="s">
        <v>27</v>
      </c>
      <c r="B10" s="2">
        <f>[16]results!AK4</f>
        <v>-608113.14266050921</v>
      </c>
      <c r="C10" s="2">
        <f>[16]results!AL4</f>
        <v>-659243.15413989755</v>
      </c>
      <c r="D10" s="2">
        <f>[16]results!AM4</f>
        <v>-6.0993981667090136</v>
      </c>
      <c r="E10" s="2">
        <f>[16]results!AN4</f>
        <v>-159052.50859835799</v>
      </c>
      <c r="F10" s="2">
        <f>[16]results!AO4</f>
        <v>0.63786318567137745</v>
      </c>
      <c r="H10" t="s">
        <v>20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5.0240576187426299E-2</v>
      </c>
      <c r="M10">
        <f t="shared" si="0"/>
        <v>0.13393824532688434</v>
      </c>
      <c r="O10">
        <f t="shared" si="1"/>
        <v>0</v>
      </c>
      <c r="P10">
        <f t="shared" si="2"/>
        <v>0</v>
      </c>
      <c r="R10" s="12" t="s">
        <v>27</v>
      </c>
      <c r="S10" s="14">
        <v>0</v>
      </c>
      <c r="T10" s="14">
        <v>0</v>
      </c>
      <c r="U10" s="14">
        <v>0</v>
      </c>
      <c r="W10">
        <f t="shared" si="4"/>
        <v>0</v>
      </c>
      <c r="X10">
        <f t="shared" si="5"/>
        <v>0</v>
      </c>
    </row>
    <row r="11" spans="1:24" x14ac:dyDescent="0.35">
      <c r="A11" t="s">
        <v>28</v>
      </c>
      <c r="B11" s="2">
        <f>[16]results!AK5</f>
        <v>-608113.14266050921</v>
      </c>
      <c r="C11" s="2">
        <f>[16]results!AL5</f>
        <v>-659243.15413989755</v>
      </c>
      <c r="D11" s="2">
        <f>[16]results!AM5</f>
        <v>-6.0993981667090136</v>
      </c>
      <c r="E11" s="2">
        <f>[16]results!AN5</f>
        <v>-159052.50859835799</v>
      </c>
      <c r="F11" s="2">
        <f>[16]results!AO5</f>
        <v>0.63786318567137745</v>
      </c>
      <c r="H11" t="s">
        <v>21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5.0240576187426299E-2</v>
      </c>
      <c r="M11">
        <f t="shared" si="0"/>
        <v>0.13393824532688434</v>
      </c>
      <c r="O11">
        <f t="shared" si="1"/>
        <v>0</v>
      </c>
      <c r="P11">
        <f t="shared" si="2"/>
        <v>0</v>
      </c>
      <c r="R11" s="12" t="s">
        <v>28</v>
      </c>
      <c r="S11" s="14">
        <v>0</v>
      </c>
      <c r="T11" s="14">
        <v>0</v>
      </c>
      <c r="U11" s="14">
        <v>0</v>
      </c>
      <c r="W11">
        <f t="shared" si="4"/>
        <v>0</v>
      </c>
      <c r="X11">
        <f t="shared" si="5"/>
        <v>0</v>
      </c>
    </row>
    <row r="12" spans="1:24" x14ac:dyDescent="0.35">
      <c r="A12" t="s">
        <v>29</v>
      </c>
      <c r="B12" s="2">
        <f>[16]results!AK6</f>
        <v>-608113.14266050921</v>
      </c>
      <c r="C12" s="2">
        <f>[16]results!AL6</f>
        <v>-659243.15413989755</v>
      </c>
      <c r="D12" s="2">
        <f>[16]results!AM6</f>
        <v>-6.0993981667090136</v>
      </c>
      <c r="E12" s="2">
        <f>[16]results!AN6</f>
        <v>-159052.50859835799</v>
      </c>
      <c r="F12" s="2">
        <f>[16]results!AO6</f>
        <v>0.63786318567137745</v>
      </c>
      <c r="H12" t="s">
        <v>25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5.0240576187426299E-2</v>
      </c>
      <c r="M12">
        <f t="shared" si="0"/>
        <v>0.13393824532688434</v>
      </c>
      <c r="O12">
        <f t="shared" si="1"/>
        <v>0</v>
      </c>
      <c r="P12">
        <f t="shared" si="2"/>
        <v>0</v>
      </c>
      <c r="R12" s="12" t="s">
        <v>29</v>
      </c>
      <c r="S12" s="14">
        <v>0</v>
      </c>
      <c r="T12" s="14">
        <v>0</v>
      </c>
      <c r="U12" s="14">
        <v>0</v>
      </c>
      <c r="W12">
        <f t="shared" si="4"/>
        <v>0</v>
      </c>
      <c r="X12">
        <f t="shared" si="5"/>
        <v>0</v>
      </c>
    </row>
    <row r="13" spans="1:24" x14ac:dyDescent="0.35">
      <c r="A13" t="s">
        <v>30</v>
      </c>
      <c r="B13" s="2">
        <f>[16]results!AK7</f>
        <v>-608113.14266050921</v>
      </c>
      <c r="C13" s="2">
        <f>[16]results!AL7</f>
        <v>-659243.15413989755</v>
      </c>
      <c r="D13" s="2">
        <f>[16]results!AM7</f>
        <v>-6.0993981667090136</v>
      </c>
      <c r="E13" s="2">
        <f>[16]results!AN7</f>
        <v>-159052.50859835799</v>
      </c>
      <c r="F13" s="2">
        <f>[16]results!AO7</f>
        <v>0.63786318567137745</v>
      </c>
      <c r="H13" t="s">
        <v>22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5.0240576187426299E-2</v>
      </c>
      <c r="M13">
        <f t="shared" si="0"/>
        <v>0.13393824532688434</v>
      </c>
      <c r="O13">
        <f t="shared" si="1"/>
        <v>0</v>
      </c>
      <c r="P13">
        <f t="shared" si="2"/>
        <v>0</v>
      </c>
      <c r="R13" s="12" t="s">
        <v>30</v>
      </c>
      <c r="S13" s="14">
        <v>0</v>
      </c>
      <c r="T13" s="14">
        <v>0</v>
      </c>
      <c r="U13" s="14">
        <v>0</v>
      </c>
      <c r="W13">
        <f t="shared" si="4"/>
        <v>0</v>
      </c>
      <c r="X13">
        <f t="shared" si="5"/>
        <v>0</v>
      </c>
    </row>
    <row r="14" spans="1:24" x14ac:dyDescent="0.35">
      <c r="A14" t="s">
        <v>31</v>
      </c>
      <c r="B14" s="2">
        <f>[16]results!AK8</f>
        <v>-608113.14266050921</v>
      </c>
      <c r="C14" s="2">
        <f>[16]results!AL8</f>
        <v>-659243.15413989755</v>
      </c>
      <c r="D14" s="2">
        <f>[16]results!AM8</f>
        <v>-6.0993981667090136</v>
      </c>
      <c r="E14" s="2">
        <f>[16]results!AN8</f>
        <v>-159052.50859835799</v>
      </c>
      <c r="F14" s="2">
        <f>[16]results!AO8</f>
        <v>0.63786318567137745</v>
      </c>
      <c r="H14" t="s">
        <v>23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5.0240576187426299E-2</v>
      </c>
      <c r="M14">
        <f t="shared" si="0"/>
        <v>0.13393824532688434</v>
      </c>
      <c r="O14">
        <f t="shared" si="1"/>
        <v>0</v>
      </c>
      <c r="P14">
        <f t="shared" si="2"/>
        <v>0</v>
      </c>
      <c r="R14" s="12" t="s">
        <v>31</v>
      </c>
      <c r="S14" s="14">
        <v>0</v>
      </c>
      <c r="T14" s="14">
        <v>0</v>
      </c>
      <c r="U14" s="14">
        <v>0</v>
      </c>
      <c r="W14">
        <f t="shared" si="4"/>
        <v>0</v>
      </c>
      <c r="X14">
        <f t="shared" si="5"/>
        <v>0</v>
      </c>
    </row>
    <row r="15" spans="1:24" x14ac:dyDescent="0.35">
      <c r="A15" t="s">
        <v>32</v>
      </c>
      <c r="B15" s="2">
        <f>[16]results!AK9</f>
        <v>-608113.14266050921</v>
      </c>
      <c r="C15" s="2">
        <f>[16]results!AL9</f>
        <v>-659243.15413989755</v>
      </c>
      <c r="D15" s="2">
        <f>[16]results!AM9</f>
        <v>-6.0993981667090136</v>
      </c>
      <c r="E15" s="2">
        <f>[16]results!AN9</f>
        <v>-159052.50859835799</v>
      </c>
      <c r="F15" s="2">
        <f>[16]results!AO9</f>
        <v>0.63786318567137745</v>
      </c>
      <c r="H15" t="s">
        <v>24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5.0240576187426299E-2</v>
      </c>
      <c r="M15">
        <f t="shared" si="0"/>
        <v>0.13393824532688434</v>
      </c>
      <c r="O15">
        <f t="shared" si="1"/>
        <v>0</v>
      </c>
      <c r="P15">
        <f t="shared" si="2"/>
        <v>0</v>
      </c>
      <c r="R15" s="12" t="s">
        <v>32</v>
      </c>
      <c r="S15" s="14">
        <v>0</v>
      </c>
      <c r="T15" s="14">
        <v>0</v>
      </c>
      <c r="U15" s="14">
        <v>0</v>
      </c>
      <c r="W15">
        <f t="shared" si="4"/>
        <v>0</v>
      </c>
      <c r="X15">
        <f t="shared" si="5"/>
        <v>0</v>
      </c>
    </row>
  </sheetData>
  <conditionalFormatting sqref="O2:O15">
    <cfRule type="expression" dxfId="43" priority="6">
      <formula>O2=MIN($O$2:$O$15)</formula>
    </cfRule>
  </conditionalFormatting>
  <conditionalFormatting sqref="W2:W8">
    <cfRule type="expression" dxfId="42" priority="5">
      <formula>W2=MIN($W$2:$W$8)</formula>
    </cfRule>
  </conditionalFormatting>
  <conditionalFormatting sqref="X2:X8">
    <cfRule type="expression" dxfId="41" priority="4">
      <formula>X2=MIN($X$2:$X$8)</formula>
    </cfRule>
  </conditionalFormatting>
  <conditionalFormatting sqref="P9:P15">
    <cfRule type="expression" dxfId="40" priority="3">
      <formula>P9=MIN($P$9:$P$15)</formula>
    </cfRule>
  </conditionalFormatting>
  <conditionalFormatting sqref="W9:W15">
    <cfRule type="expression" dxfId="39" priority="2">
      <formula>W9=MIN($W$9:$W$15)</formula>
    </cfRule>
  </conditionalFormatting>
  <conditionalFormatting sqref="X9:X15">
    <cfRule type="expression" dxfId="38" priority="1">
      <formula>X9=MIN($X$9:$X$15)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0A70-16E2-41FA-B795-DDC71CE18097}">
  <dimension ref="A1:X15"/>
  <sheetViews>
    <sheetView workbookViewId="0">
      <selection activeCell="F7" sqref="F7"/>
    </sheetView>
  </sheetViews>
  <sheetFormatPr baseColWidth="10" defaultRowHeight="14.5" x14ac:dyDescent="0.35"/>
  <cols>
    <col min="1" max="1" width="18.6328125" bestFit="1" customWidth="1"/>
    <col min="8" max="8" width="19.63281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S1" t="s">
        <v>13</v>
      </c>
      <c r="T1" t="s">
        <v>14</v>
      </c>
      <c r="U1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[14]results!AD3</f>
        <v>-768179.85353884823</v>
      </c>
      <c r="C2" s="2">
        <f>[14]results!AE3</f>
        <v>-415428.44807613798</v>
      </c>
      <c r="D2" s="2">
        <f>[14]results!AF3</f>
        <v>-5.0793988224670468</v>
      </c>
      <c r="E2" s="2">
        <f>[14]results!AG3</f>
        <v>92727.360204091223</v>
      </c>
      <c r="F2" s="2">
        <f>[14]results!AH3</f>
        <v>1.765209108988617</v>
      </c>
      <c r="H2" t="s">
        <v>19</v>
      </c>
      <c r="I2">
        <f>(B2-MIN(B$2:B$15))/(MAX(B$2:B$15)-MIN(B$2:B$15))</f>
        <v>0</v>
      </c>
      <c r="J2">
        <f>(C2-MIN(C$2:C$15))/(MAX(C$2:C$15)-MIN(C$2:C$15))</f>
        <v>1</v>
      </c>
      <c r="K2">
        <f>(D2-MIN(D$2:D$15))/(MAX(D$2:D$15)-MIN(D$2:D$15))</f>
        <v>1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</v>
      </c>
      <c r="P2">
        <f>SQRT((I2*I2)+(J2*J2)+(K2*K2))</f>
        <v>1.4142135623730951</v>
      </c>
      <c r="R2" t="s">
        <v>19</v>
      </c>
      <c r="S2">
        <f>(B2-MIN(B$2:B$8))/(MAX(B$2:B$8)-MIN(B$2:B$8))</f>
        <v>0</v>
      </c>
      <c r="T2">
        <f>(C2-MIN(C$2:C$8))/(MAX(C$2:C$8)-MIN(C$2:C$8))</f>
        <v>1</v>
      </c>
      <c r="U2">
        <f>(D2-MIN(D$2:D$8))/(MAX(D$2:D$8)-MIN(D$2:D$8))</f>
        <v>1</v>
      </c>
      <c r="W2">
        <f>SUM(S2:U2)</f>
        <v>2</v>
      </c>
      <c r="X2">
        <f>SQRT((S2*S2)+(T2*T2)+(U2*U2))</f>
        <v>1.4142135623730951</v>
      </c>
    </row>
    <row r="3" spans="1:24" x14ac:dyDescent="0.35">
      <c r="A3" t="s">
        <v>20</v>
      </c>
      <c r="B3" s="2">
        <f>[14]results!AD4</f>
        <v>-539361.45806396857</v>
      </c>
      <c r="C3" s="2">
        <f>[14]results!AE4</f>
        <v>-542748.77634725894</v>
      </c>
      <c r="D3" s="2">
        <f>[14]results!AF4</f>
        <v>-5.1050300256642629</v>
      </c>
      <c r="E3" s="2">
        <f>[14]results!AG4</f>
        <v>-131602.29614881569</v>
      </c>
      <c r="F3" s="2">
        <f>[14]results!AH4</f>
        <v>0.43218596492948658</v>
      </c>
      <c r="H3" t="s">
        <v>20</v>
      </c>
      <c r="I3">
        <f t="shared" ref="I3:M15" si="0">(B3-MIN(B$2:B$15))/(MAX(B$2:B$15)-MIN(B$2:B$15))</f>
        <v>1</v>
      </c>
      <c r="J3">
        <f t="shared" si="0"/>
        <v>0.48060565214416329</v>
      </c>
      <c r="K3">
        <f t="shared" si="0"/>
        <v>0.97715586155231038</v>
      </c>
      <c r="L3">
        <f t="shared" si="0"/>
        <v>9.1672276432916699E-2</v>
      </c>
      <c r="M3">
        <f t="shared" si="0"/>
        <v>0</v>
      </c>
      <c r="O3">
        <f t="shared" ref="O3:O15" si="1">SUM(I3:K3)</f>
        <v>2.4577615136964734</v>
      </c>
      <c r="P3">
        <f t="shared" ref="P3:P15" si="2">SQRT((I3*I3)+(J3*J3)+(K3*K3))</f>
        <v>1.4784503274168377</v>
      </c>
      <c r="R3" t="s">
        <v>20</v>
      </c>
      <c r="S3">
        <f t="shared" ref="S3:U8" si="3">(B3-MIN(B$2:B$8))/(MAX(B$2:B$8)-MIN(B$2:B$8))</f>
        <v>1</v>
      </c>
      <c r="T3">
        <f t="shared" si="3"/>
        <v>0</v>
      </c>
      <c r="U3">
        <f t="shared" si="3"/>
        <v>5.386404442355662E-2</v>
      </c>
      <c r="W3">
        <f t="shared" ref="W3:W15" si="4">SUM(S3:U3)</f>
        <v>1.0538640444235565</v>
      </c>
      <c r="X3">
        <f t="shared" ref="X3:X15" si="5">SQRT((S3*S3)+(T3*T3)+(U3*U3))</f>
        <v>1.0014496169461862</v>
      </c>
    </row>
    <row r="4" spans="1:24" x14ac:dyDescent="0.35">
      <c r="A4" t="s">
        <v>21</v>
      </c>
      <c r="B4" s="2">
        <f>[14]results!AD5</f>
        <v>-549802.4574980553</v>
      </c>
      <c r="C4" s="2">
        <f>[14]results!AE5</f>
        <v>-537407.34366384032</v>
      </c>
      <c r="D4" s="2">
        <f>[14]results!AF5</f>
        <v>-5.1064892242704536</v>
      </c>
      <c r="E4" s="2">
        <f>[14]results!AG5</f>
        <v>-121810.8937399792</v>
      </c>
      <c r="F4" s="2">
        <f>[14]results!AH5</f>
        <v>0.49069888125255418</v>
      </c>
      <c r="H4" t="s">
        <v>21</v>
      </c>
      <c r="I4">
        <f t="shared" si="0"/>
        <v>0.9543699298632965</v>
      </c>
      <c r="J4">
        <f t="shared" si="0"/>
        <v>0.50239565208284032</v>
      </c>
      <c r="K4">
        <f t="shared" si="0"/>
        <v>0.97585533208726694</v>
      </c>
      <c r="L4">
        <f t="shared" si="0"/>
        <v>0.13131840439094425</v>
      </c>
      <c r="M4">
        <f t="shared" si="0"/>
        <v>4.3894899037455928E-2</v>
      </c>
      <c r="O4">
        <f t="shared" si="1"/>
        <v>2.4326209140334036</v>
      </c>
      <c r="P4">
        <f t="shared" si="2"/>
        <v>1.4544816889263907</v>
      </c>
      <c r="R4" t="s">
        <v>21</v>
      </c>
      <c r="S4">
        <f t="shared" si="3"/>
        <v>0.9543699298632965</v>
      </c>
      <c r="T4">
        <f t="shared" si="3"/>
        <v>4.1952709013162157E-2</v>
      </c>
      <c r="U4">
        <f t="shared" si="3"/>
        <v>0</v>
      </c>
      <c r="W4">
        <f t="shared" si="4"/>
        <v>0.99632263887645867</v>
      </c>
      <c r="X4">
        <f t="shared" si="5"/>
        <v>0.95529157476700088</v>
      </c>
    </row>
    <row r="5" spans="1:24" x14ac:dyDescent="0.35">
      <c r="A5" t="s">
        <v>25</v>
      </c>
      <c r="B5" s="2">
        <f>[14]results!AD6</f>
        <v>-539361.45806396857</v>
      </c>
      <c r="C5" s="2">
        <f>[14]results!AE6</f>
        <v>-542748.77634725894</v>
      </c>
      <c r="D5" s="2">
        <f>[14]results!AF6</f>
        <v>-5.1050300256642629</v>
      </c>
      <c r="E5" s="2">
        <f>[14]results!AG6</f>
        <v>-131602.29614881569</v>
      </c>
      <c r="F5" s="2">
        <f>[14]results!AH6</f>
        <v>0.43218596492948658</v>
      </c>
      <c r="H5" t="s">
        <v>25</v>
      </c>
      <c r="I5">
        <f t="shared" si="0"/>
        <v>1</v>
      </c>
      <c r="J5">
        <f t="shared" si="0"/>
        <v>0.48060565214416329</v>
      </c>
      <c r="K5">
        <f t="shared" si="0"/>
        <v>0.97715586155231038</v>
      </c>
      <c r="L5">
        <f t="shared" si="0"/>
        <v>9.1672276432916699E-2</v>
      </c>
      <c r="M5">
        <f t="shared" si="0"/>
        <v>0</v>
      </c>
      <c r="O5">
        <f t="shared" si="1"/>
        <v>2.4577615136964734</v>
      </c>
      <c r="P5">
        <f t="shared" si="2"/>
        <v>1.4784503274168377</v>
      </c>
      <c r="R5" t="s">
        <v>25</v>
      </c>
      <c r="S5">
        <f t="shared" si="3"/>
        <v>1</v>
      </c>
      <c r="T5">
        <f t="shared" si="3"/>
        <v>0</v>
      </c>
      <c r="U5">
        <f t="shared" si="3"/>
        <v>5.386404442355662E-2</v>
      </c>
      <c r="W5">
        <f t="shared" si="4"/>
        <v>1.0538640444235565</v>
      </c>
      <c r="X5">
        <f t="shared" si="5"/>
        <v>1.0014496169461862</v>
      </c>
    </row>
    <row r="6" spans="1:24" x14ac:dyDescent="0.35">
      <c r="A6" t="s">
        <v>22</v>
      </c>
      <c r="B6" s="2">
        <f>[14]results!AD7</f>
        <v>-539361.45806396857</v>
      </c>
      <c r="C6" s="2">
        <f>[14]results!AE7</f>
        <v>-542748.77634725894</v>
      </c>
      <c r="D6" s="2">
        <f>[14]results!AF7</f>
        <v>-5.1050300256642629</v>
      </c>
      <c r="E6" s="2">
        <f>[14]results!AG7</f>
        <v>-131602.29614881569</v>
      </c>
      <c r="F6" s="2">
        <f>[14]results!AH7</f>
        <v>0.43218596492948658</v>
      </c>
      <c r="H6" t="s">
        <v>22</v>
      </c>
      <c r="I6">
        <f t="shared" si="0"/>
        <v>1</v>
      </c>
      <c r="J6">
        <f t="shared" si="0"/>
        <v>0.48060565214416329</v>
      </c>
      <c r="K6">
        <f t="shared" si="0"/>
        <v>0.97715586155231038</v>
      </c>
      <c r="L6">
        <f t="shared" si="0"/>
        <v>9.1672276432916699E-2</v>
      </c>
      <c r="M6">
        <f t="shared" si="0"/>
        <v>0</v>
      </c>
      <c r="O6">
        <f t="shared" si="1"/>
        <v>2.4577615136964734</v>
      </c>
      <c r="P6">
        <f t="shared" si="2"/>
        <v>1.4784503274168377</v>
      </c>
      <c r="R6" t="s">
        <v>22</v>
      </c>
      <c r="S6">
        <f t="shared" si="3"/>
        <v>1</v>
      </c>
      <c r="T6">
        <f t="shared" si="3"/>
        <v>0</v>
      </c>
      <c r="U6">
        <f t="shared" si="3"/>
        <v>5.386404442355662E-2</v>
      </c>
      <c r="W6">
        <f t="shared" si="4"/>
        <v>1.0538640444235565</v>
      </c>
      <c r="X6">
        <f t="shared" si="5"/>
        <v>1.0014496169461862</v>
      </c>
    </row>
    <row r="7" spans="1:24" x14ac:dyDescent="0.35">
      <c r="A7" t="s">
        <v>23</v>
      </c>
      <c r="B7" s="2">
        <f>[14]results!AD8</f>
        <v>-545132.66591350711</v>
      </c>
      <c r="C7" s="2">
        <f>[14]results!AE8</f>
        <v>-539826.27448200586</v>
      </c>
      <c r="D7" s="2">
        <f>[14]results!AF8</f>
        <v>-5.1060047299501674</v>
      </c>
      <c r="E7" s="2">
        <f>[14]results!AG8</f>
        <v>-126218.5983306597</v>
      </c>
      <c r="F7" s="2">
        <f>[14]results!AH8</f>
        <v>0.46438072823725618</v>
      </c>
      <c r="H7" t="s">
        <v>23</v>
      </c>
      <c r="I7">
        <f t="shared" si="0"/>
        <v>0.97477821729515568</v>
      </c>
      <c r="J7">
        <f t="shared" si="0"/>
        <v>0.49252779349442943</v>
      </c>
      <c r="K7">
        <f t="shared" si="0"/>
        <v>0.97628714386155535</v>
      </c>
      <c r="L7">
        <f t="shared" si="0"/>
        <v>0.11347127556233043</v>
      </c>
      <c r="M7">
        <f t="shared" si="0"/>
        <v>2.4151691177495042E-2</v>
      </c>
      <c r="O7">
        <f t="shared" si="1"/>
        <v>2.4435931546511402</v>
      </c>
      <c r="P7">
        <f t="shared" si="2"/>
        <v>1.4648934389732813</v>
      </c>
      <c r="R7" t="s">
        <v>23</v>
      </c>
      <c r="S7">
        <f t="shared" si="3"/>
        <v>0.97477821729515568</v>
      </c>
      <c r="T7">
        <f t="shared" si="3"/>
        <v>2.2953929705787388E-2</v>
      </c>
      <c r="U7">
        <f t="shared" si="3"/>
        <v>1.7884353425324961E-2</v>
      </c>
      <c r="W7">
        <f t="shared" si="4"/>
        <v>1.0156165004262681</v>
      </c>
      <c r="X7">
        <f t="shared" si="5"/>
        <v>0.97521244141956165</v>
      </c>
    </row>
    <row r="8" spans="1:24" x14ac:dyDescent="0.35">
      <c r="A8" t="s">
        <v>24</v>
      </c>
      <c r="B8" s="2">
        <f>[14]results!AD9</f>
        <v>-539361.45806396857</v>
      </c>
      <c r="C8" s="2">
        <f>[14]results!AE9</f>
        <v>-542748.77634725894</v>
      </c>
      <c r="D8" s="2">
        <f>[14]results!AF9</f>
        <v>-5.1050300256642629</v>
      </c>
      <c r="E8" s="2">
        <f>[14]results!AG9</f>
        <v>-131602.29614881569</v>
      </c>
      <c r="F8" s="2">
        <f>[14]results!AH9</f>
        <v>0.43218596492948658</v>
      </c>
      <c r="H8" t="s">
        <v>24</v>
      </c>
      <c r="I8">
        <f t="shared" si="0"/>
        <v>1</v>
      </c>
      <c r="J8">
        <f t="shared" si="0"/>
        <v>0.48060565214416329</v>
      </c>
      <c r="K8">
        <f t="shared" si="0"/>
        <v>0.97715586155231038</v>
      </c>
      <c r="L8">
        <f t="shared" si="0"/>
        <v>9.1672276432916699E-2</v>
      </c>
      <c r="M8">
        <f t="shared" si="0"/>
        <v>0</v>
      </c>
      <c r="O8">
        <f t="shared" si="1"/>
        <v>2.4577615136964734</v>
      </c>
      <c r="P8">
        <f t="shared" si="2"/>
        <v>1.4784503274168377</v>
      </c>
      <c r="R8" t="s">
        <v>24</v>
      </c>
      <c r="S8">
        <f t="shared" si="3"/>
        <v>1</v>
      </c>
      <c r="T8">
        <f t="shared" si="3"/>
        <v>0</v>
      </c>
      <c r="U8">
        <f t="shared" si="3"/>
        <v>5.386404442355662E-2</v>
      </c>
      <c r="W8">
        <f t="shared" si="4"/>
        <v>1.0538640444235565</v>
      </c>
      <c r="X8">
        <f t="shared" si="5"/>
        <v>1.0014496169461862</v>
      </c>
    </row>
    <row r="9" spans="1:24" x14ac:dyDescent="0.35">
      <c r="A9" t="s">
        <v>26</v>
      </c>
      <c r="B9" s="2">
        <f>[13]results!AK3</f>
        <v>-768179.85353884823</v>
      </c>
      <c r="C9" s="2">
        <f>[13]results!AL3</f>
        <v>-415428.44807613798</v>
      </c>
      <c r="D9" s="2">
        <f>[13]results!AM3</f>
        <v>-5.0793988224670468</v>
      </c>
      <c r="E9" s="2">
        <f>[13]results!AN3</f>
        <v>92727.360204091223</v>
      </c>
      <c r="F9" s="2">
        <f>[13]results!AO3</f>
        <v>1.765209108988617</v>
      </c>
      <c r="H9" t="s">
        <v>19</v>
      </c>
      <c r="I9">
        <f t="shared" si="0"/>
        <v>0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O9">
        <f t="shared" si="1"/>
        <v>2</v>
      </c>
      <c r="P9">
        <f t="shared" si="2"/>
        <v>1.4142135623730951</v>
      </c>
      <c r="R9" t="s">
        <v>26</v>
      </c>
      <c r="S9">
        <f>(B9-MIN(B$9:B$15))/(MAX(B$9:B$15)-MIN(B$9:B$15))</f>
        <v>0</v>
      </c>
      <c r="T9">
        <f>(C9-MIN(C$9:C$15))/(MAX(C$9:C$15)-MIN(C$9:C$15))</f>
        <v>1</v>
      </c>
      <c r="U9">
        <f>(D9-MIN(D$9:D$15))/(MAX(D$9:D$15)-MIN(D$9:D$15))</f>
        <v>1</v>
      </c>
      <c r="W9">
        <f t="shared" si="4"/>
        <v>2</v>
      </c>
      <c r="X9">
        <f t="shared" si="5"/>
        <v>1.4142135623730951</v>
      </c>
    </row>
    <row r="10" spans="1:24" x14ac:dyDescent="0.35">
      <c r="A10" t="s">
        <v>27</v>
      </c>
      <c r="B10" s="2">
        <f>[13]results!AK4</f>
        <v>-634031.48587802402</v>
      </c>
      <c r="C10" s="2">
        <f>[13]results!AL4</f>
        <v>-660560.7426356083</v>
      </c>
      <c r="D10" s="2">
        <f>[13]results!AM4</f>
        <v>-6.1965265245839234</v>
      </c>
      <c r="E10" s="2">
        <f>[13]results!AN4</f>
        <v>-154242.59406741831</v>
      </c>
      <c r="F10" s="2">
        <f>[13]results!AO4</f>
        <v>0.62331509930680706</v>
      </c>
      <c r="H10" t="s">
        <v>20</v>
      </c>
      <c r="I10">
        <f t="shared" si="0"/>
        <v>0.58626566007692948</v>
      </c>
      <c r="J10">
        <f t="shared" si="0"/>
        <v>0</v>
      </c>
      <c r="K10">
        <f t="shared" si="0"/>
        <v>4.3456136433329979E-3</v>
      </c>
      <c r="L10">
        <f t="shared" si="0"/>
        <v>0</v>
      </c>
      <c r="M10">
        <f t="shared" si="0"/>
        <v>0.14338020703475673</v>
      </c>
      <c r="O10">
        <f t="shared" si="1"/>
        <v>0.59061127372026245</v>
      </c>
      <c r="P10">
        <f t="shared" si="2"/>
        <v>0.58628176548770039</v>
      </c>
      <c r="R10" t="s">
        <v>27</v>
      </c>
      <c r="S10">
        <f t="shared" ref="S10:U15" si="6">(B10-MIN(B$9:B$15))/(MAX(B$9:B$15)-MIN(B$9:B$15))</f>
        <v>1</v>
      </c>
      <c r="T10">
        <f t="shared" si="6"/>
        <v>0</v>
      </c>
      <c r="U10">
        <f t="shared" si="6"/>
        <v>4.3456136433329979E-3</v>
      </c>
      <c r="W10">
        <f t="shared" si="4"/>
        <v>1.0043456136433331</v>
      </c>
      <c r="X10">
        <f t="shared" si="5"/>
        <v>1.0000094421343917</v>
      </c>
    </row>
    <row r="11" spans="1:24" x14ac:dyDescent="0.35">
      <c r="A11" t="s">
        <v>28</v>
      </c>
      <c r="B11" s="2">
        <f>[13]results!AK5</f>
        <v>-635489.74845376587</v>
      </c>
      <c r="C11" s="2">
        <f>[13]results!AL5</f>
        <v>-660548.83709730825</v>
      </c>
      <c r="D11" s="2">
        <f>[13]results!AM5</f>
        <v>-6.2014023182832094</v>
      </c>
      <c r="E11" s="2">
        <f>[13]results!AN5</f>
        <v>-153915.1866065145</v>
      </c>
      <c r="F11" s="2">
        <f>[13]results!AO5</f>
        <v>0.62269132026698426</v>
      </c>
      <c r="H11" t="s">
        <v>21</v>
      </c>
      <c r="I11">
        <f t="shared" si="0"/>
        <v>0.57989264722227918</v>
      </c>
      <c r="J11">
        <f t="shared" si="0"/>
        <v>4.8567808339769535E-5</v>
      </c>
      <c r="K11">
        <f t="shared" si="0"/>
        <v>0</v>
      </c>
      <c r="L11">
        <f t="shared" si="0"/>
        <v>1.3256975402921585E-3</v>
      </c>
      <c r="M11">
        <f t="shared" si="0"/>
        <v>0.14291226389168171</v>
      </c>
      <c r="O11">
        <f t="shared" si="1"/>
        <v>0.57994121503061891</v>
      </c>
      <c r="P11">
        <f t="shared" si="2"/>
        <v>0.57989264925613149</v>
      </c>
      <c r="R11" t="s">
        <v>28</v>
      </c>
      <c r="S11">
        <f t="shared" si="6"/>
        <v>0.98912947953694919</v>
      </c>
      <c r="T11">
        <f t="shared" si="6"/>
        <v>4.8567808339769535E-5</v>
      </c>
      <c r="U11">
        <f t="shared" si="6"/>
        <v>0</v>
      </c>
      <c r="W11">
        <f t="shared" si="4"/>
        <v>0.98917804734528891</v>
      </c>
      <c r="X11">
        <f t="shared" si="5"/>
        <v>0.98912948072932694</v>
      </c>
    </row>
    <row r="12" spans="1:24" x14ac:dyDescent="0.35">
      <c r="A12" t="s">
        <v>29</v>
      </c>
      <c r="B12" s="2">
        <f>[13]results!AK6</f>
        <v>-635489.74845376587</v>
      </c>
      <c r="C12" s="2">
        <f>[13]results!AL6</f>
        <v>-660548.83709730825</v>
      </c>
      <c r="D12" s="2">
        <f>[13]results!AM6</f>
        <v>-6.2014023182832094</v>
      </c>
      <c r="E12" s="2">
        <f>[13]results!AN6</f>
        <v>-153915.1866065145</v>
      </c>
      <c r="F12" s="2">
        <f>[13]results!AO6</f>
        <v>0.62269132026698426</v>
      </c>
      <c r="H12" t="s">
        <v>25</v>
      </c>
      <c r="I12">
        <f t="shared" si="0"/>
        <v>0.57989264722227918</v>
      </c>
      <c r="J12">
        <f t="shared" si="0"/>
        <v>4.8567808339769535E-5</v>
      </c>
      <c r="K12">
        <f t="shared" si="0"/>
        <v>0</v>
      </c>
      <c r="L12">
        <f t="shared" si="0"/>
        <v>1.3256975402921585E-3</v>
      </c>
      <c r="M12">
        <f t="shared" si="0"/>
        <v>0.14291226389168171</v>
      </c>
      <c r="O12">
        <f t="shared" si="1"/>
        <v>0.57994121503061891</v>
      </c>
      <c r="P12">
        <f t="shared" si="2"/>
        <v>0.57989264925613149</v>
      </c>
      <c r="R12" t="s">
        <v>29</v>
      </c>
      <c r="S12">
        <f t="shared" si="6"/>
        <v>0.98912947953694919</v>
      </c>
      <c r="T12">
        <f t="shared" si="6"/>
        <v>4.8567808339769535E-5</v>
      </c>
      <c r="U12">
        <f t="shared" si="6"/>
        <v>0</v>
      </c>
      <c r="W12">
        <f t="shared" si="4"/>
        <v>0.98917804734528891</v>
      </c>
      <c r="X12">
        <f t="shared" si="5"/>
        <v>0.98912948072932694</v>
      </c>
    </row>
    <row r="13" spans="1:24" x14ac:dyDescent="0.35">
      <c r="A13" t="s">
        <v>30</v>
      </c>
      <c r="B13" s="2">
        <f>[13]results!AK7</f>
        <v>-635489.74845376587</v>
      </c>
      <c r="C13" s="2">
        <f>[13]results!AL7</f>
        <v>-660548.83709730825</v>
      </c>
      <c r="D13" s="2">
        <f>[13]results!AM7</f>
        <v>-6.2014023182832094</v>
      </c>
      <c r="E13" s="2">
        <f>[13]results!AN7</f>
        <v>-153915.1866065145</v>
      </c>
      <c r="F13" s="2">
        <f>[13]results!AO7</f>
        <v>0.62269132026698426</v>
      </c>
      <c r="H13" t="s">
        <v>22</v>
      </c>
      <c r="I13">
        <f t="shared" si="0"/>
        <v>0.57989264722227918</v>
      </c>
      <c r="J13">
        <f t="shared" si="0"/>
        <v>4.8567808339769535E-5</v>
      </c>
      <c r="K13">
        <f t="shared" si="0"/>
        <v>0</v>
      </c>
      <c r="L13">
        <f t="shared" si="0"/>
        <v>1.3256975402921585E-3</v>
      </c>
      <c r="M13">
        <f t="shared" si="0"/>
        <v>0.14291226389168171</v>
      </c>
      <c r="O13">
        <f t="shared" si="1"/>
        <v>0.57994121503061891</v>
      </c>
      <c r="P13">
        <f t="shared" si="2"/>
        <v>0.57989264925613149</v>
      </c>
      <c r="R13" t="s">
        <v>30</v>
      </c>
      <c r="S13">
        <f t="shared" si="6"/>
        <v>0.98912947953694919</v>
      </c>
      <c r="T13">
        <f t="shared" si="6"/>
        <v>4.8567808339769535E-5</v>
      </c>
      <c r="U13">
        <f t="shared" si="6"/>
        <v>0</v>
      </c>
      <c r="W13">
        <f t="shared" si="4"/>
        <v>0.98917804734528891</v>
      </c>
      <c r="X13">
        <f t="shared" si="5"/>
        <v>0.98912948072932694</v>
      </c>
    </row>
    <row r="14" spans="1:24" x14ac:dyDescent="0.35">
      <c r="A14" t="s">
        <v>31</v>
      </c>
      <c r="B14" s="2">
        <f>[13]results!AK8</f>
        <v>-635489.74845376587</v>
      </c>
      <c r="C14" s="2">
        <f>[13]results!AL8</f>
        <v>-660548.83709730825</v>
      </c>
      <c r="D14" s="2">
        <f>[13]results!AM8</f>
        <v>-6.2014023182832094</v>
      </c>
      <c r="E14" s="2">
        <f>[13]results!AN8</f>
        <v>-153915.1866065145</v>
      </c>
      <c r="F14" s="2">
        <f>[13]results!AO8</f>
        <v>0.62269132026698426</v>
      </c>
      <c r="H14" t="s">
        <v>23</v>
      </c>
      <c r="I14">
        <f t="shared" si="0"/>
        <v>0.57989264722227918</v>
      </c>
      <c r="J14">
        <f t="shared" si="0"/>
        <v>4.8567808339769535E-5</v>
      </c>
      <c r="K14">
        <f t="shared" si="0"/>
        <v>0</v>
      </c>
      <c r="L14">
        <f t="shared" si="0"/>
        <v>1.3256975402921585E-3</v>
      </c>
      <c r="M14">
        <f t="shared" si="0"/>
        <v>0.14291226389168171</v>
      </c>
      <c r="O14">
        <f t="shared" si="1"/>
        <v>0.57994121503061891</v>
      </c>
      <c r="P14">
        <f t="shared" si="2"/>
        <v>0.57989264925613149</v>
      </c>
      <c r="R14" t="s">
        <v>31</v>
      </c>
      <c r="S14">
        <f t="shared" si="6"/>
        <v>0.98912947953694919</v>
      </c>
      <c r="T14">
        <f t="shared" si="6"/>
        <v>4.8567808339769535E-5</v>
      </c>
      <c r="U14">
        <f t="shared" si="6"/>
        <v>0</v>
      </c>
      <c r="W14">
        <f t="shared" si="4"/>
        <v>0.98917804734528891</v>
      </c>
      <c r="X14">
        <f t="shared" si="5"/>
        <v>0.98912948072932694</v>
      </c>
    </row>
    <row r="15" spans="1:24" x14ac:dyDescent="0.35">
      <c r="A15" t="s">
        <v>32</v>
      </c>
      <c r="B15" s="2">
        <f>[13]results!AK9</f>
        <v>-635489.74845376587</v>
      </c>
      <c r="C15" s="2">
        <f>[13]results!AL9</f>
        <v>-660548.83709730825</v>
      </c>
      <c r="D15" s="2">
        <f>[13]results!AM9</f>
        <v>-6.2014023182832094</v>
      </c>
      <c r="E15" s="2">
        <f>[13]results!AN9</f>
        <v>-153915.1866065145</v>
      </c>
      <c r="F15" s="2">
        <f>[13]results!AO9</f>
        <v>0.62269132026698426</v>
      </c>
      <c r="H15" t="s">
        <v>24</v>
      </c>
      <c r="I15">
        <f t="shared" si="0"/>
        <v>0.57989264722227918</v>
      </c>
      <c r="J15">
        <f t="shared" si="0"/>
        <v>4.8567808339769535E-5</v>
      </c>
      <c r="K15">
        <f t="shared" si="0"/>
        <v>0</v>
      </c>
      <c r="L15">
        <f t="shared" si="0"/>
        <v>1.3256975402921585E-3</v>
      </c>
      <c r="M15">
        <f t="shared" si="0"/>
        <v>0.14291226389168171</v>
      </c>
      <c r="O15">
        <f t="shared" si="1"/>
        <v>0.57994121503061891</v>
      </c>
      <c r="P15">
        <f t="shared" si="2"/>
        <v>0.57989264925613149</v>
      </c>
      <c r="R15" t="s">
        <v>32</v>
      </c>
      <c r="S15">
        <f t="shared" si="6"/>
        <v>0.98912947953694919</v>
      </c>
      <c r="T15">
        <f t="shared" si="6"/>
        <v>4.8567808339769535E-5</v>
      </c>
      <c r="U15">
        <f t="shared" si="6"/>
        <v>0</v>
      </c>
      <c r="W15">
        <f t="shared" si="4"/>
        <v>0.98917804734528891</v>
      </c>
      <c r="X15">
        <f t="shared" si="5"/>
        <v>0.98912948072932694</v>
      </c>
    </row>
  </sheetData>
  <conditionalFormatting sqref="O2:O15">
    <cfRule type="expression" dxfId="37" priority="6">
      <formula>O2=MIN($O$2:$O$15)</formula>
    </cfRule>
  </conditionalFormatting>
  <conditionalFormatting sqref="P2:P15">
    <cfRule type="expression" dxfId="36" priority="5">
      <formula>P2=MIN($P$2:$P$15)</formula>
    </cfRule>
  </conditionalFormatting>
  <conditionalFormatting sqref="W2:W8">
    <cfRule type="expression" dxfId="35" priority="4">
      <formula>W2=MIN($W$2:$W$8)</formula>
    </cfRule>
  </conditionalFormatting>
  <conditionalFormatting sqref="X2:X8">
    <cfRule type="expression" dxfId="34" priority="3">
      <formula>X2=MIN($X$2:$X$8)</formula>
    </cfRule>
  </conditionalFormatting>
  <conditionalFormatting sqref="W9:W15">
    <cfRule type="expression" dxfId="33" priority="2">
      <formula>W9=MIN($W$9:$W$15)</formula>
    </cfRule>
  </conditionalFormatting>
  <conditionalFormatting sqref="X9:X15">
    <cfRule type="expression" dxfId="32" priority="1">
      <formula>X9=MIN($X$9:$X$15)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1DAF-7BBC-44F7-8A75-9D14F9B9D504}">
  <dimension ref="A1:X15"/>
  <sheetViews>
    <sheetView tabSelected="1" zoomScale="80" zoomScaleNormal="80" workbookViewId="0">
      <selection activeCell="V29" sqref="V29"/>
    </sheetView>
  </sheetViews>
  <sheetFormatPr baseColWidth="10" defaultRowHeight="14.5" x14ac:dyDescent="0.35"/>
  <cols>
    <col min="1" max="1" width="18.6328125" bestFit="1" customWidth="1"/>
    <col min="8" max="8" width="21.269531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R1" s="11"/>
      <c r="S1" s="11" t="s">
        <v>13</v>
      </c>
      <c r="T1" s="11" t="s">
        <v>14</v>
      </c>
      <c r="U1" s="11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[5]results!AD3</f>
        <v>-818093.70361632097</v>
      </c>
      <c r="C2" s="2">
        <f>[5]results!AE3</f>
        <v>-393131.57978474197</v>
      </c>
      <c r="D2" s="2">
        <f>[5]results!AF3</f>
        <v>-5.000279529603894</v>
      </c>
      <c r="E2" s="2">
        <f>[5]results!AG3</f>
        <v>163042.81900663199</v>
      </c>
      <c r="F2" s="2">
        <f>[5]results!AH3</f>
        <v>2.4952662973280328</v>
      </c>
      <c r="H2" t="s">
        <v>19</v>
      </c>
      <c r="I2">
        <f>(B2-MIN(B$2:B$15))/(MAX(B$2:B$15)-MIN(B$2:B$15))</f>
        <v>0.12669586117467163</v>
      </c>
      <c r="J2">
        <f>(C2-MIN(C$2:C$15))/(MAX(C$2:C$15)-MIN(C$2:C$15))</f>
        <v>0.71403165023078474</v>
      </c>
      <c r="K2">
        <f>(D2-MIN(D$2:D$15))/(MAX(D$2:D$15)-MIN(D$2:D$15))</f>
        <v>0.53665312105827134</v>
      </c>
      <c r="L2">
        <f>(E2-MIN(E$2:E$15))/(MAX(E$2:E$15)-MIN(E$2:E$15))</f>
        <v>0.96737895397584039</v>
      </c>
      <c r="M2">
        <f>(F2-MIN(F$2:F$15))/(MAX(F$2:F$15)-MIN(F$2:F$15))</f>
        <v>0.84058607027633225</v>
      </c>
      <c r="O2">
        <f>SUM(I2:K2)</f>
        <v>1.3773806324637277</v>
      </c>
      <c r="P2">
        <f>SQRT((I2*I2)+(J2*J2)+(K2*K2))</f>
        <v>0.90215830712335243</v>
      </c>
      <c r="R2" s="11" t="s">
        <v>19</v>
      </c>
      <c r="S2" s="11">
        <f>(B2-MIN(B$2:B$8))/(MAX(B$2:B$8)-MIN(B$2:B$8))</f>
        <v>0</v>
      </c>
      <c r="T2" s="11">
        <f>(C2-MIN(C$2:C$8))/(MAX(C$2:C$8)-MIN(C$2:C$8))</f>
        <v>0.40515312837807327</v>
      </c>
      <c r="U2" s="11">
        <f>(D2-MIN(D$2:D$8))/(MAX(D$2:D$8)-MIN(D$2:D$8))</f>
        <v>0</v>
      </c>
      <c r="W2">
        <f>SUM(S2:U2)</f>
        <v>0.40515312837807327</v>
      </c>
      <c r="X2">
        <f>SQRT((S2*S2)+(T2*T2)+(U2*U2))</f>
        <v>0.40515312837807327</v>
      </c>
    </row>
    <row r="3" spans="1:24" x14ac:dyDescent="0.35">
      <c r="A3" t="s">
        <v>20</v>
      </c>
      <c r="B3" s="2">
        <f>[5]results!AD4</f>
        <v>-206547.64447281981</v>
      </c>
      <c r="C3" s="2">
        <f>[5]results!AE4</f>
        <v>-472723.10069549771</v>
      </c>
      <c r="D3" s="2">
        <f>[5]results!AF4</f>
        <v>-3.4813193291665132</v>
      </c>
      <c r="E3" s="2">
        <f>[5]results!AG4</f>
        <v>-175282.76632134159</v>
      </c>
      <c r="F3" s="2">
        <f>[5]results!AH4</f>
        <v>0.52727472817421117</v>
      </c>
      <c r="H3" t="s">
        <v>20</v>
      </c>
      <c r="I3">
        <f t="shared" ref="I3:I15" si="0">(B3-MIN(B$2:B$15))/(MAX(B$2:B$15)-MIN(B$2:B$15))</f>
        <v>0.97395646770379629</v>
      </c>
      <c r="J3">
        <f t="shared" ref="J3:J15" si="1">(C3-MIN(C$2:C$15))/(MAX(C$2:C$15)-MIN(C$2:C$15))</f>
        <v>0.51925720145508092</v>
      </c>
      <c r="K3">
        <f t="shared" ref="K3:K15" si="2">(D3-MIN(D$2:D$15))/(MAX(D$2:D$15)-MIN(D$2:D$15))</f>
        <v>0.97291157463054956</v>
      </c>
      <c r="L3">
        <f t="shared" ref="L3:L15" si="3">(E3-MIN(E$2:E$15))/(MAX(E$2:E$15)-MIN(E$2:E$15))</f>
        <v>1.7161195344656002E-2</v>
      </c>
      <c r="M3">
        <f t="shared" ref="M3:M15" si="4">(F3-MIN(F$2:F$15))/(MAX(F$2:F$15)-MIN(F$2:F$15))</f>
        <v>5.0133857430790692E-2</v>
      </c>
      <c r="O3">
        <f t="shared" ref="O3:O15" si="5">SUM(I3:K3)</f>
        <v>2.4661252437894268</v>
      </c>
      <c r="P3">
        <f t="shared" ref="P3:P15" si="6">SQRT((I3*I3)+(J3*J3)+(K3*K3))</f>
        <v>1.4713178359195929</v>
      </c>
      <c r="R3" s="11" t="s">
        <v>20</v>
      </c>
      <c r="S3" s="11">
        <f t="shared" ref="S3:U8" si="7">(B3-MIN(B$2:B$8))/(MAX(B$2:B$8)-MIN(B$2:B$8))</f>
        <v>0.97017816458395023</v>
      </c>
      <c r="T3" s="11">
        <f t="shared" si="7"/>
        <v>0</v>
      </c>
      <c r="U3" s="11">
        <f t="shared" si="7"/>
        <v>0.94153748174300933</v>
      </c>
      <c r="W3">
        <f t="shared" ref="W3:W15" si="8">SUM(S3:U3)</f>
        <v>1.9117156463269596</v>
      </c>
      <c r="X3">
        <f t="shared" ref="X3:X15" si="9">SQRT((S3*S3)+(T3*T3)+(U3*U3))</f>
        <v>1.3519387932012492</v>
      </c>
    </row>
    <row r="4" spans="1:24" x14ac:dyDescent="0.35">
      <c r="A4" t="s">
        <v>21</v>
      </c>
      <c r="B4" s="2">
        <f>[5]results!AD5</f>
        <v>-818093.70361632097</v>
      </c>
      <c r="C4" s="2">
        <f>[5]results!AE5</f>
        <v>-393131.57978474197</v>
      </c>
      <c r="D4" s="2">
        <f>[5]results!AF5</f>
        <v>-5.000279529603894</v>
      </c>
      <c r="E4" s="2">
        <f>[5]results!AG5</f>
        <v>163042.81900663199</v>
      </c>
      <c r="F4" s="2">
        <f>[5]results!AH5</f>
        <v>2.4952662973280328</v>
      </c>
      <c r="H4" t="s">
        <v>21</v>
      </c>
      <c r="I4">
        <f t="shared" si="0"/>
        <v>0.12669586117467163</v>
      </c>
      <c r="J4">
        <f t="shared" si="1"/>
        <v>0.71403165023078474</v>
      </c>
      <c r="K4">
        <f t="shared" si="2"/>
        <v>0.53665312105827134</v>
      </c>
      <c r="L4">
        <f t="shared" si="3"/>
        <v>0.96737895397584039</v>
      </c>
      <c r="M4">
        <f t="shared" si="4"/>
        <v>0.84058607027633225</v>
      </c>
      <c r="O4">
        <f t="shared" si="5"/>
        <v>1.3773806324637277</v>
      </c>
      <c r="P4">
        <f t="shared" si="6"/>
        <v>0.90215830712335243</v>
      </c>
      <c r="R4" s="11" t="s">
        <v>21</v>
      </c>
      <c r="S4" s="11">
        <f t="shared" si="7"/>
        <v>0</v>
      </c>
      <c r="T4" s="11">
        <f t="shared" si="7"/>
        <v>0.40515312837807327</v>
      </c>
      <c r="U4" s="11">
        <f t="shared" si="7"/>
        <v>0</v>
      </c>
      <c r="W4">
        <f t="shared" si="8"/>
        <v>0.40515312837807327</v>
      </c>
      <c r="X4">
        <f t="shared" si="9"/>
        <v>0.40515312837807327</v>
      </c>
    </row>
    <row r="5" spans="1:24" x14ac:dyDescent="0.35">
      <c r="A5" t="s">
        <v>25</v>
      </c>
      <c r="B5" s="2">
        <f>[6]results!AD7</f>
        <v>-721123.90716989816</v>
      </c>
      <c r="C5" s="2">
        <f>[6]results!AE7</f>
        <v>-437095.04996141582</v>
      </c>
      <c r="D5" s="2">
        <f>[6]results!AF7</f>
        <v>-4.8756795012192589</v>
      </c>
      <c r="E5" s="2">
        <f>[6]results!AG7</f>
        <v>99537.154556529626</v>
      </c>
      <c r="F5" s="2">
        <f>[6]results!AH7</f>
        <v>2.3564966604137632</v>
      </c>
      <c r="H5" t="s">
        <v>25</v>
      </c>
      <c r="I5">
        <f t="shared" si="0"/>
        <v>0.26104173312300699</v>
      </c>
      <c r="J5">
        <f t="shared" si="1"/>
        <v>0.60644530721404299</v>
      </c>
      <c r="K5">
        <f t="shared" si="2"/>
        <v>0.5724393224890203</v>
      </c>
      <c r="L5">
        <f t="shared" si="3"/>
        <v>0.78901759807760841</v>
      </c>
      <c r="M5">
        <f t="shared" si="4"/>
        <v>0.7848486533615735</v>
      </c>
      <c r="O5">
        <f t="shared" si="5"/>
        <v>1.4399263628260703</v>
      </c>
      <c r="P5">
        <f t="shared" si="6"/>
        <v>0.87384522371269324</v>
      </c>
      <c r="R5" s="11" t="s">
        <v>25</v>
      </c>
      <c r="S5" s="11">
        <f t="shared" si="7"/>
        <v>0.15383629365256701</v>
      </c>
      <c r="T5" s="11">
        <f t="shared" si="7"/>
        <v>0.18136123104258101</v>
      </c>
      <c r="U5" s="11">
        <f t="shared" si="7"/>
        <v>7.7234148015593904E-2</v>
      </c>
      <c r="W5">
        <f t="shared" si="8"/>
        <v>0.41243167271074194</v>
      </c>
      <c r="X5">
        <f t="shared" si="9"/>
        <v>0.25004522588870587</v>
      </c>
    </row>
    <row r="6" spans="1:24" x14ac:dyDescent="0.35">
      <c r="A6" t="s">
        <v>22</v>
      </c>
      <c r="B6" s="2">
        <f>[5]results!AD6</f>
        <v>-206547.64447281981</v>
      </c>
      <c r="C6" s="2">
        <f>[5]results!AE6</f>
        <v>-472723.10069549771</v>
      </c>
      <c r="D6" s="2">
        <f>[5]results!AF6</f>
        <v>-3.4813193291665132</v>
      </c>
      <c r="E6" s="2">
        <f>[5]results!AG6</f>
        <v>-175282.76632134159</v>
      </c>
      <c r="F6" s="2">
        <f>[5]results!AH6</f>
        <v>0.52727472817421117</v>
      </c>
      <c r="H6" t="s">
        <v>22</v>
      </c>
      <c r="I6">
        <f t="shared" si="0"/>
        <v>0.97395646770379629</v>
      </c>
      <c r="J6">
        <f t="shared" si="1"/>
        <v>0.51925720145508092</v>
      </c>
      <c r="K6">
        <f t="shared" si="2"/>
        <v>0.97291157463054956</v>
      </c>
      <c r="L6">
        <f t="shared" si="3"/>
        <v>1.7161195344656002E-2</v>
      </c>
      <c r="M6">
        <f t="shared" si="4"/>
        <v>5.0133857430790692E-2</v>
      </c>
      <c r="O6">
        <f t="shared" si="5"/>
        <v>2.4661252437894268</v>
      </c>
      <c r="P6">
        <f t="shared" si="6"/>
        <v>1.4713178359195929</v>
      </c>
      <c r="R6" s="11" t="s">
        <v>22</v>
      </c>
      <c r="S6" s="11">
        <f t="shared" si="7"/>
        <v>0.97017816458395023</v>
      </c>
      <c r="T6" s="11">
        <f t="shared" si="7"/>
        <v>0</v>
      </c>
      <c r="U6" s="11">
        <f t="shared" si="7"/>
        <v>0.94153748174300933</v>
      </c>
      <c r="W6">
        <f t="shared" si="8"/>
        <v>1.9117156463269596</v>
      </c>
      <c r="X6">
        <f t="shared" si="9"/>
        <v>1.3519387932012492</v>
      </c>
    </row>
    <row r="7" spans="1:24" x14ac:dyDescent="0.35">
      <c r="A7" t="s">
        <v>23</v>
      </c>
      <c r="B7" s="2">
        <f>[5]results!AD7</f>
        <v>-598443.87065936555</v>
      </c>
      <c r="C7" s="2">
        <f>[5]results!AE7</f>
        <v>-276275.10280052898</v>
      </c>
      <c r="D7" s="2">
        <f>[5]results!AF7</f>
        <v>-3.914218080882633</v>
      </c>
      <c r="E7" s="2">
        <f>[5]results!AG7</f>
        <v>87649.014450924733</v>
      </c>
      <c r="F7" s="2">
        <f>[5]results!AH7</f>
        <v>0.99037633251015689</v>
      </c>
      <c r="H7" t="s">
        <v>23</v>
      </c>
      <c r="I7">
        <f t="shared" si="0"/>
        <v>0.43100760991813275</v>
      </c>
      <c r="J7">
        <f t="shared" si="1"/>
        <v>1</v>
      </c>
      <c r="K7">
        <f t="shared" si="2"/>
        <v>0.84857932423803528</v>
      </c>
      <c r="L7">
        <f t="shared" si="3"/>
        <v>0.75562869006909728</v>
      </c>
      <c r="M7">
        <f t="shared" si="4"/>
        <v>0.23614059326099732</v>
      </c>
      <c r="O7">
        <f t="shared" si="5"/>
        <v>2.2795869341561681</v>
      </c>
      <c r="P7">
        <f t="shared" si="6"/>
        <v>1.3805268665736359</v>
      </c>
      <c r="R7" s="11" t="s">
        <v>23</v>
      </c>
      <c r="S7" s="11">
        <f t="shared" si="7"/>
        <v>0.34846021587941561</v>
      </c>
      <c r="T7" s="11">
        <f t="shared" si="7"/>
        <v>1</v>
      </c>
      <c r="U7" s="11">
        <f t="shared" si="7"/>
        <v>0.67320234009603075</v>
      </c>
      <c r="W7">
        <f t="shared" si="8"/>
        <v>2.0216625559754462</v>
      </c>
      <c r="X7">
        <f t="shared" si="9"/>
        <v>1.2548409910269511</v>
      </c>
    </row>
    <row r="8" spans="1:24" x14ac:dyDescent="0.35">
      <c r="A8" t="s">
        <v>24</v>
      </c>
      <c r="B8" s="2">
        <f>[5]results!AD15</f>
        <v>-187749.62716954219</v>
      </c>
      <c r="C8" s="2">
        <f>[5]results!AE15</f>
        <v>-462573.42160036502</v>
      </c>
      <c r="D8" s="2">
        <f>[5]results!AF15</f>
        <v>-3.3870031280894</v>
      </c>
      <c r="E8" s="2">
        <f>[5]results!AG15</f>
        <v>-181393.0198997132</v>
      </c>
      <c r="F8" s="2">
        <f>[5]results!AH15</f>
        <v>0.4024562924109919</v>
      </c>
      <c r="H8" t="s">
        <v>24</v>
      </c>
      <c r="I8">
        <f t="shared" si="0"/>
        <v>1</v>
      </c>
      <c r="J8">
        <f t="shared" si="1"/>
        <v>0.54409525114157209</v>
      </c>
      <c r="K8">
        <f t="shared" si="2"/>
        <v>1</v>
      </c>
      <c r="L8">
        <f t="shared" si="3"/>
        <v>0</v>
      </c>
      <c r="M8">
        <f t="shared" si="4"/>
        <v>0</v>
      </c>
      <c r="O8">
        <f t="shared" si="5"/>
        <v>2.544095251141572</v>
      </c>
      <c r="P8">
        <f t="shared" si="6"/>
        <v>1.5152688349975427</v>
      </c>
      <c r="R8" s="11" t="s">
        <v>24</v>
      </c>
      <c r="S8" s="11">
        <f t="shared" si="7"/>
        <v>1</v>
      </c>
      <c r="T8" s="11">
        <f t="shared" si="7"/>
        <v>5.1665983893402816E-2</v>
      </c>
      <c r="U8" s="11">
        <f t="shared" si="7"/>
        <v>1</v>
      </c>
      <c r="W8">
        <f t="shared" si="8"/>
        <v>2.051665983893403</v>
      </c>
      <c r="X8">
        <f t="shared" si="9"/>
        <v>1.4151570138651306</v>
      </c>
    </row>
    <row r="9" spans="1:24" x14ac:dyDescent="0.35">
      <c r="A9" t="s">
        <v>26</v>
      </c>
      <c r="B9" s="2">
        <f>[7]results!AK3</f>
        <v>-909541.78229965246</v>
      </c>
      <c r="C9" s="2">
        <f>[7]results!AL3</f>
        <v>-450390.30490598618</v>
      </c>
      <c r="D9" s="2">
        <f>[7]results!AM3</f>
        <v>-5.5315918548801939</v>
      </c>
      <c r="E9" s="2">
        <f>[7]results!AN3</f>
        <v>174657.56140634569</v>
      </c>
      <c r="F9" s="2">
        <f>[7]results!AO3</f>
        <v>2.8921597016395739</v>
      </c>
      <c r="H9" t="s">
        <v>19</v>
      </c>
      <c r="I9">
        <f t="shared" si="0"/>
        <v>0</v>
      </c>
      <c r="J9">
        <f t="shared" si="1"/>
        <v>0.5739094802373883</v>
      </c>
      <c r="K9">
        <f t="shared" si="2"/>
        <v>0.3840556446252571</v>
      </c>
      <c r="L9">
        <f t="shared" si="3"/>
        <v>1</v>
      </c>
      <c r="M9">
        <f t="shared" si="4"/>
        <v>1</v>
      </c>
      <c r="O9">
        <f t="shared" si="5"/>
        <v>0.9579651248626454</v>
      </c>
      <c r="P9">
        <f t="shared" si="6"/>
        <v>0.69055834632192448</v>
      </c>
      <c r="R9" s="12" t="s">
        <v>26</v>
      </c>
      <c r="S9" s="12">
        <f>(B9-MIN(B$9:B$15))/(MAX(B$9:B$15)-MIN(B$9:B$15))</f>
        <v>0</v>
      </c>
      <c r="T9" s="12">
        <f>(C9-MIN(C$9:C$15))/(MAX(C$9:C$15)-MIN(C$9:C$15))</f>
        <v>1</v>
      </c>
      <c r="U9" s="12">
        <f>(D9-MIN(D$9:D$15))/(MAX(D$9:D$15)-MIN(D$9:D$15))</f>
        <v>1</v>
      </c>
      <c r="W9">
        <f t="shared" si="8"/>
        <v>2</v>
      </c>
      <c r="X9">
        <f t="shared" si="9"/>
        <v>1.4142135623730951</v>
      </c>
    </row>
    <row r="10" spans="1:24" x14ac:dyDescent="0.35">
      <c r="A10" t="s">
        <v>27</v>
      </c>
      <c r="B10" s="2">
        <f>[7]results!AK4</f>
        <v>-644442.1846872702</v>
      </c>
      <c r="C10" s="2">
        <f>[7]results!AL4</f>
        <v>-684909.40473820688</v>
      </c>
      <c r="D10" s="2">
        <f>[7]results!AM4</f>
        <v>-6.364898685252375</v>
      </c>
      <c r="E10" s="2">
        <f>[7]results!AN4</f>
        <v>-165459.6313217275</v>
      </c>
      <c r="F10" s="2">
        <f>[7]results!AO4</f>
        <v>0.63571057002381026</v>
      </c>
      <c r="H10" t="s">
        <v>20</v>
      </c>
      <c r="I10">
        <f t="shared" si="0"/>
        <v>0.36727968810438988</v>
      </c>
      <c r="J10">
        <f t="shared" si="1"/>
        <v>0</v>
      </c>
      <c r="K10">
        <f t="shared" si="2"/>
        <v>0.1447227450109651</v>
      </c>
      <c r="L10">
        <f t="shared" si="3"/>
        <v>4.4750351254979275E-2</v>
      </c>
      <c r="M10">
        <f t="shared" si="4"/>
        <v>9.3687576097705005E-2</v>
      </c>
      <c r="O10">
        <f t="shared" si="5"/>
        <v>0.51200243311535498</v>
      </c>
      <c r="P10">
        <f t="shared" si="6"/>
        <v>0.39476454022311419</v>
      </c>
      <c r="R10" s="12" t="s">
        <v>27</v>
      </c>
      <c r="S10" s="12">
        <f t="shared" ref="S10:U15" si="10">(B10-MIN(B$9:B$15))/(MAX(B$9:B$15)-MIN(B$9:B$15))</f>
        <v>1</v>
      </c>
      <c r="T10" s="12">
        <f t="shared" si="10"/>
        <v>0</v>
      </c>
      <c r="U10" s="12">
        <f t="shared" si="10"/>
        <v>0.3768275431862968</v>
      </c>
      <c r="W10">
        <f t="shared" si="8"/>
        <v>1.3768275431862969</v>
      </c>
      <c r="X10">
        <f t="shared" si="9"/>
        <v>1.0686435314471427</v>
      </c>
    </row>
    <row r="11" spans="1:24" x14ac:dyDescent="0.35">
      <c r="A11" t="s">
        <v>28</v>
      </c>
      <c r="B11" s="2">
        <f>[7]results!AK5</f>
        <v>-851589.58048812114</v>
      </c>
      <c r="C11" s="2">
        <f>[7]results!AL5</f>
        <v>-660654.74717186799</v>
      </c>
      <c r="D11" s="2">
        <f>[7]results!AM5</f>
        <v>-6.8687928515880721</v>
      </c>
      <c r="E11" s="2">
        <f>[7]results!AN5</f>
        <v>43053.317941363552</v>
      </c>
      <c r="F11" s="2">
        <f>[7]results!AO5</f>
        <v>2.6150602038266331</v>
      </c>
      <c r="H11" t="s">
        <v>21</v>
      </c>
      <c r="I11">
        <f t="shared" si="0"/>
        <v>8.0289320685516266E-2</v>
      </c>
      <c r="J11">
        <f t="shared" si="1"/>
        <v>5.9355412532250039E-2</v>
      </c>
      <c r="K11">
        <f t="shared" si="2"/>
        <v>0</v>
      </c>
      <c r="L11">
        <f t="shared" si="3"/>
        <v>0.63037767560374813</v>
      </c>
      <c r="M11">
        <f t="shared" si="4"/>
        <v>0.8887018040840462</v>
      </c>
      <c r="O11">
        <f t="shared" si="5"/>
        <v>0.1396447332177663</v>
      </c>
      <c r="P11">
        <f t="shared" si="6"/>
        <v>9.9847083147257015E-2</v>
      </c>
      <c r="R11" s="12" t="s">
        <v>28</v>
      </c>
      <c r="S11" s="12">
        <f t="shared" si="10"/>
        <v>0.21860539334452952</v>
      </c>
      <c r="T11" s="12">
        <f t="shared" si="10"/>
        <v>0.10342295183501525</v>
      </c>
      <c r="U11" s="12">
        <f t="shared" si="10"/>
        <v>0</v>
      </c>
      <c r="W11">
        <f t="shared" si="8"/>
        <v>0.32202834517954476</v>
      </c>
      <c r="X11">
        <f t="shared" si="9"/>
        <v>0.24183594638842332</v>
      </c>
    </row>
    <row r="12" spans="1:24" x14ac:dyDescent="0.35">
      <c r="A12" t="s">
        <v>29</v>
      </c>
      <c r="B12" s="2">
        <f>[8]results!AK7</f>
        <v>-851589.58048812114</v>
      </c>
      <c r="C12" s="2">
        <f>[8]results!AL7</f>
        <v>-660654.74717186799</v>
      </c>
      <c r="D12" s="2">
        <f>[8]results!AM7</f>
        <v>-6.8687928515880721</v>
      </c>
      <c r="E12" s="2">
        <f>[8]results!AN7</f>
        <v>43053.317941363552</v>
      </c>
      <c r="F12" s="2">
        <f>[8]results!AO7</f>
        <v>2.6150602038266331</v>
      </c>
      <c r="H12" t="s">
        <v>25</v>
      </c>
      <c r="I12">
        <f t="shared" si="0"/>
        <v>8.0289320685516266E-2</v>
      </c>
      <c r="J12">
        <f t="shared" si="1"/>
        <v>5.9355412532250039E-2</v>
      </c>
      <c r="K12">
        <f t="shared" si="2"/>
        <v>0</v>
      </c>
      <c r="L12">
        <f t="shared" si="3"/>
        <v>0.63037767560374813</v>
      </c>
      <c r="M12">
        <f t="shared" si="4"/>
        <v>0.8887018040840462</v>
      </c>
      <c r="O12">
        <f t="shared" si="5"/>
        <v>0.1396447332177663</v>
      </c>
      <c r="P12">
        <f t="shared" si="6"/>
        <v>9.9847083147257015E-2</v>
      </c>
      <c r="R12" s="12" t="s">
        <v>29</v>
      </c>
      <c r="S12" s="12">
        <f t="shared" si="10"/>
        <v>0.21860539334452952</v>
      </c>
      <c r="T12" s="12">
        <f t="shared" si="10"/>
        <v>0.10342295183501525</v>
      </c>
      <c r="U12" s="12">
        <f t="shared" si="10"/>
        <v>0</v>
      </c>
      <c r="W12">
        <f t="shared" si="8"/>
        <v>0.32202834517954476</v>
      </c>
      <c r="X12">
        <f t="shared" si="9"/>
        <v>0.24183594638842332</v>
      </c>
    </row>
    <row r="13" spans="1:24" x14ac:dyDescent="0.35">
      <c r="A13" t="s">
        <v>30</v>
      </c>
      <c r="B13" s="2">
        <f>[7]results!AK6</f>
        <v>-644442.1846872702</v>
      </c>
      <c r="C13" s="2">
        <f>[7]results!AL6</f>
        <v>-684909.40473820688</v>
      </c>
      <c r="D13" s="2">
        <f>[7]results!AM6</f>
        <v>-6.364898685252375</v>
      </c>
      <c r="E13" s="2">
        <f>[7]results!AN6</f>
        <v>-165459.6313217275</v>
      </c>
      <c r="F13" s="2">
        <f>[7]results!AO6</f>
        <v>0.63571057002381026</v>
      </c>
      <c r="H13" t="s">
        <v>22</v>
      </c>
      <c r="I13">
        <f t="shared" si="0"/>
        <v>0.36727968810438988</v>
      </c>
      <c r="J13">
        <f t="shared" si="1"/>
        <v>0</v>
      </c>
      <c r="K13">
        <f t="shared" si="2"/>
        <v>0.1447227450109651</v>
      </c>
      <c r="L13">
        <f t="shared" si="3"/>
        <v>4.4750351254979275E-2</v>
      </c>
      <c r="M13">
        <f t="shared" si="4"/>
        <v>9.3687576097705005E-2</v>
      </c>
      <c r="O13">
        <f t="shared" si="5"/>
        <v>0.51200243311535498</v>
      </c>
      <c r="P13">
        <f t="shared" si="6"/>
        <v>0.39476454022311419</v>
      </c>
      <c r="R13" s="12" t="s">
        <v>30</v>
      </c>
      <c r="S13" s="12">
        <f t="shared" si="10"/>
        <v>1</v>
      </c>
      <c r="T13" s="12">
        <f t="shared" si="10"/>
        <v>0</v>
      </c>
      <c r="U13" s="12">
        <f t="shared" si="10"/>
        <v>0.3768275431862968</v>
      </c>
      <c r="W13">
        <f t="shared" si="8"/>
        <v>1.3768275431862969</v>
      </c>
      <c r="X13">
        <f t="shared" si="9"/>
        <v>1.0686435314471427</v>
      </c>
    </row>
    <row r="14" spans="1:24" x14ac:dyDescent="0.35">
      <c r="A14" t="s">
        <v>31</v>
      </c>
      <c r="B14" s="2">
        <f>[7]results!AK7</f>
        <v>-644442.1846872702</v>
      </c>
      <c r="C14" s="2">
        <f>[7]results!AL7</f>
        <v>-684909.40473820688</v>
      </c>
      <c r="D14" s="2">
        <f>[7]results!AM7</f>
        <v>-6.364898685252375</v>
      </c>
      <c r="E14" s="2">
        <f>[7]results!AN7</f>
        <v>-165459.6313217275</v>
      </c>
      <c r="F14" s="2">
        <f>[7]results!AO7</f>
        <v>0.63571057002381026</v>
      </c>
      <c r="H14" t="s">
        <v>23</v>
      </c>
      <c r="I14">
        <f t="shared" si="0"/>
        <v>0.36727968810438988</v>
      </c>
      <c r="J14">
        <f t="shared" si="1"/>
        <v>0</v>
      </c>
      <c r="K14">
        <f t="shared" si="2"/>
        <v>0.1447227450109651</v>
      </c>
      <c r="L14">
        <f t="shared" si="3"/>
        <v>4.4750351254979275E-2</v>
      </c>
      <c r="M14">
        <f t="shared" si="4"/>
        <v>9.3687576097705005E-2</v>
      </c>
      <c r="O14">
        <f t="shared" si="5"/>
        <v>0.51200243311535498</v>
      </c>
      <c r="P14">
        <f t="shared" si="6"/>
        <v>0.39476454022311419</v>
      </c>
      <c r="R14" s="12" t="s">
        <v>31</v>
      </c>
      <c r="S14" s="12">
        <f t="shared" si="10"/>
        <v>1</v>
      </c>
      <c r="T14" s="12">
        <f t="shared" si="10"/>
        <v>0</v>
      </c>
      <c r="U14" s="12">
        <f t="shared" si="10"/>
        <v>0.3768275431862968</v>
      </c>
      <c r="W14">
        <f t="shared" si="8"/>
        <v>1.3768275431862969</v>
      </c>
      <c r="X14">
        <f t="shared" si="9"/>
        <v>1.0686435314471427</v>
      </c>
    </row>
    <row r="15" spans="1:24" x14ac:dyDescent="0.35">
      <c r="A15" t="s">
        <v>32</v>
      </c>
      <c r="B15" s="2">
        <f>[7]results!AK15</f>
        <v>-644442.1846872702</v>
      </c>
      <c r="C15" s="2">
        <f>[7]results!AL15</f>
        <v>-684909.40473820688</v>
      </c>
      <c r="D15" s="2">
        <f>[7]results!AM15</f>
        <v>-6.364898685252375</v>
      </c>
      <c r="E15" s="2">
        <f>[7]results!AN15</f>
        <v>-165459.6313217275</v>
      </c>
      <c r="F15" s="2">
        <f>[7]results!AO15</f>
        <v>0.63571057002381026</v>
      </c>
      <c r="H15" t="s">
        <v>24</v>
      </c>
      <c r="I15">
        <f t="shared" si="0"/>
        <v>0.36727968810438988</v>
      </c>
      <c r="J15">
        <f t="shared" si="1"/>
        <v>0</v>
      </c>
      <c r="K15">
        <f t="shared" si="2"/>
        <v>0.1447227450109651</v>
      </c>
      <c r="L15">
        <f t="shared" si="3"/>
        <v>4.4750351254979275E-2</v>
      </c>
      <c r="M15">
        <f t="shared" si="4"/>
        <v>9.3687576097705005E-2</v>
      </c>
      <c r="O15">
        <f t="shared" si="5"/>
        <v>0.51200243311535498</v>
      </c>
      <c r="P15">
        <f t="shared" si="6"/>
        <v>0.39476454022311419</v>
      </c>
      <c r="R15" s="12" t="s">
        <v>32</v>
      </c>
      <c r="S15" s="12">
        <f t="shared" si="10"/>
        <v>1</v>
      </c>
      <c r="T15" s="12">
        <f t="shared" si="10"/>
        <v>0</v>
      </c>
      <c r="U15" s="12">
        <f t="shared" si="10"/>
        <v>0.3768275431862968</v>
      </c>
      <c r="W15">
        <f t="shared" si="8"/>
        <v>1.3768275431862969</v>
      </c>
      <c r="X15">
        <f t="shared" si="9"/>
        <v>1.0686435314471427</v>
      </c>
    </row>
  </sheetData>
  <conditionalFormatting sqref="O2:O15">
    <cfRule type="expression" dxfId="31" priority="6">
      <formula>O2=MIN($O$2:$O$15)</formula>
    </cfRule>
  </conditionalFormatting>
  <conditionalFormatting sqref="P2:P15">
    <cfRule type="expression" dxfId="30" priority="5">
      <formula>P2=MIN($P$2:$P$15)</formula>
    </cfRule>
  </conditionalFormatting>
  <conditionalFormatting sqref="W2:W8">
    <cfRule type="expression" dxfId="29" priority="4">
      <formula>W2=MIN($W$2:$W$8)</formula>
    </cfRule>
  </conditionalFormatting>
  <conditionalFormatting sqref="X2:X8">
    <cfRule type="expression" dxfId="28" priority="3">
      <formula>X2=MIN($X$2:$X$8)</formula>
    </cfRule>
  </conditionalFormatting>
  <conditionalFormatting sqref="W9:W15">
    <cfRule type="expression" dxfId="27" priority="2">
      <formula>W9=MIN($W$9:$W$15)</formula>
    </cfRule>
  </conditionalFormatting>
  <conditionalFormatting sqref="X9:X15">
    <cfRule type="expression" dxfId="26" priority="1">
      <formula>X9=MIN($X$9:$X$15)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EAE2-E189-42E2-800F-26948044793E}">
  <dimension ref="A1:X16"/>
  <sheetViews>
    <sheetView zoomScaleNormal="100" workbookViewId="0">
      <selection activeCell="F5" sqref="A5:XFD5"/>
    </sheetView>
  </sheetViews>
  <sheetFormatPr baseColWidth="10" defaultRowHeight="14.5" x14ac:dyDescent="0.35"/>
  <cols>
    <col min="1" max="1" width="18.6328125" bestFit="1" customWidth="1"/>
    <col min="8" max="8" width="20.54296875" bestFit="1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  <c r="O1" s="3" t="s">
        <v>33</v>
      </c>
      <c r="P1" s="3" t="s">
        <v>34</v>
      </c>
      <c r="R1" s="4"/>
      <c r="S1" s="5" t="s">
        <v>13</v>
      </c>
      <c r="T1" s="5" t="s">
        <v>14</v>
      </c>
      <c r="U1" s="5" t="s">
        <v>15</v>
      </c>
      <c r="W1" s="3" t="s">
        <v>33</v>
      </c>
      <c r="X1" s="3" t="s">
        <v>34</v>
      </c>
    </row>
    <row r="2" spans="1:24" x14ac:dyDescent="0.35">
      <c r="A2" t="s">
        <v>19</v>
      </c>
      <c r="B2" s="2">
        <f>[9]results!AD3</f>
        <v>-900529.643526776</v>
      </c>
      <c r="C2" s="2">
        <f>[9]results!AE3</f>
        <v>-500204.87427557592</v>
      </c>
      <c r="D2" s="2">
        <f>[9]results!AF3</f>
        <v>-5.9650553132270554</v>
      </c>
      <c r="E2" s="2">
        <f>[9]results!AG3</f>
        <v>83802.282082538615</v>
      </c>
      <c r="F2" s="2">
        <f>[9]results!AH3</f>
        <v>1.905592268949883</v>
      </c>
      <c r="H2" t="s">
        <v>19</v>
      </c>
      <c r="I2" s="2">
        <f>(B2-MIN(B$2:B$15))/(MAX(B$2:B$15)-MIN(B$2:B$15))</f>
        <v>3.2741421273487926E-2</v>
      </c>
      <c r="J2" s="2">
        <f>(C2-MIN(C$2:C$15))/(MAX(C$2:C$15)-MIN(C$2:C$15))</f>
        <v>0.72780850905951977</v>
      </c>
      <c r="K2" s="2">
        <f>(D2-MIN(D$2:D$15))/(MAX(D$2:D$15)-MIN(D$2:D$15))</f>
        <v>0.49484198619671971</v>
      </c>
      <c r="L2" s="2">
        <f>(E2-MIN(E$2:E$15))/(MAX(E$2:E$15)-MIN(E$2:E$15))</f>
        <v>0.76853030210138862</v>
      </c>
      <c r="M2" s="2">
        <f>(F2-MIN(F$2:F$15))/(MAX(F$2:F$15)-MIN(F$2:F$15))</f>
        <v>0.64084416280250711</v>
      </c>
      <c r="O2" s="2">
        <f>SUM(I2:K2)</f>
        <v>1.2553919165297274</v>
      </c>
      <c r="P2">
        <f>SQRT((I2*I2)+(J2*J2)+(K2*K2))</f>
        <v>0.88070756657903393</v>
      </c>
      <c r="R2" s="4" t="s">
        <v>19</v>
      </c>
      <c r="S2" s="6">
        <f>(B2-MIN(B$2:B$8))/(MAX(B$2:B$8)-MIN(B$2:B$8))</f>
        <v>0</v>
      </c>
      <c r="T2" s="6">
        <f>(C2-MIN(C$2:C$8))/(MAX(C$2:C$8)-MIN(C$2:C$8))</f>
        <v>0.32865409372552995</v>
      </c>
      <c r="U2" s="6">
        <f>(D2-MIN(D$2:D$8))/(MAX(D$2:D$8)-MIN(D$2:D$8))</f>
        <v>5.8720562476591749E-2</v>
      </c>
      <c r="W2" s="2">
        <f>SUM(S2:U2)</f>
        <v>0.38737465620212169</v>
      </c>
      <c r="X2">
        <f>SQRT((S2*S2)+(T2*T2)+(U2*U2))</f>
        <v>0.33385867935417934</v>
      </c>
    </row>
    <row r="3" spans="1:24" x14ac:dyDescent="0.35">
      <c r="A3" t="s">
        <v>20</v>
      </c>
      <c r="B3" s="2">
        <f>[9]results!AD4</f>
        <v>-527008.18586465344</v>
      </c>
      <c r="C3" s="2">
        <f>[9]results!AE4</f>
        <v>-534021.29708947102</v>
      </c>
      <c r="D3" s="2">
        <f>[9]results!AF4</f>
        <v>-5.0198331186547049</v>
      </c>
      <c r="E3" s="2">
        <f>[9]results!AG4</f>
        <v>-129423.62059813261</v>
      </c>
      <c r="F3" s="2">
        <f>[9]results!AH4</f>
        <v>0.43291799196733549</v>
      </c>
      <c r="H3" t="s">
        <v>20</v>
      </c>
      <c r="I3" s="2">
        <f t="shared" ref="I3:L4" si="0">(B3-MIN(B$2:B$15))/(MAX(B$2:B$15)-MIN(B$2:B$15))</f>
        <v>1</v>
      </c>
      <c r="J3" s="2">
        <f t="shared" si="0"/>
        <v>0.59455850047412262</v>
      </c>
      <c r="K3" s="2">
        <f t="shared" si="0"/>
        <v>1</v>
      </c>
      <c r="L3" s="2">
        <f t="shared" si="0"/>
        <v>0.11110709145129778</v>
      </c>
      <c r="M3" s="2">
        <f t="shared" ref="M3:M15" si="1">(F3-MIN(F$2:F$15))/(MAX(F$2:F$15)-MIN(F$2:F$15))</f>
        <v>0</v>
      </c>
      <c r="O3" s="2">
        <f t="shared" ref="O3:O15" si="2">SUM(I3:K3)</f>
        <v>2.5945585004741227</v>
      </c>
      <c r="P3">
        <f t="shared" ref="P3:P15" si="3">SQRT((I3*I3)+(J3*J3)+(K3*K3))</f>
        <v>1.5341120592988104</v>
      </c>
      <c r="R3" s="4" t="s">
        <v>20</v>
      </c>
      <c r="S3" s="6">
        <f t="shared" ref="S3:S8" si="4">(B3-MIN(B$2:B$8))/(MAX(B$2:B$8)-MIN(B$2:B$8))</f>
        <v>1</v>
      </c>
      <c r="T3" s="6">
        <f t="shared" ref="T3:T8" si="5">(C3-MIN(C$2:C$8))/(MAX(C$2:C$8)-MIN(C$2:C$8))</f>
        <v>0</v>
      </c>
      <c r="U3" s="6">
        <f t="shared" ref="U3:U8" si="6">(D3-MIN(D$2:D$8))/(MAX(D$2:D$8)-MIN(D$2:D$8))</f>
        <v>1</v>
      </c>
      <c r="W3" s="2">
        <f t="shared" ref="W3:W15" si="7">SUM(S3:U3)</f>
        <v>2</v>
      </c>
      <c r="X3">
        <f t="shared" ref="X3:X15" si="8">SQRT((S3*S3)+(T3*T3)+(U3*U3))</f>
        <v>1.4142135623730951</v>
      </c>
    </row>
    <row r="4" spans="1:24" x14ac:dyDescent="0.35">
      <c r="A4" t="s">
        <v>21</v>
      </c>
      <c r="B4" s="2">
        <f>[9]results!AD5</f>
        <v>-898781.77147895657</v>
      </c>
      <c r="C4" s="2">
        <f>[9]results!AE5</f>
        <v>-507697.85586750339</v>
      </c>
      <c r="D4" s="2">
        <f>[9]results!AF5</f>
        <v>-6.0240218397631953</v>
      </c>
      <c r="E4" s="2">
        <f>[9]results!AG5</f>
        <v>69693.914180888794</v>
      </c>
      <c r="F4" s="2">
        <f>[9]results!AH5</f>
        <v>1.7574704079985639</v>
      </c>
      <c r="H4" t="s">
        <v>21</v>
      </c>
      <c r="I4" s="2">
        <f t="shared" si="0"/>
        <v>3.7267651823538236E-2</v>
      </c>
      <c r="J4" s="2">
        <f t="shared" si="0"/>
        <v>0.69828321399950233</v>
      </c>
      <c r="K4" s="2">
        <f t="shared" si="0"/>
        <v>0.46332832348659719</v>
      </c>
      <c r="L4" s="2">
        <f t="shared" si="0"/>
        <v>0.72503104424233822</v>
      </c>
      <c r="M4" s="2">
        <f t="shared" si="1"/>
        <v>0.57638793411859801</v>
      </c>
      <c r="O4" s="2">
        <f t="shared" si="2"/>
        <v>1.1988791893096378</v>
      </c>
      <c r="P4">
        <f t="shared" si="3"/>
        <v>0.83884531361319303</v>
      </c>
      <c r="R4" s="4" t="s">
        <v>21</v>
      </c>
      <c r="S4" s="6">
        <f t="shared" si="4"/>
        <v>4.6794421363618366E-3</v>
      </c>
      <c r="T4" s="6">
        <f t="shared" si="5"/>
        <v>0.25583151612914612</v>
      </c>
      <c r="U4" s="6">
        <f t="shared" si="6"/>
        <v>0</v>
      </c>
      <c r="W4" s="2">
        <f t="shared" si="7"/>
        <v>0.26051095826550796</v>
      </c>
      <c r="X4">
        <f t="shared" si="8"/>
        <v>0.25587430864321864</v>
      </c>
    </row>
    <row r="5" spans="1:24" x14ac:dyDescent="0.35">
      <c r="A5" t="s">
        <v>25</v>
      </c>
      <c r="B5" s="2">
        <f>[10]results!AD7</f>
        <v>-898781.77147895657</v>
      </c>
      <c r="C5" s="2">
        <f>[10]results!AE7</f>
        <v>-507697.85586750339</v>
      </c>
      <c r="D5" s="2">
        <f>[10]results!AF7</f>
        <v>-6.0240218397631953</v>
      </c>
      <c r="E5" s="2">
        <f>[10]results!AG7</f>
        <v>69693.914180888794</v>
      </c>
      <c r="F5" s="2">
        <f>[10]results!AH7</f>
        <v>1.7574704079985639</v>
      </c>
      <c r="H5" t="s">
        <v>25</v>
      </c>
      <c r="I5" s="2">
        <f t="shared" ref="I5:I15" si="9">(B5-MIN(B$2:B$15))/(MAX(B$2:B$15)-MIN(B$2:B$15))</f>
        <v>3.7267651823538236E-2</v>
      </c>
      <c r="J5" s="2">
        <f t="shared" ref="J5:J15" si="10">(C5-MIN(C$2:C$15))/(MAX(C$2:C$15)-MIN(C$2:C$15))</f>
        <v>0.69828321399950233</v>
      </c>
      <c r="K5" s="2">
        <f t="shared" ref="K5:K15" si="11">(D5-MIN(D$2:D$15))/(MAX(D$2:D$15)-MIN(D$2:D$15))</f>
        <v>0.46332832348659719</v>
      </c>
      <c r="L5" s="2">
        <f t="shared" ref="L5:L15" si="12">(E5-MIN(E$2:E$15))/(MAX(E$2:E$15)-MIN(E$2:E$15))</f>
        <v>0.72503104424233822</v>
      </c>
      <c r="M5" s="2">
        <f t="shared" si="1"/>
        <v>0.57638793411859801</v>
      </c>
      <c r="O5" s="2">
        <f t="shared" si="2"/>
        <v>1.1988791893096378</v>
      </c>
      <c r="P5">
        <f t="shared" si="3"/>
        <v>0.83884531361319303</v>
      </c>
      <c r="R5" s="4" t="s">
        <v>25</v>
      </c>
      <c r="S5" s="6">
        <f t="shared" si="4"/>
        <v>4.6794421363618366E-3</v>
      </c>
      <c r="T5" s="6">
        <f t="shared" si="5"/>
        <v>0.25583151612914612</v>
      </c>
      <c r="U5" s="6">
        <f t="shared" si="6"/>
        <v>0</v>
      </c>
      <c r="W5" s="2">
        <f t="shared" si="7"/>
        <v>0.26051095826550796</v>
      </c>
      <c r="X5">
        <f t="shared" si="8"/>
        <v>0.25587430864321864</v>
      </c>
    </row>
    <row r="6" spans="1:24" x14ac:dyDescent="0.35">
      <c r="A6" t="s">
        <v>22</v>
      </c>
      <c r="B6" s="2">
        <f>[9]results!AD6</f>
        <v>-527008.18586465344</v>
      </c>
      <c r="C6" s="2">
        <f>[9]results!AE6</f>
        <v>-534021.29708947102</v>
      </c>
      <c r="D6" s="2">
        <f>[9]results!AF6</f>
        <v>-5.0198331186547049</v>
      </c>
      <c r="E6" s="2">
        <f>[9]results!AG6</f>
        <v>-129423.62059813261</v>
      </c>
      <c r="F6" s="2">
        <f>[9]results!AH6</f>
        <v>0.43291799196733549</v>
      </c>
      <c r="H6" t="s">
        <v>22</v>
      </c>
      <c r="I6" s="2">
        <f t="shared" si="9"/>
        <v>1</v>
      </c>
      <c r="J6" s="2">
        <f t="shared" si="10"/>
        <v>0.59455850047412262</v>
      </c>
      <c r="K6" s="2">
        <f t="shared" si="11"/>
        <v>1</v>
      </c>
      <c r="L6" s="2">
        <f t="shared" si="12"/>
        <v>0.11110709145129778</v>
      </c>
      <c r="M6" s="2">
        <f t="shared" si="1"/>
        <v>0</v>
      </c>
      <c r="O6" s="2">
        <f t="shared" si="2"/>
        <v>2.5945585004741227</v>
      </c>
      <c r="P6">
        <f t="shared" si="3"/>
        <v>1.5341120592988104</v>
      </c>
      <c r="R6" s="4" t="s">
        <v>22</v>
      </c>
      <c r="S6" s="6">
        <f t="shared" si="4"/>
        <v>1</v>
      </c>
      <c r="T6" s="6">
        <f t="shared" si="5"/>
        <v>0</v>
      </c>
      <c r="U6" s="6">
        <f t="shared" si="6"/>
        <v>1</v>
      </c>
      <c r="W6" s="2">
        <f t="shared" si="7"/>
        <v>2</v>
      </c>
      <c r="X6">
        <f t="shared" si="8"/>
        <v>1.4142135623730951</v>
      </c>
    </row>
    <row r="7" spans="1:24" x14ac:dyDescent="0.35">
      <c r="A7" t="s">
        <v>23</v>
      </c>
      <c r="B7" s="2">
        <f>[9]results!AD7</f>
        <v>-754212.43985085678</v>
      </c>
      <c r="C7" s="2">
        <f>[9]results!AE7</f>
        <v>-431127.63636989292</v>
      </c>
      <c r="D7" s="2">
        <f>[9]results!AF7</f>
        <v>-5.3123461667569956</v>
      </c>
      <c r="E7" s="2">
        <f>[9]results!AG7</f>
        <v>19284.315940239961</v>
      </c>
      <c r="F7" s="2">
        <f>[9]results!AH7</f>
        <v>0.75784279742481853</v>
      </c>
      <c r="H7" t="s">
        <v>23</v>
      </c>
      <c r="I7" s="2">
        <f t="shared" si="9"/>
        <v>0.4116395208810032</v>
      </c>
      <c r="J7" s="2">
        <f t="shared" si="10"/>
        <v>1</v>
      </c>
      <c r="K7" s="2">
        <f t="shared" si="11"/>
        <v>0.84367134919239761</v>
      </c>
      <c r="L7" s="2">
        <f t="shared" si="12"/>
        <v>0.56960696346083994</v>
      </c>
      <c r="M7" s="2">
        <f t="shared" si="1"/>
        <v>0.14139322468089519</v>
      </c>
      <c r="O7" s="2">
        <f t="shared" si="2"/>
        <v>2.255310870073401</v>
      </c>
      <c r="P7">
        <f t="shared" si="3"/>
        <v>1.3715788131198523</v>
      </c>
      <c r="R7" s="4" t="s">
        <v>23</v>
      </c>
      <c r="S7" s="6">
        <f t="shared" si="4"/>
        <v>0.3917236899634125</v>
      </c>
      <c r="T7" s="6">
        <f t="shared" si="5"/>
        <v>1</v>
      </c>
      <c r="U7" s="6">
        <f t="shared" si="6"/>
        <v>0.70870709663080533</v>
      </c>
      <c r="W7" s="2">
        <f t="shared" si="7"/>
        <v>2.1004307865942176</v>
      </c>
      <c r="X7">
        <f t="shared" si="8"/>
        <v>1.2867451954809925</v>
      </c>
    </row>
    <row r="8" spans="1:24" x14ac:dyDescent="0.35">
      <c r="A8" t="s">
        <v>24</v>
      </c>
      <c r="B8" s="2">
        <f>[9]results!AD15</f>
        <v>-527008.18586465344</v>
      </c>
      <c r="C8" s="2">
        <f>[9]results!AE15</f>
        <v>-534021.29708947102</v>
      </c>
      <c r="D8" s="2">
        <f>[9]results!AF15</f>
        <v>-5.0198331186547049</v>
      </c>
      <c r="E8" s="2">
        <f>[9]results!AG15</f>
        <v>-129423.62059813261</v>
      </c>
      <c r="F8" s="2">
        <f>[9]results!AH15</f>
        <v>0.43291799196733549</v>
      </c>
      <c r="H8" t="s">
        <v>24</v>
      </c>
      <c r="I8" s="2">
        <f t="shared" si="9"/>
        <v>1</v>
      </c>
      <c r="J8" s="2">
        <f t="shared" si="10"/>
        <v>0.59455850047412262</v>
      </c>
      <c r="K8" s="2">
        <f t="shared" si="11"/>
        <v>1</v>
      </c>
      <c r="L8" s="2">
        <f t="shared" si="12"/>
        <v>0.11110709145129778</v>
      </c>
      <c r="M8" s="2">
        <f t="shared" si="1"/>
        <v>0</v>
      </c>
      <c r="O8" s="2">
        <f t="shared" si="2"/>
        <v>2.5945585004741227</v>
      </c>
      <c r="P8">
        <f t="shared" si="3"/>
        <v>1.5341120592988104</v>
      </c>
      <c r="R8" s="4" t="s">
        <v>24</v>
      </c>
      <c r="S8" s="6">
        <f t="shared" si="4"/>
        <v>1</v>
      </c>
      <c r="T8" s="6">
        <f t="shared" si="5"/>
        <v>0</v>
      </c>
      <c r="U8" s="6">
        <f t="shared" si="6"/>
        <v>1</v>
      </c>
      <c r="W8" s="2">
        <f t="shared" si="7"/>
        <v>2</v>
      </c>
      <c r="X8">
        <f t="shared" si="8"/>
        <v>1.4142135623730951</v>
      </c>
    </row>
    <row r="9" spans="1:24" x14ac:dyDescent="0.35">
      <c r="A9" t="s">
        <v>26</v>
      </c>
      <c r="B9" s="2">
        <f>[11]results!AK3</f>
        <v>-913173.23611822585</v>
      </c>
      <c r="C9" s="2">
        <f>[11]results!AL3</f>
        <v>-462294.07700228808</v>
      </c>
      <c r="D9" s="2">
        <f>[11]results!AM3</f>
        <v>-5.6405530308313656</v>
      </c>
      <c r="E9" s="2">
        <f>[11]results!AN3</f>
        <v>158876.19866794301</v>
      </c>
      <c r="F9" s="2">
        <f>[11]results!AO3</f>
        <v>2.730940448070116</v>
      </c>
      <c r="H9" t="s">
        <v>26</v>
      </c>
      <c r="I9" s="2">
        <f t="shared" si="9"/>
        <v>0</v>
      </c>
      <c r="J9" s="2">
        <f t="shared" si="10"/>
        <v>0.87719196365925212</v>
      </c>
      <c r="K9" s="2">
        <f t="shared" si="11"/>
        <v>0.6682667421862919</v>
      </c>
      <c r="L9" s="2">
        <f t="shared" si="12"/>
        <v>1</v>
      </c>
      <c r="M9" s="2">
        <f t="shared" si="1"/>
        <v>1</v>
      </c>
      <c r="O9" s="2">
        <f t="shared" si="2"/>
        <v>1.545458705845544</v>
      </c>
      <c r="P9">
        <f t="shared" si="3"/>
        <v>1.1027448389453722</v>
      </c>
      <c r="R9" s="7" t="s">
        <v>26</v>
      </c>
      <c r="S9" s="8">
        <f>(B9-MIN(B$9:B$15))/(MAX(B$9:B$15)-MIN(B$9:B$15))</f>
        <v>0</v>
      </c>
      <c r="T9" s="8">
        <f>(C9-MIN(C$9:C$15))/(MAX(C$9:C$15)-MIN(C$9:C$15))</f>
        <v>0.87719196365925212</v>
      </c>
      <c r="U9" s="8">
        <f>(D9-MIN(D$9:D$15))/(MAX(D$9:D$15)-MIN(D$9:D$15))</f>
        <v>0.79209367821485066</v>
      </c>
      <c r="W9" s="2">
        <f t="shared" si="7"/>
        <v>1.6692856418741027</v>
      </c>
      <c r="X9">
        <f t="shared" si="8"/>
        <v>1.1818959921144949</v>
      </c>
    </row>
    <row r="10" spans="1:24" x14ac:dyDescent="0.35">
      <c r="A10" t="s">
        <v>27</v>
      </c>
      <c r="B10" s="2">
        <f>[11]results!AK4</f>
        <v>-644442.1846872702</v>
      </c>
      <c r="C10" s="2">
        <f>[11]results!AL4</f>
        <v>-684909.40473820688</v>
      </c>
      <c r="D10" s="2">
        <f>[11]results!AM4</f>
        <v>-6.364898685252375</v>
      </c>
      <c r="E10" s="2">
        <f>[11]results!AN4</f>
        <v>-165459.6313217275</v>
      </c>
      <c r="F10" s="2">
        <f>[11]results!AO4</f>
        <v>0.63571057002381026</v>
      </c>
      <c r="H10" t="s">
        <v>27</v>
      </c>
      <c r="I10" s="2">
        <f t="shared" si="9"/>
        <v>0.69589687428858571</v>
      </c>
      <c r="J10" s="2">
        <f t="shared" si="10"/>
        <v>0</v>
      </c>
      <c r="K10" s="2">
        <f t="shared" si="11"/>
        <v>0.2811524592214239</v>
      </c>
      <c r="L10" s="2">
        <f t="shared" si="12"/>
        <v>0</v>
      </c>
      <c r="M10" s="2">
        <f t="shared" si="1"/>
        <v>8.8246560653889777E-2</v>
      </c>
      <c r="O10" s="2">
        <f t="shared" si="2"/>
        <v>0.97704933351000967</v>
      </c>
      <c r="P10">
        <f t="shared" si="3"/>
        <v>0.75054591130115289</v>
      </c>
      <c r="R10" s="7" t="s">
        <v>27</v>
      </c>
      <c r="S10" s="8">
        <f t="shared" ref="S10:S15" si="13">(B10-MIN(B$9:B$15))/(MAX(B$9:B$15)-MIN(B$9:B$15))</f>
        <v>1</v>
      </c>
      <c r="T10" s="8">
        <f t="shared" ref="T10:T15" si="14">(C10-MIN(C$9:C$15))/(MAX(C$9:C$15)-MIN(C$9:C$15))</f>
        <v>0</v>
      </c>
      <c r="U10" s="8">
        <f t="shared" ref="U10:U15" si="15">(D10-MIN(D$9:D$15))/(MAX(D$9:D$15)-MIN(D$9:D$15))</f>
        <v>0.33324879349115794</v>
      </c>
      <c r="W10" s="2">
        <f t="shared" si="7"/>
        <v>1.3332487934911579</v>
      </c>
      <c r="X10">
        <f t="shared" si="8"/>
        <v>1.054065822595208</v>
      </c>
    </row>
    <row r="11" spans="1:24" x14ac:dyDescent="0.35">
      <c r="A11" t="s">
        <v>28</v>
      </c>
      <c r="B11" s="2">
        <f>[11]results!AK5</f>
        <v>-858981.91221275914</v>
      </c>
      <c r="C11" s="2">
        <f>[11]results!AL5</f>
        <v>-658913.15514688112</v>
      </c>
      <c r="D11" s="2">
        <f>[11]results!AM5</f>
        <v>-6.8909747589820043</v>
      </c>
      <c r="E11" s="2">
        <f>[11]results!AN5</f>
        <v>35812.571022898883</v>
      </c>
      <c r="F11" s="2">
        <f>[11]results!AO5</f>
        <v>2.4718236557718929</v>
      </c>
      <c r="H11" t="s">
        <v>28</v>
      </c>
      <c r="I11" s="2">
        <f t="shared" si="9"/>
        <v>0.14033202608543258</v>
      </c>
      <c r="J11" s="2">
        <f t="shared" si="10"/>
        <v>0.10243544979006275</v>
      </c>
      <c r="K11" s="2">
        <f t="shared" si="11"/>
        <v>0</v>
      </c>
      <c r="L11" s="2">
        <f t="shared" si="12"/>
        <v>0.62056727544112689</v>
      </c>
      <c r="M11" s="2">
        <f t="shared" si="1"/>
        <v>0.88724357692410905</v>
      </c>
      <c r="O11" s="2">
        <f t="shared" si="2"/>
        <v>0.24276747587549533</v>
      </c>
      <c r="P11">
        <f t="shared" si="3"/>
        <v>0.17374147149985519</v>
      </c>
      <c r="R11" s="7" t="s">
        <v>28</v>
      </c>
      <c r="S11" s="8">
        <f t="shared" si="13"/>
        <v>0.20165635350624875</v>
      </c>
      <c r="T11" s="8">
        <f t="shared" si="14"/>
        <v>0.10243544979006275</v>
      </c>
      <c r="U11" s="8">
        <f t="shared" si="15"/>
        <v>0</v>
      </c>
      <c r="W11" s="2">
        <f t="shared" si="7"/>
        <v>0.30409180329631147</v>
      </c>
      <c r="X11">
        <f t="shared" si="8"/>
        <v>0.22618202024725489</v>
      </c>
    </row>
    <row r="12" spans="1:24" x14ac:dyDescent="0.35">
      <c r="A12" t="s">
        <v>29</v>
      </c>
      <c r="B12" s="2">
        <f>[12]results!AK7</f>
        <v>-853772.54412361525</v>
      </c>
      <c r="C12" s="2">
        <f>[12]results!AL7</f>
        <v>-660904.0016222928</v>
      </c>
      <c r="D12" s="2">
        <f>[12]results!AM7</f>
        <v>-6.8795862517447279</v>
      </c>
      <c r="E12" s="2">
        <f>[12]results!AN7</f>
        <v>41381.970786916027</v>
      </c>
      <c r="F12" s="2">
        <f>[12]results!AO7</f>
        <v>2.5851013239793339</v>
      </c>
      <c r="H12" t="s">
        <v>29</v>
      </c>
      <c r="I12" s="2">
        <f t="shared" si="9"/>
        <v>0.15382203012832354</v>
      </c>
      <c r="J12" s="2">
        <f t="shared" si="10"/>
        <v>9.4590731518093135E-2</v>
      </c>
      <c r="K12" s="2">
        <f t="shared" si="11"/>
        <v>6.0863950605493898E-3</v>
      </c>
      <c r="L12" s="2">
        <f t="shared" si="12"/>
        <v>0.6377389822001196</v>
      </c>
      <c r="M12" s="2">
        <f t="shared" si="1"/>
        <v>0.93653711968589248</v>
      </c>
      <c r="O12" s="2">
        <f t="shared" si="2"/>
        <v>0.25449915670696605</v>
      </c>
      <c r="P12">
        <f t="shared" si="3"/>
        <v>0.18068112144537937</v>
      </c>
      <c r="R12" s="7" t="s">
        <v>29</v>
      </c>
      <c r="S12" s="8">
        <f t="shared" si="13"/>
        <v>0.22104141549072998</v>
      </c>
      <c r="T12" s="8">
        <f t="shared" si="14"/>
        <v>9.4590731518093135E-2</v>
      </c>
      <c r="U12" s="8">
        <f t="shared" si="15"/>
        <v>7.2141777320938729E-3</v>
      </c>
      <c r="W12" s="2">
        <f t="shared" si="7"/>
        <v>0.32284632474091701</v>
      </c>
      <c r="X12">
        <f t="shared" si="8"/>
        <v>0.24053847553275906</v>
      </c>
    </row>
    <row r="13" spans="1:24" x14ac:dyDescent="0.35">
      <c r="A13" t="s">
        <v>30</v>
      </c>
      <c r="B13" s="2">
        <f>[11]results!AK6</f>
        <v>-665277.59612264379</v>
      </c>
      <c r="C13" s="2">
        <f>[11]results!AL6</f>
        <v>-681593.77756979864</v>
      </c>
      <c r="D13" s="2">
        <f>[11]results!AM6</f>
        <v>-6.4197814117706908</v>
      </c>
      <c r="E13" s="2">
        <f>[11]results!AN6</f>
        <v>-159168.6793901209</v>
      </c>
      <c r="F13" s="2">
        <f>[11]results!AO6</f>
        <v>0.62092629934983035</v>
      </c>
      <c r="H13" t="s">
        <v>30</v>
      </c>
      <c r="I13" s="2">
        <f t="shared" si="9"/>
        <v>0.64194219500911132</v>
      </c>
      <c r="J13" s="2">
        <f t="shared" si="10"/>
        <v>1.3064875344379624E-2</v>
      </c>
      <c r="K13" s="2">
        <f t="shared" si="11"/>
        <v>0.25182131435485156</v>
      </c>
      <c r="L13" s="2">
        <f t="shared" si="12"/>
        <v>1.9396413685798926E-2</v>
      </c>
      <c r="M13" s="2">
        <f t="shared" si="1"/>
        <v>8.1813085369643601E-2</v>
      </c>
      <c r="O13" s="2">
        <f t="shared" si="2"/>
        <v>0.90682838470834248</v>
      </c>
      <c r="P13">
        <f t="shared" si="3"/>
        <v>0.68969155936859561</v>
      </c>
      <c r="R13" s="7" t="s">
        <v>30</v>
      </c>
      <c r="S13" s="8">
        <f t="shared" si="13"/>
        <v>0.92246742114680114</v>
      </c>
      <c r="T13" s="8">
        <f t="shared" si="14"/>
        <v>1.3064875344379624E-2</v>
      </c>
      <c r="U13" s="8">
        <f t="shared" si="15"/>
        <v>0.29848271438387342</v>
      </c>
      <c r="W13" s="2">
        <f t="shared" si="7"/>
        <v>1.2340150108750541</v>
      </c>
      <c r="X13">
        <f t="shared" si="8"/>
        <v>0.9696436277473075</v>
      </c>
    </row>
    <row r="14" spans="1:24" x14ac:dyDescent="0.35">
      <c r="A14" t="s">
        <v>31</v>
      </c>
      <c r="B14" s="2">
        <f>[11]results!AK7</f>
        <v>-754212.43985085678</v>
      </c>
      <c r="C14" s="2">
        <f>[11]results!AL7</f>
        <v>-431127.63636989292</v>
      </c>
      <c r="D14" s="2">
        <f>[11]results!AM7</f>
        <v>-5.3123461667569956</v>
      </c>
      <c r="E14" s="2">
        <f>[11]results!AN7</f>
        <v>19284.315940239961</v>
      </c>
      <c r="F14" s="2">
        <f>[11]results!AO7</f>
        <v>0.75784279742481853</v>
      </c>
      <c r="H14" t="s">
        <v>31</v>
      </c>
      <c r="I14" s="2">
        <f t="shared" si="9"/>
        <v>0.4116395208810032</v>
      </c>
      <c r="J14" s="2">
        <f t="shared" si="10"/>
        <v>1</v>
      </c>
      <c r="K14" s="2">
        <f t="shared" si="11"/>
        <v>0.84367134919239761</v>
      </c>
      <c r="L14" s="2">
        <f t="shared" si="12"/>
        <v>0.56960696346083994</v>
      </c>
      <c r="M14" s="2">
        <f t="shared" si="1"/>
        <v>0.14139322468089519</v>
      </c>
      <c r="O14" s="2">
        <f t="shared" si="2"/>
        <v>2.255310870073401</v>
      </c>
      <c r="P14">
        <f t="shared" si="3"/>
        <v>1.3715788131198523</v>
      </c>
      <c r="R14" s="7" t="s">
        <v>31</v>
      </c>
      <c r="S14" s="8">
        <f t="shared" si="13"/>
        <v>0.59152373877497533</v>
      </c>
      <c r="T14" s="8">
        <f t="shared" si="14"/>
        <v>1</v>
      </c>
      <c r="U14" s="8">
        <f t="shared" si="15"/>
        <v>1</v>
      </c>
      <c r="W14" s="2">
        <f t="shared" si="7"/>
        <v>2.5915237387749754</v>
      </c>
      <c r="X14">
        <f t="shared" si="8"/>
        <v>1.5329384637141588</v>
      </c>
    </row>
    <row r="15" spans="1:24" x14ac:dyDescent="0.35">
      <c r="A15" t="s">
        <v>32</v>
      </c>
      <c r="B15" s="2">
        <f>[11]results!AK15</f>
        <v>-665277.59612264379</v>
      </c>
      <c r="C15" s="2">
        <f>[11]results!AL15</f>
        <v>-681593.77756979864</v>
      </c>
      <c r="D15" s="2">
        <f>[11]results!AM15</f>
        <v>-6.4197814117706908</v>
      </c>
      <c r="E15" s="2">
        <f>[11]results!AN15</f>
        <v>-159168.6793901209</v>
      </c>
      <c r="F15" s="2">
        <f>[11]results!AO15</f>
        <v>0.62092629934983035</v>
      </c>
      <c r="H15" t="s">
        <v>32</v>
      </c>
      <c r="I15" s="2">
        <f t="shared" si="9"/>
        <v>0.64194219500911132</v>
      </c>
      <c r="J15" s="2">
        <f t="shared" si="10"/>
        <v>1.3064875344379624E-2</v>
      </c>
      <c r="K15" s="2">
        <f t="shared" si="11"/>
        <v>0.25182131435485156</v>
      </c>
      <c r="L15" s="2">
        <f t="shared" si="12"/>
        <v>1.9396413685798926E-2</v>
      </c>
      <c r="M15" s="2">
        <f t="shared" si="1"/>
        <v>8.1813085369643601E-2</v>
      </c>
      <c r="O15" s="2">
        <f t="shared" si="2"/>
        <v>0.90682838470834248</v>
      </c>
      <c r="P15">
        <f t="shared" si="3"/>
        <v>0.68969155936859561</v>
      </c>
      <c r="R15" s="7" t="s">
        <v>32</v>
      </c>
      <c r="S15" s="8">
        <f t="shared" si="13"/>
        <v>0.92246742114680114</v>
      </c>
      <c r="T15" s="8">
        <f t="shared" si="14"/>
        <v>1.3064875344379624E-2</v>
      </c>
      <c r="U15" s="8">
        <f t="shared" si="15"/>
        <v>0.29848271438387342</v>
      </c>
      <c r="W15" s="2">
        <f t="shared" si="7"/>
        <v>1.2340150108750541</v>
      </c>
      <c r="X15">
        <f t="shared" si="8"/>
        <v>0.9696436277473075</v>
      </c>
    </row>
    <row r="16" spans="1:24" x14ac:dyDescent="0.35">
      <c r="L16" s="2"/>
      <c r="R16" s="9" t="s">
        <v>35</v>
      </c>
      <c r="S16" s="10"/>
      <c r="T16" s="10"/>
      <c r="U16" s="10"/>
      <c r="W16" s="2"/>
    </row>
  </sheetData>
  <conditionalFormatting sqref="B15 B1:B3 B6 B8:B10 B13">
    <cfRule type="cellIs" dxfId="25" priority="13" operator="equal">
      <formula>$B$3</formula>
    </cfRule>
    <cfRule type="expression" dxfId="24" priority="14">
      <formula>B2=_xludf.value($B$3)</formula>
    </cfRule>
  </conditionalFormatting>
  <conditionalFormatting sqref="B2">
    <cfRule type="cellIs" dxfId="23" priority="9" operator="equal">
      <formula>$B$2</formula>
    </cfRule>
  </conditionalFormatting>
  <conditionalFormatting sqref="B7 B14">
    <cfRule type="cellIs" dxfId="22" priority="19" operator="equal">
      <formula>$B$3</formula>
    </cfRule>
    <cfRule type="expression" dxfId="21" priority="20">
      <formula>#REF!=_xludf.value($B$3)</formula>
    </cfRule>
  </conditionalFormatting>
  <conditionalFormatting sqref="B2:B15">
    <cfRule type="cellIs" dxfId="20" priority="37" operator="equal">
      <formula>$B$10</formula>
    </cfRule>
    <cfRule type="cellIs" dxfId="19" priority="38" operator="equal">
      <formula>#REF!</formula>
    </cfRule>
    <cfRule type="cellIs" dxfId="18" priority="39" operator="equal">
      <formula>$B$4</formula>
    </cfRule>
    <cfRule type="cellIs" dxfId="17" priority="40" operator="equal">
      <formula>"$B$4"</formula>
    </cfRule>
    <cfRule type="cellIs" dxfId="16" priority="41" operator="equal">
      <formula>$B$7</formula>
    </cfRule>
  </conditionalFormatting>
  <conditionalFormatting sqref="B4:B5 B11:B12">
    <cfRule type="cellIs" dxfId="15" priority="46" operator="equal">
      <formula>$B$3</formula>
    </cfRule>
    <cfRule type="expression" dxfId="14" priority="47">
      <formula>B6=_xludf.value($B$3)</formula>
    </cfRule>
  </conditionalFormatting>
  <conditionalFormatting sqref="O2:O15">
    <cfRule type="expression" dxfId="13" priority="6">
      <formula>O2=MIN($O$2:$O$15)</formula>
    </cfRule>
  </conditionalFormatting>
  <conditionalFormatting sqref="P2:P15">
    <cfRule type="expression" dxfId="12" priority="5">
      <formula>P2=MIN($P$2:$P$15)</formula>
    </cfRule>
  </conditionalFormatting>
  <conditionalFormatting sqref="W2:W8">
    <cfRule type="expression" dxfId="11" priority="4">
      <formula>W2=MIN($W$2:$W$8)</formula>
    </cfRule>
  </conditionalFormatting>
  <conditionalFormatting sqref="W9:W15">
    <cfRule type="expression" dxfId="10" priority="3">
      <formula>W9=MIN($W$9:$W$16)</formula>
    </cfRule>
  </conditionalFormatting>
  <conditionalFormatting sqref="X2:X8">
    <cfRule type="expression" dxfId="9" priority="2">
      <formula>X2=MIN($X$2:$X$8)</formula>
    </cfRule>
  </conditionalFormatting>
  <conditionalFormatting sqref="X9:X15">
    <cfRule type="expression" dxfId="8" priority="1">
      <formula>X9=MIN($X$9:$X$16)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136A-ADBA-47FC-BC72-526D3E4AF544}">
  <dimension ref="A1:M27"/>
  <sheetViews>
    <sheetView zoomScale="70" zoomScaleNormal="70" workbookViewId="0">
      <selection activeCell="B4" sqref="B4"/>
    </sheetView>
  </sheetViews>
  <sheetFormatPr baseColWidth="10" defaultRowHeight="14.5" x14ac:dyDescent="0.35"/>
  <sheetData>
    <row r="1" spans="1:13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</row>
    <row r="2" spans="1:13" x14ac:dyDescent="0.35">
      <c r="A2">
        <v>1</v>
      </c>
      <c r="B2" s="2">
        <f>[9]results!AD3</f>
        <v>-900529.643526776</v>
      </c>
      <c r="C2" s="2">
        <f>[9]results!AE3</f>
        <v>-500204.87427557592</v>
      </c>
      <c r="D2" s="2">
        <f>[9]results!AF3</f>
        <v>-5.9650553132270554</v>
      </c>
      <c r="E2" s="2">
        <f>[9]results!AG3</f>
        <v>83802.282082538615</v>
      </c>
      <c r="F2" s="2">
        <f>[9]results!AH3</f>
        <v>1.905592268949883</v>
      </c>
      <c r="H2">
        <v>1</v>
      </c>
      <c r="I2" s="2">
        <f>(B2-MIN(B$2:B$27))/(MAX(B$2:B$27)-MIN(B$2:B$27))</f>
        <v>1.8022743128362943E-2</v>
      </c>
      <c r="J2" s="2">
        <f>(C2-MIN(C$2:C$27))/(MAX(C$2:C$27)-MIN(C$2:C$27))</f>
        <v>0.72780850905951977</v>
      </c>
      <c r="K2" s="2">
        <f>(D2-MIN(D$2:D$27))/(MAX(D$2:D$27)-MIN(D$2:D$27))</f>
        <v>0.2814745884748947</v>
      </c>
      <c r="L2" s="2">
        <f>(E2-MIN(E$2:E$27))/(MAX(E$2:E$27)-MIN(E$2:E$27))</f>
        <v>0.78576422681700842</v>
      </c>
      <c r="M2" s="2">
        <f>(F2-MIN(F$2:F$27))/(MAX(F$2:F$27)-MIN(F$2:F$27))</f>
        <v>0.65121510411622174</v>
      </c>
    </row>
    <row r="3" spans="1:13" x14ac:dyDescent="0.35">
      <c r="A3">
        <v>2</v>
      </c>
      <c r="B3" s="2">
        <f>[9]results!AD4</f>
        <v>-527008.18586465344</v>
      </c>
      <c r="C3" s="2">
        <f>[9]results!AE4</f>
        <v>-534021.29708947102</v>
      </c>
      <c r="D3" s="2">
        <f>[9]results!AF4</f>
        <v>-5.0198331186547049</v>
      </c>
      <c r="E3" s="2">
        <f>[9]results!AG4</f>
        <v>-129423.62059813261</v>
      </c>
      <c r="F3" s="2">
        <f>[9]results!AH4</f>
        <v>0.43291799196733549</v>
      </c>
      <c r="H3">
        <v>2</v>
      </c>
      <c r="I3" s="2">
        <f t="shared" ref="I3:I27" si="0">(B3-MIN(B$2:B$27))/(MAX(B$2:B$27)-MIN(B$2:B$27))</f>
        <v>0.55045695719253018</v>
      </c>
      <c r="J3" s="2">
        <f t="shared" ref="J3:J27" si="1">(C3-MIN(C$2:C$27))/(MAX(C$2:C$27)-MIN(C$2:C$27))</f>
        <v>0.59455850047412262</v>
      </c>
      <c r="K3" s="2">
        <f t="shared" ref="K3:K27" si="2">(D3-MIN(D$2:D$27))/(MAX(D$2:D$27)-MIN(D$2:D$27))</f>
        <v>0.56881710995921275</v>
      </c>
      <c r="L3" s="2">
        <f t="shared" ref="L3:L27" si="3">(E3-MIN(E$2:E$27))/(MAX(E$2:E$27)-MIN(E$2:E$27))</f>
        <v>0.17728903062195611</v>
      </c>
      <c r="M3" s="2">
        <f t="shared" ref="M3:M27" si="4">(F3-MIN(F$2:F$27))/(MAX(F$2:F$27)-MIN(F$2:F$27))</f>
        <v>2.8875881273821541E-2</v>
      </c>
    </row>
    <row r="4" spans="1:13" x14ac:dyDescent="0.35">
      <c r="A4">
        <v>3</v>
      </c>
      <c r="B4" s="2">
        <f>[9]results!AD5</f>
        <v>-898781.77147895657</v>
      </c>
      <c r="C4" s="2">
        <f>[9]results!AE5</f>
        <v>-507697.85586750339</v>
      </c>
      <c r="D4" s="2">
        <f>[9]results!AF5</f>
        <v>-6.0240218397631953</v>
      </c>
      <c r="E4" s="2">
        <f>[9]results!AG5</f>
        <v>69693.914180888794</v>
      </c>
      <c r="F4" s="2">
        <f>[9]results!AH5</f>
        <v>1.7574704079985639</v>
      </c>
      <c r="H4">
        <v>3</v>
      </c>
      <c r="I4" s="2">
        <f t="shared" si="0"/>
        <v>2.0514238224495506E-2</v>
      </c>
      <c r="J4" s="2">
        <f t="shared" si="1"/>
        <v>0.69828321399950233</v>
      </c>
      <c r="K4" s="2">
        <f t="shared" si="2"/>
        <v>0.26354907792789345</v>
      </c>
      <c r="L4" s="2">
        <f t="shared" si="3"/>
        <v>0.74550367770443315</v>
      </c>
      <c r="M4" s="2">
        <f t="shared" si="4"/>
        <v>0.5886201058391477</v>
      </c>
    </row>
    <row r="5" spans="1:13" x14ac:dyDescent="0.35">
      <c r="A5">
        <v>4</v>
      </c>
      <c r="B5" s="2">
        <f>[9]results!AD6</f>
        <v>-527008.18586465344</v>
      </c>
      <c r="C5" s="2">
        <f>[9]results!AE6</f>
        <v>-534021.29708947102</v>
      </c>
      <c r="D5" s="2">
        <f>[9]results!AF6</f>
        <v>-5.0198331186547049</v>
      </c>
      <c r="E5" s="2">
        <f>[9]results!AG6</f>
        <v>-129423.62059813261</v>
      </c>
      <c r="F5" s="2">
        <f>[9]results!AH6</f>
        <v>0.43291799196733549</v>
      </c>
      <c r="H5">
        <v>4</v>
      </c>
      <c r="I5" s="2">
        <f t="shared" si="0"/>
        <v>0.55045695719253018</v>
      </c>
      <c r="J5" s="2">
        <f t="shared" si="1"/>
        <v>0.59455850047412262</v>
      </c>
      <c r="K5" s="2">
        <f t="shared" si="2"/>
        <v>0.56881710995921275</v>
      </c>
      <c r="L5" s="2">
        <f t="shared" si="3"/>
        <v>0.17728903062195611</v>
      </c>
      <c r="M5" s="2">
        <f t="shared" si="4"/>
        <v>2.8875881273821541E-2</v>
      </c>
    </row>
    <row r="6" spans="1:13" x14ac:dyDescent="0.35">
      <c r="A6">
        <v>5</v>
      </c>
      <c r="B6" s="2">
        <f>[9]results!AD7</f>
        <v>-754212.43985085678</v>
      </c>
      <c r="C6" s="2">
        <f>[9]results!AE7</f>
        <v>-431127.63636989292</v>
      </c>
      <c r="D6" s="2">
        <f>[9]results!AF7</f>
        <v>-5.3123461667569956</v>
      </c>
      <c r="E6" s="2">
        <f>[9]results!AG7</f>
        <v>19284.315940239961</v>
      </c>
      <c r="F6" s="2">
        <f>[9]results!AH7</f>
        <v>0.75784279742481853</v>
      </c>
      <c r="H6">
        <v>5</v>
      </c>
      <c r="I6" s="2">
        <f t="shared" si="0"/>
        <v>0.22658983812434799</v>
      </c>
      <c r="J6" s="2">
        <f t="shared" si="1"/>
        <v>1</v>
      </c>
      <c r="K6" s="2">
        <f t="shared" si="2"/>
        <v>0.47989469860300943</v>
      </c>
      <c r="L6" s="2">
        <f t="shared" si="3"/>
        <v>0.60165159503543086</v>
      </c>
      <c r="M6" s="2">
        <f t="shared" si="4"/>
        <v>0.16618625198590842</v>
      </c>
    </row>
    <row r="7" spans="1:13" x14ac:dyDescent="0.35">
      <c r="A7">
        <v>6</v>
      </c>
      <c r="B7" s="2">
        <f>[9]results!AD8</f>
        <v>-754212.43985085678</v>
      </c>
      <c r="C7" s="2">
        <f>[9]results!AE8</f>
        <v>-431127.63636989292</v>
      </c>
      <c r="D7" s="2">
        <f>[9]results!AF8</f>
        <v>-5.3123461667569956</v>
      </c>
      <c r="E7" s="2">
        <f>[9]results!AG8</f>
        <v>19284.315940239961</v>
      </c>
      <c r="F7" s="2">
        <f>[9]results!AH8</f>
        <v>0.75784279742481853</v>
      </c>
      <c r="H7">
        <v>6</v>
      </c>
      <c r="I7" s="2">
        <f t="shared" si="0"/>
        <v>0.22658983812434799</v>
      </c>
      <c r="J7" s="2">
        <f t="shared" si="1"/>
        <v>1</v>
      </c>
      <c r="K7" s="2">
        <f t="shared" si="2"/>
        <v>0.47989469860300943</v>
      </c>
      <c r="L7" s="2">
        <f t="shared" si="3"/>
        <v>0.60165159503543086</v>
      </c>
      <c r="M7" s="2">
        <f t="shared" si="4"/>
        <v>0.16618625198590842</v>
      </c>
    </row>
    <row r="8" spans="1:13" x14ac:dyDescent="0.35">
      <c r="A8">
        <v>7</v>
      </c>
      <c r="B8" s="2">
        <f>[9]results!AD9</f>
        <v>-356646.70301638811</v>
      </c>
      <c r="C8" s="2">
        <f>[9]results!AE9</f>
        <v>-510653.0221198299</v>
      </c>
      <c r="D8" s="2">
        <f>[9]results!AF9</f>
        <v>-4.2713820774622668</v>
      </c>
      <c r="E8" s="2">
        <f>[9]results!AG9</f>
        <v>-165053.11410720629</v>
      </c>
      <c r="F8" s="2">
        <f>[9]results!AH9</f>
        <v>0.38625754579389809</v>
      </c>
      <c r="H8">
        <v>7</v>
      </c>
      <c r="I8" s="2">
        <f t="shared" si="0"/>
        <v>0.79329784455373964</v>
      </c>
      <c r="J8" s="2">
        <f t="shared" si="1"/>
        <v>0.6866386964625385</v>
      </c>
      <c r="K8" s="2">
        <f t="shared" si="2"/>
        <v>0.79634224703145362</v>
      </c>
      <c r="L8" s="2">
        <f t="shared" si="3"/>
        <v>7.5614408633221539E-2</v>
      </c>
      <c r="M8" s="2">
        <f t="shared" si="4"/>
        <v>9.1575862897088963E-3</v>
      </c>
    </row>
    <row r="9" spans="1:13" x14ac:dyDescent="0.35">
      <c r="A9">
        <v>8</v>
      </c>
      <c r="B9" s="2">
        <f>[9]results!AD10</f>
        <v>-527008.18586465344</v>
      </c>
      <c r="C9" s="2">
        <f>[9]results!AE10</f>
        <v>-534021.29708947102</v>
      </c>
      <c r="D9" s="2">
        <f>[9]results!AF10</f>
        <v>-5.0198331186547049</v>
      </c>
      <c r="E9" s="2">
        <f>[9]results!AG10</f>
        <v>-129423.62059813261</v>
      </c>
      <c r="F9" s="2">
        <f>[9]results!AH10</f>
        <v>0.43291799196733549</v>
      </c>
      <c r="H9">
        <v>8</v>
      </c>
      <c r="I9" s="2">
        <f t="shared" si="0"/>
        <v>0.55045695719253018</v>
      </c>
      <c r="J9" s="2">
        <f t="shared" si="1"/>
        <v>0.59455850047412262</v>
      </c>
      <c r="K9" s="2">
        <f t="shared" si="2"/>
        <v>0.56881710995921275</v>
      </c>
      <c r="L9" s="2">
        <f t="shared" si="3"/>
        <v>0.17728903062195611</v>
      </c>
      <c r="M9" s="2">
        <f t="shared" si="4"/>
        <v>2.8875881273821541E-2</v>
      </c>
    </row>
    <row r="10" spans="1:13" x14ac:dyDescent="0.35">
      <c r="A10">
        <v>9</v>
      </c>
      <c r="B10" s="2">
        <f>[9]results!AD11</f>
        <v>-211637.8204826203</v>
      </c>
      <c r="C10" s="2">
        <f>[9]results!AE11</f>
        <v>-485832.53615539032</v>
      </c>
      <c r="D10" s="2">
        <f>[9]results!AF11</f>
        <v>-3.6014435413618622</v>
      </c>
      <c r="E10" s="2">
        <f>[9]results!AG11</f>
        <v>-191550.41529105839</v>
      </c>
      <c r="F10" s="2">
        <f>[9]results!AH11</f>
        <v>0.36458746415175558</v>
      </c>
      <c r="H10">
        <v>9</v>
      </c>
      <c r="I10" s="2">
        <f t="shared" si="0"/>
        <v>1</v>
      </c>
      <c r="J10" s="2">
        <f t="shared" si="1"/>
        <v>0.78444117504097433</v>
      </c>
      <c r="K10" s="2">
        <f t="shared" si="2"/>
        <v>1</v>
      </c>
      <c r="L10" s="2">
        <f t="shared" si="3"/>
        <v>0</v>
      </c>
      <c r="M10" s="2">
        <f t="shared" si="4"/>
        <v>0</v>
      </c>
    </row>
    <row r="11" spans="1:13" x14ac:dyDescent="0.35">
      <c r="A11">
        <v>10</v>
      </c>
      <c r="B11" s="2">
        <f>[9]results!AD12</f>
        <v>-754212.43985085678</v>
      </c>
      <c r="C11" s="2">
        <f>[9]results!AE12</f>
        <v>-431127.63636989292</v>
      </c>
      <c r="D11" s="2">
        <f>[9]results!AF12</f>
        <v>-5.3123461667569956</v>
      </c>
      <c r="E11" s="2">
        <f>[9]results!AG12</f>
        <v>19284.315940239961</v>
      </c>
      <c r="F11" s="2">
        <f>[9]results!AH12</f>
        <v>0.75784279742481853</v>
      </c>
      <c r="H11">
        <v>10</v>
      </c>
      <c r="I11" s="2">
        <f t="shared" si="0"/>
        <v>0.22658983812434799</v>
      </c>
      <c r="J11" s="2">
        <f t="shared" si="1"/>
        <v>1</v>
      </c>
      <c r="K11" s="2">
        <f t="shared" si="2"/>
        <v>0.47989469860300943</v>
      </c>
      <c r="L11" s="2">
        <f t="shared" si="3"/>
        <v>0.60165159503543086</v>
      </c>
      <c r="M11" s="2">
        <f t="shared" si="4"/>
        <v>0.16618625198590842</v>
      </c>
    </row>
    <row r="12" spans="1:13" x14ac:dyDescent="0.35">
      <c r="A12">
        <v>11</v>
      </c>
      <c r="B12" s="2">
        <f>[9]results!AD13</f>
        <v>-898781.77147895657</v>
      </c>
      <c r="C12" s="2">
        <f>[9]results!AE13</f>
        <v>-507697.85586750339</v>
      </c>
      <c r="D12" s="2">
        <f>[9]results!AF13</f>
        <v>-6.0240218397631953</v>
      </c>
      <c r="E12" s="2">
        <f>[9]results!AG13</f>
        <v>69693.914180888794</v>
      </c>
      <c r="F12" s="2">
        <f>[9]results!AH13</f>
        <v>1.7574704079985639</v>
      </c>
      <c r="H12">
        <v>11</v>
      </c>
      <c r="I12" s="2">
        <f t="shared" si="0"/>
        <v>2.0514238224495506E-2</v>
      </c>
      <c r="J12" s="2">
        <f t="shared" si="1"/>
        <v>0.69828321399950233</v>
      </c>
      <c r="K12" s="2">
        <f t="shared" si="2"/>
        <v>0.26354907792789345</v>
      </c>
      <c r="L12" s="2">
        <f t="shared" si="3"/>
        <v>0.74550367770443315</v>
      </c>
      <c r="M12" s="2">
        <f t="shared" si="4"/>
        <v>0.5886201058391477</v>
      </c>
    </row>
    <row r="13" spans="1:13" x14ac:dyDescent="0.35">
      <c r="A13">
        <v>12</v>
      </c>
      <c r="B13" s="2">
        <f>[9]results!AD14</f>
        <v>-898781.77147895657</v>
      </c>
      <c r="C13" s="2">
        <f>[9]results!AE14</f>
        <v>-507697.85586750339</v>
      </c>
      <c r="D13" s="2">
        <f>[9]results!AF14</f>
        <v>-6.0240218397631953</v>
      </c>
      <c r="E13" s="2">
        <f>[9]results!AG14</f>
        <v>69693.914180888794</v>
      </c>
      <c r="F13" s="2">
        <f>[9]results!AH14</f>
        <v>1.7574704079985639</v>
      </c>
      <c r="H13">
        <v>12</v>
      </c>
      <c r="I13" s="2">
        <f t="shared" si="0"/>
        <v>2.0514238224495506E-2</v>
      </c>
      <c r="J13" s="2">
        <f t="shared" si="1"/>
        <v>0.69828321399950233</v>
      </c>
      <c r="K13" s="2">
        <f t="shared" si="2"/>
        <v>0.26354907792789345</v>
      </c>
      <c r="L13" s="2">
        <f t="shared" si="3"/>
        <v>0.74550367770443315</v>
      </c>
      <c r="M13" s="2">
        <f t="shared" si="4"/>
        <v>0.5886201058391477</v>
      </c>
    </row>
    <row r="14" spans="1:13" x14ac:dyDescent="0.35">
      <c r="A14">
        <v>13</v>
      </c>
      <c r="B14" s="2">
        <f>[9]results!AD15</f>
        <v>-527008.18586465344</v>
      </c>
      <c r="C14" s="2">
        <f>[9]results!AE15</f>
        <v>-534021.29708947102</v>
      </c>
      <c r="D14" s="2">
        <f>[9]results!AF15</f>
        <v>-5.0198331186547049</v>
      </c>
      <c r="E14" s="2">
        <f>[9]results!AG15</f>
        <v>-129423.62059813261</v>
      </c>
      <c r="F14" s="2">
        <f>[9]results!AH15</f>
        <v>0.43291799196733549</v>
      </c>
      <c r="H14">
        <v>13</v>
      </c>
      <c r="I14" s="2">
        <f t="shared" si="0"/>
        <v>0.55045695719253018</v>
      </c>
      <c r="J14" s="2">
        <f t="shared" si="1"/>
        <v>0.59455850047412262</v>
      </c>
      <c r="K14" s="2">
        <f t="shared" si="2"/>
        <v>0.56881710995921275</v>
      </c>
      <c r="L14" s="2">
        <f t="shared" si="3"/>
        <v>0.17728903062195611</v>
      </c>
      <c r="M14" s="2">
        <f t="shared" si="4"/>
        <v>2.8875881273821541E-2</v>
      </c>
    </row>
    <row r="15" spans="1:13" x14ac:dyDescent="0.35">
      <c r="A15" t="s">
        <v>0</v>
      </c>
      <c r="B15" s="2">
        <f>[11]results!AK3</f>
        <v>-913173.23611822585</v>
      </c>
      <c r="C15" s="2">
        <f>[11]results!AL3</f>
        <v>-462294.07700228808</v>
      </c>
      <c r="D15" s="2">
        <f>[11]results!AM3</f>
        <v>-5.6405530308313656</v>
      </c>
      <c r="E15" s="2">
        <f>[11]results!AN3</f>
        <v>158876.19866794301</v>
      </c>
      <c r="F15" s="2">
        <f>[11]results!AO3</f>
        <v>2.730940448070116</v>
      </c>
      <c r="H15" t="s">
        <v>0</v>
      </c>
      <c r="I15" s="2">
        <f t="shared" si="0"/>
        <v>0</v>
      </c>
      <c r="J15" s="2">
        <f t="shared" si="1"/>
        <v>0.87719196365925212</v>
      </c>
      <c r="K15" s="2">
        <f t="shared" si="2"/>
        <v>0.38012155697226485</v>
      </c>
      <c r="L15" s="2">
        <f t="shared" si="3"/>
        <v>1</v>
      </c>
      <c r="M15" s="2">
        <f t="shared" si="4"/>
        <v>1</v>
      </c>
    </row>
    <row r="16" spans="1:13" x14ac:dyDescent="0.35">
      <c r="A16" t="s">
        <v>1</v>
      </c>
      <c r="B16" s="2">
        <f>[11]results!AK4</f>
        <v>-644442.1846872702</v>
      </c>
      <c r="C16" s="2">
        <f>[11]results!AL4</f>
        <v>-684909.40473820688</v>
      </c>
      <c r="D16" s="2">
        <f>[11]results!AM4</f>
        <v>-6.364898685252375</v>
      </c>
      <c r="E16" s="2">
        <f>[11]results!AN4</f>
        <v>-165459.6313217275</v>
      </c>
      <c r="F16" s="2">
        <f>[11]results!AO4</f>
        <v>0.63571057002381026</v>
      </c>
      <c r="H16" t="s">
        <v>1</v>
      </c>
      <c r="I16" s="2">
        <f t="shared" si="0"/>
        <v>0.38306127594068756</v>
      </c>
      <c r="J16" s="2">
        <f t="shared" si="1"/>
        <v>0</v>
      </c>
      <c r="K16" s="2">
        <f t="shared" si="2"/>
        <v>0.15992432931225575</v>
      </c>
      <c r="L16" s="2">
        <f t="shared" si="3"/>
        <v>7.4454344875710315E-2</v>
      </c>
      <c r="M16" s="2">
        <f t="shared" si="4"/>
        <v>0.11457424471944649</v>
      </c>
    </row>
    <row r="17" spans="1:13" x14ac:dyDescent="0.35">
      <c r="A17" t="s">
        <v>2</v>
      </c>
      <c r="B17" s="2">
        <f>[11]results!AK5</f>
        <v>-858981.91221275914</v>
      </c>
      <c r="C17" s="2">
        <f>[11]results!AL5</f>
        <v>-658913.15514688112</v>
      </c>
      <c r="D17" s="2">
        <f>[11]results!AM5</f>
        <v>-6.8909747589820043</v>
      </c>
      <c r="E17" s="2">
        <f>[11]results!AN5</f>
        <v>35812.571022898883</v>
      </c>
      <c r="F17" s="2">
        <f>[11]results!AO5</f>
        <v>2.4718236557718929</v>
      </c>
      <c r="H17" t="s">
        <v>2</v>
      </c>
      <c r="I17" s="2">
        <f t="shared" si="0"/>
        <v>7.7246740075649994E-2</v>
      </c>
      <c r="J17" s="2">
        <f t="shared" si="1"/>
        <v>0.10243544979006275</v>
      </c>
      <c r="K17" s="2">
        <f t="shared" si="2"/>
        <v>0</v>
      </c>
      <c r="L17" s="2">
        <f t="shared" si="3"/>
        <v>0.64881769037256376</v>
      </c>
      <c r="M17" s="2">
        <f t="shared" si="4"/>
        <v>0.89049951800970928</v>
      </c>
    </row>
    <row r="18" spans="1:13" x14ac:dyDescent="0.35">
      <c r="A18" t="s">
        <v>3</v>
      </c>
      <c r="B18" s="2">
        <f>[11]results!AK6</f>
        <v>-665277.59612264379</v>
      </c>
      <c r="C18" s="2">
        <f>[11]results!AL6</f>
        <v>-681593.77756979864</v>
      </c>
      <c r="D18" s="2">
        <f>[11]results!AM6</f>
        <v>-6.4197814117706908</v>
      </c>
      <c r="E18" s="2">
        <f>[11]results!AN6</f>
        <v>-159168.6793901209</v>
      </c>
      <c r="F18" s="2">
        <f>[11]results!AO6</f>
        <v>0.62092629934983035</v>
      </c>
      <c r="H18" t="s">
        <v>3</v>
      </c>
      <c r="I18" s="2">
        <f t="shared" si="0"/>
        <v>0.35336154735820924</v>
      </c>
      <c r="J18" s="2">
        <f t="shared" si="1"/>
        <v>1.3064875344379624E-2</v>
      </c>
      <c r="K18" s="2">
        <f t="shared" si="2"/>
        <v>0.14324027225745709</v>
      </c>
      <c r="L18" s="2">
        <f t="shared" si="3"/>
        <v>9.2406611287594823E-2</v>
      </c>
      <c r="M18" s="2">
        <f t="shared" si="4"/>
        <v>0.10832654170368629</v>
      </c>
    </row>
    <row r="19" spans="1:13" x14ac:dyDescent="0.35">
      <c r="A19" t="s">
        <v>4</v>
      </c>
      <c r="B19" s="2">
        <f>[11]results!AK7</f>
        <v>-754212.43985085678</v>
      </c>
      <c r="C19" s="2">
        <f>[11]results!AL7</f>
        <v>-431127.63636989292</v>
      </c>
      <c r="D19" s="2">
        <f>[11]results!AM7</f>
        <v>-5.3123461667569956</v>
      </c>
      <c r="E19" s="2">
        <f>[11]results!AN7</f>
        <v>19284.315940239961</v>
      </c>
      <c r="F19" s="2">
        <f>[11]results!AO7</f>
        <v>0.75784279742481853</v>
      </c>
      <c r="H19" t="s">
        <v>4</v>
      </c>
      <c r="I19" s="2">
        <f t="shared" si="0"/>
        <v>0.22658983812434799</v>
      </c>
      <c r="J19" s="2">
        <f t="shared" si="1"/>
        <v>1</v>
      </c>
      <c r="K19" s="2">
        <f t="shared" si="2"/>
        <v>0.47989469860300943</v>
      </c>
      <c r="L19" s="2">
        <f t="shared" si="3"/>
        <v>0.60165159503543086</v>
      </c>
      <c r="M19" s="2">
        <f t="shared" si="4"/>
        <v>0.16618625198590842</v>
      </c>
    </row>
    <row r="20" spans="1:13" x14ac:dyDescent="0.35">
      <c r="A20" t="s">
        <v>5</v>
      </c>
      <c r="B20" s="2">
        <f>[11]results!AK8</f>
        <v>-665277.59612264379</v>
      </c>
      <c r="C20" s="2">
        <f>[11]results!AL8</f>
        <v>-681593.77756979864</v>
      </c>
      <c r="D20" s="2">
        <f>[11]results!AM8</f>
        <v>-6.4197814117706908</v>
      </c>
      <c r="E20" s="2">
        <f>[11]results!AN8</f>
        <v>-159168.6793901209</v>
      </c>
      <c r="F20" s="2">
        <f>[11]results!AO8</f>
        <v>0.62092629934983035</v>
      </c>
      <c r="H20" t="s">
        <v>5</v>
      </c>
      <c r="I20" s="2">
        <f t="shared" si="0"/>
        <v>0.35336154735820924</v>
      </c>
      <c r="J20" s="2">
        <f t="shared" si="1"/>
        <v>1.3064875344379624E-2</v>
      </c>
      <c r="K20" s="2">
        <f t="shared" si="2"/>
        <v>0.14324027225745709</v>
      </c>
      <c r="L20" s="2">
        <f t="shared" si="3"/>
        <v>9.2406611287594823E-2</v>
      </c>
      <c r="M20" s="2">
        <f t="shared" si="4"/>
        <v>0.10832654170368629</v>
      </c>
    </row>
    <row r="21" spans="1:13" x14ac:dyDescent="0.35">
      <c r="A21" t="s">
        <v>6</v>
      </c>
      <c r="B21" s="2">
        <f>[11]results!AK9</f>
        <v>-649290.42453486356</v>
      </c>
      <c r="C21" s="2">
        <f>[11]results!AL9</f>
        <v>-684846.58510462474</v>
      </c>
      <c r="D21" s="2">
        <f>[11]results!AM9</f>
        <v>-6.3821754750983128</v>
      </c>
      <c r="E21" s="2">
        <f>[11]results!AN9</f>
        <v>-164448.13246880911</v>
      </c>
      <c r="F21" s="2">
        <f>[11]results!AO9</f>
        <v>0.63121912683002368</v>
      </c>
      <c r="H21" t="s">
        <v>6</v>
      </c>
      <c r="I21" s="2">
        <f t="shared" si="0"/>
        <v>0.37615037773150628</v>
      </c>
      <c r="J21" s="2">
        <f t="shared" si="1"/>
        <v>2.4753406829040213E-4</v>
      </c>
      <c r="K21" s="2">
        <f t="shared" si="2"/>
        <v>0.15467227705830666</v>
      </c>
      <c r="L21" s="2">
        <f t="shared" si="3"/>
        <v>7.7340823278394463E-2</v>
      </c>
      <c r="M21" s="2">
        <f t="shared" si="4"/>
        <v>0.11267620025004137</v>
      </c>
    </row>
    <row r="22" spans="1:13" x14ac:dyDescent="0.35">
      <c r="A22" t="s">
        <v>7</v>
      </c>
      <c r="B22" s="2">
        <f>[11]results!AK10</f>
        <v>-665277.59612264379</v>
      </c>
      <c r="C22" s="2">
        <f>[11]results!AL10</f>
        <v>-681593.77756979864</v>
      </c>
      <c r="D22" s="2">
        <f>[11]results!AM10</f>
        <v>-6.4197814117706908</v>
      </c>
      <c r="E22" s="2">
        <f>[11]results!AN10</f>
        <v>-159168.6793901209</v>
      </c>
      <c r="F22" s="2">
        <f>[11]results!AO10</f>
        <v>0.62092629934983035</v>
      </c>
      <c r="H22" t="s">
        <v>7</v>
      </c>
      <c r="I22" s="2">
        <f t="shared" si="0"/>
        <v>0.35336154735820924</v>
      </c>
      <c r="J22" s="2">
        <f t="shared" si="1"/>
        <v>1.3064875344379624E-2</v>
      </c>
      <c r="K22" s="2">
        <f t="shared" si="2"/>
        <v>0.14324027225745709</v>
      </c>
      <c r="L22" s="2">
        <f t="shared" si="3"/>
        <v>9.2406611287594823E-2</v>
      </c>
      <c r="M22" s="2">
        <f t="shared" si="4"/>
        <v>0.10832654170368629</v>
      </c>
    </row>
    <row r="23" spans="1:13" x14ac:dyDescent="0.35">
      <c r="A23" t="s">
        <v>8</v>
      </c>
      <c r="B23" s="2">
        <f>[11]results!AK11</f>
        <v>-644442.1846872702</v>
      </c>
      <c r="C23" s="2">
        <f>[11]results!AL11</f>
        <v>-684909.40473820688</v>
      </c>
      <c r="D23" s="2">
        <f>[11]results!AM11</f>
        <v>-6.364898685252375</v>
      </c>
      <c r="E23" s="2">
        <f>[11]results!AN11</f>
        <v>-165459.6313217275</v>
      </c>
      <c r="F23" s="2">
        <f>[11]results!AO11</f>
        <v>0.63571057002381026</v>
      </c>
      <c r="H23" t="s">
        <v>8</v>
      </c>
      <c r="I23" s="2">
        <f t="shared" si="0"/>
        <v>0.38306127594068756</v>
      </c>
      <c r="J23" s="2">
        <f t="shared" si="1"/>
        <v>0</v>
      </c>
      <c r="K23" s="2">
        <f t="shared" si="2"/>
        <v>0.15992432931225575</v>
      </c>
      <c r="L23" s="2">
        <f t="shared" si="3"/>
        <v>7.4454344875710315E-2</v>
      </c>
      <c r="M23" s="2">
        <f t="shared" si="4"/>
        <v>0.11457424471944649</v>
      </c>
    </row>
    <row r="24" spans="1:13" x14ac:dyDescent="0.35">
      <c r="A24" t="s">
        <v>9</v>
      </c>
      <c r="B24" s="2">
        <f>[11]results!AK12</f>
        <v>-754212.43985085678</v>
      </c>
      <c r="C24" s="2">
        <f>[11]results!AL12</f>
        <v>-431127.63636989292</v>
      </c>
      <c r="D24" s="2">
        <f>[11]results!AM12</f>
        <v>-5.3123461667569956</v>
      </c>
      <c r="E24" s="2">
        <f>[11]results!AN12</f>
        <v>19284.315940239961</v>
      </c>
      <c r="F24" s="2">
        <f>[11]results!AO12</f>
        <v>0.75784279742481853</v>
      </c>
      <c r="H24" t="s">
        <v>9</v>
      </c>
      <c r="I24" s="2">
        <f t="shared" si="0"/>
        <v>0.22658983812434799</v>
      </c>
      <c r="J24" s="2">
        <f t="shared" si="1"/>
        <v>1</v>
      </c>
      <c r="K24" s="2">
        <f t="shared" si="2"/>
        <v>0.47989469860300943</v>
      </c>
      <c r="L24" s="2">
        <f t="shared" si="3"/>
        <v>0.60165159503543086</v>
      </c>
      <c r="M24" s="2">
        <f t="shared" si="4"/>
        <v>0.16618625198590842</v>
      </c>
    </row>
    <row r="25" spans="1:13" x14ac:dyDescent="0.35">
      <c r="A25" t="s">
        <v>10</v>
      </c>
      <c r="B25" s="2">
        <f>[11]results!AK13</f>
        <v>-898781.77147895657</v>
      </c>
      <c r="C25" s="2">
        <f>[11]results!AL13</f>
        <v>-507697.85586750339</v>
      </c>
      <c r="D25" s="2">
        <f>[11]results!AM13</f>
        <v>-6.0240218397631953</v>
      </c>
      <c r="E25" s="2">
        <f>[11]results!AN13</f>
        <v>69693.914180888794</v>
      </c>
      <c r="F25" s="2">
        <f>[11]results!AO13</f>
        <v>1.7574704079985639</v>
      </c>
      <c r="H25" t="s">
        <v>10</v>
      </c>
      <c r="I25" s="2">
        <f t="shared" si="0"/>
        <v>2.0514238224495506E-2</v>
      </c>
      <c r="J25" s="2">
        <f t="shared" si="1"/>
        <v>0.69828321399950233</v>
      </c>
      <c r="K25" s="2">
        <f t="shared" si="2"/>
        <v>0.26354907792789345</v>
      </c>
      <c r="L25" s="2">
        <f t="shared" si="3"/>
        <v>0.74550367770443315</v>
      </c>
      <c r="M25" s="2">
        <f t="shared" si="4"/>
        <v>0.5886201058391477</v>
      </c>
    </row>
    <row r="26" spans="1:13" x14ac:dyDescent="0.35">
      <c r="A26" t="s">
        <v>11</v>
      </c>
      <c r="B26" s="2">
        <f>[11]results!AK14</f>
        <v>-898781.77147895657</v>
      </c>
      <c r="C26" s="2">
        <f>[11]results!AL14</f>
        <v>-507697.85586750339</v>
      </c>
      <c r="D26" s="2">
        <f>[11]results!AM14</f>
        <v>-6.0240218397631953</v>
      </c>
      <c r="E26" s="2">
        <f>[11]results!AN14</f>
        <v>69693.914180888794</v>
      </c>
      <c r="F26" s="2">
        <f>[11]results!AO14</f>
        <v>1.7574704079985639</v>
      </c>
      <c r="H26" t="s">
        <v>11</v>
      </c>
      <c r="I26" s="2">
        <f t="shared" si="0"/>
        <v>2.0514238224495506E-2</v>
      </c>
      <c r="J26" s="2">
        <f t="shared" si="1"/>
        <v>0.69828321399950233</v>
      </c>
      <c r="K26" s="2">
        <f t="shared" si="2"/>
        <v>0.26354907792789345</v>
      </c>
      <c r="L26" s="2">
        <f t="shared" si="3"/>
        <v>0.74550367770443315</v>
      </c>
      <c r="M26" s="2">
        <f t="shared" si="4"/>
        <v>0.5886201058391477</v>
      </c>
    </row>
    <row r="27" spans="1:13" x14ac:dyDescent="0.35">
      <c r="A27" t="s">
        <v>12</v>
      </c>
      <c r="B27" s="2">
        <f>[11]results!AK15</f>
        <v>-665277.59612264379</v>
      </c>
      <c r="C27" s="2">
        <f>[11]results!AL15</f>
        <v>-681593.77756979864</v>
      </c>
      <c r="D27" s="2">
        <f>[11]results!AM15</f>
        <v>-6.4197814117706908</v>
      </c>
      <c r="E27" s="2">
        <f>[11]results!AN15</f>
        <v>-159168.6793901209</v>
      </c>
      <c r="F27" s="2">
        <f>[11]results!AO15</f>
        <v>0.62092629934983035</v>
      </c>
      <c r="H27" t="s">
        <v>12</v>
      </c>
      <c r="I27" s="2">
        <f t="shared" si="0"/>
        <v>0.35336154735820924</v>
      </c>
      <c r="J27" s="2">
        <f t="shared" si="1"/>
        <v>1.3064875344379624E-2</v>
      </c>
      <c r="K27" s="2">
        <f t="shared" si="2"/>
        <v>0.14324027225745709</v>
      </c>
      <c r="L27" s="2">
        <f t="shared" si="3"/>
        <v>9.2406611287594823E-2</v>
      </c>
      <c r="M27" s="2">
        <f t="shared" si="4"/>
        <v>0.10832654170368629</v>
      </c>
    </row>
  </sheetData>
  <conditionalFormatting sqref="B1:B27">
    <cfRule type="cellIs" dxfId="7" priority="7" operator="equal">
      <formula>$B$3</formula>
    </cfRule>
    <cfRule type="expression" dxfId="6" priority="8">
      <formula>B2=_xludf.value($B$3)</formula>
    </cfRule>
  </conditionalFormatting>
  <conditionalFormatting sqref="B2:B27">
    <cfRule type="cellIs" dxfId="5" priority="1" operator="equal">
      <formula>$B$16</formula>
    </cfRule>
    <cfRule type="cellIs" dxfId="4" priority="2" operator="equal">
      <formula>$B$20</formula>
    </cfRule>
    <cfRule type="cellIs" dxfId="3" priority="4" operator="equal">
      <formula>$B$4</formula>
    </cfRule>
    <cfRule type="cellIs" dxfId="2" priority="5" operator="equal">
      <formula>"$B$4"</formula>
    </cfRule>
    <cfRule type="cellIs" dxfId="1" priority="6" operator="equal">
      <formula>$B$6</formula>
    </cfRule>
  </conditionalFormatting>
  <conditionalFormatting sqref="B2">
    <cfRule type="cellIs" dxfId="0" priority="3" operator="equal">
      <formula>$B$2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7E3C-9273-4536-8351-FF8B7779300E}">
  <dimension ref="A1:M27"/>
  <sheetViews>
    <sheetView topLeftCell="J1" workbookViewId="0">
      <selection activeCell="B2" sqref="B2:B27"/>
    </sheetView>
  </sheetViews>
  <sheetFormatPr baseColWidth="10" defaultRowHeight="14.5" x14ac:dyDescent="0.35"/>
  <sheetData>
    <row r="1" spans="1:13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</row>
    <row r="2" spans="1:13" x14ac:dyDescent="0.35">
      <c r="A2">
        <v>1</v>
      </c>
      <c r="B2" s="2">
        <f>[5]results!AD3</f>
        <v>-818093.70361632097</v>
      </c>
      <c r="C2" s="2">
        <f>[5]results!AE3</f>
        <v>-393131.57978474197</v>
      </c>
      <c r="D2" s="2">
        <f>[5]results!AF3</f>
        <v>-5.000279529603894</v>
      </c>
      <c r="E2" s="2">
        <f>[5]results!AG3</f>
        <v>163042.81900663199</v>
      </c>
      <c r="F2" s="2">
        <f>[5]results!AH3</f>
        <v>2.4952662973280328</v>
      </c>
      <c r="H2">
        <v>1</v>
      </c>
      <c r="I2">
        <f>(B2-MIN(B$2:B$27))/(MAX(B$2:B$27)-MIN(B$2:B$27))</f>
        <v>0.12669586116489098</v>
      </c>
      <c r="J2">
        <f>(C2-MIN(C$2:C$27))/(MAX(C$2:C$27)-MIN(C$2:C$27))</f>
        <v>0.71403165023078474</v>
      </c>
      <c r="K2">
        <f>(D2-MIN(D$2:D$27))/(MAX(D$2:D$27)-MIN(D$2:D$27))</f>
        <v>0.53665312104630269</v>
      </c>
      <c r="L2">
        <f>(E2-MIN(E$2:E$27))/(MAX(E$2:E$27)-MIN(E$2:E$27))</f>
        <v>0.96737895397909779</v>
      </c>
      <c r="M2">
        <f>(F2-MIN(F$2:F$27))/(MAX(F$2:F$27)-MIN(F$2:F$27))</f>
        <v>0.84058607028128951</v>
      </c>
    </row>
    <row r="3" spans="1:13" x14ac:dyDescent="0.35">
      <c r="A3">
        <v>2</v>
      </c>
      <c r="B3" s="2">
        <f>[5]results!AD4</f>
        <v>-206547.64447281981</v>
      </c>
      <c r="C3" s="2">
        <f>[5]results!AE4</f>
        <v>-472723.10069549771</v>
      </c>
      <c r="D3" s="2">
        <f>[5]results!AF4</f>
        <v>-3.4813193291665132</v>
      </c>
      <c r="E3" s="2">
        <f>[5]results!AG4</f>
        <v>-175282.76632134159</v>
      </c>
      <c r="F3" s="2">
        <f>[5]results!AH4</f>
        <v>0.52727472817421117</v>
      </c>
      <c r="H3">
        <v>2</v>
      </c>
      <c r="I3">
        <f t="shared" ref="I3:M27" si="0">(B3-MIN(B$2:B$27))/(MAX(B$2:B$27)-MIN(B$2:B$27))</f>
        <v>0.97395646762860899</v>
      </c>
      <c r="J3">
        <f t="shared" si="0"/>
        <v>0.51925720145508092</v>
      </c>
      <c r="K3">
        <f t="shared" si="0"/>
        <v>0.97291157460885136</v>
      </c>
      <c r="L3">
        <f t="shared" si="0"/>
        <v>1.716119544279315E-2</v>
      </c>
      <c r="M3">
        <f t="shared" si="0"/>
        <v>5.0133857460328439E-2</v>
      </c>
    </row>
    <row r="4" spans="1:13" x14ac:dyDescent="0.35">
      <c r="A4">
        <v>3</v>
      </c>
      <c r="B4" s="2">
        <f>[5]results!AD5</f>
        <v>-818093.70361632097</v>
      </c>
      <c r="C4" s="2">
        <f>[5]results!AE5</f>
        <v>-393131.57978474197</v>
      </c>
      <c r="D4" s="2">
        <f>[5]results!AF5</f>
        <v>-5.000279529603894</v>
      </c>
      <c r="E4" s="2">
        <f>[5]results!AG5</f>
        <v>163042.81900663199</v>
      </c>
      <c r="F4" s="2">
        <f>[5]results!AH5</f>
        <v>2.4952662973280328</v>
      </c>
      <c r="H4">
        <v>3</v>
      </c>
      <c r="I4">
        <f t="shared" si="0"/>
        <v>0.12669586116489098</v>
      </c>
      <c r="J4">
        <f t="shared" si="0"/>
        <v>0.71403165023078474</v>
      </c>
      <c r="K4">
        <f t="shared" si="0"/>
        <v>0.53665312104630269</v>
      </c>
      <c r="L4">
        <f t="shared" si="0"/>
        <v>0.96737895397909779</v>
      </c>
      <c r="M4">
        <f t="shared" si="0"/>
        <v>0.84058607028128951</v>
      </c>
    </row>
    <row r="5" spans="1:13" x14ac:dyDescent="0.35">
      <c r="A5">
        <v>4</v>
      </c>
      <c r="B5" s="2">
        <f>[5]results!AD6</f>
        <v>-206547.64447281981</v>
      </c>
      <c r="C5" s="2">
        <f>[5]results!AE6</f>
        <v>-472723.10069549771</v>
      </c>
      <c r="D5" s="2">
        <f>[5]results!AF6</f>
        <v>-3.4813193291665132</v>
      </c>
      <c r="E5" s="2">
        <f>[5]results!AG6</f>
        <v>-175282.76632134159</v>
      </c>
      <c r="F5" s="2">
        <f>[5]results!AH6</f>
        <v>0.52727472817421117</v>
      </c>
      <c r="H5">
        <v>4</v>
      </c>
      <c r="I5">
        <f t="shared" si="0"/>
        <v>0.97395646762860899</v>
      </c>
      <c r="J5">
        <f t="shared" si="0"/>
        <v>0.51925720145508092</v>
      </c>
      <c r="K5">
        <f t="shared" si="0"/>
        <v>0.97291157460885136</v>
      </c>
      <c r="L5">
        <f t="shared" si="0"/>
        <v>1.716119544279315E-2</v>
      </c>
      <c r="M5">
        <f t="shared" si="0"/>
        <v>5.0133857460328439E-2</v>
      </c>
    </row>
    <row r="6" spans="1:13" x14ac:dyDescent="0.35">
      <c r="A6">
        <v>5</v>
      </c>
      <c r="B6" s="2">
        <f>[5]results!AD7</f>
        <v>-598443.87065936555</v>
      </c>
      <c r="C6" s="2">
        <f>[5]results!AE7</f>
        <v>-276275.10280052898</v>
      </c>
      <c r="D6" s="2">
        <f>[5]results!AF7</f>
        <v>-3.914218080882633</v>
      </c>
      <c r="E6" s="2">
        <f>[5]results!AG7</f>
        <v>87649.014450924733</v>
      </c>
      <c r="F6" s="2">
        <f>[5]results!AH7</f>
        <v>0.99037633251015689</v>
      </c>
      <c r="H6">
        <v>5</v>
      </c>
      <c r="I6">
        <f t="shared" si="0"/>
        <v>0.43100760988485992</v>
      </c>
      <c r="J6">
        <f t="shared" si="0"/>
        <v>1</v>
      </c>
      <c r="K6">
        <f t="shared" si="0"/>
        <v>0.84857932421910998</v>
      </c>
      <c r="L6">
        <f t="shared" si="0"/>
        <v>0.75562869009349809</v>
      </c>
      <c r="M6">
        <f t="shared" si="0"/>
        <v>0.2361405932847509</v>
      </c>
    </row>
    <row r="7" spans="1:13" x14ac:dyDescent="0.35">
      <c r="A7">
        <v>6</v>
      </c>
      <c r="B7" s="2">
        <f>[5]results!AD8</f>
        <v>-598443.87065936555</v>
      </c>
      <c r="C7" s="2">
        <f>[5]results!AE8</f>
        <v>-276275.10280052898</v>
      </c>
      <c r="D7" s="2">
        <f>[5]results!AF8</f>
        <v>-3.914218080882633</v>
      </c>
      <c r="E7" s="2">
        <f>[5]results!AG8</f>
        <v>87649.014450924733</v>
      </c>
      <c r="F7" s="2">
        <f>[5]results!AH8</f>
        <v>0.99037633251015689</v>
      </c>
      <c r="H7">
        <v>6</v>
      </c>
      <c r="I7">
        <f t="shared" si="0"/>
        <v>0.43100760988485992</v>
      </c>
      <c r="J7">
        <f t="shared" si="0"/>
        <v>1</v>
      </c>
      <c r="K7">
        <f t="shared" si="0"/>
        <v>0.84857932421910998</v>
      </c>
      <c r="L7">
        <f t="shared" si="0"/>
        <v>0.75562869009349809</v>
      </c>
      <c r="M7">
        <f t="shared" si="0"/>
        <v>0.2361405932847509</v>
      </c>
    </row>
    <row r="8" spans="1:13" x14ac:dyDescent="0.35">
      <c r="A8">
        <v>7</v>
      </c>
      <c r="B8" s="2">
        <f>[5]results!AD9</f>
        <v>-187749.62711382151</v>
      </c>
      <c r="C8" s="2">
        <f>[5]results!AE9</f>
        <v>-462573.42162441002</v>
      </c>
      <c r="D8" s="2">
        <f>[5]results!AF9</f>
        <v>-3.3870031280117479</v>
      </c>
      <c r="E8" s="2">
        <f>[5]results!AG9</f>
        <v>-181393.0199352651</v>
      </c>
      <c r="F8" s="2">
        <f>[5]results!AH9</f>
        <v>0.40245629233357022</v>
      </c>
      <c r="H8">
        <v>7</v>
      </c>
      <c r="I8">
        <f t="shared" si="0"/>
        <v>1</v>
      </c>
      <c r="J8">
        <f t="shared" si="0"/>
        <v>0.54409525108272971</v>
      </c>
      <c r="K8">
        <f t="shared" si="0"/>
        <v>1</v>
      </c>
      <c r="L8">
        <f t="shared" si="0"/>
        <v>0</v>
      </c>
      <c r="M8">
        <f t="shared" si="0"/>
        <v>0</v>
      </c>
    </row>
    <row r="9" spans="1:13" x14ac:dyDescent="0.35">
      <c r="A9">
        <v>8</v>
      </c>
      <c r="B9" s="2">
        <f>[5]results!AD10</f>
        <v>-187749.62711382151</v>
      </c>
      <c r="C9" s="2">
        <f>[5]results!AE10</f>
        <v>-462573.42162441002</v>
      </c>
      <c r="D9" s="2">
        <f>[5]results!AF10</f>
        <v>-3.3870031280117479</v>
      </c>
      <c r="E9" s="2">
        <f>[5]results!AG10</f>
        <v>-181393.0199352651</v>
      </c>
      <c r="F9" s="2">
        <f>[5]results!AH10</f>
        <v>0.40245629233357022</v>
      </c>
      <c r="H9">
        <v>8</v>
      </c>
      <c r="I9">
        <f t="shared" si="0"/>
        <v>1</v>
      </c>
      <c r="J9">
        <f t="shared" si="0"/>
        <v>0.54409525108272971</v>
      </c>
      <c r="K9">
        <f t="shared" si="0"/>
        <v>1</v>
      </c>
      <c r="L9">
        <f t="shared" si="0"/>
        <v>0</v>
      </c>
      <c r="M9">
        <f t="shared" si="0"/>
        <v>0</v>
      </c>
    </row>
    <row r="10" spans="1:13" x14ac:dyDescent="0.35">
      <c r="A10">
        <v>9</v>
      </c>
      <c r="B10" s="2">
        <f>[5]results!AD11</f>
        <v>-187749.62716954219</v>
      </c>
      <c r="C10" s="2">
        <f>[5]results!AE11</f>
        <v>-462573.42160036502</v>
      </c>
      <c r="D10" s="2">
        <f>[5]results!AF11</f>
        <v>-3.3870031280894</v>
      </c>
      <c r="E10" s="2">
        <f>[5]results!AG11</f>
        <v>-181393.01989971331</v>
      </c>
      <c r="F10" s="2">
        <f>[5]results!AH11</f>
        <v>0.4024562924109919</v>
      </c>
      <c r="H10">
        <v>9</v>
      </c>
      <c r="I10">
        <f t="shared" si="0"/>
        <v>0.9999999999228022</v>
      </c>
      <c r="J10">
        <f t="shared" si="0"/>
        <v>0.54409525114157209</v>
      </c>
      <c r="K10">
        <f t="shared" si="0"/>
        <v>0.99999999997769762</v>
      </c>
      <c r="L10">
        <f t="shared" si="0"/>
        <v>9.9850375080031378E-11</v>
      </c>
      <c r="M10">
        <f t="shared" si="0"/>
        <v>3.1096748266723256E-11</v>
      </c>
    </row>
    <row r="11" spans="1:13" x14ac:dyDescent="0.35">
      <c r="A11">
        <v>10</v>
      </c>
      <c r="B11" s="2">
        <f>[5]results!AD12</f>
        <v>-598443.87065936555</v>
      </c>
      <c r="C11" s="2">
        <f>[5]results!AE12</f>
        <v>-276275.10280052898</v>
      </c>
      <c r="D11" s="2">
        <f>[5]results!AF12</f>
        <v>-3.914218080882633</v>
      </c>
      <c r="E11" s="2">
        <f>[5]results!AG12</f>
        <v>87649.014450924733</v>
      </c>
      <c r="F11" s="2">
        <f>[5]results!AH12</f>
        <v>0.99037633251015689</v>
      </c>
      <c r="H11">
        <v>10</v>
      </c>
      <c r="I11">
        <f t="shared" si="0"/>
        <v>0.43100760988485992</v>
      </c>
      <c r="J11">
        <f t="shared" si="0"/>
        <v>1</v>
      </c>
      <c r="K11">
        <f t="shared" si="0"/>
        <v>0.84857932421910998</v>
      </c>
      <c r="L11">
        <f t="shared" si="0"/>
        <v>0.75562869009349809</v>
      </c>
      <c r="M11">
        <f t="shared" si="0"/>
        <v>0.2361405932847509</v>
      </c>
    </row>
    <row r="12" spans="1:13" x14ac:dyDescent="0.35">
      <c r="A12">
        <v>11</v>
      </c>
      <c r="B12" s="2">
        <f>[5]results!AD13</f>
        <v>-818093.70361632097</v>
      </c>
      <c r="C12" s="2">
        <f>[5]results!AE13</f>
        <v>-393131.57978474197</v>
      </c>
      <c r="D12" s="2">
        <f>[5]results!AF13</f>
        <v>-5.000279529603894</v>
      </c>
      <c r="E12" s="2">
        <f>[5]results!AG13</f>
        <v>163042.81900663199</v>
      </c>
      <c r="F12" s="2">
        <f>[5]results!AH13</f>
        <v>2.4952662973280328</v>
      </c>
      <c r="H12">
        <v>11</v>
      </c>
      <c r="I12">
        <f t="shared" si="0"/>
        <v>0.12669586116489098</v>
      </c>
      <c r="J12">
        <f t="shared" si="0"/>
        <v>0.71403165023078474</v>
      </c>
      <c r="K12">
        <f t="shared" si="0"/>
        <v>0.53665312104630269</v>
      </c>
      <c r="L12">
        <f t="shared" si="0"/>
        <v>0.96737895397909779</v>
      </c>
      <c r="M12">
        <f t="shared" si="0"/>
        <v>0.84058607028128951</v>
      </c>
    </row>
    <row r="13" spans="1:13" x14ac:dyDescent="0.35">
      <c r="A13">
        <v>12</v>
      </c>
      <c r="B13" s="2">
        <f>[5]results!AD14</f>
        <v>-818093.70361632097</v>
      </c>
      <c r="C13" s="2">
        <f>[5]results!AE14</f>
        <v>-393131.57978474197</v>
      </c>
      <c r="D13" s="2">
        <f>[5]results!AF14</f>
        <v>-5.000279529603894</v>
      </c>
      <c r="E13" s="2">
        <f>[5]results!AG14</f>
        <v>163042.81900663199</v>
      </c>
      <c r="F13" s="2">
        <f>[5]results!AH14</f>
        <v>2.4952662973280328</v>
      </c>
      <c r="H13">
        <v>12</v>
      </c>
      <c r="I13">
        <f t="shared" si="0"/>
        <v>0.12669586116489098</v>
      </c>
      <c r="J13">
        <f t="shared" si="0"/>
        <v>0.71403165023078474</v>
      </c>
      <c r="K13">
        <f t="shared" si="0"/>
        <v>0.53665312104630269</v>
      </c>
      <c r="L13">
        <f t="shared" si="0"/>
        <v>0.96737895397909779</v>
      </c>
      <c r="M13">
        <f t="shared" si="0"/>
        <v>0.84058607028128951</v>
      </c>
    </row>
    <row r="14" spans="1:13" x14ac:dyDescent="0.35">
      <c r="A14">
        <v>13</v>
      </c>
      <c r="B14" s="2">
        <f>[5]results!AD15</f>
        <v>-187749.62716954219</v>
      </c>
      <c r="C14" s="2">
        <f>[5]results!AE15</f>
        <v>-462573.42160036502</v>
      </c>
      <c r="D14" s="2">
        <f>[5]results!AF15</f>
        <v>-3.3870031280894</v>
      </c>
      <c r="E14" s="2">
        <f>[5]results!AG15</f>
        <v>-181393.0198997132</v>
      </c>
      <c r="F14" s="2">
        <f>[5]results!AH15</f>
        <v>0.4024562924109919</v>
      </c>
      <c r="H14">
        <v>13</v>
      </c>
      <c r="I14">
        <f t="shared" si="0"/>
        <v>0.9999999999228022</v>
      </c>
      <c r="J14">
        <f t="shared" si="0"/>
        <v>0.54409525114157209</v>
      </c>
      <c r="K14">
        <f t="shared" si="0"/>
        <v>0.99999999997769762</v>
      </c>
      <c r="L14">
        <f t="shared" si="0"/>
        <v>9.9850702042906674E-11</v>
      </c>
      <c r="M14">
        <f t="shared" si="0"/>
        <v>3.1096748266723256E-11</v>
      </c>
    </row>
    <row r="15" spans="1:13" x14ac:dyDescent="0.35">
      <c r="A15" t="s">
        <v>0</v>
      </c>
      <c r="B15" s="2">
        <f>[7]results!AK3</f>
        <v>-909541.78229965246</v>
      </c>
      <c r="C15" s="2">
        <f>[7]results!AL3</f>
        <v>-450390.30490598618</v>
      </c>
      <c r="D15" s="2">
        <f>[7]results!AM3</f>
        <v>-5.5315918548801939</v>
      </c>
      <c r="E15" s="2">
        <f>[7]results!AN3</f>
        <v>174657.56140634569</v>
      </c>
      <c r="F15" s="2">
        <f>[7]results!AO3</f>
        <v>2.8921597016395739</v>
      </c>
      <c r="H15" t="s">
        <v>0</v>
      </c>
      <c r="I15">
        <f t="shared" si="0"/>
        <v>0</v>
      </c>
      <c r="J15">
        <f t="shared" si="0"/>
        <v>0.5739094802373883</v>
      </c>
      <c r="K15">
        <f t="shared" si="0"/>
        <v>0.38405564461669173</v>
      </c>
      <c r="L15">
        <f t="shared" si="0"/>
        <v>1</v>
      </c>
      <c r="M15">
        <f t="shared" si="0"/>
        <v>1</v>
      </c>
    </row>
    <row r="16" spans="1:13" x14ac:dyDescent="0.35">
      <c r="A16" t="s">
        <v>1</v>
      </c>
      <c r="B16" s="2">
        <f>[7]results!AK4</f>
        <v>-644442.1846872702</v>
      </c>
      <c r="C16" s="2">
        <f>[7]results!AL4</f>
        <v>-684909.40473820688</v>
      </c>
      <c r="D16" s="2">
        <f>[7]results!AM4</f>
        <v>-6.364898685252375</v>
      </c>
      <c r="E16" s="2">
        <f>[7]results!AN4</f>
        <v>-165459.6313217275</v>
      </c>
      <c r="F16" s="2">
        <f>[7]results!AO4</f>
        <v>0.63571057002381026</v>
      </c>
      <c r="H16" t="s">
        <v>1</v>
      </c>
      <c r="I16">
        <f t="shared" si="0"/>
        <v>0.36727968807603667</v>
      </c>
      <c r="J16">
        <f t="shared" si="0"/>
        <v>0</v>
      </c>
      <c r="K16">
        <f t="shared" si="0"/>
        <v>0.14472274500773746</v>
      </c>
      <c r="L16">
        <f t="shared" si="0"/>
        <v>4.4750351350361629E-2</v>
      </c>
      <c r="M16">
        <f t="shared" si="0"/>
        <v>9.3687576125888378E-2</v>
      </c>
    </row>
    <row r="17" spans="1:13" x14ac:dyDescent="0.35">
      <c r="A17" t="s">
        <v>2</v>
      </c>
      <c r="B17" s="2">
        <f>[7]results!AK5</f>
        <v>-851589.58048812114</v>
      </c>
      <c r="C17" s="2">
        <f>[7]results!AL5</f>
        <v>-660654.74717186799</v>
      </c>
      <c r="D17" s="2">
        <f>[7]results!AM5</f>
        <v>-6.8687928515880721</v>
      </c>
      <c r="E17" s="2">
        <f>[7]results!AN5</f>
        <v>43053.317941363552</v>
      </c>
      <c r="F17" s="2">
        <f>[7]results!AO5</f>
        <v>2.6150602038266331</v>
      </c>
      <c r="H17" t="s">
        <v>2</v>
      </c>
      <c r="I17">
        <f t="shared" si="0"/>
        <v>8.0289320679318113E-2</v>
      </c>
      <c r="J17">
        <f t="shared" si="0"/>
        <v>5.9355412532250039E-2</v>
      </c>
      <c r="K17">
        <f t="shared" si="0"/>
        <v>0</v>
      </c>
      <c r="L17">
        <f t="shared" si="0"/>
        <v>0.63037767564065528</v>
      </c>
      <c r="M17">
        <f t="shared" si="0"/>
        <v>0.88870180408750721</v>
      </c>
    </row>
    <row r="18" spans="1:13" x14ac:dyDescent="0.35">
      <c r="A18" t="s">
        <v>3</v>
      </c>
      <c r="B18" s="2">
        <f>[7]results!AK6</f>
        <v>-644442.1846872702</v>
      </c>
      <c r="C18" s="2">
        <f>[7]results!AL6</f>
        <v>-684909.40473820688</v>
      </c>
      <c r="D18" s="2">
        <f>[7]results!AM6</f>
        <v>-6.364898685252375</v>
      </c>
      <c r="E18" s="2">
        <f>[7]results!AN6</f>
        <v>-165459.6313217275</v>
      </c>
      <c r="F18" s="2">
        <f>[7]results!AO6</f>
        <v>0.63571057002381026</v>
      </c>
      <c r="H18" t="s">
        <v>3</v>
      </c>
      <c r="I18">
        <f t="shared" si="0"/>
        <v>0.36727968807603667</v>
      </c>
      <c r="J18">
        <f t="shared" si="0"/>
        <v>0</v>
      </c>
      <c r="K18">
        <f t="shared" si="0"/>
        <v>0.14472274500773746</v>
      </c>
      <c r="L18">
        <f t="shared" si="0"/>
        <v>4.4750351350361629E-2</v>
      </c>
      <c r="M18">
        <f t="shared" si="0"/>
        <v>9.3687576125888378E-2</v>
      </c>
    </row>
    <row r="19" spans="1:13" x14ac:dyDescent="0.35">
      <c r="A19" t="s">
        <v>4</v>
      </c>
      <c r="B19" s="2">
        <f>[7]results!AK7</f>
        <v>-644442.1846872702</v>
      </c>
      <c r="C19" s="2">
        <f>[7]results!AL7</f>
        <v>-684909.40473820688</v>
      </c>
      <c r="D19" s="2">
        <f>[7]results!AM7</f>
        <v>-6.364898685252375</v>
      </c>
      <c r="E19" s="2">
        <f>[7]results!AN7</f>
        <v>-165459.6313217275</v>
      </c>
      <c r="F19" s="2">
        <f>[7]results!AO7</f>
        <v>0.63571057002381026</v>
      </c>
      <c r="H19" t="s">
        <v>4</v>
      </c>
      <c r="I19">
        <f t="shared" si="0"/>
        <v>0.36727968807603667</v>
      </c>
      <c r="J19">
        <f t="shared" si="0"/>
        <v>0</v>
      </c>
      <c r="K19">
        <f t="shared" si="0"/>
        <v>0.14472274500773746</v>
      </c>
      <c r="L19">
        <f t="shared" si="0"/>
        <v>4.4750351350361629E-2</v>
      </c>
      <c r="M19">
        <f t="shared" si="0"/>
        <v>9.3687576125888378E-2</v>
      </c>
    </row>
    <row r="20" spans="1:13" x14ac:dyDescent="0.35">
      <c r="A20" t="s">
        <v>5</v>
      </c>
      <c r="B20" s="2">
        <f>[7]results!AK8</f>
        <v>-644442.1846872702</v>
      </c>
      <c r="C20" s="2">
        <f>[7]results!AL8</f>
        <v>-684909.40473820688</v>
      </c>
      <c r="D20" s="2">
        <f>[7]results!AM8</f>
        <v>-6.364898685252375</v>
      </c>
      <c r="E20" s="2">
        <f>[7]results!AN8</f>
        <v>-165459.6313217275</v>
      </c>
      <c r="F20" s="2">
        <f>[7]results!AO8</f>
        <v>0.63571057002381026</v>
      </c>
      <c r="H20" t="s">
        <v>5</v>
      </c>
      <c r="I20">
        <f t="shared" si="0"/>
        <v>0.36727968807603667</v>
      </c>
      <c r="J20">
        <f t="shared" si="0"/>
        <v>0</v>
      </c>
      <c r="K20">
        <f t="shared" si="0"/>
        <v>0.14472274500773746</v>
      </c>
      <c r="L20">
        <f t="shared" si="0"/>
        <v>4.4750351350361629E-2</v>
      </c>
      <c r="M20">
        <f t="shared" si="0"/>
        <v>9.3687576125888378E-2</v>
      </c>
    </row>
    <row r="21" spans="1:13" x14ac:dyDescent="0.35">
      <c r="A21" t="s">
        <v>6</v>
      </c>
      <c r="B21" s="2">
        <f>[7]results!AK9</f>
        <v>-644442.1846872702</v>
      </c>
      <c r="C21" s="2">
        <f>[7]results!AL9</f>
        <v>-684909.40473820688</v>
      </c>
      <c r="D21" s="2">
        <f>[7]results!AM9</f>
        <v>-6.364898685252375</v>
      </c>
      <c r="E21" s="2">
        <f>[7]results!AN9</f>
        <v>-165459.6313217275</v>
      </c>
      <c r="F21" s="2">
        <f>[7]results!AO9</f>
        <v>0.63571057002381026</v>
      </c>
      <c r="H21" t="s">
        <v>6</v>
      </c>
      <c r="I21">
        <f t="shared" si="0"/>
        <v>0.36727968807603667</v>
      </c>
      <c r="J21">
        <f t="shared" si="0"/>
        <v>0</v>
      </c>
      <c r="K21">
        <f t="shared" si="0"/>
        <v>0.14472274500773746</v>
      </c>
      <c r="L21">
        <f t="shared" si="0"/>
        <v>4.4750351350361629E-2</v>
      </c>
      <c r="M21">
        <f t="shared" si="0"/>
        <v>9.3687576125888378E-2</v>
      </c>
    </row>
    <row r="22" spans="1:13" x14ac:dyDescent="0.35">
      <c r="A22" t="s">
        <v>7</v>
      </c>
      <c r="B22" s="2">
        <f>[7]results!AK10</f>
        <v>-644442.1846872702</v>
      </c>
      <c r="C22" s="2">
        <f>[7]results!AL10</f>
        <v>-684909.40473820688</v>
      </c>
      <c r="D22" s="2">
        <f>[7]results!AM10</f>
        <v>-6.364898685252375</v>
      </c>
      <c r="E22" s="2">
        <f>[7]results!AN10</f>
        <v>-165459.6313217275</v>
      </c>
      <c r="F22" s="2">
        <f>[7]results!AO10</f>
        <v>0.63571057002381026</v>
      </c>
      <c r="H22" t="s">
        <v>7</v>
      </c>
      <c r="I22">
        <f t="shared" si="0"/>
        <v>0.36727968807603667</v>
      </c>
      <c r="J22">
        <f t="shared" si="0"/>
        <v>0</v>
      </c>
      <c r="K22">
        <f t="shared" si="0"/>
        <v>0.14472274500773746</v>
      </c>
      <c r="L22">
        <f t="shared" si="0"/>
        <v>4.4750351350361629E-2</v>
      </c>
      <c r="M22">
        <f t="shared" si="0"/>
        <v>9.3687576125888378E-2</v>
      </c>
    </row>
    <row r="23" spans="1:13" x14ac:dyDescent="0.35">
      <c r="A23" t="s">
        <v>8</v>
      </c>
      <c r="B23" s="2">
        <f>[7]results!AK11</f>
        <v>-644442.1846872702</v>
      </c>
      <c r="C23" s="2">
        <f>[7]results!AL11</f>
        <v>-684909.40473820688</v>
      </c>
      <c r="D23" s="2">
        <f>[7]results!AM11</f>
        <v>-6.364898685252375</v>
      </c>
      <c r="E23" s="2">
        <f>[7]results!AN11</f>
        <v>-165459.6313217275</v>
      </c>
      <c r="F23" s="2">
        <f>[7]results!AO11</f>
        <v>0.63571057002381026</v>
      </c>
      <c r="H23" t="s">
        <v>8</v>
      </c>
      <c r="I23">
        <f t="shared" si="0"/>
        <v>0.36727968807603667</v>
      </c>
      <c r="J23">
        <f t="shared" si="0"/>
        <v>0</v>
      </c>
      <c r="K23">
        <f t="shared" si="0"/>
        <v>0.14472274500773746</v>
      </c>
      <c r="L23">
        <f t="shared" si="0"/>
        <v>4.4750351350361629E-2</v>
      </c>
      <c r="M23">
        <f t="shared" si="0"/>
        <v>9.3687576125888378E-2</v>
      </c>
    </row>
    <row r="24" spans="1:13" x14ac:dyDescent="0.35">
      <c r="A24" t="s">
        <v>9</v>
      </c>
      <c r="B24" s="2">
        <f>[7]results!AK12</f>
        <v>-644442.1846872702</v>
      </c>
      <c r="C24" s="2">
        <f>[7]results!AL12</f>
        <v>-684909.40473820688</v>
      </c>
      <c r="D24" s="2">
        <f>[7]results!AM12</f>
        <v>-6.364898685252375</v>
      </c>
      <c r="E24" s="2">
        <f>[7]results!AN12</f>
        <v>-165459.6313217275</v>
      </c>
      <c r="F24" s="2">
        <f>[7]results!AO12</f>
        <v>0.63571057002381026</v>
      </c>
      <c r="H24" t="s">
        <v>9</v>
      </c>
      <c r="I24">
        <f t="shared" si="0"/>
        <v>0.36727968807603667</v>
      </c>
      <c r="J24">
        <f t="shared" si="0"/>
        <v>0</v>
      </c>
      <c r="K24">
        <f t="shared" si="0"/>
        <v>0.14472274500773746</v>
      </c>
      <c r="L24">
        <f t="shared" si="0"/>
        <v>4.4750351350361629E-2</v>
      </c>
      <c r="M24">
        <f t="shared" si="0"/>
        <v>9.3687576125888378E-2</v>
      </c>
    </row>
    <row r="25" spans="1:13" x14ac:dyDescent="0.35">
      <c r="A25" t="s">
        <v>10</v>
      </c>
      <c r="B25" s="2">
        <f>[7]results!AK13</f>
        <v>-851589.58048812114</v>
      </c>
      <c r="C25" s="2">
        <f>[7]results!AL13</f>
        <v>-660654.74717186799</v>
      </c>
      <c r="D25" s="2">
        <f>[7]results!AM13</f>
        <v>-6.8687928515880721</v>
      </c>
      <c r="E25" s="2">
        <f>[7]results!AN13</f>
        <v>43053.317941363552</v>
      </c>
      <c r="F25" s="2">
        <f>[7]results!AO13</f>
        <v>2.6150602038266331</v>
      </c>
      <c r="H25" t="s">
        <v>10</v>
      </c>
      <c r="I25">
        <f t="shared" si="0"/>
        <v>8.0289320679318113E-2</v>
      </c>
      <c r="J25">
        <f t="shared" si="0"/>
        <v>5.9355412532250039E-2</v>
      </c>
      <c r="K25">
        <f t="shared" si="0"/>
        <v>0</v>
      </c>
      <c r="L25">
        <f t="shared" si="0"/>
        <v>0.63037767564065528</v>
      </c>
      <c r="M25">
        <f t="shared" si="0"/>
        <v>0.88870180408750721</v>
      </c>
    </row>
    <row r="26" spans="1:13" x14ac:dyDescent="0.35">
      <c r="A26" t="s">
        <v>11</v>
      </c>
      <c r="B26" s="2">
        <f>[7]results!AK14</f>
        <v>-909541.78229965246</v>
      </c>
      <c r="C26" s="2">
        <f>[7]results!AL14</f>
        <v>-450390.30490598618</v>
      </c>
      <c r="D26" s="2">
        <f>[7]results!AM14</f>
        <v>-5.5315918548801939</v>
      </c>
      <c r="E26" s="2">
        <f>[7]results!AN14</f>
        <v>174657.56140634569</v>
      </c>
      <c r="F26" s="2">
        <f>[7]results!AO14</f>
        <v>2.8921597016395739</v>
      </c>
      <c r="H26" t="s">
        <v>11</v>
      </c>
      <c r="I26">
        <f t="shared" si="0"/>
        <v>0</v>
      </c>
      <c r="J26">
        <f t="shared" si="0"/>
        <v>0.5739094802373883</v>
      </c>
      <c r="K26">
        <f t="shared" si="0"/>
        <v>0.38405564461669173</v>
      </c>
      <c r="L26">
        <f t="shared" si="0"/>
        <v>1</v>
      </c>
      <c r="M26">
        <f t="shared" si="0"/>
        <v>1</v>
      </c>
    </row>
    <row r="27" spans="1:13" x14ac:dyDescent="0.35">
      <c r="A27" t="s">
        <v>12</v>
      </c>
      <c r="B27" s="2">
        <f>[7]results!AK15</f>
        <v>-644442.1846872702</v>
      </c>
      <c r="C27" s="2">
        <f>[7]results!AL15</f>
        <v>-684909.40473820688</v>
      </c>
      <c r="D27" s="2">
        <f>[7]results!AM15</f>
        <v>-6.364898685252375</v>
      </c>
      <c r="E27" s="2">
        <f>[7]results!AN15</f>
        <v>-165459.6313217275</v>
      </c>
      <c r="F27" s="2">
        <f>[7]results!AO15</f>
        <v>0.63571057002381026</v>
      </c>
      <c r="H27" t="s">
        <v>12</v>
      </c>
      <c r="I27">
        <f t="shared" si="0"/>
        <v>0.36727968807603667</v>
      </c>
      <c r="J27">
        <f t="shared" si="0"/>
        <v>0</v>
      </c>
      <c r="K27">
        <f t="shared" si="0"/>
        <v>0.14472274500773746</v>
      </c>
      <c r="L27">
        <f t="shared" si="0"/>
        <v>4.4750351350361629E-2</v>
      </c>
      <c r="M27">
        <f t="shared" si="0"/>
        <v>9.3687576125888378E-2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4409-C928-4EF1-8A04-7F3392D444D0}">
  <dimension ref="A1:F27"/>
  <sheetViews>
    <sheetView workbookViewId="0">
      <selection sqref="A1:F1"/>
    </sheetView>
  </sheetViews>
  <sheetFormatPr baseColWidth="10" defaultRowHeight="14.5" x14ac:dyDescent="0.35"/>
  <sheetData>
    <row r="1" spans="1:6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spans="1:6" x14ac:dyDescent="0.35">
      <c r="A2">
        <v>1</v>
      </c>
      <c r="B2" s="2">
        <f>[3]results!AD3</f>
        <v>-768179.85353884823</v>
      </c>
      <c r="C2" s="2">
        <f>[3]results!AE3</f>
        <v>-381253.32283796958</v>
      </c>
      <c r="D2" s="2">
        <f>[3]results!AF3</f>
        <v>-4.6226147683854473</v>
      </c>
      <c r="E2" s="2">
        <f>[3]results!AG3</f>
        <v>58552.234965922857</v>
      </c>
      <c r="F2" s="2">
        <f>[3]results!AH3</f>
        <v>1.7274448256697681</v>
      </c>
    </row>
    <row r="3" spans="1:6" x14ac:dyDescent="0.35">
      <c r="A3">
        <v>2</v>
      </c>
      <c r="B3" s="2">
        <f>[3]results!AD4</f>
        <v>-539361.45806396857</v>
      </c>
      <c r="C3" s="2">
        <f>[3]results!AE4</f>
        <v>-508573.65110909048</v>
      </c>
      <c r="D3" s="2">
        <f>[3]results!AF4</f>
        <v>-4.6482459715826634</v>
      </c>
      <c r="E3" s="2">
        <f>[3]results!AG4</f>
        <v>-165777.421386984</v>
      </c>
      <c r="F3" s="2">
        <f>[3]results!AH4</f>
        <v>0.40289240963853928</v>
      </c>
    </row>
    <row r="4" spans="1:6" x14ac:dyDescent="0.35">
      <c r="A4">
        <v>3</v>
      </c>
      <c r="B4" s="2">
        <f>[3]results!AD5</f>
        <v>-549802.4574980553</v>
      </c>
      <c r="C4" s="2">
        <f>[3]results!AE5</f>
        <v>-503232.21842567192</v>
      </c>
      <c r="D4" s="2">
        <f>[3]results!AF5</f>
        <v>-4.649705170188855</v>
      </c>
      <c r="E4" s="2">
        <f>[3]results!AG5</f>
        <v>-155986.01897814759</v>
      </c>
      <c r="F4" s="2">
        <f>[3]results!AH5</f>
        <v>0.46103133915119338</v>
      </c>
    </row>
    <row r="5" spans="1:6" x14ac:dyDescent="0.35">
      <c r="A5">
        <v>4</v>
      </c>
      <c r="B5" s="2">
        <f>[3]results!AD6</f>
        <v>-539361.45806396857</v>
      </c>
      <c r="C5" s="2">
        <f>[3]results!AE6</f>
        <v>-508573.65110909048</v>
      </c>
      <c r="D5" s="2">
        <f>[3]results!AF6</f>
        <v>-4.6482459715826634</v>
      </c>
      <c r="E5" s="2">
        <f>[3]results!AG6</f>
        <v>-165777.421386984</v>
      </c>
      <c r="F5" s="2">
        <f>[3]results!AH6</f>
        <v>0.40289240963853928</v>
      </c>
    </row>
    <row r="6" spans="1:6" x14ac:dyDescent="0.35">
      <c r="A6">
        <v>5</v>
      </c>
      <c r="B6" s="2">
        <f>[3]results!AD7</f>
        <v>-545132.66591350711</v>
      </c>
      <c r="C6" s="2">
        <f>[3]results!AE7</f>
        <v>-505651.14924383751</v>
      </c>
      <c r="D6" s="2">
        <f>[3]results!AF7</f>
        <v>-4.649220675868567</v>
      </c>
      <c r="E6" s="2">
        <f>[3]results!AG7</f>
        <v>-160393.72356882799</v>
      </c>
      <c r="F6" s="2">
        <f>[3]results!AH7</f>
        <v>0.43488125533277239</v>
      </c>
    </row>
    <row r="7" spans="1:6" x14ac:dyDescent="0.35">
      <c r="A7">
        <v>6</v>
      </c>
      <c r="B7" s="2">
        <f>[3]results!AD8</f>
        <v>-539361.45806396857</v>
      </c>
      <c r="C7" s="2">
        <f>[3]results!AE8</f>
        <v>-508573.65110909048</v>
      </c>
      <c r="D7" s="2">
        <f>[3]results!AF8</f>
        <v>-4.6482459715826634</v>
      </c>
      <c r="E7" s="2">
        <f>[3]results!AG8</f>
        <v>-165777.421386984</v>
      </c>
      <c r="F7" s="2">
        <f>[3]results!AH8</f>
        <v>0.40289240963853928</v>
      </c>
    </row>
    <row r="8" spans="1:6" x14ac:dyDescent="0.35">
      <c r="A8">
        <v>7</v>
      </c>
      <c r="B8" s="2">
        <f>[3]results!AD9</f>
        <v>-494403.49009286048</v>
      </c>
      <c r="C8" s="2">
        <f>[3]results!AE9</f>
        <v>-500806.27403490001</v>
      </c>
      <c r="D8" s="2">
        <f>[3]results!AF9</f>
        <v>-4.4454628818853337</v>
      </c>
      <c r="E8" s="2">
        <f>[3]results!AG9</f>
        <v>-174260.90411705381</v>
      </c>
      <c r="F8" s="2">
        <f>[3]results!AH9</f>
        <v>0.38983662482210663</v>
      </c>
    </row>
    <row r="9" spans="1:6" x14ac:dyDescent="0.35">
      <c r="A9">
        <v>8</v>
      </c>
      <c r="B9" s="2">
        <f>[3]results!AD10</f>
        <v>-539361.45806396857</v>
      </c>
      <c r="C9" s="2">
        <f>[3]results!AE10</f>
        <v>-508573.65110909048</v>
      </c>
      <c r="D9" s="2">
        <f>[3]results!AF10</f>
        <v>-4.6482459715826634</v>
      </c>
      <c r="E9" s="2">
        <f>[3]results!AG10</f>
        <v>-165777.421386984</v>
      </c>
      <c r="F9" s="2">
        <f>[3]results!AH10</f>
        <v>0.40289240963853928</v>
      </c>
    </row>
    <row r="10" spans="1:6" x14ac:dyDescent="0.35">
      <c r="A10">
        <v>9</v>
      </c>
      <c r="B10" s="2">
        <f>[3]results!AD11</f>
        <v>-181849.97281374241</v>
      </c>
      <c r="C10" s="2">
        <f>[3]results!AE11</f>
        <v>-430612.47044473089</v>
      </c>
      <c r="D10" s="2">
        <f>[3]results!AF11</f>
        <v>-2.9262803937927799</v>
      </c>
      <c r="E10" s="2">
        <f>[3]results!AG11</f>
        <v>-203557.99055381629</v>
      </c>
      <c r="F10" s="2">
        <f>[3]results!AH11</f>
        <v>0.3605530797965012</v>
      </c>
    </row>
    <row r="11" spans="1:6" x14ac:dyDescent="0.35">
      <c r="A11">
        <v>10</v>
      </c>
      <c r="B11" s="2">
        <f>[3]results!AD12</f>
        <v>-539361.45806396857</v>
      </c>
      <c r="C11" s="2">
        <f>[3]results!AE12</f>
        <v>-508573.65110909048</v>
      </c>
      <c r="D11" s="2">
        <f>[3]results!AF12</f>
        <v>-4.6482459715826634</v>
      </c>
      <c r="E11" s="2">
        <f>[3]results!AG12</f>
        <v>-165777.421386984</v>
      </c>
      <c r="F11" s="2">
        <f>[3]results!AH12</f>
        <v>0.40289240963853928</v>
      </c>
    </row>
    <row r="12" spans="1:6" x14ac:dyDescent="0.35">
      <c r="A12">
        <v>11</v>
      </c>
      <c r="B12" s="2">
        <f>[3]results!AD13</f>
        <v>-768179.85353884823</v>
      </c>
      <c r="C12" s="2">
        <f>[3]results!AE13</f>
        <v>-381253.32283796958</v>
      </c>
      <c r="D12" s="2">
        <f>[3]results!AF13</f>
        <v>-4.6226147683854473</v>
      </c>
      <c r="E12" s="2">
        <f>[3]results!AG13</f>
        <v>58552.234965922857</v>
      </c>
      <c r="F12" s="2">
        <f>[3]results!AH13</f>
        <v>1.7274448256697681</v>
      </c>
    </row>
    <row r="13" spans="1:6" x14ac:dyDescent="0.35">
      <c r="A13">
        <v>12</v>
      </c>
      <c r="B13" s="2">
        <f>[3]results!AD14</f>
        <v>-768179.85353884823</v>
      </c>
      <c r="C13" s="2">
        <f>[3]results!AE14</f>
        <v>-381253.32283796958</v>
      </c>
      <c r="D13" s="2">
        <f>[3]results!AF14</f>
        <v>-4.6226147683854473</v>
      </c>
      <c r="E13" s="2">
        <f>[3]results!AG14</f>
        <v>58552.234965922857</v>
      </c>
      <c r="F13" s="2">
        <f>[3]results!AH14</f>
        <v>1.7274448256697681</v>
      </c>
    </row>
    <row r="14" spans="1:6" x14ac:dyDescent="0.35">
      <c r="A14">
        <v>13</v>
      </c>
      <c r="B14" s="2">
        <f>[3]results!AD15</f>
        <v>-539361.45806396857</v>
      </c>
      <c r="C14" s="2">
        <f>[3]results!AE15</f>
        <v>-508573.65110909048</v>
      </c>
      <c r="D14" s="2">
        <f>[3]results!AF15</f>
        <v>-4.6482459715826634</v>
      </c>
      <c r="E14" s="2">
        <f>[3]results!AG15</f>
        <v>-165777.421386984</v>
      </c>
      <c r="F14" s="2">
        <f>[3]results!AH15</f>
        <v>0.40289240963853928</v>
      </c>
    </row>
    <row r="15" spans="1:6" x14ac:dyDescent="0.35">
      <c r="A15" t="s">
        <v>0</v>
      </c>
      <c r="B15" s="2">
        <f>[4]results!AK3</f>
        <v>-768179.85353884823</v>
      </c>
      <c r="C15" s="2">
        <f>[4]results!AL3</f>
        <v>-381253.32283796958</v>
      </c>
      <c r="D15" s="2">
        <f>[4]results!AM3</f>
        <v>-4.6226147683854473</v>
      </c>
      <c r="E15" s="2">
        <f>[4]results!AN3</f>
        <v>58552.234965922857</v>
      </c>
      <c r="F15" s="2">
        <f>[4]results!AO3</f>
        <v>1.7274448256697681</v>
      </c>
    </row>
    <row r="16" spans="1:6" x14ac:dyDescent="0.35">
      <c r="A16" t="s">
        <v>1</v>
      </c>
      <c r="B16" s="2">
        <f>[4]results!AK4</f>
        <v>-634031.48587802402</v>
      </c>
      <c r="C16" s="2">
        <f>[4]results!AL4</f>
        <v>-626385.6173974399</v>
      </c>
      <c r="D16" s="2">
        <f>[4]results!AM4</f>
        <v>-5.7397424705023239</v>
      </c>
      <c r="E16" s="2">
        <f>[4]results!AN4</f>
        <v>-170884.1705219007</v>
      </c>
      <c r="F16" s="2">
        <f>[4]results!AO4</f>
        <v>0.61772383195463199</v>
      </c>
    </row>
    <row r="17" spans="1:6" x14ac:dyDescent="0.35">
      <c r="A17" t="s">
        <v>2</v>
      </c>
      <c r="B17" s="2">
        <f>[4]results!AK5</f>
        <v>-635489.74845376587</v>
      </c>
      <c r="C17" s="2">
        <f>[4]results!AL5</f>
        <v>-626373.71185913985</v>
      </c>
      <c r="D17" s="2">
        <f>[4]results!AM5</f>
        <v>-5.7446182642016108</v>
      </c>
      <c r="E17" s="2">
        <f>[4]results!AN5</f>
        <v>-171176.25465287891</v>
      </c>
      <c r="F17" s="2">
        <f>[4]results!AO5</f>
        <v>0.61689191499457596</v>
      </c>
    </row>
    <row r="18" spans="1:6" x14ac:dyDescent="0.35">
      <c r="A18" t="s">
        <v>3</v>
      </c>
      <c r="B18" s="2">
        <f>[4]results!AK6</f>
        <v>-635489.74845376587</v>
      </c>
      <c r="C18" s="2">
        <f>[4]results!AL6</f>
        <v>-626373.71185913985</v>
      </c>
      <c r="D18" s="2">
        <f>[4]results!AM6</f>
        <v>-5.7446182642016108</v>
      </c>
      <c r="E18" s="2">
        <f>[4]results!AN6</f>
        <v>-171176.25465287891</v>
      </c>
      <c r="F18" s="2">
        <f>[4]results!AO6</f>
        <v>0.61689191499457596</v>
      </c>
    </row>
    <row r="19" spans="1:6" x14ac:dyDescent="0.35">
      <c r="A19" t="s">
        <v>4</v>
      </c>
      <c r="B19" s="2">
        <f>[4]results!AK7</f>
        <v>-635489.74845376587</v>
      </c>
      <c r="C19" s="2">
        <f>[4]results!AL7</f>
        <v>-626373.71185913985</v>
      </c>
      <c r="D19" s="2">
        <f>[4]results!AM7</f>
        <v>-5.7446182642016108</v>
      </c>
      <c r="E19" s="2">
        <f>[4]results!AN7</f>
        <v>-171176.25465287891</v>
      </c>
      <c r="F19" s="2">
        <f>[4]results!AO7</f>
        <v>0.61689191499457596</v>
      </c>
    </row>
    <row r="20" spans="1:6" x14ac:dyDescent="0.35">
      <c r="A20" t="s">
        <v>5</v>
      </c>
      <c r="B20" s="2">
        <f>[4]results!AK8</f>
        <v>-635489.74845376587</v>
      </c>
      <c r="C20" s="2">
        <f>[4]results!AL8</f>
        <v>-626373.71185913985</v>
      </c>
      <c r="D20" s="2">
        <f>[4]results!AM8</f>
        <v>-5.7446182642016108</v>
      </c>
      <c r="E20" s="2">
        <f>[4]results!AN8</f>
        <v>-171176.25465287891</v>
      </c>
      <c r="F20" s="2">
        <f>[4]results!AO8</f>
        <v>0.61689191499457596</v>
      </c>
    </row>
    <row r="21" spans="1:6" x14ac:dyDescent="0.35">
      <c r="A21" t="s">
        <v>6</v>
      </c>
      <c r="B21" s="2">
        <f>[4]results!AK9</f>
        <v>-634031.48587802402</v>
      </c>
      <c r="C21" s="2">
        <f>[4]results!AL9</f>
        <v>-626385.6173974399</v>
      </c>
      <c r="D21" s="2">
        <f>[4]results!AM9</f>
        <v>-5.7397424705023239</v>
      </c>
      <c r="E21" s="2">
        <f>[4]results!AN9</f>
        <v>-170884.1705219007</v>
      </c>
      <c r="F21" s="2">
        <f>[4]results!AO9</f>
        <v>0.61772383195463199</v>
      </c>
    </row>
    <row r="22" spans="1:6" x14ac:dyDescent="0.35">
      <c r="A22" t="s">
        <v>7</v>
      </c>
      <c r="B22" s="2">
        <f>[4]results!AK10</f>
        <v>-635489.74845376587</v>
      </c>
      <c r="C22" s="2">
        <f>[4]results!AL10</f>
        <v>-626373.71185913985</v>
      </c>
      <c r="D22" s="2">
        <f>[4]results!AM10</f>
        <v>-5.7446182642016108</v>
      </c>
      <c r="E22" s="2">
        <f>[4]results!AN10</f>
        <v>-171176.25465287891</v>
      </c>
      <c r="F22" s="2">
        <f>[4]results!AO10</f>
        <v>0.61689191499457596</v>
      </c>
    </row>
    <row r="23" spans="1:6" x14ac:dyDescent="0.35">
      <c r="A23" t="s">
        <v>8</v>
      </c>
      <c r="B23" s="2">
        <f>[4]results!AK11</f>
        <v>-614258.26456573897</v>
      </c>
      <c r="C23" s="2">
        <f>[4]results!AL11</f>
        <v>-625921.44778011297</v>
      </c>
      <c r="D23" s="2">
        <f>[4]results!AM11</f>
        <v>-5.6692333753218422</v>
      </c>
      <c r="E23" s="2">
        <f>[4]results!AN11</f>
        <v>-166828.65401306169</v>
      </c>
      <c r="F23" s="2">
        <f>[4]results!AO11</f>
        <v>0.63041925444081326</v>
      </c>
    </row>
    <row r="24" spans="1:6" x14ac:dyDescent="0.35">
      <c r="A24" t="s">
        <v>9</v>
      </c>
      <c r="B24" s="2">
        <f>[4]results!AK12</f>
        <v>-539361.45806396857</v>
      </c>
      <c r="C24" s="2">
        <f>[4]results!AL12</f>
        <v>-508573.65110909048</v>
      </c>
      <c r="D24" s="2">
        <f>[4]results!AM12</f>
        <v>-4.6482459715826634</v>
      </c>
      <c r="E24" s="2">
        <f>[4]results!AN12</f>
        <v>-165777.421386984</v>
      </c>
      <c r="F24" s="2">
        <f>[4]results!AO12</f>
        <v>0.40289240963853928</v>
      </c>
    </row>
    <row r="25" spans="1:6" x14ac:dyDescent="0.35">
      <c r="A25" t="s">
        <v>10</v>
      </c>
      <c r="B25" s="2">
        <f>[4]results!AK13</f>
        <v>-635489.74845376587</v>
      </c>
      <c r="C25" s="2">
        <f>[4]results!AL13</f>
        <v>-626373.71185913985</v>
      </c>
      <c r="D25" s="2">
        <f>[4]results!AM13</f>
        <v>-5.7446182642016108</v>
      </c>
      <c r="E25" s="2">
        <f>[4]results!AN13</f>
        <v>-171176.25465287891</v>
      </c>
      <c r="F25" s="2">
        <f>[4]results!AO13</f>
        <v>0.61689191499457596</v>
      </c>
    </row>
    <row r="26" spans="1:6" x14ac:dyDescent="0.35">
      <c r="A26" t="s">
        <v>11</v>
      </c>
      <c r="B26" s="2">
        <f>[4]results!AK14</f>
        <v>-768179.85353884823</v>
      </c>
      <c r="C26" s="2">
        <f>[4]results!AL14</f>
        <v>-381253.32283796958</v>
      </c>
      <c r="D26" s="2">
        <f>[4]results!AM14</f>
        <v>-4.6226147683854473</v>
      </c>
      <c r="E26" s="2">
        <f>[4]results!AN14</f>
        <v>58552.234965922857</v>
      </c>
      <c r="F26" s="2">
        <f>[4]results!AO14</f>
        <v>1.7274448256697681</v>
      </c>
    </row>
    <row r="27" spans="1:6" x14ac:dyDescent="0.35">
      <c r="A27" t="s">
        <v>12</v>
      </c>
      <c r="B27" s="2">
        <f>[4]results!AK15</f>
        <v>-635489.74845376587</v>
      </c>
      <c r="C27" s="2">
        <f>[4]results!AL15</f>
        <v>-626373.71185913985</v>
      </c>
      <c r="D27" s="2">
        <f>[4]results!AM15</f>
        <v>-5.7446182642016108</v>
      </c>
      <c r="E27" s="2">
        <f>[4]results!AN15</f>
        <v>-171176.25465287891</v>
      </c>
      <c r="F27" s="2">
        <f>[4]results!AO15</f>
        <v>0.61689191499457596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810-FFDC-4A08-AA0F-1FA61F330562}">
  <dimension ref="A1:F27"/>
  <sheetViews>
    <sheetView workbookViewId="0">
      <selection sqref="A1:F1"/>
    </sheetView>
  </sheetViews>
  <sheetFormatPr baseColWidth="10" defaultRowHeight="14.5" x14ac:dyDescent="0.35"/>
  <sheetData>
    <row r="1" spans="1:6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spans="1:6" x14ac:dyDescent="0.35">
      <c r="A2">
        <v>1</v>
      </c>
      <c r="B2" s="2">
        <f>[1]results!AD3</f>
        <v>-469330.6388984978</v>
      </c>
      <c r="C2" s="2">
        <f>[1]results!AE3</f>
        <v>-225029.63746269559</v>
      </c>
      <c r="D2" s="2">
        <f>[1]results!AF3</f>
        <v>-2.6012347539696949</v>
      </c>
      <c r="E2" s="2">
        <f>[1]results!AG3</f>
        <v>109769.2436400334</v>
      </c>
      <c r="F2" s="2">
        <f>[1]results!AH3</f>
        <v>2.3564966649116048</v>
      </c>
    </row>
    <row r="3" spans="1:6" x14ac:dyDescent="0.35">
      <c r="A3">
        <v>2</v>
      </c>
      <c r="B3" s="2">
        <f>[1]results!AD4</f>
        <v>-152274.74178398619</v>
      </c>
      <c r="C3" s="2">
        <f>[1]results!AE4</f>
        <v>-400204.50709010882</v>
      </c>
      <c r="D3" s="2">
        <f>[1]results!AF4</f>
        <v>-2.6297708575663798</v>
      </c>
      <c r="E3" s="2">
        <f>[1]results!AG4</f>
        <v>-175282.55174734921</v>
      </c>
      <c r="F3" s="2">
        <f>[1]results!AH4</f>
        <v>0.52727472891447225</v>
      </c>
    </row>
    <row r="4" spans="1:6" x14ac:dyDescent="0.35">
      <c r="A4">
        <v>3</v>
      </c>
      <c r="B4" s="2">
        <f>[1]results!AD5</f>
        <v>-180191.32311227391</v>
      </c>
      <c r="C4" s="2">
        <f>[1]results!AE5</f>
        <v>-385618.29432859208</v>
      </c>
      <c r="D4" s="2">
        <f>[1]results!AF5</f>
        <v>-2.6319623127954919</v>
      </c>
      <c r="E4" s="2">
        <f>[1]results!AG5</f>
        <v>-151813.94643265431</v>
      </c>
      <c r="F4" s="2">
        <f>[1]results!AH5</f>
        <v>0.68421999225983565</v>
      </c>
    </row>
    <row r="5" spans="1:6" x14ac:dyDescent="0.35">
      <c r="A5">
        <v>4</v>
      </c>
      <c r="B5" s="2">
        <f>[1]results!AD6</f>
        <v>-152274.74178398619</v>
      </c>
      <c r="C5" s="2">
        <f>[1]results!AE6</f>
        <v>-400204.50709010882</v>
      </c>
      <c r="D5" s="2">
        <f>[1]results!AF6</f>
        <v>-2.6297708575663798</v>
      </c>
      <c r="E5" s="2">
        <f>[1]results!AG6</f>
        <v>-175282.55174734921</v>
      </c>
      <c r="F5" s="2">
        <f>[1]results!AH6</f>
        <v>0.52727472891447225</v>
      </c>
    </row>
    <row r="6" spans="1:6" x14ac:dyDescent="0.35">
      <c r="A6">
        <v>5</v>
      </c>
      <c r="B6" s="2">
        <f>[1]results!AD7</f>
        <v>-152274.7415890776</v>
      </c>
      <c r="C6" s="2">
        <f>[1]results!AE7</f>
        <v>-400204.50700893142</v>
      </c>
      <c r="D6" s="2">
        <f>[1]results!AF7</f>
        <v>-2.6297708563539031</v>
      </c>
      <c r="E6" s="2">
        <f>[1]results!AG7</f>
        <v>-175282.5517908425</v>
      </c>
      <c r="F6" s="2">
        <f>[1]results!AH7</f>
        <v>0.52727472817421106</v>
      </c>
    </row>
    <row r="7" spans="1:6" x14ac:dyDescent="0.35">
      <c r="A7">
        <v>6</v>
      </c>
      <c r="B7" s="2">
        <f>[1]results!AD8</f>
        <v>-152274.74178398619</v>
      </c>
      <c r="C7" s="2">
        <f>[1]results!AE8</f>
        <v>-400204.50709010882</v>
      </c>
      <c r="D7" s="2">
        <f>[1]results!AF8</f>
        <v>-2.6297708575663798</v>
      </c>
      <c r="E7" s="2">
        <f>[1]results!AG8</f>
        <v>-175282.55174734921</v>
      </c>
      <c r="F7" s="2">
        <f>[1]results!AH8</f>
        <v>0.52727472891447225</v>
      </c>
    </row>
    <row r="8" spans="1:6" x14ac:dyDescent="0.35">
      <c r="A8">
        <v>7</v>
      </c>
      <c r="B8" s="2">
        <f>[1]results!AD9</f>
        <v>-117971.8673677115</v>
      </c>
      <c r="C8" s="2">
        <f>[1]results!AE9</f>
        <v>-385507.81105058279</v>
      </c>
      <c r="D8" s="2">
        <f>[1]results!AF9</f>
        <v>-2.466156443847519</v>
      </c>
      <c r="E8" s="2">
        <f>[1]results!AG9</f>
        <v>-192341.56997202779</v>
      </c>
      <c r="F8" s="2">
        <f>[1]results!AH9</f>
        <v>0.36396616896104639</v>
      </c>
    </row>
    <row r="9" spans="1:6" x14ac:dyDescent="0.35">
      <c r="A9">
        <v>8</v>
      </c>
      <c r="B9" s="2">
        <f>[1]results!AD10</f>
        <v>-117971.8673677115</v>
      </c>
      <c r="C9" s="2">
        <f>[1]results!AE10</f>
        <v>-385507.81105058279</v>
      </c>
      <c r="D9" s="2">
        <f>[1]results!AF10</f>
        <v>-2.466156443847519</v>
      </c>
      <c r="E9" s="2">
        <f>[1]results!AG10</f>
        <v>-192341.56997202779</v>
      </c>
      <c r="F9" s="2">
        <f>[1]results!AH10</f>
        <v>0.36396616896104639</v>
      </c>
    </row>
    <row r="10" spans="1:6" x14ac:dyDescent="0.35">
      <c r="A10">
        <v>9</v>
      </c>
      <c r="B10" s="2">
        <f>[1]results!AD11</f>
        <v>-117971.8673677115</v>
      </c>
      <c r="C10" s="2">
        <f>[1]results!AE11</f>
        <v>-385507.81105058279</v>
      </c>
      <c r="D10" s="2">
        <f>[1]results!AF11</f>
        <v>-2.466156443847519</v>
      </c>
      <c r="E10" s="2">
        <f>[1]results!AG11</f>
        <v>-192341.56997202779</v>
      </c>
      <c r="F10" s="2">
        <f>[1]results!AH11</f>
        <v>0.36396616896104639</v>
      </c>
    </row>
    <row r="11" spans="1:6" x14ac:dyDescent="0.35">
      <c r="A11">
        <v>10</v>
      </c>
      <c r="B11" s="2">
        <f>[1]results!AD12</f>
        <v>-117971.8673677115</v>
      </c>
      <c r="C11" s="2">
        <f>[1]results!AE12</f>
        <v>-385507.81105058279</v>
      </c>
      <c r="D11" s="2">
        <f>[1]results!AF12</f>
        <v>-2.466156443847519</v>
      </c>
      <c r="E11" s="2">
        <f>[1]results!AG12</f>
        <v>-192341.56997202779</v>
      </c>
      <c r="F11" s="2">
        <f>[1]results!AH12</f>
        <v>0.36396616896104639</v>
      </c>
    </row>
    <row r="12" spans="1:6" x14ac:dyDescent="0.35">
      <c r="A12">
        <v>11</v>
      </c>
      <c r="B12" s="2">
        <f>[1]results!AD13</f>
        <v>-469330.6388984978</v>
      </c>
      <c r="C12" s="2">
        <f>[1]results!AE13</f>
        <v>-225029.63746269559</v>
      </c>
      <c r="D12" s="2">
        <f>[1]results!AF13</f>
        <v>-2.6012347539696949</v>
      </c>
      <c r="E12" s="2">
        <f>[1]results!AG13</f>
        <v>109769.2436400334</v>
      </c>
      <c r="F12" s="2">
        <f>[1]results!AH13</f>
        <v>2.3564966649116048</v>
      </c>
    </row>
    <row r="13" spans="1:6" x14ac:dyDescent="0.35">
      <c r="A13">
        <v>12</v>
      </c>
      <c r="B13" s="2">
        <f>[1]results!AD14</f>
        <v>-469330.6388984978</v>
      </c>
      <c r="C13" s="2">
        <f>[1]results!AE14</f>
        <v>-225029.63746269559</v>
      </c>
      <c r="D13" s="2">
        <f>[1]results!AF14</f>
        <v>-2.6012347539696949</v>
      </c>
      <c r="E13" s="2">
        <f>[1]results!AG14</f>
        <v>109769.2436400334</v>
      </c>
      <c r="F13" s="2">
        <f>[1]results!AH14</f>
        <v>2.3564966649116048</v>
      </c>
    </row>
    <row r="14" spans="1:6" x14ac:dyDescent="0.35">
      <c r="A14">
        <v>13</v>
      </c>
      <c r="B14" s="2">
        <f>[1]results!AD15</f>
        <v>-117971.8673677115</v>
      </c>
      <c r="C14" s="2">
        <f>[1]results!AE15</f>
        <v>-385507.81105058279</v>
      </c>
      <c r="D14" s="2">
        <f>[1]results!AF15</f>
        <v>-2.466156443847519</v>
      </c>
      <c r="E14" s="2">
        <f>[1]results!AG15</f>
        <v>-192341.56997202779</v>
      </c>
      <c r="F14" s="2">
        <f>[1]results!AH15</f>
        <v>0.36396616896104639</v>
      </c>
    </row>
    <row r="15" spans="1:6" x14ac:dyDescent="0.35">
      <c r="A15" t="s">
        <v>0</v>
      </c>
      <c r="B15" s="2">
        <f>[2]results!AK4</f>
        <v>-608113.14266050921</v>
      </c>
      <c r="C15" s="2">
        <f>[2]results!AL4</f>
        <v>-625068.02890172915</v>
      </c>
      <c r="D15" s="2">
        <f>[2]results!AM4</f>
        <v>-5.642614112627415</v>
      </c>
      <c r="E15" s="2">
        <f>[2]results!AN4</f>
        <v>-165459.44921123519</v>
      </c>
      <c r="F15" s="2">
        <f>[2]results!AO4</f>
        <v>0.63571057002381026</v>
      </c>
    </row>
    <row r="16" spans="1:6" x14ac:dyDescent="0.35">
      <c r="A16" t="s">
        <v>1</v>
      </c>
      <c r="B16" s="2">
        <f>[2]results!AK5</f>
        <v>-608113.14266050921</v>
      </c>
      <c r="C16" s="2">
        <f>[2]results!AL5</f>
        <v>-625068.02890172915</v>
      </c>
      <c r="D16" s="2">
        <f>[2]results!AM5</f>
        <v>-5.642614112627415</v>
      </c>
      <c r="E16" s="2">
        <f>[2]results!AN5</f>
        <v>-165459.44921123519</v>
      </c>
      <c r="F16" s="2">
        <f>[2]results!AO5</f>
        <v>0.63571057002381026</v>
      </c>
    </row>
    <row r="17" spans="1:6" x14ac:dyDescent="0.35">
      <c r="A17" t="s">
        <v>2</v>
      </c>
      <c r="B17" s="2">
        <f>[2]results!AK6</f>
        <v>-608113.14266050921</v>
      </c>
      <c r="C17" s="2">
        <f>[2]results!AL6</f>
        <v>-625068.02890172915</v>
      </c>
      <c r="D17" s="2">
        <f>[2]results!AM6</f>
        <v>-5.642614112627415</v>
      </c>
      <c r="E17" s="2">
        <f>[2]results!AN6</f>
        <v>-165459.44921123519</v>
      </c>
      <c r="F17" s="2">
        <f>[2]results!AO6</f>
        <v>0.63571057002381026</v>
      </c>
    </row>
    <row r="18" spans="1:6" x14ac:dyDescent="0.35">
      <c r="A18" t="s">
        <v>3</v>
      </c>
      <c r="B18" s="2">
        <f>[2]results!AK7</f>
        <v>-608113.14266050921</v>
      </c>
      <c r="C18" s="2">
        <f>[2]results!AL7</f>
        <v>-625068.02890172915</v>
      </c>
      <c r="D18" s="2">
        <f>[2]results!AM7</f>
        <v>-5.642614112627415</v>
      </c>
      <c r="E18" s="2">
        <f>[2]results!AN7</f>
        <v>-165459.44921123519</v>
      </c>
      <c r="F18" s="2">
        <f>[2]results!AO7</f>
        <v>0.63571057002381026</v>
      </c>
    </row>
    <row r="19" spans="1:6" x14ac:dyDescent="0.35">
      <c r="A19" t="s">
        <v>4</v>
      </c>
      <c r="B19" s="2">
        <f>[2]results!AK8</f>
        <v>-608113.14266050921</v>
      </c>
      <c r="C19" s="2">
        <f>[2]results!AL8</f>
        <v>-625068.02890172915</v>
      </c>
      <c r="D19" s="2">
        <f>[2]results!AM8</f>
        <v>-5.642614112627415</v>
      </c>
      <c r="E19" s="2">
        <f>[2]results!AN8</f>
        <v>-165459.44921123519</v>
      </c>
      <c r="F19" s="2">
        <f>[2]results!AO8</f>
        <v>0.63571057002381026</v>
      </c>
    </row>
    <row r="20" spans="1:6" x14ac:dyDescent="0.35">
      <c r="A20" t="s">
        <v>5</v>
      </c>
      <c r="B20" s="2">
        <f>[2]results!AK9</f>
        <v>-608113.14266050921</v>
      </c>
      <c r="C20" s="2">
        <f>[2]results!AL9</f>
        <v>-625068.02890172915</v>
      </c>
      <c r="D20" s="2">
        <f>[2]results!AM9</f>
        <v>-5.642614112627415</v>
      </c>
      <c r="E20" s="2">
        <f>[2]results!AN9</f>
        <v>-165459.44921123519</v>
      </c>
      <c r="F20" s="2">
        <f>[2]results!AO9</f>
        <v>0.63571057002381026</v>
      </c>
    </row>
    <row r="21" spans="1:6" x14ac:dyDescent="0.35">
      <c r="A21" t="s">
        <v>6</v>
      </c>
      <c r="B21" s="2">
        <f>[2]results!AK10</f>
        <v>-608113.14266050921</v>
      </c>
      <c r="C21" s="2">
        <f>[2]results!AL10</f>
        <v>-625068.02890172915</v>
      </c>
      <c r="D21" s="2">
        <f>[2]results!AM10</f>
        <v>-5.642614112627415</v>
      </c>
      <c r="E21" s="2">
        <f>[2]results!AN10</f>
        <v>-165459.44921123519</v>
      </c>
      <c r="F21" s="2">
        <f>[2]results!AO10</f>
        <v>0.63571057002381026</v>
      </c>
    </row>
    <row r="22" spans="1:6" x14ac:dyDescent="0.35">
      <c r="A22" t="s">
        <v>7</v>
      </c>
      <c r="B22" s="2">
        <f>[2]results!AK11</f>
        <v>-608113.14266050921</v>
      </c>
      <c r="C22" s="2">
        <f>[2]results!AL11</f>
        <v>-625068.02890172915</v>
      </c>
      <c r="D22" s="2">
        <f>[2]results!AM11</f>
        <v>-5.642614112627415</v>
      </c>
      <c r="E22" s="2">
        <f>[2]results!AN11</f>
        <v>-165459.44921123519</v>
      </c>
      <c r="F22" s="2">
        <f>[2]results!AO11</f>
        <v>0.63571057002381026</v>
      </c>
    </row>
    <row r="23" spans="1:6" x14ac:dyDescent="0.35">
      <c r="A23" t="s">
        <v>8</v>
      </c>
      <c r="B23" s="2">
        <f>[2]results!AK12</f>
        <v>-608113.14266050921</v>
      </c>
      <c r="C23" s="2">
        <f>[2]results!AL12</f>
        <v>-625068.02890172915</v>
      </c>
      <c r="D23" s="2">
        <f>[2]results!AM12</f>
        <v>-5.642614112627415</v>
      </c>
      <c r="E23" s="2">
        <f>[2]results!AN12</f>
        <v>-165459.44921123519</v>
      </c>
      <c r="F23" s="2">
        <f>[2]results!AO12</f>
        <v>0.63571057002381026</v>
      </c>
    </row>
    <row r="24" spans="1:6" x14ac:dyDescent="0.35">
      <c r="A24" t="s">
        <v>9</v>
      </c>
      <c r="B24" s="2">
        <f>[2]results!AK13</f>
        <v>-608113.14266050921</v>
      </c>
      <c r="C24" s="2">
        <f>[2]results!AL13</f>
        <v>-625068.02890172915</v>
      </c>
      <c r="D24" s="2">
        <f>[2]results!AM13</f>
        <v>-5.642614112627415</v>
      </c>
      <c r="E24" s="2">
        <f>[2]results!AN13</f>
        <v>-165459.44921123519</v>
      </c>
      <c r="F24" s="2">
        <f>[2]results!AO13</f>
        <v>0.63571057002381026</v>
      </c>
    </row>
    <row r="25" spans="1:6" x14ac:dyDescent="0.35">
      <c r="A25" t="s">
        <v>10</v>
      </c>
      <c r="B25" s="2">
        <f>[2]results!AK14</f>
        <v>-608113.14266050921</v>
      </c>
      <c r="C25" s="2">
        <f>[2]results!AL14</f>
        <v>-625068.02890172915</v>
      </c>
      <c r="D25" s="2">
        <f>[2]results!AM14</f>
        <v>-5.642614112627415</v>
      </c>
      <c r="E25" s="2">
        <f>[2]results!AN14</f>
        <v>-165459.44921123519</v>
      </c>
      <c r="F25" s="2">
        <f>[2]results!AO14</f>
        <v>0.63571057002381026</v>
      </c>
    </row>
    <row r="26" spans="1:6" x14ac:dyDescent="0.35">
      <c r="A26" t="s">
        <v>11</v>
      </c>
      <c r="B26" s="2">
        <f>[2]results!AK15</f>
        <v>-608113.14266050921</v>
      </c>
      <c r="C26" s="2">
        <f>[2]results!AL15</f>
        <v>-625068.02890172915</v>
      </c>
      <c r="D26" s="2">
        <f>[2]results!AM15</f>
        <v>-5.642614112627415</v>
      </c>
      <c r="E26" s="2">
        <f>[2]results!AN15</f>
        <v>-165459.44921123519</v>
      </c>
      <c r="F26" s="2">
        <f>[2]results!AO15</f>
        <v>0.63571057002381026</v>
      </c>
    </row>
    <row r="27" spans="1:6" x14ac:dyDescent="0.35">
      <c r="A27" t="s">
        <v>12</v>
      </c>
      <c r="B27" s="2">
        <f>[2]results!AK16</f>
        <v>-608113.14266050921</v>
      </c>
      <c r="C27" s="2">
        <f>[2]results!AL16</f>
        <v>-625068.02890172915</v>
      </c>
      <c r="D27" s="2">
        <f>[2]results!AM16</f>
        <v>-5.642614112627415</v>
      </c>
      <c r="E27" s="2">
        <f>[2]results!AN16</f>
        <v>-165459.44921123519</v>
      </c>
      <c r="F27" s="2">
        <f>[2]results!AO16</f>
        <v>0.63571057002381026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corr_peat_HC2</vt:lpstr>
      <vt:lpstr>corr_peat2</vt:lpstr>
      <vt:lpstr>corr_HC2</vt:lpstr>
      <vt:lpstr>brut2</vt:lpstr>
      <vt:lpstr>brut</vt:lpstr>
      <vt:lpstr>corr_HC</vt:lpstr>
      <vt:lpstr>corr_peat</vt:lpstr>
      <vt:lpstr>corr_peat_HC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2026-02-16T09:43:34Z</dcterms:created>
  <dcterms:modified xsi:type="dcterms:W3CDTF">2026-02-20T11:01:32Z</dcterms:modified>
</cp:coreProperties>
</file>