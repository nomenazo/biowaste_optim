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brut-sans-correction\"/>
    </mc:Choice>
  </mc:AlternateContent>
  <xr:revisionPtr revIDLastSave="0" documentId="13_ncr:1_{AB2C3596-A747-4467-AB79-B3BD577E89D7}" xr6:coauthVersionLast="36" xr6:coauthVersionMax="36" xr10:uidLastSave="{00000000-0000-0000-0000-000000000000}"/>
  <bookViews>
    <workbookView xWindow="0" yWindow="0" windowWidth="19200" windowHeight="6350" xr2:uid="{00000000-000D-0000-FFFF-FFFF00000000}"/>
  </bookViews>
  <sheets>
    <sheet name="results" sheetId="1" r:id="rId1"/>
  </sheets>
  <calcPr calcId="191029"/>
</workbook>
</file>

<file path=xl/calcChain.xml><?xml version="1.0" encoding="utf-8"?>
<calcChain xmlns="http://schemas.openxmlformats.org/spreadsheetml/2006/main">
  <c r="AZ4" i="1" l="1"/>
  <c r="AZ5" i="1"/>
  <c r="AZ6" i="1"/>
  <c r="AZ7" i="1"/>
  <c r="AZ8" i="1"/>
  <c r="AZ9" i="1"/>
  <c r="AY4" i="1"/>
  <c r="AY5" i="1"/>
  <c r="AY6" i="1"/>
  <c r="AY7" i="1"/>
  <c r="AY8" i="1"/>
  <c r="AY9" i="1"/>
  <c r="AX4" i="1"/>
  <c r="AX5" i="1"/>
  <c r="AX6" i="1"/>
  <c r="AX7" i="1"/>
  <c r="AX8" i="1"/>
  <c r="AX9" i="1"/>
  <c r="AW4" i="1"/>
  <c r="AW5" i="1"/>
  <c r="AW6" i="1"/>
  <c r="AW7" i="1"/>
  <c r="AW8" i="1"/>
  <c r="AW9" i="1"/>
  <c r="AV4" i="1"/>
  <c r="AV5" i="1"/>
  <c r="AV6" i="1"/>
  <c r="AV7" i="1"/>
  <c r="AV8" i="1"/>
  <c r="AV9" i="1"/>
  <c r="AU4" i="1"/>
  <c r="AU5" i="1"/>
  <c r="AU6" i="1"/>
  <c r="AU7" i="1"/>
  <c r="AU8" i="1"/>
  <c r="AU9" i="1"/>
  <c r="AT4" i="1"/>
  <c r="AT5" i="1"/>
  <c r="AT6" i="1"/>
  <c r="AT7" i="1"/>
  <c r="AT8" i="1"/>
  <c r="AT9" i="1"/>
  <c r="AS4" i="1"/>
  <c r="AS5" i="1"/>
  <c r="AS6" i="1"/>
  <c r="AS7" i="1"/>
  <c r="AS8" i="1"/>
  <c r="AS9" i="1"/>
  <c r="AR4" i="1"/>
  <c r="AR5" i="1"/>
  <c r="AR6" i="1"/>
  <c r="AR7" i="1"/>
  <c r="AR8" i="1"/>
  <c r="AR9" i="1"/>
  <c r="AZ3" i="1"/>
  <c r="AY3" i="1"/>
  <c r="AX3" i="1"/>
  <c r="AW3" i="1"/>
  <c r="AV3" i="1"/>
  <c r="AU3" i="1"/>
  <c r="AT3" i="1"/>
  <c r="AS3" i="1"/>
  <c r="AR3" i="1"/>
</calcChain>
</file>

<file path=xl/sharedStrings.xml><?xml version="1.0" encoding="utf-8"?>
<sst xmlns="http://schemas.openxmlformats.org/spreadsheetml/2006/main" count="71" uniqueCount="55">
  <si>
    <t>HC</t>
  </si>
  <si>
    <t>IC</t>
  </si>
  <si>
    <t>AD-a</t>
  </si>
  <si>
    <t>AD-b</t>
  </si>
  <si>
    <t>AD-c</t>
  </si>
  <si>
    <t>AD-d</t>
  </si>
  <si>
    <t>AD-e</t>
  </si>
  <si>
    <t>AD-f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</si>
  <si>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</si>
  <si>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</si>
  <si>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</si>
  <si>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</si>
  <si>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</si>
  <si>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</si>
  <si>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</si>
  <si>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</si>
  <si>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</si>
  <si>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</si>
  <si>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</si>
  <si>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</si>
  <si>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</si>
  <si>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</si>
  <si>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</si>
  <si>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</si>
  <si>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</si>
  <si>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</si>
  <si>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</si>
  <si>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</si>
  <si>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</si>
  <si>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</si>
  <si>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</si>
  <si>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</si>
  <si>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</si>
  <si>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</si>
  <si>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Villiers</t>
  </si>
  <si>
    <t>Refood</t>
  </si>
  <si>
    <t>Biometa</t>
  </si>
  <si>
    <t>Carbon</t>
  </si>
  <si>
    <t>EQ</t>
  </si>
  <si>
    <t>HH</t>
  </si>
  <si>
    <t>EQssC</t>
  </si>
  <si>
    <t>HHssC</t>
  </si>
  <si>
    <t>minCO2</t>
  </si>
  <si>
    <t>minEQ</t>
  </si>
  <si>
    <t>minHH</t>
  </si>
  <si>
    <t>minEQ&amp;HH</t>
  </si>
  <si>
    <t>minCO2&amp;EQ</t>
  </si>
  <si>
    <t>minCO2&amp;HH</t>
  </si>
  <si>
    <t>minCO2&amp;EQ&amp;HH</t>
  </si>
  <si>
    <t>AD-cog-dig</t>
  </si>
  <si>
    <t>AD-cog-comp</t>
  </si>
  <si>
    <t>AD-biomet-dig</t>
  </si>
  <si>
    <t>AD-biomet-comp</t>
  </si>
  <si>
    <t>AD-heat-dig</t>
  </si>
  <si>
    <t>AD-heat-comp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</si>
</sst>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0" fontId="0" fillId="0" borderId="0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Without constraint -</a:t>
            </a:r>
            <a:r>
              <a:rPr lang="fr-FR" baseline="0"/>
              <a:t> with investment</a:t>
            </a:r>
            <a:endParaRPr lang="fr-F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results!$AR$2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results!$AR$3:$AR$9</c:f>
              <c:numCache>
                <c:formatCode>0.00</c:formatCode>
                <c:ptCount val="7"/>
                <c:pt idx="0">
                  <c:v>6.5</c:v>
                </c:pt>
                <c:pt idx="1">
                  <c:v>0</c:v>
                </c:pt>
                <c:pt idx="2">
                  <c:v>6.5</c:v>
                </c:pt>
                <c:pt idx="3">
                  <c:v>1.29</c:v>
                </c:pt>
                <c:pt idx="4">
                  <c:v>6.5</c:v>
                </c:pt>
                <c:pt idx="5">
                  <c:v>48.309999999999995</c:v>
                </c:pt>
                <c:pt idx="6">
                  <c:v>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DC-40FF-B4DA-E94B4FE3DE0C}"/>
            </c:ext>
          </c:extLst>
        </c:ser>
        <c:ser>
          <c:idx val="1"/>
          <c:order val="1"/>
          <c:tx>
            <c:strRef>
              <c:f>results!$AS$2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results!$AS$3:$AS$9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51.7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DC-40FF-B4DA-E94B4FE3DE0C}"/>
            </c:ext>
          </c:extLst>
        </c:ser>
        <c:ser>
          <c:idx val="2"/>
          <c:order val="2"/>
          <c:tx>
            <c:strRef>
              <c:f>results!$AT$2</c:f>
              <c:strCache>
                <c:ptCount val="1"/>
                <c:pt idx="0">
                  <c:v>AD-cog-dig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results!$AT$3:$AT$9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CDC-40FF-B4DA-E94B4FE3DE0C}"/>
            </c:ext>
          </c:extLst>
        </c:ser>
        <c:ser>
          <c:idx val="3"/>
          <c:order val="3"/>
          <c:tx>
            <c:strRef>
              <c:f>results!$AU$2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results!$AU$3:$AU$9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CDC-40FF-B4DA-E94B4FE3DE0C}"/>
            </c:ext>
          </c:extLst>
        </c:ser>
        <c:ser>
          <c:idx val="4"/>
          <c:order val="4"/>
          <c:tx>
            <c:strRef>
              <c:f>results!$AV$2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results!$AV$3:$AV$9</c:f>
              <c:numCache>
                <c:formatCode>General</c:formatCode>
                <c:ptCount val="7"/>
                <c:pt idx="0">
                  <c:v>93.51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CDC-40FF-B4DA-E94B4FE3DE0C}"/>
            </c:ext>
          </c:extLst>
        </c:ser>
        <c:ser>
          <c:idx val="5"/>
          <c:order val="5"/>
          <c:tx>
            <c:strRef>
              <c:f>results!$AW$2</c:f>
              <c:strCache>
                <c:ptCount val="1"/>
                <c:pt idx="0">
                  <c:v>AD-biomet-comp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results!$AW$3:$AW$9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CDC-40FF-B4DA-E94B4FE3DE0C}"/>
            </c:ext>
          </c:extLst>
        </c:ser>
        <c:ser>
          <c:idx val="6"/>
          <c:order val="6"/>
          <c:tx>
            <c:strRef>
              <c:f>results!$AX$2</c:f>
              <c:strCache>
                <c:ptCount val="1"/>
                <c:pt idx="0">
                  <c:v>AD-heat-dig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results!$AX$3:$AX$9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93.51</c:v>
                </c:pt>
                <c:pt idx="3">
                  <c:v>98.71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CDC-40FF-B4DA-E94B4FE3DE0C}"/>
            </c:ext>
          </c:extLst>
        </c:ser>
        <c:ser>
          <c:idx val="7"/>
          <c:order val="7"/>
          <c:tx>
            <c:strRef>
              <c:f>results!$AY$2</c:f>
              <c:strCache>
                <c:ptCount val="1"/>
                <c:pt idx="0">
                  <c:v>AD-heat-comp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results!$AQ$3:$AQ$9</c:f>
              <c:strCache>
                <c:ptCount val="7"/>
                <c:pt idx="0">
                  <c:v>minCO2</c:v>
                </c:pt>
                <c:pt idx="1">
                  <c:v>minEQ</c:v>
                </c:pt>
                <c:pt idx="2">
                  <c:v>minHH</c:v>
                </c:pt>
                <c:pt idx="3">
                  <c:v>minEQ&amp;HH</c:v>
                </c:pt>
                <c:pt idx="4">
                  <c:v>minCO2&amp;EQ</c:v>
                </c:pt>
                <c:pt idx="5">
                  <c:v>minCO2&amp;HH</c:v>
                </c:pt>
                <c:pt idx="6">
                  <c:v>minCO2&amp;EQ&amp;HH</c:v>
                </c:pt>
              </c:strCache>
            </c:strRef>
          </c:cat>
          <c:val>
            <c:numRef>
              <c:f>results!$AY$3:$AY$9</c:f>
              <c:numCache>
                <c:formatCode>General</c:formatCode>
                <c:ptCount val="7"/>
                <c:pt idx="0">
                  <c:v>0</c:v>
                </c:pt>
                <c:pt idx="1">
                  <c:v>100</c:v>
                </c:pt>
                <c:pt idx="2">
                  <c:v>0</c:v>
                </c:pt>
                <c:pt idx="3">
                  <c:v>0</c:v>
                </c:pt>
                <c:pt idx="4">
                  <c:v>93.51</c:v>
                </c:pt>
                <c:pt idx="5">
                  <c:v>0</c:v>
                </c:pt>
                <c:pt idx="6">
                  <c:v>93.51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CDC-40FF-B4DA-E94B4FE3D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4366000"/>
        <c:axId val="81115663"/>
      </c:barChart>
      <c:catAx>
        <c:axId val="1154366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1115663"/>
        <c:crosses val="autoZero"/>
        <c:auto val="1"/>
        <c:lblAlgn val="ctr"/>
        <c:lblOffset val="100"/>
        <c:noMultiLvlLbl val="0"/>
      </c:catAx>
      <c:valAx>
        <c:axId val="81115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4366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533400</xdr:colOff>
      <xdr:row>11</xdr:row>
      <xdr:rowOff>103186</xdr:rowOff>
    </xdr:from>
    <xdr:to>
      <xdr:col>43</xdr:col>
      <xdr:colOff>114300</xdr:colOff>
      <xdr:row>29</xdr:row>
      <xdr:rowOff>114299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06CBB7C-6460-4C70-A5EC-3733D74C4A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"/>
  <sheetViews>
    <sheetView tabSelected="1" topLeftCell="X1" workbookViewId="0">
      <selection activeCell="AU24" sqref="AU24"/>
    </sheetView>
  </sheetViews>
  <sheetFormatPr baseColWidth="10" defaultColWidth="8.7265625" defaultRowHeight="14.5" x14ac:dyDescent="0.35"/>
  <cols>
    <col min="2" max="2" width="15.08984375" bestFit="1" customWidth="1"/>
    <col min="46" max="46" width="9.54296875" customWidth="1"/>
  </cols>
  <sheetData>
    <row r="1" spans="1:52" x14ac:dyDescent="0.35">
      <c r="A1" s="2"/>
      <c r="B1" s="6"/>
      <c r="C1" s="8"/>
      <c r="D1" s="6" t="s">
        <v>0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6" t="s">
        <v>1</v>
      </c>
      <c r="AA1" s="7"/>
      <c r="AB1" s="8"/>
      <c r="AC1" s="2" t="s">
        <v>2</v>
      </c>
      <c r="AD1" s="6" t="s">
        <v>3</v>
      </c>
      <c r="AE1" s="8"/>
      <c r="AF1" s="6" t="s">
        <v>4</v>
      </c>
      <c r="AG1" s="8"/>
      <c r="AH1" s="2" t="s">
        <v>5</v>
      </c>
      <c r="AI1" s="2" t="s">
        <v>6</v>
      </c>
      <c r="AJ1" s="9" t="s">
        <v>7</v>
      </c>
      <c r="AK1" s="10"/>
      <c r="AL1" s="10"/>
      <c r="AM1" s="10"/>
      <c r="AN1" s="10"/>
      <c r="AO1" s="11"/>
      <c r="AP1" s="13"/>
    </row>
    <row r="2" spans="1:52" x14ac:dyDescent="0.35">
      <c r="A2" s="2"/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  <c r="J2" s="2" t="s">
        <v>16</v>
      </c>
      <c r="K2" s="2" t="s">
        <v>17</v>
      </c>
      <c r="L2" s="2" t="s">
        <v>18</v>
      </c>
      <c r="M2" s="2" t="s">
        <v>19</v>
      </c>
      <c r="N2" s="2" t="s">
        <v>20</v>
      </c>
      <c r="O2" s="2" t="s">
        <v>21</v>
      </c>
      <c r="P2" s="2" t="s">
        <v>22</v>
      </c>
      <c r="Q2" s="2" t="s">
        <v>23</v>
      </c>
      <c r="R2" s="2" t="s">
        <v>24</v>
      </c>
      <c r="S2" s="2" t="s">
        <v>25</v>
      </c>
      <c r="T2" s="2" t="s">
        <v>26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33</v>
      </c>
      <c r="AB2" s="2" t="s">
        <v>34</v>
      </c>
      <c r="AC2" s="2" t="s">
        <v>34</v>
      </c>
      <c r="AD2" s="2" t="s">
        <v>35</v>
      </c>
      <c r="AE2" s="2" t="s">
        <v>34</v>
      </c>
      <c r="AF2" s="2" t="s">
        <v>36</v>
      </c>
      <c r="AG2" s="2" t="s">
        <v>34</v>
      </c>
      <c r="AH2" s="2" t="s">
        <v>34</v>
      </c>
      <c r="AI2" s="2" t="s">
        <v>34</v>
      </c>
      <c r="AJ2" s="2" t="s">
        <v>34</v>
      </c>
      <c r="AK2" s="2" t="s">
        <v>37</v>
      </c>
      <c r="AL2" s="2" t="s">
        <v>38</v>
      </c>
      <c r="AM2" s="2" t="s">
        <v>39</v>
      </c>
      <c r="AN2" s="2" t="s">
        <v>40</v>
      </c>
      <c r="AO2" s="2" t="s">
        <v>41</v>
      </c>
      <c r="AP2" s="5"/>
      <c r="AQ2" s="5" t="s">
        <v>8</v>
      </c>
      <c r="AR2" s="12" t="s">
        <v>0</v>
      </c>
      <c r="AS2" s="12" t="s">
        <v>1</v>
      </c>
      <c r="AT2" s="12" t="s">
        <v>49</v>
      </c>
      <c r="AU2" s="12" t="s">
        <v>50</v>
      </c>
      <c r="AV2" s="12" t="s">
        <v>51</v>
      </c>
      <c r="AW2" s="12" t="s">
        <v>52</v>
      </c>
      <c r="AX2" s="12" t="s">
        <v>53</v>
      </c>
      <c r="AY2" s="12" t="s">
        <v>54</v>
      </c>
    </row>
    <row r="3" spans="1:52" x14ac:dyDescent="0.35">
      <c r="A3" s="1">
        <v>0</v>
      </c>
      <c r="B3" t="s">
        <v>42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G3">
        <v>93.51</v>
      </c>
      <c r="AK3" s="4">
        <v>-913173.23611822585</v>
      </c>
      <c r="AL3" s="4">
        <v>-462294.07700228808</v>
      </c>
      <c r="AM3" s="4">
        <v>-5.6405530308313656</v>
      </c>
      <c r="AN3" s="4">
        <v>158876.19866794301</v>
      </c>
      <c r="AO3" s="4">
        <v>2.730940448070116</v>
      </c>
      <c r="AP3" s="4"/>
      <c r="AQ3" t="s">
        <v>42</v>
      </c>
      <c r="AR3" s="3">
        <f>SUM(D3:Y3)</f>
        <v>6.5</v>
      </c>
      <c r="AS3">
        <f>SUM(Z3:AB3)</f>
        <v>0</v>
      </c>
      <c r="AT3">
        <f>AC3</f>
        <v>0</v>
      </c>
      <c r="AU3">
        <f>SUM(AD3:AE3)</f>
        <v>0</v>
      </c>
      <c r="AV3">
        <f>SUM(AF3:AG3)</f>
        <v>93.51</v>
      </c>
      <c r="AW3">
        <f>AH3</f>
        <v>0</v>
      </c>
      <c r="AX3">
        <f>AI3</f>
        <v>0</v>
      </c>
      <c r="AY3">
        <f>AJ3</f>
        <v>0</v>
      </c>
      <c r="AZ3" s="3">
        <f>SUM(AR3:AY3)</f>
        <v>100.01</v>
      </c>
    </row>
    <row r="4" spans="1:52" x14ac:dyDescent="0.35">
      <c r="A4" s="1">
        <v>1</v>
      </c>
      <c r="B4" t="s">
        <v>43</v>
      </c>
      <c r="C4">
        <v>0.6</v>
      </c>
      <c r="AJ4" s="3">
        <v>100</v>
      </c>
      <c r="AK4" s="4">
        <v>-644442.1846872702</v>
      </c>
      <c r="AL4" s="4">
        <v>-684909.40473820688</v>
      </c>
      <c r="AM4" s="4">
        <v>-6.364898685252375</v>
      </c>
      <c r="AN4" s="4">
        <v>-165459.6313217275</v>
      </c>
      <c r="AO4" s="4">
        <v>0.63571057002381026</v>
      </c>
      <c r="AP4" s="4"/>
      <c r="AQ4" t="s">
        <v>43</v>
      </c>
      <c r="AR4" s="3">
        <f t="shared" ref="AR4:AR9" si="0">SUM(D4:Y4)</f>
        <v>0</v>
      </c>
      <c r="AS4">
        <f t="shared" ref="AS4:AS9" si="1">SUM(Z4:AB4)</f>
        <v>0</v>
      </c>
      <c r="AT4">
        <f t="shared" ref="AT4:AT9" si="2">AC4</f>
        <v>0</v>
      </c>
      <c r="AU4">
        <f t="shared" ref="AU4:AU9" si="3">SUM(AD4:AE4)</f>
        <v>0</v>
      </c>
      <c r="AV4">
        <f t="shared" ref="AV4:AV9" si="4">SUM(AF4:AG4)</f>
        <v>0</v>
      </c>
      <c r="AW4">
        <f t="shared" ref="AW4:AW9" si="5">AH4</f>
        <v>0</v>
      </c>
      <c r="AX4">
        <f t="shared" ref="AX4:AX9" si="6">AI4</f>
        <v>0</v>
      </c>
      <c r="AY4">
        <f t="shared" ref="AY4:AY9" si="7">AJ4</f>
        <v>100</v>
      </c>
      <c r="AZ4" s="3">
        <f t="shared" ref="AZ4:AZ9" si="8">SUM(AR4:AY4)</f>
        <v>100</v>
      </c>
    </row>
    <row r="5" spans="1:52" x14ac:dyDescent="0.35">
      <c r="A5" s="1">
        <v>2</v>
      </c>
      <c r="B5" t="s">
        <v>44</v>
      </c>
      <c r="C5">
        <v>0.6</v>
      </c>
      <c r="D5" s="3">
        <v>0.37</v>
      </c>
      <c r="E5">
        <v>2.52</v>
      </c>
      <c r="I5">
        <v>1.29</v>
      </c>
      <c r="X5">
        <v>2.3199999999999998</v>
      </c>
      <c r="AI5" s="3">
        <v>93.51</v>
      </c>
      <c r="AK5" s="4">
        <v>-858981.91221275914</v>
      </c>
      <c r="AL5" s="4">
        <v>-658913.15514688112</v>
      </c>
      <c r="AM5" s="4">
        <v>-6.8909747589820043</v>
      </c>
      <c r="AN5" s="4">
        <v>35812.571022898883</v>
      </c>
      <c r="AO5" s="4">
        <v>2.4718236557718929</v>
      </c>
      <c r="AP5" s="4"/>
      <c r="AQ5" t="s">
        <v>44</v>
      </c>
      <c r="AR5" s="3">
        <f t="shared" si="0"/>
        <v>6.5</v>
      </c>
      <c r="AS5">
        <f t="shared" si="1"/>
        <v>0</v>
      </c>
      <c r="AT5">
        <f t="shared" si="2"/>
        <v>0</v>
      </c>
      <c r="AU5">
        <f t="shared" si="3"/>
        <v>0</v>
      </c>
      <c r="AV5">
        <f t="shared" si="4"/>
        <v>0</v>
      </c>
      <c r="AW5">
        <f t="shared" si="5"/>
        <v>0</v>
      </c>
      <c r="AX5">
        <f t="shared" si="6"/>
        <v>93.51</v>
      </c>
      <c r="AY5">
        <f t="shared" si="7"/>
        <v>0</v>
      </c>
      <c r="AZ5" s="3">
        <f t="shared" si="8"/>
        <v>100.01</v>
      </c>
    </row>
    <row r="6" spans="1:52" x14ac:dyDescent="0.35">
      <c r="A6" s="1">
        <v>3</v>
      </c>
      <c r="B6" t="s">
        <v>45</v>
      </c>
      <c r="C6">
        <v>0.6</v>
      </c>
      <c r="I6">
        <v>1.29</v>
      </c>
      <c r="AI6" s="3">
        <v>98.71</v>
      </c>
      <c r="AK6" s="4">
        <v>-853772.54412361525</v>
      </c>
      <c r="AL6" s="4">
        <v>-660904.0016222928</v>
      </c>
      <c r="AM6" s="4">
        <v>-6.8795862517447279</v>
      </c>
      <c r="AN6" s="4">
        <v>41381.970786916027</v>
      </c>
      <c r="AO6" s="4">
        <v>2.5851013239793339</v>
      </c>
      <c r="AP6" s="4"/>
      <c r="AQ6" t="s">
        <v>45</v>
      </c>
      <c r="AR6" s="3">
        <f t="shared" si="0"/>
        <v>1.29</v>
      </c>
      <c r="AS6">
        <f t="shared" si="1"/>
        <v>0</v>
      </c>
      <c r="AT6">
        <f t="shared" si="2"/>
        <v>0</v>
      </c>
      <c r="AU6">
        <f t="shared" si="3"/>
        <v>0</v>
      </c>
      <c r="AV6">
        <f t="shared" si="4"/>
        <v>0</v>
      </c>
      <c r="AW6">
        <f t="shared" si="5"/>
        <v>0</v>
      </c>
      <c r="AX6">
        <f t="shared" si="6"/>
        <v>98.71</v>
      </c>
      <c r="AY6">
        <f t="shared" si="7"/>
        <v>0</v>
      </c>
      <c r="AZ6" s="3">
        <f t="shared" si="8"/>
        <v>100</v>
      </c>
    </row>
    <row r="7" spans="1:52" x14ac:dyDescent="0.35">
      <c r="A7" s="1">
        <v>4</v>
      </c>
      <c r="B7" t="s">
        <v>46</v>
      </c>
      <c r="C7">
        <v>0.6</v>
      </c>
      <c r="D7" s="3">
        <v>0.37</v>
      </c>
      <c r="E7">
        <v>2.52</v>
      </c>
      <c r="I7">
        <v>1.29</v>
      </c>
      <c r="X7">
        <v>2.3199999999999998</v>
      </c>
      <c r="AJ7" s="3">
        <v>93.51</v>
      </c>
      <c r="AK7" s="4">
        <v>-665277.59612264379</v>
      </c>
      <c r="AL7" s="4">
        <v>-681593.77756979864</v>
      </c>
      <c r="AM7" s="4">
        <v>-6.4197814117706908</v>
      </c>
      <c r="AN7" s="4">
        <v>-159168.6793901209</v>
      </c>
      <c r="AO7" s="4">
        <v>0.62092629934983035</v>
      </c>
      <c r="AP7" s="4"/>
      <c r="AQ7" t="s">
        <v>46</v>
      </c>
      <c r="AR7" s="3">
        <f t="shared" si="0"/>
        <v>6.5</v>
      </c>
      <c r="AS7">
        <f t="shared" si="1"/>
        <v>0</v>
      </c>
      <c r="AT7">
        <f t="shared" si="2"/>
        <v>0</v>
      </c>
      <c r="AU7">
        <f t="shared" si="3"/>
        <v>0</v>
      </c>
      <c r="AV7">
        <f t="shared" si="4"/>
        <v>0</v>
      </c>
      <c r="AW7">
        <f t="shared" si="5"/>
        <v>0</v>
      </c>
      <c r="AX7">
        <f t="shared" si="6"/>
        <v>0</v>
      </c>
      <c r="AY7">
        <f t="shared" si="7"/>
        <v>93.51</v>
      </c>
      <c r="AZ7" s="3">
        <f t="shared" si="8"/>
        <v>100.01</v>
      </c>
    </row>
    <row r="8" spans="1:52" x14ac:dyDescent="0.35">
      <c r="A8" s="1">
        <v>5</v>
      </c>
      <c r="B8" t="s">
        <v>47</v>
      </c>
      <c r="C8">
        <v>0.6</v>
      </c>
      <c r="D8" s="3">
        <v>14.13</v>
      </c>
      <c r="E8">
        <v>2.52</v>
      </c>
      <c r="F8">
        <v>2.94</v>
      </c>
      <c r="G8">
        <v>0.82</v>
      </c>
      <c r="H8">
        <v>2.13</v>
      </c>
      <c r="I8">
        <v>1.29</v>
      </c>
      <c r="J8">
        <v>2.72</v>
      </c>
      <c r="K8">
        <v>2.37</v>
      </c>
      <c r="L8">
        <v>0.88</v>
      </c>
      <c r="M8">
        <v>0.54</v>
      </c>
      <c r="N8">
        <v>3.35</v>
      </c>
      <c r="O8">
        <v>1.78</v>
      </c>
      <c r="P8">
        <v>0.71</v>
      </c>
      <c r="Q8">
        <v>0.74</v>
      </c>
      <c r="R8">
        <v>0.75</v>
      </c>
      <c r="S8">
        <v>4.9400000000000004</v>
      </c>
      <c r="T8">
        <v>0.57999999999999996</v>
      </c>
      <c r="U8">
        <v>0.36</v>
      </c>
      <c r="V8">
        <v>0.92</v>
      </c>
      <c r="W8">
        <v>0.57999999999999996</v>
      </c>
      <c r="X8">
        <v>2.3199999999999998</v>
      </c>
      <c r="Y8">
        <v>0.94</v>
      </c>
      <c r="Z8" s="3">
        <v>2.2799999999999998</v>
      </c>
      <c r="AA8">
        <v>49.42</v>
      </c>
      <c r="AK8" s="4">
        <v>-754212.43985085678</v>
      </c>
      <c r="AL8" s="4">
        <v>-431127.63636989292</v>
      </c>
      <c r="AM8" s="4">
        <v>-5.3123461667569956</v>
      </c>
      <c r="AN8" s="4">
        <v>19284.315940239961</v>
      </c>
      <c r="AO8" s="4">
        <v>0.75784279742481853</v>
      </c>
      <c r="AP8" s="4"/>
      <c r="AQ8" t="s">
        <v>47</v>
      </c>
      <c r="AR8" s="3">
        <f t="shared" si="0"/>
        <v>48.309999999999995</v>
      </c>
      <c r="AS8">
        <f t="shared" si="1"/>
        <v>51.7</v>
      </c>
      <c r="AT8">
        <f t="shared" si="2"/>
        <v>0</v>
      </c>
      <c r="AU8">
        <f t="shared" si="3"/>
        <v>0</v>
      </c>
      <c r="AV8">
        <f t="shared" si="4"/>
        <v>0</v>
      </c>
      <c r="AW8">
        <f t="shared" si="5"/>
        <v>0</v>
      </c>
      <c r="AX8">
        <f t="shared" si="6"/>
        <v>0</v>
      </c>
      <c r="AY8">
        <f t="shared" si="7"/>
        <v>0</v>
      </c>
      <c r="AZ8" s="3">
        <f t="shared" si="8"/>
        <v>100.00999999999999</v>
      </c>
    </row>
    <row r="9" spans="1:52" x14ac:dyDescent="0.35">
      <c r="A9" s="1">
        <v>6</v>
      </c>
      <c r="B9" t="s">
        <v>48</v>
      </c>
      <c r="C9">
        <v>0.6</v>
      </c>
      <c r="D9" s="3">
        <v>0.37</v>
      </c>
      <c r="E9">
        <v>2.52</v>
      </c>
      <c r="I9">
        <v>1.29</v>
      </c>
      <c r="X9">
        <v>2.3199999999999998</v>
      </c>
      <c r="AJ9" s="3">
        <v>93.51</v>
      </c>
      <c r="AK9" s="4">
        <v>-665277.59612264379</v>
      </c>
      <c r="AL9" s="4">
        <v>-681593.77756979864</v>
      </c>
      <c r="AM9" s="4">
        <v>-6.4197814117706908</v>
      </c>
      <c r="AN9" s="4">
        <v>-159168.6793901209</v>
      </c>
      <c r="AO9" s="4">
        <v>0.62092629934983035</v>
      </c>
      <c r="AP9" s="4"/>
      <c r="AQ9" t="s">
        <v>48</v>
      </c>
      <c r="AR9" s="3">
        <f t="shared" si="0"/>
        <v>6.5</v>
      </c>
      <c r="AS9">
        <f t="shared" si="1"/>
        <v>0</v>
      </c>
      <c r="AT9">
        <f t="shared" si="2"/>
        <v>0</v>
      </c>
      <c r="AU9">
        <f t="shared" si="3"/>
        <v>0</v>
      </c>
      <c r="AV9">
        <f t="shared" si="4"/>
        <v>0</v>
      </c>
      <c r="AW9">
        <f t="shared" si="5"/>
        <v>0</v>
      </c>
      <c r="AX9">
        <f t="shared" si="6"/>
        <v>0</v>
      </c>
      <c r="AY9">
        <f t="shared" si="7"/>
        <v>93.51</v>
      </c>
      <c r="AZ9" s="3">
        <f t="shared" si="8"/>
        <v>100.01</v>
      </c>
    </row>
  </sheetData>
  <mergeCells count="5">
    <mergeCell ref="B1:C1"/>
    <mergeCell ref="D1:Y1"/>
    <mergeCell ref="Z1:AB1"/>
    <mergeCell ref="AD1:AE1"/>
    <mergeCell ref="AF1:AG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2026-02-09T22:06:12Z</dcterms:created>
  <dcterms:modified xsi:type="dcterms:W3CDTF">2026-02-17T11:25:04Z</dcterms:modified>
</cp:coreProperties>
</file>