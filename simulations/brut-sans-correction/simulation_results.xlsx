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1CC52263-106D-434C-A96B-1EF57AA20B95}" xr6:coauthVersionLast="36" xr6:coauthVersionMax="36" xr10:uidLastSave="{00000000-0000-0000-0000-000000000000}"/>
  <bookViews>
    <workbookView xWindow="0" yWindow="0" windowWidth="19200" windowHeight="7750" xr2:uid="{5C7962CF-AF22-4718-813B-0CDB4B282D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I11" i="1"/>
  <c r="H11" i="1"/>
  <c r="H10" i="1"/>
  <c r="I10" i="1"/>
  <c r="J10" i="1"/>
  <c r="H8" i="1"/>
  <c r="S8" i="1"/>
  <c r="G8" i="1"/>
  <c r="F8" i="1"/>
  <c r="E8" i="1"/>
  <c r="D8" i="1"/>
  <c r="C8" i="1"/>
  <c r="H9" i="1"/>
  <c r="K9" i="1"/>
  <c r="G9" i="1"/>
  <c r="F9" i="1"/>
  <c r="E9" i="1"/>
  <c r="D9" i="1"/>
  <c r="C9" i="1"/>
  <c r="H7" i="1"/>
  <c r="L7" i="1"/>
  <c r="G7" i="1"/>
  <c r="F7" i="1"/>
  <c r="D7" i="1"/>
  <c r="E7" i="1"/>
  <c r="H6" i="1"/>
  <c r="H5" i="1"/>
  <c r="E4" i="1"/>
  <c r="H3" i="1"/>
  <c r="H2" i="1" l="1"/>
</calcChain>
</file>

<file path=xl/sharedStrings.xml><?xml version="1.0" encoding="utf-8"?>
<sst xmlns="http://schemas.openxmlformats.org/spreadsheetml/2006/main" count="38" uniqueCount="38">
  <si>
    <t>sim1</t>
  </si>
  <si>
    <t>Carbon</t>
  </si>
  <si>
    <t>EQ</t>
  </si>
  <si>
    <t>HH</t>
  </si>
  <si>
    <t>EQssC</t>
  </si>
  <si>
    <t>HHssC</t>
  </si>
  <si>
    <t>HC</t>
  </si>
  <si>
    <t>IC</t>
  </si>
  <si>
    <t>Narration</t>
  </si>
  <si>
    <t>AD-a</t>
  </si>
  <si>
    <t>AD-b</t>
  </si>
  <si>
    <t>AD-c</t>
  </si>
  <si>
    <t>AD-d</t>
  </si>
  <si>
    <t>AD-e</t>
  </si>
  <si>
    <t>AD-f</t>
  </si>
  <si>
    <t>-Carbon=1
-Aucune correction des impacts des technologies
-avec investissement</t>
  </si>
  <si>
    <t>IC-Suez</t>
  </si>
  <si>
    <t>IC-Gurdebeke</t>
  </si>
  <si>
    <t>AD-b-Refood</t>
  </si>
  <si>
    <t>AD-c-Biometa</t>
  </si>
  <si>
    <t>-Carbon=1
-Aucune correction des impacts des technologies
-sans investissement</t>
  </si>
  <si>
    <t>sim2</t>
  </si>
  <si>
    <t>-EQ=1
-Aucune correction des impacts des technologies
-avec investissement</t>
  </si>
  <si>
    <t>sim3</t>
  </si>
  <si>
    <t>-EQ=1
-Aucune correction des impacts des technologies
-sans investissement</t>
  </si>
  <si>
    <t>sim4</t>
  </si>
  <si>
    <t>-HH=1
-Aucune correction des impacts des technologies
-avec investissement</t>
  </si>
  <si>
    <t>sim5</t>
  </si>
  <si>
    <t>-HH=1
-Aucune correction des impacts des technologies
-sans investissement</t>
  </si>
  <si>
    <t>sim6</t>
  </si>
  <si>
    <t>sim7</t>
  </si>
  <si>
    <t>-Carbon = 0.5, EQssC =0.5
-Aucune correction des impacts des technologies
-avec investissement</t>
  </si>
  <si>
    <t>-Carbon = 0.5, EQssC =0.5
-Aucune correction des impacts des technologies
-sans investissement</t>
  </si>
  <si>
    <t>sim8</t>
  </si>
  <si>
    <t>-Carbon = 0.5, HHssC =0.5
-Aucune correction des impacts des technologies
-avec investissement</t>
  </si>
  <si>
    <t>-Carbon = 0.5, HHssC =0.5
-Aucune correction des impacts des technologies
-sans investissement</t>
  </si>
  <si>
    <t>sim9</t>
  </si>
  <si>
    <t>sim10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</si>
</sst>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1" fontId="0" fillId="0" borderId="0" xfId="0" quotePrefix="1" applyNumberFormat="1" applyAlignment="1">
      <alignment wrapText="1"/>
    </xf>
    <xf numFmtId="2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0030-B3FF-4D57-9947-A38799300FE1}">
  <dimension ref="A1:U200"/>
  <sheetViews>
    <sheetView tabSelected="1" workbookViewId="0">
      <selection activeCell="M18" sqref="M18"/>
    </sheetView>
  </sheetViews>
  <sheetFormatPr baseColWidth="10" defaultRowHeight="14.5" x14ac:dyDescent="0.35"/>
  <cols>
    <col min="1" max="1" width="63.6328125" customWidth="1"/>
    <col min="3" max="3" width="13" customWidth="1"/>
  </cols>
  <sheetData>
    <row r="1" spans="1:21" x14ac:dyDescent="0.35">
      <c r="A1" s="1" t="s">
        <v>8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7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21" x14ac:dyDescent="0.35">
      <c r="A2" s="1" t="s">
        <v>15</v>
      </c>
      <c r="B2" s="1" t="s">
        <v>0</v>
      </c>
      <c r="C2" s="1">
        <v>-913173.24</v>
      </c>
      <c r="D2" s="1">
        <v>-462294.08</v>
      </c>
      <c r="E2" s="1">
        <v>-5.64</v>
      </c>
      <c r="F2" s="1">
        <v>158876.20000000001</v>
      </c>
      <c r="G2" s="1">
        <v>2.73</v>
      </c>
      <c r="H2" s="3">
        <f>100-P2</f>
        <v>6.4896200000000022</v>
      </c>
      <c r="I2" s="3"/>
      <c r="J2" s="3"/>
      <c r="K2" s="3"/>
      <c r="L2" s="3"/>
      <c r="M2" s="3"/>
      <c r="N2" s="3"/>
      <c r="O2" s="3"/>
      <c r="P2" s="3">
        <v>93.510379999999998</v>
      </c>
      <c r="Q2" s="3"/>
      <c r="R2" s="3"/>
      <c r="S2" s="3"/>
      <c r="T2" s="1"/>
      <c r="U2" s="1"/>
    </row>
    <row r="3" spans="1:21" x14ac:dyDescent="0.35">
      <c r="A3" s="1" t="s">
        <v>20</v>
      </c>
      <c r="B3" s="1" t="s">
        <v>21</v>
      </c>
      <c r="C3" s="1">
        <v>-900529.64</v>
      </c>
      <c r="D3" s="1">
        <v>-500204.87</v>
      </c>
      <c r="E3" s="1">
        <v>-5.97</v>
      </c>
      <c r="F3" s="1">
        <v>83802.28</v>
      </c>
      <c r="G3" s="1">
        <v>1.91</v>
      </c>
      <c r="H3" s="3">
        <f>100-L3</f>
        <v>41.770674999999997</v>
      </c>
      <c r="I3" s="3"/>
      <c r="J3" s="3"/>
      <c r="K3" s="3"/>
      <c r="L3" s="3">
        <v>58.229325000000003</v>
      </c>
      <c r="M3" s="3"/>
      <c r="N3" s="3"/>
      <c r="O3" s="3"/>
      <c r="P3" s="3"/>
      <c r="Q3" s="3"/>
      <c r="R3" s="3"/>
      <c r="S3" s="3"/>
      <c r="T3" s="1"/>
      <c r="U3" s="1"/>
    </row>
    <row r="4" spans="1:21" x14ac:dyDescent="0.35">
      <c r="A4" s="1" t="s">
        <v>22</v>
      </c>
      <c r="B4" s="1" t="s">
        <v>23</v>
      </c>
      <c r="C4" s="1">
        <v>-644442.18000000005</v>
      </c>
      <c r="D4" s="1">
        <v>-684909.4</v>
      </c>
      <c r="E4" s="1">
        <f>-6.36</f>
        <v>-6.36</v>
      </c>
      <c r="F4" s="1">
        <v>-165459.63</v>
      </c>
      <c r="G4" s="1">
        <v>0.64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>
        <v>100</v>
      </c>
      <c r="T4" s="1"/>
      <c r="U4" s="1"/>
    </row>
    <row r="5" spans="1:21" x14ac:dyDescent="0.35">
      <c r="A5" s="1" t="s">
        <v>24</v>
      </c>
      <c r="B5" s="1" t="s">
        <v>25</v>
      </c>
      <c r="C5" s="1">
        <v>-527008.18999999994</v>
      </c>
      <c r="D5" s="1">
        <v>-534021.30000000005</v>
      </c>
      <c r="E5" s="1">
        <v>-5.0199999999999996</v>
      </c>
      <c r="F5" s="1">
        <v>-129423.62</v>
      </c>
      <c r="G5" s="1">
        <v>0.43</v>
      </c>
      <c r="H5" s="3">
        <f>100-K5</f>
        <v>48.298479</v>
      </c>
      <c r="I5" s="3"/>
      <c r="J5" s="3"/>
      <c r="K5" s="3">
        <v>51.701521</v>
      </c>
      <c r="L5" s="3"/>
      <c r="M5" s="3"/>
      <c r="N5" s="3"/>
      <c r="O5" s="3"/>
      <c r="P5" s="3"/>
      <c r="Q5" s="3"/>
      <c r="R5" s="3"/>
      <c r="S5" s="3"/>
      <c r="T5" s="1"/>
      <c r="U5" s="1"/>
    </row>
    <row r="6" spans="1:21" x14ac:dyDescent="0.35">
      <c r="A6" s="1" t="s">
        <v>26</v>
      </c>
      <c r="B6" s="1" t="s">
        <v>27</v>
      </c>
      <c r="C6" s="1">
        <v>-858981.91</v>
      </c>
      <c r="D6" s="1">
        <v>-658913.16</v>
      </c>
      <c r="E6" s="1">
        <v>-6.89</v>
      </c>
      <c r="F6" s="1">
        <v>35812.57</v>
      </c>
      <c r="G6" s="1">
        <v>2.4700000000000002</v>
      </c>
      <c r="H6" s="3">
        <f>100-R6</f>
        <v>6.4896200000000022</v>
      </c>
      <c r="I6" s="3"/>
      <c r="J6" s="3"/>
      <c r="K6" s="3"/>
      <c r="L6" s="3"/>
      <c r="M6" s="3"/>
      <c r="N6" s="3"/>
      <c r="O6" s="3"/>
      <c r="P6" s="3"/>
      <c r="Q6" s="3"/>
      <c r="R6" s="3">
        <v>93.510379999999998</v>
      </c>
      <c r="S6" s="3"/>
      <c r="T6" s="1"/>
      <c r="U6" s="1"/>
    </row>
    <row r="7" spans="1:21" x14ac:dyDescent="0.35">
      <c r="A7" s="1" t="s">
        <v>28</v>
      </c>
      <c r="B7" s="1" t="s">
        <v>29</v>
      </c>
      <c r="C7" s="1">
        <v>-898781.77</v>
      </c>
      <c r="D7" s="1">
        <f>-507697.86</f>
        <v>-507697.86</v>
      </c>
      <c r="E7" s="1">
        <f>-6.02</f>
        <v>-6.02</v>
      </c>
      <c r="F7" s="1">
        <f>69693.91</f>
        <v>69693.91</v>
      </c>
      <c r="G7" s="1">
        <f>1.76</f>
        <v>1.76</v>
      </c>
      <c r="H7" s="3">
        <f>100-L7</f>
        <v>48.298479</v>
      </c>
      <c r="I7" s="3"/>
      <c r="J7" s="3"/>
      <c r="K7" s="3"/>
      <c r="L7" s="3">
        <f>51.701521</f>
        <v>51.701521</v>
      </c>
      <c r="M7" s="3"/>
      <c r="N7" s="3"/>
      <c r="O7" s="3"/>
      <c r="P7" s="3"/>
      <c r="Q7" s="3"/>
      <c r="R7" s="3"/>
      <c r="S7" s="3"/>
      <c r="T7" s="1"/>
      <c r="U7" s="1"/>
    </row>
    <row r="8" spans="1:21" x14ac:dyDescent="0.35">
      <c r="A8" s="1" t="s">
        <v>31</v>
      </c>
      <c r="B8" s="1" t="s">
        <v>30</v>
      </c>
      <c r="C8" s="1">
        <f>665277.6</f>
        <v>665277.6</v>
      </c>
      <c r="D8" s="1">
        <f>-681593.78</f>
        <v>-681593.78</v>
      </c>
      <c r="E8" s="1">
        <f>-6.42</f>
        <v>-6.42</v>
      </c>
      <c r="F8" s="1">
        <f>-159168.68</f>
        <v>-159168.68</v>
      </c>
      <c r="G8" s="1">
        <f>0.62</f>
        <v>0.62</v>
      </c>
      <c r="H8" s="3">
        <f>100-S8</f>
        <v>6.4896200000000022</v>
      </c>
      <c r="I8" s="3"/>
      <c r="J8" s="3"/>
      <c r="K8" s="3"/>
      <c r="L8" s="3"/>
      <c r="M8" s="3"/>
      <c r="N8" s="3"/>
      <c r="O8" s="3"/>
      <c r="P8" s="3"/>
      <c r="Q8" s="3"/>
      <c r="R8" s="3"/>
      <c r="S8" s="3">
        <f>93.51038</f>
        <v>93.510379999999998</v>
      </c>
      <c r="T8" s="1"/>
      <c r="U8" s="1"/>
    </row>
    <row r="9" spans="1:21" x14ac:dyDescent="0.35">
      <c r="A9" s="1" t="s">
        <v>32</v>
      </c>
      <c r="B9" s="1" t="s">
        <v>33</v>
      </c>
      <c r="C9" s="1">
        <f>-527008.19</f>
        <v>-527008.18999999994</v>
      </c>
      <c r="D9" s="1">
        <f>-534021.3</f>
        <v>-534021.30000000005</v>
      </c>
      <c r="E9" s="1">
        <f>-5.02</f>
        <v>-5.0199999999999996</v>
      </c>
      <c r="F9" s="1">
        <f>-129423.62</f>
        <v>-129423.62</v>
      </c>
      <c r="G9" s="1">
        <f>0.43</f>
        <v>0.43</v>
      </c>
      <c r="H9" s="3">
        <f>100-K9</f>
        <v>48.298479</v>
      </c>
      <c r="I9" s="3"/>
      <c r="J9" s="3"/>
      <c r="K9" s="3">
        <f>51.701521</f>
        <v>51.701521</v>
      </c>
      <c r="L9" s="3"/>
      <c r="M9" s="3"/>
      <c r="N9" s="3"/>
      <c r="O9" s="3"/>
      <c r="P9" s="3"/>
      <c r="Q9" s="3"/>
      <c r="R9" s="3"/>
      <c r="S9" s="3"/>
      <c r="T9" s="1"/>
      <c r="U9" s="1"/>
    </row>
    <row r="10" spans="1:21" x14ac:dyDescent="0.35">
      <c r="A10" s="1" t="s">
        <v>34</v>
      </c>
      <c r="B10" s="1" t="s">
        <v>36</v>
      </c>
      <c r="C10" s="1">
        <v>-754212.44</v>
      </c>
      <c r="D10" s="1">
        <v>-431127.64</v>
      </c>
      <c r="E10" s="1">
        <v>-5.31</v>
      </c>
      <c r="F10" s="1">
        <v>19284.32</v>
      </c>
      <c r="G10" s="1">
        <v>0.76</v>
      </c>
      <c r="H10" s="3">
        <f>100-(I10+J10)</f>
        <v>48.298479</v>
      </c>
      <c r="I10" s="3">
        <f>2.282648</f>
        <v>2.282648</v>
      </c>
      <c r="J10" s="3">
        <f>49.418873</f>
        <v>49.418872999999998</v>
      </c>
      <c r="K10" s="3"/>
      <c r="L10" s="3"/>
      <c r="M10" s="3"/>
      <c r="N10" s="3"/>
      <c r="O10" s="3"/>
      <c r="P10" s="3"/>
      <c r="Q10" s="3"/>
      <c r="R10" s="3"/>
      <c r="S10" s="3"/>
      <c r="T10" s="1"/>
      <c r="U10" s="1"/>
    </row>
    <row r="11" spans="1:21" ht="43.5" x14ac:dyDescent="0.35">
      <c r="A11" s="2" t="s">
        <v>35</v>
      </c>
      <c r="B11" s="1" t="s">
        <v>37</v>
      </c>
      <c r="C11" s="1">
        <v>-754212.44</v>
      </c>
      <c r="D11" s="1">
        <v>-431127.64</v>
      </c>
      <c r="E11" s="1">
        <v>-5.31</v>
      </c>
      <c r="F11" s="1">
        <v>19284.32</v>
      </c>
      <c r="G11" s="1">
        <v>0.76</v>
      </c>
      <c r="H11" s="3">
        <f>100-(I11+J11)</f>
        <v>48.298479</v>
      </c>
      <c r="I11" s="3">
        <f>2.282648</f>
        <v>2.282648</v>
      </c>
      <c r="J11" s="3">
        <f>49.418873</f>
        <v>49.418872999999998</v>
      </c>
      <c r="K11" s="3"/>
      <c r="L11" s="3"/>
      <c r="M11" s="3"/>
      <c r="N11" s="3"/>
      <c r="O11" s="3"/>
      <c r="P11" s="3"/>
      <c r="Q11" s="3"/>
      <c r="R11" s="3"/>
      <c r="S11" s="3"/>
      <c r="T11" s="1"/>
      <c r="U11" s="1"/>
    </row>
    <row r="12" spans="1:21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3:21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3:21" x14ac:dyDescent="0.3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3:21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3:21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3:21" x14ac:dyDescent="0.3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3:21" x14ac:dyDescent="0.3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3:21" x14ac:dyDescent="0.3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3:21" x14ac:dyDescent="0.3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3:21" x14ac:dyDescent="0.3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3:21" x14ac:dyDescent="0.3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3:21" x14ac:dyDescent="0.3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3:21" x14ac:dyDescent="0.3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3:21" x14ac:dyDescent="0.3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3:21" x14ac:dyDescent="0.3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3:21" x14ac:dyDescent="0.3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3:21" x14ac:dyDescent="0.3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3:21" x14ac:dyDescent="0.3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3:21" x14ac:dyDescent="0.3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3:21" x14ac:dyDescent="0.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3:21" x14ac:dyDescent="0.3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3:21" x14ac:dyDescent="0.3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3:21" x14ac:dyDescent="0.3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3:21" x14ac:dyDescent="0.3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3:21" x14ac:dyDescent="0.3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3:21" x14ac:dyDescent="0.3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3:21" x14ac:dyDescent="0.3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3:21" x14ac:dyDescent="0.3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3:21" x14ac:dyDescent="0.3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3:21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3:21" x14ac:dyDescent="0.3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3:21" x14ac:dyDescent="0.3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3:21" x14ac:dyDescent="0.3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3:21" x14ac:dyDescent="0.3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3:21" x14ac:dyDescent="0.3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3:21" x14ac:dyDescent="0.3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3:21" x14ac:dyDescent="0.3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3:21" x14ac:dyDescent="0.3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3:21" x14ac:dyDescent="0.3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3:21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3:21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3:21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3:21" x14ac:dyDescent="0.3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3:21" x14ac:dyDescent="0.3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3:21" x14ac:dyDescent="0.3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3:21" x14ac:dyDescent="0.3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3:21" x14ac:dyDescent="0.3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3:21" x14ac:dyDescent="0.3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3:21" x14ac:dyDescent="0.3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3:21" x14ac:dyDescent="0.3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3:21" x14ac:dyDescent="0.3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3:21" x14ac:dyDescent="0.3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3:21" x14ac:dyDescent="0.3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3:21" x14ac:dyDescent="0.3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3:21" x14ac:dyDescent="0.3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3:21" x14ac:dyDescent="0.3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3:21" x14ac:dyDescent="0.3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3:21" x14ac:dyDescent="0.3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3:21" x14ac:dyDescent="0.3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3:21" x14ac:dyDescent="0.3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3:21" x14ac:dyDescent="0.3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3:21" x14ac:dyDescent="0.3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3:21" x14ac:dyDescent="0.3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3:21" x14ac:dyDescent="0.3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3:21" x14ac:dyDescent="0.3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3:21" x14ac:dyDescent="0.3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3:21" x14ac:dyDescent="0.3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3:21" x14ac:dyDescent="0.3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3:21" x14ac:dyDescent="0.3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3:21" x14ac:dyDescent="0.3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3:21" x14ac:dyDescent="0.3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3:21" x14ac:dyDescent="0.3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3:21" x14ac:dyDescent="0.3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3:21" x14ac:dyDescent="0.3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3:21" x14ac:dyDescent="0.3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3:21" x14ac:dyDescent="0.3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3:21" x14ac:dyDescent="0.3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3:21" x14ac:dyDescent="0.3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3:21" x14ac:dyDescent="0.3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3:21" x14ac:dyDescent="0.3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3:21" x14ac:dyDescent="0.3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3:21" x14ac:dyDescent="0.3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3:21" x14ac:dyDescent="0.3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3:21" x14ac:dyDescent="0.3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3:21" x14ac:dyDescent="0.3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3:21" x14ac:dyDescent="0.3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3:21" x14ac:dyDescent="0.3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3:21" x14ac:dyDescent="0.3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3:21" x14ac:dyDescent="0.3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3:21" x14ac:dyDescent="0.3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3:21" x14ac:dyDescent="0.3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3:21" x14ac:dyDescent="0.3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3:21" x14ac:dyDescent="0.3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3:21" x14ac:dyDescent="0.3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3:21" x14ac:dyDescent="0.3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3:21" x14ac:dyDescent="0.3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3:21" x14ac:dyDescent="0.3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3:21" x14ac:dyDescent="0.3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3:21" x14ac:dyDescent="0.3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3:21" x14ac:dyDescent="0.3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3:21" x14ac:dyDescent="0.3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3:21" x14ac:dyDescent="0.3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3:21" x14ac:dyDescent="0.3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3:21" x14ac:dyDescent="0.3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3:21" x14ac:dyDescent="0.3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3:21" x14ac:dyDescent="0.3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3:21" x14ac:dyDescent="0.3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3:21" x14ac:dyDescent="0.3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3:21" x14ac:dyDescent="0.3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3:21" x14ac:dyDescent="0.3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3:21" x14ac:dyDescent="0.3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3:21" x14ac:dyDescent="0.3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3:21" x14ac:dyDescent="0.3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3:21" x14ac:dyDescent="0.3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3:21" x14ac:dyDescent="0.3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3:21" x14ac:dyDescent="0.3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3:21" x14ac:dyDescent="0.3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3:21" x14ac:dyDescent="0.3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3:21" x14ac:dyDescent="0.3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3:21" x14ac:dyDescent="0.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3:21" x14ac:dyDescent="0.3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3:21" x14ac:dyDescent="0.3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3:21" x14ac:dyDescent="0.3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3:21" x14ac:dyDescent="0.3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3:21" x14ac:dyDescent="0.3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3:21" x14ac:dyDescent="0.3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3:21" x14ac:dyDescent="0.3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3:21" x14ac:dyDescent="0.3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3:21" x14ac:dyDescent="0.3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3:21" x14ac:dyDescent="0.3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3:21" x14ac:dyDescent="0.3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3:21" x14ac:dyDescent="0.3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3:21" x14ac:dyDescent="0.3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3:21" x14ac:dyDescent="0.3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3:21" x14ac:dyDescent="0.3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3:21" x14ac:dyDescent="0.3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3:21" x14ac:dyDescent="0.3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3:21" x14ac:dyDescent="0.3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3:21" x14ac:dyDescent="0.3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3:21" x14ac:dyDescent="0.3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3:21" x14ac:dyDescent="0.3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3:21" x14ac:dyDescent="0.3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3:21" x14ac:dyDescent="0.3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3:21" x14ac:dyDescent="0.3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3:21" x14ac:dyDescent="0.3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3:21" x14ac:dyDescent="0.3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3:21" x14ac:dyDescent="0.3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3:21" x14ac:dyDescent="0.3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3:21" x14ac:dyDescent="0.3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3:21" x14ac:dyDescent="0.3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3:21" x14ac:dyDescent="0.3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3:21" x14ac:dyDescent="0.3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3:21" x14ac:dyDescent="0.3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3:21" x14ac:dyDescent="0.3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3:21" x14ac:dyDescent="0.3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3:21" x14ac:dyDescent="0.3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3:21" x14ac:dyDescent="0.3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3:21" x14ac:dyDescent="0.3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3:21" x14ac:dyDescent="0.3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3:21" x14ac:dyDescent="0.3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3:21" x14ac:dyDescent="0.3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3:21" x14ac:dyDescent="0.3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3:21" x14ac:dyDescent="0.3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3:21" x14ac:dyDescent="0.3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3:21" x14ac:dyDescent="0.3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3:21" x14ac:dyDescent="0.3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3:21" x14ac:dyDescent="0.3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3:21" x14ac:dyDescent="0.3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3:21" x14ac:dyDescent="0.3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3:21" x14ac:dyDescent="0.3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3:21" x14ac:dyDescent="0.3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3:21" x14ac:dyDescent="0.3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3:21" x14ac:dyDescent="0.3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3:21" x14ac:dyDescent="0.3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3:21" x14ac:dyDescent="0.3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3:21" x14ac:dyDescent="0.3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3:21" x14ac:dyDescent="0.3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3:21" x14ac:dyDescent="0.3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3:21" x14ac:dyDescent="0.3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3:21" x14ac:dyDescent="0.3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3:21" x14ac:dyDescent="0.3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3:21" x14ac:dyDescent="0.3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3:21" x14ac:dyDescent="0.3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3:21" x14ac:dyDescent="0.3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3:21" x14ac:dyDescent="0.3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2026-02-12T10:16:35Z</dcterms:created>
  <dcterms:modified xsi:type="dcterms:W3CDTF">2026-02-12T15:43:49Z</dcterms:modified>
</cp:coreProperties>
</file>