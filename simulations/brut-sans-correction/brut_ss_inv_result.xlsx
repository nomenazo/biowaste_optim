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brut-sans-correction\"/>
    </mc:Choice>
  </mc:AlternateContent>
  <xr:revisionPtr revIDLastSave="0" documentId="13_ncr:1_{33F28D72-58DC-42B6-8CF0-3BD239EDD84B}" xr6:coauthVersionLast="36" xr6:coauthVersionMax="36" xr10:uidLastSave="{00000000-0000-0000-0000-000000000000}"/>
  <bookViews>
    <workbookView xWindow="0" yWindow="0" windowWidth="19200" windowHeight="635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AM4" i="1" l="1"/>
  <c r="AM5" i="1"/>
  <c r="AM6" i="1"/>
  <c r="AM7" i="1"/>
  <c r="AM8" i="1"/>
  <c r="AM9" i="1"/>
  <c r="AM10" i="1"/>
  <c r="AM11" i="1"/>
  <c r="AM12" i="1"/>
  <c r="AM13" i="1"/>
  <c r="AM14" i="1"/>
  <c r="AM15" i="1"/>
  <c r="AL4" i="1"/>
  <c r="AL5" i="1"/>
  <c r="AL6" i="1"/>
  <c r="AL7" i="1"/>
  <c r="AL8" i="1"/>
  <c r="AL9" i="1"/>
  <c r="AL10" i="1"/>
  <c r="AL11" i="1"/>
  <c r="AL12" i="1"/>
  <c r="AL13" i="1"/>
  <c r="AL14" i="1"/>
  <c r="AL15" i="1"/>
  <c r="AK4" i="1"/>
  <c r="AK5" i="1"/>
  <c r="AK6" i="1"/>
  <c r="AK7" i="1"/>
  <c r="AK8" i="1"/>
  <c r="AK9" i="1"/>
  <c r="AK10" i="1"/>
  <c r="AK11" i="1"/>
  <c r="AK12" i="1"/>
  <c r="AK13" i="1"/>
  <c r="AK14" i="1"/>
  <c r="AK15" i="1"/>
  <c r="AJ4" i="1"/>
  <c r="AJ5" i="1"/>
  <c r="AJ6" i="1"/>
  <c r="AJ7" i="1"/>
  <c r="AJ8" i="1"/>
  <c r="AJ9" i="1"/>
  <c r="AJ10" i="1"/>
  <c r="AJ11" i="1"/>
  <c r="AJ12" i="1"/>
  <c r="AJ13" i="1"/>
  <c r="AJ14" i="1"/>
  <c r="AJ15" i="1"/>
  <c r="AM3" i="1"/>
  <c r="AL3" i="1"/>
  <c r="AK3" i="1"/>
  <c r="AJ3" i="1"/>
</calcChain>
</file>

<file path=xl/sharedStrings.xml><?xml version="1.0" encoding="utf-8"?>
<sst xmlns="http://schemas.openxmlformats.org/spreadsheetml/2006/main" count="54" uniqueCount="50">
  <si>
    <t>HC</t>
  </si>
  <si>
    <t>IC</t>
  </si>
  <si>
    <t>AD-b</t>
  </si>
  <si>
    <t>AD-c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</si>
  <si>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</si>
  <si>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</si>
  <si>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</si>
  <si>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</si>
  <si>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</si>
  <si>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</si>
  <si>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</si>
  <si>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</si>
  <si>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</si>
  <si>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</si>
  <si>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</si>
  <si>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</si>
  <si>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</si>
  <si>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</si>
  <si>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</si>
  <si>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</si>
  <si>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</si>
  <si>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</si>
  <si>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</si>
  <si>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</si>
  <si>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</si>
  <si>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</si>
  <si>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</si>
  <si>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</si>
  <si>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</si>
  <si>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</si>
  <si>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Refood</t>
  </si>
  <si>
    <t>Biometa</t>
  </si>
  <si>
    <t>Carbon</t>
  </si>
  <si>
    <t>EQ</t>
  </si>
  <si>
    <t>HH</t>
  </si>
  <si>
    <t>EQssC</t>
  </si>
  <si>
    <t>HHssC</t>
  </si>
  <si>
    <t>1.0</t>
  </si>
  <si>
    <t>2.0</t>
  </si>
  <si>
    <t>3.0</t>
  </si>
  <si>
    <t>4.0</t>
  </si>
  <si>
    <t>5.0</t>
  </si>
  <si>
    <t>6.0</t>
  </si>
  <si>
    <t>7.0</t>
  </si>
  <si>
    <t>8.0</t>
  </si>
  <si>
    <t>9.0</t>
  </si>
  <si>
    <t>10.0</t>
  </si>
  <si>
    <t>11.0</t>
  </si>
  <si>
    <t>12.0</t>
  </si>
  <si>
    <t>13.0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</si>
</sst>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results!$AJ$2</c:f>
              <c:strCache>
                <c:ptCount val="1"/>
                <c:pt idx="0">
                  <c:v>HC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results!$B$3:$B$15</c:f>
              <c:strCache>
                <c:ptCount val="13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</c:strCache>
            </c:strRef>
          </c:cat>
          <c:val>
            <c:numRef>
              <c:f>results!$AJ$3:$AJ$15</c:f>
              <c:numCache>
                <c:formatCode>0.00</c:formatCode>
                <c:ptCount val="13"/>
                <c:pt idx="0">
                  <c:v>41.79</c:v>
                </c:pt>
                <c:pt idx="1">
                  <c:v>48.309999999999995</c:v>
                </c:pt>
                <c:pt idx="2">
                  <c:v>48.309999999999995</c:v>
                </c:pt>
                <c:pt idx="3">
                  <c:v>48.309999999999995</c:v>
                </c:pt>
                <c:pt idx="4">
                  <c:v>48.309999999999995</c:v>
                </c:pt>
                <c:pt idx="5">
                  <c:v>48.309999999999995</c:v>
                </c:pt>
                <c:pt idx="6">
                  <c:v>25.200000000000003</c:v>
                </c:pt>
                <c:pt idx="7">
                  <c:v>48.309999999999995</c:v>
                </c:pt>
                <c:pt idx="8">
                  <c:v>6.5</c:v>
                </c:pt>
                <c:pt idx="9">
                  <c:v>48.309999999999995</c:v>
                </c:pt>
                <c:pt idx="10">
                  <c:v>48.309999999999995</c:v>
                </c:pt>
                <c:pt idx="11">
                  <c:v>48.309999999999995</c:v>
                </c:pt>
                <c:pt idx="12">
                  <c:v>48.309999999999995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86-4E45-807C-335E5905D49A}"/>
            </c:ext>
          </c:extLst>
        </c:ser>
        <c:ser>
          <c:idx val="1"/>
          <c:order val="1"/>
          <c:tx>
            <c:strRef>
              <c:f>results!$AK$2</c:f>
              <c:strCache>
                <c:ptCount val="1"/>
                <c:pt idx="0">
                  <c:v>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results!$B$3:$B$15</c:f>
              <c:strCache>
                <c:ptCount val="13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</c:strCache>
            </c:strRef>
          </c:cat>
          <c:val>
            <c:numRef>
              <c:f>results!$AK$3:$AK$15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51.7</c:v>
                </c:pt>
                <c:pt idx="5">
                  <c:v>51.7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51.7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86-4E45-807C-335E5905D49A}"/>
            </c:ext>
          </c:extLst>
        </c:ser>
        <c:ser>
          <c:idx val="2"/>
          <c:order val="2"/>
          <c:tx>
            <c:strRef>
              <c:f>results!$AL$2</c:f>
              <c:strCache>
                <c:ptCount val="1"/>
                <c:pt idx="0">
                  <c:v>AD-b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results!$B$3:$B$15</c:f>
              <c:strCache>
                <c:ptCount val="13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</c:strCache>
            </c:strRef>
          </c:cat>
          <c:val>
            <c:numRef>
              <c:f>results!$AL$3:$AL$15</c:f>
              <c:numCache>
                <c:formatCode>General</c:formatCode>
                <c:ptCount val="13"/>
                <c:pt idx="0">
                  <c:v>0</c:v>
                </c:pt>
                <c:pt idx="1">
                  <c:v>51.7</c:v>
                </c:pt>
                <c:pt idx="2">
                  <c:v>0</c:v>
                </c:pt>
                <c:pt idx="3">
                  <c:v>51.7</c:v>
                </c:pt>
                <c:pt idx="4">
                  <c:v>0</c:v>
                </c:pt>
                <c:pt idx="5">
                  <c:v>0</c:v>
                </c:pt>
                <c:pt idx="6">
                  <c:v>74.81</c:v>
                </c:pt>
                <c:pt idx="7">
                  <c:v>51.7</c:v>
                </c:pt>
                <c:pt idx="8">
                  <c:v>93.51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86-4E45-807C-335E5905D49A}"/>
            </c:ext>
          </c:extLst>
        </c:ser>
        <c:ser>
          <c:idx val="3"/>
          <c:order val="3"/>
          <c:tx>
            <c:strRef>
              <c:f>results!$AM$2</c:f>
              <c:strCache>
                <c:ptCount val="1"/>
                <c:pt idx="0">
                  <c:v>AD-c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results!$B$3:$B$15</c:f>
              <c:strCache>
                <c:ptCount val="13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</c:strCache>
            </c:strRef>
          </c:cat>
          <c:val>
            <c:numRef>
              <c:f>results!$AM$3:$AM$15</c:f>
              <c:numCache>
                <c:formatCode>0.00</c:formatCode>
                <c:ptCount val="13"/>
                <c:pt idx="0">
                  <c:v>58.23</c:v>
                </c:pt>
                <c:pt idx="1">
                  <c:v>0</c:v>
                </c:pt>
                <c:pt idx="2">
                  <c:v>51.7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51.7</c:v>
                </c:pt>
                <c:pt idx="11">
                  <c:v>51.7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86-4E45-807C-335E5905D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1427392"/>
        <c:axId val="1120282352"/>
      </c:barChart>
      <c:catAx>
        <c:axId val="66142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20282352"/>
        <c:crosses val="autoZero"/>
        <c:auto val="1"/>
        <c:lblAlgn val="ctr"/>
        <c:lblOffset val="100"/>
        <c:noMultiLvlLbl val="0"/>
      </c:catAx>
      <c:valAx>
        <c:axId val="112028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6142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441323</xdr:colOff>
      <xdr:row>18</xdr:row>
      <xdr:rowOff>93662</xdr:rowOff>
    </xdr:from>
    <xdr:to>
      <xdr:col>34</xdr:col>
      <xdr:colOff>542924</xdr:colOff>
      <xdr:row>34</xdr:row>
      <xdr:rowOff>171450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0AF3333-CE65-45E9-B6EF-BFEEACE33E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5"/>
  <sheetViews>
    <sheetView tabSelected="1" topLeftCell="K1" workbookViewId="0">
      <selection activeCell="AC27" sqref="AC27:AE30"/>
    </sheetView>
  </sheetViews>
  <sheetFormatPr baseColWidth="10" defaultColWidth="8.7265625" defaultRowHeight="14.5" x14ac:dyDescent="0.35"/>
  <sheetData>
    <row r="1" spans="1:39" x14ac:dyDescent="0.35">
      <c r="A1" s="2"/>
      <c r="B1" s="8"/>
      <c r="C1" s="9"/>
      <c r="D1" s="8" t="s">
        <v>0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9"/>
      <c r="Z1" s="8" t="s">
        <v>1</v>
      </c>
      <c r="AA1" s="9"/>
      <c r="AB1" s="2" t="s">
        <v>2</v>
      </c>
      <c r="AC1" s="5" t="s">
        <v>3</v>
      </c>
      <c r="AD1" s="6"/>
      <c r="AE1" s="6"/>
      <c r="AF1" s="6"/>
      <c r="AG1" s="6"/>
      <c r="AH1" s="7"/>
    </row>
    <row r="2" spans="1:39" x14ac:dyDescent="0.35">
      <c r="A2" s="2"/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  <c r="AD2" s="2" t="s">
        <v>32</v>
      </c>
      <c r="AE2" s="2" t="s">
        <v>33</v>
      </c>
      <c r="AF2" s="2" t="s">
        <v>34</v>
      </c>
      <c r="AG2" s="2" t="s">
        <v>35</v>
      </c>
      <c r="AH2" s="2" t="s">
        <v>36</v>
      </c>
      <c r="AJ2" s="11" t="s">
        <v>0</v>
      </c>
      <c r="AK2" s="11" t="s">
        <v>1</v>
      </c>
      <c r="AL2" s="11" t="s">
        <v>2</v>
      </c>
      <c r="AM2" s="11" t="s">
        <v>3</v>
      </c>
    </row>
    <row r="3" spans="1:39" x14ac:dyDescent="0.35">
      <c r="A3" s="1">
        <v>0</v>
      </c>
      <c r="B3" t="s">
        <v>37</v>
      </c>
      <c r="C3">
        <v>0.6</v>
      </c>
      <c r="D3" s="3">
        <v>14.13</v>
      </c>
      <c r="E3">
        <v>2.52</v>
      </c>
      <c r="F3">
        <v>2.94</v>
      </c>
      <c r="H3">
        <v>2.13</v>
      </c>
      <c r="I3">
        <v>1.29</v>
      </c>
      <c r="J3">
        <v>2.72</v>
      </c>
      <c r="K3">
        <v>2.37</v>
      </c>
      <c r="N3">
        <v>3.35</v>
      </c>
      <c r="O3">
        <v>1.78</v>
      </c>
      <c r="S3">
        <v>4.9400000000000004</v>
      </c>
      <c r="U3">
        <v>0.36</v>
      </c>
      <c r="X3">
        <v>2.3199999999999998</v>
      </c>
      <c r="Y3">
        <v>0.94</v>
      </c>
      <c r="AC3" s="3">
        <v>58.23</v>
      </c>
      <c r="AD3" s="4">
        <v>-900529.643526776</v>
      </c>
      <c r="AE3" s="4">
        <v>-500204.87427557592</v>
      </c>
      <c r="AF3" s="4">
        <v>-5.9650553132270554</v>
      </c>
      <c r="AG3" s="4">
        <v>83802.282082538615</v>
      </c>
      <c r="AH3" s="4">
        <v>1.905592268949883</v>
      </c>
      <c r="AJ3" s="3">
        <f>SUM(D3:Y3)</f>
        <v>41.79</v>
      </c>
      <c r="AK3">
        <f>SUM(Z3:AA3)</f>
        <v>0</v>
      </c>
      <c r="AL3">
        <f>AB3</f>
        <v>0</v>
      </c>
      <c r="AM3" s="3">
        <f>AC3</f>
        <v>58.23</v>
      </c>
    </row>
    <row r="4" spans="1:39" x14ac:dyDescent="0.35">
      <c r="A4" s="1">
        <v>1</v>
      </c>
      <c r="B4" t="s">
        <v>38</v>
      </c>
      <c r="C4">
        <v>0.6</v>
      </c>
      <c r="D4" s="3">
        <v>14.13</v>
      </c>
      <c r="E4">
        <v>2.52</v>
      </c>
      <c r="F4">
        <v>2.94</v>
      </c>
      <c r="G4">
        <v>0.82</v>
      </c>
      <c r="H4">
        <v>2.13</v>
      </c>
      <c r="I4">
        <v>1.29</v>
      </c>
      <c r="J4">
        <v>2.72</v>
      </c>
      <c r="K4">
        <v>2.37</v>
      </c>
      <c r="L4">
        <v>0.88</v>
      </c>
      <c r="M4">
        <v>0.54</v>
      </c>
      <c r="N4">
        <v>3.35</v>
      </c>
      <c r="O4">
        <v>1.78</v>
      </c>
      <c r="P4">
        <v>0.71</v>
      </c>
      <c r="Q4">
        <v>0.74</v>
      </c>
      <c r="R4">
        <v>0.75</v>
      </c>
      <c r="S4">
        <v>4.9400000000000004</v>
      </c>
      <c r="T4">
        <v>0.57999999999999996</v>
      </c>
      <c r="U4">
        <v>0.36</v>
      </c>
      <c r="V4">
        <v>0.92</v>
      </c>
      <c r="W4">
        <v>0.57999999999999996</v>
      </c>
      <c r="X4">
        <v>2.3199999999999998</v>
      </c>
      <c r="Y4">
        <v>0.94</v>
      </c>
      <c r="AB4" s="3">
        <v>51.7</v>
      </c>
      <c r="AD4" s="4">
        <v>-527008.18586465344</v>
      </c>
      <c r="AE4" s="4">
        <v>-534021.29708947102</v>
      </c>
      <c r="AF4" s="4">
        <v>-5.0198331186547049</v>
      </c>
      <c r="AG4" s="4">
        <v>-129423.62059813261</v>
      </c>
      <c r="AH4" s="4">
        <v>0.43291799196733549</v>
      </c>
      <c r="AJ4" s="3">
        <f t="shared" ref="AJ4:AJ15" si="0">SUM(D4:Y4)</f>
        <v>48.309999999999995</v>
      </c>
      <c r="AK4">
        <f t="shared" ref="AK4:AK15" si="1">SUM(Z4:AA4)</f>
        <v>0</v>
      </c>
      <c r="AL4">
        <f t="shared" ref="AL4:AL15" si="2">AB4</f>
        <v>51.7</v>
      </c>
      <c r="AM4" s="3">
        <f t="shared" ref="AM4:AM15" si="3">AC4</f>
        <v>0</v>
      </c>
    </row>
    <row r="5" spans="1:39" x14ac:dyDescent="0.35">
      <c r="A5" s="1">
        <v>2</v>
      </c>
      <c r="B5" t="s">
        <v>39</v>
      </c>
      <c r="C5">
        <v>0.6</v>
      </c>
      <c r="D5" s="3">
        <v>14.13</v>
      </c>
      <c r="E5">
        <v>2.52</v>
      </c>
      <c r="F5">
        <v>2.94</v>
      </c>
      <c r="G5">
        <v>0.82</v>
      </c>
      <c r="H5">
        <v>2.13</v>
      </c>
      <c r="I5">
        <v>1.29</v>
      </c>
      <c r="J5">
        <v>2.72</v>
      </c>
      <c r="K5">
        <v>2.37</v>
      </c>
      <c r="L5">
        <v>0.88</v>
      </c>
      <c r="M5">
        <v>0.54</v>
      </c>
      <c r="N5">
        <v>3.35</v>
      </c>
      <c r="O5">
        <v>1.78</v>
      </c>
      <c r="P5">
        <v>0.71</v>
      </c>
      <c r="Q5">
        <v>0.74</v>
      </c>
      <c r="R5">
        <v>0.75</v>
      </c>
      <c r="S5">
        <v>4.9400000000000004</v>
      </c>
      <c r="T5">
        <v>0.57999999999999996</v>
      </c>
      <c r="U5">
        <v>0.36</v>
      </c>
      <c r="V5">
        <v>0.92</v>
      </c>
      <c r="W5">
        <v>0.57999999999999996</v>
      </c>
      <c r="X5">
        <v>2.3199999999999998</v>
      </c>
      <c r="Y5">
        <v>0.94</v>
      </c>
      <c r="AC5" s="3">
        <v>51.7</v>
      </c>
      <c r="AD5" s="4">
        <v>-898781.77147895657</v>
      </c>
      <c r="AE5" s="4">
        <v>-507697.85586750339</v>
      </c>
      <c r="AF5" s="4">
        <v>-6.0240218397631953</v>
      </c>
      <c r="AG5" s="4">
        <v>69693.914180888794</v>
      </c>
      <c r="AH5" s="4">
        <v>1.7574704079985639</v>
      </c>
      <c r="AJ5" s="3">
        <f t="shared" si="0"/>
        <v>48.309999999999995</v>
      </c>
      <c r="AK5">
        <f t="shared" si="1"/>
        <v>0</v>
      </c>
      <c r="AL5">
        <f t="shared" si="2"/>
        <v>0</v>
      </c>
      <c r="AM5" s="3">
        <f t="shared" si="3"/>
        <v>51.7</v>
      </c>
    </row>
    <row r="6" spans="1:39" x14ac:dyDescent="0.35">
      <c r="A6" s="1">
        <v>3</v>
      </c>
      <c r="B6" t="s">
        <v>40</v>
      </c>
      <c r="C6">
        <v>0.6</v>
      </c>
      <c r="D6" s="3">
        <v>14.13</v>
      </c>
      <c r="E6">
        <v>2.52</v>
      </c>
      <c r="F6">
        <v>2.94</v>
      </c>
      <c r="G6">
        <v>0.82</v>
      </c>
      <c r="H6">
        <v>2.13</v>
      </c>
      <c r="I6">
        <v>1.29</v>
      </c>
      <c r="J6">
        <v>2.72</v>
      </c>
      <c r="K6">
        <v>2.37</v>
      </c>
      <c r="L6">
        <v>0.88</v>
      </c>
      <c r="M6">
        <v>0.54</v>
      </c>
      <c r="N6">
        <v>3.35</v>
      </c>
      <c r="O6">
        <v>1.78</v>
      </c>
      <c r="P6">
        <v>0.71</v>
      </c>
      <c r="Q6">
        <v>0.74</v>
      </c>
      <c r="R6">
        <v>0.75</v>
      </c>
      <c r="S6">
        <v>4.9400000000000004</v>
      </c>
      <c r="T6">
        <v>0.57999999999999996</v>
      </c>
      <c r="U6">
        <v>0.36</v>
      </c>
      <c r="V6">
        <v>0.92</v>
      </c>
      <c r="W6">
        <v>0.57999999999999996</v>
      </c>
      <c r="X6">
        <v>2.3199999999999998</v>
      </c>
      <c r="Y6">
        <v>0.94</v>
      </c>
      <c r="AB6" s="3">
        <v>51.7</v>
      </c>
      <c r="AD6" s="4">
        <v>-527008.18586465344</v>
      </c>
      <c r="AE6" s="4">
        <v>-534021.29708947102</v>
      </c>
      <c r="AF6" s="4">
        <v>-5.0198331186547049</v>
      </c>
      <c r="AG6" s="4">
        <v>-129423.62059813261</v>
      </c>
      <c r="AH6" s="4">
        <v>0.43291799196733549</v>
      </c>
      <c r="AJ6" s="3">
        <f t="shared" si="0"/>
        <v>48.309999999999995</v>
      </c>
      <c r="AK6">
        <f t="shared" si="1"/>
        <v>0</v>
      </c>
      <c r="AL6">
        <f t="shared" si="2"/>
        <v>51.7</v>
      </c>
      <c r="AM6" s="3">
        <f t="shared" si="3"/>
        <v>0</v>
      </c>
    </row>
    <row r="7" spans="1:39" x14ac:dyDescent="0.35">
      <c r="A7" s="1">
        <v>4</v>
      </c>
      <c r="B7" t="s">
        <v>41</v>
      </c>
      <c r="C7">
        <v>0.6</v>
      </c>
      <c r="D7" s="3">
        <v>14.13</v>
      </c>
      <c r="E7">
        <v>2.52</v>
      </c>
      <c r="F7">
        <v>2.94</v>
      </c>
      <c r="G7">
        <v>0.82</v>
      </c>
      <c r="H7">
        <v>2.13</v>
      </c>
      <c r="I7">
        <v>1.29</v>
      </c>
      <c r="J7">
        <v>2.72</v>
      </c>
      <c r="K7">
        <v>2.37</v>
      </c>
      <c r="L7">
        <v>0.88</v>
      </c>
      <c r="M7">
        <v>0.54</v>
      </c>
      <c r="N7">
        <v>3.35</v>
      </c>
      <c r="O7">
        <v>1.78</v>
      </c>
      <c r="P7">
        <v>0.71</v>
      </c>
      <c r="Q7">
        <v>0.74</v>
      </c>
      <c r="R7">
        <v>0.75</v>
      </c>
      <c r="S7">
        <v>4.9400000000000004</v>
      </c>
      <c r="T7">
        <v>0.57999999999999996</v>
      </c>
      <c r="U7">
        <v>0.36</v>
      </c>
      <c r="V7">
        <v>0.92</v>
      </c>
      <c r="W7">
        <v>0.57999999999999996</v>
      </c>
      <c r="X7">
        <v>2.3199999999999998</v>
      </c>
      <c r="Y7">
        <v>0.94</v>
      </c>
      <c r="Z7" s="3">
        <v>2.2799999999999998</v>
      </c>
      <c r="AA7">
        <v>49.42</v>
      </c>
      <c r="AD7" s="4">
        <v>-754212.43985085678</v>
      </c>
      <c r="AE7" s="4">
        <v>-431127.63636989292</v>
      </c>
      <c r="AF7" s="4">
        <v>-5.3123461667569956</v>
      </c>
      <c r="AG7" s="4">
        <v>19284.315940239961</v>
      </c>
      <c r="AH7" s="4">
        <v>0.75784279742481853</v>
      </c>
      <c r="AJ7" s="3">
        <f t="shared" si="0"/>
        <v>48.309999999999995</v>
      </c>
      <c r="AK7">
        <f t="shared" si="1"/>
        <v>51.7</v>
      </c>
      <c r="AL7">
        <f t="shared" si="2"/>
        <v>0</v>
      </c>
      <c r="AM7" s="3">
        <f t="shared" si="3"/>
        <v>0</v>
      </c>
    </row>
    <row r="8" spans="1:39" x14ac:dyDescent="0.35">
      <c r="A8" s="1">
        <v>5</v>
      </c>
      <c r="B8" t="s">
        <v>42</v>
      </c>
      <c r="C8">
        <v>0.6</v>
      </c>
      <c r="D8" s="3">
        <v>14.13</v>
      </c>
      <c r="E8">
        <v>2.52</v>
      </c>
      <c r="F8">
        <v>2.94</v>
      </c>
      <c r="G8">
        <v>0.82</v>
      </c>
      <c r="H8">
        <v>2.13</v>
      </c>
      <c r="I8">
        <v>1.29</v>
      </c>
      <c r="J8">
        <v>2.72</v>
      </c>
      <c r="K8">
        <v>2.37</v>
      </c>
      <c r="L8">
        <v>0.88</v>
      </c>
      <c r="M8">
        <v>0.54</v>
      </c>
      <c r="N8">
        <v>3.35</v>
      </c>
      <c r="O8">
        <v>1.78</v>
      </c>
      <c r="P8">
        <v>0.71</v>
      </c>
      <c r="Q8">
        <v>0.74</v>
      </c>
      <c r="R8">
        <v>0.75</v>
      </c>
      <c r="S8">
        <v>4.9400000000000004</v>
      </c>
      <c r="T8">
        <v>0.57999999999999996</v>
      </c>
      <c r="U8">
        <v>0.36</v>
      </c>
      <c r="V8">
        <v>0.92</v>
      </c>
      <c r="W8">
        <v>0.57999999999999996</v>
      </c>
      <c r="X8">
        <v>2.3199999999999998</v>
      </c>
      <c r="Y8">
        <v>0.94</v>
      </c>
      <c r="Z8" s="3">
        <v>2.2799999999999998</v>
      </c>
      <c r="AA8">
        <v>49.42</v>
      </c>
      <c r="AD8" s="4">
        <v>-754212.43985085678</v>
      </c>
      <c r="AE8" s="4">
        <v>-431127.63636989292</v>
      </c>
      <c r="AF8" s="4">
        <v>-5.3123461667569956</v>
      </c>
      <c r="AG8" s="4">
        <v>19284.315940239961</v>
      </c>
      <c r="AH8" s="4">
        <v>0.75784279742481853</v>
      </c>
      <c r="AJ8" s="3">
        <f t="shared" si="0"/>
        <v>48.309999999999995</v>
      </c>
      <c r="AK8">
        <f t="shared" si="1"/>
        <v>51.7</v>
      </c>
      <c r="AL8">
        <f t="shared" si="2"/>
        <v>0</v>
      </c>
      <c r="AM8" s="3">
        <f t="shared" si="3"/>
        <v>0</v>
      </c>
    </row>
    <row r="9" spans="1:39" x14ac:dyDescent="0.35">
      <c r="A9" s="1">
        <v>6</v>
      </c>
      <c r="B9" t="s">
        <v>43</v>
      </c>
      <c r="C9">
        <v>0.6</v>
      </c>
      <c r="D9" s="3">
        <v>14.13</v>
      </c>
      <c r="E9">
        <v>2.52</v>
      </c>
      <c r="I9">
        <v>1.29</v>
      </c>
      <c r="S9">
        <v>4.9400000000000004</v>
      </c>
      <c r="X9">
        <v>2.3199999999999998</v>
      </c>
      <c r="AB9" s="3">
        <v>74.81</v>
      </c>
      <c r="AD9" s="4">
        <v>-356646.70301638811</v>
      </c>
      <c r="AE9" s="4">
        <v>-510653.0221198299</v>
      </c>
      <c r="AF9" s="4">
        <v>-4.2713820774622668</v>
      </c>
      <c r="AG9" s="4">
        <v>-165053.11410720629</v>
      </c>
      <c r="AH9" s="4">
        <v>0.38625754579389809</v>
      </c>
      <c r="AJ9" s="3">
        <f t="shared" si="0"/>
        <v>25.200000000000003</v>
      </c>
      <c r="AK9">
        <f t="shared" si="1"/>
        <v>0</v>
      </c>
      <c r="AL9">
        <f t="shared" si="2"/>
        <v>74.81</v>
      </c>
      <c r="AM9" s="3">
        <f t="shared" si="3"/>
        <v>0</v>
      </c>
    </row>
    <row r="10" spans="1:39" x14ac:dyDescent="0.35">
      <c r="A10" s="1">
        <v>7</v>
      </c>
      <c r="B10" t="s">
        <v>44</v>
      </c>
      <c r="C10">
        <v>0.6</v>
      </c>
      <c r="D10" s="3">
        <v>14.13</v>
      </c>
      <c r="E10">
        <v>2.52</v>
      </c>
      <c r="F10">
        <v>2.94</v>
      </c>
      <c r="G10">
        <v>0.82</v>
      </c>
      <c r="H10">
        <v>2.13</v>
      </c>
      <c r="I10">
        <v>1.29</v>
      </c>
      <c r="J10">
        <v>2.72</v>
      </c>
      <c r="K10">
        <v>2.37</v>
      </c>
      <c r="L10">
        <v>0.88</v>
      </c>
      <c r="M10">
        <v>0.54</v>
      </c>
      <c r="N10">
        <v>3.35</v>
      </c>
      <c r="O10">
        <v>1.78</v>
      </c>
      <c r="P10">
        <v>0.71</v>
      </c>
      <c r="Q10">
        <v>0.74</v>
      </c>
      <c r="R10">
        <v>0.75</v>
      </c>
      <c r="S10">
        <v>4.9400000000000004</v>
      </c>
      <c r="T10">
        <v>0.57999999999999996</v>
      </c>
      <c r="U10">
        <v>0.36</v>
      </c>
      <c r="V10">
        <v>0.92</v>
      </c>
      <c r="W10">
        <v>0.57999999999999996</v>
      </c>
      <c r="X10">
        <v>2.3199999999999998</v>
      </c>
      <c r="Y10">
        <v>0.94</v>
      </c>
      <c r="AB10" s="3">
        <v>51.7</v>
      </c>
      <c r="AD10" s="4">
        <v>-527008.18586465344</v>
      </c>
      <c r="AE10" s="4">
        <v>-534021.29708947102</v>
      </c>
      <c r="AF10" s="4">
        <v>-5.0198331186547049</v>
      </c>
      <c r="AG10" s="4">
        <v>-129423.62059813261</v>
      </c>
      <c r="AH10" s="4">
        <v>0.43291799196733549</v>
      </c>
      <c r="AJ10" s="3">
        <f t="shared" si="0"/>
        <v>48.309999999999995</v>
      </c>
      <c r="AK10">
        <f t="shared" si="1"/>
        <v>0</v>
      </c>
      <c r="AL10">
        <f t="shared" si="2"/>
        <v>51.7</v>
      </c>
      <c r="AM10" s="3">
        <f t="shared" si="3"/>
        <v>0</v>
      </c>
    </row>
    <row r="11" spans="1:39" x14ac:dyDescent="0.35">
      <c r="A11" s="1">
        <v>8</v>
      </c>
      <c r="B11" t="s">
        <v>45</v>
      </c>
      <c r="C11">
        <v>0.6</v>
      </c>
      <c r="D11" s="3">
        <v>0.37</v>
      </c>
      <c r="E11">
        <v>2.52</v>
      </c>
      <c r="I11">
        <v>1.29</v>
      </c>
      <c r="X11">
        <v>2.3199999999999998</v>
      </c>
      <c r="AB11" s="3">
        <v>93.51</v>
      </c>
      <c r="AD11" s="4">
        <v>-211637.8204826203</v>
      </c>
      <c r="AE11" s="4">
        <v>-485832.53615539032</v>
      </c>
      <c r="AF11" s="4">
        <v>-3.6014435413618622</v>
      </c>
      <c r="AG11" s="4">
        <v>-191550.41529105839</v>
      </c>
      <c r="AH11" s="4">
        <v>0.36458746415175558</v>
      </c>
      <c r="AJ11" s="3">
        <f t="shared" si="0"/>
        <v>6.5</v>
      </c>
      <c r="AK11">
        <f t="shared" si="1"/>
        <v>0</v>
      </c>
      <c r="AL11">
        <f t="shared" si="2"/>
        <v>93.51</v>
      </c>
      <c r="AM11" s="3">
        <f t="shared" si="3"/>
        <v>0</v>
      </c>
    </row>
    <row r="12" spans="1:39" x14ac:dyDescent="0.35">
      <c r="A12" s="1">
        <v>9</v>
      </c>
      <c r="B12" t="s">
        <v>46</v>
      </c>
      <c r="C12">
        <v>0.6</v>
      </c>
      <c r="D12" s="3">
        <v>14.13</v>
      </c>
      <c r="E12">
        <v>2.52</v>
      </c>
      <c r="F12">
        <v>2.94</v>
      </c>
      <c r="G12">
        <v>0.82</v>
      </c>
      <c r="H12">
        <v>2.13</v>
      </c>
      <c r="I12">
        <v>1.29</v>
      </c>
      <c r="J12">
        <v>2.72</v>
      </c>
      <c r="K12">
        <v>2.37</v>
      </c>
      <c r="L12">
        <v>0.88</v>
      </c>
      <c r="M12">
        <v>0.54</v>
      </c>
      <c r="N12">
        <v>3.35</v>
      </c>
      <c r="O12">
        <v>1.78</v>
      </c>
      <c r="P12">
        <v>0.71</v>
      </c>
      <c r="Q12">
        <v>0.74</v>
      </c>
      <c r="R12">
        <v>0.75</v>
      </c>
      <c r="S12">
        <v>4.9400000000000004</v>
      </c>
      <c r="T12">
        <v>0.57999999999999996</v>
      </c>
      <c r="U12">
        <v>0.36</v>
      </c>
      <c r="V12">
        <v>0.92</v>
      </c>
      <c r="W12">
        <v>0.57999999999999996</v>
      </c>
      <c r="X12">
        <v>2.3199999999999998</v>
      </c>
      <c r="Y12">
        <v>0.94</v>
      </c>
      <c r="Z12" s="3">
        <v>2.2799999999999998</v>
      </c>
      <c r="AA12">
        <v>49.42</v>
      </c>
      <c r="AD12" s="4">
        <v>-754212.43985085678</v>
      </c>
      <c r="AE12" s="4">
        <v>-431127.63636989292</v>
      </c>
      <c r="AF12" s="4">
        <v>-5.3123461667569956</v>
      </c>
      <c r="AG12" s="4">
        <v>19284.315940239961</v>
      </c>
      <c r="AH12" s="4">
        <v>0.75784279742481853</v>
      </c>
      <c r="AJ12" s="3">
        <f t="shared" si="0"/>
        <v>48.309999999999995</v>
      </c>
      <c r="AK12">
        <f t="shared" si="1"/>
        <v>51.7</v>
      </c>
      <c r="AL12">
        <f t="shared" si="2"/>
        <v>0</v>
      </c>
      <c r="AM12" s="3">
        <f t="shared" si="3"/>
        <v>0</v>
      </c>
    </row>
    <row r="13" spans="1:39" x14ac:dyDescent="0.35">
      <c r="A13" s="1">
        <v>10</v>
      </c>
      <c r="B13" t="s">
        <v>47</v>
      </c>
      <c r="C13">
        <v>0.6</v>
      </c>
      <c r="D13" s="3">
        <v>14.13</v>
      </c>
      <c r="E13">
        <v>2.52</v>
      </c>
      <c r="F13">
        <v>2.94</v>
      </c>
      <c r="G13">
        <v>0.82</v>
      </c>
      <c r="H13">
        <v>2.13</v>
      </c>
      <c r="I13">
        <v>1.29</v>
      </c>
      <c r="J13">
        <v>2.72</v>
      </c>
      <c r="K13">
        <v>2.37</v>
      </c>
      <c r="L13">
        <v>0.88</v>
      </c>
      <c r="M13">
        <v>0.54</v>
      </c>
      <c r="N13">
        <v>3.35</v>
      </c>
      <c r="O13">
        <v>1.78</v>
      </c>
      <c r="P13">
        <v>0.71</v>
      </c>
      <c r="Q13">
        <v>0.74</v>
      </c>
      <c r="R13">
        <v>0.75</v>
      </c>
      <c r="S13">
        <v>4.9400000000000004</v>
      </c>
      <c r="T13">
        <v>0.57999999999999996</v>
      </c>
      <c r="U13">
        <v>0.36</v>
      </c>
      <c r="V13">
        <v>0.92</v>
      </c>
      <c r="W13">
        <v>0.57999999999999996</v>
      </c>
      <c r="X13">
        <v>2.3199999999999998</v>
      </c>
      <c r="Y13">
        <v>0.94</v>
      </c>
      <c r="AC13" s="3">
        <v>51.7</v>
      </c>
      <c r="AD13" s="4">
        <v>-898781.77147895657</v>
      </c>
      <c r="AE13" s="4">
        <v>-507697.85586750339</v>
      </c>
      <c r="AF13" s="4">
        <v>-6.0240218397631953</v>
      </c>
      <c r="AG13" s="4">
        <v>69693.914180888794</v>
      </c>
      <c r="AH13" s="4">
        <v>1.7574704079985639</v>
      </c>
      <c r="AJ13" s="3">
        <f t="shared" si="0"/>
        <v>48.309999999999995</v>
      </c>
      <c r="AK13">
        <f t="shared" si="1"/>
        <v>0</v>
      </c>
      <c r="AL13">
        <f t="shared" si="2"/>
        <v>0</v>
      </c>
      <c r="AM13" s="3">
        <f t="shared" si="3"/>
        <v>51.7</v>
      </c>
    </row>
    <row r="14" spans="1:39" x14ac:dyDescent="0.35">
      <c r="A14" s="1">
        <v>11</v>
      </c>
      <c r="B14" t="s">
        <v>48</v>
      </c>
      <c r="C14">
        <v>0.6</v>
      </c>
      <c r="D14" s="3">
        <v>14.13</v>
      </c>
      <c r="E14">
        <v>2.52</v>
      </c>
      <c r="F14">
        <v>2.94</v>
      </c>
      <c r="G14">
        <v>0.82</v>
      </c>
      <c r="H14">
        <v>2.13</v>
      </c>
      <c r="I14">
        <v>1.29</v>
      </c>
      <c r="J14">
        <v>2.72</v>
      </c>
      <c r="K14">
        <v>2.37</v>
      </c>
      <c r="L14">
        <v>0.88</v>
      </c>
      <c r="M14">
        <v>0.54</v>
      </c>
      <c r="N14">
        <v>3.35</v>
      </c>
      <c r="O14">
        <v>1.78</v>
      </c>
      <c r="P14">
        <v>0.71</v>
      </c>
      <c r="Q14">
        <v>0.74</v>
      </c>
      <c r="R14">
        <v>0.75</v>
      </c>
      <c r="S14">
        <v>4.9400000000000004</v>
      </c>
      <c r="T14">
        <v>0.57999999999999996</v>
      </c>
      <c r="U14">
        <v>0.36</v>
      </c>
      <c r="V14">
        <v>0.92</v>
      </c>
      <c r="W14">
        <v>0.57999999999999996</v>
      </c>
      <c r="X14">
        <v>2.3199999999999998</v>
      </c>
      <c r="Y14">
        <v>0.94</v>
      </c>
      <c r="AC14" s="3">
        <v>51.7</v>
      </c>
      <c r="AD14" s="4">
        <v>-898781.77147895657</v>
      </c>
      <c r="AE14" s="4">
        <v>-507697.85586750339</v>
      </c>
      <c r="AF14" s="4">
        <v>-6.0240218397631953</v>
      </c>
      <c r="AG14" s="4">
        <v>69693.914180888794</v>
      </c>
      <c r="AH14" s="4">
        <v>1.7574704079985639</v>
      </c>
      <c r="AJ14" s="3">
        <f t="shared" si="0"/>
        <v>48.309999999999995</v>
      </c>
      <c r="AK14">
        <f t="shared" si="1"/>
        <v>0</v>
      </c>
      <c r="AL14">
        <f t="shared" si="2"/>
        <v>0</v>
      </c>
      <c r="AM14" s="3">
        <f t="shared" si="3"/>
        <v>51.7</v>
      </c>
    </row>
    <row r="15" spans="1:39" x14ac:dyDescent="0.35">
      <c r="A15" s="1">
        <v>12</v>
      </c>
      <c r="B15" t="s">
        <v>49</v>
      </c>
      <c r="C15">
        <v>0.6</v>
      </c>
      <c r="D15" s="3">
        <v>14.13</v>
      </c>
      <c r="E15">
        <v>2.52</v>
      </c>
      <c r="F15">
        <v>2.94</v>
      </c>
      <c r="G15">
        <v>0.82</v>
      </c>
      <c r="H15">
        <v>2.13</v>
      </c>
      <c r="I15">
        <v>1.29</v>
      </c>
      <c r="J15">
        <v>2.72</v>
      </c>
      <c r="K15">
        <v>2.37</v>
      </c>
      <c r="L15">
        <v>0.88</v>
      </c>
      <c r="M15">
        <v>0.54</v>
      </c>
      <c r="N15">
        <v>3.35</v>
      </c>
      <c r="O15">
        <v>1.78</v>
      </c>
      <c r="P15">
        <v>0.71</v>
      </c>
      <c r="Q15">
        <v>0.74</v>
      </c>
      <c r="R15">
        <v>0.75</v>
      </c>
      <c r="S15">
        <v>4.9400000000000004</v>
      </c>
      <c r="T15">
        <v>0.57999999999999996</v>
      </c>
      <c r="U15">
        <v>0.36</v>
      </c>
      <c r="V15">
        <v>0.92</v>
      </c>
      <c r="W15">
        <v>0.57999999999999996</v>
      </c>
      <c r="X15">
        <v>2.3199999999999998</v>
      </c>
      <c r="Y15">
        <v>0.94</v>
      </c>
      <c r="AB15" s="3">
        <v>51.7</v>
      </c>
      <c r="AD15" s="4">
        <v>-527008.18586465344</v>
      </c>
      <c r="AE15" s="4">
        <v>-534021.29708947102</v>
      </c>
      <c r="AF15" s="4">
        <v>-5.0198331186547049</v>
      </c>
      <c r="AG15" s="4">
        <v>-129423.62059813261</v>
      </c>
      <c r="AH15" s="4">
        <v>0.43291799196733549</v>
      </c>
      <c r="AJ15" s="3">
        <f t="shared" si="0"/>
        <v>48.309999999999995</v>
      </c>
      <c r="AK15">
        <f t="shared" si="1"/>
        <v>0</v>
      </c>
      <c r="AL15">
        <f t="shared" si="2"/>
        <v>51.7</v>
      </c>
      <c r="AM15" s="3">
        <f t="shared" si="3"/>
        <v>0</v>
      </c>
    </row>
  </sheetData>
  <mergeCells count="3">
    <mergeCell ref="B1:C1"/>
    <mergeCell ref="D1:Y1"/>
    <mergeCell ref="Z1:AA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2026-02-09T22:06:12Z</dcterms:created>
  <dcterms:modified xsi:type="dcterms:W3CDTF">2026-02-13T13:53:23Z</dcterms:modified>
</cp:coreProperties>
</file>