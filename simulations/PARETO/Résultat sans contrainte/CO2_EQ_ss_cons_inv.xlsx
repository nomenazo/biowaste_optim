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PARETO\Résultat sans contrainte\"/>
    </mc:Choice>
  </mc:AlternateContent>
  <xr:revisionPtr revIDLastSave="0" documentId="13_ncr:1_{ED2FDCB9-0C7D-4090-BA6A-0B28C7C86EFF}" xr6:coauthVersionLast="36" xr6:coauthVersionMax="36" xr10:uidLastSave="{00000000-0000-0000-0000-000000000000}"/>
  <bookViews>
    <workbookView xWindow="0" yWindow="0" windowWidth="19200" windowHeight="7750" xr2:uid="{00000000-000D-0000-FFFF-FFFF00000000}"/>
  </bookViews>
  <sheets>
    <sheet name="results" sheetId="1" r:id="rId1"/>
    <sheet name="Feuil1" sheetId="2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D3" i="2"/>
  <c r="D4" i="2"/>
  <c r="D5" i="2"/>
  <c r="D6" i="2"/>
  <c r="D7" i="2"/>
  <c r="C3" i="2" l="1"/>
  <c r="C4" i="2"/>
  <c r="C5" i="2"/>
  <c r="C6" i="2"/>
  <c r="C7" i="2"/>
  <c r="B3" i="2"/>
  <c r="B4" i="2"/>
  <c r="B5" i="2"/>
  <c r="B6" i="2"/>
  <c r="B7" i="2"/>
  <c r="AY7" i="1" l="1"/>
  <c r="AX7" i="1"/>
  <c r="AW7" i="1"/>
  <c r="AV7" i="1"/>
  <c r="AU7" i="1"/>
  <c r="AT7" i="1"/>
  <c r="AS7" i="1"/>
  <c r="AR7" i="1"/>
  <c r="AY6" i="1"/>
  <c r="AX6" i="1"/>
  <c r="AW6" i="1"/>
  <c r="AV6" i="1"/>
  <c r="AU6" i="1"/>
  <c r="AT6" i="1"/>
  <c r="AS6" i="1"/>
  <c r="AR6" i="1"/>
  <c r="AY5" i="1"/>
  <c r="AX5" i="1"/>
  <c r="AW5" i="1"/>
  <c r="AV5" i="1"/>
  <c r="AU5" i="1"/>
  <c r="AT5" i="1"/>
  <c r="AS5" i="1"/>
  <c r="AR5" i="1"/>
  <c r="AY4" i="1"/>
  <c r="AX4" i="1"/>
  <c r="AW4" i="1"/>
  <c r="AV4" i="1"/>
  <c r="AU4" i="1"/>
  <c r="AT4" i="1"/>
  <c r="AS4" i="1"/>
  <c r="AR4" i="1"/>
  <c r="AY3" i="1"/>
  <c r="AX3" i="1"/>
  <c r="AW3" i="1"/>
  <c r="AV3" i="1"/>
  <c r="AU3" i="1"/>
  <c r="AT3" i="1"/>
  <c r="AS3" i="1"/>
  <c r="AR3" i="1"/>
</calcChain>
</file>

<file path=xl/sharedStrings.xml><?xml version="1.0" encoding="utf-8"?>
<sst xmlns="http://schemas.openxmlformats.org/spreadsheetml/2006/main" count="67" uniqueCount="59">
  <si>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</si>
  <si>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</si>
  <si>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</si>
  <si>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</si>
  <si>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</si>
  <si>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</si>
  <si>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</si>
  <si>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</si>
  <si>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</si>
  <si>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</si>
  <si>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</si>
  <si>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</si>
  <si>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</si>
  <si>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</si>
  <si>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</si>
  <si>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</si>
  <si>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</si>
  <si>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</si>
  <si>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</si>
  <si>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</si>
  <si>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</si>
  <si>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</si>
  <si>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</si>
  <si>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</si>
  <si>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</si>
  <si>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</si>
  <si>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</si>
  <si>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</si>
  <si>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</si>
  <si>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</si>
  <si>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</si>
  <si>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</si>
  <si>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</si>
  <si>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</si>
  <si>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</si>
  <si>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</si>
  <si>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</si>
  <si>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</si>
  <si>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</si>
  <si>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</si>
  <si>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</si>
  <si>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</si>
  <si>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1.0</t>
  </si>
  <si>
    <t>2.0</t>
  </si>
  <si>
    <t>3.0</t>
  </si>
  <si>
    <t>4.0</t>
  </si>
  <si>
    <t>5.0</t>
  </si>
  <si>
    <t>AD-cog-dig</t>
  </si>
  <si>
    <t>AD-cog-comp</t>
  </si>
  <si>
    <t>AD-biomet-dig</t>
  </si>
  <si>
    <t>AD-biomet-comp</t>
  </si>
  <si>
    <t>AD-heat-dig</t>
  </si>
  <si>
    <t>AD-heat-comp</t>
  </si>
  <si>
    <t>Authorized investment</t>
  </si>
  <si>
    <t>Without investment$</t>
  </si>
  <si>
    <t>CC (kgCO2eq)</t>
  </si>
  <si>
    <t>EQ (excl. CC) (PDF.m2.yr)</t>
  </si>
  <si>
    <t>CC_ss_inv</t>
  </si>
  <si>
    <t>EQ_ss_inv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</si>
</sst>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results!$AR$2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results!$AR$3:$AR$7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1.29</c:v>
                </c:pt>
                <c:pt idx="3">
                  <c:v>40.85</c:v>
                </c:pt>
                <c:pt idx="4">
                  <c:v>48.309999999999995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F1-4520-8A3A-7740CAACB962}"/>
            </c:ext>
          </c:extLst>
        </c:ser>
        <c:ser>
          <c:idx val="1"/>
          <c:order val="1"/>
          <c:tx>
            <c:strRef>
              <c:f>results!$AS$2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results!$AS$3:$AS$7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F1-4520-8A3A-7740CAACB962}"/>
            </c:ext>
          </c:extLst>
        </c:ser>
        <c:ser>
          <c:idx val="2"/>
          <c:order val="2"/>
          <c:tx>
            <c:strRef>
              <c:f>results!$AT$2</c:f>
              <c:strCache>
                <c:ptCount val="1"/>
                <c:pt idx="0">
                  <c:v>AD-cog-dig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results!$AT$3:$AT$7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F1-4520-8A3A-7740CAACB962}"/>
            </c:ext>
          </c:extLst>
        </c:ser>
        <c:ser>
          <c:idx val="3"/>
          <c:order val="3"/>
          <c:tx>
            <c:strRef>
              <c:f>results!$AU$2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results!$AU$3:$AU$7</c:f>
              <c:numCache>
                <c:formatCode>General</c:formatCode>
                <c:ptCount val="5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F1-4520-8A3A-7740CAACB962}"/>
            </c:ext>
          </c:extLst>
        </c:ser>
        <c:ser>
          <c:idx val="4"/>
          <c:order val="4"/>
          <c:tx>
            <c:strRef>
              <c:f>results!$AV$2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results!$AV$3:$AV$7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F1-4520-8A3A-7740CAACB962}"/>
            </c:ext>
          </c:extLst>
        </c:ser>
        <c:ser>
          <c:idx val="5"/>
          <c:order val="5"/>
          <c:tx>
            <c:strRef>
              <c:f>results!$AW$2</c:f>
              <c:strCache>
                <c:ptCount val="1"/>
                <c:pt idx="0">
                  <c:v>AD-biomet-comp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results!$AW$3:$AW$7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9F1-4520-8A3A-7740CAACB962}"/>
            </c:ext>
          </c:extLst>
        </c:ser>
        <c:ser>
          <c:idx val="6"/>
          <c:order val="6"/>
          <c:tx>
            <c:strRef>
              <c:f>results!$AX$2</c:f>
              <c:strCache>
                <c:ptCount val="1"/>
                <c:pt idx="0">
                  <c:v>AD-heat-dig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results!$AX$3:$AX$7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F1-4520-8A3A-7740CAACB962}"/>
            </c:ext>
          </c:extLst>
        </c:ser>
        <c:ser>
          <c:idx val="7"/>
          <c:order val="7"/>
          <c:tx>
            <c:strRef>
              <c:f>results!$AY$2</c:f>
              <c:strCache>
                <c:ptCount val="1"/>
                <c:pt idx="0">
                  <c:v>AD-heat-comp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results!$AY$3:$AY$7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98.71</c:v>
                </c:pt>
                <c:pt idx="3">
                  <c:v>59.17</c:v>
                </c:pt>
                <c:pt idx="4">
                  <c:v>51.7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9F1-4520-8A3A-7740CAACB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894367"/>
        <c:axId val="62864607"/>
      </c:barChart>
      <c:catAx>
        <c:axId val="5689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864607"/>
        <c:crosses val="autoZero"/>
        <c:auto val="1"/>
        <c:lblAlgn val="ctr"/>
        <c:lblOffset val="100"/>
        <c:noMultiLvlLbl val="0"/>
      </c:catAx>
      <c:valAx>
        <c:axId val="6286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89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Feuil1!$B$2</c:f>
              <c:strCache>
                <c:ptCount val="1"/>
                <c:pt idx="0">
                  <c:v>CC (kgCO2eq)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cat>
            <c:numRef>
              <c:f>Feuil1!$A$3:$A$7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Feuil1!$B$3:$B$7</c:f>
              <c:numCache>
                <c:formatCode>0.00E+00</c:formatCode>
                <c:ptCount val="5"/>
                <c:pt idx="0">
                  <c:v>-159029.43824309329</c:v>
                </c:pt>
                <c:pt idx="1">
                  <c:v>-643504.57746848057</c:v>
                </c:pt>
                <c:pt idx="2">
                  <c:v>-646893.57172358432</c:v>
                </c:pt>
                <c:pt idx="3">
                  <c:v>-714457.20825618133</c:v>
                </c:pt>
                <c:pt idx="4">
                  <c:v>-721736.08505759458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2F-40B3-8F6E-91F733C20296}"/>
            </c:ext>
          </c:extLst>
        </c:ser>
        <c:ser>
          <c:idx val="2"/>
          <c:order val="2"/>
          <c:tx>
            <c:strRef>
              <c:f>Feuil1!$D$2</c:f>
              <c:strCache>
                <c:ptCount val="1"/>
                <c:pt idx="0">
                  <c:v>CC_ss_inv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Feuil1!$A$3:$A$7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Feuil1!$D$3:$D$7</c:f>
              <c:numCache>
                <c:formatCode>0.00E+00</c:formatCode>
                <c:ptCount val="5"/>
                <c:pt idx="0">
                  <c:v>-203340.08204525471</c:v>
                </c:pt>
                <c:pt idx="1">
                  <c:v>-203340.08204525471</c:v>
                </c:pt>
                <c:pt idx="2">
                  <c:v>-471293.39594798058</c:v>
                </c:pt>
                <c:pt idx="3">
                  <c:v>-648814.53254341986</c:v>
                </c:pt>
                <c:pt idx="4">
                  <c:v>-648997.27223131794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2F-40B3-8F6E-91F733C20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71999"/>
        <c:axId val="389788735"/>
      </c:lineChart>
      <c:lineChart>
        <c:grouping val="standard"/>
        <c:varyColors val="0"/>
        <c:ser>
          <c:idx val="1"/>
          <c:order val="1"/>
          <c:tx>
            <c:strRef>
              <c:f>Feuil1!$C$2</c:f>
              <c:strCache>
                <c:ptCount val="1"/>
                <c:pt idx="0">
                  <c:v>EQ (excl. CC) (PDF.m2.yr)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cat>
            <c:numRef>
              <c:f>Feuil1!$A$3:$A$7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Feuil1!$C$3:$C$7</c:f>
              <c:numCache>
                <c:formatCode>0.00E+00</c:formatCode>
                <c:ptCount val="5"/>
                <c:pt idx="0">
                  <c:v>-199992.03903795741</c:v>
                </c:pt>
                <c:pt idx="1">
                  <c:v>-165147.24454810651</c:v>
                </c:pt>
                <c:pt idx="2">
                  <c:v>-163891.8494255149</c:v>
                </c:pt>
                <c:pt idx="3">
                  <c:v>-113290.6116263268</c:v>
                </c:pt>
                <c:pt idx="4">
                  <c:v>-101927.78602257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2F-40B3-8F6E-91F733C20296}"/>
            </c:ext>
          </c:extLst>
        </c:ser>
        <c:ser>
          <c:idx val="3"/>
          <c:order val="3"/>
          <c:tx>
            <c:strRef>
              <c:f>Feuil1!$E$2</c:f>
              <c:strCache>
                <c:ptCount val="1"/>
                <c:pt idx="0">
                  <c:v>EQ_ss_inv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Feuil1!$A$3:$A$7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Feuil1!$E$3:$E$7</c:f>
              <c:numCache>
                <c:formatCode>0.00E+00</c:formatCode>
                <c:ptCount val="5"/>
                <c:pt idx="0">
                  <c:v>-190007.86637597691</c:v>
                </c:pt>
                <c:pt idx="1">
                  <c:v>-190007.86637597691</c:v>
                </c:pt>
                <c:pt idx="2">
                  <c:v>-119955.8513852496</c:v>
                </c:pt>
                <c:pt idx="3">
                  <c:v>37353.987928351882</c:v>
                </c:pt>
                <c:pt idx="4">
                  <c:v>42694.046201274381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2F-40B3-8F6E-91F733C20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85999"/>
        <c:axId val="389779583"/>
      </c:lineChart>
      <c:catAx>
        <c:axId val="39887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9788735"/>
        <c:crosses val="autoZero"/>
        <c:auto val="1"/>
        <c:lblAlgn val="ctr"/>
        <c:lblOffset val="100"/>
        <c:noMultiLvlLbl val="0"/>
      </c:catAx>
      <c:valAx>
        <c:axId val="38978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8871999"/>
        <c:crosses val="autoZero"/>
        <c:crossBetween val="between"/>
      </c:valAx>
      <c:valAx>
        <c:axId val="389779583"/>
        <c:scaling>
          <c:orientation val="minMax"/>
        </c:scaling>
        <c:delete val="0"/>
        <c:axPos val="r"/>
        <c:numFmt formatCode="0.00E+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8885999"/>
        <c:crosses val="max"/>
        <c:crossBetween val="between"/>
      </c:valAx>
      <c:catAx>
        <c:axId val="3988859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977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533399</xdr:colOff>
      <xdr:row>10</xdr:row>
      <xdr:rowOff>139700</xdr:rowOff>
    </xdr:from>
    <xdr:to>
      <xdr:col>44</xdr:col>
      <xdr:colOff>581024</xdr:colOff>
      <xdr:row>27</xdr:row>
      <xdr:rowOff>9525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EDBC45C-8DE3-45A7-BAFF-AB7574099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</xdr:colOff>
      <xdr:row>10</xdr:row>
      <xdr:rowOff>1</xdr:rowOff>
    </xdr:from>
    <xdr:to>
      <xdr:col>15</xdr:col>
      <xdr:colOff>676275</xdr:colOff>
      <xdr:row>30</xdr:row>
      <xdr:rowOff>76201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1639084-EF60-4F82-BA6C-071D24069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2_EQ_ss_cons_ssin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Feuil1"/>
    </sheetNames>
    <sheetDataSet>
      <sheetData sheetId="0">
        <row r="3">
          <cell r="AD3">
            <v>-203340.08204525471</v>
          </cell>
          <cell r="AG3">
            <v>-190007.86637597691</v>
          </cell>
        </row>
        <row r="4">
          <cell r="AD4">
            <v>-203340.08204525471</v>
          </cell>
          <cell r="AG4">
            <v>-190007.86637597691</v>
          </cell>
        </row>
        <row r="5">
          <cell r="AD5">
            <v>-471293.39594798058</v>
          </cell>
          <cell r="AG5">
            <v>-119955.8513852496</v>
          </cell>
        </row>
        <row r="6">
          <cell r="AD6">
            <v>-648814.53254341986</v>
          </cell>
          <cell r="AG6">
            <v>37353.987928351882</v>
          </cell>
        </row>
        <row r="7">
          <cell r="AD7">
            <v>-648997.27223131794</v>
          </cell>
          <cell r="AG7">
            <v>42694.046201274381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7"/>
  <sheetViews>
    <sheetView tabSelected="1" topLeftCell="AE1" workbookViewId="0">
      <selection activeCell="AQ8" sqref="AQ8"/>
    </sheetView>
  </sheetViews>
  <sheetFormatPr baseColWidth="10" defaultColWidth="8.7265625" defaultRowHeight="14.5" x14ac:dyDescent="0.35"/>
  <sheetData>
    <row r="1" spans="1:51" x14ac:dyDescent="0.35">
      <c r="A1" s="2"/>
      <c r="B1" s="8"/>
      <c r="C1" s="9"/>
      <c r="D1" s="8" t="s">
        <v>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9"/>
      <c r="Z1" s="8" t="s">
        <v>1</v>
      </c>
      <c r="AA1" s="10"/>
      <c r="AB1" s="9"/>
      <c r="AC1" s="2" t="s">
        <v>2</v>
      </c>
      <c r="AD1" s="8" t="s">
        <v>3</v>
      </c>
      <c r="AE1" s="9"/>
      <c r="AF1" s="8" t="s">
        <v>4</v>
      </c>
      <c r="AG1" s="9"/>
      <c r="AH1" s="2" t="s">
        <v>5</v>
      </c>
      <c r="AI1" s="2" t="s">
        <v>6</v>
      </c>
      <c r="AJ1" s="5" t="s">
        <v>7</v>
      </c>
      <c r="AK1" s="6"/>
      <c r="AL1" s="6"/>
      <c r="AM1" s="6"/>
      <c r="AN1" s="6"/>
      <c r="AO1" s="7"/>
    </row>
    <row r="2" spans="1:51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R2" t="s">
        <v>0</v>
      </c>
      <c r="AS2" t="s">
        <v>1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</row>
    <row r="3" spans="1:51" x14ac:dyDescent="0.35">
      <c r="A3" s="1">
        <v>0</v>
      </c>
      <c r="B3" t="s">
        <v>42</v>
      </c>
      <c r="C3">
        <v>0.6</v>
      </c>
      <c r="AD3" s="3">
        <v>77.709999999999994</v>
      </c>
      <c r="AE3">
        <v>22.29</v>
      </c>
      <c r="AK3" s="4">
        <v>-159029.43824309329</v>
      </c>
      <c r="AL3" s="4">
        <v>-475322.42700594052</v>
      </c>
      <c r="AM3" s="4">
        <v>-3.3428152739486992</v>
      </c>
      <c r="AN3" s="4">
        <v>-199992.03903795741</v>
      </c>
      <c r="AO3" s="4">
        <v>0.36187294934026148</v>
      </c>
      <c r="AQ3">
        <v>0</v>
      </c>
      <c r="AR3">
        <f>SUM(D3:Y3)</f>
        <v>0</v>
      </c>
      <c r="AS3">
        <f>SUM(Z3:AB3)</f>
        <v>0</v>
      </c>
      <c r="AT3">
        <f>AC3</f>
        <v>0</v>
      </c>
      <c r="AU3">
        <f>SUM(AD3:AE3)</f>
        <v>100</v>
      </c>
      <c r="AV3">
        <f>SUM(AF3:AG3)</f>
        <v>0</v>
      </c>
      <c r="AW3">
        <f>AH3</f>
        <v>0</v>
      </c>
      <c r="AX3">
        <f>AI3</f>
        <v>0</v>
      </c>
      <c r="AY3">
        <f>AJ3</f>
        <v>0</v>
      </c>
    </row>
    <row r="4" spans="1:51" x14ac:dyDescent="0.35">
      <c r="A4" s="1">
        <v>1</v>
      </c>
      <c r="B4" t="s">
        <v>43</v>
      </c>
      <c r="C4">
        <v>0.6</v>
      </c>
      <c r="AJ4" s="3">
        <v>100</v>
      </c>
      <c r="AK4" s="4">
        <v>-643504.57746848057</v>
      </c>
      <c r="AL4" s="4">
        <v>-684134.54392147821</v>
      </c>
      <c r="AM4" s="4">
        <v>-6.3517927378926764</v>
      </c>
      <c r="AN4" s="4">
        <v>-165147.24454810651</v>
      </c>
      <c r="AO4" s="4">
        <v>0.63665305931573202</v>
      </c>
      <c r="AQ4">
        <v>0.25</v>
      </c>
      <c r="AR4">
        <f t="shared" ref="AR4:AR7" si="0">SUM(D4:Y4)</f>
        <v>0</v>
      </c>
      <c r="AS4">
        <f t="shared" ref="AS4:AS7" si="1">SUM(Z4:AB4)</f>
        <v>0</v>
      </c>
      <c r="AT4">
        <f t="shared" ref="AT4:AT7" si="2">AC4</f>
        <v>0</v>
      </c>
      <c r="AU4">
        <f t="shared" ref="AU4:AU7" si="3">SUM(AD4:AE4)</f>
        <v>0</v>
      </c>
      <c r="AV4">
        <f t="shared" ref="AV4:AV7" si="4">SUM(AF4:AG4)</f>
        <v>0</v>
      </c>
      <c r="AW4">
        <f t="shared" ref="AW4:AY7" si="5">AH4</f>
        <v>0</v>
      </c>
      <c r="AX4">
        <f t="shared" si="5"/>
        <v>0</v>
      </c>
      <c r="AY4">
        <f t="shared" si="5"/>
        <v>100</v>
      </c>
    </row>
    <row r="5" spans="1:51" x14ac:dyDescent="0.35">
      <c r="A5" s="1">
        <v>2</v>
      </c>
      <c r="B5" t="s">
        <v>44</v>
      </c>
      <c r="C5">
        <v>0.6</v>
      </c>
      <c r="I5">
        <v>1.29</v>
      </c>
      <c r="AJ5" s="3">
        <v>98.71</v>
      </c>
      <c r="AK5" s="4">
        <v>-646893.57172358432</v>
      </c>
      <c r="AL5" s="4">
        <v>-683048.02951931697</v>
      </c>
      <c r="AM5" s="4">
        <v>-6.3578543683243343</v>
      </c>
      <c r="AN5" s="4">
        <v>-163891.8494255149</v>
      </c>
      <c r="AO5" s="4">
        <v>0.63214948940507365</v>
      </c>
      <c r="AQ5">
        <v>0.5</v>
      </c>
      <c r="AR5">
        <f t="shared" si="0"/>
        <v>1.29</v>
      </c>
      <c r="AS5">
        <f t="shared" si="1"/>
        <v>0</v>
      </c>
      <c r="AT5">
        <f t="shared" si="2"/>
        <v>0</v>
      </c>
      <c r="AU5">
        <f t="shared" si="3"/>
        <v>0</v>
      </c>
      <c r="AV5">
        <f t="shared" si="4"/>
        <v>0</v>
      </c>
      <c r="AW5">
        <f t="shared" si="5"/>
        <v>0</v>
      </c>
      <c r="AX5">
        <f t="shared" si="5"/>
        <v>0</v>
      </c>
      <c r="AY5">
        <f t="shared" si="5"/>
        <v>98.71</v>
      </c>
    </row>
    <row r="6" spans="1:51" x14ac:dyDescent="0.35">
      <c r="A6" s="1">
        <v>3</v>
      </c>
      <c r="B6" t="s">
        <v>45</v>
      </c>
      <c r="C6">
        <v>0.6</v>
      </c>
      <c r="D6" s="3">
        <v>14.13</v>
      </c>
      <c r="E6">
        <v>2.52</v>
      </c>
      <c r="F6">
        <v>2.94</v>
      </c>
      <c r="H6">
        <v>2.13</v>
      </c>
      <c r="I6">
        <v>1.29</v>
      </c>
      <c r="J6">
        <v>2.72</v>
      </c>
      <c r="K6">
        <v>2.37</v>
      </c>
      <c r="N6">
        <v>3.35</v>
      </c>
      <c r="O6">
        <v>1.78</v>
      </c>
      <c r="S6">
        <v>4.9400000000000004</v>
      </c>
      <c r="U6">
        <v>0.36</v>
      </c>
      <c r="X6">
        <v>2.3199999999999998</v>
      </c>
      <c r="AJ6" s="3">
        <v>59.17</v>
      </c>
      <c r="AK6" s="4">
        <v>-714457.20825618133</v>
      </c>
      <c r="AL6" s="4">
        <v>-619329.49678115011</v>
      </c>
      <c r="AM6" s="4">
        <v>-6.2165350093229774</v>
      </c>
      <c r="AN6" s="4">
        <v>-113290.6116263268</v>
      </c>
      <c r="AO6" s="4">
        <v>0.57462324722184199</v>
      </c>
      <c r="AQ6">
        <v>0.75</v>
      </c>
      <c r="AR6">
        <f t="shared" si="0"/>
        <v>40.85</v>
      </c>
      <c r="AS6">
        <f t="shared" si="1"/>
        <v>0</v>
      </c>
      <c r="AT6">
        <f t="shared" si="2"/>
        <v>0</v>
      </c>
      <c r="AU6">
        <f t="shared" si="3"/>
        <v>0</v>
      </c>
      <c r="AV6">
        <f t="shared" si="4"/>
        <v>0</v>
      </c>
      <c r="AW6">
        <f t="shared" si="5"/>
        <v>0</v>
      </c>
      <c r="AX6">
        <f t="shared" si="5"/>
        <v>0</v>
      </c>
      <c r="AY6">
        <f t="shared" si="5"/>
        <v>59.17</v>
      </c>
    </row>
    <row r="7" spans="1:51" x14ac:dyDescent="0.35">
      <c r="A7" s="1">
        <v>4</v>
      </c>
      <c r="B7" t="s">
        <v>46</v>
      </c>
      <c r="C7">
        <v>0.6</v>
      </c>
      <c r="D7" s="3">
        <v>14.13</v>
      </c>
      <c r="E7">
        <v>2.52</v>
      </c>
      <c r="F7">
        <v>2.94</v>
      </c>
      <c r="G7">
        <v>0.82</v>
      </c>
      <c r="H7">
        <v>2.13</v>
      </c>
      <c r="I7">
        <v>1.29</v>
      </c>
      <c r="J7">
        <v>2.72</v>
      </c>
      <c r="K7">
        <v>2.37</v>
      </c>
      <c r="L7">
        <v>0.88</v>
      </c>
      <c r="M7">
        <v>0.54</v>
      </c>
      <c r="N7">
        <v>3.35</v>
      </c>
      <c r="O7">
        <v>1.78</v>
      </c>
      <c r="P7">
        <v>0.71</v>
      </c>
      <c r="Q7">
        <v>0.74</v>
      </c>
      <c r="R7">
        <v>0.75</v>
      </c>
      <c r="S7">
        <v>4.9400000000000004</v>
      </c>
      <c r="T7">
        <v>0.57999999999999996</v>
      </c>
      <c r="U7">
        <v>0.36</v>
      </c>
      <c r="V7">
        <v>0.92</v>
      </c>
      <c r="W7">
        <v>0.57999999999999996</v>
      </c>
      <c r="X7">
        <v>2.3199999999999998</v>
      </c>
      <c r="Y7">
        <v>0.94</v>
      </c>
      <c r="AJ7" s="3">
        <v>51.7</v>
      </c>
      <c r="AK7" s="4">
        <v>-721736.08505759458</v>
      </c>
      <c r="AL7" s="4">
        <v>-602746.32933329942</v>
      </c>
      <c r="AM7" s="4">
        <v>-6.1411262058706377</v>
      </c>
      <c r="AN7" s="4">
        <v>-101927.78602257</v>
      </c>
      <c r="AO7" s="4">
        <v>0.57550933977253904</v>
      </c>
      <c r="AQ7">
        <v>1</v>
      </c>
      <c r="AR7">
        <f t="shared" si="0"/>
        <v>48.309999999999995</v>
      </c>
      <c r="AS7">
        <f t="shared" si="1"/>
        <v>0</v>
      </c>
      <c r="AT7">
        <f t="shared" si="2"/>
        <v>0</v>
      </c>
      <c r="AU7">
        <f t="shared" si="3"/>
        <v>0</v>
      </c>
      <c r="AV7">
        <f t="shared" si="4"/>
        <v>0</v>
      </c>
      <c r="AW7">
        <f t="shared" si="5"/>
        <v>0</v>
      </c>
      <c r="AX7">
        <f t="shared" si="5"/>
        <v>0</v>
      </c>
      <c r="AY7">
        <f t="shared" si="5"/>
        <v>51.7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57432-2A3E-40CE-87C9-B78865725B98}">
  <dimension ref="A1:E7"/>
  <sheetViews>
    <sheetView workbookViewId="0">
      <selection sqref="A1:E7"/>
    </sheetView>
  </sheetViews>
  <sheetFormatPr baseColWidth="10" defaultRowHeight="14.5" x14ac:dyDescent="0.35"/>
  <cols>
    <col min="2" max="2" width="17.6328125" customWidth="1"/>
  </cols>
  <sheetData>
    <row r="1" spans="1:5" x14ac:dyDescent="0.35">
      <c r="B1" t="s">
        <v>53</v>
      </c>
      <c r="D1" t="s">
        <v>54</v>
      </c>
    </row>
    <row r="2" spans="1:5" x14ac:dyDescent="0.35">
      <c r="B2" t="s">
        <v>55</v>
      </c>
      <c r="C2" t="s">
        <v>56</v>
      </c>
      <c r="D2" t="s">
        <v>57</v>
      </c>
      <c r="E2" t="s">
        <v>58</v>
      </c>
    </row>
    <row r="3" spans="1:5" x14ac:dyDescent="0.35">
      <c r="A3">
        <v>0</v>
      </c>
      <c r="B3" s="4">
        <f>results!AK3</f>
        <v>-159029.43824309329</v>
      </c>
      <c r="C3" s="4">
        <f>results!AN3</f>
        <v>-199992.03903795741</v>
      </c>
      <c r="D3" s="4">
        <f>[1]results!AD3</f>
        <v>-203340.08204525471</v>
      </c>
      <c r="E3" s="4">
        <f>[1]results!AG3</f>
        <v>-190007.86637597691</v>
      </c>
    </row>
    <row r="4" spans="1:5" x14ac:dyDescent="0.35">
      <c r="A4">
        <v>0.25</v>
      </c>
      <c r="B4" s="4">
        <f>results!AK4</f>
        <v>-643504.57746848057</v>
      </c>
      <c r="C4" s="4">
        <f>results!AN4</f>
        <v>-165147.24454810651</v>
      </c>
      <c r="D4" s="4">
        <f>[1]results!AD4</f>
        <v>-203340.08204525471</v>
      </c>
      <c r="E4" s="4">
        <f>[1]results!AG4</f>
        <v>-190007.86637597691</v>
      </c>
    </row>
    <row r="5" spans="1:5" x14ac:dyDescent="0.35">
      <c r="A5">
        <v>0.5</v>
      </c>
      <c r="B5" s="4">
        <f>results!AK5</f>
        <v>-646893.57172358432</v>
      </c>
      <c r="C5" s="4">
        <f>results!AN5</f>
        <v>-163891.8494255149</v>
      </c>
      <c r="D5" s="4">
        <f>[1]results!AD5</f>
        <v>-471293.39594798058</v>
      </c>
      <c r="E5" s="4">
        <f>[1]results!AG5</f>
        <v>-119955.8513852496</v>
      </c>
    </row>
    <row r="6" spans="1:5" x14ac:dyDescent="0.35">
      <c r="A6">
        <v>0.75</v>
      </c>
      <c r="B6" s="4">
        <f>results!AK6</f>
        <v>-714457.20825618133</v>
      </c>
      <c r="C6" s="4">
        <f>results!AN6</f>
        <v>-113290.6116263268</v>
      </c>
      <c r="D6" s="4">
        <f>[1]results!AD6</f>
        <v>-648814.53254341986</v>
      </c>
      <c r="E6" s="4">
        <f>[1]results!AG6</f>
        <v>37353.987928351882</v>
      </c>
    </row>
    <row r="7" spans="1:5" x14ac:dyDescent="0.35">
      <c r="A7">
        <v>1</v>
      </c>
      <c r="B7" s="4">
        <f>results!AK7</f>
        <v>-721736.08505759458</v>
      </c>
      <c r="C7" s="4">
        <f>results!AN7</f>
        <v>-101927.78602257</v>
      </c>
      <c r="D7" s="4">
        <f>[1]results!AD7</f>
        <v>-648997.27223131794</v>
      </c>
      <c r="E7" s="4">
        <f>[1]results!AG7</f>
        <v>42694.046201274381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results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2026-03-06T14:23:53Z</dcterms:created>
  <dcterms:modified xsi:type="dcterms:W3CDTF">2026-03-19T15:54:55Z</dcterms:modified>
</cp:coreProperties>
</file>