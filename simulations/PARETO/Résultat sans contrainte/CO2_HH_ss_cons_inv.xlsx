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PARETO\Résultat sans contrainte\"/>
    </mc:Choice>
  </mc:AlternateContent>
  <xr:revisionPtr revIDLastSave="0" documentId="13_ncr:1_{94875EE0-E02B-4C51-8EA4-6B2FC7A7B530}" xr6:coauthVersionLast="36" xr6:coauthVersionMax="36" xr10:uidLastSave="{00000000-0000-0000-0000-000000000000}"/>
  <bookViews>
    <workbookView xWindow="0" yWindow="0" windowWidth="19200" windowHeight="7750" xr2:uid="{00000000-000D-0000-FFFF-FFFF00000000}"/>
  </bookViews>
  <sheets>
    <sheet name="results" sheetId="1" r:id="rId1"/>
    <sheet name="Feuil1" sheetId="2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D3" i="2"/>
  <c r="D4" i="2"/>
  <c r="D5" i="2"/>
  <c r="D6" i="2"/>
  <c r="D7" i="2"/>
  <c r="C3" i="2"/>
  <c r="C4" i="2"/>
  <c r="C5" i="2"/>
  <c r="C6" i="2"/>
  <c r="C7" i="2"/>
  <c r="B3" i="2"/>
  <c r="B4" i="2"/>
  <c r="B5" i="2"/>
  <c r="B6" i="2"/>
  <c r="B7" i="2"/>
  <c r="AY7" i="1" l="1"/>
  <c r="AX7" i="1"/>
  <c r="AW7" i="1"/>
  <c r="AV7" i="1"/>
  <c r="AU7" i="1"/>
  <c r="AT7" i="1"/>
  <c r="AS7" i="1"/>
  <c r="AR7" i="1"/>
  <c r="AY6" i="1"/>
  <c r="AX6" i="1"/>
  <c r="AW6" i="1"/>
  <c r="AV6" i="1"/>
  <c r="AU6" i="1"/>
  <c r="AT6" i="1"/>
  <c r="AS6" i="1"/>
  <c r="AR6" i="1"/>
  <c r="AY5" i="1"/>
  <c r="AX5" i="1"/>
  <c r="AW5" i="1"/>
  <c r="AV5" i="1"/>
  <c r="AU5" i="1"/>
  <c r="AT5" i="1"/>
  <c r="AS5" i="1"/>
  <c r="AR5" i="1"/>
  <c r="AY4" i="1"/>
  <c r="AX4" i="1"/>
  <c r="AW4" i="1"/>
  <c r="AV4" i="1"/>
  <c r="AU4" i="1"/>
  <c r="AT4" i="1"/>
  <c r="AS4" i="1"/>
  <c r="AR4" i="1"/>
  <c r="AY3" i="1"/>
  <c r="AX3" i="1"/>
  <c r="AW3" i="1"/>
  <c r="AV3" i="1"/>
  <c r="AU3" i="1"/>
  <c r="AT3" i="1"/>
  <c r="AS3" i="1"/>
  <c r="AR3" i="1"/>
</calcChain>
</file>

<file path=xl/sharedStrings.xml><?xml version="1.0" encoding="utf-8"?>
<sst xmlns="http://schemas.openxmlformats.org/spreadsheetml/2006/main" count="68" uniqueCount="60">
  <si>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</si>
  <si>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</si>
  <si>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</si>
  <si>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</si>
  <si>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</si>
  <si>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</si>
  <si>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</si>
  <si>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</si>
  <si>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</si>
  <si>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</si>
  <si>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</si>
  <si>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</si>
  <si>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</si>
  <si>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</si>
  <si>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</si>
  <si>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</si>
  <si>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</si>
  <si>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</si>
  <si>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</si>
  <si>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</si>
  <si>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</si>
  <si>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</si>
  <si>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</si>
  <si>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</si>
  <si>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</si>
  <si>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</si>
  <si>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</si>
  <si>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</si>
  <si>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</si>
  <si>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</si>
  <si>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</si>
  <si>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</si>
  <si>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</si>
  <si>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</si>
  <si>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</si>
  <si>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</si>
  <si>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</si>
  <si>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</si>
  <si>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</si>
  <si>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</si>
  <si>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</si>
  <si>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</si>
  <si>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1.0</t>
  </si>
  <si>
    <t>2.0</t>
  </si>
  <si>
    <t>3.0</t>
  </si>
  <si>
    <t>4.0</t>
  </si>
  <si>
    <t>5.0</t>
  </si>
  <si>
    <t>AD-cog-dig</t>
  </si>
  <si>
    <t>AD-cog-comp</t>
  </si>
  <si>
    <t>AD-biomet-dig</t>
  </si>
  <si>
    <t>AD-biomet-comp</t>
  </si>
  <si>
    <t>AD-heat-dig</t>
  </si>
  <si>
    <t>AD-heat-comp</t>
  </si>
  <si>
    <t>Authorized investment</t>
  </si>
  <si>
    <t>Without investment$</t>
  </si>
  <si>
    <t>CC (kgCO2eq)</t>
  </si>
  <si>
    <t>CC_ss_inv</t>
  </si>
  <si>
    <t>HH (excl. CC) (DALY)</t>
  </si>
  <si>
    <t>H</t>
  </si>
  <si>
    <t>HH_ss_inv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</si>
</sst>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results!$AR$2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results!$AR$3:$AR$7</c:f>
              <c:numCache>
                <c:formatCode>General</c:formatCode>
                <c:ptCount val="5"/>
                <c:pt idx="0">
                  <c:v>1.29</c:v>
                </c:pt>
                <c:pt idx="1">
                  <c:v>48.309999999999995</c:v>
                </c:pt>
                <c:pt idx="2">
                  <c:v>48.309999999999995</c:v>
                </c:pt>
                <c:pt idx="3">
                  <c:v>48.309999999999995</c:v>
                </c:pt>
                <c:pt idx="4">
                  <c:v>48.309999999999995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2-41A7-81A1-8ED35079273E}"/>
            </c:ext>
          </c:extLst>
        </c:ser>
        <c:ser>
          <c:idx val="1"/>
          <c:order val="1"/>
          <c:tx>
            <c:strRef>
              <c:f>results!$AS$2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results!$AS$3:$AS$7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A2-41A7-81A1-8ED35079273E}"/>
            </c:ext>
          </c:extLst>
        </c:ser>
        <c:ser>
          <c:idx val="2"/>
          <c:order val="2"/>
          <c:tx>
            <c:strRef>
              <c:f>results!$AT$2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A2-41A7-81A1-8ED35079273E}"/>
            </c:ext>
          </c:extLst>
        </c:ser>
        <c:ser>
          <c:idx val="3"/>
          <c:order val="3"/>
          <c:tx>
            <c:strRef>
              <c:f>results!$AU$2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results!$AU$3:$AU$7</c:f>
              <c:numCache>
                <c:formatCode>General</c:formatCode>
                <c:ptCount val="5"/>
                <c:pt idx="0">
                  <c:v>98.72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A2-41A7-81A1-8ED35079273E}"/>
            </c:ext>
          </c:extLst>
        </c:ser>
        <c:ser>
          <c:idx val="4"/>
          <c:order val="4"/>
          <c:tx>
            <c:strRef>
              <c:f>results!$AV$2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results!$AV$3:$AV$7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A2-41A7-81A1-8ED35079273E}"/>
            </c:ext>
          </c:extLst>
        </c:ser>
        <c:ser>
          <c:idx val="5"/>
          <c:order val="5"/>
          <c:tx>
            <c:strRef>
              <c:f>results!$AW$2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results!$AW$3:$AW$7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A2-41A7-81A1-8ED35079273E}"/>
            </c:ext>
          </c:extLst>
        </c:ser>
        <c:ser>
          <c:idx val="6"/>
          <c:order val="6"/>
          <c:tx>
            <c:strRef>
              <c:f>results!$AX$2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results!$AX$3:$AX$7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A2-41A7-81A1-8ED35079273E}"/>
            </c:ext>
          </c:extLst>
        </c:ser>
        <c:ser>
          <c:idx val="7"/>
          <c:order val="7"/>
          <c:tx>
            <c:strRef>
              <c:f>results!$AY$2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results!$AY$3:$AY$7</c:f>
              <c:numCache>
                <c:formatCode>General</c:formatCode>
                <c:ptCount val="5"/>
                <c:pt idx="0">
                  <c:v>0</c:v>
                </c:pt>
                <c:pt idx="1">
                  <c:v>51.7</c:v>
                </c:pt>
                <c:pt idx="2">
                  <c:v>51.7</c:v>
                </c:pt>
                <c:pt idx="3">
                  <c:v>51.7</c:v>
                </c:pt>
                <c:pt idx="4">
                  <c:v>51.7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DA2-41A7-81A1-8ED350792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0739359"/>
        <c:axId val="385701823"/>
      </c:barChart>
      <c:catAx>
        <c:axId val="213073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5701823"/>
        <c:crosses val="autoZero"/>
        <c:auto val="1"/>
        <c:lblAlgn val="ctr"/>
        <c:lblOffset val="100"/>
        <c:noMultiLvlLbl val="0"/>
      </c:catAx>
      <c:valAx>
        <c:axId val="38570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73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Feuil1!$B$2</c:f>
              <c:strCache>
                <c:ptCount val="1"/>
                <c:pt idx="0">
                  <c:v>CC (kgCO2eq)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Feuil1!$B$3:$B$7</c:f>
              <c:numCache>
                <c:formatCode>0.00E+00</c:formatCode>
                <c:ptCount val="5"/>
                <c:pt idx="0">
                  <c:v>-168722.84833444131</c:v>
                </c:pt>
                <c:pt idx="1">
                  <c:v>-721736.08505759458</c:v>
                </c:pt>
                <c:pt idx="2">
                  <c:v>-721736.08505759458</c:v>
                </c:pt>
                <c:pt idx="3">
                  <c:v>-721736.08505759458</c:v>
                </c:pt>
                <c:pt idx="4">
                  <c:v>-721736.08505759458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42-4A75-8BB7-69EDD43B6E27}"/>
            </c:ext>
          </c:extLst>
        </c:ser>
        <c:ser>
          <c:idx val="2"/>
          <c:order val="2"/>
          <c:tx>
            <c:strRef>
              <c:f>Feuil1!$D$2</c:f>
              <c:strCache>
                <c:ptCount val="1"/>
                <c:pt idx="0">
                  <c:v>CC_ss_inv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Feuil1!$D$3:$D$7</c:f>
              <c:numCache>
                <c:formatCode>0.00E+00</c:formatCode>
                <c:ptCount val="5"/>
                <c:pt idx="0">
                  <c:v>-203340.08204525471</c:v>
                </c:pt>
                <c:pt idx="1">
                  <c:v>-648814.53254341986</c:v>
                </c:pt>
                <c:pt idx="2">
                  <c:v>-648814.53254341986</c:v>
                </c:pt>
                <c:pt idx="3">
                  <c:v>-648814.53254341986</c:v>
                </c:pt>
                <c:pt idx="4">
                  <c:v>-648997.27223131794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42-4A75-8BB7-69EDD43B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599023"/>
        <c:axId val="389736319"/>
      </c:lineChart>
      <c:lineChart>
        <c:grouping val="standard"/>
        <c:varyColors val="0"/>
        <c:ser>
          <c:idx val="1"/>
          <c:order val="1"/>
          <c:tx>
            <c:strRef>
              <c:f>Feuil1!$C$2</c:f>
              <c:strCache>
                <c:ptCount val="1"/>
                <c:pt idx="0">
                  <c:v>HH (excl. CC) (DALY)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Feuil1!$C$3:$C$7</c:f>
              <c:numCache>
                <c:formatCode>0.00E+00</c:formatCode>
                <c:ptCount val="5"/>
                <c:pt idx="0">
                  <c:v>0.36083351998345248</c:v>
                </c:pt>
                <c:pt idx="1">
                  <c:v>0.57550933977253904</c:v>
                </c:pt>
                <c:pt idx="2">
                  <c:v>0.57550933977253904</c:v>
                </c:pt>
                <c:pt idx="3">
                  <c:v>0.57550933977253904</c:v>
                </c:pt>
                <c:pt idx="4">
                  <c:v>0.57550933977253904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42-4A75-8BB7-69EDD43B6E27}"/>
            </c:ext>
          </c:extLst>
        </c:ser>
        <c:ser>
          <c:idx val="3"/>
          <c:order val="3"/>
          <c:tx>
            <c:strRef>
              <c:f>Feuil1!$E$2</c:f>
              <c:strCache>
                <c:ptCount val="1"/>
                <c:pt idx="0">
                  <c:v>HH_ss_inv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Feuil1!$E$3:$E$7</c:f>
              <c:numCache>
                <c:formatCode>0.00E+00</c:formatCode>
                <c:ptCount val="5"/>
                <c:pt idx="0">
                  <c:v>0.36546878948365119</c:v>
                </c:pt>
                <c:pt idx="1">
                  <c:v>0.75973586218435374</c:v>
                </c:pt>
                <c:pt idx="2">
                  <c:v>0.75973586218435374</c:v>
                </c:pt>
                <c:pt idx="3">
                  <c:v>0.75973586218435374</c:v>
                </c:pt>
                <c:pt idx="4">
                  <c:v>0.83131192868738812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42-4A75-8BB7-69EDD43B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5760463"/>
        <c:axId val="389750463"/>
      </c:lineChart>
      <c:catAx>
        <c:axId val="38259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9736319"/>
        <c:crosses val="autoZero"/>
        <c:auto val="1"/>
        <c:lblAlgn val="ctr"/>
        <c:lblOffset val="100"/>
        <c:noMultiLvlLbl val="0"/>
      </c:catAx>
      <c:valAx>
        <c:axId val="38973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2599023"/>
        <c:crosses val="autoZero"/>
        <c:crossBetween val="between"/>
      </c:valAx>
      <c:valAx>
        <c:axId val="389750463"/>
        <c:scaling>
          <c:orientation val="minMax"/>
        </c:scaling>
        <c:delete val="0"/>
        <c:axPos val="r"/>
        <c:numFmt formatCode="0.00E+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5760463"/>
        <c:crosses val="max"/>
        <c:crossBetween val="between"/>
      </c:valAx>
      <c:catAx>
        <c:axId val="395760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97504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533399</xdr:colOff>
      <xdr:row>10</xdr:row>
      <xdr:rowOff>139700</xdr:rowOff>
    </xdr:from>
    <xdr:to>
      <xdr:col>43</xdr:col>
      <xdr:colOff>428624</xdr:colOff>
      <xdr:row>27</xdr:row>
      <xdr:rowOff>114300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338240E-055D-4DCA-85F2-21537E780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533399</xdr:colOff>
      <xdr:row>9</xdr:row>
      <xdr:rowOff>47626</xdr:rowOff>
    </xdr:from>
    <xdr:to>
      <xdr:col>15</xdr:col>
      <xdr:colOff>698499</xdr:colOff>
      <xdr:row>30</xdr:row>
      <xdr:rowOff>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71AB765-9B12-4975-BCD1-3DDF2946B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2_HH_ss_cons_ssin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D3">
            <v>-203340.08204525471</v>
          </cell>
          <cell r="AH3">
            <v>0.36546878948365119</v>
          </cell>
        </row>
        <row r="4">
          <cell r="AD4">
            <v>-648814.53254341986</v>
          </cell>
          <cell r="AH4">
            <v>0.75973586218435374</v>
          </cell>
        </row>
        <row r="5">
          <cell r="AD5">
            <v>-648814.53254341986</v>
          </cell>
          <cell r="AH5">
            <v>0.75973586218435374</v>
          </cell>
        </row>
        <row r="6">
          <cell r="AD6">
            <v>-648814.53254341986</v>
          </cell>
          <cell r="AH6">
            <v>0.75973586218435374</v>
          </cell>
        </row>
        <row r="7">
          <cell r="AD7">
            <v>-648997.27223131794</v>
          </cell>
          <cell r="AH7">
            <v>0.83131192868738812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"/>
  <sheetViews>
    <sheetView tabSelected="1" topLeftCell="AK3" workbookViewId="0">
      <selection activeCell="AQ8" sqref="AQ8"/>
    </sheetView>
  </sheetViews>
  <sheetFormatPr baseColWidth="10" defaultColWidth="8.7265625" defaultRowHeight="14.5" x14ac:dyDescent="0.35"/>
  <sheetData>
    <row r="1" spans="1:51" x14ac:dyDescent="0.3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10"/>
      <c r="AB1" s="9"/>
      <c r="AC1" s="2" t="s">
        <v>2</v>
      </c>
      <c r="AD1" s="8" t="s">
        <v>3</v>
      </c>
      <c r="AE1" s="9"/>
      <c r="AF1" s="8" t="s">
        <v>4</v>
      </c>
      <c r="AG1" s="9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1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R2" t="s">
        <v>0</v>
      </c>
      <c r="AS2" t="s">
        <v>1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</row>
    <row r="3" spans="1:51" x14ac:dyDescent="0.35">
      <c r="A3" s="1">
        <v>0</v>
      </c>
      <c r="B3" t="s">
        <v>42</v>
      </c>
      <c r="C3">
        <v>0.6</v>
      </c>
      <c r="I3">
        <v>1.29</v>
      </c>
      <c r="AD3" s="3">
        <v>77.709999999999994</v>
      </c>
      <c r="AE3">
        <v>21.01</v>
      </c>
      <c r="AK3" s="4">
        <v>-168722.84833444131</v>
      </c>
      <c r="AL3" s="4">
        <v>-476981.1947610848</v>
      </c>
      <c r="AM3" s="4">
        <v>-3.38813456250741</v>
      </c>
      <c r="AN3" s="4">
        <v>-198311.94130250611</v>
      </c>
      <c r="AO3" s="4">
        <v>0.36083351998345248</v>
      </c>
      <c r="AQ3">
        <v>0</v>
      </c>
      <c r="AR3">
        <f>SUM(D3:Y3)</f>
        <v>1.29</v>
      </c>
      <c r="AS3">
        <f>SUM(Z3:AB3)</f>
        <v>0</v>
      </c>
      <c r="AT3">
        <f>AC3</f>
        <v>0</v>
      </c>
      <c r="AU3">
        <f>SUM(AD3:AE3)</f>
        <v>98.72</v>
      </c>
      <c r="AV3">
        <f>SUM(AF3:AG3)</f>
        <v>0</v>
      </c>
      <c r="AW3">
        <f>AH3</f>
        <v>0</v>
      </c>
      <c r="AX3">
        <f>AI3</f>
        <v>0</v>
      </c>
      <c r="AY3">
        <f>AJ3</f>
        <v>0</v>
      </c>
    </row>
    <row r="4" spans="1:51" x14ac:dyDescent="0.35">
      <c r="A4" s="1">
        <v>1</v>
      </c>
      <c r="B4" t="s">
        <v>43</v>
      </c>
      <c r="C4">
        <v>0.6</v>
      </c>
      <c r="D4" s="3">
        <v>14.13</v>
      </c>
      <c r="E4">
        <v>2.52</v>
      </c>
      <c r="F4">
        <v>2.94</v>
      </c>
      <c r="G4">
        <v>0.82</v>
      </c>
      <c r="H4">
        <v>2.13</v>
      </c>
      <c r="I4">
        <v>1.29</v>
      </c>
      <c r="J4">
        <v>2.72</v>
      </c>
      <c r="K4">
        <v>2.37</v>
      </c>
      <c r="L4">
        <v>0.88</v>
      </c>
      <c r="M4">
        <v>0.54</v>
      </c>
      <c r="N4">
        <v>3.35</v>
      </c>
      <c r="O4">
        <v>1.78</v>
      </c>
      <c r="P4">
        <v>0.71</v>
      </c>
      <c r="Q4">
        <v>0.74</v>
      </c>
      <c r="R4">
        <v>0.75</v>
      </c>
      <c r="S4">
        <v>4.9400000000000004</v>
      </c>
      <c r="T4">
        <v>0.57999999999999996</v>
      </c>
      <c r="U4">
        <v>0.36</v>
      </c>
      <c r="V4">
        <v>0.92</v>
      </c>
      <c r="W4">
        <v>0.57999999999999996</v>
      </c>
      <c r="X4">
        <v>2.3199999999999998</v>
      </c>
      <c r="Y4">
        <v>0.94</v>
      </c>
      <c r="AJ4" s="3">
        <v>51.7</v>
      </c>
      <c r="AK4" s="4">
        <v>-721736.08505759458</v>
      </c>
      <c r="AL4" s="4">
        <v>-602746.32933329942</v>
      </c>
      <c r="AM4" s="4">
        <v>-6.1411262058706377</v>
      </c>
      <c r="AN4" s="4">
        <v>-101927.78602257</v>
      </c>
      <c r="AO4" s="4">
        <v>0.57550933977253904</v>
      </c>
      <c r="AQ4">
        <v>0.25</v>
      </c>
      <c r="AR4">
        <f t="shared" ref="AR4:AR7" si="0">SUM(D4:Y4)</f>
        <v>48.309999999999995</v>
      </c>
      <c r="AS4">
        <f t="shared" ref="AS4:AS7" si="1">SUM(Z4:AB4)</f>
        <v>0</v>
      </c>
      <c r="AT4">
        <f t="shared" ref="AT4:AT7" si="2">AC4</f>
        <v>0</v>
      </c>
      <c r="AU4">
        <f t="shared" ref="AU4:AU7" si="3">SUM(AD4:AE4)</f>
        <v>0</v>
      </c>
      <c r="AV4">
        <f t="shared" ref="AV4:AV7" si="4">SUM(AF4:AG4)</f>
        <v>0</v>
      </c>
      <c r="AW4">
        <f t="shared" ref="AW4:AY7" si="5">AH4</f>
        <v>0</v>
      </c>
      <c r="AX4">
        <f t="shared" si="5"/>
        <v>0</v>
      </c>
      <c r="AY4">
        <f t="shared" si="5"/>
        <v>51.7</v>
      </c>
    </row>
    <row r="5" spans="1:51" x14ac:dyDescent="0.35">
      <c r="A5" s="1">
        <v>2</v>
      </c>
      <c r="B5" t="s">
        <v>44</v>
      </c>
      <c r="C5">
        <v>0.6</v>
      </c>
      <c r="D5" s="3">
        <v>14.13</v>
      </c>
      <c r="E5">
        <v>2.52</v>
      </c>
      <c r="F5">
        <v>2.94</v>
      </c>
      <c r="G5">
        <v>0.82</v>
      </c>
      <c r="H5">
        <v>2.13</v>
      </c>
      <c r="I5">
        <v>1.29</v>
      </c>
      <c r="J5">
        <v>2.72</v>
      </c>
      <c r="K5">
        <v>2.37</v>
      </c>
      <c r="L5">
        <v>0.88</v>
      </c>
      <c r="M5">
        <v>0.54</v>
      </c>
      <c r="N5">
        <v>3.35</v>
      </c>
      <c r="O5">
        <v>1.78</v>
      </c>
      <c r="P5">
        <v>0.71</v>
      </c>
      <c r="Q5">
        <v>0.74</v>
      </c>
      <c r="R5">
        <v>0.75</v>
      </c>
      <c r="S5">
        <v>4.9400000000000004</v>
      </c>
      <c r="T5">
        <v>0.57999999999999996</v>
      </c>
      <c r="U5">
        <v>0.36</v>
      </c>
      <c r="V5">
        <v>0.92</v>
      </c>
      <c r="W5">
        <v>0.57999999999999996</v>
      </c>
      <c r="X5">
        <v>2.3199999999999998</v>
      </c>
      <c r="Y5">
        <v>0.94</v>
      </c>
      <c r="AJ5" s="3">
        <v>51.7</v>
      </c>
      <c r="AK5" s="4">
        <v>-721736.08505759458</v>
      </c>
      <c r="AL5" s="4">
        <v>-602746.32933329942</v>
      </c>
      <c r="AM5" s="4">
        <v>-6.1411262058706377</v>
      </c>
      <c r="AN5" s="4">
        <v>-101927.78602257</v>
      </c>
      <c r="AO5" s="4">
        <v>0.57550933977253904</v>
      </c>
      <c r="AQ5">
        <v>0.5</v>
      </c>
      <c r="AR5">
        <f t="shared" si="0"/>
        <v>48.309999999999995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51.7</v>
      </c>
    </row>
    <row r="6" spans="1:51" x14ac:dyDescent="0.35">
      <c r="A6" s="1">
        <v>3</v>
      </c>
      <c r="B6" t="s">
        <v>45</v>
      </c>
      <c r="C6">
        <v>0.6</v>
      </c>
      <c r="D6" s="3">
        <v>14.13</v>
      </c>
      <c r="E6">
        <v>2.52</v>
      </c>
      <c r="F6">
        <v>2.94</v>
      </c>
      <c r="G6">
        <v>0.82</v>
      </c>
      <c r="H6">
        <v>2.13</v>
      </c>
      <c r="I6">
        <v>1.29</v>
      </c>
      <c r="J6">
        <v>2.72</v>
      </c>
      <c r="K6">
        <v>2.37</v>
      </c>
      <c r="L6">
        <v>0.88</v>
      </c>
      <c r="M6">
        <v>0.54</v>
      </c>
      <c r="N6">
        <v>3.35</v>
      </c>
      <c r="O6">
        <v>1.78</v>
      </c>
      <c r="P6">
        <v>0.71</v>
      </c>
      <c r="Q6">
        <v>0.74</v>
      </c>
      <c r="R6">
        <v>0.75</v>
      </c>
      <c r="S6">
        <v>4.9400000000000004</v>
      </c>
      <c r="T6">
        <v>0.57999999999999996</v>
      </c>
      <c r="U6">
        <v>0.36</v>
      </c>
      <c r="V6">
        <v>0.92</v>
      </c>
      <c r="W6">
        <v>0.57999999999999996</v>
      </c>
      <c r="X6">
        <v>2.3199999999999998</v>
      </c>
      <c r="Y6">
        <v>0.94</v>
      </c>
      <c r="AJ6" s="3">
        <v>51.7</v>
      </c>
      <c r="AK6" s="4">
        <v>-721736.08505759458</v>
      </c>
      <c r="AL6" s="4">
        <v>-602746.32933329942</v>
      </c>
      <c r="AM6" s="4">
        <v>-6.1411262058706377</v>
      </c>
      <c r="AN6" s="4">
        <v>-101927.78602257</v>
      </c>
      <c r="AO6" s="4">
        <v>0.57550933977253904</v>
      </c>
      <c r="AQ6">
        <v>0.75</v>
      </c>
      <c r="AR6">
        <f t="shared" si="0"/>
        <v>48.309999999999995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51.7</v>
      </c>
    </row>
    <row r="7" spans="1:51" x14ac:dyDescent="0.35">
      <c r="A7" s="1">
        <v>4</v>
      </c>
      <c r="B7" t="s">
        <v>46</v>
      </c>
      <c r="C7">
        <v>0.6</v>
      </c>
      <c r="D7" s="3">
        <v>14.13</v>
      </c>
      <c r="E7">
        <v>2.52</v>
      </c>
      <c r="F7">
        <v>2.94</v>
      </c>
      <c r="G7">
        <v>0.82</v>
      </c>
      <c r="H7">
        <v>2.13</v>
      </c>
      <c r="I7">
        <v>1.29</v>
      </c>
      <c r="J7">
        <v>2.72</v>
      </c>
      <c r="K7">
        <v>2.37</v>
      </c>
      <c r="L7">
        <v>0.88</v>
      </c>
      <c r="M7">
        <v>0.54</v>
      </c>
      <c r="N7">
        <v>3.35</v>
      </c>
      <c r="O7">
        <v>1.78</v>
      </c>
      <c r="P7">
        <v>0.71</v>
      </c>
      <c r="Q7">
        <v>0.74</v>
      </c>
      <c r="R7">
        <v>0.75</v>
      </c>
      <c r="S7">
        <v>4.9400000000000004</v>
      </c>
      <c r="T7">
        <v>0.57999999999999996</v>
      </c>
      <c r="U7">
        <v>0.36</v>
      </c>
      <c r="V7">
        <v>0.92</v>
      </c>
      <c r="W7">
        <v>0.57999999999999996</v>
      </c>
      <c r="X7">
        <v>2.3199999999999998</v>
      </c>
      <c r="Y7">
        <v>0.94</v>
      </c>
      <c r="AJ7" s="3">
        <v>51.7</v>
      </c>
      <c r="AK7" s="4">
        <v>-721736.08505759458</v>
      </c>
      <c r="AL7" s="4">
        <v>-602746.32933329942</v>
      </c>
      <c r="AM7" s="4">
        <v>-6.1411262058706377</v>
      </c>
      <c r="AN7" s="4">
        <v>-101927.78602257</v>
      </c>
      <c r="AO7" s="4">
        <v>0.57550933977253904</v>
      </c>
      <c r="AQ7">
        <v>1</v>
      </c>
      <c r="AR7">
        <f t="shared" si="0"/>
        <v>48.309999999999995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51.7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F559B-A491-4320-8C59-97FBF17F1E60}">
  <dimension ref="A1:K7"/>
  <sheetViews>
    <sheetView workbookViewId="0">
      <selection activeCell="S29" sqref="S29"/>
    </sheetView>
  </sheetViews>
  <sheetFormatPr baseColWidth="10" defaultRowHeight="14.5" x14ac:dyDescent="0.35"/>
  <sheetData>
    <row r="1" spans="1:11" x14ac:dyDescent="0.35">
      <c r="B1" t="s">
        <v>53</v>
      </c>
      <c r="D1" t="s">
        <v>54</v>
      </c>
    </row>
    <row r="2" spans="1:11" x14ac:dyDescent="0.35">
      <c r="B2" t="s">
        <v>55</v>
      </c>
      <c r="C2" t="s">
        <v>57</v>
      </c>
      <c r="D2" t="s">
        <v>56</v>
      </c>
      <c r="E2" t="s">
        <v>59</v>
      </c>
    </row>
    <row r="3" spans="1:11" x14ac:dyDescent="0.35">
      <c r="A3">
        <v>0</v>
      </c>
      <c r="B3" s="4">
        <f>results!AK3</f>
        <v>-168722.84833444131</v>
      </c>
      <c r="C3" s="4">
        <f>results!AO3</f>
        <v>0.36083351998345248</v>
      </c>
      <c r="D3" s="4">
        <f>[1]results!AD3</f>
        <v>-203340.08204525471</v>
      </c>
      <c r="E3" s="4">
        <f>[1]results!AH3</f>
        <v>0.36546878948365119</v>
      </c>
    </row>
    <row r="4" spans="1:11" x14ac:dyDescent="0.35">
      <c r="A4">
        <v>0.25</v>
      </c>
      <c r="B4" s="4">
        <f>results!AK4</f>
        <v>-721736.08505759458</v>
      </c>
      <c r="C4" s="4">
        <f>results!AO4</f>
        <v>0.57550933977253904</v>
      </c>
      <c r="D4" s="4">
        <f>[1]results!AD4</f>
        <v>-648814.53254341986</v>
      </c>
      <c r="E4" s="4">
        <f>[1]results!AH4</f>
        <v>0.75973586218435374</v>
      </c>
    </row>
    <row r="5" spans="1:11" x14ac:dyDescent="0.35">
      <c r="A5">
        <v>0.5</v>
      </c>
      <c r="B5" s="4">
        <f>results!AK5</f>
        <v>-721736.08505759458</v>
      </c>
      <c r="C5" s="4">
        <f>results!AO5</f>
        <v>0.57550933977253904</v>
      </c>
      <c r="D5" s="4">
        <f>[1]results!AD5</f>
        <v>-648814.53254341986</v>
      </c>
      <c r="E5" s="4">
        <f>[1]results!AH5</f>
        <v>0.75973586218435374</v>
      </c>
    </row>
    <row r="6" spans="1:11" x14ac:dyDescent="0.35">
      <c r="A6">
        <v>0.75</v>
      </c>
      <c r="B6" s="4">
        <f>results!AK6</f>
        <v>-721736.08505759458</v>
      </c>
      <c r="C6" s="4">
        <f>results!AO6</f>
        <v>0.57550933977253904</v>
      </c>
      <c r="D6" s="4">
        <f>[1]results!AD6</f>
        <v>-648814.53254341986</v>
      </c>
      <c r="E6" s="4">
        <f>[1]results!AH6</f>
        <v>0.75973586218435374</v>
      </c>
      <c r="K6" t="s">
        <v>58</v>
      </c>
    </row>
    <row r="7" spans="1:11" x14ac:dyDescent="0.35">
      <c r="A7">
        <v>1</v>
      </c>
      <c r="B7" s="4">
        <f>results!AK7</f>
        <v>-721736.08505759458</v>
      </c>
      <c r="C7" s="4">
        <f>results!AO7</f>
        <v>0.57550933977253904</v>
      </c>
      <c r="D7" s="4">
        <f>[1]results!AD7</f>
        <v>-648997.27223131794</v>
      </c>
      <c r="E7" s="4">
        <f>[1]results!AH7</f>
        <v>0.83131192868738812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2026-03-06T14:23:53Z</dcterms:created>
  <dcterms:modified xsi:type="dcterms:W3CDTF">2026-03-16T15:17:28Z</dcterms:modified>
</cp:coreProperties>
</file>