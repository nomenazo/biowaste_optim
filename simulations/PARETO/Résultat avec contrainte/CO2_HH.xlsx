
<file path=[Content_Types].xml><?xml version="1.0" encoding="utf-8"?>
<Types xmlns="http://schemas.openxmlformats.org/package/2006/content-types">
  <Default Extension="wmf" ContentType="image/x-wmf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drawings/drawing2.xml" ContentType="application/vnd.openxmlformats-officedocument.drawing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openxmlformats.org/package/2006/relationships/metadata/thumbnail" Target="docProps/thumbnail.wmf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0417"/>
  <workbookPr/>
  <mc:AlternateContent xmlns:mc="http://schemas.openxmlformats.org/markup-compatibility/2006">
    <mc:Choice Requires="x15">
      <x15ac:absPath xmlns:x15ac="http://schemas.microsoft.com/office/spreadsheetml/2010/11/ac" url="D:\Users\hravoaha\Desktop\Thèse\Thèse 2023\Objectif 2\biowaste_optim\simulations\PARETO\Résultat avec contrainte\"/>
    </mc:Choice>
  </mc:AlternateContent>
  <xr:revisionPtr revIDLastSave="0" documentId="13_ncr:1_{0A8CCBEB-A88A-49EA-BC39-DF58877F1159}" xr6:coauthVersionLast="36" xr6:coauthVersionMax="36" xr10:uidLastSave="{00000000-0000-0000-0000-000000000000}"/>
  <bookViews>
    <workbookView xWindow="0" yWindow="0" windowWidth="19200" windowHeight="7750" activeTab="2" xr2:uid="{00000000-000D-0000-FFFF-FFFF00000000}"/>
  </bookViews>
  <sheets>
    <sheet name="results" sheetId="1" r:id="rId1"/>
    <sheet name="Feuil2" sheetId="3" r:id="rId2"/>
    <sheet name="Feuil1" sheetId="2" r:id="rId3"/>
  </sheets>
  <externalReferences>
    <externalReference r:id="rId4"/>
    <externalReference r:id="rId5"/>
  </externalReferences>
  <calcPr calcId="191029"/>
</workbook>
</file>

<file path=xl/calcChain.xml><?xml version="1.0" encoding="utf-8"?>
<calcChain xmlns="http://schemas.openxmlformats.org/spreadsheetml/2006/main">
  <c r="B3" i="1" l="1"/>
  <c r="C3" i="1"/>
  <c r="D3" i="1"/>
  <c r="E3" i="1"/>
  <c r="F3" i="1"/>
  <c r="G3" i="1"/>
  <c r="H3" i="1"/>
  <c r="I3" i="1"/>
  <c r="J3" i="1"/>
  <c r="K3" i="1"/>
  <c r="L3" i="1"/>
  <c r="M3" i="1"/>
  <c r="N3" i="1"/>
  <c r="O3" i="1"/>
  <c r="P3" i="1"/>
  <c r="Q3" i="1"/>
  <c r="R3" i="1"/>
  <c r="S3" i="1"/>
  <c r="T3" i="1"/>
  <c r="U3" i="1"/>
  <c r="V3" i="1"/>
  <c r="W3" i="1"/>
  <c r="X3" i="1"/>
  <c r="Y3" i="1"/>
  <c r="Z3" i="1"/>
  <c r="AA3" i="1"/>
  <c r="AB3" i="1"/>
  <c r="AC3" i="1"/>
  <c r="AD3" i="1"/>
  <c r="AE3" i="1"/>
  <c r="AF3" i="1"/>
  <c r="AG3" i="1"/>
  <c r="AH3" i="1"/>
  <c r="AI3" i="1"/>
  <c r="AJ3" i="1"/>
  <c r="AK3" i="1"/>
  <c r="AL3" i="1"/>
  <c r="AM3" i="1"/>
  <c r="AN3" i="1"/>
  <c r="AO3" i="1"/>
  <c r="B4" i="1"/>
  <c r="C4" i="1"/>
  <c r="D4" i="1"/>
  <c r="E4" i="1"/>
  <c r="F4" i="1"/>
  <c r="G4" i="1"/>
  <c r="H4" i="1"/>
  <c r="I4" i="1"/>
  <c r="J4" i="1"/>
  <c r="K4" i="1"/>
  <c r="L4" i="1"/>
  <c r="M4" i="1"/>
  <c r="N4" i="1"/>
  <c r="O4" i="1"/>
  <c r="P4" i="1"/>
  <c r="Q4" i="1"/>
  <c r="R4" i="1"/>
  <c r="S4" i="1"/>
  <c r="T4" i="1"/>
  <c r="U4" i="1"/>
  <c r="V4" i="1"/>
  <c r="W4" i="1"/>
  <c r="X4" i="1"/>
  <c r="Y4" i="1"/>
  <c r="Z4" i="1"/>
  <c r="AA4" i="1"/>
  <c r="AB4" i="1"/>
  <c r="AC4" i="1"/>
  <c r="AD4" i="1"/>
  <c r="AE4" i="1"/>
  <c r="AF4" i="1"/>
  <c r="AG4" i="1"/>
  <c r="AH4" i="1"/>
  <c r="AI4" i="1"/>
  <c r="AJ4" i="1"/>
  <c r="AK4" i="1"/>
  <c r="AL4" i="1"/>
  <c r="AM4" i="1"/>
  <c r="AN4" i="1"/>
  <c r="AO4" i="1"/>
  <c r="B5" i="1"/>
  <c r="C5" i="1"/>
  <c r="D5" i="1"/>
  <c r="E5" i="1"/>
  <c r="F5" i="1"/>
  <c r="G5" i="1"/>
  <c r="H5" i="1"/>
  <c r="I5" i="1"/>
  <c r="J5" i="1"/>
  <c r="K5" i="1"/>
  <c r="L5" i="1"/>
  <c r="M5" i="1"/>
  <c r="N5" i="1"/>
  <c r="O5" i="1"/>
  <c r="P5" i="1"/>
  <c r="Q5" i="1"/>
  <c r="R5" i="1"/>
  <c r="S5" i="1"/>
  <c r="T5" i="1"/>
  <c r="U5" i="1"/>
  <c r="V5" i="1"/>
  <c r="W5" i="1"/>
  <c r="X5" i="1"/>
  <c r="Y5" i="1"/>
  <c r="Z5" i="1"/>
  <c r="AA5" i="1"/>
  <c r="AB5" i="1"/>
  <c r="AC5" i="1"/>
  <c r="AD5" i="1"/>
  <c r="AE5" i="1"/>
  <c r="AF5" i="1"/>
  <c r="AG5" i="1"/>
  <c r="AH5" i="1"/>
  <c r="AI5" i="1"/>
  <c r="AJ5" i="1"/>
  <c r="AK5" i="1"/>
  <c r="AL5" i="1"/>
  <c r="AM5" i="1"/>
  <c r="AN5" i="1"/>
  <c r="AO5" i="1"/>
  <c r="B6" i="1"/>
  <c r="C6" i="1"/>
  <c r="D6" i="1"/>
  <c r="E6" i="1"/>
  <c r="F6" i="1"/>
  <c r="G6" i="1"/>
  <c r="H6" i="1"/>
  <c r="I6" i="1"/>
  <c r="J6" i="1"/>
  <c r="K6" i="1"/>
  <c r="L6" i="1"/>
  <c r="M6" i="1"/>
  <c r="N6" i="1"/>
  <c r="O6" i="1"/>
  <c r="P6" i="1"/>
  <c r="Q6" i="1"/>
  <c r="R6" i="1"/>
  <c r="S6" i="1"/>
  <c r="T6" i="1"/>
  <c r="U6" i="1"/>
  <c r="V6" i="1"/>
  <c r="W6" i="1"/>
  <c r="X6" i="1"/>
  <c r="Y6" i="1"/>
  <c r="Z6" i="1"/>
  <c r="AA6" i="1"/>
  <c r="AB6" i="1"/>
  <c r="AC6" i="1"/>
  <c r="AD6" i="1"/>
  <c r="AE6" i="1"/>
  <c r="AF6" i="1"/>
  <c r="AG6" i="1"/>
  <c r="AH6" i="1"/>
  <c r="AI6" i="1"/>
  <c r="AJ6" i="1"/>
  <c r="AK6" i="1"/>
  <c r="AL6" i="1"/>
  <c r="AM6" i="1"/>
  <c r="AN6" i="1"/>
  <c r="AO6" i="1"/>
  <c r="B7" i="1"/>
  <c r="C7" i="1"/>
  <c r="D7" i="1"/>
  <c r="E7" i="1"/>
  <c r="F7" i="1"/>
  <c r="G7" i="1"/>
  <c r="H7" i="1"/>
  <c r="I7" i="1"/>
  <c r="J7" i="1"/>
  <c r="K7" i="1"/>
  <c r="L7" i="1"/>
  <c r="M7" i="1"/>
  <c r="N7" i="1"/>
  <c r="O7" i="1"/>
  <c r="P7" i="1"/>
  <c r="Q7" i="1"/>
  <c r="R7" i="1"/>
  <c r="S7" i="1"/>
  <c r="T7" i="1"/>
  <c r="U7" i="1"/>
  <c r="V7" i="1"/>
  <c r="W7" i="1"/>
  <c r="X7" i="1"/>
  <c r="Y7" i="1"/>
  <c r="Z7" i="1"/>
  <c r="AA7" i="1"/>
  <c r="AB7" i="1"/>
  <c r="AC7" i="1"/>
  <c r="AD7" i="1"/>
  <c r="AE7" i="1"/>
  <c r="AF7" i="1"/>
  <c r="AG7" i="1"/>
  <c r="AH7" i="1"/>
  <c r="AI7" i="1"/>
  <c r="AJ7" i="1"/>
  <c r="AK7" i="1"/>
  <c r="AL7" i="1"/>
  <c r="AM7" i="1"/>
  <c r="AN7" i="1"/>
  <c r="AO7" i="1"/>
  <c r="B6" i="3" l="1"/>
  <c r="B5" i="3"/>
  <c r="B4" i="3"/>
  <c r="B3" i="3"/>
  <c r="B2" i="3"/>
  <c r="B2" i="2" l="1"/>
  <c r="AY7" i="1" l="1"/>
  <c r="AX7" i="1"/>
  <c r="AW7" i="1"/>
  <c r="AV7" i="1"/>
  <c r="AU7" i="1"/>
  <c r="AT7" i="1"/>
  <c r="AS7" i="1"/>
  <c r="AR7" i="1"/>
  <c r="AY6" i="1"/>
  <c r="AX6" i="1"/>
  <c r="AW6" i="1"/>
  <c r="AV6" i="1"/>
  <c r="AU6" i="1"/>
  <c r="AT6" i="1"/>
  <c r="AS6" i="1"/>
  <c r="AR6" i="1"/>
  <c r="AY5" i="1"/>
  <c r="AX5" i="1"/>
  <c r="AW5" i="1"/>
  <c r="AV5" i="1"/>
  <c r="AU5" i="1"/>
  <c r="AT5" i="1"/>
  <c r="AS5" i="1"/>
  <c r="AR5" i="1"/>
  <c r="AY4" i="1"/>
  <c r="AX4" i="1"/>
  <c r="AW4" i="1"/>
  <c r="AV4" i="1"/>
  <c r="AU4" i="1"/>
  <c r="AT4" i="1"/>
  <c r="AS4" i="1"/>
  <c r="AR4" i="1"/>
  <c r="AY3" i="1"/>
  <c r="AX3" i="1"/>
  <c r="AW3" i="1"/>
  <c r="AV3" i="1"/>
  <c r="AU3" i="1"/>
  <c r="AT3" i="1"/>
  <c r="AS3" i="1"/>
  <c r="AR3" i="1"/>
  <c r="E2" i="2" l="1"/>
  <c r="E3" i="2"/>
  <c r="E4" i="2"/>
  <c r="E5" i="2"/>
  <c r="E6" i="2"/>
  <c r="E7" i="2"/>
  <c r="D2" i="2"/>
  <c r="D3" i="2"/>
  <c r="D4" i="2"/>
  <c r="D5" i="2"/>
  <c r="D6" i="2"/>
  <c r="D7" i="2"/>
  <c r="C2" i="2"/>
  <c r="C3" i="2"/>
  <c r="C4" i="2"/>
  <c r="C5" i="2"/>
  <c r="C6" i="2"/>
  <c r="C7" i="2"/>
  <c r="B3" i="2"/>
  <c r="B4" i="2"/>
  <c r="B5" i="2"/>
  <c r="B6" i="2"/>
  <c r="B7" i="2"/>
</calcChain>
</file>

<file path=xl/sharedStrings.xml><?xml version="1.0" encoding="utf-8"?>
<sst xmlns="http://schemas.openxmlformats.org/spreadsheetml/2006/main" count="64" uniqueCount="56">
  <si>
    <t>HC</t>
  </si>
  <si>
    <t>IC</t>
  </si>
  <si>
    <t>AD-a</t>
  </si>
  <si>
    <t>AD-b</t>
  </si>
  <si>
    <t>AD-c</t>
  </si>
  <si>
    <t>AD-d</t>
  </si>
  <si>
    <t>AD-e</t>
  </si>
  <si>
    <t>AD-f</t>
  </si>
  <si>
    <t>name</t>
  </si>
  <si>
    <t>sort</t>
  </si>
  <si>
    <t>Compiègne</t>
  </si>
  <si>
    <t>Venette</t>
  </si>
  <si>
    <t>Jaux</t>
  </si>
  <si>
    <t>Armancourt</t>
  </si>
  <si>
    <t>Le Meux</t>
  </si>
  <si>
    <t>La Croix-St-Ouen</t>
  </si>
  <si>
    <t>St-Sauveur</t>
  </si>
  <si>
    <t>Bethisy-St-Pierre</t>
  </si>
  <si>
    <t>Bethisy-St-Martin</t>
  </si>
  <si>
    <t>Bienville</t>
  </si>
  <si>
    <t>Choisy-au-Bac</t>
  </si>
  <si>
    <t>Clairoix</t>
  </si>
  <si>
    <t>Janville</t>
  </si>
  <si>
    <t>Jonquières</t>
  </si>
  <si>
    <t>Lachelle</t>
  </si>
  <si>
    <t>Margny-lès-Compiègne</t>
  </si>
  <si>
    <t>Nery</t>
  </si>
  <si>
    <t>Saint-Jean-aux-Bois</t>
  </si>
  <si>
    <t>Saintines</t>
  </si>
  <si>
    <t>Saint-Vaast de Longmont</t>
  </si>
  <si>
    <t>Verberie</t>
  </si>
  <si>
    <t>Vieux-Moulin</t>
  </si>
  <si>
    <t>Suez</t>
  </si>
  <si>
    <t>Gurdebeke</t>
  </si>
  <si>
    <t>Villiers</t>
  </si>
  <si>
    <t>Refood</t>
  </si>
  <si>
    <t>Biometa</t>
  </si>
  <si>
    <t>Carbon</t>
  </si>
  <si>
    <t>EQ</t>
  </si>
  <si>
    <t>HH</t>
  </si>
  <si>
    <t>EQssC</t>
  </si>
  <si>
    <t>HHssC</t>
  </si>
  <si>
    <t>With investment</t>
  </si>
  <si>
    <t>Without investment</t>
  </si>
  <si>
    <t>AD-cog-dig</t>
  </si>
  <si>
    <t>AD-cog-comp</t>
  </si>
  <si>
    <t>AD-biomet-dig</t>
  </si>
  <si>
    <t>AD-biomet-comp</t>
  </si>
  <si>
    <t>AD-heat-dig</t>
  </si>
  <si>
    <t>AD-heat-comp</t>
  </si>
  <si>
    <t>Weight of CO2</t>
  </si>
  <si>
    <t>Peat_hobby</t>
  </si>
  <si>
    <t>peat_pro</t>
  </si>
  <si>
    <t>AD-b refood</t>
  </si>
  <si>
    <t>AD-b Villiers</t>
  </si>
  <si>
    <t>AD-f Villers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</si>
</sst>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b/>
      <sz val="11"/>
      <name val="Calibri"/>
      <family val="2"/>
    </font>
    <font>
      <sz val="7"/>
      <color rgb="FF000000"/>
      <name val="Courier New"/>
      <family val="3"/>
    </font>
  </fonts>
  <fills count="2">
    <fill>
      <patternFill patternType="none"/>
    </fill>
    <fill>
      <patternFill patternType="gray125"/>
    </fill>
  </fills>
  <borders count="4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13">
    <xf numFmtId="0" fontId="0" fillId="0" borderId="0" xfId="0"/>
    <xf numFmtId="0" fontId="1" fillId="0" borderId="1" xfId="0" applyFont="1" applyBorder="1" applyAlignment="1">
      <alignment horizontal="center" vertical="top"/>
    </xf>
    <xf numFmtId="0" fontId="1" fillId="0" borderId="1" xfId="0" applyFont="1" applyBorder="1" applyAlignment="1">
      <alignment horizontal="center" vertical="center"/>
    </xf>
    <xf numFmtId="2" fontId="0" fillId="0" borderId="0" xfId="0" applyNumberFormat="1"/>
    <xf numFmtId="11" fontId="0" fillId="0" borderId="0" xfId="0" applyNumberFormat="1"/>
    <xf numFmtId="0" fontId="1" fillId="0" borderId="1" xfId="0" applyFont="1" applyBorder="1" applyAlignment="1">
      <alignment vertical="center"/>
    </xf>
    <xf numFmtId="0" fontId="0" fillId="0" borderId="3" xfId="0" applyBorder="1" applyAlignment="1">
      <alignment vertical="center"/>
    </xf>
    <xf numFmtId="0" fontId="0" fillId="0" borderId="2" xfId="0" applyBorder="1" applyAlignment="1">
      <alignment vertical="center"/>
    </xf>
    <xf numFmtId="0" fontId="2" fillId="0" borderId="0" xfId="0" applyFont="1" applyAlignment="1">
      <alignment horizontal="left" vertical="center"/>
    </xf>
    <xf numFmtId="0" fontId="1" fillId="0" borderId="1" xfId="0" applyFont="1" applyBorder="1" applyAlignment="1">
      <alignment horizontal="center" vertical="center"/>
    </xf>
    <xf numFmtId="0" fontId="0" fillId="0" borderId="2" xfId="0" applyBorder="1" applyAlignment="1">
      <alignment horizontal="center" vertical="center"/>
    </xf>
    <xf numFmtId="0" fontId="0" fillId="0" borderId="3" xfId="0" applyBorder="1" applyAlignment="1">
      <alignment horizontal="center" vertical="center"/>
    </xf>
    <xf numFmtId="0" fontId="0" fillId="0" borderId="0" xfId="0" applyAlignment="1">
      <alignment horizontal="center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externalLink" Target="externalLinks/externalLink2.xml"/><Relationship Id="rId4" Type="http://schemas.openxmlformats.org/officeDocument/2006/relationships/externalLink" Target="externalLinks/externalLink1.xml"/><Relationship Id="rId9" Type="http://schemas.openxmlformats.org/officeDocument/2006/relationships/calcChain" Target="calcChain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fr-F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fr-FR"/>
        </a:p>
      </c:txPr>
    </c:title>
    <c:autoTitleDeleted val="0"/>
    <c:plotArea>
      <c:layout/>
      <c:barChart>
        <c:barDir val="col"/>
        <c:grouping val="percentStacked"/>
        <c:varyColors val="0"/>
        <c:ser>
          <c:idx val="0"/>
          <c:order val="0"/>
          <c:tx>
            <c:strRef>
              <c:f>results!$AR$2</c:f>
              <c:strCache>
                <c:ptCount val="1"/>
                <c:pt idx="0">
                  <c:v>HC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numRef>
              <c:f>results!$AQ$3:$AQ$7</c:f>
              <c:numCache>
                <c:formatCode>General</c:formatCode>
                <c:ptCount val="5"/>
                <c:pt idx="0">
                  <c:v>0</c:v>
                </c:pt>
                <c:pt idx="1">
                  <c:v>0.25</c:v>
                </c:pt>
                <c:pt idx="2">
                  <c:v>0.5</c:v>
                </c:pt>
                <c:pt idx="3">
                  <c:v>0.75</c:v>
                </c:pt>
                <c:pt idx="4">
                  <c:v>1</c:v>
                </c:pt>
              </c:numCache>
            </c:numRef>
          </c:cat>
          <c:val>
            <c:numRef>
              <c:f>results!$AR$3:$AR$7</c:f>
              <c:numCache>
                <c:formatCode>General</c:formatCode>
                <c:ptCount val="5"/>
                <c:pt idx="0">
                  <c:v>6.5</c:v>
                </c:pt>
                <c:pt idx="1">
                  <c:v>6.5</c:v>
                </c:pt>
                <c:pt idx="2">
                  <c:v>6.5</c:v>
                </c:pt>
                <c:pt idx="3">
                  <c:v>6.5</c:v>
                </c:pt>
                <c:pt idx="4">
                  <c:v>6.5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DA8D-4EDE-BE30-0272ABB61A04}"/>
            </c:ext>
          </c:extLst>
        </c:ser>
        <c:ser>
          <c:idx val="1"/>
          <c:order val="1"/>
          <c:tx>
            <c:strRef>
              <c:f>results!$AS$2</c:f>
              <c:strCache>
                <c:ptCount val="1"/>
                <c:pt idx="0">
                  <c:v>IC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numRef>
              <c:f>results!$AQ$3:$AQ$7</c:f>
              <c:numCache>
                <c:formatCode>General</c:formatCode>
                <c:ptCount val="5"/>
                <c:pt idx="0">
                  <c:v>0</c:v>
                </c:pt>
                <c:pt idx="1">
                  <c:v>0.25</c:v>
                </c:pt>
                <c:pt idx="2">
                  <c:v>0.5</c:v>
                </c:pt>
                <c:pt idx="3">
                  <c:v>0.75</c:v>
                </c:pt>
                <c:pt idx="4">
                  <c:v>1</c:v>
                </c:pt>
              </c:numCache>
            </c:numRef>
          </c:cat>
          <c:val>
            <c:numRef>
              <c:f>results!$AS$3:$AS$7</c:f>
              <c:numCache>
                <c:formatCode>General</c:formatCode>
                <c:ptCount val="5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DA8D-4EDE-BE30-0272ABB61A04}"/>
            </c:ext>
          </c:extLst>
        </c:ser>
        <c:ser>
          <c:idx val="2"/>
          <c:order val="2"/>
          <c:tx>
            <c:strRef>
              <c:f>results!$AT$2</c:f>
              <c:strCache>
                <c:ptCount val="1"/>
                <c:pt idx="0">
                  <c:v>AD-cog-dig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cat>
            <c:numRef>
              <c:f>results!$AQ$3:$AQ$7</c:f>
              <c:numCache>
                <c:formatCode>General</c:formatCode>
                <c:ptCount val="5"/>
                <c:pt idx="0">
                  <c:v>0</c:v>
                </c:pt>
                <c:pt idx="1">
                  <c:v>0.25</c:v>
                </c:pt>
                <c:pt idx="2">
                  <c:v>0.5</c:v>
                </c:pt>
                <c:pt idx="3">
                  <c:v>0.75</c:v>
                </c:pt>
                <c:pt idx="4">
                  <c:v>1</c:v>
                </c:pt>
              </c:numCache>
            </c:numRef>
          </c:cat>
          <c:val>
            <c:numRef>
              <c:f>results!$AT$3:$AT$7</c:f>
              <c:numCache>
                <c:formatCode>General</c:formatCode>
                <c:ptCount val="5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DA8D-4EDE-BE30-0272ABB61A04}"/>
            </c:ext>
          </c:extLst>
        </c:ser>
        <c:ser>
          <c:idx val="3"/>
          <c:order val="3"/>
          <c:tx>
            <c:strRef>
              <c:f>results!$AU$2</c:f>
              <c:strCache>
                <c:ptCount val="1"/>
                <c:pt idx="0">
                  <c:v>AD-cog-comp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cat>
            <c:numRef>
              <c:f>results!$AQ$3:$AQ$7</c:f>
              <c:numCache>
                <c:formatCode>General</c:formatCode>
                <c:ptCount val="5"/>
                <c:pt idx="0">
                  <c:v>0</c:v>
                </c:pt>
                <c:pt idx="1">
                  <c:v>0.25</c:v>
                </c:pt>
                <c:pt idx="2">
                  <c:v>0.5</c:v>
                </c:pt>
                <c:pt idx="3">
                  <c:v>0.75</c:v>
                </c:pt>
                <c:pt idx="4">
                  <c:v>1</c:v>
                </c:pt>
              </c:numCache>
            </c:numRef>
          </c:cat>
          <c:val>
            <c:numRef>
              <c:f>results!$AU$3:$AU$7</c:f>
              <c:numCache>
                <c:formatCode>General</c:formatCode>
                <c:ptCount val="5"/>
                <c:pt idx="0">
                  <c:v>93.51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DA8D-4EDE-BE30-0272ABB61A04}"/>
            </c:ext>
          </c:extLst>
        </c:ser>
        <c:ser>
          <c:idx val="4"/>
          <c:order val="4"/>
          <c:tx>
            <c:strRef>
              <c:f>results!$AV$2</c:f>
              <c:strCache>
                <c:ptCount val="1"/>
                <c:pt idx="0">
                  <c:v>AD-biomet-dig</c:v>
                </c:pt>
              </c:strCache>
            </c:strRef>
          </c:tx>
          <c:spPr>
            <a:solidFill>
              <a:schemeClr val="accent5"/>
            </a:solidFill>
            <a:ln>
              <a:noFill/>
            </a:ln>
            <a:effectLst/>
          </c:spPr>
          <c:invertIfNegative val="0"/>
          <c:cat>
            <c:numRef>
              <c:f>results!$AQ$3:$AQ$7</c:f>
              <c:numCache>
                <c:formatCode>General</c:formatCode>
                <c:ptCount val="5"/>
                <c:pt idx="0">
                  <c:v>0</c:v>
                </c:pt>
                <c:pt idx="1">
                  <c:v>0.25</c:v>
                </c:pt>
                <c:pt idx="2">
                  <c:v>0.5</c:v>
                </c:pt>
                <c:pt idx="3">
                  <c:v>0.75</c:v>
                </c:pt>
                <c:pt idx="4">
                  <c:v>1</c:v>
                </c:pt>
              </c:numCache>
            </c:numRef>
          </c:cat>
          <c:val>
            <c:numRef>
              <c:f>results!$AV$3:$AV$7</c:f>
              <c:numCache>
                <c:formatCode>General</c:formatCode>
                <c:ptCount val="5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DA8D-4EDE-BE30-0272ABB61A04}"/>
            </c:ext>
          </c:extLst>
        </c:ser>
        <c:ser>
          <c:idx val="5"/>
          <c:order val="5"/>
          <c:tx>
            <c:strRef>
              <c:f>results!$AW$2</c:f>
              <c:strCache>
                <c:ptCount val="1"/>
                <c:pt idx="0">
                  <c:v>AD-biomet-comp</c:v>
                </c:pt>
              </c:strCache>
            </c:strRef>
          </c:tx>
          <c:spPr>
            <a:solidFill>
              <a:schemeClr val="accent6"/>
            </a:solidFill>
            <a:ln>
              <a:noFill/>
            </a:ln>
            <a:effectLst/>
          </c:spPr>
          <c:invertIfNegative val="0"/>
          <c:cat>
            <c:numRef>
              <c:f>results!$AQ$3:$AQ$7</c:f>
              <c:numCache>
                <c:formatCode>General</c:formatCode>
                <c:ptCount val="5"/>
                <c:pt idx="0">
                  <c:v>0</c:v>
                </c:pt>
                <c:pt idx="1">
                  <c:v>0.25</c:v>
                </c:pt>
                <c:pt idx="2">
                  <c:v>0.5</c:v>
                </c:pt>
                <c:pt idx="3">
                  <c:v>0.75</c:v>
                </c:pt>
                <c:pt idx="4">
                  <c:v>1</c:v>
                </c:pt>
              </c:numCache>
            </c:numRef>
          </c:cat>
          <c:val>
            <c:numRef>
              <c:f>results!$AW$3:$AW$7</c:f>
              <c:numCache>
                <c:formatCode>General</c:formatCode>
                <c:ptCount val="5"/>
                <c:pt idx="0">
                  <c:v>0</c:v>
                </c:pt>
                <c:pt idx="1">
                  <c:v>0</c:v>
                </c:pt>
                <c:pt idx="2">
                  <c:v>93.51</c:v>
                </c:pt>
                <c:pt idx="3">
                  <c:v>93.51</c:v>
                </c:pt>
                <c:pt idx="4">
                  <c:v>93.51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DA8D-4EDE-BE30-0272ABB61A04}"/>
            </c:ext>
          </c:extLst>
        </c:ser>
        <c:ser>
          <c:idx val="6"/>
          <c:order val="6"/>
          <c:tx>
            <c:strRef>
              <c:f>results!$AX$2</c:f>
              <c:strCache>
                <c:ptCount val="1"/>
                <c:pt idx="0">
                  <c:v>AD-heat-dig</c:v>
                </c:pt>
              </c:strCache>
            </c:strRef>
          </c:tx>
          <c:spPr>
            <a:solidFill>
              <a:schemeClr val="accent1">
                <a:lumMod val="60000"/>
              </a:schemeClr>
            </a:solidFill>
            <a:ln>
              <a:noFill/>
            </a:ln>
            <a:effectLst/>
          </c:spPr>
          <c:invertIfNegative val="0"/>
          <c:cat>
            <c:numRef>
              <c:f>results!$AQ$3:$AQ$7</c:f>
              <c:numCache>
                <c:formatCode>General</c:formatCode>
                <c:ptCount val="5"/>
                <c:pt idx="0">
                  <c:v>0</c:v>
                </c:pt>
                <c:pt idx="1">
                  <c:v>0.25</c:v>
                </c:pt>
                <c:pt idx="2">
                  <c:v>0.5</c:v>
                </c:pt>
                <c:pt idx="3">
                  <c:v>0.75</c:v>
                </c:pt>
                <c:pt idx="4">
                  <c:v>1</c:v>
                </c:pt>
              </c:numCache>
            </c:numRef>
          </c:cat>
          <c:val>
            <c:numRef>
              <c:f>results!$AX$3:$AX$7</c:f>
              <c:numCache>
                <c:formatCode>General</c:formatCode>
                <c:ptCount val="5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DA8D-4EDE-BE30-0272ABB61A04}"/>
            </c:ext>
          </c:extLst>
        </c:ser>
        <c:ser>
          <c:idx val="7"/>
          <c:order val="7"/>
          <c:tx>
            <c:strRef>
              <c:f>results!$AY$2</c:f>
              <c:strCache>
                <c:ptCount val="1"/>
                <c:pt idx="0">
                  <c:v>AD-heat-comp</c:v>
                </c:pt>
              </c:strCache>
            </c:strRef>
          </c:tx>
          <c:spPr>
            <a:solidFill>
              <a:schemeClr val="accent2">
                <a:lumMod val="60000"/>
              </a:schemeClr>
            </a:solidFill>
            <a:ln>
              <a:noFill/>
            </a:ln>
            <a:effectLst/>
          </c:spPr>
          <c:invertIfNegative val="0"/>
          <c:cat>
            <c:numRef>
              <c:f>results!$AQ$3:$AQ$7</c:f>
              <c:numCache>
                <c:formatCode>General</c:formatCode>
                <c:ptCount val="5"/>
                <c:pt idx="0">
                  <c:v>0</c:v>
                </c:pt>
                <c:pt idx="1">
                  <c:v>0.25</c:v>
                </c:pt>
                <c:pt idx="2">
                  <c:v>0.5</c:v>
                </c:pt>
                <c:pt idx="3">
                  <c:v>0.75</c:v>
                </c:pt>
                <c:pt idx="4">
                  <c:v>1</c:v>
                </c:pt>
              </c:numCache>
            </c:numRef>
          </c:cat>
          <c:val>
            <c:numRef>
              <c:f>results!$AY$3:$AY$7</c:f>
              <c:numCache>
                <c:formatCode>General</c:formatCode>
                <c:ptCount val="5"/>
                <c:pt idx="0">
                  <c:v>0</c:v>
                </c:pt>
                <c:pt idx="1">
                  <c:v>93.51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7-DA8D-4EDE-BE30-0272ABB61A0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2120007807"/>
        <c:axId val="334452079"/>
      </c:barChart>
      <c:catAx>
        <c:axId val="2120007807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fr-FR"/>
          </a:p>
        </c:txPr>
        <c:crossAx val="334452079"/>
        <c:crosses val="autoZero"/>
        <c:auto val="1"/>
        <c:lblAlgn val="ctr"/>
        <c:lblOffset val="100"/>
        <c:noMultiLvlLbl val="0"/>
      </c:catAx>
      <c:valAx>
        <c:axId val="33445207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fr-FR"/>
          </a:p>
        </c:txPr>
        <c:crossAx val="2120007807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fr-FR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fr-FR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fr-F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fr-FR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Feuil1!$B$2</c:f>
              <c:strCache>
                <c:ptCount val="1"/>
                <c:pt idx="0">
                  <c:v>Carbon</c:v>
                </c:pt>
              </c:strCache>
            </c:strRef>
          </c:tx>
          <c:spPr>
            <a:ln w="19050" cap="rnd">
              <a:solidFill>
                <a:schemeClr val="accent1"/>
              </a:solidFill>
              <a:prstDash val="sysDash"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19050">
                <a:solidFill>
                  <a:schemeClr val="accent1"/>
                </a:solidFill>
                <a:prstDash val="sysDash"/>
              </a:ln>
              <a:effectLst/>
            </c:spPr>
          </c:marker>
          <c:cat>
            <c:numRef>
              <c:f>Feuil1!$A$3:$A$7</c:f>
              <c:numCache>
                <c:formatCode>General</c:formatCode>
                <c:ptCount val="5"/>
                <c:pt idx="0">
                  <c:v>0</c:v>
                </c:pt>
                <c:pt idx="1">
                  <c:v>0.25</c:v>
                </c:pt>
                <c:pt idx="2">
                  <c:v>0.5</c:v>
                </c:pt>
                <c:pt idx="3">
                  <c:v>0.75</c:v>
                </c:pt>
                <c:pt idx="4">
                  <c:v>1</c:v>
                </c:pt>
              </c:numCache>
            </c:numRef>
          </c:cat>
          <c:val>
            <c:numRef>
              <c:f>Feuil1!$B$3:$B$7</c:f>
              <c:numCache>
                <c:formatCode>General</c:formatCode>
                <c:ptCount val="5"/>
                <c:pt idx="0">
                  <c:v>-203340.0842835083</c:v>
                </c:pt>
                <c:pt idx="1">
                  <c:v>-596910.37483729084</c:v>
                </c:pt>
                <c:pt idx="2">
                  <c:v>-651101.69874275709</c:v>
                </c:pt>
                <c:pt idx="3">
                  <c:v>-651101.69874275709</c:v>
                </c:pt>
                <c:pt idx="4">
                  <c:v>-651101.69874275709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15FF-4CB9-8A31-E5FC78A6A275}"/>
            </c:ext>
          </c:extLst>
        </c:ser>
        <c:ser>
          <c:idx val="2"/>
          <c:order val="2"/>
          <c:tx>
            <c:strRef>
              <c:f>Feuil1!$D$2</c:f>
              <c:strCache>
                <c:ptCount val="1"/>
                <c:pt idx="0">
                  <c:v>Carbon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19050">
                <a:solidFill>
                  <a:schemeClr val="accent1"/>
                </a:solidFill>
              </a:ln>
              <a:effectLst/>
            </c:spPr>
          </c:marker>
          <c:cat>
            <c:numRef>
              <c:f>Feuil1!$A$3:$A$7</c:f>
              <c:numCache>
                <c:formatCode>General</c:formatCode>
                <c:ptCount val="5"/>
                <c:pt idx="0">
                  <c:v>0</c:v>
                </c:pt>
                <c:pt idx="1">
                  <c:v>0.25</c:v>
                </c:pt>
                <c:pt idx="2">
                  <c:v>0.5</c:v>
                </c:pt>
                <c:pt idx="3">
                  <c:v>0.75</c:v>
                </c:pt>
                <c:pt idx="4">
                  <c:v>1</c:v>
                </c:pt>
              </c:numCache>
            </c:numRef>
          </c:cat>
          <c:val>
            <c:numRef>
              <c:f>Feuil1!$D$3:$D$7</c:f>
              <c:numCache>
                <c:formatCode>General</c:formatCode>
                <c:ptCount val="5"/>
                <c:pt idx="0">
                  <c:v>-203340.0842835083</c:v>
                </c:pt>
                <c:pt idx="1">
                  <c:v>-271684.9677193996</c:v>
                </c:pt>
                <c:pt idx="2">
                  <c:v>-271684.9677193996</c:v>
                </c:pt>
                <c:pt idx="3">
                  <c:v>-544740.82515175932</c:v>
                </c:pt>
                <c:pt idx="4">
                  <c:v>-544740.82515175932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15FF-4CB9-8A31-E5FC78A6A27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63225439"/>
        <c:axId val="334426287"/>
      </c:lineChart>
      <c:lineChart>
        <c:grouping val="standard"/>
        <c:varyColors val="0"/>
        <c:ser>
          <c:idx val="1"/>
          <c:order val="1"/>
          <c:tx>
            <c:strRef>
              <c:f>Feuil1!$C$2</c:f>
              <c:strCache>
                <c:ptCount val="1"/>
                <c:pt idx="0">
                  <c:v>HHssC</c:v>
                </c:pt>
              </c:strCache>
            </c:strRef>
          </c:tx>
          <c:spPr>
            <a:ln w="19050" cap="rnd">
              <a:solidFill>
                <a:schemeClr val="accent3">
                  <a:lumMod val="75000"/>
                </a:schemeClr>
              </a:solidFill>
              <a:prstDash val="sysDash"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19050">
                <a:solidFill>
                  <a:schemeClr val="accent3">
                    <a:lumMod val="75000"/>
                  </a:schemeClr>
                </a:solidFill>
                <a:prstDash val="sysDash"/>
              </a:ln>
              <a:effectLst/>
            </c:spPr>
          </c:marker>
          <c:cat>
            <c:numRef>
              <c:f>Feuil1!$A$3:$A$7</c:f>
              <c:numCache>
                <c:formatCode>General</c:formatCode>
                <c:ptCount val="5"/>
                <c:pt idx="0">
                  <c:v>0</c:v>
                </c:pt>
                <c:pt idx="1">
                  <c:v>0.25</c:v>
                </c:pt>
                <c:pt idx="2">
                  <c:v>0.5</c:v>
                </c:pt>
                <c:pt idx="3">
                  <c:v>0.75</c:v>
                </c:pt>
                <c:pt idx="4">
                  <c:v>1</c:v>
                </c:pt>
              </c:numCache>
            </c:numRef>
          </c:cat>
          <c:val>
            <c:numRef>
              <c:f>Feuil1!$C$3:$C$7</c:f>
              <c:numCache>
                <c:formatCode>General</c:formatCode>
                <c:ptCount val="5"/>
                <c:pt idx="0">
                  <c:v>0.36546878935102339</c:v>
                </c:pt>
                <c:pt idx="1">
                  <c:v>0.6218076245490981</c:v>
                </c:pt>
                <c:pt idx="2">
                  <c:v>0.88092441684732015</c:v>
                </c:pt>
                <c:pt idx="3">
                  <c:v>0.88092441684732015</c:v>
                </c:pt>
                <c:pt idx="4">
                  <c:v>0.88092441684732015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15FF-4CB9-8A31-E5FC78A6A275}"/>
            </c:ext>
          </c:extLst>
        </c:ser>
        <c:ser>
          <c:idx val="3"/>
          <c:order val="3"/>
          <c:tx>
            <c:strRef>
              <c:f>Feuil1!$E$2</c:f>
              <c:strCache>
                <c:ptCount val="1"/>
                <c:pt idx="0">
                  <c:v>HHssC</c:v>
                </c:pt>
              </c:strCache>
            </c:strRef>
          </c:tx>
          <c:spPr>
            <a:ln w="19050" cap="rnd">
              <a:solidFill>
                <a:schemeClr val="accent3">
                  <a:lumMod val="75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19050">
                <a:solidFill>
                  <a:schemeClr val="accent3">
                    <a:lumMod val="75000"/>
                  </a:schemeClr>
                </a:solidFill>
              </a:ln>
              <a:effectLst/>
            </c:spPr>
          </c:marker>
          <c:cat>
            <c:numRef>
              <c:f>Feuil1!$A$3:$A$7</c:f>
              <c:numCache>
                <c:formatCode>General</c:formatCode>
                <c:ptCount val="5"/>
                <c:pt idx="0">
                  <c:v>0</c:v>
                </c:pt>
                <c:pt idx="1">
                  <c:v>0.25</c:v>
                </c:pt>
                <c:pt idx="2">
                  <c:v>0.5</c:v>
                </c:pt>
                <c:pt idx="3">
                  <c:v>0.75</c:v>
                </c:pt>
                <c:pt idx="4">
                  <c:v>1</c:v>
                </c:pt>
              </c:numCache>
            </c:numRef>
          </c:cat>
          <c:val>
            <c:numRef>
              <c:f>Feuil1!$E$3:$E$7</c:f>
              <c:numCache>
                <c:formatCode>General</c:formatCode>
                <c:ptCount val="5"/>
                <c:pt idx="0">
                  <c:v>0.36546878935102339</c:v>
                </c:pt>
                <c:pt idx="1">
                  <c:v>0.4149897620013091</c:v>
                </c:pt>
                <c:pt idx="2">
                  <c:v>0.4149897620013091</c:v>
                </c:pt>
                <c:pt idx="3">
                  <c:v>2.2999443118901919</c:v>
                </c:pt>
                <c:pt idx="4">
                  <c:v>2.2999443118901919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15FF-4CB9-8A31-E5FC78A6A27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36789615"/>
        <c:axId val="334432111"/>
      </c:lineChart>
      <c:catAx>
        <c:axId val="63225439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fr-FR"/>
          </a:p>
        </c:txPr>
        <c:crossAx val="334426287"/>
        <c:crosses val="autoZero"/>
        <c:auto val="1"/>
        <c:lblAlgn val="ctr"/>
        <c:lblOffset val="100"/>
        <c:noMultiLvlLbl val="0"/>
      </c:catAx>
      <c:valAx>
        <c:axId val="33442628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fr-FR"/>
          </a:p>
        </c:txPr>
        <c:crossAx val="63225439"/>
        <c:crosses val="autoZero"/>
        <c:crossBetween val="between"/>
      </c:valAx>
      <c:valAx>
        <c:axId val="334432111"/>
        <c:scaling>
          <c:orientation val="minMax"/>
        </c:scaling>
        <c:delete val="0"/>
        <c:axPos val="r"/>
        <c:numFmt formatCode="General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fr-FR"/>
          </a:p>
        </c:txPr>
        <c:crossAx val="136789615"/>
        <c:crosses val="max"/>
        <c:crossBetween val="between"/>
      </c:valAx>
      <c:catAx>
        <c:axId val="136789615"/>
        <c:scaling>
          <c:orientation val="minMax"/>
        </c:scaling>
        <c:delete val="1"/>
        <c:axPos val="b"/>
        <c:numFmt formatCode="General" sourceLinked="1"/>
        <c:majorTickMark val="out"/>
        <c:minorTickMark val="none"/>
        <c:tickLblPos val="nextTo"/>
        <c:crossAx val="334432111"/>
        <c:crosses val="autoZero"/>
        <c:auto val="1"/>
        <c:lblAlgn val="ctr"/>
        <c:lblOffset val="100"/>
        <c:noMultiLvlLbl val="0"/>
      </c:cat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fr-FR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fr-FR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32</xdr:col>
      <xdr:colOff>533400</xdr:colOff>
      <xdr:row>10</xdr:row>
      <xdr:rowOff>142875</xdr:rowOff>
    </xdr:from>
    <xdr:to>
      <xdr:col>40</xdr:col>
      <xdr:colOff>228600</xdr:colOff>
      <xdr:row>25</xdr:row>
      <xdr:rowOff>171450</xdr:rowOff>
    </xdr:to>
    <xdr:graphicFrame macro="">
      <xdr:nvGraphicFramePr>
        <xdr:cNvPr id="2" name="Graphique 1">
          <a:extLst>
            <a:ext uri="{FF2B5EF4-FFF2-40B4-BE49-F238E27FC236}">
              <a16:creationId xmlns:a16="http://schemas.microsoft.com/office/drawing/2014/main" id="{728E551A-8F15-4AE9-8DB3-6E9225EBB89C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533397</xdr:colOff>
      <xdr:row>10</xdr:row>
      <xdr:rowOff>25400</xdr:rowOff>
    </xdr:from>
    <xdr:to>
      <xdr:col>16</xdr:col>
      <xdr:colOff>542924</xdr:colOff>
      <xdr:row>30</xdr:row>
      <xdr:rowOff>57150</xdr:rowOff>
    </xdr:to>
    <xdr:graphicFrame macro="">
      <xdr:nvGraphicFramePr>
        <xdr:cNvPr id="2" name="Graphique 1">
          <a:extLst>
            <a:ext uri="{FF2B5EF4-FFF2-40B4-BE49-F238E27FC236}">
              <a16:creationId xmlns:a16="http://schemas.microsoft.com/office/drawing/2014/main" id="{324C4613-F0EA-4F5E-9F90-5B6994703319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CO2_HH_ss_inv.xlsx" TargetMode="External"/></Relationships>
</file>

<file path=xl/externalLinks/_rels/externalLink2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hravoaha/Desktop/Th&#232;se/Th&#232;se%202023/Objectif%202/biowaste_optim/simulations/CO2_HH_VF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results"/>
      <sheetName val="Feuil1"/>
    </sheetNames>
    <sheetDataSet>
      <sheetData sheetId="0">
        <row r="2">
          <cell r="AD2" t="str">
            <v>Carbon</v>
          </cell>
          <cell r="AH2" t="str">
            <v>HHssC</v>
          </cell>
        </row>
        <row r="3">
          <cell r="AD3">
            <v>-203340.0842835083</v>
          </cell>
          <cell r="AH3">
            <v>0.36546878935102339</v>
          </cell>
        </row>
        <row r="4">
          <cell r="AD4">
            <v>-271684.9677193996</v>
          </cell>
          <cell r="AH4">
            <v>0.4149897620013091</v>
          </cell>
        </row>
        <row r="5">
          <cell r="AD5">
            <v>-271684.9677193996</v>
          </cell>
          <cell r="AH5">
            <v>0.4149897620013091</v>
          </cell>
        </row>
        <row r="6">
          <cell r="AD6">
            <v>-544740.82515175932</v>
          </cell>
          <cell r="AH6">
            <v>2.2999443118901919</v>
          </cell>
        </row>
        <row r="7">
          <cell r="AD7">
            <v>-544740.82515175932</v>
          </cell>
          <cell r="AH7">
            <v>2.2999443118901919</v>
          </cell>
        </row>
      </sheetData>
      <sheetData sheetId="1" refreshError="1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results"/>
    </sheetNames>
    <sheetDataSet>
      <sheetData sheetId="0">
        <row r="3">
          <cell r="B3" t="str">
            <v>1.0</v>
          </cell>
          <cell r="C3">
            <v>0.6</v>
          </cell>
          <cell r="D3">
            <v>0.37</v>
          </cell>
          <cell r="E3">
            <v>2.52</v>
          </cell>
          <cell r="I3">
            <v>1.29</v>
          </cell>
          <cell r="X3">
            <v>2.3199999999999998</v>
          </cell>
          <cell r="AD3">
            <v>93.51</v>
          </cell>
          <cell r="AK3">
            <v>-203340.0842835083</v>
          </cell>
          <cell r="AL3">
            <v>-479894.37340540468</v>
          </cell>
          <cell r="AM3">
            <v>-3.5317706843912799</v>
          </cell>
          <cell r="AN3">
            <v>-190007.86677072401</v>
          </cell>
          <cell r="AO3">
            <v>0.36546878935102339</v>
          </cell>
        </row>
        <row r="4">
          <cell r="B4" t="str">
            <v>2.0</v>
          </cell>
          <cell r="C4">
            <v>0.6</v>
          </cell>
          <cell r="D4">
            <v>0.37</v>
          </cell>
          <cell r="E4">
            <v>2.52</v>
          </cell>
          <cell r="I4">
            <v>1.29</v>
          </cell>
          <cell r="X4">
            <v>2.3199999999999998</v>
          </cell>
          <cell r="AJ4">
            <v>93.51</v>
          </cell>
          <cell r="AK4">
            <v>-596910.37483729084</v>
          </cell>
          <cell r="AL4">
            <v>-675655.61481981387</v>
          </cell>
          <cell r="AM4">
            <v>-6.3501085548001077</v>
          </cell>
          <cell r="AN4">
            <v>-157626.13086978649</v>
          </cell>
          <cell r="AO4">
            <v>0.6218076245490981</v>
          </cell>
        </row>
        <row r="5">
          <cell r="B5" t="str">
            <v>3.0</v>
          </cell>
          <cell r="C5">
            <v>0.6</v>
          </cell>
          <cell r="D5">
            <v>0.37</v>
          </cell>
          <cell r="E5">
            <v>2.52</v>
          </cell>
          <cell r="I5">
            <v>1.29</v>
          </cell>
          <cell r="X5">
            <v>2.3199999999999998</v>
          </cell>
          <cell r="AH5">
            <v>93.51</v>
          </cell>
          <cell r="AK5">
            <v>-651101.69874275709</v>
          </cell>
          <cell r="AL5">
            <v>-479036.53667522129</v>
          </cell>
          <cell r="AM5">
            <v>-5.0996868266494699</v>
          </cell>
          <cell r="AN5">
            <v>-34562.503224742322</v>
          </cell>
          <cell r="AO5">
            <v>0.88092441684732015</v>
          </cell>
        </row>
        <row r="6">
          <cell r="B6" t="str">
            <v>4.0</v>
          </cell>
          <cell r="C6">
            <v>0.6</v>
          </cell>
          <cell r="D6">
            <v>0.37</v>
          </cell>
          <cell r="E6">
            <v>2.52</v>
          </cell>
          <cell r="I6">
            <v>1.29</v>
          </cell>
          <cell r="X6">
            <v>2.3199999999999998</v>
          </cell>
          <cell r="AH6">
            <v>93.51</v>
          </cell>
          <cell r="AK6">
            <v>-651101.69874275709</v>
          </cell>
          <cell r="AL6">
            <v>-479036.53667522129</v>
          </cell>
          <cell r="AM6">
            <v>-5.0996868266494699</v>
          </cell>
          <cell r="AN6">
            <v>-34562.503224742322</v>
          </cell>
          <cell r="AO6">
            <v>0.88092441684732015</v>
          </cell>
        </row>
        <row r="7">
          <cell r="B7" t="str">
            <v>5.0</v>
          </cell>
          <cell r="C7">
            <v>0.6</v>
          </cell>
          <cell r="D7">
            <v>0.37</v>
          </cell>
          <cell r="E7">
            <v>2.52</v>
          </cell>
          <cell r="I7">
            <v>1.29</v>
          </cell>
          <cell r="X7">
            <v>2.3199999999999998</v>
          </cell>
          <cell r="AH7">
            <v>93.51</v>
          </cell>
          <cell r="AK7">
            <v>-651101.69874275709</v>
          </cell>
          <cell r="AL7">
            <v>-479036.53667522129</v>
          </cell>
          <cell r="AM7">
            <v>-5.0996868266494699</v>
          </cell>
          <cell r="AN7">
            <v>-34562.503224742322</v>
          </cell>
          <cell r="AO7">
            <v>0.88092441684732015</v>
          </cell>
        </row>
      </sheetData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Y7"/>
  <sheetViews>
    <sheetView topLeftCell="W1" workbookViewId="0">
      <selection activeCell="AS25" sqref="AS25"/>
    </sheetView>
  </sheetViews>
  <sheetFormatPr baseColWidth="10" defaultColWidth="8.7265625" defaultRowHeight="14.5" x14ac:dyDescent="0.35"/>
  <sheetData>
    <row r="1" spans="1:51" x14ac:dyDescent="0.35">
      <c r="A1" s="2"/>
      <c r="B1" s="9"/>
      <c r="C1" s="10"/>
      <c r="D1" s="9" t="s">
        <v>0</v>
      </c>
      <c r="E1" s="11"/>
      <c r="F1" s="11"/>
      <c r="G1" s="11"/>
      <c r="H1" s="11"/>
      <c r="I1" s="11"/>
      <c r="J1" s="11"/>
      <c r="K1" s="11"/>
      <c r="L1" s="11"/>
      <c r="M1" s="11"/>
      <c r="N1" s="11"/>
      <c r="O1" s="11"/>
      <c r="P1" s="11"/>
      <c r="Q1" s="11"/>
      <c r="R1" s="11"/>
      <c r="S1" s="11"/>
      <c r="T1" s="11"/>
      <c r="U1" s="11"/>
      <c r="V1" s="11"/>
      <c r="W1" s="11"/>
      <c r="X1" s="11"/>
      <c r="Y1" s="10"/>
      <c r="Z1" s="9" t="s">
        <v>1</v>
      </c>
      <c r="AA1" s="11"/>
      <c r="AB1" s="10"/>
      <c r="AC1" s="2" t="s">
        <v>2</v>
      </c>
      <c r="AD1" s="9" t="s">
        <v>3</v>
      </c>
      <c r="AE1" s="10"/>
      <c r="AF1" s="9" t="s">
        <v>4</v>
      </c>
      <c r="AG1" s="10"/>
      <c r="AH1" s="2" t="s">
        <v>5</v>
      </c>
      <c r="AI1" s="2" t="s">
        <v>6</v>
      </c>
      <c r="AJ1" s="5" t="s">
        <v>7</v>
      </c>
      <c r="AK1" s="6"/>
      <c r="AL1" s="6"/>
      <c r="AM1" s="6"/>
      <c r="AN1" s="6"/>
      <c r="AO1" s="7"/>
    </row>
    <row r="2" spans="1:51" x14ac:dyDescent="0.35">
      <c r="A2" s="2"/>
      <c r="B2" s="2" t="s">
        <v>8</v>
      </c>
      <c r="C2" s="2" t="s">
        <v>9</v>
      </c>
      <c r="D2" s="2" t="s">
        <v>10</v>
      </c>
      <c r="E2" s="2" t="s">
        <v>11</v>
      </c>
      <c r="F2" s="2" t="s">
        <v>12</v>
      </c>
      <c r="G2" s="2" t="s">
        <v>13</v>
      </c>
      <c r="H2" s="2" t="s">
        <v>14</v>
      </c>
      <c r="I2" s="2" t="s">
        <v>15</v>
      </c>
      <c r="J2" s="2" t="s">
        <v>16</v>
      </c>
      <c r="K2" s="2" t="s">
        <v>17</v>
      </c>
      <c r="L2" s="2" t="s">
        <v>18</v>
      </c>
      <c r="M2" s="2" t="s">
        <v>19</v>
      </c>
      <c r="N2" s="2" t="s">
        <v>20</v>
      </c>
      <c r="O2" s="2" t="s">
        <v>21</v>
      </c>
      <c r="P2" s="2" t="s">
        <v>22</v>
      </c>
      <c r="Q2" s="2" t="s">
        <v>23</v>
      </c>
      <c r="R2" s="2" t="s">
        <v>24</v>
      </c>
      <c r="S2" s="2" t="s">
        <v>25</v>
      </c>
      <c r="T2" s="2" t="s">
        <v>26</v>
      </c>
      <c r="U2" s="2" t="s">
        <v>27</v>
      </c>
      <c r="V2" s="2" t="s">
        <v>28</v>
      </c>
      <c r="W2" s="2" t="s">
        <v>29</v>
      </c>
      <c r="X2" s="2" t="s">
        <v>30</v>
      </c>
      <c r="Y2" s="2" t="s">
        <v>31</v>
      </c>
      <c r="Z2" s="2" t="s">
        <v>32</v>
      </c>
      <c r="AA2" s="2" t="s">
        <v>33</v>
      </c>
      <c r="AB2" s="2" t="s">
        <v>34</v>
      </c>
      <c r="AC2" s="2" t="s">
        <v>34</v>
      </c>
      <c r="AD2" s="2" t="s">
        <v>35</v>
      </c>
      <c r="AE2" s="2" t="s">
        <v>34</v>
      </c>
      <c r="AF2" s="2" t="s">
        <v>36</v>
      </c>
      <c r="AG2" s="2" t="s">
        <v>34</v>
      </c>
      <c r="AH2" s="2" t="s">
        <v>34</v>
      </c>
      <c r="AI2" s="2" t="s">
        <v>34</v>
      </c>
      <c r="AJ2" s="2" t="s">
        <v>34</v>
      </c>
      <c r="AK2" s="2" t="s">
        <v>37</v>
      </c>
      <c r="AL2" s="2" t="s">
        <v>38</v>
      </c>
      <c r="AM2" s="2" t="s">
        <v>39</v>
      </c>
      <c r="AN2" s="2" t="s">
        <v>40</v>
      </c>
      <c r="AO2" s="2" t="s">
        <v>41</v>
      </c>
      <c r="AR2" t="s">
        <v>0</v>
      </c>
      <c r="AS2" t="s">
        <v>1</v>
      </c>
      <c r="AT2" t="s">
        <v>44</v>
      </c>
      <c r="AU2" t="s">
        <v>45</v>
      </c>
      <c r="AV2" t="s">
        <v>46</v>
      </c>
      <c r="AW2" t="s">
        <v>47</v>
      </c>
      <c r="AX2" t="s">
        <v>48</v>
      </c>
      <c r="AY2" t="s">
        <v>49</v>
      </c>
    </row>
    <row r="3" spans="1:51" x14ac:dyDescent="0.35">
      <c r="A3" s="1">
        <v>0</v>
      </c>
      <c r="B3" t="str">
        <f>[2]results!B3</f>
        <v>1.0</v>
      </c>
      <c r="C3">
        <f>[2]results!C3</f>
        <v>0.6</v>
      </c>
      <c r="D3" s="3">
        <f>[2]results!D3</f>
        <v>0.37</v>
      </c>
      <c r="E3">
        <f>[2]results!E3</f>
        <v>2.52</v>
      </c>
      <c r="F3">
        <f>[2]results!F3</f>
        <v>0</v>
      </c>
      <c r="G3">
        <f>[2]results!G3</f>
        <v>0</v>
      </c>
      <c r="H3">
        <f>[2]results!H3</f>
        <v>0</v>
      </c>
      <c r="I3">
        <f>[2]results!I3</f>
        <v>1.29</v>
      </c>
      <c r="J3">
        <f>[2]results!J3</f>
        <v>0</v>
      </c>
      <c r="K3">
        <f>[2]results!K3</f>
        <v>0</v>
      </c>
      <c r="L3">
        <f>[2]results!L3</f>
        <v>0</v>
      </c>
      <c r="M3">
        <f>[2]results!M3</f>
        <v>0</v>
      </c>
      <c r="N3">
        <f>[2]results!N3</f>
        <v>0</v>
      </c>
      <c r="O3">
        <f>[2]results!O3</f>
        <v>0</v>
      </c>
      <c r="P3">
        <f>[2]results!P3</f>
        <v>0</v>
      </c>
      <c r="Q3">
        <f>[2]results!Q3</f>
        <v>0</v>
      </c>
      <c r="R3">
        <f>[2]results!R3</f>
        <v>0</v>
      </c>
      <c r="S3">
        <f>[2]results!S3</f>
        <v>0</v>
      </c>
      <c r="T3">
        <f>[2]results!T3</f>
        <v>0</v>
      </c>
      <c r="U3">
        <f>[2]results!U3</f>
        <v>0</v>
      </c>
      <c r="V3">
        <f>[2]results!V3</f>
        <v>0</v>
      </c>
      <c r="W3">
        <f>[2]results!W3</f>
        <v>0</v>
      </c>
      <c r="X3">
        <f>[2]results!X3</f>
        <v>2.3199999999999998</v>
      </c>
      <c r="Y3">
        <f>[2]results!Y3</f>
        <v>0</v>
      </c>
      <c r="Z3">
        <f>[2]results!Z3</f>
        <v>0</v>
      </c>
      <c r="AA3">
        <f>[2]results!AA3</f>
        <v>0</v>
      </c>
      <c r="AB3">
        <f>[2]results!AB3</f>
        <v>0</v>
      </c>
      <c r="AC3">
        <f>[2]results!AC3</f>
        <v>0</v>
      </c>
      <c r="AD3" s="3">
        <f>[2]results!AD3</f>
        <v>93.51</v>
      </c>
      <c r="AE3">
        <f>[2]results!AE3</f>
        <v>0</v>
      </c>
      <c r="AF3">
        <f>[2]results!AF3</f>
        <v>0</v>
      </c>
      <c r="AG3">
        <f>[2]results!AG3</f>
        <v>0</v>
      </c>
      <c r="AH3">
        <f>[2]results!AH3</f>
        <v>0</v>
      </c>
      <c r="AI3">
        <f>[2]results!AI3</f>
        <v>0</v>
      </c>
      <c r="AJ3">
        <f>[2]results!AJ3</f>
        <v>0</v>
      </c>
      <c r="AK3" s="4">
        <f>[2]results!AK3</f>
        <v>-203340.0842835083</v>
      </c>
      <c r="AL3" s="4">
        <f>[2]results!AL3</f>
        <v>-479894.37340540468</v>
      </c>
      <c r="AM3" s="4">
        <f>[2]results!AM3</f>
        <v>-3.5317706843912799</v>
      </c>
      <c r="AN3" s="4">
        <f>[2]results!AN3</f>
        <v>-190007.86677072401</v>
      </c>
      <c r="AO3" s="4">
        <f>[2]results!AO3</f>
        <v>0.36546878935102339</v>
      </c>
      <c r="AQ3">
        <v>0</v>
      </c>
      <c r="AR3">
        <f>SUM(D3:Y3)</f>
        <v>6.5</v>
      </c>
      <c r="AS3">
        <f>SUM(Z3:AB3)</f>
        <v>0</v>
      </c>
      <c r="AT3">
        <f>AC3</f>
        <v>0</v>
      </c>
      <c r="AU3">
        <f>SUM(AD3:AE3)</f>
        <v>93.51</v>
      </c>
      <c r="AV3">
        <f>SUM(AF3:AG3)</f>
        <v>0</v>
      </c>
      <c r="AW3">
        <f>AH3</f>
        <v>0</v>
      </c>
      <c r="AX3">
        <f>AI3</f>
        <v>0</v>
      </c>
      <c r="AY3">
        <f>AJ3</f>
        <v>0</v>
      </c>
    </row>
    <row r="4" spans="1:51" x14ac:dyDescent="0.35">
      <c r="A4" s="1">
        <v>1</v>
      </c>
      <c r="B4" t="str">
        <f>[2]results!B4</f>
        <v>2.0</v>
      </c>
      <c r="C4">
        <f>[2]results!C4</f>
        <v>0.6</v>
      </c>
      <c r="D4" s="3">
        <f>[2]results!D4</f>
        <v>0.37</v>
      </c>
      <c r="E4">
        <f>[2]results!E4</f>
        <v>2.52</v>
      </c>
      <c r="F4">
        <f>[2]results!F4</f>
        <v>0</v>
      </c>
      <c r="G4">
        <f>[2]results!G4</f>
        <v>0</v>
      </c>
      <c r="H4">
        <f>[2]results!H4</f>
        <v>0</v>
      </c>
      <c r="I4">
        <f>[2]results!I4</f>
        <v>1.29</v>
      </c>
      <c r="J4">
        <f>[2]results!J4</f>
        <v>0</v>
      </c>
      <c r="K4">
        <f>[2]results!K4</f>
        <v>0</v>
      </c>
      <c r="L4">
        <f>[2]results!L4</f>
        <v>0</v>
      </c>
      <c r="M4">
        <f>[2]results!M4</f>
        <v>0</v>
      </c>
      <c r="N4">
        <f>[2]results!N4</f>
        <v>0</v>
      </c>
      <c r="O4">
        <f>[2]results!O4</f>
        <v>0</v>
      </c>
      <c r="P4">
        <f>[2]results!P4</f>
        <v>0</v>
      </c>
      <c r="Q4">
        <f>[2]results!Q4</f>
        <v>0</v>
      </c>
      <c r="R4">
        <f>[2]results!R4</f>
        <v>0</v>
      </c>
      <c r="S4">
        <f>[2]results!S4</f>
        <v>0</v>
      </c>
      <c r="T4">
        <f>[2]results!T4</f>
        <v>0</v>
      </c>
      <c r="U4">
        <f>[2]results!U4</f>
        <v>0</v>
      </c>
      <c r="V4">
        <f>[2]results!V4</f>
        <v>0</v>
      </c>
      <c r="W4">
        <f>[2]results!W4</f>
        <v>0</v>
      </c>
      <c r="X4">
        <f>[2]results!X4</f>
        <v>2.3199999999999998</v>
      </c>
      <c r="Y4">
        <f>[2]results!Y4</f>
        <v>0</v>
      </c>
      <c r="Z4">
        <f>[2]results!Z4</f>
        <v>0</v>
      </c>
      <c r="AA4">
        <f>[2]results!AA4</f>
        <v>0</v>
      </c>
      <c r="AB4">
        <f>[2]results!AB4</f>
        <v>0</v>
      </c>
      <c r="AC4">
        <f>[2]results!AC4</f>
        <v>0</v>
      </c>
      <c r="AD4">
        <f>[2]results!AD4</f>
        <v>0</v>
      </c>
      <c r="AE4">
        <f>[2]results!AE4</f>
        <v>0</v>
      </c>
      <c r="AF4">
        <f>[2]results!AF4</f>
        <v>0</v>
      </c>
      <c r="AG4">
        <f>[2]results!AG4</f>
        <v>0</v>
      </c>
      <c r="AH4">
        <f>[2]results!AH4</f>
        <v>0</v>
      </c>
      <c r="AI4">
        <f>[2]results!AI4</f>
        <v>0</v>
      </c>
      <c r="AJ4" s="3">
        <f>[2]results!AJ4</f>
        <v>93.51</v>
      </c>
      <c r="AK4" s="4">
        <f>[2]results!AK4</f>
        <v>-596910.37483729084</v>
      </c>
      <c r="AL4" s="4">
        <f>[2]results!AL4</f>
        <v>-675655.61481981387</v>
      </c>
      <c r="AM4" s="4">
        <f>[2]results!AM4</f>
        <v>-6.3501085548001077</v>
      </c>
      <c r="AN4" s="4">
        <f>[2]results!AN4</f>
        <v>-157626.13086978649</v>
      </c>
      <c r="AO4" s="4">
        <f>[2]results!AO4</f>
        <v>0.6218076245490981</v>
      </c>
      <c r="AQ4">
        <v>0.25</v>
      </c>
      <c r="AR4">
        <f t="shared" ref="AR4:AR7" si="0">SUM(D4:Y4)</f>
        <v>6.5</v>
      </c>
      <c r="AS4">
        <f t="shared" ref="AS4:AS7" si="1">SUM(Z4:AB4)</f>
        <v>0</v>
      </c>
      <c r="AT4">
        <f t="shared" ref="AT4:AT7" si="2">AC4</f>
        <v>0</v>
      </c>
      <c r="AU4">
        <f t="shared" ref="AU4:AU7" si="3">SUM(AD4:AE4)</f>
        <v>0</v>
      </c>
      <c r="AV4">
        <f t="shared" ref="AV4:AV7" si="4">SUM(AF4:AG4)</f>
        <v>0</v>
      </c>
      <c r="AW4">
        <f t="shared" ref="AW4:AY7" si="5">AH4</f>
        <v>0</v>
      </c>
      <c r="AX4">
        <f t="shared" si="5"/>
        <v>0</v>
      </c>
      <c r="AY4">
        <f t="shared" si="5"/>
        <v>93.51</v>
      </c>
    </row>
    <row r="5" spans="1:51" x14ac:dyDescent="0.35">
      <c r="A5" s="1">
        <v>2</v>
      </c>
      <c r="B5" t="str">
        <f>[2]results!B5</f>
        <v>3.0</v>
      </c>
      <c r="C5">
        <f>[2]results!C5</f>
        <v>0.6</v>
      </c>
      <c r="D5" s="3">
        <f>[2]results!D5</f>
        <v>0.37</v>
      </c>
      <c r="E5">
        <f>[2]results!E5</f>
        <v>2.52</v>
      </c>
      <c r="F5">
        <f>[2]results!F5</f>
        <v>0</v>
      </c>
      <c r="G5">
        <f>[2]results!G5</f>
        <v>0</v>
      </c>
      <c r="H5">
        <f>[2]results!H5</f>
        <v>0</v>
      </c>
      <c r="I5">
        <f>[2]results!I5</f>
        <v>1.29</v>
      </c>
      <c r="J5">
        <f>[2]results!J5</f>
        <v>0</v>
      </c>
      <c r="K5">
        <f>[2]results!K5</f>
        <v>0</v>
      </c>
      <c r="L5">
        <f>[2]results!L5</f>
        <v>0</v>
      </c>
      <c r="M5">
        <f>[2]results!M5</f>
        <v>0</v>
      </c>
      <c r="N5">
        <f>[2]results!N5</f>
        <v>0</v>
      </c>
      <c r="O5">
        <f>[2]results!O5</f>
        <v>0</v>
      </c>
      <c r="P5">
        <f>[2]results!P5</f>
        <v>0</v>
      </c>
      <c r="Q5">
        <f>[2]results!Q5</f>
        <v>0</v>
      </c>
      <c r="R5">
        <f>[2]results!R5</f>
        <v>0</v>
      </c>
      <c r="S5">
        <f>[2]results!S5</f>
        <v>0</v>
      </c>
      <c r="T5">
        <f>[2]results!T5</f>
        <v>0</v>
      </c>
      <c r="U5">
        <f>[2]results!U5</f>
        <v>0</v>
      </c>
      <c r="V5">
        <f>[2]results!V5</f>
        <v>0</v>
      </c>
      <c r="W5">
        <f>[2]results!W5</f>
        <v>0</v>
      </c>
      <c r="X5">
        <f>[2]results!X5</f>
        <v>2.3199999999999998</v>
      </c>
      <c r="Y5">
        <f>[2]results!Y5</f>
        <v>0</v>
      </c>
      <c r="Z5">
        <f>[2]results!Z5</f>
        <v>0</v>
      </c>
      <c r="AA5">
        <f>[2]results!AA5</f>
        <v>0</v>
      </c>
      <c r="AB5">
        <f>[2]results!AB5</f>
        <v>0</v>
      </c>
      <c r="AC5">
        <f>[2]results!AC5</f>
        <v>0</v>
      </c>
      <c r="AD5">
        <f>[2]results!AD5</f>
        <v>0</v>
      </c>
      <c r="AE5">
        <f>[2]results!AE5</f>
        <v>0</v>
      </c>
      <c r="AF5">
        <f>[2]results!AF5</f>
        <v>0</v>
      </c>
      <c r="AG5">
        <f>[2]results!AG5</f>
        <v>0</v>
      </c>
      <c r="AH5">
        <f>[2]results!AH5</f>
        <v>93.51</v>
      </c>
      <c r="AI5">
        <f>[2]results!AI5</f>
        <v>0</v>
      </c>
      <c r="AJ5" s="3">
        <f>[2]results!AJ5</f>
        <v>0</v>
      </c>
      <c r="AK5" s="4">
        <f>[2]results!AK5</f>
        <v>-651101.69874275709</v>
      </c>
      <c r="AL5" s="4">
        <f>[2]results!AL5</f>
        <v>-479036.53667522129</v>
      </c>
      <c r="AM5" s="4">
        <f>[2]results!AM5</f>
        <v>-5.0996868266494699</v>
      </c>
      <c r="AN5" s="4">
        <f>[2]results!AN5</f>
        <v>-34562.503224742322</v>
      </c>
      <c r="AO5" s="4">
        <f>[2]results!AO5</f>
        <v>0.88092441684732015</v>
      </c>
      <c r="AQ5">
        <v>0.5</v>
      </c>
      <c r="AR5">
        <f t="shared" si="0"/>
        <v>6.5</v>
      </c>
      <c r="AS5">
        <f t="shared" si="1"/>
        <v>0</v>
      </c>
      <c r="AT5">
        <f t="shared" si="2"/>
        <v>0</v>
      </c>
      <c r="AU5">
        <f t="shared" si="3"/>
        <v>0</v>
      </c>
      <c r="AV5">
        <f t="shared" si="4"/>
        <v>0</v>
      </c>
      <c r="AW5">
        <f t="shared" si="5"/>
        <v>93.51</v>
      </c>
      <c r="AX5">
        <f t="shared" si="5"/>
        <v>0</v>
      </c>
      <c r="AY5">
        <f t="shared" si="5"/>
        <v>0</v>
      </c>
    </row>
    <row r="6" spans="1:51" x14ac:dyDescent="0.35">
      <c r="A6" s="1">
        <v>3</v>
      </c>
      <c r="B6" t="str">
        <f>[2]results!B6</f>
        <v>4.0</v>
      </c>
      <c r="C6">
        <f>[2]results!C6</f>
        <v>0.6</v>
      </c>
      <c r="D6" s="3">
        <f>[2]results!D6</f>
        <v>0.37</v>
      </c>
      <c r="E6">
        <f>[2]results!E6</f>
        <v>2.52</v>
      </c>
      <c r="F6">
        <f>[2]results!F6</f>
        <v>0</v>
      </c>
      <c r="G6">
        <f>[2]results!G6</f>
        <v>0</v>
      </c>
      <c r="H6">
        <f>[2]results!H6</f>
        <v>0</v>
      </c>
      <c r="I6">
        <f>[2]results!I6</f>
        <v>1.29</v>
      </c>
      <c r="J6">
        <f>[2]results!J6</f>
        <v>0</v>
      </c>
      <c r="K6">
        <f>[2]results!K6</f>
        <v>0</v>
      </c>
      <c r="L6">
        <f>[2]results!L6</f>
        <v>0</v>
      </c>
      <c r="M6">
        <f>[2]results!M6</f>
        <v>0</v>
      </c>
      <c r="N6">
        <f>[2]results!N6</f>
        <v>0</v>
      </c>
      <c r="O6">
        <f>[2]results!O6</f>
        <v>0</v>
      </c>
      <c r="P6">
        <f>[2]results!P6</f>
        <v>0</v>
      </c>
      <c r="Q6">
        <f>[2]results!Q6</f>
        <v>0</v>
      </c>
      <c r="R6">
        <f>[2]results!R6</f>
        <v>0</v>
      </c>
      <c r="S6">
        <f>[2]results!S6</f>
        <v>0</v>
      </c>
      <c r="T6">
        <f>[2]results!T6</f>
        <v>0</v>
      </c>
      <c r="U6">
        <f>[2]results!U6</f>
        <v>0</v>
      </c>
      <c r="V6">
        <f>[2]results!V6</f>
        <v>0</v>
      </c>
      <c r="W6">
        <f>[2]results!W6</f>
        <v>0</v>
      </c>
      <c r="X6">
        <f>[2]results!X6</f>
        <v>2.3199999999999998</v>
      </c>
      <c r="Y6">
        <f>[2]results!Y6</f>
        <v>0</v>
      </c>
      <c r="Z6">
        <f>[2]results!Z6</f>
        <v>0</v>
      </c>
      <c r="AA6">
        <f>[2]results!AA6</f>
        <v>0</v>
      </c>
      <c r="AB6">
        <f>[2]results!AB6</f>
        <v>0</v>
      </c>
      <c r="AC6">
        <f>[2]results!AC6</f>
        <v>0</v>
      </c>
      <c r="AD6">
        <f>[2]results!AD6</f>
        <v>0</v>
      </c>
      <c r="AE6">
        <f>[2]results!AE6</f>
        <v>0</v>
      </c>
      <c r="AF6">
        <f>[2]results!AF6</f>
        <v>0</v>
      </c>
      <c r="AG6">
        <f>[2]results!AG6</f>
        <v>0</v>
      </c>
      <c r="AH6">
        <f>[2]results!AH6</f>
        <v>93.51</v>
      </c>
      <c r="AI6">
        <f>[2]results!AI6</f>
        <v>0</v>
      </c>
      <c r="AJ6" s="3">
        <f>[2]results!AJ6</f>
        <v>0</v>
      </c>
      <c r="AK6" s="4">
        <f>[2]results!AK6</f>
        <v>-651101.69874275709</v>
      </c>
      <c r="AL6" s="4">
        <f>[2]results!AL6</f>
        <v>-479036.53667522129</v>
      </c>
      <c r="AM6" s="4">
        <f>[2]results!AM6</f>
        <v>-5.0996868266494699</v>
      </c>
      <c r="AN6" s="4">
        <f>[2]results!AN6</f>
        <v>-34562.503224742322</v>
      </c>
      <c r="AO6" s="4">
        <f>[2]results!AO6</f>
        <v>0.88092441684732015</v>
      </c>
      <c r="AQ6">
        <v>0.75</v>
      </c>
      <c r="AR6">
        <f t="shared" si="0"/>
        <v>6.5</v>
      </c>
      <c r="AS6">
        <f t="shared" si="1"/>
        <v>0</v>
      </c>
      <c r="AT6">
        <f t="shared" si="2"/>
        <v>0</v>
      </c>
      <c r="AU6">
        <f t="shared" si="3"/>
        <v>0</v>
      </c>
      <c r="AV6">
        <f t="shared" si="4"/>
        <v>0</v>
      </c>
      <c r="AW6">
        <f t="shared" si="5"/>
        <v>93.51</v>
      </c>
      <c r="AX6">
        <f t="shared" si="5"/>
        <v>0</v>
      </c>
      <c r="AY6">
        <f t="shared" si="5"/>
        <v>0</v>
      </c>
    </row>
    <row r="7" spans="1:51" x14ac:dyDescent="0.35">
      <c r="A7" s="1">
        <v>4</v>
      </c>
      <c r="B7" t="str">
        <f>[2]results!B7</f>
        <v>5.0</v>
      </c>
      <c r="C7">
        <f>[2]results!C7</f>
        <v>0.6</v>
      </c>
      <c r="D7" s="3">
        <f>[2]results!D7</f>
        <v>0.37</v>
      </c>
      <c r="E7">
        <f>[2]results!E7</f>
        <v>2.52</v>
      </c>
      <c r="F7">
        <f>[2]results!F7</f>
        <v>0</v>
      </c>
      <c r="G7">
        <f>[2]results!G7</f>
        <v>0</v>
      </c>
      <c r="H7">
        <f>[2]results!H7</f>
        <v>0</v>
      </c>
      <c r="I7">
        <f>[2]results!I7</f>
        <v>1.29</v>
      </c>
      <c r="J7">
        <f>[2]results!J7</f>
        <v>0</v>
      </c>
      <c r="K7">
        <f>[2]results!K7</f>
        <v>0</v>
      </c>
      <c r="L7">
        <f>[2]results!L7</f>
        <v>0</v>
      </c>
      <c r="M7">
        <f>[2]results!M7</f>
        <v>0</v>
      </c>
      <c r="N7">
        <f>[2]results!N7</f>
        <v>0</v>
      </c>
      <c r="O7">
        <f>[2]results!O7</f>
        <v>0</v>
      </c>
      <c r="P7">
        <f>[2]results!P7</f>
        <v>0</v>
      </c>
      <c r="Q7">
        <f>[2]results!Q7</f>
        <v>0</v>
      </c>
      <c r="R7">
        <f>[2]results!R7</f>
        <v>0</v>
      </c>
      <c r="S7">
        <f>[2]results!S7</f>
        <v>0</v>
      </c>
      <c r="T7">
        <f>[2]results!T7</f>
        <v>0</v>
      </c>
      <c r="U7">
        <f>[2]results!U7</f>
        <v>0</v>
      </c>
      <c r="V7">
        <f>[2]results!V7</f>
        <v>0</v>
      </c>
      <c r="W7">
        <f>[2]results!W7</f>
        <v>0</v>
      </c>
      <c r="X7">
        <f>[2]results!X7</f>
        <v>2.3199999999999998</v>
      </c>
      <c r="Y7">
        <f>[2]results!Y7</f>
        <v>0</v>
      </c>
      <c r="Z7">
        <f>[2]results!Z7</f>
        <v>0</v>
      </c>
      <c r="AA7">
        <f>[2]results!AA7</f>
        <v>0</v>
      </c>
      <c r="AB7">
        <f>[2]results!AB7</f>
        <v>0</v>
      </c>
      <c r="AC7">
        <f>[2]results!AC7</f>
        <v>0</v>
      </c>
      <c r="AD7">
        <f>[2]results!AD7</f>
        <v>0</v>
      </c>
      <c r="AE7">
        <f>[2]results!AE7</f>
        <v>0</v>
      </c>
      <c r="AF7">
        <f>[2]results!AF7</f>
        <v>0</v>
      </c>
      <c r="AG7">
        <f>[2]results!AG7</f>
        <v>0</v>
      </c>
      <c r="AH7">
        <f>[2]results!AH7</f>
        <v>93.51</v>
      </c>
      <c r="AI7">
        <f>[2]results!AI7</f>
        <v>0</v>
      </c>
      <c r="AJ7" s="3">
        <f>[2]results!AJ7</f>
        <v>0</v>
      </c>
      <c r="AK7" s="4">
        <f>[2]results!AK7</f>
        <v>-651101.69874275709</v>
      </c>
      <c r="AL7" s="4">
        <f>[2]results!AL7</f>
        <v>-479036.53667522129</v>
      </c>
      <c r="AM7" s="4">
        <f>[2]results!AM7</f>
        <v>-5.0996868266494699</v>
      </c>
      <c r="AN7" s="4">
        <f>[2]results!AN7</f>
        <v>-34562.503224742322</v>
      </c>
      <c r="AO7" s="4">
        <f>[2]results!AO7</f>
        <v>0.88092441684732015</v>
      </c>
      <c r="AQ7">
        <v>1</v>
      </c>
      <c r="AR7">
        <f t="shared" si="0"/>
        <v>6.5</v>
      </c>
      <c r="AS7">
        <f t="shared" si="1"/>
        <v>0</v>
      </c>
      <c r="AT7">
        <f t="shared" si="2"/>
        <v>0</v>
      </c>
      <c r="AU7">
        <f t="shared" si="3"/>
        <v>0</v>
      </c>
      <c r="AV7">
        <f t="shared" si="4"/>
        <v>0</v>
      </c>
      <c r="AW7">
        <f t="shared" si="5"/>
        <v>93.51</v>
      </c>
      <c r="AX7">
        <f t="shared" si="5"/>
        <v>0</v>
      </c>
      <c r="AY7">
        <f t="shared" si="5"/>
        <v>0</v>
      </c>
    </row>
  </sheetData>
  <mergeCells count="5">
    <mergeCell ref="B1:C1"/>
    <mergeCell ref="D1:Y1"/>
    <mergeCell ref="Z1:AB1"/>
    <mergeCell ref="AD1:AE1"/>
    <mergeCell ref="AF1:AG1"/>
  </mergeCells>
  <pageMargins left="0.75" right="0.75" top="1" bottom="1" header="0.5" footer="0.5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8BDFDF3-8483-43B1-81DA-2E53072B67F1}">
  <dimension ref="A1:F6"/>
  <sheetViews>
    <sheetView workbookViewId="0">
      <selection sqref="A1:F6"/>
    </sheetView>
  </sheetViews>
  <sheetFormatPr baseColWidth="10" defaultRowHeight="14.5" x14ac:dyDescent="0.35"/>
  <sheetData>
    <row r="1" spans="1:6" x14ac:dyDescent="0.35">
      <c r="A1" t="s">
        <v>50</v>
      </c>
      <c r="B1" t="s">
        <v>51</v>
      </c>
      <c r="C1" t="s">
        <v>52</v>
      </c>
      <c r="D1" t="s">
        <v>53</v>
      </c>
      <c r="E1" t="s">
        <v>54</v>
      </c>
      <c r="F1" t="s">
        <v>55</v>
      </c>
    </row>
    <row r="2" spans="1:6" x14ac:dyDescent="0.35">
      <c r="A2">
        <v>0</v>
      </c>
      <c r="B2">
        <f>91256.49+95355.32</f>
        <v>186611.81</v>
      </c>
      <c r="C2" s="8">
        <v>30974.22</v>
      </c>
      <c r="D2" s="8">
        <v>0</v>
      </c>
      <c r="E2" s="8">
        <v>3000</v>
      </c>
    </row>
    <row r="3" spans="1:6" x14ac:dyDescent="0.35">
      <c r="A3">
        <v>0.25</v>
      </c>
      <c r="B3">
        <f t="shared" ref="B3:B6" si="0">91256.49+95355.32</f>
        <v>186611.81</v>
      </c>
      <c r="C3" s="8">
        <v>30974.22</v>
      </c>
      <c r="F3" s="8">
        <v>3000</v>
      </c>
    </row>
    <row r="4" spans="1:6" x14ac:dyDescent="0.35">
      <c r="A4">
        <v>0.5</v>
      </c>
      <c r="B4">
        <f t="shared" si="0"/>
        <v>186611.81</v>
      </c>
      <c r="C4" s="8">
        <v>30974.22</v>
      </c>
      <c r="F4" s="8">
        <v>3000</v>
      </c>
    </row>
    <row r="5" spans="1:6" x14ac:dyDescent="0.35">
      <c r="A5">
        <v>0.75</v>
      </c>
      <c r="B5">
        <f t="shared" si="0"/>
        <v>186611.81</v>
      </c>
      <c r="C5" s="8">
        <v>30974.22</v>
      </c>
      <c r="F5" s="8">
        <v>3000</v>
      </c>
    </row>
    <row r="6" spans="1:6" x14ac:dyDescent="0.35">
      <c r="A6">
        <v>1</v>
      </c>
      <c r="B6">
        <f t="shared" si="0"/>
        <v>186611.81</v>
      </c>
      <c r="C6" s="8">
        <v>30974.22</v>
      </c>
      <c r="F6" s="8">
        <v>3000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7845EA-745F-4E4F-AF5E-66F587D10997}">
  <dimension ref="A1:E7"/>
  <sheetViews>
    <sheetView tabSelected="1" workbookViewId="0">
      <selection activeCell="D13" sqref="D13"/>
    </sheetView>
  </sheetViews>
  <sheetFormatPr baseColWidth="10" defaultRowHeight="14.5" x14ac:dyDescent="0.35"/>
  <sheetData>
    <row r="1" spans="1:5" x14ac:dyDescent="0.35">
      <c r="B1" s="12" t="s">
        <v>42</v>
      </c>
      <c r="C1" s="12"/>
      <c r="D1" s="12" t="s">
        <v>43</v>
      </c>
      <c r="E1" s="12"/>
    </row>
    <row r="2" spans="1:5" x14ac:dyDescent="0.35">
      <c r="B2" t="str">
        <f>results!AK2</f>
        <v>Carbon</v>
      </c>
      <c r="C2" t="str">
        <f>results!AO2</f>
        <v>HHssC</v>
      </c>
      <c r="D2" t="str">
        <f>[1]results!AD2</f>
        <v>Carbon</v>
      </c>
      <c r="E2" t="str">
        <f>[1]results!AH2</f>
        <v>HHssC</v>
      </c>
    </row>
    <row r="3" spans="1:5" x14ac:dyDescent="0.35">
      <c r="A3">
        <v>0</v>
      </c>
      <c r="B3">
        <f>results!AK3</f>
        <v>-203340.0842835083</v>
      </c>
      <c r="C3">
        <f>results!AO3</f>
        <v>0.36546878935102339</v>
      </c>
      <c r="D3">
        <f>[1]results!AD3</f>
        <v>-203340.0842835083</v>
      </c>
      <c r="E3">
        <f>[1]results!AH3</f>
        <v>0.36546878935102339</v>
      </c>
    </row>
    <row r="4" spans="1:5" x14ac:dyDescent="0.35">
      <c r="A4">
        <v>0.25</v>
      </c>
      <c r="B4">
        <f>results!AK4</f>
        <v>-596910.37483729084</v>
      </c>
      <c r="C4">
        <f>results!AO4</f>
        <v>0.6218076245490981</v>
      </c>
      <c r="D4">
        <f>[1]results!AD4</f>
        <v>-271684.9677193996</v>
      </c>
      <c r="E4">
        <f>[1]results!AH4</f>
        <v>0.4149897620013091</v>
      </c>
    </row>
    <row r="5" spans="1:5" x14ac:dyDescent="0.35">
      <c r="A5">
        <v>0.5</v>
      </c>
      <c r="B5">
        <f>results!AK5</f>
        <v>-651101.69874275709</v>
      </c>
      <c r="C5">
        <f>results!AO5</f>
        <v>0.88092441684732015</v>
      </c>
      <c r="D5">
        <f>[1]results!AD5</f>
        <v>-271684.9677193996</v>
      </c>
      <c r="E5">
        <f>[1]results!AH5</f>
        <v>0.4149897620013091</v>
      </c>
    </row>
    <row r="6" spans="1:5" x14ac:dyDescent="0.35">
      <c r="A6">
        <v>0.75</v>
      </c>
      <c r="B6">
        <f>results!AK6</f>
        <v>-651101.69874275709</v>
      </c>
      <c r="C6">
        <f>results!AO6</f>
        <v>0.88092441684732015</v>
      </c>
      <c r="D6">
        <f>[1]results!AD6</f>
        <v>-544740.82515175932</v>
      </c>
      <c r="E6">
        <f>[1]results!AH6</f>
        <v>2.2999443118901919</v>
      </c>
    </row>
    <row r="7" spans="1:5" x14ac:dyDescent="0.35">
      <c r="A7">
        <v>1</v>
      </c>
      <c r="B7">
        <f>results!AK7</f>
        <v>-651101.69874275709</v>
      </c>
      <c r="C7">
        <f>results!AO7</f>
        <v>0.88092441684732015</v>
      </c>
      <c r="D7">
        <f>[1]results!AD7</f>
        <v>-544740.82515175932</v>
      </c>
      <c r="E7">
        <f>[1]results!AH7</f>
        <v>2.2999443118901919</v>
      </c>
    </row>
  </sheetData>
  <mergeCells count="2">
    <mergeCell ref="B1:C1"/>
    <mergeCell ref="D1:E1"/>
  </mergeCells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Feuilles de calcul</vt:lpstr>
      </vt:variant>
      <vt:variant>
        <vt:i4>3</vt:i4>
      </vt:variant>
    </vt:vector>
  </HeadingPairs>
  <TitlesOfParts>
    <vt:vector size="3" baseType="lpstr">
      <vt:lpstr>results</vt:lpstr>
      <vt:lpstr>Feuil2</vt:lpstr>
      <vt:lpstr>Feuil1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Nomena Ravoahangy</cp:lastModifiedBy>
  <dcterms:created xsi:type="dcterms:W3CDTF">2026-03-06T14:23:53Z</dcterms:created>
  <dcterms:modified xsi:type="dcterms:W3CDTF">2026-03-20T09:49:22Z</dcterms:modified>
</cp:coreProperties>
</file>