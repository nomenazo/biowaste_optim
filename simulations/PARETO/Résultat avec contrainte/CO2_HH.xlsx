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avec contrainte\"/>
    </mc:Choice>
  </mc:AlternateContent>
  <xr:revisionPtr revIDLastSave="0" documentId="13_ncr:1_{C2F01E77-9117-491C-B300-2B021290E9AA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  <sheet name="Feuil2" sheetId="3" r:id="rId2"/>
    <sheet name="Feuil1" sheetId="2" r:id="rId3"/>
  </sheets>
  <externalReferences>
    <externalReference r:id="rId4"/>
    <externalReference r:id="rId5"/>
  </externalReferences>
  <calcPr calcId="191029"/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B6" i="3" l="1"/>
  <c r="B5" i="3"/>
  <c r="B4" i="3"/>
  <c r="B3" i="3"/>
  <c r="B2" i="3"/>
  <c r="B2" i="2" l="1"/>
  <c r="AY7" i="1" l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  <c r="E2" i="2" l="1"/>
  <c r="E3" i="2"/>
  <c r="E4" i="2"/>
  <c r="E5" i="2"/>
  <c r="E6" i="2"/>
  <c r="E7" i="2"/>
  <c r="D2" i="2"/>
  <c r="D3" i="2"/>
  <c r="D4" i="2"/>
  <c r="D5" i="2"/>
  <c r="D6" i="2"/>
  <c r="D7" i="2"/>
  <c r="C2" i="2"/>
  <c r="C3" i="2"/>
  <c r="C4" i="2"/>
  <c r="C5" i="2"/>
  <c r="C6" i="2"/>
  <c r="C7" i="2"/>
  <c r="B3" i="2"/>
  <c r="B4" i="2"/>
  <c r="B5" i="2"/>
  <c r="B6" i="2"/>
  <c r="B7" i="2"/>
</calcChain>
</file>

<file path=xl/sharedStrings.xml><?xml version="1.0" encoding="utf-8"?>
<sst xmlns="http://schemas.openxmlformats.org/spreadsheetml/2006/main" count="64" uniqueCount="56">
  <si>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</si>
  <si>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</si>
  <si>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</si>
  <si>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</si>
  <si>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</si>
  <si>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</si>
  <si>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</si>
  <si>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</si>
  <si>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</si>
  <si>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</si>
  <si>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</si>
  <si>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</si>
  <si>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</si>
  <si>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</si>
  <si>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</si>
  <si>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</si>
  <si>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</si>
  <si>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</si>
  <si>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</si>
  <si>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</si>
  <si>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</si>
  <si>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</si>
  <si>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</si>
  <si>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</si>
  <si>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</si>
  <si>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</si>
  <si>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</si>
  <si>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</si>
  <si>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</si>
  <si>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</si>
  <si>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</si>
  <si>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</si>
  <si>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</si>
  <si>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</si>
  <si>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</si>
  <si>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</si>
  <si>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</si>
  <si>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</si>
  <si>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</si>
  <si>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</si>
  <si>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</si>
  <si>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</si>
  <si>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With investment</t>
  </si>
  <si>
    <t>Without investment</t>
  </si>
  <si>
    <t>AD-cog-dig</t>
  </si>
  <si>
    <t>AD-cog-comp</t>
  </si>
  <si>
    <t>AD-biomet-dig</t>
  </si>
  <si>
    <t>AD-biomet-comp</t>
  </si>
  <si>
    <t>AD-heat-dig</t>
  </si>
  <si>
    <t>AD-heat-comp</t>
  </si>
  <si>
    <t>Weight of CO2</t>
  </si>
  <si>
    <t>Peat_hobby</t>
  </si>
  <si>
    <t>peat_pro</t>
  </si>
  <si>
    <t>AD-b refood</t>
  </si>
  <si>
    <t>AD-b Villiers</t>
  </si>
  <si>
    <t>AD-f Villers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</si>
</sst>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results!$AR$3:$AR$7</c:f>
              <c:numCache>
                <c:formatCode>General</c:formatCode>
                <c:ptCount val="5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D-4EDE-BE30-0272ABB61A04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results!$AS$3:$AS$7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D-4EDE-BE30-0272ABB61A04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D-4EDE-BE30-0272ABB61A04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results!$AU$3:$AU$7</c:f>
              <c:numCache>
                <c:formatCode>General</c:formatCode>
                <c:ptCount val="5"/>
                <c:pt idx="0">
                  <c:v>93.51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8D-4EDE-BE30-0272ABB61A04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results!$AV$3:$AV$7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8D-4EDE-BE30-0272ABB61A04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results!$AW$3:$AW$7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93.51</c:v>
                </c:pt>
                <c:pt idx="3">
                  <c:v>93.51</c:v>
                </c:pt>
                <c:pt idx="4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8D-4EDE-BE30-0272ABB61A04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results!$AX$3:$AX$7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8D-4EDE-BE30-0272ABB61A04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results!$AY$3:$AY$7</c:f>
              <c:numCache>
                <c:formatCode>General</c:formatCode>
                <c:ptCount val="5"/>
                <c:pt idx="0">
                  <c:v>0</c:v>
                </c:pt>
                <c:pt idx="1">
                  <c:v>93.51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8D-4EDE-BE30-0272ABB61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0007807"/>
        <c:axId val="334452079"/>
      </c:barChart>
      <c:catAx>
        <c:axId val="212000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4452079"/>
        <c:crosses val="autoZero"/>
        <c:auto val="1"/>
        <c:lblAlgn val="ctr"/>
        <c:lblOffset val="100"/>
        <c:noMultiLvlLbl val="0"/>
      </c:catAx>
      <c:valAx>
        <c:axId val="3344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000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Carbon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Feuil1!$B$3:$B$7</c:f>
              <c:numCache>
                <c:formatCode>General</c:formatCode>
                <c:ptCount val="5"/>
                <c:pt idx="0">
                  <c:v>-203340.0842835083</c:v>
                </c:pt>
                <c:pt idx="1">
                  <c:v>-596910.37483729084</c:v>
                </c:pt>
                <c:pt idx="2">
                  <c:v>-651101.69874275709</c:v>
                </c:pt>
                <c:pt idx="3">
                  <c:v>-651101.69874275709</c:v>
                </c:pt>
                <c:pt idx="4">
                  <c:v>-651101.69874275709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FF-4CB9-8A31-E5FC78A6A275}"/>
            </c:ext>
          </c:extLst>
        </c:ser>
        <c:ser>
          <c:idx val="2"/>
          <c:order val="2"/>
          <c:tx>
            <c:strRef>
              <c:f>Feuil1!$D$2</c:f>
              <c:strCache>
                <c:ptCount val="1"/>
                <c:pt idx="0">
                  <c:v>Carbon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Feuil1!$D$3:$D$7</c:f>
              <c:numCache>
                <c:formatCode>General</c:formatCode>
                <c:ptCount val="5"/>
                <c:pt idx="0">
                  <c:v>-203340.0842835083</c:v>
                </c:pt>
                <c:pt idx="1">
                  <c:v>-271684.9677193996</c:v>
                </c:pt>
                <c:pt idx="2">
                  <c:v>-271684.9677193996</c:v>
                </c:pt>
                <c:pt idx="3">
                  <c:v>-544740.82515175932</c:v>
                </c:pt>
                <c:pt idx="4">
                  <c:v>-544740.82515175932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FF-4CB9-8A31-E5FC78A6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25439"/>
        <c:axId val="334426287"/>
      </c:lineChart>
      <c:lineChart>
        <c:grouping val="standard"/>
        <c:varyColors val="0"/>
        <c:ser>
          <c:idx val="1"/>
          <c:order val="1"/>
          <c:tx>
            <c:strRef>
              <c:f>Feuil1!$C$2</c:f>
              <c:strCache>
                <c:ptCount val="1"/>
                <c:pt idx="0">
                  <c:v>HHssC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3">
                    <a:lumMod val="75000"/>
                  </a:schemeClr>
                </a:solidFill>
                <a:prstDash val="sysDash"/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Feuil1!$C$3:$C$7</c:f>
              <c:numCache>
                <c:formatCode>General</c:formatCode>
                <c:ptCount val="5"/>
                <c:pt idx="0">
                  <c:v>0.36546878935102339</c:v>
                </c:pt>
                <c:pt idx="1">
                  <c:v>0.6218076245490981</c:v>
                </c:pt>
                <c:pt idx="2">
                  <c:v>0.88092441684732015</c:v>
                </c:pt>
                <c:pt idx="3">
                  <c:v>0.88092441684732015</c:v>
                </c:pt>
                <c:pt idx="4">
                  <c:v>0.88092441684732015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FF-4CB9-8A31-E5FC78A6A275}"/>
            </c:ext>
          </c:extLst>
        </c:ser>
        <c:ser>
          <c:idx val="3"/>
          <c:order val="3"/>
          <c:tx>
            <c:strRef>
              <c:f>Feuil1!$E$2</c:f>
              <c:strCache>
                <c:ptCount val="1"/>
                <c:pt idx="0">
                  <c:v>HHssC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Feuil1!$E$3:$E$7</c:f>
              <c:numCache>
                <c:formatCode>General</c:formatCode>
                <c:ptCount val="5"/>
                <c:pt idx="0">
                  <c:v>0.36546878935102339</c:v>
                </c:pt>
                <c:pt idx="1">
                  <c:v>0.4149897620013091</c:v>
                </c:pt>
                <c:pt idx="2">
                  <c:v>0.4149897620013091</c:v>
                </c:pt>
                <c:pt idx="3">
                  <c:v>2.2999443118901919</c:v>
                </c:pt>
                <c:pt idx="4">
                  <c:v>2.2999443118901919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FF-4CB9-8A31-E5FC78A6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89615"/>
        <c:axId val="334432111"/>
      </c:lineChart>
      <c:catAx>
        <c:axId val="6322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4426287"/>
        <c:crosses val="autoZero"/>
        <c:auto val="1"/>
        <c:lblAlgn val="ctr"/>
        <c:lblOffset val="100"/>
        <c:noMultiLvlLbl val="0"/>
      </c:catAx>
      <c:valAx>
        <c:axId val="33442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225439"/>
        <c:crosses val="autoZero"/>
        <c:crossBetween val="between"/>
      </c:valAx>
      <c:valAx>
        <c:axId val="3344321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789615"/>
        <c:crosses val="max"/>
        <c:crossBetween val="between"/>
      </c:valAx>
      <c:catAx>
        <c:axId val="136789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4432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533400</xdr:colOff>
      <xdr:row>10</xdr:row>
      <xdr:rowOff>142875</xdr:rowOff>
    </xdr:from>
    <xdr:to>
      <xdr:col>40</xdr:col>
      <xdr:colOff>228600</xdr:colOff>
      <xdr:row>25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28E551A-8F15-4AE9-8DB3-6E9225EBB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533397</xdr:colOff>
      <xdr:row>10</xdr:row>
      <xdr:rowOff>25400</xdr:rowOff>
    </xdr:from>
    <xdr:to>
      <xdr:col>16</xdr:col>
      <xdr:colOff>542924</xdr:colOff>
      <xdr:row>30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4C4613-F0EA-4F5E-9F90-5B6994703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2_HH_V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2_HH_ss_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B3" t="str">
            <v>1.0</v>
          </cell>
          <cell r="C3">
            <v>0.6</v>
          </cell>
          <cell r="D3">
            <v>0.37</v>
          </cell>
          <cell r="E3">
            <v>2.52</v>
          </cell>
          <cell r="I3">
            <v>1.29</v>
          </cell>
          <cell r="X3">
            <v>2.3199999999999998</v>
          </cell>
          <cell r="AD3">
            <v>93.51</v>
          </cell>
          <cell r="AK3">
            <v>-203340.0842835083</v>
          </cell>
          <cell r="AL3">
            <v>-479894.37340540468</v>
          </cell>
          <cell r="AM3">
            <v>-3.5317706843912799</v>
          </cell>
          <cell r="AN3">
            <v>-190007.86677072401</v>
          </cell>
          <cell r="AO3">
            <v>0.36546878935102339</v>
          </cell>
        </row>
        <row r="4">
          <cell r="B4" t="str">
            <v>2.0</v>
          </cell>
          <cell r="C4">
            <v>0.6</v>
          </cell>
          <cell r="D4">
            <v>0.37</v>
          </cell>
          <cell r="E4">
            <v>2.52</v>
          </cell>
          <cell r="I4">
            <v>1.29</v>
          </cell>
          <cell r="X4">
            <v>2.3199999999999998</v>
          </cell>
          <cell r="AJ4">
            <v>93.51</v>
          </cell>
          <cell r="AK4">
            <v>-596910.37483729084</v>
          </cell>
          <cell r="AL4">
            <v>-675655.61481981387</v>
          </cell>
          <cell r="AM4">
            <v>-6.3501085548001077</v>
          </cell>
          <cell r="AN4">
            <v>-157626.13086978649</v>
          </cell>
          <cell r="AO4">
            <v>0.6218076245490981</v>
          </cell>
        </row>
        <row r="5">
          <cell r="B5" t="str">
            <v>3.0</v>
          </cell>
          <cell r="C5">
            <v>0.6</v>
          </cell>
          <cell r="D5">
            <v>0.37</v>
          </cell>
          <cell r="E5">
            <v>2.52</v>
          </cell>
          <cell r="I5">
            <v>1.29</v>
          </cell>
          <cell r="X5">
            <v>2.3199999999999998</v>
          </cell>
          <cell r="AH5">
            <v>93.51</v>
          </cell>
          <cell r="AK5">
            <v>-651101.69874275709</v>
          </cell>
          <cell r="AL5">
            <v>-479036.53667522129</v>
          </cell>
          <cell r="AM5">
            <v>-5.0996868266494699</v>
          </cell>
          <cell r="AN5">
            <v>-34562.503224742322</v>
          </cell>
          <cell r="AO5">
            <v>0.88092441684732015</v>
          </cell>
        </row>
        <row r="6">
          <cell r="B6" t="str">
            <v>4.0</v>
          </cell>
          <cell r="C6">
            <v>0.6</v>
          </cell>
          <cell r="D6">
            <v>0.37</v>
          </cell>
          <cell r="E6">
            <v>2.52</v>
          </cell>
          <cell r="I6">
            <v>1.29</v>
          </cell>
          <cell r="X6">
            <v>2.3199999999999998</v>
          </cell>
          <cell r="AH6">
            <v>93.51</v>
          </cell>
          <cell r="AK6">
            <v>-651101.69874275709</v>
          </cell>
          <cell r="AL6">
            <v>-479036.53667522129</v>
          </cell>
          <cell r="AM6">
            <v>-5.0996868266494699</v>
          </cell>
          <cell r="AN6">
            <v>-34562.503224742322</v>
          </cell>
          <cell r="AO6">
            <v>0.88092441684732015</v>
          </cell>
        </row>
        <row r="7">
          <cell r="B7" t="str">
            <v>5.0</v>
          </cell>
          <cell r="C7">
            <v>0.6</v>
          </cell>
          <cell r="D7">
            <v>0.37</v>
          </cell>
          <cell r="E7">
            <v>2.52</v>
          </cell>
          <cell r="I7">
            <v>1.29</v>
          </cell>
          <cell r="X7">
            <v>2.3199999999999998</v>
          </cell>
          <cell r="AH7">
            <v>93.51</v>
          </cell>
          <cell r="AK7">
            <v>-651101.69874275709</v>
          </cell>
          <cell r="AL7">
            <v>-479036.53667522129</v>
          </cell>
          <cell r="AM7">
            <v>-5.0996868266494699</v>
          </cell>
          <cell r="AN7">
            <v>-34562.503224742322</v>
          </cell>
          <cell r="AO7">
            <v>0.88092441684732015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Feuil1"/>
    </sheetNames>
    <sheetDataSet>
      <sheetData sheetId="0">
        <row r="2">
          <cell r="AD2" t="str">
            <v>Carbon</v>
          </cell>
          <cell r="AH2" t="str">
            <v>HHssC</v>
          </cell>
        </row>
        <row r="3">
          <cell r="AD3">
            <v>-203340.0842835083</v>
          </cell>
          <cell r="AH3">
            <v>0.36546878935102339</v>
          </cell>
        </row>
        <row r="4">
          <cell r="AD4">
            <v>-271684.9677193996</v>
          </cell>
          <cell r="AH4">
            <v>0.4149897620013091</v>
          </cell>
        </row>
        <row r="5">
          <cell r="AD5">
            <v>-271684.9677193996</v>
          </cell>
          <cell r="AH5">
            <v>0.4149897620013091</v>
          </cell>
        </row>
        <row r="6">
          <cell r="AD6">
            <v>-544740.82515175932</v>
          </cell>
          <cell r="AH6">
            <v>2.2999443118901919</v>
          </cell>
        </row>
        <row r="7">
          <cell r="AD7">
            <v>-544740.82515175932</v>
          </cell>
          <cell r="AH7">
            <v>2.2999443118901919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"/>
  <sheetViews>
    <sheetView tabSelected="1" topLeftCell="AB1" zoomScale="110" zoomScaleNormal="110" workbookViewId="0">
      <selection activeCell="AK7" sqref="AK7"/>
    </sheetView>
  </sheetViews>
  <sheetFormatPr baseColWidth="10" defaultColWidth="8.7265625" defaultRowHeight="14.5" x14ac:dyDescent="0.35"/>
  <sheetData>
    <row r="1" spans="1:51" x14ac:dyDescent="0.35">
      <c r="A1" s="2"/>
      <c r="B1" s="9"/>
      <c r="C1" s="10"/>
      <c r="D1" s="9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0"/>
      <c r="Z1" s="9" t="s">
        <v>1</v>
      </c>
      <c r="AA1" s="11"/>
      <c r="AB1" s="10"/>
      <c r="AC1" s="2" t="s">
        <v>2</v>
      </c>
      <c r="AD1" s="9" t="s">
        <v>3</v>
      </c>
      <c r="AE1" s="10"/>
      <c r="AF1" s="9" t="s">
        <v>4</v>
      </c>
      <c r="AG1" s="10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R2" t="s">
        <v>0</v>
      </c>
      <c r="AS2" t="s">
        <v>1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</row>
    <row r="3" spans="1:51" x14ac:dyDescent="0.35">
      <c r="A3" s="1">
        <v>0</v>
      </c>
      <c r="B3" t="str">
        <f>[1]results!B3</f>
        <v>1.0</v>
      </c>
      <c r="C3">
        <f>[1]results!C3</f>
        <v>0.6</v>
      </c>
      <c r="D3" s="3">
        <f>[1]results!D3</f>
        <v>0.37</v>
      </c>
      <c r="E3">
        <f>[1]results!E3</f>
        <v>2.52</v>
      </c>
      <c r="F3">
        <f>[1]results!F3</f>
        <v>0</v>
      </c>
      <c r="G3">
        <f>[1]results!G3</f>
        <v>0</v>
      </c>
      <c r="H3">
        <f>[1]results!H3</f>
        <v>0</v>
      </c>
      <c r="I3">
        <f>[1]results!I3</f>
        <v>1.29</v>
      </c>
      <c r="J3">
        <f>[1]results!J3</f>
        <v>0</v>
      </c>
      <c r="K3">
        <f>[1]results!K3</f>
        <v>0</v>
      </c>
      <c r="L3">
        <f>[1]results!L3</f>
        <v>0</v>
      </c>
      <c r="M3">
        <f>[1]results!M3</f>
        <v>0</v>
      </c>
      <c r="N3">
        <f>[1]results!N3</f>
        <v>0</v>
      </c>
      <c r="O3">
        <f>[1]results!O3</f>
        <v>0</v>
      </c>
      <c r="P3">
        <f>[1]results!P3</f>
        <v>0</v>
      </c>
      <c r="Q3">
        <f>[1]results!Q3</f>
        <v>0</v>
      </c>
      <c r="R3">
        <f>[1]results!R3</f>
        <v>0</v>
      </c>
      <c r="S3">
        <f>[1]results!S3</f>
        <v>0</v>
      </c>
      <c r="T3">
        <f>[1]results!T3</f>
        <v>0</v>
      </c>
      <c r="U3">
        <f>[1]results!U3</f>
        <v>0</v>
      </c>
      <c r="V3">
        <f>[1]results!V3</f>
        <v>0</v>
      </c>
      <c r="W3">
        <f>[1]results!W3</f>
        <v>0</v>
      </c>
      <c r="X3">
        <f>[1]results!X3</f>
        <v>2.3199999999999998</v>
      </c>
      <c r="Y3">
        <f>[1]results!Y3</f>
        <v>0</v>
      </c>
      <c r="Z3">
        <f>[1]results!Z3</f>
        <v>0</v>
      </c>
      <c r="AA3">
        <f>[1]results!AA3</f>
        <v>0</v>
      </c>
      <c r="AB3">
        <f>[1]results!AB3</f>
        <v>0</v>
      </c>
      <c r="AC3">
        <f>[1]results!AC3</f>
        <v>0</v>
      </c>
      <c r="AD3" s="3">
        <f>[1]results!AD3</f>
        <v>93.51</v>
      </c>
      <c r="AE3">
        <f>[1]results!AE3</f>
        <v>0</v>
      </c>
      <c r="AF3">
        <f>[1]results!AF3</f>
        <v>0</v>
      </c>
      <c r="AG3">
        <f>[1]results!AG3</f>
        <v>0</v>
      </c>
      <c r="AH3">
        <f>[1]results!AH3</f>
        <v>0</v>
      </c>
      <c r="AI3">
        <f>[1]results!AI3</f>
        <v>0</v>
      </c>
      <c r="AJ3">
        <f>[1]results!AJ3</f>
        <v>0</v>
      </c>
      <c r="AK3" s="4">
        <f>[1]results!AK3</f>
        <v>-203340.0842835083</v>
      </c>
      <c r="AL3" s="4">
        <f>[1]results!AL3</f>
        <v>-479894.37340540468</v>
      </c>
      <c r="AM3" s="4">
        <f>[1]results!AM3</f>
        <v>-3.5317706843912799</v>
      </c>
      <c r="AN3" s="4">
        <f>[1]results!AN3</f>
        <v>-190007.86677072401</v>
      </c>
      <c r="AO3" s="4">
        <f>[1]results!AO3</f>
        <v>0.36546878935102339</v>
      </c>
      <c r="AQ3">
        <v>0</v>
      </c>
      <c r="AR3">
        <f>SUM(D3:Y3)</f>
        <v>6.5</v>
      </c>
      <c r="AS3">
        <f>SUM(Z3:AB3)</f>
        <v>0</v>
      </c>
      <c r="AT3">
        <f>AC3</f>
        <v>0</v>
      </c>
      <c r="AU3">
        <f>SUM(AD3:AE3)</f>
        <v>93.51</v>
      </c>
      <c r="AV3">
        <f>SUM(AF3:AG3)</f>
        <v>0</v>
      </c>
      <c r="AW3">
        <f>AH3</f>
        <v>0</v>
      </c>
      <c r="AX3">
        <f>AI3</f>
        <v>0</v>
      </c>
      <c r="AY3">
        <f>AJ3</f>
        <v>0</v>
      </c>
    </row>
    <row r="4" spans="1:51" x14ac:dyDescent="0.35">
      <c r="A4" s="1">
        <v>1</v>
      </c>
      <c r="B4" t="str">
        <f>[1]results!B4</f>
        <v>2.0</v>
      </c>
      <c r="C4">
        <f>[1]results!C4</f>
        <v>0.6</v>
      </c>
      <c r="D4" s="3">
        <f>[1]results!D4</f>
        <v>0.37</v>
      </c>
      <c r="E4">
        <f>[1]results!E4</f>
        <v>2.52</v>
      </c>
      <c r="F4">
        <f>[1]results!F4</f>
        <v>0</v>
      </c>
      <c r="G4">
        <f>[1]results!G4</f>
        <v>0</v>
      </c>
      <c r="H4">
        <f>[1]results!H4</f>
        <v>0</v>
      </c>
      <c r="I4">
        <f>[1]results!I4</f>
        <v>1.29</v>
      </c>
      <c r="J4">
        <f>[1]results!J4</f>
        <v>0</v>
      </c>
      <c r="K4">
        <f>[1]results!K4</f>
        <v>0</v>
      </c>
      <c r="L4">
        <f>[1]results!L4</f>
        <v>0</v>
      </c>
      <c r="M4">
        <f>[1]results!M4</f>
        <v>0</v>
      </c>
      <c r="N4">
        <f>[1]results!N4</f>
        <v>0</v>
      </c>
      <c r="O4">
        <f>[1]results!O4</f>
        <v>0</v>
      </c>
      <c r="P4">
        <f>[1]results!P4</f>
        <v>0</v>
      </c>
      <c r="Q4">
        <f>[1]results!Q4</f>
        <v>0</v>
      </c>
      <c r="R4">
        <f>[1]results!R4</f>
        <v>0</v>
      </c>
      <c r="S4">
        <f>[1]results!S4</f>
        <v>0</v>
      </c>
      <c r="T4">
        <f>[1]results!T4</f>
        <v>0</v>
      </c>
      <c r="U4">
        <f>[1]results!U4</f>
        <v>0</v>
      </c>
      <c r="V4">
        <f>[1]results!V4</f>
        <v>0</v>
      </c>
      <c r="W4">
        <f>[1]results!W4</f>
        <v>0</v>
      </c>
      <c r="X4">
        <f>[1]results!X4</f>
        <v>2.3199999999999998</v>
      </c>
      <c r="Y4">
        <f>[1]results!Y4</f>
        <v>0</v>
      </c>
      <c r="Z4">
        <f>[1]results!Z4</f>
        <v>0</v>
      </c>
      <c r="AA4">
        <f>[1]results!AA4</f>
        <v>0</v>
      </c>
      <c r="AB4">
        <f>[1]results!AB4</f>
        <v>0</v>
      </c>
      <c r="AC4">
        <f>[1]results!AC4</f>
        <v>0</v>
      </c>
      <c r="AD4">
        <f>[1]results!AD4</f>
        <v>0</v>
      </c>
      <c r="AE4">
        <f>[1]results!AE4</f>
        <v>0</v>
      </c>
      <c r="AF4">
        <f>[1]results!AF4</f>
        <v>0</v>
      </c>
      <c r="AG4">
        <f>[1]results!AG4</f>
        <v>0</v>
      </c>
      <c r="AH4">
        <f>[1]results!AH4</f>
        <v>0</v>
      </c>
      <c r="AI4">
        <f>[1]results!AI4</f>
        <v>0</v>
      </c>
      <c r="AJ4" s="3">
        <f>[1]results!AJ4</f>
        <v>93.51</v>
      </c>
      <c r="AK4" s="4">
        <f>[1]results!AK4</f>
        <v>-596910.37483729084</v>
      </c>
      <c r="AL4" s="4">
        <f>[1]results!AL4</f>
        <v>-675655.61481981387</v>
      </c>
      <c r="AM4" s="4">
        <f>[1]results!AM4</f>
        <v>-6.3501085548001077</v>
      </c>
      <c r="AN4" s="4">
        <f>[1]results!AN4</f>
        <v>-157626.13086978649</v>
      </c>
      <c r="AO4" s="4">
        <f>[1]results!AO4</f>
        <v>0.6218076245490981</v>
      </c>
      <c r="AQ4">
        <v>0.25</v>
      </c>
      <c r="AR4">
        <f t="shared" ref="AR4:AR7" si="0">SUM(D4:Y4)</f>
        <v>6.5</v>
      </c>
      <c r="AS4">
        <f t="shared" ref="AS4:AS7" si="1">SUM(Z4:AB4)</f>
        <v>0</v>
      </c>
      <c r="AT4">
        <f t="shared" ref="AT4:AT7" si="2">AC4</f>
        <v>0</v>
      </c>
      <c r="AU4">
        <f t="shared" ref="AU4:AU7" si="3">SUM(AD4:AE4)</f>
        <v>0</v>
      </c>
      <c r="AV4">
        <f t="shared" ref="AV4:AV7" si="4">SUM(AF4:AG4)</f>
        <v>0</v>
      </c>
      <c r="AW4">
        <f t="shared" ref="AW4:AY7" si="5">AH4</f>
        <v>0</v>
      </c>
      <c r="AX4">
        <f t="shared" si="5"/>
        <v>0</v>
      </c>
      <c r="AY4">
        <f t="shared" si="5"/>
        <v>93.51</v>
      </c>
    </row>
    <row r="5" spans="1:51" x14ac:dyDescent="0.35">
      <c r="A5" s="1">
        <v>2</v>
      </c>
      <c r="B5" t="str">
        <f>[1]results!B5</f>
        <v>3.0</v>
      </c>
      <c r="C5">
        <f>[1]results!C5</f>
        <v>0.6</v>
      </c>
      <c r="D5" s="3">
        <f>[1]results!D5</f>
        <v>0.37</v>
      </c>
      <c r="E5">
        <f>[1]results!E5</f>
        <v>2.52</v>
      </c>
      <c r="F5">
        <f>[1]results!F5</f>
        <v>0</v>
      </c>
      <c r="G5">
        <f>[1]results!G5</f>
        <v>0</v>
      </c>
      <c r="H5">
        <f>[1]results!H5</f>
        <v>0</v>
      </c>
      <c r="I5">
        <f>[1]results!I5</f>
        <v>1.29</v>
      </c>
      <c r="J5">
        <f>[1]results!J5</f>
        <v>0</v>
      </c>
      <c r="K5">
        <f>[1]results!K5</f>
        <v>0</v>
      </c>
      <c r="L5">
        <f>[1]results!L5</f>
        <v>0</v>
      </c>
      <c r="M5">
        <f>[1]results!M5</f>
        <v>0</v>
      </c>
      <c r="N5">
        <f>[1]results!N5</f>
        <v>0</v>
      </c>
      <c r="O5">
        <f>[1]results!O5</f>
        <v>0</v>
      </c>
      <c r="P5">
        <f>[1]results!P5</f>
        <v>0</v>
      </c>
      <c r="Q5">
        <f>[1]results!Q5</f>
        <v>0</v>
      </c>
      <c r="R5">
        <f>[1]results!R5</f>
        <v>0</v>
      </c>
      <c r="S5">
        <f>[1]results!S5</f>
        <v>0</v>
      </c>
      <c r="T5">
        <f>[1]results!T5</f>
        <v>0</v>
      </c>
      <c r="U5">
        <f>[1]results!U5</f>
        <v>0</v>
      </c>
      <c r="V5">
        <f>[1]results!V5</f>
        <v>0</v>
      </c>
      <c r="W5">
        <f>[1]results!W5</f>
        <v>0</v>
      </c>
      <c r="X5">
        <f>[1]results!X5</f>
        <v>2.3199999999999998</v>
      </c>
      <c r="Y5">
        <f>[1]results!Y5</f>
        <v>0</v>
      </c>
      <c r="Z5">
        <f>[1]results!Z5</f>
        <v>0</v>
      </c>
      <c r="AA5">
        <f>[1]results!AA5</f>
        <v>0</v>
      </c>
      <c r="AB5">
        <f>[1]results!AB5</f>
        <v>0</v>
      </c>
      <c r="AC5">
        <f>[1]results!AC5</f>
        <v>0</v>
      </c>
      <c r="AD5">
        <f>[1]results!AD5</f>
        <v>0</v>
      </c>
      <c r="AE5">
        <f>[1]results!AE5</f>
        <v>0</v>
      </c>
      <c r="AF5">
        <f>[1]results!AF5</f>
        <v>0</v>
      </c>
      <c r="AG5">
        <f>[1]results!AG5</f>
        <v>0</v>
      </c>
      <c r="AH5">
        <f>[1]results!AH5</f>
        <v>93.51</v>
      </c>
      <c r="AI5">
        <f>[1]results!AI5</f>
        <v>0</v>
      </c>
      <c r="AJ5" s="3">
        <f>[1]results!AJ5</f>
        <v>0</v>
      </c>
      <c r="AK5" s="4">
        <f>[1]results!AK5</f>
        <v>-651101.69874275709</v>
      </c>
      <c r="AL5" s="4">
        <f>[1]results!AL5</f>
        <v>-479036.53667522129</v>
      </c>
      <c r="AM5" s="4">
        <f>[1]results!AM5</f>
        <v>-5.0996868266494699</v>
      </c>
      <c r="AN5" s="4">
        <f>[1]results!AN5</f>
        <v>-34562.503224742322</v>
      </c>
      <c r="AO5" s="4">
        <f>[1]results!AO5</f>
        <v>0.88092441684732015</v>
      </c>
      <c r="AQ5">
        <v>0.5</v>
      </c>
      <c r="AR5">
        <f t="shared" si="0"/>
        <v>6.5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93.51</v>
      </c>
      <c r="AX5">
        <f t="shared" si="5"/>
        <v>0</v>
      </c>
      <c r="AY5">
        <f t="shared" si="5"/>
        <v>0</v>
      </c>
    </row>
    <row r="6" spans="1:51" x14ac:dyDescent="0.35">
      <c r="A6" s="1">
        <v>3</v>
      </c>
      <c r="B6" t="str">
        <f>[1]results!B6</f>
        <v>4.0</v>
      </c>
      <c r="C6">
        <f>[1]results!C6</f>
        <v>0.6</v>
      </c>
      <c r="D6" s="3">
        <f>[1]results!D6</f>
        <v>0.37</v>
      </c>
      <c r="E6">
        <f>[1]results!E6</f>
        <v>2.52</v>
      </c>
      <c r="F6">
        <f>[1]results!F6</f>
        <v>0</v>
      </c>
      <c r="G6">
        <f>[1]results!G6</f>
        <v>0</v>
      </c>
      <c r="H6">
        <f>[1]results!H6</f>
        <v>0</v>
      </c>
      <c r="I6">
        <f>[1]results!I6</f>
        <v>1.29</v>
      </c>
      <c r="J6">
        <f>[1]results!J6</f>
        <v>0</v>
      </c>
      <c r="K6">
        <f>[1]results!K6</f>
        <v>0</v>
      </c>
      <c r="L6">
        <f>[1]results!L6</f>
        <v>0</v>
      </c>
      <c r="M6">
        <f>[1]results!M6</f>
        <v>0</v>
      </c>
      <c r="N6">
        <f>[1]results!N6</f>
        <v>0</v>
      </c>
      <c r="O6">
        <f>[1]results!O6</f>
        <v>0</v>
      </c>
      <c r="P6">
        <f>[1]results!P6</f>
        <v>0</v>
      </c>
      <c r="Q6">
        <f>[1]results!Q6</f>
        <v>0</v>
      </c>
      <c r="R6">
        <f>[1]results!R6</f>
        <v>0</v>
      </c>
      <c r="S6">
        <f>[1]results!S6</f>
        <v>0</v>
      </c>
      <c r="T6">
        <f>[1]results!T6</f>
        <v>0</v>
      </c>
      <c r="U6">
        <f>[1]results!U6</f>
        <v>0</v>
      </c>
      <c r="V6">
        <f>[1]results!V6</f>
        <v>0</v>
      </c>
      <c r="W6">
        <f>[1]results!W6</f>
        <v>0</v>
      </c>
      <c r="X6">
        <f>[1]results!X6</f>
        <v>2.3199999999999998</v>
      </c>
      <c r="Y6">
        <f>[1]results!Y6</f>
        <v>0</v>
      </c>
      <c r="Z6">
        <f>[1]results!Z6</f>
        <v>0</v>
      </c>
      <c r="AA6">
        <f>[1]results!AA6</f>
        <v>0</v>
      </c>
      <c r="AB6">
        <f>[1]results!AB6</f>
        <v>0</v>
      </c>
      <c r="AC6">
        <f>[1]results!AC6</f>
        <v>0</v>
      </c>
      <c r="AD6">
        <f>[1]results!AD6</f>
        <v>0</v>
      </c>
      <c r="AE6">
        <f>[1]results!AE6</f>
        <v>0</v>
      </c>
      <c r="AF6">
        <f>[1]results!AF6</f>
        <v>0</v>
      </c>
      <c r="AG6">
        <f>[1]results!AG6</f>
        <v>0</v>
      </c>
      <c r="AH6">
        <f>[1]results!AH6</f>
        <v>93.51</v>
      </c>
      <c r="AI6">
        <f>[1]results!AI6</f>
        <v>0</v>
      </c>
      <c r="AJ6" s="3">
        <f>[1]results!AJ6</f>
        <v>0</v>
      </c>
      <c r="AK6" s="4">
        <f>[1]results!AK6</f>
        <v>-651101.69874275709</v>
      </c>
      <c r="AL6" s="4">
        <f>[1]results!AL6</f>
        <v>-479036.53667522129</v>
      </c>
      <c r="AM6" s="4">
        <f>[1]results!AM6</f>
        <v>-5.0996868266494699</v>
      </c>
      <c r="AN6" s="4">
        <f>[1]results!AN6</f>
        <v>-34562.503224742322</v>
      </c>
      <c r="AO6" s="4">
        <f>[1]results!AO6</f>
        <v>0.88092441684732015</v>
      </c>
      <c r="AQ6">
        <v>0.75</v>
      </c>
      <c r="AR6">
        <f t="shared" si="0"/>
        <v>6.5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93.51</v>
      </c>
      <c r="AX6">
        <f t="shared" si="5"/>
        <v>0</v>
      </c>
      <c r="AY6">
        <f t="shared" si="5"/>
        <v>0</v>
      </c>
    </row>
    <row r="7" spans="1:51" x14ac:dyDescent="0.35">
      <c r="A7" s="1">
        <v>4</v>
      </c>
      <c r="B7" t="str">
        <f>[1]results!B7</f>
        <v>5.0</v>
      </c>
      <c r="C7">
        <f>[1]results!C7</f>
        <v>0.6</v>
      </c>
      <c r="D7" s="3">
        <f>[1]results!D7</f>
        <v>0.37</v>
      </c>
      <c r="E7">
        <f>[1]results!E7</f>
        <v>2.52</v>
      </c>
      <c r="F7">
        <f>[1]results!F7</f>
        <v>0</v>
      </c>
      <c r="G7">
        <f>[1]results!G7</f>
        <v>0</v>
      </c>
      <c r="H7">
        <f>[1]results!H7</f>
        <v>0</v>
      </c>
      <c r="I7">
        <f>[1]results!I7</f>
        <v>1.29</v>
      </c>
      <c r="J7">
        <f>[1]results!J7</f>
        <v>0</v>
      </c>
      <c r="K7">
        <f>[1]results!K7</f>
        <v>0</v>
      </c>
      <c r="L7">
        <f>[1]results!L7</f>
        <v>0</v>
      </c>
      <c r="M7">
        <f>[1]results!M7</f>
        <v>0</v>
      </c>
      <c r="N7">
        <f>[1]results!N7</f>
        <v>0</v>
      </c>
      <c r="O7">
        <f>[1]results!O7</f>
        <v>0</v>
      </c>
      <c r="P7">
        <f>[1]results!P7</f>
        <v>0</v>
      </c>
      <c r="Q7">
        <f>[1]results!Q7</f>
        <v>0</v>
      </c>
      <c r="R7">
        <f>[1]results!R7</f>
        <v>0</v>
      </c>
      <c r="S7">
        <f>[1]results!S7</f>
        <v>0</v>
      </c>
      <c r="T7">
        <f>[1]results!T7</f>
        <v>0</v>
      </c>
      <c r="U7">
        <f>[1]results!U7</f>
        <v>0</v>
      </c>
      <c r="V7">
        <f>[1]results!V7</f>
        <v>0</v>
      </c>
      <c r="W7">
        <f>[1]results!W7</f>
        <v>0</v>
      </c>
      <c r="X7">
        <f>[1]results!X7</f>
        <v>2.3199999999999998</v>
      </c>
      <c r="Y7">
        <f>[1]results!Y7</f>
        <v>0</v>
      </c>
      <c r="Z7">
        <f>[1]results!Z7</f>
        <v>0</v>
      </c>
      <c r="AA7">
        <f>[1]results!AA7</f>
        <v>0</v>
      </c>
      <c r="AB7">
        <f>[1]results!AB7</f>
        <v>0</v>
      </c>
      <c r="AC7">
        <f>[1]results!AC7</f>
        <v>0</v>
      </c>
      <c r="AD7">
        <f>[1]results!AD7</f>
        <v>0</v>
      </c>
      <c r="AE7">
        <f>[1]results!AE7</f>
        <v>0</v>
      </c>
      <c r="AF7">
        <f>[1]results!AF7</f>
        <v>0</v>
      </c>
      <c r="AG7">
        <f>[1]results!AG7</f>
        <v>0</v>
      </c>
      <c r="AH7">
        <f>[1]results!AH7</f>
        <v>93.51</v>
      </c>
      <c r="AI7">
        <f>[1]results!AI7</f>
        <v>0</v>
      </c>
      <c r="AJ7" s="3">
        <f>[1]results!AJ7</f>
        <v>0</v>
      </c>
      <c r="AK7" s="4">
        <f>[1]results!AK7</f>
        <v>-651101.69874275709</v>
      </c>
      <c r="AL7" s="4">
        <f>[1]results!AL7</f>
        <v>-479036.53667522129</v>
      </c>
      <c r="AM7" s="4">
        <f>[1]results!AM7</f>
        <v>-5.0996868266494699</v>
      </c>
      <c r="AN7" s="4">
        <f>[1]results!AN7</f>
        <v>-34562.503224742322</v>
      </c>
      <c r="AO7" s="4">
        <f>[1]results!AO7</f>
        <v>0.88092441684732015</v>
      </c>
      <c r="AQ7">
        <v>1</v>
      </c>
      <c r="AR7">
        <f t="shared" si="0"/>
        <v>6.5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93.51</v>
      </c>
      <c r="AX7">
        <f t="shared" si="5"/>
        <v>0</v>
      </c>
      <c r="AY7">
        <f t="shared" si="5"/>
        <v>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FDF3-8483-43B1-81DA-2E53072B67F1}">
  <dimension ref="A1:F6"/>
  <sheetViews>
    <sheetView workbookViewId="0">
      <selection sqref="A1:F6"/>
    </sheetView>
  </sheetViews>
  <sheetFormatPr baseColWidth="10" defaultRowHeight="14.5" x14ac:dyDescent="0.35"/>
  <sheetData>
    <row r="1" spans="1:6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35">
      <c r="A2">
        <v>0</v>
      </c>
      <c r="B2">
        <f>91256.49+95355.32</f>
        <v>186611.81</v>
      </c>
      <c r="C2" s="8">
        <v>30974.22</v>
      </c>
      <c r="D2" s="8">
        <v>0</v>
      </c>
      <c r="E2" s="8">
        <v>3000</v>
      </c>
    </row>
    <row r="3" spans="1:6" x14ac:dyDescent="0.35">
      <c r="A3">
        <v>0.25</v>
      </c>
      <c r="B3">
        <f t="shared" ref="B3:B6" si="0">91256.49+95355.32</f>
        <v>186611.81</v>
      </c>
      <c r="C3" s="8">
        <v>30974.22</v>
      </c>
      <c r="F3" s="8">
        <v>3000</v>
      </c>
    </row>
    <row r="4" spans="1:6" x14ac:dyDescent="0.35">
      <c r="A4">
        <v>0.5</v>
      </c>
      <c r="B4">
        <f t="shared" si="0"/>
        <v>186611.81</v>
      </c>
      <c r="C4" s="8">
        <v>30974.22</v>
      </c>
      <c r="F4" s="8">
        <v>3000</v>
      </c>
    </row>
    <row r="5" spans="1:6" x14ac:dyDescent="0.35">
      <c r="A5">
        <v>0.75</v>
      </c>
      <c r="B5">
        <f t="shared" si="0"/>
        <v>186611.81</v>
      </c>
      <c r="C5" s="8">
        <v>30974.22</v>
      </c>
      <c r="F5" s="8">
        <v>3000</v>
      </c>
    </row>
    <row r="6" spans="1:6" x14ac:dyDescent="0.35">
      <c r="A6">
        <v>1</v>
      </c>
      <c r="B6">
        <f t="shared" si="0"/>
        <v>186611.81</v>
      </c>
      <c r="C6" s="8">
        <v>30974.22</v>
      </c>
      <c r="F6" s="8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45EA-745F-4E4F-AF5E-66F587D10997}">
  <dimension ref="A1:E7"/>
  <sheetViews>
    <sheetView workbookViewId="0">
      <selection activeCell="D13" sqref="D13"/>
    </sheetView>
  </sheetViews>
  <sheetFormatPr baseColWidth="10" defaultRowHeight="14.5" x14ac:dyDescent="0.35"/>
  <sheetData>
    <row r="1" spans="1:5" x14ac:dyDescent="0.35">
      <c r="B1" s="12" t="s">
        <v>42</v>
      </c>
      <c r="C1" s="12"/>
      <c r="D1" s="12" t="s">
        <v>43</v>
      </c>
      <c r="E1" s="12"/>
    </row>
    <row r="2" spans="1:5" x14ac:dyDescent="0.35">
      <c r="B2" t="str">
        <f>results!AK2</f>
        <v>Carbon</v>
      </c>
      <c r="C2" t="str">
        <f>results!AO2</f>
        <v>HHssC</v>
      </c>
      <c r="D2" t="str">
        <f>[2]results!AD2</f>
        <v>Carbon</v>
      </c>
      <c r="E2" t="str">
        <f>[2]results!AH2</f>
        <v>HHssC</v>
      </c>
    </row>
    <row r="3" spans="1:5" x14ac:dyDescent="0.35">
      <c r="A3">
        <v>0</v>
      </c>
      <c r="B3">
        <f>results!AK3</f>
        <v>-203340.0842835083</v>
      </c>
      <c r="C3">
        <f>results!AO3</f>
        <v>0.36546878935102339</v>
      </c>
      <c r="D3">
        <f>[2]results!AD3</f>
        <v>-203340.0842835083</v>
      </c>
      <c r="E3">
        <f>[2]results!AH3</f>
        <v>0.36546878935102339</v>
      </c>
    </row>
    <row r="4" spans="1:5" x14ac:dyDescent="0.35">
      <c r="A4">
        <v>0.25</v>
      </c>
      <c r="B4">
        <f>results!AK4</f>
        <v>-596910.37483729084</v>
      </c>
      <c r="C4">
        <f>results!AO4</f>
        <v>0.6218076245490981</v>
      </c>
      <c r="D4">
        <f>[2]results!AD4</f>
        <v>-271684.9677193996</v>
      </c>
      <c r="E4">
        <f>[2]results!AH4</f>
        <v>0.4149897620013091</v>
      </c>
    </row>
    <row r="5" spans="1:5" x14ac:dyDescent="0.35">
      <c r="A5">
        <v>0.5</v>
      </c>
      <c r="B5">
        <f>results!AK5</f>
        <v>-651101.69874275709</v>
      </c>
      <c r="C5">
        <f>results!AO5</f>
        <v>0.88092441684732015</v>
      </c>
      <c r="D5">
        <f>[2]results!AD5</f>
        <v>-271684.9677193996</v>
      </c>
      <c r="E5">
        <f>[2]results!AH5</f>
        <v>0.4149897620013091</v>
      </c>
    </row>
    <row r="6" spans="1:5" x14ac:dyDescent="0.35">
      <c r="A6">
        <v>0.75</v>
      </c>
      <c r="B6">
        <f>results!AK6</f>
        <v>-651101.69874275709</v>
      </c>
      <c r="C6">
        <f>results!AO6</f>
        <v>0.88092441684732015</v>
      </c>
      <c r="D6">
        <f>[2]results!AD6</f>
        <v>-544740.82515175932</v>
      </c>
      <c r="E6">
        <f>[2]results!AH6</f>
        <v>2.2999443118901919</v>
      </c>
    </row>
    <row r="7" spans="1:5" x14ac:dyDescent="0.35">
      <c r="A7">
        <v>1</v>
      </c>
      <c r="B7">
        <f>results!AK7</f>
        <v>-651101.69874275709</v>
      </c>
      <c r="C7">
        <f>results!AO7</f>
        <v>0.88092441684732015</v>
      </c>
      <c r="D7">
        <f>[2]results!AD7</f>
        <v>-544740.82515175932</v>
      </c>
      <c r="E7">
        <f>[2]results!AH7</f>
        <v>2.2999443118901919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results</vt:lpstr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2026-04-22T09:16:12Z</dcterms:modified>
</cp:coreProperties>
</file>