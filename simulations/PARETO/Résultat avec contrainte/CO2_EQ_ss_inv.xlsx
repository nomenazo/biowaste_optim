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Users\hravoaha\Desktop\Thèse\Thèse 2023\Objectif 2\biowaste_optim\simulations\PARETO\Résultat avec contrainte\"/>
    </mc:Choice>
  </mc:AlternateContent>
  <xr:revisionPtr revIDLastSave="0" documentId="13_ncr:1_{906AD286-D180-4121-B582-A112F222F839}" xr6:coauthVersionLast="36" xr6:coauthVersionMax="36" xr10:uidLastSave="{00000000-0000-0000-0000-000000000000}"/>
  <bookViews>
    <workbookView xWindow="0" yWindow="0" windowWidth="19200" windowHeight="7750" activeTab="1" xr2:uid="{00000000-000D-0000-FFFF-FFFF00000000}"/>
  </bookViews>
  <sheets>
    <sheet name="results" sheetId="1" r:id="rId1"/>
    <sheet name="Feuil1" sheetId="2" r:id="rId2"/>
  </sheets>
  <calcPr calcId="191029"/>
</workbook>
</file>

<file path=xl/calcChain.xml><?xml version="1.0" encoding="utf-8"?>
<calcChain xmlns="http://schemas.openxmlformats.org/spreadsheetml/2006/main">
  <c r="AN7" i="1" l="1"/>
  <c r="AM7" i="1"/>
  <c r="AL7" i="1"/>
  <c r="AK7" i="1"/>
  <c r="AN6" i="1"/>
  <c r="AM6" i="1"/>
  <c r="AL6" i="1"/>
  <c r="AK6" i="1"/>
  <c r="AN5" i="1"/>
  <c r="AM5" i="1"/>
  <c r="AL5" i="1"/>
  <c r="AK5" i="1"/>
  <c r="AN4" i="1"/>
  <c r="AM4" i="1"/>
  <c r="AL4" i="1"/>
  <c r="AK4" i="1"/>
  <c r="AN3" i="1"/>
  <c r="AM3" i="1"/>
  <c r="AL3" i="1"/>
  <c r="AK3" i="1"/>
</calcChain>
</file>

<file path=xl/sharedStrings.xml><?xml version="1.0" encoding="utf-8"?>
<sst xmlns="http://schemas.openxmlformats.org/spreadsheetml/2006/main" count="53" uniqueCount="51">
  <si>
    <t>HC</t>
  </si>
  <si>
    <t>IC</t>
  </si>
  <si>
    <t>AD-b</t>
  </si>
  <si>
    <t>AD-c</t>
  </si>
  <si>
    <t>name</t>
  </si>
  <si>
    <t>sort</t>
  </si>
  <si>
    <t>Compiègne</t>
  </si>
  <si>
    <t>Venette</t>
  </si>
  <si>
    <t>Jaux</t>
  </si>
  <si>
    <t>Armancourt</t>
  </si>
  <si>
    <t>Le Meux</t>
  </si>
  <si>
    <t>La Croix-St-Ouen</t>
  </si>
  <si>
    <t>St-Sauveur</t>
  </si>
  <si>
    <t>Bethisy-St-Pierre</t>
  </si>
  <si>
    <t>Bethisy-St-Martin</t>
  </si>
  <si>
    <t>Bienville</t>
  </si>
  <si>
    <t>Choisy-au-Bac</t>
  </si>
  <si>
    <t>Clairoix</t>
  </si>
  <si>
    <t>Janville</t>
  </si>
  <si>
    <t>Jonquières</t>
  </si>
  <si>
    <t>Lachelle</t>
  </si>
  <si>
    <t>Margny-lès-Compiègne</t>
  </si>
  <si>
    <t>Nery</t>
  </si>
  <si>
    <t>Saint-Jean-aux-Bois</t>
  </si>
  <si>
    <t>Saintines</t>
  </si>
  <si>
    <t>Saint-Vaast de Longmont</t>
  </si>
  <si>
    <t>Verberie</t>
  </si>
  <si>
    <t>Vieux-Moulin</t>
  </si>
  <si>
    <t>Suez</t>
  </si>
  <si>
    <t>Gurdebeke</t>
  </si>
  <si>
    <t>Refood</t>
  </si>
  <si>
    <t>Biometa</t>
  </si>
  <si>
    <t>Carbon</t>
  </si>
  <si>
    <t>EQ</t>
  </si>
  <si>
    <t>HH</t>
  </si>
  <si>
    <t>EQssC</t>
  </si>
  <si>
    <t>HHssC</t>
  </si>
  <si>
    <t>1.0</t>
  </si>
  <si>
    <t>2.0</t>
  </si>
  <si>
    <t>3.0</t>
  </si>
  <si>
    <t>4.0</t>
  </si>
  <si>
    <t>5.0</t>
  </si>
  <si>
    <t>AD-cog-comp</t>
  </si>
  <si>
    <t>AD-biomet-dig</t>
  </si>
  <si>
    <t>Weight of CO2</t>
  </si>
  <si>
    <t>Peat_hobby</t>
  </si>
  <si>
    <t>peat_pro</t>
  </si>
  <si>
    <t>AD-b Refood</t>
  </si>
  <si>
    <t>IC suez</t>
  </si>
  <si>
    <t>IC gurdebeke</t>
  </si>
  <si>
    <t>AD-c biometa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</si>
</sst>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7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  <xf numFmtId="2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" xfId="0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results!$AK$2</c:f>
              <c:strCache>
                <c:ptCount val="1"/>
                <c:pt idx="0">
                  <c:v>HC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results!$AJ$3:$AJ$7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results!$AK$3:$AK$7</c:f>
              <c:numCache>
                <c:formatCode>General</c:formatCode>
                <c:ptCount val="5"/>
                <c:pt idx="0">
                  <c:v>6.5</c:v>
                </c:pt>
                <c:pt idx="1">
                  <c:v>6.5</c:v>
                </c:pt>
                <c:pt idx="2">
                  <c:v>13.280000000000001</c:v>
                </c:pt>
                <c:pt idx="3">
                  <c:v>13.280000000000001</c:v>
                </c:pt>
                <c:pt idx="4">
                  <c:v>13.280000000000001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89-4077-BE1A-D5042E08212C}"/>
            </c:ext>
          </c:extLst>
        </c:ser>
        <c:ser>
          <c:idx val="1"/>
          <c:order val="1"/>
          <c:tx>
            <c:strRef>
              <c:f>results!$AL$2</c:f>
              <c:strCache>
                <c:ptCount val="1"/>
                <c:pt idx="0">
                  <c:v>IC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results!$AJ$3:$AJ$7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results!$AL$3:$AL$7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6.6999999999999993</c:v>
                </c:pt>
                <c:pt idx="4">
                  <c:v>16.11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89-4077-BE1A-D5042E08212C}"/>
            </c:ext>
          </c:extLst>
        </c:ser>
        <c:ser>
          <c:idx val="2"/>
          <c:order val="2"/>
          <c:tx>
            <c:strRef>
              <c:f>results!$AM$2</c:f>
              <c:strCache>
                <c:ptCount val="1"/>
                <c:pt idx="0">
                  <c:v>AD-cog-comp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results!$AJ$3:$AJ$7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results!$AM$3:$AM$7</c:f>
              <c:numCache>
                <c:formatCode>General</c:formatCode>
                <c:ptCount val="5"/>
                <c:pt idx="0">
                  <c:v>93.51</c:v>
                </c:pt>
                <c:pt idx="1">
                  <c:v>93.51</c:v>
                </c:pt>
                <c:pt idx="2">
                  <c:v>86.73</c:v>
                </c:pt>
                <c:pt idx="3">
                  <c:v>80.03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89-4077-BE1A-D5042E08212C}"/>
            </c:ext>
          </c:extLst>
        </c:ser>
        <c:ser>
          <c:idx val="3"/>
          <c:order val="3"/>
          <c:tx>
            <c:strRef>
              <c:f>results!$AN$2</c:f>
              <c:strCache>
                <c:ptCount val="1"/>
                <c:pt idx="0">
                  <c:v>AD-biomet-dig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numRef>
              <c:f>results!$AJ$3:$AJ$7</c:f>
              <c:numCache>
                <c:formatCode>General</c:formatCode>
                <c:ptCount val="5"/>
                <c:pt idx="0">
                  <c:v>0</c:v>
                </c:pt>
                <c:pt idx="1">
                  <c:v>0.25</c:v>
                </c:pt>
                <c:pt idx="2">
                  <c:v>0.5</c:v>
                </c:pt>
                <c:pt idx="3">
                  <c:v>0.75</c:v>
                </c:pt>
                <c:pt idx="4">
                  <c:v>1</c:v>
                </c:pt>
              </c:numCache>
            </c:numRef>
          </c:cat>
          <c:val>
            <c:numRef>
              <c:f>results!$AN$3:$AN$7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70.62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889-4077-BE1A-D5042E082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69654511"/>
        <c:axId val="345221007"/>
      </c:barChart>
      <c:catAx>
        <c:axId val="2696545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345221007"/>
        <c:crosses val="autoZero"/>
        <c:auto val="1"/>
        <c:lblAlgn val="ctr"/>
        <c:lblOffset val="100"/>
        <c:noMultiLvlLbl val="0"/>
      </c:catAx>
      <c:valAx>
        <c:axId val="345221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69654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533399</xdr:colOff>
      <xdr:row>10</xdr:row>
      <xdr:rowOff>139700</xdr:rowOff>
    </xdr:from>
    <xdr:to>
      <xdr:col>34</xdr:col>
      <xdr:colOff>238124</xdr:colOff>
      <xdr:row>28</xdr:row>
      <xdr:rowOff>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CA2790C2-F31D-4879-AEE8-BB7A2717F2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7"/>
  <sheetViews>
    <sheetView topLeftCell="O10" workbookViewId="0">
      <selection activeCell="AJ8" sqref="AJ8"/>
    </sheetView>
  </sheetViews>
  <sheetFormatPr baseColWidth="10" defaultColWidth="8.7265625" defaultRowHeight="14.5" x14ac:dyDescent="0.35"/>
  <sheetData>
    <row r="1" spans="1:40" x14ac:dyDescent="0.35">
      <c r="A1" s="2"/>
      <c r="B1" s="8"/>
      <c r="C1" s="9"/>
      <c r="D1" s="8" t="s">
        <v>0</v>
      </c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9"/>
      <c r="Z1" s="8" t="s">
        <v>1</v>
      </c>
      <c r="AA1" s="9"/>
      <c r="AB1" s="2" t="s">
        <v>2</v>
      </c>
      <c r="AC1" s="5" t="s">
        <v>3</v>
      </c>
      <c r="AD1" s="6"/>
      <c r="AE1" s="6"/>
      <c r="AF1" s="6"/>
      <c r="AG1" s="6"/>
      <c r="AH1" s="7"/>
    </row>
    <row r="2" spans="1:40" x14ac:dyDescent="0.35">
      <c r="A2" s="2"/>
      <c r="B2" s="2" t="s">
        <v>4</v>
      </c>
      <c r="C2" s="2" t="s">
        <v>5</v>
      </c>
      <c r="D2" s="2" t="s">
        <v>6</v>
      </c>
      <c r="E2" s="2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2" t="s">
        <v>21</v>
      </c>
      <c r="T2" s="2" t="s">
        <v>22</v>
      </c>
      <c r="U2" s="2" t="s">
        <v>23</v>
      </c>
      <c r="V2" s="2" t="s">
        <v>24</v>
      </c>
      <c r="W2" s="2" t="s">
        <v>25</v>
      </c>
      <c r="X2" s="2" t="s">
        <v>26</v>
      </c>
      <c r="Y2" s="2" t="s">
        <v>27</v>
      </c>
      <c r="Z2" s="2" t="s">
        <v>28</v>
      </c>
      <c r="AA2" s="2" t="s">
        <v>29</v>
      </c>
      <c r="AB2" s="2" t="s">
        <v>30</v>
      </c>
      <c r="AC2" s="2" t="s">
        <v>31</v>
      </c>
      <c r="AD2" s="2" t="s">
        <v>32</v>
      </c>
      <c r="AE2" s="2" t="s">
        <v>33</v>
      </c>
      <c r="AF2" s="2" t="s">
        <v>34</v>
      </c>
      <c r="AG2" s="2" t="s">
        <v>35</v>
      </c>
      <c r="AH2" s="2" t="s">
        <v>36</v>
      </c>
      <c r="AK2" t="s">
        <v>0</v>
      </c>
      <c r="AL2" t="s">
        <v>1</v>
      </c>
      <c r="AM2" t="s">
        <v>42</v>
      </c>
      <c r="AN2" t="s">
        <v>43</v>
      </c>
    </row>
    <row r="3" spans="1:40" x14ac:dyDescent="0.35">
      <c r="A3" s="1">
        <v>0</v>
      </c>
      <c r="B3" t="s">
        <v>37</v>
      </c>
      <c r="C3">
        <v>0.6</v>
      </c>
      <c r="D3" s="3">
        <v>0.37</v>
      </c>
      <c r="E3">
        <v>2.52</v>
      </c>
      <c r="I3">
        <v>1.29</v>
      </c>
      <c r="X3">
        <v>2.3199999999999998</v>
      </c>
      <c r="AB3" s="3">
        <v>93.51</v>
      </c>
      <c r="AD3" s="4">
        <v>-203340.08204525471</v>
      </c>
      <c r="AE3" s="4">
        <v>-479894.37182409439</v>
      </c>
      <c r="AF3" s="4">
        <v>-3.5317706683990711</v>
      </c>
      <c r="AG3" s="4">
        <v>-190007.86637597691</v>
      </c>
      <c r="AH3" s="4">
        <v>0.36546878948365119</v>
      </c>
      <c r="AJ3">
        <v>0</v>
      </c>
      <c r="AK3">
        <f>SUM(D3:Y3)</f>
        <v>6.5</v>
      </c>
      <c r="AL3">
        <f>SUM(Z3:AA3)</f>
        <v>0</v>
      </c>
      <c r="AM3">
        <f>AB3</f>
        <v>93.51</v>
      </c>
      <c r="AN3">
        <f>AC3</f>
        <v>0</v>
      </c>
    </row>
    <row r="4" spans="1:40" x14ac:dyDescent="0.35">
      <c r="A4" s="1">
        <v>1</v>
      </c>
      <c r="B4" t="s">
        <v>38</v>
      </c>
      <c r="C4">
        <v>0.6</v>
      </c>
      <c r="D4" s="3">
        <v>0.37</v>
      </c>
      <c r="E4">
        <v>2.52</v>
      </c>
      <c r="I4">
        <v>1.29</v>
      </c>
      <c r="X4">
        <v>2.3199999999999998</v>
      </c>
      <c r="AB4" s="3">
        <v>93.51</v>
      </c>
      <c r="AD4" s="4">
        <v>-203340.08204525471</v>
      </c>
      <c r="AE4" s="4">
        <v>-479894.37182409439</v>
      </c>
      <c r="AF4" s="4">
        <v>-3.5317706683990711</v>
      </c>
      <c r="AG4" s="4">
        <v>-190007.86637597691</v>
      </c>
      <c r="AH4" s="4">
        <v>0.36546878948365119</v>
      </c>
      <c r="AJ4">
        <v>0.25</v>
      </c>
      <c r="AK4">
        <f t="shared" ref="AK4:AK7" si="0">SUM(D4:Y4)</f>
        <v>6.5</v>
      </c>
      <c r="AL4">
        <f t="shared" ref="AL4:AL7" si="1">SUM(Z4:AA4)</f>
        <v>0</v>
      </c>
      <c r="AM4">
        <f t="shared" ref="AM4:AN7" si="2">AB4</f>
        <v>93.51</v>
      </c>
      <c r="AN4">
        <f t="shared" si="2"/>
        <v>0</v>
      </c>
    </row>
    <row r="5" spans="1:40" x14ac:dyDescent="0.35">
      <c r="A5" s="1">
        <v>2</v>
      </c>
      <c r="B5" t="s">
        <v>39</v>
      </c>
      <c r="C5">
        <v>0.6</v>
      </c>
      <c r="D5" s="3">
        <v>7.15</v>
      </c>
      <c r="E5">
        <v>2.52</v>
      </c>
      <c r="I5">
        <v>1.29</v>
      </c>
      <c r="X5">
        <v>2.3199999999999998</v>
      </c>
      <c r="AB5" s="3">
        <v>86.73</v>
      </c>
      <c r="AD5" s="4">
        <v>-248327.39575109229</v>
      </c>
      <c r="AE5" s="4">
        <v>-483581.00874466531</v>
      </c>
      <c r="AF5" s="4">
        <v>-3.7164453177019099</v>
      </c>
      <c r="AG5" s="4">
        <v>-179147.4373195029</v>
      </c>
      <c r="AH5" s="4">
        <v>0.37306072389175338</v>
      </c>
      <c r="AJ5">
        <v>0.5</v>
      </c>
      <c r="AK5">
        <f t="shared" si="0"/>
        <v>13.280000000000001</v>
      </c>
      <c r="AL5">
        <f t="shared" si="1"/>
        <v>0</v>
      </c>
      <c r="AM5">
        <f t="shared" si="2"/>
        <v>86.73</v>
      </c>
      <c r="AN5">
        <f t="shared" si="2"/>
        <v>0</v>
      </c>
    </row>
    <row r="6" spans="1:40" x14ac:dyDescent="0.35">
      <c r="A6" s="1">
        <v>3</v>
      </c>
      <c r="B6" t="s">
        <v>40</v>
      </c>
      <c r="C6">
        <v>0.6</v>
      </c>
      <c r="D6" s="3">
        <v>7.15</v>
      </c>
      <c r="E6">
        <v>2.52</v>
      </c>
      <c r="I6">
        <v>1.29</v>
      </c>
      <c r="X6">
        <v>2.3199999999999998</v>
      </c>
      <c r="Z6" s="3">
        <v>5.35</v>
      </c>
      <c r="AA6">
        <v>1.35</v>
      </c>
      <c r="AB6" s="3">
        <v>80.03</v>
      </c>
      <c r="AD6" s="4">
        <v>-271684.96764893451</v>
      </c>
      <c r="AE6" s="4">
        <v>-465995.69226309482</v>
      </c>
      <c r="AF6" s="4">
        <v>-3.707662933482136</v>
      </c>
      <c r="AG6" s="4">
        <v>-158881.468839209</v>
      </c>
      <c r="AH6" s="4">
        <v>0.41498976212025601</v>
      </c>
      <c r="AJ6">
        <v>0.75</v>
      </c>
      <c r="AK6">
        <f t="shared" si="0"/>
        <v>13.280000000000001</v>
      </c>
      <c r="AL6">
        <f t="shared" si="1"/>
        <v>6.6999999999999993</v>
      </c>
      <c r="AM6">
        <f t="shared" si="2"/>
        <v>80.03</v>
      </c>
      <c r="AN6">
        <f t="shared" si="2"/>
        <v>0</v>
      </c>
    </row>
    <row r="7" spans="1:40" x14ac:dyDescent="0.35">
      <c r="A7" s="1">
        <v>4</v>
      </c>
      <c r="B7" t="s">
        <v>41</v>
      </c>
      <c r="C7">
        <v>0.6</v>
      </c>
      <c r="D7" s="3">
        <v>7.15</v>
      </c>
      <c r="E7">
        <v>2.52</v>
      </c>
      <c r="I7">
        <v>1.29</v>
      </c>
      <c r="X7">
        <v>2.3199999999999998</v>
      </c>
      <c r="AA7">
        <v>16.11</v>
      </c>
      <c r="AC7" s="3">
        <v>70.62</v>
      </c>
      <c r="AD7" s="4">
        <v>-544740.82515175932</v>
      </c>
      <c r="AE7" s="4">
        <v>-216176.53282024019</v>
      </c>
      <c r="AF7" s="4">
        <v>-3.1432058462932519</v>
      </c>
      <c r="AG7" s="4">
        <v>188919.45792481501</v>
      </c>
      <c r="AH7" s="4">
        <v>2.2999443118901919</v>
      </c>
      <c r="AJ7">
        <v>1</v>
      </c>
      <c r="AK7">
        <f t="shared" si="0"/>
        <v>13.280000000000001</v>
      </c>
      <c r="AL7">
        <f t="shared" si="1"/>
        <v>16.11</v>
      </c>
      <c r="AM7">
        <f t="shared" si="2"/>
        <v>0</v>
      </c>
      <c r="AN7">
        <f t="shared" si="2"/>
        <v>70.62</v>
      </c>
    </row>
  </sheetData>
  <mergeCells count="3">
    <mergeCell ref="B1:C1"/>
    <mergeCell ref="D1:Y1"/>
    <mergeCell ref="Z1:AA1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2F465F-3F36-4E02-B035-767A5B4F982B}">
  <dimension ref="A1:G6"/>
  <sheetViews>
    <sheetView tabSelected="1" workbookViewId="0">
      <selection activeCell="K8" sqref="K8"/>
    </sheetView>
  </sheetViews>
  <sheetFormatPr baseColWidth="10" defaultRowHeight="14.5" x14ac:dyDescent="0.35"/>
  <cols>
    <col min="1" max="1" width="16.54296875" customWidth="1"/>
  </cols>
  <sheetData>
    <row r="1" spans="1:7" x14ac:dyDescent="0.35">
      <c r="A1" t="s">
        <v>44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</row>
    <row r="2" spans="1:7" x14ac:dyDescent="0.35">
      <c r="A2">
        <v>0</v>
      </c>
      <c r="B2" s="11">
        <v>91256.49</v>
      </c>
      <c r="C2" s="11">
        <v>126329.53</v>
      </c>
      <c r="D2">
        <v>3000</v>
      </c>
    </row>
    <row r="3" spans="1:7" x14ac:dyDescent="0.35">
      <c r="A3">
        <v>0.25</v>
      </c>
      <c r="B3" s="11">
        <v>91256.49</v>
      </c>
      <c r="C3" s="11">
        <v>126329.53</v>
      </c>
      <c r="D3">
        <v>3000</v>
      </c>
    </row>
    <row r="4" spans="1:7" x14ac:dyDescent="0.35">
      <c r="A4">
        <v>0.5</v>
      </c>
      <c r="B4" s="11">
        <v>186611.81</v>
      </c>
      <c r="C4" s="11">
        <v>117168.48</v>
      </c>
      <c r="D4" s="11">
        <v>2782.4</v>
      </c>
    </row>
    <row r="5" spans="1:7" x14ac:dyDescent="0.35">
      <c r="A5">
        <v>0.75</v>
      </c>
      <c r="B5" s="11">
        <v>186611.81</v>
      </c>
      <c r="C5" s="11">
        <v>185060.41</v>
      </c>
      <c r="D5">
        <v>2567.5</v>
      </c>
      <c r="E5">
        <v>171.7</v>
      </c>
      <c r="F5">
        <v>43.2</v>
      </c>
    </row>
    <row r="6" spans="1:7" x14ac:dyDescent="0.35">
      <c r="A6">
        <v>1</v>
      </c>
      <c r="B6" s="11">
        <v>186611.81</v>
      </c>
      <c r="C6" s="11">
        <v>185060.41</v>
      </c>
      <c r="F6" s="11">
        <v>516.9</v>
      </c>
      <c r="G6" s="11">
        <v>2265.5</v>
      </c>
    </row>
  </sheetData>
  <pageMargins left="0.7" right="0.7" top="0.75" bottom="0.75" header="0.3" footer="0.3"/>
  <pageSetup paperSize="9" orientation="portrait" verticalDpi="597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results</vt:lpstr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Nomena Ravoahangy</cp:lastModifiedBy>
  <dcterms:created xsi:type="dcterms:W3CDTF">2026-03-06T14:23:53Z</dcterms:created>
  <dcterms:modified xsi:type="dcterms:W3CDTF">2026-03-17T10:51:44Z</dcterms:modified>
</cp:coreProperties>
</file>