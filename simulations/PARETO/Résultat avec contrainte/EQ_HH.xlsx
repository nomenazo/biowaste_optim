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PARETO\Résultat avec contrainte\"/>
    </mc:Choice>
  </mc:AlternateContent>
  <xr:revisionPtr revIDLastSave="0" documentId="13_ncr:1_{A25B82F9-63EE-40DA-A004-2B39EE207F22}" xr6:coauthVersionLast="36" xr6:coauthVersionMax="36" xr10:uidLastSave="{00000000-0000-0000-0000-000000000000}"/>
  <bookViews>
    <workbookView xWindow="0" yWindow="0" windowWidth="19200" windowHeight="6350" activeTab="1" xr2:uid="{00000000-000D-0000-FFFF-FFFF00000000}"/>
  </bookViews>
  <sheets>
    <sheet name="results" sheetId="1" r:id="rId1"/>
    <sheet name="Feuil1" sheetId="2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D3" i="2" l="1"/>
  <c r="E3" i="2"/>
  <c r="D4" i="2"/>
  <c r="E4" i="2"/>
  <c r="D5" i="2"/>
  <c r="E5" i="2"/>
  <c r="D6" i="2"/>
  <c r="E6" i="2"/>
  <c r="D7" i="2"/>
  <c r="E7" i="2"/>
  <c r="B3" i="2"/>
  <c r="C3" i="2"/>
  <c r="B4" i="2"/>
  <c r="C4" i="2"/>
  <c r="B5" i="2"/>
  <c r="C5" i="2"/>
  <c r="B6" i="2"/>
  <c r="C6" i="2"/>
  <c r="B7" i="2"/>
  <c r="C7" i="2"/>
</calcChain>
</file>

<file path=xl/sharedStrings.xml><?xml version="1.0" encoding="utf-8"?>
<sst xmlns="http://schemas.openxmlformats.org/spreadsheetml/2006/main" count="59" uniqueCount="51">
  <si>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</si>
  <si>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</si>
  <si>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</si>
  <si>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</si>
  <si>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</si>
  <si>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</si>
  <si>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</si>
  <si>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</si>
  <si>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</si>
  <si>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</si>
  <si>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</si>
  <si>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</si>
  <si>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</si>
  <si>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</si>
  <si>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</si>
  <si>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</si>
  <si>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</si>
  <si>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</si>
  <si>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</si>
  <si>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</si>
  <si>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</si>
  <si>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</si>
  <si>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</si>
  <si>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</si>
  <si>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</si>
  <si>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</si>
  <si>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</si>
  <si>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</si>
  <si>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</si>
  <si>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</si>
  <si>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</si>
  <si>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</si>
  <si>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</si>
  <si>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</si>
  <si>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</si>
  <si>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</si>
  <si>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</si>
  <si>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</si>
  <si>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</si>
  <si>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</si>
  <si>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</si>
  <si>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</si>
  <si>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1.0</t>
  </si>
  <si>
    <t>2.0</t>
  </si>
  <si>
    <t>3.0</t>
  </si>
  <si>
    <t>4.0</t>
  </si>
  <si>
    <t>5.0</t>
  </si>
  <si>
    <t>Avec investissement</t>
  </si>
  <si>
    <t>Sans investissement</t>
  </si>
  <si>
    <t>EQ_inv</t>
  </si>
  <si>
    <t>HH_inv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</si>
</sst>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Feuil1!$B$2</c:f>
              <c:strCache>
                <c:ptCount val="1"/>
                <c:pt idx="0">
                  <c:v>EQ_inv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Feuil1!$A$3:$A$7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Feuil1!$B$3:$B$7</c:f>
              <c:numCache>
                <c:formatCode>0.00E+00</c:formatCode>
                <c:ptCount val="5"/>
                <c:pt idx="0">
                  <c:v>-684134.54392147821</c:v>
                </c:pt>
                <c:pt idx="1">
                  <c:v>-684134.54392147821</c:v>
                </c:pt>
                <c:pt idx="2">
                  <c:v>-684134.54392147821</c:v>
                </c:pt>
                <c:pt idx="3">
                  <c:v>-683048.02951931697</c:v>
                </c:pt>
                <c:pt idx="4">
                  <c:v>-683048.02951931697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2A-4774-94E3-ECA5DD8A05DD}"/>
            </c:ext>
          </c:extLst>
        </c:ser>
        <c:ser>
          <c:idx val="2"/>
          <c:order val="2"/>
          <c:tx>
            <c:strRef>
              <c:f>Feuil1!$D$2</c:f>
              <c:strCache>
                <c:ptCount val="1"/>
                <c:pt idx="0">
                  <c:v>EQ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Feuil1!$A$3:$A$7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Feuil1!$D$3:$D$7</c:f>
              <c:numCache>
                <c:formatCode>0.00E+00</c:formatCode>
                <c:ptCount val="5"/>
                <c:pt idx="0">
                  <c:v>-483581.00874466531</c:v>
                </c:pt>
                <c:pt idx="1">
                  <c:v>-483581.00874466531</c:v>
                </c:pt>
                <c:pt idx="2">
                  <c:v>-483581.00874466531</c:v>
                </c:pt>
                <c:pt idx="3">
                  <c:v>-483581.00874466531</c:v>
                </c:pt>
                <c:pt idx="4">
                  <c:v>-483581.00874466531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2A-4774-94E3-ECA5DD8A0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661375"/>
        <c:axId val="389762111"/>
      </c:lineChart>
      <c:lineChart>
        <c:grouping val="standard"/>
        <c:varyColors val="0"/>
        <c:ser>
          <c:idx val="1"/>
          <c:order val="1"/>
          <c:tx>
            <c:strRef>
              <c:f>Feuil1!$C$2</c:f>
              <c:strCache>
                <c:ptCount val="1"/>
                <c:pt idx="0">
                  <c:v>HH_inv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Feuil1!$A$3:$A$7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Feuil1!$C$3:$C$7</c:f>
              <c:numCache>
                <c:formatCode>0.00E+00</c:formatCode>
                <c:ptCount val="5"/>
                <c:pt idx="0">
                  <c:v>-6.3517927378926764</c:v>
                </c:pt>
                <c:pt idx="1">
                  <c:v>-6.3517927378926764</c:v>
                </c:pt>
                <c:pt idx="2">
                  <c:v>-6.3517927378926764</c:v>
                </c:pt>
                <c:pt idx="3">
                  <c:v>-6.3578543683243343</c:v>
                </c:pt>
                <c:pt idx="4">
                  <c:v>-6.3578543683243343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2A-4774-94E3-ECA5DD8A05DD}"/>
            </c:ext>
          </c:extLst>
        </c:ser>
        <c:ser>
          <c:idx val="3"/>
          <c:order val="3"/>
          <c:tx>
            <c:strRef>
              <c:f>Feuil1!$E$2</c:f>
              <c:strCache>
                <c:ptCount val="1"/>
                <c:pt idx="0">
                  <c:v>HH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Feuil1!$A$3:$A$7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Feuil1!$E$3:$E$7</c:f>
              <c:numCache>
                <c:formatCode>0.00E+00</c:formatCode>
                <c:ptCount val="5"/>
                <c:pt idx="0">
                  <c:v>-3.7164453177019099</c:v>
                </c:pt>
                <c:pt idx="1">
                  <c:v>-3.7164453177019099</c:v>
                </c:pt>
                <c:pt idx="2">
                  <c:v>-3.7164453177019099</c:v>
                </c:pt>
                <c:pt idx="3">
                  <c:v>-3.7164453177019099</c:v>
                </c:pt>
                <c:pt idx="4">
                  <c:v>-3.7164453177019099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A2A-4774-94E3-ECA5DD8A0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685375"/>
        <c:axId val="389765439"/>
      </c:lineChart>
      <c:catAx>
        <c:axId val="203466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9762111"/>
        <c:crossesAt val="-700000"/>
        <c:auto val="1"/>
        <c:lblAlgn val="ctr"/>
        <c:lblOffset val="100"/>
        <c:noMultiLvlLbl val="0"/>
      </c:catAx>
      <c:valAx>
        <c:axId val="389762111"/>
        <c:scaling>
          <c:orientation val="minMax"/>
          <c:max val="-450000"/>
          <c:min val="-7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4661375"/>
        <c:crosses val="autoZero"/>
        <c:crossBetween val="between"/>
      </c:valAx>
      <c:valAx>
        <c:axId val="389765439"/>
        <c:scaling>
          <c:orientation val="minMax"/>
          <c:max val="-3"/>
          <c:min val="-6.5"/>
        </c:scaling>
        <c:delete val="0"/>
        <c:axPos val="r"/>
        <c:numFmt formatCode="0.00E+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4685375"/>
        <c:crosses val="max"/>
        <c:crossBetween val="between"/>
      </c:valAx>
      <c:catAx>
        <c:axId val="20346853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976543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190501</xdr:colOff>
      <xdr:row>3</xdr:row>
      <xdr:rowOff>25400</xdr:rowOff>
    </xdr:from>
    <xdr:to>
      <xdr:col>17</xdr:col>
      <xdr:colOff>438151</xdr:colOff>
      <xdr:row>31</xdr:row>
      <xdr:rowOff>142875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4E9E7FB-0B81-4C4E-81A3-788124735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_HH_ss_inv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E3">
            <v>-483581.00874466531</v>
          </cell>
          <cell r="AF3">
            <v>-3.7164453177019099</v>
          </cell>
        </row>
        <row r="4">
          <cell r="AE4">
            <v>-483581.00874466531</v>
          </cell>
          <cell r="AF4">
            <v>-3.7164453177019099</v>
          </cell>
        </row>
        <row r="5">
          <cell r="AE5">
            <v>-483581.00874466531</v>
          </cell>
          <cell r="AF5">
            <v>-3.7164453177019099</v>
          </cell>
        </row>
        <row r="6">
          <cell r="AE6">
            <v>-483581.00874466531</v>
          </cell>
          <cell r="AF6">
            <v>-3.7164453177019099</v>
          </cell>
        </row>
        <row r="7">
          <cell r="AE7">
            <v>-483581.00874466531</v>
          </cell>
          <cell r="AF7">
            <v>-3.7164453177019099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"/>
  <sheetViews>
    <sheetView topLeftCell="AB1" workbookViewId="0">
      <selection activeCell="AL3" sqref="AL3:AM7"/>
    </sheetView>
  </sheetViews>
  <sheetFormatPr baseColWidth="10" defaultColWidth="8.7265625" defaultRowHeight="14.5" x14ac:dyDescent="0.35"/>
  <cols>
    <col min="37" max="40" width="9" bestFit="1" customWidth="1"/>
    <col min="41" max="41" width="8" bestFit="1" customWidth="1"/>
  </cols>
  <sheetData>
    <row r="1" spans="1:41" x14ac:dyDescent="0.35">
      <c r="A1" s="2"/>
      <c r="B1" s="5"/>
      <c r="C1" s="6"/>
      <c r="D1" s="5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6"/>
      <c r="Z1" s="5" t="s">
        <v>1</v>
      </c>
      <c r="AA1" s="7"/>
      <c r="AB1" s="6"/>
      <c r="AC1" s="2" t="s">
        <v>2</v>
      </c>
      <c r="AD1" s="5" t="s">
        <v>3</v>
      </c>
      <c r="AE1" s="6"/>
      <c r="AF1" s="5" t="s">
        <v>4</v>
      </c>
      <c r="AG1" s="6"/>
      <c r="AH1" s="2" t="s">
        <v>5</v>
      </c>
      <c r="AI1" s="2" t="s">
        <v>6</v>
      </c>
      <c r="AJ1" s="8" t="s">
        <v>7</v>
      </c>
      <c r="AK1" s="9"/>
      <c r="AL1" s="9"/>
      <c r="AM1" s="9"/>
      <c r="AN1" s="9"/>
      <c r="AO1" s="10"/>
    </row>
    <row r="2" spans="1:41" x14ac:dyDescent="0.3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</row>
    <row r="3" spans="1:41" x14ac:dyDescent="0.35">
      <c r="A3" s="1">
        <v>0</v>
      </c>
      <c r="B3" t="s">
        <v>42</v>
      </c>
      <c r="C3">
        <v>0.6</v>
      </c>
      <c r="AJ3" s="3">
        <v>100</v>
      </c>
      <c r="AK3" s="4">
        <v>-643504.57746848057</v>
      </c>
      <c r="AL3" s="4">
        <v>-684134.54392147821</v>
      </c>
      <c r="AM3" s="4">
        <v>-6.3517927378926764</v>
      </c>
      <c r="AN3" s="4">
        <v>-165147.24454810651</v>
      </c>
      <c r="AO3" s="4">
        <v>0.63665305931573202</v>
      </c>
    </row>
    <row r="4" spans="1:41" x14ac:dyDescent="0.35">
      <c r="A4" s="1">
        <v>1</v>
      </c>
      <c r="B4" t="s">
        <v>43</v>
      </c>
      <c r="C4">
        <v>0.6</v>
      </c>
      <c r="AJ4" s="3">
        <v>100</v>
      </c>
      <c r="AK4" s="4">
        <v>-643504.57746848057</v>
      </c>
      <c r="AL4" s="4">
        <v>-684134.54392147821</v>
      </c>
      <c r="AM4" s="4">
        <v>-6.3517927378926764</v>
      </c>
      <c r="AN4" s="4">
        <v>-165147.24454810651</v>
      </c>
      <c r="AO4" s="4">
        <v>0.63665305931573202</v>
      </c>
    </row>
    <row r="5" spans="1:41" x14ac:dyDescent="0.35">
      <c r="A5" s="1">
        <v>2</v>
      </c>
      <c r="B5" t="s">
        <v>44</v>
      </c>
      <c r="C5">
        <v>0.6</v>
      </c>
      <c r="AJ5" s="3">
        <v>100</v>
      </c>
      <c r="AK5" s="4">
        <v>-643504.57746848057</v>
      </c>
      <c r="AL5" s="4">
        <v>-684134.54392147821</v>
      </c>
      <c r="AM5" s="4">
        <v>-6.3517927378926764</v>
      </c>
      <c r="AN5" s="4">
        <v>-165147.24454810651</v>
      </c>
      <c r="AO5" s="4">
        <v>0.63665305931573202</v>
      </c>
    </row>
    <row r="6" spans="1:41" x14ac:dyDescent="0.35">
      <c r="A6" s="1">
        <v>3</v>
      </c>
      <c r="B6" t="s">
        <v>45</v>
      </c>
      <c r="C6">
        <v>0.6</v>
      </c>
      <c r="I6">
        <v>1.29</v>
      </c>
      <c r="AJ6" s="3">
        <v>98.71</v>
      </c>
      <c r="AK6" s="4">
        <v>-646893.57172358432</v>
      </c>
      <c r="AL6" s="4">
        <v>-683048.02951931697</v>
      </c>
      <c r="AM6" s="4">
        <v>-6.3578543683243343</v>
      </c>
      <c r="AN6" s="4">
        <v>-163891.8494255149</v>
      </c>
      <c r="AO6" s="4">
        <v>0.63214948940507365</v>
      </c>
    </row>
    <row r="7" spans="1:41" x14ac:dyDescent="0.35">
      <c r="A7" s="1">
        <v>4</v>
      </c>
      <c r="B7" t="s">
        <v>46</v>
      </c>
      <c r="C7">
        <v>0.6</v>
      </c>
      <c r="I7">
        <v>1.29</v>
      </c>
      <c r="AJ7" s="3">
        <v>98.71</v>
      </c>
      <c r="AK7" s="4">
        <v>-646893.57172358432</v>
      </c>
      <c r="AL7" s="4">
        <v>-683048.02951931697</v>
      </c>
      <c r="AM7" s="4">
        <v>-6.3578543683243343</v>
      </c>
      <c r="AN7" s="4">
        <v>-163891.8494255149</v>
      </c>
      <c r="AO7" s="4">
        <v>0.63214948940507365</v>
      </c>
    </row>
  </sheetData>
  <mergeCells count="5">
    <mergeCell ref="B1:C1"/>
    <mergeCell ref="D1:Y1"/>
    <mergeCell ref="Z1:AB1"/>
    <mergeCell ref="AD1:AE1"/>
    <mergeCell ref="AF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E63E0-01CD-4B8A-A895-61FEAE510675}">
  <dimension ref="A1:E7"/>
  <sheetViews>
    <sheetView tabSelected="1" workbookViewId="0">
      <selection activeCell="I21" sqref="I21"/>
    </sheetView>
  </sheetViews>
  <sheetFormatPr baseColWidth="10" defaultRowHeight="14.5" x14ac:dyDescent="0.35"/>
  <cols>
    <col min="4" max="4" width="14.08984375" customWidth="1"/>
  </cols>
  <sheetData>
    <row r="1" spans="1:5" x14ac:dyDescent="0.35">
      <c r="B1" t="s">
        <v>47</v>
      </c>
      <c r="D1" t="s">
        <v>48</v>
      </c>
    </row>
    <row r="2" spans="1:5" x14ac:dyDescent="0.35">
      <c r="B2" t="s">
        <v>49</v>
      </c>
      <c r="C2" t="s">
        <v>50</v>
      </c>
      <c r="D2" t="s">
        <v>38</v>
      </c>
      <c r="E2" t="s">
        <v>39</v>
      </c>
    </row>
    <row r="3" spans="1:5" x14ac:dyDescent="0.35">
      <c r="A3">
        <v>1</v>
      </c>
      <c r="B3" s="4">
        <f>results!AL3</f>
        <v>-684134.54392147821</v>
      </c>
      <c r="C3" s="4">
        <f>results!AM3</f>
        <v>-6.3517927378926764</v>
      </c>
      <c r="D3" s="4">
        <f>[1]results!AE3</f>
        <v>-483581.00874466531</v>
      </c>
      <c r="E3" s="4">
        <f>[1]results!AF3</f>
        <v>-3.7164453177019099</v>
      </c>
    </row>
    <row r="4" spans="1:5" x14ac:dyDescent="0.35">
      <c r="A4">
        <v>2</v>
      </c>
      <c r="B4" s="4">
        <f>results!AL4</f>
        <v>-684134.54392147821</v>
      </c>
      <c r="C4" s="4">
        <f>results!AM4</f>
        <v>-6.3517927378926764</v>
      </c>
      <c r="D4" s="4">
        <f>[1]results!AE4</f>
        <v>-483581.00874466531</v>
      </c>
      <c r="E4" s="4">
        <f>[1]results!AF4</f>
        <v>-3.7164453177019099</v>
      </c>
    </row>
    <row r="5" spans="1:5" x14ac:dyDescent="0.35">
      <c r="A5">
        <v>3</v>
      </c>
      <c r="B5" s="4">
        <f>results!AL5</f>
        <v>-684134.54392147821</v>
      </c>
      <c r="C5" s="4">
        <f>results!AM5</f>
        <v>-6.3517927378926764</v>
      </c>
      <c r="D5" s="4">
        <f>[1]results!AE5</f>
        <v>-483581.00874466531</v>
      </c>
      <c r="E5" s="4">
        <f>[1]results!AF5</f>
        <v>-3.7164453177019099</v>
      </c>
    </row>
    <row r="6" spans="1:5" x14ac:dyDescent="0.35">
      <c r="A6">
        <v>4</v>
      </c>
      <c r="B6" s="4">
        <f>results!AL6</f>
        <v>-683048.02951931697</v>
      </c>
      <c r="C6" s="4">
        <f>results!AM6</f>
        <v>-6.3578543683243343</v>
      </c>
      <c r="D6" s="4">
        <f>[1]results!AE6</f>
        <v>-483581.00874466531</v>
      </c>
      <c r="E6" s="4">
        <f>[1]results!AF6</f>
        <v>-3.7164453177019099</v>
      </c>
    </row>
    <row r="7" spans="1:5" x14ac:dyDescent="0.35">
      <c r="A7">
        <v>5</v>
      </c>
      <c r="B7" s="4">
        <f>results!AL7</f>
        <v>-683048.02951931697</v>
      </c>
      <c r="C7" s="4">
        <f>results!AM7</f>
        <v>-6.3578543683243343</v>
      </c>
      <c r="D7" s="4">
        <f>[1]results!AE7</f>
        <v>-483581.00874466531</v>
      </c>
      <c r="E7" s="4">
        <f>[1]results!AF7</f>
        <v>-3.7164453177019099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results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2026-03-06T14:23:53Z</dcterms:created>
  <dcterms:modified xsi:type="dcterms:W3CDTF">2026-03-19T14:35:36Z</dcterms:modified>
</cp:coreProperties>
</file>