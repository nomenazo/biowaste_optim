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AF455BA3-E884-40A7-ADA5-1822D09FE590}" xr6:coauthVersionLast="36" xr6:coauthVersionMax="36" xr10:uidLastSave="{00000000-0000-0000-0000-000000000000}"/>
  <bookViews>
    <workbookView xWindow="0" yWindow="0" windowWidth="19200" windowHeight="7750" activeTab="1" xr2:uid="{00000000-000D-0000-FFFF-FFFF00000000}"/>
  </bookViews>
  <sheets>
    <sheet name="results" sheetId="1" r:id="rId1"/>
    <sheet name="Feuil1" sheetId="2" r:id="rId2"/>
  </sheets>
  <calcPr calcId="191029"/>
</workbook>
</file>

<file path=xl/calcChain.xml><?xml version="1.0" encoding="utf-8"?>
<calcChain xmlns="http://schemas.openxmlformats.org/spreadsheetml/2006/main">
  <c r="B2" i="2" l="1"/>
  <c r="AN7" i="1" l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<sst xmlns="http://schemas.openxmlformats.org/spreadsheetml/2006/main" count="53" uniqueCount="51">
  <si>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</si>
  <si>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</si>
  <si>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</si>
  <si>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</si>
  <si>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</si>
  <si>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</si>
  <si>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</si>
  <si>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</si>
  <si>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</si>
  <si>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</si>
  <si>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</si>
  <si>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</si>
  <si>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</si>
  <si>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</si>
  <si>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</si>
  <si>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</si>
  <si>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</si>
  <si>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</si>
  <si>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</si>
  <si>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</si>
  <si>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</si>
  <si>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</si>
  <si>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</si>
  <si>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</si>
  <si>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</si>
  <si>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</si>
  <si>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</si>
  <si>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</si>
  <si>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</si>
  <si>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</si>
  <si>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</si>
  <si>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</si>
  <si>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</si>
  <si>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</si>
  <si>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</si>
  <si>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</si>
  <si>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</si>
  <si>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</si>
  <si>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</si>
  <si>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</si>
  <si>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</si>
  <si>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</si>
  <si>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AD-cog-comp</t>
  </si>
  <si>
    <t>AD-biomet-dig</t>
  </si>
  <si>
    <t>Weight of CO2</t>
  </si>
  <si>
    <t>Peat_hobby</t>
  </si>
  <si>
    <t>peat_pro</t>
  </si>
  <si>
    <t>AD-b refood</t>
  </si>
  <si>
    <t>IC suez</t>
  </si>
  <si>
    <t>IC gurdebeke</t>
  </si>
  <si>
    <t>AD-c biomet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</si>
</sst>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results!$AK$1:$AK$2</c:f>
              <c:strCache>
                <c:ptCount val="2"/>
                <c:pt idx="1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results!$AK$3:$AK$7</c:f>
              <c:numCache>
                <c:formatCode>General</c:formatCode>
                <c:ptCount val="5"/>
                <c:pt idx="0">
                  <c:v>6.5</c:v>
                </c:pt>
                <c:pt idx="1">
                  <c:v>13.280000000000001</c:v>
                </c:pt>
                <c:pt idx="2">
                  <c:v>13.280000000000001</c:v>
                </c:pt>
                <c:pt idx="3">
                  <c:v>13.280000000000001</c:v>
                </c:pt>
                <c:pt idx="4">
                  <c:v>13.280000000000001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2-4539-B3CF-ADDA6A85E43F}"/>
            </c:ext>
          </c:extLst>
        </c:ser>
        <c:ser>
          <c:idx val="1"/>
          <c:order val="1"/>
          <c:tx>
            <c:strRef>
              <c:f>results!$AL$1:$AL$2</c:f>
              <c:strCache>
                <c:ptCount val="2"/>
                <c:pt idx="1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results!$AL$3:$AL$7</c:f>
              <c:numCache>
                <c:formatCode>General</c:formatCode>
                <c:ptCount val="5"/>
                <c:pt idx="0">
                  <c:v>0</c:v>
                </c:pt>
                <c:pt idx="1">
                  <c:v>6.6999999999999993</c:v>
                </c:pt>
                <c:pt idx="2">
                  <c:v>6.6999999999999993</c:v>
                </c:pt>
                <c:pt idx="3">
                  <c:v>16.11</c:v>
                </c:pt>
                <c:pt idx="4">
                  <c:v>16.11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2-4539-B3CF-ADDA6A85E43F}"/>
            </c:ext>
          </c:extLst>
        </c:ser>
        <c:ser>
          <c:idx val="2"/>
          <c:order val="2"/>
          <c:tx>
            <c:strRef>
              <c:f>results!$AM$1:$AM$2</c:f>
              <c:strCache>
                <c:ptCount val="2"/>
                <c:pt idx="1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results!$AM$3:$AM$7</c:f>
              <c:numCache>
                <c:formatCode>General</c:formatCode>
                <c:ptCount val="5"/>
                <c:pt idx="0">
                  <c:v>93.51</c:v>
                </c:pt>
                <c:pt idx="1">
                  <c:v>80.03</c:v>
                </c:pt>
                <c:pt idx="2">
                  <c:v>80.03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32-4539-B3CF-ADDA6A85E43F}"/>
            </c:ext>
          </c:extLst>
        </c:ser>
        <c:ser>
          <c:idx val="3"/>
          <c:order val="3"/>
          <c:tx>
            <c:strRef>
              <c:f>results!$AN$1:$AN$2</c:f>
              <c:strCache>
                <c:ptCount val="2"/>
                <c:pt idx="1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results!$AN$3:$AN$7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70.62</c:v>
                </c:pt>
                <c:pt idx="4">
                  <c:v>70.62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32-4539-B3CF-ADDA6A85E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4118303"/>
        <c:axId val="334446671"/>
      </c:barChart>
      <c:catAx>
        <c:axId val="204411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446671"/>
        <c:crosses val="autoZero"/>
        <c:auto val="1"/>
        <c:lblAlgn val="ctr"/>
        <c:lblOffset val="100"/>
        <c:noMultiLvlLbl val="0"/>
      </c:catAx>
      <c:valAx>
        <c:axId val="3344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411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533399</xdr:colOff>
      <xdr:row>10</xdr:row>
      <xdr:rowOff>139700</xdr:rowOff>
    </xdr:from>
    <xdr:to>
      <xdr:col>29</xdr:col>
      <xdr:colOff>561974</xdr:colOff>
      <xdr:row>27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89EA93-6FD7-46D8-BDC7-6DA733A43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opLeftCell="AD1" workbookViewId="0">
      <selection activeCell="AJ8" sqref="AJ8"/>
    </sheetView>
  </sheetViews>
  <sheetFormatPr baseColWidth="10" defaultColWidth="8.7265625" defaultRowHeight="14.5" x14ac:dyDescent="0.35"/>
  <sheetData>
    <row r="1" spans="1:40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K2" t="s">
        <v>0</v>
      </c>
      <c r="AL2" t="s">
        <v>1</v>
      </c>
      <c r="AM2" t="s">
        <v>42</v>
      </c>
      <c r="AN2" t="s">
        <v>43</v>
      </c>
    </row>
    <row r="3" spans="1:40" x14ac:dyDescent="0.35">
      <c r="A3" s="1">
        <v>0</v>
      </c>
      <c r="B3" t="s">
        <v>37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B3" s="3">
        <v>93.51</v>
      </c>
      <c r="AD3" s="4">
        <v>-203340.0842835083</v>
      </c>
      <c r="AE3" s="4">
        <v>-479894.37340540468</v>
      </c>
      <c r="AF3" s="4">
        <v>-3.5317706843912799</v>
      </c>
      <c r="AG3" s="4">
        <v>-190007.86677072401</v>
      </c>
      <c r="AH3" s="4">
        <v>0.36546878935102339</v>
      </c>
      <c r="AJ3">
        <v>0</v>
      </c>
      <c r="AK3">
        <f>SUM(D3:Y3)</f>
        <v>6.5</v>
      </c>
      <c r="AL3">
        <f>SUM(Z3:AA3)</f>
        <v>0</v>
      </c>
      <c r="AM3">
        <f>AB3</f>
        <v>93.51</v>
      </c>
      <c r="AN3">
        <f>AC3</f>
        <v>0</v>
      </c>
    </row>
    <row r="4" spans="1:40" x14ac:dyDescent="0.35">
      <c r="A4" s="1">
        <v>1</v>
      </c>
      <c r="B4" t="s">
        <v>38</v>
      </c>
      <c r="C4">
        <v>0.6</v>
      </c>
      <c r="D4" s="3">
        <v>7.15</v>
      </c>
      <c r="E4">
        <v>2.52</v>
      </c>
      <c r="I4">
        <v>1.29</v>
      </c>
      <c r="X4">
        <v>2.3199999999999998</v>
      </c>
      <c r="Z4" s="3">
        <v>5.35</v>
      </c>
      <c r="AA4">
        <v>1.35</v>
      </c>
      <c r="AB4" s="3">
        <v>80.03</v>
      </c>
      <c r="AD4" s="4">
        <v>-271684.9677193996</v>
      </c>
      <c r="AE4" s="4">
        <v>-465995.69239625952</v>
      </c>
      <c r="AF4" s="4">
        <v>-3.7076629343930261</v>
      </c>
      <c r="AG4" s="4">
        <v>-158881.46891361111</v>
      </c>
      <c r="AH4" s="4">
        <v>0.4149897620013091</v>
      </c>
      <c r="AJ4">
        <v>0.25</v>
      </c>
      <c r="AK4">
        <f t="shared" ref="AK4:AK7" si="0">SUM(D4:Y4)</f>
        <v>13.280000000000001</v>
      </c>
      <c r="AL4">
        <f t="shared" ref="AL4:AL7" si="1">SUM(Z4:AA4)</f>
        <v>6.6999999999999993</v>
      </c>
      <c r="AM4">
        <f t="shared" ref="AM4:AN7" si="2">AB4</f>
        <v>80.03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7.15</v>
      </c>
      <c r="E5">
        <v>2.52</v>
      </c>
      <c r="I5">
        <v>1.29</v>
      </c>
      <c r="X5">
        <v>2.3199999999999998</v>
      </c>
      <c r="Z5" s="3">
        <v>5.35</v>
      </c>
      <c r="AA5">
        <v>1.35</v>
      </c>
      <c r="AB5" s="3">
        <v>80.03</v>
      </c>
      <c r="AD5" s="4">
        <v>-271684.9677193996</v>
      </c>
      <c r="AE5" s="4">
        <v>-465995.69239625952</v>
      </c>
      <c r="AF5" s="4">
        <v>-3.7076629343930261</v>
      </c>
      <c r="AG5" s="4">
        <v>-158881.46891361111</v>
      </c>
      <c r="AH5" s="4">
        <v>0.4149897620013091</v>
      </c>
      <c r="AJ5">
        <v>0.5</v>
      </c>
      <c r="AK5">
        <f t="shared" si="0"/>
        <v>13.280000000000001</v>
      </c>
      <c r="AL5">
        <f t="shared" si="1"/>
        <v>6.6999999999999993</v>
      </c>
      <c r="AM5">
        <f t="shared" si="2"/>
        <v>80.03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7.15</v>
      </c>
      <c r="E6">
        <v>2.52</v>
      </c>
      <c r="I6">
        <v>1.29</v>
      </c>
      <c r="X6">
        <v>2.3199999999999998</v>
      </c>
      <c r="AA6">
        <v>16.11</v>
      </c>
      <c r="AC6" s="3">
        <v>70.62</v>
      </c>
      <c r="AD6" s="4">
        <v>-544740.82515175932</v>
      </c>
      <c r="AE6" s="4">
        <v>-216176.53282024019</v>
      </c>
      <c r="AF6" s="4">
        <v>-3.1432058462932519</v>
      </c>
      <c r="AG6" s="4">
        <v>188919.45792481501</v>
      </c>
      <c r="AH6" s="4">
        <v>2.2999443118901919</v>
      </c>
      <c r="AJ6">
        <v>0.75</v>
      </c>
      <c r="AK6">
        <f t="shared" si="0"/>
        <v>13.280000000000001</v>
      </c>
      <c r="AL6">
        <f t="shared" si="1"/>
        <v>16.11</v>
      </c>
      <c r="AM6">
        <f t="shared" si="2"/>
        <v>0</v>
      </c>
      <c r="AN6">
        <f t="shared" si="2"/>
        <v>70.62</v>
      </c>
    </row>
    <row r="7" spans="1:40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A7">
        <v>16.11</v>
      </c>
      <c r="AC7" s="3">
        <v>70.62</v>
      </c>
      <c r="AD7" s="4">
        <v>-544740.82515175932</v>
      </c>
      <c r="AE7" s="4">
        <v>-216176.53282024019</v>
      </c>
      <c r="AF7" s="4">
        <v>-3.1432058462932519</v>
      </c>
      <c r="AG7" s="4">
        <v>188919.45792481501</v>
      </c>
      <c r="AH7" s="4">
        <v>2.2999443118901919</v>
      </c>
      <c r="AJ7">
        <v>1</v>
      </c>
      <c r="AK7">
        <f t="shared" si="0"/>
        <v>13.280000000000001</v>
      </c>
      <c r="AL7">
        <f t="shared" si="1"/>
        <v>16.11</v>
      </c>
      <c r="AM7">
        <f t="shared" si="2"/>
        <v>0</v>
      </c>
      <c r="AN7">
        <f t="shared" si="2"/>
        <v>70.62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09C0-B78A-4360-9B17-BB472FE8B763}">
  <dimension ref="A1:G6"/>
  <sheetViews>
    <sheetView tabSelected="1" workbookViewId="0">
      <selection activeCell="I10" sqref="I10"/>
    </sheetView>
  </sheetViews>
  <sheetFormatPr baseColWidth="10" defaultRowHeight="14.5" x14ac:dyDescent="0.35"/>
  <sheetData>
    <row r="1" spans="1:7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5">
      <c r="A2">
        <v>0</v>
      </c>
      <c r="B2" s="11">
        <f>91256.49+95355.32</f>
        <v>186611.81</v>
      </c>
      <c r="C2" s="11">
        <v>126329.53</v>
      </c>
      <c r="D2">
        <v>3000</v>
      </c>
    </row>
    <row r="3" spans="1:7" x14ac:dyDescent="0.35">
      <c r="A3">
        <v>0.25</v>
      </c>
      <c r="B3" s="11">
        <v>186611.81</v>
      </c>
      <c r="C3" s="11">
        <v>185060.41</v>
      </c>
      <c r="D3" s="11">
        <v>2567.5</v>
      </c>
      <c r="E3" s="11">
        <v>171.7</v>
      </c>
      <c r="F3" s="11">
        <v>43.2</v>
      </c>
    </row>
    <row r="4" spans="1:7" x14ac:dyDescent="0.35">
      <c r="A4">
        <v>0.5</v>
      </c>
      <c r="B4" s="11">
        <v>186611.81</v>
      </c>
      <c r="C4" s="11">
        <v>185060.41</v>
      </c>
      <c r="D4" s="11">
        <v>2567.5</v>
      </c>
      <c r="E4" s="11">
        <v>171.7</v>
      </c>
      <c r="F4" s="11">
        <v>43.2</v>
      </c>
    </row>
    <row r="5" spans="1:7" x14ac:dyDescent="0.35">
      <c r="A5">
        <v>0.75</v>
      </c>
      <c r="B5" s="11">
        <v>186611.81</v>
      </c>
      <c r="C5" s="11">
        <v>185060.41</v>
      </c>
      <c r="D5">
        <v>0</v>
      </c>
      <c r="E5" s="11">
        <v>0</v>
      </c>
      <c r="F5" s="11">
        <v>516.9</v>
      </c>
      <c r="G5" s="11">
        <v>2265.5</v>
      </c>
    </row>
    <row r="6" spans="1:7" x14ac:dyDescent="0.35">
      <c r="A6">
        <v>1</v>
      </c>
      <c r="B6" s="11">
        <v>186611.81</v>
      </c>
      <c r="C6" s="11">
        <v>185060.41</v>
      </c>
      <c r="D6">
        <v>0</v>
      </c>
      <c r="E6" s="11">
        <v>0</v>
      </c>
      <c r="F6" s="11">
        <v>516.9</v>
      </c>
      <c r="G6" s="11">
        <v>2265.5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2026-03-17T11:06:58Z</dcterms:modified>
</cp:coreProperties>
</file>