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avec contrainte\"/>
    </mc:Choice>
  </mc:AlternateContent>
  <xr:revisionPtr revIDLastSave="0" documentId="13_ncr:1_{EE9FDEAF-6F56-4B47-9DD7-7B6D33898073}" xr6:coauthVersionLast="36" xr6:coauthVersionMax="36" xr10:uidLastSave="{00000000-0000-0000-0000-000000000000}"/>
  <bookViews>
    <workbookView xWindow="0" yWindow="0" windowWidth="19200" windowHeight="7750" activeTab="2" xr2:uid="{00000000-000D-0000-FFFF-FFFF00000000}"/>
  </bookViews>
  <sheets>
    <sheet name="results" sheetId="1" r:id="rId1"/>
    <sheet name="Feuil1" sheetId="2" r:id="rId2"/>
    <sheet name="Feuil2" sheetId="3" r:id="rId3"/>
  </sheets>
  <externalReferences>
    <externalReference r:id="rId4"/>
  </externalReferences>
  <calcPr calcId="191029"/>
</workbook>
</file>

<file path=xl/calcChain.xml><?xml version="1.0" encoding="utf-8"?>
<calcChain xmlns="http://schemas.openxmlformats.org/spreadsheetml/2006/main">
  <c r="B6" i="3" l="1"/>
  <c r="B5" i="3"/>
  <c r="AY7" i="1" l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  <c r="E3" i="2" l="1"/>
  <c r="E4" i="2"/>
  <c r="E5" i="2"/>
  <c r="E6" i="2"/>
  <c r="E7" i="2"/>
  <c r="D3" i="2"/>
  <c r="D4" i="2"/>
  <c r="D5" i="2"/>
  <c r="D6" i="2"/>
  <c r="D7" i="2"/>
  <c r="C3" i="2"/>
  <c r="C4" i="2"/>
  <c r="C5" i="2"/>
  <c r="C6" i="2"/>
  <c r="C7" i="2"/>
  <c r="B3" i="2"/>
  <c r="B4" i="2"/>
  <c r="B5" i="2"/>
  <c r="B6" i="2"/>
  <c r="B7" i="2"/>
</calcChain>
</file>

<file path=xl/sharedStrings.xml><?xml version="1.0" encoding="utf-8"?>
<sst xmlns="http://schemas.openxmlformats.org/spreadsheetml/2006/main" count="73" uniqueCount="65">
  <si>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</si>
  <si>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</si>
  <si>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</si>
  <si>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</si>
  <si>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</si>
  <si>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</si>
  <si>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</si>
  <si>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</si>
  <si>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</si>
  <si>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</si>
  <si>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</si>
  <si>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</si>
  <si>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</si>
  <si>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</si>
  <si>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</si>
  <si>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</si>
  <si>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</si>
  <si>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</si>
  <si>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</si>
  <si>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</si>
  <si>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</si>
  <si>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</si>
  <si>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</si>
  <si>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</si>
  <si>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</si>
  <si>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</si>
  <si>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</si>
  <si>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</si>
  <si>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</si>
  <si>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</si>
  <si>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</si>
  <si>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</si>
  <si>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</si>
  <si>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</si>
  <si>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</si>
  <si>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</si>
  <si>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</si>
  <si>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</si>
  <si>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</si>
  <si>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</si>
  <si>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</si>
  <si>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</si>
  <si>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</si>
  <si>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</si>
  <si>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</si>
  <si>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</si>
  <si>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</si>
  <si>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CC (kgCO2eq)</t>
  </si>
  <si>
    <t>EQ (excl. CC) (PDF.m2.yr)</t>
  </si>
  <si>
    <t>Authorized investment</t>
  </si>
  <si>
    <t>Without investment$</t>
  </si>
  <si>
    <t>CC_ss_inv</t>
  </si>
  <si>
    <t>EQ_ss_inv</t>
  </si>
  <si>
    <t>AD-cog-dig</t>
  </si>
  <si>
    <t>AD-cog-comp</t>
  </si>
  <si>
    <t>AD-biomet-dig</t>
  </si>
  <si>
    <t>AD-biomet-comp</t>
  </si>
  <si>
    <t>AD-heat-dig</t>
  </si>
  <si>
    <t>AD-heat-comp</t>
  </si>
  <si>
    <t>Weight of CO2</t>
  </si>
  <si>
    <t>Peat_hobby</t>
  </si>
  <si>
    <t>peat_pro</t>
  </si>
  <si>
    <t>AD-b refood</t>
  </si>
  <si>
    <t>AD-b Villiers</t>
  </si>
  <si>
    <t>AD-f Villers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</si>
</sst>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results!$AR$1:$AR$2</c:f>
              <c:strCache>
                <c:ptCount val="2"/>
                <c:pt idx="1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results!$AR$3:$AR$7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1.29</c:v>
                </c:pt>
                <c:pt idx="3">
                  <c:v>6.5</c:v>
                </c:pt>
                <c:pt idx="4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D-431F-91F2-FBA2BF624CE6}"/>
            </c:ext>
          </c:extLst>
        </c:ser>
        <c:ser>
          <c:idx val="1"/>
          <c:order val="1"/>
          <c:tx>
            <c:strRef>
              <c:f>results!$AS$1:$AS$2</c:f>
              <c:strCache>
                <c:ptCount val="2"/>
                <c:pt idx="1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results!$AS$3:$AS$7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D-431F-91F2-FBA2BF624CE6}"/>
            </c:ext>
          </c:extLst>
        </c:ser>
        <c:ser>
          <c:idx val="2"/>
          <c:order val="2"/>
          <c:tx>
            <c:strRef>
              <c:f>results!$AT$1:$AT$2</c:f>
              <c:strCache>
                <c:ptCount val="2"/>
                <c:pt idx="1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ED-431F-91F2-FBA2BF624CE6}"/>
            </c:ext>
          </c:extLst>
        </c:ser>
        <c:ser>
          <c:idx val="3"/>
          <c:order val="3"/>
          <c:tx>
            <c:strRef>
              <c:f>results!$AU$1:$AU$2</c:f>
              <c:strCache>
                <c:ptCount val="2"/>
                <c:pt idx="1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results!$AU$3:$AU$7</c:f>
              <c:numCache>
                <c:formatCode>General</c:formatCode>
                <c:ptCount val="5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ED-431F-91F2-FBA2BF624CE6}"/>
            </c:ext>
          </c:extLst>
        </c:ser>
        <c:ser>
          <c:idx val="4"/>
          <c:order val="4"/>
          <c:tx>
            <c:strRef>
              <c:f>results!$AV$1:$AV$2</c:f>
              <c:strCache>
                <c:ptCount val="2"/>
                <c:pt idx="1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results!$AV$3:$AV$7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ED-431F-91F2-FBA2BF624CE6}"/>
            </c:ext>
          </c:extLst>
        </c:ser>
        <c:ser>
          <c:idx val="5"/>
          <c:order val="5"/>
          <c:tx>
            <c:strRef>
              <c:f>results!$AW$1:$AW$2</c:f>
              <c:strCache>
                <c:ptCount val="2"/>
                <c:pt idx="1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results!$AW$3:$AW$7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ED-431F-91F2-FBA2BF624CE6}"/>
            </c:ext>
          </c:extLst>
        </c:ser>
        <c:ser>
          <c:idx val="6"/>
          <c:order val="6"/>
          <c:tx>
            <c:strRef>
              <c:f>results!$AX$1:$AX$2</c:f>
              <c:strCache>
                <c:ptCount val="2"/>
                <c:pt idx="1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results!$AX$3:$AX$7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ED-431F-91F2-FBA2BF624CE6}"/>
            </c:ext>
          </c:extLst>
        </c:ser>
        <c:ser>
          <c:idx val="7"/>
          <c:order val="7"/>
          <c:tx>
            <c:strRef>
              <c:f>results!$AY$1:$AY$2</c:f>
              <c:strCache>
                <c:ptCount val="2"/>
                <c:pt idx="1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results!$AY$3:$AY$7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98.71</c:v>
                </c:pt>
                <c:pt idx="3">
                  <c:v>93.51</c:v>
                </c:pt>
                <c:pt idx="4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ED-431F-91F2-FBA2BF624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7733087"/>
        <c:axId val="62865439"/>
      </c:barChart>
      <c:catAx>
        <c:axId val="26773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65439"/>
        <c:crosses val="autoZero"/>
        <c:auto val="1"/>
        <c:lblAlgn val="ctr"/>
        <c:lblOffset val="100"/>
        <c:noMultiLvlLbl val="0"/>
      </c:catAx>
      <c:valAx>
        <c:axId val="628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773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CC (kgCO2eq)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Feuil1!$B$3:$B$7</c:f>
              <c:numCache>
                <c:formatCode>0.00E+00</c:formatCode>
                <c:ptCount val="5"/>
                <c:pt idx="0">
                  <c:v>-154483.14646648639</c:v>
                </c:pt>
                <c:pt idx="1">
                  <c:v>-643504.57746848057</c:v>
                </c:pt>
                <c:pt idx="2">
                  <c:v>-646893.57172358432</c:v>
                </c:pt>
                <c:pt idx="3">
                  <c:v>-656979.85992353165</c:v>
                </c:pt>
                <c:pt idx="4">
                  <c:v>-656979.85992353165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0-4A88-807A-4C30C699F4BB}"/>
            </c:ext>
          </c:extLst>
        </c:ser>
        <c:ser>
          <c:idx val="2"/>
          <c:order val="2"/>
          <c:tx>
            <c:strRef>
              <c:f>Feuil1!$D$2</c:f>
              <c:strCache>
                <c:ptCount val="1"/>
                <c:pt idx="0">
                  <c:v>CC_ss_inv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Feuil1!$D$3:$D$7</c:f>
              <c:numCache>
                <c:formatCode>0.00E+00</c:formatCode>
                <c:ptCount val="5"/>
                <c:pt idx="0">
                  <c:v>-203340.08204525471</c:v>
                </c:pt>
                <c:pt idx="1">
                  <c:v>-203340.08204525471</c:v>
                </c:pt>
                <c:pt idx="2">
                  <c:v>-248327.39575109229</c:v>
                </c:pt>
                <c:pt idx="3">
                  <c:v>-271684.96764893451</c:v>
                </c:pt>
                <c:pt idx="4">
                  <c:v>-544740.82515175932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E0-4A88-807A-4C30C699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600079"/>
        <c:axId val="2123262095"/>
      </c:lineChart>
      <c:lineChart>
        <c:grouping val="standard"/>
        <c:varyColors val="0"/>
        <c:ser>
          <c:idx val="1"/>
          <c:order val="1"/>
          <c:tx>
            <c:strRef>
              <c:f>Feuil1!$C$2</c:f>
              <c:strCache>
                <c:ptCount val="1"/>
                <c:pt idx="0">
                  <c:v>EQ (excl. CC) (PDF.m2.yr)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Feuil1!$C$3:$C$7</c:f>
              <c:numCache>
                <c:formatCode>0.00E+00</c:formatCode>
                <c:ptCount val="5"/>
                <c:pt idx="0">
                  <c:v>-198476.4644159727</c:v>
                </c:pt>
                <c:pt idx="1">
                  <c:v>-165147.24454810651</c:v>
                </c:pt>
                <c:pt idx="2">
                  <c:v>-163891.8494255149</c:v>
                </c:pt>
                <c:pt idx="3">
                  <c:v>-157626.13086978649</c:v>
                </c:pt>
                <c:pt idx="4">
                  <c:v>-157626.13086978649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0-4A88-807A-4C30C699F4BB}"/>
            </c:ext>
          </c:extLst>
        </c:ser>
        <c:ser>
          <c:idx val="3"/>
          <c:order val="3"/>
          <c:tx>
            <c:strRef>
              <c:f>Feuil1!$E$2</c:f>
              <c:strCache>
                <c:ptCount val="1"/>
                <c:pt idx="0">
                  <c:v>EQ_ss_inv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Feuil1!$E$3:$E$7</c:f>
              <c:numCache>
                <c:formatCode>0.00E+00</c:formatCode>
                <c:ptCount val="5"/>
                <c:pt idx="0">
                  <c:v>-190007.86637597691</c:v>
                </c:pt>
                <c:pt idx="1">
                  <c:v>-190007.86637597691</c:v>
                </c:pt>
                <c:pt idx="2">
                  <c:v>-179147.4373195029</c:v>
                </c:pt>
                <c:pt idx="3">
                  <c:v>-158881.468839209</c:v>
                </c:pt>
                <c:pt idx="4">
                  <c:v>188919.45792481501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E0-4A88-807A-4C30C699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669375"/>
        <c:axId val="2123961023"/>
      </c:lineChart>
      <c:catAx>
        <c:axId val="204360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3262095"/>
        <c:crosses val="autoZero"/>
        <c:auto val="0"/>
        <c:lblAlgn val="ctr"/>
        <c:lblOffset val="100"/>
        <c:noMultiLvlLbl val="0"/>
      </c:catAx>
      <c:valAx>
        <c:axId val="2123262095"/>
        <c:scaling>
          <c:orientation val="minMax"/>
          <c:max val="-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CC (kgCO2eq)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3600079"/>
        <c:crosses val="autoZero"/>
        <c:crossBetween val="between"/>
      </c:valAx>
      <c:valAx>
        <c:axId val="2123961023"/>
        <c:scaling>
          <c:orientation val="minMax"/>
          <c:max val="19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EQ (excl. CC) (PDF.m2.yr)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cross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4669375"/>
        <c:crosses val="max"/>
        <c:crossBetween val="between"/>
      </c:valAx>
      <c:catAx>
        <c:axId val="203466937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Weight</a:t>
                </a:r>
                <a:r>
                  <a:rPr lang="fr-FR" baseline="0"/>
                  <a:t> of CC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crossAx val="2123961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325437</xdr:colOff>
      <xdr:row>11</xdr:row>
      <xdr:rowOff>79374</xdr:rowOff>
    </xdr:from>
    <xdr:to>
      <xdr:col>47</xdr:col>
      <xdr:colOff>333375</xdr:colOff>
      <xdr:row>31</xdr:row>
      <xdr:rowOff>104774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F3B2CD3-22F2-48A1-BD0A-5A6D8848D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47623</xdr:colOff>
      <xdr:row>7</xdr:row>
      <xdr:rowOff>38100</xdr:rowOff>
    </xdr:from>
    <xdr:to>
      <xdr:col>15</xdr:col>
      <xdr:colOff>723901</xdr:colOff>
      <xdr:row>34</xdr:row>
      <xdr:rowOff>149225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C823F93-CE17-4889-85C1-9E9A9BC63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2_EQ_ss_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1"/>
    </sheetNames>
    <sheetDataSet>
      <sheetData sheetId="0">
        <row r="3">
          <cell r="AD3">
            <v>-203340.08204525471</v>
          </cell>
          <cell r="AG3">
            <v>-190007.86637597691</v>
          </cell>
        </row>
        <row r="4">
          <cell r="AD4">
            <v>-203340.08204525471</v>
          </cell>
          <cell r="AG4">
            <v>-190007.86637597691</v>
          </cell>
        </row>
        <row r="5">
          <cell r="AD5">
            <v>-248327.39575109229</v>
          </cell>
          <cell r="AG5">
            <v>-179147.4373195029</v>
          </cell>
        </row>
        <row r="6">
          <cell r="AD6">
            <v>-271684.96764893451</v>
          </cell>
          <cell r="AG6">
            <v>-158881.468839209</v>
          </cell>
        </row>
        <row r="7">
          <cell r="AD7">
            <v>-544740.82515175932</v>
          </cell>
          <cell r="AG7">
            <v>188919.45792481501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"/>
  <sheetViews>
    <sheetView topLeftCell="AK3" workbookViewId="0">
      <selection activeCell="AQ8" sqref="AQ8"/>
    </sheetView>
  </sheetViews>
  <sheetFormatPr baseColWidth="10" defaultColWidth="8.7265625" defaultRowHeight="14.5" x14ac:dyDescent="0.35"/>
  <sheetData>
    <row r="1" spans="1:51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R2" t="s">
        <v>0</v>
      </c>
      <c r="AS2" t="s">
        <v>1</v>
      </c>
      <c r="AT2" t="s">
        <v>53</v>
      </c>
      <c r="AU2" t="s">
        <v>54</v>
      </c>
      <c r="AV2" t="s">
        <v>55</v>
      </c>
      <c r="AW2" t="s">
        <v>56</v>
      </c>
      <c r="AX2" t="s">
        <v>57</v>
      </c>
      <c r="AY2" t="s">
        <v>58</v>
      </c>
    </row>
    <row r="3" spans="1:51" x14ac:dyDescent="0.35">
      <c r="A3" s="1">
        <v>0</v>
      </c>
      <c r="B3" t="s">
        <v>42</v>
      </c>
      <c r="C3">
        <v>0.6</v>
      </c>
      <c r="AD3" s="3">
        <v>6.49</v>
      </c>
      <c r="AE3">
        <v>93.51</v>
      </c>
      <c r="AK3" s="4">
        <v>-154483.14646648639</v>
      </c>
      <c r="AL3" s="4">
        <v>-471564.82284293708</v>
      </c>
      <c r="AM3" s="4">
        <v>-3.3080242514265059</v>
      </c>
      <c r="AN3" s="4">
        <v>-198476.4644159727</v>
      </c>
      <c r="AO3" s="4">
        <v>0.36644820157272662</v>
      </c>
      <c r="AQ3">
        <v>0</v>
      </c>
      <c r="AR3">
        <f>SUM(D3:Y3)</f>
        <v>0</v>
      </c>
      <c r="AS3">
        <f>SUM(Z3:AB3)</f>
        <v>0</v>
      </c>
      <c r="AT3">
        <f>AC3</f>
        <v>0</v>
      </c>
      <c r="AU3">
        <f>SUM(AD3:AE3)</f>
        <v>100</v>
      </c>
      <c r="AV3">
        <f>SUM(AF3:AG3)</f>
        <v>0</v>
      </c>
      <c r="AW3">
        <f>AH3</f>
        <v>0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">
        <v>43</v>
      </c>
      <c r="C4">
        <v>0.6</v>
      </c>
      <c r="AJ4" s="3">
        <v>100</v>
      </c>
      <c r="AK4" s="4">
        <v>-643504.57746848057</v>
      </c>
      <c r="AL4" s="4">
        <v>-684134.54392147821</v>
      </c>
      <c r="AM4" s="4">
        <v>-6.3517927378926764</v>
      </c>
      <c r="AN4" s="4">
        <v>-165147.24454810651</v>
      </c>
      <c r="AO4" s="4">
        <v>0.63665305931573202</v>
      </c>
      <c r="AQ4">
        <v>0.25</v>
      </c>
      <c r="AR4">
        <f t="shared" ref="AR4:AR7" si="0">SUM(D4:Y4)</f>
        <v>0</v>
      </c>
      <c r="AS4">
        <f t="shared" ref="AS4:AS7" si="1">SUM(Z4:AB4)</f>
        <v>0</v>
      </c>
      <c r="AT4">
        <f t="shared" ref="AT4:AT7" si="2">AC4</f>
        <v>0</v>
      </c>
      <c r="AU4">
        <f t="shared" ref="AU4:AU7" si="3">SUM(AD4:AE4)</f>
        <v>0</v>
      </c>
      <c r="AV4">
        <f t="shared" ref="AV4:AV7" si="4">SUM(AF4:AG4)</f>
        <v>0</v>
      </c>
      <c r="AW4">
        <f t="shared" ref="AW4:AY7" si="5">AH4</f>
        <v>0</v>
      </c>
      <c r="AX4">
        <f t="shared" si="5"/>
        <v>0</v>
      </c>
      <c r="AY4">
        <f t="shared" si="5"/>
        <v>100</v>
      </c>
    </row>
    <row r="5" spans="1:51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-646893.57172358432</v>
      </c>
      <c r="AL5" s="4">
        <v>-683048.02951931697</v>
      </c>
      <c r="AM5" s="4">
        <v>-6.3578543683243343</v>
      </c>
      <c r="AN5" s="4">
        <v>-163891.8494255149</v>
      </c>
      <c r="AO5" s="4">
        <v>0.63214948940507365</v>
      </c>
      <c r="AQ5">
        <v>0.5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</row>
    <row r="6" spans="1:51" x14ac:dyDescent="0.35">
      <c r="A6" s="1">
        <v>3</v>
      </c>
      <c r="B6" t="s">
        <v>45</v>
      </c>
      <c r="C6">
        <v>0.6</v>
      </c>
      <c r="D6" s="3">
        <v>0.37</v>
      </c>
      <c r="E6">
        <v>2.52</v>
      </c>
      <c r="I6">
        <v>1.29</v>
      </c>
      <c r="X6">
        <v>2.3199999999999998</v>
      </c>
      <c r="AJ6" s="3">
        <v>93.51</v>
      </c>
      <c r="AK6" s="4">
        <v>-656979.85992353165</v>
      </c>
      <c r="AL6" s="4">
        <v>-675655.61481981387</v>
      </c>
      <c r="AM6" s="4">
        <v>-6.3501085548001077</v>
      </c>
      <c r="AN6" s="4">
        <v>-157626.13086978649</v>
      </c>
      <c r="AO6" s="4">
        <v>0.6218076245490981</v>
      </c>
      <c r="AQ6">
        <v>0.75</v>
      </c>
      <c r="AR6">
        <f t="shared" si="0"/>
        <v>6.5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93.51</v>
      </c>
    </row>
    <row r="7" spans="1:51" x14ac:dyDescent="0.35">
      <c r="A7" s="1">
        <v>4</v>
      </c>
      <c r="B7" t="s">
        <v>46</v>
      </c>
      <c r="C7">
        <v>0.6</v>
      </c>
      <c r="D7" s="3">
        <v>0.37</v>
      </c>
      <c r="E7">
        <v>2.52</v>
      </c>
      <c r="I7">
        <v>1.29</v>
      </c>
      <c r="X7">
        <v>2.3199999999999998</v>
      </c>
      <c r="AJ7" s="3">
        <v>93.51</v>
      </c>
      <c r="AK7" s="4">
        <v>-656979.85992353165</v>
      </c>
      <c r="AL7" s="4">
        <v>-675655.61481981387</v>
      </c>
      <c r="AM7" s="4">
        <v>-6.3501085548001077</v>
      </c>
      <c r="AN7" s="4">
        <v>-157626.13086978649</v>
      </c>
      <c r="AO7" s="4">
        <v>0.6218076245490981</v>
      </c>
      <c r="AQ7">
        <v>1</v>
      </c>
      <c r="AR7">
        <f t="shared" si="0"/>
        <v>6.5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93.51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FC26-4B75-49D2-8C92-762E59C87396}">
  <dimension ref="A1:E7"/>
  <sheetViews>
    <sheetView workbookViewId="0">
      <selection activeCell="P12" sqref="P12"/>
    </sheetView>
  </sheetViews>
  <sheetFormatPr baseColWidth="10" defaultRowHeight="14.5" x14ac:dyDescent="0.35"/>
  <cols>
    <col min="1" max="1" width="13.08984375" customWidth="1"/>
    <col min="2" max="2" width="16.81640625" customWidth="1"/>
  </cols>
  <sheetData>
    <row r="1" spans="1:5" x14ac:dyDescent="0.35">
      <c r="B1" t="s">
        <v>49</v>
      </c>
      <c r="D1" t="s">
        <v>50</v>
      </c>
    </row>
    <row r="2" spans="1:5" x14ac:dyDescent="0.35">
      <c r="B2" t="s">
        <v>47</v>
      </c>
      <c r="C2" t="s">
        <v>48</v>
      </c>
      <c r="D2" t="s">
        <v>51</v>
      </c>
      <c r="E2" t="s">
        <v>52</v>
      </c>
    </row>
    <row r="3" spans="1:5" x14ac:dyDescent="0.35">
      <c r="A3">
        <v>0</v>
      </c>
      <c r="B3" s="4">
        <f>results!AK3</f>
        <v>-154483.14646648639</v>
      </c>
      <c r="C3" s="4">
        <f>results!AN3</f>
        <v>-198476.4644159727</v>
      </c>
      <c r="D3" s="4">
        <f>[1]results!AD3</f>
        <v>-203340.08204525471</v>
      </c>
      <c r="E3" s="4">
        <f>[1]results!AG3</f>
        <v>-190007.86637597691</v>
      </c>
    </row>
    <row r="4" spans="1:5" x14ac:dyDescent="0.35">
      <c r="A4">
        <v>0.25</v>
      </c>
      <c r="B4" s="4">
        <f>results!AK4</f>
        <v>-643504.57746848057</v>
      </c>
      <c r="C4" s="4">
        <f>results!AN4</f>
        <v>-165147.24454810651</v>
      </c>
      <c r="D4" s="4">
        <f>[1]results!AD4</f>
        <v>-203340.08204525471</v>
      </c>
      <c r="E4" s="4">
        <f>[1]results!AG4</f>
        <v>-190007.86637597691</v>
      </c>
    </row>
    <row r="5" spans="1:5" x14ac:dyDescent="0.35">
      <c r="A5">
        <v>0.5</v>
      </c>
      <c r="B5" s="4">
        <f>results!AK5</f>
        <v>-646893.57172358432</v>
      </c>
      <c r="C5" s="4">
        <f>results!AN5</f>
        <v>-163891.8494255149</v>
      </c>
      <c r="D5" s="4">
        <f>[1]results!AD5</f>
        <v>-248327.39575109229</v>
      </c>
      <c r="E5" s="4">
        <f>[1]results!AG5</f>
        <v>-179147.4373195029</v>
      </c>
    </row>
    <row r="6" spans="1:5" x14ac:dyDescent="0.35">
      <c r="A6">
        <v>0.75</v>
      </c>
      <c r="B6" s="4">
        <f>results!AK6</f>
        <v>-656979.85992353165</v>
      </c>
      <c r="C6" s="4">
        <f>results!AN6</f>
        <v>-157626.13086978649</v>
      </c>
      <c r="D6" s="4">
        <f>[1]results!AD6</f>
        <v>-271684.96764893451</v>
      </c>
      <c r="E6" s="4">
        <f>[1]results!AG6</f>
        <v>-158881.468839209</v>
      </c>
    </row>
    <row r="7" spans="1:5" x14ac:dyDescent="0.35">
      <c r="A7">
        <v>1</v>
      </c>
      <c r="B7" s="4">
        <f>results!AK7</f>
        <v>-656979.85992353165</v>
      </c>
      <c r="C7" s="4">
        <f>results!AN7</f>
        <v>-157626.13086978649</v>
      </c>
      <c r="D7" s="4">
        <f>[1]results!AD7</f>
        <v>-544740.82515175932</v>
      </c>
      <c r="E7" s="4">
        <f>[1]results!AG7</f>
        <v>188919.45792481501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E4AD-CC1C-4E1B-A05B-A722356DE3AE}">
  <dimension ref="A1:F6"/>
  <sheetViews>
    <sheetView tabSelected="1" workbookViewId="0">
      <selection activeCell="H11" sqref="H11"/>
    </sheetView>
  </sheetViews>
  <sheetFormatPr baseColWidth="10" defaultRowHeight="14.5" x14ac:dyDescent="0.35"/>
  <cols>
    <col min="3" max="3" width="24" customWidth="1"/>
  </cols>
  <sheetData>
    <row r="1" spans="1:6" x14ac:dyDescent="0.3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35">
      <c r="A2">
        <v>0</v>
      </c>
      <c r="C2" s="11">
        <v>135096.79999999999</v>
      </c>
      <c r="D2" s="11">
        <v>208.2</v>
      </c>
      <c r="E2" s="11">
        <v>3000</v>
      </c>
    </row>
    <row r="3" spans="1:6" x14ac:dyDescent="0.35">
      <c r="A3">
        <v>0.25</v>
      </c>
      <c r="C3" s="11">
        <v>135096.79999999999</v>
      </c>
      <c r="F3" s="11">
        <v>3208.2</v>
      </c>
    </row>
    <row r="4" spans="1:6" x14ac:dyDescent="0.35">
      <c r="A4">
        <v>0.5</v>
      </c>
      <c r="B4" s="11">
        <v>18092.86</v>
      </c>
      <c r="C4" s="11">
        <v>133358.57</v>
      </c>
      <c r="F4" s="11">
        <v>3166.9</v>
      </c>
    </row>
    <row r="5" spans="1:6" x14ac:dyDescent="0.35">
      <c r="A5">
        <v>0.75</v>
      </c>
      <c r="B5">
        <f>91256.49+95355.32</f>
        <v>186611.81</v>
      </c>
      <c r="C5" s="11">
        <v>30974.22</v>
      </c>
      <c r="F5" s="11">
        <v>3000</v>
      </c>
    </row>
    <row r="6" spans="1:6" x14ac:dyDescent="0.35">
      <c r="A6">
        <v>1</v>
      </c>
      <c r="B6">
        <f>91256.49+95355.32</f>
        <v>186611.81</v>
      </c>
      <c r="C6" s="11">
        <v>30974.22</v>
      </c>
      <c r="F6" s="1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results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2026-03-17T10:58:51Z</dcterms:modified>
</cp:coreProperties>
</file>