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PARETO\Résultat avec contrainte\"/>
    </mc:Choice>
  </mc:AlternateContent>
  <xr:revisionPtr revIDLastSave="0" documentId="13_ncr:1_{3962FB20-CE3A-42AF-8017-B288C9250600}" xr6:coauthVersionLast="36" xr6:coauthVersionMax="36" xr10:uidLastSave="{00000000-0000-0000-0000-000000000000}"/>
  <bookViews>
    <workbookView xWindow="0" yWindow="0" windowWidth="19200" windowHeight="7750" activeTab="1" xr2:uid="{00000000-000D-0000-FFFF-FFFF00000000}"/>
  </bookViews>
  <sheets>
    <sheet name="results" sheetId="1" r:id="rId1"/>
    <sheet name="Feuil2" sheetId="3" r:id="rId2"/>
    <sheet name="Feuil1" sheetId="2" r:id="rId3"/>
  </sheets>
  <externalReferences>
    <externalReference r:id="rId4"/>
  </externalReferences>
  <calcPr calcId="191029"/>
</workbook>
</file>

<file path=xl/calcChain.xml><?xml version="1.0" encoding="utf-8"?>
<calcChain xmlns="http://schemas.openxmlformats.org/spreadsheetml/2006/main">
  <c r="B6" i="3" l="1"/>
  <c r="B5" i="3"/>
  <c r="B4" i="3"/>
  <c r="B3" i="3"/>
  <c r="B2" i="3"/>
  <c r="B2" i="2" l="1"/>
  <c r="AY7" i="1" l="1"/>
  <c r="AX7" i="1"/>
  <c r="AW7" i="1"/>
  <c r="AV7" i="1"/>
  <c r="AU7" i="1"/>
  <c r="AT7" i="1"/>
  <c r="AS7" i="1"/>
  <c r="AR7" i="1"/>
  <c r="AY6" i="1"/>
  <c r="AX6" i="1"/>
  <c r="AW6" i="1"/>
  <c r="AV6" i="1"/>
  <c r="AU6" i="1"/>
  <c r="AT6" i="1"/>
  <c r="AS6" i="1"/>
  <c r="AR6" i="1"/>
  <c r="AY5" i="1"/>
  <c r="AX5" i="1"/>
  <c r="AW5" i="1"/>
  <c r="AV5" i="1"/>
  <c r="AU5" i="1"/>
  <c r="AT5" i="1"/>
  <c r="AS5" i="1"/>
  <c r="AR5" i="1"/>
  <c r="AY4" i="1"/>
  <c r="AX4" i="1"/>
  <c r="AW4" i="1"/>
  <c r="AV4" i="1"/>
  <c r="AU4" i="1"/>
  <c r="AT4" i="1"/>
  <c r="AS4" i="1"/>
  <c r="AR4" i="1"/>
  <c r="AY3" i="1"/>
  <c r="AX3" i="1"/>
  <c r="AW3" i="1"/>
  <c r="AV3" i="1"/>
  <c r="AU3" i="1"/>
  <c r="AT3" i="1"/>
  <c r="AS3" i="1"/>
  <c r="AR3" i="1"/>
  <c r="E2" i="2" l="1"/>
  <c r="E3" i="2"/>
  <c r="E4" i="2"/>
  <c r="E5" i="2"/>
  <c r="E6" i="2"/>
  <c r="E7" i="2"/>
  <c r="D2" i="2"/>
  <c r="D3" i="2"/>
  <c r="D4" i="2"/>
  <c r="D5" i="2"/>
  <c r="D6" i="2"/>
  <c r="D7" i="2"/>
  <c r="C2" i="2"/>
  <c r="C3" i="2"/>
  <c r="C4" i="2"/>
  <c r="C5" i="2"/>
  <c r="C6" i="2"/>
  <c r="C7" i="2"/>
  <c r="B3" i="2"/>
  <c r="B4" i="2"/>
  <c r="B5" i="2"/>
  <c r="B6" i="2"/>
  <c r="B7" i="2"/>
</calcChain>
</file>

<file path=xl/sharedStrings.xml><?xml version="1.0" encoding="utf-8"?>
<sst xmlns="http://schemas.openxmlformats.org/spreadsheetml/2006/main" count="69" uniqueCount="61">
  <si>
    <t>HC</t>
  </si>
  <si>
    <t>IC</t>
  </si>
  <si>
    <t>AD-a</t>
  </si>
  <si>
    <t>AD-b</t>
  </si>
  <si>
    <t>AD-c</t>
  </si>
  <si>
    <t>AD-d</t>
  </si>
  <si>
    <t>AD-e</t>
  </si>
  <si>
    <t>AD-f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</si>
  <si>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</si>
  <si>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</si>
  <si>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</si>
  <si>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</si>
  <si>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</si>
  <si>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</si>
  <si>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</si>
  <si>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</si>
  <si>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</si>
  <si>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</si>
  <si>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</si>
  <si>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</si>
  <si>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</si>
  <si>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</si>
  <si>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</si>
  <si>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</si>
  <si>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</si>
  <si>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</si>
  <si>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</si>
  <si>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</si>
  <si>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</si>
  <si>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</si>
  <si>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</si>
  <si>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</si>
  <si>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</si>
  <si>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</si>
  <si>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Villiers</t>
  </si>
  <si>
    <t>Refood</t>
  </si>
  <si>
    <t>Biometa</t>
  </si>
  <si>
    <t>Carbon</t>
  </si>
  <si>
    <t>EQ</t>
  </si>
  <si>
    <t>HH</t>
  </si>
  <si>
    <t>EQssC</t>
  </si>
  <si>
    <t>HHssC</t>
  </si>
  <si>
    <t>1.0</t>
  </si>
  <si>
    <t>2.0</t>
  </si>
  <si>
    <t>3.0</t>
  </si>
  <si>
    <t>4.0</t>
  </si>
  <si>
    <t>5.0</t>
  </si>
  <si>
    <t>With investment</t>
  </si>
  <si>
    <t>Without investment</t>
  </si>
  <si>
    <t>AD-cog-dig</t>
  </si>
  <si>
    <t>AD-cog-comp</t>
  </si>
  <si>
    <t>AD-biomet-dig</t>
  </si>
  <si>
    <t>AD-biomet-comp</t>
  </si>
  <si>
    <t>AD-heat-dig</t>
  </si>
  <si>
    <t>AD-heat-comp</t>
  </si>
  <si>
    <t>Weight of CO2</t>
  </si>
  <si>
    <t>Peat_hobby</t>
  </si>
  <si>
    <t>peat_pro</t>
  </si>
  <si>
    <t>AD-b refood</t>
  </si>
  <si>
    <t>AD-b Villiers</t>
  </si>
  <si>
    <t>AD-f Villers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</si>
</sst>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7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results!$AR$2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results!$AR$3:$AR$7</c:f>
              <c:numCache>
                <c:formatCode>General</c:formatCode>
                <c:ptCount val="5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6.5</c:v>
                </c:pt>
                <c:pt idx="4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8D-4EDE-BE30-0272ABB61A04}"/>
            </c:ext>
          </c:extLst>
        </c:ser>
        <c:ser>
          <c:idx val="1"/>
          <c:order val="1"/>
          <c:tx>
            <c:strRef>
              <c:f>results!$AS$2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results!$AS$3:$AS$7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8D-4EDE-BE30-0272ABB61A04}"/>
            </c:ext>
          </c:extLst>
        </c:ser>
        <c:ser>
          <c:idx val="2"/>
          <c:order val="2"/>
          <c:tx>
            <c:strRef>
              <c:f>results!$AT$2</c:f>
              <c:strCache>
                <c:ptCount val="1"/>
                <c:pt idx="0">
                  <c:v>AD-cog-dig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results!$AT$3:$AT$7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8D-4EDE-BE30-0272ABB61A04}"/>
            </c:ext>
          </c:extLst>
        </c:ser>
        <c:ser>
          <c:idx val="3"/>
          <c:order val="3"/>
          <c:tx>
            <c:strRef>
              <c:f>results!$AU$2</c:f>
              <c:strCache>
                <c:ptCount val="1"/>
                <c:pt idx="0">
                  <c:v>AD-cog-comp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results!$AU$3:$AU$7</c:f>
              <c:numCache>
                <c:formatCode>General</c:formatCode>
                <c:ptCount val="5"/>
                <c:pt idx="0">
                  <c:v>93.51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8D-4EDE-BE30-0272ABB61A04}"/>
            </c:ext>
          </c:extLst>
        </c:ser>
        <c:ser>
          <c:idx val="4"/>
          <c:order val="4"/>
          <c:tx>
            <c:strRef>
              <c:f>results!$AV$2</c:f>
              <c:strCache>
                <c:ptCount val="1"/>
                <c:pt idx="0">
                  <c:v>AD-biomet-dig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results!$AV$3:$AV$7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A8D-4EDE-BE30-0272ABB61A04}"/>
            </c:ext>
          </c:extLst>
        </c:ser>
        <c:ser>
          <c:idx val="5"/>
          <c:order val="5"/>
          <c:tx>
            <c:strRef>
              <c:f>results!$AW$2</c:f>
              <c:strCache>
                <c:ptCount val="1"/>
                <c:pt idx="0">
                  <c:v>AD-biomet-comp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results!$AW$3:$AW$7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A8D-4EDE-BE30-0272ABB61A04}"/>
            </c:ext>
          </c:extLst>
        </c:ser>
        <c:ser>
          <c:idx val="6"/>
          <c:order val="6"/>
          <c:tx>
            <c:strRef>
              <c:f>results!$AX$2</c:f>
              <c:strCache>
                <c:ptCount val="1"/>
                <c:pt idx="0">
                  <c:v>AD-heat-dig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results!$AX$3:$AX$7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A8D-4EDE-BE30-0272ABB61A04}"/>
            </c:ext>
          </c:extLst>
        </c:ser>
        <c:ser>
          <c:idx val="7"/>
          <c:order val="7"/>
          <c:tx>
            <c:strRef>
              <c:f>results!$AY$2</c:f>
              <c:strCache>
                <c:ptCount val="1"/>
                <c:pt idx="0">
                  <c:v>AD-heat-comp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results!$AQ$3:$AQ$7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results!$AY$3:$AY$7</c:f>
              <c:numCache>
                <c:formatCode>General</c:formatCode>
                <c:ptCount val="5"/>
                <c:pt idx="0">
                  <c:v>0</c:v>
                </c:pt>
                <c:pt idx="1">
                  <c:v>93.51</c:v>
                </c:pt>
                <c:pt idx="2">
                  <c:v>93.51</c:v>
                </c:pt>
                <c:pt idx="3">
                  <c:v>93.51</c:v>
                </c:pt>
                <c:pt idx="4">
                  <c:v>93.51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A8D-4EDE-BE30-0272ABB61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20007807"/>
        <c:axId val="334452079"/>
      </c:barChart>
      <c:catAx>
        <c:axId val="212000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34452079"/>
        <c:crosses val="autoZero"/>
        <c:auto val="1"/>
        <c:lblAlgn val="ctr"/>
        <c:lblOffset val="100"/>
        <c:noMultiLvlLbl val="0"/>
      </c:catAx>
      <c:valAx>
        <c:axId val="33445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20007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Feuil1!$B$2</c:f>
              <c:strCache>
                <c:ptCount val="1"/>
                <c:pt idx="0">
                  <c:v>Carbon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9050">
                <a:solidFill>
                  <a:schemeClr val="accent1"/>
                </a:solidFill>
                <a:prstDash val="sysDash"/>
              </a:ln>
              <a:effectLst/>
            </c:spPr>
          </c:marker>
          <c:cat>
            <c:numRef>
              <c:f>Feuil1!$A$3:$A$7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Feuil1!$B$3:$B$7</c:f>
              <c:numCache>
                <c:formatCode>General</c:formatCode>
                <c:ptCount val="5"/>
                <c:pt idx="0">
                  <c:v>-203340.0842835083</c:v>
                </c:pt>
                <c:pt idx="1">
                  <c:v>-656979.85992353165</c:v>
                </c:pt>
                <c:pt idx="2">
                  <c:v>-656979.85992353165</c:v>
                </c:pt>
                <c:pt idx="3">
                  <c:v>-656979.85992353165</c:v>
                </c:pt>
                <c:pt idx="4">
                  <c:v>-656979.85992353165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FF-4CB9-8A31-E5FC78A6A275}"/>
            </c:ext>
          </c:extLst>
        </c:ser>
        <c:ser>
          <c:idx val="2"/>
          <c:order val="2"/>
          <c:tx>
            <c:strRef>
              <c:f>Feuil1!$D$2</c:f>
              <c:strCache>
                <c:ptCount val="1"/>
                <c:pt idx="0">
                  <c:v>Carbon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19050">
                <a:solidFill>
                  <a:schemeClr val="accent1"/>
                </a:solidFill>
              </a:ln>
              <a:effectLst/>
            </c:spPr>
          </c:marker>
          <c:cat>
            <c:numRef>
              <c:f>Feuil1!$A$3:$A$7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Feuil1!$D$3:$D$7</c:f>
              <c:numCache>
                <c:formatCode>General</c:formatCode>
                <c:ptCount val="5"/>
                <c:pt idx="0">
                  <c:v>-203340.0842835083</c:v>
                </c:pt>
                <c:pt idx="1">
                  <c:v>-271684.9677193996</c:v>
                </c:pt>
                <c:pt idx="2">
                  <c:v>-271684.9677193996</c:v>
                </c:pt>
                <c:pt idx="3">
                  <c:v>-544740.82515175932</c:v>
                </c:pt>
                <c:pt idx="4">
                  <c:v>-544740.82515175932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FF-4CB9-8A31-E5FC78A6A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225439"/>
        <c:axId val="334426287"/>
      </c:lineChart>
      <c:lineChart>
        <c:grouping val="standard"/>
        <c:varyColors val="0"/>
        <c:ser>
          <c:idx val="1"/>
          <c:order val="1"/>
          <c:tx>
            <c:strRef>
              <c:f>Feuil1!$C$2</c:f>
              <c:strCache>
                <c:ptCount val="1"/>
                <c:pt idx="0">
                  <c:v>HHssC</c:v>
                </c:pt>
              </c:strCache>
            </c:strRef>
          </c:tx>
          <c:spPr>
            <a:ln w="19050" cap="rnd">
              <a:solidFill>
                <a:schemeClr val="accent3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9050">
                <a:solidFill>
                  <a:schemeClr val="accent3">
                    <a:lumMod val="75000"/>
                  </a:schemeClr>
                </a:solidFill>
                <a:prstDash val="sysDash"/>
              </a:ln>
              <a:effectLst/>
            </c:spPr>
          </c:marker>
          <c:cat>
            <c:numRef>
              <c:f>Feuil1!$A$3:$A$7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Feuil1!$C$3:$C$7</c:f>
              <c:numCache>
                <c:formatCode>General</c:formatCode>
                <c:ptCount val="5"/>
                <c:pt idx="0">
                  <c:v>0.36546878935102339</c:v>
                </c:pt>
                <c:pt idx="1">
                  <c:v>0.6218076245490981</c:v>
                </c:pt>
                <c:pt idx="2">
                  <c:v>0.6218076245490981</c:v>
                </c:pt>
                <c:pt idx="3">
                  <c:v>0.6218076245490981</c:v>
                </c:pt>
                <c:pt idx="4">
                  <c:v>0.6218076245490981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FF-4CB9-8A31-E5FC78A6A275}"/>
            </c:ext>
          </c:extLst>
        </c:ser>
        <c:ser>
          <c:idx val="3"/>
          <c:order val="3"/>
          <c:tx>
            <c:strRef>
              <c:f>Feuil1!$E$2</c:f>
              <c:strCache>
                <c:ptCount val="1"/>
                <c:pt idx="0">
                  <c:v>HHssC</c:v>
                </c:pt>
              </c:strCache>
            </c:strRef>
          </c:tx>
          <c:spPr>
            <a:ln w="19050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/>
            </c:spPr>
          </c:marker>
          <c:cat>
            <c:numRef>
              <c:f>Feuil1!$A$3:$A$7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Feuil1!$E$3:$E$7</c:f>
              <c:numCache>
                <c:formatCode>General</c:formatCode>
                <c:ptCount val="5"/>
                <c:pt idx="0">
                  <c:v>0.36546878935102339</c:v>
                </c:pt>
                <c:pt idx="1">
                  <c:v>0.4149897620013091</c:v>
                </c:pt>
                <c:pt idx="2">
                  <c:v>0.4149897620013091</c:v>
                </c:pt>
                <c:pt idx="3">
                  <c:v>2.2999443118901919</c:v>
                </c:pt>
                <c:pt idx="4">
                  <c:v>2.2999443118901919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FF-4CB9-8A31-E5FC78A6A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789615"/>
        <c:axId val="334432111"/>
      </c:lineChart>
      <c:catAx>
        <c:axId val="63225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34426287"/>
        <c:crosses val="autoZero"/>
        <c:auto val="1"/>
        <c:lblAlgn val="ctr"/>
        <c:lblOffset val="100"/>
        <c:noMultiLvlLbl val="0"/>
      </c:catAx>
      <c:valAx>
        <c:axId val="33442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225439"/>
        <c:crosses val="autoZero"/>
        <c:crossBetween val="between"/>
      </c:valAx>
      <c:valAx>
        <c:axId val="33443211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6789615"/>
        <c:crosses val="max"/>
        <c:crossBetween val="between"/>
      </c:valAx>
      <c:catAx>
        <c:axId val="1367896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344321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533400</xdr:colOff>
      <xdr:row>10</xdr:row>
      <xdr:rowOff>142875</xdr:rowOff>
    </xdr:from>
    <xdr:to>
      <xdr:col>40</xdr:col>
      <xdr:colOff>228600</xdr:colOff>
      <xdr:row>25</xdr:row>
      <xdr:rowOff>171450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28E551A-8F15-4AE9-8DB3-6E9225EBB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533397</xdr:colOff>
      <xdr:row>10</xdr:row>
      <xdr:rowOff>25400</xdr:rowOff>
    </xdr:from>
    <xdr:to>
      <xdr:col>16</xdr:col>
      <xdr:colOff>542924</xdr:colOff>
      <xdr:row>30</xdr:row>
      <xdr:rowOff>57150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24C4613-F0EA-4F5E-9F90-5B6994703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2_HH_ss_in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Feuil1"/>
    </sheetNames>
    <sheetDataSet>
      <sheetData sheetId="0">
        <row r="2">
          <cell r="AD2" t="str">
            <v>Carbon</v>
          </cell>
          <cell r="AH2" t="str">
            <v>HHssC</v>
          </cell>
        </row>
        <row r="3">
          <cell r="AD3">
            <v>-203340.0842835083</v>
          </cell>
          <cell r="AH3">
            <v>0.36546878935102339</v>
          </cell>
        </row>
        <row r="4">
          <cell r="AD4">
            <v>-271684.9677193996</v>
          </cell>
          <cell r="AH4">
            <v>0.4149897620013091</v>
          </cell>
        </row>
        <row r="5">
          <cell r="AD5">
            <v>-271684.9677193996</v>
          </cell>
          <cell r="AH5">
            <v>0.4149897620013091</v>
          </cell>
        </row>
        <row r="6">
          <cell r="AD6">
            <v>-544740.82515175932</v>
          </cell>
          <cell r="AH6">
            <v>2.2999443118901919</v>
          </cell>
        </row>
        <row r="7">
          <cell r="AD7">
            <v>-544740.82515175932</v>
          </cell>
          <cell r="AH7">
            <v>2.2999443118901919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7"/>
  <sheetViews>
    <sheetView topLeftCell="AJ1" workbookViewId="0">
      <selection activeCell="AQ8" sqref="AQ8"/>
    </sheetView>
  </sheetViews>
  <sheetFormatPr baseColWidth="10" defaultColWidth="8.7265625" defaultRowHeight="14.5" x14ac:dyDescent="0.35"/>
  <sheetData>
    <row r="1" spans="1:51" x14ac:dyDescent="0.35">
      <c r="A1" s="2"/>
      <c r="B1" s="8"/>
      <c r="C1" s="9"/>
      <c r="D1" s="8" t="s">
        <v>0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9"/>
      <c r="Z1" s="8" t="s">
        <v>1</v>
      </c>
      <c r="AA1" s="10"/>
      <c r="AB1" s="9"/>
      <c r="AC1" s="2" t="s">
        <v>2</v>
      </c>
      <c r="AD1" s="8" t="s">
        <v>3</v>
      </c>
      <c r="AE1" s="9"/>
      <c r="AF1" s="8" t="s">
        <v>4</v>
      </c>
      <c r="AG1" s="9"/>
      <c r="AH1" s="2" t="s">
        <v>5</v>
      </c>
      <c r="AI1" s="2" t="s">
        <v>6</v>
      </c>
      <c r="AJ1" s="5" t="s">
        <v>7</v>
      </c>
      <c r="AK1" s="6"/>
      <c r="AL1" s="6"/>
      <c r="AM1" s="6"/>
      <c r="AN1" s="6"/>
      <c r="AO1" s="7"/>
    </row>
    <row r="2" spans="1:51" x14ac:dyDescent="0.35">
      <c r="A2" s="2"/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34</v>
      </c>
      <c r="AD2" s="2" t="s">
        <v>35</v>
      </c>
      <c r="AE2" s="2" t="s">
        <v>34</v>
      </c>
      <c r="AF2" s="2" t="s">
        <v>36</v>
      </c>
      <c r="AG2" s="2" t="s">
        <v>34</v>
      </c>
      <c r="AH2" s="2" t="s">
        <v>34</v>
      </c>
      <c r="AI2" s="2" t="s">
        <v>34</v>
      </c>
      <c r="AJ2" s="2" t="s">
        <v>34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R2" t="s">
        <v>0</v>
      </c>
      <c r="AS2" t="s">
        <v>1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</row>
    <row r="3" spans="1:51" x14ac:dyDescent="0.35">
      <c r="A3" s="1">
        <v>0</v>
      </c>
      <c r="B3" t="s">
        <v>42</v>
      </c>
      <c r="C3">
        <v>0.6</v>
      </c>
      <c r="D3" s="3">
        <v>0.37</v>
      </c>
      <c r="E3">
        <v>2.52</v>
      </c>
      <c r="I3">
        <v>1.29</v>
      </c>
      <c r="X3">
        <v>2.3199999999999998</v>
      </c>
      <c r="AD3" s="3">
        <v>93.51</v>
      </c>
      <c r="AK3" s="4">
        <v>-203340.0842835083</v>
      </c>
      <c r="AL3" s="4">
        <v>-479894.37340540468</v>
      </c>
      <c r="AM3" s="4">
        <v>-3.5317706843912799</v>
      </c>
      <c r="AN3" s="4">
        <v>-190007.86677072401</v>
      </c>
      <c r="AO3" s="4">
        <v>0.36546878935102339</v>
      </c>
      <c r="AQ3">
        <v>0</v>
      </c>
      <c r="AR3">
        <f>SUM(D3:Y3)</f>
        <v>6.5</v>
      </c>
      <c r="AS3">
        <f>SUM(Z3:AB3)</f>
        <v>0</v>
      </c>
      <c r="AT3">
        <f>AC3</f>
        <v>0</v>
      </c>
      <c r="AU3">
        <f>SUM(AD3:AE3)</f>
        <v>93.51</v>
      </c>
      <c r="AV3">
        <f>SUM(AF3:AG3)</f>
        <v>0</v>
      </c>
      <c r="AW3">
        <f>AH3</f>
        <v>0</v>
      </c>
      <c r="AX3">
        <f>AI3</f>
        <v>0</v>
      </c>
      <c r="AY3">
        <f>AJ3</f>
        <v>0</v>
      </c>
    </row>
    <row r="4" spans="1:51" x14ac:dyDescent="0.35">
      <c r="A4" s="1">
        <v>1</v>
      </c>
      <c r="B4" t="s">
        <v>43</v>
      </c>
      <c r="C4">
        <v>0.6</v>
      </c>
      <c r="D4" s="3">
        <v>0.37</v>
      </c>
      <c r="E4">
        <v>2.52</v>
      </c>
      <c r="I4">
        <v>1.29</v>
      </c>
      <c r="X4">
        <v>2.3199999999999998</v>
      </c>
      <c r="AJ4" s="3">
        <v>93.51</v>
      </c>
      <c r="AK4" s="4">
        <v>-656979.85992353165</v>
      </c>
      <c r="AL4" s="4">
        <v>-675655.61481981387</v>
      </c>
      <c r="AM4" s="4">
        <v>-6.3501085548001077</v>
      </c>
      <c r="AN4" s="4">
        <v>-157626.13086978649</v>
      </c>
      <c r="AO4" s="4">
        <v>0.6218076245490981</v>
      </c>
      <c r="AQ4">
        <v>0.25</v>
      </c>
      <c r="AR4">
        <f t="shared" ref="AR4:AR7" si="0">SUM(D4:Y4)</f>
        <v>6.5</v>
      </c>
      <c r="AS4">
        <f t="shared" ref="AS4:AS7" si="1">SUM(Z4:AB4)</f>
        <v>0</v>
      </c>
      <c r="AT4">
        <f t="shared" ref="AT4:AT7" si="2">AC4</f>
        <v>0</v>
      </c>
      <c r="AU4">
        <f t="shared" ref="AU4:AU7" si="3">SUM(AD4:AE4)</f>
        <v>0</v>
      </c>
      <c r="AV4">
        <f t="shared" ref="AV4:AV7" si="4">SUM(AF4:AG4)</f>
        <v>0</v>
      </c>
      <c r="AW4">
        <f t="shared" ref="AW4:AY7" si="5">AH4</f>
        <v>0</v>
      </c>
      <c r="AX4">
        <f t="shared" si="5"/>
        <v>0</v>
      </c>
      <c r="AY4">
        <f t="shared" si="5"/>
        <v>93.51</v>
      </c>
    </row>
    <row r="5" spans="1:51" x14ac:dyDescent="0.35">
      <c r="A5" s="1">
        <v>2</v>
      </c>
      <c r="B5" t="s">
        <v>44</v>
      </c>
      <c r="C5">
        <v>0.6</v>
      </c>
      <c r="D5" s="3">
        <v>0.37</v>
      </c>
      <c r="E5">
        <v>2.52</v>
      </c>
      <c r="I5">
        <v>1.29</v>
      </c>
      <c r="X5">
        <v>2.3199999999999998</v>
      </c>
      <c r="AJ5" s="3">
        <v>93.51</v>
      </c>
      <c r="AK5" s="4">
        <v>-656979.85992353165</v>
      </c>
      <c r="AL5" s="4">
        <v>-675655.61481981387</v>
      </c>
      <c r="AM5" s="4">
        <v>-6.3501085548001077</v>
      </c>
      <c r="AN5" s="4">
        <v>-157626.13086978649</v>
      </c>
      <c r="AO5" s="4">
        <v>0.6218076245490981</v>
      </c>
      <c r="AQ5">
        <v>0.5</v>
      </c>
      <c r="AR5">
        <f t="shared" si="0"/>
        <v>6.5</v>
      </c>
      <c r="AS5">
        <f t="shared" si="1"/>
        <v>0</v>
      </c>
      <c r="AT5">
        <f t="shared" si="2"/>
        <v>0</v>
      </c>
      <c r="AU5">
        <f t="shared" si="3"/>
        <v>0</v>
      </c>
      <c r="AV5">
        <f t="shared" si="4"/>
        <v>0</v>
      </c>
      <c r="AW5">
        <f t="shared" si="5"/>
        <v>0</v>
      </c>
      <c r="AX5">
        <f t="shared" si="5"/>
        <v>0</v>
      </c>
      <c r="AY5">
        <f t="shared" si="5"/>
        <v>93.51</v>
      </c>
    </row>
    <row r="6" spans="1:51" x14ac:dyDescent="0.35">
      <c r="A6" s="1">
        <v>3</v>
      </c>
      <c r="B6" t="s">
        <v>45</v>
      </c>
      <c r="C6">
        <v>0.6</v>
      </c>
      <c r="D6" s="3">
        <v>0.37</v>
      </c>
      <c r="E6">
        <v>2.52</v>
      </c>
      <c r="I6">
        <v>1.29</v>
      </c>
      <c r="X6">
        <v>2.3199999999999998</v>
      </c>
      <c r="AJ6" s="3">
        <v>93.51</v>
      </c>
      <c r="AK6" s="4">
        <v>-656979.85992353165</v>
      </c>
      <c r="AL6" s="4">
        <v>-675655.61481981387</v>
      </c>
      <c r="AM6" s="4">
        <v>-6.3501085548001077</v>
      </c>
      <c r="AN6" s="4">
        <v>-157626.13086978649</v>
      </c>
      <c r="AO6" s="4">
        <v>0.6218076245490981</v>
      </c>
      <c r="AQ6">
        <v>0.75</v>
      </c>
      <c r="AR6">
        <f t="shared" si="0"/>
        <v>6.5</v>
      </c>
      <c r="AS6">
        <f t="shared" si="1"/>
        <v>0</v>
      </c>
      <c r="AT6">
        <f t="shared" si="2"/>
        <v>0</v>
      </c>
      <c r="AU6">
        <f t="shared" si="3"/>
        <v>0</v>
      </c>
      <c r="AV6">
        <f t="shared" si="4"/>
        <v>0</v>
      </c>
      <c r="AW6">
        <f t="shared" si="5"/>
        <v>0</v>
      </c>
      <c r="AX6">
        <f t="shared" si="5"/>
        <v>0</v>
      </c>
      <c r="AY6">
        <f t="shared" si="5"/>
        <v>93.51</v>
      </c>
    </row>
    <row r="7" spans="1:51" x14ac:dyDescent="0.35">
      <c r="A7" s="1">
        <v>4</v>
      </c>
      <c r="B7" t="s">
        <v>46</v>
      </c>
      <c r="C7">
        <v>0.6</v>
      </c>
      <c r="D7" s="3">
        <v>0.37</v>
      </c>
      <c r="E7">
        <v>2.52</v>
      </c>
      <c r="I7">
        <v>1.29</v>
      </c>
      <c r="X7">
        <v>2.3199999999999998</v>
      </c>
      <c r="AJ7" s="3">
        <v>93.51</v>
      </c>
      <c r="AK7" s="4">
        <v>-656979.85992353165</v>
      </c>
      <c r="AL7" s="4">
        <v>-675655.61481981387</v>
      </c>
      <c r="AM7" s="4">
        <v>-6.3501085548001077</v>
      </c>
      <c r="AN7" s="4">
        <v>-157626.13086978649</v>
      </c>
      <c r="AO7" s="4">
        <v>0.6218076245490981</v>
      </c>
      <c r="AQ7">
        <v>1</v>
      </c>
      <c r="AR7">
        <f t="shared" si="0"/>
        <v>6.5</v>
      </c>
      <c r="AS7">
        <f t="shared" si="1"/>
        <v>0</v>
      </c>
      <c r="AT7">
        <f t="shared" si="2"/>
        <v>0</v>
      </c>
      <c r="AU7">
        <f t="shared" si="3"/>
        <v>0</v>
      </c>
      <c r="AV7">
        <f t="shared" si="4"/>
        <v>0</v>
      </c>
      <c r="AW7">
        <f t="shared" si="5"/>
        <v>0</v>
      </c>
      <c r="AX7">
        <f t="shared" si="5"/>
        <v>0</v>
      </c>
      <c r="AY7">
        <f t="shared" si="5"/>
        <v>93.51</v>
      </c>
    </row>
  </sheetData>
  <mergeCells count="5">
    <mergeCell ref="B1:C1"/>
    <mergeCell ref="D1:Y1"/>
    <mergeCell ref="Z1:AB1"/>
    <mergeCell ref="AD1:AE1"/>
    <mergeCell ref="AF1:AG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DFDF3-8483-43B1-81DA-2E53072B67F1}">
  <dimension ref="A1:F6"/>
  <sheetViews>
    <sheetView tabSelected="1" workbookViewId="0">
      <selection sqref="A1:F6"/>
    </sheetView>
  </sheetViews>
  <sheetFormatPr baseColWidth="10" defaultRowHeight="14.5" x14ac:dyDescent="0.35"/>
  <sheetData>
    <row r="1" spans="1:6" x14ac:dyDescent="0.3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</row>
    <row r="2" spans="1:6" x14ac:dyDescent="0.35">
      <c r="A2">
        <v>0</v>
      </c>
      <c r="B2">
        <f>91256.49+95355.32</f>
        <v>186611.81</v>
      </c>
      <c r="C2" s="12">
        <v>30974.22</v>
      </c>
      <c r="D2" s="12">
        <v>0</v>
      </c>
      <c r="E2" s="12">
        <v>3000</v>
      </c>
    </row>
    <row r="3" spans="1:6" x14ac:dyDescent="0.35">
      <c r="A3">
        <v>0.25</v>
      </c>
      <c r="B3">
        <f t="shared" ref="B3:B6" si="0">91256.49+95355.32</f>
        <v>186611.81</v>
      </c>
      <c r="C3" s="12">
        <v>30974.22</v>
      </c>
      <c r="F3" s="12">
        <v>3000</v>
      </c>
    </row>
    <row r="4" spans="1:6" x14ac:dyDescent="0.35">
      <c r="A4">
        <v>0.5</v>
      </c>
      <c r="B4">
        <f t="shared" si="0"/>
        <v>186611.81</v>
      </c>
      <c r="C4" s="12">
        <v>30974.22</v>
      </c>
      <c r="F4" s="12">
        <v>3000</v>
      </c>
    </row>
    <row r="5" spans="1:6" x14ac:dyDescent="0.35">
      <c r="A5">
        <v>0.75</v>
      </c>
      <c r="B5">
        <f t="shared" si="0"/>
        <v>186611.81</v>
      </c>
      <c r="C5" s="12">
        <v>30974.22</v>
      </c>
      <c r="F5" s="12">
        <v>3000</v>
      </c>
    </row>
    <row r="6" spans="1:6" x14ac:dyDescent="0.35">
      <c r="A6">
        <v>1</v>
      </c>
      <c r="B6">
        <f t="shared" si="0"/>
        <v>186611.81</v>
      </c>
      <c r="C6" s="12">
        <v>30974.22</v>
      </c>
      <c r="F6" s="12">
        <v>3000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845EA-745F-4E4F-AF5E-66F587D10997}">
  <dimension ref="A1:E7"/>
  <sheetViews>
    <sheetView topLeftCell="A3" workbookViewId="0">
      <selection activeCell="A8" sqref="A8"/>
    </sheetView>
  </sheetViews>
  <sheetFormatPr baseColWidth="10" defaultRowHeight="14.5" x14ac:dyDescent="0.35"/>
  <sheetData>
    <row r="1" spans="1:5" x14ac:dyDescent="0.35">
      <c r="B1" s="11" t="s">
        <v>47</v>
      </c>
      <c r="C1" s="11"/>
      <c r="D1" s="11" t="s">
        <v>48</v>
      </c>
      <c r="E1" s="11"/>
    </row>
    <row r="2" spans="1:5" x14ac:dyDescent="0.35">
      <c r="B2" t="str">
        <f>results!AK2</f>
        <v>Carbon</v>
      </c>
      <c r="C2" t="str">
        <f>results!AO2</f>
        <v>HHssC</v>
      </c>
      <c r="D2" t="str">
        <f>[1]results!AD2</f>
        <v>Carbon</v>
      </c>
      <c r="E2" t="str">
        <f>[1]results!AH2</f>
        <v>HHssC</v>
      </c>
    </row>
    <row r="3" spans="1:5" x14ac:dyDescent="0.35">
      <c r="A3">
        <v>0</v>
      </c>
      <c r="B3">
        <f>results!AK3</f>
        <v>-203340.0842835083</v>
      </c>
      <c r="C3">
        <f>results!AO3</f>
        <v>0.36546878935102339</v>
      </c>
      <c r="D3">
        <f>[1]results!AD3</f>
        <v>-203340.0842835083</v>
      </c>
      <c r="E3">
        <f>[1]results!AH3</f>
        <v>0.36546878935102339</v>
      </c>
    </row>
    <row r="4" spans="1:5" x14ac:dyDescent="0.35">
      <c r="A4">
        <v>0.25</v>
      </c>
      <c r="B4">
        <f>results!AK4</f>
        <v>-656979.85992353165</v>
      </c>
      <c r="C4">
        <f>results!AO4</f>
        <v>0.6218076245490981</v>
      </c>
      <c r="D4">
        <f>[1]results!AD4</f>
        <v>-271684.9677193996</v>
      </c>
      <c r="E4">
        <f>[1]results!AH4</f>
        <v>0.4149897620013091</v>
      </c>
    </row>
    <row r="5" spans="1:5" x14ac:dyDescent="0.35">
      <c r="A5">
        <v>0.5</v>
      </c>
      <c r="B5">
        <f>results!AK5</f>
        <v>-656979.85992353165</v>
      </c>
      <c r="C5">
        <f>results!AO5</f>
        <v>0.6218076245490981</v>
      </c>
      <c r="D5">
        <f>[1]results!AD5</f>
        <v>-271684.9677193996</v>
      </c>
      <c r="E5">
        <f>[1]results!AH5</f>
        <v>0.4149897620013091</v>
      </c>
    </row>
    <row r="6" spans="1:5" x14ac:dyDescent="0.35">
      <c r="A6">
        <v>0.75</v>
      </c>
      <c r="B6">
        <f>results!AK6</f>
        <v>-656979.85992353165</v>
      </c>
      <c r="C6">
        <f>results!AO6</f>
        <v>0.6218076245490981</v>
      </c>
      <c r="D6">
        <f>[1]results!AD6</f>
        <v>-544740.82515175932</v>
      </c>
      <c r="E6">
        <f>[1]results!AH6</f>
        <v>2.2999443118901919</v>
      </c>
    </row>
    <row r="7" spans="1:5" x14ac:dyDescent="0.35">
      <c r="A7">
        <v>1</v>
      </c>
      <c r="B7">
        <f>results!AK7</f>
        <v>-656979.85992353165</v>
      </c>
      <c r="C7">
        <f>results!AO7</f>
        <v>0.6218076245490981</v>
      </c>
      <c r="D7">
        <f>[1]results!AD7</f>
        <v>-544740.82515175932</v>
      </c>
      <c r="E7">
        <f>[1]results!AH7</f>
        <v>2.2999443118901919</v>
      </c>
    </row>
  </sheetData>
  <mergeCells count="2">
    <mergeCell ref="B1:C1"/>
    <mergeCell ref="D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results</vt:lpstr>
      <vt:lpstr>Feuil2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2026-03-06T14:23:53Z</dcterms:created>
  <dcterms:modified xsi:type="dcterms:W3CDTF">2026-03-18T14:29:41Z</dcterms:modified>
</cp:coreProperties>
</file>