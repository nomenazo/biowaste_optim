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"/>
    </mc:Choice>
  </mc:AlternateContent>
  <xr:revisionPtr revIDLastSave="0" documentId="13_ncr:1_{192F62DC-4909-4228-AABC-A8EE5E19C9C5}" xr6:coauthVersionLast="36" xr6:coauthVersionMax="36" xr10:uidLastSave="{00000000-0000-0000-0000-000000000000}"/>
  <bookViews>
    <workbookView xWindow="0" yWindow="0" windowWidth="19200" windowHeight="6350" activeTab="2" xr2:uid="{DCD3CA2F-96EC-4CF6-B25F-28CD58F61490}"/>
  </bookViews>
  <sheets>
    <sheet name="corr_peat_HC2" sheetId="9" r:id="rId1"/>
    <sheet name="corr_peat2" sheetId="8" r:id="rId2"/>
    <sheet name="corr_HC2" sheetId="7" r:id="rId3"/>
    <sheet name="brut2" sheetId="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9" l="1"/>
  <c r="C2" i="9"/>
  <c r="D2" i="9"/>
  <c r="E2" i="9"/>
  <c r="F2" i="9"/>
  <c r="B3" i="9"/>
  <c r="C3" i="9"/>
  <c r="D3" i="9"/>
  <c r="E3" i="9"/>
  <c r="F3" i="9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B8" i="9"/>
  <c r="C8" i="9"/>
  <c r="D8" i="9"/>
  <c r="E8" i="9"/>
  <c r="F8" i="9"/>
  <c r="B9" i="7"/>
  <c r="C9" i="7"/>
  <c r="D9" i="7"/>
  <c r="E9" i="7"/>
  <c r="F9" i="7"/>
  <c r="B10" i="7"/>
  <c r="C10" i="7"/>
  <c r="D10" i="7"/>
  <c r="E10" i="7"/>
  <c r="F10" i="7"/>
  <c r="B11" i="7"/>
  <c r="C11" i="7"/>
  <c r="D11" i="7"/>
  <c r="E11" i="7"/>
  <c r="F11" i="7"/>
  <c r="B12" i="7"/>
  <c r="C12" i="7"/>
  <c r="D12" i="7"/>
  <c r="E12" i="7"/>
  <c r="F12" i="7"/>
  <c r="B13" i="7"/>
  <c r="C13" i="7"/>
  <c r="D13" i="7"/>
  <c r="E13" i="7"/>
  <c r="F13" i="7"/>
  <c r="B14" i="7"/>
  <c r="C14" i="7"/>
  <c r="D14" i="7"/>
  <c r="E14" i="7"/>
  <c r="F14" i="7"/>
  <c r="B15" i="7"/>
  <c r="C15" i="7"/>
  <c r="D15" i="7"/>
  <c r="E15" i="7"/>
  <c r="F15" i="7"/>
  <c r="I9" i="7"/>
  <c r="J9" i="7"/>
  <c r="K9" i="7"/>
  <c r="L9" i="7"/>
  <c r="M9" i="7"/>
  <c r="B9" i="9" l="1"/>
  <c r="C9" i="9"/>
  <c r="D9" i="9"/>
  <c r="E9" i="9"/>
  <c r="F9" i="9"/>
  <c r="B10" i="9"/>
  <c r="C10" i="9"/>
  <c r="D10" i="9"/>
  <c r="E10" i="9"/>
  <c r="F10" i="9"/>
  <c r="B11" i="9"/>
  <c r="C11" i="9"/>
  <c r="D11" i="9"/>
  <c r="E11" i="9"/>
  <c r="F11" i="9"/>
  <c r="B12" i="9"/>
  <c r="C12" i="9"/>
  <c r="D12" i="9"/>
  <c r="E12" i="9"/>
  <c r="F12" i="9"/>
  <c r="B13" i="9"/>
  <c r="C13" i="9"/>
  <c r="D13" i="9"/>
  <c r="E13" i="9"/>
  <c r="F13" i="9"/>
  <c r="B14" i="9"/>
  <c r="C14" i="9"/>
  <c r="D14" i="9"/>
  <c r="E14" i="9"/>
  <c r="F14" i="9"/>
  <c r="B15" i="9"/>
  <c r="C15" i="9"/>
  <c r="D15" i="9"/>
  <c r="E15" i="9"/>
  <c r="F15" i="9"/>
  <c r="B9" i="8"/>
  <c r="C9" i="8"/>
  <c r="D9" i="8"/>
  <c r="E9" i="8"/>
  <c r="F9" i="8"/>
  <c r="B10" i="8"/>
  <c r="C10" i="8"/>
  <c r="D10" i="8"/>
  <c r="E10" i="8"/>
  <c r="F10" i="8"/>
  <c r="B11" i="8"/>
  <c r="C11" i="8"/>
  <c r="D11" i="8"/>
  <c r="E11" i="8"/>
  <c r="F11" i="8"/>
  <c r="B12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15" i="8"/>
  <c r="C15" i="8"/>
  <c r="D15" i="8"/>
  <c r="E15" i="8"/>
  <c r="F15" i="8"/>
  <c r="B2" i="8"/>
  <c r="C2" i="8"/>
  <c r="D2" i="8"/>
  <c r="E2" i="8"/>
  <c r="F2" i="8"/>
  <c r="B3" i="8"/>
  <c r="C3" i="8"/>
  <c r="D3" i="8"/>
  <c r="E3" i="8"/>
  <c r="F3" i="8"/>
  <c r="B4" i="8"/>
  <c r="C4" i="8"/>
  <c r="D4" i="8"/>
  <c r="E4" i="8"/>
  <c r="F4" i="8"/>
  <c r="B5" i="8"/>
  <c r="C5" i="8"/>
  <c r="D5" i="8"/>
  <c r="E5" i="8"/>
  <c r="F5" i="8"/>
  <c r="B6" i="8"/>
  <c r="C6" i="8"/>
  <c r="D6" i="8"/>
  <c r="E6" i="8"/>
  <c r="F6" i="8"/>
  <c r="B7" i="8"/>
  <c r="C7" i="8"/>
  <c r="D7" i="8"/>
  <c r="E7" i="8"/>
  <c r="F7" i="8"/>
  <c r="B8" i="8"/>
  <c r="C8" i="8"/>
  <c r="D8" i="8"/>
  <c r="E8" i="8"/>
  <c r="F8" i="8"/>
  <c r="B2" i="7" l="1"/>
  <c r="C2" i="7"/>
  <c r="D2" i="7"/>
  <c r="E2" i="7"/>
  <c r="F2" i="7"/>
  <c r="B3" i="7"/>
  <c r="C3" i="7"/>
  <c r="D3" i="7"/>
  <c r="E3" i="7"/>
  <c r="F3" i="7"/>
  <c r="B4" i="7"/>
  <c r="C4" i="7"/>
  <c r="D4" i="7"/>
  <c r="E4" i="7"/>
  <c r="F4" i="7"/>
  <c r="B5" i="7"/>
  <c r="C5" i="7"/>
  <c r="D5" i="7"/>
  <c r="E5" i="7"/>
  <c r="F5" i="7"/>
  <c r="B6" i="7"/>
  <c r="C6" i="7"/>
  <c r="D6" i="7"/>
  <c r="E6" i="7"/>
  <c r="F6" i="7"/>
  <c r="B7" i="7"/>
  <c r="C7" i="7"/>
  <c r="D7" i="7"/>
  <c r="E7" i="7"/>
  <c r="F7" i="7"/>
  <c r="B8" i="7"/>
  <c r="C8" i="7"/>
  <c r="D8" i="7"/>
  <c r="E8" i="7"/>
  <c r="F8" i="7"/>
  <c r="B9" i="6" l="1"/>
  <c r="C9" i="6"/>
  <c r="D9" i="6"/>
  <c r="E9" i="6"/>
  <c r="F9" i="6"/>
  <c r="B10" i="6"/>
  <c r="C10" i="6"/>
  <c r="D10" i="6"/>
  <c r="E10" i="6"/>
  <c r="F10" i="6"/>
  <c r="B11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14" i="6"/>
  <c r="C14" i="6"/>
  <c r="D14" i="6"/>
  <c r="E14" i="6"/>
  <c r="F14" i="6"/>
  <c r="B15" i="6"/>
  <c r="C15" i="6"/>
  <c r="D15" i="6"/>
  <c r="E15" i="6"/>
  <c r="F15" i="6"/>
  <c r="B2" i="6"/>
  <c r="C2" i="6"/>
  <c r="D2" i="6"/>
  <c r="E2" i="6"/>
  <c r="F2" i="6"/>
  <c r="B3" i="6"/>
  <c r="C3" i="6"/>
  <c r="D3" i="6"/>
  <c r="E3" i="6"/>
  <c r="F3" i="6"/>
  <c r="B4" i="6"/>
  <c r="C4" i="6"/>
  <c r="D4" i="6"/>
  <c r="E4" i="6"/>
  <c r="F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J12" i="9" l="1"/>
  <c r="K12" i="9"/>
  <c r="M12" i="9"/>
  <c r="K10" i="7"/>
  <c r="I5" i="7"/>
  <c r="K5" i="7"/>
  <c r="L5" i="7"/>
  <c r="M5" i="7"/>
  <c r="M8" i="7"/>
  <c r="L8" i="7"/>
  <c r="K8" i="7"/>
  <c r="J8" i="7"/>
  <c r="M7" i="7"/>
  <c r="K7" i="7"/>
  <c r="J13" i="7"/>
  <c r="I7" i="7"/>
  <c r="M6" i="7"/>
  <c r="L6" i="7"/>
  <c r="K6" i="7"/>
  <c r="J6" i="7"/>
  <c r="I6" i="7"/>
  <c r="L7" i="7"/>
  <c r="K4" i="7"/>
  <c r="J4" i="7"/>
  <c r="I4" i="7"/>
  <c r="M3" i="7"/>
  <c r="L3" i="7"/>
  <c r="K3" i="7"/>
  <c r="J3" i="7"/>
  <c r="I3" i="7"/>
  <c r="M15" i="7"/>
  <c r="L10" i="7"/>
  <c r="K13" i="7"/>
  <c r="I11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L5" i="6"/>
  <c r="L6" i="6"/>
  <c r="L7" i="6"/>
  <c r="L8" i="6"/>
  <c r="L9" i="6"/>
  <c r="L10" i="6"/>
  <c r="L11" i="6"/>
  <c r="L12" i="6"/>
  <c r="L13" i="6"/>
  <c r="L14" i="6"/>
  <c r="L15" i="6"/>
  <c r="K5" i="6"/>
  <c r="K6" i="6"/>
  <c r="K7" i="6"/>
  <c r="K8" i="6"/>
  <c r="K9" i="6"/>
  <c r="K10" i="6"/>
  <c r="K11" i="6"/>
  <c r="K12" i="6"/>
  <c r="K13" i="6"/>
  <c r="K14" i="6"/>
  <c r="K15" i="6"/>
  <c r="J5" i="6"/>
  <c r="J6" i="6"/>
  <c r="J7" i="6"/>
  <c r="J8" i="6"/>
  <c r="J9" i="6"/>
  <c r="J10" i="6"/>
  <c r="J11" i="6"/>
  <c r="J12" i="6"/>
  <c r="J13" i="6"/>
  <c r="J14" i="6"/>
  <c r="J15" i="6"/>
  <c r="I5" i="6"/>
  <c r="I6" i="6"/>
  <c r="I7" i="6"/>
  <c r="I8" i="6"/>
  <c r="I9" i="6"/>
  <c r="I10" i="6"/>
  <c r="I11" i="6"/>
  <c r="I12" i="6"/>
  <c r="I13" i="6"/>
  <c r="I14" i="6"/>
  <c r="I15" i="6"/>
  <c r="M12" i="8" l="1"/>
  <c r="L12" i="8"/>
  <c r="I8" i="7"/>
  <c r="M12" i="7"/>
  <c r="I10" i="7"/>
  <c r="J15" i="7"/>
  <c r="J7" i="7"/>
  <c r="K12" i="7"/>
  <c r="M14" i="7"/>
  <c r="J5" i="7"/>
  <c r="J14" i="7"/>
  <c r="K11" i="7"/>
  <c r="M13" i="7"/>
  <c r="L15" i="7"/>
  <c r="I15" i="7"/>
  <c r="J12" i="7"/>
  <c r="L14" i="7"/>
  <c r="M11" i="7"/>
  <c r="I14" i="7"/>
  <c r="J11" i="7"/>
  <c r="L13" i="7"/>
  <c r="M10" i="7"/>
  <c r="M4" i="7"/>
  <c r="I13" i="7"/>
  <c r="J10" i="7"/>
  <c r="K15" i="7"/>
  <c r="L12" i="7"/>
  <c r="L4" i="7"/>
  <c r="I12" i="7"/>
  <c r="K14" i="7"/>
  <c r="L11" i="7"/>
  <c r="I11" i="9"/>
  <c r="I3" i="9"/>
  <c r="I14" i="9"/>
  <c r="I6" i="9"/>
  <c r="I9" i="9"/>
  <c r="I4" i="9"/>
  <c r="I15" i="9"/>
  <c r="I7" i="9"/>
  <c r="I10" i="9"/>
  <c r="I2" i="9"/>
  <c r="I13" i="9"/>
  <c r="I5" i="9"/>
  <c r="I8" i="9"/>
  <c r="M15" i="9"/>
  <c r="M7" i="9"/>
  <c r="M10" i="9"/>
  <c r="M2" i="9"/>
  <c r="M13" i="9"/>
  <c r="M5" i="9"/>
  <c r="M9" i="9"/>
  <c r="M8" i="9"/>
  <c r="M11" i="9"/>
  <c r="M3" i="9"/>
  <c r="M14" i="9"/>
  <c r="M6" i="9"/>
  <c r="M4" i="9"/>
  <c r="I9" i="8"/>
  <c r="I4" i="8"/>
  <c r="I6" i="8"/>
  <c r="I15" i="8"/>
  <c r="I7" i="8"/>
  <c r="I11" i="8"/>
  <c r="I10" i="8"/>
  <c r="I2" i="8"/>
  <c r="I3" i="8"/>
  <c r="I13" i="8"/>
  <c r="I5" i="8"/>
  <c r="I8" i="8"/>
  <c r="I14" i="8"/>
  <c r="J12" i="8"/>
  <c r="K9" i="9"/>
  <c r="K4" i="9"/>
  <c r="K15" i="9"/>
  <c r="K7" i="9"/>
  <c r="K10" i="9"/>
  <c r="K2" i="9"/>
  <c r="K11" i="9"/>
  <c r="K13" i="9"/>
  <c r="K5" i="9"/>
  <c r="K3" i="9"/>
  <c r="K8" i="9"/>
  <c r="K14" i="9"/>
  <c r="K6" i="9"/>
  <c r="J4" i="8"/>
  <c r="J14" i="8"/>
  <c r="J15" i="8"/>
  <c r="J7" i="8"/>
  <c r="J10" i="8"/>
  <c r="J2" i="8"/>
  <c r="J13" i="8"/>
  <c r="J5" i="8"/>
  <c r="J8" i="8"/>
  <c r="J11" i="8"/>
  <c r="J3" i="8"/>
  <c r="J6" i="8"/>
  <c r="J9" i="8"/>
  <c r="I12" i="8"/>
  <c r="J14" i="9"/>
  <c r="J6" i="9"/>
  <c r="J9" i="9"/>
  <c r="J8" i="9"/>
  <c r="J4" i="9"/>
  <c r="J15" i="9"/>
  <c r="J7" i="9"/>
  <c r="J10" i="9"/>
  <c r="J2" i="9"/>
  <c r="J13" i="9"/>
  <c r="J5" i="9"/>
  <c r="J11" i="9"/>
  <c r="J3" i="9"/>
  <c r="M13" i="8"/>
  <c r="M5" i="8"/>
  <c r="M8" i="8"/>
  <c r="M11" i="8"/>
  <c r="M3" i="8"/>
  <c r="M14" i="8"/>
  <c r="M6" i="8"/>
  <c r="M9" i="8"/>
  <c r="M7" i="8"/>
  <c r="M2" i="8"/>
  <c r="M4" i="8"/>
  <c r="M15" i="8"/>
  <c r="M10" i="8"/>
  <c r="L12" i="9"/>
  <c r="K15" i="8"/>
  <c r="K7" i="8"/>
  <c r="K10" i="8"/>
  <c r="K2" i="8"/>
  <c r="K9" i="8"/>
  <c r="K13" i="8"/>
  <c r="K5" i="8"/>
  <c r="K8" i="8"/>
  <c r="K11" i="8"/>
  <c r="K3" i="8"/>
  <c r="K14" i="8"/>
  <c r="K6" i="8"/>
  <c r="K4" i="8"/>
  <c r="L10" i="8"/>
  <c r="L2" i="8"/>
  <c r="L4" i="8"/>
  <c r="L13" i="8"/>
  <c r="L5" i="8"/>
  <c r="L8" i="8"/>
  <c r="L7" i="8"/>
  <c r="L11" i="8"/>
  <c r="L3" i="8"/>
  <c r="L14" i="8"/>
  <c r="L6" i="8"/>
  <c r="L9" i="8"/>
  <c r="L15" i="8"/>
  <c r="K12" i="8"/>
  <c r="L4" i="9"/>
  <c r="L6" i="9"/>
  <c r="L15" i="9"/>
  <c r="L7" i="9"/>
  <c r="L10" i="9"/>
  <c r="L2" i="9"/>
  <c r="L13" i="9"/>
  <c r="L5" i="9"/>
  <c r="L8" i="9"/>
  <c r="L14" i="9"/>
  <c r="L11" i="9"/>
  <c r="L3" i="9"/>
  <c r="L9" i="9"/>
  <c r="I12" i="9"/>
  <c r="J2" i="7"/>
  <c r="I2" i="7"/>
  <c r="M2" i="7"/>
  <c r="L2" i="7"/>
  <c r="K2" i="7"/>
  <c r="L3" i="6" l="1"/>
  <c r="J4" i="6"/>
  <c r="J2" i="6"/>
  <c r="I2" i="6"/>
  <c r="I3" i="6"/>
  <c r="J3" i="6"/>
  <c r="M2" i="6"/>
  <c r="K3" i="6"/>
  <c r="I4" i="6"/>
  <c r="K4" i="6"/>
  <c r="L4" i="6"/>
  <c r="K2" i="6"/>
  <c r="L2" i="6"/>
</calcChain>
</file>

<file path=xl/sharedStrings.xml><?xml version="1.0" encoding="utf-8"?>
<sst xmlns="http://schemas.openxmlformats.org/spreadsheetml/2006/main" count="156" uniqueCount="20">
  <si>
    <t>Carbon</t>
  </si>
  <si>
    <t>EQ</t>
  </si>
  <si>
    <t>HH</t>
  </si>
  <si>
    <t>Scenario</t>
  </si>
  <si>
    <t>EQ (excl. CO2)</t>
  </si>
  <si>
    <t>HH (excl. CO2)</t>
  </si>
  <si>
    <t>minCO2</t>
  </si>
  <si>
    <t>minEQ</t>
  </si>
  <si>
    <t>minHH</t>
  </si>
  <si>
    <t>minCO2&amp;EQ</t>
  </si>
  <si>
    <t>minCO2&amp;HH</t>
  </si>
  <si>
    <t>minCO2&amp;EQ&amp;HH</t>
  </si>
  <si>
    <t>minEQ&amp;HH</t>
  </si>
  <si>
    <t>minCO2_inv</t>
  </si>
  <si>
    <t>minEQ_inv</t>
  </si>
  <si>
    <t>minHH_inv</t>
  </si>
  <si>
    <t>minEQ&amp;HH_inv</t>
  </si>
  <si>
    <t>minCO2&amp;EQ_inv</t>
  </si>
  <si>
    <t>minCO2&amp;HH_inv</t>
  </si>
  <si>
    <t>minCO2&amp;EQ&amp;HH_inv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</si>
</sst>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12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corr_peat_HC2!$H$2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corr_peat_HC2!$I$2:$M$2</c:f>
              <c:numCache>
                <c:formatCode>General</c:formatCode>
                <c:ptCount val="5"/>
                <c:pt idx="0">
                  <c:v>0.28314796316451074</c:v>
                </c:pt>
                <c:pt idx="1">
                  <c:v>1</c:v>
                </c:pt>
                <c:pt idx="2">
                  <c:v>0.95747517385488701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B-4754-80AD-2E24CE6E8289}"/>
            </c:ext>
          </c:extLst>
        </c:ser>
        <c:ser>
          <c:idx val="1"/>
          <c:order val="1"/>
          <c:tx>
            <c:strRef>
              <c:f>corr_peat_HC2!$H$3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corr_peat_HC2!$I$3:$M$3</c:f>
              <c:numCache>
                <c:formatCode>General</c:formatCode>
                <c:ptCount val="5"/>
                <c:pt idx="0">
                  <c:v>0.93001431190265893</c:v>
                </c:pt>
                <c:pt idx="1">
                  <c:v>0.5621048544934214</c:v>
                </c:pt>
                <c:pt idx="2">
                  <c:v>0.94849154914703881</c:v>
                </c:pt>
                <c:pt idx="3">
                  <c:v>5.6466096068259156E-2</c:v>
                </c:pt>
                <c:pt idx="4">
                  <c:v>8.196038167813223E-2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B-4754-80AD-2E24CE6E8289}"/>
            </c:ext>
          </c:extLst>
        </c:ser>
        <c:ser>
          <c:idx val="2"/>
          <c:order val="2"/>
          <c:tx>
            <c:strRef>
              <c:f>corr_peat_HC2!$H$4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corr_peat_HC2!$I$4:$M$4</c:f>
              <c:numCache>
                <c:formatCode>General</c:formatCode>
                <c:ptCount val="5"/>
                <c:pt idx="0">
                  <c:v>0.87305811838149283</c:v>
                </c:pt>
                <c:pt idx="1">
                  <c:v>0.59856688682248527</c:v>
                </c:pt>
                <c:pt idx="2">
                  <c:v>0.94780164376890297</c:v>
                </c:pt>
                <c:pt idx="3">
                  <c:v>0.13414820560317572</c:v>
                </c:pt>
                <c:pt idx="4">
                  <c:v>0.16072718783960629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B-4754-80AD-2E24CE6E8289}"/>
            </c:ext>
          </c:extLst>
        </c:ser>
        <c:ser>
          <c:idx val="3"/>
          <c:order val="3"/>
          <c:tx>
            <c:strRef>
              <c:f>corr_peat_HC2!$H$5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corr_peat_HC2!$I$5:$M$5</c:f>
              <c:numCache>
                <c:formatCode>General</c:formatCode>
                <c:ptCount val="5"/>
                <c:pt idx="0">
                  <c:v>0.93001431190265893</c:v>
                </c:pt>
                <c:pt idx="1">
                  <c:v>0.56210485449342129</c:v>
                </c:pt>
                <c:pt idx="2">
                  <c:v>0.94849154914703881</c:v>
                </c:pt>
                <c:pt idx="3">
                  <c:v>5.6466096068259156E-2</c:v>
                </c:pt>
                <c:pt idx="4">
                  <c:v>8.1960381678132285E-2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CB-4754-80AD-2E24CE6E8289}"/>
            </c:ext>
          </c:extLst>
        </c:ser>
        <c:ser>
          <c:idx val="4"/>
          <c:order val="4"/>
          <c:tx>
            <c:strRef>
              <c:f>corr_peat_HC2!$H$6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corr_peat_HC2!$I$6:$M$6</c:f>
              <c:numCache>
                <c:formatCode>General</c:formatCode>
                <c:ptCount val="5"/>
                <c:pt idx="0">
                  <c:v>0.93001431190265893</c:v>
                </c:pt>
                <c:pt idx="1">
                  <c:v>0.5621048544934214</c:v>
                </c:pt>
                <c:pt idx="2">
                  <c:v>0.94849154914703881</c:v>
                </c:pt>
                <c:pt idx="3">
                  <c:v>5.6466096068259156E-2</c:v>
                </c:pt>
                <c:pt idx="4">
                  <c:v>8.196038167813223E-2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CB-4754-80AD-2E24CE6E8289}"/>
            </c:ext>
          </c:extLst>
        </c:ser>
        <c:ser>
          <c:idx val="5"/>
          <c:order val="5"/>
          <c:tx>
            <c:strRef>
              <c:f>corr_peat_HC2!$H$7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corr_peat_HC2!$I$7:$M$7</c:f>
              <c:numCache>
                <c:formatCode>General</c:formatCode>
                <c:ptCount val="5"/>
                <c:pt idx="0">
                  <c:v>0.93001431230031695</c:v>
                </c:pt>
                <c:pt idx="1">
                  <c:v>0.56210485469634541</c:v>
                </c:pt>
                <c:pt idx="2">
                  <c:v>0.94849154952874604</c:v>
                </c:pt>
                <c:pt idx="3">
                  <c:v>5.6466095924294475E-2</c:v>
                </c:pt>
                <c:pt idx="4">
                  <c:v>8.1960381306614108E-2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CB-4754-80AD-2E24CE6E8289}"/>
            </c:ext>
          </c:extLst>
        </c:ser>
        <c:ser>
          <c:idx val="6"/>
          <c:order val="6"/>
          <c:tx>
            <c:strRef>
              <c:f>corr_peat_HC2!$H$8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corr_peat_HC2!$I$8:$M$8</c:f>
              <c:numCache>
                <c:formatCode>General</c:formatCode>
                <c:ptCount val="5"/>
                <c:pt idx="0">
                  <c:v>1</c:v>
                </c:pt>
                <c:pt idx="1">
                  <c:v>0.59884306850997748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CB-4754-80AD-2E24CE6E8289}"/>
            </c:ext>
          </c:extLst>
        </c:ser>
        <c:ser>
          <c:idx val="7"/>
          <c:order val="7"/>
          <c:tx>
            <c:strRef>
              <c:f>corr_peat_HC2!$H$9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corr_peat_HC2!$I$9:$M$9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CB-4754-80AD-2E24CE6E8289}"/>
            </c:ext>
          </c:extLst>
        </c:ser>
        <c:ser>
          <c:idx val="8"/>
          <c:order val="8"/>
          <c:tx>
            <c:strRef>
              <c:f>corr_peat_HC2!$H$10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corr_peat_HC2!$I$10:$M$10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CB-4754-80AD-2E24CE6E8289}"/>
            </c:ext>
          </c:extLst>
        </c:ser>
        <c:ser>
          <c:idx val="9"/>
          <c:order val="9"/>
          <c:tx>
            <c:strRef>
              <c:f>corr_peat_HC2!$H$11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corr_peat_HC2!$I$11:$M$11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CB-4754-80AD-2E24CE6E8289}"/>
            </c:ext>
          </c:extLst>
        </c:ser>
        <c:ser>
          <c:idx val="10"/>
          <c:order val="10"/>
          <c:tx>
            <c:strRef>
              <c:f>corr_peat_HC2!$H$12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corr_peat_HC2!$I$12:$M$12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CB-4754-80AD-2E24CE6E8289}"/>
            </c:ext>
          </c:extLst>
        </c:ser>
        <c:ser>
          <c:idx val="11"/>
          <c:order val="11"/>
          <c:tx>
            <c:strRef>
              <c:f>corr_peat_HC2!$H$13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corr_peat_HC2!$I$13:$M$13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CB-4754-80AD-2E24CE6E8289}"/>
            </c:ext>
          </c:extLst>
        </c:ser>
        <c:ser>
          <c:idx val="12"/>
          <c:order val="12"/>
          <c:tx>
            <c:strRef>
              <c:f>corr_peat_HC2!$H$14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corr_peat_HC2!$I$14:$M$14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CB-4754-80AD-2E24CE6E8289}"/>
            </c:ext>
          </c:extLst>
        </c:ser>
        <c:ser>
          <c:idx val="13"/>
          <c:order val="13"/>
          <c:tx>
            <c:strRef>
              <c:f>corr_peat_HC2!$H$15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corr_peat_HC2!$I$1:$M$1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corr_peat_HC2!$I$15:$M$15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8.8980994885246925E-2</c:v>
                </c:pt>
                <c:pt idx="4">
                  <c:v>0.13638155180813194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CB-4754-80AD-2E24CE6E8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072864"/>
        <c:axId val="2041927328"/>
      </c:lineChart>
      <c:catAx>
        <c:axId val="6660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1927328"/>
        <c:crosses val="autoZero"/>
        <c:auto val="1"/>
        <c:lblAlgn val="ctr"/>
        <c:lblOffset val="100"/>
        <c:noMultiLvlLbl val="0"/>
      </c:catAx>
      <c:valAx>
        <c:axId val="2041927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60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362690591608218"/>
          <c:y val="2.7628556179514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corr_peat2!$H$2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corr_peat2!$I$2:$M$2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C-403D-BF18-8FF5A8AC2192}"/>
            </c:ext>
          </c:extLst>
        </c:ser>
        <c:ser>
          <c:idx val="1"/>
          <c:order val="1"/>
          <c:tx>
            <c:strRef>
              <c:f>corr_peat2!$H$3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corr_peat2!$I$3:$M$3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0.48060565214416351</c:v>
                </c:pt>
                <c:pt idx="2">
                  <c:v>0.97715586155231038</c:v>
                </c:pt>
                <c:pt idx="3">
                  <c:v>2.3500930489089189E-2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C-403D-BF18-8FF5A8AC2192}"/>
            </c:ext>
          </c:extLst>
        </c:ser>
        <c:ser>
          <c:idx val="2"/>
          <c:order val="2"/>
          <c:tx>
            <c:strRef>
              <c:f>corr_peat2!$H$4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corr_peat2!$I$4:$M$4</c:f>
              <c:numCache>
                <c:formatCode>General</c:formatCode>
                <c:ptCount val="5"/>
                <c:pt idx="0">
                  <c:v>0.9543699298632965</c:v>
                </c:pt>
                <c:pt idx="1">
                  <c:v>0.50239565208284032</c:v>
                </c:pt>
                <c:pt idx="2">
                  <c:v>0.97585533208726616</c:v>
                </c:pt>
                <c:pt idx="3">
                  <c:v>6.612255928699623E-2</c:v>
                </c:pt>
                <c:pt idx="4">
                  <c:v>4.3893264478620193E-2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C-403D-BF18-8FF5A8AC2192}"/>
            </c:ext>
          </c:extLst>
        </c:ser>
        <c:ser>
          <c:idx val="3"/>
          <c:order val="3"/>
          <c:tx>
            <c:strRef>
              <c:f>corr_peat2!$H$5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corr_peat2!$I$5:$M$5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0.48060565214416351</c:v>
                </c:pt>
                <c:pt idx="2">
                  <c:v>0.97715586155231038</c:v>
                </c:pt>
                <c:pt idx="3">
                  <c:v>2.3500930489089189E-2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5C-403D-BF18-8FF5A8AC2192}"/>
            </c:ext>
          </c:extLst>
        </c:ser>
        <c:ser>
          <c:idx val="4"/>
          <c:order val="4"/>
          <c:tx>
            <c:strRef>
              <c:f>corr_peat2!$H$6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corr_peat2!$I$6:$M$6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0.48060565214416351</c:v>
                </c:pt>
                <c:pt idx="2">
                  <c:v>0.97715586155231038</c:v>
                </c:pt>
                <c:pt idx="3">
                  <c:v>2.3500930489089189E-2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5C-403D-BF18-8FF5A8AC2192}"/>
            </c:ext>
          </c:extLst>
        </c:ser>
        <c:ser>
          <c:idx val="5"/>
          <c:order val="5"/>
          <c:tx>
            <c:strRef>
              <c:f>corr_peat2!$H$7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corr_peat2!$I$7:$M$7</c:f>
              <c:numCache>
                <c:formatCode>General</c:formatCode>
                <c:ptCount val="5"/>
                <c:pt idx="0">
                  <c:v>0.97477821729515568</c:v>
                </c:pt>
                <c:pt idx="1">
                  <c:v>0.49252779349442921</c:v>
                </c:pt>
                <c:pt idx="2">
                  <c:v>0.97628714386155613</c:v>
                </c:pt>
                <c:pt idx="3">
                  <c:v>4.6935976908840653E-2</c:v>
                </c:pt>
                <c:pt idx="4">
                  <c:v>2.4150683134218004E-2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5C-403D-BF18-8FF5A8AC2192}"/>
            </c:ext>
          </c:extLst>
        </c:ser>
        <c:ser>
          <c:idx val="6"/>
          <c:order val="6"/>
          <c:tx>
            <c:strRef>
              <c:f>corr_peat2!$H$8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corr_peat2!$I$8:$M$8</c:f>
              <c:numCache>
                <c:formatCode>General</c:formatCode>
                <c:ptCount val="5"/>
                <c:pt idx="0">
                  <c:v>1</c:v>
                </c:pt>
                <c:pt idx="1">
                  <c:v>0.48060565214416351</c:v>
                </c:pt>
                <c:pt idx="2">
                  <c:v>0.97715586155231038</c:v>
                </c:pt>
                <c:pt idx="3">
                  <c:v>2.3500930489089189E-2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5C-403D-BF18-8FF5A8AC2192}"/>
            </c:ext>
          </c:extLst>
        </c:ser>
        <c:ser>
          <c:idx val="7"/>
          <c:order val="7"/>
          <c:tx>
            <c:strRef>
              <c:f>corr_peat2!$H$9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corr_peat2!$I$9:$M$9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5C-403D-BF18-8FF5A8AC2192}"/>
            </c:ext>
          </c:extLst>
        </c:ser>
        <c:ser>
          <c:idx val="8"/>
          <c:order val="8"/>
          <c:tx>
            <c:strRef>
              <c:f>corr_peat2!$H$10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corr_peat2!$I$10:$M$10</c:f>
              <c:numCache>
                <c:formatCode>General</c:formatCode>
                <c:ptCount val="5"/>
                <c:pt idx="0">
                  <c:v>0.58626566007692948</c:v>
                </c:pt>
                <c:pt idx="1">
                  <c:v>0</c:v>
                </c:pt>
                <c:pt idx="2">
                  <c:v>4.3456136433337863E-3</c:v>
                </c:pt>
                <c:pt idx="3">
                  <c:v>1.2714319040832913E-3</c:v>
                </c:pt>
                <c:pt idx="4">
                  <c:v>0.16219171073636671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5C-403D-BF18-8FF5A8AC2192}"/>
            </c:ext>
          </c:extLst>
        </c:ser>
        <c:ser>
          <c:idx val="9"/>
          <c:order val="9"/>
          <c:tx>
            <c:strRef>
              <c:f>corr_peat2!$H$11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corr_peat2!$I$11:$M$11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5C-403D-BF18-8FF5A8AC2192}"/>
            </c:ext>
          </c:extLst>
        </c:ser>
        <c:ser>
          <c:idx val="10"/>
          <c:order val="10"/>
          <c:tx>
            <c:strRef>
              <c:f>corr_peat2!$H$12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corr_peat2!$I$12:$M$12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55C-403D-BF18-8FF5A8AC2192}"/>
            </c:ext>
          </c:extLst>
        </c:ser>
        <c:ser>
          <c:idx val="11"/>
          <c:order val="11"/>
          <c:tx>
            <c:strRef>
              <c:f>corr_peat2!$H$13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corr_peat2!$I$13:$M$13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55C-403D-BF18-8FF5A8AC2192}"/>
            </c:ext>
          </c:extLst>
        </c:ser>
        <c:ser>
          <c:idx val="12"/>
          <c:order val="12"/>
          <c:tx>
            <c:strRef>
              <c:f>corr_peat2!$H$14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corr_peat2!$I$14:$M$14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5C-403D-BF18-8FF5A8AC2192}"/>
            </c:ext>
          </c:extLst>
        </c:ser>
        <c:ser>
          <c:idx val="13"/>
          <c:order val="13"/>
          <c:tx>
            <c:strRef>
              <c:f>corr_peat2!$H$15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corr_peat2!$I$1:$M$1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corr_peat2!$I$15:$M$15</c:f>
              <c:numCache>
                <c:formatCode>General</c:formatCode>
                <c:ptCount val="5"/>
                <c:pt idx="0">
                  <c:v>0.57989264722227918</c:v>
                </c:pt>
                <c:pt idx="1">
                  <c:v>4.8567808339769535E-5</c:v>
                </c:pt>
                <c:pt idx="2">
                  <c:v>0</c:v>
                </c:pt>
                <c:pt idx="3">
                  <c:v>0</c:v>
                </c:pt>
                <c:pt idx="4">
                  <c:v>0.16156363671680565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55C-403D-BF18-8FF5A8AC2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839008"/>
        <c:axId val="81129391"/>
      </c:lineChart>
      <c:catAx>
        <c:axId val="85883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29391"/>
        <c:crosses val="autoZero"/>
        <c:auto val="1"/>
        <c:lblAlgn val="ctr"/>
        <c:lblOffset val="100"/>
        <c:noMultiLvlLbl val="0"/>
      </c:catAx>
      <c:valAx>
        <c:axId val="81129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883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corr_HC2!$H$2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corr_HC2!$I$2:$M$2</c:f>
              <c:numCache>
                <c:formatCode>General</c:formatCode>
                <c:ptCount val="5"/>
                <c:pt idx="0">
                  <c:v>0.12669586117467163</c:v>
                </c:pt>
                <c:pt idx="1">
                  <c:v>0.71403165023078474</c:v>
                </c:pt>
                <c:pt idx="2">
                  <c:v>0.53665312105827134</c:v>
                </c:pt>
                <c:pt idx="3">
                  <c:v>0.96737895397584039</c:v>
                </c:pt>
                <c:pt idx="4">
                  <c:v>0.84058607027633225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4-4F7F-BEDC-FB72F54BD7C2}"/>
            </c:ext>
          </c:extLst>
        </c:ser>
        <c:ser>
          <c:idx val="1"/>
          <c:order val="1"/>
          <c:tx>
            <c:strRef>
              <c:f>corr_HC2!$H$3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corr_HC2!$I$3:$M$3</c:f>
              <c:numCache>
                <c:formatCode>General</c:formatCode>
                <c:ptCount val="5"/>
                <c:pt idx="0">
                  <c:v>0.97395646770379629</c:v>
                </c:pt>
                <c:pt idx="1">
                  <c:v>0.51925720145508092</c:v>
                </c:pt>
                <c:pt idx="2">
                  <c:v>0.97291157463054956</c:v>
                </c:pt>
                <c:pt idx="3">
                  <c:v>1.7161195344656002E-2</c:v>
                </c:pt>
                <c:pt idx="4">
                  <c:v>5.0133857430790692E-2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4-4F7F-BEDC-FB72F54BD7C2}"/>
            </c:ext>
          </c:extLst>
        </c:ser>
        <c:ser>
          <c:idx val="2"/>
          <c:order val="2"/>
          <c:tx>
            <c:strRef>
              <c:f>corr_HC2!$H$4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corr_HC2!$I$4:$M$4</c:f>
              <c:numCache>
                <c:formatCode>General</c:formatCode>
                <c:ptCount val="5"/>
                <c:pt idx="0">
                  <c:v>0.12669586117467163</c:v>
                </c:pt>
                <c:pt idx="1">
                  <c:v>0.71403165023078474</c:v>
                </c:pt>
                <c:pt idx="2">
                  <c:v>0.53665312105827134</c:v>
                </c:pt>
                <c:pt idx="3">
                  <c:v>0.96737895397584039</c:v>
                </c:pt>
                <c:pt idx="4">
                  <c:v>0.84058607027633225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4-4F7F-BEDC-FB72F54BD7C2}"/>
            </c:ext>
          </c:extLst>
        </c:ser>
        <c:ser>
          <c:idx val="3"/>
          <c:order val="3"/>
          <c:tx>
            <c:strRef>
              <c:f>corr_HC2!$H$6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corr_HC2!$I$6:$M$6</c:f>
              <c:numCache>
                <c:formatCode>General</c:formatCode>
                <c:ptCount val="5"/>
                <c:pt idx="0">
                  <c:v>0.97395646770379629</c:v>
                </c:pt>
                <c:pt idx="1">
                  <c:v>0.51925720145508092</c:v>
                </c:pt>
                <c:pt idx="2">
                  <c:v>0.97291157463054956</c:v>
                </c:pt>
                <c:pt idx="3">
                  <c:v>1.7161195344656002E-2</c:v>
                </c:pt>
                <c:pt idx="4">
                  <c:v>5.0133857430790692E-2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84-4F7F-BEDC-FB72F54BD7C2}"/>
            </c:ext>
          </c:extLst>
        </c:ser>
        <c:ser>
          <c:idx val="4"/>
          <c:order val="4"/>
          <c:tx>
            <c:strRef>
              <c:f>corr_HC2!$H$7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corr_HC2!$I$7:$M$7</c:f>
              <c:numCache>
                <c:formatCode>General</c:formatCode>
                <c:ptCount val="5"/>
                <c:pt idx="0">
                  <c:v>0.43100760991813275</c:v>
                </c:pt>
                <c:pt idx="1">
                  <c:v>1</c:v>
                </c:pt>
                <c:pt idx="2">
                  <c:v>0.84857932423803528</c:v>
                </c:pt>
                <c:pt idx="3">
                  <c:v>0.75562869006909728</c:v>
                </c:pt>
                <c:pt idx="4">
                  <c:v>0.23614059326099732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84-4F7F-BEDC-FB72F54BD7C2}"/>
            </c:ext>
          </c:extLst>
        </c:ser>
        <c:ser>
          <c:idx val="5"/>
          <c:order val="5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84-4F7F-BEDC-FB72F54BD7C2}"/>
            </c:ext>
          </c:extLst>
        </c:ser>
        <c:ser>
          <c:idx val="6"/>
          <c:order val="6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84-4F7F-BEDC-FB72F54BD7C2}"/>
            </c:ext>
          </c:extLst>
        </c:ser>
        <c:ser>
          <c:idx val="7"/>
          <c:order val="7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84-4F7F-BEDC-FB72F54BD7C2}"/>
            </c:ext>
          </c:extLst>
        </c:ser>
        <c:ser>
          <c:idx val="8"/>
          <c:order val="8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84-4F7F-BEDC-FB72F54BD7C2}"/>
            </c:ext>
          </c:extLst>
        </c:ser>
        <c:ser>
          <c:idx val="9"/>
          <c:order val="9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84-4F7F-BEDC-FB72F54BD7C2}"/>
            </c:ext>
          </c:extLst>
        </c:ser>
        <c:ser>
          <c:idx val="10"/>
          <c:order val="10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84-4F7F-BEDC-FB72F54BD7C2}"/>
            </c:ext>
          </c:extLst>
        </c:ser>
        <c:ser>
          <c:idx val="11"/>
          <c:order val="11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D84-4F7F-BEDC-FB72F54BD7C2}"/>
            </c:ext>
          </c:extLst>
        </c:ser>
        <c:ser>
          <c:idx val="12"/>
          <c:order val="12"/>
          <c:tx>
            <c:strRef>
              <c:f>corr_HC2!$H$8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corr_HC2!$I$8:$M$8</c:f>
              <c:numCache>
                <c:formatCode>General</c:formatCode>
                <c:ptCount val="5"/>
                <c:pt idx="0">
                  <c:v>1</c:v>
                </c:pt>
                <c:pt idx="1">
                  <c:v>0.54409525114157209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D84-4F7F-BEDC-FB72F54BD7C2}"/>
            </c:ext>
          </c:extLst>
        </c:ser>
        <c:ser>
          <c:idx val="13"/>
          <c:order val="13"/>
          <c:tx>
            <c:strRef>
              <c:f>corr_HC2!$H$9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corr_HC2!$I$9:$M$9</c:f>
              <c:numCache>
                <c:formatCode>General</c:formatCode>
                <c:ptCount val="5"/>
                <c:pt idx="0">
                  <c:v>0</c:v>
                </c:pt>
                <c:pt idx="1">
                  <c:v>0.5739094802373883</c:v>
                </c:pt>
                <c:pt idx="2">
                  <c:v>0.3840556446252571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D84-4F7F-BEDC-FB72F54BD7C2}"/>
            </c:ext>
          </c:extLst>
        </c:ser>
        <c:ser>
          <c:idx val="14"/>
          <c:order val="14"/>
          <c:tx>
            <c:strRef>
              <c:f>corr_HC2!$H$10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corr_HC2!$I$10:$M$10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D84-4F7F-BEDC-FB72F54BD7C2}"/>
            </c:ext>
          </c:extLst>
        </c:ser>
        <c:ser>
          <c:idx val="15"/>
          <c:order val="15"/>
          <c:tx>
            <c:strRef>
              <c:f>corr_HC2!$H$11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corr_HC2!$I$11:$M$11</c:f>
              <c:numCache>
                <c:formatCode>General</c:formatCode>
                <c:ptCount val="5"/>
                <c:pt idx="0">
                  <c:v>8.0289320685516266E-2</c:v>
                </c:pt>
                <c:pt idx="1">
                  <c:v>5.9355412532250039E-2</c:v>
                </c:pt>
                <c:pt idx="2">
                  <c:v>0</c:v>
                </c:pt>
                <c:pt idx="3">
                  <c:v>0.63037767560374813</c:v>
                </c:pt>
                <c:pt idx="4">
                  <c:v>0.8887018040840462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D84-4F7F-BEDC-FB72F54BD7C2}"/>
            </c:ext>
          </c:extLst>
        </c:ser>
        <c:ser>
          <c:idx val="16"/>
          <c:order val="16"/>
          <c:tx>
            <c:strRef>
              <c:f>corr_HC2!$H$13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corr_HC2!$I$13:$M$13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D84-4F7F-BEDC-FB72F54BD7C2}"/>
            </c:ext>
          </c:extLst>
        </c:ser>
        <c:ser>
          <c:idx val="17"/>
          <c:order val="17"/>
          <c:tx>
            <c:strRef>
              <c:f>corr_HC2!$H$14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corr_HC2!$I$14:$M$14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D84-4F7F-BEDC-FB72F54BD7C2}"/>
            </c:ext>
          </c:extLst>
        </c:ser>
        <c:ser>
          <c:idx val="18"/>
          <c:order val="18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D84-4F7F-BEDC-FB72F54BD7C2}"/>
            </c:ext>
          </c:extLst>
        </c:ser>
        <c:ser>
          <c:idx val="19"/>
          <c:order val="19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D84-4F7F-BEDC-FB72F54BD7C2}"/>
            </c:ext>
          </c:extLst>
        </c:ser>
        <c:ser>
          <c:idx val="20"/>
          <c:order val="20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D84-4F7F-BEDC-FB72F54BD7C2}"/>
            </c:ext>
          </c:extLst>
        </c:ser>
        <c:ser>
          <c:idx val="21"/>
          <c:order val="21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D84-4F7F-BEDC-FB72F54BD7C2}"/>
            </c:ext>
          </c:extLst>
        </c:ser>
        <c:ser>
          <c:idx val="22"/>
          <c:order val="22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D84-4F7F-BEDC-FB72F54BD7C2}"/>
            </c:ext>
          </c:extLst>
        </c:ser>
        <c:ser>
          <c:idx val="23"/>
          <c:order val="23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D84-4F7F-BEDC-FB72F54BD7C2}"/>
            </c:ext>
          </c:extLst>
        </c:ser>
        <c:ser>
          <c:idx val="24"/>
          <c:order val="24"/>
          <c:tx>
            <c:strRef>
              <c:f>corr_HC2!#REF!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D84-4F7F-BEDC-FB72F54BD7C2}"/>
            </c:ext>
          </c:extLst>
        </c:ser>
        <c:ser>
          <c:idx val="25"/>
          <c:order val="25"/>
          <c:tx>
            <c:strRef>
              <c:f>corr_HC2!$H$15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corr_HC2!$I$1:$M$1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corr_HC2!$I$15:$M$15</c:f>
              <c:numCache>
                <c:formatCode>General</c:formatCode>
                <c:ptCount val="5"/>
                <c:pt idx="0">
                  <c:v>0.36727968810438988</c:v>
                </c:pt>
                <c:pt idx="1">
                  <c:v>0</c:v>
                </c:pt>
                <c:pt idx="2">
                  <c:v>0.1447227450109651</c:v>
                </c:pt>
                <c:pt idx="3">
                  <c:v>4.4750351254979275E-2</c:v>
                </c:pt>
                <c:pt idx="4">
                  <c:v>9.3687576097705005E-2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D84-4F7F-BEDC-FB72F54B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931056"/>
        <c:axId val="81926863"/>
      </c:lineChart>
      <c:catAx>
        <c:axId val="62293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926863"/>
        <c:crosses val="autoZero"/>
        <c:auto val="1"/>
        <c:lblAlgn val="ctr"/>
        <c:lblOffset val="100"/>
        <c:noMultiLvlLbl val="0"/>
      </c:catAx>
      <c:valAx>
        <c:axId val="819268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93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brut2!$H$2</c:f>
              <c:strCache>
                <c:ptCount val="1"/>
                <c:pt idx="0">
                  <c:v>minCO2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brut2!$I$2:$M$2</c:f>
              <c:numCache>
                <c:formatCode>0.00E+00</c:formatCode>
                <c:ptCount val="5"/>
                <c:pt idx="0">
                  <c:v>3.2741421273487926E-2</c:v>
                </c:pt>
                <c:pt idx="1">
                  <c:v>0.72780850905951977</c:v>
                </c:pt>
                <c:pt idx="2">
                  <c:v>0.49484198619671971</c:v>
                </c:pt>
                <c:pt idx="3">
                  <c:v>0.76853030210138862</c:v>
                </c:pt>
                <c:pt idx="4">
                  <c:v>0.64084416280250711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1-4CE7-87B1-BD6D52AC3706}"/>
            </c:ext>
          </c:extLst>
        </c:ser>
        <c:ser>
          <c:idx val="1"/>
          <c:order val="1"/>
          <c:tx>
            <c:strRef>
              <c:f>brut2!$H$3</c:f>
              <c:strCache>
                <c:ptCount val="1"/>
                <c:pt idx="0">
                  <c:v>minEQ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brut2!$I$3:$M$3</c:f>
              <c:numCache>
                <c:formatCode>0.00E+00</c:formatCode>
                <c:ptCount val="5"/>
                <c:pt idx="0">
                  <c:v>1</c:v>
                </c:pt>
                <c:pt idx="1">
                  <c:v>0.59455850047412262</c:v>
                </c:pt>
                <c:pt idx="2">
                  <c:v>1</c:v>
                </c:pt>
                <c:pt idx="3">
                  <c:v>0.11110709145129778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1-4CE7-87B1-BD6D52AC3706}"/>
            </c:ext>
          </c:extLst>
        </c:ser>
        <c:ser>
          <c:idx val="2"/>
          <c:order val="2"/>
          <c:tx>
            <c:strRef>
              <c:f>brut2!$H$4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brut2!$I$4:$M$4</c:f>
              <c:numCache>
                <c:formatCode>0.00E+00</c:formatCode>
                <c:ptCount val="5"/>
                <c:pt idx="0">
                  <c:v>3.7267651823538236E-2</c:v>
                </c:pt>
                <c:pt idx="1">
                  <c:v>0.69828321399950233</c:v>
                </c:pt>
                <c:pt idx="2">
                  <c:v>0.46332832348659719</c:v>
                </c:pt>
                <c:pt idx="3">
                  <c:v>0.72503104424233822</c:v>
                </c:pt>
                <c:pt idx="4">
                  <c:v>0.57638793411859801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71-4CE7-87B1-BD6D52AC3706}"/>
            </c:ext>
          </c:extLst>
        </c:ser>
        <c:ser>
          <c:idx val="3"/>
          <c:order val="3"/>
          <c:tx>
            <c:strRef>
              <c:f>brut2!$H$5</c:f>
              <c:strCache>
                <c:ptCount val="1"/>
                <c:pt idx="0">
                  <c:v>minEQ&amp;HH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brut2!$I$5:$M$5</c:f>
              <c:numCache>
                <c:formatCode>0.00E+00</c:formatCode>
                <c:ptCount val="5"/>
                <c:pt idx="0">
                  <c:v>3.7267651823538236E-2</c:v>
                </c:pt>
                <c:pt idx="1">
                  <c:v>0.69828321399950233</c:v>
                </c:pt>
                <c:pt idx="2">
                  <c:v>0.46332832348659719</c:v>
                </c:pt>
                <c:pt idx="3">
                  <c:v>0.72503104424233822</c:v>
                </c:pt>
                <c:pt idx="4">
                  <c:v>0.57638793411859801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71-4CE7-87B1-BD6D52AC3706}"/>
            </c:ext>
          </c:extLst>
        </c:ser>
        <c:ser>
          <c:idx val="4"/>
          <c:order val="4"/>
          <c:tx>
            <c:strRef>
              <c:f>brut2!$H$6</c:f>
              <c:strCache>
                <c:ptCount val="1"/>
                <c:pt idx="0">
                  <c:v>minCO2&amp;EQ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brut2!$I$6:$M$6</c:f>
              <c:numCache>
                <c:formatCode>0.00E+00</c:formatCode>
                <c:ptCount val="5"/>
                <c:pt idx="0">
                  <c:v>1</c:v>
                </c:pt>
                <c:pt idx="1">
                  <c:v>0.59455850047412262</c:v>
                </c:pt>
                <c:pt idx="2">
                  <c:v>1</c:v>
                </c:pt>
                <c:pt idx="3">
                  <c:v>0.11110709145129778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71-4CE7-87B1-BD6D52AC3706}"/>
            </c:ext>
          </c:extLst>
        </c:ser>
        <c:ser>
          <c:idx val="5"/>
          <c:order val="5"/>
          <c:tx>
            <c:strRef>
              <c:f>brut2!$H$7</c:f>
              <c:strCache>
                <c:ptCount val="1"/>
                <c:pt idx="0">
                  <c:v>minCO2&amp;HH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brut2!$I$7:$M$7</c:f>
              <c:numCache>
                <c:formatCode>0.00E+00</c:formatCode>
                <c:ptCount val="5"/>
                <c:pt idx="0">
                  <c:v>0.4116395208810032</c:v>
                </c:pt>
                <c:pt idx="1">
                  <c:v>1</c:v>
                </c:pt>
                <c:pt idx="2">
                  <c:v>0.84367134919239761</c:v>
                </c:pt>
                <c:pt idx="3">
                  <c:v>0.56960696346083994</c:v>
                </c:pt>
                <c:pt idx="4">
                  <c:v>0.14139322468089519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71-4CE7-87B1-BD6D52AC3706}"/>
            </c:ext>
          </c:extLst>
        </c:ser>
        <c:ser>
          <c:idx val="6"/>
          <c:order val="6"/>
          <c:tx>
            <c:strRef>
              <c:f>brut2!$H$8</c:f>
              <c:strCache>
                <c:ptCount val="1"/>
                <c:pt idx="0">
                  <c:v>minCO2&amp;EQ&amp;HH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brut2!$I$8:$M$8</c:f>
              <c:numCache>
                <c:formatCode>0.00E+00</c:formatCode>
                <c:ptCount val="5"/>
                <c:pt idx="0">
                  <c:v>1</c:v>
                </c:pt>
                <c:pt idx="1">
                  <c:v>0.59455850047412262</c:v>
                </c:pt>
                <c:pt idx="2">
                  <c:v>1</c:v>
                </c:pt>
                <c:pt idx="3">
                  <c:v>0.11110709145129778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71-4CE7-87B1-BD6D52AC3706}"/>
            </c:ext>
          </c:extLst>
        </c:ser>
        <c:ser>
          <c:idx val="7"/>
          <c:order val="7"/>
          <c:tx>
            <c:strRef>
              <c:f>brut2!$H$9</c:f>
              <c:strCache>
                <c:ptCount val="1"/>
                <c:pt idx="0">
                  <c:v>minCO2_inv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brut2!$I$9:$M$9</c:f>
              <c:numCache>
                <c:formatCode>0.00E+00</c:formatCode>
                <c:ptCount val="5"/>
                <c:pt idx="0">
                  <c:v>0</c:v>
                </c:pt>
                <c:pt idx="1">
                  <c:v>0.87719196365925212</c:v>
                </c:pt>
                <c:pt idx="2">
                  <c:v>0.6682667421862919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71-4CE7-87B1-BD6D52AC3706}"/>
            </c:ext>
          </c:extLst>
        </c:ser>
        <c:ser>
          <c:idx val="8"/>
          <c:order val="8"/>
          <c:tx>
            <c:strRef>
              <c:f>brut2!$H$10</c:f>
              <c:strCache>
                <c:ptCount val="1"/>
                <c:pt idx="0">
                  <c:v>minEQ_inv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brut2!$I$10:$M$10</c:f>
              <c:numCache>
                <c:formatCode>0.00E+00</c:formatCode>
                <c:ptCount val="5"/>
                <c:pt idx="0">
                  <c:v>0.69589687428858571</c:v>
                </c:pt>
                <c:pt idx="1">
                  <c:v>0</c:v>
                </c:pt>
                <c:pt idx="2">
                  <c:v>0.2811524592214239</c:v>
                </c:pt>
                <c:pt idx="3">
                  <c:v>0</c:v>
                </c:pt>
                <c:pt idx="4">
                  <c:v>8.8246560653889777E-2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71-4CE7-87B1-BD6D52AC3706}"/>
            </c:ext>
          </c:extLst>
        </c:ser>
        <c:ser>
          <c:idx val="9"/>
          <c:order val="9"/>
          <c:tx>
            <c:strRef>
              <c:f>brut2!$H$11</c:f>
              <c:strCache>
                <c:ptCount val="1"/>
                <c:pt idx="0">
                  <c:v>minHH_inv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brut2!$I$11:$M$11</c:f>
              <c:numCache>
                <c:formatCode>0.00E+00</c:formatCode>
                <c:ptCount val="5"/>
                <c:pt idx="0">
                  <c:v>0.14033202608543258</c:v>
                </c:pt>
                <c:pt idx="1">
                  <c:v>0.10243544979006275</c:v>
                </c:pt>
                <c:pt idx="2">
                  <c:v>0</c:v>
                </c:pt>
                <c:pt idx="3">
                  <c:v>0.62056727544112689</c:v>
                </c:pt>
                <c:pt idx="4">
                  <c:v>0.88724357692410905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71-4CE7-87B1-BD6D52AC3706}"/>
            </c:ext>
          </c:extLst>
        </c:ser>
        <c:ser>
          <c:idx val="10"/>
          <c:order val="10"/>
          <c:tx>
            <c:strRef>
              <c:f>brut2!$H$12</c:f>
              <c:strCache>
                <c:ptCount val="1"/>
                <c:pt idx="0">
                  <c:v>minEQ&amp;HH_inv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brut2!$I$12:$M$12</c:f>
              <c:numCache>
                <c:formatCode>0.00E+00</c:formatCode>
                <c:ptCount val="5"/>
                <c:pt idx="0">
                  <c:v>0.15382203012832354</c:v>
                </c:pt>
                <c:pt idx="1">
                  <c:v>9.4590731518093135E-2</c:v>
                </c:pt>
                <c:pt idx="2">
                  <c:v>6.0863950605493898E-3</c:v>
                </c:pt>
                <c:pt idx="3">
                  <c:v>0.6377389822001196</c:v>
                </c:pt>
                <c:pt idx="4">
                  <c:v>0.93653711968589248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71-4CE7-87B1-BD6D52AC3706}"/>
            </c:ext>
          </c:extLst>
        </c:ser>
        <c:ser>
          <c:idx val="11"/>
          <c:order val="11"/>
          <c:tx>
            <c:strRef>
              <c:f>brut2!$H$13</c:f>
              <c:strCache>
                <c:ptCount val="1"/>
                <c:pt idx="0">
                  <c:v>minCO2&amp;EQ_inv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brut2!$I$13:$M$13</c:f>
              <c:numCache>
                <c:formatCode>0.00E+00</c:formatCode>
                <c:ptCount val="5"/>
                <c:pt idx="0">
                  <c:v>0.64194219500911132</c:v>
                </c:pt>
                <c:pt idx="1">
                  <c:v>1.3064875344379624E-2</c:v>
                </c:pt>
                <c:pt idx="2">
                  <c:v>0.25182131435485156</c:v>
                </c:pt>
                <c:pt idx="3">
                  <c:v>1.9396413685798926E-2</c:v>
                </c:pt>
                <c:pt idx="4">
                  <c:v>8.1813085369643601E-2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71-4CE7-87B1-BD6D52AC3706}"/>
            </c:ext>
          </c:extLst>
        </c:ser>
        <c:ser>
          <c:idx val="12"/>
          <c:order val="12"/>
          <c:tx>
            <c:strRef>
              <c:f>brut2!$H$14</c:f>
              <c:strCache>
                <c:ptCount val="1"/>
                <c:pt idx="0">
                  <c:v>minCO2&amp;HH_inv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brut2!$I$14:$M$14</c:f>
              <c:numCache>
                <c:formatCode>0.00E+00</c:formatCode>
                <c:ptCount val="5"/>
                <c:pt idx="0">
                  <c:v>0.4116395208810032</c:v>
                </c:pt>
                <c:pt idx="1">
                  <c:v>1</c:v>
                </c:pt>
                <c:pt idx="2">
                  <c:v>0.84367134919239761</c:v>
                </c:pt>
                <c:pt idx="3">
                  <c:v>0.56960696346083994</c:v>
                </c:pt>
                <c:pt idx="4">
                  <c:v>0.14139322468089519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71-4CE7-87B1-BD6D52AC3706}"/>
            </c:ext>
          </c:extLst>
        </c:ser>
        <c:ser>
          <c:idx val="13"/>
          <c:order val="13"/>
          <c:tx>
            <c:strRef>
              <c:f>brut2!$H$15</c:f>
              <c:strCache>
                <c:ptCount val="1"/>
                <c:pt idx="0">
                  <c:v>minCO2&amp;EQ&amp;HH_inv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brut2!$I$1:$M$1</c:f>
              <c:strCache>
                <c:ptCount val="5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  <c:pt idx="3">
                  <c:v>EQ (excl. CO2)</c:v>
                </c:pt>
                <c:pt idx="4">
                  <c:v>HH (excl. CO2)</c:v>
                </c:pt>
              </c:strCache>
            </c:strRef>
          </c:cat>
          <c:val>
            <c:numRef>
              <c:f>brut2!$I$15:$M$15</c:f>
              <c:numCache>
                <c:formatCode>0.00E+00</c:formatCode>
                <c:ptCount val="5"/>
                <c:pt idx="0">
                  <c:v>0.64194219500911132</c:v>
                </c:pt>
                <c:pt idx="1">
                  <c:v>1.3064875344379624E-2</c:v>
                </c:pt>
                <c:pt idx="2">
                  <c:v>0.25182131435485156</c:v>
                </c:pt>
                <c:pt idx="3">
                  <c:v>1.9396413685798926E-2</c:v>
                </c:pt>
                <c:pt idx="4">
                  <c:v>8.1813085369643601E-2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C71-4CE7-87B1-BD6D52AC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374192"/>
        <c:axId val="1131523344"/>
      </c:lineChart>
      <c:catAx>
        <c:axId val="66137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1523344"/>
        <c:crosses val="autoZero"/>
        <c:auto val="1"/>
        <c:lblAlgn val="ctr"/>
        <c:lblOffset val="100"/>
        <c:noMultiLvlLbl val="0"/>
      </c:catAx>
      <c:valAx>
        <c:axId val="1131523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137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374649</xdr:colOff>
      <xdr:row>28</xdr:row>
      <xdr:rowOff>53974</xdr:rowOff>
    </xdr:from>
    <xdr:to>
      <xdr:col>18</xdr:col>
      <xdr:colOff>311149</xdr:colOff>
      <xdr:row>56</xdr:row>
      <xdr:rowOff>31749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ED86ABC-4756-45B7-90F8-AC9B2324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349250</xdr:colOff>
      <xdr:row>16</xdr:row>
      <xdr:rowOff>76199</xdr:rowOff>
    </xdr:from>
    <xdr:to>
      <xdr:col>9</xdr:col>
      <xdr:colOff>390525</xdr:colOff>
      <xdr:row>39</xdr:row>
      <xdr:rowOff>47623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4E0E83-3593-41F6-8958-B7083A5D4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311150</xdr:colOff>
      <xdr:row>17</xdr:row>
      <xdr:rowOff>95250</xdr:rowOff>
    </xdr:from>
    <xdr:to>
      <xdr:col>11</xdr:col>
      <xdr:colOff>154781</xdr:colOff>
      <xdr:row>41</xdr:row>
      <xdr:rowOff>122236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3BAAEA-E3BF-405C-BC48-8EA45DA0D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</xdr:row>
      <xdr:rowOff>0</xdr:rowOff>
    </xdr:from>
    <xdr:to>
      <xdr:col>6</xdr:col>
      <xdr:colOff>304800</xdr:colOff>
      <xdr:row>20</xdr:row>
      <xdr:rowOff>123825</xdr:rowOff>
    </xdr:to>
    <xdr:sp macro="" textlink="">
      <xdr:nvSpPr>
        <xdr:cNvPr id="2" name="AutoShape 1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B7414E71-AD53-488C-BD98-7C68BCADD758}"/>
            </a:ext>
          </a:extLst>
        </xdr:cNvPr>
        <xdr:cNvSpPr>
          <a:spLocks noChangeAspect="1" noChangeArrowheads="1"/>
        </xdr:cNvSpPr>
      </xdr:nvSpPr>
      <xdr:spPr bwMode="auto">
        <a:xfrm>
          <a:off x="4572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304800</xdr:colOff>
      <xdr:row>18</xdr:row>
      <xdr:rowOff>123825</xdr:rowOff>
    </xdr:to>
    <xdr:sp macro="" textlink="">
      <xdr:nvSpPr>
        <xdr:cNvPr id="3" name="AutoShape 2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2A31C687-9682-4654-8D42-9A35F1F6DD8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5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304800</xdr:colOff>
      <xdr:row>20</xdr:row>
      <xdr:rowOff>123825</xdr:rowOff>
    </xdr:to>
    <xdr:sp macro="" textlink="">
      <xdr:nvSpPr>
        <xdr:cNvPr id="4" name="AutoShape 3" descr="data:image/png;base64,iVBORw0KGgoAAAANSUhEUgAAAxEAAAFgCAYAAADEhvQrAAAAOXRFWHRTb2Z0d2FyZQBNYXRwbG90bGliIHZlcnNpb24zLjUuMSwgaHR0cHM6Ly9tYXRwbG90bGliLm9yZy/YYfK9AAAACXBIWXMAAAsTAAALEwEAmpwYAAEAAElEQVR4nOzdd3gc1fXw8e/dLmnVe5dtFVvFvfcKBheKCb0EQklCQgIhIZS8afRfICEBkhCSEHqIMeCCe+/dliVZ1ba61XvZOu8fuxbu2NKuVrLv53n8ILS7M3c02tWcOffcIxRFQZIkSZIkSZIk6VKpPD0ASZIkSZIkSZL6FxlESJIkSZIkSZJ0WWQQIUmSJEmSJEnSZZFBhCRJkiRJkiRJl0UGEZIkSZIkSZIkXRYZREiSJEmSJEmSdFlkECFJUp8khMgWQkz34P4ThBCKEELjqTGcTQgxSQixVwgR5MZ9rBRC3Oeu7UuSJElXBiH7REhS/yaEuBN4AhgMtACHgBcURdnmyXH1d0KIBOA4oFUUxerh4SCEiAU+BL6jKEq1p8cjSZIkXd1kJkKS+jEhxBPAn4AXgXAgDngbuMGDw/pWfenufn+hKEqpoijT3BVACAf5N0GSJEm6JPIPhiT1U0IIf+B3wKOKoixRFKVNURSLoijLFEX5ufM5eiHEn4QQFc5/fxJC6J2PTRdClAkhfiGEqBZCVAohbhRCXC+EyBdC1Ashnjltf78RQiwWQvxXCNEihDgghBh22uO/FEIUOR/LEULcdNpj3xVCbBdC/FEIUQ/8RggxSAixQQhRJ4SoFUJ8JIQIOO01J4QQs51fjxVC7BNCNAshqoQQr5/2vIXOqU+NQohNQoghZ23jSSFEphCiyTl2wwV+nmohxB+cYzkGzDv75y2E+Kfz51QuhHheCKF2PpYohNjs3EetEOK/F9iHQQjxofOYG51Tk8KdjwUJIf7tPE8NQogvT3vdfCHEIedrdgghhl7KMQohAoUQy4UQNc5tLhdCxJz22k1CiBeEENuBdmCg83sPOh9XCSGeE0IUO39H3nf+3l30WCRJkqQrnwwiJKn/mgAYgC8u8pxngfHAcGAYMBZ47rTHI5zbiAb+H/AP4G5gFDAF+H9CiIGnPf8G4H9AEPAx8KUQQut8rMj5Gn/gt8CHQojI0147DjgGhAEvAAJ4CYgChgCxwG8ucBxvAG8oiuIHDAI+AxBCJAOfAD8FQoGvgWVCCN1pr70VmAsMAIYC373APh4C5gMjgNHALWc9/h/ACiQ6n3MN8KDzsd8Da4BAIAb4ywX2cR+On08sEAx8H+hwPvYB4A2k4fgZ/dF5jCOBfwGPOF/zd2DpqWDwW45RBfwbiMeRpeoA3jxrTPcADwO+QPFZj33X+W8GMBAwnvb6ix2LJEmSdIWTQYQk9V/BQO23zNe/C/idoijViqLU4Li4v+e0xy046icswKdACI6L9RZFUbKBbBwXpafsVxRlsfP5r+MIQMYDKIryP0VRKhRFsSuK8l+gAEfQckqFoih/URTFqihKh6IohYqirFUUxeQc2+vAtAschwVIFEKEKIrSqijKLuf3bwNWOLdjAf4AeAETT3vtn53jqgeW4QiozudW4E/OaUP1OAIcAJx32K8DfurM+FTjuMi//bTxxQNRiqJ0XqQexYLjvCUqimJTFGW/oijNzmDrOuD7iqI0ODNKm52veQj4u6Iou52v+Q9gwvlzv9gxKopSpyjK54qitCuK0oIjeDv7Z/yeoijZzvNiOeuxu4DXFUU5pihKK/A0cLtwTEc777Fc4LglSZKkK4wMIiSp/6oDQsTF6wuiOPPucrHze13bUBTF5vz61F3kqtMe78Bx9/mU0lNfKIpiB8pObU8Ice9pU24agXQcQck5r3U+P0wI8alzalAzjqLh059/uu8ByUCuc9rM/PMdn3NMpTgyK6ecPO3r9rOO53RRZ43x9J9bPKAFKk87vr/jyBgA/AJHZmWPc2rVAxfYxwfAauBT57SlV52ZnFigXlGUhvO8Jh742an9Ovcdy5nn8bzHKITwFkL83TkdqRnYAgScmobldMZ5Ocv5fn80OOpvLnQskiRJ0lVABhGS1H/tBDqBGy/ynAocF6GnxDm/112xp74QjiLcGKBCCBGPYyrUj4BgRVECgCwcF9annL0U3EvO7w11TlO6+6znf/NCRSlQFOUOHBftrwCLhRA+nHV8QgjhHGN5N46t8vTjw/GzOqUUx93/EEVRApz//BRFSXOO76SiKA8pihKFY9rR20KIxPMch0VRlN8qipKKI1syH7jXuf0gcVpNyFn7fuG0/QYoiuKtKMonl3BMPwNSgHHOn/FU5/cvdl5Od77fHytQdZFjkSRJkq4CMoiQpH5KUZQmHHUMbwlHQbS3EEIrhLhOCPGq82mfAM8JIUKFECHO53/Yg92OEkLc7Mx+/BTHhfUuwAfHxWgNgBDifhyZiIvxBVqBRiFENPDzCz1RCHG3ECLUmWlodH7bhqM2Yp4QYpbzLvjPnGPa0Y1j+wx4TAgRI4QIBH556gFFUSpx1Dy8JoTwcxYcDxJCTHOO7zunFSw34PhZ2M7aPkKIGUKIDGcmoBnHlCCbc/srcQQfgc7zeOqC/x/A94UQ44SDjxBinhDC9xKOyRdHNqlROHpL/PoyfyafAI8LIQYIIYw4VgH7r6Io1gsdy2VuX5IkSeqnZBAhSf2Yoiiv4+gR8RyOC/hSHNmAL51PeR7YB2QCR4ADzu9111c46hAacNRW3Oy8I50DvIYjO1IFZADbv2VbvwVGAk3ACmDJRZ47F8gWQrTiKLK+3Vl7kIcjg/EXoBZYACxQFMXcjWP7B47pOYdx/JzOHs+9gA7IwXH8i4FTheNjgN3O8S0FfqIoyvHz7CPC+bpm4CiwmW+CuntwXIjnAtU4gjQURdmHoy7iTed+C7lwcfjZ/oSjRqQWR7C36hJfd8q/cExb2oKjZ0Yn8ONLOBZJkiTpCiebzUmSdEmEEL/BUUR7t6fHIkmSJEmSZ8lMhCRJkiRJkiRJl0UGEZIkSZIkSZIkXRY5nUmSJEmSJEmSpMsiMxGSJEmSJEmSJF2WizWp6tPmzp2r1NbWunUfZrMZnU7n1n1IfY8871cned6vPvKcX51647zv37+/VlGUULfuRJI8rD9PZ3L7wAsLC0lMPKdflHSFk+f96iTP+9VHnvOrU2+cdyHEfkVRRrt1J5LkYXI6kyRJkiRJkiRJl0UGEZIkSZIkSZIkXRYZREiSJEmSJEmSdFlkECFJkiRJkiRJ0mWRQYQkSZIkSZIkSZdFBhGSJEmSJEmSJF0WGURIkiRJkiRJknRZZBAhSZIkSZIkSdJl6bcdqyVJkiRJkq5U+/fvD9NoNO8C6VxZN33tQJbVan1w1KhR1Z4ejNR9MoiQJEmSJEnqYzQazbsRERFDQkNDG1QqleLp8biK3W4XNTU1qSdPnnwXWOjp8UjddyVFtpIkSZIkSVeK9NDQ0OYrKYAAUKlUSmhoaBOODIvUj8kgQpIkSZIkqe9RuSKA+Otf/xpUUFCgc8WAXMV5XPIatJ+TJ1CSJEmSJKkfeOqppyISExPTkpOTUwcPHpy6YcMGn4s9/49//GNITU2NJikpyeyqMbz66quhb775ZrCrtif1X71aEyGEuAZIBoKADxVFOXbaYzOBa4DPFUXZK4RIBWYDPsBuRVE2XGi7OTk5xMfH4+PjeC8VFxfzv//9D4DvfOc7xMfH89BDDzF8+HAGDRrE3Llz3XWI0gXU19fzi1/8gl/96lfEx8d3fX/t2rXk5eVRW1vLI488gp+fH++++y5VVVW8+OKLF92mPO99W3Z2Nps3b6auro45c+Ywfvz4rsdKS0tZvnw5arWa6667jpiYGN5++21UKhURERHcdNNNF9zupZz3//znP5hMJvR6Pffdd597D1Q6wwcffMC2bdt44403MBgMXd+vrq7m+eefJyUlhREjRjBx4kSWLl3KiRMnALjnnnsIDAy84Hb37t3LmDFjuv7/7HP88ccfU1paitFo5I477iAoKMhtxyidqaWlhX/+85/Y7Xb8/Px48MEHux4rLS1l6dKlABw6dIh//OMf53zuR0ZGXnDb33bez/f+v1KtW7fOZ/Xq1QFHjhzJ8fLyUiorKzUmk0lc7DWPP/54rSvHYLFY+MUvflHjym1K/ddFgwghxCxgKGAG6p3PjwdeBkbgmM/mD/zT+XUIUAKkKIry2dnbUxRlDbBGCDEQGAscO+2xDUIIcdr/5wA5znE8DWwQQkwBBgPeRUVFDBw4EHB8MIWEhHRdVCxdupQf/OAHALz33ns8+uijGAwGzGYzoaGhl/cTugqtX7+ezMxMdDodQUFBWK1WiouL+eUvf8nBgwfJysqiqamJ733ve2RlZVFbW0tcXBx5eXnceuut593mkiVLmDx58jnfnzNnDnPmzGHnzp2UlJQwbtw4fvKTn/DSSy91PWfr1q3k5ubS3t7OggUL5Hl3E1ef97S0NNLS0mhtbeXTTz89I4j44osvCAgIwGKxEBAQQE5ODnFxcSxYsIDXX38dq9XKzp07u3Xeb731VqxWKw8//DD/+te/qK2tJSQkpBd+gv2bq87/PffcQ11d3Xn3YTAYMJlMXe/HI0eO8Oyzz5Kfn8+aNWuYP38+H3/8MYqi4OXlxT333NP12u3bt3ddTNbU1JxzjtVqNVqtFo1G0/W7IX07V5x3X19ffvrTnwLw8ssvoygKp/6cx8bG8uijj3Ls2DF8fX2Bcz/3/fz8un3ez/e5f6UqLy/XBgUFWb28vBSAyMhIK8DmzZu9f/rTn8a1t7erdDqdsmXLljxfX1/7o48+GrN9+3Zfs9ksHnrooeqf//zntcuXL/f93e9+FxUUFGTJy8vzysjIaP/yyy+Pq1QqnnzyychVq1YFmEwm1ejRo1s/+uijYpVKxdixY1PGjh3bunv3buP111/f2NLSojYajbbf/e53VTt27PD6wQ9+EN/R0aGKj483ffzxxydCQ0Ntzz//fNi///3vULVarSQnJ3cuX7782MWPTuqPLmU60wFFUd4C0hVF+QDIB+JwLNElcAQWwxRF2QlEA9cBiy+0MSGEGkc1/rpLGaAQ4ubTnjsfaAMa8/Pzyc7O5q233mLv3r28//77vPXWW9hsNtrb2/Hx8cHHx4f29nYA/vznP/OTn/yk646IdHEjR47k0UcfJSsri3vuuYfk5GRKSkpQqVQoioLVauXw4cNMmDCB8vJyVq5cyS233HLeba1bt45Jkyah051/Sua//vUvPv/8cwYNGnTex5cvX46Pjw8BAQHI8+5erjzv4Dj3zz33HGPHjj3j+4WFhSxatIg5c+awdOlS6urqui4s/f39aW5u7vZ5r6ur6woaQkNDqa116Y24K5qrz//pQkNDefXVV3n00Uf59NNPAZg7dy5//etf2b17N7W1tWzevBmz2YzRaOTkyZNYrVbee+893nrrLXJzc3nrrbfYtWvXec/xrbfeyhNPPMHw4cNZs2aN235GVyJXnffs7GxiYmI47X5glzVr1jBnzpyu/z/9c78n5/18n/tXqhtvvLG5oqJCl5CQkH733XfHrVixwtjZ2SnuuuuuQX/6059K8vLycjZv3pxnNBrtf/rTn0L8/f1tWVlZRw8fPnz0P//5T2hubq4O4OjRo15vvfVWaWFhYXZJSYl+7dq1RoCf//zn1VlZWUcLCgqyOzo6VJ9++qn/qX03Njaq9+7dm/fb3/626vQxffe73x3w4osvluXn5+ekpaV1PPXUU1EAf/7znyOysrJy8vPzc957773i3vw5Sb3nUqYznXpXNjn/awG0wHWKojzvzFbonVkEH0AB1DiCDIQQMTgCiyxgL/B94CtFUb71L7sQ4kagQVGUvc5vmRVF+dj59XvguNv58ccfM3v2bMLCwgDw9vamra0NIQTe3t6ntoUQAq1We8ZdEun8Tv3c/P0dnyFarRaLxcLKlSt57rnnWL9+PSaTCUVRun7WNpsNlcoRl5aVlbFy5UrS09PJz8/n+PHj5OXl0dLSwiOPPHLGvh544AHy8/NZu3Ytd9xxxzlj0el03HnnnWd8T55393DleZ8wYQKzZ89m+vTpvPzyywwdOrRrPxERERgMBoxGIx0dHQQHB3P8+HEAmpqa8PPz6/Z5Dw4O7roTXltby4QJE9z7Q7uC9PT8X8yp955er+/63qhRoxg1ahSHDx/mxIkTKIrC6NGjGTduXNdzvvvd7wLwpz/9qesuc01NzTnn+NT2AwICKC6W1yyXwxXn/ciRI+zZs4cHHnjgnO2bTCbq6+vPmLZ0+ue+n59ft8/7+T73r1T+/v72rKysnFWrVvmuX7/e97777hv0+OOPV4aFhVmmTZvWDhAUFGQHWLdunV9ubq730qVLAwFaWlrUOTk5Bp1Op2RkZLQNGjTIApCWltZeVFSkA1i5cqXv66+/HtHZ2alqbGzUpKamduC89rvjjjvqzx5PXV2duqWlRT1v3rxWgIceeqjuO9/5zkCAlJSUjptuumnAwoULG++6665G9/90JE/oSU1EqRDiViAWOIQju7AFaADuBv4NoChKGfAPACHEgziyFdcLIQ4rirJNCPGEoiivCyHGALMAsxCiE/DGEXxkCiFCndOjNgohfgSYDxw4wIgRI847sIULF/LOO++gKAqLFi2ivLycxYsdyZGMjAx5IdkDsbGxfPbZZ5SWljJ8+HCWLl3K1KlTCQwM5MMPP+T+++8HICYmhoceegig6yLu448/ZtKkSQC8/vrrPPHEE3z++efU1tbS2trKbbfdBsBbb73FsWPH+Ne//sUDDzzAjBkzePPNN9HpdIwZM0aedw/oznnfsWMHR44cwWQyMWPGDOCb875w4ULeeustrFYrt912G1FRUWzevJl33nmHAQMGoNFoun3eQ0NDUavVvPvuu2i1WjmVyQUu9fwDfPnll+Tm5vLOO+9w9913k5OTg1arxWg0sn79esxmM9OmTQNg48aN5ObmYrFYePjhh7HZbPz9738nOzu7a9rK+ZzvHH/22WfU1tbS3Nx8wddJl+dSz3tjYyOvvPIKEyZM4O233+ahhx5iz549aLVaxo0bx9atW7s++4FzPvcDAwO7fd7Pfv9f6TQaDfPnz2+ZP39+y9ChQzv+9re/hQohzlnBSVEU8dprr5UsWrSo+fTvL1++3Fev13c9X61WY7VaRXt7u/jZz34Wv3v37pzExETLE088EdXZ2dkVJfr6+tovZ5wbN24sWLlype+XX34Z8Oqrr0YVFBRkabXa7hyy1IcJRem3yw+7feCFhYUkJia6ezdSHyPP+9VJnverjzznV6feOO9CiP2KoozuyTYOHz58YtiwYbWn/b9epVKRkZFhAnjsscei6uvrNZs2bfL/6KOPiqZNm9be0NCgMhqN9jfeeCNk1apV/itWrDim1+uVzMxMfUJCgmXLli0+r732WvjGjRsLAe6999640aNHt915552NKSkp6cXFxZk2m02MHj16yIIFCxpef/31irFjx6b84Q9/KJ06dWo7wBNPPBF1qiYiJSUl9Y033iiZO3du6xNPPBHV1NSkfuedd0oLCwt1KSkpZpPJJKKioobm5eVlhYSE2M46vpBhw4Yl9ORnJHmW7FgtSZIkSZLUxzU3N6sfe+yxuObmZrVarVYSEhJM//nPf4rz8/NrH3vssbjOzk6VwWCwb9myJf/xxx+vPXHihD4jI2OIoigiKCjI8vXXXxddaNshISG2u+66qyY1NTUtJibGPGzYsLZLGdO///3v4z/4wQ/iH3vsMVVcXJzpk08+OWG1WsWdd945oKWlRa0oinjkkUeqzg4gpCuDzERchLxLdXWS5/3qJM/71Uee86tTf81EXGlkJqL/k83mLqCz1UJLjZnOVounhyL1oorGCgobi6horPD0UKReJN/vkiRJknR55HSm8zhxpJatnxVgtVrIWdXMpFsSSciQxZlXusUblhHUHo5G5U/uyTJ2eO/nlpkLPD0syc1OHKll++JCzGazfL9fJT7fX0ZSuBG9XWF/cQOF1a3cNCLa08PqFV8cLCcxzEhGtD9HypuuymP3tikcLm2gsLqNRaNiPD0sSeq3ZBBxls5WC9v+V0B7kwmhArXKxvbFBUQM8MdglCsLXKkqGisIaYtCazdgt1tRgKD2cCoaK4gKiPL08CQ3UBSFioJG1r2Xg81iR29UoVILti8ulO/3K1xSuJGnFmfS0NZBi7mICD8DH+66OpaFbTdbOdncib+XlqYOy1V57D4aQUJYLc/NG+LpIUlSvyaDiLO0NppAAYOPlo5WMx0tjukNmZtKGTYzFr23vLC4EhXXlaKxO9YYVykabMKKXWWnXAYRVxybzU7Z0QYK9lZRXdyM1WRDqATmdjveRhV2m43WRpMMIq5gWrWKFpOVVpOdyUmhjIgL9PSQetXBkgYOlzYxOTHkqjz2/cfrmJsewdCYAE8PR5L6NRlEnMUYoEeoBDovDUJrR7EITO02jh2spTSnnvj0YJLGhOMfemU3tbnalJ+oJpKBKM56fbWiQWc1EB0Q5uGRSa7S2Wbh2KEaivZX09FqQeelJmV8JDnbK7CabHS2W+hss6DWqDAG6L99g1K/VNdq4uklmbR0WrltaBC5jVYmDgq+ai4oM8sa2VpQw49mJrIyq/KqPPa7RgSz/mgVo+MDr5pjlyR3kEHEWQxGLZNuSWT74kJsFgWdTsvUO1Lw8tVRsLeKY4dqOXaolrAEP5LHhBE5KAChkk3M+rNDJZmEtsViFRZsKjN2YcdgNaJSNOzM3M+iqTIT0Z81VrVTsK+Kkuw6bFYFvxAvUqdEEZ8ejEarJjjah23/K6Cz3YKpzcLsB1JlFuIKZbbaeWllLnWtZn41fwjD/U20G0IoqGq9ai4mC6paeWruYIbGBDA0xv+qPHbvzlpmjbi6zrskuYNc4vUCOlstHD1SwJCMpDMuKFrqOynYW8WJI7VYzXZ8AvQkjQljwNBQtHq1O4ckuYHFYmHdmp0Ybf60x9WRkTCYzMIjBAcF05xjR2fXUxtcyk2T5nt6qNJlUOyOeof8fVXUFLcgBEQOCiBpTDhhCb7ndC/vbLWw4bNDNJcrzLh7MOED/Dw0csmd3txQwOrsKu6flMDNI2PkEq9XKbnEa/d95zvfSVi/fr1/cHCwtaCgILsn25JLvPZ/conXCzAYtfiG6s65I+kbZGDktfHM/9Ewhs+OBeDQ2lKW/eUQB9eU0FLf6YnhSt20bNdqjLYA6nQnuXb4TKICokgMGMSYgaOJGGHEIiwE18WydNfXnh6qdAnMnVby95zk678dYfvnhTRUtpE0Opy5j2Qw+dYkwgf4nRNAgOP9PmCsPzovNdnbyunHN1ekC1iVVcnq7CqmJodcNasRSZKrPfDAA7VLly4t8PQ4pL5BTmfqJp1BQ/LYCJJGh3fd8SzYV0Xh/ioiEwNIGn3+O55S33Gs+jhBjVFYhYVxE4af83hadCom8yGasqwEVEezYv9q5o26tvcHKn2r82UIh8+OJWFoCDrDpX3MaQ0qEkeFkbvzJNXFLYQnyGzElSKnopm/bT7GgBAffjwzSX4uS1I3XXfdda15eXk6T49D6htkENFDQiWITgkkOiXwjLnXFQWN+Id6kTQmnPi0YNRamfTpa7L3HyNACaUhrIxI/1Hnfc7IAcPZZd1DZ67AWB7OavV6rh0+q5dHKp2PoihUnWimYG8VlYVNAITF+5I0JpyoxO7VKiWPjaBwXzU52ypkEHGFqGs18dLKo3hp1Tw7bwgGrZx2KvVvCb9ccf4/WD104uV5+92xXenKJYMIFwoI92bMvAFkTI/pWgVm39cnyNxYxqARoQwaGYa3nwzg+4Jle1cRYImiUVvLwvHXX/S545PGstWyHXuRN4bSIDZptzA9bWovjVQ6m9ViozirjoK91TTXdqDWCAYMCyFpdDgB4T1bNc3go2XQqDDydp2kuriZsHgZSPRnpwqpmzss/PaGdML9DJ4ekiRJ0hVDBhFuYPDRkjopipTxEV3r0R/dUUnuzkpihgSRPCac4Gijp4d51appqcV4MgSbsDFkZPwlvWZK6iTW2TahPR4Ax4xs1+xkUsoE9w5UOkN7s5nC/VUcO1SDucOGl6+W9GnRDBweisHHdasppYyLoGh/NdnbKmQQ0c+9s6WIvJMtPDA5geGxAZ4ejiS5hMwYSH2FDCLcSK1WEZ8eTFxaEHXlbRTsraLsaD2lOfUERfmQNCacmMGBqNVyqlNv2rZjHyFKFDUBxUwPX3DJr5udMZ1V1rV4l4ZiydezT7Of0YPcklWWnBRFcb53TlKW24CiQHCUD0nXhBPtpveOwUfLoJFh5O0+SU1JC6Fxvi7fh+R+pwqppyWHcuNwWUgtSZLkajKI6AVCCEJijITEGGlvjqVwfzXHDlWz+6tjZK53TJ9w9d1U6fzWZW4ixBRJq7qJBRPmXvbr546YwzLrKvwrI2nJsZCpzWZoXJobRnp1s9nslObUU7ivmvrKNoRK9GoWL2V8BIXObMT0O1Pcvj/JtU4vpP7RzERZSC1JLrJgwYIBu3bt8m1oaNCEh4cP/eUvf1nx+OOP96llaKXeI4OIXubtp2PojBhSJ0d2zevO2lzO0e0VxKUFu2Ret3R+rR2tUOKFHYXwVF+02u4FbQvGzOXLHSsIqo2h9nA7eZp8UqKSXTzaq1Nnm4VjB2soPFBNZ6sFnZeGIRMje72eyJGNCCV/T5XMRvQzspBaktxn2bJlxz09BqnvkEGEh2i0agaNcGQgqk+0ULC3iuOHazl+uJbQeF+Se7DCjHR+q7dvIsweR7WxmGkDLn0a0/ncOHEeS7YuJ7QhlrIDDei1xSSEXlp9hXSuxqp28vdWUZrj6CrtH+pF+tRoj65sNnh8JEUHHCs1TZPZiH5BFlJLkiT1HhlEeJgQgvABfoQP8HOsdb+vihOZtWxfXOjohj067LLWupfOb1fBHkLbY+lUtTF/yjUu2ebNU+bz+aZlhDXHU7C7Eu1kLdEBUS7Z9tVAsSuUFzRSsNdxt18IHD1WxoQTFu/5HisGo5aBI8Io2FtFbVkLITEyG9HXyUJqSZKk3iOvTPsQ3yADI6+JJ31qNCcyaynYV82hdaVkbSknYahjCUvfIHln7XKZLCaa8qx4occw0I5eq3fZthdNX8DiDcsIb40ne9sJdNN0hPqGuGz7VyJzp5Xjh2sp3F9NW6MJjU5F0phwEkeF9bnf78HjIzh2sJrsrRVMu0NmI/oyWUgtSZLUu2QQ0Qed0Q270HGntnBfNUX7q4kY5E/SmHDCE/w8fqe2v1i+fQ1h9nhqvMq5OfU6l2//lpkL+HzdcsLa49i/JZdx0zMI9PF3+X76u7O7ShsD9YyYE0fC0BC0+r45b93LV8eA4aEU7qumtqyVkBi5NHNfJAupJUmSep8MIvowoRJEJwcSnXxmN+zKwib8QrxIGhNGfHowGlk4eEFZpTmENMdiFiZmTJzotv0smj2fJWtXEtoRzc5Nh5g6cxRGL3nBqSgKVcebyd9bxckiR1fp8AQ/ksaEETmof9T8DB4fybGDNeRsq2Dq7bKAvq85VUjtrZOF1JIkSb1JBhH9xDndsA9Us39lMUc2lTFweCiJo8JlN+zzKD5SjR9BWGIa3Z4dWDB9NivWbyDYHMmmjXuZM2eiS6dO9SdWs7Or9L4qmms7UWsEA4eHkDg6nICw/rX6mLefjoHDQyncX01deatsFNmHyEJqSZIkz5FdzvqZU92wr//hUMbfMBDfQAO5O0+y4q3D7PyiiNqyVhRF8fQw+4Qvti/HzxpEve4kc0fMcfv+tFot82bNpEFXhb81mNXrtmKymNy+376krcnE4Q2lLH/rMPtXFWMx2cmYHs38Hw1j9PUD+l0AccrgCZGo1ILsbRWeHorkpCgKf9/sKKS+f9IAWUgtSW5WWFioHTduXPLAgQPTEhMT037/+9+HeXpMkmfJTEQ/pVariEsLJi4tmLryVvL3VlGW20Dp0XqCIn1IHB1GbGrQVdsNu7i2lMD6KKzCwujx6b22X61Wy7WzprJm3XYCLWGsXL+ZebNmdLsnRX+gKAq1Za0U7K2iPM/ZVTrGSNLoMGJSAlFdAb+D3n46BgwLoehADXUVrQRHyWyEp63KOsmaHEch9Q3D5apokuRuWq2W1157rWzy5MntDQ0NqhEjRqRef/31zaNGjer09Ngkz5BBxBUgONrIhGgj7c1mig5UU3Swhj3LjpO5sYzEkWEMHHH1dcM+vC+PQCWMupBSogNG9eq+9Vo9s2aOZ9P6vQSbI1i2cS03X3N9r46hN9isdkqP1lOwt4qGk+0IlSA2NYikMeFX5EX24AmRHD9cS862CqbcKmsjPCmnopm/b5GF1JLUm+Lj4y3x8fEWgMDAQPugQYM6SkpKdDKIuHrJIOIK4u2nI2N6DKmToijOrqNgbxVZW8o5uqOC2NRgksdcHd2wV+xfTaA5kmZNHTdOnOeRMXjrvZkwbTi7NmUS2hnD52tXsGiOZ8biap1tFkeweqCazjYrem9HV+nEUWF4+V65dTk+/noShoZw7GAN9RVtBEX5eHpIVyVZSC1d7b7YVeWWO2M3jQ/ff6nPzcvL0+Xk5HhPmzat1R1jkfoHGURcgdRaFQOHhzJgWAjVxY5u2MVHajmRWUtonC9JY8KJTuofK+Ncrrq2BrwqgrALG4keXis+0Mef0VOHcGBzPmEdsXy+YRmLZvasU7YnNZxso2BvFSU59dhtCgFhXmRMjyEu1XNdpXvbkImRnMisJWd7BZO/k+Tp4Vx1ZCG1JHleU1OT6uabbx708ssvlwYFBdk9PR7Jc2QQcQUTQhCe4Ed4gqMbduH+ao4frmHH545u2Imjwhgw7Mrqhr15+y5ClWiq/YuZFuX5C/ZQ3xCGTrGRtfUYYa3xfL5pGYume35cl8puV6jIb3B0lS5tdXSVTgogeUw4oXGe7yrd23z89SRkhHDsUA0NJ9sIjJDZiN5yeiH19ybLQmrp6nU5GQNXM5lMYt68eYO+853v1N93332NnhqH1DdcOVeP0kX5BhkYMSfutG7YVRxeX0r21nISMkJIGvNNN+zOVgutjSaMAXoMxv5TS7EpewuhnVG0qZtZOHGup4fTJdI/HNO4Tgp3nySsOY4lW5dz85T5nh7WOU4/7yq14PjhGkdX6SYzWr2a5LHhJI4Kxxh4dS5be8qQiZEcz6wle1sFk2+R2YjecqqQenqKLKSWJE+w2+3cfvvt8cnJyZ2/+c1vqjw9HsnzZBBxldHq1SSNCSdxVBiVRY0U7K2mcL/jX+Qgf4xBenK2VXY9f9ItiSRkhHhwxJem3dSO5bgOFQpBKV59bjWkhNB4TCNNlO9vIrQhli93rPBYvcb5nDhSy/bFhdhtdsydNryMGjQ6jaOr9DXOrtI6OfccwCdAT0JGMMcP19JY1X5V1Bl52umF1I/OkIXUkuQJa9euNX755ZfBSUlJHYMHD04F+O1vf1t+2223NXl6bJJnyCDiKiVUgqikQKKSAmmsbqdwXxXHD9dQt7UNtUaFwahFrVWxfXEhEQP8+3xGYuW2DYTZ46j2KWFRYt+7yw+QEpWMyZpN3eEOgmpjWLZ7JQvGXefpYdHRbGbzx3lYzDZsFjuKomC3Kcx+IImEtOArsnamp4ZMjOKEMxsxaVGip4dzRauVhdSSqxz6BAIHYKguBa9mqMmD4Xd4elT9xrXXXtuqKIrHplJJfc/VUQ0pXVRAmDejrx/ApO8ko/d2xJXtzWZa602Y2i3UlLV4eIQXt69oP6FtMXSq2rlu8kxPD+eihsal4Zeuwias+FdFsvLAGo+NxWK2Ubi/mtX/yqa9xYzNoqD30uAf6o23nw7fQIMMIC7AGOhYqak8r4HGqnZPD+eKZbbaeelrRyH1U3MHy0JqqfvM7dBwAj69jfBtz8GqX0JoiqdHJUn9mgwipC5BET7ovLQYg/T4BOgRKoG5w8qOxYXsWFJITWlLn+uGbbFYqM3tQCDQDjDjre/7U0tGDRiJPsWCXdjxLgtjXeamXt1/W5OJw+tLWfHmYQ6sLgYFDN5afIP0ePt/U+9gDLi6ax++zZCJkQgBObKLtVucKqTOr3J0pB4mC6ml7jC1wP7/wMe3Qv4q8I9HUWsh41aIHunp0UlSvyanM0ldDEYtk25JZPviQoQQePvpGDozmrZGM6VHGyjLbSAw0puk0eHEDglCrfF8DLp0xyrCbPHUGMq5Oa1nU4M+319GUrgRbyCzrJGCqlYWjYpxzUDPMjF5PJusW6HIiLbYn02arUxPneKWfYGzq3Sps6t0/jddpZPHhBOdEkhJdh3bFxdiMdkARy1MX5/C5mnGQAPx6cGcOFJHY3U7AWF9P4DtT2QhtdQjHY1w5H+Q/QWY2yA4EVJvhKNLaYy7nrCjSx1BhAwkJKnbZBAhnSEhI4SIAf7nrM40bKaZwv3VHDvk7Ia9oZRBI8MYNDLMY92w8yryCWmOwSJMTJs0vsfbi/DX8/D7+xkfY6DGXMtTcwe7YJQXNj11CmstG9AVB0GRDzs0u5iY3PPjOJ3Naqc0p578vVU0VrWjUgvi0oJJGh1+RrO0C5136eKGTIqiOKuOo9srmHCTrI1wFVlILXVbez1kfgY5X4KlA8KGwMh7IW4CHP4UZv+G5g4/woZd46iJkEGEJHWbDCKkcxiM2nMuIr18v+mGXZLj6IadvbWCozsqiUsNImlMeK+vmV9wqBx/JZjW6GqCfQJ7vL1DpU2oVLAyv4nbxsQxNCag54P8FnOGzWSFdTW+5eGY8rTs1x5g1ICe/1HrbLVQeKCaYwe/6SqdOjmKQSND8TKev6v0+c67dHG+QQbi0oIpya6jqaYD/1AvTw+p35OF1FK3tNbA4U/g6DKwmSFyKIy8D6JHwakg9FQRdWGhzEJIkgvIIEK6LGqtigHDQkkYGkJNSQv5e6sozqrjxJE6QmONJI0JJyo5EJWbC3K/3LGCYGssDbpqFo66tsfbO1HbxpcHy7ArEOuvY8mBMgaE+HD/pAEuGO3FzRt1LUutXxNQFU1zloVMdTZD49K6ta36SkdX6dKjzq7S4d5kzIglLrVvTD+7EqVOjqIku46c7RVMuHGQp4fTr51eSP072ZFauhTNlXD4Y8hbCTaLI2gYeS9EDff0yCTpiieDCKlbhBCExfsRFu9Ha4OJwv1VHD9cy44lRfj465zdsEPRebn+V6y8sQL/ughswsqw0T1fXUNRFP657Tgmq8ILN6YTYGvktZ0N/GvbcQaGGpmWHOqCUV/cwnHX88X2FYTUxVBzuJ18XQHJEZfWyMxuVyjPb6BgTxW1ZY6u0lHJgSSPCSck1iingrjZGdmISVEyG9FNiqLwN2ch9YNTZCG19C2ayuDgR1CwGuw2iBsPI+6BiHRPj+yK1d7eLsaNGzfYbDYLm80mFixY0PDHP/5RrixxFZNBhNRjxkA9w2fHkXaqG/beKg5vKCN7awXxGY75934hrruw2rcriyAlgtrgEqaH9Dwdva+4gUOljdw7IZ5ZQ8IpLGzhrTtH8swXR3h9TR5ArwQSN02ax5ItywltjKVkXz26ccUkhMZf8PnmDivHnF2l251dpVPGRZA4KgwfubJSrxoyMZKSbEdtxHiZjeiWVVknWesspF44TBZSSxfQcAIOfgiF60Gxw4ApMOJeCE329MiueAaDQdm2bVuev7+/3WQyiTFjxqSsX7++adasWW2eHpvkGTKIkFxGq1OTNDqcxJFhVB5romBvFUUHaig6UEPEIH+SRocTMcCvR70HVh1cS5A5ghZNAzdN6nlTOavNzj+3HsfXoOH2sXFd3w/00fHiTRldgYQApvZCIHHz1Pl8vmkpYc0JFOyuQD/FQKR/+BnPaarpoGBfFSVZdVgtdnyDDLKrtIf5hXgROySI0qP1pE6OcmnQfDU4VUg9MFQWUksXUFsIB9+H41sc/z9wBoy4G4Jl0N5bVCoV/v7+dgCz2SysVquQ79WrmwwiJJcTKkFUYgBRiQFdF7zFR+o4WdSEb7CBpNHhxGcEX/YFb0NbE9qyAOzYictwzQX9quyTlDd28Mi0gRj1Z74dTg8kXnNmJHojkFg0fSGfr19OWFscmVuL0ExTE+ITzElnYHbyeDMAEQP8SBob0ePATHKN1MlRlB6t5+iOSsYtHOjp4fQbpxdSP3O9LKSWzlKdCwfeh+LtIFSQdI0jeAiI+/bXXql+4z/KPdtt+tZu1FarlfT09NSSkhL9fffdVz1z5kyZhbiKySBCciv/UC9GX5dAxvQYjh+qoWBfNQdWF5O1uYwBw0JJHB2Gj/+lTb3ZuGMHoUo01X7FTItd0OOxtXRa+GhXCbFBXlyXHnne5wT66Hjhpgye7e1AYtZ8Pl+7grCOWA6sK8BcWUJHow2NVsWgkaEunyIm9ZxfiBcxQ4Ioya4jdXIUvkGyKPjbyEJq6YJOHnEED6V7QKWBIfNh+F3gJ6e6eZJGoyE3NzentrZWPW/evEF79+41jBkzptPT45I8QwYRUq/Qe2kYPCGS5LHhlOc1kr+virzdJ8nfc5Lo5ECSvqUIeHPONkI6omhXtTJ/0jUuGdN/95bSarLy5LXJqC9yJz/IGUg8s6T3Aom2RhPx9lQq66sI8POFwA7i0kMZMibGLcXqkmukToqi7Gg9OdsqZDbiW8hCaukcigIVBxzBQ8UhUOsg7SYYdgf4hn/ry68al5AxcLeQkBDb5MmTW5YtW+Yvg4irl7wakXqVSq0iNjWI2NQg6ivaKNjnWI60LK+BgHBvkseEE3vWcqQmiwnzMTV6wD9Fg17b86Lh8sYOlmdWMiIugJFx395jIshHx4s3uzeQONVVOn/PSSoKGp1dpf1oUFcR6BNMSesxBmsikW/bvss/1IuYwYEyG3EJVspCaukURXFkHA68D1VZoDHA0Fth6O3gE+zp0UlOFRUVGp1Op4SEhNhaW1vFpk2b/J588smTnh6X5DnyakTymKAoH8YtHMjQmTHOAuxq9iw/TubGUgaOCCNxZBgGo5blW9cQZo+n2quURUnzXLLvf287jqIofG/ygEsu4jwVSDy9JJPX1uQhBExJ6nkgYbPaKcmuo2Bf9ZldpceEExTpg8kyiDXrthFgCWX1+i1cN2s6Wq1sCtdXDZkURenRBo5ur2DsApmNOJ/siiZZSC05gofi7XDgA6jJBa23Y8rS0O+AV88biEquVVpaqv3ud787wGazoSiKuOGGG+rvuOOOJk+PS/IcGURIHudl1JE+NbprmcyCfdXkbKsgd2clhngroV5xmNQdXDt5mkv2l1nWyO7j9cxNjyA++PK6bAf56Hjp5qE8vSSTP6x2ZCS6G0h0tJq7gidTuxWDj6Or9Kng6RS9Vs81syezdu0OAs3hrFi/gXmzZspAoo8KCPMmJiWQ4ixHNsIYKLMRp6ttNfHyylyMejXPykLqq5PdDsc3w8EPoK4I9L4w6ruQvggMfp4enXQB48aN6zh69GiOp8ch9R0yiJD6DLXmm27YtaWt5O0up8PajrCpaaw10VBsxjtZ6VE3bLtd4d2tx/HSqblrXPdW9wg6bdWmP6zOQyCYnBRyya8/fRrXqa7Sw2bGnjON63R6rZ7pM8awZcMBgs2RLNu0lpvnXN+t8Uvulzo5irK8Bo7uqGTMPPd3Pe8vzFY7L359lOYOC7+/MZ0wWUh9dbHbHP0dDn0IDcVg8IexDznqHnSXd0NHkiTPk0GE1OcIIQiN82XriQJCG+JpMNWjbjSyc0kR3s5u2AO72Q17fW41x2vb+O7EBAK8dd0eY7BR3xVI/N/qXGDwRQMJu12hPLeB/H1V1Dm7Sl9KQfnpjF5GJkwfxu5NRwjtiOHzdStYNNs107sk1woI9yY6JZATmbUMmRiFMVA2/ztVSF1Q1cqDUwYwNCbA00OSeovNAgVrHU3imssdU5XG/xBSF4JWrjInSf2VDCKkPin/ZAHBTTFYVWbGXjuYYK9gTmTWUrivmswNZWRv+aYbtn/opf0R6jDbeH/nCcL99CxwQSHnpQQSpg4rxw46ukp3tJjRGXrWVTrQx5/hk5PJ3FpIWHssizcu45YZPV/uVnK9tMlRlOc1cHRHhcxGIAupr0pWM+R9DYc+htYq8AmFST+BwfNAIwNrServZBAh9Ul5B0oJUEJojqwiwn80QFc37FNN144drOHYwRpH07Ux4UQM9L9o07XF+0tpbLfwy+sGo7vAtKHLdXYgIcRgJiWGnNFkz2a14xtsYOS18d1qsne2CP8wrBMsHN1ZSnhLPJ9vXsaiaTKQ6GsCwr2JSg7gxJE6UidFdStovFLIQuqrjKUTji6DzE+hrRZ8I2HKzyB5Lmi6nwGWJKlvkUGE1Ocs3fU1gdYYGrU1LBgz94zHhEoQmRhA5NndsI834xtkIHF0GAlDQ865UK9u6eSLg+WkRfkxcZBrlwwMNuodDemWZPLO5zmU+vmjajADEDHIn6TR4S7vKh0THI15rJnje2oIa4pjydbl3Dxlvsu2L7lG2uQoKvIbObqjktHXJ3h6OB4hC6mvIuZ2yPkKMv8LHQ3gHwPTn4bE2aCWlxuSdKWR72qpT6lsqsK3JhybsJI26uLLY57qhj10egzHDtdQuK+ag2tKyNpczoBhISSNDu+6+/v+jmIststb0vVSWcw2GnIbua5ZS0F1G4VV9aSOCmf2tQPc2lV6YNgATCNMVB5oIaQhli93fs2NE2SxdV8SGOFDVFIAxzNrGTIp8pK7s18pZCH1VcLUAllL4Mj/HF8HJsDEH8HAmaByTdZXkqS+RwYRUp+ye+chgpVIagJLmB428pJeo/PSMHh8JMljIyjPa6BgbxX5e6oo2FtFVFIAuoG+bM6rZsbgMJLCfV021tYGE4X7qzh+uBaLyYa3v44ZCwfxbtFJ9jbUE9EYxkQ3BhEAQ6IHY7Jl0nDYQlBNNMv2rjoneyN9O2tDA8rx41iDg9EEunZ9+tTJUVQUOLMR1yW4dNt9maIo/HWTLKS+onU2OQKHrCVgboOQJJj6c0iYIoOHK5jVaiUjIyM1IiLCvHHjxkJPj0fyHBlEXIA7Lyqk81t9aAPB5gha1Y0sGH/tZb9epRLEDgkidkgQ9ZVtFOytojSnnpLdFQxXK8wa54vNar/gMqqXQlEUakpayN9bRaWzq3RorJGkMeFEJQeiUgkSRoXxzJIjvLI6j6eAiYmXvvxrdwyPG8oe837aj9rwr4xg1cG1zB0xx637vJK0bNpM9SuvYDWbKdbpCHvqKXynu6YnCUBQpA9RiQHOlZqunmzE10dOsu5oFTNkIfWVp70eMj+DnC/B0gFhqTDyXogbD7Le5Yr3/PPPhycmJna0trbKuYlXOXmr4DxaNm2m+M67sL78CsV33kXLps2eHtIVr7mjCU2ZETsKkRkBPW6kFhTp6IYddF00hUaI8daTt76c5W8eJmtLOR2t5svans1i59ihGtb+M5tNH+VxsqiJuPRg5jyQyox7hhAzOKirf0WIUc+LN2cQ7qvnldV57Cis7dGxXIqxiaNQJ3VgFwpepaGsz9rk9n1eCaz1DVS98AKKxQIGA2g0joCiocGl+0mdHIXdppC7s9Kl2+2rssqbeGfrMQaF+vDoTFlIfcVorYEdf4FPbofDnzgyD/NegxvfhvgJMoC4ChQVFWlXr17t/9BDD7n/D5vU58lMxFmsDQ1Uv/IytuYW0GhQ1GqqX34Zr2FDZUbCjdZt20aoPZYq32KmxblmpSGT1caHB8uwxXpx9x0jqCloIn9vVVc37NghQSSNDico6psmR52tFlpqzHRGWDAYtXS0mCncX82xQzVdXaXTpkQxaGQYBp8LBzqnAomnezEjMWXwJDZYN6M+5o/muD9bVduZkjrJrfvsb+wdHZgKCzHl52PKz6f94EGsVVWOqRdGI6rwcOxWK9bqape+34OifIgc5M/xw46+Ed5+V+4KNbWtJl5Z5SikfmbeEPSavnmzsqHNzLG6ToIjzQT6XLnnwyVaTsKhjyBvpaPnQ/QoR+YharinR3Z1Wvf0KLdsd/ZL+7/tKY8++mjsq6++WtbU1NQ339hSr5JBxFms1dUoNjv29naw27EKAYqdyqefxnv0aPRJSeiTktBERsq7ay6yPW8nIR0xdKjaWDD5Gpdt96tDFdS0mHh8ThI+Xlp8hoYQnxFMbWkrBXurKMmuozirjuAYI8mjw7FabOxYUoTZbObI8kbC4n1pqTeh2BUCI7wZNiuW2CEX7ip9thCjnpdODyQETBzk3kBiZvo0VlnX4lUSiq3Ii13aPYxPGuvWffZViqJgraigMy+/K2gwl5aC3Q6AyscHfcpgLOUVKBYLSksLNm9vhFqNJizM5eNJnRJFZVETuTsrGXltvMu33xecU0jt2zcLqTccreL5FUcxW8zottby3LwhzBwS7ulh9T1NZXDwIyhY7eg2HTcBRtwNEemeHpnkAZ988ol/SEiIdcqUKe3Lly93XYGh1G/JIOIsmrAwhFqNNjoas9mM2mxG6ewERaF55SpYuQoAldGIPjHREVQkJ6FPTETt5+fh0fc/JouJtgIFA+CVaEevdc188YY2M4v3lZEYZmR68jcXhKe6YYfG+dLWaOrKMmz/vJCmmnZ0Bg0Wsx2TzcSJTBOpk6IYMjmKkJhL6yp9tjMCiVV5PDXX/YHE3OFzWGFdjW9FBB25Cgc0hxg5YLhb99kX2NvaMBUW0pmfjykvH1NBAfbWVseDQqCLi8V31kz0ycnok5PRRkUhVCpaZs2i6sUXsZ88ibW2lqiXX3JL1jE4ykjEIH+OHaph8ITIKy4b0V8KqRvazDy/4iiKAh0WO3Zs/HZZDiPiAmVG4pSGE47u0oXrQbHDgCkw4l4ITfb0yCS4pIyBO2zbts24du3agOjoaH+TyaRqa2tT3XDDDQO++uqr454Yj+R5QlEUT4+hu9w28FOFlmaLGZ32m0JLW2srpoIC579Cx0VKS0vX6zQREeiTEruyFfqEBIRO/lG6mM83LiOsJZ5qrzIWzXHd8qR/WV/AmpwqXro5g/Ro/4s+12K2kbWpnL0rjqEojoshL6MOtUbF3EcyCIkx9ng8NS0mnvniCNUtJp6am+L2QAJg6a6VBFRHYRVmwkf6kBad6vZ99hbFbsdSXt6VYejMy8dSVgbOzzOV0Yg+ORlDiiNg0CcmovL2vuD2rA0NFL3/AdoNG/C77jpCvv+IW8ZdV97K+v8cJXF0GCOvubKyESsyK/nb5iJmpITy+JzkPpupPVrZzCPv76O+3YLFZkMlVNgUhZFxAUxNDmV4bABDYwIw6q/Ce2y1hXDwfTi+xfH/A2c4Mg/Bgzw7LhcrLCwkMTHRrfsQQuxXFGV0T7Zx+PDhE8OGDeuTtQfLly/3fe2118J7sjrT4cOHQ4YNG5bgwmFJvewq/JT8dr7Tp+E1bCjH9+0jfvTorruSaqMR7xEj8B4xAnBOl6iqcgQV+Y7gon3nLtq2bgNAaDToEhIcmYpT06AiIvrsH9fellmSTUhLLGZVJ3Mmu27u/rGaVtYerWLioOBvDSAAtDo1QyZGkrO9AkVRsGNFq9FgtykYXdRlONTX0dn6VEbil3MFE1zc9O5sC8dfxxfblxNSF8vJg63oNUUkhvfPiwFba2vXe8yUl+cI4NvbHQ+qVOji4vCdMwd9chKGlJTLnm6oCQxEdf11GK1WWtauxXvsGLxHXtoSw5cjONpIxAA/jh+qYciESLx8r4ybDP2pkNpmV6hpNaOgEOajRajVtJlsBHrrWHnkJCuPnEQlIDncl+FxAYyIDSQ53IhGfQWvQ1KdCwfeh+LtIFSQdI0jeAiI8/TIJEnqw2Qm4iK6c7dCMZsxnThxRsbCevJk1+MqX99vpkE5p0KpjT2/093fWCwW1q7Zia/Nn/a4Wq4dPssl21UUhee+zCKnspm37xpJpP+l92k4caSW7YsLMZvN6HQ6Jt2SSEKGazMGNS0mnl5yhJpWE09fN5jxA90bSAB8vmUZYY3xmFQdJI2PIj4k1u377AnFbsdSWuqYlpSfjym/wJFlcFL5+WJwTknSJ6egTxyEyqvn/TgKCwsZEB5O+U8fByD6T39E7ev6ab+1Za1seP8oSWPCGTGn/1+k1baaePy/h7ArCn+8bXifrYMAKG/s4OklRyhvaKfTYkelWNHqdDx3vaMmoqndwuGyRg6WNHKwtIE65ypuXlo1Q2P8HUFFXCBR/oY+HShd1KFPIDQFokdC5v/g0IfQ0QgqDaTMheF3gd+VvSSvzET0DTIT0f/JTISLCZ0OQ3IyhuRv5o7ampudK8IUdAUXHQcPdj2ujYr8JqhISkIXH4/o4RKnfd2yXasJtcVRpzvJjcNdV0y953g9mWVN3DQi+rICCICEjBAiBvhz9EgBQzKSMBhdfw5Cfb+pkXhpZW6vBBKLpi7omjaWt6sM3RQdkf59p4jU1tLSlWHozHfUMigdnY4HVSp08fH4zr22K3BwZzZP7etLyKOPUvXCC9S98w6hTzzh8n2FxBgJT/Dj2MFqBk+IwMvYf7MRZqudF1c4CqmfvzGjTwcQlU0dPPvFEVo7Lbx263Dig7zZm5XPmPTkrloIf28tU5NDmZociqIolDV0cLC0kUMljRwua2T38XoAwnz1DI91BBTDYv3xNfSjz+vQFFjxM9Do4eQRR7Zh6G0w7A7w7TufC5Ik9X0yiOgFaj8/vEeO7JoeoSgK1srK07IVBbRu307rZsc8VKHVohswwJmpSHZMgwoL7b93vs5yoqaYoMYorMLCuAnDXLZdi83Ov7Yfx89Lw21june33WDU4huqc0sAcUqor54Xb07nmSVZvLwyl1/2RiAxYwGfr19OWFscmdsKMUw3EOjz7VO9XE2x2zEXFzsC6vx8TPl5WCq+6Z2g9vfHKz3D8Xufkox+0CBUht69MPUeOQLfOXOc05q2YZwyxeX7SJ0SxcYPcsnbdZLhs/tnNqKrkLraUUidEdP7v0+Xqqq5k2eWHKG5w8Jz81MZHhsAwMBgwwWLqYUQxAZ5ExvkzcJhUVhsdvJOtnCwpIGDpY2sO1rFmpwqhIDEUCMjnFmKlAhftH1x6pOiQOkex7Sl1mroaICk2TDvj+Dj/oyoJElXHhlEeIAQAm1UFNqoKIzTHJ1xFbMZ0/HjZ2QrmlesgBUrAFD7+52ZrRiUiNroc7Hd9FlH9hUSoITSEFZGpL/rlrv++kglFY2d/GD6IHz6eFFkmK/BGUgc4WVnRmKcuwOJWfP5fO3XhHXEsGvTYSbNHIafl3sv/GxNTY7C54ICx4pJhYWO1c4A1Gr0AxLwu24u+pQUR5YhLKxPBMtB991LR2Ymdf94F0NqKppg156b0FhfwhL8KDrgWKnpYj1H+qoVRyodHakHh/XpjtTVzgCiscPCc/OGMDKueytvadUq0qP9SY/2554J0NJpIbOsiUOljRwsaeCzfWV8tq8Mg1ZFWpS/I6iIDSQ2yMuzv9OK4qh1OPAB1OQ6ljjWGmD801CwFhqLZRAhSVK39O0rrauI0OkwpKRgSEnp+p6tsdExDcoZVHTmHKV93zcru2mjo8+ordDFxSE0ffuULtu7igBLFI3aWhaOd91qTC2dFj7dU0pckDfXpkW4bLvu5AgkMnjmtKlN7g4kFk6fw/IN6wkxRbF140Fmz5ngsmV1FZsNc3EJpvw8R+CQn4+18pt6IHVAAF7DhjmKn5OT0Q0ahErvmn27msrLi9DHfkzlc7+i9q23CP/Vr1x+IZg2OYqNHzqyEcNm9e06lbNllTfxj63HHYXUMwb1icDvfE6tilbXZuaZ64cwKj7IZdv2NWiZlBjCpMQQFEWhsqmTgyWNHCpt4HBZE/uLG4DjBBt1XVOfhscE4O/dSwGj3Q7HN8PBD6CuCPS+MOq7jqAiarijJiJ+EtTkOb6WJEm6TH37ivMqpw4IwHv0aLxHO2qzFLsdS0UlpoL8riVmW7dsoXXTJsARiOgGDjgjY6EJ7TvToGpaavE5GYJd2EgZ4dqLpk/3lNJqsvLktSmoVX3jeC9FbwcSWq2W+TNn8fX6jQSZI1izbhvXzJ7crUDC1tj4TU+G/HxMRUUoJpPjQY0afcIAvOfNcxZA963fxUthGDwY/xtuoOnLL2lZvRq/uXNduv3QOF9C430p3F9NyviIfpON6C8dqWtbHQFETauZp68bzNgBZwYQLWUFtGRvp8Wg4BuT1KN9CSGICvAiKsCLeUMjsdkV8qtauoKKjbnVrD9aDcCAEJ+uqU+pkX7oLrF55SWz2xz9HQ59CA3FYPCHsQ9B6o2gP2sRj+iRMoCQJKnbZBDRjwiVCl1MNLqYaHxnzADAbjJhPnbsm/qK/AKac/O6XqP29/+mIV5S0reul+9O23bsI0SJojqgmGkRC1y23bKGdpYfqWRUfCCj4l3fJMzdwnwNvHhTBs980XuBxNxZ01izbhsBllBWrd/M9bNmIFpbsVZXowkLO6fZmmK1YnauOtaZl4cpLx9rdXXX4+rgILxHjnDWMqSgHzDgiuiREnjbrXQcPEj9f97Ha+hQtFGunbaTNjmKTR/lkbf7JMNm9v1sRH8ppK5vM/PsF0eobu7kqbnn1hxtefsVbIpAsdvZV/YFaqEw9YdPuWz/apVgSKQfQyL9uHNcHG0mK0fKm7qCiiUHyllyoBytWpAe7Zj6NDw2kIRg7+4H2jaLY3rSwQ+huRy8AmH8DyF1IWh7vnqZJEnS2WQQ0c+p9HoMQ4ZgGDKk63vWhoYzirY7srNo37fP8aAQaGNizmiKp4uLQ6jVZ7z+QheT3bXuyCZCTJG0qptYOMG1d3T/vf0EKAoPTBrg0u32pjC/3g0k9Fo9s2ZOYOP6PQSZI1j3xQriPvw3Nh8j2rY2Ih9+EG1IqHNaUh7mwiIUiwVw9j8ZOBDvsWO7mrlpQtzfPM8ThE5H6GM/pvypp6j581+IfOH5M94rPRUW70donC9F+6tJGde3sxH9pZC6sd0RQJxs6uTJa1OYmHjm72ZLWQE2RaDW6FEUBaES2MwmWsoKepyRuBAfvYbxA4O7gpmq5lNTnxo5XOpYUhZOEOCtZURsAMOdQUXQpXTQtpoh72s49DG0VoFPKEz6CQye51iBSZJcKDo6OsPHx8emUqnQaDRKVlbWUU+PSfIcGURcgTSBgWjGjsVn7FjgtO6+pzXFa920mdYNGwEQej36QYPQJyVha2+nacmSrgulU926e6K1oxWKvbCjEJ7qi9aFy9ceKm1kz/F6rs+IJC7YMxkWVzk7kHjm+iHnTMFwJW+9N1NmjGDH2kP4awbSdPevES11KGotrZt3EZy/C6HRoA4JxnvMGOe0pGT0A66uTuy6hAQCb7+Dhg8/pOnLLwlYtMil20+dHMXmj/PI33OSoTP6bjaiPxRSOwKILCoaO3h8TjJTkkLPeU7TiTwUu4JQqVA57/oLvRd7Fn9KRGIiKdfegsbNS2yH+xmYmx7B3PQI7HaFoprWrt4UWwpq2ZhXA0BcsDcjYgMYERdAWpQ/Bu1pAaylE44ug8xPoa0WfCNhys8geS5orp73p9T7Nm/enB8ZGWn19Dgkz5NBxFVAqFToYmPRxcbiO3MmAPbOTkxFRWdmLDIzMR8/jgKodDrQaKh87jnE//0f3sOHdbuh1+rtmwizx1FtLGHagPkuOy67XeGf247jrVNz59j+uUzm2U4PJF78+qhbAglrXZ0jw5CXhym/gOiiIlpufQZ0ehRjEAiBJX0CDIsg9roFLl+ZqD/yv2Eh7Xv30vDfz/AaMRL9QNdlvcLifQmJNTpqI8ZFoO+twtvLcKqQOjHM2GcLqZs6LDz3ZRalDe08PjuZ6Slh532eyWpHa3BMG7LbrAiVGgFovf2pq6hm27t/wWbuICgijLQFt6Pzdn3DwdOpVIKkcF+Swn25dUwsHWYbWRVNHHIGFV8dquCrQxVo1ILUSD9GRemZZNpO2ImvEB0N4B8D05+GxNmgln/SJUnqPfIT5yqlMhjwSkvDKy2t63tte/ZQ8QvHvGDFZMJuMqG0t1P1/POovL3RxcacUbStjY1FqC5eFLirYA+h7bF0qtqYP2WOS49h7dEqTtS2cf+kBJeteNLQZuZYXSfBkeYLrh/vbmF+Bl646VSx9VGevq77gcQ3SwfndwUOtrr6rsc1YWFYhw2BphoICAO9AcydYLdQN2ogA2UAATgC8dDHfkz5z56k5s9/JvrVV1yWjRFCkDY5ms2f5JG/p4qM6TEu2a6r1LQ4Cql99Rqevn5wnyykbum08Ksvsyipb+exmUnMGHz+AKLswHZKcwpQa3XYrBZsFhNCqFCp7EQmD6b8aDaodGi9jLQ0tbPz/Xexmtox+hvJuOFOvAPPzWy4mpdOzZiEIMYkON7zta0mDpY0kn2iDJ+CxQzK3kCz0s5xXSQl8fcTmHEtw6OCCJUBxFUj4z8Zrlsb/TRH7juy/9ufBbNmzUoSQnD//ffXPPnkk1dsR23p28lPHamLPinJkW3QaFAFB2M3m1E6Ogh+6CGslRWYCgpo2bCRlnXrARBeBvQDB52xzKwm6JuLXZPFRFOeFS/06AbaXLaUKECH2caHu4qJ8Dcwf6hrplZsOFrF8yuOYraY0W2t5bl5Q5g5xDMdXMP9Tl+1yZGROHVRcSGKomCrraUzL7+rA7T5+HEUqyPrLHQ69ImJGCdPcfZlSEITGIi6sYKCDcVobVZAAzoDVm0QCTH9Y6nc3qKNiCDovnup+/s7NHz6KUH33uuybYcl+BIcY6RgXxXJ4yLQe/WNj2az1c5LX/ftQupTAcTx2jZ+NDOR2annf88W79nI8X0HUKk1qFVmhl+3kML920kcNamrFiJ59o1dzz2xdyc2uxqtwYjJDPs++wirqQO9QcuQa28kKD6xV44vRNPJnLZlzKlagmJoozVkEAdC5rOuPYnsylYsG4qAImICvbqWks2I9sdL1/eCPan/2759e25CQoKlvLxcM3PmzOS0tLTO6667rtXT45I8o2/8pZL6BE1gIGFPPUX1K69gd154hj/33Bk1EfaODkxFztWg8h0Xq53Z2V2Pq4ODuoKKrZgJUKVQa6jgptTrXDrW/+0vpbHdwtPXDXLJEokNbWZ+syyHhjYz3lrwMQie//ooI+ICPZaROD2QODW16fRAwm42Yy4q6urJYMovwFZ/WpYhIgLviRMwOGsZdPHx5+0jEhUQxY6A/QS1hSPsnWjxRSV07M4+wE2T+ubcd0/xnTOH9j17aVq6DK9Ro87I5PWEIxsRxZZP88nffbJPZCMUReHtTYUUVLfy0NSBfbKQus1k5ddfZVNU08ajMwZdsEfM8e1rKM7MQqXWoNMpjL//ZwD4dgp8Y84NBuLHziB+rGMFvOrcg+RtWoPFrKDRe2MDslatwGruQKOG5GmziEgb4/qDa6+HzM8g50uwdEBYKmLkvfjGjWeaEEwDOi02siuauxreLc+sZHlmJSqVIDXStyuoSAw1ojpt6euGNjMnmzuJ8Ltwx26p77rUjIE7JCQkWACio6Ot8+bNa9y5c6ePDCKuXjKIkM7gO30aXsOGXnB1JpWXF17paXilOy6eFEXBVld3Zm3FwUNUH8kmaP6PwNLCsM3rqD1W0rXMrDY6+lunQV1MVXMnXx4sJz3ajwmDXDPdpqKxg/o2Mza7QmOnHaGy4q1Tc7K506N/ZLsCic8z+ctnO3l8oIq4pgpHAHf8BNhsgLM4PjER4/RpjqAhKQl1QMAl7+eWmQuoaKygvLECi6WNzlw1wXWxLN31tUubAvZ3QghCHv0h5T99nNo33yL6tT+4bMnk8AF+BEf7ULCvipRxEeg8nI1YcaSS9UermTE4jAVDIz06lvNpN1v59dJsCqpbeWTaQOamn3+MRZuXU5ZTgEqlxstbw5h7Hr2s/YQNHkHY4BEANJefIHv1EtpbOtHovUElyN+2g5yNG1FhIX7EGAZMuqZnB9Za4yiWProMrCaIHAoj74PoUXBWLYpBqz5taesB1LeZnas9NXCwtJGs8mY+3FWCUa9haIxjKdl2s403NxR2bcOTGVepf2lublbZbDYCAwPtzc3Nqo0bN/o9++yzFZ4el+Q5MoiQzqEJDLzkpV2FEGhCQtCEhOAzYQLg6Fy8evlmjHYNysm96Gx2Wtato2XtWsARiOicS8wanFmLy7ng/c+OE1jtCt+bPNBlBZ47i+ow2+wEemkxW600tJvptKgvbYlFN7CbTI5u5fkFkJ/PL3OOUlZ8klq7gtbfQEBCLMbJk519GZLPWaa3O6ICoogKcGQeDmgO0ZRlJaA6mhX7VzNv1LWuOKwrgiYwkOCHH6Lm9T9S9957hP7why7ZrhCC1MnRbP1vPvl7q0ifGu2S7XZHXy+k7jDb+PVX2eSdbOHBKQMuOKUxf92XVBYeR6gE3r46Rt/5gx7t1y86gQkPPOEYQ1MD2cs+pqmuEY3eG6HSU5p9lBOHMsHWSURiEklzbr70lZ5aTsKhjyBvpaPnQ/QoGHmvo7v0JQry0TFjcBgzBoehKArFde1dWYp9xQ1sya+hqLYNnUrgY9CgVav43fIcj2Zcpf6jrKxMc9NNNyUC2Gw2sWjRorpbbrml2dPjkjxHBhGSy325axUhIpY6r5Pc8NjjANjb2r5ZDcq5zGxn5hGanK/RhIae0RRPN3CgY4WosxytbGZrQS0zB4eRGGY85/HuyDvZwrLMCsYPCKSsoROtyg4C/Awa3lhfwLPXD8FH7763iqIoWKuqMOXlOZu55WM+cQLsdsBRe2JMSmLgtBm8W66i0BjOz24axehvqZHoiZEDhrPLuofOXIGxPJzV6vVcO3yW2/bX3xgnTaJ9715a12/AZ8wYvMe4ZjpLxEA/gqJ8KNhbRfKYcI9kI/p6IXWnxcZvl2WTe7KFByYncMPw8wdbR1d+RnVxOUIIfAOMjLjtQZeOw8s/kNF3O7Ia1s5Ocr7+hNrSclRaL1QGX2rKTlL1j79gs7QTFBFBxg13ozGcp6akqQwOfgQFqx3dpuMmwIi7ISK9R+MTQpAQ4kNCiA83jojGbLWz8kglv1ueg82u0NzhmLJqVxR+sfgwMwaHMzw2gORwIxq1i7toS1eE1NRUc15eXo6nxyH1HTKIkFyquLaUwPpIrMLCqDHfzBdX+fjgNXQoXkOHAs4L55qaM6ZBte/dS9uOHY4XqNXo4uOd9RWJ6JOSUUdE8O7W4+g1Ku6dEO+S8XZabLy+Ng+9Vs0fvjMcrVrF3qx8RqclsSanio92l/D0kiP8ZmGay7IS9o4OTIVFmPLznAFVPramb27maKOjMU6bhj45CUNKyhmrYP2ouZOnlxzhha+P8ty8IYyKd18gMT5pLFst27EXeWMoDWKTdgvT06a6bX/9TfCDD9KZnUPtX/9GdHIyav+e1ww4shFRbPusgIJ9VaRN6d1sRF8vpHYEEDlkVzRz38QEbhpx/tqR7K8+pLayFhAEhPoz9Ob73ToujcHQtQ+rxULRhqWU5+Ui1Hq0Xr60NLWx/b2/YjW14xvoR/qC2/GmzdFdunA9KHYYMAVG3AuhyW4Zo06jYmpyKP5eWrRqFWqVoKnDTLvZRrvFxid7SvhkTwleOjVDo/0ZHueop4jyN/S5TJQkSX2DDCIklzq8L5dAJZy6kFJigi+8Cp0QAm1YGNqwMIyTJgGgWK2YS0q6MhWmggJaVq+mZfVqAJqFllQCuHZUOl65OmxJST2+cPvntuNUNHbyxJxkwvwMtJQVEHpyH9poPbePTSLQR8fbGwv5xeLD/PaGdKIDLq9XhqIoWCsrHYXPeY5lVs0lJV1ZBpWXlyP7kpzibOaWhNp44QxL+Gl9JJ5f4f5AYkrqJNbZNqE9HgDHfNmu2cmklAlu219/ojYaCX30h5z8/fPUvvMOYU8+6ZKLrchB/gRF+pC/p4qkMeHoDL3zMd3XC6lNVhvPr8ghq7yJe8bHc8uo8wcQmUv+TUO1I8cZEhlC2g139+Yw0Wi1pFy7iBTnDMDiXes5sW83NsWx0lNnp529//0Ia0czXp1lpKWMx3/agxA8yO1jC/TR8dy8ITz/9VGsdtBr1fz+hnRmDA6jrKGDg6WNHCpp5HBZI7uPOxZpCPPVM8LZQXtYrD++hr7Xx0SSJM8QiqJ4egzd5faBFxYWkpjYO8v4XQlW7F+NX3kkzZo65l0/wyXbtLW2YS4qpPVoLquW7SCktoxkH7o6zWrCwk5bYvbyuinvPVHP75blMCkxhKfmprD1r69iUwSK3Y5QqVALhak/fIrdx+p4ZVUuXjo1/29+GikRF24+ZW9vd9Yy5DuWWs3Px976zcIV2thYR4YhORl9Skq3i8xPNnXy9JJMmjosPOvmQAJg5cG1+JSGYhd2vIcojE10yzLlHtXd93vtP/5By6rVhD72Y4zTetbd/ZSKgga2/a+QtClRvZaNWJ5Zwd83H2PG4DAen53Up+4+m612nl+Rw8GSRu4YG8ed487fXPLgf9+lubEVFIWwuCiGXH/bRbfbq5/x1blUrfkbeaUWrN5RaAxGEICCY6UnDaRMnUN4mvvfW9+2OpPFZifvZEtXgXZRdSt2xVHXnRhqZIQzS5ES4Yu2H0596o3zLoTYryjK6J5s4/DhwyeGDRt2xfZhOHz4cMiwYcMSPD0OqftkEHERMoi4dA1tTRzckI8aDRGjfEiJcm1K/rO9pXywq5gnZicxOYgzshXm48dRLBbHEzVq9AkJZzTF00RGnnNB1NRu4UefHEAIwVt3joDaE+z78gs0OgNWixm1RovNYmL0jTfhG5PE0cpmfrcsB4vNztPXD2ZUfBCK3Y6lotI5LelUlqEUnO8plY+PI7BJSsKQkowuMQm10cdlP5PeDiSW7V2Ff2UkNmElcJiW4XFD3bq/3tbd97u9s5OKn/8cW0Mj0X/6I5qQkB6PRVEU1v07h7ZGE9f/cKjbsxFZ5U08+2UWA0N8eHlRRp+qgzBb7bz49VH2Fzdw65hY7h4Xd94AZ/8nf6OtuRNFUYhMjCd59s3fuu1e+Yw/eQQOvA+le0ClgZS5MPwumpo6yV79BR3tJkdhthCOgMJiQo2V+FFjSJjg2gad3dXSaSGzrKmrSLuq2QSAQasiPdqf4bEBjIwLJCbQq08Fnxcig4i+QQYR/Z8MIi5CBhGXbsmalYR2RlPtV8yi6Qtcuu36NjOPfLCP2EBv/vCdYWesdw6gWCyYi4vPqK+wVFR2Pa4yGs8IKnSJg3h5Sxm7j9fz2xvSGBkXSNm25RRlFaJ29lGwmk3YbRaSR6QTM3k+ACVltfztvTV4l5/gWu82wmrLv8kyCIEuLtY5JSkZfXIK2qjIHi1leyl6O5D4cscKgmpjsAoz0aP8XR4selJP3u+deflUPvcchvQ0In71K5ec9/L8BrYvLiR9WjSpbujX8fn+MpLCjUT6e/Hgf/bSbrbx8UPjCfV1XVPInrLY7Ly8Mpc9x+u5ZVQM906IP+9F6t4P3qKj3YpitxM9eBCJMxZe0vbd9hmvKFBxwBE8VBwCtQ4Gz4Nhd4DvucuptjfUkL38M5rrT6305Pj9sVksKLZOIpOSSZp906Wv9ORGiqJQ2dTJwZJGDpU2cLisiQ6zY6npYKOOEbGBDI8LYHhMAP7enh/v+cggom+QQUT/J4OIi5BBxKXZlL0FdZE/beoWZl0zDq2L/9C9sa6AdUereHlRBmlRlzZP29baeka2wlRQ0HXB39xpId/uje+QFCbOHos+KYmsXavoMJ15cWI1mxkcFom6ugFTfgGWsjKsNjsVjR00q3QEpA0hfcooDCnJ6BMTXdYv4HJVNnXwzJIjzkAi1blmvPss2bqc0IZYzKpOBo2LICHUNUXuntbT93v9xx/T9PkSgr/3AH7X97y3hqIorP1XDu3NJub9cBhavWuzA5lljbz0dS4dFhuF1S38/oZ0bhrp+SZ3p1htdl5ZlcuuY/XcOCKaByYlnDeA2P3eG5hMYLfbiEsfwsApl97Y0uWf8YriyDgceB+qskBjgNSFMPR28Lm0njbWzk6yl39EXXklKq03KmdWyG61Yrd0EBwdSdr8u86/0pMH2OwK+VUtHCxxZCnyq1qwO/86Dwz16Wp4lxrp55LGoK4gg4i+QQYR/Z8MIi5CBhHfrt3Uzva1mejtBgypNpfPlS+qaeXx/x5i4qAQfnnd4G5vR1EUrCdPUnkomyWfbyGuuZLhNCNsNtq0gtqpE1BrNFgsZoRdQWswoACm/HwGnahCFxfXVfhsTRjEK/sbyK5sYcGwSB6cPPCc7Ehvq2zq4OklR2jupUDi803LCGuOp1PVTurkOKID+n9n656+3xWLhYpfPo2lvJyoP/wBXUzPaxnK8hrY8bl7shGKovDAe3vZdayeBcOiePWWvjM9zWqz83+r89hRVMfCYVE8OGXAeQOInf96HYtFjd1mY8DIYcSPv7xliF32GW+3Q8kOOPAB1OSC1hvSb4aMW8Cr++9Fq8VCwbovqCzIR6gNqJ03aBS7HaupHb+gANLm34p3YGjPj8FF2kzWM6Y+VTZ1Ao7VodKj/BxZithAEoK9PTb1SQYR3VdbW6u+++674/Py8ryEELzzzjsnZs+e3dadbckgov+TqzNJPfL1tvWE2+Op9ilhUeJ8l25bURTe3XoctUpw/6SEHm1LCIEqPIK/tFaTP+JaXvvOMAYE6GgrKOTY2i/QqtWYDh4m9FAOHQG+2Hx9sEydhC4pkRMx4Uz54VNnTCX4XWwMr63JY9nhShraLTw+O9mjd9ki/b146eYMx/KvK3LcHkgsmr6AxRuWEd4aT/a2E6inaIjwD3Pb/voDodUS+pPHqPj5L6j9y5+JfOEFhKZnH7HRSQEEhHmRv+ckSWPC0epcl414e1MRe07UM35gEOUN7WSWNTI0JsBl2+8um13h9bX57CiqY97QyAsGENvf+QM2RYvdZmXQuLHEjprS+4O12+H4JsdSrXVFoPeFUd+F9EVg8Ovx5jVaLUOuu5UhzuTK8e1rKD64FztatAYjHR1Wx0pP5na8fPSkz12EX3RCj/fbEz56DRMGBTNhkCPzUtXsmPp0sLSBzNImDpQ0AicI8NYywpmlGBYb4LHGntLlefjhh2Ovueaa5lWrVh3r7OwUra2tfSO9JHmEzERchMxEXNy+ov20Z6sxq0xMnJOBt96103l2HavjhRVHuXlkNPdPGtDj7f13bwkf7irhngnx3Do6FoAtb78MGi8s7S0krN4BKhVmIdAJQataRd2sCWj0BiwdrUx56DF03t+szGS3K/xtSxErj5wkI8bf7U3pLsXpGYnn5qcyMs7NGYl1ywlrj6NN3cy46RkE+vStZUEvh6ve701Ll1L/n/cJuO1WAm+9tcfbK8utZ8eSIjKmxzBkYmSPtweOQuoffHSAQaE+/P2eUeSdbKGgqpVFF1g2tbfYnQHE5vwa5qZH8MPp5++Wve1vr2AXBuw2K8mTpxA1dGy39tftc263Ofo7HPwAGkvA4A9Db4W0m0DnusUTLuZk9l7yN6/HagONzuublZ5MHWh1gpTp1xA2eESvjOVS2e0KhTWtHHIGFTmVLdidc5/ig727pj6lRflh0LqvuF9mIrqnvr5elZGRkVZaWnpE5YK6L5mJ6P9kEHERMoi4MIvFwvo1u/Gx+WIZ2MjMdNcsbdm1fZudRz86QLvZxjv3jsJb17OL84KqFp5cnMngcF9eujkDlUqQv24JJ4tKsVktjLntHpSsXKpfeQWzxYxOqyPsqadQD0tl5wf/QGvwwWrqYPTNt59xp09RFD7bV8qHu0oYEOLj0qZ03VXR2MEzX/ReIPHFmpWEdEbTom5g6sxRGL1c00m8t7nq/a7Y7Zz89W/ozMsj6sUX0Pdwm4pdYc0/s+lotTDv0aE9zkbUtJh4/L+HAPjjbcP7TCG13a7wp/UFbMyt5prUcB6dkXjeaYKnAn+bxULq9Bk9WhL1ss+5zQIFaxwdppvLHVOVht3hqHvQXl4PGVeqLy4kd+2XdLSb0eq9HWuxKmA1d6IWNhJGjztjqldLWQFNJ/LwT0jBNybJY+PuMNvIqmjiYEkDh0obKa3vAECjFqRF+TE8NpDhsQEMDPFx6ZTR/h5E/P3E/7llHeBHEn6+/2KP79ixw+uRRx5JSE5O7sjJyfEeOnRo2z/+8Y9SPz8/e3f2J4OI/k8GERchg4gL+3zzMsKa4qk1VHDTNXNdvv2vDpXz7tbjPDpjEHPTe3b3tdNi46efHqK+zcxf7hxBuJ+B1uoK9v7vY9QaDZFJA0iaeQMA1oYGju/bx4DRo9EEOi6+rZ2dbHnnD2gMvtgsZlKmTDvnzufq7JO8vbGQUF89v1mYRkygZ4qsT+nNQMJisbBi/QaCzZE0aeqYM2ciem3fuDC9HK58v1uqqin/2RNogkOI+r9XUV1i75ILKT1az84vihg6M4bB47v/fjBZbTz9+RGKatt44cZ00qP7RubIblf4y4ZC1h2tYtaQMB6bmXTei8bNb72I0Ppgs5jJuPY6QhLTe7TfSz7nVjPkfQ2HPobWKvAJheF3OlZc0vSt3/X2hhqyln5CS2PLWSs9mVFsZhRFQaXWoShn9sPpC2pbTV0F2ofLGmnusALg56VhWIwjSzEiLoAQY89+5jKIOL9vCyK2bNniPXPmzCFr1qzJnTlzZtv9998f6+fnZ3vjjTcqurM/GUT0f7ImQrpseRX5hDTHYBEmpk4a5/LtN3da+GRPCXHB3sxJjejx9v69/QTljR38ZFYS4X6OFU12f/JvtF5GsHV0BRAAmsBAxIABXQEEgMZgYOZjz7Hl7ZdQa7zJ376N1uoKkmff2PWca9MiCPDS8sqqXH6xOJNfL7h4Uzp3iwrw+qaz9fIcfjU/lRFuCiS0Wi3zZs1k5fpNBJrDWb1uK9fOntIvAwlX0YaHEXz//dS+/VcaPvqY4Pu/26PtxaQE4hfiRd6ukySODEPTjWyEoii8vbGIgupWHp46sE8FEG9vcgQQM1JCLxhAbHrzBVQ6IzazmWHzFxKUkOL+wVk64egyyPwU2mrBNxKmPgnJc0HdN5cv9Q4MZex9jwFgbm8he9l/qT9ZhVrnhVrry6lpKHabDSEEVnMnLWUFHs1InBJi1DMnNZw5qeHY7QrH69q6lpLdeayOrQWO6+nYIC+GxzoKtDOi/fFyYa1Qf/BtF/vukpCQYA4PDzfPnDmzDeC2225rePnll3v+R1rqt2RBjHTZCg6Vo1LUdETWE+zj+gvTj3eX0Gay8eDkAah7mMLeX1zP10cqmTgomFlDHIW/O//5OlovI5bONiY++LNL3tbUHz6NwSBQqVRUFp7g4H/fPePxcQODeeGmDBQFnv3iCPtO1Pdo7D11KpDw89Ly++U5HCxpcNu+tFot186aSqO2lkBLGCvXb8ZyqgHgVco4cybeo0fTvHw5HUeyerQtoRKkTo7E1G6l6EB1t7axPLOSDbnVzBwcxvyhrqmt6ClFcdQVrc6uYmpyCD+dnXzeAGLjXxwBhNVsYuQNi9wfQJjbHVmHT26DnW86lmqd/jTc9iEMWdBnA4iz6bx9GXHbg8z6ybNMfvDH6NVmbFarMxuhRqhUaPVe7Fn8P/Z9+BYdTe77jLhcKpVgUKiRW0bF8PyNGXzy0Hh+szCNG4ZHoRKCZYcr+f3yHO74xy6eXpLJZ3tLHcvL2vvt7Io+Ly4uzhoREWE+fPiwHmDNmjV+KSkpnZ4el+Q5cjrTRcjpTOf6cufXBNfE0KCtZuF1s12+/dL6dn708QFGxAXym4VpPdpWU4eFH318AIA37xyJv5eW4l3rOXHoCIrdztB5CwmKP/f8ftt5z/7qQ2oraxBChUZtYeKDT55zDL9emk1dq4kfz0xiduq5zaV6U3ljB886pzb9vwVpDI8NcNu+2k3tbFq/F19rIDWGMm6+puf9EnqLO97vtsZGyh5/HJVOT/Trr6Hy6X7RrWJXWP1uFuYOK9f/cCiayyg8zSpv4tkvjjAo1MjLi4b2ifX6FUXhnS3HWJ5ZyaTEEH5+bco5Nw2sFgtb/voKGoMvVlMno2++zaWrD51zzk0tkLUEjvzP8XVgAoy8FwbOADc3juwNLWUF7PvqC9QaPXabFbXWMc3OcR2goNgVrKZ2vH0NpF17s8dXerqY+jYzh53LyB4sbaSx3XHTwqjXMDTWnxGxjqlPp7LPpzS0mdmblc+Y9GQC3Vi/diUWVoOjLuLhhx9OMJvNIi4uzvTJJ5+cCA0NtXVnW3I6U/8ng4iLkEHEmcobK8jfWolAkDA+2C1Nxn67LJsDxQ28eedIYoO6X1egKAovr8xlR1Edv1mYyqj4IMwtzWz7z9/QaPUEhgeRceM9533tpZz34l3rOX7gECqNBruplcnf/8UZS8DWtpr49dJsSurauXdCPLeMivHYmujgCCSeWXKElk73BxINbU3s2pSJ0eZPtVcpi+bMc9u+XMld7/e2Xbuo/r8/YJwxg9AfPdqjbZVk17Hrq2MMmxVLyrhLm0XQFwupFUXhn9uO89WhCiYOCubn16agUZ95kW61WNjy9qtovIxYTR2Mve1ejGGu7ZXRdc47Gh2BQ/YXYG6DkCRH8BA/+YoIHk635e1XsNmFoyZCqFCrFBInTqVwxyasNnHGSk8WUwc6nWDw9LmEDh7m6aFfkKIoFNe1c7C0gUMljRwpb8Jic1wiRPobGBHnKNBuaDPxhzX5XYtnPDdvCDOHuOcmz5UaRLiSDCL6PxlEXIQMIs701ao1BJkjqA0u4aZJru0JAXCwpIH/91U284ZG8v1pg3q0rXU5VbyxvuCMbW1443k0Xr7Yza1M/9GzF3ztpZ73uqIcDq9cjkanP+8SsK0mKy+syCGrvJn5QyN5aIpnm9L1ZiBR01LLgc35eNuNVBuLWTRzgdv25SrufL/X/PnPtG7eQtgvfoHPuO4tRwrObMQ/sjB3Xlo2oi8WUiuKwns7TrDkQDnjBgTx1HWD0Z4ngNj89qtovYxYOzsYf8/3XNtQ7dAnEJrCsUY7A8u+gLxVoDdCWKojeIgb71jh6Ap1sdWZ6k/kcXTNUjo7rWj1Xmeu9KSyMXDsJGLHuHY1PlczW+3kVDZ3rfp0rKYNq83Osdo29BoVBg34eRmwo/D59ye6JSMhg4hvJ4OI/k8GERchg4hvrDq4Fp/SMFo0jVx/vev/gNjsCo99epC6VhPv3DsaP0P35xxXNXfy448PEmzU8cfbhmPQqtn/yd9oazZhNXcw9aGfojEYLvj6yznv7Q013ywB29nB6EVnLgFrttp5bY2j8+7kpBCPN6XrzUCisqmKrK3HMNh9qPYrZtH0vh1IuPP9bmtto/yJx8FqJfr111EHBHR7W8VZdexeeozhs2NJHnvhbISiKPxpXQEbcqt5eOpAFgzzfFdxRVH4YFcx/9tXxpiEIJ6+/jwBRGcnm//+mrNuqZ2J930fL38X116VH4Dlj2NurkFnaYIB02DKzyB65BUdPFyu1toqspd/SmtTKxq9D8J5E8RmMYPNRHRqOgOnzTsjC9sXNbabWZZZyetr8rDYFCw2G4NCfTFZbbx550iGRPa8MeDZZBDx7WQQ0f9dWXlayS0a2prQlgVgRyEuw4V3A0+zNuckJXXt3D4mrkcBhN2u8NqaPEw2Oz+7JhmDVk1V9n5amzpQFDtpM+dcNIC4XN6BoUx7+AmsHa1oDF7s//J/nMze2/W4TqPiqbmDuT4jkm0Ftfx6aTZtJqvL9n+5ogO8ePHmDHwNWn63LJtDpY1u21ekfzhJ46IwqToIa45jydblbttXX6c2+hD6ox9ha2qm9m9/pyc3b+JSg/ANMpC76yQ2y4WXZ++LhdQf7ynhf/vKGBUfyC/Pl4E4I4BoY8r9j7o+gAAwhoOpBbW5CcY+DHd8DDGjZABxFmNIOOO++xNm/eRZJtz7PYx+Xlg6WhEqNWqDLyePFbPtH39mw5+f58iXH2Dt7Js1tgHeOuZnRBLorSM6wEC0nw6bXUEBIvxc9/dAkq42MoiQvtWGHdvRKXpqfctIj011+fbbzVY+2l1CpL+BeT282Fl8oIyjlS3cNTaOxDBfrJ2dZG9Yi1Cp8PE19Kgx1YVoDAZm/uRZsLSj1ujI3byVwo1Lux5XqQTfnzaQe8bHk1XexNNLjlDfZnb5OC7VqUDCaHCs2uTOQCIhNJ7YkYFYhJnQhli+3LHCbfvq67yGDsXv+utp37uX1o2bur0doRIMmRRJZ6uFY4dqzvucrPIm3t16jKQwI4/OSPRoPc4pn+wp4dM9pQyPDeCZ64eck5Ezt7ew+e/OldM62pj28BPofF1/hxirCZb+CNpqaBx8B5Tvd2QmpIvSefsy8vaHu1Z6Co4KxdbRgqIoaAy+NFTXs/3ff2XDG8+z/5O/YW5p9vSQzxDo46iBsNgVLDY7Frud564f4tbiakm60skgQrqorbnbCe2Ipl3VyvzJc9yyj8/2ltLYbuH+SQPOuTN5OQqrW/lodwmDI3xZNCoGgG3vvoZG74W1o5XRd/3AVUM+r6mPPo1eDyq1ivK8Yxz63z+7HhNCcOuYWB6blURxXRs//99hyhra3Tqei4kO8OKlmzPw0Wv4/fIcDrsxkEiJSiZkmDdWYSGoNoZlu1e6bV99XeDdd6GNiqLuX//EUt29pVoB4tKCMQbqyd1Vic16ZjaiuqWTl1fm4uel5enzXKx7wmd7S/l4dwlDY/x5bv55AoiWZra9+yZaLx8sHa1Me+QJl2YMz7Djz1BbCJMfp2HY92H2b6Amzz37ukJptFrS5t/JjJ88x4xHnyRmcBJ2Uyt2mwWNly9tLSZ2fvQv1r/xIrv+/Udaq7vVi8zlZg4J5/PvT+RXM6P4/PsT3VZULUlXC8//dZH6LJPFRGeh41fEP0XjluZhVc2dfHW4gvRof8YPDOr2dkxWG6+vzUOvVvGzaxxLRWZ/9SEqrRGb2cTkB37swlFf2Ljv/oTAiGBAobm+lR3vvnbG43NSw3l2XiqNHRZ+sTiTvJMtvTKu8zk9kPjJpwdZvL8UgMyyRj7fX+bSfQ2NS8MvXYVNWPGvimTlgTUu3X5/odLrCX3sxygmM7VvvoViv/B0pItuRyVInRRFR8uZ2QiT1cZLX+fSYrLy1NzBfWIlps/3l/HBrmLSo/341fxU9Jozi8HbG2rY+u+30Ri8sXa0MO2Rn7kvgMhfDUeXw9DvwOTHHd+LHgnD73DP/q4SA6dez/QfP8uMH/2CgaNHo1jbsVlMaA0+mC0qDnzxGRv+/BLb//4qdUU5Hh1roI+OgcEGmYGQJBeQQYR0Qcu2rsVg96HGq4zxSd1fUeZi3ttxAptd4cEpA3o05eK97Score/goakDifA30FR6jJryKhRFYeDoUe6ZFnEBGTfcQ/ywdOw2K1a7hk1vvoD1tMZrYwcE8fyN6X2iKV10gBcv3pROoI+O3y7L4eWVR3llVS5J4UaX72vUgJHoUyzYhR3vsjDWZW5y+T76A31SEgGLFtGZnU3ziq+7vZ24dGc2YudJbFY7iqLw1sYiCqtbeWjKgD6xEtNXh8p5b8cJUiP9+H/z0zCctZpUa20Vuz78J1qDF9aOFqb+8Cn3BRB1RbD1NQiIgylPyvoHN4kZOYlpP3yamT9+irTZc1BjxmLqQKP3wib0ZK9by4a/vMKWt16i7MB2Tw9XugyHDx/WDx48OPXUP6PROOJ3v/tdmKfHJXmODCKk8zpYnEloawwmVQfXTnbPcn45Fc1sK6hl1uBwBoV2/6L1QEkDyzMrGT8wiNlDwrBaLOxb8ikqjQatxkb8+FkuHPWlSZgwh/RrrsVqNqHSGdny9itnFB0OifTj1VuGdnWTXpdT1etjPCUm0Ju/3DGCcD8D7+8sZmiMP0NjAtyyr4nJ42FgKwgFbbE/m3K2umU/fV3ALYvQDRpIw0cfYS4t7dY2VCrBkImRdLSYOX64luWZlWzMrWbWkDDmZXi+kHrZ4Qre3XqcwRG+/GZhGl66MwOIlqoy9nzynnO6oTOAcNcqP+Z2WPv/AAFzfge67vegkS5d8KBUJj38c2Y99jQjb7oVnVbB2tmGWqsHrTfH9u1j45v/x6a/vHBGHZnUNw0bNsyUm5ubk5ubm5OVlZVjMBjst99+e6OnxyV5jgwipHMU1xZTc6QVFSqI68Do5fq70na7wrtbj2HQqrhnQveb1jV3WvjTugICvLX8aEYSQgh2/vP1rrnVEx/8mQtHfXlCEtMZe/t9WDvb0Xj5svmdP9FS9c00odggb/7vlqHEBnnzxvoCPttX2qNVe3qivs2Mv5eWKH8DH+4q4fP93buwvRTT06ZijmsARUCRDzvyd7ltX32V0GgIfewxAGr+/BcUa/dW7IpPD8YnQM/ejSX8c3MRSWFGfjjd84XUKzIreWfLMZLDffntDecGEM3lJ9j72Udo9AasnW4OIBQFtrwKTWUw9UkIGuCe/UgXZQyLYvz9P2XmT55hwl0PYPTTY+1oQajVqPRGKgqOs+nt19jwxvNkf/XhGdlbqe9ZunSpX1xcnCk5Odlzq4RIHqfx9ACkvmXxhmWEtsbgo/hjx0ZjrXvm7G/Or6GgupW7x8cR1M25qY7pG4U0tJn5fwtS8ffWUrDhKxShx261Mu6O+1086stnDAln6sOPs+Xvf0Dr5cu+/31C6oyZXatEBRv1vLxoKC+syOGDncU0tJk90pSuoKqVXy9IJchHx48+PsBfNhSSHO5HRox7psTMGTaTFdbV+JaHY8rTsl97gFEDRrplX32VLiaGwLvuov6992hcvJjA22+/7G2o1CqiRoSQ9b984iP7RiH1qqxK/uYMaH57QxreujP/zNQXF3Jo2RI0egN2UyszH3vOvQPK/gKKNkLqQkhyz+IQ0uXR+fox8vbvA47Ggnlf/5eqEydQab3QePlSV1XHtnf/gt3cTkB4COkL7zqjkefV7ujgIa5fZhAYknt0/6U+95NPPgm65ZZb6twxDqn/kJkIqUtFYwVB7RFoFB0KCopQCGoPp6LRtStrdFps/GfnCUKMOm4cEd3t7WzKq2FHYR1z0yMYkxBEe0MNZUcLAEHkoASMYZ5vrgWnloB9DsXShlqr4+jmzRRt/qZnglGv4bcL05mYGMzyzEpeXZ2H2dq9gtvuWjQqhqExAc6pTSOJDfLmN8uyOVLW5LZ9zht1LY3hFagVDU1ZdjJLst22r77Kb971GNLTafx8CaaCgst+vclq4/0TVbSrYbzKQJC3Z5t+rc2p4q2NRQwM9eG3N6Rh1J8ZQNQV5XB42RdodHoUcxvTf3zhzvEuUZUDO9+CkGSY0DuLK0iXR6PVknbD3cz8yXNM/+HPiEoagN3UimKzofHypbXZxM73/8mGN15k93tv0FrruamfkkNnZ6dYt26d/z333NPg6bFIniUzEVKX8sYKtLZTq7koWNUm7MJOeWMFUQGuuyD/8mA5da1mfnZN8jkrtVyq6uZO/rq5iKgAA9+b7JiesOv9v6Px8gVrOynXLnLZeF1l2qPPsOvff8JsVlN2tJDWun8z7GZHtkSnUfHUtYN5x/sYKzIraeqw8Ny8Ifjoe/8tGhvkzYs3ZfDMF0f47bJsfr0gzW0ZiYXjrueL7SsIqYuh5nA7eZp8UqKS3bKvvkioVIT+6FHKH3+Cmj//mag//AGV/tJWVOoqpK5t455JkZDTzInMWgaN8Eyd4/qjVfxlQwEJIT78/sZ0fM9qGlmde5Ds9etR63Qo1nam/egZ9w6oswnW/Rq0Xo46CM2ZGc+KxgoKG4vwbvR26eeb1DOJMxaSOGMhAKX7t3J81zZsdhUagw8mMxz4/BMspg4MBg2DZ80jeJDrexf1dZeTMXCHxYsX+6emprbHxsZ6rnOq1CfITITUpbS8EhVqQMGs6UBj06Oyq4h24R/YulYTi/eXkRRuZGpS97pf2+0Kf1yXj8li42fXpGDQqtn17z+h8fLF0tnOxIeedNl4XW38/T8lMCwAUGiqaWbnv17vekylEjwy9ZumdL9ccoS6VpNHxnkqkPDSqfntsmyyyt2Xkbhp0jxqAkrRKTpKDzRwoqbYbfvqizShoQR97wEsFZU0fPjhJb9u2WmF1DfPT8TbX0fujkpstt7NYgFszKvmjfUFxAZ58/wN6ed0nT+ZvdcRQGi0CHsn0374tHsHZLfDhhegtRqmPw1+ZxaaL96wjNxtZWiq/cndVsbiDcvcOx6pW2JHTWHqo46VnlJnzUKtmLCYOtHqvbGh61rpafPbL1FxaKenh3vV+PTTT4NuvfVWzy0rKPUZMoiQAKhsqiKwPgo7NkzqDuzCjlVlot67yqV36T7YVYzJau/RvP8vDpaTVd7M7WPjSA73pXT/VkwmsNtsDJ93Q48KNDsqqtAWltNR4b6UecZN9xGbNhi7zYrFombzmy92FRGe3pSupK6NXyzO9FhTutMDid8sdW8gcfPU+VT7laC3e1Gwu4LKpqtryoJx+nS8x46l+euVdGRmfuvzj5Q18U9nR+ofTk9Eo1EzZGIkbU1mio/07jTlLfk1/GltPrGB3rxwYzr+Z02pKjuwndzNW1BrtKiFmSnff8r9gzr0EZTuhuF3QsKkrm/XtNTy1Y4VhLXEo7f5YLAY0dq83DJtU3KtkMR0Jj3yC2Y99ktG3LgIncaOxbnSk9B4U7hnDxvffJVNf3mBY1u6v3SydHEtLS2qbdu2+d19992Nnh6L5HkyiJAA2L3zEBpFS01QCYMnR+OfqmHw5BhumbnAZfsorG5lQ241U5JCGBLZvb4Nx2pa+WBXMSkRvtw6OhZzewsFO3cihCAwPLDbqW271Urt/9bT+PYRdNstNP41k7ovNnZrW5di4JTrSJs5G6vFhND5sPntV89YAnZOajjPzfd8U7reDCQWTV9AtU8JBrsPmdsKqWu7eqbbCiEIeeRh1P5+1Lz5JrbWtgs+t7qlk5dXHcXPS8sz874ppE4YGoK3n46jOyqx91I2YnthLa+tySPS34vnb0wnwPvMKUPFezZSuGsXKrUGjdrKpId/7v5Ble2Hff+CyGFUJi9g6e6vWbJmJWuW7+ToxnKCamNRo0ZBQSBQoUKtaCmXQUS/4Rsew/gHHmeWc6Unb6MOS0crKrUWld5IWW4BG9/6AxvfeJ7s5R+fsdJTS1kBLdnbaCm7/BokCXx9fe2NjY2HgoODbZ4ei+R5wlNLSrqA2wdeWFhIYmKiu3fjcasPbcC7JJhWdROzr5mA1g1LLSqKwjNfHCHvZAt/u3sUYX6X31DKbLXz+H8PUd3SyRu3jyAqwIuNf34etcEXm6mVGWcVadotFiwNzVhq6rDWt2JvbkNpNUG7BaXThmICzKBYVNgtKqydXoCCEI5VIUGgMbSj0igItQIqxVFFpFYQGgEagdCqQKcCnRqh0yC8tAi9FuGtR+XjhdrbC7WvN1p/X1S6c1ehaq2tYvfH/0Jr8MbS2c642+87oyA892Qzv12ag9lm55fXDWZMQve7evdEaX07z3xxhA6zjd8sTHNrI7PP164grCOWVnUT46cPJdCnd5qm9YX3e9uePVS/8irGaVO7loA9nclq46nFmRyva+eFG9PPOQ+F+6s5sLqYMfMSGDCse9MFL9WOolpeWZVHhJ+eF2/KINh4Zi3H8e1rKM7MQqVSo9PZGX//424dD0BxWRYH9y1H0SRhJAqD3RtwZDytwkKruolOQxsh7VGo7RpswoLO7gVAtaGE+TNnu+XzT+od1s5Ojq78LzUlZai0BlQaR02Z3WbDZu5AUUCt0aIodoRKhVooTP2hezJjQoj9iqKM7sk2Dh8+fGLYsGG1rhpTX3P48OGQYcOGJXh6HFL3ySDiIvrCRYW7NXc0sXd9Lhq7Hv/hKobHDXXLfnYU1fLS17l8Z3QM905I6NY23t16jJUHy/jpqFCGGeHY1i1YLDowK8QHhqGyACYFxSxQrCoU68WLtoXajtDaQWtHsYOlwQeVyvFrpQDYBdrANtAIsAFWUOwCbCrHf5XLnI4lFIRKAbXd8V8NoAZFZaO8uQmVXovVbiYkyAffkCDQa1F56WhDxdoTTZSZ7EwfmcCE9BiEXtf1B9JVOiqqMJeeRBcbgVdU+DmPl9S18+yX7g8kLBYLyzauI7QzmmZNPTNmjcVb7/7mYH3l/V7z1lu0bthI2M+fxGf8+K7vK4rCH9cVsDG3mkemDWT+0HOnGdqsdr7+6xHUGsHcRzLctlTw7mN1vLgylzBfPS/dnEHIWQFE0ebllObko1KpMXipGHuve1ZGOlZ9nMzCHGjWYLQGoLefujkhsAgzbZomzN7tJMRFMzQmoytAWLxhGUHt4dhVdlR2NcKuQoOWRm0NM6aPc0tvHKl3WS0Wjm1eQfnRbFDpUGv1qFSOrJ3dbgdFwWYxMfrGm/CNSXL5/mUQ8e1kENH/ySDiIvrKRYU7nbrrW2UsdunUpdOZrXYe/fgAnRYbf79n1Dnrxtva2jFV1WFtaMLW0IrS0oHSakbptEKngmLG8c+qRrGpEIDFbqfTeYdRryjo1CpA4f+zd9/hcZRXw4d/M9ubVtKqd9uSLVvuDffeuzGEQAgJnVDCB7yEvAkl9DRCXsAQaiCEjnHvuPfeVGxZtnrvZfvuzPeHbIOxjSVbK9lm7uvKlUS7M3NWsuU58zznHEF9KjHQygg6AUGnAqMawaxDtBpRWS1oIkLQhoUgfu+Jo7OknLq3DiMIp1YcJAFZFgj+Te/z3lAD+F1ufI1N+Bsd+B1OJLsT2eFGdnuRnV5ktxe8EngkZK8EPhnZJ4NfAB/N1/ALyH4RZIFGrw9BpUIGtLKETnV2EvT9P/ACcvOKiHhqlUR16r/VQnNyohFAIyKcWiFBp0bQaxD0OkSTDpXJgGgyoAmyIBr11C7fimevF+HUdbQDNdhmjznnM59OJFxeP8/MDGwisWLdBkI9UdSpq5g0cTg6Tcu6Fl2qK+Xvu+RwUPzoY0guF7Gv/gN1SAgASw6V8O7mk4zvHsHD41MuOFDu+N5yDqwpYPCMTiT1Dmvz+Pbk1fDi8izCzFpeur4XEZazVxWzv11EaU4ugiBgNOsY+IvftNm1j5Vkk3EyG1WTFrMvGK303bW9gpsmoRyfpobk7gPonZD2o+cqqSvhcM4Reif3wqwzsWnjXoK94dhVDfQa3rlNG0ooOt7Bz+dTX+dBVKkRBAGv24Us+ejarydxI2a0+fWUJOLilCTi6qckET/iSrmpCJTt2TvxHTXgEh2Mntz/zE3axZ5IX4zk8+G3O/GUV+GraaA4v4rG6iZitWr0PsAtIXsE8AlIXhGkHynNEWQEtR9JLeFXSWhNKmStQF5lCYJehSA6SZ04BU1YMJoQ62U9na9evBHP3u/2zl7oRjoQJK8XX5OD/Z//G8mvA0nArFER3zmtOSlx+5BcPhoa3OCV0AsiOgRkH+BvTkbwC80rJD/2/TwPWQafRwcyCKKMLIMggNbWhKBv3rbVnJCIoFPjFgSyap00yAK9kyOIjAxCZTGjMhtQW8xnJWeXw+11s+bbrQR7w6nVljN1/JiAbjW5kv6+O9MzKHvmGYwDBxDx+9+TXtzAk4uO0CXczJ/n9f7RgXLNqxGHUanFNl+N2JdfywvLMwkxann5+l5E/mBbYtbKL6nIL0YQBCzBJvrddPdlXe9wQQY5ebmoHTpM3mC08neJpEd00aSuw2/y0N3spfvuf0LCEJj8Mogt+zvw/Z+51+tl6cZvCXfG4hadRPQ2XzQRUVw9GouOs3fxQlRqHX6fF5Vao6xEdDAlibj6KXMifqLcXjdN2RJ6wJAsnUkgTt9IC4CDChynbqQlnw9vTT3eqlp8NY1I9U0/qC+QwSMge0Vkn3jWVp9QIBQ9As27ghAlRI0EGhmVyQ86CcGgQjBpEcx6xGATqrBgdGGhqIPM/G31MbYcr+KpGT0Y3CmUTfNfQgg14XU2Mr4Np93aZo/BOaicisNHieidekkJ1KUSNRq0IVaG/Ob/cfibf1NbUUedIOIo3sWQO77bS271Sbyy9hjbc6oZlmzjsYndzrmhlHw+JIcLb5MdqdGOZHfhd7iRna7m1RGXD9njO7NCIjf48Vdrm7dYyULzFnJZwN+oQWiE03vKm/lQAWmnf3WUVNNE9VnvQJCbt4qdriNRAeof1JFohOY6Ep0GQX9qlcSgRzTpEY0G1BYTaouJSRNGsHbtdkI8kSxfv57p48YFJJE405XLaGnXn/uFGHqmETRjBg3LllG8fBV/Lgs5p5D6QlRqkdSh0RxYU0BBRjVJvdpmNeJgYR0vLs/EatDw0txzE4iMxf+lqrQKBAFruPXMDJTW2Je7n7yCYrQOIyafFY2sJZwEQMYtuqjWlCJbfPRKTiU58tTWy4YSWHA3WKJg7B9bnED8kEaj4fqJU1mwcQkRDYlUH3KxpWkbI3sMv/jBiiueJS4FldC8hUmWJfxeCZUoBySBUCh+KpSViB9xJT2ZbGsLNiwloiGBOrGY0QmdkGob8ZXX4zmsQpZlBEFoLi6WRdRGB/hbXl8gaAXQiwgGFeV+ieNOP927RRHXKQpdeCgqU8v3t284VsE/1mQzpWcUD4xNJmvFF1QWluH3ebjull9jDGn74tEr4ed+cvMKCtKzEFVqZJ+d0Q98N5hLkmTe2dI8lK5nbBBPTu9xWUPpvr+VSxBl5B9s5fLbHXibHPia7EhNDmSHC9nlwVHnpLC8Ea0kEaXXoJFp3r7l5dQKSfN/mldJLr2OBFGmQWNGUmlAcBCqsp9KSAD1qRUSrXhq25YGwaBF1GsRTLpThe0m1EFmxAvUkXTkCtSPkTweiv7ncXKOFvDv8XfyxK0jW7x9zO+TWPHmYdRaFVPu6YlwmasRh4vqeHZpJmadmpev70VMsOGs148s/Iia8uZuWqHRNnrN/uVFz+n1etmff5CiojK0DhNmvxW1fDpBlHGJTuyaOrD46ZvSk6TwxHNP4vPA4vuhJhdmz4eI1FZ9rgv9XV+ycwXWiubtTE3R5UwfNLlV51VcuRqLjpOzbxvJA4YHNIFQViIuTlmJuPopKxHXGL/dgbuyGl91Pf46O3KDE9nuRnaeri+QcXtE+sg2RH8TKX4Vzn0FQPPNnuRXIQjNW1pOP14WNBJiqISgV4FRhWA6VV8QHNRcX2ALPm/noYJqB//72X4GJoUye2zrW69WNLr418YTRFv13DG8Ew3FeZTnFSGoVCT2SgtIAnGl6DxqGuaIaDK+XYtKa2Ld/73A6Hv/B7Vef2YoXahJy8c78vn9N0f408we53THaSlDTCSOgZrmG2m/cKYm4vQTeZXJ2Jz4RZ79RDsY8J2ukThVbJ0W8+M3uZLHg7e+Eb/dgWR3ItldSA4XsutUHYnHBx4/stcPXrn5Pz4Zi6+OekIQJAMNHgGzzw3S92+MZcB76j8/MlfjVFH76VUSWZDx1poBEZW6uWOhZ68X56DyDl+REDQaVg6cSdLBf/Bg/gbSoqe1+FiVWqTb0CgOri2kILOGxJ62S44jvbie55ZmYtSqeOk8CcTBr96nvqYRkIlIiKH7tJvOex6v18vuk3spK6lC5zRj9ltRyToiSERGxiU6qNVVoA6SGdR9ANHWFnz/t78GVcdh+MOtTiB+zKwh01iXvhFVbhCW0igWbF7KvFGBqRlTtC9LXAoWl4Al7tp8QBhozz77bMTHH38cLggCqampji+++CLPaDRetU+jFZdHSSKucGfVF9Q2INXZkRtdyA4PstMPrpbWF6ibn+qq/dh1VvwaFaKqAqtJDSYNglmHgIC83QWi1FxgLDc/kbbcNuiSbqg+2JYLgsDtw5Na/7klmX9+exyX189zs3ti0KrY/vWnaAwmVHjoPKrlN1RXq4jUfhhDI9n9+UdoDBY2vfMq191yB+awyOahdAPjCTVqeX39cR7/+jDPzkojPvTSuhid3srV2lqYBJuRF+f04g8Lj/CnJRkXTSRErRZduA3CL+Gmtr6Cw1tyMEg2yi35XD9iCn6HC19DE5Ldgd/uRHK4kV0eZKcH3D5kj/9UUtJc2I5XRvbTXNzuF5DcKmRZQECF36tCpW7eyucpLOvwJGLJoRKW1ev51YTpdD20gYalS7HOnt3i47v0jeDojjIyt5WQ0CP0klYjMksaeHZpBgatipfm9iL2BwnEvs/+hb3BBbJMVKcEuk2ed+Y1t9fNjuO7qSqrx+AyY/IHoZJNRGBCRsYp2rHr69EECwzq2p8oa0TrgsteA1lLocs4SJvb6s92MeN7jmG/6SC16R4i6hJZsHY5s8ZMUlrAKn6ycnNzNe+8807ksWPH0s1mszxt2rTO7733Xuhvf/vb9p1wqbhiKElEB2h5fYHQ3Kb0vFtABEB9dn2B0XdmG9FZ9QWhVnQRNlQmA4t2riK8JohqbRlzppz7ZK3ae2prh3zuE+nW2Jdfy778Wmb2iSYupPU3tosPFXOkqJ6bByfQLcrCtnf+hsZgwuu0M+rhP1z8BNcIc0QMo+55hE1vv4LGYGb35x/Ra8JkwlP7ADChRyRWo4Y/rzzKEwsO8/TMHqRGXdogP0NM5CX9rBNszQPp/rDwCM8uyeSZWT0uuiJxKaKsEfiGesnaUUhkYyILt69i3uiZaKyWSz7n6a1cAJJfg8+rQVRJaKLbvqtRaxwuquODrbmkRJqZec89VD9dSO2nn2Ho1w9tQkKLzqHSiKQOieLgt4UUZtWQkNa6xC2rtIE/LclAp1bx4pxe5ySoez6ej9PhQ5ZkYlO7ED9iMuvSN1JX3oTBZcEkBaGSrURiRUbCoWrCrm1AH6piWOqQy5v/UXMStrwCwQkw6vHmTgAB0L9TX/LM+RzbVUyEM56V6zYyYezwdmk5rFBcifx+v2C320WdTud3Op1iXFyc9+JHKa5VSk3EBThLWldgK3k8uKtq8VbWINU2Ip3aRoTDj+zyN88v8J4uPL60+gLBpEMIMqAKNqG2Bbe6viCvMp+8ndXIyKSOirvgdoHL7c7kl2R++9kBauwe3rltABZ9657c5VbZefTLg3QKM/HXeb0p2LaKwqxsZL+f/rPnERSb1OqYWuNKqIn4IZ/Xy7a3/4agNSH5fCT06kHnkVPPvH6srJFnl2bg9kk8MSWVwZ3afyhdQXXzQDqPT+JPs9LoEXNpyczFnKzIJXd3JVpJR2VoIddfZnvG72oiBCSfCkHlQxPmwnrbCLShIW0TdCtUNLp45IuDiILAqzf1Jcysw1tcTPFj/4MmNpaYP7+M0MKn4T6vnxVvHkZrUDP5rpbXRmSXN/LkonTUosCLc3vRKcx01uu7Pvw/3G6QJD+VJiNmWxpGvwWRU334kXCoGnFoGzCFaxnWbTBBhjZKLD0OWHgPNFXC3H9BaKdLPlVL/67X2uvZtmk/Vl/zUM6+I7q2bLuV4orUHr/jA1oT8fZbAy7nvBd072/2Xewtzz//fMTLL78cq9PppJEjRzYsWbIk91Ivp9REXP2UlYjzOH1ToQXqth6hqfM+1AmhzduIflBfgFdsTgz8F9pGJALCmfkFgsmPqD1/fYE6PBhdWMh56wvawpG9OQTL4dRGFBFtvfDvoEt9In3amowyCmoc3DWyU6sTCI9P4pU1x1AJAo9N6oanoZr8Ixmo1FoikuICnkBcqdQaDaMf/AM73v8HXllNYcZR7NVV9JrTXMDaLcrCX2/ozTOLM3hxeSYPjkthYo/2vclJsBl5cW5P/rgw/czWpkAkEp0jOuHu56Z0fyNhNfEs2rGCOUMvfXvb97tyhad2wfHtYfxFWurf3o5hVgrmtK5tGP2Pc/v8vLQ8iya3nxfn9DwzxE0TG0vobb+k+v0PqP3qK0JvuaVF51NrVHQbEs2hdYUUHq0hocfFVyNyKhp5alE6KkHghTk9zyQQtfZ6dmbvxrVlPzadHkmS8Gg7ERXcBckv4VA14NA3YA03M6xbgAYEyjJs/ivUFTZ3YrqMBKI1QkxWJk4cxooNGwhzxZCxJY+6frV0j227OgyF4kpXWVmpWr58eXBOTs4Rm83mnz59euc333wz9P7776/p6NgUHUNJIn7AWVKOZ68Xv1eDIDT/m+XP1uDPq0c4kyeoz8wvEDQygsWHqD812OxUfYHKakYVYkETHnLZ8wvawtI9qwj2xlCvrmLWkMDVE9jdPj7ZVUBMsJ7pvaJbffzHO/PJr3bwwNguxAYbWPd/r6AxWJC99gsWbP6UDL3zUQ59/T51VY3Ullez89//ZMjt/w+AuBAjf72hN39amslr645Ta/dw48C4Cw4lC4REm6ldEonusam4/YepPeQltDKWpXtWMXPQlEs+nyEmEq+jEWNSHMa74qhZvgXvXjv2r0/iyS8ndNrINoz+/GRZZv76HE5U2rl3dOdzOjFZpkzBvmcP9QsXYRwwAH23bi06b5d+4RzdUUrm1lLiU8+ujSipK6G4roTY4BhigmM4WdnEU4syEAR4fFIsWfnbOHDQj9ljxeA3I53MwmbQ4/f7abBE44vVoI6oZXi3IQEfBghAxkI4sQG6z4SukwJ/ve/RaXTMnTSFrzcsJbIxgbL9dmqadjC829B2jUOhaMmKQSAsXbo0KCEhwR0TE+MDmDNnTt327dvNShLx06UkET/gKSwDQFRJgIx4KpHQJMuou0WfqS+4nH3Y7a2ysQpTWRiS4Kdr//iAXuvLvYXUO708NC4Ztap1/doPF9Wx+GAxA5NCmJwWxe7/vI7GYMHrcjL6N48HKOKrT58b7uTEpmUUZmTj8ajYNP+lMy1gbWYdf76+Fy8sz+LjnfnUODzcM7Jzmw4cu5jTicTpYutnZ6fRPbrtE4m+Cb3Z5dmDM8uPtTSKVQfWMqXfxDY5d+j0kTQmHMO5NAfvbgfVpSsI+eWEgK0SQnMh9YZjlUzoHnneBFwQRcIfeIDiRx6l8vXXif373xH1+vOc6WxqrYpuQ6I4vL6IomO1xHdv3ur29fqlhDoikUSJRqmITZo9HG9yMDXaTKRgo+lwDUFEEwT4BR91J9cQbNTi9/noMuQ6EvqPaOtvwY+ryIId8yGsKwz7bfte+3tuGDuTRduXE1oViy9bz/Km1UwfoLSAVVz7kpKSPPv37zc3NjaKJpNJWr9+vWXAgAE/0g5Pca27tKk81zBtfBQAosqHqPEhiH4EUcI4oR/W6/pgTkm6qhIIgK3b96KRtVRZi+gaFbi+2GX1LpYcKqF3nLXVe/Kb3D5eXZuNRa/mt+NSKD20s7lo0y/Re9JU1EpHlLN0GT2D7qNH4/d6EDQm1v/fC/hcLgBMOjXPzkpjeHIYyw+X8pdVR/H4pHaNL9Fm4qW5vdCoBZ5ZnEFWaUNArnNd8iBUKU4kQcZQGM669I1tdm5Lr25Y7x2GGOzFV6ii+vXVuMoq2+z83/f9QurfjOlywdUjdVgYtrvuxFdaRs3HH7f4/Mn9I9AZ1WRuLUGWZErqSgh1RKH1G9D5jOj8JhJcyYzVpNFJTkQr62hQV1NhKUCV6kAoXN2cQHi99Bg9pv0TCFc9rH0G1HqY+CyoA5fMtcScYdPxJNUhI2MpjuKbLcs6NB6Foj2MGzfOPnPmzNrevXt379atW5okScKjjz4amF+KiquCkkT8gCEmEu1ADbIsIPtFZFm45A5FV4J16RsJc0fTpKpn1tBL3+7REv/enotfkrlzRKdWb6H518YTVDV5eGhcChaVxNEtmxEEkaBQy5lORIqzRaYNYOCNN+N1OVEbLGx65x84apt/n2vVIr+b3I3pvaPZfqKaZ5ak0+T2tWt8iTYTL84JfCIxMnU4Uqfmc6tzrWw5uq3Nzq2zhWB7YDLqzjJSo5aG9/fQsC+9zc4PUNHg4i+rjjZPpJ528YnUplGjMA65jsZVq3EcONCia6i1KsJ7aal31bJ06QaObilG5zciICLKKmRkJPyU6PPR9fAyYkpvZkwbx7yxM/CuXY+gNuL3eug1eQqRaYGp6bwgSYL1L0JTOYz9AwTFtO/1L2BC7zGYe8j4BA/htQks+HY5Xq/SqEZxbXv11VdLcnNzM44fP56xaNGiXIPBcNV251FcPiWJOA/b7DEE/6Y3nuFagn/T+4qYXnspmpxNyHkGZGQiepgC2t88vbie7TnVTOweSedwc6uO3ZxdyabsSib2iGRIZxtb3n0FtU6P391Iv5vuClDE1wZLZByj7/l/+JyNaPQmdn7yb6pymm9yTw+l++XQRNKLG/j9gsNUNbnbNb6ksPZJJMb1HI0zoRJkAf9xA7ty9rTZuUWNBtttU9COsCL7BZzLiqhZuKFNzu32+XlpRXMh9RNTUs8UUv8YQRAIu/deVFYrVW++hb+p6bzvO1aSzcJty1i0ag3fLtuF3+4nOjaEECkcEJDwIyPhFp1Igh+vykWfXr0ZnDzgzO+KjW+8iKAx4fd46D1lOmHJPdvkc7fKwU+gcBf0uRmShrf/9X/EwC4DSLouDKdoJ8IRz4p1G3B72/fvmEKhUHQUJYm4AENMJN7k2Kt2BQJg9baN6CQDlaYiBnTqH7DrSJLM+1tzMWhU3DoksVXHVja6eXNjDpFBeu4e2ZlD3/wbldaMz+1i+F0PByjia4tar2fU/U8geZpQa3Wkr1lN3o61AGeG0j08PoXCGge/+/owhTXtu4U1KczEC+2QSEzpO5GmmHJEWYUjS2R/7sE2PX/IhCGYf56KqPPjPeSh6l/L8Nsv/Xv5/ULqe0aeW0j9Y1RBQYTd/xv8NTVUv/seABnFmXyzZRmLV61l3dI9VOx1EVadgM0ThYBAjbacCrmUwuwG9LYo9vmy8Kic+FU+fKKbw+48ZL5rabvhtRcQtWZ8Hjf9Z8/D1qX1U+cvW/E+2PsBRPeBwXe3//VboHNEJwaMTaVBXUOoJ4p1a3ZR2XhuV06FQqG41ihJxDVq5/HdhDvicYkOZoxqm2LTC9mUXUlORRM3DIgjxNTyvcrNU6mzcXr8PDapK47CY9SW1yLLMinDhqE1Xl21Jx1JrdEw5sE/ohZ9iCo1+YfSObL4uz3zE3pE8tSMHjQ4vfzu68MBu5G/kE6nEgm1KrCJxPSBk6mLKEElq6lL95JRnNmm5zd17UTI/aNR2bz4yzTUzF+Ps6Dkks71/ULqab2iWn38sXAtJyZOJFsbx8aFu6nZ5yO8NoFQTwSyIFGtLaPKVkDEQD3jZwxm9pSJzJo5DqPWQMn+Kt4+YOWpjAK+qMznzcIKluRFEBWkx+f1suG1F1DpLfjcLgbO/RnW+M6X9Bkvi70K1j0PeiuMfwbEH5+v05FsphAmTBxKtbYUiz+Yg5uOc6wku6PDUigUioBSkohrkNfrpT67eW+uprM3oK0XXV4/H+3II9yiY3a/1u1VXnq4hMNF9dwwMJ6UMAMHly9GVKnQ6wXiBwS+pea1aNhdjxEUagYEasuq2fXh/515bWBSKC/O7YUgwJOL0tmd275d+TqFmXhx7neJxNGywCQSs4ZMpdpWiEbWUnagiZzyE216fnWQmdDfTEGdKiI5NDR+dIj6bS2rTTitpYXUp3m9Xnbn7GPBxqUsXbmeDUv30nQIdDFDEKK6oLY7qRWLqA4rJH5oMBNmXMecKZOYO3wG3WK+m3Oh0aqI6m3jZG4dvXRaZDmE3KpIahxmnpzWHYtWYPObfz2TQAy+6ZcdM5tF8sO6Z5sLqsc/DabWTdvuCDqNjjlTJlNhLkAvGSne18DO47s7OiyFQqEIGCWJuAYt2bYKo99Ctb6EMT0CezP+zf5iqps8/HpYEjp1y58U5lfb+Wh7HikRZm4eFM/2d/+ORm/E52zkul8r25guR98b7ySmayckv4TbDZvefPnMa6eH0oUYNby4PJM1GWXtGtv3E4mnFwUukZg7fAYVwQVoJT15e6ooqi5u0/OLajW2n09ENyECANfaCqo/X4vku3jxeksKqb1eL9uzd7JgwzKWrVjP1lWHcWdqiGhIxOq14RO8VOlKqI0oITa2kdhFbzD44AFmD51GUviFtxRWNLr4IL8cNzLXW0NY9uAI3rilPwvuG8ao5FA2vflX1AYzPpeTIbfegTmig4qYd78LpYdh4B0QG7itmIEwb9wMqmyFqGUN7qMaVh1c29EhKRQKRUAoScQ1JqM4k7CGeLyCmzHDhwX0WlVNbr7ZX0S3KAsjU8JafFzzVOpsBEHg0Uldyfn2G1AZ8Xu9DLnt3gBG/NORMm42qaNH4vd5ENRG1v/fi2dawDYPpetDos3E6+tz+GJPAbIsU2v3kFXaQK3dE9DYmrc29WxOJBZncKysMSDXmTdqJhWWfHSSgcwdBZTVV7T5NYJH9MPyqz6IRi++oxI1b63C13D+Qme4cCG12+tmS+Y2vl6/lOUrNrJt1RH8R41ENCYQ5LPhFdxU6ouoiyohZXQUE2cMZe7kKcwaMpWkIaOwzpqF88ABGtde+Ia1qsnNH75Jp8Lppd+IWMQmH7WHjmI5sRlKs9n05l/RGMx4XQ6G/upejCHhbf79apG8rXDoM0gYAn1/0TExXKa5w2fgSGj+82YsiGDhNqUFrEKhuPYoScQ1Ju9QBSIi7thaQkwtL9S8FB/vyMftk7hrZOtaun6yK5/cKjt3DO+E1VND2Yl8QCa+R9eOu3G5BkWlDWLAnBvxuZyoDeazWsCGmrS8fH0vesVZ+e/OAh7/6hDz3trOA5/sZ95b21mfVR7Q2DqHm5sTCVHgqcXpgUskxs6kwlSAQTJxcGs2tfb6Nr+GISGG0AfGoYry4q/WUPvmRpqO553zvu8XUt8+NJaK2oMsWLeMFcs3sXNVJuRYiGxKxOILwS06qTAU0RBbStr4BCbNGMb1k6Yxc/AUoq3nNnsI+flNaBLiqfnwI7ylpee8Xt3k5g/fHKGyyc0TU1KZNLUzenk9eQfWkn0gnSPr1qE1BuF12Rl5+wMYrCHnnKNdNJTAhpfBHNnczlW8ev+JmtJ3IrpULz7BS1h1PAvWK4mE4ur3/PPPR6SkpKQlJyenPffccxEdHY+iY129v6EV51i4bTlBvlBqtOVM7T8poNfKqWhk/dEKRnUNIzWq5dOI04vrWXigmAGJIUzrFcXuzz9CVKsRZDfJY2cFMOKfpqDYJEbc9QBeZ1NzC9j/fkD1ieZiY5NOzZ9mpjEwKYQlh0updXgwalVoVCIvrMgK+IrE6URCJQQ4kRg/gwpDESZ/EDs3HqLB2faJhMpkJOy+GWh6a5HcauyfZVG3fteZ1x1uB+9vXIbFmcF9nSRCiurQnAwhwp6AyW/FKdqpMBTSFF9Or/FJTJ4+nHkTpzF9wGRspovf0AtaLeG//S2y30fl628gS98NF6yxe/jDwiOUN7j43eRuDO1iw12Vi9kqotFo0OiMiCoVsizTf9ostJa2ny7eIj4PrH0afK7mgXL6wD4EaQ9DUgYTOyAIl+ggoimBRatWKy1gFVetPXv26P/zn/+E79+/PysrKytj1apVwUeOHAlc0aXiiqckEdeI/KpCQmqi8Qs+BgwKbCtGWZZ5b0suGpXAr4Yltfg4u9vHP9ZmY9ap+e34FHa8/4/m7RNOO0PvfDRwAf/EaY0WRt//OyR3E2qdniOrV5K/c13za2qRG/rHYdapcHklSuqcqFQCAlDW4Ap4bJ3Dzbw497tEIrs8MInErDETqdKVYPYHs2XDgYDdyIVePxbDjDgQZRq3NLLvnTWsWraFPauz6daYSKqQjFkKwqFqpMJYiCOhigETk5kyfQTzJk5nar+Jl7yCqOvUiZCf/Qz3sWPUL1oMQJ3Dw5OLjlBW7+KxSd0Ynty87bA+7xiyJCEIAoIoIkkSXpcTe1leW30rWm/7a1B1HIY+ABHdOy6ONtYtpit9R6fQqKrF5onm27U7qLbXdnRYCkWrHTlyxNC/f/8mi8UiaTQahg8f3vjFF18Ed3Rcio6j7ugAFG3j0N6jhMiRVIcVEmcLbCHijhPVZJQ08LOBcURY9C0+7u1NJ6hsdPO/U1NpOLwJr0+FLPkYeP3PUQdwEJ7iVAvYh/7I9vf+jk+lIe/gYZrKS0mbfSsxwQaCDVq0Kh/1Th+F1Q5CzVqiglr+s70cpxOJPy5M58lF6bwwpyddI9u2va9Go2HGuPGsWLeBUE8Ua77dyqQJI9qsc1mtvZ7tR3fiqvFj9lgxdY/Glu8hpNyPwSmSn1BPoaqa2LgQJvQaFrCOadY5c3Ds3UftF5/j796Tpw80Ulzr5JGJXRnV9butgoLehkZvOJNAIMsgqtFHJAckrovKXgNZS6HLOEib2zExBFC4JYzxk4awat0mQj1R7NtwlM6DIkiO7NLRoSmuQvPvWx+QsfEP/Gvcvh97vW/fvs7nnnsutqysTGUymeS1a9da+/TpYw9ELIqrg7IScQ1Yvm81IZ5IGtQ1zBk2PaDX8vgkPtiWR7BRww0D4lt83NbjVWw4Vsn47hEMjNSSu+8ggiAQHhvZMT3of6KG3fU/WIJNgEB1WRW7P3qNEJOWJ6d3x6hTYzVo8PglgvRqmtwX7zTUVr6/IvHkosCsSGg0GqaMH02dppJgbzir1m3C6/Ve0rnK6itYumcVC9esZPWy7RxZl0dQcTQRzjh0koF6Qz2ZvStwh1cRWlNP/8wmxoZ2YXr/sQFtuSyoVIQ/9CCSoGLbky9RUtnAwxNSGNPtu63LTVXlHN2+CUEQ8Pv9uF1uvF4fjbU+MMYFLLYLqsmFLa9AcDyMehxaUV91NdFpdEwbP/ZMjU7B7hp25/zoPZtCcUXp37+/6+GHHy4bN25c17Fjx6b06NHDoVYrz6J/ypSf/lWu1l6PoSQUSfDTuU/rB1a11rLDJZQ3uHhoXDIGbctaulY1uZm/IYfIIB33jOrM1rf+gtpgRvI0kTZbaefa3vrddBfZ3y6i5PhJXC6BzW/+mXH3/55u6mrKcjJpsMQx/4jE774+zNMze9A9un32yH9/ReKpRek8H4AVCZ1Gx/hxQ9mwbjehniiWrV/HjHHj0VxkJay4roR9Rw/iaxAwe4LRS0aCaW5/6hd8NKhrcBuaiIoJY0jngWg0GmRZ5h9SNn3kbHpVaAhaV0pNfQOh0wPbdtkVGs7SlFGkbVzE454shqWOOfNaY3kRe778BI3eQH21nXp7L2RvAw67CZ3Fhjm4nbc3exyw9qnm/z3xedAa2/f67Uyj0TBv/Ay+2bKMsNp4HFl+1trXM7HPuI4OTXEVudiKQSA98sgjVY888kgVwIMPPhgbFxcX2OI5xRVNWYm4ym3Ytg2NrKPKUkT32NSAXqve4eXzPYV0CjMxofu5HWLOR5Jk/u/b4zg8Ph6Z2JXMr95t7kPvdjLirscCGq/iwrpOmEPX4SPw+zygNrD+jb+SvXoZ9Tk5cGgz9/k2nRlKt+tkdbvF1TnczAtzeyIKAk8tSud4AFYkjDojI8f2o0lVR5g7hqUb11BSV0JO3QlK6pqnT+dV5rNo+3IWrV7F2mU7Obm5kpCKOMJdsWhkLfXqaiqC8tF0dzF8Si9mTBvLvLEzGd5t6JmEZMmhEjYeqyQjJRXj9Z0QtX68exxUvb8CyROYf3eb3D6eXpzBuvA0ggb2J3rXelxZWQA0FOex58tPUOv0+FxNpE76FYg20CYhEYQ1wojO1I7PlWQZNv8N6gph5GMQ2qn9rt3Brh85g8bYMgQEdPmhLNq+vKNDUihapLi4WA1w/Phx7fLly4PvvPPO9p1aqriiKEnEVWxjxmbCXLE4VI3MGj4l4Nf7ZHc+To+fu0Z2QhRbtuVg2ZFSDhbWMW9AHLbabOyNLmRJIm3cRNT69tlzrzi/mN6Dm1vAup1o9UY0OgOCqEal1qESVDw/wkSIUcNLK7JY3Y5D6bp8L5F4MkCJRJDByuAxvXCoGolwJJKzqRJ9aRgnNlWxaclBCnfUYauKx+aOQSWrqdNUUWHNx9jLx9iZA5g5bRzzxsxkSMrg865i/HAitaVXN4LuGYYY7MFfqKL69TW4Stt2boXd7ePpxenkVDTxm7HJDHjyMUSjkcrXXqf6WDp7F36JWqdHcjcx7rd/JLl/NPMeH8CUe3oxeEYnPA4f5XmBGf53XhkL4cR66D4Tuga2m9yVaPqAyai7uvALfmxVcXy9YWlHh6RQXNSsWbO6dOnSJW3GjBnJ//znPwvCw8P9HR2TouMoScRVyuF24M3VAhDSTX/R7RiXq6Dawer0Mq7rFErvuOAWH/Phtly6hJu4sU8EmevXIwgiZquByLSA1IUpWikoNolOPbsi+f0gCGh0evw+L7IsoavOPzOU7o3vDaVrD+2RSNhMIcT0DgZAhRqNpEdEhVpWU6uppDK4AGtfFeNmDmTm1PHMGz2TAZ0u3rTgQhOpdbYQbA9MQd1ZRmrU0PD+Xhr2HmmTz+L0+PnTkgyOlzdxz6jOTOsVjdpmw3b33dTVVXJozQrUWh2yx86Yh/545ji9WUNYnJm0UbGotSKZW0ra52dckQU75kNYCgz7beCvd4Ua3m0oUf1NuEUXkY2JLFy9SmkBq7ii7du379iJEycyjh07ljl79uzAtNNTXDWUJOIqtWLrOvSSkUpjEYOTA39D/sG2XBAEbh/Rsi0HXr/E39ccA+CxSd3Y9cGrp7ZRNDLg5vsCGaqilcJSeuH3us/cPGp0egRRjTWp2zlD6d7adAJJunYSCZffiVttxy/4kJFwi06cmiaiuwdz/agZ9E5Ia935vH5ePDWR+vdTv5tIfZqo0WC7bQq6UcHIkoBzeTE132y4rM9wOoE4WtbIXSM7MbNPzJnXHOEmqoYPRq3VITXVMfrBP5z3HDqDmuQBkVQVNVGRF+D7Alc9rH0G1HqY+ByotYG93hWue2wqaSOTaFLVE+aOYe3a7QEZiqhQKBRtTUkirkJ7T+wjwh6PW3QydeTYgF9vX34N+/Jrmdk7mthgQ4uO+XRXAblVdm4f3om6zQsQNWZ8Hjcj7vjpPnW8UlniUlCJMj63E5+3ea++Sq2h4OBe4LuhdCNSwlh5pIy/rDqKxyf92CnbTJdwM8/PCVwiERscgyA3b83zqJ2oZQ2iJBIbHHORI88lyzLzN+RwstLOvaM6kxZz4XkPweOuw3Rzd0SdD+9hD1X/Wobf7mj1NV1eP88tyyCztIHbhycxu2/smdfKMvaQsW4dKo0WT0E+nTMK8TdceLtSt+sim1cjthYHbjVCkmDDS9BUDmP/F4Ja/32+FkVbIxk9YQC12gqsPhu7N2SQV5nf0WEpFArFj1KSiKuM1+ul6qgTAQEhyYlRF9huJn5J5oOteZh1am4a1LKWrunF9SzYX0S/hGCGWe1Ul1QiyzJdBg7ouGm4ih816v4nGDhnLsm9uqJR+5BlmericvZ8PB9oHkr3+KRuzOwTzfYT1Ty9OL3dWsAmR3yXSDy1uG0TiZjgGGqM5fhEN5Ig4RPd1BjLibmEJOJ0IfXEHpFM7XnxTmnmlCRC7h+DKsyLv0xDzfz1OAtKWny95gQik/TiBm4bmsj1/b9rz1q0fxtHN21GpdagEjwMm/dL/HV1VL/zzgUTBJ1RQ5f+EVQWNlFZEKDViIOfQMFO6HMzJI0IzDWuUkadkanjR1NhKMQomTmxs4L9uQc7OiyFQqG4ICWJuMos2b4Kkz+IKl0p43uOCfj1VqWXUVDj4JbrErDoL1534fD4eHVtNiatmgdGJXFwyVeIahVarUTikPEBj1dx6SxxKcSNmMF1v/5/RCcnIEkSToePzW/9GQBRFLh7ZGd+NSyJjJIGnlhwmKqm9tm/fTqRAHhqcTo5FW13k3vDuJmkjojDF1FP6og4bhg3s9XnOFTYXEjdNdLCfaO7ILRw1oE6yEzofVNQp4pIDg2NHx2ibuuBix7n9vl5YXkmR4rq+cV1Cdw48LsEP3/3BnJ27kRUqVGrfAy/53GM/fthmTgR+46d2LduveB5u10XhVojkrGl5clMixXvg70fQHRvGHRX25//GqDRaJg3cToVwfloZC0N6RLr0jd2dFgKhUJxXkoScRU5VpJNWEMcXsHDqBHXBfx6TW4fn+7OJy7E0KInqwBvbzpJRaObB8clc+zzN9DoTXidTQy949EAR6toS10nXE/XoUPx+7ygMrDh/17A5/UiCAI3DIjj/01IoajGweNfHaKguvXbcC5FcoSZF04lEk8uattEIiY4huTgLpe0AlH+vULq/52WeqaQuqVEtRrbzyein9g8EM79bQXVn61F8p1/pcfjk3h5xVEOFdbz88Hx/HxwwpnX8nasJXffAUSVGq1WYtj32iiH/uo21FFRVL/7Hr7q87ft1ZtOrUYUNLbtaoS9CtY9D3orjH8GVMqIoh8zb9RMGqPLEGQR9clgluxc0dEhKRQKxTmUJOIqcvxgMaKswhldjc0UEvDrfbmnkAanjztGdEKtuvgfle05Vaw/WsHY1AjC87aCqMfv9XLdzbcHPFZF24vpO5QBc27A53aiMljY9ObfcNbXAjC+eyRPz+xBo8vHEwsOk1XaPq1BkyMsAUskLoXL6+fF5VnYPecvpG4N6/B+WH7VB9HoxXdMouatVfgams56j8cn8fLKLPbl1/KzgXHc8r0E4uTmFeQdPIIoqtAbRIbc/shZx4oGQ/M0a6eTqvnzL7itqduQKFRqkYwtxZf8Wc4i+WHds80F1eOfAlNY25z3Gjd90GTEZDuS4CekIpYFG5UWsAqF4sqiJBFXiUU7VmD12ajVVDB94OSAX6+03smSQyX0ibcyMPHiCUuN3cPr63OIsOj4ZQ8TxcdyAIHYbsmYI5TiyatVUGwSI359P15nExqDiR3/eYeavOauWwMSQ3np+l6IIvxx4ZF2G0qXHGHh+dmntjYtyiCnoukiRwSGLMu8sT6H3KqLF1K3lCEhhtAHxqGK8uKv1lD75ibs2blAc8ezv6w6yt68Wq7vH8utQxLPbJvK/nYRhZnHEEURo1nL4NseOu/59ampWGfPxnnoMI2rVp3/PSYNXfqHU5HfRqsRu9+F0sMw8A6IVVo7t8bIHsOx9dHjFl1ENCSycM1KvF5vR4el+Am78cYbk0JDQ/ukpKScaV1XXl6uGjZsWEpiYmLPYcOGpVRWVqo6MkZF+1GSiKtAcV0J1qpI/IKP3gNT2uWaH27LQ5Zl7hrR+aL7u2VZ5rV1x7Gfmkp9+OsPUWk04HfSdcKcdolXEThaSxCj7/8dPlcTap2eQ8uXUrhnEwBdIy389YY+hJq07TqULiWyOZGQkXlqUXqHJBJLDpWwKbvlhdQtpTIZCbtvBpo+OiS3iqbPj1Lz7U7+vvoYu3NrmN03hl8PSzrz9zJr5ZeU5uQiCAKWYBMDf/GbHz1/yM9uRJuYSM1/PsZbcv7ah9Qh0ajUAplbL7M2Im8rHPoM4q+Dvr+4vHP9RPVOSKP7iHjsqgbCXLGsWruFBqfSAlbRMe64446qJUuWHP/+15555pnoMWPGNObn56ePGTOm8emnn267X4iKK5qSRFwF9u5MRy1rqA0tISk8MaDXWrCviIX7i9h+opreccHsy6+96DHLj5SyL7+Wuf1iaVr9ARqDGa/LzrC7H7vosYqrg1qjYdxv/4hKdqNSazi5dz9ZK78EIDbYcNZQus93t89QutOJhCS3fyJxqYXUrRE6dwyGGXEIKhnP1npmnTjGzJ4R3Dmi05nrZSz7lIr8EhAErOFW+t1090XPK2i1hP/2IZAkyv/+Cs7MTHy1Z/8915ubayPK8xqoLLzE1YiGEtjwMpgjYdwfQVT+ublUscExjBjXlzpNJcG+MLavP0JRdRttN1MoWmHq1KlN4eHhZxVsrVq1Kvjee++tBrj33nurV65cGfj91oorglLddoVbdWAtoZ5IGlW1zBgc+G1MXcJN3P2ffZi0KrLLG7lxYNyPvr+wxsEHW3PpFGZitJhLoUdAlv30mzUPdYCnaCva3/B7f8e+z/5FU72LioIS7P+dz8BbHyDUpOXP83rx4vIsPtlVQLXdw29Gd0EU2/7m+vtSIptrJJ5clM5Ti9J5fk5PkiPMAb3m5RZSt4apXxpfF7mZcqwYW7WBuQeP4ekdjs4WwpGFH1FT3nzzHxplo9fsX7b4vNqkJPR9+1D32ec4du9GZbEQ8cQTWMaMPvOebkOiOLG/gswtJYy+pVvrAvd5mgfK+Vww/e/NBdWKy2I2mJkyYRRLNq4lwhnHsR3FVPWupm9C744OTdHOti/ODMi+wGGze+y7lOOqq6vViYmJXoDExERvTU2Ncm/5E6E8GrqC1drr0RQFIyET1ysMTTvclFfbPWjUAj5ZZmafGHrHBV/wvV6/xD/WZgPw/0bFkbdvL4IgEBoZQmhSK286FFeNATffR1SneGRJwmH3seVffwHAqFXzzMw0RqaEsSq9jD+vOorb5w94PKcTidMrEicqA7ci8f1C6v+d2v2yCqkvRpJk/u/bbBYWOFncvyvqeD9SvZb6t7dz8N23qamoBWTC4iJblUAA+GprsW/ajKDTIdntyJJExV/+ctaKhMGspXPf5tWIqqJWfk+3vwZV2TD0AYjo3rpjFRfU3AJ2GhVB+WgkHbWHvGzM3NLRYSkUip8oJVu8gq3fvo0IOY4KSwGjE2YE/Hour5/5G3Jwefw8PKErK9NL6R1nvWAi8fnuAnIqmrhrZCfyFryNWm9BcjfR+/qHAx6romN1mzwP0/5tHN+xA5VGz4bXXmDkb55Aq9HwP5O6EWLUsuRQCc8szuCP07u3aMbI5fj+isSTC9N5YW5PuoS37YrE9wupfzOmCz1iAjc4UZJk/m/dcTYcq2RC90juHZeMKKZSu3IrtdtqMRcl4AkuwdojmG6T57X6/L6KChAENNHReIqK8NfWog4NxVdRgTrku50IqUOjOHmwgswtxYy6uYUPBrLXQNZS6DIO0ua2OjbFxc0bM5Olu1YSVB4NORaWNq1i5uApHR2Wop1c6opBoNhsNl9+fr4mMTHRm5+frwkNDW2fSaSKDqesRFyhthzdRrgzFqfYxIwRE9vlmgv2F1HR6ObhCSn8algST0xJ5Xj5+Z9AZpU28PW+IvrEW4nLWopaZ8HndjFCqYP4yYjrP5z+s67H53ah0n/XAlYUBe4a2YlfnxpK9/sFR9plKF1KpIXnT61IPLmw7VckFh8MTCH1D0mSzBsbclh/tIJxqRE8NC75zLawnKpDlEUV4RO9RFZHYys0IHk8rb6GOqJ5JoUsy6htNiSXC39Dw5mvn2awaOnUJ5yy3Aaqi1vw/azJhS2vQHA8jHocAlAromg287qpyF0akAUJa1k0CzYpLWAVHWPy5Ml1b7/9tg3g7bfftk2ZMqWug0NStBMlibgCub1uXDnNPxpzVxGdJnBbJk6ranLzzf5ihnWxcdvQJAB6xwUzb8C5NRFOj59X1mRj0Kr4dZKLpjonsiyROnosar0+4LEqrhzW+M6M+PVvzm4Bm5+DIAjMGxDHIxNTKKptv6F0XU8lEv5TicTJNkokDhbW8e9tgS2khuab+rc2nWBtZjljuoXz8PiUMwnErg//D6fDh0flRDXEjzHMj79IRfVra3CVVrTqOuqQECKeeAJ8PgS1GlGvRzCbz9utKXVoNKJKIONinZo8Dlj7FCDDxOdAa2xVTIrWG5M2CmtvNV7RTUR9It+sXa60gFUE1MyZMzuNGDEiNTc3VxcZGdn71VdfDXv22WdLN2zYEJSYmNhzw4YNQc8++2xpR8epaB9KEnEFWrplLXrJRKWhiGFdh7TLNf+zPQ+PT+KukRdv6frO5pOUN7i4b3giBVvWIahEjCYtMb0Ht0usiivLdy1gG5tbwC5bRNH+bQCMSz17KF1mSeCH0nU9tbXJL8v8sQ0SifIGF39th0JqWZZ5e/NJVqWXMTIljP83oeuZBGLnB6/idoPk99OpXx9SJs/F9sAU1F1AatLQ8P5eGnYfadX1LGNGk/jpJ8T+81WSvvwCbXQ0VW/MR3KcnewZg7R07htO2Yl6qksu8L2UZdj8N6grhJH/A6GdL+l7oGi9fom9SR4SjUPVSLgznpXfbqLJ2TGzUxTXvqVLl+ZWVlYe9vl8+8vLyw8/8sgjVVFRUf4dO3Zk5+fnp+/YsSM7MjIy8MVwiiuCkkRcYQ7kHya8KQ6P6GTyiNEXP6ANHC9vZMOxSsZ0C6drpOVH37vjRDXfZjU/JRU2fIhaZ8DnbGTQLx9ol1gVV6bmFrBPIkouVGoNObt2nWkB+/2hdE8uap+hdG2VSJwupHYEuJBalmXe25LL8sOlDE8O47FJ3VCdSiC2vfN3PF4Rye+jy3WDSBwyHgBRo8H2y8noRgcjSwLOlcXUfLO+VddVh4Sg79YNXVISYffeg6+igup///uc951ejcjccoHViIyFcGI9dJ8JXSe17sMrLltiWDxDx/WkTlNFiDeCLesPUFpf3tFhKRSKa5ySRFxBvF4vZen1iAhI8XbMhsC2qoTmm5d3t5xEqxbPbGO6kFq7hzc2HCfMrGW8cw+CxoTf42Hor5UEQtFsxH1PYDRrEUSRioIS9n76FnDuULpV6YEfStf11ByJS00kfjiROlCF1LIs8/7WXJYcKmFoFxv/M6nrmQRi67/+gl/WIPl9dB02jPgBI885PnjsdZhu7o6o8+E97KXqrWX47a3fOmYaNgzTyBE0rd+AY8+es14zBmnp1CeM0hP11JTYzz6wIgt2zIewFBj221ZfV9E2ggxWpkwYSaW+CLPfSsaWPNILMzs6LIVCcQ1TkogryNIdqzH7rVRry5jYZ1y7XHNbTjVZpY3M7RdLuOXCT1llublbTKPLx/19jNQVlyMjk9SvDwarMldG8Z2Bv/gNEQkxIMk4Gj1sPdUCNjbYwN9ODaWbvyGHz9phKF23qEtPJE4XUk/qEcmUABVSy7LMR9vzWHywhMGdQnl8cjfUquZfy5vf/DOSqMfv89J99Bhi+g694HnMKUmE3D8GVZgXf7mGmjfW48granU8trvuQhUaStVb/8Jff/ZU5DOrEd+vjXDVN8+DUOub6yDU2lZfU9F2NBoN10+aRoWlAJ2kp/Kgky1Ht3V0WAqF4hqlJBFXiJzyE4TWx+ITPAwZ2q9drunxSXy4PZcQk5Z5/X98qNzK9DL25dcyu28sDVuWIKrVaFQ+Og1Xti4oztV96s/oPHggfp8XSdSz/rUX8Hm9hJwaStc7zsqnuwp4c+MJJCnwicRzs9Oai60XtSyR+H4h9b0BKqSWZZn/7sxnwf5iBiSG8MSUVDSnEohN818CtQG/10OvyVOITLv4bCl1kJnQ+6agThWRnBqaPj5C3Zb9rYpJZTYT/sD9+OvrqXr7nbOSPJNVR1LvMEpy6qgptYMkwYaXoKkcxv4vBMW07hugCJh5Y2dQE16MSlYhZZtYvm91R4ekUCiuQUoScYXI2pePSlbRFFFJlDXi4ge0gaWHSihvcHPbkEQMWtUF31dU6+D9rbkk2ox0zfgKjcGE19nEsLv+p13iVFyd4geMpM+MOfjcLtR6C5ve/CuexoZzhtK9vDIr4EPpUqOCeG52Gj7/xROJ9iqk/mx3IV/uLaJ/QjB/mNb9zHU2vvHima2CvadMJyy5Z4vPKarV2H4+Ef3E5t8h7nWVVH+2BsnX8rbthr59CZo6BceuXdg3bz7rte5DoxHEU6sRBz+Bgp3Q52ZIGtHi8yvax+yh0/Ak1SELEpbiKL7ZvKyjQ1IoFNcYJYm4AizZtYJgXxh1mkpmXje1Xa5Z5/DwxZ5COoebGJd64aTF55f4x5psJFnm1yEFyGiRfD4G//xX7RKn4uoWmpjM0Nvuweu0ozGY2frhW9QXNtfg/M+kbszuG8POkzU8vSiDRldgW1OmRgXx3JzvEoncKvs572mvQuov9hTw2e4C+sRb+cP07xKIDa+9gKg14/O46T97HrYuPS7p/Nbh/bD8qg+i0YvvmEzNmyvx1je2+PiQW29FExNN9bvv4ausPPN1U7COTr1tlGSWULt1MUT3hkF3XVKMisCb0HsMlp7gEzyE1yWw4NtlSgtYhULRZpQkooOV1pdjqYjEL/hIG9B+bRE/2VWA0+vn7pGdz7SRPJ8v9hZyvKKJX/ax0HjyOCAQ2SkeS+SPb39SKE4zWEMYff/j+E+1gN2/5BuK9m9DFAXuHNE8lC6ztHkoXWVjYIfSfT+R+OPCI2clErIs8/r64wEvpP5qbyH/3VlArzgrT07vgU6twuf1suG1F1Dpm4c2Dpz7M6zxl/f7wJAQQ+gD41BF+fDXaKl7azP2YydbdKyo1xP24ENIbjeV8+cjS9KZ17r31SM0FpNZNwTGPwMq9WXFqQisAZ3603lIBE6xiQhHAivWbeBk5Un25O2lpO4isz8Uih+48cYbk0JDQ/ukpKSknf7aBx98EJKcnJwmiuKAzZs3KwNifkKUJOI8tq0pICerBoCcrBq2rSkI2LV27TiIWtZQE1xC54hOAbvO9+VV2VmTUcbQLjZ6xlov+L6jZQ18uaeQXnFWrHuXoNJoweeg+9SftUucimuHWqNh7G+fRPheC9hjqxecGUr36MSuFNU5efzrwA+lS40K4tkzW5u+SyTW5TSwObsqoIXU3+wv4j878ukZG8TTM3qg1zQnEJvf/OuZBGLwTb8kKDapTa6nMhkJu286mj46JLeKpi+OUbt2R4uO1XfrinXuHFxH0mlYubL5i5If096XSLIcpVgeRF2Tcr9wNUgKT2TQ2DQa1NXY3DGUbLfTkOHj6NYivl6vTLpWtNwdd9xRtWTJkuPf/1rfvn2dCxYsyBk4cKAyoOQnRkkiziMi1sj6j7I4tKmRbd/kEBkfmFarqw+ux+aJoklVz8whkwNyjR863U5SEAR+PSzpgu87PZVar1ExveZbNAYLXpeTYfcodRCKSzfyvicwmtQIokhZbiH7P/8XAGNTI3h6Rnfs7vYZStc9ujmR8Ppk7vnPXuavz2FhZh3hFh0RQfqAFFIvPljMv7fl0T3awtMz0s4kEJve/Ctqgxmfy8mQW+/AHNH2Bcqhc8dgmBGHoJLxbGug+qNVSC3Y1hJy441oO3Wi9uP/4ikqht3vQulhuo/rhqA1nt2pSXFFCzFZ6TG4EzISAiI6nxmNpCfUEamsSChabOrUqU3h4eFnFVn179/f1adPn8AuIyuuSMo69HloD2wBl5XyAx6iElSEHdsM3ee06TUanPWoi0xIyET1tKLRaNr0/BeyL7+Wg4V1zO4bQ0yw4bzvqbV7+Oe32RTVOHi0qwNfAciyn77TZ6FupzgV166Btz5A1oovqMgvoanezbZ3/sbwex5vHko3txd/WprBk4uO8LspqQzpbAtYHKcTice+PMSbm3KwGUSaXD66R//4wMVLsexwCe9tyaVblIU/zUrDoFXhc7nY9PYraAxmvC4Hw351X0DbJQcN6Ik2NpLGT3biy9VS88YqtJNSkZscaOOjMMREnnOMoNEQ/vBvKXn8d1S9/CTRPU8gJA7BPPxmEuvzyTtcRV25g+BIZUXialDVVIVb40PrM6CS1SCLIEBxXQkxwUp3ravFKzfNuHi7tkvw2BfL9gXivIprl7IScR6OoBgM1QXoffWU5zhYnx2C19u23WPWbt2KVjJQaS6kX2LvNj33hfj8Eu9vzcWiV/PzwQnnfc/6rHKmvbaFz/YUUlHTgHjiEIIgEhxmveQiT4Xih7pPu4nOA/vj93nxo2XD6y/i83pJ+d5QupdXZLEqvTSwcUQH8crP+tA9OggBgVl9Y+gdF9ym11hxpJS3N50kJcLMs7PSMGrVP0gg7Iy8/YF2mbeijwrH9tBk1PESnmo9jf8txrG0krq3DlO9eON5j9HGxxMydwrujP3U5Whh3B9BFOk+LBpBgMxtylPsq0VscAyi1PzPvk/wICCg8xkpqajo4MgUCsXVSFmJOI8av4Xuzh3o0w+Q1f8eKiu68s2/0pl0c1dCws7/9L41tmfvJNwZh1O0M3Nk+81ZWJVRRlGtk3tHd8asO/dHX2v38OyyTOqdXrQqkaeMO9HoQvE6G+l748PtFqfipyF+0GhM4VEcXLoItc7Mpjf/ysg7HiI2OIi/3dCHZ5ZkMH/DCWrsXm4eHB+QLUYAXr+ETi0yJy2Eleml9I6ztlkisSq9jLc2niA5wsxzc3pi0qnxOBrZ8u7rzQmE087oex9Frde3yfVaQtRqMU7tj3t+OrIMkl+NoPLh2evFOaj83BUJn4cgcQuOcDV1JwwYiyrRJVuxhOpJ6Gkj/0g19ZUOrOHKasSVLiY4hu3GfYQ6IpFECdkvo5LUhJTF8s3WZVw/YkZHh6hoAWXFQHGlUFYizqN/skS40YU6rSu9Dv6L1KoN2EvrWfKvI2RnVF/Wud1eN03ZzZ1ODMkSOk1gWkj+UKPLyyc7C4gPNTC1Z/R531Na76TO4SVBKucJ9RZCQ0LxuFxEzL6nXWJU/PSEJnVjyK13fK8F7Js0FOedGUrXJ97KZ7sDO5TueHkTT0xJZWb3YJ6Yksrx8rapDVybWc6bG3PoFGbiudlpmHVqPI0NbHnv9TOzVto7gTjNU1iGKEqotR4QZGS/Gtmvwp1bfO6bt7+GUHOcsIceQjBbqXztdSSPB4Aew2OaVyO2BnbFSNF2bhg3k9QRcVh7qOk6Mgptmru5BWxNPF+vW6q0gFUoFC2mJBHn4T6RQ8Tjj6N65hnC77+f2JLt9Mv/GtHewJYvstm8Mg/JL138ROexbOsaDJKZSkMxI1OHt3HkF/bFnkKa3D7uHNEJ1QVaumaWNvCYaiu/i6qgU1QkoiBS73AQFx7cbnEqfnqMIeHNLWCdjah1BvYt+pqSgzswatU8PSPwQ+nmDYg7s/LQOy6YeQMuv33xhqMVvL7+OIk2Ey/M7YlFr8FRW8mWf7+JRm/C52xk9L2PdUgCAaCNj+J0SqbSeEGQkCQVnq0luEq/t7Ulew1kLYUu49CM/BW2O+7AW1xM7SefAjSvRqTZKDpaQ32ls/0/iOKSxATHMChpIDHBMVyXPIiEwaE4RQeR9kSWr9uA26vUyCrOb+bMmZ1GjBiRmpubq4uMjOz96quvhv3nP/8JjoyM7H3w4EHT3LlzU0aMGJHS0XEq2oeSRJxH8Jw5GHr1RBAEbHfeQfzb/yIsRGJg9r8JdpZwfFsJiz7IxN7oadV5DxdkENYYj0d0MW5Y+yUQxXVOlh0upV9CMP0Tzr/vurjOyfotu4kLNqPV6UEQkGWZELMJdW1+u8Wq+GlSazSMffhJ8DlRqTVk79hB9reLzhlK99Si9IAPpbtcG49V8M9vs4kPMfLC7J4E6TU0VZWz87/vo9Eb8DobGXX/Ex2WQAAYYiLRDtQgywJIAqLKjy6iHtmpoeH9vTTsPgw1ubDlFQiOh1GPgyBgHjsW48CBNCxbhvNIOgA9RjQX5Cq1EVev5MguDBibSqO6FpsninVrd1Jtr+3osBRXoKVLl+ZWVlYe9vl8+8vLyw8/8sgjVbfddltdeXn5YY/Hs7+6uvrQ1q1bj1/8TIprgZJEnEfxF0soW7cOgKodW6nafYTYv/wF29B+9Dv5OQk1+6g9Wcs3bx6m4GR9i87p9XopOlKNiIA3rp4Q04XnM7S1D7flIssyd47odN595X5J5h9rsonylKJSaUAQQJbxed0gS9TnHWu3WBU/baPu/z0GoxpRFCnNyWP/5++cGUp3+/Akskob22Uo3aXanF3Jq2uziQk28OLcnliNGhrLi9j92YeodYbmFYj7n7giupzZZo8h+De9McyIIPg3vQl/dBa60cHIsoBzRQmNny9o3kI28TnQNtc7CIJA2G/uQwyyUPXGG0h2+3erEVk1NFQpqxFXK5sphPETh1CtLcPiC2H/hqNklyn3ggqF4sKUJOI8VGEm/OtEDF8dxb2uEV1CKKLJRPhjjxF25+0kV2+lZ9ESpJp6vv0oiz2bi5GkH9/etHTXaiz+YGq05UzpO7GdPgkcLqpj58kaJqVFkWgznfc9X+wpJLu8kX5WCdWpmxuvx41KrUUQRKxJ3dotXoVi0C8fwBYbCcg01TvZ9s7fEASB6/u371C61tqeU8Ura44RZdXz4txeBBu1NBTnsefLT1Dr9Phcp1YgroAE4jRDTCTW6/qcKaYOHnsdppu7o9I5cZT3pM55N37d2YP3VMHBhN17L76qKqo/+DcA3Yc111kpqxFXN51Gx5wpk6gwFaCXTBTtqWNXzp6ODkuhUFyhlCTiPIL79gKzA7nBDF4ViM3fJkEQCJo2jZgXXiDG1MSAE//BZC/j8Np8Vn6ajdvtO+/58irzCa2NwSd4GTy0T7t9DkmSeW9LLgatil9cd/6WrsfKGvliTwEDQ9xY/F5kScLrdiNLPvxeNypRxhKnbG9UtK+0GTeT1Lc3kt/X3AL2tRfweb2nhtL1wO728bsFh8goadlKYKDtOFHNX1YfIzKoOYEINWmpyc9h78IvUev0SO4mxv32ySsqgbgQs2s/ocFvobHW4q0JouaN9TjyCs96j2nIEMyjR9G0cSP2nbsICjMQ3z2UwswaGqqV1Yir3bzxM6gMLUAta3FmqVl9cF1Hh6RQKK5AShJxHk3Z2SALSJE14NXgXm6n+MNF+BzNXVt0KSnE/P1vhA/oTv/cz4iqSacss5Jv3jxCRan9nPMd2ZuDSlbTEFZOtPXcgU6Bsu5oBblVdm4aGE+wUXvO6y6vn3+sPYZOo2J41U5EtRpRdjFw9iy69uvJwDlzGXX/E+0Wr0LxfYlDxtNr8lR8bhcqvYVNb/4Vj6ORAYkhvDS3F2pR5KlF6ew4cXkd0y7X7twa/rLqKOFmHS9d34sws47qE5kcWroQtVaH7LEz5qE/dmiMLVaRBTvmI0YkEPzAbNQ9VEhODU0fp1O3ee9Zbw29405UYTaq33kbf13dmdqIrG1Kp6ZrwfUjZmCPr0AADAU2Fm1f3tEhKRSKK4ySRJyHu6AG3bggPDN6I472gs6DkG+g/PUN1Bxo/odUZTYT8fsniLjtFrpXfEu34jW4ympZ8W46Gfu/626ydM8qgr3h1KurmT10Wrt9BqfHz3925BEZpGNmn/NPIn1/ay4ldS7u9G5Ca2zuWT/83t9hiUshbsQMZQVC0eFsXXo0t4B1nWoB+/58GorzSIm08JcbehNq0vLnlYEfSnch+/JreHllFmFmLS9d35Mws46Kowc4vGoFKq0W2edg9IN/6JDYWs1VD2ufAbUeJjyLqDNi+9kE9BMjAHCvr6b60zVIvuYVV5XZRPgDD+Cvb6DqX29jsemJ6x5KQUY1jTWujvwkijYytd9ENN3c+AUftqo4vl6/rKNDUigUVxAliTiP2JtmETZ0BADRkycR/cRkhH5+8KhxLamm+JPF+F0uBEHAOns2Mc8/R4KunH4nPkVbX8HOhTmsW3SCsroKTGVhSIKflL6x7foZvt5fRJ3Dy+3DO6FVn/tj3p1bw6r0MmYbc9Fr9Eg+H4NuuKVdY1QoWsIYEs7oex7F5zrdAvYryjL2EBts4G839CEpzMT8DSf4dFcBshyYWRLns7+glheXZxFs0PDi3F5EWPSUZewhY906VGoN+J2Mvv9/2y2eyyJJsOElaCqHsf8L1u9+X1mH98Pyqz6IRi++bJmaN1fhrW8EwNC7N0HTpuHYs4emDRvpMVzp1HStGdZ1CDEDgnCJTiKbEli0epXSAlahUABKEtEiolpN9KxpWH+ZjBzkQsjRU/bGGuqPNbc41KemEvu3vxHVO5EBeZ9iqzlG3u5Sdi/PRiNrqQoqoltM13aLt6LRxcL9RaTFBDGsi+2c1+sdXl5ff5xIrYcuzjIEBMITogmKTWq3GBWK1lDr9Yz77ekWsFqObt7C8fWLCTFpefn6s4fS+QM0lO77DhbW8cKyTIIMGl66vheRQXqK9m/j6KbNqNQaVIKHUb/5fcDjaDMHP4GCndDn55A04pyXDQkxhD40AVWUD3+Nhrq3NmM/dhKAkFt/gSYmhuoP3scoNRKXGkJBurIacS3pFtOVXiM706Sqw+aO4du126m1Xxn1SIr2deONNyaFhob2SUlJSTv9tXvvvTeuU6dOaV27du0xceLELlVVVaqOjFHRfpQkohXMSSlEPzgNuYcHwaHF/kURJQuWInm9qKxWIp/8I5E3z6N3xUrivAcIMQTjcnjpabuuXeP8eEc+Xv/5W7rKsszr649T5/Byk2N785YLr520GcoqhOLKN+r+36PXC4iiSEl2Lge+eA+jVs0zM9MY1fXUULoVgRlKd9qRonqeX5aJWd+8AhFtNVC4ZxM5O3ciqtSoVT6G3/N4wK7fZg5+BsX7oXgfbH8dNEYYdPcF364y6Am7bzqavjokt4qmL45Ru3YHok5H+MO/RXZ7qHrjDboPjUKWIWu7UhtxLYmyRjB6wkBqtGUE+Wzs2ZBBXqUyQ+in5o477qhasmTJWb1/J0+e3JCdnZ2RnZ2dmZyc7HrqqaeiLnS84tqiJBGtJGo0xN44E9PPYpGNHkjXUvrGCprychBEkeAbbsD6+8cx9e2D6PdQkV7Gti9PsG1twUXbwLaF7PJGNh6rZGy3cFIiLee8vjaznF25Ndwhb0dnsuBzOxl+71Vww6NQnDL4V7/FFhUGyDTW2dn+3itoVCKPTWweSrcrt4YnFwZmKF16cT3PLs3AqFXx0tyexAYbyNuxlhN79yGq1Gi1EsPueqzNrxsQ4d1g9R9h4X1gr4DRj4NKfdHDQueMwTAzHkEl49nWQNWHK9EkJhJ8ww24MjMR9mwkrlsI+UeqaKpVViOuJUadkWnjx1JhLMAgmTm5s4J9ufs7OixFO5o6dWpTeHj4Wa0or7/++gbNqc5zQ4cOtRcXF5/byUVxTbr4vxiK87Km9sKclELZgtUIOXrqPz5OY7/jRE6ZyMbaCiLMcfgK9tAvayMZ0VM5utFPVVETk36WjMEUmL9fsizz7uaTaNUitw1LOuf10non7245yWBVEaGiBtkv0XPi5Kui7aRC8X1ps28lf+c6cvcfxCeo2fj6i4y473fcNbIzoSYt/96Wx+8XHOFPs9IIt+ja5JqZJQ08uzQDg1bFi3N6ERdi5OTmFRRkHEUUVegNIoNve7hNrtUuovuA7If6Ihh8D3QZ1+JDg/qnoY2NpPG/O/Dnaal+YxWWm8fg2LeX2k8+IeV/X6DoWPNqxKDpnQL4IRTtTaPRMG/CDL7ZvIywunga0/1827iRCb3HdHRoPxnb3p8/IBDnHX7nA/su9xwffvhh2A033FDTFvEornzKSsRlUOn1xP5iNvpZoaD1I+8TyZ2/ksj6WFwqJ0PuvoWoedPoV7qY2NKdVGdV8M2bRygpaAxIPFuOV3G0rJF5/eMIM59943R6KrXP42aYPx9BELGEmIhI7ReQWBSKQDvTAtbjRtSZz7SADcRQuqNlDfxpSQZatcgLc3qSYDOS/e0iCjOPIYoqjGYtg297qA0+VTta+wyUZ0D3mVByoHlrUyvoI8OwPTQZVYIfqV5Lwwd7ME6ZDYDnv28Tm2Il70g19jqlCPdadP2oGTTGliHIItq8YBbvWNHRISk62BNPPBGlUqnk++67T0kifiKUlYg2ENpvEN7kesq+XI9QHE6U3UF9aiV6vRH9LbegT+2O5rXXCCoo5rhvMqs/8NJ3ciL9hka3WQwen8RH2/MINWm5vv+5naC+3lfI0bJG7vdtQWO24nM10v/nV9FTU4XiPGxdejDkF+Hs+Pjd5haw781n0E23MjY1jiCDhj+vzOJ3Cw7x5PQe9Iy1XtI1jpc38vTiDFSiwPOze5JoM3F09deU5xYiCAJmq4H+P7+njT9ZgOVtg8zFkDwJ5vwLSg9C5TGI7d+q04haLWF3TKN21TY8uxvxbGnEMGwajk2Liet+iGIpiaztJQycpqxGXIumD5jMFtM2fMf1hFbGsmDDMuaNndHRYV3z2mLFoK29/vrrttWrVwdv2bIlWxSV59M/FcpPuo1oLFZ2d1FT1cWIIHiJPqKn6F8LcdVUYuzfj9i//42kzkb6F3yBoaqA/ctOsuqLbLyetikAXXywmIpGN7cNTUSvObsxwvHyRj7dXcj1vj2YTFZ8Hjcj7lISCMW14UwLWGcTar2BvV99RnnGvrOG0j29+NKG0uVUNPHU4nREAV6Y25PO4WYyln1GeW4RCAJWm+XqSyAaSmDjyxCRCrP+CaLYnDz0vfmSTxkyZTimeZ0RtX7kmggM3SchrfyayHCZ3MPKasS1bGTqcML7GnCLLiIaE/hmzUqlBexPzNdffx30z3/+M2rFihU5Fosl8MWfiiuGkkS0kYziTMIa42gK8hN0WwJSlAOx3Ej1v3ZTuXUz6rAwop97ltiZYxhQ+g0RZQco2V/CN/86QnXl5W23qHN4+GpvEckRZsZ2izjrNZfXzytrsolzl9FJLyPLMl0GD0JrPLfoWqG4Wqn1esY9/EfwOlBptGRt2kTOhiWkRFr46w29CTXp+PPKLFYeaXnHoJOVTTy1KB1Zhudn96RLuJkjiz6mqqgcgNBIG31uuDNQHykwfJ7mbUxeJ0x4FvSXtjpzPua0rljvG4E62AOqRIzJs4g4uBTZ7ydrh9Kp6VrWM74HaSOTaFLVE+6KZc2322hwKi1gr0UzZ87sNGLEiNTc3FxdZGRk71dffTXs0UcfTbDb7apx48Z1TU1N7XHLLbckdHScivahJBFtJO9QBaKswhlTQ3hsJ+LunYt6pBpkAe86J8UfLMLnsBP6q18R88Sj9PLuoUvBahx55Sx9O51jR6ou+dr/3ZmP0+vnzhGdEMWzW7r+e1sexdUNzFUdQ1Sp0GllEgePvdyPq1BckUY98L/odCCqRIqPneTQ1+8TE2zg7zf2plOYiTc3nuCTXfkXHUqXV2XnyUXp+GWZ5+f0JCXSwqGv36emvHk1Iywukl5zftkeH6ltbX8NqrJh6P0Q2aPNT68NsRL6wBQ0ySBrbIRY+xPZVEje4Srs9crT6WtZtDWSkeP6UaupINgbxo716eRXFXZ0WIo2tnTp0tzKysrDPp9vf3l5+eFHHnmkqqCgIL2srOzw0aNHM48ePZr56aefFnR0nIr2oSQRbWDR9uUE+UKp1ZYzfcDkM1+PGDeekLt6I4U5EQoNVLy5heq9OzENHkzs3/5GSoJEn8IFaMoK2frFMTYty0Xyt24lMLfKztrMcoZ1sZ2z53tffg0rjpRyl28zWoMJr7OJIXc80iafWaG4Ul3364cJibIBMvXVTWx//xWCjVpevr43feKtfL67kPkbci44lK6g2sGTi9Lx+WWenZVG10gL+z//F/XVjSDLRHWKJ23GpW/96TDZayBrKXQZC2nXB+wyokaD7ZeT0Y0NQVCp6YKJoKpasrYWB+yaiiuD2WBm6oTRVBoKMfot5Ows5UD+4Y4OS6FQBIiSRFymoupigquj8Qs++g8698meMTKOmHtnIA6WwafCvbye4o8XIVjNRD//PImTBzOg9BtCyjI4sbWARe9n0NjQsid2sizz/taTiKLAr4cnnfVavdPLP789zmj3IUIswfi9Xq77xV1t8ZEViiter9m/JLFPTyS/D59fzcY3XkQjSGeG0q3OKOelFVm4vGfXJBXWOPjjoiO4fX6emdWD7tFB7P3vfJrq3ciSTEzXznSbPK+DPtVlqMmFLa9AcDyM+h38YAhlIISMvQ7jDV3QCA10FgU8m3NpLKsL+HUVHUuj0XD9xOlUWPPRSDrqD/vYmLG5o8NSKBQBoCQRl2n/nkxUspo6WylxtnO7IgGIajVRU6dgva0bktWFcNJA+evrqD+eie2uu4h75H76ObcQX7iJuqOlLHrzCPknLr6fdE9eLYcK65nZO4Zoq+HM12VZbn7SWl/BAIMTkIntlow5LLKtPrZCccVLGjqRnpMmN7eA1ZrZ/OZfELyeM0PpdufW8NSi5qF0tXYPewqbePzrQzg9fp6ZmUZajJXdH72Gw+5DkvzEp3UjZdzsjv5YredxwNqnABkmPgdaY7td2tKnB4bJMWh8hYTKIqVv7sZxUtni8lMwb/RM6qNKEWQR4UQQS3YpLWAVimuNkkRchuX7VhPiiaRBXcOcYdMv+n5zQmdiHpgGvX0ILg2OBWUUf7EE43WDifvbX+gRWUda4RLkoiLWfZTB7o1FF5xy7fNLfLA1lyCDmpsGxZ/12rdZFew4Uc2vOYRKowHJRdcJc9riIysUV5Ww5J4M/vmv8LkcqA0WNr3zTxxVpdw1sjN3jEjiaFkjt/97NzNe38Kz60o4UFDHlJ5R9Iy1svODV3G5ZCS/n079+tB51LSO/jitJ8uw+W9QVwgjH4PQzu0eQtDokRiS7NQ4SvC7NNR/nEHd5r3tHoei/c0cPAU5uRFJ8BNSHsuCjUs7OiSFQtGGlCTiEtXa6zGUhCIJfjr3iWrxcaJGQ8zc6ZhvTkQ2eRCO6ih9fSUuZyPRf/4zncf2YEDZN5hLs0lffZIVn2TjdvnOOc+K9DKK65z84rpETLrvxn2U1bt4d/NJbnZsQG+24HXZGXbXY23ymRWKq5E5LJJR9zyCz9mIRm9gz5efUJ6xj7n94rhnVGeOFDdQ1eQBIDJIx6e7C9j8zt/xeEUkv48ugwaQOGR8B3+KS5SxEE6sh+4zoOvki78/QMLuvAOr7zDHmupweFS411dT/ekaJN+5v9sU15YxPUZi66PHI7qIaEhkwdoVeL3ejg5LoVC0ASWJuEQbtm1DI+uoshTRPTa11ccHJXcn6qHJyN3cCE1aGj89SfmKtdjuuYeEB++gv30dUUU7qDhYyII3D1NRaj9zbKPLy2e7CkgINTI57bsERpJk/rH2GMn16cRaLUg+P/1m/wy1RtMmn1mhuFo1t4B9EtlrP9UCdiMnN68gOcKMzazFoFERbtJgNWi53bUBZA2S30fXYcOIHzS6o8O/NBVZsGM+hKXAsI6dCyMajXR+8DbU9gIONDqQ9F582TI181firW/s0NgUgdc7IY1uQ+OwqxqIcMax6tvNNDmbOjoshUJxmZQk4hJszNxCmCsWh6qRWcOnXPJ5VFodsT+fhWFOBLLOh3xITcmbyxC7JJLwl5foHVpK16JVeHOLWP7OEY7sa+5P//nuQprcPu4YkYTqey1dv95fxPGiCiYYaxEEAVtMOKGJyZf9eRWKa8XoB/6AVishqtQUZmbTtPkr9GoVkUF6DBqBmxvXkhgWit/npfvoMcT0HdrRIV8aV33zPAi1vnkehFrb0RFh6JlG98FhOO1O8oxaVNE+/LVaat/cjP3oiY4OTxFgcbZYho3rRZ2mkmBvOFvXH6S4rqSjw1K00o033pgUGhraJyUlJe301x5++OGYrl279khNTe0xfPjwlLy8POXJ5U+EkkS0ktvrxnuy+e9HcDctmjZ4yh/Suz+RD45FTnIi1hqo/yiL2owsYv78Ml2HJdC3dDH6khPs/voYS784xorDJQxIDGFAYuiZc+RUNPHJrgLu8m1HrdMheZuuzj72CkWADbn9EUIiggEZZ10TTxh2Ee4p4QHfJuLCQvH7PPQcP5HItAEdHeqlkSTY8BI0lcOY34P1/A0fOkLnu28kVG/n5JFqdBP7oumnQ/aoaPryOLWrt3d0eIoACzJYmTJhFFX6Ykz+ILK2FnK4IKOjw1K0wh133FG1ZMmS49//2jPPPFOWnZ2defTo0cypU6fW/+EPf4juqPgU7UtJIlpp2ea16CUjlcYirkse1GbnVRvNxP5qDtopQchqCf8umZJ/r8Z8y8/odM9NDKhbTVjJAcp2FjC6Ts3P0mLOHOv2+fnH2mNMa9iMxRKMz+1khFIHoVBcUK+5vyI+LRXJ78OoNXJPSAW2sEgEQQTJQ3hqn44O8dId+hQKdkKfn0OnkR0dzVkErZZ+tw5DkkUOzF9OyMxRGGcmIKgkPDsaqf73SiRlv/w1TaPRMHfSVCqC8tFJeqoPudiUubWjw1K00NSpU5vCw8PPKmYKDQ090wHGbreLQju0kFZcGdQXf4vitH25+wm3x+EWnUwdGZipz2HXDcXTvZaKLzciFhupffcAmuEGEl9+FvfzLyOfLEb0jmTvZwLaeSkkdw/lw215iMVZpAbrkWWJHuPGo9brAxKfQnGt6DxyKioBCrJyEEURWZaRJQkEDY1Fx7HEpXR0iK1XvB/2vA9RvWDQ3R0dzXnFDO1O5Le5FOb5qVywlIgbZ6ONi6Thv9vx5WupfmMVQbcOQxdu6+hQFQE0b8xMluxcgbUiBnLMLLevZvqgjiv+v5oU/X5LQJZJ4/48ct+lHvvQQw/FfvXVVzaLxeLftGnTsbaMS3HlUlYiWsjr9VKZ6UBAQEhyYtQFrte6NiiEuLvmoh6rA8C30UPluoMsGPVzqsxeepUtRyzMY/PHGSxekM3y/XnM0RUhqERMFj1RaW23QqJQXMtU+PG67Ph9XmRZwu/zIMsS9XlX4b+B9ipY9xzorTDhT6C6cp8R9f3lMNAbSF+ajqegAF2EDdtDU1AnSEj1Wurf2UnDoayODlMRYLOGTMPXuQ5ZkLCURrFgs9IC9mr1+uuvF5eVlR2+4YYbqv/2t79FdHQ8ivZx5f4rc4VZsmMVEf5EqnQlzO156cXUrRExagyutAqqvtiGWGLkLq2Dkp9PIVXlx/LRF2S4h1LmdHFn+G60YWZ8ziYG3vPHdolNobgWWJO6IRzKRBBE/F4PKrUWv9eNNalbR4fWOpK/OYFw1cG0V8AU1tER/aiIpGCi+yRQtttF8T/fIukvzyFqNNjumErtqm14djfiXJSPL7+C0FlXaXcsRYuM7zmGfab91KV7iKhLZMHa5cwaM6lN6g2vVZezYhBot99+e8306dNTXn31VaVq/idAWYlogWMl2YTVx+EVPIwYNrBdr623RWC7axYZ8Q0IfpG4/dBY6SH+yccIbdhOhGMtITYzXreXTpN/3a6xKRRXO0tcCipBxu91I0t+/F43KlG++rYy7XkPSg/BwDsg7uooCO81pSuCLZzcCgO1X3115ushU4ZjuiEZUevHu99F1TvL8bvcHRipItAGdOpPlyEROMQmIpzxrFy3CYfb0dFhKVroyJEjutP/+6uvvgru0qWLsyPjUbQfZSWiBY4fLMYq22iKriDc0r5JBMDX+wr50h7N05ODiN5xEjHPQF1ZPnmjRtNZW4csy5QeN1BQnkvtNJH+w5TGCApFS426/wkai46Ts28byQOGX30JRN42OPgpxF8HfW/t6GhaLDzBQlTPWModvahc9A3GAQPQd2teATL3SEYbHU7DfzbjL9FS8/pazL8YhCEmsoOjVgRKUngi1rHBbNu0nxBPBJu+3UffEV2Jtio/8yvJzJkzO+3cudNSW1urjoyM7P373/++ZNWqVdaTJ0/qBUGQ4+LiPO+//35+R8epaB9KEnERi3esINQXR52mkpkdUPRV0eBi4YFiesYGMXBgL+R+PShasgoxXc3IpmiarDoafcfoU1pMZqOegws9lOc3MGFeMhqtqt3jVSiuRpa4FCwuAUvcVTZXpaEENr4M5ggY90cQr67F5bRRsVTk1lHa1APj668T+/e/I55qCqENsRL6wFRqP1+HL0dD4wf78EyMxXrdVdw5S/GjQkxWJk4cxooNGwhzxZCxJY+6frWXNNBVERhLly7N/eHXHnnkkaqOiEXR8a6uf3HaWbWjlqCqSPyCj14DO+bm4sPtefgkmTtHdEIQBBBVvCknsF9zAK/ejbkulC6aQcTcezODVHuIKNlL2c4TLHjzMNWVynKwQnHN8nmaB8p5nc0D5fTWjo6o1cITLER0CqYy7jqcZTXUfPzxWa+LajW2WyejGxOCLAu4VpZS89U6JJ/vAmdUXO10Gh1zJ02h3NLcArZsv51tx3Z0dFgKheI8lCTiAkrqSqgoakAta6gJKSEpPLHdY8gqbWDL8SrGdosgOcICwDcHitFnb8EaaqQi+CSarg4Euxb3dj+68ZPp18VBl7KNuI/lsnT+QbIOVbZ73AqFoh3seB2qsmHo/RDZo6OjuSSCINBjRCyywUJV6mQaV63GceDAOe8LHjMY8y1piAYf3gwfNe+swmdXHpJcy24YO5PqsCJUsgpftp7l+1Z3dEgKheIHlO1M5/H1+qWE2WMJlaKQkZDccrvHIMsy723JRacWuW1ocwJzorKJb7akc3eQAwEtUclJJE2eR13mYezL8xGyjcihfUmdXItl5SqyPCPY8YmbsvxERk9PQlQpOaNCcU3IXgOZS6DLWEi7vqOjuSwRSRbC4syUlXYn0rqDqjffIvbVf6Aym896n6lLAroHw6j793r8FRpq31iP8YbemLokdFDkikCbM2w6aw+tR1MQjKU4im8cy7h+5IyODqvdyLIsnjhxItntdhs6OpYAEQ8dOpTX0UEoLkgC0n0+310DBgyoON8blCTiB0rqSgh1RKKRdICMLMiEOiMpqSshJjjmose3lc3Hq8gub+SW6xKwmXXNU6nXZPML325URiv4HHSbPA+A4B69MXdOpvzrNQgnDHibdEROH4d500bSS7uTt95NTUkTk27phiVId5ErKxSKK1pNLmx5BYLjYdTv4CqfDisIAj1GxrD5s2zqxtxG6OJ/UP3ue0Q88v/Oea/aZCT0vinULtyELwPsn2bgHVVO8GhlNs61amKfcew176Mh00N4bQILvl3OrNE/jRawgiDYgoKCVDabzSdeZfVOFyPLMi6XS20wGJR6iiuUJElCZWVlj7KysveAWed7z7X1p7INFNeVIAsgIyMDXpULSZQormu/lsdun58Pt+ViM2uZ2y8WgI935DMgfzmWICtel4Nhd//PWceo9UZib52DbkYwaPyQH4Kh7yQGxVcRX76NxkMnWfTaAfKO17Xb51AoFG3M44C1TwMyTHwOtIEbetmeIpOCsMWZya/QoR87EfvWrTRt3Xbe94pqNbYbx6OfEgWCjHtDDdWfrFHqJK5hA7sMIOm6MJyinQhHPCvWbcDt/Wm0/bVarc31kNcQWZbx+XwqQRCUVrBXMFEU5fDw8Hqg54Xeo6xE/EBscAyNchGS4McnuFH7dfhEN7HtuAqx+EAJVU0eHp3YFb1GxcHCOo5u38jMUDOS30/f6bNRX+ApjG3AdXi71lPx1QbEQhOyaSg9BucTtGMt2d7hbHjfRfdJyQweE8O19mRDobimyTJs/hvUFcDYP0Bo546OqM0IgkDaiBg2f55NZd9JhGQcovrdd9H36I46NPS8x1iH9MEZF0HTZ/vwHddQM38l1l+PQWO1tHP0ivbQOaIT1rHB7Nx0iFBPFOvW7GTQqDTCLVf2YMXLVCNJksXlcl1z25kEQXBqtdq8jo5D8eNEUZT5kQUHJYn4gZjgGLYb9xHqiEQSJXySmxpjOTHBg9vl+jV2D1/tKyQlwszoruE0ury8vvoQtxgrEQQ9wRFB2Lr8eBGlxmIl9o45VG7fgmdjAzR0JmZICObDW8go6UnWEheVhQ1M+FlXDAblj4BCcVXIXAQn1kP3GdC1/dtNB1pkpyBsMSZOHKpl/D33U/3is1S9+RaRf/zDBZ/EGuKi0T44gdr/rMNfqqXuzc0Y5qRi7t6lnaNXtAebKYQJE4eyct1GbJ5oDm46TkL/GrrFdO3o0ALFr9frczo6CIXiQpRH0edxw7iZpI6IwxdRT+qIOG4YN7Pdrv3fnfm4vBJ3juyEIMBbG08wq3oDGp0ev6eJPtff3uJzhQ8bie2+wUhRDsTGEIJTpnJdTBVRFfuo3nWcha/vp6y4KYCfRqFQtImKo7D9DQhLgWEPd3Q0AdFcGxGL1+2noDEE66xZOA8coHHt2h89TmXQE3bvdDT99UgeFfavjlO7ens7Ra1obzqNjjlTJlNhLkAvGSne18DO47s7OixFOykrK1Olpqb2SE1N7REWFtYnIiKi9+n/73K5rq19X1cBJYm4gJjgGJKDu7RrMfXJyia+zSpneHIYaTFWNmZXYti/kJDgEHxuFyPvfqzV59SHhhN371xUI9TIiKgNg+ndM5qUmi34jueyav4+Du0uC8CnUSgUbcLVAN8+A2p98zwItbajIwqYqM5BhEabOL6nHNOceWgS4qn58CO8paUXPTZ01mgMsxMQVH48Oxqp/vdKJK+3HaJWdIR542ZQZStELWtwH9Ww6uCPJ5uKa0NUVJT/6NGjmUePHs287bbbKu+7777y0/9fr9e3fyvNnzglibhCyLLMe1tzUYkCvx6WREWji8XLN9ArRIcsS6SOHIX61CTXSxE5fjwhd/VGsjkRvLF06jmSQRxEX3yc/Z8dYs3Xx/F6/W34iRQKxWWTJNjwEjSWwZjfgzW2oyMKqNOdmrxuPzmHagn/7W+R/T4qX38DWZIuenxQ3x5Y7x6CGOTBly9S/foq3BXV7RC5oiPMHT4DR0Jz50ljQQQLty3r4IgU7c3pdIqxsbG93G63AFBTU3Pm/w8ePLjbHXfcEd+vX7/UlJSUtA0bNhgBGhoaxBtvvDGpZ8+e3bt3797jv//9b3CHfoirmJJEXCF25dZwpKieWX1iiLDoeHVFJtPEE4gqFQajmpi+Qy/7GsbIOGLum4EwQEKWtVhjRzMs1kVoZTrFG7JY+OYh6mpcbfBpFApFmzj0KRTsgD4/h04jOzqadhHdxXpmNUKIjifkZzfhPnaM+kWLW3S8LsKG7aEpqBMlpAYt9e/upOFgZoCjVnSUKX0nokv14hO8hFXHs2C9kkj8lBgMBmno0KGNX375pRXggw8+CJ02bVqtTqeTARwOh3jgwIGjr732Wv4999zTCeAPf/hD9NixYxvS09OztmzZcuzJJ5+Ma2hoUO6HL4HyTbsCeP0S/96Wi9Wg4aZB8Sw6WEz/3MXojSa8zkYG3/ZQm11LVKuJnjEV6y9TkILdqHUpDEpOpJv9MM70E3z18k62rMkHICerhm1rCtrs2gqFohVKDsCe9yGqFwy6u6OjaTfNU6yj8bj85OytwDpnNrpu3aj94nPcubktOoeo0WC7fSraoRZkvwrn4gJqlmwKcOSKjjIkZTCxA4JwiQ4imhJYtGr1T6YFrALuueeeyg8//NAG8N///jfsnnvuOTN74pZbbqkBmDp1alNTU5NYVVWl2rhxY9Crr74anZqa2mPEiBHd3G63kJOTc+3uEw0gJYm4Aqw4UkpJnYtbhyRQ3uAmZ/VXRIaE4vd6GHrbvQG5pjkpmZgHpkFPD4hmkhIHMNRUiraigPSF2Xz+fwfY9t9DBOftD8j1FQrFj7BXw7fPgj4Ixj8Dqp9WF7Xo5GBCooxk7ynD54PwBx9AUKmpev11ZI+nxecJmTwM040piFo/3v0uqt5ejt+prLZei7rFdKXv6BQaVbXYPNF8u3YH1fbajg5L0Q4mTZpkLyoq0i1fvtzs9/uFQYMGnflL/sPOboIgIMsyX3/9dc7pWorS0tIj/fv3V34xXAIliehgDS4vn+0uIMFmZHTXCN5evIVBQRKyLJPYKw1jSHjAri1qNMTMm4nppnhkixdzcDcmxIWQJNVRm1lBSHUVFkn5e6VQtCvJD+ueBVcdjHsazIH7HXClal6NiMHj9HN8bzmamBhCb7sNT34BtV982apzmbt3Ifj+UahCPPhL1dS88S3OoosXaiuuPuGWMMZPGkKNtowgXyj7NhzlZEXLVq8UV7ef//zn1bfffnvnW2+99awJ2J999lkIwOrVq80Wi8Vvs9n8Y8eObXjllVcipVN1Vtu2bbvm5nC0FyWJ6GCf7SrA7vZz54hOfLIrnzH1e1Fp1KhFL51HTWuXGKzd0oh6cBJyVxd+QU/34AiGGH0kmMPZnx9KUV5Du8ShUCiAPe9B6SEYeAfEDejoaDpMTEowwZFGsneX4fX4sUyehKFvX+oXL8aVldWqc2msFkIfmIo6RUCya2j88AC1q7ejySnGWVIeoE+g6Ag6jY5p48dSYSrAIJnI21XF3hP7OjosRYDdeeed1Q0NDeo777yz5vtfDwkJ8ffr1y/1wQcfTHz77bfzAP785z+X+Hw+ITU1tUdKSkrak08+eW13rAggJYnoQIU1DlYcKWVAYggqQUC/5T8YzRa8TjvD73m8XWNR6fXE3jKbkkg3KtFJhN6ERXTSWNnIt/N3sXdrSbvGo1D8JOVtg4OfQvx10PfWjo6mQ31/NSJnbzmCIBB2/28QTSYqX38Dyels1flEtRrbLyahGxuK363CvtGLZouPurcOU714Y2A+hKJDaDQa5o2fQWVIAWpZS1OmwNpD6zs6LEUb+8c//lHy3HPPlQOsW7fOMmXKlNqwsLCz2kzedNNNtQcOHDh6/PjxjLFjxzoAzGaz/Omnn+ZnZ2dnHj9+PGPDhg3KQL9LpCQRHejf2/IAuGlQHCu/+pL40GAkn49BN9zSYTElastQGfwQ3IheZWBshJE4eyVHPt/Pio8z8biVNrAKRUA0lMLGl8EcAeP+CKLy6zk2JZjgCAPHdpXj9fhR22zY7r4bX3k5NR/955LOqUtJAFkFSMiSCr9Xg2uXTPWnq3GVVrTtB1B0qOtHzqAxtgwBAV1+KIu2L6ekroScuhOU1CkPxq4Vv/rVr+KfeeaZ2Oeee075obazn1a13hXkYGEde/JqmN47mlU7MxmsrUcQtIQlxBAUm9RhcUnBEeh6WwkbOoLiL5cgZOroYQsh3O7g8NajfFNcz4Tb+xAWaeywGBWKa47PA2ufBq8Tpv4F9NaOjuiKIIjNqxHbvznBiX0VpA6NxjxiOI7du2lcuxbj4EEY+/dv1Tk9hWUIgoxa60GWVMiSiCSp8GYJ1GcfoNHoRYzWoOmdgDktBVGt/DN5NZs+YDLbzDvwZGsJq0wkZ3MFarWVo2VFbDfu44ZxMzs6RMVl+uijjwqBwh9+fffu3cc6IJyfFOVRVweQJJn3tpzEpFORaDOSkrMGtVaL7LOTNuPmDo0t9qZZhA0d0fy/fzaL8EcHI8e7CDebGBGiw1hQyvJ/bCfzQGWHxqlQXFN2vA5V2TD0fohM6+horiixXUOwhhs4tqu5NgLAdvddqEJCqJr/Jv7GxladTxsfhQwgCwgqP6LKh0rtQTNQiyrKi+wR8Z0A58ICqv6yhqp/Ladu/S78dkfbfzhFuxjebSj67j4AVLIGnc+IWtIR6ohUViQUisugJBEdYE1mGfnVDqb1iqZ06fsEWYPxuhztXgfREtqgEGLvmYt6nBadCfoHG+nqdrL3g12s++Y4fv/Fp8gqFFeybWsKyMlqrsXrkNkox9dC5hLoMhbSrm/fa18FTq9GuB0+Tuxv3m6kslgIu/9+/HV1VL/zDrIst/h8hphItAM1yLKA7BeRZQHtQA222WMIu28GYb+fhGFOPOrOMoJawl+mxr25jqq/b6bqn0up+WaD0t3pKqRWq3Cr7chIiLIKSfAhiRLFShKhUFwyZZ22nTk8Pj7ZVUC0VU9l+i4GhpiQ/RK9J01DrdF0dHgXFDFmHM4epVR/sYOEcgPBHoGsdZksLKhl0u19CLLqOjpEhaJVJL9E7vE6KrYc5ki9Ea3NgL++gKTwJoq7BRMRbUKjVQU2iJpc2Px3sMbBqN/BD3qaK5rFdQshKMzAsZ1lJPePQK1VYezfD8ukSTSuWYNx8FbMI1s+0ds2ewzOQeVUHD5KRO9UDDGRZ14T1WqC+vaAvj0AcBaV4txzFCm/CX+9Bv9hD97Dh2ky7EOMVqPtmYCpd1dl29MVLjY4hka5CEmQkAQvoqxGlPzEBsd0dGgKxVVL+a3Xzr7aW0Sdw0ufTjr6nMxF0BmwhBgJT+3T0aFdlCEimpjfzKJ87bdYd/noJxrIz61kyZ+3MOKOASSlhHR0iArFj/J6/Zw8WsvJ9GoqTjbgc3kRG9XoG8pwesJQ+xwUihYK3stAEEAXpMNs0xMcYSA0ykh4lJnwKAMqVRss4noczXUQyDDxOdAqdUYX0rwaEc3ORSc5caCSbtdFARB62y9xHj5M9bvvoe/RA7XN1uJzGmIi8Toaz0ogzvu+uGgMcdEA+O0OGncfwXesCqlaxHdSwHeyEOeKPMQwCVVyGJahvVGblJ/llSYmOIbtxn2EOiKRRAlREqkxlhMTPLijQ1MorlpKEtGOyhtcLD5YTJLNSHLGIrQhIfhcjfS76eGODq3FRLWa6KlTsPfMpe7z/XSuNRPikdkzfxsl03oyZEICotJVRnEFcbt95GTUkJtZQ1VuPX63H8HtxOqvJqwqHY2rnlxtL2JOLKQiahCxRbsQdVrslhjsTTbqSsxUq7TkqNWgViOoRAzBOixhBoIjDNgijUTGmAi26Vv+Z1+WYcvfoa4Axv4BbF0C+024BsSnhpIZVsKxnaV06R+OWqNCNBgIf+hBSp96mqr584l86qlzJtS2JZXJSPDY62AsSD4fTRnH8R4uQCqV8Jdp8JfVU71tM6LVhyreiGFwdwzx0QGLR9E6N4ybSUldCYdzjtA7udc1l0D4fD6++uor6/79+439+/d33HjjjfXqy1ghO3bsmHbGjBkpx48fzzj9tUcffTTGbDb7T7dWbSvPPfdcxCOPPFJlsVgkAKPR2M/hcBy41PN98skn1oyMDMNLL71UdjlxDR48uNvf//73wlGjRp1VFHXTTTcl/u53vysfMGBAQCfybt++3VBYWKi96aab6q/E6yhJRDv6cHseHr9MWtF6QoND8LldjLjr6kkgvs8U3wnDI/GUfbOcsMMaDB4DBcszWZpTwaRf98dgVP5oKTqO0+EjO72KvIwaagoakTxeRJeTYF85YZXphLsL0Yle9Gk9KPcOpk/lcTRDI4gpPIkvtgfR1iI8xUfwFVYgSxJOwYBdsGLXhGC3ROOosVGVa6FCrQG1BlmjQdSqMYXqsdj0BEcYCY82ERFrOv9Wv8zFkLMOus+ArpPb/xt0FRJEgR7DY9i5+CQnD1TSdXDzaoQ+NRXr7NnUL1xI4+rVBE2Z0i7xiGo1QX26Q5/uALhKK3DszEQqaMRfp0Gq8+I98t22J01aHObe3RCv4G2rPwUxwTE4gh3EXGPbmHw+HyNHjkw5dOiQ2eVyiXq9XnrttdeatmzZcvxyEon28vbbb0fefffdNaeTiMvh9Xr5xS9+UQ8E7Mb7iy++yA/Uub9v7969xv/f3p3HR13di/9/nc9n9iWTPSEJkBCWsIMgCrggotX+itYFl9rqrUvdbvW6XW+/9n5v67116dW2Lr2o9fq17kttLUVbFVErKggFZCcECIGQfZ195vP5nN8fMyEBAwoSAuE8H49hJp/1zJxM+Lw/533OWbFihbevg4hDPc/R/5s1QGzY3cmSLc2M0hqp8GtIaTFixgwcHn9/F+2QaTYbRZecT+fkDfDKBoZpAVq3dvC3+95n+g0zKCw5dt+bcuwJBxNsWtNMzcY22nYGkYkkejxMdnw3uc3ryTV243TpuCdPxDvtXNxTphBtrsN87VM0cQqWN4I22IXlr8V2xhl4c3NxZuUgO0Mka2t7PHaQqP0UKxonLLyEtAARLYOwJ59IfR4Nuo96m52NdjvSZsfmdeLNdpOR5yIr30OBu4nCfzyJI3c4zDg2byL0l8Gjs9mwZDebltZTPjkf3Z5q+cm6ZB7RlStp/f1zuCdMwF505C8QXYPycV2QD3SlPa3DqGzCau5Ke6ol9teaVNpTeQ7+k8dj8/uOeDmVY9N5551XtnXrVtf+1geDQX3Xrl3OrkEGotGotmzZsoxhw4aN8/v9vU7wVF5eHluwYMH2Qy3TtGnTRk2ZMiW0ZMmSjGAwqD/xxBPV55xzTmjz5s2O733ve2XRaFQDeOSRR2rOOuus8MKFC/0PP/xwQdfkbldeeeWQqVOnhjs7O/XGxkb76aefPjIrK8tYtmxZJcCPf/zj4nfffTfgcrmshQsXVg0ehRy2kQAAUDdJREFUPNiorKx0XHXVVaUtLS22nJwc47nnnqseMWJE4qKLLirNysoy1q5d65kwYUJk/Pjx0RUrVnife+65moqKijFdZa6urna98cYblaeeemrkmmuuGbJx40a3aZrinnvu2f3973+/PRQKicsuu6yssrLSNWLEiFgsFuu1abNnC4XH45l8zTXXNPYsq8fjkRMmTBhTU1OzVtd1gsGgNmLEiHE7duxYW1VV5bjhhhuGtLa22lwul/X000/vmDx5cuyZZ57Juv/++4s0TZN+v99csmRJ5f33318Ui8W0iooK3x133FG3ceNGd3V1taOhocFeXV3tuu+++3Z+9tlnvsWLF2cUFBQkFy1aVOV0OuXHH3/suf322wdHIhEtKyvLePHFF6uHDh2a7K3OZs2aFd73PNddd13b1/kdUEHEEWBZkqeXbMNMJviWtgnN48XpgMFTvn5HwKNZxogx+P5tBHXP/oG8bVl44g7W/Ppjdn93HCecOqS/i6cMYO2tMSrXNLNzcxsdtSGIx9HjEfKiO8ht20Su2YAz4MUzayqead+Dwlw612+mo7KVjs8+RMTtaBQiEdCegdRNtEgR8bc6iNMBbEXaTHCYSKcOrsGICUNxTLehOQR+00TEYsjWNsyGehK164g3tBER/lRwoWcQtmcRcedRa/NRa7NRabQhtCuQBUPx/L9KMvLcZBd4yCvykl/oxeHs487cxzChCUbPLGLZgm1sXd3IyBNTrRHC4SDvlh+z++5/o+nRxxj0i/9C6P33OabSnqbtSXsKb9pGYvX2HmlPnbR8ugQ9I4k22It7WgXuIQPrzrhyZMViMW3fUcqklMRiMW1/QcThYBiGWLt27cZXX301cO+99xadc845lUVFRcbHH39c6fF45Nq1a52XX375sHXr1m3c3zF++tOfNs6fP7/go48+qhw0aJABqSBo+vTpoccee6z2hhtuKHnsscfyfvnLX9bdcMMNQ773ve+1/PjHP275zW9+k3PjjTcOXrRo0VaArVu3uj755JNKm83Go48+uqeD1KZNmzYAvPTSS4GHH364cM6cOeE77rij6Iwzzuh8/fXXq5ubm/WpU6eOPu+88zp/9atf5bndbquysnLDsmXL3DNnzhzTe6m77a+sFRUVkbfffts/d+7c4CuvvBI4/fTTO5xOp7z22muHPvXUUzvGjx8fX7x4sffGG28csnTp0soHHnhg0LvvvltZVlaWbG5u1l0ul/zJT36yuysYArj99tvdO3bscH766aeVK1eudM2ePbvi97///dYnnnhi11lnnVX+2muvBS655JKOW265Zchbb71VVVRUZPzud7/LuvPOO4tff/316v3V2b7n+bpUEHEEfLSlic31Qa6KfYQrN5tkJMhpP/ppfxfrsNLsdoqvu5y2zz9FLKinNJFJ+5ubWbSxhtP/aXrfj3KjHDdamiJsXt3Mrs1tBBvCiHgMezxEQXAbucEqcqxGXEUFeL4zDfvY0URDQeLbO4gv3o2INAMg8CC9cWRRFOkQiCo7ZmEE224f1vAYeoYTK5iAsIWMCkRcQ4TsiLbuP5kWYKEDDiADaS9GHzEJ91gTj54k14qnJo+LdCLb1xLd3UC4vZWI8BLylRFuayGyI48Om4eadKsFdjvOTA++Qh+ZeZ5UZ+5BXvIKPYenM/cAMGRMqjVi82fp1ghb6nNxlJaSeflltD3/Ah1vvknmRRf1c0lTNJsN/7iRMG4kALH6JiLL1mNVB1OjPa1Lkly3lpBrJVqhDfu4YnwTK1Tak7KXr2oxePnllwPXXHPNsK67/wBut9t65JFHdlx++eWHlAqzv/5FPZfPmzevDWDGjBnhu+66ywGQSCTENddcM3TDhg1uTdPYsWPHQQ/faLfb5WWXXdYBMGXKlPCiRYsyAFatWuX961//uhXgxhtvbP35z39e0rXPhRde2La/1K21a9c677nnnpIPPvig0ul0yg8//DDjnXfeyXz00UcLAeLxuKiqqnIsWbLEd8sttzQCnHTSSdGRI0d+5QQx+yvrvHnz2l5++eWsuXPnBl977bXsm266qamjo0NbtWqVb968eXs6wiUSCQEwderU0BVXXFF60UUXtV1xxRX7bQmYM2dOh9PplNOmTYuapikuvvjiToCxY8dGt2/f7lizZo1zy5Yt7tmzZ48EsCyLvLy8ZNf+vdXZoVJBRB+LJU1+/2k1J3YsZ1B+NmYyyfSrru/vYvWZrGkz8I3ppO7xN8huG4xnS4K//+ffmHjzaeQWqvQm5dDU14bZsraZ2k1thJvDiFgURzxIUWcluZEdZFlNeIaX4zznVMyMDJLNcaKNGrG3mlOTiuFGupLIkgi2oX4CkyfgykmlntS+ugDnmRlE80bibaonXpNg0HfO7bUcVjJJtHE38cYmjPZOzI4oVtiAkIWMC0RcRwSdCGPv0XmEH7yjwIsFWiL1sGLIZCdGqI5INEkoIgiadjrqnXRuyaTN4WZbus8FDjvubA++ogCZBV5yCj3kF3nJynahHWfBRao1YhCf/2U721Y3MWJq9+hKgfPOI7J8OW2vvoZ78gk4h5X1Y0l75yrMw3X+LADMaIzg8nUYmxqwmgRGtcCo3k3sr7vQckz08uzUaE8ZKu1JObB58+Z1PProo6GefSImTpwYmjdv3iHn0hcUFBgdHR173QFsbW3Vy8rK4l0/u1wuCWCz2TBNUwD84he/KMjPz0++8cYb2y3Lwu12T4HUxbZldXd5iMfj+x0FwWazya6BKmw2G4ZhfOWICT6fr9f+FJ2dndoll1xSPn/+/B2lpaVJSLXS/OEPf6iaOHFifN/tD3Zwhv2V9fLLL2+/9957ixsaGvR169Z55s6d29nZ2an5/X6jq3Wkp5deeqlm8eLF3gULFgQmTZo0dvXq1ev33QbA6XRKAF3X9zq3pmkYhiGklGL48OHR1atXb+pt/97q7FCpIKKPvbmqlmD9Lk7PtpBoDB4zEk9WXn8Xq0/ZfRkM+bcfUv/HPyE+t1Ec81H18Kc0nj+UMadU9HfxlGOAZVns3hliy5pm6irbibZEELEIrng7Je2V5CV2kinacY0dhz5sBobwYLVqxDe7wEoHDXYDqyCKbbAb//hReAf3fkFZfOl5ALRXVaVma5++/3Jpdjve4qF4i4cesPxGJESssY54cwtGWxCztQ3Z0oE0fQjTDXEXJH0IPR97AAIZEOhKRZASpIllJUgkI8RNi0gcwrt0gjX1NCLYqQnimg3hdODOduErziSrOJPcQV4Kir34/PYBPUrakLE5qb4Rn9UxbFLentYIoWnk/fjH1N5xJ02PPkrxLx9EOL7RjbY+pbtdZJ42FU5LpT1FNm8jvroaa7eJ2WjHbAzSsnQJWkYSvcSD68SReEoH93exlaOQzWbj448/3vL6668HVq1a5Zk8efI3Hp0pEAhY+fn5yT//+c/+888/P9jQ0KB/+OGHgbvuuqvxQPt1dHToJSUlCV3Xefzxx3NMM5VNVV5eHq+qqnJHo1ERiUS0JUuWZMycOTME4PV6zY6ODm3QoAOPZjZ58uTw008/nXXzzTe3Pvnkk9lTp04NfdX7uOyyy0qvuOKK5nPOOWfPtmeccUbnww8/XPDss8/WaJrGJ5984p45c2b0lFNOCb3wwgvZc+fODS5fvtxVWVl5yOM1BwIBa+LEieHrr79+yJlnntlhs9nIzs62SkpKEs8880zW1Vdf3WZZFsuWLXNPnz49un79eufs2bPDs2fPDr/zzjuZ27Ztc2RkZJihUOig/phPmDAh1traalu0aJF3zpw54Xg8LtauXeucOnXqfkeSOpTzgAoi+lRLKM7Ln9dwvWM9uj0DzBjDzzivv4t1xBReeAHRqTvY/cQHZBlDSPx5N8u+2MGJN5x13N09Vb6aZVrUbOukal0z9VvaSbRFENEI7lgrQ9o3k2fUEnDFcY4bD9mnYCW8yE4X5jYdAQjdwsqOoRXZ8Y4pxV8+qt8mALN5fPhKR+ArHQHhFnjjGvBJuPBp8HXfREh0thFrrCfR3JYKNoIJCJvIKIiYjjPhwBXXCVgCJCAlliWwLIEpBUnLItYSIdYUIbGqlp3SYqsAU5dofoGj0I9vRDEFg7PIK/Li9R69F9QHQ0uP1PT5wi+3RtgLC8m+6kpannyKtpdfJvuqq/qxpF+fZrPhGzsS39h02lNDczrtqROz3Ya13iC5fgNh1xdoBTr2scX4Jo9WaU/KHjabjcsvv7zjUNOXevP73/9++0033TTk7rvvHgxw99137x47duyX7t739C//8i+NF110Ufmbb76ZdcoppwTdbrcFMHz48OTcuXPbRo8ePbasrCw2duzYPalCV111VfO55547Ij8/P9nVsbo38+fPr7nqqqtKH3nkkcKujtUHKktlZaXjb3/7W9a2bdtcL7zwQi7AU089Vf3AAw/s/tGPfjSkoqJijJRSlJSUxD/44IOqO++8s/Gyyy4rGzly5JixY8dGxo8fHz6Ij+tLLrnkkrarr7562MKFCzd3LXv55Ze3XXfddUMffPDBQYZhiAsuuKB1+vTp0dtuu62kurraKaUUp5xySufJJ58cLS8vTzz00EODKioqxtxxxx11X+ecLpdLvvLKK1tvueWWIcFgUDdNU9x4440NBwoizj333GDP83zdjtVi3444x5A+L3hVVRXDhw8/5P1/814l/qUvMqIgm0Q0zKyb7jqqZ6XuK9I02fGb3xFtKAMchJ1Ryq+fSlZJfn8XrVfftN6Vr880LbZXtrNtXQv1W9oxOsKIaARvtJGcYBV5Zi2BHA+2stHgyIWYH5FIBwZCYmXEEYME7pFFZI6b+I0uqPqk3i0TFt4G9Wvg2w9DyZSDP4RhkOhoJdZQT7K1DaM9kuqv0ZlKoxJRDZI2LMOJKQWWpWFKgSk1LJlqqU5ikZQSSzPAbqB5LGwhHTKiFJ07jObPthFvMJn0s0sP7/vvQ5Yl+duTazENybdvHL+nNQJSqQoN991PdNUqCn/+M9xjx/Z6jGPlu25GYwRXrE+nPUlk+jsgdCuV9jQsC9/0CdgDKmX0QD55t4aCwT6wt0Iym4adIWae3TeDfwgh/iGlnPpNjvHFF19UT5w4sflwlUlRDsUXX3yRO3HixNLe1qmWiD5S1Rhi+9LFXJiXhWUYnHjhZcdlAAEgdJ3SO26g9f3F7P5rI95YPrWPraHpFDsj557e38VTjrBkwmTrpja2r2+hsaodszOMiEXwhevIjWwjTzaRObgEMWw4Qp4ISRfEgBhIXxxZksQ5PJfMiZOweY7yXPHl/wt1X8DUqw8pgIDUHWpXTv6ePhz7YyWTxJrrie2qJbGzHqspiNFmkIzY0RNOnJYLiROR9GC1CzTA2e6n/aUgbpGPHYMt//43hNNA85nY/RaaT0fPcKAHvDhysnEXDMKRmX1I7+Nw0zTB6BmDWP5WNdu/aGb4lO7PRwhB7k03Uvsvt9H8+G8pfvghNM+xO4u07naReeoUODWd9rRlB/FVW3ukPYVoXfYJmj+JNtiDe8pIPMNU2hOkUiPjcYtwMAHrVvH3RRm4SvwkG3YydWgHoEYQVJRDpYKIPiCl5LdvfcF5mZ0I4SSruIDA4GH9Xax+l33mbDImNLHhwZfRrbFYH1usq1zAyOtPx+EL9HfxlD4UjxlsWd9K9YZWmre2YQVDaLEIGaFd5MRrKPJKPEVDEK4pYPhACEiAdCegMIK9LEBg0nicx1J/oupPYPWLMHgaTP5Bn59Os9vxDBqMZ9BgOPHL66VlYba0EN2+lfYN2+jcFSLSWojXFqDNiBOzkuhJG46oC3uHRkIINCHRNImuxdC0WoJaLSI95C0OE+myEB6B8Onofid6ph9Xbg6uwqIjEuANHZfDhk/q2PRZHWUTc/dqjbBlZZF7/Y9ofPhXtDz7LHk33dTn5TkSNJsN3+hyfKNTg7vEm1oIL1uPtb0Tsy2V9hRcv4Gwaw1avoZtbBH+E8bs1UoX3d1AYmc9jsGFuIsK9neqo5JlWoTDScLBJJFQ+tEeJdYeItYeIR6MkwwnSESTGHETIyGRpgTLosRuwx8L0dyeYLy2hcyhOV99QkVR9ksFEX1gSVUzs5rew56ZRTIaYsL5akKpLra8PMbffyNbH3+Wjp2D8DT42frAUnLOzyL/xGn9XTzlMIqGE2xe28qOja20bmuFUBgtFiEztIMie5B8vxtHaRFQBkIHAVI3IC+KPsRDxqQxqQviY1FnHXx4P/jy4Yx74Cjo5Cw0DVteHv68PPzTTmbD03/C0eEl7GzEEcvGXtJK1ogimrc20by7k1B7MpUiZcvAbnPg0DQcmo5D1/DYdFy6DYemoWugaRI0iUknCTrpZDvoJtJhIp0muGQq2PDb0f0u7NkZOHNzcRUUoTsOevTHPTRdY/SMQax4u5rqtc2UT967tcY7Ywbezz8n9P5ivCeeiOfEXqKrY5wzLwfnd04DwIzFCa7YgLGpDtkERo2GUVNP/N3daNkmenkWZjBKco1EABEaiUy1k5MeLao/JBMm4VCSYGecSFuESEuISHM78bYwRiiGEUlgxizMhESaAmlqCAkaEh0QktSzEGhC4BVgx8QuLGzCwqZJbDbQNRCai2HODCRx4oymM99Gcb+9c0U59qkg4jBLmhbrXnuCsXlZJGJRZl1/R38X6agj7HaG33YdrR9+zKY/VBGQQ2l7I0Rw7QJKv3c2umu/k3IeXqYByUj3Y+0bEChG14dBbSc0bYZJlx+ZsgwQwc44m9e0ULOxhY7tbRCJoEVDFCfrKXJLMgM+9LxypLCDEEi7icxMoJU48I8bhnfo8H7rDH3YGAlY9B+pOSLOfRDcmf1dol4ldiVwjOpk8rXz2PD0n0juslP8ndl7XVRJ0yRRV0fjhp00VTXSUdtGU3uCaJsghhsQ6JqGU9Nw28DvsvC4BF5XaplD6mhhO6K9u05NDExaidFKB5VIuwkOA+m0wC0RHg3NZ0cPuLFnB3DlF+LMzttvf5fS8Tls/LSOjZ/WUToh90vzaeRcey2xDRtonv8ExSNHogcGbqun7nKSecpkOGUyAOHN24itrMKqNTGb7BgNIYyEC7DQbSZSQuxzk+iJDV9qkbCSScxoBCMRxYpGsRJxzHgCK57ASiSRySQyaSCTJtI0sRIW0jAx4xIjYmFEJVZcYiUEVhKkoSEtDWlqSKmBlXoWaAgBqVfgRND9P4ATIRxogLDJ1EPI9Pap566fhZBoAhAA9vSzSEUZmkRqkmhMw2HE0IQDGa+ivmPcEakXRRmojvH/rY8+z7++kNHZPizTYtzss7AdqQviY1D2rFOZMrKcVfe/jM0+Ht8mP9UPvU/uxUMIVIz/8g6WBUYUEl0X/lFIhlPPh7LMTOx9/EQEgrspsflAxmHYbDBikFcBeaPAc3Tkgh9t2ltjbF7TzM6NrXRWtyCiETzxMCO0EAUeG95cP0IrR2oCdDAzY4hB4KkoJlAxfuCNLvPZ46kAdMaPoaD3Dr1Hg56dqMdce0Gv2whdx1lSwuCSEgafvfe6WHMbdet20LylgY7aDkJtcXaHINFhB9k9Qa5dxvA4k2Rk6GRk2skI2HD7bGiaDRkTEEvPr9HpQLSmhqSXgEECgyaiNIGQqWDDaaaDDRBeDd3vQM/0UjbUw/qVcapXNVI+tXCvcuo+H3k330z9vf9J85NPkX/XnQc9Dnx/MRNxzFgEMxrFjMewEnGseBwrkexxIW/uuZi3DAmGiTQkGBLM1ENmAu4kWrsDEgA6pqGRutKWtM1fQ5vDQGoyNUSyFCBFarRhCbLX1wJLgkRDSj21jNS6ngSgARJJaqDz1DSNAgu0JEJYaJqF0EyEbqLpEs1uoTskuhOEUwenDk4bwmVDc9gQNg1htyHsOsLuQHPY0Rw2NKcTzeFEd7nRXS50l2evlq66J59GNgwiOSSIt6aI4bH1HHBMZ0VRDkgFEYfRrsY2BjdsQHO5sXtsFI47tI6UA4aUYMR73O2PQiJ9MZ9e5kxGOemKAJV/fIu6yCnky1yan68nNOwzBmUsRzN7BgLRgzu/EGBzg8MDdjfYveAvBLtn72V2d/eyrR/A+r9A/hgIN8I/nu0+nq8gFUzkj049544C51HesbePNDdG2PxFM7UbmgntasMeDZMjk5Q7kmR5XDgy/KD5QRPIjDiyIIFzeD6ZEydicx27HVy/0pb3YMOfYdgsGHd0zJjcV1y5WZTNyqJs1t7Lox0R6tbvpLmyjvbadkItgnDEQ0cr0Nw1F5SJ0+zAbY/j8+tkFHjJGZZDzrAAwu0kGY9hdIQxO2PIkIGMSohqqZnDI05Ec6q1IXU5GiEgI0yIOUj8YQO7Fq0ApwkuC+EWCJ+GluHCOeN0IitX0rHoPcKtMZxDsiGvkObPlhCvad0zX0hPlmFgGQmsWAwjHsGKxtJ35OPIZBIrYWIlEnvuxsuECYaFNC1kMn0Rb0ikCcJMPWOKVMFNgbAAS+z9kAJhCbAONgWua/vUkMc9CZn6R0qJBQgkAoGFBARW0o5M2rGQJKRJ1DSIGAZJKTClTAUAMr2/lJiAlBZCWgiSaJqBpqVaN3SHwObSsXtsODPcuLO8ePMz8eX5cedkYMvIQPN4EP2Q4mdl5uOcECCSNyo9saT51TspirJfaojXAzjY4f/+9ODPyMnKIhLq4Jzb/28flqwPrXwBsoZAzgjYtQKaNsGw01MX8nvd2Y98xbL0z7LXCSR71bIdVtafT3bOeDLsGs7sDrKHrcTnNVIX+g5P6mLf7um+8O96vde69DKb6+By0WtXwqKf0Zg3g/ymT2HOz1I57U2boHFT6rl5S6p1okvm4HRLRfqROwJsh57jfbSyLIvG3WEq17ZQu76J2O42spJxcjSLPIfAa3egazIVNHjjUCCxlwXInDwJR0ZWfxf/a/nGw322boc/3QDeXLjwKXB4D1/hBoDOjhj1m+poqaqnY2c7oZYo0ZDETFoI0wBSF7cusxMPYbx+jUCeh5zSbLKHD8I5eDD2QYMQDgfJzg5iTXXEm1sx20IYwTgduzTaG5zk+hN4dSs1FLDscTktQRgmSLBsGhgOcMYh7gRvFGzWngt5YQmQWurnw6lHak3qtZW69tfTy7R0gr8mERqp23x6qgUPPZWaI6QFVipoMRMmyZhJIm6RiFkk4iaJmCSRsIgnJIkEJA1BAjuG5sRCp8SfSbnbiykluhBsjYZpjobIdrnJdtjx6XY0kUobSooYMT1GzK9jLwjgzvTgzfHhzc3AX5iJM+Drl2DgmzoSQ/sOpCFen3vuucyrrrqqfOXKlesnT56837kGutx77735t912W7Pf77cAPB7P5EgksupQz//iiy8G1q9f777vvvvqD/UYANOmTRv10EMP7TzttNMiPZdfeumlQ//1X/+1YcqUKV/53r6JTz/91L1z507HpZdeetjm8TgS51FDvB4Bf/nfJ8jJzCIZjzP7un85cie2rK+ZxhPuvpt/oO2iHRDcDa5MiLWDvwg2Ldz/+TVb+iI+fUff4Qdv/t7L9rrY9+19579Ha0CO3cOptbV8+otX6HCMpsjKREZOJTjFpOCss/s+V75pM8z5GZ3RDPInnp36ufgECJTA8Dndn3d7dXdQ0bQ51Xqx5b3UeqFB9rDuFKi8itTP+rH3VbMsi9qaEFVrmtm9tg5nSyeZlmSULsh06NhddnRdgiOBlRdGH+YnY+I43AVF/V30Iy8Rgff+LyDhrHtVANGLjICLjJPK4KTumcMty6KzPUH99haaK+vp2NlGuMVHS0jSnDQQNUnYYaB9VI3bWIPH7MDrlWTkuskZmk2gdBDewcU4iosp8Pn52xPraNME514/DqRForONeHoyP7MjjLm7E7GpEeENIJ0FEHOBIwF2C/TURb3UJFIn/TMIm0hf6AN2DXSRSqexCYRNT6fU6Ai7LZ1W40BzOtCdToTdie52Y3O50exONLsdKSUyFsPsDGKFQ1ihEGYwSLIjSLg1TLQtTLQjTjQYJxlJEo9ZJBMWyaQgiQNDc5LUnBjCQapgPS7ihUBqGmgaQhPYXBK7HZxODZ9Lx+Gxkx3qYFtTI832PAqN3ZRWeJl65XfxZTjRdY1EaxuhpeuwtnVgtelI0w9R0OqiaGYcW54Tf3kh2lE8E/jx6qc//WnBSSedFJk7d24Q4C9/+Yt/2bJlnv/6r/9q+CbHfeWVV7JPOOGE0PPPP589efLk3V+1/ZNPPllw3XXXtXYFEd9EMpnkiiuu6AD67ML71Vdf3dFXx+5pxYoVnhUrVnj7Oog4UucB1RJxQF/3bsX2TevZsfgdhKbhKR/BiWf9f/vfWMrUnexeUnu+dBd/v8t67GscZOAsxJfv5u97h79uDdSuSKVkjPr2/reze8B2+P8jseJx1j70HNU7fAzJyCPTBfb8ENnzphyR0XoO+i6VkYDWbd1BRdNGaNvR3QqjOyBn+N6pUIEhR8WIPV26JmEaNjKTZR/sYvuaRlxtbXjDBgGhE9A1XJrErplotgQyEEUr9+KfNCo1K/MAcMh3J6WExf8JVe/DrJ/AqHMOf+GOM5Zp0dwYpbE2ROu2Rjp2thJuDhMLWZBMgpFEmCa6TOAxOvBYnXhtcRJZxdQzmIljJcMmF2AvLsaWn4/ocQOi7eWXCS5aim3wHJJ5HdjbsnGcmUHu9FMOqoxSSmQ0ihkMYYWC6WAgFRQYnUHi7SEiHRFiwTixYJx41CQRM0kmJEkcJDUHhnCSFE4MzYkpevQN6hEMoOmgaWg62Oxgd2rYXTYcXjsOnwtXhgtXphdPrh93the/34nX78Dp0tB6+Ruz/qk3+ceOTIZMH0rNZzuYMrSdsT/6bu/1kEwSXLGO5MY6ZKPEiqU/R91CzzLRygJ4p43BmXdsDZV6LLZEnHfeeWVbt249YCfLUCik1dbWuoqLi2MAXa99Pl+vF/Pl5eWxBQsWbD/QMTs6OrQRI0aMW7Ro0ebzzz9/+Pbt29cDLFy40P/www8XfPDBB1UAV1555ZCpU6eGOzs79Z///OclZWVlsaysLGPZsmWVHo9n8jXXXNP47rvvBlwul7Vw4cKqwYMHG5WVlY6rrrqqtKWlxdY1+/SIESMSF110UWlWVpaxdu1az4QJEyLjx4+Prlixwvvcc8/VVFRUjOkqW3V1teuNN96oPPXUUyPXXHPNkI0bN7pN0xT33HPP7u9///vtoVBIXHbZZWWVlZWuESNGxHbu3Ol4/PHHa/ZtiejZQtFbWT0ej5wwYcKYmpqatbquEwwGtREjRozbsWPH2qqqKscNN9wwpLW11eZyuaynn356x+TJk2PPPPNM1v3331+kaZr0+/3mkiVLKsvKysbFYjGtoKAgeccdd9Rt3LjRXV1d7WhoaLBXV1e77rvvvp2fffaZb/HixRkFBQXJRYsWVTmdTvnxxx97br/99sGRSETLysoyXnzxxeqhQ4cmp02bNmrKlCmhJUuWZASDQf2JJ56onjVrVnjf83zd2af3R7VEHKzVL6cu9MhIpbg0rIfRc3tN40lGOqhatBanN4NIaw2nuyxYvPoA6T7Rg0rxAVJpOT3v7HtyIDB4/2k8vS7zdqf4HKhTYe1K2PYhnHJbKrfbX5i6G38EaU4nE++5jtw/L2LZH7eQkzmUYtNP69NrCZ68iYKzzjqi5flKNgfkV6QeXRIRaNmSCioaN0JzJaz/U+oBqXrJG9mjxWJ06rPuhw6fhmHi+fQz1nVks0mTZFt2TrCBJjTsDh27nkRzdSCLBN5pFWSMHn/sj6B0OG34cyqAqPiOCiAOE03XyB/kJX+QF6Z2jxqUTJg01UdoqgvTUtNG585Wwk1hOsIGwkhCNEkMjU+Xm2z5+yd4zQ48MkRGtoOckgDuIcXYCwvQ7dkkVrxCNLQbd+FwZGI8yWEjsYKdqWAgFN4rMDA6O4l2Rol1xoiFEsSjViogwE4yHQgktVQwYKRfS5wgXHsHAx4N6dMQmoZuF9idGja3DbfHgdPvwpnhwp3lw5XpxuNz4PXZ8fpTz3aHflg+2/bSE5hxqo/ho7OpKg/QsDO0/3qw2wlMnwzTU6M9hbbuIL5iC9auBGazHbM5QvvyFWi+JFqxE9cJ5XhHqTmR+ovP57OKi4tjNTU1LoAhQ4bsN4D4ul588cXMWbNmdUyYMCGemZlpLlmyxHPKKadE9rf9T3/608b58+cXfPTRR5WDBg0yAKLRqDZ9+vTQY489VnvDDTeUPPbYY3m//OUv62644YYh3/ve91p+/OMft/zmN7/JufHGGwcvWrRoK8DWrVtdn3zySaXNZuPRRx/dE6Vu2rRpA8BLL70UePjhhwvnzJkTvuOOO4rOOOOMztdff726ublZnzp16ujzzjuv81e/+lWe2+22KisrNyxbtsw9c+bMMb2Xutv+ylpRURF5++23/XPnzg2+8sorgdNPP73D6XTKa6+9duhTTz21Y/z48fHFixd7b7zxxiFLly6tfOCBBwa9++67lWVlZcnm5mbd5XLJn/zkJ7u7giGA22+/3b1jxw7np59+Wrly5UrX7NmzK37/+99vfeKJJ3adddZZ5a+99lrgkksu6bjllluGvPXWW1VFRUXG7373u6w777yz+PXXX68GMAxDrF27duOrr74auPfee4vOOeecyn3P05fUlUBvsobCixczRPdCog18g2D5071u+mnLWJy5o0h0NnNW5nLYsAJ0+96ddp0Z6Q69PTvy9kz32adz777LjuQd63RKD8UnQNHk7pSeflB8/hzOGVvO33/5Z9bGhjDCyiCwxGJX1Z/IvWTmV87g268cHhg0MfXoEutMBRONG7tbLXav7l7vCuydBpU/us9GhEomTCqXbqF1xQ5EPWTKPCY5bCSlxGEDXW9BZLfhGF9M1mmzsbndfVKOY17jptRoTDnDYeYt/V2aAc/u0Cka4qdoiB9O6h6FKRo1aKoL01QXpnpVI81b2mkLjKfdSLdaJJOIrUmcm4J4jFUkow78ER9ZQcFukoSDDQRufpCkzUtSc5IUjj3BgKE5MbQ8ZLpFoGcw0NVKIHQNWzogcHod+H0uHBluXAE3bq8dt9eOx2fH43Pgz7Dj9tjQ9P5piZx5dvcMzcNHZzN89Nf/G+MrH4qvfCgAibYOwsvWYW5tw2rVMTZbhDZvIeLciMgX2EYNwj91DLpr4PUR6w9f1WLQ5S9/+Yv/vPPOGwnw+OOP13SlNh2q1157LfvWW29tBLjoootan3/++ewDBRG9sdvt8rLLLusAmDJlSnjRokUZAKtWrfL+9a9/3Qpw4403tv785z8v6drnwgsvbLPt52bV2rVrnffcc0/JBx98UOl0OuWHH36Y8c4772Q++uijhQDxeFxUVVU5lixZ4rvlllsaAU466aToyJEjv7Lc+yvrvHnz2l5++eWsuXPnBl977bXsm266qamjo0NbtWqVb968eeVd+ycSCQEwderU0BVXXFF60UUXtV1xxRX7bQmYM2dOh9PplNOmTYuapikuvvjiToCxY8dGt2/f7lizZo1zy5Yt7tmzZ4+EVApoXl5esmv/efPmtQHMmDEjfNdddx3xHEMVRPRm8EmQOwqtcRMMPhlKZ/aaArRq2RoEFmYySXTc6eiz7kyt04/hISt7zotQfEK/BRBdPMPLOPuR61lx/3N8sTNKaWY2xaaPlieX4zjNR94pp/dr+Q6KKwNKpqYeXcIt6YCiRyrUzmXd6715ewcVuSNTxzkEwYZmti/+glhVHHvQgQudPBzowsKUYdoMF1l2QXUyTvE/zTqoi4vjUqwzNR+E7kz1gxiAHeqPFW63jSHDAgwZFmDSSYW8PX8Nuk1j5uWjaGlItVy0NUQI1nXStqsFs7mNppyJ2Iwwhs2LI95OmzBB05G6Dd0GNqeOzevEm+nFkRPAmZOBy+foERDY8fpTgYHT2Xvq0EDmyArgOGcmkE57WrkBY/1urEYwd+qYOxuJL65Ppz1l4D1p7DGX9nSs+ctf/uK/8sorhy1YsKAS4Morrxz23HPPbTvUQKK+vl5funRpRmVlpfuf//mfMU1TCCHk/Pnzd9ntdmlZ3Y0c8Xh8v83oNptNdn0/bDYbhmF8ZZP7/lpQOjs7tUsuuaR8/vz5O0pLS5OQSi38wx/+UDVx4sT4vtsf7HDO+yvr5Zdf3n7vvfcWNzQ06OvWrfPMnTu3s7OzU/P7/UZX60hPL730Us3ixYu9CxYsCEyaNGns6tWr1/d2PqfTKQF0Xd/r3JqmYRiGkFKK4cOHR1evXr2pt/1dLpfsKqtpmkc8lUEFEb2p+wJ0O60Trk+N0lN2+pcuptsb6mhvXYFus7M86ua2s2anpsRUDjvN7ebEn/+IvNf+xudv76IlnsdoywOLYtRu/hP582ZjzzhGJ5Dy5oB3ZipQhVR+fbA+FUw0Vaaea1dC9ZLufQIlqWBiz1CzI1PB7T7MWIyGFf+gdXUbVoMNe9yJHQ0HbiQxhLkbp7+NzJNGUrneYFBrHD2zgbL2AureWcLw0V8e8lJJsyz44L5UXZ39nxBQ894eLXSbRsX0Qax6t4a2nUGGjc9l2KjuEcKSLa1svvRKtrkn05Q7kcLGzxkUXE/mt8/CEetEb6nDampANu/T30zXseXlYS8owFZQgK0gH3thIVpBARQUgGcAD138FTS7ncBJE+GkVMtreGsNsZVbkDsjmK12zJYo7SvSaU9FDpyTy/GMGKrSIg+zZcuWeXoGDc8999y2ZcuWeQ41iHj++eezLrzwwpaXXnppT8fjE088cdS7777rGz58eLyqqsodjUZFJBLRlixZkjFz5swQgNfrNTs6OrRBgwYd8PiTJ08OP/3001k333xz65NPPpk9derU/efWpV122WWlV1xxRfM555yzZ9szzjij8+GHHy549tlnazRN45NPPnHPnDkzesopp4ReeOGF7Llz5waXL1/uqqysPOQvaSAQsCZOnBi+/vrrh5x55pkdNpuN7Oxsq6SkJPHMM89kXX311W2WZbFs2TL39OnTo+vXr3fOnj07PHv27PA777yTuW3bNkdGRoYZCoUO6kJxwoQJsdbWVtuiRYu8c+bMCcfjcbF27Vrn1KlT99sh9lDOc6jUN7g3+xulp4dlL/0vbq+fXU0tnH75rdhVANGnhBCUXXouOeMq+ejX7/J5Qy4VuRkU1Hhp/J+Pcc3JJWfqyf1dzG9OCMgYlHqUz04tsyzoqOnuX9G0ORVUbF2c3keDrKFY2RV0UELnbjfRXS60ThemqaHjRUqLmNmKbtSSNRRyzjgV97gzEekRVko2PoNtaiYFF15Dwx//SEl1e/+8/2PFFy9DzWcw4VIoO62/S6PsY9ikPDZ9WsfGT+oYOjYHoXXfoLPnZGOefBbBai+D2z+nKWMkrglZjLrrR3u2kVJidXSQbGjAaGhIPdc3YDQ2kNi1k+gXX3zpnJrf3x1gFBakXxdiL8hHz8k5JodCPVTe8iF4y1NpU8mOIKGlazG3tmK16BiVEqOyiohjE1qewFZRgP/EcSrt6TDYdxSmuXPnBr9JOtPrr7+e86//+q91PZedf/75bc8//3z2iy++WDN37ty20aNHjy0rK4uNHTt2T6rQVVdd1XzuueeOyM/PTy5btqxyf8efP39+zVVXXVX6yCOPFHZ1rD5QeSorKx1/+9vfsrZt2+Z64YUXcgGeeuqp6gceeGD3j370oyEVFRVjpJSipKQk/sEHH1TdeeedjZdddlnZyJEjx4wdOzYyfvz48KF+FgCXXHJJ29VXXz1s4cKFm7uWvfzyy9uuu+66oQ8++OAgwzDEBRdc0Dp9+vTobbfdVlJdXe2UUopTTjml8+STT46Wl5cnHnrooUEVFRVj7rjjjroDnauLy+WSr7zyytZbbrllSDAY1E3TFDfeeGPDgYKIc889N9jzPN+0Y/WBqNGZDmB/IzgsfuIhbJqdaCjER8Xn8otLJh8zM6AOBMlgkKX/9RLbG/3k+z2MznJj10CWRSm4eA42zzebAO5IjNzxjZkGtG0ntOkfdFaHSDZlYLQFsJI2DFPDkpKQEUcm6nEY2xg0PoesOefgHDnyuLqYORhfu953r4KFt0PBGPjOI8fk8L3Hg8rl9ax+bycnnTeMoeP2TqP55N0a8jMldFRCYCSN7WKvvgJfxUokMBobMbqCjPoewUZDAzKR2Gt7YbNhy8/DVlCYasHoEWDYCgrQjpM+R1YySWjVJpLrd2E1mFixdOqvZqFnGmilGXhPHoczv2/Tno7F0ZkUpb+o0ZkOo6pPF6NjwzJMXjGG8++zR6oA4giz+/2c8sCPyHv2L6z8qIVPo0kmFbkJbHfT8NsP8H67hMyxk/u7mH0i0rCL4KoNJGvCWE1OzGguSSMfwxKEjCThZBAR2kam3Mjwgt34B3XgCKRHdfnkr7B5RLp/RXpyvIzifhkR6pgVboFFP0/1SznzZyqAOIqVT8pn02f1bPhkN0PGZO/VGtEVMFRVJRk+fCgHO0ix5nDgKCnBUVLypXVSSsz29n0CjHqSDQ0kqquJrvrynFt6ILBXipQtv/u1npU1YAJ/zW4nY9p4mDYegEj1TmLLKzF3RTDb7JitMdpXrkDzptOeJpXiGTVMpT0pylFKfTMPQiISpOYfK7A5nCxrTjB55gkMy/tmd72VQyOEoOKH55E7cQN//+3f+bwmwLACJ2V4iLzRQHjtAgov/Ba649huIk+0t9K+ejXJ7Z3QpGOFnSQNjaQZIGRYdCTiRBOd2ELbKRziZuTZY/Gd9ENsWekc8HgImjd3969o2gz1a7tP4PSn+lQkwjB4Gow+Dzp2prbr2cleAcuE93+emoTx2w+DL6+/S6QcgG7XqDi5kNWLdrJzYytDxh6ZTr1CCGxZWanvYEXFl9Zb8XiqFaO+PhVgNHanS0WWLkMmk3sfz27Hlp9qsbAXFmDLTz8XFmLLz0dzHrt/4zylg/GUpub+SXYECX2+DrOqBatZx9giMbZsJ+LYgpZLd9qT+4BTJSiKcgSpIOIgfPjkb3B5M2hpa2VF/jk8efLQ/i7ScS/3hDHMfbiYv//nq2xrgCaPweRiN87NTuoffwf/eSPIGD66v4v5tRmREO1r1hCvaoRGDYJOLFOQNH2EDElbwqAzFiYWayVgNlA0MpOhsybgnfLd3lMinD4onpJ6dIm0dg812/XcUZuamfzjX6VmLy+fA2aie8hZd+YR+wyOWsv/NzXowtSroWTKV2+v9Lthk/PY9FkdGz7ZzeDRe7dG9BfN6cQxeDCOwV+eOFNaFmZbG8n6eoyGxlSAkX6d2LqV6MqVX9pHz8zcuw9GYVfH7wL0zMxeW8qNtjaMxsZUcJKV9aX1/cEe8JN11nQ4K532tGYzybW7sBok5m475u4W4h9+mE578uOZNgZX4YAP5C3LsoSmacds3rlybLMsSwD7nWtEBRFf09IXn8DlySARjfK04zSumlJClveID8mr9MKeGWD2f1/LF0/8mXXLQ/x9q8XkEQlyQl5CL+8gNH4bhd/51lHZJG4lk7SvX0N0cy2y3kLrdIElME0vMcuiJW7SGjPoiMbQE23k2toYOaGAkllT8Iwbt9dMvF+bJxuGnJx6QGpEqHBTKoDY+JfUxHfBOljxTPc+/kE9hpqtgNxRqbkwjhfVn8DqF1OtNZN/0N+lUb4mm11n1EmFfLF4Fzs3tTJkzNE9xKjQNGw5OdhycmDs2C+tt6LRdN+LvQMMo6GeUFUVGObex3M4Ui0YBamWC3tBPondu2l/5VWw2RBCkH/33fhnHV1DZWt2OxlTxsGUcQBEa3YT/XwT5s4IZpsNszVGx8qVBL1JtEF2HJPK8FYMyLSndU1NTWPy8vI6VCChHGmWZYmmpqYAsG5/2wy4b1xfaNi4ilhnFAH81SiiICeD8ycX9XexlB6EpjHppgvIX7KaJf/vH6yq9FA8yKIiw4X2hYPdOxaSdeFEvIPL+rWclmEQqt5CeN02zNokWpsDTB1wYkpJq2nQEJa0hOPEE0k8Rhu5vigV04opOXMOjmHDDn8fHCGgYxc0boBTb0/NwHzmf4AvPz13xaZUKlTNZ6nZzLv2yRySCia6+lfkjEjN3j3QdNbBh/enPo8z7jmykz8q31j5CflsWlrPhiV1DK44OlojDpXmduMoLcVRWvqlddKyMFtaUgFGug+Gke6PEdu8GWvFCqRhkNi+HUnqbyaaxu677iTzkktxlA7dq8O3FggcNf393EOKcA9J/Z9rBEMEl67F3NqC1axhVIFRtZ2oPZ32NCovlfbkPfZvchiGcW19ff3T9fX14wD1h0c50ixgnWEY1+5vAzU60wFUVVVROnQoH81/GLvLTXV7hNfdp3LXt0Zx2sgB34x6zIo2tvDBf/2JpqAXt1sydZwLV5MXqVvoUzTyzzrzgHesDvfIHeHaHQTXbMSoiSJaHIhk6txSSCL2JC1Rk91tkmA4DlLiM1rIy7EonTaUQbNPwl5Y+BVnOAxWv5xqaSg+ITUvRW99IiwT2qpTQUVXKlTLVrCM1HpNh+xh6RSo9CO7LLX8GNBrvRsJWPDPqfd53qNQ8OW7w8rRb9PSOtYs3sX0C8oZ3GMSxWNiJLbDxAqHCS1bRsO9/4nQdWQyiTQMrFgMe3ExmmPvGwDC5UqPHrXPiFKFBdhyc/cMD92frGSS0NpKkut2YtUZWNGu0Z4keiCJNtSP56QxuAbl79knuruBxjWbyJ9QgbuooM/KdjhGZ1KUo50KIg6gqqqKHW+/it3lI9jZzv96zmJYnpf/vnjCUXOHRumdtCw+//Uf2bwujtA0JpzsJbdFQ8TtWLlRcuadhDu/94lwvumFRay1iY5VazB2BKFJR8S6/7M1fXGCmkV9m8XuJgszboC0yDBbyB9ko+yUERScdiJ64BiZPM9IQOvW7vkrmjZB+45UihSA7kh13O6ZCpVRclTeze+13j/+VaplZsaPYfzF/VMw5RtLJkze/p81uLx2zr5m7J7WiOMpiIBUX4gd37sCbDY0hwMrkQDDYOgLzyMNs7sFo2drRkMjVmifOcCEQM/Jxt4VYBQW7j1krd/fL/9HRmt2E12xCbMmjNVhB5kqg+ZJpT1Zpomx1b5ne8dUOznnz+qTsqggQjkeqHSm/Qju2sKuv72K3enHSCRYOeRskg0m155apgKIY4DQNE6642Ly3lvOspfXs/ozQVGpnYpBSfQ6D62/W4V9xkbyz5j9jc9lRIK0rV5NoqoFGjVEODVaisCNdCdIFkdpNXR21iRp320iEwYCiwxaKRjiZfgZo8k5+UI01zE46ojNkZo5O79H5/VEJNVK0bSpO7BY90b3eoe3O6joevYVHH1DzW55LxVADJsF4y7q79Io34DdoTNyWiFrP9xFbWUbJRXZX73TAGTLyiL/7rtpfPBBLCPVgph/992pPhiAvSCf3masMEOh7iFr90mXim3cmJoQswfN7e510j1bQboVw27v5Szf3F5pT+FIKu1pSxNWs0ZyCxgJLwiJppkI3SKxIkn0xIY+bZFQlIFMtUT04u//8yCm1LA7XCAEHR2tPOGYzWkjc7nrW18esk85unXurOeDB96mPeLG67M4cU4OtvUmImlDFkbIu/R0HJlfP8XBTMTpWLeaaGUD1EtEp3PPHS/pNCA7gVngpq7VTu3GdoJtJhgmGiaZegeFIzIZftZEMieORujHRqrPNxbr6A4oGjelniMt3evdmXunQeWNSnUAP4L2qvfW7fCnG8CbCxc+lQp8lGNaMmHy1m+/wON3cNbVqdaI460losvhHJ1JGgZGc/NeM3snG9IdvuvrsaLRvXfQNGy5ud0pUvk9go3CQnTf4R823TIM2hb8nfgKkAiQAt2RAEvg/k4+gZMmHvZzqpYI5XigWiL2Edy1BcMSOJypAEJaFm6ni2KjgatmqL8Hx6KMwYV859c/YMl//4nqKsmSvzQz+TtDyahrRqv30DT/M5xnZJF78oxe97cMg2DVRsIbdmDtNhDtToSpIXAibSZWbhS9xIlZUMSOtW3Urw8RWpYAy0KXSXLcEYon5DH8W5PwjeiDjtHHAlcgNbLR4Gndy0JNqTksulKhGtZDzdLu9b78LwcWziMwL0siAu/9X0DCWfeqAGKA6GqNWPdRLbVb2ikZdXQMbdof9sxjcRgImw17YSH2wsIvtWJIKbHSrRg9J90z6hsw6uqJrVvfnfqYpnm96RGlevTHKCzsbsU4hBsvms2G5+SxJFatQRMShAQpkIBj8BHoc6YoA5QKIvZRV7k+9UIIkBIjEQfLYnZ2kHz/MZhuogCgO+ycfs8l5L/5CSsXbGP5gl2UjfMx/GSBWC5IvBNk198XYD8pA4pLqHv7HcytUbBLRKsTkdQBO0LTkYE4oljHU1FCRMulatEGGt9rJRLuBCmxyTj5gSTFEwYx8twTcamm8t758lKP0lNSP0sJnbvTaVDpx67lsP3v3fsESlKpU12jQuWMAPth/F5KCR8/BO01MOsnkFN++I6t9LsRUwuo/LyeDUt2Uzwys7+LM+AJIdD9fnS/H2cvLT4ymcRoakr3veiRLlVfT2T1amQ0tvcOmoYtLy/dilHYI10q9ax59x/wu4sKiEy1k1iRTOcxCBxT7SqVSVG+ARVE7COWVQpUYlkmZiKBbndgJOOUjZnQ30VTDoPR351J3thSPvzVIravDdFW087Ma04g9uEWRJMX4x2J27EVK+5E2DWEzcTyx6E0iWtkARljJlC3sZ4t76+jcdEGYnENJNiJU5gLQ6YOYfg5U7EHMvr7rR57hIBAceox/MzUMstKddTuCioaN6WGmd3yXnofLTUC1L4jQumHmHO94c9Q9T5UfAdGnXNY3pZy9LA7u1sjdm9pV4Nm9jNht2MvKsJe9OUh06WUWJ2d+wQY6XSp2lpia9d9uRXD59szq3fPAKOrFcMREHSsfQrhCiBjHfjO/Ocj9VYVZUBSfSL20RZO8NdH7qMww5O6gNE06trDfPu2e9TkcgNIMhrng/vfpG6nhVNPctIPJuLqqMVaYQfDBoEg9ukZZE2ajObxsuOTTWz7aBNNu6Ik0kO0OrU4uYV2SmeUUzZ7ErpbtVQdEWYyNeRq8+bu/hVt1SDTnTt1R6oFoWcaVObQrxwRaseKdxm6+pepbb/7P2Bz9v17UY64RMzg7f9ZgyfgpOw0ByNGjOjvIimHQCYSe7ViJOsbMOrrSTamRpSS8fje2yNJbK9G2O1YNhuOQACkZOhLL/bJrN2qT4RyPFBBRC8Wb2zgd28uJie0i616Pndc9i3mjFF5kwPRqhc/Yt37u5AIxuW2U+gbSnJIFHuNizazhloji+Z6g6SVChxctgR5g92UnT6KITPHog+8GVKPTckoNG9Jd95O97Ho2NW93u6B3BHdQUX+6NQs3F39U2KdhJ//Hl6bBRf+LtUaogxY6z+uZe2HtRSOc3DyWWNx+fpmtKCjVSyUJNQex5fpHJDvXUqJ1dGRbrlI9cOIrd9A51tvkdA9xDQP/kFZ2KPtFP/m17hGjTrsZVBBhHI8UFdAvWiLJBk8YgzLqnK55rThdESN/i6S0kcmX3E6+WO3s2T+EhoiZTQ37yKxtR3TPhSHq4zGcDsel6R4mJsRc8ZTNFnlyB+V7G4YNCH16BLrTAcWG7tToeq+6F7vykgFFbFOSEbQo80w/bpUH4x9J9pTBhSnx0Z7Y4T2D8Ls+Pxzxp9RwqDyzP4u1hFRt7WdtR90B9gD970LsBVCSSGUgDlyOjUbTWoypiABXRpUyA8Ymp//lUdSFKV3qiWiFx9ubuSfX1rJiBwnHo+bu8+pYEJJZl+dTjkKRDsiLLz3bVo6vdiSYSy7k5JhNk68eCJ5I76cr6scoyKt6dGgesxh0VkHwd0EC0/Grydhzs9SM3crA1IslOSN//4HiZhBLJxMNUZJyCzwoukDe+Q0y5S0N4RBpDo9SymPq/feVhdCGkkEErfRiZ6Ty7z/OLVPWmNUS4RyPFAtEb04fWQel08bwqJ1tVw0bZAKII4D7oCHb181kg//+x3qA2MoD61mxnfOx60CiIHFkw2lM1MPSHXMDNbDsiewb3wn1RKhAogBLdSeypX3BhygWdjtdsykxfhZxQTyeptqbeDoaIqy4u1qdHt3/6Dj7r3rTpKxGO6MwRimINQeH5ApXYpyJKggohdrazvYUNfJeWOy+Ou6OiaUBFQgcRyoXrqNliEnkj8um9p1XrZ9VsXY8eP6u1hKXxICgnWwexWdw7+La8OfoWiyCiQGMF9mqsO8aUhsDg1d1xBCUD45f8BfTOaWJFm9aCeaLtBtGqZhHZfvXepOLDRA7vl9UBTl4KkB7nqxpSHE3edUMHd0JnefU8GWhlB/F0k5AtpLT2DG9ycw+kQPM74/gfZSdSF5XGjaDHN+RufIi1OpTE2b+7tESh9y+ezMvHg4likxEhaWKZl58fABfxENe7/3ZNw8bt/78VbvitJXVJ+IA6iqqmJ4LxPkKAObqvfjk6r340sslGTj2i2MHj/iuLuQHOijMx3Ikap31SdCOR6odCZFURTluOPy2fHnOY67i2hIvffj8X3D8V3vinK4feMgQghxBfC6lDLxNbYdDHwPCAJfSCk/6bFuKvAdYIWUcqEQQgA3AU4gLqX87f6OW11djdfrJS8vD4DW1laeeeYZNE1jzpw5TJgwgdtvv53y8nLy8/OZN2/eN3nLCvDiiy8yb948HI6vnoBPSskLL7xAJBJh+PDhnHnmmXvWrVixgvfeew9N0zj77LOZPHky1113HZMmTaK8vJxzztn/rMGq3o+8vqr3MWPG8Pjjj+PxeMjOzubSSy/d73G/Tr3/6U9/oqGhAdM0uemmmxBiYI8809cOpt7r6+t57bXXCIfD/OQnP9lr3ccff8zy5cux2WxccMEFaJrGH/7wBxKJBGVlZVx88cX7Pa76vh8dvs7vwhtvvEFtbS2dnZ3ceuut+P3+Pevee+89tm3bhsfj4Qc/+AEvvfQSO3fuxOfzcfnll5Odnb3f48ZiMebPn4/NZmP8+PHMmjWLN998kw8++IDbb7+doUOHHtb3qijKgX2tIEIIcSYwAUgAren9hgIPAHmAJoT4F2A3kAMslVKu6uVQU4GFUsr1Qoh/B/YEEVLKFUKIePq4yFSe1W/T5781HVRMBE4EHCtXrmTy5MkAbN26lfz8/D3/ubz77rtcfPHFDB06lIceeogJEybgcrkwDOOAf6CUvb3//vusWbMGh8NBdnY2hmGwY8cO/u3f/o2mpiYsy+I3v/kNRUVFtLS0cPLJJ++pk56WLl1KS0sLPp+P3NzcvdZt3LiRK6+8ErfbzYIFC5g8eTIul4tEIrGnPlevXs3y5ctJJBLMmDFD1Xsf64969/v9FBcXc9lllzF//nyam5vZtWvXIdX7mDFj2Lp1K3feeScLFy5kw4YNjB07tu8/uGPc4ar3wsJCbrnlFu6///4vrfv000+54447CIfD/P73v+eWW27h1ltvBeC+++4D1Pf9aPBNfxcuuugiAP785z/T3Ny8J4jo6Ojg448/pry8fE8d6bqO3W7HZrPh9XoxTZPnn3+eZDKJZVlcd911aOnZ5j/77DNmzpzJtGnTePDBB5k1axbf/e53iUQiR/gTUhQFDq5j9cp0a8A4KeXzQCUwZJ9t3gWeBWbs5xiLgdOEEFcD/v1ss4cQYrAQ4v8AiXRQcR4QBtoqKyvZuXMnv/3tb3n//fd58803+e1vf0t7ezstLS3k5eXtdffxF7/4BbfeeisrVqwgGAwexNs+vp1wwgncfPPNrFu3jh/84AeMHDmSmpqavbY5++yz+ad/+ic+/fTTXo9RW1tLRUUF1157LW+//fZe66ZPn86vf/1rfvGLXzBr1iwAHn30UW699VYWLFgAwIIFC/B6vWRlZaHq/cg40vVeXl5OMpnk6aefprW1lZaWlkOu987OTgKBAAD5+fm0tLT0wSc0MB2Oej+QCy64gCeffJK33nqLcDi8Z/nf//73PReh6vt+dPgmvwuGYfDoo4+yfPly8ntM5lZfX4/f7+eqq66isbGRuro6LrnkEm6//XYmTZrEu+++y+rVq2loaMDr9RKNRvf6/jY3N++5IdEVWCiK0n8OJp2pK9TvSD8ngX2TCmOA1XO5ECIAXAJUSynfA+YLITTg/3zVCaWUO4H7hBA3CiHyAQG8KqU0gRcBbr75Zt5//33y8/MZP348ADk5OTQ3N+PxePYcq+s/Gp/PRzKZPIi3fXzr+gy7LsrsdvuXPj+Xy4WmaXst7+jo4LXXXqO0tJScnBzs9tSvxL5/+F9//XUeeOABAH79619z1113IYRACIHdbkdKiZSSSy+9FF3X9+yn6r1v9Ue9/+AHPwDgkUceobCw8JDrPSMjg87OTgCampooLS09LJ/J8eBw1PtZZ5213+OPHDmSkSNHUldXx8KFC4FUANHY2LgnlUl9348Oh/q7AGCz2bjllltYsmQJS5cu3ZPKmJOTg8/nA8Dr9RKLxfbUWWZmJjt27MCyLMaMGcPcuXOB1O/W7373O0pLS8nNzaWlpYVhw4ZxDA8KoygDRp93rJZSdgC/A0gHApcALuCP6WW3Syl/JYSoAL4L+IQQrcAmYB6p1hITaAL+AvxYCBH68MMPOf3003s959lnn82zzz6Lrut861vfIhQK8dRTT+FwOPD7/aqp+wgIBAJcd911AMTjcZ588knWr1/PuHGpeRd+9atfcfvttzNjxgwee+wxpJRMmTKF2tpa/vCHPwAwfvx4hBDMnTuXxx57DJ/Px4gRI1S9H8UOtd4B5s+fj2EYjBgxgkAgcMj1brPZKC8v56mnniKZTPLtb3/7yLz541jPeg8Ggzz33HNs27aN119/nXnz5u2p9xUrVvD5558Ti8X44Q9/yLZt23jmmWc48cQTefrpp7n22mvV930AePbZZ4nH44RCIa655ho2bdrEtm3b+Pa3v43f7+fpp5/GMAzKysp47bXXaG5uprOzkx/96EcEAgF++9vf8swzzxAOh7n++uv3/G7FYjGeeOIJli9fzrRp04BU6tXy5cvZuXMnl156qbppoChHkBri9QDUkI/HJ1XvxydV78cfVefHpyNR72qIV+V4oJIKFUVRFEVRFEU5KCqIUBRFURRFURTloKggQlEURVEURVGUg6KCCEVRFEVRFEVRDooKIhRFURRFURRFOSgqiFAURVEURVEU5aCoIEJRFEVRFEVRlIOigghFURRFURRFUQ6KCiIURVEURVEURTkoKohQFEVRFEVRFOWgqCBCURRFURRFUZSDooIIRVEURVEURVEOigoiFEVRFEVRFEU5KCqIUBRFURRFURTloNj6uwCHSgjxDpDbx6fJBZr7+BzK0UfV+/FJ1fvxR9X58elI1PvQPj6+ovQ7IaXs7zIctYQQK6SUU/u7HMqRper9+KTq/fij6vz4pOpdUQ4Plc6kKIqiKIqiKMpBUUGEoiiKoiiKoigHRQURB/ZUfxdA6Req3o9Pqt6PP6rOj0+q3hXlMFB9IhRFURRFURRFOSiqJUJRFEVRFEVRlIOigghFURRFURRFUQ7KgA0ihBCFQohXhBBbhRAbhBBvCyFGHsT+ob4sn9L/hBCmEGJ1j8e/pZc7hBC/Sf/uVAkhFgohhvR3eZVvbt/vtRDin4QQj6df/0wIcec+66uFEH09H42iKIqiHHMGZBAhhBDAn4APpZTlUsoxwP8BCr7OvkKIAfm5KF8SlVJO6vF4IL38PsAPjJRSDgfeAP6sfi8U5cg62gJ9IcSHQoj9zi8ghPAJIZ5Ml2u9EOLvQoiT+rpcA8nRGOireleU3h2zM1Z/hTOApJTyia4FUsrV6S/6+0AWYAd+KqX8sxCiFPgr8AEwHfgugBDi4fSx2oDLpJRNQohJwBOAB9gKXC2lbBNCfAgsS2+fCVwjpfy479+qcjgJITzAD4EyKaUJIKX8f0KIq4E5wLv9WT5FOc5EpZSTelneM9A3hRA/JBXoT5FSWke0hHt7GtgOjJBSWkKIYcDofiyPcmSoeleOSwP1zuo44B+9LI8BF0gpTyB1sf9wutUCYBTwnJRyspRyB+AFVqa3/Qj4j/R2zwF3SyknAGt7LAewSSmnAf+yz3Ll6OTe5y7npcBwoEZK2bnPtiuAMUe+iMphtledA/fus/62fdYXHfESKgfUI9C/rWegD4RIBfr72+/7QojP03X7pBBCF0KcKIRYI4RwCSG86bvI49LrHhJCrE2v//HXKFc5cBKpm1NWulzbpJRvHY73rRwaVe+K0ncGakvE/gjgPiHEaYAFFNOd4rRDSrm0x7YW8Gr69QvAH4UQASBTSvlRevnvgdd77PPH9PM/gNLDX3zlMPvSXU4hxESgt3GPRS/LlGPPXnUuhPgnoGeawq+llA/1WF99xEqm9MadDua63A9s5MCB/pdaC4UQo4FLgZlSyqQQ4n+AK6SUzwkhFgD/BbiBF6SU64QQNwJlwGQppSGEyP4aZR0LrO4KbJRDtm+dZwMLevx8mxDi+z1+3m+gr+pdUfrWQA0i1gMX97L8CiAPmJL+g1INuNLrwl9xzK8zoUY8/WwycD/bga4KGCqE8Espgz2WnwD8oZ/KpCjHq8MV6J8JTAGWpxuf3UBjet29wHJSLdW3pJfNAZ6QUhoAUsrWQyy/cvAOZ6Cv6l1R+tBATWdaDDiFENd1LRBCnAgMBRrTAcQZ6Z/3R6M7EPkesERK2QG0CSFOTS//AalUJ2WAkFKGSbUw/UoIoQMIIa4k9R/NJ/1ZNkVRgB6B/j7LTyDVGtEbAfy+xyAKo6SUP0uvywZ8pPpYuHpsf7Azsa4HJgo1AMPRRNW7ovShAflLL1PTcF8AnNU1WgLwM+BtYKoQYgWpVolNBzhMGBgrhPgHMJvu3OmrgP8WQqwBJvHlnGrl2LFvn4iu0Zl+AkSBzUKIWuB24HyppndXlH53iIH++8DFQoj89PbZQoium0hPAf8OvAg8mF72LnCDEMLWtf3XKNdWUkHMz7v62gkhRgghzj/4d6kcJqreFaUPDdiUGynlbuCSXlZN388u4/bZ35d++e/7LF8NnNzL+Wb1eN2M6hNx1JNS6vtZHifVvH2LEKIQ+BupVqenjmDxlD7Q43vd9fOzwLPp1z/rZfvSI1AsZf/2zY//m5Ty30gF+v9NKtB3A03A9P0F+lLKDUKInwLvpu8YJ4GbhRCnA4aU8qV0QPKpEGI2qdF2RgJrhBBJ4HfA41+jvNcCDwNVQogI0ALcdfBvWzkcVL0rSt8S6uaqoiiKcqzqEej/j5RSBfqKoihHiAoiFEVRFEVRFEU5KAM2nUlRFEU5vgghckjlwe/rTClly2E8zzLAuc/iH0gp1x6ucyhfn6p3RekfqiVCURRFURRFUZSDMiBHZ1IURVEURVEUpe+oIEJRFEVRFEVRlIOigghFURRFURRFUQ6KCiIURVEURVEURTko/z9/a1cXROl26QAAAABJRU5ErkJggg==">
          <a:extLst>
            <a:ext uri="{FF2B5EF4-FFF2-40B4-BE49-F238E27FC236}">
              <a16:creationId xmlns:a16="http://schemas.microsoft.com/office/drawing/2014/main" id="{B25D6DF6-B412-4ADC-8035-9491F9F8725C}"/>
            </a:ext>
          </a:extLst>
        </xdr:cNvPr>
        <xdr:cNvSpPr>
          <a:spLocks noChangeAspect="1" noChangeArrowheads="1"/>
        </xdr:cNvSpPr>
      </xdr:nvSpPr>
      <xdr:spPr bwMode="auto">
        <a:xfrm>
          <a:off x="5334000" y="57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193219</xdr:colOff>
      <xdr:row>17</xdr:row>
      <xdr:rowOff>96610</xdr:rowOff>
    </xdr:from>
    <xdr:to>
      <xdr:col>16</xdr:col>
      <xdr:colOff>296182</xdr:colOff>
      <xdr:row>42</xdr:row>
      <xdr:rowOff>11794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B98AE07-6DB6-43C3-880F-5563B8973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rr_peat_HC/peat_HC_ss_inv_result_v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r_peat_HC/peat_HC_inv_result_v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peat-ind/peat_corr_ss_inv_result_v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peat-ind/peat_corr_inv_result_v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HC/HC_corr_ss_inv_result_vf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-HC/HC_corr_inv_result_v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rut-sans-correction/brut_ss_inv_result_vf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rut-sans-correction/brut_inv_result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-469330.6388984978</v>
          </cell>
          <cell r="AE3">
            <v>-225029.63746269559</v>
          </cell>
          <cell r="AF3">
            <v>-2.6012347539696949</v>
          </cell>
          <cell r="AG3">
            <v>109769.2436400334</v>
          </cell>
          <cell r="AH3">
            <v>2.3564966649116048</v>
          </cell>
        </row>
        <row r="4">
          <cell r="AD4">
            <v>-152274.74178398619</v>
          </cell>
          <cell r="AE4">
            <v>-400204.50709010882</v>
          </cell>
          <cell r="AF4">
            <v>-2.6297708575663798</v>
          </cell>
          <cell r="AG4">
            <v>-175282.55174734921</v>
          </cell>
          <cell r="AH4">
            <v>0.52727472891447225</v>
          </cell>
        </row>
        <row r="5">
          <cell r="AD5">
            <v>-180191.32311227391</v>
          </cell>
          <cell r="AE5">
            <v>-385618.29432859208</v>
          </cell>
          <cell r="AF5">
            <v>-2.6319623127954919</v>
          </cell>
          <cell r="AG5">
            <v>-151813.94643265431</v>
          </cell>
          <cell r="AH5">
            <v>0.68421999225983565</v>
          </cell>
        </row>
        <row r="6">
          <cell r="AD6">
            <v>-152274.74178398619</v>
          </cell>
          <cell r="AE6">
            <v>-400204.50709010888</v>
          </cell>
          <cell r="AF6">
            <v>-2.6297708575663798</v>
          </cell>
          <cell r="AG6">
            <v>-175282.55174734921</v>
          </cell>
          <cell r="AH6">
            <v>0.52727472891447236</v>
          </cell>
        </row>
        <row r="7">
          <cell r="AD7">
            <v>-152274.74178398619</v>
          </cell>
          <cell r="AE7">
            <v>-400204.50709010882</v>
          </cell>
          <cell r="AF7">
            <v>-2.6297708575663798</v>
          </cell>
          <cell r="AG7">
            <v>-175282.55174734921</v>
          </cell>
          <cell r="AH7">
            <v>0.52727472891447225</v>
          </cell>
        </row>
        <row r="8">
          <cell r="AD8">
            <v>-152274.7415890776</v>
          </cell>
          <cell r="AE8">
            <v>-400204.50700893142</v>
          </cell>
          <cell r="AF8">
            <v>-2.6297708563539031</v>
          </cell>
          <cell r="AG8">
            <v>-175282.5517908425</v>
          </cell>
          <cell r="AH8">
            <v>0.52727472817421106</v>
          </cell>
        </row>
        <row r="9">
          <cell r="AD9">
            <v>-117971.8673677115</v>
          </cell>
          <cell r="AE9">
            <v>-385507.81105058279</v>
          </cell>
          <cell r="AF9">
            <v>-2.466156443847519</v>
          </cell>
          <cell r="AG9">
            <v>-192341.56997202779</v>
          </cell>
          <cell r="AH9">
            <v>0.36396616896104639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R2" t="str">
            <v>HC</v>
          </cell>
        </row>
        <row r="4">
          <cell r="AK4">
            <v>-608113.14266050921</v>
          </cell>
          <cell r="AL4">
            <v>-625068.02890172915</v>
          </cell>
          <cell r="AM4">
            <v>-5.642614112627415</v>
          </cell>
          <cell r="AN4">
            <v>-165459.44921123519</v>
          </cell>
          <cell r="AO4">
            <v>0.63571057002381026</v>
          </cell>
        </row>
        <row r="5">
          <cell r="AK5">
            <v>-608113.14266050921</v>
          </cell>
          <cell r="AL5">
            <v>-625068.02890172915</v>
          </cell>
          <cell r="AM5">
            <v>-5.642614112627415</v>
          </cell>
          <cell r="AN5">
            <v>-165459.44921123519</v>
          </cell>
          <cell r="AO5">
            <v>0.63571057002381026</v>
          </cell>
        </row>
        <row r="6">
          <cell r="AK6">
            <v>-608113.14266050921</v>
          </cell>
          <cell r="AL6">
            <v>-625068.02890172915</v>
          </cell>
          <cell r="AM6">
            <v>-5.642614112627415</v>
          </cell>
          <cell r="AN6">
            <v>-165459.44921123519</v>
          </cell>
          <cell r="AO6">
            <v>0.63571057002381026</v>
          </cell>
        </row>
        <row r="7">
          <cell r="AK7">
            <v>-608113.14266050921</v>
          </cell>
          <cell r="AL7">
            <v>-625068.02890172915</v>
          </cell>
          <cell r="AM7">
            <v>-5.642614112627415</v>
          </cell>
          <cell r="AN7">
            <v>-165459.44921123519</v>
          </cell>
          <cell r="AO7">
            <v>0.63571057002381026</v>
          </cell>
        </row>
        <row r="8">
          <cell r="AK8">
            <v>-608113.14266050921</v>
          </cell>
          <cell r="AL8">
            <v>-625068.02890172915</v>
          </cell>
          <cell r="AM8">
            <v>-5.642614112627415</v>
          </cell>
          <cell r="AN8">
            <v>-165459.44921123519</v>
          </cell>
          <cell r="AO8">
            <v>0.63571057002381026</v>
          </cell>
        </row>
        <row r="9">
          <cell r="AK9">
            <v>-608113.14266050921</v>
          </cell>
          <cell r="AL9">
            <v>-625068.02890172915</v>
          </cell>
          <cell r="AM9">
            <v>-5.642614112627415</v>
          </cell>
          <cell r="AN9">
            <v>-165459.44921123519</v>
          </cell>
          <cell r="AO9">
            <v>0.63571057002381026</v>
          </cell>
        </row>
        <row r="10">
          <cell r="AK10">
            <v>-608113.14266050921</v>
          </cell>
          <cell r="AL10">
            <v>-625068.02890172915</v>
          </cell>
          <cell r="AM10">
            <v>-5.642614112627415</v>
          </cell>
          <cell r="AN10">
            <v>-165459.44921123519</v>
          </cell>
          <cell r="AO10">
            <v>0.63571057002381026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4">
          <cell r="AD4">
            <v>-768179.85353884823</v>
          </cell>
          <cell r="AE4">
            <v>-381253.32283796958</v>
          </cell>
          <cell r="AF4">
            <v>-4.6226147683854473</v>
          </cell>
          <cell r="AG4">
            <v>58552.234965922857</v>
          </cell>
          <cell r="AH4">
            <v>1.7274448256697681</v>
          </cell>
        </row>
        <row r="5">
          <cell r="AD5">
            <v>-539361.45806396857</v>
          </cell>
          <cell r="AE5">
            <v>-508573.65110909048</v>
          </cell>
          <cell r="AF5">
            <v>-4.6482459715826634</v>
          </cell>
          <cell r="AG5">
            <v>-165777.421386984</v>
          </cell>
          <cell r="AH5">
            <v>0.40289240963853928</v>
          </cell>
        </row>
        <row r="6">
          <cell r="AD6">
            <v>-549802.4574980553</v>
          </cell>
          <cell r="AE6">
            <v>-503232.21842567192</v>
          </cell>
          <cell r="AF6">
            <v>-4.649705170188855</v>
          </cell>
          <cell r="AG6">
            <v>-155986.01897814759</v>
          </cell>
          <cell r="AH6">
            <v>0.46103133915119338</v>
          </cell>
        </row>
        <row r="7">
          <cell r="AD7">
            <v>-539361.45806396857</v>
          </cell>
          <cell r="AE7">
            <v>-508573.65110909048</v>
          </cell>
          <cell r="AF7">
            <v>-4.6482459715826634</v>
          </cell>
          <cell r="AG7">
            <v>-165777.421386984</v>
          </cell>
          <cell r="AH7">
            <v>0.40289240963853928</v>
          </cell>
        </row>
        <row r="8">
          <cell r="AD8">
            <v>-539361.45806396857</v>
          </cell>
          <cell r="AE8">
            <v>-508573.65110909048</v>
          </cell>
          <cell r="AF8">
            <v>-4.6482459715826634</v>
          </cell>
          <cell r="AG8">
            <v>-165777.421386984</v>
          </cell>
          <cell r="AH8">
            <v>0.40289240963853928</v>
          </cell>
        </row>
        <row r="9">
          <cell r="AD9">
            <v>-545132.66591350711</v>
          </cell>
          <cell r="AE9">
            <v>-505651.14924383751</v>
          </cell>
          <cell r="AF9">
            <v>-4.649220675868567</v>
          </cell>
          <cell r="AG9">
            <v>-160393.72356882799</v>
          </cell>
          <cell r="AH9">
            <v>0.43488125533277239</v>
          </cell>
        </row>
        <row r="10">
          <cell r="AD10">
            <v>-539361.45806396857</v>
          </cell>
          <cell r="AE10">
            <v>-508573.65110909048</v>
          </cell>
          <cell r="AF10">
            <v>-4.6482459715826634</v>
          </cell>
          <cell r="AG10">
            <v>-165777.421386984</v>
          </cell>
          <cell r="AH10">
            <v>0.40289240963853928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4">
          <cell r="AK4">
            <v>-768179.85353884823</v>
          </cell>
          <cell r="AL4">
            <v>-381253.32283796958</v>
          </cell>
          <cell r="AM4">
            <v>-4.6226147683854473</v>
          </cell>
          <cell r="AN4">
            <v>58552.234965922857</v>
          </cell>
          <cell r="AO4">
            <v>1.7274448256697681</v>
          </cell>
        </row>
        <row r="5">
          <cell r="AK5">
            <v>-634031.48587802402</v>
          </cell>
          <cell r="AL5">
            <v>-626385.6173974399</v>
          </cell>
          <cell r="AM5">
            <v>-5.7397424705023239</v>
          </cell>
          <cell r="AN5">
            <v>-170884.1705219007</v>
          </cell>
          <cell r="AO5">
            <v>0.61772383195463199</v>
          </cell>
        </row>
        <row r="6">
          <cell r="AK6">
            <v>-635489.74845376587</v>
          </cell>
          <cell r="AL6">
            <v>-626373.71185913985</v>
          </cell>
          <cell r="AM6">
            <v>-5.7446182642016108</v>
          </cell>
          <cell r="AN6">
            <v>-171176.25465287891</v>
          </cell>
          <cell r="AO6">
            <v>0.61689191499457596</v>
          </cell>
        </row>
        <row r="7">
          <cell r="AK7">
            <v>-635489.74845376587</v>
          </cell>
          <cell r="AL7">
            <v>-626373.71185913985</v>
          </cell>
          <cell r="AM7">
            <v>-5.7446182642016108</v>
          </cell>
          <cell r="AN7">
            <v>-171176.25465287891</v>
          </cell>
          <cell r="AO7">
            <v>0.61689191499457596</v>
          </cell>
        </row>
        <row r="8">
          <cell r="AK8">
            <v>-635489.74845376587</v>
          </cell>
          <cell r="AL8">
            <v>-626373.71185913985</v>
          </cell>
          <cell r="AM8">
            <v>-5.7446182642016108</v>
          </cell>
          <cell r="AN8">
            <v>-171176.25465287891</v>
          </cell>
          <cell r="AO8">
            <v>0.61689191499457596</v>
          </cell>
        </row>
        <row r="9">
          <cell r="AK9">
            <v>-635489.74845376587</v>
          </cell>
          <cell r="AL9">
            <v>-626373.71185913985</v>
          </cell>
          <cell r="AM9">
            <v>-5.7446182642016108</v>
          </cell>
          <cell r="AN9">
            <v>-171176.25465287891</v>
          </cell>
          <cell r="AO9">
            <v>0.61689191499457596</v>
          </cell>
        </row>
        <row r="10">
          <cell r="AK10">
            <v>-635489.74845376587</v>
          </cell>
          <cell r="AL10">
            <v>-626373.71185913985</v>
          </cell>
          <cell r="AM10">
            <v>-5.7446182642016108</v>
          </cell>
          <cell r="AN10">
            <v>-171176.25465287891</v>
          </cell>
          <cell r="AO10">
            <v>0.61689191499457596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4">
          <cell r="AD4">
            <v>-818093.70361632097</v>
          </cell>
          <cell r="AE4">
            <v>-393131.57978474197</v>
          </cell>
          <cell r="AF4">
            <v>-5.000279529603894</v>
          </cell>
          <cell r="AG4">
            <v>163042.81900663199</v>
          </cell>
          <cell r="AH4">
            <v>2.4952662973280328</v>
          </cell>
        </row>
        <row r="5">
          <cell r="AD5">
            <v>-206547.64447281981</v>
          </cell>
          <cell r="AE5">
            <v>-472723.10069549771</v>
          </cell>
          <cell r="AF5">
            <v>-3.4813193291665132</v>
          </cell>
          <cell r="AG5">
            <v>-175282.76632134159</v>
          </cell>
          <cell r="AH5">
            <v>0.52727472817421117</v>
          </cell>
        </row>
        <row r="6">
          <cell r="AD6">
            <v>-818093.70361632097</v>
          </cell>
          <cell r="AE6">
            <v>-393131.57978474197</v>
          </cell>
          <cell r="AF6">
            <v>-5.000279529603894</v>
          </cell>
          <cell r="AG6">
            <v>163042.81900663199</v>
          </cell>
          <cell r="AH6">
            <v>2.4952662973280328</v>
          </cell>
        </row>
        <row r="7">
          <cell r="AD7">
            <v>-721123.90716989816</v>
          </cell>
          <cell r="AE7">
            <v>-437095.04996141582</v>
          </cell>
          <cell r="AF7">
            <v>-4.8756795012192589</v>
          </cell>
          <cell r="AG7">
            <v>99537.154556529626</v>
          </cell>
          <cell r="AH7">
            <v>2.3564966604137632</v>
          </cell>
        </row>
        <row r="8">
          <cell r="AD8">
            <v>-206547.64447281981</v>
          </cell>
          <cell r="AE8">
            <v>-472723.10069549771</v>
          </cell>
          <cell r="AF8">
            <v>-3.4813193291665132</v>
          </cell>
          <cell r="AG8">
            <v>-175282.76632134159</v>
          </cell>
          <cell r="AH8">
            <v>0.52727472817421117</v>
          </cell>
        </row>
        <row r="9">
          <cell r="AD9">
            <v>-598443.87065936555</v>
          </cell>
          <cell r="AE9">
            <v>-276275.10280052898</v>
          </cell>
          <cell r="AF9">
            <v>-3.914218080882633</v>
          </cell>
          <cell r="AG9">
            <v>87649.014450924733</v>
          </cell>
          <cell r="AH9">
            <v>0.99037633251015689</v>
          </cell>
        </row>
        <row r="10">
          <cell r="AD10">
            <v>-187749.62716954219</v>
          </cell>
          <cell r="AE10">
            <v>-462573.42160036502</v>
          </cell>
          <cell r="AF10">
            <v>-3.3870031280894</v>
          </cell>
          <cell r="AG10">
            <v>-181393.0198997132</v>
          </cell>
          <cell r="AH10">
            <v>0.4024562924109919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-909541.78229965246</v>
          </cell>
          <cell r="AL3">
            <v>-450390.30490598618</v>
          </cell>
          <cell r="AM3">
            <v>-5.5315918548801939</v>
          </cell>
          <cell r="AN3">
            <v>174657.56140634569</v>
          </cell>
          <cell r="AO3">
            <v>2.8921597016395739</v>
          </cell>
        </row>
        <row r="4">
          <cell r="AK4">
            <v>-644442.1846872702</v>
          </cell>
          <cell r="AL4">
            <v>-684909.40473820688</v>
          </cell>
          <cell r="AM4">
            <v>-6.364898685252375</v>
          </cell>
          <cell r="AN4">
            <v>-165459.6313217275</v>
          </cell>
          <cell r="AO4">
            <v>0.63571057002381026</v>
          </cell>
        </row>
        <row r="5">
          <cell r="AK5">
            <v>-851589.58048812114</v>
          </cell>
          <cell r="AL5">
            <v>-660654.74717186799</v>
          </cell>
          <cell r="AM5">
            <v>-6.8687928515880721</v>
          </cell>
          <cell r="AN5">
            <v>43053.317941363552</v>
          </cell>
          <cell r="AO5">
            <v>2.6150602038266331</v>
          </cell>
        </row>
        <row r="6">
          <cell r="AK6">
            <v>-851589.58048812114</v>
          </cell>
          <cell r="AL6">
            <v>-660654.74717186799</v>
          </cell>
          <cell r="AM6">
            <v>-6.8687928515880721</v>
          </cell>
          <cell r="AN6">
            <v>43053.317941363552</v>
          </cell>
          <cell r="AO6">
            <v>2.6150602038266331</v>
          </cell>
        </row>
        <row r="7">
          <cell r="AK7">
            <v>-644442.1846872702</v>
          </cell>
          <cell r="AL7">
            <v>-684909.40473820688</v>
          </cell>
          <cell r="AM7">
            <v>-6.364898685252375</v>
          </cell>
          <cell r="AN7">
            <v>-165459.6313217275</v>
          </cell>
          <cell r="AO7">
            <v>0.63571057002381026</v>
          </cell>
        </row>
        <row r="8">
          <cell r="AK8">
            <v>-644442.1846872702</v>
          </cell>
          <cell r="AL8">
            <v>-684909.40473820688</v>
          </cell>
          <cell r="AM8">
            <v>-6.364898685252375</v>
          </cell>
          <cell r="AN8">
            <v>-165459.6313217275</v>
          </cell>
          <cell r="AO8">
            <v>0.63571057002381026</v>
          </cell>
        </row>
        <row r="9">
          <cell r="AK9">
            <v>-644442.1846872702</v>
          </cell>
          <cell r="AL9">
            <v>-684909.40473820688</v>
          </cell>
          <cell r="AM9">
            <v>-6.364898685252375</v>
          </cell>
          <cell r="AN9">
            <v>-165459.6313217275</v>
          </cell>
          <cell r="AO9">
            <v>0.63571057002381026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-900529.643526776</v>
          </cell>
          <cell r="AE3">
            <v>-500204.87427557592</v>
          </cell>
          <cell r="AF3">
            <v>-5.9650553132270554</v>
          </cell>
          <cell r="AG3">
            <v>83802.282082538615</v>
          </cell>
          <cell r="AH3">
            <v>1.905592268949883</v>
          </cell>
        </row>
        <row r="4">
          <cell r="AD4">
            <v>-527008.18586465344</v>
          </cell>
          <cell r="AE4">
            <v>-534021.29708947102</v>
          </cell>
          <cell r="AF4">
            <v>-5.0198331186547049</v>
          </cell>
          <cell r="AG4">
            <v>-129423.62059813261</v>
          </cell>
          <cell r="AH4">
            <v>0.43291799196733549</v>
          </cell>
        </row>
        <row r="5">
          <cell r="AD5">
            <v>-898781.77147895657</v>
          </cell>
          <cell r="AE5">
            <v>-507697.85586750339</v>
          </cell>
          <cell r="AF5">
            <v>-6.0240218397631953</v>
          </cell>
          <cell r="AG5">
            <v>69693.914180888794</v>
          </cell>
          <cell r="AH5">
            <v>1.7574704079985639</v>
          </cell>
        </row>
        <row r="6">
          <cell r="AD6">
            <v>-898781.77147895657</v>
          </cell>
          <cell r="AE6">
            <v>-507697.85586750339</v>
          </cell>
          <cell r="AF6">
            <v>-6.0240218397631953</v>
          </cell>
          <cell r="AG6">
            <v>69693.914180888794</v>
          </cell>
          <cell r="AH6">
            <v>1.7574704079985639</v>
          </cell>
        </row>
        <row r="7">
          <cell r="AD7">
            <v>-527008.18586465344</v>
          </cell>
          <cell r="AE7">
            <v>-534021.29708947102</v>
          </cell>
          <cell r="AF7">
            <v>-5.0198331186547049</v>
          </cell>
          <cell r="AG7">
            <v>-129423.62059813261</v>
          </cell>
          <cell r="AH7">
            <v>0.43291799196733549</v>
          </cell>
        </row>
        <row r="8">
          <cell r="AD8">
            <v>-754212.43985085678</v>
          </cell>
          <cell r="AE8">
            <v>-431127.63636989292</v>
          </cell>
          <cell r="AF8">
            <v>-5.3123461667569956</v>
          </cell>
          <cell r="AG8">
            <v>19284.315940239961</v>
          </cell>
          <cell r="AH8">
            <v>0.75784279742481853</v>
          </cell>
        </row>
        <row r="9">
          <cell r="AD9">
            <v>-527008.18586465344</v>
          </cell>
          <cell r="AE9">
            <v>-534021.29708947102</v>
          </cell>
          <cell r="AF9">
            <v>-5.0198331186547049</v>
          </cell>
          <cell r="AG9">
            <v>-129423.62059813261</v>
          </cell>
          <cell r="AH9">
            <v>0.43291799196733549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4">
          <cell r="AK4">
            <v>-913173.23611822585</v>
          </cell>
          <cell r="AL4">
            <v>-462294.07700228808</v>
          </cell>
          <cell r="AM4">
            <v>-5.6405530308313656</v>
          </cell>
          <cell r="AN4">
            <v>158876.19866794301</v>
          </cell>
          <cell r="AO4">
            <v>2.730940448070116</v>
          </cell>
        </row>
        <row r="5">
          <cell r="AK5">
            <v>-644442.1846872702</v>
          </cell>
          <cell r="AL5">
            <v>-684909.40473820688</v>
          </cell>
          <cell r="AM5">
            <v>-6.364898685252375</v>
          </cell>
          <cell r="AN5">
            <v>-165459.6313217275</v>
          </cell>
          <cell r="AO5">
            <v>0.63571057002381026</v>
          </cell>
        </row>
        <row r="6">
          <cell r="AK6">
            <v>-858981.91221275914</v>
          </cell>
          <cell r="AL6">
            <v>-658913.15514688112</v>
          </cell>
          <cell r="AM6">
            <v>-6.8909747589820043</v>
          </cell>
          <cell r="AN6">
            <v>35812.571022898883</v>
          </cell>
          <cell r="AO6">
            <v>2.4718236557718929</v>
          </cell>
        </row>
        <row r="7">
          <cell r="AK7">
            <v>-853772.54412361525</v>
          </cell>
          <cell r="AL7">
            <v>-660904.0016222928</v>
          </cell>
          <cell r="AM7">
            <v>-6.8795862517447279</v>
          </cell>
          <cell r="AN7">
            <v>41381.970786916027</v>
          </cell>
          <cell r="AO7">
            <v>2.5851013239793339</v>
          </cell>
        </row>
        <row r="8">
          <cell r="AK8">
            <v>-665277.59612264379</v>
          </cell>
          <cell r="AL8">
            <v>-681593.77756979864</v>
          </cell>
          <cell r="AM8">
            <v>-6.4197814117706908</v>
          </cell>
          <cell r="AN8">
            <v>-159168.6793901209</v>
          </cell>
          <cell r="AO8">
            <v>0.62092629934983035</v>
          </cell>
        </row>
        <row r="9">
          <cell r="AK9">
            <v>-754212.43985085678</v>
          </cell>
          <cell r="AL9">
            <v>-431127.63636989292</v>
          </cell>
          <cell r="AM9">
            <v>-5.3123461667569956</v>
          </cell>
          <cell r="AN9">
            <v>19284.315940239961</v>
          </cell>
          <cell r="AO9">
            <v>0.75784279742481853</v>
          </cell>
        </row>
        <row r="10">
          <cell r="AK10">
            <v>-665277.59612264379</v>
          </cell>
          <cell r="AL10">
            <v>-681593.77756979864</v>
          </cell>
          <cell r="AM10">
            <v>-6.4197814117706908</v>
          </cell>
          <cell r="AN10">
            <v>-159168.6793901209</v>
          </cell>
          <cell r="AO10">
            <v>0.62092629934983035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73D9-31AF-4FEF-8C0E-358C3905DD4E}">
  <dimension ref="A1:M15"/>
  <sheetViews>
    <sheetView zoomScale="90" zoomScaleNormal="90" workbookViewId="0">
      <selection activeCell="Q17" sqref="Q17"/>
    </sheetView>
  </sheetViews>
  <sheetFormatPr baseColWidth="10" defaultRowHeight="14.5" x14ac:dyDescent="0.35"/>
  <cols>
    <col min="1" max="1" width="18.6328125" bestFit="1" customWidth="1"/>
    <col min="8" max="8" width="13.90625" customWidth="1"/>
  </cols>
  <sheetData>
    <row r="1" spans="1:13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t="s">
        <v>0</v>
      </c>
      <c r="J1" t="s">
        <v>1</v>
      </c>
      <c r="K1" t="s">
        <v>2</v>
      </c>
      <c r="L1" t="s">
        <v>4</v>
      </c>
      <c r="M1" t="s">
        <v>5</v>
      </c>
    </row>
    <row r="2" spans="1:13" x14ac:dyDescent="0.35">
      <c r="A2" t="s">
        <v>6</v>
      </c>
      <c r="B2" s="2">
        <f>[1]results!AD3</f>
        <v>-469330.6388984978</v>
      </c>
      <c r="C2" s="2">
        <f>[1]results!AE3</f>
        <v>-225029.63746269559</v>
      </c>
      <c r="D2" s="2">
        <f>[1]results!AF3</f>
        <v>-2.6012347539696949</v>
      </c>
      <c r="E2" s="2">
        <f>[1]results!AG3</f>
        <v>109769.2436400334</v>
      </c>
      <c r="F2" s="2">
        <f>[1]results!AH3</f>
        <v>2.3564966649116048</v>
      </c>
      <c r="H2" t="s">
        <v>6</v>
      </c>
      <c r="I2">
        <f>(B2-MIN(B$2:B$15))/(MAX(B$2:B$15)-MIN(B$2:B$15))</f>
        <v>0.28314796316451074</v>
      </c>
      <c r="J2">
        <f>(C2-MIN(C$2:C$15))/(MAX(C$2:C$15)-MIN(C$2:C$15))</f>
        <v>1</v>
      </c>
      <c r="K2">
        <f>(D2-MIN(D$2:D$15))/(MAX(D$2:D$15)-MIN(D$2:D$15))</f>
        <v>0.95747517385488701</v>
      </c>
      <c r="L2">
        <f>(E2-MIN(E$2:E$15))/(MAX(E$2:E$15)-MIN(E$2:E$15))</f>
        <v>1</v>
      </c>
      <c r="M2">
        <f>(F2-MIN(F$2:F$15))/(MAX(F$2:F$15)-MIN(F$2:F$15))</f>
        <v>1</v>
      </c>
    </row>
    <row r="3" spans="1:13" x14ac:dyDescent="0.35">
      <c r="A3" t="s">
        <v>7</v>
      </c>
      <c r="B3" s="2">
        <f>[1]results!AD4</f>
        <v>-152274.74178398619</v>
      </c>
      <c r="C3" s="2">
        <f>[1]results!AE4</f>
        <v>-400204.50709010882</v>
      </c>
      <c r="D3" s="2">
        <f>[1]results!AF4</f>
        <v>-2.6297708575663798</v>
      </c>
      <c r="E3" s="2">
        <f>[1]results!AG4</f>
        <v>-175282.55174734921</v>
      </c>
      <c r="F3" s="2">
        <f>[1]results!AH4</f>
        <v>0.52727472891447225</v>
      </c>
      <c r="H3" t="s">
        <v>7</v>
      </c>
      <c r="I3">
        <f t="shared" ref="I3:M15" si="0">(B3-MIN(B$2:B$15))/(MAX(B$2:B$15)-MIN(B$2:B$15))</f>
        <v>0.93001431190265893</v>
      </c>
      <c r="J3">
        <f t="shared" si="0"/>
        <v>0.5621048544934214</v>
      </c>
      <c r="K3">
        <f t="shared" si="0"/>
        <v>0.94849154914703881</v>
      </c>
      <c r="L3">
        <f t="shared" si="0"/>
        <v>5.6466096068259156E-2</v>
      </c>
      <c r="M3">
        <f t="shared" si="0"/>
        <v>8.196038167813223E-2</v>
      </c>
    </row>
    <row r="4" spans="1:13" x14ac:dyDescent="0.35">
      <c r="A4" t="s">
        <v>8</v>
      </c>
      <c r="B4" s="2">
        <f>[1]results!AD5</f>
        <v>-180191.32311227391</v>
      </c>
      <c r="C4" s="2">
        <f>[1]results!AE5</f>
        <v>-385618.29432859208</v>
      </c>
      <c r="D4" s="2">
        <f>[1]results!AF5</f>
        <v>-2.6319623127954919</v>
      </c>
      <c r="E4" s="2">
        <f>[1]results!AG5</f>
        <v>-151813.94643265431</v>
      </c>
      <c r="F4" s="2">
        <f>[1]results!AH5</f>
        <v>0.68421999225983565</v>
      </c>
      <c r="H4" t="s">
        <v>8</v>
      </c>
      <c r="I4">
        <f t="shared" si="0"/>
        <v>0.87305811838149283</v>
      </c>
      <c r="J4">
        <f t="shared" si="0"/>
        <v>0.59856688682248527</v>
      </c>
      <c r="K4">
        <f t="shared" si="0"/>
        <v>0.94780164376890297</v>
      </c>
      <c r="L4">
        <f t="shared" si="0"/>
        <v>0.13414820560317572</v>
      </c>
      <c r="M4">
        <f t="shared" si="0"/>
        <v>0.16072718783960629</v>
      </c>
    </row>
    <row r="5" spans="1:13" x14ac:dyDescent="0.35">
      <c r="A5" t="s">
        <v>12</v>
      </c>
      <c r="B5" s="2">
        <f>[1]results!AD6</f>
        <v>-152274.74178398619</v>
      </c>
      <c r="C5" s="2">
        <f>[1]results!AE6</f>
        <v>-400204.50709010888</v>
      </c>
      <c r="D5" s="2">
        <f>[1]results!AF6</f>
        <v>-2.6297708575663798</v>
      </c>
      <c r="E5" s="2">
        <f>[1]results!AG6</f>
        <v>-175282.55174734921</v>
      </c>
      <c r="F5" s="2">
        <f>[1]results!AH6</f>
        <v>0.52727472891447236</v>
      </c>
      <c r="H5" t="s">
        <v>12</v>
      </c>
      <c r="I5">
        <f t="shared" si="0"/>
        <v>0.93001431190265893</v>
      </c>
      <c r="J5">
        <f t="shared" si="0"/>
        <v>0.56210485449342129</v>
      </c>
      <c r="K5">
        <f t="shared" si="0"/>
        <v>0.94849154914703881</v>
      </c>
      <c r="L5">
        <f t="shared" si="0"/>
        <v>5.6466096068259156E-2</v>
      </c>
      <c r="M5">
        <f t="shared" si="0"/>
        <v>8.1960381678132285E-2</v>
      </c>
    </row>
    <row r="6" spans="1:13" x14ac:dyDescent="0.35">
      <c r="A6" t="s">
        <v>9</v>
      </c>
      <c r="B6" s="2">
        <f>[1]results!AD7</f>
        <v>-152274.74178398619</v>
      </c>
      <c r="C6" s="2">
        <f>[1]results!AE7</f>
        <v>-400204.50709010882</v>
      </c>
      <c r="D6" s="2">
        <f>[1]results!AF7</f>
        <v>-2.6297708575663798</v>
      </c>
      <c r="E6" s="2">
        <f>[1]results!AG7</f>
        <v>-175282.55174734921</v>
      </c>
      <c r="F6" s="2">
        <f>[1]results!AH7</f>
        <v>0.52727472891447225</v>
      </c>
      <c r="H6" t="s">
        <v>9</v>
      </c>
      <c r="I6">
        <f t="shared" si="0"/>
        <v>0.93001431190265893</v>
      </c>
      <c r="J6">
        <f t="shared" si="0"/>
        <v>0.5621048544934214</v>
      </c>
      <c r="K6">
        <f t="shared" si="0"/>
        <v>0.94849154914703881</v>
      </c>
      <c r="L6">
        <f t="shared" si="0"/>
        <v>5.6466096068259156E-2</v>
      </c>
      <c r="M6">
        <f t="shared" si="0"/>
        <v>8.196038167813223E-2</v>
      </c>
    </row>
    <row r="7" spans="1:13" x14ac:dyDescent="0.35">
      <c r="A7" t="s">
        <v>10</v>
      </c>
      <c r="B7" s="2">
        <f>[1]results!AD8</f>
        <v>-152274.7415890776</v>
      </c>
      <c r="C7" s="2">
        <f>[1]results!AE8</f>
        <v>-400204.50700893142</v>
      </c>
      <c r="D7" s="2">
        <f>[1]results!AF8</f>
        <v>-2.6297708563539031</v>
      </c>
      <c r="E7" s="2">
        <f>[1]results!AG8</f>
        <v>-175282.5517908425</v>
      </c>
      <c r="F7" s="2">
        <f>[1]results!AH8</f>
        <v>0.52727472817421106</v>
      </c>
      <c r="H7" t="s">
        <v>10</v>
      </c>
      <c r="I7">
        <f t="shared" si="0"/>
        <v>0.93001431230031695</v>
      </c>
      <c r="J7">
        <f t="shared" si="0"/>
        <v>0.56210485469634541</v>
      </c>
      <c r="K7">
        <f t="shared" si="0"/>
        <v>0.94849154952874604</v>
      </c>
      <c r="L7">
        <f t="shared" si="0"/>
        <v>5.6466095924294475E-2</v>
      </c>
      <c r="M7">
        <f t="shared" si="0"/>
        <v>8.1960381306614108E-2</v>
      </c>
    </row>
    <row r="8" spans="1:13" x14ac:dyDescent="0.35">
      <c r="A8" t="s">
        <v>11</v>
      </c>
      <c r="B8" s="2">
        <f>[1]results!AD9</f>
        <v>-117971.8673677115</v>
      </c>
      <c r="C8" s="2">
        <f>[1]results!AE9</f>
        <v>-385507.81105058279</v>
      </c>
      <c r="D8" s="2">
        <f>[1]results!AF9</f>
        <v>-2.466156443847519</v>
      </c>
      <c r="E8" s="2">
        <f>[1]results!AG9</f>
        <v>-192341.56997202779</v>
      </c>
      <c r="F8" s="2">
        <f>[1]results!AH9</f>
        <v>0.36396616896104639</v>
      </c>
      <c r="H8" t="s">
        <v>11</v>
      </c>
      <c r="I8">
        <f t="shared" si="0"/>
        <v>1</v>
      </c>
      <c r="J8">
        <f t="shared" si="0"/>
        <v>0.59884306850997748</v>
      </c>
      <c r="K8">
        <f t="shared" si="0"/>
        <v>1</v>
      </c>
      <c r="L8">
        <f t="shared" si="0"/>
        <v>0</v>
      </c>
      <c r="M8">
        <f t="shared" si="0"/>
        <v>0</v>
      </c>
    </row>
    <row r="9" spans="1:13" x14ac:dyDescent="0.35">
      <c r="A9" t="s">
        <v>13</v>
      </c>
      <c r="B9" s="2">
        <f>[2]results!AK4</f>
        <v>-608113.14266050921</v>
      </c>
      <c r="C9" s="2">
        <f>[2]results!AL4</f>
        <v>-625068.02890172915</v>
      </c>
      <c r="D9" s="2">
        <f>[2]results!AM4</f>
        <v>-5.642614112627415</v>
      </c>
      <c r="E9" s="2">
        <f>[2]results!AN4</f>
        <v>-165459.44921123519</v>
      </c>
      <c r="F9" s="2">
        <f>[2]results!AO4</f>
        <v>0.63571057002381026</v>
      </c>
      <c r="H9" t="s">
        <v>6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8.8980994885246925E-2</v>
      </c>
      <c r="M9">
        <f t="shared" si="0"/>
        <v>0.13638155180813194</v>
      </c>
    </row>
    <row r="10" spans="1:13" x14ac:dyDescent="0.35">
      <c r="A10" t="s">
        <v>14</v>
      </c>
      <c r="B10" s="2">
        <f>[2]results!AK5</f>
        <v>-608113.14266050921</v>
      </c>
      <c r="C10" s="2">
        <f>[2]results!AL5</f>
        <v>-625068.02890172915</v>
      </c>
      <c r="D10" s="2">
        <f>[2]results!AM5</f>
        <v>-5.642614112627415</v>
      </c>
      <c r="E10" s="2">
        <f>[2]results!AN5</f>
        <v>-165459.44921123519</v>
      </c>
      <c r="F10" s="2">
        <f>[2]results!AO5</f>
        <v>0.63571057002381026</v>
      </c>
      <c r="H10" t="s">
        <v>7</v>
      </c>
      <c r="I10">
        <f t="shared" si="0"/>
        <v>0</v>
      </c>
      <c r="J10">
        <f t="shared" si="0"/>
        <v>0</v>
      </c>
      <c r="K10">
        <f t="shared" si="0"/>
        <v>0</v>
      </c>
      <c r="L10">
        <f t="shared" si="0"/>
        <v>8.8980994885246925E-2</v>
      </c>
      <c r="M10">
        <f t="shared" si="0"/>
        <v>0.13638155180813194</v>
      </c>
    </row>
    <row r="11" spans="1:13" x14ac:dyDescent="0.35">
      <c r="A11" t="s">
        <v>15</v>
      </c>
      <c r="B11" s="2">
        <f>[2]results!AK6</f>
        <v>-608113.14266050921</v>
      </c>
      <c r="C11" s="2">
        <f>[2]results!AL6</f>
        <v>-625068.02890172915</v>
      </c>
      <c r="D11" s="2">
        <f>[2]results!AM6</f>
        <v>-5.642614112627415</v>
      </c>
      <c r="E11" s="2">
        <f>[2]results!AN6</f>
        <v>-165459.44921123519</v>
      </c>
      <c r="F11" s="2">
        <f>[2]results!AO6</f>
        <v>0.63571057002381026</v>
      </c>
      <c r="H11" t="s">
        <v>8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8.8980994885246925E-2</v>
      </c>
      <c r="M11">
        <f t="shared" si="0"/>
        <v>0.13638155180813194</v>
      </c>
    </row>
    <row r="12" spans="1:13" x14ac:dyDescent="0.35">
      <c r="A12" t="s">
        <v>16</v>
      </c>
      <c r="B12" s="2">
        <f>[2]results!AK7</f>
        <v>-608113.14266050921</v>
      </c>
      <c r="C12" s="2">
        <f>[2]results!AL7</f>
        <v>-625068.02890172915</v>
      </c>
      <c r="D12" s="2">
        <f>[2]results!AM7</f>
        <v>-5.642614112627415</v>
      </c>
      <c r="E12" s="2">
        <f>[2]results!AN7</f>
        <v>-165459.44921123519</v>
      </c>
      <c r="F12" s="2">
        <f>[2]results!AO7</f>
        <v>0.63571057002381026</v>
      </c>
      <c r="H12" t="s">
        <v>12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8.8980994885246925E-2</v>
      </c>
      <c r="M12">
        <f t="shared" si="0"/>
        <v>0.13638155180813194</v>
      </c>
    </row>
    <row r="13" spans="1:13" x14ac:dyDescent="0.35">
      <c r="A13" t="s">
        <v>17</v>
      </c>
      <c r="B13" s="2">
        <f>[2]results!AK8</f>
        <v>-608113.14266050921</v>
      </c>
      <c r="C13" s="2">
        <f>[2]results!AL8</f>
        <v>-625068.02890172915</v>
      </c>
      <c r="D13" s="2">
        <f>[2]results!AM8</f>
        <v>-5.642614112627415</v>
      </c>
      <c r="E13" s="2">
        <f>[2]results!AN8</f>
        <v>-165459.44921123519</v>
      </c>
      <c r="F13" s="2">
        <f>[2]results!AO8</f>
        <v>0.63571057002381026</v>
      </c>
      <c r="H13" t="s">
        <v>9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8.8980994885246925E-2</v>
      </c>
      <c r="M13">
        <f t="shared" si="0"/>
        <v>0.13638155180813194</v>
      </c>
    </row>
    <row r="14" spans="1:13" x14ac:dyDescent="0.35">
      <c r="A14" t="s">
        <v>18</v>
      </c>
      <c r="B14" s="2">
        <f>[2]results!AK9</f>
        <v>-608113.14266050921</v>
      </c>
      <c r="C14" s="2">
        <f>[2]results!AL9</f>
        <v>-625068.02890172915</v>
      </c>
      <c r="D14" s="2">
        <f>[2]results!AM9</f>
        <v>-5.642614112627415</v>
      </c>
      <c r="E14" s="2">
        <f>[2]results!AN9</f>
        <v>-165459.44921123519</v>
      </c>
      <c r="F14" s="2">
        <f>[2]results!AO9</f>
        <v>0.63571057002381026</v>
      </c>
      <c r="H14" t="s">
        <v>10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8.8980994885246925E-2</v>
      </c>
      <c r="M14">
        <f t="shared" si="0"/>
        <v>0.13638155180813194</v>
      </c>
    </row>
    <row r="15" spans="1:13" x14ac:dyDescent="0.35">
      <c r="A15" t="s">
        <v>19</v>
      </c>
      <c r="B15" s="2">
        <f>[2]results!AK10</f>
        <v>-608113.14266050921</v>
      </c>
      <c r="C15" s="2">
        <f>[2]results!AL10</f>
        <v>-625068.02890172915</v>
      </c>
      <c r="D15" s="2">
        <f>[2]results!AM10</f>
        <v>-5.642614112627415</v>
      </c>
      <c r="E15" s="2">
        <f>[2]results!AN10</f>
        <v>-165459.44921123519</v>
      </c>
      <c r="F15" s="2">
        <f>[2]results!AO10</f>
        <v>0.63571057002381026</v>
      </c>
      <c r="H15" t="s">
        <v>11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8.8980994885246925E-2</v>
      </c>
      <c r="M15">
        <f t="shared" si="0"/>
        <v>0.13638155180813194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0A70-16E2-41FA-B795-DDC71CE18097}">
  <dimension ref="A1:M15"/>
  <sheetViews>
    <sheetView workbookViewId="0">
      <selection activeCell="B9" sqref="B9:F15"/>
    </sheetView>
  </sheetViews>
  <sheetFormatPr baseColWidth="10" defaultRowHeight="14.5" x14ac:dyDescent="0.35"/>
  <cols>
    <col min="1" max="1" width="18.6328125" bestFit="1" customWidth="1"/>
    <col min="8" max="8" width="19.6328125" customWidth="1"/>
  </cols>
  <sheetData>
    <row r="1" spans="1:13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t="s">
        <v>0</v>
      </c>
      <c r="J1" t="s">
        <v>1</v>
      </c>
      <c r="K1" t="s">
        <v>2</v>
      </c>
      <c r="L1" t="s">
        <v>4</v>
      </c>
      <c r="M1" t="s">
        <v>5</v>
      </c>
    </row>
    <row r="2" spans="1:13" x14ac:dyDescent="0.35">
      <c r="A2" t="s">
        <v>6</v>
      </c>
      <c r="B2" s="2">
        <f>[3]results!AD4</f>
        <v>-768179.85353884823</v>
      </c>
      <c r="C2" s="2">
        <f>[3]results!AE4</f>
        <v>-381253.32283796958</v>
      </c>
      <c r="D2" s="2">
        <f>[3]results!AF4</f>
        <v>-4.6226147683854473</v>
      </c>
      <c r="E2" s="2">
        <f>[3]results!AG4</f>
        <v>58552.234965922857</v>
      </c>
      <c r="F2" s="2">
        <f>[3]results!AH4</f>
        <v>1.7274448256697681</v>
      </c>
      <c r="H2" t="s">
        <v>6</v>
      </c>
      <c r="I2">
        <f>(B2-MIN(B$2:B$15))/(MAX(B$2:B$15)-MIN(B$2:B$15))</f>
        <v>0</v>
      </c>
      <c r="J2">
        <f>(C2-MIN(C$2:C$15))/(MAX(C$2:C$15)-MIN(C$2:C$15))</f>
        <v>1</v>
      </c>
      <c r="K2">
        <f>(D2-MIN(D$2:D$15))/(MAX(D$2:D$15)-MIN(D$2:D$15))</f>
        <v>1</v>
      </c>
      <c r="L2">
        <f>(E2-MIN(E$2:E$15))/(MAX(E$2:E$15)-MIN(E$2:E$15))</f>
        <v>1</v>
      </c>
      <c r="M2">
        <f>(F2-MIN(F$2:F$15))/(MAX(F$2:F$15)-MIN(F$2:F$15))</f>
        <v>1</v>
      </c>
    </row>
    <row r="3" spans="1:13" x14ac:dyDescent="0.35">
      <c r="A3" t="s">
        <v>7</v>
      </c>
      <c r="B3" s="2">
        <f>[3]results!AD5</f>
        <v>-539361.45806396857</v>
      </c>
      <c r="C3" s="2">
        <f>[3]results!AE5</f>
        <v>-508573.65110909048</v>
      </c>
      <c r="D3" s="2">
        <f>[3]results!AF5</f>
        <v>-4.6482459715826634</v>
      </c>
      <c r="E3" s="2">
        <f>[3]results!AG5</f>
        <v>-165777.421386984</v>
      </c>
      <c r="F3" s="2">
        <f>[3]results!AH5</f>
        <v>0.40289240963853928</v>
      </c>
      <c r="H3" t="s">
        <v>7</v>
      </c>
      <c r="I3">
        <f t="shared" ref="I3:M15" si="0">(B3-MIN(B$2:B$15))/(MAX(B$2:B$15)-MIN(B$2:B$15))</f>
        <v>1</v>
      </c>
      <c r="J3">
        <f t="shared" si="0"/>
        <v>0.48060565214416351</v>
      </c>
      <c r="K3">
        <f t="shared" si="0"/>
        <v>0.97715586155231038</v>
      </c>
      <c r="L3">
        <f t="shared" si="0"/>
        <v>2.3500930489089189E-2</v>
      </c>
      <c r="M3">
        <f t="shared" si="0"/>
        <v>0</v>
      </c>
    </row>
    <row r="4" spans="1:13" x14ac:dyDescent="0.35">
      <c r="A4" t="s">
        <v>8</v>
      </c>
      <c r="B4" s="2">
        <f>[3]results!AD6</f>
        <v>-549802.4574980553</v>
      </c>
      <c r="C4" s="2">
        <f>[3]results!AE6</f>
        <v>-503232.21842567192</v>
      </c>
      <c r="D4" s="2">
        <f>[3]results!AF6</f>
        <v>-4.649705170188855</v>
      </c>
      <c r="E4" s="2">
        <f>[3]results!AG6</f>
        <v>-155986.01897814759</v>
      </c>
      <c r="F4" s="2">
        <f>[3]results!AH6</f>
        <v>0.46103133915119338</v>
      </c>
      <c r="H4" t="s">
        <v>8</v>
      </c>
      <c r="I4">
        <f t="shared" si="0"/>
        <v>0.9543699298632965</v>
      </c>
      <c r="J4">
        <f t="shared" si="0"/>
        <v>0.50239565208284032</v>
      </c>
      <c r="K4">
        <f t="shared" si="0"/>
        <v>0.97585533208726616</v>
      </c>
      <c r="L4">
        <f t="shared" si="0"/>
        <v>6.612255928699623E-2</v>
      </c>
      <c r="M4">
        <f t="shared" si="0"/>
        <v>4.3893264478620193E-2</v>
      </c>
    </row>
    <row r="5" spans="1:13" x14ac:dyDescent="0.35">
      <c r="A5" t="s">
        <v>12</v>
      </c>
      <c r="B5" s="2">
        <f>[3]results!AD7</f>
        <v>-539361.45806396857</v>
      </c>
      <c r="C5" s="2">
        <f>[3]results!AE7</f>
        <v>-508573.65110909048</v>
      </c>
      <c r="D5" s="2">
        <f>[3]results!AF7</f>
        <v>-4.6482459715826634</v>
      </c>
      <c r="E5" s="2">
        <f>[3]results!AG7</f>
        <v>-165777.421386984</v>
      </c>
      <c r="F5" s="2">
        <f>[3]results!AH7</f>
        <v>0.40289240963853928</v>
      </c>
      <c r="H5" t="s">
        <v>12</v>
      </c>
      <c r="I5">
        <f t="shared" si="0"/>
        <v>1</v>
      </c>
      <c r="J5">
        <f t="shared" si="0"/>
        <v>0.48060565214416351</v>
      </c>
      <c r="K5">
        <f t="shared" si="0"/>
        <v>0.97715586155231038</v>
      </c>
      <c r="L5">
        <f t="shared" si="0"/>
        <v>2.3500930489089189E-2</v>
      </c>
      <c r="M5">
        <f t="shared" si="0"/>
        <v>0</v>
      </c>
    </row>
    <row r="6" spans="1:13" x14ac:dyDescent="0.35">
      <c r="A6" t="s">
        <v>9</v>
      </c>
      <c r="B6" s="2">
        <f>[3]results!AD8</f>
        <v>-539361.45806396857</v>
      </c>
      <c r="C6" s="2">
        <f>[3]results!AE8</f>
        <v>-508573.65110909048</v>
      </c>
      <c r="D6" s="2">
        <f>[3]results!AF8</f>
        <v>-4.6482459715826634</v>
      </c>
      <c r="E6" s="2">
        <f>[3]results!AG8</f>
        <v>-165777.421386984</v>
      </c>
      <c r="F6" s="2">
        <f>[3]results!AH8</f>
        <v>0.40289240963853928</v>
      </c>
      <c r="H6" t="s">
        <v>9</v>
      </c>
      <c r="I6">
        <f t="shared" si="0"/>
        <v>1</v>
      </c>
      <c r="J6">
        <f t="shared" si="0"/>
        <v>0.48060565214416351</v>
      </c>
      <c r="K6">
        <f t="shared" si="0"/>
        <v>0.97715586155231038</v>
      </c>
      <c r="L6">
        <f t="shared" si="0"/>
        <v>2.3500930489089189E-2</v>
      </c>
      <c r="M6">
        <f t="shared" si="0"/>
        <v>0</v>
      </c>
    </row>
    <row r="7" spans="1:13" x14ac:dyDescent="0.35">
      <c r="A7" t="s">
        <v>10</v>
      </c>
      <c r="B7" s="2">
        <f>[3]results!AD9</f>
        <v>-545132.66591350711</v>
      </c>
      <c r="C7" s="2">
        <f>[3]results!AE9</f>
        <v>-505651.14924383751</v>
      </c>
      <c r="D7" s="2">
        <f>[3]results!AF9</f>
        <v>-4.649220675868567</v>
      </c>
      <c r="E7" s="2">
        <f>[3]results!AG9</f>
        <v>-160393.72356882799</v>
      </c>
      <c r="F7" s="2">
        <f>[3]results!AH9</f>
        <v>0.43488125533277239</v>
      </c>
      <c r="H7" t="s">
        <v>10</v>
      </c>
      <c r="I7">
        <f t="shared" si="0"/>
        <v>0.97477821729515568</v>
      </c>
      <c r="J7">
        <f t="shared" si="0"/>
        <v>0.49252779349442921</v>
      </c>
      <c r="K7">
        <f t="shared" si="0"/>
        <v>0.97628714386155613</v>
      </c>
      <c r="L7">
        <f t="shared" si="0"/>
        <v>4.6935976908840653E-2</v>
      </c>
      <c r="M7">
        <f t="shared" si="0"/>
        <v>2.4150683134218004E-2</v>
      </c>
    </row>
    <row r="8" spans="1:13" x14ac:dyDescent="0.35">
      <c r="A8" t="s">
        <v>11</v>
      </c>
      <c r="B8" s="2">
        <f>[3]results!AD10</f>
        <v>-539361.45806396857</v>
      </c>
      <c r="C8" s="2">
        <f>[3]results!AE10</f>
        <v>-508573.65110909048</v>
      </c>
      <c r="D8" s="2">
        <f>[3]results!AF10</f>
        <v>-4.6482459715826634</v>
      </c>
      <c r="E8" s="2">
        <f>[3]results!AG10</f>
        <v>-165777.421386984</v>
      </c>
      <c r="F8" s="2">
        <f>[3]results!AH10</f>
        <v>0.40289240963853928</v>
      </c>
      <c r="H8" t="s">
        <v>11</v>
      </c>
      <c r="I8">
        <f t="shared" si="0"/>
        <v>1</v>
      </c>
      <c r="J8">
        <f t="shared" si="0"/>
        <v>0.48060565214416351</v>
      </c>
      <c r="K8">
        <f t="shared" si="0"/>
        <v>0.97715586155231038</v>
      </c>
      <c r="L8">
        <f t="shared" si="0"/>
        <v>2.3500930489089189E-2</v>
      </c>
      <c r="M8">
        <f t="shared" si="0"/>
        <v>0</v>
      </c>
    </row>
    <row r="9" spans="1:13" x14ac:dyDescent="0.35">
      <c r="A9" t="s">
        <v>13</v>
      </c>
      <c r="B9" s="2">
        <f>[4]results!AK4</f>
        <v>-768179.85353884823</v>
      </c>
      <c r="C9" s="2">
        <f>[4]results!AL4</f>
        <v>-381253.32283796958</v>
      </c>
      <c r="D9" s="2">
        <f>[4]results!AM4</f>
        <v>-4.6226147683854473</v>
      </c>
      <c r="E9" s="2">
        <f>[4]results!AN4</f>
        <v>58552.234965922857</v>
      </c>
      <c r="F9" s="2">
        <f>[4]results!AO4</f>
        <v>1.7274448256697681</v>
      </c>
      <c r="H9" t="s">
        <v>6</v>
      </c>
      <c r="I9">
        <f t="shared" si="0"/>
        <v>0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</row>
    <row r="10" spans="1:13" x14ac:dyDescent="0.35">
      <c r="A10" t="s">
        <v>14</v>
      </c>
      <c r="B10" s="2">
        <f>[4]results!AK5</f>
        <v>-634031.48587802402</v>
      </c>
      <c r="C10" s="2">
        <f>[4]results!AL5</f>
        <v>-626385.6173974399</v>
      </c>
      <c r="D10" s="2">
        <f>[4]results!AM5</f>
        <v>-5.7397424705023239</v>
      </c>
      <c r="E10" s="2">
        <f>[4]results!AN5</f>
        <v>-170884.1705219007</v>
      </c>
      <c r="F10" s="2">
        <f>[4]results!AO5</f>
        <v>0.61772383195463199</v>
      </c>
      <c r="H10" t="s">
        <v>7</v>
      </c>
      <c r="I10">
        <f t="shared" si="0"/>
        <v>0.58626566007692948</v>
      </c>
      <c r="J10">
        <f t="shared" si="0"/>
        <v>0</v>
      </c>
      <c r="K10">
        <f t="shared" si="0"/>
        <v>4.3456136433337863E-3</v>
      </c>
      <c r="L10">
        <f t="shared" si="0"/>
        <v>1.2714319040832913E-3</v>
      </c>
      <c r="M10">
        <f t="shared" si="0"/>
        <v>0.16219171073636671</v>
      </c>
    </row>
    <row r="11" spans="1:13" x14ac:dyDescent="0.35">
      <c r="A11" t="s">
        <v>15</v>
      </c>
      <c r="B11" s="2">
        <f>[4]results!AK6</f>
        <v>-635489.74845376587</v>
      </c>
      <c r="C11" s="2">
        <f>[4]results!AL6</f>
        <v>-626373.71185913985</v>
      </c>
      <c r="D11" s="2">
        <f>[4]results!AM6</f>
        <v>-5.7446182642016108</v>
      </c>
      <c r="E11" s="2">
        <f>[4]results!AN6</f>
        <v>-171176.25465287891</v>
      </c>
      <c r="F11" s="2">
        <f>[4]results!AO6</f>
        <v>0.61689191499457596</v>
      </c>
      <c r="H11" t="s">
        <v>8</v>
      </c>
      <c r="I11">
        <f t="shared" si="0"/>
        <v>0.57989264722227918</v>
      </c>
      <c r="J11">
        <f t="shared" si="0"/>
        <v>4.8567808339769535E-5</v>
      </c>
      <c r="K11">
        <f t="shared" si="0"/>
        <v>0</v>
      </c>
      <c r="L11">
        <f t="shared" si="0"/>
        <v>0</v>
      </c>
      <c r="M11">
        <f t="shared" si="0"/>
        <v>0.16156363671680565</v>
      </c>
    </row>
    <row r="12" spans="1:13" x14ac:dyDescent="0.35">
      <c r="A12" t="s">
        <v>16</v>
      </c>
      <c r="B12" s="2">
        <f>[4]results!AK7</f>
        <v>-635489.74845376587</v>
      </c>
      <c r="C12" s="2">
        <f>[4]results!AL7</f>
        <v>-626373.71185913985</v>
      </c>
      <c r="D12" s="2">
        <f>[4]results!AM7</f>
        <v>-5.7446182642016108</v>
      </c>
      <c r="E12" s="2">
        <f>[4]results!AN7</f>
        <v>-171176.25465287891</v>
      </c>
      <c r="F12" s="2">
        <f>[4]results!AO7</f>
        <v>0.61689191499457596</v>
      </c>
      <c r="H12" t="s">
        <v>12</v>
      </c>
      <c r="I12">
        <f t="shared" si="0"/>
        <v>0.57989264722227918</v>
      </c>
      <c r="J12">
        <f t="shared" si="0"/>
        <v>4.8567808339769535E-5</v>
      </c>
      <c r="K12">
        <f t="shared" si="0"/>
        <v>0</v>
      </c>
      <c r="L12">
        <f t="shared" si="0"/>
        <v>0</v>
      </c>
      <c r="M12">
        <f t="shared" si="0"/>
        <v>0.16156363671680565</v>
      </c>
    </row>
    <row r="13" spans="1:13" x14ac:dyDescent="0.35">
      <c r="A13" t="s">
        <v>17</v>
      </c>
      <c r="B13" s="2">
        <f>[4]results!AK8</f>
        <v>-635489.74845376587</v>
      </c>
      <c r="C13" s="2">
        <f>[4]results!AL8</f>
        <v>-626373.71185913985</v>
      </c>
      <c r="D13" s="2">
        <f>[4]results!AM8</f>
        <v>-5.7446182642016108</v>
      </c>
      <c r="E13" s="2">
        <f>[4]results!AN8</f>
        <v>-171176.25465287891</v>
      </c>
      <c r="F13" s="2">
        <f>[4]results!AO8</f>
        <v>0.61689191499457596</v>
      </c>
      <c r="H13" t="s">
        <v>9</v>
      </c>
      <c r="I13">
        <f t="shared" si="0"/>
        <v>0.57989264722227918</v>
      </c>
      <c r="J13">
        <f t="shared" si="0"/>
        <v>4.8567808339769535E-5</v>
      </c>
      <c r="K13">
        <f t="shared" si="0"/>
        <v>0</v>
      </c>
      <c r="L13">
        <f t="shared" si="0"/>
        <v>0</v>
      </c>
      <c r="M13">
        <f t="shared" si="0"/>
        <v>0.16156363671680565</v>
      </c>
    </row>
    <row r="14" spans="1:13" x14ac:dyDescent="0.35">
      <c r="A14" t="s">
        <v>18</v>
      </c>
      <c r="B14" s="2">
        <f>[4]results!AK9</f>
        <v>-635489.74845376587</v>
      </c>
      <c r="C14" s="2">
        <f>[4]results!AL9</f>
        <v>-626373.71185913985</v>
      </c>
      <c r="D14" s="2">
        <f>[4]results!AM9</f>
        <v>-5.7446182642016108</v>
      </c>
      <c r="E14" s="2">
        <f>[4]results!AN9</f>
        <v>-171176.25465287891</v>
      </c>
      <c r="F14" s="2">
        <f>[4]results!AO9</f>
        <v>0.61689191499457596</v>
      </c>
      <c r="H14" t="s">
        <v>10</v>
      </c>
      <c r="I14">
        <f t="shared" si="0"/>
        <v>0.57989264722227918</v>
      </c>
      <c r="J14">
        <f t="shared" si="0"/>
        <v>4.8567808339769535E-5</v>
      </c>
      <c r="K14">
        <f t="shared" si="0"/>
        <v>0</v>
      </c>
      <c r="L14">
        <f t="shared" si="0"/>
        <v>0</v>
      </c>
      <c r="M14">
        <f t="shared" si="0"/>
        <v>0.16156363671680565</v>
      </c>
    </row>
    <row r="15" spans="1:13" x14ac:dyDescent="0.35">
      <c r="A15" t="s">
        <v>19</v>
      </c>
      <c r="B15" s="2">
        <f>[4]results!AK10</f>
        <v>-635489.74845376587</v>
      </c>
      <c r="C15" s="2">
        <f>[4]results!AL10</f>
        <v>-626373.71185913985</v>
      </c>
      <c r="D15" s="2">
        <f>[4]results!AM10</f>
        <v>-5.7446182642016108</v>
      </c>
      <c r="E15" s="2">
        <f>[4]results!AN10</f>
        <v>-171176.25465287891</v>
      </c>
      <c r="F15" s="2">
        <f>[4]results!AO10</f>
        <v>0.61689191499457596</v>
      </c>
      <c r="H15" t="s">
        <v>11</v>
      </c>
      <c r="I15">
        <f t="shared" si="0"/>
        <v>0.57989264722227918</v>
      </c>
      <c r="J15">
        <f t="shared" si="0"/>
        <v>4.8567808339769535E-5</v>
      </c>
      <c r="K15">
        <f t="shared" si="0"/>
        <v>0</v>
      </c>
      <c r="L15">
        <f t="shared" si="0"/>
        <v>0</v>
      </c>
      <c r="M15">
        <f t="shared" si="0"/>
        <v>0.16156363671680565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1DAF-7BBC-44F7-8A75-9D14F9B9D504}">
  <dimension ref="A1:M15"/>
  <sheetViews>
    <sheetView tabSelected="1" zoomScale="80" zoomScaleNormal="80" workbookViewId="0">
      <selection activeCell="S33" sqref="S33"/>
    </sheetView>
  </sheetViews>
  <sheetFormatPr baseColWidth="10" defaultRowHeight="14.5" x14ac:dyDescent="0.35"/>
  <cols>
    <col min="1" max="1" width="18.6328125" bestFit="1" customWidth="1"/>
    <col min="8" max="8" width="21.26953125" customWidth="1"/>
  </cols>
  <sheetData>
    <row r="1" spans="1:13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t="s">
        <v>0</v>
      </c>
      <c r="J1" t="s">
        <v>1</v>
      </c>
      <c r="K1" t="s">
        <v>2</v>
      </c>
      <c r="L1" t="s">
        <v>4</v>
      </c>
      <c r="M1" t="s">
        <v>5</v>
      </c>
    </row>
    <row r="2" spans="1:13" x14ac:dyDescent="0.35">
      <c r="A2" t="s">
        <v>6</v>
      </c>
      <c r="B2" s="2">
        <f>[5]results!AD4</f>
        <v>-818093.70361632097</v>
      </c>
      <c r="C2" s="2">
        <f>[5]results!AE4</f>
        <v>-393131.57978474197</v>
      </c>
      <c r="D2" s="2">
        <f>[5]results!AF4</f>
        <v>-5.000279529603894</v>
      </c>
      <c r="E2" s="2">
        <f>[5]results!AG4</f>
        <v>163042.81900663199</v>
      </c>
      <c r="F2" s="2">
        <f>[5]results!AH4</f>
        <v>2.4952662973280328</v>
      </c>
      <c r="H2" t="s">
        <v>6</v>
      </c>
      <c r="I2">
        <f>(B2-MIN(B$2:B$15))/(MAX(B$2:B$15)-MIN(B$2:B$15))</f>
        <v>0.12669586117467163</v>
      </c>
      <c r="J2">
        <f>(C2-MIN(C$2:C$15))/(MAX(C$2:C$15)-MIN(C$2:C$15))</f>
        <v>0.71403165023078474</v>
      </c>
      <c r="K2">
        <f>(D2-MIN(D$2:D$15))/(MAX(D$2:D$15)-MIN(D$2:D$15))</f>
        <v>0.53665312105827134</v>
      </c>
      <c r="L2">
        <f>(E2-MIN(E$2:E$15))/(MAX(E$2:E$15)-MIN(E$2:E$15))</f>
        <v>0.96737895397584039</v>
      </c>
      <c r="M2">
        <f>(F2-MIN(F$2:F$15))/(MAX(F$2:F$15)-MIN(F$2:F$15))</f>
        <v>0.84058607027633225</v>
      </c>
    </row>
    <row r="3" spans="1:13" x14ac:dyDescent="0.35">
      <c r="A3" t="s">
        <v>7</v>
      </c>
      <c r="B3" s="2">
        <f>[5]results!AD5</f>
        <v>-206547.64447281981</v>
      </c>
      <c r="C3" s="2">
        <f>[5]results!AE5</f>
        <v>-472723.10069549771</v>
      </c>
      <c r="D3" s="2">
        <f>[5]results!AF5</f>
        <v>-3.4813193291665132</v>
      </c>
      <c r="E3" s="2">
        <f>[5]results!AG5</f>
        <v>-175282.76632134159</v>
      </c>
      <c r="F3" s="2">
        <f>[5]results!AH5</f>
        <v>0.52727472817421117</v>
      </c>
      <c r="H3" t="s">
        <v>7</v>
      </c>
      <c r="I3">
        <f t="shared" ref="I3:I15" si="0">(B3-MIN(B$2:B$15))/(MAX(B$2:B$15)-MIN(B$2:B$15))</f>
        <v>0.97395646770379629</v>
      </c>
      <c r="J3">
        <f t="shared" ref="J3:J15" si="1">(C3-MIN(C$2:C$15))/(MAX(C$2:C$15)-MIN(C$2:C$15))</f>
        <v>0.51925720145508092</v>
      </c>
      <c r="K3">
        <f t="shared" ref="K3:K15" si="2">(D3-MIN(D$2:D$15))/(MAX(D$2:D$15)-MIN(D$2:D$15))</f>
        <v>0.97291157463054956</v>
      </c>
      <c r="L3">
        <f t="shared" ref="L3:L15" si="3">(E3-MIN(E$2:E$15))/(MAX(E$2:E$15)-MIN(E$2:E$15))</f>
        <v>1.7161195344656002E-2</v>
      </c>
      <c r="M3">
        <f t="shared" ref="M3:M15" si="4">(F3-MIN(F$2:F$15))/(MAX(F$2:F$15)-MIN(F$2:F$15))</f>
        <v>5.0133857430790692E-2</v>
      </c>
    </row>
    <row r="4" spans="1:13" x14ac:dyDescent="0.35">
      <c r="A4" t="s">
        <v>8</v>
      </c>
      <c r="B4" s="2">
        <f>[5]results!AD6</f>
        <v>-818093.70361632097</v>
      </c>
      <c r="C4" s="2">
        <f>[5]results!AE6</f>
        <v>-393131.57978474197</v>
      </c>
      <c r="D4" s="2">
        <f>[5]results!AF6</f>
        <v>-5.000279529603894</v>
      </c>
      <c r="E4" s="2">
        <f>[5]results!AG6</f>
        <v>163042.81900663199</v>
      </c>
      <c r="F4" s="2">
        <f>[5]results!AH6</f>
        <v>2.4952662973280328</v>
      </c>
      <c r="H4" t="s">
        <v>8</v>
      </c>
      <c r="I4">
        <f t="shared" si="0"/>
        <v>0.12669586117467163</v>
      </c>
      <c r="J4">
        <f t="shared" si="1"/>
        <v>0.71403165023078474</v>
      </c>
      <c r="K4">
        <f t="shared" si="2"/>
        <v>0.53665312105827134</v>
      </c>
      <c r="L4">
        <f t="shared" si="3"/>
        <v>0.96737895397584039</v>
      </c>
      <c r="M4">
        <f t="shared" si="4"/>
        <v>0.84058607027633225</v>
      </c>
    </row>
    <row r="5" spans="1:13" x14ac:dyDescent="0.35">
      <c r="A5" t="s">
        <v>12</v>
      </c>
      <c r="B5" s="2">
        <f>[5]results!AD7</f>
        <v>-721123.90716989816</v>
      </c>
      <c r="C5" s="2">
        <f>[5]results!AE7</f>
        <v>-437095.04996141582</v>
      </c>
      <c r="D5" s="2">
        <f>[5]results!AF7</f>
        <v>-4.8756795012192589</v>
      </c>
      <c r="E5" s="2">
        <f>[5]results!AG7</f>
        <v>99537.154556529626</v>
      </c>
      <c r="F5" s="2">
        <f>[5]results!AH7</f>
        <v>2.3564966604137632</v>
      </c>
      <c r="H5" t="s">
        <v>12</v>
      </c>
      <c r="I5">
        <f t="shared" si="0"/>
        <v>0.26104173312300699</v>
      </c>
      <c r="J5">
        <f t="shared" si="1"/>
        <v>0.60644530721404299</v>
      </c>
      <c r="K5">
        <f t="shared" si="2"/>
        <v>0.5724393224890203</v>
      </c>
      <c r="L5">
        <f t="shared" si="3"/>
        <v>0.78901759807760841</v>
      </c>
      <c r="M5">
        <f t="shared" si="4"/>
        <v>0.7848486533615735</v>
      </c>
    </row>
    <row r="6" spans="1:13" x14ac:dyDescent="0.35">
      <c r="A6" t="s">
        <v>9</v>
      </c>
      <c r="B6" s="2">
        <f>[5]results!AD8</f>
        <v>-206547.64447281981</v>
      </c>
      <c r="C6" s="2">
        <f>[5]results!AE8</f>
        <v>-472723.10069549771</v>
      </c>
      <c r="D6" s="2">
        <f>[5]results!AF8</f>
        <v>-3.4813193291665132</v>
      </c>
      <c r="E6" s="2">
        <f>[5]results!AG8</f>
        <v>-175282.76632134159</v>
      </c>
      <c r="F6" s="2">
        <f>[5]results!AH8</f>
        <v>0.52727472817421117</v>
      </c>
      <c r="H6" t="s">
        <v>9</v>
      </c>
      <c r="I6">
        <f t="shared" si="0"/>
        <v>0.97395646770379629</v>
      </c>
      <c r="J6">
        <f t="shared" si="1"/>
        <v>0.51925720145508092</v>
      </c>
      <c r="K6">
        <f t="shared" si="2"/>
        <v>0.97291157463054956</v>
      </c>
      <c r="L6">
        <f t="shared" si="3"/>
        <v>1.7161195344656002E-2</v>
      </c>
      <c r="M6">
        <f t="shared" si="4"/>
        <v>5.0133857430790692E-2</v>
      </c>
    </row>
    <row r="7" spans="1:13" x14ac:dyDescent="0.35">
      <c r="A7" t="s">
        <v>10</v>
      </c>
      <c r="B7" s="2">
        <f>[5]results!AD9</f>
        <v>-598443.87065936555</v>
      </c>
      <c r="C7" s="2">
        <f>[5]results!AE9</f>
        <v>-276275.10280052898</v>
      </c>
      <c r="D7" s="2">
        <f>[5]results!AF9</f>
        <v>-3.914218080882633</v>
      </c>
      <c r="E7" s="2">
        <f>[5]results!AG9</f>
        <v>87649.014450924733</v>
      </c>
      <c r="F7" s="2">
        <f>[5]results!AH9</f>
        <v>0.99037633251015689</v>
      </c>
      <c r="H7" t="s">
        <v>10</v>
      </c>
      <c r="I7">
        <f t="shared" si="0"/>
        <v>0.43100760991813275</v>
      </c>
      <c r="J7">
        <f t="shared" si="1"/>
        <v>1</v>
      </c>
      <c r="K7">
        <f t="shared" si="2"/>
        <v>0.84857932423803528</v>
      </c>
      <c r="L7">
        <f t="shared" si="3"/>
        <v>0.75562869006909728</v>
      </c>
      <c r="M7">
        <f t="shared" si="4"/>
        <v>0.23614059326099732</v>
      </c>
    </row>
    <row r="8" spans="1:13" x14ac:dyDescent="0.35">
      <c r="A8" t="s">
        <v>11</v>
      </c>
      <c r="B8" s="2">
        <f>[5]results!AD10</f>
        <v>-187749.62716954219</v>
      </c>
      <c r="C8" s="2">
        <f>[5]results!AE10</f>
        <v>-462573.42160036502</v>
      </c>
      <c r="D8" s="2">
        <f>[5]results!AF10</f>
        <v>-3.3870031280894</v>
      </c>
      <c r="E8" s="2">
        <f>[5]results!AG10</f>
        <v>-181393.0198997132</v>
      </c>
      <c r="F8" s="2">
        <f>[5]results!AH10</f>
        <v>0.4024562924109919</v>
      </c>
      <c r="H8" t="s">
        <v>11</v>
      </c>
      <c r="I8">
        <f t="shared" si="0"/>
        <v>1</v>
      </c>
      <c r="J8">
        <f t="shared" si="1"/>
        <v>0.54409525114157209</v>
      </c>
      <c r="K8">
        <f t="shared" si="2"/>
        <v>1</v>
      </c>
      <c r="L8">
        <f t="shared" si="3"/>
        <v>0</v>
      </c>
      <c r="M8">
        <f t="shared" si="4"/>
        <v>0</v>
      </c>
    </row>
    <row r="9" spans="1:13" x14ac:dyDescent="0.35">
      <c r="A9" t="s">
        <v>13</v>
      </c>
      <c r="B9" s="2">
        <f>[6]results!AK3</f>
        <v>-909541.78229965246</v>
      </c>
      <c r="C9" s="2">
        <f>[6]results!AL3</f>
        <v>-450390.30490598618</v>
      </c>
      <c r="D9" s="2">
        <f>[6]results!AM3</f>
        <v>-5.5315918548801939</v>
      </c>
      <c r="E9" s="2">
        <f>[6]results!AN3</f>
        <v>174657.56140634569</v>
      </c>
      <c r="F9" s="2">
        <f>[6]results!AO3</f>
        <v>2.8921597016395739</v>
      </c>
      <c r="H9" t="s">
        <v>6</v>
      </c>
      <c r="I9">
        <f t="shared" si="0"/>
        <v>0</v>
      </c>
      <c r="J9">
        <f t="shared" si="1"/>
        <v>0.5739094802373883</v>
      </c>
      <c r="K9">
        <f t="shared" si="2"/>
        <v>0.3840556446252571</v>
      </c>
      <c r="L9">
        <f t="shared" si="3"/>
        <v>1</v>
      </c>
      <c r="M9">
        <f t="shared" si="4"/>
        <v>1</v>
      </c>
    </row>
    <row r="10" spans="1:13" x14ac:dyDescent="0.35">
      <c r="A10" t="s">
        <v>14</v>
      </c>
      <c r="B10" s="2">
        <f>[6]results!AK4</f>
        <v>-644442.1846872702</v>
      </c>
      <c r="C10" s="2">
        <f>[6]results!AL4</f>
        <v>-684909.40473820688</v>
      </c>
      <c r="D10" s="2">
        <f>[6]results!AM4</f>
        <v>-6.364898685252375</v>
      </c>
      <c r="E10" s="2">
        <f>[6]results!AN4</f>
        <v>-165459.6313217275</v>
      </c>
      <c r="F10" s="2">
        <f>[6]results!AO4</f>
        <v>0.63571057002381026</v>
      </c>
      <c r="H10" t="s">
        <v>7</v>
      </c>
      <c r="I10">
        <f t="shared" si="0"/>
        <v>0.36727968810438988</v>
      </c>
      <c r="J10">
        <f t="shared" si="1"/>
        <v>0</v>
      </c>
      <c r="K10">
        <f t="shared" si="2"/>
        <v>0.1447227450109651</v>
      </c>
      <c r="L10">
        <f t="shared" si="3"/>
        <v>4.4750351254979275E-2</v>
      </c>
      <c r="M10">
        <f t="shared" si="4"/>
        <v>9.3687576097705005E-2</v>
      </c>
    </row>
    <row r="11" spans="1:13" x14ac:dyDescent="0.35">
      <c r="A11" t="s">
        <v>15</v>
      </c>
      <c r="B11" s="2">
        <f>[6]results!AK5</f>
        <v>-851589.58048812114</v>
      </c>
      <c r="C11" s="2">
        <f>[6]results!AL5</f>
        <v>-660654.74717186799</v>
      </c>
      <c r="D11" s="2">
        <f>[6]results!AM5</f>
        <v>-6.8687928515880721</v>
      </c>
      <c r="E11" s="2">
        <f>[6]results!AN5</f>
        <v>43053.317941363552</v>
      </c>
      <c r="F11" s="2">
        <f>[6]results!AO5</f>
        <v>2.6150602038266331</v>
      </c>
      <c r="H11" t="s">
        <v>8</v>
      </c>
      <c r="I11">
        <f t="shared" si="0"/>
        <v>8.0289320685516266E-2</v>
      </c>
      <c r="J11">
        <f t="shared" si="1"/>
        <v>5.9355412532250039E-2</v>
      </c>
      <c r="K11">
        <f t="shared" si="2"/>
        <v>0</v>
      </c>
      <c r="L11">
        <f t="shared" si="3"/>
        <v>0.63037767560374813</v>
      </c>
      <c r="M11">
        <f t="shared" si="4"/>
        <v>0.8887018040840462</v>
      </c>
    </row>
    <row r="12" spans="1:13" x14ac:dyDescent="0.35">
      <c r="A12" t="s">
        <v>16</v>
      </c>
      <c r="B12" s="2">
        <f>[6]results!AK6</f>
        <v>-851589.58048812114</v>
      </c>
      <c r="C12" s="2">
        <f>[6]results!AL6</f>
        <v>-660654.74717186799</v>
      </c>
      <c r="D12" s="2">
        <f>[6]results!AM6</f>
        <v>-6.8687928515880721</v>
      </c>
      <c r="E12" s="2">
        <f>[6]results!AN6</f>
        <v>43053.317941363552</v>
      </c>
      <c r="F12" s="2">
        <f>[6]results!AO6</f>
        <v>2.6150602038266331</v>
      </c>
      <c r="H12" t="s">
        <v>12</v>
      </c>
      <c r="I12">
        <f t="shared" si="0"/>
        <v>8.0289320685516266E-2</v>
      </c>
      <c r="J12">
        <f t="shared" si="1"/>
        <v>5.9355412532250039E-2</v>
      </c>
      <c r="K12">
        <f t="shared" si="2"/>
        <v>0</v>
      </c>
      <c r="L12">
        <f t="shared" si="3"/>
        <v>0.63037767560374813</v>
      </c>
      <c r="M12">
        <f t="shared" si="4"/>
        <v>0.8887018040840462</v>
      </c>
    </row>
    <row r="13" spans="1:13" x14ac:dyDescent="0.35">
      <c r="A13" t="s">
        <v>17</v>
      </c>
      <c r="B13" s="2">
        <f>[6]results!AK7</f>
        <v>-644442.1846872702</v>
      </c>
      <c r="C13" s="2">
        <f>[6]results!AL7</f>
        <v>-684909.40473820688</v>
      </c>
      <c r="D13" s="2">
        <f>[6]results!AM7</f>
        <v>-6.364898685252375</v>
      </c>
      <c r="E13" s="2">
        <f>[6]results!AN7</f>
        <v>-165459.6313217275</v>
      </c>
      <c r="F13" s="2">
        <f>[6]results!AO7</f>
        <v>0.63571057002381026</v>
      </c>
      <c r="H13" t="s">
        <v>9</v>
      </c>
      <c r="I13">
        <f t="shared" si="0"/>
        <v>0.36727968810438988</v>
      </c>
      <c r="J13">
        <f t="shared" si="1"/>
        <v>0</v>
      </c>
      <c r="K13">
        <f t="shared" si="2"/>
        <v>0.1447227450109651</v>
      </c>
      <c r="L13">
        <f t="shared" si="3"/>
        <v>4.4750351254979275E-2</v>
      </c>
      <c r="M13">
        <f t="shared" si="4"/>
        <v>9.3687576097705005E-2</v>
      </c>
    </row>
    <row r="14" spans="1:13" x14ac:dyDescent="0.35">
      <c r="A14" t="s">
        <v>18</v>
      </c>
      <c r="B14" s="2">
        <f>[6]results!AK8</f>
        <v>-644442.1846872702</v>
      </c>
      <c r="C14" s="2">
        <f>[6]results!AL8</f>
        <v>-684909.40473820688</v>
      </c>
      <c r="D14" s="2">
        <f>[6]results!AM8</f>
        <v>-6.364898685252375</v>
      </c>
      <c r="E14" s="2">
        <f>[6]results!AN8</f>
        <v>-165459.6313217275</v>
      </c>
      <c r="F14" s="2">
        <f>[6]results!AO8</f>
        <v>0.63571057002381026</v>
      </c>
      <c r="H14" t="s">
        <v>10</v>
      </c>
      <c r="I14">
        <f t="shared" si="0"/>
        <v>0.36727968810438988</v>
      </c>
      <c r="J14">
        <f t="shared" si="1"/>
        <v>0</v>
      </c>
      <c r="K14">
        <f t="shared" si="2"/>
        <v>0.1447227450109651</v>
      </c>
      <c r="L14">
        <f t="shared" si="3"/>
        <v>4.4750351254979275E-2</v>
      </c>
      <c r="M14">
        <f t="shared" si="4"/>
        <v>9.3687576097705005E-2</v>
      </c>
    </row>
    <row r="15" spans="1:13" x14ac:dyDescent="0.35">
      <c r="A15" t="s">
        <v>19</v>
      </c>
      <c r="B15" s="2">
        <f>[6]results!AK9</f>
        <v>-644442.1846872702</v>
      </c>
      <c r="C15" s="2">
        <f>[6]results!AL9</f>
        <v>-684909.40473820688</v>
      </c>
      <c r="D15" s="2">
        <f>[6]results!AM9</f>
        <v>-6.364898685252375</v>
      </c>
      <c r="E15" s="2">
        <f>[6]results!AN9</f>
        <v>-165459.6313217275</v>
      </c>
      <c r="F15" s="2">
        <f>[6]results!AO9</f>
        <v>0.63571057002381026</v>
      </c>
      <c r="H15" t="s">
        <v>11</v>
      </c>
      <c r="I15">
        <f t="shared" si="0"/>
        <v>0.36727968810438988</v>
      </c>
      <c r="J15">
        <f t="shared" si="1"/>
        <v>0</v>
      </c>
      <c r="K15">
        <f t="shared" si="2"/>
        <v>0.1447227450109651</v>
      </c>
      <c r="L15">
        <f t="shared" si="3"/>
        <v>4.4750351254979275E-2</v>
      </c>
      <c r="M15">
        <f t="shared" si="4"/>
        <v>9.3687576097705005E-2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EAE2-E189-42E2-800F-26948044793E}">
  <dimension ref="A1:M16"/>
  <sheetViews>
    <sheetView zoomScaleNormal="100" workbookViewId="0">
      <selection activeCell="I11" sqref="I11"/>
    </sheetView>
  </sheetViews>
  <sheetFormatPr baseColWidth="10" defaultRowHeight="14.5" x14ac:dyDescent="0.35"/>
  <cols>
    <col min="1" max="1" width="18.6328125" bestFit="1" customWidth="1"/>
    <col min="8" max="8" width="20.54296875" bestFit="1" customWidth="1"/>
  </cols>
  <sheetData>
    <row r="1" spans="1:13" x14ac:dyDescent="0.35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I1" s="1" t="s">
        <v>0</v>
      </c>
      <c r="J1" s="1" t="s">
        <v>1</v>
      </c>
      <c r="K1" s="1" t="s">
        <v>2</v>
      </c>
      <c r="L1" s="1" t="s">
        <v>4</v>
      </c>
      <c r="M1" s="1" t="s">
        <v>5</v>
      </c>
    </row>
    <row r="2" spans="1:13" x14ac:dyDescent="0.35">
      <c r="A2" t="s">
        <v>6</v>
      </c>
      <c r="B2" s="2">
        <f>[7]results!AD3</f>
        <v>-900529.643526776</v>
      </c>
      <c r="C2" s="2">
        <f>[7]results!AE3</f>
        <v>-500204.87427557592</v>
      </c>
      <c r="D2" s="2">
        <f>[7]results!AF3</f>
        <v>-5.9650553132270554</v>
      </c>
      <c r="E2" s="2">
        <f>[7]results!AG3</f>
        <v>83802.282082538615</v>
      </c>
      <c r="F2" s="2">
        <f>[7]results!AH3</f>
        <v>1.905592268949883</v>
      </c>
      <c r="H2" t="s">
        <v>6</v>
      </c>
      <c r="I2" s="2">
        <f>(B2-MIN(B$2:B$15))/(MAX(B$2:B$15)-MIN(B$2:B$15))</f>
        <v>3.2741421273487926E-2</v>
      </c>
      <c r="J2" s="2">
        <f>(C2-MIN(C$2:C$15))/(MAX(C$2:C$15)-MIN(C$2:C$15))</f>
        <v>0.72780850905951977</v>
      </c>
      <c r="K2" s="2">
        <f>(D2-MIN(D$2:D$15))/(MAX(D$2:D$15)-MIN(D$2:D$15))</f>
        <v>0.49484198619671971</v>
      </c>
      <c r="L2" s="2">
        <f>(E2-MIN(E$2:E$15))/(MAX(E$2:E$15)-MIN(E$2:E$15))</f>
        <v>0.76853030210138862</v>
      </c>
      <c r="M2" s="2">
        <f>(F2-MIN(F$2:F$15))/(MAX(F$2:F$15)-MIN(F$2:F$15))</f>
        <v>0.64084416280250711</v>
      </c>
    </row>
    <row r="3" spans="1:13" x14ac:dyDescent="0.35">
      <c r="A3" t="s">
        <v>7</v>
      </c>
      <c r="B3" s="2">
        <f>[7]results!AD4</f>
        <v>-527008.18586465344</v>
      </c>
      <c r="C3" s="2">
        <f>[7]results!AE4</f>
        <v>-534021.29708947102</v>
      </c>
      <c r="D3" s="2">
        <f>[7]results!AF4</f>
        <v>-5.0198331186547049</v>
      </c>
      <c r="E3" s="2">
        <f>[7]results!AG4</f>
        <v>-129423.62059813261</v>
      </c>
      <c r="F3" s="2">
        <f>[7]results!AH4</f>
        <v>0.43291799196733549</v>
      </c>
      <c r="H3" t="s">
        <v>7</v>
      </c>
      <c r="I3" s="2">
        <f t="shared" ref="I3:L4" si="0">(B3-MIN(B$2:B$15))/(MAX(B$2:B$15)-MIN(B$2:B$15))</f>
        <v>1</v>
      </c>
      <c r="J3" s="2">
        <f t="shared" si="0"/>
        <v>0.59455850047412262</v>
      </c>
      <c r="K3" s="2">
        <f t="shared" si="0"/>
        <v>1</v>
      </c>
      <c r="L3" s="2">
        <f t="shared" si="0"/>
        <v>0.11110709145129778</v>
      </c>
      <c r="M3" s="2">
        <f t="shared" ref="M3:M15" si="1">(F3-MIN(F$2:F$15))/(MAX(F$2:F$15)-MIN(F$2:F$15))</f>
        <v>0</v>
      </c>
    </row>
    <row r="4" spans="1:13" x14ac:dyDescent="0.35">
      <c r="A4" t="s">
        <v>8</v>
      </c>
      <c r="B4" s="2">
        <f>[7]results!AD5</f>
        <v>-898781.77147895657</v>
      </c>
      <c r="C4" s="2">
        <f>[7]results!AE5</f>
        <v>-507697.85586750339</v>
      </c>
      <c r="D4" s="2">
        <f>[7]results!AF5</f>
        <v>-6.0240218397631953</v>
      </c>
      <c r="E4" s="2">
        <f>[7]results!AG5</f>
        <v>69693.914180888794</v>
      </c>
      <c r="F4" s="2">
        <f>[7]results!AH5</f>
        <v>1.7574704079985639</v>
      </c>
      <c r="H4" t="s">
        <v>8</v>
      </c>
      <c r="I4" s="2">
        <f t="shared" si="0"/>
        <v>3.7267651823538236E-2</v>
      </c>
      <c r="J4" s="2">
        <f t="shared" si="0"/>
        <v>0.69828321399950233</v>
      </c>
      <c r="K4" s="2">
        <f t="shared" si="0"/>
        <v>0.46332832348659719</v>
      </c>
      <c r="L4" s="2">
        <f t="shared" si="0"/>
        <v>0.72503104424233822</v>
      </c>
      <c r="M4" s="2">
        <f t="shared" si="1"/>
        <v>0.57638793411859801</v>
      </c>
    </row>
    <row r="5" spans="1:13" x14ac:dyDescent="0.35">
      <c r="A5" t="s">
        <v>12</v>
      </c>
      <c r="B5" s="2">
        <f>[7]results!AD6</f>
        <v>-898781.77147895657</v>
      </c>
      <c r="C5" s="2">
        <f>[7]results!AE6</f>
        <v>-507697.85586750339</v>
      </c>
      <c r="D5" s="2">
        <f>[7]results!AF6</f>
        <v>-6.0240218397631953</v>
      </c>
      <c r="E5" s="2">
        <f>[7]results!AG6</f>
        <v>69693.914180888794</v>
      </c>
      <c r="F5" s="2">
        <f>[7]results!AH6</f>
        <v>1.7574704079985639</v>
      </c>
      <c r="H5" t="s">
        <v>12</v>
      </c>
      <c r="I5" s="2">
        <f t="shared" ref="I5:I15" si="2">(B5-MIN(B$2:B$15))/(MAX(B$2:B$15)-MIN(B$2:B$15))</f>
        <v>3.7267651823538236E-2</v>
      </c>
      <c r="J5" s="2">
        <f t="shared" ref="J5:J15" si="3">(C5-MIN(C$2:C$15))/(MAX(C$2:C$15)-MIN(C$2:C$15))</f>
        <v>0.69828321399950233</v>
      </c>
      <c r="K5" s="2">
        <f t="shared" ref="K5:K15" si="4">(D5-MIN(D$2:D$15))/(MAX(D$2:D$15)-MIN(D$2:D$15))</f>
        <v>0.46332832348659719</v>
      </c>
      <c r="L5" s="2">
        <f t="shared" ref="L5:L15" si="5">(E5-MIN(E$2:E$15))/(MAX(E$2:E$15)-MIN(E$2:E$15))</f>
        <v>0.72503104424233822</v>
      </c>
      <c r="M5" s="2">
        <f t="shared" si="1"/>
        <v>0.57638793411859801</v>
      </c>
    </row>
    <row r="6" spans="1:13" x14ac:dyDescent="0.35">
      <c r="A6" t="s">
        <v>9</v>
      </c>
      <c r="B6" s="2">
        <f>[7]results!AD7</f>
        <v>-527008.18586465344</v>
      </c>
      <c r="C6" s="2">
        <f>[7]results!AE7</f>
        <v>-534021.29708947102</v>
      </c>
      <c r="D6" s="2">
        <f>[7]results!AF7</f>
        <v>-5.0198331186547049</v>
      </c>
      <c r="E6" s="2">
        <f>[7]results!AG7</f>
        <v>-129423.62059813261</v>
      </c>
      <c r="F6" s="2">
        <f>[7]results!AH7</f>
        <v>0.43291799196733549</v>
      </c>
      <c r="H6" t="s">
        <v>9</v>
      </c>
      <c r="I6" s="2">
        <f t="shared" si="2"/>
        <v>1</v>
      </c>
      <c r="J6" s="2">
        <f t="shared" si="3"/>
        <v>0.59455850047412262</v>
      </c>
      <c r="K6" s="2">
        <f t="shared" si="4"/>
        <v>1</v>
      </c>
      <c r="L6" s="2">
        <f t="shared" si="5"/>
        <v>0.11110709145129778</v>
      </c>
      <c r="M6" s="2">
        <f t="shared" si="1"/>
        <v>0</v>
      </c>
    </row>
    <row r="7" spans="1:13" x14ac:dyDescent="0.35">
      <c r="A7" t="s">
        <v>10</v>
      </c>
      <c r="B7" s="2">
        <f>[7]results!AD8</f>
        <v>-754212.43985085678</v>
      </c>
      <c r="C7" s="2">
        <f>[7]results!AE8</f>
        <v>-431127.63636989292</v>
      </c>
      <c r="D7" s="2">
        <f>[7]results!AF8</f>
        <v>-5.3123461667569956</v>
      </c>
      <c r="E7" s="2">
        <f>[7]results!AG8</f>
        <v>19284.315940239961</v>
      </c>
      <c r="F7" s="2">
        <f>[7]results!AH8</f>
        <v>0.75784279742481853</v>
      </c>
      <c r="H7" t="s">
        <v>10</v>
      </c>
      <c r="I7" s="2">
        <f t="shared" si="2"/>
        <v>0.4116395208810032</v>
      </c>
      <c r="J7" s="2">
        <f t="shared" si="3"/>
        <v>1</v>
      </c>
      <c r="K7" s="2">
        <f t="shared" si="4"/>
        <v>0.84367134919239761</v>
      </c>
      <c r="L7" s="2">
        <f t="shared" si="5"/>
        <v>0.56960696346083994</v>
      </c>
      <c r="M7" s="2">
        <f t="shared" si="1"/>
        <v>0.14139322468089519</v>
      </c>
    </row>
    <row r="8" spans="1:13" x14ac:dyDescent="0.35">
      <c r="A8" t="s">
        <v>11</v>
      </c>
      <c r="B8" s="2">
        <f>[7]results!AD9</f>
        <v>-527008.18586465344</v>
      </c>
      <c r="C8" s="2">
        <f>[7]results!AE9</f>
        <v>-534021.29708947102</v>
      </c>
      <c r="D8" s="2">
        <f>[7]results!AF9</f>
        <v>-5.0198331186547049</v>
      </c>
      <c r="E8" s="2">
        <f>[7]results!AG9</f>
        <v>-129423.62059813261</v>
      </c>
      <c r="F8" s="2">
        <f>[7]results!AH9</f>
        <v>0.43291799196733549</v>
      </c>
      <c r="H8" t="s">
        <v>11</v>
      </c>
      <c r="I8" s="2">
        <f t="shared" si="2"/>
        <v>1</v>
      </c>
      <c r="J8" s="2">
        <f t="shared" si="3"/>
        <v>0.59455850047412262</v>
      </c>
      <c r="K8" s="2">
        <f t="shared" si="4"/>
        <v>1</v>
      </c>
      <c r="L8" s="2">
        <f t="shared" si="5"/>
        <v>0.11110709145129778</v>
      </c>
      <c r="M8" s="2">
        <f t="shared" si="1"/>
        <v>0</v>
      </c>
    </row>
    <row r="9" spans="1:13" x14ac:dyDescent="0.35">
      <c r="A9" t="s">
        <v>13</v>
      </c>
      <c r="B9" s="2">
        <f>[8]results!AK4</f>
        <v>-913173.23611822585</v>
      </c>
      <c r="C9" s="2">
        <f>[8]results!AL4</f>
        <v>-462294.07700228808</v>
      </c>
      <c r="D9" s="2">
        <f>[8]results!AM4</f>
        <v>-5.6405530308313656</v>
      </c>
      <c r="E9" s="2">
        <f>[8]results!AN4</f>
        <v>158876.19866794301</v>
      </c>
      <c r="F9" s="2">
        <f>[8]results!AO4</f>
        <v>2.730940448070116</v>
      </c>
      <c r="H9" t="s">
        <v>13</v>
      </c>
      <c r="I9" s="2">
        <f t="shared" si="2"/>
        <v>0</v>
      </c>
      <c r="J9" s="2">
        <f t="shared" si="3"/>
        <v>0.87719196365925212</v>
      </c>
      <c r="K9" s="2">
        <f t="shared" si="4"/>
        <v>0.6682667421862919</v>
      </c>
      <c r="L9" s="2">
        <f t="shared" si="5"/>
        <v>1</v>
      </c>
      <c r="M9" s="2">
        <f t="shared" si="1"/>
        <v>1</v>
      </c>
    </row>
    <row r="10" spans="1:13" x14ac:dyDescent="0.35">
      <c r="A10" t="s">
        <v>14</v>
      </c>
      <c r="B10" s="2">
        <f>[8]results!AK5</f>
        <v>-644442.1846872702</v>
      </c>
      <c r="C10" s="2">
        <f>[8]results!AL5</f>
        <v>-684909.40473820688</v>
      </c>
      <c r="D10" s="2">
        <f>[8]results!AM5</f>
        <v>-6.364898685252375</v>
      </c>
      <c r="E10" s="2">
        <f>[8]results!AN5</f>
        <v>-165459.6313217275</v>
      </c>
      <c r="F10" s="2">
        <f>[8]results!AO5</f>
        <v>0.63571057002381026</v>
      </c>
      <c r="H10" t="s">
        <v>14</v>
      </c>
      <c r="I10" s="2">
        <f t="shared" si="2"/>
        <v>0.69589687428858571</v>
      </c>
      <c r="J10" s="2">
        <f t="shared" si="3"/>
        <v>0</v>
      </c>
      <c r="K10" s="2">
        <f t="shared" si="4"/>
        <v>0.2811524592214239</v>
      </c>
      <c r="L10" s="2">
        <f t="shared" si="5"/>
        <v>0</v>
      </c>
      <c r="M10" s="2">
        <f t="shared" si="1"/>
        <v>8.8246560653889777E-2</v>
      </c>
    </row>
    <row r="11" spans="1:13" x14ac:dyDescent="0.35">
      <c r="A11" t="s">
        <v>15</v>
      </c>
      <c r="B11" s="2">
        <f>[8]results!AK6</f>
        <v>-858981.91221275914</v>
      </c>
      <c r="C11" s="2">
        <f>[8]results!AL6</f>
        <v>-658913.15514688112</v>
      </c>
      <c r="D11" s="2">
        <f>[8]results!AM6</f>
        <v>-6.8909747589820043</v>
      </c>
      <c r="E11" s="2">
        <f>[8]results!AN6</f>
        <v>35812.571022898883</v>
      </c>
      <c r="F11" s="2">
        <f>[8]results!AO6</f>
        <v>2.4718236557718929</v>
      </c>
      <c r="H11" t="s">
        <v>15</v>
      </c>
      <c r="I11" s="2">
        <f t="shared" si="2"/>
        <v>0.14033202608543258</v>
      </c>
      <c r="J11" s="2">
        <f t="shared" si="3"/>
        <v>0.10243544979006275</v>
      </c>
      <c r="K11" s="2">
        <f t="shared" si="4"/>
        <v>0</v>
      </c>
      <c r="L11" s="2">
        <f t="shared" si="5"/>
        <v>0.62056727544112689</v>
      </c>
      <c r="M11" s="2">
        <f t="shared" si="1"/>
        <v>0.88724357692410905</v>
      </c>
    </row>
    <row r="12" spans="1:13" x14ac:dyDescent="0.35">
      <c r="A12" t="s">
        <v>16</v>
      </c>
      <c r="B12" s="2">
        <f>[8]results!AK7</f>
        <v>-853772.54412361525</v>
      </c>
      <c r="C12" s="2">
        <f>[8]results!AL7</f>
        <v>-660904.0016222928</v>
      </c>
      <c r="D12" s="2">
        <f>[8]results!AM7</f>
        <v>-6.8795862517447279</v>
      </c>
      <c r="E12" s="2">
        <f>[8]results!AN7</f>
        <v>41381.970786916027</v>
      </c>
      <c r="F12" s="2">
        <f>[8]results!AO7</f>
        <v>2.5851013239793339</v>
      </c>
      <c r="H12" t="s">
        <v>16</v>
      </c>
      <c r="I12" s="2">
        <f t="shared" si="2"/>
        <v>0.15382203012832354</v>
      </c>
      <c r="J12" s="2">
        <f t="shared" si="3"/>
        <v>9.4590731518093135E-2</v>
      </c>
      <c r="K12" s="2">
        <f t="shared" si="4"/>
        <v>6.0863950605493898E-3</v>
      </c>
      <c r="L12" s="2">
        <f t="shared" si="5"/>
        <v>0.6377389822001196</v>
      </c>
      <c r="M12" s="2">
        <f t="shared" si="1"/>
        <v>0.93653711968589248</v>
      </c>
    </row>
    <row r="13" spans="1:13" x14ac:dyDescent="0.35">
      <c r="A13" t="s">
        <v>17</v>
      </c>
      <c r="B13" s="2">
        <f>[8]results!AK8</f>
        <v>-665277.59612264379</v>
      </c>
      <c r="C13" s="2">
        <f>[8]results!AL8</f>
        <v>-681593.77756979864</v>
      </c>
      <c r="D13" s="2">
        <f>[8]results!AM8</f>
        <v>-6.4197814117706908</v>
      </c>
      <c r="E13" s="2">
        <f>[8]results!AN8</f>
        <v>-159168.6793901209</v>
      </c>
      <c r="F13" s="2">
        <f>[8]results!AO8</f>
        <v>0.62092629934983035</v>
      </c>
      <c r="H13" t="s">
        <v>17</v>
      </c>
      <c r="I13" s="2">
        <f t="shared" si="2"/>
        <v>0.64194219500911132</v>
      </c>
      <c r="J13" s="2">
        <f t="shared" si="3"/>
        <v>1.3064875344379624E-2</v>
      </c>
      <c r="K13" s="2">
        <f t="shared" si="4"/>
        <v>0.25182131435485156</v>
      </c>
      <c r="L13" s="2">
        <f t="shared" si="5"/>
        <v>1.9396413685798926E-2</v>
      </c>
      <c r="M13" s="2">
        <f t="shared" si="1"/>
        <v>8.1813085369643601E-2</v>
      </c>
    </row>
    <row r="14" spans="1:13" x14ac:dyDescent="0.35">
      <c r="A14" t="s">
        <v>18</v>
      </c>
      <c r="B14" s="2">
        <f>[8]results!AK9</f>
        <v>-754212.43985085678</v>
      </c>
      <c r="C14" s="2">
        <f>[8]results!AL9</f>
        <v>-431127.63636989292</v>
      </c>
      <c r="D14" s="2">
        <f>[8]results!AM9</f>
        <v>-5.3123461667569956</v>
      </c>
      <c r="E14" s="2">
        <f>[8]results!AN9</f>
        <v>19284.315940239961</v>
      </c>
      <c r="F14" s="2">
        <f>[8]results!AO9</f>
        <v>0.75784279742481853</v>
      </c>
      <c r="H14" t="s">
        <v>18</v>
      </c>
      <c r="I14" s="2">
        <f t="shared" si="2"/>
        <v>0.4116395208810032</v>
      </c>
      <c r="J14" s="2">
        <f t="shared" si="3"/>
        <v>1</v>
      </c>
      <c r="K14" s="2">
        <f t="shared" si="4"/>
        <v>0.84367134919239761</v>
      </c>
      <c r="L14" s="2">
        <f t="shared" si="5"/>
        <v>0.56960696346083994</v>
      </c>
      <c r="M14" s="2">
        <f t="shared" si="1"/>
        <v>0.14139322468089519</v>
      </c>
    </row>
    <row r="15" spans="1:13" x14ac:dyDescent="0.35">
      <c r="A15" t="s">
        <v>19</v>
      </c>
      <c r="B15" s="2">
        <f>[8]results!AK10</f>
        <v>-665277.59612264379</v>
      </c>
      <c r="C15" s="2">
        <f>[8]results!AL10</f>
        <v>-681593.77756979864</v>
      </c>
      <c r="D15" s="2">
        <f>[8]results!AM10</f>
        <v>-6.4197814117706908</v>
      </c>
      <c r="E15" s="2">
        <f>[8]results!AN10</f>
        <v>-159168.6793901209</v>
      </c>
      <c r="F15" s="2">
        <f>[8]results!AO10</f>
        <v>0.62092629934983035</v>
      </c>
      <c r="H15" t="s">
        <v>19</v>
      </c>
      <c r="I15" s="2">
        <f t="shared" si="2"/>
        <v>0.64194219500911132</v>
      </c>
      <c r="J15" s="2">
        <f t="shared" si="3"/>
        <v>1.3064875344379624E-2</v>
      </c>
      <c r="K15" s="2">
        <f t="shared" si="4"/>
        <v>0.25182131435485156</v>
      </c>
      <c r="L15" s="2">
        <f t="shared" si="5"/>
        <v>1.9396413685798926E-2</v>
      </c>
      <c r="M15" s="2">
        <f t="shared" si="1"/>
        <v>8.1813085369643601E-2</v>
      </c>
    </row>
    <row r="16" spans="1:13" x14ac:dyDescent="0.35">
      <c r="L16" s="2"/>
    </row>
  </sheetData>
  <conditionalFormatting sqref="B15 B1:B3 B6 B8:B10 B13">
    <cfRule type="cellIs" dxfId="11" priority="7" operator="equal">
      <formula>$B$3</formula>
    </cfRule>
    <cfRule type="expression" dxfId="10" priority="8">
      <formula>B2=_xludf.value($B$3)</formula>
    </cfRule>
  </conditionalFormatting>
  <conditionalFormatting sqref="B2">
    <cfRule type="cellIs" dxfId="9" priority="3" operator="equal">
      <formula>$B$2</formula>
    </cfRule>
  </conditionalFormatting>
  <conditionalFormatting sqref="B7 B14">
    <cfRule type="cellIs" dxfId="8" priority="13" operator="equal">
      <formula>$B$3</formula>
    </cfRule>
    <cfRule type="expression" dxfId="7" priority="14">
      <formula>#REF!=_xludf.value($B$3)</formula>
    </cfRule>
  </conditionalFormatting>
  <conditionalFormatting sqref="B2:B15">
    <cfRule type="cellIs" dxfId="6" priority="31" operator="equal">
      <formula>$B$10</formula>
    </cfRule>
    <cfRule type="cellIs" dxfId="5" priority="32" operator="equal">
      <formula>#REF!</formula>
    </cfRule>
    <cfRule type="cellIs" dxfId="4" priority="33" operator="equal">
      <formula>$B$4</formula>
    </cfRule>
    <cfRule type="cellIs" dxfId="3" priority="34" operator="equal">
      <formula>"$B$4"</formula>
    </cfRule>
    <cfRule type="cellIs" dxfId="2" priority="35" operator="equal">
      <formula>$B$7</formula>
    </cfRule>
  </conditionalFormatting>
  <conditionalFormatting sqref="B4:B5 B11:B12">
    <cfRule type="cellIs" dxfId="1" priority="40" operator="equal">
      <formula>$B$3</formula>
    </cfRule>
    <cfRule type="expression" dxfId="0" priority="41">
      <formula>B6=_xludf.value($B$3)</formula>
    </cfRule>
  </conditionalFormatting>
  <pageMargins left="0.7" right="0.7" top="0.75" bottom="0.75" header="0.3" footer="0.3"/>
  <pageSetup paperSize="9" orientation="portrait" verticalDpi="597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corr_peat_HC2</vt:lpstr>
      <vt:lpstr>corr_peat2</vt:lpstr>
      <vt:lpstr>corr_HC2</vt:lpstr>
      <vt:lpstr>brut2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2026-02-16T09:43:34Z</dcterms:created>
  <dcterms:modified xsi:type="dcterms:W3CDTF">2026-02-19T13:27:51Z</dcterms:modified>
</cp:coreProperties>
</file>