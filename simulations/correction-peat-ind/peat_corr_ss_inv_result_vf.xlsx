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correction-peat-ind\"/>
    </mc:Choice>
  </mc:AlternateContent>
  <xr:revisionPtr revIDLastSave="0" documentId="13_ncr:1_{12B76E37-0C42-48EA-A9DC-4233BD75DEFE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N9" i="1" l="1"/>
  <c r="AO9" i="1" s="1"/>
  <c r="AM9" i="1"/>
  <c r="AL9" i="1"/>
  <c r="AK9" i="1"/>
  <c r="AN8" i="1"/>
  <c r="AM8" i="1"/>
  <c r="AL8" i="1"/>
  <c r="AK8" i="1"/>
  <c r="AO8" i="1" s="1"/>
  <c r="AN7" i="1"/>
  <c r="AM7" i="1"/>
  <c r="AL7" i="1"/>
  <c r="AK7" i="1"/>
  <c r="AO7" i="1" s="1"/>
  <c r="AN6" i="1"/>
  <c r="AM6" i="1"/>
  <c r="AO6" i="1" s="1"/>
  <c r="AL6" i="1"/>
  <c r="AK6" i="1"/>
  <c r="AN5" i="1"/>
  <c r="AM5" i="1"/>
  <c r="AL5" i="1"/>
  <c r="AK5" i="1"/>
  <c r="AO5" i="1" s="1"/>
  <c r="AO4" i="1"/>
  <c r="AN4" i="1"/>
  <c r="AM4" i="1"/>
  <c r="AL4" i="1"/>
  <c r="AK4" i="1"/>
  <c r="AN3" i="1"/>
  <c r="AM3" i="1"/>
  <c r="AL3" i="1"/>
  <c r="AO3" i="1" s="1"/>
  <c r="AK3" i="1"/>
</calcChain>
</file>

<file path=xl/sharedStrings.xml><?xml version="1.0" encoding="utf-8"?>
<sst xmlns="http://schemas.openxmlformats.org/spreadsheetml/2006/main" count="56" uniqueCount="46">
  <si>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</si>
  <si>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</si>
  <si>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</si>
  <si>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</si>
  <si>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</si>
  <si>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</si>
  <si>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</si>
  <si>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</si>
  <si>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</si>
  <si>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</si>
  <si>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</si>
  <si>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</si>
  <si>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</si>
  <si>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</si>
  <si>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</si>
  <si>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</si>
  <si>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</si>
  <si>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</si>
  <si>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</si>
  <si>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</si>
  <si>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</si>
  <si>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</si>
  <si>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</si>
  <si>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</si>
  <si>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</si>
  <si>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</si>
  <si>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</si>
  <si>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</si>
  <si>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</si>
  <si>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</si>
  <si>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</si>
  <si>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</si>
  <si>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</si>
  <si>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</si>
  <si>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</si>
  <si>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</si>
  <si>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</si>
  <si>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</si>
  <si>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</si>
  <si>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</si>
  <si>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</si>
  <si>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</si>
  <si>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</si>
  <si>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</si>
  <si>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AD-cog-comp</t>
  </si>
  <si>
    <t>AD-biomet-dig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</si>
</sst>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results!$AK$3:$AK$9</c:f>
              <c:numCache>
                <c:formatCode>General</c:formatCode>
                <c:ptCount val="7"/>
                <c:pt idx="0">
                  <c:v>48.309999999999995</c:v>
                </c:pt>
                <c:pt idx="1">
                  <c:v>48.309999999999995</c:v>
                </c:pt>
                <c:pt idx="2">
                  <c:v>48.309999999999995</c:v>
                </c:pt>
                <c:pt idx="3">
                  <c:v>48.309999999999995</c:v>
                </c:pt>
                <c:pt idx="4">
                  <c:v>48.309999999999995</c:v>
                </c:pt>
                <c:pt idx="5">
                  <c:v>48.309999999999995</c:v>
                </c:pt>
                <c:pt idx="6">
                  <c:v>48.309999999999995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52-4ADC-9CF3-F4C1663BC595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results!$AL$3:$AL$9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52-4ADC-9CF3-F4C1663BC595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results!$AM$3:$AM$9</c:f>
              <c:numCache>
                <c:formatCode>General</c:formatCode>
                <c:ptCount val="7"/>
                <c:pt idx="0">
                  <c:v>0</c:v>
                </c:pt>
                <c:pt idx="1">
                  <c:v>51.7</c:v>
                </c:pt>
                <c:pt idx="2">
                  <c:v>49.42</c:v>
                </c:pt>
                <c:pt idx="3">
                  <c:v>51.7</c:v>
                </c:pt>
                <c:pt idx="4">
                  <c:v>51.7</c:v>
                </c:pt>
                <c:pt idx="5">
                  <c:v>50.44</c:v>
                </c:pt>
                <c:pt idx="6">
                  <c:v>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52-4ADC-9CF3-F4C1663BC595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results!$AJ$3:$AJ$9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results!$AN$3:$AN$9</c:f>
              <c:numCache>
                <c:formatCode>General</c:formatCode>
                <c:ptCount val="7"/>
                <c:pt idx="0">
                  <c:v>51.7</c:v>
                </c:pt>
                <c:pt idx="1">
                  <c:v>0</c:v>
                </c:pt>
                <c:pt idx="2">
                  <c:v>2.2799999999999998</c:v>
                </c:pt>
                <c:pt idx="3">
                  <c:v>0</c:v>
                </c:pt>
                <c:pt idx="4">
                  <c:v>0</c:v>
                </c:pt>
                <c:pt idx="5">
                  <c:v>1.26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852-4ADC-9CF3-F4C1663BC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4366800"/>
        <c:axId val="81178063"/>
      </c:barChart>
      <c:catAx>
        <c:axId val="11543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78063"/>
        <c:crosses val="autoZero"/>
        <c:auto val="1"/>
        <c:lblAlgn val="ctr"/>
        <c:lblOffset val="100"/>
        <c:noMultiLvlLbl val="0"/>
      </c:catAx>
      <c:valAx>
        <c:axId val="811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436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533399</xdr:colOff>
      <xdr:row>11</xdr:row>
      <xdr:rowOff>103186</xdr:rowOff>
    </xdr:from>
    <xdr:to>
      <xdr:col>36</xdr:col>
      <xdr:colOff>485774</xdr:colOff>
      <xdr:row>31</xdr:row>
      <xdr:rowOff>133349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4FD8BE2-4215-4DCF-99D9-A7AD00801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9"/>
  <sheetViews>
    <sheetView tabSelected="1" topLeftCell="AF1" workbookViewId="0">
      <selection activeCell="AO25" sqref="AO25"/>
    </sheetView>
  </sheetViews>
  <sheetFormatPr baseColWidth="10" defaultColWidth="8.7265625" defaultRowHeight="14.5" x14ac:dyDescent="0.35"/>
  <sheetData>
    <row r="1" spans="1:41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9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41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J2" t="s">
        <v>4</v>
      </c>
      <c r="AK2" t="s">
        <v>0</v>
      </c>
      <c r="AL2" t="s">
        <v>1</v>
      </c>
      <c r="AM2" t="s">
        <v>44</v>
      </c>
      <c r="AN2" t="s">
        <v>45</v>
      </c>
    </row>
    <row r="3" spans="1:41" x14ac:dyDescent="0.35">
      <c r="A3" s="1">
        <v>0</v>
      </c>
      <c r="B3" t="s">
        <v>37</v>
      </c>
      <c r="C3">
        <v>0.6</v>
      </c>
      <c r="D3" s="3">
        <v>14.13</v>
      </c>
      <c r="E3">
        <v>2.52</v>
      </c>
      <c r="F3">
        <v>2.94</v>
      </c>
      <c r="G3">
        <v>0.82</v>
      </c>
      <c r="H3">
        <v>2.13</v>
      </c>
      <c r="I3">
        <v>1.29</v>
      </c>
      <c r="J3">
        <v>2.72</v>
      </c>
      <c r="K3">
        <v>2.37</v>
      </c>
      <c r="L3">
        <v>0.88</v>
      </c>
      <c r="M3">
        <v>0.54</v>
      </c>
      <c r="N3">
        <v>3.35</v>
      </c>
      <c r="O3">
        <v>1.78</v>
      </c>
      <c r="P3">
        <v>0.71</v>
      </c>
      <c r="Q3">
        <v>0.74</v>
      </c>
      <c r="R3">
        <v>0.75</v>
      </c>
      <c r="S3">
        <v>4.9400000000000004</v>
      </c>
      <c r="T3">
        <v>0.57999999999999996</v>
      </c>
      <c r="U3">
        <v>0.36</v>
      </c>
      <c r="V3">
        <v>0.92</v>
      </c>
      <c r="W3">
        <v>0.57999999999999996</v>
      </c>
      <c r="X3">
        <v>2.3199999999999998</v>
      </c>
      <c r="Y3">
        <v>0.94</v>
      </c>
      <c r="AC3" s="3">
        <v>51.7</v>
      </c>
      <c r="AD3" s="4">
        <v>-768179.85353884823</v>
      </c>
      <c r="AE3" s="4">
        <v>-381253.32283796958</v>
      </c>
      <c r="AF3" s="4">
        <v>-4.6226147683854473</v>
      </c>
      <c r="AG3" s="4">
        <v>58552.234965922857</v>
      </c>
      <c r="AH3" s="4">
        <v>1.7274448256697681</v>
      </c>
      <c r="AJ3" t="s">
        <v>37</v>
      </c>
      <c r="AK3">
        <f>SUM(D3:Y3)</f>
        <v>48.309999999999995</v>
      </c>
      <c r="AL3">
        <f>SUM(Z3:AA3)</f>
        <v>0</v>
      </c>
      <c r="AM3">
        <f>AB3</f>
        <v>0</v>
      </c>
      <c r="AN3">
        <f>AC3</f>
        <v>51.7</v>
      </c>
      <c r="AO3">
        <f>SUM(AK3:AN3)</f>
        <v>100.00999999999999</v>
      </c>
    </row>
    <row r="4" spans="1:41" x14ac:dyDescent="0.35">
      <c r="A4" s="1">
        <v>1</v>
      </c>
      <c r="B4" t="s">
        <v>38</v>
      </c>
      <c r="C4">
        <v>0.6</v>
      </c>
      <c r="D4" s="3">
        <v>14.13</v>
      </c>
      <c r="E4">
        <v>2.52</v>
      </c>
      <c r="F4">
        <v>2.94</v>
      </c>
      <c r="G4">
        <v>0.82</v>
      </c>
      <c r="H4">
        <v>2.13</v>
      </c>
      <c r="I4">
        <v>1.29</v>
      </c>
      <c r="J4">
        <v>2.72</v>
      </c>
      <c r="K4">
        <v>2.37</v>
      </c>
      <c r="L4">
        <v>0.88</v>
      </c>
      <c r="M4">
        <v>0.54</v>
      </c>
      <c r="N4">
        <v>3.35</v>
      </c>
      <c r="O4">
        <v>1.78</v>
      </c>
      <c r="P4">
        <v>0.71</v>
      </c>
      <c r="Q4">
        <v>0.74</v>
      </c>
      <c r="R4">
        <v>0.75</v>
      </c>
      <c r="S4">
        <v>4.9400000000000004</v>
      </c>
      <c r="T4">
        <v>0.57999999999999996</v>
      </c>
      <c r="U4">
        <v>0.36</v>
      </c>
      <c r="V4">
        <v>0.92</v>
      </c>
      <c r="W4">
        <v>0.57999999999999996</v>
      </c>
      <c r="X4">
        <v>2.3199999999999998</v>
      </c>
      <c r="Y4">
        <v>0.94</v>
      </c>
      <c r="AB4" s="3">
        <v>51.7</v>
      </c>
      <c r="AD4" s="4">
        <v>-539361.45806396857</v>
      </c>
      <c r="AE4" s="4">
        <v>-508573.65110909048</v>
      </c>
      <c r="AF4" s="4">
        <v>-4.6482459715826634</v>
      </c>
      <c r="AG4" s="4">
        <v>-165777.421386984</v>
      </c>
      <c r="AH4" s="4">
        <v>0.40289240963853928</v>
      </c>
      <c r="AJ4" t="s">
        <v>38</v>
      </c>
      <c r="AK4">
        <f t="shared" ref="AK4:AK9" si="0">SUM(D4:Y4)</f>
        <v>48.309999999999995</v>
      </c>
      <c r="AL4">
        <f t="shared" ref="AL4:AL9" si="1">SUM(Z4:AA4)</f>
        <v>0</v>
      </c>
      <c r="AM4">
        <f t="shared" ref="AM4:AN9" si="2">AB4</f>
        <v>51.7</v>
      </c>
      <c r="AN4">
        <f t="shared" si="2"/>
        <v>0</v>
      </c>
      <c r="AO4">
        <f t="shared" ref="AO4:AO9" si="3">SUM(AK4:AN4)</f>
        <v>100.00999999999999</v>
      </c>
    </row>
    <row r="5" spans="1:41" x14ac:dyDescent="0.35">
      <c r="A5" s="1">
        <v>2</v>
      </c>
      <c r="B5" t="s">
        <v>39</v>
      </c>
      <c r="C5">
        <v>0.6</v>
      </c>
      <c r="D5" s="3">
        <v>14.13</v>
      </c>
      <c r="E5">
        <v>2.52</v>
      </c>
      <c r="F5">
        <v>2.94</v>
      </c>
      <c r="G5">
        <v>0.82</v>
      </c>
      <c r="H5">
        <v>2.13</v>
      </c>
      <c r="I5">
        <v>1.29</v>
      </c>
      <c r="J5">
        <v>2.72</v>
      </c>
      <c r="K5">
        <v>2.37</v>
      </c>
      <c r="L5">
        <v>0.88</v>
      </c>
      <c r="M5">
        <v>0.54</v>
      </c>
      <c r="N5">
        <v>3.35</v>
      </c>
      <c r="O5">
        <v>1.78</v>
      </c>
      <c r="P5">
        <v>0.71</v>
      </c>
      <c r="Q5">
        <v>0.74</v>
      </c>
      <c r="R5">
        <v>0.75</v>
      </c>
      <c r="S5">
        <v>4.9400000000000004</v>
      </c>
      <c r="T5">
        <v>0.57999999999999996</v>
      </c>
      <c r="U5">
        <v>0.36</v>
      </c>
      <c r="V5">
        <v>0.92</v>
      </c>
      <c r="W5">
        <v>0.57999999999999996</v>
      </c>
      <c r="X5">
        <v>2.3199999999999998</v>
      </c>
      <c r="Y5">
        <v>0.94</v>
      </c>
      <c r="AB5" s="3">
        <v>49.42</v>
      </c>
      <c r="AC5" s="3">
        <v>2.2799999999999998</v>
      </c>
      <c r="AD5" s="4">
        <v>-549802.4574980553</v>
      </c>
      <c r="AE5" s="4">
        <v>-503232.21842567192</v>
      </c>
      <c r="AF5" s="4">
        <v>-4.649705170188855</v>
      </c>
      <c r="AG5" s="4">
        <v>-155986.01897814759</v>
      </c>
      <c r="AH5" s="4">
        <v>0.46103133915119338</v>
      </c>
      <c r="AJ5" t="s">
        <v>39</v>
      </c>
      <c r="AK5">
        <f t="shared" si="0"/>
        <v>48.309999999999995</v>
      </c>
      <c r="AL5">
        <f t="shared" si="1"/>
        <v>0</v>
      </c>
      <c r="AM5">
        <f t="shared" si="2"/>
        <v>49.42</v>
      </c>
      <c r="AN5">
        <f t="shared" si="2"/>
        <v>2.2799999999999998</v>
      </c>
      <c r="AO5">
        <f t="shared" si="3"/>
        <v>100.00999999999999</v>
      </c>
    </row>
    <row r="6" spans="1:41" x14ac:dyDescent="0.35">
      <c r="A6" s="1">
        <v>3</v>
      </c>
      <c r="B6" t="s">
        <v>40</v>
      </c>
      <c r="C6">
        <v>0.6</v>
      </c>
      <c r="D6" s="3">
        <v>14.13</v>
      </c>
      <c r="E6">
        <v>2.52</v>
      </c>
      <c r="F6">
        <v>2.94</v>
      </c>
      <c r="G6">
        <v>0.82</v>
      </c>
      <c r="H6">
        <v>2.13</v>
      </c>
      <c r="I6">
        <v>1.29</v>
      </c>
      <c r="J6">
        <v>2.72</v>
      </c>
      <c r="K6">
        <v>2.37</v>
      </c>
      <c r="L6">
        <v>0.88</v>
      </c>
      <c r="M6">
        <v>0.54</v>
      </c>
      <c r="N6">
        <v>3.35</v>
      </c>
      <c r="O6">
        <v>1.78</v>
      </c>
      <c r="P6">
        <v>0.71</v>
      </c>
      <c r="Q6">
        <v>0.74</v>
      </c>
      <c r="R6">
        <v>0.75</v>
      </c>
      <c r="S6">
        <v>4.9400000000000004</v>
      </c>
      <c r="T6">
        <v>0.57999999999999996</v>
      </c>
      <c r="U6">
        <v>0.36</v>
      </c>
      <c r="V6">
        <v>0.92</v>
      </c>
      <c r="W6">
        <v>0.57999999999999996</v>
      </c>
      <c r="X6">
        <v>2.3199999999999998</v>
      </c>
      <c r="Y6">
        <v>0.94</v>
      </c>
      <c r="AB6" s="3">
        <v>51.7</v>
      </c>
      <c r="AD6" s="4">
        <v>-539361.45806396857</v>
      </c>
      <c r="AE6" s="4">
        <v>-508573.65110909048</v>
      </c>
      <c r="AF6" s="4">
        <v>-4.6482459715826634</v>
      </c>
      <c r="AG6" s="4">
        <v>-165777.421386984</v>
      </c>
      <c r="AH6" s="4">
        <v>0.40289240963853928</v>
      </c>
      <c r="AJ6" t="s">
        <v>40</v>
      </c>
      <c r="AK6">
        <f t="shared" si="0"/>
        <v>48.309999999999995</v>
      </c>
      <c r="AL6">
        <f t="shared" si="1"/>
        <v>0</v>
      </c>
      <c r="AM6">
        <f t="shared" si="2"/>
        <v>51.7</v>
      </c>
      <c r="AN6">
        <f t="shared" si="2"/>
        <v>0</v>
      </c>
      <c r="AO6">
        <f t="shared" si="3"/>
        <v>100.00999999999999</v>
      </c>
    </row>
    <row r="7" spans="1:41" x14ac:dyDescent="0.35">
      <c r="A7" s="1">
        <v>4</v>
      </c>
      <c r="B7" t="s">
        <v>41</v>
      </c>
      <c r="C7">
        <v>0.6</v>
      </c>
      <c r="D7" s="3">
        <v>14.13</v>
      </c>
      <c r="E7">
        <v>2.52</v>
      </c>
      <c r="F7">
        <v>2.94</v>
      </c>
      <c r="G7">
        <v>0.82</v>
      </c>
      <c r="H7">
        <v>2.13</v>
      </c>
      <c r="I7">
        <v>1.29</v>
      </c>
      <c r="J7">
        <v>2.72</v>
      </c>
      <c r="K7">
        <v>2.37</v>
      </c>
      <c r="L7">
        <v>0.88</v>
      </c>
      <c r="M7">
        <v>0.54</v>
      </c>
      <c r="N7">
        <v>3.35</v>
      </c>
      <c r="O7">
        <v>1.78</v>
      </c>
      <c r="P7">
        <v>0.71</v>
      </c>
      <c r="Q7">
        <v>0.74</v>
      </c>
      <c r="R7">
        <v>0.75</v>
      </c>
      <c r="S7">
        <v>4.9400000000000004</v>
      </c>
      <c r="T7">
        <v>0.57999999999999996</v>
      </c>
      <c r="U7">
        <v>0.36</v>
      </c>
      <c r="V7">
        <v>0.92</v>
      </c>
      <c r="W7">
        <v>0.57999999999999996</v>
      </c>
      <c r="X7">
        <v>2.3199999999999998</v>
      </c>
      <c r="Y7">
        <v>0.94</v>
      </c>
      <c r="AB7" s="3">
        <v>51.7</v>
      </c>
      <c r="AD7" s="4">
        <v>-539361.45806396857</v>
      </c>
      <c r="AE7" s="4">
        <v>-508573.65110909048</v>
      </c>
      <c r="AF7" s="4">
        <v>-4.6482459715826634</v>
      </c>
      <c r="AG7" s="4">
        <v>-165777.421386984</v>
      </c>
      <c r="AH7" s="4">
        <v>0.40289240963853928</v>
      </c>
      <c r="AJ7" t="s">
        <v>41</v>
      </c>
      <c r="AK7">
        <f t="shared" si="0"/>
        <v>48.309999999999995</v>
      </c>
      <c r="AL7">
        <f t="shared" si="1"/>
        <v>0</v>
      </c>
      <c r="AM7">
        <f t="shared" si="2"/>
        <v>51.7</v>
      </c>
      <c r="AN7">
        <f t="shared" si="2"/>
        <v>0</v>
      </c>
      <c r="AO7">
        <f t="shared" si="3"/>
        <v>100.00999999999999</v>
      </c>
    </row>
    <row r="8" spans="1:41" x14ac:dyDescent="0.35">
      <c r="A8" s="1">
        <v>5</v>
      </c>
      <c r="B8" t="s">
        <v>42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AB8" s="3">
        <v>50.44</v>
      </c>
      <c r="AC8" s="3">
        <v>1.26</v>
      </c>
      <c r="AD8" s="4">
        <v>-545132.66591350711</v>
      </c>
      <c r="AE8" s="4">
        <v>-505651.14924383751</v>
      </c>
      <c r="AF8" s="4">
        <v>-4.649220675868567</v>
      </c>
      <c r="AG8" s="4">
        <v>-160393.72356882799</v>
      </c>
      <c r="AH8" s="4">
        <v>0.43488125533277239</v>
      </c>
      <c r="AJ8" t="s">
        <v>42</v>
      </c>
      <c r="AK8">
        <f t="shared" si="0"/>
        <v>48.309999999999995</v>
      </c>
      <c r="AL8">
        <f t="shared" si="1"/>
        <v>0</v>
      </c>
      <c r="AM8">
        <f t="shared" si="2"/>
        <v>50.44</v>
      </c>
      <c r="AN8">
        <f t="shared" si="2"/>
        <v>1.26</v>
      </c>
      <c r="AO8">
        <f t="shared" si="3"/>
        <v>100.01</v>
      </c>
    </row>
    <row r="9" spans="1:41" x14ac:dyDescent="0.35">
      <c r="A9" s="1">
        <v>6</v>
      </c>
      <c r="B9" t="s">
        <v>43</v>
      </c>
      <c r="C9">
        <v>0.6</v>
      </c>
      <c r="D9" s="3">
        <v>14.13</v>
      </c>
      <c r="E9">
        <v>2.52</v>
      </c>
      <c r="F9">
        <v>2.94</v>
      </c>
      <c r="G9">
        <v>0.82</v>
      </c>
      <c r="H9">
        <v>2.13</v>
      </c>
      <c r="I9">
        <v>1.29</v>
      </c>
      <c r="J9">
        <v>2.72</v>
      </c>
      <c r="K9">
        <v>2.37</v>
      </c>
      <c r="L9">
        <v>0.88</v>
      </c>
      <c r="M9">
        <v>0.54</v>
      </c>
      <c r="N9">
        <v>3.35</v>
      </c>
      <c r="O9">
        <v>1.78</v>
      </c>
      <c r="P9">
        <v>0.71</v>
      </c>
      <c r="Q9">
        <v>0.74</v>
      </c>
      <c r="R9">
        <v>0.75</v>
      </c>
      <c r="S9">
        <v>4.9400000000000004</v>
      </c>
      <c r="T9">
        <v>0.57999999999999996</v>
      </c>
      <c r="U9">
        <v>0.36</v>
      </c>
      <c r="V9">
        <v>0.92</v>
      </c>
      <c r="W9">
        <v>0.57999999999999996</v>
      </c>
      <c r="X9">
        <v>2.3199999999999998</v>
      </c>
      <c r="Y9">
        <v>0.94</v>
      </c>
      <c r="AB9" s="3">
        <v>51.7</v>
      </c>
      <c r="AD9" s="4">
        <v>-539361.45806396857</v>
      </c>
      <c r="AE9" s="4">
        <v>-508573.65110909048</v>
      </c>
      <c r="AF9" s="4">
        <v>-4.6482459715826634</v>
      </c>
      <c r="AG9" s="4">
        <v>-165777.421386984</v>
      </c>
      <c r="AH9" s="4">
        <v>0.40289240963853928</v>
      </c>
      <c r="AJ9" t="s">
        <v>43</v>
      </c>
      <c r="AK9">
        <f t="shared" si="0"/>
        <v>48.309999999999995</v>
      </c>
      <c r="AL9">
        <f t="shared" si="1"/>
        <v>0</v>
      </c>
      <c r="AM9">
        <f t="shared" si="2"/>
        <v>51.7</v>
      </c>
      <c r="AN9">
        <f t="shared" si="2"/>
        <v>0</v>
      </c>
      <c r="AO9">
        <f t="shared" si="3"/>
        <v>100.00999999999999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2026-02-17T14:46:43Z</dcterms:modified>
</cp:coreProperties>
</file>