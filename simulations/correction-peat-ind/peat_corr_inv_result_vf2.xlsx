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-peat-ind\"/>
    </mc:Choice>
  </mc:AlternateContent>
  <xr:revisionPtr revIDLastSave="0" documentId="13_ncr:1_{7F4E33AA-4C43-45A3-B2DB-BDB536A2DE6F}" xr6:coauthVersionLast="36" xr6:coauthVersionMax="36" xr10:uidLastSave="{00000000-0000-0000-0000-000000000000}"/>
  <bookViews>
    <workbookView xWindow="0" yWindow="0" windowWidth="12770" windowHeight="224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Y9" i="1" l="1"/>
  <c r="AX9" i="1"/>
  <c r="AW9" i="1"/>
  <c r="AV9" i="1"/>
  <c r="AU9" i="1"/>
  <c r="AT9" i="1"/>
  <c r="AS9" i="1"/>
  <c r="AR9" i="1"/>
  <c r="AZ9" i="1" s="1"/>
  <c r="AY8" i="1"/>
  <c r="AX8" i="1"/>
  <c r="AW8" i="1"/>
  <c r="AV8" i="1"/>
  <c r="AU8" i="1"/>
  <c r="AT8" i="1"/>
  <c r="AS8" i="1"/>
  <c r="AR8" i="1"/>
  <c r="AZ8" i="1" s="1"/>
  <c r="AY7" i="1"/>
  <c r="AX7" i="1"/>
  <c r="AW7" i="1"/>
  <c r="AV7" i="1"/>
  <c r="AU7" i="1"/>
  <c r="AT7" i="1"/>
  <c r="AS7" i="1"/>
  <c r="AR7" i="1"/>
  <c r="AZ7" i="1" s="1"/>
  <c r="AY6" i="1"/>
  <c r="AX6" i="1"/>
  <c r="AW6" i="1"/>
  <c r="AV6" i="1"/>
  <c r="AU6" i="1"/>
  <c r="AT6" i="1"/>
  <c r="AS6" i="1"/>
  <c r="AR6" i="1"/>
  <c r="AZ6" i="1" s="1"/>
  <c r="AY5" i="1"/>
  <c r="AX5" i="1"/>
  <c r="AW5" i="1"/>
  <c r="AV5" i="1"/>
  <c r="AU5" i="1"/>
  <c r="AT5" i="1"/>
  <c r="AS5" i="1"/>
  <c r="AR5" i="1"/>
  <c r="AZ5" i="1" s="1"/>
  <c r="AY4" i="1"/>
  <c r="AX4" i="1"/>
  <c r="AW4" i="1"/>
  <c r="AV4" i="1"/>
  <c r="AU4" i="1"/>
  <c r="AT4" i="1"/>
  <c r="AS4" i="1"/>
  <c r="AR4" i="1"/>
  <c r="AZ4" i="1" s="1"/>
  <c r="AY3" i="1"/>
  <c r="AX3" i="1"/>
  <c r="AW3" i="1"/>
  <c r="AV3" i="1"/>
  <c r="AU3" i="1"/>
  <c r="AT3" i="1"/>
  <c r="AS3" i="1"/>
  <c r="AR3" i="1"/>
  <c r="AZ3" i="1" s="1"/>
</calcChain>
</file>

<file path=xl/sharedStrings.xml><?xml version="1.0" encoding="utf-8"?>
<sst xmlns="http://schemas.openxmlformats.org/spreadsheetml/2006/main" count="71" uniqueCount="55">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</sst>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topLeftCell="AM1" workbookViewId="0">
      <selection activeCell="AU21" sqref="AU21"/>
    </sheetView>
  </sheetViews>
  <sheetFormatPr baseColWidth="10" defaultColWidth="8.7265625" defaultRowHeight="14.5" x14ac:dyDescent="0.35"/>
  <sheetData>
    <row r="1" spans="1:52" x14ac:dyDescent="0.35">
      <c r="A1" s="2"/>
      <c r="B1" s="5"/>
      <c r="C1" s="7"/>
      <c r="D1" s="5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/>
      <c r="Z1" s="5" t="s">
        <v>1</v>
      </c>
      <c r="AA1" s="6"/>
      <c r="AB1" s="7"/>
      <c r="AC1" s="2" t="s">
        <v>2</v>
      </c>
      <c r="AD1" s="5" t="s">
        <v>3</v>
      </c>
      <c r="AE1" s="7"/>
      <c r="AF1" s="5" t="s">
        <v>4</v>
      </c>
      <c r="AG1" s="7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2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2" x14ac:dyDescent="0.35">
      <c r="A3" s="1">
        <v>0</v>
      </c>
      <c r="B3" t="s">
        <v>42</v>
      </c>
      <c r="C3">
        <v>0.6</v>
      </c>
      <c r="D3" s="3">
        <v>14.13</v>
      </c>
      <c r="E3">
        <v>2.52</v>
      </c>
      <c r="F3">
        <v>2.94</v>
      </c>
      <c r="G3">
        <v>0.82</v>
      </c>
      <c r="H3">
        <v>2.13</v>
      </c>
      <c r="I3">
        <v>1.29</v>
      </c>
      <c r="J3">
        <v>2.72</v>
      </c>
      <c r="K3">
        <v>2.37</v>
      </c>
      <c r="L3">
        <v>0.88</v>
      </c>
      <c r="M3">
        <v>0.54</v>
      </c>
      <c r="N3">
        <v>3.35</v>
      </c>
      <c r="O3">
        <v>1.78</v>
      </c>
      <c r="P3">
        <v>0.71</v>
      </c>
      <c r="Q3">
        <v>0.74</v>
      </c>
      <c r="R3">
        <v>0.75</v>
      </c>
      <c r="S3">
        <v>4.9400000000000004</v>
      </c>
      <c r="T3">
        <v>0.57999999999999996</v>
      </c>
      <c r="U3">
        <v>0.36</v>
      </c>
      <c r="V3">
        <v>0.92</v>
      </c>
      <c r="W3">
        <v>0.57999999999999996</v>
      </c>
      <c r="X3">
        <v>2.3199999999999998</v>
      </c>
      <c r="Y3">
        <v>0.94</v>
      </c>
      <c r="AF3" s="3">
        <v>51.7</v>
      </c>
      <c r="AK3" s="4">
        <v>-768179.85353884823</v>
      </c>
      <c r="AL3" s="4">
        <v>-415428.44807613798</v>
      </c>
      <c r="AM3" s="4">
        <v>-5.0793988224670468</v>
      </c>
      <c r="AN3" s="4">
        <v>92727.360204091223</v>
      </c>
      <c r="AO3" s="4">
        <v>1.765209108988617</v>
      </c>
      <c r="AQ3" t="s">
        <v>42</v>
      </c>
      <c r="AR3">
        <f>SUM(D3:Y3)</f>
        <v>48.309999999999995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51.7</v>
      </c>
      <c r="AW3">
        <f>AH3</f>
        <v>0</v>
      </c>
      <c r="AX3">
        <f>AI3</f>
        <v>0</v>
      </c>
      <c r="AY3">
        <f>AJ3</f>
        <v>0</v>
      </c>
      <c r="AZ3">
        <f>SUM(AR3:AY3)</f>
        <v>100.00999999999999</v>
      </c>
    </row>
    <row r="4" spans="1:52" x14ac:dyDescent="0.35">
      <c r="A4" s="1">
        <v>1</v>
      </c>
      <c r="B4" t="s">
        <v>43</v>
      </c>
      <c r="C4">
        <v>0.6</v>
      </c>
      <c r="E4">
        <v>2.52</v>
      </c>
      <c r="I4">
        <v>1.29</v>
      </c>
      <c r="X4">
        <v>2.3199999999999998</v>
      </c>
      <c r="AJ4" s="3">
        <v>93.88</v>
      </c>
      <c r="AK4" s="4">
        <v>-634031.48587802402</v>
      </c>
      <c r="AL4" s="4">
        <v>-660560.7426356083</v>
      </c>
      <c r="AM4" s="4">
        <v>-6.1965265245839234</v>
      </c>
      <c r="AN4" s="4">
        <v>-154242.59406741831</v>
      </c>
      <c r="AO4" s="4">
        <v>0.62331509930680706</v>
      </c>
      <c r="AQ4" t="s">
        <v>43</v>
      </c>
      <c r="AR4">
        <f t="shared" ref="AR4:AR9" si="0">SUM(D4:Y4)</f>
        <v>6.13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93.88</v>
      </c>
      <c r="AZ4">
        <f t="shared" ref="AZ4:AZ9" si="6">SUM(AR4:AY4)</f>
        <v>100.00999999999999</v>
      </c>
    </row>
    <row r="5" spans="1:52" x14ac:dyDescent="0.35">
      <c r="A5" s="1">
        <v>2</v>
      </c>
      <c r="B5" t="s">
        <v>44</v>
      </c>
      <c r="C5">
        <v>0.6</v>
      </c>
      <c r="D5" s="3">
        <v>0.37</v>
      </c>
      <c r="E5">
        <v>2.52</v>
      </c>
      <c r="I5">
        <v>1.29</v>
      </c>
      <c r="X5">
        <v>2.3199999999999998</v>
      </c>
      <c r="AJ5" s="3">
        <v>93.51</v>
      </c>
      <c r="AK5" s="4">
        <v>-635489.74845376587</v>
      </c>
      <c r="AL5" s="4">
        <v>-660548.83709730825</v>
      </c>
      <c r="AM5" s="4">
        <v>-6.2014023182832094</v>
      </c>
      <c r="AN5" s="4">
        <v>-153915.1866065145</v>
      </c>
      <c r="AO5" s="4">
        <v>0.62269132026698426</v>
      </c>
      <c r="AQ5" t="s">
        <v>44</v>
      </c>
      <c r="AR5">
        <f t="shared" si="0"/>
        <v>6.5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93.51</v>
      </c>
      <c r="AZ5">
        <f t="shared" si="6"/>
        <v>100.01</v>
      </c>
    </row>
    <row r="6" spans="1:52" x14ac:dyDescent="0.35">
      <c r="A6" s="1">
        <v>3</v>
      </c>
      <c r="B6" t="s">
        <v>45</v>
      </c>
      <c r="C6">
        <v>0.6</v>
      </c>
      <c r="D6" s="3">
        <v>0.37</v>
      </c>
      <c r="E6">
        <v>2.52</v>
      </c>
      <c r="I6">
        <v>1.29</v>
      </c>
      <c r="X6">
        <v>2.3199999999999998</v>
      </c>
      <c r="AJ6" s="3">
        <v>93.51</v>
      </c>
      <c r="AK6" s="4">
        <v>-635489.74845376587</v>
      </c>
      <c r="AL6" s="4">
        <v>-660548.83709730825</v>
      </c>
      <c r="AM6" s="4">
        <v>-6.2014023182832094</v>
      </c>
      <c r="AN6" s="4">
        <v>-153915.1866065145</v>
      </c>
      <c r="AO6" s="4">
        <v>0.62269132026698426</v>
      </c>
      <c r="AQ6" t="s">
        <v>45</v>
      </c>
      <c r="AR6">
        <f t="shared" si="0"/>
        <v>6.5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93.51</v>
      </c>
      <c r="AZ6">
        <f t="shared" si="6"/>
        <v>100.01</v>
      </c>
    </row>
    <row r="7" spans="1:52" x14ac:dyDescent="0.35">
      <c r="A7" s="1">
        <v>4</v>
      </c>
      <c r="B7" t="s">
        <v>46</v>
      </c>
      <c r="C7">
        <v>0.6</v>
      </c>
      <c r="D7" s="3">
        <v>0.37</v>
      </c>
      <c r="E7">
        <v>2.52</v>
      </c>
      <c r="I7">
        <v>1.29</v>
      </c>
      <c r="X7">
        <v>2.3199999999999998</v>
      </c>
      <c r="AJ7" s="3">
        <v>93.51</v>
      </c>
      <c r="AK7" s="4">
        <v>-635489.74845376587</v>
      </c>
      <c r="AL7" s="4">
        <v>-660548.83709730825</v>
      </c>
      <c r="AM7" s="4">
        <v>-6.2014023182832094</v>
      </c>
      <c r="AN7" s="4">
        <v>-153915.1866065145</v>
      </c>
      <c r="AO7" s="4">
        <v>0.62269132026698426</v>
      </c>
      <c r="AQ7" t="s">
        <v>46</v>
      </c>
      <c r="AR7">
        <f t="shared" si="0"/>
        <v>6.5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93.51</v>
      </c>
      <c r="AZ7">
        <f t="shared" si="6"/>
        <v>100.01</v>
      </c>
    </row>
    <row r="8" spans="1:52" x14ac:dyDescent="0.35">
      <c r="A8" s="1">
        <v>5</v>
      </c>
      <c r="B8" t="s">
        <v>47</v>
      </c>
      <c r="C8">
        <v>0.6</v>
      </c>
      <c r="D8" s="3">
        <v>0.37</v>
      </c>
      <c r="E8">
        <v>2.52</v>
      </c>
      <c r="I8">
        <v>1.29</v>
      </c>
      <c r="X8">
        <v>2.3199999999999998</v>
      </c>
      <c r="AJ8" s="3">
        <v>93.51</v>
      </c>
      <c r="AK8" s="4">
        <v>-635489.74845376587</v>
      </c>
      <c r="AL8" s="4">
        <v>-660548.83709730825</v>
      </c>
      <c r="AM8" s="4">
        <v>-6.2014023182832094</v>
      </c>
      <c r="AN8" s="4">
        <v>-153915.1866065145</v>
      </c>
      <c r="AO8" s="4">
        <v>0.62269132026698426</v>
      </c>
      <c r="AQ8" t="s">
        <v>47</v>
      </c>
      <c r="AR8">
        <f t="shared" si="0"/>
        <v>6.5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0</v>
      </c>
      <c r="AX8">
        <f t="shared" si="5"/>
        <v>0</v>
      </c>
      <c r="AY8">
        <f t="shared" si="5"/>
        <v>93.51</v>
      </c>
      <c r="AZ8">
        <f t="shared" si="6"/>
        <v>100.01</v>
      </c>
    </row>
    <row r="9" spans="1:52" x14ac:dyDescent="0.35">
      <c r="A9" s="1">
        <v>6</v>
      </c>
      <c r="B9" t="s">
        <v>48</v>
      </c>
      <c r="C9">
        <v>0.6</v>
      </c>
      <c r="D9" s="3">
        <v>0.37</v>
      </c>
      <c r="E9">
        <v>2.52</v>
      </c>
      <c r="I9">
        <v>1.29</v>
      </c>
      <c r="X9">
        <v>2.3199999999999998</v>
      </c>
      <c r="AJ9" s="3">
        <v>93.51</v>
      </c>
      <c r="AK9" s="4">
        <v>-635489.74845376587</v>
      </c>
      <c r="AL9" s="4">
        <v>-660548.83709730825</v>
      </c>
      <c r="AM9" s="4">
        <v>-6.2014023182832094</v>
      </c>
      <c r="AN9" s="4">
        <v>-153915.1866065145</v>
      </c>
      <c r="AO9" s="4">
        <v>0.62269132026698426</v>
      </c>
      <c r="AQ9" t="s">
        <v>48</v>
      </c>
      <c r="AR9">
        <f t="shared" si="0"/>
        <v>6.5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93.51</v>
      </c>
      <c r="AZ9">
        <f t="shared" si="6"/>
        <v>100.01</v>
      </c>
    </row>
  </sheetData>
  <mergeCells count="6">
    <mergeCell ref="AJ1:AO1"/>
    <mergeCell ref="B1:C1"/>
    <mergeCell ref="D1:Y1"/>
    <mergeCell ref="Z1:AB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2026-02-20T09:59:06Z</dcterms:created>
  <dcterms:modified xsi:type="dcterms:W3CDTF">2026-02-23T08:52:24Z</dcterms:modified>
</cp:coreProperties>
</file>