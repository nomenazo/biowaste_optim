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CC624AC1-C177-413D-A9C1-942578AB0B98}" xr6:coauthVersionLast="36" xr6:coauthVersionMax="36" xr10:uidLastSave="{00000000-0000-0000-0000-000000000000}"/>
  <bookViews>
    <workbookView xWindow="0" yWindow="0" windowWidth="19200" windowHeight="6930" activeTab="2" xr2:uid="{D746D7D5-B0A8-4858-AD5A-93AA09E65399}"/>
  </bookViews>
  <sheets>
    <sheet name="id_tech" sheetId="2" r:id="rId1"/>
    <sheet name="tech" sheetId="1" r:id="rId2"/>
    <sheet name="coproduct" sheetId="3" r:id="rId3"/>
    <sheet name="subs_ratio" sheetId="4" r:id="rId4"/>
    <sheet name="conv_prod_impact" sheetId="5" r:id="rId5"/>
    <sheet name="sub_imp" sheetId="6" r:id="rId6"/>
    <sheet name="trans_cop_imp" sheetId="7" r:id="rId7"/>
    <sheet name="use_cp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6" l="1"/>
  <c r="B3" i="6"/>
  <c r="B2" i="6"/>
  <c r="D5" i="3" l="1"/>
  <c r="D4" i="3" l="1"/>
  <c r="B4" i="6" s="1"/>
</calcChain>
</file>

<file path=xl/sharedStrings.xml><?xml version="1.0" encoding="utf-8"?>
<sst xmlns="http://schemas.openxmlformats.org/spreadsheetml/2006/main" count="99" uniqueCount="45">
  <si>
    <t>HC</t>
  </si>
  <si>
    <t>CC</t>
  </si>
  <si>
    <t>IC</t>
  </si>
  <si>
    <t>Home Composting</t>
  </si>
  <si>
    <t>Community composting</t>
  </si>
  <si>
    <t>Industrial composting</t>
  </si>
  <si>
    <t>GHG</t>
  </si>
  <si>
    <t>l.b</t>
  </si>
  <si>
    <t>u.b</t>
  </si>
  <si>
    <t>t/y</t>
  </si>
  <si>
    <t>(kgCO2.Eq/t)</t>
  </si>
  <si>
    <t>Symbol</t>
  </si>
  <si>
    <t>name</t>
  </si>
  <si>
    <t>Centralized anaerobic digestion + CHP</t>
  </si>
  <si>
    <t>Coproduct</t>
  </si>
  <si>
    <t>compost</t>
  </si>
  <si>
    <t>heat, electricity, digestate</t>
  </si>
  <si>
    <t>Centralized anaerobic digestion + CHP + composting</t>
  </si>
  <si>
    <t>heat, electricity, compost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</si>
  <si>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</si>
  <si>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</si>
  <si>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</si>
  <si>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</si>
  <si>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</si>
  <si>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</si>
  <si>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</si>
  <si>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</si>
  <si>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</si>
  <si>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</si>
  <si>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</si>
  <si>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</si>
  <si>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</si>
  <si>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kgCO2/t</t>
  </si>
  <si>
    <t>kgCO2/kWh</t>
  </si>
  <si>
    <t>Co-product</t>
  </si>
  <si>
    <t>Conventional product</t>
  </si>
  <si>
    <t>sub_imp</t>
  </si>
  <si>
    <t>kgCO2eq/t.km</t>
  </si>
  <si>
    <t>kgCO2eq/kWh/km</t>
  </si>
  <si>
    <t>MJ/t</t>
  </si>
  <si>
    <t>Impact</t>
  </si>
  <si>
    <t>kgCO2eq/kg</t>
  </si>
  <si>
    <t>kgCO2eq/kWh</t>
  </si>
  <si>
    <t>GHG_prod</t>
  </si>
  <si>
    <t>GHG_use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</si>
</sst>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_CHP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ste_characteristics"/>
      <sheetName val="LCI"/>
      <sheetName val="SP_mid"/>
      <sheetName val="SP_end"/>
      <sheetName val="Parameters"/>
      <sheetName val="Feuil5"/>
      <sheetName val="HC_end"/>
      <sheetName val="HC_mid"/>
      <sheetName val="IC_mid"/>
      <sheetName val="IC_end"/>
      <sheetName val="impact_process_end"/>
      <sheetName val="impact_process_mid"/>
      <sheetName val="AD_a_end"/>
      <sheetName val="AD_a_mid"/>
    </sheetNames>
    <sheetDataSet>
      <sheetData sheetId="0"/>
      <sheetData sheetId="1">
        <row r="23">
          <cell r="E23">
            <v>509.03089819946877</v>
          </cell>
        </row>
        <row r="24">
          <cell r="E24">
            <v>2161.4235062008215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5"/>
  <sheetViews>
    <sheetView workbookViewId="0">
      <selection activeCell="A6" sqref="A6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11</v>
      </c>
      <c r="B1" t="s">
        <v>23</v>
      </c>
      <c r="C1" t="s">
        <v>12</v>
      </c>
    </row>
    <row r="2" spans="1:3" x14ac:dyDescent="0.35">
      <c r="A2" t="s">
        <v>0</v>
      </c>
      <c r="B2" t="s">
        <v>21</v>
      </c>
      <c r="C2" t="s">
        <v>3</v>
      </c>
    </row>
    <row r="3" spans="1:3" x14ac:dyDescent="0.35">
      <c r="A3" t="s">
        <v>2</v>
      </c>
      <c r="B3" t="s">
        <v>22</v>
      </c>
      <c r="C3" t="s">
        <v>5</v>
      </c>
    </row>
    <row r="4" spans="1:3" x14ac:dyDescent="0.35">
      <c r="A4" t="s">
        <v>19</v>
      </c>
      <c r="B4" t="s">
        <v>22</v>
      </c>
      <c r="C4" t="s">
        <v>13</v>
      </c>
    </row>
    <row r="5" spans="1:3" x14ac:dyDescent="0.35">
      <c r="A5" t="s">
        <v>20</v>
      </c>
      <c r="B5" t="s">
        <v>22</v>
      </c>
      <c r="C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J16"/>
  <sheetViews>
    <sheetView workbookViewId="0">
      <selection activeCell="I17" sqref="I17"/>
    </sheetView>
  </sheetViews>
  <sheetFormatPr baseColWidth="10" defaultRowHeight="14.5" x14ac:dyDescent="0.35"/>
  <cols>
    <col min="9" max="9" width="51.36328125" customWidth="1"/>
    <col min="10" max="10" width="33.54296875" customWidth="1"/>
  </cols>
  <sheetData>
    <row r="1" spans="1:10" x14ac:dyDescent="0.35">
      <c r="B1" t="s">
        <v>6</v>
      </c>
      <c r="C1" t="s">
        <v>7</v>
      </c>
      <c r="D1" t="s">
        <v>8</v>
      </c>
      <c r="J1" t="s">
        <v>14</v>
      </c>
    </row>
    <row r="2" spans="1:10" x14ac:dyDescent="0.35">
      <c r="A2" t="s">
        <v>0</v>
      </c>
      <c r="B2">
        <v>1200</v>
      </c>
      <c r="H2" t="s">
        <v>0</v>
      </c>
      <c r="I2" t="s">
        <v>3</v>
      </c>
      <c r="J2" t="s">
        <v>15</v>
      </c>
    </row>
    <row r="3" spans="1:10" x14ac:dyDescent="0.35">
      <c r="A3" t="s">
        <v>1</v>
      </c>
      <c r="B3">
        <v>1700</v>
      </c>
      <c r="H3" t="s">
        <v>1</v>
      </c>
      <c r="I3" t="s">
        <v>4</v>
      </c>
      <c r="J3" t="s">
        <v>15</v>
      </c>
    </row>
    <row r="4" spans="1:10" x14ac:dyDescent="0.35">
      <c r="A4" t="s">
        <v>2</v>
      </c>
      <c r="B4">
        <v>1500</v>
      </c>
      <c r="C4">
        <v>500</v>
      </c>
      <c r="D4">
        <v>1000</v>
      </c>
      <c r="H4" t="s">
        <v>2</v>
      </c>
      <c r="I4" t="s">
        <v>5</v>
      </c>
      <c r="J4" t="s">
        <v>15</v>
      </c>
    </row>
    <row r="5" spans="1:10" x14ac:dyDescent="0.35">
      <c r="A5" t="s">
        <v>19</v>
      </c>
      <c r="B5">
        <v>1400</v>
      </c>
      <c r="C5">
        <v>600</v>
      </c>
      <c r="D5">
        <v>1200</v>
      </c>
      <c r="H5" t="s">
        <v>19</v>
      </c>
      <c r="I5" t="s">
        <v>13</v>
      </c>
      <c r="J5" t="s">
        <v>16</v>
      </c>
    </row>
    <row r="6" spans="1:10" x14ac:dyDescent="0.35">
      <c r="A6" t="s">
        <v>20</v>
      </c>
      <c r="B6">
        <v>1300</v>
      </c>
      <c r="C6">
        <v>600</v>
      </c>
      <c r="D6">
        <v>1200</v>
      </c>
      <c r="H6" t="s">
        <v>20</v>
      </c>
      <c r="I6" t="s">
        <v>17</v>
      </c>
      <c r="J6" t="s">
        <v>18</v>
      </c>
    </row>
    <row r="12" spans="1:10" x14ac:dyDescent="0.35">
      <c r="B12" t="s">
        <v>10</v>
      </c>
      <c r="C12" t="s">
        <v>9</v>
      </c>
      <c r="D12" t="s">
        <v>9</v>
      </c>
    </row>
    <row r="16" spans="1:10" x14ac:dyDescent="0.35">
      <c r="E16" s="1"/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F5"/>
  <sheetViews>
    <sheetView tabSelected="1" workbookViewId="0">
      <selection activeCell="C2" sqref="C2"/>
    </sheetView>
  </sheetViews>
  <sheetFormatPr baseColWidth="10" defaultRowHeight="14.5" x14ac:dyDescent="0.35"/>
  <cols>
    <col min="1" max="1" width="13.453125" customWidth="1"/>
  </cols>
  <sheetData>
    <row r="1" spans="1:6" x14ac:dyDescent="0.35">
      <c r="A1" t="s">
        <v>34</v>
      </c>
      <c r="B1" t="s">
        <v>0</v>
      </c>
      <c r="C1" t="s">
        <v>2</v>
      </c>
      <c r="D1" t="s">
        <v>19</v>
      </c>
      <c r="E1" t="s">
        <v>20</v>
      </c>
      <c r="F1" t="s">
        <v>28</v>
      </c>
    </row>
    <row r="2" spans="1:6" x14ac:dyDescent="0.35">
      <c r="A2" t="s">
        <v>24</v>
      </c>
      <c r="B2">
        <v>30</v>
      </c>
      <c r="C2">
        <v>50</v>
      </c>
      <c r="D2">
        <v>0</v>
      </c>
      <c r="E2">
        <v>10</v>
      </c>
      <c r="F2" t="s">
        <v>29</v>
      </c>
    </row>
    <row r="3" spans="1:6" x14ac:dyDescent="0.35">
      <c r="A3" t="s">
        <v>25</v>
      </c>
      <c r="B3">
        <v>0</v>
      </c>
      <c r="C3">
        <v>0</v>
      </c>
      <c r="D3">
        <v>15</v>
      </c>
      <c r="E3">
        <v>0</v>
      </c>
      <c r="F3" t="s">
        <v>29</v>
      </c>
    </row>
    <row r="4" spans="1:6" x14ac:dyDescent="0.35">
      <c r="A4" t="s">
        <v>26</v>
      </c>
      <c r="B4">
        <v>0</v>
      </c>
      <c r="C4">
        <v>0</v>
      </c>
      <c r="D4">
        <f>[1]LCI!$E$24</f>
        <v>2161.4235062008215</v>
      </c>
      <c r="E4">
        <v>41</v>
      </c>
      <c r="F4" t="s">
        <v>39</v>
      </c>
    </row>
    <row r="5" spans="1:6" x14ac:dyDescent="0.35">
      <c r="A5" t="s">
        <v>27</v>
      </c>
      <c r="B5">
        <v>0</v>
      </c>
      <c r="C5">
        <v>0</v>
      </c>
      <c r="D5">
        <f>[1]LCI!$E$23</f>
        <v>509.03089819946877</v>
      </c>
      <c r="E5">
        <v>29</v>
      </c>
      <c r="F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E4"/>
  <sheetViews>
    <sheetView workbookViewId="0">
      <selection activeCell="C21" sqref="C21"/>
    </sheetView>
  </sheetViews>
  <sheetFormatPr baseColWidth="10" defaultRowHeight="14.5" x14ac:dyDescent="0.35"/>
  <cols>
    <col min="1" max="1" width="24.90625" customWidth="1"/>
  </cols>
  <sheetData>
    <row r="1" spans="1:5" x14ac:dyDescent="0.35">
      <c r="A1" t="s">
        <v>35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5">
      <c r="A2" t="s">
        <v>31</v>
      </c>
      <c r="B2">
        <v>1</v>
      </c>
      <c r="C2">
        <v>1</v>
      </c>
      <c r="D2">
        <v>0</v>
      </c>
      <c r="E2">
        <v>0</v>
      </c>
    </row>
    <row r="3" spans="1:5" x14ac:dyDescent="0.35">
      <c r="A3" t="s">
        <v>26</v>
      </c>
      <c r="B3">
        <v>0</v>
      </c>
      <c r="C3">
        <v>0</v>
      </c>
      <c r="D3">
        <v>1</v>
      </c>
      <c r="E3">
        <v>0</v>
      </c>
    </row>
    <row r="4" spans="1:5" x14ac:dyDescent="0.35">
      <c r="A4" t="s">
        <v>27</v>
      </c>
      <c r="B4">
        <v>0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D246-4F1C-42C3-89B4-E352479F0DBF}">
  <dimension ref="A1:D4"/>
  <sheetViews>
    <sheetView workbookViewId="0">
      <selection activeCell="B4" sqref="B4"/>
    </sheetView>
  </sheetViews>
  <sheetFormatPr baseColWidth="10" defaultRowHeight="14.5" x14ac:dyDescent="0.35"/>
  <cols>
    <col min="2" max="3" width="12.1796875" customWidth="1"/>
  </cols>
  <sheetData>
    <row r="1" spans="1:4" x14ac:dyDescent="0.35">
      <c r="B1" t="s">
        <v>43</v>
      </c>
      <c r="C1" t="s">
        <v>44</v>
      </c>
      <c r="D1" t="s">
        <v>28</v>
      </c>
    </row>
    <row r="2" spans="1:4" x14ac:dyDescent="0.35">
      <c r="A2" t="s">
        <v>31</v>
      </c>
      <c r="B2">
        <v>200</v>
      </c>
      <c r="C2">
        <v>80</v>
      </c>
      <c r="D2" t="s">
        <v>32</v>
      </c>
    </row>
    <row r="3" spans="1:4" x14ac:dyDescent="0.35">
      <c r="A3" t="s">
        <v>26</v>
      </c>
      <c r="B3">
        <v>15</v>
      </c>
      <c r="C3">
        <v>96</v>
      </c>
      <c r="D3" t="s">
        <v>33</v>
      </c>
    </row>
    <row r="4" spans="1:4" x14ac:dyDescent="0.35">
      <c r="A4" t="s">
        <v>27</v>
      </c>
      <c r="B4">
        <v>30</v>
      </c>
      <c r="C4">
        <v>97</v>
      </c>
      <c r="D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2565-4006-4B4A-BB4F-3B1E8184CE38}">
  <dimension ref="A1:B5"/>
  <sheetViews>
    <sheetView workbookViewId="0">
      <selection activeCell="B2" sqref="B2"/>
    </sheetView>
  </sheetViews>
  <sheetFormatPr baseColWidth="10" defaultRowHeight="14.5" x14ac:dyDescent="0.35"/>
  <sheetData>
    <row r="1" spans="1:2" x14ac:dyDescent="0.35">
      <c r="B1" t="s">
        <v>36</v>
      </c>
    </row>
    <row r="2" spans="1:2" x14ac:dyDescent="0.35">
      <c r="A2" t="s">
        <v>0</v>
      </c>
      <c r="B2">
        <f>(coproduct!B2*subs_ratio!B2*conv_prod_impact!B2)</f>
        <v>6000</v>
      </c>
    </row>
    <row r="3" spans="1:2" x14ac:dyDescent="0.35">
      <c r="A3" t="s">
        <v>2</v>
      </c>
      <c r="B3">
        <f>coproduct!C2*subs_ratio!B2*conv_prod_impact!B2</f>
        <v>10000</v>
      </c>
    </row>
    <row r="4" spans="1:2" x14ac:dyDescent="0.35">
      <c r="A4" t="s">
        <v>19</v>
      </c>
      <c r="B4">
        <f>(coproduct!D3*subs_ratio!C2*conv_prod_impact!B2)+(coproduct!D4*subs_ratio!D3*conv_prod_impact!B3)+(coproduct!E5*subs_ratio!E4*conv_prod_impact!B4)</f>
        <v>36291.352593012321</v>
      </c>
    </row>
    <row r="5" spans="1:2" x14ac:dyDescent="0.35">
      <c r="A5" t="s">
        <v>20</v>
      </c>
      <c r="B5">
        <f>(coproduct!E2*subs_ratio!B2*conv_prod_impact!B2)+(coproduct!E4*subs_ratio!D3*conv_prod_impact!B3)+(coproduct!E5*subs_ratio!E4*conv_prod_impact!B4)</f>
        <v>3485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66C5-2255-4381-8477-0D555154E97C}">
  <dimension ref="A1:C5"/>
  <sheetViews>
    <sheetView workbookViewId="0">
      <selection activeCell="B5" sqref="B5"/>
    </sheetView>
  </sheetViews>
  <sheetFormatPr baseColWidth="10" defaultRowHeight="14.5" x14ac:dyDescent="0.35"/>
  <sheetData>
    <row r="1" spans="1:3" x14ac:dyDescent="0.35">
      <c r="B1" t="s">
        <v>6</v>
      </c>
      <c r="C1" t="s">
        <v>28</v>
      </c>
    </row>
    <row r="2" spans="1:3" x14ac:dyDescent="0.35">
      <c r="A2" t="s">
        <v>24</v>
      </c>
      <c r="B2" s="2">
        <v>0.2</v>
      </c>
      <c r="C2" t="s">
        <v>37</v>
      </c>
    </row>
    <row r="3" spans="1:3" x14ac:dyDescent="0.35">
      <c r="A3" t="s">
        <v>25</v>
      </c>
      <c r="B3" s="2">
        <v>0.2</v>
      </c>
      <c r="C3" t="s">
        <v>37</v>
      </c>
    </row>
    <row r="4" spans="1:3" x14ac:dyDescent="0.35">
      <c r="A4" t="s">
        <v>26</v>
      </c>
      <c r="B4">
        <v>3</v>
      </c>
      <c r="C4" t="s">
        <v>38</v>
      </c>
    </row>
    <row r="5" spans="1:3" x14ac:dyDescent="0.35">
      <c r="A5" t="s">
        <v>27</v>
      </c>
      <c r="B5">
        <v>4</v>
      </c>
      <c r="C5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F016-02DD-4060-8294-B81ED667E50B}">
  <dimension ref="A1:C5"/>
  <sheetViews>
    <sheetView workbookViewId="0">
      <selection activeCell="C6" sqref="C6"/>
    </sheetView>
  </sheetViews>
  <sheetFormatPr baseColWidth="10" defaultRowHeight="14.5" x14ac:dyDescent="0.35"/>
  <cols>
    <col min="3" max="3" width="16.6328125" customWidth="1"/>
  </cols>
  <sheetData>
    <row r="1" spans="1:3" x14ac:dyDescent="0.35">
      <c r="A1" t="s">
        <v>34</v>
      </c>
      <c r="B1" t="s">
        <v>40</v>
      </c>
      <c r="C1" t="s">
        <v>28</v>
      </c>
    </row>
    <row r="2" spans="1:3" x14ac:dyDescent="0.35">
      <c r="A2" t="s">
        <v>24</v>
      </c>
      <c r="B2">
        <v>25</v>
      </c>
      <c r="C2" t="s">
        <v>41</v>
      </c>
    </row>
    <row r="3" spans="1:3" x14ac:dyDescent="0.35">
      <c r="A3" t="s">
        <v>25</v>
      </c>
      <c r="B3">
        <v>30</v>
      </c>
      <c r="C3" t="s">
        <v>41</v>
      </c>
    </row>
    <row r="4" spans="1:3" x14ac:dyDescent="0.35">
      <c r="A4" t="s">
        <v>26</v>
      </c>
      <c r="B4">
        <v>30</v>
      </c>
      <c r="C4" t="s">
        <v>42</v>
      </c>
    </row>
    <row r="5" spans="1:3" x14ac:dyDescent="0.35">
      <c r="A5" t="s">
        <v>27</v>
      </c>
      <c r="B5">
        <v>25</v>
      </c>
      <c r="C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id_tech</vt:lpstr>
      <vt:lpstr>tech</vt:lpstr>
      <vt:lpstr>coproduct</vt:lpstr>
      <vt:lpstr>subs_ratio</vt:lpstr>
      <vt:lpstr>conv_prod_impact</vt:lpstr>
      <vt:lpstr>sub_imp</vt:lpstr>
      <vt:lpstr>trans_cop_imp</vt:lpstr>
      <vt:lpstr>use_cp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2025-09-15T13:45:34Z</dcterms:modified>
</cp:coreProperties>
</file>