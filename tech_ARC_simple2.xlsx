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C76B559E-A46F-43A6-B2D5-86C3712A8731}" xr6:coauthVersionLast="36" xr6:coauthVersionMax="36" xr10:uidLastSave="{00000000-0000-0000-0000-000000000000}"/>
  <bookViews>
    <workbookView xWindow="0" yWindow="0" windowWidth="19200" windowHeight="6930" activeTab="3" xr2:uid="{D746D7D5-B0A8-4858-AD5A-93AA09E65399}"/>
  </bookViews>
  <sheets>
    <sheet name="id_tech" sheetId="2" r:id="rId1"/>
    <sheet name="tech" sheetId="1" r:id="rId2"/>
    <sheet name="coproduct" sheetId="3" r:id="rId3"/>
    <sheet name="subs_ratio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3" l="1"/>
  <c r="D5" i="3" l="1"/>
</calcChain>
</file>

<file path=xl/sharedStrings.xml><?xml version="1.0" encoding="utf-8"?>
<sst xmlns="http://schemas.openxmlformats.org/spreadsheetml/2006/main" count="62" uniqueCount="37">
  <si>
    <t>HC</t>
  </si>
  <si>
    <t>IC</t>
  </si>
  <si>
    <t>Home Composting</t>
  </si>
  <si>
    <t>Industrial composting</t>
  </si>
  <si>
    <t>l.b</t>
  </si>
  <si>
    <t>u.b</t>
  </si>
  <si>
    <t>t/y</t>
  </si>
  <si>
    <t>Symbol</t>
  </si>
  <si>
    <t>name</t>
  </si>
  <si>
    <t>Coproduct</t>
  </si>
  <si>
    <t>compost</t>
  </si>
  <si>
    <t>heat, electricity, digestate</t>
  </si>
  <si>
    <t>heat, electricity, compost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</si>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</sst>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_CHP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ste_characteristics"/>
      <sheetName val="LCI"/>
      <sheetName val="SP_mid"/>
      <sheetName val="SP_end"/>
      <sheetName val="Parameters"/>
      <sheetName val="Feuil5"/>
      <sheetName val="HC_end"/>
      <sheetName val="HC_mid"/>
      <sheetName val="IC_mid"/>
      <sheetName val="IC_end"/>
      <sheetName val="impact_process_end"/>
      <sheetName val="impact_process_mid"/>
      <sheetName val="AD_a_end"/>
      <sheetName val="AD_a_mid"/>
    </sheetNames>
    <sheetDataSet>
      <sheetData sheetId="0" refreshError="1"/>
      <sheetData sheetId="1">
        <row r="24">
          <cell r="E24">
            <v>2161.4235062008215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6"/>
  <sheetViews>
    <sheetView workbookViewId="0">
      <selection activeCell="F10" sqref="F10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7</v>
      </c>
      <c r="B1" t="s">
        <v>17</v>
      </c>
      <c r="C1" t="s">
        <v>8</v>
      </c>
    </row>
    <row r="2" spans="1:3" x14ac:dyDescent="0.35">
      <c r="A2" t="s">
        <v>0</v>
      </c>
      <c r="B2" t="s">
        <v>15</v>
      </c>
      <c r="C2" t="s">
        <v>2</v>
      </c>
    </row>
    <row r="3" spans="1:3" x14ac:dyDescent="0.35">
      <c r="A3" t="s">
        <v>1</v>
      </c>
      <c r="B3" t="s">
        <v>16</v>
      </c>
      <c r="C3" t="s">
        <v>3</v>
      </c>
    </row>
    <row r="4" spans="1:3" x14ac:dyDescent="0.35">
      <c r="A4" t="s">
        <v>13</v>
      </c>
      <c r="B4" t="s">
        <v>16</v>
      </c>
      <c r="C4" t="s">
        <v>33</v>
      </c>
    </row>
    <row r="5" spans="1:3" x14ac:dyDescent="0.35">
      <c r="A5" t="s">
        <v>14</v>
      </c>
      <c r="B5" t="s">
        <v>16</v>
      </c>
      <c r="C5" t="s">
        <v>34</v>
      </c>
    </row>
    <row r="6" spans="1:3" x14ac:dyDescent="0.35">
      <c r="A6" t="s">
        <v>30</v>
      </c>
      <c r="B6" t="s">
        <v>16</v>
      </c>
      <c r="C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17"/>
  <sheetViews>
    <sheetView workbookViewId="0">
      <selection activeCell="C6" sqref="C6"/>
    </sheetView>
  </sheetViews>
  <sheetFormatPr baseColWidth="10" defaultRowHeight="14.5" x14ac:dyDescent="0.35"/>
  <cols>
    <col min="8" max="8" width="51.36328125" customWidth="1"/>
    <col min="9" max="9" width="33.54296875" customWidth="1"/>
  </cols>
  <sheetData>
    <row r="1" spans="1:9" x14ac:dyDescent="0.35">
      <c r="B1" t="s">
        <v>4</v>
      </c>
      <c r="C1" t="s">
        <v>5</v>
      </c>
      <c r="I1" t="s">
        <v>9</v>
      </c>
    </row>
    <row r="2" spans="1:9" x14ac:dyDescent="0.35">
      <c r="A2" t="s">
        <v>0</v>
      </c>
      <c r="I2" t="s">
        <v>10</v>
      </c>
    </row>
    <row r="3" spans="1:9" x14ac:dyDescent="0.35">
      <c r="A3" t="s">
        <v>1</v>
      </c>
      <c r="C3">
        <v>3000</v>
      </c>
      <c r="I3" t="s">
        <v>10</v>
      </c>
    </row>
    <row r="4" spans="1:9" x14ac:dyDescent="0.35">
      <c r="A4" t="s">
        <v>13</v>
      </c>
    </row>
    <row r="5" spans="1:9" x14ac:dyDescent="0.35">
      <c r="A5" t="s">
        <v>14</v>
      </c>
    </row>
    <row r="6" spans="1:9" x14ac:dyDescent="0.35">
      <c r="A6" t="s">
        <v>30</v>
      </c>
      <c r="C6" s="2">
        <v>1500</v>
      </c>
      <c r="I6" t="s">
        <v>11</v>
      </c>
    </row>
    <row r="7" spans="1:9" x14ac:dyDescent="0.35">
      <c r="I7" t="s">
        <v>12</v>
      </c>
    </row>
    <row r="13" spans="1:9" x14ac:dyDescent="0.35">
      <c r="B13" t="s">
        <v>6</v>
      </c>
      <c r="C13" t="s">
        <v>6</v>
      </c>
    </row>
    <row r="17" spans="4:4" x14ac:dyDescent="0.35">
      <c r="D17" s="1"/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G7"/>
  <sheetViews>
    <sheetView workbookViewId="0">
      <selection activeCell="I11" sqref="I11"/>
    </sheetView>
  </sheetViews>
  <sheetFormatPr baseColWidth="10" defaultRowHeight="14.5" x14ac:dyDescent="0.35"/>
  <cols>
    <col min="1" max="1" width="13.453125" customWidth="1"/>
  </cols>
  <sheetData>
    <row r="1" spans="1:7" x14ac:dyDescent="0.35">
      <c r="A1" t="s">
        <v>26</v>
      </c>
      <c r="B1" t="s">
        <v>0</v>
      </c>
      <c r="C1" t="s">
        <v>1</v>
      </c>
      <c r="D1" t="s">
        <v>13</v>
      </c>
      <c r="E1" t="s">
        <v>14</v>
      </c>
      <c r="F1" t="s">
        <v>30</v>
      </c>
      <c r="G1" t="s">
        <v>22</v>
      </c>
    </row>
    <row r="2" spans="1:7" x14ac:dyDescent="0.35">
      <c r="A2" t="s">
        <v>36</v>
      </c>
      <c r="B2">
        <v>0.8</v>
      </c>
      <c r="C2">
        <v>0</v>
      </c>
      <c r="D2">
        <v>0</v>
      </c>
      <c r="E2">
        <v>0</v>
      </c>
      <c r="F2">
        <v>0</v>
      </c>
      <c r="G2" t="s">
        <v>23</v>
      </c>
    </row>
    <row r="3" spans="1:7" x14ac:dyDescent="0.35">
      <c r="A3" t="s">
        <v>18</v>
      </c>
      <c r="B3">
        <v>0</v>
      </c>
      <c r="C3">
        <v>0.7</v>
      </c>
      <c r="D3">
        <v>0</v>
      </c>
      <c r="E3">
        <v>0.15</v>
      </c>
      <c r="F3">
        <v>0</v>
      </c>
      <c r="G3" t="s">
        <v>23</v>
      </c>
    </row>
    <row r="4" spans="1:7" x14ac:dyDescent="0.35">
      <c r="A4" t="s">
        <v>19</v>
      </c>
      <c r="B4">
        <v>0</v>
      </c>
      <c r="C4">
        <v>0</v>
      </c>
      <c r="D4">
        <v>0.55000000000000004</v>
      </c>
      <c r="E4">
        <v>0</v>
      </c>
      <c r="F4">
        <v>0.55000000000000004</v>
      </c>
      <c r="G4" t="s">
        <v>23</v>
      </c>
    </row>
    <row r="5" spans="1:7" x14ac:dyDescent="0.35">
      <c r="A5" t="s">
        <v>20</v>
      </c>
      <c r="B5">
        <v>0</v>
      </c>
      <c r="C5">
        <v>0</v>
      </c>
      <c r="D5">
        <f>[1]LCI!$E$24</f>
        <v>2161.4235062008215</v>
      </c>
      <c r="E5">
        <f>[1]LCI!$E$24</f>
        <v>2161.4235062008215</v>
      </c>
      <c r="F5">
        <v>0</v>
      </c>
      <c r="G5" t="s">
        <v>28</v>
      </c>
    </row>
    <row r="6" spans="1:7" x14ac:dyDescent="0.35">
      <c r="A6" t="s">
        <v>21</v>
      </c>
      <c r="B6">
        <v>0</v>
      </c>
      <c r="C6">
        <v>0</v>
      </c>
      <c r="D6">
        <v>509</v>
      </c>
      <c r="E6">
        <v>509</v>
      </c>
      <c r="F6">
        <v>0</v>
      </c>
      <c r="G6" t="s">
        <v>24</v>
      </c>
    </row>
    <row r="7" spans="1:7" x14ac:dyDescent="0.35">
      <c r="A7" t="s">
        <v>31</v>
      </c>
      <c r="B7">
        <v>0</v>
      </c>
      <c r="C7">
        <v>0</v>
      </c>
      <c r="D7">
        <v>0</v>
      </c>
      <c r="E7">
        <v>0</v>
      </c>
      <c r="F7">
        <v>132</v>
      </c>
      <c r="G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G5"/>
  <sheetViews>
    <sheetView tabSelected="1" workbookViewId="0">
      <selection activeCell="H9" sqref="H9"/>
    </sheetView>
  </sheetViews>
  <sheetFormatPr baseColWidth="10" defaultRowHeight="14.5" x14ac:dyDescent="0.35"/>
  <cols>
    <col min="1" max="2" width="24.90625" customWidth="1"/>
  </cols>
  <sheetData>
    <row r="1" spans="1:7" x14ac:dyDescent="0.35">
      <c r="A1" t="s">
        <v>27</v>
      </c>
      <c r="B1" t="s">
        <v>36</v>
      </c>
      <c r="C1" t="s">
        <v>18</v>
      </c>
      <c r="D1" t="s">
        <v>19</v>
      </c>
      <c r="E1" t="s">
        <v>20</v>
      </c>
      <c r="F1" t="s">
        <v>21</v>
      </c>
      <c r="G1" t="s">
        <v>31</v>
      </c>
    </row>
    <row r="2" spans="1:7" x14ac:dyDescent="0.35">
      <c r="A2" t="s">
        <v>25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5">
      <c r="A3" t="s">
        <v>20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5">
      <c r="A4" t="s">
        <v>21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35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id_tech</vt:lpstr>
      <vt:lpstr>tech</vt:lpstr>
      <vt:lpstr>coproduct</vt:lpstr>
      <vt:lpstr>subs_ratio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2025-12-08T12:51:41Z</dcterms:modified>
</cp:coreProperties>
</file>