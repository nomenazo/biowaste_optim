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8_{EA2B1580-176B-49C8-86CE-185E591232F6}" xr6:coauthVersionLast="36" xr6:coauthVersionMax="36" xr10:uidLastSave="{00000000-0000-0000-0000-000000000000}"/>
  <bookViews>
    <workbookView xWindow="0" yWindow="0" windowWidth="19200" windowHeight="6060" xr2:uid="{FC88CB2F-6CDC-4B29-AE6F-74C0335C96AE}"/>
  </bookViews>
  <sheets>
    <sheet name="Feuil1" sheetId="1" r:id="rId1"/>
    <sheet name="Feuil2" sheetId="2" r:id="rId2"/>
  </sheets>
  <externalReferences>
    <externalReference r:id="rId3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C23" i="1" l="1"/>
  <c r="C22" i="1"/>
  <c r="F22" i="1" s="1"/>
  <c r="C21" i="1"/>
  <c r="F21" i="1" s="1"/>
  <c r="C20" i="1"/>
  <c r="F20" i="1" s="1"/>
  <c r="C19" i="1"/>
  <c r="C18" i="1"/>
  <c r="I12" i="1"/>
  <c r="H5" i="1"/>
  <c r="I5" i="1" s="1"/>
  <c r="F3" i="1"/>
  <c r="F9" i="1"/>
  <c r="F10" i="1"/>
  <c r="F12" i="1"/>
  <c r="F14" i="1"/>
  <c r="F17" i="1"/>
  <c r="F18" i="1"/>
  <c r="F2" i="1"/>
  <c r="H2" i="1" s="1"/>
  <c r="I2" i="1" s="1"/>
  <c r="C3" i="1"/>
  <c r="C4" i="1"/>
  <c r="F4" i="1" s="1"/>
  <c r="C5" i="1"/>
  <c r="F5" i="1" s="1"/>
  <c r="C6" i="1"/>
  <c r="F6" i="1" s="1"/>
  <c r="C7" i="1"/>
  <c r="F7" i="1" s="1"/>
  <c r="C8" i="1"/>
  <c r="F8" i="1" s="1"/>
  <c r="C9" i="1"/>
  <c r="C10" i="1"/>
  <c r="H10" i="1" s="1"/>
  <c r="I10" i="1" s="1"/>
  <c r="C11" i="1"/>
  <c r="F11" i="1" s="1"/>
  <c r="C12" i="1"/>
  <c r="C13" i="1"/>
  <c r="F13" i="1" s="1"/>
  <c r="C14" i="1"/>
  <c r="C15" i="1"/>
  <c r="F15" i="1" s="1"/>
  <c r="C16" i="1"/>
  <c r="C17" i="1"/>
  <c r="G2" i="1"/>
  <c r="C2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H9" i="1" l="1"/>
  <c r="I9" i="1" s="1"/>
  <c r="H22" i="1"/>
  <c r="I22" i="1" s="1"/>
  <c r="H14" i="1"/>
  <c r="I14" i="1" s="1"/>
  <c r="H17" i="1"/>
  <c r="I17" i="1" s="1"/>
  <c r="F23" i="1"/>
  <c r="H23" i="1" s="1"/>
  <c r="I23" i="1" s="1"/>
  <c r="H21" i="1"/>
  <c r="I21" i="1" s="1"/>
  <c r="H20" i="1"/>
  <c r="I20" i="1" s="1"/>
  <c r="F19" i="1"/>
  <c r="H19" i="1" s="1"/>
  <c r="I19" i="1" s="1"/>
  <c r="H18" i="1"/>
  <c r="I18" i="1" s="1"/>
  <c r="H16" i="1"/>
  <c r="I16" i="1" s="1"/>
  <c r="F16" i="1"/>
  <c r="H15" i="1"/>
  <c r="I15" i="1" s="1"/>
  <c r="H13" i="1"/>
  <c r="I13" i="1" s="1"/>
  <c r="H11" i="1"/>
  <c r="I11" i="1" s="1"/>
  <c r="H8" i="1"/>
  <c r="I8" i="1" s="1"/>
  <c r="H7" i="1"/>
  <c r="I7" i="1" s="1"/>
  <c r="H6" i="1"/>
  <c r="I6" i="1" s="1"/>
  <c r="H3" i="1"/>
  <c r="I3" i="1" s="1"/>
  <c r="H4" i="1"/>
  <c r="I4" i="1" s="1"/>
</calcChain>
</file>

<file path=xl/sharedStrings.xml><?xml version="1.0" encoding="utf-8"?>
<sst xmlns="http://schemas.openxmlformats.org/spreadsheetml/2006/main" count="10" uniqueCount="10">
  <si>
    <t>Tonnage/an</t>
  </si>
  <si>
    <t>Longueur voirie (km)</t>
  </si>
  <si>
    <t>Charge utile camion (t)</t>
  </si>
  <si>
    <t>Nb de collectes/semaine</t>
  </si>
  <si>
    <t>Tonnage/sem</t>
  </si>
  <si>
    <t>Nb de tournées/semaine</t>
  </si>
  <si>
    <t>Nb tournée/collecte</t>
  </si>
  <si>
    <t>Distance de collecte (KM)</t>
  </si>
  <si>
    <t>kg</t>
  </si>
  <si>
    <t>tkm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</si>
</sst>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ritoryA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"/>
      <sheetName val="waste_gen"/>
      <sheetName val="dist"/>
      <sheetName val="tech_pot"/>
      <sheetName val="market"/>
      <sheetName val="dist_market"/>
      <sheetName val="dist_col"/>
      <sheetName val="Feuil4"/>
    </sheetNames>
    <sheetDataSet>
      <sheetData sheetId="0">
        <row r="2">
          <cell r="A2" t="str">
            <v>Compiègne</v>
          </cell>
        </row>
        <row r="3">
          <cell r="A3" t="str">
            <v>Venette</v>
          </cell>
        </row>
        <row r="4">
          <cell r="A4" t="str">
            <v>Jaux</v>
          </cell>
        </row>
        <row r="5">
          <cell r="A5" t="str">
            <v>Armancourt</v>
          </cell>
        </row>
        <row r="6">
          <cell r="A6" t="str">
            <v>Le Meux</v>
          </cell>
        </row>
        <row r="7">
          <cell r="A7" t="str">
            <v>La Croix-St-Ouen</v>
          </cell>
        </row>
        <row r="8">
          <cell r="A8" t="str">
            <v>St-Sauveur</v>
          </cell>
        </row>
        <row r="9">
          <cell r="A9" t="str">
            <v>Bethisy-St-Pierre</v>
          </cell>
        </row>
        <row r="10">
          <cell r="A10" t="str">
            <v>Bethisy-St-Martin</v>
          </cell>
        </row>
        <row r="11">
          <cell r="A11" t="str">
            <v>Bienville</v>
          </cell>
        </row>
        <row r="12">
          <cell r="A12" t="str">
            <v>Choisy-au-Bac</v>
          </cell>
        </row>
        <row r="13">
          <cell r="A13" t="str">
            <v>Clairoix</v>
          </cell>
        </row>
        <row r="14">
          <cell r="A14" t="str">
            <v>Janville</v>
          </cell>
        </row>
        <row r="15">
          <cell r="A15" t="str">
            <v>Jonquières</v>
          </cell>
        </row>
        <row r="16">
          <cell r="A16" t="str">
            <v>Lachelle</v>
          </cell>
        </row>
        <row r="17">
          <cell r="A17" t="str">
            <v>Margny-lès-Compiègne</v>
          </cell>
        </row>
        <row r="18">
          <cell r="A18" t="str">
            <v>Nery</v>
          </cell>
        </row>
        <row r="19">
          <cell r="A19" t="str">
            <v>Saint-Jean-aux-Bois</v>
          </cell>
        </row>
        <row r="20">
          <cell r="A20" t="str">
            <v>Saintines</v>
          </cell>
        </row>
        <row r="21">
          <cell r="A21" t="str">
            <v>Saint-Vaast de Longmont</v>
          </cell>
        </row>
        <row r="22">
          <cell r="A22" t="str">
            <v>Verberie</v>
          </cell>
        </row>
        <row r="23">
          <cell r="A23" t="str">
            <v>Vieux-Moulin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DC64-8D24-4D01-9A66-E3CD6DA783DF}">
  <dimension ref="A1:I23"/>
  <sheetViews>
    <sheetView tabSelected="1" workbookViewId="0">
      <selection activeCell="B25" sqref="B25"/>
    </sheetView>
  </sheetViews>
  <sheetFormatPr baseColWidth="10" defaultRowHeight="14.5" x14ac:dyDescent="0.35"/>
  <cols>
    <col min="1" max="1" width="21.6328125" bestFit="1" customWidth="1"/>
    <col min="4" max="4" width="18.08984375" customWidth="1"/>
    <col min="5" max="5" width="19.7265625" bestFit="1" customWidth="1"/>
    <col min="6" max="6" width="16.26953125" customWidth="1"/>
    <col min="7" max="7" width="25.36328125" bestFit="1" customWidth="1"/>
    <col min="8" max="8" width="25.36328125" customWidth="1"/>
    <col min="9" max="9" width="14.90625" customWidth="1"/>
  </cols>
  <sheetData>
    <row r="1" spans="1:9" x14ac:dyDescent="0.35">
      <c r="B1" t="s">
        <v>0</v>
      </c>
      <c r="C1" t="s">
        <v>4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</row>
    <row r="2" spans="1:9" x14ac:dyDescent="0.35">
      <c r="A2" t="str">
        <f>[1]mun!A2</f>
        <v>Compiègne</v>
      </c>
      <c r="B2">
        <v>2944</v>
      </c>
      <c r="C2" s="1">
        <f>B2/(12*4)</f>
        <v>61.333333333333336</v>
      </c>
      <c r="D2">
        <v>200</v>
      </c>
      <c r="E2">
        <v>4</v>
      </c>
      <c r="F2">
        <f>IF(C2&gt;E2,2,1)</f>
        <v>2</v>
      </c>
      <c r="G2" s="1">
        <f>C2/E2</f>
        <v>15.333333333333334</v>
      </c>
      <c r="H2" s="1">
        <f>G2/F2</f>
        <v>7.666666666666667</v>
      </c>
      <c r="I2" s="1">
        <f>D2/H2</f>
        <v>26.086956521739129</v>
      </c>
    </row>
    <row r="3" spans="1:9" x14ac:dyDescent="0.35">
      <c r="A3" t="str">
        <f>[1]mun!A3</f>
        <v>Venette</v>
      </c>
      <c r="B3">
        <v>186</v>
      </c>
      <c r="C3" s="1">
        <f t="shared" ref="C3:C23" si="0">B3/(12*4)</f>
        <v>3.875</v>
      </c>
      <c r="D3">
        <v>30</v>
      </c>
      <c r="E3">
        <v>4</v>
      </c>
      <c r="F3">
        <f t="shared" ref="F3:F23" si="1">IF(C3&gt;E3,2,1)</f>
        <v>1</v>
      </c>
      <c r="G3" s="1">
        <f>IF(C3/E3&gt;1.9,C3/E3,1)</f>
        <v>1</v>
      </c>
      <c r="H3" s="1">
        <f t="shared" ref="H3:H23" si="2">G3/F3</f>
        <v>1</v>
      </c>
      <c r="I3" s="1">
        <f t="shared" ref="I3:I23" si="3">D3/H3</f>
        <v>30</v>
      </c>
    </row>
    <row r="4" spans="1:9" x14ac:dyDescent="0.35">
      <c r="A4" t="str">
        <f>[1]mun!A4</f>
        <v>Jaux</v>
      </c>
      <c r="B4">
        <v>186</v>
      </c>
      <c r="C4" s="1">
        <f t="shared" si="0"/>
        <v>3.875</v>
      </c>
      <c r="D4">
        <v>24</v>
      </c>
      <c r="E4">
        <v>4</v>
      </c>
      <c r="F4">
        <f t="shared" si="1"/>
        <v>1</v>
      </c>
      <c r="G4" s="1">
        <f t="shared" ref="G4:G23" si="4">IF(C4/E4&gt;1.9,C4/E4,1)</f>
        <v>1</v>
      </c>
      <c r="H4" s="1">
        <f t="shared" si="2"/>
        <v>1</v>
      </c>
      <c r="I4" s="1">
        <f t="shared" si="3"/>
        <v>24</v>
      </c>
    </row>
    <row r="5" spans="1:9" x14ac:dyDescent="0.35">
      <c r="A5" t="str">
        <f>[1]mun!A5</f>
        <v>Armancourt</v>
      </c>
      <c r="B5">
        <v>48</v>
      </c>
      <c r="C5" s="1">
        <f t="shared" si="0"/>
        <v>1</v>
      </c>
      <c r="D5">
        <v>5</v>
      </c>
      <c r="E5">
        <v>4</v>
      </c>
      <c r="F5">
        <f t="shared" si="1"/>
        <v>1</v>
      </c>
      <c r="G5" s="1">
        <f t="shared" si="4"/>
        <v>1</v>
      </c>
      <c r="H5" s="1">
        <f t="shared" si="2"/>
        <v>1</v>
      </c>
      <c r="I5" s="1">
        <f t="shared" si="3"/>
        <v>5</v>
      </c>
    </row>
    <row r="6" spans="1:9" x14ac:dyDescent="0.35">
      <c r="A6" t="str">
        <f>[1]mun!A6</f>
        <v>Le Meux</v>
      </c>
      <c r="B6">
        <v>131</v>
      </c>
      <c r="C6" s="1">
        <f t="shared" si="0"/>
        <v>2.7291666666666665</v>
      </c>
      <c r="D6">
        <v>22</v>
      </c>
      <c r="E6">
        <v>4</v>
      </c>
      <c r="F6">
        <f t="shared" si="1"/>
        <v>1</v>
      </c>
      <c r="G6" s="1">
        <f t="shared" si="4"/>
        <v>1</v>
      </c>
      <c r="H6" s="1">
        <f t="shared" si="2"/>
        <v>1</v>
      </c>
      <c r="I6" s="1">
        <f t="shared" si="3"/>
        <v>22</v>
      </c>
    </row>
    <row r="7" spans="1:9" x14ac:dyDescent="0.35">
      <c r="A7" t="str">
        <f>[1]mun!A7</f>
        <v>La Croix-St-Ouen</v>
      </c>
      <c r="B7">
        <v>90</v>
      </c>
      <c r="C7" s="1">
        <f t="shared" si="0"/>
        <v>1.875</v>
      </c>
      <c r="D7">
        <v>46</v>
      </c>
      <c r="E7">
        <v>4</v>
      </c>
      <c r="F7">
        <f t="shared" si="1"/>
        <v>1</v>
      </c>
      <c r="G7" s="1">
        <f t="shared" si="4"/>
        <v>1</v>
      </c>
      <c r="H7" s="1">
        <f t="shared" si="2"/>
        <v>1</v>
      </c>
      <c r="I7" s="1">
        <f t="shared" si="3"/>
        <v>46</v>
      </c>
    </row>
    <row r="8" spans="1:9" x14ac:dyDescent="0.35">
      <c r="A8" t="str">
        <f>[1]mun!A8</f>
        <v>St-Sauveur</v>
      </c>
      <c r="B8">
        <v>149</v>
      </c>
      <c r="C8" s="1">
        <f t="shared" si="0"/>
        <v>3.1041666666666665</v>
      </c>
      <c r="D8">
        <v>17</v>
      </c>
      <c r="E8">
        <v>4</v>
      </c>
      <c r="F8">
        <f t="shared" si="1"/>
        <v>1</v>
      </c>
      <c r="G8" s="1">
        <f t="shared" si="4"/>
        <v>1</v>
      </c>
      <c r="H8" s="1">
        <f t="shared" si="2"/>
        <v>1</v>
      </c>
      <c r="I8" s="1">
        <f t="shared" si="3"/>
        <v>17</v>
      </c>
    </row>
    <row r="9" spans="1:9" x14ac:dyDescent="0.35">
      <c r="A9" t="str">
        <f>[1]mun!A9</f>
        <v>Bethisy-St-Pierre</v>
      </c>
      <c r="B9">
        <v>171</v>
      </c>
      <c r="C9" s="1">
        <f t="shared" si="0"/>
        <v>3.5625</v>
      </c>
      <c r="D9">
        <v>17</v>
      </c>
      <c r="E9">
        <v>4</v>
      </c>
      <c r="F9">
        <f t="shared" si="1"/>
        <v>1</v>
      </c>
      <c r="G9" s="1">
        <f t="shared" si="4"/>
        <v>1</v>
      </c>
      <c r="H9" s="1">
        <f t="shared" si="2"/>
        <v>1</v>
      </c>
      <c r="I9" s="1">
        <f t="shared" si="3"/>
        <v>17</v>
      </c>
    </row>
    <row r="10" spans="1:9" x14ac:dyDescent="0.35">
      <c r="A10" t="str">
        <f>[1]mun!A10</f>
        <v>Bethisy-St-Martin</v>
      </c>
      <c r="B10">
        <v>50</v>
      </c>
      <c r="C10" s="1">
        <f t="shared" si="0"/>
        <v>1.0416666666666667</v>
      </c>
      <c r="D10">
        <v>12</v>
      </c>
      <c r="E10">
        <v>4</v>
      </c>
      <c r="F10">
        <f t="shared" si="1"/>
        <v>1</v>
      </c>
      <c r="G10" s="1">
        <f t="shared" si="4"/>
        <v>1</v>
      </c>
      <c r="H10" s="1">
        <f t="shared" si="2"/>
        <v>1</v>
      </c>
      <c r="I10" s="1">
        <f t="shared" si="3"/>
        <v>12</v>
      </c>
    </row>
    <row r="11" spans="1:9" x14ac:dyDescent="0.35">
      <c r="A11" t="str">
        <f>[1]mun!A11</f>
        <v>Bienville</v>
      </c>
      <c r="B11">
        <v>30</v>
      </c>
      <c r="C11" s="1">
        <f t="shared" si="0"/>
        <v>0.625</v>
      </c>
      <c r="D11">
        <v>8</v>
      </c>
      <c r="E11">
        <v>4</v>
      </c>
      <c r="F11">
        <f t="shared" si="1"/>
        <v>1</v>
      </c>
      <c r="G11" s="1">
        <f t="shared" si="4"/>
        <v>1</v>
      </c>
      <c r="H11" s="1">
        <f t="shared" si="2"/>
        <v>1</v>
      </c>
      <c r="I11" s="1">
        <f t="shared" si="3"/>
        <v>8</v>
      </c>
    </row>
    <row r="12" spans="1:9" x14ac:dyDescent="0.35">
      <c r="A12" t="str">
        <f>[1]mun!A12</f>
        <v>Choisy-au-Bac</v>
      </c>
      <c r="B12">
        <v>213</v>
      </c>
      <c r="C12" s="1">
        <f t="shared" si="0"/>
        <v>4.4375</v>
      </c>
      <c r="D12">
        <v>24</v>
      </c>
      <c r="E12">
        <v>4</v>
      </c>
      <c r="F12">
        <f t="shared" si="1"/>
        <v>2</v>
      </c>
      <c r="G12" s="1">
        <f t="shared" si="4"/>
        <v>1</v>
      </c>
      <c r="H12" s="1">
        <v>1</v>
      </c>
      <c r="I12" s="1">
        <f t="shared" si="3"/>
        <v>24</v>
      </c>
    </row>
    <row r="13" spans="1:9" x14ac:dyDescent="0.35">
      <c r="A13" t="str">
        <f>[1]mun!A13</f>
        <v>Clairoix</v>
      </c>
      <c r="B13">
        <v>109</v>
      </c>
      <c r="C13" s="1">
        <f t="shared" si="0"/>
        <v>2.2708333333333335</v>
      </c>
      <c r="D13">
        <v>18</v>
      </c>
      <c r="E13">
        <v>4</v>
      </c>
      <c r="F13">
        <f t="shared" si="1"/>
        <v>1</v>
      </c>
      <c r="G13" s="1">
        <f t="shared" si="4"/>
        <v>1</v>
      </c>
      <c r="H13" s="1">
        <f t="shared" si="2"/>
        <v>1</v>
      </c>
      <c r="I13" s="1">
        <f t="shared" si="3"/>
        <v>18</v>
      </c>
    </row>
    <row r="14" spans="1:9" x14ac:dyDescent="0.35">
      <c r="A14" t="str">
        <f>[1]mun!A14</f>
        <v>Janville</v>
      </c>
      <c r="B14">
        <v>41</v>
      </c>
      <c r="C14" s="1">
        <f t="shared" si="0"/>
        <v>0.85416666666666663</v>
      </c>
      <c r="D14">
        <v>5</v>
      </c>
      <c r="E14">
        <v>4</v>
      </c>
      <c r="F14">
        <f t="shared" si="1"/>
        <v>1</v>
      </c>
      <c r="G14" s="1">
        <f t="shared" si="4"/>
        <v>1</v>
      </c>
      <c r="H14" s="1">
        <f t="shared" si="2"/>
        <v>1</v>
      </c>
      <c r="I14" s="1">
        <f t="shared" si="3"/>
        <v>5</v>
      </c>
    </row>
    <row r="15" spans="1:9" x14ac:dyDescent="0.35">
      <c r="A15" t="str">
        <f>[1]mun!A15</f>
        <v>Jonquières</v>
      </c>
      <c r="B15">
        <v>41</v>
      </c>
      <c r="C15" s="1">
        <f t="shared" si="0"/>
        <v>0.85416666666666663</v>
      </c>
      <c r="D15">
        <v>8</v>
      </c>
      <c r="E15">
        <v>4</v>
      </c>
      <c r="F15">
        <f t="shared" si="1"/>
        <v>1</v>
      </c>
      <c r="G15" s="1">
        <f t="shared" si="4"/>
        <v>1</v>
      </c>
      <c r="H15" s="1">
        <f t="shared" si="2"/>
        <v>1</v>
      </c>
      <c r="I15" s="1">
        <f t="shared" si="3"/>
        <v>8</v>
      </c>
    </row>
    <row r="16" spans="1:9" x14ac:dyDescent="0.35">
      <c r="A16" t="str">
        <f>[1]mun!A16</f>
        <v>Lachelle</v>
      </c>
      <c r="B16">
        <v>42</v>
      </c>
      <c r="C16" s="1">
        <f t="shared" si="0"/>
        <v>0.875</v>
      </c>
      <c r="D16">
        <v>8</v>
      </c>
      <c r="E16">
        <v>4</v>
      </c>
      <c r="F16">
        <f t="shared" si="1"/>
        <v>1</v>
      </c>
      <c r="G16" s="1">
        <f t="shared" si="4"/>
        <v>1</v>
      </c>
      <c r="H16" s="1">
        <f t="shared" si="2"/>
        <v>1</v>
      </c>
      <c r="I16" s="1">
        <f t="shared" si="3"/>
        <v>8</v>
      </c>
    </row>
    <row r="17" spans="1:9" x14ac:dyDescent="0.35">
      <c r="A17" t="str">
        <f>[1]mun!A17</f>
        <v>Margny-lès-Compiègne</v>
      </c>
      <c r="B17">
        <v>538</v>
      </c>
      <c r="C17" s="1">
        <f t="shared" si="0"/>
        <v>11.208333333333334</v>
      </c>
      <c r="D17">
        <v>35</v>
      </c>
      <c r="E17">
        <v>4</v>
      </c>
      <c r="F17">
        <f t="shared" si="1"/>
        <v>2</v>
      </c>
      <c r="G17" s="1">
        <f t="shared" si="4"/>
        <v>2.8020833333333335</v>
      </c>
      <c r="H17" s="1">
        <f t="shared" si="2"/>
        <v>1.4010416666666667</v>
      </c>
      <c r="I17" s="1">
        <f t="shared" si="3"/>
        <v>24.981412639405203</v>
      </c>
    </row>
    <row r="18" spans="1:9" x14ac:dyDescent="0.35">
      <c r="A18" t="str">
        <f>[1]mun!A18</f>
        <v>Nery</v>
      </c>
      <c r="B18">
        <v>32</v>
      </c>
      <c r="C18" s="1">
        <f t="shared" si="0"/>
        <v>0.66666666666666663</v>
      </c>
      <c r="D18">
        <v>8</v>
      </c>
      <c r="E18">
        <v>4</v>
      </c>
      <c r="F18">
        <f t="shared" si="1"/>
        <v>1</v>
      </c>
      <c r="G18" s="1">
        <f t="shared" si="4"/>
        <v>1</v>
      </c>
      <c r="H18" s="1">
        <f t="shared" si="2"/>
        <v>1</v>
      </c>
      <c r="I18" s="1">
        <f t="shared" si="3"/>
        <v>8</v>
      </c>
    </row>
    <row r="19" spans="1:9" x14ac:dyDescent="0.35">
      <c r="A19" t="str">
        <f>[1]mun!A19</f>
        <v>Saint-Jean-aux-Bois</v>
      </c>
      <c r="B19">
        <v>20</v>
      </c>
      <c r="C19" s="1">
        <f t="shared" si="0"/>
        <v>0.41666666666666669</v>
      </c>
      <c r="D19">
        <v>14</v>
      </c>
      <c r="E19">
        <v>4</v>
      </c>
      <c r="F19">
        <f t="shared" si="1"/>
        <v>1</v>
      </c>
      <c r="G19" s="1">
        <f t="shared" si="4"/>
        <v>1</v>
      </c>
      <c r="H19" s="1">
        <f t="shared" si="2"/>
        <v>1</v>
      </c>
      <c r="I19" s="1">
        <f t="shared" si="3"/>
        <v>14</v>
      </c>
    </row>
    <row r="20" spans="1:9" x14ac:dyDescent="0.35">
      <c r="A20" t="str">
        <f>[1]mun!A20</f>
        <v>Saintines</v>
      </c>
      <c r="B20">
        <v>53</v>
      </c>
      <c r="C20" s="1">
        <f t="shared" si="0"/>
        <v>1.1041666666666667</v>
      </c>
      <c r="D20">
        <v>7</v>
      </c>
      <c r="E20">
        <v>4</v>
      </c>
      <c r="F20">
        <f t="shared" si="1"/>
        <v>1</v>
      </c>
      <c r="G20" s="1">
        <f t="shared" si="4"/>
        <v>1</v>
      </c>
      <c r="H20" s="1">
        <f t="shared" si="2"/>
        <v>1</v>
      </c>
      <c r="I20" s="1">
        <f t="shared" si="3"/>
        <v>7</v>
      </c>
    </row>
    <row r="21" spans="1:9" x14ac:dyDescent="0.35">
      <c r="A21" t="str">
        <f>[1]mun!A21</f>
        <v>Saint-Vaast de Longmont</v>
      </c>
      <c r="B21">
        <v>31</v>
      </c>
      <c r="C21" s="1">
        <f t="shared" si="0"/>
        <v>0.64583333333333337</v>
      </c>
      <c r="D21">
        <v>7</v>
      </c>
      <c r="E21">
        <v>4</v>
      </c>
      <c r="F21">
        <f t="shared" si="1"/>
        <v>1</v>
      </c>
      <c r="G21" s="1">
        <f t="shared" si="4"/>
        <v>1</v>
      </c>
      <c r="H21" s="1">
        <f t="shared" si="2"/>
        <v>1</v>
      </c>
      <c r="I21" s="1">
        <f t="shared" si="3"/>
        <v>7</v>
      </c>
    </row>
    <row r="22" spans="1:9" x14ac:dyDescent="0.35">
      <c r="A22" t="str">
        <f>[1]mun!A22</f>
        <v>Verberie</v>
      </c>
      <c r="B22">
        <v>190</v>
      </c>
      <c r="C22" s="1">
        <f t="shared" si="0"/>
        <v>3.9583333333333335</v>
      </c>
      <c r="D22">
        <v>31</v>
      </c>
      <c r="E22">
        <v>4</v>
      </c>
      <c r="F22">
        <f t="shared" si="1"/>
        <v>1</v>
      </c>
      <c r="G22" s="1">
        <f t="shared" si="4"/>
        <v>1</v>
      </c>
      <c r="H22" s="1">
        <f t="shared" si="2"/>
        <v>1</v>
      </c>
      <c r="I22" s="1">
        <f t="shared" si="3"/>
        <v>31</v>
      </c>
    </row>
    <row r="23" spans="1:9" x14ac:dyDescent="0.35">
      <c r="A23" t="str">
        <f>[1]mun!A23</f>
        <v>Vieux-Moulin</v>
      </c>
      <c r="B23">
        <v>52</v>
      </c>
      <c r="C23" s="1">
        <f t="shared" si="0"/>
        <v>1.0833333333333333</v>
      </c>
      <c r="D23">
        <v>11</v>
      </c>
      <c r="E23">
        <v>4</v>
      </c>
      <c r="F23">
        <f t="shared" si="1"/>
        <v>1</v>
      </c>
      <c r="G23" s="1">
        <f t="shared" si="4"/>
        <v>1</v>
      </c>
      <c r="H23" s="1">
        <f t="shared" si="2"/>
        <v>1</v>
      </c>
      <c r="I23" s="1">
        <f t="shared" si="3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099A-64B1-41A8-98B6-C2E3868A76A4}">
  <dimension ref="A1:D1"/>
  <sheetViews>
    <sheetView workbookViewId="0">
      <selection activeCell="D1" sqref="D1"/>
    </sheetView>
  </sheetViews>
  <sheetFormatPr baseColWidth="10" defaultRowHeight="14.5" x14ac:dyDescent="0.35"/>
  <sheetData>
    <row r="1" spans="1:4" x14ac:dyDescent="0.35">
      <c r="A1">
        <f>0.00172472201558365+ 0.243137124616309+0.0246227370616869+0.00249288219468928+0.0512358494609051+0.0122001719792185+0.000586512671606506</f>
        <v>0.33599999999999902</v>
      </c>
      <c r="B1" t="s">
        <v>8</v>
      </c>
      <c r="C1">
        <v>1</v>
      </c>
      <c r="D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2025-12-04T14:59:44Z</dcterms:created>
  <dcterms:modified xsi:type="dcterms:W3CDTF">2026-01-08T10:15:33Z</dcterms:modified>
</cp:coreProperties>
</file>