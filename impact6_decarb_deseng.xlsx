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41EE3CE3-6B24-4E06-A347-AE5C7A104044}" xr6:coauthVersionLast="36" xr6:coauthVersionMax="36" xr10:uidLastSave="{00000000-0000-0000-0000-000000000000}"/>
  <bookViews>
    <workbookView minimized="1"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D14" i="1" l="1"/>
  <c r="C14" i="1"/>
  <c r="D13" i="1" l="1"/>
  <c r="D12" i="1"/>
  <c r="D11" i="1"/>
  <c r="D10" i="1"/>
  <c r="D9" i="1"/>
  <c r="D8" i="1"/>
  <c r="D7" i="1"/>
  <c r="D6" i="1"/>
  <c r="C32" i="1" l="1"/>
  <c r="C31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</calcChain>
</file>

<file path=xl/sharedStrings.xml><?xml version="1.0" encoding="utf-8"?>
<sst xmlns="http://schemas.openxmlformats.org/spreadsheetml/2006/main" count="80" uniqueCount="48">
  <si>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</si>
  <si>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</si>
  <si>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</si>
  <si>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</si>
  <si>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</si>
  <si>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</si>
  <si>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</si>
  <si>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</si>
  <si>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</si>
  <si>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</si>
  <si>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</si>
  <si>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</si>
  <si>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</si>
  <si>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</si>
  <si>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</si>
  <si>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</si>
  <si>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</si>
  <si>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</si>
  <si>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</si>
  <si>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</si>
  <si>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</si>
  <si>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</si>
  <si>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</si>
  <si>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</si>
  <si>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</si>
  <si>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</si>
  <si>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</si>
  <si>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</si>
  <si>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</si>
  <si>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</si>
  <si>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</si>
  <si>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</si>
  <si>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</si>
  <si>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</si>
  <si>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</si>
  <si>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</si>
  <si>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</si>
  <si>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</si>
  <si>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</si>
  <si>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</si>
  <si>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</si>
  <si>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</si>
  <si>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</si>
  <si>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Comp_IC</t>
  </si>
  <si>
    <t>AD-d</t>
  </si>
  <si>
    <t>AD-e</t>
  </si>
  <si>
    <t>AD-f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</si>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</sst>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5_decar_dese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37.308821648435647</v>
          </cell>
        </row>
      </sheetData>
      <sheetData sheetId="1"/>
      <sheetData sheetId="2">
        <row r="42">
          <cell r="C42">
            <v>4.0992743543731081</v>
          </cell>
        </row>
      </sheetData>
      <sheetData sheetId="3"/>
      <sheetData sheetId="4"/>
      <sheetData sheetId="5">
        <row r="49">
          <cell r="C49">
            <v>122.98700642875511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70.01475829769862</v>
          </cell>
        </row>
      </sheetData>
      <sheetData sheetId="16">
        <row r="41">
          <cell r="C41">
            <v>34.588852568590056</v>
          </cell>
        </row>
      </sheetData>
      <sheetData sheetId="17">
        <row r="50">
          <cell r="C50">
            <v>87.821561413432278</v>
          </cell>
        </row>
      </sheetData>
      <sheetData sheetId="18">
        <row r="40">
          <cell r="C40">
            <v>69.754297583912887</v>
          </cell>
        </row>
      </sheetData>
      <sheetData sheetId="19"/>
      <sheetData sheetId="20">
        <row r="55">
          <cell r="C55">
            <v>62.472343247723558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 refreshError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 refreshError="1"/>
      <sheetData sheetId="4" refreshError="1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 refreshError="1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7"/>
  <sheetViews>
    <sheetView tabSelected="1" topLeftCell="A22" zoomScale="80" zoomScaleNormal="80" zoomScaleSheetLayoutView="90" workbookViewId="0">
      <selection activeCell="C10" sqref="C10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30.9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19</v>
      </c>
      <c r="D2" t="s">
        <v>20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</row>
    <row r="4" spans="1:8" x14ac:dyDescent="0.35">
      <c r="A4" s="1" t="s">
        <v>35</v>
      </c>
      <c r="B4" t="s">
        <v>4</v>
      </c>
      <c r="C4">
        <v>1.38914</v>
      </c>
      <c r="D4">
        <v>4.6600000000000003E-2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f>[1]LCIA_HC!$C$87</f>
        <v>70.01475829769862</v>
      </c>
      <c r="D6">
        <f>[2]LCIA_HC!$G$87</f>
        <v>-44.875110315215267</v>
      </c>
    </row>
    <row r="7" spans="1:8" x14ac:dyDescent="0.35">
      <c r="A7" t="s">
        <v>10</v>
      </c>
      <c r="B7" t="s">
        <v>12</v>
      </c>
      <c r="C7" s="3">
        <f>[1]LCIA_IC!$C$55</f>
        <v>62.472343247723558</v>
      </c>
      <c r="D7" s="3">
        <f>[2]LCIA_IC!$G$55</f>
        <v>-23.593895973940484</v>
      </c>
      <c r="H7" s="3"/>
    </row>
    <row r="8" spans="1:8" x14ac:dyDescent="0.35">
      <c r="A8" t="s">
        <v>7</v>
      </c>
      <c r="B8" t="s">
        <v>12</v>
      </c>
      <c r="C8" s="3">
        <f>'[1]LCIA_AD-a'!$C$41</f>
        <v>34.588852568590056</v>
      </c>
      <c r="D8" s="3">
        <f>'[2]LCIA_AD-a'!$G$41</f>
        <v>-94.553331071110051</v>
      </c>
    </row>
    <row r="9" spans="1:8" x14ac:dyDescent="0.35">
      <c r="A9" t="s">
        <v>8</v>
      </c>
      <c r="B9" t="s">
        <v>12</v>
      </c>
      <c r="C9" s="3">
        <f>'[1]LCIA_AD-b'!$C$50</f>
        <v>87.821561413432278</v>
      </c>
      <c r="D9" s="3">
        <f>'[2]LCIA_AD-b'!$G$50</f>
        <v>-48.942552234255018</v>
      </c>
    </row>
    <row r="10" spans="1:8" x14ac:dyDescent="0.35">
      <c r="A10" t="s">
        <v>25</v>
      </c>
      <c r="B10" t="s">
        <v>12</v>
      </c>
      <c r="C10" s="3">
        <f>'[1]LCIA_AD-c'!$C$40</f>
        <v>69.754297583912887</v>
      </c>
      <c r="D10" s="3">
        <f>'[2]LCIA_AD-c'!$G$40</f>
        <v>-76.086351472237894</v>
      </c>
    </row>
    <row r="11" spans="1:8" x14ac:dyDescent="0.35">
      <c r="A11" t="s">
        <v>44</v>
      </c>
      <c r="B11" t="s">
        <v>12</v>
      </c>
      <c r="C11" s="3">
        <f>'[1]LCIA_AD-d'!$C$49</f>
        <v>122.98700642875511</v>
      </c>
      <c r="D11" s="3">
        <f>'[2]LCIA_AD-d'!$G$49</f>
        <v>-30.475572635382854</v>
      </c>
    </row>
    <row r="12" spans="1:8" x14ac:dyDescent="0.35">
      <c r="A12" t="s">
        <v>45</v>
      </c>
      <c r="B12" t="s">
        <v>12</v>
      </c>
      <c r="C12" s="3">
        <f>'[1]LCIA_AD-e'!$C$42</f>
        <v>4.0992743543731081</v>
      </c>
      <c r="D12" s="3">
        <f>'[2]LCIA_AD-e'!$G$42</f>
        <v>-89.935802993782033</v>
      </c>
    </row>
    <row r="13" spans="1:8" x14ac:dyDescent="0.35">
      <c r="A13" t="s">
        <v>46</v>
      </c>
      <c r="B13" t="s">
        <v>12</v>
      </c>
      <c r="C13" s="3">
        <f>'[1]LCIA_AD-f'!$C$51</f>
        <v>37.308821648435647</v>
      </c>
      <c r="D13" s="3">
        <f>'[2]LCIA_AD-f'!$G$51</f>
        <v>-44.754073148487684</v>
      </c>
    </row>
    <row r="14" spans="1:8" x14ac:dyDescent="0.35">
      <c r="A14" t="s">
        <v>47</v>
      </c>
      <c r="B14" t="s">
        <v>12</v>
      </c>
      <c r="C14" s="3">
        <f>0.0393762728014812*1000</f>
        <v>39.3762728014812</v>
      </c>
      <c r="D14">
        <f>0.0433883343581927*1000</f>
        <v>43.388334358192701</v>
      </c>
    </row>
    <row r="15" spans="1:8" x14ac:dyDescent="0.35">
      <c r="A15" s="2" t="s">
        <v>11</v>
      </c>
    </row>
    <row r="16" spans="1:8" x14ac:dyDescent="0.35">
      <c r="A16" t="s">
        <v>21</v>
      </c>
      <c r="B16" t="s">
        <v>4</v>
      </c>
      <c r="C16">
        <v>0.23535</v>
      </c>
      <c r="D16">
        <v>2.1149999999999999E-2</v>
      </c>
    </row>
    <row r="17" spans="1:4" x14ac:dyDescent="0.35">
      <c r="A17" t="s">
        <v>36</v>
      </c>
      <c r="B17" t="s">
        <v>4</v>
      </c>
      <c r="C17" s="3">
        <v>0</v>
      </c>
      <c r="D17" s="3">
        <v>0</v>
      </c>
    </row>
    <row r="18" spans="1:4" x14ac:dyDescent="0.35">
      <c r="A18" t="s">
        <v>22</v>
      </c>
      <c r="B18" t="s">
        <v>4</v>
      </c>
      <c r="C18">
        <v>0.23535</v>
      </c>
      <c r="D18">
        <v>2.1149999999999999E-2</v>
      </c>
    </row>
    <row r="19" spans="1:4" x14ac:dyDescent="0.35">
      <c r="A19" t="s">
        <v>23</v>
      </c>
      <c r="B19" t="s">
        <v>13</v>
      </c>
      <c r="C19">
        <v>0</v>
      </c>
      <c r="D19">
        <v>0</v>
      </c>
    </row>
    <row r="20" spans="1:4" x14ac:dyDescent="0.35">
      <c r="A20" t="s">
        <v>24</v>
      </c>
      <c r="B20" t="s">
        <v>14</v>
      </c>
      <c r="C20">
        <v>0</v>
      </c>
      <c r="D20">
        <v>0</v>
      </c>
    </row>
    <row r="21" spans="1:4" x14ac:dyDescent="0.35">
      <c r="A21" t="s">
        <v>26</v>
      </c>
      <c r="B21" t="s">
        <v>34</v>
      </c>
      <c r="C21">
        <v>0</v>
      </c>
      <c r="D21">
        <v>0</v>
      </c>
    </row>
    <row r="22" spans="1:4" x14ac:dyDescent="0.35">
      <c r="A22" s="2" t="s">
        <v>15</v>
      </c>
    </row>
    <row r="23" spans="1:4" x14ac:dyDescent="0.35">
      <c r="A23" t="s">
        <v>37</v>
      </c>
      <c r="B23" t="s">
        <v>41</v>
      </c>
      <c r="C23">
        <f>'[3]IW+f'!$C$28</f>
        <v>1.5776478677100687</v>
      </c>
      <c r="D23">
        <f>'[3]IW+f'!$G$28</f>
        <v>2.3755902490883187</v>
      </c>
    </row>
    <row r="24" spans="1:4" x14ac:dyDescent="0.35">
      <c r="A24" t="s">
        <v>38</v>
      </c>
      <c r="B24" t="s">
        <v>41</v>
      </c>
      <c r="C24">
        <f>'[3]IW+f'!$C$30</f>
        <v>0.38986915383247311</v>
      </c>
      <c r="D24">
        <f>'[3]IW+f'!$G$30</f>
        <v>0.92484418441705429</v>
      </c>
    </row>
    <row r="25" spans="1:4" x14ac:dyDescent="0.35">
      <c r="A25" t="s">
        <v>39</v>
      </c>
      <c r="B25" t="s">
        <v>41</v>
      </c>
      <c r="C25">
        <f>'[3]IW+f'!$C$29</f>
        <v>0.66714792714666193</v>
      </c>
      <c r="D25">
        <f>'[3]IW+f'!$G$29</f>
        <v>0.31390973645585518</v>
      </c>
    </row>
    <row r="26" spans="1:4" x14ac:dyDescent="0.35">
      <c r="A26" t="s">
        <v>40</v>
      </c>
      <c r="B26" t="s">
        <v>41</v>
      </c>
      <c r="C26" s="3">
        <f>'[3]IW+f'!$C$31</f>
        <v>1.4284515611925735E-2</v>
      </c>
      <c r="D26" s="3">
        <f>'[3]IW+f'!$G$31</f>
        <v>3.2008550717339546E-2</v>
      </c>
    </row>
    <row r="27" spans="1:4" x14ac:dyDescent="0.35">
      <c r="A27" t="s">
        <v>23</v>
      </c>
      <c r="B27" t="s">
        <v>16</v>
      </c>
      <c r="C27">
        <f>'[3]IW+f'!$C$39</f>
        <v>3.1810426802821895E-2</v>
      </c>
      <c r="D27">
        <f>'[3]IW+f'!$G$39</f>
        <v>1.1130534401230463E-2</v>
      </c>
    </row>
    <row r="28" spans="1:4" x14ac:dyDescent="0.35">
      <c r="A28" t="s">
        <v>24</v>
      </c>
      <c r="B28" t="s">
        <v>17</v>
      </c>
      <c r="C28">
        <f>'[3]IW+f'!$C$37</f>
        <v>3.7452427019751884E-2</v>
      </c>
      <c r="D28">
        <f>'[3]IW+f'!$G$37</f>
        <v>1.371409771705601E-2</v>
      </c>
    </row>
    <row r="29" spans="1:4" x14ac:dyDescent="0.35">
      <c r="A29" t="s">
        <v>27</v>
      </c>
      <c r="B29" t="s">
        <v>33</v>
      </c>
      <c r="C29">
        <f>'[3]IW+f'!$C$38</f>
        <v>0.73571240611880662</v>
      </c>
      <c r="D29">
        <f>'[3]IW+f'!$G$38</f>
        <v>7.8893246702014919E-2</v>
      </c>
    </row>
    <row r="30" spans="1:4" x14ac:dyDescent="0.35">
      <c r="A30" s="2" t="s">
        <v>18</v>
      </c>
    </row>
    <row r="31" spans="1:4" x14ac:dyDescent="0.35">
      <c r="A31" t="s">
        <v>36</v>
      </c>
      <c r="B31" t="s">
        <v>42</v>
      </c>
      <c r="C31" s="3">
        <f>[3]LCIA_HC!$C$75</f>
        <v>-320.64976274672284</v>
      </c>
      <c r="D31">
        <v>0</v>
      </c>
    </row>
    <row r="32" spans="1:4" x14ac:dyDescent="0.35">
      <c r="A32" t="s">
        <v>43</v>
      </c>
      <c r="B32" t="s">
        <v>42</v>
      </c>
      <c r="C32" s="3">
        <f>[3]LCIA_IC!$C$43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2026-01-29T13:37:51Z</dcterms:modified>
</cp:coreProperties>
</file>