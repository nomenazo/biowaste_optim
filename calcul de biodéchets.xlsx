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07826E71-BD5E-4A3C-B7C0-4C300A4CB03E}" xr6:coauthVersionLast="36" xr6:coauthVersionMax="36" xr10:uidLastSave="{00000000-0000-0000-0000-000000000000}"/>
  <bookViews>
    <workbookView xWindow="0" yWindow="0" windowWidth="5520" windowHeight="40" xr2:uid="{9535F833-AE0D-4C13-995E-BBA90868B46E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</calcChain>
</file>

<file path=xl/sharedStrings.xml><?xml version="1.0" encoding="utf-8"?>
<sst xmlns="http://schemas.openxmlformats.org/spreadsheetml/2006/main" count="38" uniqueCount="36">
  <si>
    <t>Armancourt (60023)</t>
  </si>
  <si>
    <t>Béthisy-Saint-Martin (60067)</t>
  </si>
  <si>
    <t>Béthisy-Saint-Pierre (60068)</t>
  </si>
  <si>
    <t>Bienville (60070)</t>
  </si>
  <si>
    <t>Choisy-au-Bac (60151)</t>
  </si>
  <si>
    <t>Clairoix (60156)</t>
  </si>
  <si>
    <t>Compiègne (60159)</t>
  </si>
  <si>
    <t>Janville (60323)</t>
  </si>
  <si>
    <t>Jaux (60325)</t>
  </si>
  <si>
    <t>Jonquières (60326)</t>
  </si>
  <si>
    <t>Lachelle (60337)</t>
  </si>
  <si>
    <t>Lacroix-Saint-Ouen (60338)</t>
  </si>
  <si>
    <t>Margny-lès-Compiègne (60382)</t>
  </si>
  <si>
    <t>Le Meux (60402)</t>
  </si>
  <si>
    <t>Néry (60447)</t>
  </si>
  <si>
    <t>Saintines (60578)</t>
  </si>
  <si>
    <t>Saint-Jean-aux-Bois (60579)</t>
  </si>
  <si>
    <t>Saint-Sauveur (60597)</t>
  </si>
  <si>
    <t>Saint-Vaast-de-Longmont (60600)</t>
  </si>
  <si>
    <t>Venette (60665)</t>
  </si>
  <si>
    <t>Verberie (60667)</t>
  </si>
  <si>
    <t>Vieux-Moulin (60674)</t>
  </si>
  <si>
    <t xml:space="preserve">Population </t>
  </si>
  <si>
    <t>Qté totale de biodéchets (t)</t>
  </si>
  <si>
    <t>Nbre total de logements</t>
  </si>
  <si>
    <t>Maisons</t>
  </si>
  <si>
    <t>Nbre de maisons</t>
  </si>
  <si>
    <t>Nbre d'appartements</t>
  </si>
  <si>
    <t>Nb de pers en maisons</t>
  </si>
  <si>
    <t>Nb de pers en appartements</t>
  </si>
  <si>
    <t>Nb de pers en maison</t>
  </si>
  <si>
    <t>file:///D:/Users/hravoaha/Downloads/LOGFRA17k2_F6.2.pdf</t>
  </si>
  <si>
    <t>Nb de pers e n appart</t>
  </si>
  <si>
    <t>Qté de déchets par hab (t)</t>
  </si>
  <si>
    <t>Déchets générés pas les app</t>
  </si>
  <si>
    <t>Déchets générés par les maisons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</si>
</sst>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10">
    <xf numFmtId="0" fontId="0" fillId="0" borderId="0" xfId="0"/>
    <xf numFmtId="0" fontId="1" fillId="2" borderId="1" xfId="2" applyFill="1" applyBorder="1"/>
    <xf numFmtId="0" fontId="1" fillId="2" borderId="1" xfId="2" applyFont="1" applyFill="1" applyBorder="1"/>
    <xf numFmtId="0" fontId="1" fillId="0" borderId="1" xfId="2" applyBorder="1"/>
    <xf numFmtId="164" fontId="1" fillId="0" borderId="1" xfId="1" applyNumberFormat="1" applyFont="1" applyBorder="1"/>
    <xf numFmtId="164" fontId="1" fillId="0" borderId="1" xfId="2" applyNumberFormat="1" applyBorder="1"/>
    <xf numFmtId="10" fontId="1" fillId="0" borderId="1" xfId="2" applyNumberFormat="1" applyBorder="1"/>
    <xf numFmtId="9" fontId="1" fillId="0" borderId="1" xfId="2" applyNumberFormat="1" applyBorder="1"/>
    <xf numFmtId="0" fontId="0" fillId="3" borderId="1" xfId="0" applyFill="1" applyBorder="1"/>
    <xf numFmtId="0" fontId="0" fillId="4" borderId="1" xfId="0" applyFill="1" applyBorder="1"/>
  </cellXfs>
  <cellStyles count="3">
    <cellStyle name="Normal" xfId="0" builtinId="0"/>
    <cellStyle name="Normal 3" xfId="2" xr:uid="{C44DA8DB-F992-4C59-9122-73E39874C955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EC02-3F6F-4C78-BF6E-1DC66FF7F521}">
  <dimension ref="A1:T28"/>
  <sheetViews>
    <sheetView tabSelected="1" workbookViewId="0">
      <pane xSplit="1" ySplit="1" topLeftCell="S9" activePane="bottomRight" state="frozen"/>
      <selection pane="topRight" activeCell="B1" sqref="B1"/>
      <selection pane="bottomLeft" activeCell="A2" sqref="A2"/>
      <selection pane="bottomRight" activeCell="S23" sqref="S23:T23"/>
    </sheetView>
  </sheetViews>
  <sheetFormatPr baseColWidth="10" defaultRowHeight="14.5" x14ac:dyDescent="0.35"/>
  <cols>
    <col min="1" max="1" width="29.453125" bestFit="1" customWidth="1"/>
    <col min="4" max="4" width="11.08984375" customWidth="1"/>
    <col min="5" max="5" width="25.26953125" customWidth="1"/>
    <col min="6" max="6" width="10.90625" customWidth="1"/>
    <col min="7" max="7" width="15" customWidth="1"/>
    <col min="8" max="9" width="10.90625" customWidth="1"/>
    <col min="10" max="10" width="16" customWidth="1"/>
    <col min="11" max="18" width="10.90625" customWidth="1"/>
    <col min="19" max="19" width="28.7265625" bestFit="1" customWidth="1"/>
    <col min="20" max="20" width="24.90625" bestFit="1" customWidth="1"/>
    <col min="21" max="21" width="10.90625" customWidth="1"/>
  </cols>
  <sheetData>
    <row r="1" spans="1:20" x14ac:dyDescent="0.35">
      <c r="B1" t="s">
        <v>22</v>
      </c>
      <c r="D1" t="s">
        <v>23</v>
      </c>
      <c r="E1" t="s">
        <v>33</v>
      </c>
      <c r="G1" t="s">
        <v>24</v>
      </c>
      <c r="H1" t="s">
        <v>25</v>
      </c>
      <c r="J1" t="s">
        <v>26</v>
      </c>
      <c r="K1" t="s">
        <v>27</v>
      </c>
      <c r="M1" s="8" t="s">
        <v>28</v>
      </c>
      <c r="N1" s="8" t="s">
        <v>29</v>
      </c>
      <c r="P1" s="9" t="s">
        <v>28</v>
      </c>
      <c r="Q1" s="9" t="s">
        <v>29</v>
      </c>
      <c r="S1" t="s">
        <v>35</v>
      </c>
      <c r="T1" t="s">
        <v>34</v>
      </c>
    </row>
    <row r="2" spans="1:20" x14ac:dyDescent="0.35">
      <c r="A2" s="1" t="s">
        <v>0</v>
      </c>
      <c r="B2">
        <v>559</v>
      </c>
      <c r="D2">
        <v>48</v>
      </c>
      <c r="E2">
        <f>D2/B2</f>
        <v>8.5867620751341675E-2</v>
      </c>
      <c r="G2" s="3">
        <v>252</v>
      </c>
      <c r="H2" s="4">
        <v>0.89300000000000002</v>
      </c>
      <c r="J2">
        <f>H2*G2</f>
        <v>225.036</v>
      </c>
      <c r="K2">
        <f>G2-J2</f>
        <v>26.963999999999999</v>
      </c>
      <c r="M2" s="8">
        <f>$B$27*J2</f>
        <v>540.08640000000003</v>
      </c>
      <c r="N2" s="8">
        <f>B2-M2</f>
        <v>18.913599999999974</v>
      </c>
      <c r="P2" s="9">
        <f>B2-Q2</f>
        <v>510.46480000000003</v>
      </c>
      <c r="Q2" s="9">
        <f>K2*$B$28</f>
        <v>48.535199999999996</v>
      </c>
      <c r="S2">
        <f>P2*E2</f>
        <v>43.83239785330948</v>
      </c>
      <c r="T2">
        <f>Q2*E2</f>
        <v>4.167602146690518</v>
      </c>
    </row>
    <row r="3" spans="1:20" x14ac:dyDescent="0.35">
      <c r="A3" s="1" t="s">
        <v>1</v>
      </c>
      <c r="B3">
        <v>1018</v>
      </c>
      <c r="D3">
        <v>50</v>
      </c>
      <c r="E3">
        <f t="shared" ref="E3:E23" si="0">D3/B3</f>
        <v>4.9115913555992138E-2</v>
      </c>
      <c r="G3" s="3">
        <v>487</v>
      </c>
      <c r="H3" s="4">
        <v>0.93200000000000005</v>
      </c>
      <c r="J3">
        <f t="shared" ref="J3:J23" si="1">H3*G3</f>
        <v>453.88400000000001</v>
      </c>
      <c r="K3">
        <f t="shared" ref="K3:K23" si="2">G3-J3</f>
        <v>33.115999999999985</v>
      </c>
      <c r="M3" s="8">
        <f t="shared" ref="M3:M23" si="3">$B$27*J3</f>
        <v>1089.3216</v>
      </c>
      <c r="N3" s="8">
        <f t="shared" ref="N3:N23" si="4">B3-M3</f>
        <v>-71.321599999999989</v>
      </c>
      <c r="P3" s="9">
        <f t="shared" ref="P3:P23" si="5">B3-Q3</f>
        <v>958.39120000000003</v>
      </c>
      <c r="Q3" s="9">
        <f t="shared" ref="Q3:Q23" si="6">K3*$B$28</f>
        <v>59.608799999999974</v>
      </c>
      <c r="S3">
        <f t="shared" ref="S3:S23" si="7">P3*E3</f>
        <v>47.072259332023577</v>
      </c>
      <c r="T3">
        <f t="shared" ref="T3:T23" si="8">Q3*E3</f>
        <v>2.9277406679764231</v>
      </c>
    </row>
    <row r="4" spans="1:20" x14ac:dyDescent="0.35">
      <c r="A4" s="1" t="s">
        <v>2</v>
      </c>
      <c r="B4">
        <v>3195</v>
      </c>
      <c r="D4">
        <v>171</v>
      </c>
      <c r="E4">
        <f t="shared" si="0"/>
        <v>5.3521126760563378E-2</v>
      </c>
      <c r="G4" s="3">
        <v>1494</v>
      </c>
      <c r="H4" s="4">
        <v>0.69099999999999995</v>
      </c>
      <c r="J4">
        <f t="shared" si="1"/>
        <v>1032.3539999999998</v>
      </c>
      <c r="K4">
        <f t="shared" si="2"/>
        <v>461.64600000000019</v>
      </c>
      <c r="M4" s="8">
        <f t="shared" si="3"/>
        <v>2477.6495999999993</v>
      </c>
      <c r="N4" s="8">
        <f t="shared" si="4"/>
        <v>717.35040000000072</v>
      </c>
      <c r="P4" s="9">
        <f t="shared" si="5"/>
        <v>2364.0371999999998</v>
      </c>
      <c r="Q4" s="9">
        <f t="shared" si="6"/>
        <v>830.96280000000036</v>
      </c>
      <c r="S4">
        <f t="shared" si="7"/>
        <v>126.52593464788731</v>
      </c>
      <c r="T4">
        <f t="shared" si="8"/>
        <v>44.474065352112696</v>
      </c>
    </row>
    <row r="5" spans="1:20" x14ac:dyDescent="0.35">
      <c r="A5" s="1" t="s">
        <v>3</v>
      </c>
      <c r="B5">
        <v>462</v>
      </c>
      <c r="D5">
        <v>30</v>
      </c>
      <c r="E5">
        <f t="shared" si="0"/>
        <v>6.4935064935064929E-2</v>
      </c>
      <c r="G5" s="3">
        <v>182</v>
      </c>
      <c r="H5" s="5">
        <v>0.95599999999999996</v>
      </c>
      <c r="J5">
        <f t="shared" si="1"/>
        <v>173.99199999999999</v>
      </c>
      <c r="K5">
        <f t="shared" si="2"/>
        <v>8.0080000000000098</v>
      </c>
      <c r="M5" s="8">
        <f t="shared" si="3"/>
        <v>417.58079999999995</v>
      </c>
      <c r="N5" s="8">
        <f t="shared" si="4"/>
        <v>44.419200000000046</v>
      </c>
      <c r="P5" s="9">
        <f t="shared" si="5"/>
        <v>447.5856</v>
      </c>
      <c r="Q5" s="9">
        <f t="shared" si="6"/>
        <v>14.414400000000018</v>
      </c>
      <c r="S5">
        <f t="shared" si="7"/>
        <v>29.063999999999997</v>
      </c>
      <c r="T5">
        <f t="shared" si="8"/>
        <v>0.93600000000000105</v>
      </c>
    </row>
    <row r="6" spans="1:20" x14ac:dyDescent="0.35">
      <c r="A6" s="1" t="s">
        <v>4</v>
      </c>
      <c r="B6">
        <v>3412</v>
      </c>
      <c r="D6">
        <v>213</v>
      </c>
      <c r="E6">
        <f t="shared" si="0"/>
        <v>6.2426729191090269E-2</v>
      </c>
      <c r="G6" s="3">
        <v>1579</v>
      </c>
      <c r="H6" s="5">
        <v>0.81</v>
      </c>
      <c r="J6">
        <f t="shared" si="1"/>
        <v>1278.99</v>
      </c>
      <c r="K6">
        <f t="shared" si="2"/>
        <v>300.01</v>
      </c>
      <c r="M6" s="8">
        <f t="shared" si="3"/>
        <v>3069.576</v>
      </c>
      <c r="N6" s="8">
        <f t="shared" si="4"/>
        <v>342.42399999999998</v>
      </c>
      <c r="P6" s="9">
        <f t="shared" si="5"/>
        <v>2871.982</v>
      </c>
      <c r="Q6" s="9">
        <f t="shared" si="6"/>
        <v>540.01800000000003</v>
      </c>
      <c r="S6">
        <f t="shared" si="7"/>
        <v>179.2884425556858</v>
      </c>
      <c r="T6">
        <f t="shared" si="8"/>
        <v>33.711557444314188</v>
      </c>
    </row>
    <row r="7" spans="1:20" x14ac:dyDescent="0.35">
      <c r="A7" s="1" t="s">
        <v>5</v>
      </c>
      <c r="B7">
        <v>2292</v>
      </c>
      <c r="D7">
        <v>109</v>
      </c>
      <c r="E7">
        <f t="shared" si="0"/>
        <v>4.7556719022687606E-2</v>
      </c>
      <c r="G7" s="3">
        <v>995</v>
      </c>
      <c r="H7" s="6">
        <v>0.83699999999999997</v>
      </c>
      <c r="J7">
        <f t="shared" si="1"/>
        <v>832.81499999999994</v>
      </c>
      <c r="K7">
        <f t="shared" si="2"/>
        <v>162.18500000000006</v>
      </c>
      <c r="M7" s="8">
        <f t="shared" si="3"/>
        <v>1998.7559999999999</v>
      </c>
      <c r="N7" s="8">
        <f t="shared" si="4"/>
        <v>293.24400000000014</v>
      </c>
      <c r="P7" s="9">
        <f t="shared" si="5"/>
        <v>2000.067</v>
      </c>
      <c r="Q7" s="9">
        <f t="shared" si="6"/>
        <v>291.93300000000011</v>
      </c>
      <c r="S7">
        <f t="shared" si="7"/>
        <v>95.116624345549738</v>
      </c>
      <c r="T7">
        <f t="shared" si="8"/>
        <v>13.883375654450266</v>
      </c>
    </row>
    <row r="8" spans="1:20" x14ac:dyDescent="0.35">
      <c r="A8" s="1" t="s">
        <v>6</v>
      </c>
      <c r="B8">
        <v>41470</v>
      </c>
      <c r="D8">
        <v>2944</v>
      </c>
      <c r="E8">
        <f t="shared" si="0"/>
        <v>7.0991077887629608E-2</v>
      </c>
      <c r="G8" s="3">
        <v>21652</v>
      </c>
      <c r="H8" s="6">
        <v>0.20899999999999999</v>
      </c>
      <c r="J8">
        <f t="shared" si="1"/>
        <v>4525.268</v>
      </c>
      <c r="K8">
        <f t="shared" si="2"/>
        <v>17126.732</v>
      </c>
      <c r="M8" s="8">
        <f t="shared" si="3"/>
        <v>10860.6432</v>
      </c>
      <c r="N8" s="8">
        <f t="shared" si="4"/>
        <v>30609.356800000001</v>
      </c>
      <c r="P8" s="9">
        <f t="shared" si="5"/>
        <v>10641.882399999999</v>
      </c>
      <c r="Q8" s="9">
        <f t="shared" si="6"/>
        <v>30828.117600000001</v>
      </c>
      <c r="S8">
        <f t="shared" si="7"/>
        <v>755.47870232939465</v>
      </c>
      <c r="T8">
        <f t="shared" si="8"/>
        <v>2188.5212976706052</v>
      </c>
    </row>
    <row r="9" spans="1:20" x14ac:dyDescent="0.35">
      <c r="A9" s="1" t="s">
        <v>7</v>
      </c>
      <c r="B9">
        <v>657</v>
      </c>
      <c r="D9">
        <v>41</v>
      </c>
      <c r="E9">
        <f t="shared" si="0"/>
        <v>6.2404870624048703E-2</v>
      </c>
      <c r="G9" s="3">
        <v>286</v>
      </c>
      <c r="H9" s="6">
        <v>0.90400000000000003</v>
      </c>
      <c r="J9">
        <f t="shared" si="1"/>
        <v>258.54399999999998</v>
      </c>
      <c r="K9">
        <f t="shared" si="2"/>
        <v>27.456000000000017</v>
      </c>
      <c r="M9" s="8">
        <f t="shared" si="3"/>
        <v>620.50559999999996</v>
      </c>
      <c r="N9" s="8">
        <f t="shared" si="4"/>
        <v>36.494400000000041</v>
      </c>
      <c r="P9" s="9">
        <f t="shared" si="5"/>
        <v>607.57920000000001</v>
      </c>
      <c r="Q9" s="9">
        <f t="shared" si="6"/>
        <v>49.420800000000035</v>
      </c>
      <c r="S9">
        <f t="shared" si="7"/>
        <v>37.915901369863015</v>
      </c>
      <c r="T9">
        <f t="shared" si="8"/>
        <v>3.0840986301369884</v>
      </c>
    </row>
    <row r="10" spans="1:20" x14ac:dyDescent="0.35">
      <c r="A10" s="1" t="s">
        <v>8</v>
      </c>
      <c r="B10">
        <v>2346</v>
      </c>
      <c r="D10">
        <v>186</v>
      </c>
      <c r="E10">
        <f t="shared" si="0"/>
        <v>7.9283887468030695E-2</v>
      </c>
      <c r="G10" s="3">
        <v>982</v>
      </c>
      <c r="H10" s="6">
        <v>0.79300000000000004</v>
      </c>
      <c r="J10">
        <f t="shared" si="1"/>
        <v>778.726</v>
      </c>
      <c r="K10">
        <f t="shared" si="2"/>
        <v>203.274</v>
      </c>
      <c r="M10" s="8">
        <f t="shared" si="3"/>
        <v>1868.9423999999999</v>
      </c>
      <c r="N10" s="8">
        <f t="shared" si="4"/>
        <v>477.05760000000009</v>
      </c>
      <c r="P10" s="9">
        <f t="shared" si="5"/>
        <v>1980.1068</v>
      </c>
      <c r="Q10" s="9">
        <f t="shared" si="6"/>
        <v>365.89320000000004</v>
      </c>
      <c r="S10">
        <f t="shared" si="7"/>
        <v>156.99056470588235</v>
      </c>
      <c r="T10">
        <f t="shared" si="8"/>
        <v>29.009435294117651</v>
      </c>
    </row>
    <row r="11" spans="1:20" x14ac:dyDescent="0.35">
      <c r="A11" s="1" t="s">
        <v>9</v>
      </c>
      <c r="B11">
        <v>621</v>
      </c>
      <c r="D11">
        <v>41</v>
      </c>
      <c r="E11">
        <f t="shared" si="0"/>
        <v>6.602254428341385E-2</v>
      </c>
      <c r="G11" s="3">
        <v>275</v>
      </c>
      <c r="H11" s="6">
        <v>0.96299999999999997</v>
      </c>
      <c r="J11">
        <f t="shared" si="1"/>
        <v>264.82499999999999</v>
      </c>
      <c r="K11">
        <f t="shared" si="2"/>
        <v>10.175000000000011</v>
      </c>
      <c r="M11" s="8">
        <f t="shared" si="3"/>
        <v>635.57999999999993</v>
      </c>
      <c r="N11" s="8">
        <f t="shared" si="4"/>
        <v>-14.579999999999927</v>
      </c>
      <c r="P11" s="9">
        <f t="shared" si="5"/>
        <v>602.68499999999995</v>
      </c>
      <c r="Q11" s="9">
        <f t="shared" si="6"/>
        <v>18.315000000000023</v>
      </c>
      <c r="S11">
        <f t="shared" si="7"/>
        <v>39.790797101449272</v>
      </c>
      <c r="T11">
        <f t="shared" si="8"/>
        <v>1.2092028985507262</v>
      </c>
    </row>
    <row r="12" spans="1:20" x14ac:dyDescent="0.35">
      <c r="A12" s="1" t="s">
        <v>10</v>
      </c>
      <c r="B12">
        <v>802</v>
      </c>
      <c r="D12">
        <v>42</v>
      </c>
      <c r="E12">
        <f t="shared" si="0"/>
        <v>5.2369077306733167E-2</v>
      </c>
      <c r="G12" s="3">
        <v>339</v>
      </c>
      <c r="H12" s="6">
        <v>0.94099999999999995</v>
      </c>
      <c r="J12">
        <f t="shared" si="1"/>
        <v>318.99899999999997</v>
      </c>
      <c r="K12">
        <f t="shared" si="2"/>
        <v>20.001000000000033</v>
      </c>
      <c r="M12" s="8">
        <f t="shared" si="3"/>
        <v>765.59759999999994</v>
      </c>
      <c r="N12" s="8">
        <f t="shared" si="4"/>
        <v>36.402400000000057</v>
      </c>
      <c r="P12" s="9">
        <f t="shared" si="5"/>
        <v>765.9982</v>
      </c>
      <c r="Q12" s="9">
        <f t="shared" si="6"/>
        <v>36.00180000000006</v>
      </c>
      <c r="S12">
        <f t="shared" si="7"/>
        <v>40.11461895261845</v>
      </c>
      <c r="T12">
        <f t="shared" si="8"/>
        <v>1.8853810473815493</v>
      </c>
    </row>
    <row r="13" spans="1:20" x14ac:dyDescent="0.35">
      <c r="A13" s="1" t="s">
        <v>11</v>
      </c>
      <c r="B13">
        <v>5107</v>
      </c>
      <c r="D13">
        <v>90</v>
      </c>
      <c r="E13">
        <f t="shared" si="0"/>
        <v>1.7622870569806149E-2</v>
      </c>
      <c r="G13" s="3">
        <v>2413</v>
      </c>
      <c r="H13" s="6">
        <v>0.72299999999999998</v>
      </c>
      <c r="J13">
        <f t="shared" si="1"/>
        <v>1744.5989999999999</v>
      </c>
      <c r="K13">
        <f t="shared" si="2"/>
        <v>668.40100000000007</v>
      </c>
      <c r="M13" s="8">
        <f t="shared" si="3"/>
        <v>4187.0375999999997</v>
      </c>
      <c r="N13" s="8">
        <f t="shared" si="4"/>
        <v>919.96240000000034</v>
      </c>
      <c r="P13" s="9">
        <f t="shared" si="5"/>
        <v>3903.8782000000001</v>
      </c>
      <c r="Q13" s="9">
        <f t="shared" si="6"/>
        <v>1203.1218000000001</v>
      </c>
      <c r="S13">
        <f t="shared" si="7"/>
        <v>68.797540238887805</v>
      </c>
      <c r="T13">
        <f t="shared" si="8"/>
        <v>21.202459761112202</v>
      </c>
    </row>
    <row r="14" spans="1:20" x14ac:dyDescent="0.35">
      <c r="A14" s="1" t="s">
        <v>12</v>
      </c>
      <c r="B14">
        <v>8883</v>
      </c>
      <c r="D14">
        <v>538</v>
      </c>
      <c r="E14">
        <f t="shared" si="0"/>
        <v>6.0565124394911629E-2</v>
      </c>
      <c r="G14" s="3">
        <v>4548</v>
      </c>
      <c r="H14" s="6">
        <v>0.44800000000000001</v>
      </c>
      <c r="J14">
        <f t="shared" si="1"/>
        <v>2037.5040000000001</v>
      </c>
      <c r="K14">
        <f t="shared" si="2"/>
        <v>2510.4960000000001</v>
      </c>
      <c r="M14" s="8">
        <f t="shared" si="3"/>
        <v>4890.0096000000003</v>
      </c>
      <c r="N14" s="8">
        <f t="shared" si="4"/>
        <v>3992.9903999999997</v>
      </c>
      <c r="P14" s="9">
        <f t="shared" si="5"/>
        <v>4364.1071999999995</v>
      </c>
      <c r="Q14" s="9">
        <f t="shared" si="6"/>
        <v>4518.8928000000005</v>
      </c>
      <c r="S14">
        <f t="shared" si="7"/>
        <v>264.31269544072944</v>
      </c>
      <c r="T14">
        <f t="shared" si="8"/>
        <v>273.68730455927056</v>
      </c>
    </row>
    <row r="15" spans="1:20" x14ac:dyDescent="0.35">
      <c r="A15" s="2" t="s">
        <v>13</v>
      </c>
      <c r="B15">
        <v>2386</v>
      </c>
      <c r="D15">
        <v>131</v>
      </c>
      <c r="E15">
        <f t="shared" si="0"/>
        <v>5.4903604358759427E-2</v>
      </c>
      <c r="G15" s="3">
        <v>977</v>
      </c>
      <c r="H15" s="5">
        <v>0.82299999999999995</v>
      </c>
      <c r="J15">
        <f t="shared" si="1"/>
        <v>804.07099999999991</v>
      </c>
      <c r="K15">
        <f t="shared" si="2"/>
        <v>172.92900000000009</v>
      </c>
      <c r="M15" s="8">
        <f t="shared" si="3"/>
        <v>1929.7703999999997</v>
      </c>
      <c r="N15" s="8">
        <f t="shared" si="4"/>
        <v>456.22960000000035</v>
      </c>
      <c r="P15" s="9">
        <f t="shared" si="5"/>
        <v>2074.7277999999997</v>
      </c>
      <c r="Q15" s="9">
        <f t="shared" si="6"/>
        <v>311.27220000000017</v>
      </c>
      <c r="S15">
        <f t="shared" si="7"/>
        <v>113.91003428331933</v>
      </c>
      <c r="T15">
        <f t="shared" si="8"/>
        <v>17.089965716680645</v>
      </c>
    </row>
    <row r="16" spans="1:20" x14ac:dyDescent="0.35">
      <c r="A16" s="1" t="s">
        <v>14</v>
      </c>
      <c r="B16">
        <v>665</v>
      </c>
      <c r="D16">
        <v>32</v>
      </c>
      <c r="E16">
        <f t="shared" si="0"/>
        <v>4.8120300751879702E-2</v>
      </c>
      <c r="G16" s="3">
        <v>315</v>
      </c>
      <c r="H16" s="6">
        <v>0.96099999999999997</v>
      </c>
      <c r="J16">
        <f t="shared" si="1"/>
        <v>302.71499999999997</v>
      </c>
      <c r="K16">
        <f t="shared" si="2"/>
        <v>12.285000000000025</v>
      </c>
      <c r="M16" s="8">
        <f t="shared" si="3"/>
        <v>726.51599999999996</v>
      </c>
      <c r="N16" s="8">
        <f t="shared" si="4"/>
        <v>-61.515999999999963</v>
      </c>
      <c r="P16" s="9">
        <f t="shared" si="5"/>
        <v>642.88699999999994</v>
      </c>
      <c r="Q16" s="9">
        <f t="shared" si="6"/>
        <v>22.113000000000046</v>
      </c>
      <c r="S16">
        <f t="shared" si="7"/>
        <v>30.935915789473682</v>
      </c>
      <c r="T16">
        <f t="shared" si="8"/>
        <v>1.064084210526318</v>
      </c>
    </row>
    <row r="17" spans="1:20" x14ac:dyDescent="0.35">
      <c r="A17" s="1" t="s">
        <v>15</v>
      </c>
      <c r="B17">
        <v>1091</v>
      </c>
      <c r="D17">
        <v>53</v>
      </c>
      <c r="E17">
        <f t="shared" si="0"/>
        <v>4.857928505957837E-2</v>
      </c>
      <c r="G17" s="3">
        <v>463</v>
      </c>
      <c r="H17" s="6">
        <v>0.90900000000000003</v>
      </c>
      <c r="J17">
        <f t="shared" si="1"/>
        <v>420.86700000000002</v>
      </c>
      <c r="K17">
        <f t="shared" si="2"/>
        <v>42.132999999999981</v>
      </c>
      <c r="M17" s="8">
        <f t="shared" si="3"/>
        <v>1010.0808</v>
      </c>
      <c r="N17" s="8">
        <f t="shared" si="4"/>
        <v>80.919200000000046</v>
      </c>
      <c r="P17" s="9">
        <f t="shared" si="5"/>
        <v>1015.1606</v>
      </c>
      <c r="Q17" s="9">
        <f t="shared" si="6"/>
        <v>75.839399999999969</v>
      </c>
      <c r="S17">
        <f t="shared" si="7"/>
        <v>49.315776168652619</v>
      </c>
      <c r="T17">
        <f t="shared" si="8"/>
        <v>3.6842238313473863</v>
      </c>
    </row>
    <row r="18" spans="1:20" x14ac:dyDescent="0.35">
      <c r="A18" s="1" t="s">
        <v>16</v>
      </c>
      <c r="B18">
        <v>336</v>
      </c>
      <c r="D18">
        <v>20</v>
      </c>
      <c r="E18">
        <f t="shared" si="0"/>
        <v>5.9523809523809521E-2</v>
      </c>
      <c r="G18" s="3">
        <v>218</v>
      </c>
      <c r="H18" s="6">
        <v>0.95899999999999996</v>
      </c>
      <c r="J18">
        <f t="shared" si="1"/>
        <v>209.06199999999998</v>
      </c>
      <c r="K18">
        <f t="shared" si="2"/>
        <v>8.9380000000000166</v>
      </c>
      <c r="M18" s="8">
        <f t="shared" si="3"/>
        <v>501.74879999999996</v>
      </c>
      <c r="N18" s="8">
        <f t="shared" si="4"/>
        <v>-165.74879999999996</v>
      </c>
      <c r="P18" s="9">
        <f t="shared" si="5"/>
        <v>319.91159999999996</v>
      </c>
      <c r="Q18" s="9">
        <f t="shared" si="6"/>
        <v>16.088400000000032</v>
      </c>
      <c r="S18">
        <f t="shared" si="7"/>
        <v>19.042357142857139</v>
      </c>
      <c r="T18">
        <f t="shared" si="8"/>
        <v>0.95764285714285902</v>
      </c>
    </row>
    <row r="19" spans="1:20" x14ac:dyDescent="0.35">
      <c r="A19" s="1" t="s">
        <v>17</v>
      </c>
      <c r="B19">
        <v>1768</v>
      </c>
      <c r="D19">
        <v>149</v>
      </c>
      <c r="E19">
        <f t="shared" si="0"/>
        <v>8.4276018099547517E-2</v>
      </c>
      <c r="G19" s="3">
        <v>752</v>
      </c>
      <c r="H19" s="6">
        <v>0.96699999999999997</v>
      </c>
      <c r="J19">
        <f t="shared" si="1"/>
        <v>727.18399999999997</v>
      </c>
      <c r="K19">
        <f t="shared" si="2"/>
        <v>24.816000000000031</v>
      </c>
      <c r="M19" s="8">
        <f t="shared" si="3"/>
        <v>1745.2415999999998</v>
      </c>
      <c r="N19" s="8">
        <f t="shared" si="4"/>
        <v>22.758400000000165</v>
      </c>
      <c r="P19" s="9">
        <f t="shared" si="5"/>
        <v>1723.3311999999999</v>
      </c>
      <c r="Q19" s="9">
        <f t="shared" si="6"/>
        <v>44.668800000000054</v>
      </c>
      <c r="S19">
        <f t="shared" si="7"/>
        <v>145.23549140271493</v>
      </c>
      <c r="T19">
        <f t="shared" si="8"/>
        <v>3.7645085972850727</v>
      </c>
    </row>
    <row r="20" spans="1:20" x14ac:dyDescent="0.35">
      <c r="A20" s="1" t="s">
        <v>18</v>
      </c>
      <c r="B20">
        <v>640</v>
      </c>
      <c r="D20">
        <v>31</v>
      </c>
      <c r="E20">
        <f t="shared" si="0"/>
        <v>4.8437500000000001E-2</v>
      </c>
      <c r="G20" s="3">
        <v>255</v>
      </c>
      <c r="H20" s="7">
        <v>1</v>
      </c>
      <c r="J20">
        <f t="shared" si="1"/>
        <v>255</v>
      </c>
      <c r="K20">
        <f t="shared" si="2"/>
        <v>0</v>
      </c>
      <c r="M20" s="8">
        <f t="shared" si="3"/>
        <v>612</v>
      </c>
      <c r="N20" s="8">
        <f t="shared" si="4"/>
        <v>28</v>
      </c>
      <c r="P20" s="9">
        <f t="shared" si="5"/>
        <v>640</v>
      </c>
      <c r="Q20" s="9">
        <f t="shared" si="6"/>
        <v>0</v>
      </c>
      <c r="S20">
        <f t="shared" si="7"/>
        <v>31</v>
      </c>
      <c r="T20">
        <f t="shared" si="8"/>
        <v>0</v>
      </c>
    </row>
    <row r="21" spans="1:20" x14ac:dyDescent="0.35">
      <c r="A21" s="1" t="s">
        <v>19</v>
      </c>
      <c r="B21">
        <v>2898</v>
      </c>
      <c r="D21">
        <v>186</v>
      </c>
      <c r="E21">
        <f t="shared" si="0"/>
        <v>6.4182194616977231E-2</v>
      </c>
      <c r="G21" s="3">
        <v>1354</v>
      </c>
      <c r="H21" s="6">
        <v>0.67100000000000004</v>
      </c>
      <c r="J21">
        <f t="shared" si="1"/>
        <v>908.53400000000011</v>
      </c>
      <c r="K21">
        <f t="shared" si="2"/>
        <v>445.46599999999989</v>
      </c>
      <c r="M21" s="8">
        <f t="shared" si="3"/>
        <v>2180.4816000000001</v>
      </c>
      <c r="N21" s="8">
        <f t="shared" si="4"/>
        <v>717.51839999999993</v>
      </c>
      <c r="P21" s="9">
        <f t="shared" si="5"/>
        <v>2096.1612</v>
      </c>
      <c r="Q21" s="9">
        <f t="shared" si="6"/>
        <v>801.83879999999988</v>
      </c>
      <c r="S21">
        <f t="shared" si="7"/>
        <v>134.53622608695653</v>
      </c>
      <c r="T21">
        <f t="shared" si="8"/>
        <v>51.463773913043475</v>
      </c>
    </row>
    <row r="22" spans="1:20" x14ac:dyDescent="0.35">
      <c r="A22" s="1" t="s">
        <v>20</v>
      </c>
      <c r="B22">
        <v>3842</v>
      </c>
      <c r="D22">
        <v>190</v>
      </c>
      <c r="E22">
        <f t="shared" si="0"/>
        <v>4.9453409682457053E-2</v>
      </c>
      <c r="G22" s="3">
        <v>1881</v>
      </c>
      <c r="H22" s="6">
        <v>0.60499999999999998</v>
      </c>
      <c r="J22">
        <f t="shared" si="1"/>
        <v>1138.0049999999999</v>
      </c>
      <c r="K22">
        <f t="shared" si="2"/>
        <v>742.99500000000012</v>
      </c>
      <c r="M22" s="8">
        <f t="shared" si="3"/>
        <v>2731.2119999999995</v>
      </c>
      <c r="N22" s="8">
        <f t="shared" si="4"/>
        <v>1110.7880000000005</v>
      </c>
      <c r="P22" s="9">
        <f t="shared" si="5"/>
        <v>2504.6089999999995</v>
      </c>
      <c r="Q22" s="9">
        <f t="shared" si="6"/>
        <v>1337.3910000000003</v>
      </c>
      <c r="S22">
        <f t="shared" si="7"/>
        <v>123.86145497136906</v>
      </c>
      <c r="T22">
        <f t="shared" si="8"/>
        <v>66.138545028630929</v>
      </c>
    </row>
    <row r="23" spans="1:20" x14ac:dyDescent="0.35">
      <c r="A23" s="1" t="s">
        <v>21</v>
      </c>
      <c r="B23">
        <v>631</v>
      </c>
      <c r="D23">
        <v>52</v>
      </c>
      <c r="E23">
        <f t="shared" si="0"/>
        <v>8.2408874801901746E-2</v>
      </c>
      <c r="G23" s="3">
        <v>303</v>
      </c>
      <c r="H23" s="6">
        <v>0.96399999999999997</v>
      </c>
      <c r="J23">
        <f t="shared" si="1"/>
        <v>292.09199999999998</v>
      </c>
      <c r="K23">
        <f t="shared" si="2"/>
        <v>10.908000000000015</v>
      </c>
      <c r="M23" s="8">
        <f t="shared" si="3"/>
        <v>701.02079999999989</v>
      </c>
      <c r="N23" s="8">
        <f t="shared" si="4"/>
        <v>-70.020799999999895</v>
      </c>
      <c r="P23" s="9">
        <f t="shared" si="5"/>
        <v>611.36559999999997</v>
      </c>
      <c r="Q23" s="9">
        <f t="shared" si="6"/>
        <v>19.634400000000028</v>
      </c>
      <c r="S23">
        <f t="shared" si="7"/>
        <v>50.381951188589539</v>
      </c>
      <c r="T23">
        <f t="shared" si="8"/>
        <v>1.6180488114104619</v>
      </c>
    </row>
    <row r="27" spans="1:20" x14ac:dyDescent="0.35">
      <c r="A27" t="s">
        <v>30</v>
      </c>
      <c r="B27">
        <v>2.4</v>
      </c>
      <c r="D27" t="s">
        <v>31</v>
      </c>
    </row>
    <row r="28" spans="1:20" x14ac:dyDescent="0.35">
      <c r="A28" t="s">
        <v>32</v>
      </c>
      <c r="B28">
        <v>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2025-10-02T08:53:58Z</dcterms:created>
  <dcterms:modified xsi:type="dcterms:W3CDTF">2025-12-09T13:31:24Z</dcterms:modified>
</cp:coreProperties>
</file>