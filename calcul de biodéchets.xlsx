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439DE397-0C51-4165-9C3B-B55BBC9D1D85}" xr6:coauthVersionLast="36" xr6:coauthVersionMax="36" xr10:uidLastSave="{00000000-0000-0000-0000-000000000000}"/>
  <bookViews>
    <workbookView xWindow="0" yWindow="0" windowWidth="5520" windowHeight="40" activeTab="1" xr2:uid="{9535F833-AE0D-4C13-995E-BBA90868B46E}"/>
  </bookViews>
  <sheets>
    <sheet name="Feuil1" sheetId="1" r:id="rId1"/>
    <sheet name="Market peat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2" l="1"/>
  <c r="N11" i="2"/>
  <c r="L12" i="2"/>
  <c r="L15" i="2" l="1"/>
  <c r="U6" i="2"/>
  <c r="L14" i="2"/>
  <c r="U4" i="2"/>
  <c r="L13" i="2" l="1"/>
  <c r="U2" i="2"/>
  <c r="Q4" i="2" l="1"/>
  <c r="L11" i="2"/>
  <c r="B25" i="1"/>
  <c r="O1" i="2"/>
  <c r="Q3" i="2" l="1"/>
  <c r="Q1" i="2"/>
  <c r="Q10" i="2" l="1"/>
  <c r="Q11" i="2"/>
  <c r="Q9" i="2"/>
  <c r="L3" i="2"/>
  <c r="N8" i="2"/>
  <c r="L4" i="2" l="1"/>
  <c r="L6" i="2"/>
  <c r="L7" i="2" s="1"/>
  <c r="C3" i="2" s="1"/>
  <c r="B18" i="2" l="1"/>
  <c r="I18" i="2" s="1"/>
  <c r="B10" i="2"/>
  <c r="I10" i="2" s="1"/>
  <c r="B2" i="2"/>
  <c r="B17" i="2"/>
  <c r="I17" i="2" s="1"/>
  <c r="B9" i="2"/>
  <c r="I9" i="2" s="1"/>
  <c r="B16" i="2"/>
  <c r="I16" i="2" s="1"/>
  <c r="B8" i="2"/>
  <c r="I8" i="2" s="1"/>
  <c r="B20" i="2"/>
  <c r="I20" i="2" s="1"/>
  <c r="B4" i="2"/>
  <c r="I4" i="2" s="1"/>
  <c r="B3" i="2"/>
  <c r="I3" i="2" s="1"/>
  <c r="B23" i="2"/>
  <c r="I23" i="2" s="1"/>
  <c r="B15" i="2"/>
  <c r="I15" i="2" s="1"/>
  <c r="B7" i="2"/>
  <c r="I7" i="2" s="1"/>
  <c r="B22" i="2"/>
  <c r="I22" i="2" s="1"/>
  <c r="B14" i="2"/>
  <c r="I14" i="2" s="1"/>
  <c r="B6" i="2"/>
  <c r="I6" i="2" s="1"/>
  <c r="B21" i="2"/>
  <c r="I21" i="2" s="1"/>
  <c r="B13" i="2"/>
  <c r="I13" i="2" s="1"/>
  <c r="B5" i="2"/>
  <c r="I5" i="2" s="1"/>
  <c r="B12" i="2"/>
  <c r="I12" i="2" s="1"/>
  <c r="B19" i="2"/>
  <c r="I19" i="2" s="1"/>
  <c r="B11" i="2"/>
  <c r="I11" i="2" s="1"/>
  <c r="C18" i="2"/>
  <c r="C10" i="2"/>
  <c r="C17" i="2"/>
  <c r="C9" i="2"/>
  <c r="C8" i="2"/>
  <c r="C16" i="2"/>
  <c r="C23" i="2"/>
  <c r="C15" i="2"/>
  <c r="C7" i="2"/>
  <c r="C6" i="2"/>
  <c r="C5" i="2"/>
  <c r="C2" i="2"/>
  <c r="C14" i="2"/>
  <c r="C21" i="2"/>
  <c r="C12" i="2"/>
  <c r="C4" i="2"/>
  <c r="C22" i="2"/>
  <c r="C13" i="2"/>
  <c r="C20" i="2"/>
  <c r="C19" i="2"/>
  <c r="C11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" i="1"/>
  <c r="B25" i="2" l="1"/>
  <c r="B26" i="2" s="1"/>
  <c r="I2" i="2"/>
  <c r="E2" i="2" l="1"/>
  <c r="E18" i="2" l="1"/>
  <c r="G18" i="2" s="1"/>
  <c r="B27" i="2"/>
  <c r="E23" i="2"/>
  <c r="G23" i="2" s="1"/>
  <c r="E12" i="2"/>
  <c r="G12" i="2" s="1"/>
  <c r="E10" i="2"/>
  <c r="G10" i="2" s="1"/>
  <c r="E14" i="2"/>
  <c r="G14" i="2" s="1"/>
  <c r="E22" i="2"/>
  <c r="G22" i="2" s="1"/>
  <c r="E16" i="2"/>
  <c r="G16" i="2" s="1"/>
  <c r="E19" i="2"/>
  <c r="G19" i="2" s="1"/>
  <c r="E13" i="2"/>
  <c r="G13" i="2" s="1"/>
  <c r="E9" i="2"/>
  <c r="G9" i="2" s="1"/>
  <c r="E5" i="2"/>
  <c r="G5" i="2" s="1"/>
  <c r="E20" i="2"/>
  <c r="G20" i="2" s="1"/>
  <c r="E3" i="2"/>
  <c r="G3" i="2" s="1"/>
  <c r="E8" i="2"/>
  <c r="G8" i="2" s="1"/>
  <c r="E7" i="2"/>
  <c r="G7" i="2" s="1"/>
  <c r="E15" i="2"/>
  <c r="G15" i="2" s="1"/>
  <c r="E17" i="2"/>
  <c r="G17" i="2" s="1"/>
  <c r="E21" i="2"/>
  <c r="G21" i="2" s="1"/>
  <c r="E11" i="2"/>
  <c r="G11" i="2" s="1"/>
  <c r="E6" i="2"/>
  <c r="G6" i="2" s="1"/>
  <c r="E4" i="2"/>
  <c r="G4" i="2" s="1"/>
  <c r="E25" i="2" l="1"/>
  <c r="G2" i="2"/>
  <c r="F2" i="2" s="1"/>
</calcChain>
</file>

<file path=xl/sharedStrings.xml><?xml version="1.0" encoding="utf-8"?>
<sst xmlns="http://schemas.openxmlformats.org/spreadsheetml/2006/main" count="116" uniqueCount="80">
  <si>
    <t>Armancourt (60023)</t>
  </si>
  <si>
    <t>Béthisy-Saint-Martin (60067)</t>
  </si>
  <si>
    <t>Béthisy-Saint-Pierre (60068)</t>
  </si>
  <si>
    <t>Bienville (60070)</t>
  </si>
  <si>
    <t>Choisy-au-Bac (60151)</t>
  </si>
  <si>
    <t>Clairoix (60156)</t>
  </si>
  <si>
    <t>Compiègne (60159)</t>
  </si>
  <si>
    <t>Janville (60323)</t>
  </si>
  <si>
    <t>Jaux (60325)</t>
  </si>
  <si>
    <t>Jonquières (60326)</t>
  </si>
  <si>
    <t>Lachelle (60337)</t>
  </si>
  <si>
    <t>Lacroix-Saint-Ouen (60338)</t>
  </si>
  <si>
    <t>Margny-lès-Compiègne (60382)</t>
  </si>
  <si>
    <t>Le Meux (60402)</t>
  </si>
  <si>
    <t>Néry (60447)</t>
  </si>
  <si>
    <t>Saintines (60578)</t>
  </si>
  <si>
    <t>Saint-Jean-aux-Bois (60579)</t>
  </si>
  <si>
    <t>Saint-Sauveur (60597)</t>
  </si>
  <si>
    <t>Saint-Vaast-de-Longmont (60600)</t>
  </si>
  <si>
    <t>Venette (60665)</t>
  </si>
  <si>
    <t>Verberie (60667)</t>
  </si>
  <si>
    <t>Vieux-Moulin (60674)</t>
  </si>
  <si>
    <t xml:space="preserve">Population </t>
  </si>
  <si>
    <t>Qté totale de biodéchets (t)</t>
  </si>
  <si>
    <t>Nbre total de logements</t>
  </si>
  <si>
    <t>Maisons</t>
  </si>
  <si>
    <t>Nbre de maisons</t>
  </si>
  <si>
    <t>Nbre d'appartements</t>
  </si>
  <si>
    <t>Nb de pers en maisons</t>
  </si>
  <si>
    <t>Nb de pers en appartements</t>
  </si>
  <si>
    <t>Nb de pers en maison</t>
  </si>
  <si>
    <t>file:///D:/Users/hravoaha/Downloads/LOGFRA17k2_F6.2.pdf</t>
  </si>
  <si>
    <t>Nb de pers e n appart</t>
  </si>
  <si>
    <t>Qté de déchets par hab (t)</t>
  </si>
  <si>
    <t>Déchets générés pas les app</t>
  </si>
  <si>
    <t>Déchets générés par les maisons</t>
  </si>
  <si>
    <t>Qté de tourbe consommé pour le jardinage</t>
  </si>
  <si>
    <t>m3/an</t>
  </si>
  <si>
    <t>Densité</t>
  </si>
  <si>
    <t>kg/m3</t>
  </si>
  <si>
    <t>kg/an</t>
  </si>
  <si>
    <t>Qté de C dans les tourbes</t>
  </si>
  <si>
    <t>kgC/kg</t>
  </si>
  <si>
    <t xml:space="preserve">C dans les tourbes consommées en france </t>
  </si>
  <si>
    <t>kgC/an</t>
  </si>
  <si>
    <t>Pop en France</t>
  </si>
  <si>
    <t>Consommation de C tourbe par hab</t>
  </si>
  <si>
    <t>kgC/hab</t>
  </si>
  <si>
    <t>Qté de tourbe consommé par hab</t>
  </si>
  <si>
    <t>kg/an/hab</t>
  </si>
  <si>
    <t>C (kg)</t>
  </si>
  <si>
    <t>Tourbe max(kg)</t>
  </si>
  <si>
    <t>Production de tourbe par HC</t>
  </si>
  <si>
    <t>kg/t</t>
  </si>
  <si>
    <t>Tourbe qui peut être substituée (kg)</t>
  </si>
  <si>
    <t>tourbe max/t de déchets</t>
  </si>
  <si>
    <t>tourbe max vendue dans l'arc</t>
  </si>
  <si>
    <t>tourbe max par tonne de déchets</t>
  </si>
  <si>
    <t>kg tourbe/tonne de déchets</t>
  </si>
  <si>
    <t>Nbre de communes en France</t>
  </si>
  <si>
    <t>co2</t>
  </si>
  <si>
    <t>eq</t>
  </si>
  <si>
    <t>hh</t>
  </si>
  <si>
    <t>Pop hab en maison</t>
  </si>
  <si>
    <t>Market_hobby_ARC</t>
  </si>
  <si>
    <t>kg/hab/an</t>
  </si>
  <si>
    <t>Market_pro_ARC</t>
  </si>
  <si>
    <t>Qthé de tourbe par hab</t>
  </si>
  <si>
    <t>Pro_market</t>
  </si>
  <si>
    <t>marché de N en France</t>
  </si>
  <si>
    <t>N par hab</t>
  </si>
  <si>
    <t>Marché de N dans l'ARC</t>
  </si>
  <si>
    <t>kT/an</t>
  </si>
  <si>
    <t>kT/hab/an</t>
  </si>
  <si>
    <t>marché de P en France</t>
  </si>
  <si>
    <t>P/hab</t>
  </si>
  <si>
    <t>Marché de P dans l'ARC</t>
  </si>
  <si>
    <t>marché de K en France</t>
  </si>
  <si>
    <t>K/hab</t>
  </si>
  <si>
    <t>Marché de K dans l'ARC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</si>
</sst>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1" fillId="2" borderId="1" xfId="2" applyFill="1" applyBorder="1"/>
    <xf numFmtId="0" fontId="1" fillId="2" borderId="1" xfId="2" applyFont="1" applyFill="1" applyBorder="1"/>
    <xf numFmtId="0" fontId="1" fillId="0" borderId="1" xfId="2" applyBorder="1"/>
    <xf numFmtId="164" fontId="1" fillId="0" borderId="1" xfId="1" applyNumberFormat="1" applyFont="1" applyBorder="1"/>
    <xf numFmtId="164" fontId="1" fillId="0" borderId="1" xfId="2" applyNumberFormat="1" applyBorder="1"/>
    <xf numFmtId="10" fontId="1" fillId="0" borderId="1" xfId="2" applyNumberFormat="1" applyBorder="1"/>
    <xf numFmtId="9" fontId="1" fillId="0" borderId="1" xfId="2" applyNumberFormat="1" applyBorder="1"/>
    <xf numFmtId="0" fontId="0" fillId="3" borderId="1" xfId="0" applyFill="1" applyBorder="1"/>
    <xf numFmtId="0" fontId="0" fillId="4" borderId="1" xfId="0" applyFill="1" applyBorder="1"/>
    <xf numFmtId="0" fontId="1" fillId="2" borderId="0" xfId="2" applyFill="1" applyBorder="1"/>
    <xf numFmtId="11" fontId="0" fillId="0" borderId="0" xfId="0" applyNumberFormat="1"/>
    <xf numFmtId="9" fontId="0" fillId="0" borderId="0" xfId="0" applyNumberFormat="1"/>
    <xf numFmtId="0" fontId="2" fillId="0" borderId="0" xfId="0" applyFont="1"/>
  </cellXfs>
  <cellStyles count="3">
    <cellStyle name="Normal" xfId="0" builtinId="0"/>
    <cellStyle name="Normal 3" xfId="2" xr:uid="{C44DA8DB-F992-4C59-9122-73E39874C955}"/>
    <cellStyle name="Pourcentage" xfId="1" builtinId="5"/>
  </cellStyles>
  <dxfs count="2"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cenario%20r&#233;aliste/ARC_re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ivic_led/impact_carb_c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"/>
      <sheetName val="waste_gen"/>
      <sheetName val="tech_pot"/>
      <sheetName val="dist_market"/>
      <sheetName val="market"/>
      <sheetName val="dist_col"/>
    </sheetNames>
    <sheetDataSet>
      <sheetData sheetId="0"/>
      <sheetData sheetId="1">
        <row r="2">
          <cell r="B2">
            <v>755.47870232939465</v>
          </cell>
        </row>
        <row r="3">
          <cell r="B3">
            <v>134.53622608695653</v>
          </cell>
        </row>
        <row r="4">
          <cell r="B4">
            <v>156.99056470588235</v>
          </cell>
        </row>
        <row r="5">
          <cell r="B5">
            <v>43.83239785330948</v>
          </cell>
        </row>
        <row r="6">
          <cell r="B6">
            <v>113.91003428331933</v>
          </cell>
        </row>
        <row r="7">
          <cell r="B7">
            <v>68.797540238887805</v>
          </cell>
        </row>
        <row r="8">
          <cell r="B8">
            <v>145.23549140271493</v>
          </cell>
        </row>
        <row r="9">
          <cell r="B9">
            <v>126.52593464788731</v>
          </cell>
        </row>
        <row r="10">
          <cell r="B10">
            <v>47.072259332023577</v>
          </cell>
        </row>
        <row r="11">
          <cell r="B11">
            <v>29.063999999999997</v>
          </cell>
        </row>
        <row r="12">
          <cell r="B12">
            <v>179.2884425556858</v>
          </cell>
        </row>
        <row r="13">
          <cell r="B13">
            <v>95.116624345549738</v>
          </cell>
        </row>
        <row r="14">
          <cell r="B14">
            <v>37.915901369863015</v>
          </cell>
        </row>
        <row r="15">
          <cell r="B15">
            <v>39.790797101449272</v>
          </cell>
        </row>
        <row r="16">
          <cell r="B16">
            <v>40.11461895261845</v>
          </cell>
        </row>
        <row r="17">
          <cell r="B17">
            <v>264.31269544072944</v>
          </cell>
        </row>
        <row r="18">
          <cell r="B18">
            <v>30.935915789473682</v>
          </cell>
        </row>
        <row r="19">
          <cell r="B19">
            <v>19.042357142857139</v>
          </cell>
        </row>
        <row r="20">
          <cell r="B20">
            <v>49.315776168652619</v>
          </cell>
        </row>
        <row r="21">
          <cell r="B21">
            <v>31</v>
          </cell>
        </row>
        <row r="22">
          <cell r="B22">
            <v>123.86145497136906</v>
          </cell>
        </row>
        <row r="23">
          <cell r="B23">
            <v>50.381951188589539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26">
          <cell r="C26">
            <v>1.4284515611925735E-2</v>
          </cell>
          <cell r="E26">
            <v>8.2740684822632665E-3</v>
          </cell>
          <cell r="F26">
            <v>4.4209285281899682E-8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EC02-3F6F-4C78-BF6E-1DC66FF7F521}">
  <dimension ref="A1:T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5" sqref="B25"/>
    </sheetView>
  </sheetViews>
  <sheetFormatPr baseColWidth="10" defaultRowHeight="14.5" x14ac:dyDescent="0.35"/>
  <cols>
    <col min="1" max="1" width="29.453125" bestFit="1" customWidth="1"/>
    <col min="2" max="2" width="21" customWidth="1"/>
    <col min="4" max="4" width="21.7265625" customWidth="1"/>
    <col min="5" max="5" width="25.26953125" customWidth="1"/>
    <col min="6" max="6" width="10.90625" customWidth="1"/>
    <col min="7" max="7" width="15" customWidth="1"/>
    <col min="8" max="9" width="10.90625" customWidth="1"/>
    <col min="10" max="10" width="16" customWidth="1"/>
    <col min="11" max="12" width="10.90625" customWidth="1"/>
    <col min="13" max="13" width="15.36328125" customWidth="1"/>
    <col min="14" max="14" width="18.90625" customWidth="1"/>
    <col min="15" max="18" width="10.90625" customWidth="1"/>
    <col min="19" max="19" width="28.7265625" bestFit="1" customWidth="1"/>
    <col min="20" max="20" width="24.90625" bestFit="1" customWidth="1"/>
    <col min="21" max="21" width="10.90625" customWidth="1"/>
  </cols>
  <sheetData>
    <row r="1" spans="1:20" x14ac:dyDescent="0.35">
      <c r="B1" t="s">
        <v>22</v>
      </c>
      <c r="D1" t="s">
        <v>23</v>
      </c>
      <c r="E1" t="s">
        <v>33</v>
      </c>
      <c r="G1" t="s">
        <v>24</v>
      </c>
      <c r="H1" t="s">
        <v>25</v>
      </c>
      <c r="J1" t="s">
        <v>26</v>
      </c>
      <c r="K1" t="s">
        <v>27</v>
      </c>
      <c r="M1" s="8" t="s">
        <v>28</v>
      </c>
      <c r="N1" s="8" t="s">
        <v>29</v>
      </c>
      <c r="P1" s="9" t="s">
        <v>28</v>
      </c>
      <c r="Q1" s="9" t="s">
        <v>29</v>
      </c>
      <c r="S1" t="s">
        <v>35</v>
      </c>
      <c r="T1" t="s">
        <v>34</v>
      </c>
    </row>
    <row r="2" spans="1:20" x14ac:dyDescent="0.35">
      <c r="A2" s="1" t="s">
        <v>0</v>
      </c>
      <c r="B2">
        <v>559</v>
      </c>
      <c r="D2">
        <v>48</v>
      </c>
      <c r="E2">
        <f>D2/B2</f>
        <v>8.5867620751341675E-2</v>
      </c>
      <c r="G2" s="3">
        <v>252</v>
      </c>
      <c r="H2" s="4">
        <v>0.89300000000000002</v>
      </c>
      <c r="J2">
        <f>H2*G2</f>
        <v>225.036</v>
      </c>
      <c r="K2">
        <f>G2-J2</f>
        <v>26.963999999999999</v>
      </c>
      <c r="M2" s="8">
        <f>$B$27*J2</f>
        <v>540.08640000000003</v>
      </c>
      <c r="N2" s="8">
        <f>B2-M2</f>
        <v>18.913599999999974</v>
      </c>
      <c r="P2" s="9">
        <f>B2-Q2</f>
        <v>510.46480000000003</v>
      </c>
      <c r="Q2" s="9">
        <f>K2*$B$28</f>
        <v>48.535199999999996</v>
      </c>
      <c r="S2">
        <f>P2*E2</f>
        <v>43.83239785330948</v>
      </c>
      <c r="T2">
        <f>Q2*E2</f>
        <v>4.167602146690518</v>
      </c>
    </row>
    <row r="3" spans="1:20" x14ac:dyDescent="0.35">
      <c r="A3" s="1" t="s">
        <v>1</v>
      </c>
      <c r="B3">
        <v>1018</v>
      </c>
      <c r="D3">
        <v>50</v>
      </c>
      <c r="E3">
        <f t="shared" ref="E3:E23" si="0">D3/B3</f>
        <v>4.9115913555992138E-2</v>
      </c>
      <c r="G3" s="3">
        <v>487</v>
      </c>
      <c r="H3" s="4">
        <v>0.93200000000000005</v>
      </c>
      <c r="J3">
        <f t="shared" ref="J3:J23" si="1">H3*G3</f>
        <v>453.88400000000001</v>
      </c>
      <c r="K3">
        <f t="shared" ref="K3:K23" si="2">G3-J3</f>
        <v>33.115999999999985</v>
      </c>
      <c r="M3" s="8">
        <f t="shared" ref="M3:M23" si="3">$B$27*J3</f>
        <v>1089.3216</v>
      </c>
      <c r="N3" s="8">
        <f t="shared" ref="N3:N23" si="4">B3-M3</f>
        <v>-71.321599999999989</v>
      </c>
      <c r="P3" s="9">
        <f t="shared" ref="P3:P23" si="5">B3-Q3</f>
        <v>958.39120000000003</v>
      </c>
      <c r="Q3" s="9">
        <f t="shared" ref="Q3:Q23" si="6">K3*$B$28</f>
        <v>59.608799999999974</v>
      </c>
      <c r="S3">
        <f t="shared" ref="S3:S23" si="7">P3*E3</f>
        <v>47.072259332023577</v>
      </c>
      <c r="T3">
        <f t="shared" ref="T3:T23" si="8">Q3*E3</f>
        <v>2.9277406679764231</v>
      </c>
    </row>
    <row r="4" spans="1:20" x14ac:dyDescent="0.35">
      <c r="A4" s="1" t="s">
        <v>2</v>
      </c>
      <c r="B4">
        <v>3195</v>
      </c>
      <c r="D4">
        <v>171</v>
      </c>
      <c r="E4">
        <f t="shared" si="0"/>
        <v>5.3521126760563378E-2</v>
      </c>
      <c r="G4" s="3">
        <v>1494</v>
      </c>
      <c r="H4" s="4">
        <v>0.69099999999999995</v>
      </c>
      <c r="J4">
        <f t="shared" si="1"/>
        <v>1032.3539999999998</v>
      </c>
      <c r="K4">
        <f t="shared" si="2"/>
        <v>461.64600000000019</v>
      </c>
      <c r="M4" s="8">
        <f t="shared" si="3"/>
        <v>2477.6495999999993</v>
      </c>
      <c r="N4" s="8">
        <f t="shared" si="4"/>
        <v>717.35040000000072</v>
      </c>
      <c r="P4" s="9">
        <f t="shared" si="5"/>
        <v>2364.0371999999998</v>
      </c>
      <c r="Q4" s="9">
        <f t="shared" si="6"/>
        <v>830.96280000000036</v>
      </c>
      <c r="S4">
        <f t="shared" si="7"/>
        <v>126.52593464788731</v>
      </c>
      <c r="T4">
        <f t="shared" si="8"/>
        <v>44.474065352112696</v>
      </c>
    </row>
    <row r="5" spans="1:20" x14ac:dyDescent="0.35">
      <c r="A5" s="1" t="s">
        <v>3</v>
      </c>
      <c r="B5">
        <v>462</v>
      </c>
      <c r="D5">
        <v>30</v>
      </c>
      <c r="E5">
        <f t="shared" si="0"/>
        <v>6.4935064935064929E-2</v>
      </c>
      <c r="G5" s="3">
        <v>182</v>
      </c>
      <c r="H5" s="5">
        <v>0.95599999999999996</v>
      </c>
      <c r="J5">
        <f t="shared" si="1"/>
        <v>173.99199999999999</v>
      </c>
      <c r="K5">
        <f t="shared" si="2"/>
        <v>8.0080000000000098</v>
      </c>
      <c r="M5" s="8">
        <f t="shared" si="3"/>
        <v>417.58079999999995</v>
      </c>
      <c r="N5" s="8">
        <f t="shared" si="4"/>
        <v>44.419200000000046</v>
      </c>
      <c r="P5" s="9">
        <f t="shared" si="5"/>
        <v>447.5856</v>
      </c>
      <c r="Q5" s="9">
        <f t="shared" si="6"/>
        <v>14.414400000000018</v>
      </c>
      <c r="S5">
        <f t="shared" si="7"/>
        <v>29.063999999999997</v>
      </c>
      <c r="T5">
        <f t="shared" si="8"/>
        <v>0.93600000000000105</v>
      </c>
    </row>
    <row r="6" spans="1:20" x14ac:dyDescent="0.35">
      <c r="A6" s="1" t="s">
        <v>4</v>
      </c>
      <c r="B6">
        <v>3412</v>
      </c>
      <c r="D6">
        <v>213</v>
      </c>
      <c r="E6">
        <f t="shared" si="0"/>
        <v>6.2426729191090269E-2</v>
      </c>
      <c r="G6" s="3">
        <v>1579</v>
      </c>
      <c r="H6" s="5">
        <v>0.81</v>
      </c>
      <c r="J6">
        <f t="shared" si="1"/>
        <v>1278.99</v>
      </c>
      <c r="K6">
        <f t="shared" si="2"/>
        <v>300.01</v>
      </c>
      <c r="M6" s="8">
        <f t="shared" si="3"/>
        <v>3069.576</v>
      </c>
      <c r="N6" s="8">
        <f t="shared" si="4"/>
        <v>342.42399999999998</v>
      </c>
      <c r="P6" s="9">
        <f t="shared" si="5"/>
        <v>2871.982</v>
      </c>
      <c r="Q6" s="9">
        <f t="shared" si="6"/>
        <v>540.01800000000003</v>
      </c>
      <c r="S6">
        <f t="shared" si="7"/>
        <v>179.2884425556858</v>
      </c>
      <c r="T6">
        <f t="shared" si="8"/>
        <v>33.711557444314188</v>
      </c>
    </row>
    <row r="7" spans="1:20" x14ac:dyDescent="0.35">
      <c r="A7" s="1" t="s">
        <v>5</v>
      </c>
      <c r="B7">
        <v>2292</v>
      </c>
      <c r="D7">
        <v>109</v>
      </c>
      <c r="E7">
        <f t="shared" si="0"/>
        <v>4.7556719022687606E-2</v>
      </c>
      <c r="G7" s="3">
        <v>995</v>
      </c>
      <c r="H7" s="6">
        <v>0.83699999999999997</v>
      </c>
      <c r="J7">
        <f t="shared" si="1"/>
        <v>832.81499999999994</v>
      </c>
      <c r="K7">
        <f t="shared" si="2"/>
        <v>162.18500000000006</v>
      </c>
      <c r="M7" s="8">
        <f t="shared" si="3"/>
        <v>1998.7559999999999</v>
      </c>
      <c r="N7" s="8">
        <f t="shared" si="4"/>
        <v>293.24400000000014</v>
      </c>
      <c r="P7" s="9">
        <f t="shared" si="5"/>
        <v>2000.067</v>
      </c>
      <c r="Q7" s="9">
        <f t="shared" si="6"/>
        <v>291.93300000000011</v>
      </c>
      <c r="S7">
        <f t="shared" si="7"/>
        <v>95.116624345549738</v>
      </c>
      <c r="T7">
        <f t="shared" si="8"/>
        <v>13.883375654450266</v>
      </c>
    </row>
    <row r="8" spans="1:20" x14ac:dyDescent="0.35">
      <c r="A8" s="1" t="s">
        <v>6</v>
      </c>
      <c r="B8">
        <v>41470</v>
      </c>
      <c r="D8">
        <v>2944</v>
      </c>
      <c r="E8">
        <f t="shared" si="0"/>
        <v>7.0991077887629608E-2</v>
      </c>
      <c r="G8" s="3">
        <v>21652</v>
      </c>
      <c r="H8" s="6">
        <v>0.20899999999999999</v>
      </c>
      <c r="J8">
        <f t="shared" si="1"/>
        <v>4525.268</v>
      </c>
      <c r="K8">
        <f t="shared" si="2"/>
        <v>17126.732</v>
      </c>
      <c r="M8" s="8">
        <f t="shared" si="3"/>
        <v>10860.6432</v>
      </c>
      <c r="N8" s="8">
        <f t="shared" si="4"/>
        <v>30609.356800000001</v>
      </c>
      <c r="P8" s="9">
        <f t="shared" si="5"/>
        <v>10641.882399999999</v>
      </c>
      <c r="Q8" s="9">
        <f t="shared" si="6"/>
        <v>30828.117600000001</v>
      </c>
      <c r="S8">
        <f t="shared" si="7"/>
        <v>755.47870232939465</v>
      </c>
      <c r="T8">
        <f t="shared" si="8"/>
        <v>2188.5212976706052</v>
      </c>
    </row>
    <row r="9" spans="1:20" x14ac:dyDescent="0.35">
      <c r="A9" s="1" t="s">
        <v>7</v>
      </c>
      <c r="B9">
        <v>657</v>
      </c>
      <c r="D9">
        <v>41</v>
      </c>
      <c r="E9">
        <f t="shared" si="0"/>
        <v>6.2404870624048703E-2</v>
      </c>
      <c r="G9" s="3">
        <v>286</v>
      </c>
      <c r="H9" s="6">
        <v>0.90400000000000003</v>
      </c>
      <c r="J9">
        <f t="shared" si="1"/>
        <v>258.54399999999998</v>
      </c>
      <c r="K9">
        <f t="shared" si="2"/>
        <v>27.456000000000017</v>
      </c>
      <c r="M9" s="8">
        <f t="shared" si="3"/>
        <v>620.50559999999996</v>
      </c>
      <c r="N9" s="8">
        <f t="shared" si="4"/>
        <v>36.494400000000041</v>
      </c>
      <c r="P9" s="9">
        <f t="shared" si="5"/>
        <v>607.57920000000001</v>
      </c>
      <c r="Q9" s="9">
        <f t="shared" si="6"/>
        <v>49.420800000000035</v>
      </c>
      <c r="S9">
        <f t="shared" si="7"/>
        <v>37.915901369863015</v>
      </c>
      <c r="T9">
        <f t="shared" si="8"/>
        <v>3.0840986301369884</v>
      </c>
    </row>
    <row r="10" spans="1:20" x14ac:dyDescent="0.35">
      <c r="A10" s="1" t="s">
        <v>8</v>
      </c>
      <c r="B10">
        <v>2346</v>
      </c>
      <c r="D10">
        <v>186</v>
      </c>
      <c r="E10">
        <f t="shared" si="0"/>
        <v>7.9283887468030695E-2</v>
      </c>
      <c r="G10" s="3">
        <v>982</v>
      </c>
      <c r="H10" s="6">
        <v>0.79300000000000004</v>
      </c>
      <c r="J10">
        <f t="shared" si="1"/>
        <v>778.726</v>
      </c>
      <c r="K10">
        <f t="shared" si="2"/>
        <v>203.274</v>
      </c>
      <c r="M10" s="8">
        <f t="shared" si="3"/>
        <v>1868.9423999999999</v>
      </c>
      <c r="N10" s="8">
        <f t="shared" si="4"/>
        <v>477.05760000000009</v>
      </c>
      <c r="P10" s="9">
        <f t="shared" si="5"/>
        <v>1980.1068</v>
      </c>
      <c r="Q10" s="9">
        <f t="shared" si="6"/>
        <v>365.89320000000004</v>
      </c>
      <c r="S10">
        <f t="shared" si="7"/>
        <v>156.99056470588235</v>
      </c>
      <c r="T10">
        <f t="shared" si="8"/>
        <v>29.009435294117651</v>
      </c>
    </row>
    <row r="11" spans="1:20" x14ac:dyDescent="0.35">
      <c r="A11" s="1" t="s">
        <v>9</v>
      </c>
      <c r="B11">
        <v>621</v>
      </c>
      <c r="D11">
        <v>41</v>
      </c>
      <c r="E11">
        <f t="shared" si="0"/>
        <v>6.602254428341385E-2</v>
      </c>
      <c r="G11" s="3">
        <v>275</v>
      </c>
      <c r="H11" s="6">
        <v>0.96299999999999997</v>
      </c>
      <c r="J11">
        <f t="shared" si="1"/>
        <v>264.82499999999999</v>
      </c>
      <c r="K11">
        <f t="shared" si="2"/>
        <v>10.175000000000011</v>
      </c>
      <c r="M11" s="8">
        <f t="shared" si="3"/>
        <v>635.57999999999993</v>
      </c>
      <c r="N11" s="8">
        <f t="shared" si="4"/>
        <v>-14.579999999999927</v>
      </c>
      <c r="P11" s="9">
        <f t="shared" si="5"/>
        <v>602.68499999999995</v>
      </c>
      <c r="Q11" s="9">
        <f t="shared" si="6"/>
        <v>18.315000000000023</v>
      </c>
      <c r="S11">
        <f t="shared" si="7"/>
        <v>39.790797101449272</v>
      </c>
      <c r="T11">
        <f t="shared" si="8"/>
        <v>1.2092028985507262</v>
      </c>
    </row>
    <row r="12" spans="1:20" x14ac:dyDescent="0.35">
      <c r="A12" s="1" t="s">
        <v>10</v>
      </c>
      <c r="B12">
        <v>802</v>
      </c>
      <c r="D12">
        <v>42</v>
      </c>
      <c r="E12">
        <f t="shared" si="0"/>
        <v>5.2369077306733167E-2</v>
      </c>
      <c r="G12" s="3">
        <v>339</v>
      </c>
      <c r="H12" s="6">
        <v>0.94099999999999995</v>
      </c>
      <c r="J12">
        <f t="shared" si="1"/>
        <v>318.99899999999997</v>
      </c>
      <c r="K12">
        <f t="shared" si="2"/>
        <v>20.001000000000033</v>
      </c>
      <c r="M12" s="8">
        <f t="shared" si="3"/>
        <v>765.59759999999994</v>
      </c>
      <c r="N12" s="8">
        <f t="shared" si="4"/>
        <v>36.402400000000057</v>
      </c>
      <c r="P12" s="9">
        <f t="shared" si="5"/>
        <v>765.9982</v>
      </c>
      <c r="Q12" s="9">
        <f t="shared" si="6"/>
        <v>36.00180000000006</v>
      </c>
      <c r="S12">
        <f t="shared" si="7"/>
        <v>40.11461895261845</v>
      </c>
      <c r="T12">
        <f t="shared" si="8"/>
        <v>1.8853810473815493</v>
      </c>
    </row>
    <row r="13" spans="1:20" x14ac:dyDescent="0.35">
      <c r="A13" s="1" t="s">
        <v>11</v>
      </c>
      <c r="B13">
        <v>5107</v>
      </c>
      <c r="D13">
        <v>90</v>
      </c>
      <c r="E13">
        <f t="shared" si="0"/>
        <v>1.7622870569806149E-2</v>
      </c>
      <c r="G13" s="3">
        <v>2413</v>
      </c>
      <c r="H13" s="6">
        <v>0.72299999999999998</v>
      </c>
      <c r="J13">
        <f t="shared" si="1"/>
        <v>1744.5989999999999</v>
      </c>
      <c r="K13">
        <f t="shared" si="2"/>
        <v>668.40100000000007</v>
      </c>
      <c r="M13" s="8">
        <f t="shared" si="3"/>
        <v>4187.0375999999997</v>
      </c>
      <c r="N13" s="8">
        <f t="shared" si="4"/>
        <v>919.96240000000034</v>
      </c>
      <c r="P13" s="9">
        <f t="shared" si="5"/>
        <v>3903.8782000000001</v>
      </c>
      <c r="Q13" s="9">
        <f t="shared" si="6"/>
        <v>1203.1218000000001</v>
      </c>
      <c r="S13">
        <f t="shared" si="7"/>
        <v>68.797540238887805</v>
      </c>
      <c r="T13">
        <f t="shared" si="8"/>
        <v>21.202459761112202</v>
      </c>
    </row>
    <row r="14" spans="1:20" x14ac:dyDescent="0.35">
      <c r="A14" s="1" t="s">
        <v>12</v>
      </c>
      <c r="B14">
        <v>8883</v>
      </c>
      <c r="D14">
        <v>538</v>
      </c>
      <c r="E14">
        <f t="shared" si="0"/>
        <v>6.0565124394911629E-2</v>
      </c>
      <c r="G14" s="3">
        <v>4548</v>
      </c>
      <c r="H14" s="6">
        <v>0.44800000000000001</v>
      </c>
      <c r="J14">
        <f t="shared" si="1"/>
        <v>2037.5040000000001</v>
      </c>
      <c r="K14">
        <f t="shared" si="2"/>
        <v>2510.4960000000001</v>
      </c>
      <c r="M14" s="8">
        <f t="shared" si="3"/>
        <v>4890.0096000000003</v>
      </c>
      <c r="N14" s="8">
        <f t="shared" si="4"/>
        <v>3992.9903999999997</v>
      </c>
      <c r="P14" s="9">
        <f t="shared" si="5"/>
        <v>4364.1071999999995</v>
      </c>
      <c r="Q14" s="9">
        <f t="shared" si="6"/>
        <v>4518.8928000000005</v>
      </c>
      <c r="S14">
        <f t="shared" si="7"/>
        <v>264.31269544072944</v>
      </c>
      <c r="T14">
        <f t="shared" si="8"/>
        <v>273.68730455927056</v>
      </c>
    </row>
    <row r="15" spans="1:20" x14ac:dyDescent="0.35">
      <c r="A15" s="2" t="s">
        <v>13</v>
      </c>
      <c r="B15">
        <v>2386</v>
      </c>
      <c r="D15">
        <v>131</v>
      </c>
      <c r="E15">
        <f t="shared" si="0"/>
        <v>5.4903604358759427E-2</v>
      </c>
      <c r="G15" s="3">
        <v>977</v>
      </c>
      <c r="H15" s="5">
        <v>0.82299999999999995</v>
      </c>
      <c r="J15">
        <f t="shared" si="1"/>
        <v>804.07099999999991</v>
      </c>
      <c r="K15">
        <f t="shared" si="2"/>
        <v>172.92900000000009</v>
      </c>
      <c r="M15" s="8">
        <f t="shared" si="3"/>
        <v>1929.7703999999997</v>
      </c>
      <c r="N15" s="8">
        <f t="shared" si="4"/>
        <v>456.22960000000035</v>
      </c>
      <c r="P15" s="9">
        <f t="shared" si="5"/>
        <v>2074.7277999999997</v>
      </c>
      <c r="Q15" s="9">
        <f t="shared" si="6"/>
        <v>311.27220000000017</v>
      </c>
      <c r="S15">
        <f t="shared" si="7"/>
        <v>113.91003428331933</v>
      </c>
      <c r="T15">
        <f t="shared" si="8"/>
        <v>17.089965716680645</v>
      </c>
    </row>
    <row r="16" spans="1:20" x14ac:dyDescent="0.35">
      <c r="A16" s="1" t="s">
        <v>14</v>
      </c>
      <c r="B16">
        <v>665</v>
      </c>
      <c r="D16">
        <v>32</v>
      </c>
      <c r="E16">
        <f t="shared" si="0"/>
        <v>4.8120300751879702E-2</v>
      </c>
      <c r="G16" s="3">
        <v>315</v>
      </c>
      <c r="H16" s="6">
        <v>0.96099999999999997</v>
      </c>
      <c r="J16">
        <f t="shared" si="1"/>
        <v>302.71499999999997</v>
      </c>
      <c r="K16">
        <f t="shared" si="2"/>
        <v>12.285000000000025</v>
      </c>
      <c r="M16" s="8">
        <f t="shared" si="3"/>
        <v>726.51599999999996</v>
      </c>
      <c r="N16" s="8">
        <f t="shared" si="4"/>
        <v>-61.515999999999963</v>
      </c>
      <c r="P16" s="9">
        <f t="shared" si="5"/>
        <v>642.88699999999994</v>
      </c>
      <c r="Q16" s="9">
        <f t="shared" si="6"/>
        <v>22.113000000000046</v>
      </c>
      <c r="S16">
        <f t="shared" si="7"/>
        <v>30.935915789473682</v>
      </c>
      <c r="T16">
        <f t="shared" si="8"/>
        <v>1.064084210526318</v>
      </c>
    </row>
    <row r="17" spans="1:20" x14ac:dyDescent="0.35">
      <c r="A17" s="1" t="s">
        <v>15</v>
      </c>
      <c r="B17">
        <v>1091</v>
      </c>
      <c r="D17">
        <v>53</v>
      </c>
      <c r="E17">
        <f t="shared" si="0"/>
        <v>4.857928505957837E-2</v>
      </c>
      <c r="G17" s="3">
        <v>463</v>
      </c>
      <c r="H17" s="6">
        <v>0.90900000000000003</v>
      </c>
      <c r="J17">
        <f t="shared" si="1"/>
        <v>420.86700000000002</v>
      </c>
      <c r="K17">
        <f t="shared" si="2"/>
        <v>42.132999999999981</v>
      </c>
      <c r="M17" s="8">
        <f t="shared" si="3"/>
        <v>1010.0808</v>
      </c>
      <c r="N17" s="8">
        <f t="shared" si="4"/>
        <v>80.919200000000046</v>
      </c>
      <c r="P17" s="9">
        <f t="shared" si="5"/>
        <v>1015.1606</v>
      </c>
      <c r="Q17" s="9">
        <f t="shared" si="6"/>
        <v>75.839399999999969</v>
      </c>
      <c r="S17">
        <f t="shared" si="7"/>
        <v>49.315776168652619</v>
      </c>
      <c r="T17">
        <f t="shared" si="8"/>
        <v>3.6842238313473863</v>
      </c>
    </row>
    <row r="18" spans="1:20" x14ac:dyDescent="0.35">
      <c r="A18" s="1" t="s">
        <v>16</v>
      </c>
      <c r="B18">
        <v>336</v>
      </c>
      <c r="D18">
        <v>20</v>
      </c>
      <c r="E18">
        <f t="shared" si="0"/>
        <v>5.9523809523809521E-2</v>
      </c>
      <c r="G18" s="3">
        <v>218</v>
      </c>
      <c r="H18" s="6">
        <v>0.95899999999999996</v>
      </c>
      <c r="J18">
        <f t="shared" si="1"/>
        <v>209.06199999999998</v>
      </c>
      <c r="K18">
        <f t="shared" si="2"/>
        <v>8.9380000000000166</v>
      </c>
      <c r="M18" s="8">
        <f t="shared" si="3"/>
        <v>501.74879999999996</v>
      </c>
      <c r="N18" s="8">
        <f t="shared" si="4"/>
        <v>-165.74879999999996</v>
      </c>
      <c r="P18" s="9">
        <f t="shared" si="5"/>
        <v>319.91159999999996</v>
      </c>
      <c r="Q18" s="9">
        <f t="shared" si="6"/>
        <v>16.088400000000032</v>
      </c>
      <c r="S18">
        <f t="shared" si="7"/>
        <v>19.042357142857139</v>
      </c>
      <c r="T18">
        <f t="shared" si="8"/>
        <v>0.95764285714285902</v>
      </c>
    </row>
    <row r="19" spans="1:20" x14ac:dyDescent="0.35">
      <c r="A19" s="1" t="s">
        <v>17</v>
      </c>
      <c r="B19">
        <v>1768</v>
      </c>
      <c r="D19">
        <v>149</v>
      </c>
      <c r="E19">
        <f t="shared" si="0"/>
        <v>8.4276018099547517E-2</v>
      </c>
      <c r="G19" s="3">
        <v>752</v>
      </c>
      <c r="H19" s="6">
        <v>0.96699999999999997</v>
      </c>
      <c r="J19">
        <f t="shared" si="1"/>
        <v>727.18399999999997</v>
      </c>
      <c r="K19">
        <f t="shared" si="2"/>
        <v>24.816000000000031</v>
      </c>
      <c r="M19" s="8">
        <f t="shared" si="3"/>
        <v>1745.2415999999998</v>
      </c>
      <c r="N19" s="8">
        <f t="shared" si="4"/>
        <v>22.758400000000165</v>
      </c>
      <c r="P19" s="9">
        <f t="shared" si="5"/>
        <v>1723.3311999999999</v>
      </c>
      <c r="Q19" s="9">
        <f t="shared" si="6"/>
        <v>44.668800000000054</v>
      </c>
      <c r="S19">
        <f t="shared" si="7"/>
        <v>145.23549140271493</v>
      </c>
      <c r="T19">
        <f t="shared" si="8"/>
        <v>3.7645085972850727</v>
      </c>
    </row>
    <row r="20" spans="1:20" x14ac:dyDescent="0.35">
      <c r="A20" s="1" t="s">
        <v>18</v>
      </c>
      <c r="B20">
        <v>640</v>
      </c>
      <c r="D20">
        <v>31</v>
      </c>
      <c r="E20">
        <f t="shared" si="0"/>
        <v>4.8437500000000001E-2</v>
      </c>
      <c r="G20" s="3">
        <v>255</v>
      </c>
      <c r="H20" s="7">
        <v>1</v>
      </c>
      <c r="J20">
        <f t="shared" si="1"/>
        <v>255</v>
      </c>
      <c r="K20">
        <f t="shared" si="2"/>
        <v>0</v>
      </c>
      <c r="M20" s="8">
        <f t="shared" si="3"/>
        <v>612</v>
      </c>
      <c r="N20" s="8">
        <f t="shared" si="4"/>
        <v>28</v>
      </c>
      <c r="P20" s="9">
        <f t="shared" si="5"/>
        <v>640</v>
      </c>
      <c r="Q20" s="9">
        <f t="shared" si="6"/>
        <v>0</v>
      </c>
      <c r="S20">
        <f t="shared" si="7"/>
        <v>31</v>
      </c>
      <c r="T20">
        <f t="shared" si="8"/>
        <v>0</v>
      </c>
    </row>
    <row r="21" spans="1:20" x14ac:dyDescent="0.35">
      <c r="A21" s="1" t="s">
        <v>19</v>
      </c>
      <c r="B21">
        <v>2898</v>
      </c>
      <c r="D21">
        <v>186</v>
      </c>
      <c r="E21">
        <f t="shared" si="0"/>
        <v>6.4182194616977231E-2</v>
      </c>
      <c r="G21" s="3">
        <v>1354</v>
      </c>
      <c r="H21" s="6">
        <v>0.67100000000000004</v>
      </c>
      <c r="J21">
        <f t="shared" si="1"/>
        <v>908.53400000000011</v>
      </c>
      <c r="K21">
        <f t="shared" si="2"/>
        <v>445.46599999999989</v>
      </c>
      <c r="M21" s="8">
        <f t="shared" si="3"/>
        <v>2180.4816000000001</v>
      </c>
      <c r="N21" s="8">
        <f t="shared" si="4"/>
        <v>717.51839999999993</v>
      </c>
      <c r="P21" s="9">
        <f t="shared" si="5"/>
        <v>2096.1612</v>
      </c>
      <c r="Q21" s="9">
        <f t="shared" si="6"/>
        <v>801.83879999999988</v>
      </c>
      <c r="S21">
        <f t="shared" si="7"/>
        <v>134.53622608695653</v>
      </c>
      <c r="T21">
        <f t="shared" si="8"/>
        <v>51.463773913043475</v>
      </c>
    </row>
    <row r="22" spans="1:20" x14ac:dyDescent="0.35">
      <c r="A22" s="1" t="s">
        <v>20</v>
      </c>
      <c r="B22">
        <v>3842</v>
      </c>
      <c r="D22">
        <v>190</v>
      </c>
      <c r="E22">
        <f t="shared" si="0"/>
        <v>4.9453409682457053E-2</v>
      </c>
      <c r="G22" s="3">
        <v>1881</v>
      </c>
      <c r="H22" s="6">
        <v>0.60499999999999998</v>
      </c>
      <c r="J22">
        <f t="shared" si="1"/>
        <v>1138.0049999999999</v>
      </c>
      <c r="K22">
        <f t="shared" si="2"/>
        <v>742.99500000000012</v>
      </c>
      <c r="M22" s="8">
        <f t="shared" si="3"/>
        <v>2731.2119999999995</v>
      </c>
      <c r="N22" s="8">
        <f t="shared" si="4"/>
        <v>1110.7880000000005</v>
      </c>
      <c r="P22" s="9">
        <f t="shared" si="5"/>
        <v>2504.6089999999995</v>
      </c>
      <c r="Q22" s="9">
        <f t="shared" si="6"/>
        <v>1337.3910000000003</v>
      </c>
      <c r="S22">
        <f t="shared" si="7"/>
        <v>123.86145497136906</v>
      </c>
      <c r="T22">
        <f t="shared" si="8"/>
        <v>66.138545028630929</v>
      </c>
    </row>
    <row r="23" spans="1:20" x14ac:dyDescent="0.35">
      <c r="A23" s="1" t="s">
        <v>21</v>
      </c>
      <c r="B23">
        <v>631</v>
      </c>
      <c r="D23">
        <v>52</v>
      </c>
      <c r="E23">
        <f t="shared" si="0"/>
        <v>8.2408874801901746E-2</v>
      </c>
      <c r="G23" s="3">
        <v>303</v>
      </c>
      <c r="H23" s="6">
        <v>0.96399999999999997</v>
      </c>
      <c r="J23">
        <f t="shared" si="1"/>
        <v>292.09199999999998</v>
      </c>
      <c r="K23">
        <f t="shared" si="2"/>
        <v>10.908000000000015</v>
      </c>
      <c r="M23" s="8">
        <f t="shared" si="3"/>
        <v>701.02079999999989</v>
      </c>
      <c r="N23" s="8">
        <f t="shared" si="4"/>
        <v>-70.020799999999895</v>
      </c>
      <c r="P23" s="9">
        <f t="shared" si="5"/>
        <v>611.36559999999997</v>
      </c>
      <c r="Q23" s="9">
        <f t="shared" si="6"/>
        <v>19.634400000000028</v>
      </c>
      <c r="S23">
        <f t="shared" si="7"/>
        <v>50.381951188589539</v>
      </c>
      <c r="T23">
        <f t="shared" si="8"/>
        <v>1.6180488114104619</v>
      </c>
    </row>
    <row r="25" spans="1:20" x14ac:dyDescent="0.35">
      <c r="B25">
        <f>SUM(B2:B23)</f>
        <v>85081</v>
      </c>
    </row>
    <row r="27" spans="1:20" x14ac:dyDescent="0.35">
      <c r="A27" t="s">
        <v>30</v>
      </c>
      <c r="B27">
        <v>2.4</v>
      </c>
      <c r="D27" t="s">
        <v>31</v>
      </c>
    </row>
    <row r="28" spans="1:20" x14ac:dyDescent="0.35">
      <c r="A28" t="s">
        <v>32</v>
      </c>
      <c r="B28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418B-0A16-4779-A03C-070F8BD637D3}">
  <dimension ref="A1:V27"/>
  <sheetViews>
    <sheetView tabSelected="1" topLeftCell="I1" zoomScaleNormal="100" workbookViewId="0">
      <selection activeCell="N13" sqref="N13"/>
    </sheetView>
  </sheetViews>
  <sheetFormatPr baseColWidth="10" defaultRowHeight="14.5" x14ac:dyDescent="0.35"/>
  <cols>
    <col min="1" max="1" width="29.453125" bestFit="1" customWidth="1"/>
    <col min="2" max="2" width="24.81640625" customWidth="1"/>
    <col min="3" max="4" width="0" hidden="1" customWidth="1"/>
    <col min="5" max="5" width="18.81640625" customWidth="1"/>
    <col min="9" max="9" width="11.81640625" bestFit="1" customWidth="1"/>
    <col min="11" max="11" width="38.26953125" customWidth="1"/>
    <col min="12" max="12" width="11.81640625" bestFit="1" customWidth="1"/>
    <col min="14" max="14" width="26.453125" bestFit="1" customWidth="1"/>
    <col min="16" max="16" width="21.36328125" customWidth="1"/>
    <col min="17" max="17" width="15.81640625" customWidth="1"/>
    <col min="21" max="21" width="11.81640625" bestFit="1" customWidth="1"/>
  </cols>
  <sheetData>
    <row r="1" spans="1:22" x14ac:dyDescent="0.35">
      <c r="B1" t="s">
        <v>51</v>
      </c>
      <c r="C1" t="s">
        <v>50</v>
      </c>
      <c r="E1" t="s">
        <v>54</v>
      </c>
      <c r="I1" t="s">
        <v>55</v>
      </c>
      <c r="K1" t="s">
        <v>36</v>
      </c>
      <c r="L1">
        <v>757800</v>
      </c>
      <c r="M1" t="s">
        <v>37</v>
      </c>
      <c r="N1" t="s">
        <v>45</v>
      </c>
      <c r="O1">
        <f>69100000</f>
        <v>69100000</v>
      </c>
      <c r="Q1">
        <f>1670000*0.45</f>
        <v>751500</v>
      </c>
      <c r="R1" t="s">
        <v>37</v>
      </c>
      <c r="T1" t="s">
        <v>69</v>
      </c>
      <c r="U1">
        <v>1831</v>
      </c>
      <c r="V1" t="s">
        <v>72</v>
      </c>
    </row>
    <row r="2" spans="1:22" x14ac:dyDescent="0.35">
      <c r="A2" s="1" t="s">
        <v>0</v>
      </c>
      <c r="B2">
        <f>$L$4*Feuil1!P2</f>
        <v>1119.6243862228655</v>
      </c>
      <c r="C2">
        <f>$L$7*Feuil1!B2</f>
        <v>271.89521838494937</v>
      </c>
      <c r="E2">
        <f>L8*[1]waste_gen!$B$5</f>
        <v>19212.252292171655</v>
      </c>
      <c r="F2">
        <f>I2/G2</f>
        <v>438.31168800000006</v>
      </c>
      <c r="G2">
        <f>B2/E2</f>
        <v>5.8276581485403177E-2</v>
      </c>
      <c r="I2">
        <f>B2/[1]waste_gen!$B$5</f>
        <v>25.543306801736616</v>
      </c>
      <c r="K2" t="s">
        <v>38</v>
      </c>
      <c r="L2">
        <v>200</v>
      </c>
      <c r="M2" t="s">
        <v>39</v>
      </c>
      <c r="N2" t="s">
        <v>59</v>
      </c>
      <c r="O2">
        <v>36529</v>
      </c>
      <c r="T2" t="s">
        <v>70</v>
      </c>
      <c r="U2">
        <f>U1/O1</f>
        <v>2.6497829232995658E-5</v>
      </c>
      <c r="V2" t="s">
        <v>73</v>
      </c>
    </row>
    <row r="3" spans="1:22" x14ac:dyDescent="0.35">
      <c r="A3" s="1" t="s">
        <v>1</v>
      </c>
      <c r="B3">
        <f>$L$4*Feuil1!P3</f>
        <v>2102.0806117510856</v>
      </c>
      <c r="C3">
        <f>$L$7*Feuil1!B3</f>
        <v>495.15086281910277</v>
      </c>
      <c r="E3">
        <f>L8*[1]waste_gen!$B$10</f>
        <v>20632.321445793008</v>
      </c>
      <c r="G3">
        <f t="shared" ref="G3:G23" si="0">B3/E3</f>
        <v>0.10188289365662757</v>
      </c>
      <c r="I3">
        <f>B3/[1]waste_gen!$B$10</f>
        <v>44.656463096960927</v>
      </c>
      <c r="K3" t="s">
        <v>36</v>
      </c>
      <c r="L3">
        <f>L1*L2</f>
        <v>151560000</v>
      </c>
      <c r="M3" t="s">
        <v>40</v>
      </c>
      <c r="N3" t="s">
        <v>63</v>
      </c>
      <c r="O3" s="12">
        <v>0.55000000000000004</v>
      </c>
      <c r="P3" t="s">
        <v>68</v>
      </c>
      <c r="Q3">
        <f>Q1*L2</f>
        <v>150300000</v>
      </c>
      <c r="R3" t="s">
        <v>40</v>
      </c>
      <c r="T3" t="s">
        <v>74</v>
      </c>
      <c r="U3">
        <v>316</v>
      </c>
      <c r="V3" t="s">
        <v>72</v>
      </c>
    </row>
    <row r="4" spans="1:22" x14ac:dyDescent="0.35">
      <c r="A4" s="1" t="s">
        <v>2</v>
      </c>
      <c r="B4">
        <f>$L$4*Feuil1!P4</f>
        <v>5185.1443998842251</v>
      </c>
      <c r="C4">
        <f>$L$7*Feuil1!B4</f>
        <v>1554.0343877279306</v>
      </c>
      <c r="E4">
        <f>[1]waste_gen!$B$9*L8</f>
        <v>55457.795991293176</v>
      </c>
      <c r="G4">
        <f t="shared" si="0"/>
        <v>9.349712348284249E-2</v>
      </c>
      <c r="I4">
        <f>+B4/[1]waste_gen!$B$9</f>
        <v>40.980882016909135</v>
      </c>
      <c r="K4" t="s">
        <v>48</v>
      </c>
      <c r="L4">
        <f>L3/O1</f>
        <v>2.193342981186686</v>
      </c>
      <c r="M4" t="s">
        <v>49</v>
      </c>
      <c r="P4" t="s">
        <v>67</v>
      </c>
      <c r="Q4">
        <f>+Q3/O1</f>
        <v>2.1751085383502171</v>
      </c>
      <c r="R4" t="s">
        <v>65</v>
      </c>
      <c r="T4" t="s">
        <v>75</v>
      </c>
      <c r="U4">
        <f>U3/O1</f>
        <v>4.5730824891461646E-6</v>
      </c>
      <c r="V4" t="s">
        <v>73</v>
      </c>
    </row>
    <row r="5" spans="1:22" x14ac:dyDescent="0.35">
      <c r="A5" s="1" t="s">
        <v>3</v>
      </c>
      <c r="B5">
        <f>$L$4*Feuil1!P5</f>
        <v>981.70873424023159</v>
      </c>
      <c r="C5">
        <f>$L$7*Feuil1!B5</f>
        <v>224.71483165267728</v>
      </c>
      <c r="E5">
        <f>L8*[1]waste_gen!$B$11</f>
        <v>12739.090900031999</v>
      </c>
      <c r="G5">
        <f t="shared" si="0"/>
        <v>7.7062699524168221E-2</v>
      </c>
      <c r="I5">
        <f>+B5/[1]waste_gen!$B$11</f>
        <v>33.777481910274972</v>
      </c>
      <c r="K5" t="s">
        <v>41</v>
      </c>
      <c r="L5">
        <v>0.22176000000000001</v>
      </c>
      <c r="M5" t="s">
        <v>42</v>
      </c>
      <c r="T5" t="s">
        <v>77</v>
      </c>
      <c r="U5">
        <v>354</v>
      </c>
      <c r="V5" t="s">
        <v>72</v>
      </c>
    </row>
    <row r="6" spans="1:22" x14ac:dyDescent="0.35">
      <c r="A6" s="1" t="s">
        <v>4</v>
      </c>
      <c r="B6">
        <f>$L$4*Feuil1!P6</f>
        <v>6299.2415617945007</v>
      </c>
      <c r="C6">
        <f>$L$7*Feuil1!B6</f>
        <v>1659.5822632011577</v>
      </c>
      <c r="E6">
        <f>L8*[1]waste_gen!$B$12</f>
        <v>78584.219895473681</v>
      </c>
      <c r="G6">
        <f t="shared" si="0"/>
        <v>8.0159115534559455E-2</v>
      </c>
      <c r="I6">
        <f>+B6/[1]waste_gen!$B$12</f>
        <v>35.13467723853978</v>
      </c>
      <c r="K6" t="s">
        <v>43</v>
      </c>
      <c r="L6">
        <f>L3*L5</f>
        <v>33609945.600000001</v>
      </c>
      <c r="M6" t="s">
        <v>44</v>
      </c>
      <c r="T6" t="s">
        <v>78</v>
      </c>
      <c r="U6">
        <f>U5/O1</f>
        <v>5.1230101302460199E-6</v>
      </c>
      <c r="V6" t="s">
        <v>73</v>
      </c>
    </row>
    <row r="7" spans="1:22" x14ac:dyDescent="0.35">
      <c r="A7" s="1" t="s">
        <v>5</v>
      </c>
      <c r="B7">
        <f>$L$4*Feuil1!P7</f>
        <v>4386.8329163531116</v>
      </c>
      <c r="C7">
        <f>$L$7*Feuil1!B7</f>
        <v>1114.8190349522431</v>
      </c>
      <c r="E7">
        <f>L8*[1]waste_gen!$B$13</f>
        <v>41690.728173759802</v>
      </c>
      <c r="G7">
        <f t="shared" si="0"/>
        <v>0.10522322608685425</v>
      </c>
      <c r="I7">
        <f>B7/[1]waste_gen!$B$13</f>
        <v>46.120569842934721</v>
      </c>
      <c r="K7" t="s">
        <v>46</v>
      </c>
      <c r="L7">
        <f>L6/O1</f>
        <v>0.4863957395079595</v>
      </c>
      <c r="M7" t="s">
        <v>47</v>
      </c>
    </row>
    <row r="8" spans="1:22" x14ac:dyDescent="0.35">
      <c r="A8" s="1" t="s">
        <v>6</v>
      </c>
      <c r="B8">
        <f>$L$4*Feuil1!P8</f>
        <v>23341.298068654123</v>
      </c>
      <c r="C8">
        <f>$L$7*Feuil1!B8</f>
        <v>20170.831317395081</v>
      </c>
      <c r="E8">
        <f>L8*[1]waste_gen!$B$2</f>
        <v>331135.14526604651</v>
      </c>
      <c r="G8">
        <f t="shared" si="0"/>
        <v>7.0488736705675986E-2</v>
      </c>
      <c r="I8">
        <f>B8/[1]waste_gen!$B$2</f>
        <v>30.896037170452402</v>
      </c>
      <c r="K8" t="s">
        <v>52</v>
      </c>
      <c r="L8">
        <v>438.311688</v>
      </c>
      <c r="M8" t="s">
        <v>53</v>
      </c>
      <c r="N8">
        <f>L3*0.1</f>
        <v>15156000</v>
      </c>
    </row>
    <row r="9" spans="1:22" x14ac:dyDescent="0.35">
      <c r="A9" s="1" t="s">
        <v>7</v>
      </c>
      <c r="B9">
        <f>$L$4*Feuil1!P9</f>
        <v>1332.6295738350218</v>
      </c>
      <c r="C9">
        <f>$L$7*Feuil1!B9</f>
        <v>319.56200085672941</v>
      </c>
      <c r="E9">
        <f>L8*[1]waste_gen!$B$14</f>
        <v>16618.982731466171</v>
      </c>
      <c r="G9">
        <f t="shared" si="0"/>
        <v>8.0187192884666636E-2</v>
      </c>
      <c r="I9">
        <f>B9/[1]waste_gen!$B$14</f>
        <v>35.14698386925982</v>
      </c>
      <c r="M9">
        <v>438.31168830000001</v>
      </c>
      <c r="P9" t="s">
        <v>60</v>
      </c>
      <c r="Q9" s="11">
        <f>Q5*([2]Feuil1!$C$26 + 0.7318)</f>
        <v>0</v>
      </c>
    </row>
    <row r="10" spans="1:22" x14ac:dyDescent="0.35">
      <c r="A10" s="1" t="s">
        <v>8</v>
      </c>
      <c r="B10">
        <f>$L$4*Feuil1!P10</f>
        <v>4343.0533517800295</v>
      </c>
      <c r="C10">
        <f>$L$7*Feuil1!B10</f>
        <v>1141.0844048856729</v>
      </c>
      <c r="E10">
        <f>L8*[1]waste_gen!$B$4</f>
        <v>68810.79941630851</v>
      </c>
      <c r="G10">
        <f t="shared" si="0"/>
        <v>6.3115868273878883E-2</v>
      </c>
      <c r="I10">
        <f>B10/[1]waste_gen!$B$4</f>
        <v>27.664422762709496</v>
      </c>
      <c r="P10" t="s">
        <v>61</v>
      </c>
      <c r="Q10">
        <f>Q5*([2]Feuil1!$E$26+(0.7318*0.1685))</f>
        <v>0</v>
      </c>
    </row>
    <row r="11" spans="1:22" x14ac:dyDescent="0.35">
      <c r="A11" s="1" t="s">
        <v>9</v>
      </c>
      <c r="B11">
        <f>$L$4*Feuil1!P11</f>
        <v>1321.8949146164978</v>
      </c>
      <c r="C11">
        <f>$L$7*Feuil1!B11</f>
        <v>302.05175423444285</v>
      </c>
      <c r="E11">
        <f>[1]waste_gen!$B$15*L8</f>
        <v>17440.771444401737</v>
      </c>
      <c r="G11">
        <f t="shared" si="0"/>
        <v>7.5793374096465735E-2</v>
      </c>
      <c r="I11">
        <f>B11/[1]waste_gen!$B$15</f>
        <v>33.221121739437365</v>
      </c>
      <c r="K11" s="13" t="s">
        <v>64</v>
      </c>
      <c r="L11" s="13">
        <f>L4*Feuil1!B25</f>
        <v>186611.81418234445</v>
      </c>
      <c r="M11" s="13" t="s">
        <v>40</v>
      </c>
      <c r="N11">
        <f>L11/L2</f>
        <v>933.05907091172219</v>
      </c>
      <c r="P11" t="s">
        <v>62</v>
      </c>
      <c r="Q11" s="11">
        <f>Q5*[2]Feuil1!$F$26</f>
        <v>0</v>
      </c>
    </row>
    <row r="12" spans="1:22" x14ac:dyDescent="0.35">
      <c r="A12" s="1" t="s">
        <v>10</v>
      </c>
      <c r="B12">
        <f>$L$4*Feuil1!P12</f>
        <v>1680.0967755716354</v>
      </c>
      <c r="C12">
        <f>$L$7*Feuil1!B12</f>
        <v>390.08938308538353</v>
      </c>
      <c r="E12">
        <f>L8*[1]waste_gen!$B$16</f>
        <v>17582.706346598985</v>
      </c>
      <c r="G12">
        <f t="shared" si="0"/>
        <v>9.5553934784141786E-2</v>
      </c>
      <c r="I12">
        <f>B12/[1]waste_gen!$B$16</f>
        <v>41.882406450279106</v>
      </c>
      <c r="K12" s="13" t="s">
        <v>66</v>
      </c>
      <c r="L12" s="13">
        <f>Q4*Feuil1!B25</f>
        <v>185060.40955137482</v>
      </c>
      <c r="M12" s="13" t="s">
        <v>40</v>
      </c>
      <c r="N12">
        <f>L12/L2</f>
        <v>925.30204775687412</v>
      </c>
    </row>
    <row r="13" spans="1:22" x14ac:dyDescent="0.35">
      <c r="A13" s="1" t="s">
        <v>11</v>
      </c>
      <c r="B13">
        <f>$L$4*Feuil1!P13</f>
        <v>8562.5438493777147</v>
      </c>
      <c r="C13">
        <f>$L$7*Feuil1!B13</f>
        <v>2484.0230416671493</v>
      </c>
      <c r="E13">
        <f>L8*[1]waste_gen!$B$7</f>
        <v>30154.765992354838</v>
      </c>
      <c r="G13">
        <f t="shared" si="0"/>
        <v>0.28395325142130379</v>
      </c>
      <c r="I13">
        <f>B13/[1]waste_gen!$B$7</f>
        <v>124.46002894356006</v>
      </c>
      <c r="K13" t="s">
        <v>71</v>
      </c>
      <c r="L13">
        <f>U2*Feuil1!B25</f>
        <v>2.2544618089725037</v>
      </c>
      <c r="M13" t="s">
        <v>72</v>
      </c>
    </row>
    <row r="14" spans="1:22" x14ac:dyDescent="0.35">
      <c r="A14" s="1" t="s">
        <v>12</v>
      </c>
      <c r="B14">
        <f>$L$4*Feuil1!P14</f>
        <v>9571.9838962662798</v>
      </c>
      <c r="C14">
        <f>$L$7*Feuil1!B14</f>
        <v>4320.6533540492046</v>
      </c>
      <c r="E14">
        <f>L8*[1]waste_gen!$B$17</f>
        <v>115851.34369845602</v>
      </c>
      <c r="G14">
        <f t="shared" si="0"/>
        <v>8.2622985549315187E-2</v>
      </c>
      <c r="I14">
        <f>B14/[1]waste_gen!$B$17</f>
        <v>36.214620263719951</v>
      </c>
      <c r="K14" t="s">
        <v>76</v>
      </c>
      <c r="L14">
        <f>U4*Feuil1!B25</f>
        <v>0.38908243125904485</v>
      </c>
      <c r="M14" t="s">
        <v>72</v>
      </c>
    </row>
    <row r="15" spans="1:22" x14ac:dyDescent="0.35">
      <c r="A15" s="2" t="s">
        <v>13</v>
      </c>
      <c r="B15">
        <f>$L$4*Feuil1!P15</f>
        <v>4550.5896580028939</v>
      </c>
      <c r="C15">
        <f>$L$7*Feuil1!B15</f>
        <v>1160.5402344659913</v>
      </c>
      <c r="E15">
        <f>L8*[1]waste_gen!$B$6</f>
        <v>49928.099406859568</v>
      </c>
      <c r="G15">
        <f t="shared" si="0"/>
        <v>9.1142857670598473E-2</v>
      </c>
      <c r="I15">
        <f>B15/[1]waste_gen!$B$6</f>
        <v>39.948979794743764</v>
      </c>
      <c r="K15" t="s">
        <v>79</v>
      </c>
      <c r="L15">
        <f>U6*Feuil1!B25</f>
        <v>0.43587082489146162</v>
      </c>
      <c r="M15" t="s">
        <v>72</v>
      </c>
    </row>
    <row r="16" spans="1:22" x14ac:dyDescent="0.35">
      <c r="A16" s="1" t="s">
        <v>14</v>
      </c>
      <c r="B16">
        <f>$L$4*Feuil1!P16</f>
        <v>1410.071689146165</v>
      </c>
      <c r="C16">
        <f>$L$7*Feuil1!B16</f>
        <v>323.45316677279305</v>
      </c>
      <c r="E16">
        <f>L8*[1]waste_gen!$B$18</f>
        <v>13559.573469510062</v>
      </c>
      <c r="G16">
        <f t="shared" si="0"/>
        <v>0.10399085873289746</v>
      </c>
      <c r="I16">
        <f>B16/[1]waste_gen!$B$18</f>
        <v>45.580408827785824</v>
      </c>
    </row>
    <row r="17" spans="1:9" x14ac:dyDescent="0.35">
      <c r="A17" s="1" t="s">
        <v>15</v>
      </c>
      <c r="B17">
        <f>$L$4*Feuil1!P17</f>
        <v>2226.5953767872652</v>
      </c>
      <c r="C17">
        <f>$L$7*Feuil1!B17</f>
        <v>530.65775180318383</v>
      </c>
      <c r="E17">
        <f>[1]waste_gen!$B$20*L8</f>
        <v>21615.681097512301</v>
      </c>
      <c r="G17">
        <f t="shared" si="0"/>
        <v>0.10300833763889675</v>
      </c>
      <c r="I17">
        <f>B17/[1]waste_gen!$B$20</f>
        <v>45.149758348578764</v>
      </c>
    </row>
    <row r="18" spans="1:9" x14ac:dyDescent="0.35">
      <c r="A18" s="1" t="s">
        <v>16</v>
      </c>
      <c r="B18">
        <f>$L$4*Feuil1!P18</f>
        <v>701.67586246020255</v>
      </c>
      <c r="C18">
        <f>$L$7*Feuil1!B18</f>
        <v>163.42896847467441</v>
      </c>
      <c r="E18">
        <f>[1]waste_gen!$B$19*L8</f>
        <v>8346.4877027845705</v>
      </c>
      <c r="G18">
        <f t="shared" si="0"/>
        <v>8.4068399480910772E-2</v>
      </c>
      <c r="I18">
        <f>B18/[1]waste_gen!$B$19</f>
        <v>36.84816208393633</v>
      </c>
    </row>
    <row r="19" spans="1:9" x14ac:dyDescent="0.35">
      <c r="A19" s="1" t="s">
        <v>17</v>
      </c>
      <c r="B19">
        <f>$L$4*Feuil1!P19</f>
        <v>3779.8563917800288</v>
      </c>
      <c r="C19">
        <f>$L$7*Feuil1!B19</f>
        <v>859.94766745007234</v>
      </c>
      <c r="E19">
        <f>[1]waste_gen!$B$8*L8</f>
        <v>63658.413394233467</v>
      </c>
      <c r="G19">
        <f t="shared" si="0"/>
        <v>5.9377169336149831E-2</v>
      </c>
      <c r="I19">
        <f>B19/[1]waste_gen!$B$8</f>
        <v>26.025707320389671</v>
      </c>
    </row>
    <row r="20" spans="1:9" x14ac:dyDescent="0.35">
      <c r="A20" s="1" t="s">
        <v>18</v>
      </c>
      <c r="B20">
        <f>$L$4*Feuil1!P20</f>
        <v>1403.7395079594789</v>
      </c>
      <c r="C20">
        <f>$L$7*Feuil1!B20</f>
        <v>311.29327328509407</v>
      </c>
      <c r="E20">
        <f>[1]waste_gen!$B$21*L8</f>
        <v>13587.662328</v>
      </c>
      <c r="G20">
        <f t="shared" si="0"/>
        <v>0.10330986111325439</v>
      </c>
      <c r="I20">
        <f>B20/[1]waste_gen!$B$21</f>
        <v>45.281919611596095</v>
      </c>
    </row>
    <row r="21" spans="1:9" x14ac:dyDescent="0.35">
      <c r="A21" s="1" t="s">
        <v>19</v>
      </c>
      <c r="B21">
        <f>$L$4*Feuil1!P21</f>
        <v>4597.6004554558613</v>
      </c>
      <c r="C21">
        <f>$L$7*Feuil1!B21</f>
        <v>1409.5748530940666</v>
      </c>
      <c r="E21">
        <f>[1]waste_gen!$B$3*L8</f>
        <v>58968.800353323553</v>
      </c>
      <c r="G21">
        <f t="shared" si="0"/>
        <v>7.7966660808909183E-2</v>
      </c>
      <c r="I21">
        <f>B21/[1]waste_gen!$B$3</f>
        <v>34.173698706876429</v>
      </c>
    </row>
    <row r="22" spans="1:9" x14ac:dyDescent="0.35">
      <c r="A22" s="1" t="s">
        <v>20</v>
      </c>
      <c r="B22">
        <f>$L$4*Feuil1!P22</f>
        <v>5493.4665707670038</v>
      </c>
      <c r="C22">
        <f>$L$7*Feuil1!B22</f>
        <v>1868.7324311895804</v>
      </c>
      <c r="E22">
        <f>[1]waste_gen!$B$22*L8</f>
        <v>54289.923406636764</v>
      </c>
      <c r="G22">
        <f t="shared" si="0"/>
        <v>0.10118759110452982</v>
      </c>
      <c r="I22">
        <f>B22/[1]waste_gen!$B$22</f>
        <v>44.351703861680257</v>
      </c>
    </row>
    <row r="23" spans="1:9" x14ac:dyDescent="0.35">
      <c r="A23" s="1" t="s">
        <v>21</v>
      </c>
      <c r="B23">
        <f>$L$4*Feuil1!P23</f>
        <v>1340.934447698987</v>
      </c>
      <c r="C23">
        <f>$L$7*Feuil1!B23</f>
        <v>306.91571162952243</v>
      </c>
      <c r="E23">
        <f>[1]waste_gen!$B$23*L8</f>
        <v>22082.998070204289</v>
      </c>
      <c r="G23">
        <f t="shared" si="0"/>
        <v>6.072248176791975E-2</v>
      </c>
      <c r="I23">
        <f>B23/[1]waste_gen!$B$23</f>
        <v>26.615373483246135</v>
      </c>
    </row>
    <row r="25" spans="1:9" x14ac:dyDescent="0.35">
      <c r="A25" s="10" t="s">
        <v>56</v>
      </c>
      <c r="B25">
        <f>SUM(B2:B23)</f>
        <v>95732.663000405228</v>
      </c>
      <c r="E25">
        <f>E2/[1]waste_gen!$B$5</f>
        <v>438.311688</v>
      </c>
    </row>
    <row r="26" spans="1:9" x14ac:dyDescent="0.35">
      <c r="A26" s="10" t="s">
        <v>57</v>
      </c>
      <c r="B26">
        <f>B25/SUM(Feuil1!S2:S23)</f>
        <v>37.069480446874223</v>
      </c>
      <c r="E26" t="s">
        <v>58</v>
      </c>
    </row>
    <row r="27" spans="1:9" x14ac:dyDescent="0.35">
      <c r="B27">
        <f>B26/L8</f>
        <v>8.4573333227824454E-2</v>
      </c>
    </row>
  </sheetData>
  <conditionalFormatting sqref="I2:I23">
    <cfRule type="expression" dxfId="1" priority="1">
      <formula>I2=MAX($I$2:$I$23)</formula>
    </cfRule>
    <cfRule type="expression" dxfId="0" priority="2">
      <formula>I2=MIN($I$2:$I$23)</formula>
    </cfRule>
  </conditionalFormatting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Market peat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2025-10-02T08:53:58Z</dcterms:created>
  <dcterms:modified xsi:type="dcterms:W3CDTF">2026-04-22T14:23:52Z</dcterms:modified>
</cp:coreProperties>
</file>