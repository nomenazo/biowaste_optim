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B4C0DBB2-A490-4986-AC5C-8078C9F6A0F6}" xr6:coauthVersionLast="36" xr6:coauthVersionMax="36" xr10:uidLastSave="{00000000-0000-0000-0000-000000000000}"/>
  <bookViews>
    <workbookView xWindow="0" yWindow="0" windowWidth="15200" windowHeight="6930" activeTab="5" xr2:uid="{B141029A-C238-484B-8693-F95FDEE8D83E}"/>
  </bookViews>
  <sheets>
    <sheet name="mun" sheetId="3" r:id="rId1"/>
    <sheet name="waste_gen" sheetId="1" r:id="rId2"/>
    <sheet name="dist" sheetId="6" r:id="rId3"/>
    <sheet name="tech_pot" sheetId="9" r:id="rId4"/>
    <sheet name="market" sheetId="8" r:id="rId5"/>
    <sheet name="dist_market" sheetId="4" r:id="rId6"/>
    <sheet name="dist_col" sheetId="13" r:id="rId7"/>
    <sheet name="Feuil4" sheetId="12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" i="13" l="1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A5" i="13"/>
  <c r="A4" i="13"/>
  <c r="A3" i="13"/>
  <c r="A2" i="13"/>
  <c r="C17" i="1"/>
  <c r="B17" i="1"/>
  <c r="C18" i="1"/>
  <c r="C19" i="1"/>
  <c r="C20" i="1"/>
  <c r="C21" i="1"/>
  <c r="C22" i="1"/>
  <c r="C23" i="1"/>
  <c r="B18" i="1"/>
  <c r="B19" i="1"/>
  <c r="B20" i="1"/>
  <c r="B21" i="1"/>
  <c r="B22" i="1"/>
  <c r="B2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C3" i="1"/>
  <c r="B3" i="1"/>
  <c r="C2" i="1"/>
  <c r="B2" i="1"/>
  <c r="I5" i="1" l="1"/>
  <c r="J5" i="1" s="1"/>
  <c r="I9" i="1"/>
  <c r="J9" i="1" s="1"/>
  <c r="I3" i="1" l="1"/>
  <c r="I2" i="1" l="1"/>
  <c r="J18" i="1" l="1"/>
  <c r="J2" i="1"/>
  <c r="I23" i="1"/>
  <c r="J23" i="1" s="1"/>
  <c r="I22" i="1"/>
  <c r="J22" i="1" s="1"/>
  <c r="J3" i="1"/>
  <c r="I21" i="1"/>
  <c r="J21" i="1" s="1"/>
  <c r="I8" i="1"/>
  <c r="J8" i="1" s="1"/>
  <c r="I19" i="1"/>
  <c r="J19" i="1" s="1"/>
  <c r="I20" i="1"/>
  <c r="J20" i="1" s="1"/>
  <c r="I6" i="1"/>
  <c r="J6" i="1" s="1"/>
  <c r="I17" i="1"/>
  <c r="J17" i="1" s="1"/>
  <c r="I7" i="1"/>
  <c r="J7" i="1" s="1"/>
  <c r="I16" i="1"/>
  <c r="J16" i="1" s="1"/>
  <c r="I15" i="1"/>
  <c r="J15" i="1" s="1"/>
  <c r="I4" i="1"/>
  <c r="J4" i="1" s="1"/>
  <c r="I14" i="1"/>
  <c r="J14" i="1" s="1"/>
  <c r="I13" i="1"/>
  <c r="J13" i="1" s="1"/>
  <c r="I12" i="1"/>
  <c r="J12" i="1" s="1"/>
  <c r="I11" i="1"/>
  <c r="J11" i="1" s="1"/>
  <c r="I10" i="1"/>
  <c r="J10" i="1" s="1"/>
  <c r="A14" i="4" l="1"/>
  <c r="A15" i="4"/>
  <c r="A21" i="4"/>
  <c r="A22" i="4"/>
  <c r="B1" i="6"/>
  <c r="A2" i="9"/>
  <c r="A2" i="4" s="1"/>
  <c r="A3" i="9"/>
  <c r="A3" i="4" s="1"/>
  <c r="A4" i="9"/>
  <c r="A4" i="4" s="1"/>
  <c r="A5" i="9"/>
  <c r="A5" i="4" s="1"/>
  <c r="A6" i="9"/>
  <c r="A6" i="4" s="1"/>
  <c r="A7" i="9"/>
  <c r="A7" i="4" s="1"/>
  <c r="A8" i="9"/>
  <c r="A8" i="4" s="1"/>
  <c r="A9" i="9"/>
  <c r="A9" i="4" s="1"/>
  <c r="A10" i="9"/>
  <c r="A10" i="4" s="1"/>
  <c r="A11" i="9"/>
  <c r="A11" i="8" s="1"/>
  <c r="A12" i="9"/>
  <c r="A12" i="8" s="1"/>
  <c r="A13" i="9"/>
  <c r="A13" i="8" s="1"/>
  <c r="A14" i="9"/>
  <c r="A14" i="8" s="1"/>
  <c r="A15" i="9"/>
  <c r="A15" i="8" s="1"/>
  <c r="A16" i="9"/>
  <c r="A16" i="4" s="1"/>
  <c r="A17" i="9"/>
  <c r="A17" i="4" s="1"/>
  <c r="A18" i="9"/>
  <c r="A18" i="4" s="1"/>
  <c r="A19" i="9"/>
  <c r="A19" i="8" s="1"/>
  <c r="A20" i="9"/>
  <c r="A20" i="8" s="1"/>
  <c r="A21" i="9"/>
  <c r="A21" i="8" s="1"/>
  <c r="A22" i="9"/>
  <c r="A22" i="8" s="1"/>
  <c r="A23" i="9"/>
  <c r="A23" i="4" s="1"/>
  <c r="D1" i="6"/>
  <c r="C1" i="6"/>
  <c r="A2" i="8" l="1"/>
  <c r="A18" i="8"/>
  <c r="A17" i="8"/>
  <c r="A10" i="8"/>
  <c r="A9" i="8"/>
  <c r="A13" i="4"/>
  <c r="A16" i="8"/>
  <c r="A23" i="8"/>
  <c r="A7" i="8"/>
  <c r="A20" i="4"/>
  <c r="A12" i="4"/>
  <c r="A6" i="8"/>
  <c r="A19" i="4"/>
  <c r="A11" i="4"/>
  <c r="A8" i="8"/>
  <c r="A5" i="8"/>
  <c r="A4" i="8"/>
  <c r="A3" i="8"/>
  <c r="A4" i="1"/>
  <c r="A4" i="6" s="1"/>
  <c r="A5" i="1"/>
  <c r="A5" i="6" s="1"/>
  <c r="A6" i="1"/>
  <c r="A6" i="6" s="1"/>
  <c r="A7" i="1"/>
  <c r="A7" i="6" s="1"/>
  <c r="A8" i="1"/>
  <c r="A8" i="6" s="1"/>
  <c r="A9" i="1"/>
  <c r="A9" i="6" s="1"/>
  <c r="A10" i="1"/>
  <c r="A10" i="6" s="1"/>
  <c r="A11" i="1"/>
  <c r="A11" i="6" s="1"/>
  <c r="A12" i="1"/>
  <c r="A12" i="6" s="1"/>
  <c r="A13" i="1"/>
  <c r="A13" i="6" s="1"/>
  <c r="A14" i="1"/>
  <c r="A14" i="6" s="1"/>
  <c r="A15" i="1"/>
  <c r="A15" i="6" s="1"/>
  <c r="A16" i="1"/>
  <c r="A16" i="6" s="1"/>
  <c r="A17" i="1"/>
  <c r="A17" i="6" s="1"/>
  <c r="A18" i="1"/>
  <c r="A18" i="6" s="1"/>
  <c r="A19" i="1"/>
  <c r="A19" i="6" s="1"/>
  <c r="A20" i="1"/>
  <c r="A20" i="6" s="1"/>
  <c r="A21" i="1"/>
  <c r="A21" i="6" s="1"/>
  <c r="A22" i="1"/>
  <c r="A22" i="6" s="1"/>
  <c r="A23" i="1"/>
  <c r="A23" i="6" s="1"/>
  <c r="A3" i="1"/>
  <c r="A3" i="6" s="1"/>
  <c r="A2" i="1"/>
  <c r="A2" i="6" s="1"/>
</calcChain>
</file>

<file path=xl/sharedStrings.xml><?xml version="1.0" encoding="utf-8"?>
<sst xmlns="http://schemas.openxmlformats.org/spreadsheetml/2006/main" count="159" uniqueCount="83">
  <si>
    <t>A</t>
  </si>
  <si>
    <t>B</t>
  </si>
  <si>
    <t>C</t>
  </si>
  <si>
    <t>Home</t>
  </si>
  <si>
    <t>Total</t>
  </si>
  <si>
    <t>municipalities</t>
  </si>
  <si>
    <t>E</t>
  </si>
  <si>
    <t>F</t>
  </si>
  <si>
    <t>Building</t>
  </si>
  <si>
    <t>X</t>
  </si>
  <si>
    <t>Y</t>
  </si>
  <si>
    <t>Z</t>
  </si>
  <si>
    <t>Comp</t>
  </si>
  <si>
    <t>Dig</t>
  </si>
  <si>
    <t>Heat</t>
  </si>
  <si>
    <t>Elect</t>
  </si>
  <si>
    <t>market</t>
  </si>
  <si>
    <t>tech_place</t>
  </si>
  <si>
    <t>G</t>
  </si>
  <si>
    <t>HC</t>
  </si>
  <si>
    <t>CC</t>
  </si>
  <si>
    <t>IC</t>
  </si>
  <si>
    <t>AD-a</t>
  </si>
  <si>
    <t>AD-b</t>
  </si>
  <si>
    <t>The market can not valorize the coproduct</t>
  </si>
  <si>
    <t>The market can valorize the coproduct</t>
  </si>
  <si>
    <t>lb_mark</t>
  </si>
  <si>
    <t xml:space="preserve"> </t>
  </si>
  <si>
    <t>ub_mark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</si>
  <si>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</si>
  <si>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</si>
  <si>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</si>
  <si>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</si>
  <si>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</si>
  <si>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</si>
  <si>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</si>
  <si>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</si>
  <si>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</si>
  <si>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</si>
  <si>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</si>
  <si>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</si>
  <si>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</si>
  <si>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</si>
  <si>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</si>
  <si>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</si>
  <si>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</si>
  <si>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</si>
  <si>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</si>
  <si>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</si>
  <si>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</si>
  <si>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</si>
  <si>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sites</t>
  </si>
  <si>
    <t>Other markets</t>
  </si>
  <si>
    <t>Coudun</t>
  </si>
  <si>
    <t>Trosly breuil</t>
  </si>
  <si>
    <t>AD-c</t>
  </si>
  <si>
    <t>AD-d</t>
  </si>
  <si>
    <t>AD-e</t>
  </si>
  <si>
    <t>AD-f</t>
  </si>
  <si>
    <t>Centralized anaerobic digestion + CHP</t>
  </si>
  <si>
    <t>Centralized anaerobic digestion + CHP + composting</t>
  </si>
  <si>
    <t>Centralized anaerobic digestion + upgrading</t>
  </si>
  <si>
    <t>Centralized anaerobic digestion + upgrading +composting</t>
  </si>
  <si>
    <t>Centralized anaerobic digestion + combustion</t>
  </si>
  <si>
    <t>Centralized anaerobic digestion + combustion +composting</t>
  </si>
  <si>
    <t>FERTI-NRJ</t>
  </si>
  <si>
    <t>Biomet</t>
  </si>
  <si>
    <t>Monchy-Humières</t>
  </si>
  <si>
    <t>Antheuil-Portes</t>
  </si>
  <si>
    <t>Sercges</t>
  </si>
  <si>
    <t>Ressons-sur-Matz</t>
  </si>
  <si>
    <t>Serches</t>
  </si>
  <si>
    <t>Ferty-NRJ(Passel)</t>
  </si>
  <si>
    <t>urbain</t>
  </si>
  <si>
    <t>rural</t>
  </si>
  <si>
    <t>Taux de tri urbain</t>
  </si>
  <si>
    <t>Taux de tri rural</t>
  </si>
  <si>
    <t>Produced home</t>
  </si>
  <si>
    <t>Produced Building</t>
  </si>
  <si>
    <t>les maisons produisent autant de biodéchets que les appartements</t>
  </si>
  <si>
    <t>les citoyens produisent les mêmes qtés de biodéchets</t>
  </si>
  <si>
    <t>P_trans</t>
  </si>
  <si>
    <t>dist_col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</si>
</sst>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\ _€_-;\-* #,##0.00\ _€_-;_-* &quot;-&quot;??\ _€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8">
    <xf numFmtId="0" fontId="0" fillId="0" borderId="0" xfId="0"/>
    <xf numFmtId="43" fontId="2" fillId="0" borderId="0" xfId="1" applyFont="1" applyAlignment="1">
      <alignment horizontal="left" vertical="center"/>
    </xf>
    <xf numFmtId="11" fontId="0" fillId="0" borderId="0" xfId="0" applyNumberFormat="1"/>
    <xf numFmtId="0" fontId="3" fillId="0" borderId="0" xfId="0" applyFont="1"/>
    <xf numFmtId="0" fontId="4" fillId="0" borderId="0" xfId="0" applyFont="1"/>
    <xf numFmtId="9" fontId="0" fillId="0" borderId="0" xfId="0" applyNumberFormat="1"/>
    <xf numFmtId="0" fontId="0" fillId="2" borderId="0" xfId="0" applyFill="1"/>
    <xf numFmtId="0" fontId="0" fillId="3" borderId="0" xfId="0" applyFill="1"/>
  </cellXfs>
  <cellStyles count="3">
    <cellStyle name="Milliers" xfId="1" builtinId="3"/>
    <cellStyle name="Normal" xfId="0" builtinId="0"/>
    <cellStyle name="Normal 3" xfId="2" xr:uid="{00374EC6-2AEB-4CFB-BC79-47B29FA22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530225</xdr:colOff>
      <xdr:row>3</xdr:row>
      <xdr:rowOff>154310</xdr:rowOff>
    </xdr:from>
    <xdr:to>
      <xdr:col>18</xdr:col>
      <xdr:colOff>627514</xdr:colOff>
      <xdr:row>12</xdr:row>
      <xdr:rowOff>37824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ADEE861-E55A-4F94-BEBA-BA31DEAD2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78900" y="697235"/>
          <a:ext cx="6193289" cy="151228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RC_2023_de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rateur de territoires"/>
      <sheetName val="Communes"/>
      <sheetName val="Feuil1"/>
    </sheetNames>
    <sheetDataSet>
      <sheetData sheetId="0"/>
      <sheetData sheetId="1">
        <row r="29">
          <cell r="B29">
            <v>0.89300000000000002</v>
          </cell>
          <cell r="C29">
            <v>0.93200000000000005</v>
          </cell>
          <cell r="D29">
            <v>0.69099999999999995</v>
          </cell>
          <cell r="E29">
            <v>0.95599999999999996</v>
          </cell>
          <cell r="F29">
            <v>0.81</v>
          </cell>
          <cell r="G29">
            <v>0.83699999999999997</v>
          </cell>
          <cell r="H29">
            <v>0.20899999999999999</v>
          </cell>
          <cell r="I29">
            <v>0.90400000000000003</v>
          </cell>
          <cell r="J29">
            <v>0.79300000000000004</v>
          </cell>
          <cell r="K29">
            <v>0.96299999999999997</v>
          </cell>
          <cell r="L29">
            <v>0.94099999999999995</v>
          </cell>
          <cell r="M29">
            <v>0.72299999999999998</v>
          </cell>
          <cell r="N29">
            <v>0.44800000000000001</v>
          </cell>
          <cell r="O29">
            <v>0.82299999999999995</v>
          </cell>
          <cell r="Q29">
            <v>0.90900000000000003</v>
          </cell>
          <cell r="R29">
            <v>0.95899999999999996</v>
          </cell>
          <cell r="S29">
            <v>0.96699999999999997</v>
          </cell>
          <cell r="T29">
            <v>1</v>
          </cell>
          <cell r="U29">
            <v>0.67100000000000004</v>
          </cell>
          <cell r="V29">
            <v>0.60499999999999998</v>
          </cell>
          <cell r="W29">
            <v>0.96399999999999997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25225-AEB8-4ED8-9D1F-2C96755D2114}">
  <dimension ref="A1:C23"/>
  <sheetViews>
    <sheetView workbookViewId="0">
      <selection activeCell="C2" sqref="C2:C5"/>
    </sheetView>
  </sheetViews>
  <sheetFormatPr baseColWidth="10" defaultRowHeight="14.5" x14ac:dyDescent="0.35"/>
  <cols>
    <col min="1" max="1" width="30.453125" customWidth="1"/>
  </cols>
  <sheetData>
    <row r="1" spans="1:3" x14ac:dyDescent="0.35">
      <c r="A1" s="3" t="s">
        <v>5</v>
      </c>
      <c r="B1" s="3" t="s">
        <v>51</v>
      </c>
      <c r="C1" s="3" t="s">
        <v>52</v>
      </c>
    </row>
    <row r="2" spans="1:3" x14ac:dyDescent="0.35">
      <c r="A2" t="s">
        <v>29</v>
      </c>
      <c r="B2" t="s">
        <v>53</v>
      </c>
      <c r="C2" t="s">
        <v>67</v>
      </c>
    </row>
    <row r="3" spans="1:3" x14ac:dyDescent="0.35">
      <c r="A3" t="s">
        <v>30</v>
      </c>
      <c r="B3" t="s">
        <v>54</v>
      </c>
      <c r="C3" t="s">
        <v>68</v>
      </c>
    </row>
    <row r="4" spans="1:3" x14ac:dyDescent="0.35">
      <c r="A4" t="s">
        <v>31</v>
      </c>
      <c r="C4" t="s">
        <v>69</v>
      </c>
    </row>
    <row r="5" spans="1:3" x14ac:dyDescent="0.35">
      <c r="A5" t="s">
        <v>32</v>
      </c>
      <c r="C5" t="s">
        <v>70</v>
      </c>
    </row>
    <row r="6" spans="1:3" x14ac:dyDescent="0.35">
      <c r="A6" t="s">
        <v>33</v>
      </c>
    </row>
    <row r="7" spans="1:3" x14ac:dyDescent="0.35">
      <c r="A7" t="s">
        <v>34</v>
      </c>
    </row>
    <row r="8" spans="1:3" x14ac:dyDescent="0.35">
      <c r="A8" t="s">
        <v>35</v>
      </c>
    </row>
    <row r="9" spans="1:3" x14ac:dyDescent="0.35">
      <c r="A9" t="s">
        <v>36</v>
      </c>
    </row>
    <row r="10" spans="1:3" x14ac:dyDescent="0.35">
      <c r="A10" t="s">
        <v>37</v>
      </c>
    </row>
    <row r="11" spans="1:3" x14ac:dyDescent="0.35">
      <c r="A11" t="s">
        <v>38</v>
      </c>
    </row>
    <row r="12" spans="1:3" x14ac:dyDescent="0.35">
      <c r="A12" t="s">
        <v>39</v>
      </c>
    </row>
    <row r="13" spans="1:3" x14ac:dyDescent="0.35">
      <c r="A13" t="s">
        <v>40</v>
      </c>
    </row>
    <row r="14" spans="1:3" x14ac:dyDescent="0.35">
      <c r="A14" t="s">
        <v>41</v>
      </c>
    </row>
    <row r="15" spans="1:3" x14ac:dyDescent="0.35">
      <c r="A15" t="s">
        <v>42</v>
      </c>
    </row>
    <row r="16" spans="1:3" x14ac:dyDescent="0.35">
      <c r="A16" t="s">
        <v>43</v>
      </c>
    </row>
    <row r="17" spans="1:1" x14ac:dyDescent="0.35">
      <c r="A17" t="s">
        <v>44</v>
      </c>
    </row>
    <row r="18" spans="1:1" x14ac:dyDescent="0.35">
      <c r="A18" t="s">
        <v>45</v>
      </c>
    </row>
    <row r="19" spans="1:1" x14ac:dyDescent="0.35">
      <c r="A19" t="s">
        <v>46</v>
      </c>
    </row>
    <row r="20" spans="1:1" x14ac:dyDescent="0.35">
      <c r="A20" t="s">
        <v>47</v>
      </c>
    </row>
    <row r="21" spans="1:1" x14ac:dyDescent="0.35">
      <c r="A21" t="s">
        <v>48</v>
      </c>
    </row>
    <row r="22" spans="1:1" x14ac:dyDescent="0.35">
      <c r="A22" t="s">
        <v>49</v>
      </c>
    </row>
    <row r="23" spans="1:1" x14ac:dyDescent="0.35">
      <c r="A23" t="s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C762-7C0F-4506-9633-75512DFB1A94}">
  <dimension ref="A1:P27"/>
  <sheetViews>
    <sheetView workbookViewId="0">
      <selection activeCell="A2" sqref="A2:A23"/>
    </sheetView>
  </sheetViews>
  <sheetFormatPr baseColWidth="10" defaultRowHeight="14.5" x14ac:dyDescent="0.35"/>
  <cols>
    <col min="1" max="4" width="21.81640625" customWidth="1"/>
    <col min="5" max="5" width="14.26953125" bestFit="1" customWidth="1"/>
    <col min="6" max="6" width="16.453125" bestFit="1" customWidth="1"/>
    <col min="9" max="9" width="14.26953125" bestFit="1" customWidth="1"/>
  </cols>
  <sheetData>
    <row r="1" spans="1:16" x14ac:dyDescent="0.35">
      <c r="B1" t="s">
        <v>3</v>
      </c>
      <c r="C1" t="s">
        <v>8</v>
      </c>
      <c r="E1" s="6" t="s">
        <v>77</v>
      </c>
      <c r="F1" s="6" t="s">
        <v>78</v>
      </c>
      <c r="G1" s="6" t="s">
        <v>4</v>
      </c>
      <c r="I1" s="7" t="s">
        <v>77</v>
      </c>
      <c r="J1" s="7" t="s">
        <v>78</v>
      </c>
      <c r="K1" s="7" t="s">
        <v>4</v>
      </c>
    </row>
    <row r="2" spans="1:16" x14ac:dyDescent="0.35">
      <c r="A2" t="str">
        <f>mun!A2</f>
        <v>Compiègne</v>
      </c>
      <c r="B2">
        <f>E2*$B$26</f>
        <v>317.30105497834575</v>
      </c>
      <c r="C2">
        <f>F2*$B$26</f>
        <v>919.17894502165416</v>
      </c>
      <c r="E2" s="6">
        <v>755.47870232939465</v>
      </c>
      <c r="F2" s="6">
        <v>2188.5212976706052</v>
      </c>
      <c r="G2" s="6">
        <v>2944</v>
      </c>
      <c r="I2" s="7">
        <f>G2*[1]Communes!$H$29</f>
        <v>615.29599999999994</v>
      </c>
      <c r="J2" s="7">
        <f t="shared" ref="J2:J23" si="0">G2-I2</f>
        <v>2328.7040000000002</v>
      </c>
      <c r="K2" s="7">
        <v>2944</v>
      </c>
      <c r="M2" t="s">
        <v>73</v>
      </c>
      <c r="O2" s="7"/>
      <c r="P2" t="s">
        <v>79</v>
      </c>
    </row>
    <row r="3" spans="1:16" x14ac:dyDescent="0.35">
      <c r="A3" t="str">
        <f>mun!A3</f>
        <v>Venette</v>
      </c>
      <c r="B3">
        <f>E3*$B$27</f>
        <v>103.59289408695653</v>
      </c>
      <c r="C3">
        <f>F3*$B$27</f>
        <v>39.627105913043479</v>
      </c>
      <c r="E3" s="6">
        <v>134.53622608695653</v>
      </c>
      <c r="F3" s="6">
        <v>51.463773913043475</v>
      </c>
      <c r="G3" s="6">
        <v>186</v>
      </c>
      <c r="I3" s="7">
        <f>G3*[1]Communes!$U$29</f>
        <v>124.80600000000001</v>
      </c>
      <c r="J3" s="7">
        <f t="shared" si="0"/>
        <v>61.193999999999988</v>
      </c>
      <c r="K3" s="7">
        <v>186</v>
      </c>
      <c r="M3" t="s">
        <v>74</v>
      </c>
    </row>
    <row r="4" spans="1:16" x14ac:dyDescent="0.35">
      <c r="A4" t="str">
        <f>mun!A4</f>
        <v>Jaux</v>
      </c>
      <c r="B4">
        <f t="shared" ref="B4:B23" si="1">E4*$B$27</f>
        <v>120.88273482352942</v>
      </c>
      <c r="C4">
        <f t="shared" ref="C4:C23" si="2">F4*$B$27</f>
        <v>22.337265176470591</v>
      </c>
      <c r="E4" s="6">
        <v>156.99056470588235</v>
      </c>
      <c r="F4" s="6">
        <v>29.009435294117651</v>
      </c>
      <c r="G4" s="6">
        <v>186</v>
      </c>
      <c r="I4" s="7">
        <f>G4*[1]Communes!$J$29</f>
        <v>147.49800000000002</v>
      </c>
      <c r="J4" s="7">
        <f t="shared" si="0"/>
        <v>38.501999999999981</v>
      </c>
      <c r="K4" s="7">
        <v>186</v>
      </c>
      <c r="M4" t="s">
        <v>74</v>
      </c>
      <c r="O4" s="6"/>
      <c r="P4" t="s">
        <v>80</v>
      </c>
    </row>
    <row r="5" spans="1:16" x14ac:dyDescent="0.35">
      <c r="A5" t="str">
        <f>mun!A5</f>
        <v>Armancourt</v>
      </c>
      <c r="B5">
        <f t="shared" si="1"/>
        <v>33.750946347048298</v>
      </c>
      <c r="C5">
        <f t="shared" si="2"/>
        <v>3.2090536529516989</v>
      </c>
      <c r="E5" s="6">
        <v>43.83239785330948</v>
      </c>
      <c r="F5" s="6">
        <v>4.167602146690518</v>
      </c>
      <c r="G5" s="6">
        <v>48</v>
      </c>
      <c r="I5" s="7">
        <f>G5*[1]Communes!$B$29</f>
        <v>42.864000000000004</v>
      </c>
      <c r="J5" s="7">
        <f t="shared" si="0"/>
        <v>5.1359999999999957</v>
      </c>
      <c r="K5" s="7">
        <v>48</v>
      </c>
      <c r="M5" t="s">
        <v>74</v>
      </c>
    </row>
    <row r="6" spans="1:16" x14ac:dyDescent="0.35">
      <c r="A6" t="str">
        <f>mun!A6</f>
        <v>Le Meux</v>
      </c>
      <c r="B6">
        <f t="shared" si="1"/>
        <v>87.710726398155884</v>
      </c>
      <c r="C6">
        <f t="shared" si="2"/>
        <v>13.159273601844097</v>
      </c>
      <c r="E6" s="6">
        <v>113.91003428331933</v>
      </c>
      <c r="F6" s="6">
        <v>17.089965716680645</v>
      </c>
      <c r="G6" s="6">
        <v>131</v>
      </c>
      <c r="I6" s="7">
        <f>G6*[1]Communes!$O$29</f>
        <v>107.81299999999999</v>
      </c>
      <c r="J6" s="7">
        <f t="shared" si="0"/>
        <v>23.187000000000012</v>
      </c>
      <c r="K6" s="7">
        <v>131</v>
      </c>
      <c r="M6" t="s">
        <v>74</v>
      </c>
    </row>
    <row r="7" spans="1:16" x14ac:dyDescent="0.35">
      <c r="A7" t="str">
        <f>mun!A7</f>
        <v>La Croix-St-Ouen</v>
      </c>
      <c r="B7">
        <f t="shared" si="1"/>
        <v>52.974105983943609</v>
      </c>
      <c r="C7">
        <f t="shared" si="2"/>
        <v>16.325894016056395</v>
      </c>
      <c r="E7" s="6">
        <v>68.797540238887805</v>
      </c>
      <c r="F7" s="6">
        <v>21.202459761112202</v>
      </c>
      <c r="G7" s="6">
        <v>90</v>
      </c>
      <c r="I7" s="7">
        <f>G7*[1]Communes!$M$29</f>
        <v>65.069999999999993</v>
      </c>
      <c r="J7" s="7">
        <f t="shared" si="0"/>
        <v>24.930000000000007</v>
      </c>
      <c r="K7" s="7">
        <v>90</v>
      </c>
      <c r="M7" t="s">
        <v>74</v>
      </c>
    </row>
    <row r="8" spans="1:16" x14ac:dyDescent="0.35">
      <c r="A8" t="str">
        <f>mun!A8</f>
        <v>St-Sauveur</v>
      </c>
      <c r="B8">
        <f t="shared" si="1"/>
        <v>111.8313283800905</v>
      </c>
      <c r="C8">
        <f t="shared" si="2"/>
        <v>2.8986716199095062</v>
      </c>
      <c r="E8" s="6">
        <v>145.23549140271493</v>
      </c>
      <c r="F8" s="6">
        <v>3.7645085972850727</v>
      </c>
      <c r="G8" s="6">
        <v>149</v>
      </c>
      <c r="I8" s="7">
        <f>G8*[1]Communes!$S$29</f>
        <v>144.083</v>
      </c>
      <c r="J8" s="7">
        <f t="shared" si="0"/>
        <v>4.9170000000000016</v>
      </c>
      <c r="K8" s="7">
        <v>149</v>
      </c>
      <c r="M8" t="s">
        <v>74</v>
      </c>
    </row>
    <row r="9" spans="1:16" x14ac:dyDescent="0.35">
      <c r="A9" t="str">
        <f>mun!A9</f>
        <v>Bethisy-St-Pierre</v>
      </c>
      <c r="B9">
        <f t="shared" si="1"/>
        <v>97.424969678873225</v>
      </c>
      <c r="C9">
        <f t="shared" si="2"/>
        <v>34.245030321126777</v>
      </c>
      <c r="E9" s="6">
        <v>126.52593464788731</v>
      </c>
      <c r="F9" s="6">
        <v>44.474065352112696</v>
      </c>
      <c r="G9" s="6">
        <v>171</v>
      </c>
      <c r="I9" s="7">
        <f>G9*[1]Communes!$D$29</f>
        <v>118.16099999999999</v>
      </c>
      <c r="J9" s="7">
        <f t="shared" si="0"/>
        <v>52.839000000000013</v>
      </c>
      <c r="K9" s="7">
        <v>171</v>
      </c>
      <c r="M9" t="s">
        <v>74</v>
      </c>
    </row>
    <row r="10" spans="1:16" x14ac:dyDescent="0.35">
      <c r="A10" t="str">
        <f>mun!A10</f>
        <v>Bethisy-St-Martin</v>
      </c>
      <c r="B10">
        <f t="shared" si="1"/>
        <v>36.245639685658155</v>
      </c>
      <c r="C10">
        <f t="shared" si="2"/>
        <v>2.254360314341846</v>
      </c>
      <c r="E10" s="6">
        <v>47.072259332023577</v>
      </c>
      <c r="F10" s="6">
        <v>2.9277406679764231</v>
      </c>
      <c r="G10" s="6">
        <v>50</v>
      </c>
      <c r="I10" s="7">
        <f>G10*[1]Communes!$C$29</f>
        <v>46.6</v>
      </c>
      <c r="J10" s="7">
        <f t="shared" si="0"/>
        <v>3.3999999999999986</v>
      </c>
      <c r="K10" s="7">
        <v>50</v>
      </c>
      <c r="M10" t="s">
        <v>74</v>
      </c>
    </row>
    <row r="11" spans="1:16" x14ac:dyDescent="0.35">
      <c r="A11" t="str">
        <f>mun!A11</f>
        <v>Bienville</v>
      </c>
      <c r="B11">
        <f t="shared" si="1"/>
        <v>22.379279999999998</v>
      </c>
      <c r="C11">
        <f t="shared" si="2"/>
        <v>0.7207200000000008</v>
      </c>
      <c r="E11" s="6">
        <v>29.063999999999997</v>
      </c>
      <c r="F11" s="6">
        <v>0.93600000000000105</v>
      </c>
      <c r="G11" s="6">
        <v>30</v>
      </c>
      <c r="I11" s="7">
        <f>G11*[1]Communes!$E$29</f>
        <v>28.68</v>
      </c>
      <c r="J11" s="7">
        <f t="shared" si="0"/>
        <v>1.3200000000000003</v>
      </c>
      <c r="K11" s="7">
        <v>30</v>
      </c>
      <c r="M11" t="s">
        <v>74</v>
      </c>
    </row>
    <row r="12" spans="1:16" x14ac:dyDescent="0.35">
      <c r="A12" t="str">
        <f>mun!A12</f>
        <v>Choisy-au-Bac</v>
      </c>
      <c r="B12">
        <f t="shared" si="1"/>
        <v>138.05210076787807</v>
      </c>
      <c r="C12">
        <f t="shared" si="2"/>
        <v>25.957899232121925</v>
      </c>
      <c r="E12" s="6">
        <v>179.2884425556858</v>
      </c>
      <c r="F12" s="6">
        <v>33.711557444314188</v>
      </c>
      <c r="G12" s="6">
        <v>213</v>
      </c>
      <c r="I12" s="7">
        <f>G12*[1]Communes!$F$29</f>
        <v>172.53</v>
      </c>
      <c r="J12" s="7">
        <f t="shared" si="0"/>
        <v>40.47</v>
      </c>
      <c r="K12" s="7">
        <v>213</v>
      </c>
      <c r="M12" t="s">
        <v>74</v>
      </c>
    </row>
    <row r="13" spans="1:16" x14ac:dyDescent="0.35">
      <c r="A13" t="str">
        <f>mun!A13</f>
        <v>Clairoix</v>
      </c>
      <c r="B13">
        <f t="shared" si="1"/>
        <v>73.2398007460733</v>
      </c>
      <c r="C13">
        <f t="shared" si="2"/>
        <v>10.690199253926705</v>
      </c>
      <c r="E13" s="6">
        <v>95.116624345549738</v>
      </c>
      <c r="F13" s="6">
        <v>13.883375654450266</v>
      </c>
      <c r="G13" s="6">
        <v>109</v>
      </c>
      <c r="I13" s="7">
        <f>G13*[1]Communes!$G$29</f>
        <v>91.23299999999999</v>
      </c>
      <c r="J13" s="7">
        <f t="shared" si="0"/>
        <v>17.76700000000001</v>
      </c>
      <c r="K13" s="7">
        <v>109</v>
      </c>
      <c r="M13" t="s">
        <v>74</v>
      </c>
    </row>
    <row r="14" spans="1:16" x14ac:dyDescent="0.35">
      <c r="A14" t="str">
        <f>mun!A14</f>
        <v>Janville</v>
      </c>
      <c r="B14">
        <f t="shared" si="1"/>
        <v>29.195244054794522</v>
      </c>
      <c r="C14">
        <f t="shared" si="2"/>
        <v>2.3747559452054809</v>
      </c>
      <c r="E14" s="6">
        <v>37.915901369863015</v>
      </c>
      <c r="F14" s="6">
        <v>3.0840986301369884</v>
      </c>
      <c r="G14" s="6">
        <v>41</v>
      </c>
      <c r="I14" s="7">
        <f>G14*[1]Communes!$I$29</f>
        <v>37.064</v>
      </c>
      <c r="J14" s="7">
        <f t="shared" si="0"/>
        <v>3.9359999999999999</v>
      </c>
      <c r="K14" s="7">
        <v>41</v>
      </c>
      <c r="M14" t="s">
        <v>74</v>
      </c>
    </row>
    <row r="15" spans="1:16" x14ac:dyDescent="0.35">
      <c r="A15" t="str">
        <f>mun!A15</f>
        <v>Jonquières</v>
      </c>
      <c r="B15">
        <f t="shared" si="1"/>
        <v>30.638913768115941</v>
      </c>
      <c r="C15">
        <f t="shared" si="2"/>
        <v>0.93108623188405915</v>
      </c>
      <c r="E15" s="6">
        <v>39.790797101449272</v>
      </c>
      <c r="F15" s="6">
        <v>1.2092028985507262</v>
      </c>
      <c r="G15" s="6">
        <v>41</v>
      </c>
      <c r="I15" s="7">
        <f>G15*[1]Communes!$K$29</f>
        <v>39.482999999999997</v>
      </c>
      <c r="J15" s="7">
        <f t="shared" si="0"/>
        <v>1.517000000000003</v>
      </c>
      <c r="K15" s="7">
        <v>41</v>
      </c>
      <c r="M15" t="s">
        <v>74</v>
      </c>
    </row>
    <row r="16" spans="1:16" x14ac:dyDescent="0.35">
      <c r="A16" t="str">
        <f>mun!A16</f>
        <v>Lachelle</v>
      </c>
      <c r="B16">
        <f t="shared" si="1"/>
        <v>30.888256593516207</v>
      </c>
      <c r="C16">
        <f t="shared" si="2"/>
        <v>1.4517434064837931</v>
      </c>
      <c r="E16" s="6">
        <v>40.11461895261845</v>
      </c>
      <c r="F16" s="6">
        <v>1.8853810473815493</v>
      </c>
      <c r="G16" s="6">
        <v>42</v>
      </c>
      <c r="I16" s="7">
        <f>G16*[1]Communes!$L$29</f>
        <v>39.521999999999998</v>
      </c>
      <c r="J16" s="7">
        <f t="shared" si="0"/>
        <v>2.4780000000000015</v>
      </c>
      <c r="K16" s="7">
        <v>42</v>
      </c>
      <c r="M16" t="s">
        <v>74</v>
      </c>
    </row>
    <row r="17" spans="1:13" x14ac:dyDescent="0.35">
      <c r="A17" t="str">
        <f>mun!A17</f>
        <v>Margny-lès-Compiègne</v>
      </c>
      <c r="B17">
        <f>E17*$B$26</f>
        <v>111.01133208510636</v>
      </c>
      <c r="C17">
        <f>F17*$B$26</f>
        <v>114.94866791489363</v>
      </c>
      <c r="E17" s="6">
        <v>264.31269544072944</v>
      </c>
      <c r="F17" s="6">
        <v>273.68730455927056</v>
      </c>
      <c r="G17" s="6">
        <v>538</v>
      </c>
      <c r="I17" s="7">
        <f>G17*[1]Communes!$N$29</f>
        <v>241.024</v>
      </c>
      <c r="J17" s="7">
        <f t="shared" si="0"/>
        <v>296.976</v>
      </c>
      <c r="K17" s="7">
        <v>538</v>
      </c>
      <c r="M17" t="s">
        <v>73</v>
      </c>
    </row>
    <row r="18" spans="1:13" x14ac:dyDescent="0.35">
      <c r="A18" t="str">
        <f>mun!A18</f>
        <v>Nery</v>
      </c>
      <c r="B18">
        <f t="shared" si="1"/>
        <v>23.820655157894738</v>
      </c>
      <c r="C18">
        <f t="shared" si="2"/>
        <v>0.81934484210526481</v>
      </c>
      <c r="E18" s="6">
        <v>30.935915789473682</v>
      </c>
      <c r="F18" s="6">
        <v>1.064084210526318</v>
      </c>
      <c r="G18" s="6">
        <v>32</v>
      </c>
      <c r="I18" s="7"/>
      <c r="J18" s="7">
        <f t="shared" si="0"/>
        <v>32</v>
      </c>
      <c r="K18" s="7">
        <v>32</v>
      </c>
      <c r="M18" t="s">
        <v>74</v>
      </c>
    </row>
    <row r="19" spans="1:13" x14ac:dyDescent="0.35">
      <c r="A19" t="str">
        <f>mun!A19</f>
        <v>Saint-Jean-aux-Bois</v>
      </c>
      <c r="B19">
        <f t="shared" si="1"/>
        <v>14.662614999999997</v>
      </c>
      <c r="C19">
        <f t="shared" si="2"/>
        <v>0.73738500000000151</v>
      </c>
      <c r="E19" s="6">
        <v>19.042357142857139</v>
      </c>
      <c r="F19" s="6">
        <v>0.95764285714285902</v>
      </c>
      <c r="G19" s="6">
        <v>20</v>
      </c>
      <c r="I19" s="7">
        <f>G19*[1]Communes!$R$29</f>
        <v>19.18</v>
      </c>
      <c r="J19" s="7">
        <f t="shared" si="0"/>
        <v>0.82000000000000028</v>
      </c>
      <c r="K19" s="7">
        <v>20</v>
      </c>
      <c r="M19" t="s">
        <v>74</v>
      </c>
    </row>
    <row r="20" spans="1:13" x14ac:dyDescent="0.35">
      <c r="A20" t="str">
        <f>mun!A20</f>
        <v>Saintines</v>
      </c>
      <c r="B20">
        <f t="shared" si="1"/>
        <v>37.973147649862518</v>
      </c>
      <c r="C20">
        <f t="shared" si="2"/>
        <v>2.8368523501374874</v>
      </c>
      <c r="E20" s="6">
        <v>49.315776168652619</v>
      </c>
      <c r="F20" s="6">
        <v>3.6842238313473863</v>
      </c>
      <c r="G20" s="6">
        <v>53</v>
      </c>
      <c r="I20" s="7">
        <f>G20*[1]Communes!$Q$29</f>
        <v>48.177</v>
      </c>
      <c r="J20" s="7">
        <f t="shared" si="0"/>
        <v>4.8230000000000004</v>
      </c>
      <c r="K20" s="7">
        <v>53</v>
      </c>
      <c r="M20" t="s">
        <v>74</v>
      </c>
    </row>
    <row r="21" spans="1:13" x14ac:dyDescent="0.35">
      <c r="A21" t="str">
        <f>mun!A21</f>
        <v>Saint-Vaast de Longmont</v>
      </c>
      <c r="B21">
        <f t="shared" si="1"/>
        <v>23.87</v>
      </c>
      <c r="C21">
        <f t="shared" si="2"/>
        <v>0</v>
      </c>
      <c r="E21" s="6">
        <v>31</v>
      </c>
      <c r="F21" s="6">
        <v>0</v>
      </c>
      <c r="G21" s="6">
        <v>31</v>
      </c>
      <c r="I21" s="7">
        <f>G21*[1]Communes!$T$29</f>
        <v>31</v>
      </c>
      <c r="J21" s="7">
        <f t="shared" si="0"/>
        <v>0</v>
      </c>
      <c r="K21" s="7">
        <v>31</v>
      </c>
      <c r="M21" t="s">
        <v>74</v>
      </c>
    </row>
    <row r="22" spans="1:13" x14ac:dyDescent="0.35">
      <c r="A22" t="str">
        <f>mun!A22</f>
        <v>Verberie</v>
      </c>
      <c r="B22">
        <f t="shared" si="1"/>
        <v>95.373320327954175</v>
      </c>
      <c r="C22">
        <f t="shared" si="2"/>
        <v>50.926679672045815</v>
      </c>
      <c r="E22" s="6">
        <v>123.86145497136906</v>
      </c>
      <c r="F22" s="6">
        <v>66.138545028630929</v>
      </c>
      <c r="G22" s="6">
        <v>190</v>
      </c>
      <c r="I22" s="7">
        <f>G22*[1]Communes!$V$29</f>
        <v>114.95</v>
      </c>
      <c r="J22" s="7">
        <f t="shared" si="0"/>
        <v>75.05</v>
      </c>
      <c r="K22" s="7">
        <v>190</v>
      </c>
      <c r="M22" t="s">
        <v>74</v>
      </c>
    </row>
    <row r="23" spans="1:13" x14ac:dyDescent="0.35">
      <c r="A23" t="str">
        <f>mun!A23</f>
        <v>Vieux-Moulin</v>
      </c>
      <c r="B23">
        <f t="shared" si="1"/>
        <v>38.794102415213949</v>
      </c>
      <c r="C23">
        <f t="shared" si="2"/>
        <v>1.2458975847860556</v>
      </c>
      <c r="E23" s="6">
        <v>50.381951188589539</v>
      </c>
      <c r="F23" s="6">
        <v>1.6180488114104619</v>
      </c>
      <c r="G23" s="6">
        <v>52</v>
      </c>
      <c r="I23" s="7">
        <f>G23*[1]Communes!$W$29</f>
        <v>50.128</v>
      </c>
      <c r="J23" s="7">
        <f t="shared" si="0"/>
        <v>1.8719999999999999</v>
      </c>
      <c r="K23" s="7">
        <v>52</v>
      </c>
      <c r="M23" t="s">
        <v>74</v>
      </c>
    </row>
    <row r="26" spans="1:13" x14ac:dyDescent="0.35">
      <c r="A26" t="s">
        <v>75</v>
      </c>
      <c r="B26" s="5">
        <v>0.42</v>
      </c>
    </row>
    <row r="27" spans="1:13" x14ac:dyDescent="0.35">
      <c r="A27" t="s">
        <v>76</v>
      </c>
      <c r="B27" s="5">
        <v>0.77</v>
      </c>
    </row>
  </sheetData>
  <pageMargins left="0.7" right="0.7" top="0.75" bottom="0.75" header="0.3" footer="0.3"/>
  <ignoredErrors>
    <ignoredError sqref="B17:C1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119B-877F-4A10-9FD1-253144E79B20}">
  <dimension ref="A1:P23"/>
  <sheetViews>
    <sheetView workbookViewId="0">
      <selection activeCell="B6" sqref="B6"/>
    </sheetView>
  </sheetViews>
  <sheetFormatPr baseColWidth="10" defaultRowHeight="14.5" x14ac:dyDescent="0.35"/>
  <cols>
    <col min="1" max="1" width="28" customWidth="1"/>
    <col min="16" max="16" width="13" bestFit="1" customWidth="1"/>
  </cols>
  <sheetData>
    <row r="1" spans="1:16" x14ac:dyDescent="0.35">
      <c r="B1" t="str">
        <f>INDEX(mun!$B:$B,COLUMN(A1)+1)</f>
        <v>Coudun</v>
      </c>
      <c r="C1" t="str">
        <f>INDEX(mun!$B:$B,COLUMN(B1)+1)</f>
        <v>Trosly breuil</v>
      </c>
      <c r="D1">
        <f>INDEX(mun!$B:$B,COLUMN(C1)+1)</f>
        <v>0</v>
      </c>
    </row>
    <row r="2" spans="1:16" x14ac:dyDescent="0.35">
      <c r="A2" t="str">
        <f>waste_gen!A2</f>
        <v>Compiègne</v>
      </c>
    </row>
    <row r="3" spans="1:16" x14ac:dyDescent="0.35">
      <c r="A3" t="str">
        <f>waste_gen!A3</f>
        <v>Venette</v>
      </c>
    </row>
    <row r="4" spans="1:16" x14ac:dyDescent="0.35">
      <c r="A4" t="str">
        <f>waste_gen!A4</f>
        <v>Jaux</v>
      </c>
    </row>
    <row r="5" spans="1:16" x14ac:dyDescent="0.35">
      <c r="A5" t="str">
        <f>waste_gen!A5</f>
        <v>Armancourt</v>
      </c>
    </row>
    <row r="6" spans="1:16" x14ac:dyDescent="0.35">
      <c r="A6" t="str">
        <f>waste_gen!A6</f>
        <v>Le Meux</v>
      </c>
      <c r="P6" s="1"/>
    </row>
    <row r="7" spans="1:16" x14ac:dyDescent="0.35">
      <c r="A7" t="str">
        <f>waste_gen!A7</f>
        <v>La Croix-St-Ouen</v>
      </c>
      <c r="P7" s="1"/>
    </row>
    <row r="8" spans="1:16" x14ac:dyDescent="0.35">
      <c r="A8" t="str">
        <f>waste_gen!A8</f>
        <v>St-Sauveur</v>
      </c>
    </row>
    <row r="9" spans="1:16" x14ac:dyDescent="0.35">
      <c r="A9" t="str">
        <f>waste_gen!A9</f>
        <v>Bethisy-St-Pierre</v>
      </c>
    </row>
    <row r="10" spans="1:16" x14ac:dyDescent="0.35">
      <c r="A10" t="str">
        <f>waste_gen!A10</f>
        <v>Bethisy-St-Martin</v>
      </c>
    </row>
    <row r="11" spans="1:16" x14ac:dyDescent="0.35">
      <c r="A11" t="str">
        <f>waste_gen!A11</f>
        <v>Bienville</v>
      </c>
    </row>
    <row r="12" spans="1:16" x14ac:dyDescent="0.35">
      <c r="A12" t="str">
        <f>waste_gen!A12</f>
        <v>Choisy-au-Bac</v>
      </c>
    </row>
    <row r="13" spans="1:16" x14ac:dyDescent="0.35">
      <c r="A13" t="str">
        <f>waste_gen!A13</f>
        <v>Clairoix</v>
      </c>
    </row>
    <row r="14" spans="1:16" x14ac:dyDescent="0.35">
      <c r="A14" t="str">
        <f>waste_gen!A14</f>
        <v>Janville</v>
      </c>
    </row>
    <row r="15" spans="1:16" x14ac:dyDescent="0.35">
      <c r="A15" t="str">
        <f>waste_gen!A15</f>
        <v>Jonquières</v>
      </c>
    </row>
    <row r="16" spans="1:16" x14ac:dyDescent="0.35">
      <c r="A16" t="str">
        <f>waste_gen!A16</f>
        <v>Lachelle</v>
      </c>
    </row>
    <row r="17" spans="1:1" x14ac:dyDescent="0.35">
      <c r="A17" t="str">
        <f>waste_gen!A17</f>
        <v>Margny-lès-Compiègne</v>
      </c>
    </row>
    <row r="18" spans="1:1" x14ac:dyDescent="0.35">
      <c r="A18" t="str">
        <f>waste_gen!A18</f>
        <v>Nery</v>
      </c>
    </row>
    <row r="19" spans="1:1" x14ac:dyDescent="0.35">
      <c r="A19" t="str">
        <f>waste_gen!A19</f>
        <v>Saint-Jean-aux-Bois</v>
      </c>
    </row>
    <row r="20" spans="1:1" x14ac:dyDescent="0.35">
      <c r="A20" t="str">
        <f>waste_gen!A20</f>
        <v>Saintines</v>
      </c>
    </row>
    <row r="21" spans="1:1" x14ac:dyDescent="0.35">
      <c r="A21" t="str">
        <f>waste_gen!A21</f>
        <v>Saint-Vaast de Longmont</v>
      </c>
    </row>
    <row r="22" spans="1:1" x14ac:dyDescent="0.35">
      <c r="A22" t="str">
        <f>waste_gen!A22</f>
        <v>Verberie</v>
      </c>
    </row>
    <row r="23" spans="1:1" x14ac:dyDescent="0.35">
      <c r="A23" t="str">
        <f>waste_gen!A23</f>
        <v>Vieux-Moulin</v>
      </c>
    </row>
  </sheetData>
  <pageMargins left="0.7" right="0.7" top="0.75" bottom="0.75" header="0.3" footer="0.3"/>
  <pageSetup paperSize="9"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AE16-4335-49F9-8C26-3341265BB48C}">
  <dimension ref="A1:P25"/>
  <sheetViews>
    <sheetView zoomScale="79" workbookViewId="0">
      <pane xSplit="1" ySplit="1" topLeftCell="E4" activePane="bottomRight" state="frozen"/>
      <selection pane="topRight" activeCell="B1" sqref="B1"/>
      <selection pane="bottomLeft" activeCell="A2" sqref="A2"/>
      <selection pane="bottomRight" activeCell="A24" sqref="A24:A25"/>
    </sheetView>
  </sheetViews>
  <sheetFormatPr baseColWidth="10" defaultRowHeight="14.5" x14ac:dyDescent="0.35"/>
  <cols>
    <col min="1" max="1" width="24.54296875" customWidth="1"/>
  </cols>
  <sheetData>
    <row r="1" spans="1:16" x14ac:dyDescent="0.3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55</v>
      </c>
      <c r="H1" t="s">
        <v>56</v>
      </c>
      <c r="I1" t="s">
        <v>57</v>
      </c>
      <c r="J1" t="s">
        <v>58</v>
      </c>
      <c r="O1" t="s">
        <v>22</v>
      </c>
      <c r="P1" t="s">
        <v>59</v>
      </c>
    </row>
    <row r="2" spans="1:16" x14ac:dyDescent="0.35">
      <c r="A2" t="str">
        <f>mun!A2</f>
        <v>Compiègne</v>
      </c>
      <c r="B2">
        <v>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O2" t="s">
        <v>23</v>
      </c>
      <c r="P2" t="s">
        <v>60</v>
      </c>
    </row>
    <row r="3" spans="1:16" x14ac:dyDescent="0.35">
      <c r="A3" t="str">
        <f>mun!A3</f>
        <v>Venette</v>
      </c>
      <c r="B3">
        <v>1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O3" t="s">
        <v>55</v>
      </c>
      <c r="P3" t="s">
        <v>61</v>
      </c>
    </row>
    <row r="4" spans="1:16" x14ac:dyDescent="0.35">
      <c r="A4" t="str">
        <f>mun!A4</f>
        <v>Jaux</v>
      </c>
      <c r="B4">
        <v>1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O4" t="s">
        <v>56</v>
      </c>
      <c r="P4" t="s">
        <v>62</v>
      </c>
    </row>
    <row r="5" spans="1:16" x14ac:dyDescent="0.35">
      <c r="A5" t="str">
        <f>mun!A5</f>
        <v>Armancourt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O5" t="s">
        <v>57</v>
      </c>
      <c r="P5" t="s">
        <v>63</v>
      </c>
    </row>
    <row r="6" spans="1:16" x14ac:dyDescent="0.35">
      <c r="A6" t="str">
        <f>mun!A6</f>
        <v>Le Meux</v>
      </c>
      <c r="B6">
        <v>1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O6" t="s">
        <v>58</v>
      </c>
      <c r="P6" t="s">
        <v>64</v>
      </c>
    </row>
    <row r="7" spans="1:16" x14ac:dyDescent="0.35">
      <c r="A7" t="str">
        <f>mun!A7</f>
        <v>La Croix-St-Ouen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6" x14ac:dyDescent="0.35">
      <c r="A8" t="str">
        <f>mun!A8</f>
        <v>St-Sauveur</v>
      </c>
      <c r="B8">
        <v>1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6" x14ac:dyDescent="0.35">
      <c r="A9" t="str">
        <f>mun!A9</f>
        <v>Bethisy-St-Pierre</v>
      </c>
      <c r="B9">
        <v>1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6" x14ac:dyDescent="0.35">
      <c r="A10" t="str">
        <f>mun!A10</f>
        <v>Bethisy-St-Martin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6" x14ac:dyDescent="0.35">
      <c r="A11" t="str">
        <f>mun!A11</f>
        <v>Bienville</v>
      </c>
      <c r="B11">
        <v>1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6" x14ac:dyDescent="0.35">
      <c r="A12" t="str">
        <f>mun!A12</f>
        <v>Choisy-au-Bac</v>
      </c>
      <c r="B12">
        <v>1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6" x14ac:dyDescent="0.35">
      <c r="A13" t="str">
        <f>mun!A13</f>
        <v>Clairoix</v>
      </c>
      <c r="B13">
        <v>1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6" x14ac:dyDescent="0.35">
      <c r="A14" t="str">
        <f>mun!A14</f>
        <v>Janville</v>
      </c>
      <c r="B14">
        <v>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6" x14ac:dyDescent="0.35">
      <c r="A15" t="str">
        <f>mun!A15</f>
        <v>Jonquières</v>
      </c>
      <c r="B15">
        <v>1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6" x14ac:dyDescent="0.35">
      <c r="A16" t="str">
        <f>mun!A16</f>
        <v>Lachelle</v>
      </c>
      <c r="B16">
        <v>1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35">
      <c r="A17" t="str">
        <f>mun!A17</f>
        <v>Margny-lès-Compiègne</v>
      </c>
      <c r="B17">
        <v>1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35">
      <c r="A18" t="str">
        <f>mun!A18</f>
        <v>Nery</v>
      </c>
      <c r="B18">
        <v>1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35">
      <c r="A19" t="str">
        <f>mun!A19</f>
        <v>Saint-Jean-aux-Bois</v>
      </c>
      <c r="B19">
        <v>1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35">
      <c r="A20" t="str">
        <f>mun!A20</f>
        <v>Saintines</v>
      </c>
      <c r="B20">
        <v>1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35">
      <c r="A21" t="str">
        <f>mun!A21</f>
        <v>Saint-Vaast de Longmont</v>
      </c>
      <c r="B21">
        <v>1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35">
      <c r="A22" t="str">
        <f>mun!A22</f>
        <v>Verberie</v>
      </c>
      <c r="B22">
        <v>1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35">
      <c r="A23" t="str">
        <f>mun!A23</f>
        <v>Vieux-Moulin</v>
      </c>
      <c r="B23">
        <v>1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35">
      <c r="A24" t="s">
        <v>65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</row>
    <row r="25" spans="1:10" x14ac:dyDescent="0.35">
      <c r="A25" t="s">
        <v>67</v>
      </c>
      <c r="B25">
        <v>0</v>
      </c>
      <c r="C25">
        <v>0</v>
      </c>
      <c r="D25">
        <v>1</v>
      </c>
      <c r="E25">
        <v>0</v>
      </c>
      <c r="F25">
        <v>0</v>
      </c>
      <c r="G25">
        <v>1</v>
      </c>
      <c r="H25">
        <v>0</v>
      </c>
      <c r="I25">
        <v>0</v>
      </c>
      <c r="J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62B02-F830-4504-8CFB-862612762922}">
  <dimension ref="A1:J28"/>
  <sheetViews>
    <sheetView workbookViewId="0">
      <selection sqref="A1:F28"/>
    </sheetView>
  </sheetViews>
  <sheetFormatPr baseColWidth="10" defaultRowHeight="14.5" x14ac:dyDescent="0.35"/>
  <cols>
    <col min="1" max="1" width="20.08984375" customWidth="1"/>
    <col min="10" max="10" width="22.36328125" customWidth="1"/>
  </cols>
  <sheetData>
    <row r="1" spans="1:10" x14ac:dyDescent="0.35">
      <c r="A1" t="s">
        <v>16</v>
      </c>
      <c r="B1" t="s">
        <v>12</v>
      </c>
      <c r="C1" t="s">
        <v>13</v>
      </c>
      <c r="D1" t="s">
        <v>14</v>
      </c>
      <c r="E1" t="s">
        <v>15</v>
      </c>
      <c r="F1" t="s">
        <v>66</v>
      </c>
      <c r="I1">
        <v>1</v>
      </c>
      <c r="J1" t="s">
        <v>25</v>
      </c>
    </row>
    <row r="2" spans="1:10" x14ac:dyDescent="0.35">
      <c r="A2" t="str">
        <f>tech_pot!A2</f>
        <v>Compiègne</v>
      </c>
      <c r="B2">
        <v>1</v>
      </c>
      <c r="C2">
        <v>0</v>
      </c>
      <c r="D2">
        <v>0</v>
      </c>
      <c r="E2">
        <v>0</v>
      </c>
      <c r="F2">
        <v>0</v>
      </c>
      <c r="I2">
        <v>0</v>
      </c>
      <c r="J2" t="s">
        <v>24</v>
      </c>
    </row>
    <row r="3" spans="1:10" x14ac:dyDescent="0.35">
      <c r="A3" t="str">
        <f>tech_pot!A3</f>
        <v>Venette</v>
      </c>
      <c r="B3">
        <v>1</v>
      </c>
      <c r="C3">
        <v>0</v>
      </c>
      <c r="D3">
        <v>0</v>
      </c>
      <c r="E3">
        <v>0</v>
      </c>
      <c r="F3">
        <v>0</v>
      </c>
    </row>
    <row r="4" spans="1:10" x14ac:dyDescent="0.35">
      <c r="A4" t="str">
        <f>tech_pot!A4</f>
        <v>Jaux</v>
      </c>
      <c r="B4">
        <v>1</v>
      </c>
      <c r="C4">
        <v>0</v>
      </c>
      <c r="D4">
        <v>0</v>
      </c>
      <c r="E4">
        <v>0</v>
      </c>
      <c r="F4">
        <v>0</v>
      </c>
    </row>
    <row r="5" spans="1:10" x14ac:dyDescent="0.35">
      <c r="A5" t="str">
        <f>tech_pot!A5</f>
        <v>Armancourt</v>
      </c>
      <c r="B5">
        <v>1</v>
      </c>
      <c r="C5">
        <v>0</v>
      </c>
      <c r="D5">
        <v>0</v>
      </c>
      <c r="E5">
        <v>0</v>
      </c>
      <c r="F5">
        <v>0</v>
      </c>
    </row>
    <row r="6" spans="1:10" x14ac:dyDescent="0.35">
      <c r="A6" t="str">
        <f>tech_pot!A6</f>
        <v>Le Meux</v>
      </c>
      <c r="B6">
        <v>1</v>
      </c>
      <c r="C6">
        <v>0</v>
      </c>
      <c r="D6">
        <v>0</v>
      </c>
      <c r="E6">
        <v>0</v>
      </c>
      <c r="F6">
        <v>0</v>
      </c>
    </row>
    <row r="7" spans="1:10" x14ac:dyDescent="0.35">
      <c r="A7" t="str">
        <f>tech_pot!A7</f>
        <v>La Croix-St-Ouen</v>
      </c>
      <c r="B7">
        <v>1</v>
      </c>
      <c r="C7">
        <v>0</v>
      </c>
      <c r="D7">
        <v>0</v>
      </c>
      <c r="E7">
        <v>0</v>
      </c>
      <c r="F7">
        <v>0</v>
      </c>
    </row>
    <row r="8" spans="1:10" x14ac:dyDescent="0.35">
      <c r="A8" t="str">
        <f>tech_pot!A8</f>
        <v>St-Sauveur</v>
      </c>
      <c r="B8">
        <v>1</v>
      </c>
      <c r="C8">
        <v>0</v>
      </c>
      <c r="D8">
        <v>0</v>
      </c>
      <c r="E8">
        <v>0</v>
      </c>
      <c r="F8">
        <v>0</v>
      </c>
      <c r="J8" s="2"/>
    </row>
    <row r="9" spans="1:10" x14ac:dyDescent="0.35">
      <c r="A9" t="str">
        <f>tech_pot!A9</f>
        <v>Bethisy-St-Pierre</v>
      </c>
      <c r="B9">
        <v>1</v>
      </c>
      <c r="C9">
        <v>0</v>
      </c>
      <c r="D9">
        <v>0</v>
      </c>
      <c r="E9">
        <v>0</v>
      </c>
      <c r="F9">
        <v>0</v>
      </c>
      <c r="J9" s="2"/>
    </row>
    <row r="10" spans="1:10" x14ac:dyDescent="0.35">
      <c r="A10" t="str">
        <f>tech_pot!A10</f>
        <v>Bethisy-St-Martin</v>
      </c>
      <c r="B10">
        <v>1</v>
      </c>
      <c r="C10">
        <v>0</v>
      </c>
      <c r="D10">
        <v>0</v>
      </c>
      <c r="E10">
        <v>0</v>
      </c>
      <c r="F10">
        <v>0</v>
      </c>
      <c r="J10" s="2"/>
    </row>
    <row r="11" spans="1:10" x14ac:dyDescent="0.35">
      <c r="A11" t="str">
        <f>tech_pot!A11</f>
        <v>Bienville</v>
      </c>
      <c r="B11">
        <v>1</v>
      </c>
      <c r="C11">
        <v>0</v>
      </c>
      <c r="D11">
        <v>0</v>
      </c>
      <c r="E11">
        <v>0</v>
      </c>
      <c r="F11">
        <v>0</v>
      </c>
    </row>
    <row r="12" spans="1:10" x14ac:dyDescent="0.35">
      <c r="A12" t="str">
        <f>tech_pot!A12</f>
        <v>Choisy-au-Bac</v>
      </c>
      <c r="B12">
        <v>1</v>
      </c>
      <c r="C12">
        <v>0</v>
      </c>
      <c r="D12">
        <v>0</v>
      </c>
      <c r="E12">
        <v>0</v>
      </c>
      <c r="F12">
        <v>0</v>
      </c>
    </row>
    <row r="13" spans="1:10" x14ac:dyDescent="0.35">
      <c r="A13" t="str">
        <f>tech_pot!A13</f>
        <v>Clairoix</v>
      </c>
      <c r="B13">
        <v>1</v>
      </c>
      <c r="C13">
        <v>0</v>
      </c>
      <c r="D13">
        <v>0</v>
      </c>
      <c r="E13">
        <v>0</v>
      </c>
      <c r="F13">
        <v>0</v>
      </c>
    </row>
    <row r="14" spans="1:10" x14ac:dyDescent="0.35">
      <c r="A14" t="str">
        <f>tech_pot!A14</f>
        <v>Janville</v>
      </c>
      <c r="B14">
        <v>1</v>
      </c>
      <c r="C14">
        <v>0</v>
      </c>
      <c r="D14">
        <v>0</v>
      </c>
      <c r="E14">
        <v>0</v>
      </c>
      <c r="F14">
        <v>0</v>
      </c>
    </row>
    <row r="15" spans="1:10" x14ac:dyDescent="0.35">
      <c r="A15" t="str">
        <f>tech_pot!A15</f>
        <v>Jonquières</v>
      </c>
      <c r="B15">
        <v>1</v>
      </c>
      <c r="C15">
        <v>0</v>
      </c>
      <c r="D15">
        <v>0</v>
      </c>
      <c r="E15">
        <v>0</v>
      </c>
      <c r="F15">
        <v>0</v>
      </c>
    </row>
    <row r="16" spans="1:10" x14ac:dyDescent="0.35">
      <c r="A16" t="str">
        <f>tech_pot!A16</f>
        <v>Lachelle</v>
      </c>
      <c r="B16">
        <v>1</v>
      </c>
      <c r="C16">
        <v>0</v>
      </c>
      <c r="D16">
        <v>0</v>
      </c>
      <c r="E16">
        <v>0</v>
      </c>
      <c r="F16">
        <v>0</v>
      </c>
    </row>
    <row r="17" spans="1:6" x14ac:dyDescent="0.35">
      <c r="A17" t="str">
        <f>tech_pot!A17</f>
        <v>Margny-lès-Compiègne</v>
      </c>
      <c r="B17">
        <v>1</v>
      </c>
      <c r="C17">
        <v>0</v>
      </c>
      <c r="D17">
        <v>0</v>
      </c>
      <c r="E17">
        <v>0</v>
      </c>
      <c r="F17">
        <v>0</v>
      </c>
    </row>
    <row r="18" spans="1:6" x14ac:dyDescent="0.35">
      <c r="A18" t="str">
        <f>tech_pot!A18</f>
        <v>Nery</v>
      </c>
      <c r="B18">
        <v>1</v>
      </c>
      <c r="C18">
        <v>0</v>
      </c>
      <c r="D18">
        <v>0</v>
      </c>
      <c r="E18">
        <v>0</v>
      </c>
      <c r="F18">
        <v>0</v>
      </c>
    </row>
    <row r="19" spans="1:6" x14ac:dyDescent="0.35">
      <c r="A19" t="str">
        <f>tech_pot!A19</f>
        <v>Saint-Jean-aux-Bois</v>
      </c>
      <c r="B19">
        <v>1</v>
      </c>
      <c r="C19">
        <v>0</v>
      </c>
      <c r="D19">
        <v>0</v>
      </c>
      <c r="E19">
        <v>0</v>
      </c>
      <c r="F19">
        <v>0</v>
      </c>
    </row>
    <row r="20" spans="1:6" x14ac:dyDescent="0.35">
      <c r="A20" t="str">
        <f>tech_pot!A20</f>
        <v>Saintines</v>
      </c>
      <c r="B20">
        <v>1</v>
      </c>
      <c r="C20">
        <v>0</v>
      </c>
      <c r="D20">
        <v>0</v>
      </c>
      <c r="E20">
        <v>0</v>
      </c>
      <c r="F20">
        <v>0</v>
      </c>
    </row>
    <row r="21" spans="1:6" x14ac:dyDescent="0.35">
      <c r="A21" t="str">
        <f>tech_pot!A21</f>
        <v>Saint-Vaast de Longmont</v>
      </c>
      <c r="B21">
        <v>1</v>
      </c>
      <c r="C21">
        <v>0</v>
      </c>
      <c r="D21">
        <v>0</v>
      </c>
      <c r="E21">
        <v>0</v>
      </c>
      <c r="F21">
        <v>0</v>
      </c>
    </row>
    <row r="22" spans="1:6" x14ac:dyDescent="0.35">
      <c r="A22" t="str">
        <f>tech_pot!A22</f>
        <v>Verberie</v>
      </c>
      <c r="B22">
        <v>1</v>
      </c>
      <c r="C22">
        <v>0</v>
      </c>
      <c r="D22">
        <v>0</v>
      </c>
      <c r="E22">
        <v>0</v>
      </c>
      <c r="F22">
        <v>0</v>
      </c>
    </row>
    <row r="23" spans="1:6" x14ac:dyDescent="0.35">
      <c r="A23" t="str">
        <f>tech_pot!A23</f>
        <v>Vieux-Moulin</v>
      </c>
      <c r="B23">
        <v>1</v>
      </c>
      <c r="C23">
        <v>0</v>
      </c>
      <c r="D23">
        <v>0</v>
      </c>
      <c r="E23">
        <v>0</v>
      </c>
      <c r="F23">
        <v>0</v>
      </c>
    </row>
    <row r="24" spans="1:6" x14ac:dyDescent="0.35">
      <c r="A24" t="s">
        <v>72</v>
      </c>
      <c r="B24">
        <v>1</v>
      </c>
      <c r="C24">
        <v>0</v>
      </c>
      <c r="D24">
        <v>1</v>
      </c>
      <c r="E24">
        <v>1</v>
      </c>
      <c r="F24">
        <v>0</v>
      </c>
    </row>
    <row r="25" spans="1:6" x14ac:dyDescent="0.35">
      <c r="A25" t="s">
        <v>67</v>
      </c>
      <c r="B25">
        <v>1</v>
      </c>
      <c r="C25">
        <v>1</v>
      </c>
      <c r="D25">
        <v>0</v>
      </c>
      <c r="E25">
        <v>0</v>
      </c>
      <c r="F25">
        <v>1</v>
      </c>
    </row>
    <row r="26" spans="1:6" x14ac:dyDescent="0.35">
      <c r="A26" t="s">
        <v>68</v>
      </c>
      <c r="B26">
        <v>1</v>
      </c>
      <c r="C26">
        <v>1</v>
      </c>
      <c r="D26">
        <v>0</v>
      </c>
      <c r="E26">
        <v>0</v>
      </c>
      <c r="F26">
        <v>0</v>
      </c>
    </row>
    <row r="27" spans="1:6" x14ac:dyDescent="0.35">
      <c r="A27" t="s">
        <v>71</v>
      </c>
      <c r="B27">
        <v>1</v>
      </c>
      <c r="C27">
        <v>1</v>
      </c>
      <c r="D27">
        <v>0</v>
      </c>
      <c r="E27">
        <v>0</v>
      </c>
      <c r="F27">
        <v>0</v>
      </c>
    </row>
    <row r="28" spans="1:6" x14ac:dyDescent="0.35">
      <c r="A28" t="s">
        <v>70</v>
      </c>
      <c r="B28">
        <v>1</v>
      </c>
      <c r="C28">
        <v>1</v>
      </c>
      <c r="D28">
        <v>0</v>
      </c>
      <c r="E28">
        <v>0</v>
      </c>
      <c r="F28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8C74-E6C0-46D4-987A-6DEF0A0AB368}">
  <dimension ref="A1:AC28"/>
  <sheetViews>
    <sheetView tabSelected="1" zoomScale="97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:B28"/>
    </sheetView>
  </sheetViews>
  <sheetFormatPr baseColWidth="10" defaultRowHeight="14.5" x14ac:dyDescent="0.35"/>
  <cols>
    <col min="1" max="1" width="33.81640625" customWidth="1"/>
    <col min="2" max="2" width="11.7265625" customWidth="1"/>
  </cols>
  <sheetData>
    <row r="1" spans="1:29" x14ac:dyDescent="0.35">
      <c r="A1" s="3" t="s">
        <v>17</v>
      </c>
      <c r="B1" s="3" t="s">
        <v>81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72</v>
      </c>
      <c r="Z1" t="s">
        <v>67</v>
      </c>
      <c r="AA1" t="s">
        <v>68</v>
      </c>
      <c r="AB1" t="s">
        <v>71</v>
      </c>
      <c r="AC1" t="s">
        <v>70</v>
      </c>
    </row>
    <row r="2" spans="1:29" x14ac:dyDescent="0.35">
      <c r="A2" t="str">
        <f>tech_pot!A2</f>
        <v>Compiègne</v>
      </c>
      <c r="B2" s="4">
        <v>2</v>
      </c>
      <c r="C2" s="4">
        <v>2</v>
      </c>
      <c r="D2">
        <v>5</v>
      </c>
      <c r="E2">
        <v>6</v>
      </c>
      <c r="F2">
        <v>8</v>
      </c>
      <c r="G2">
        <v>13</v>
      </c>
      <c r="H2">
        <v>9</v>
      </c>
      <c r="I2">
        <v>14</v>
      </c>
      <c r="J2">
        <v>21</v>
      </c>
      <c r="K2">
        <v>20</v>
      </c>
      <c r="L2">
        <v>5</v>
      </c>
      <c r="M2">
        <v>6</v>
      </c>
      <c r="N2">
        <v>4</v>
      </c>
      <c r="O2">
        <v>6</v>
      </c>
      <c r="P2">
        <v>10</v>
      </c>
      <c r="Q2">
        <v>10</v>
      </c>
      <c r="R2">
        <v>2</v>
      </c>
      <c r="S2">
        <v>20</v>
      </c>
      <c r="T2">
        <v>10</v>
      </c>
      <c r="U2">
        <v>16</v>
      </c>
      <c r="V2">
        <v>18</v>
      </c>
      <c r="W2">
        <v>16</v>
      </c>
      <c r="X2">
        <v>9</v>
      </c>
      <c r="Y2">
        <v>28</v>
      </c>
      <c r="Z2">
        <v>10</v>
      </c>
      <c r="AA2">
        <v>12</v>
      </c>
      <c r="AB2">
        <v>50</v>
      </c>
      <c r="AC2">
        <v>18</v>
      </c>
    </row>
    <row r="3" spans="1:29" x14ac:dyDescent="0.35">
      <c r="A3" t="str">
        <f>tech_pot!A3</f>
        <v>Venette</v>
      </c>
      <c r="B3">
        <v>5</v>
      </c>
      <c r="C3">
        <v>5</v>
      </c>
      <c r="D3">
        <v>2</v>
      </c>
      <c r="E3">
        <v>4</v>
      </c>
      <c r="F3">
        <v>6</v>
      </c>
      <c r="G3">
        <v>11</v>
      </c>
      <c r="H3">
        <v>9</v>
      </c>
      <c r="I3">
        <v>14</v>
      </c>
      <c r="J3">
        <v>17</v>
      </c>
      <c r="K3">
        <v>18</v>
      </c>
      <c r="L3">
        <v>6</v>
      </c>
      <c r="M3">
        <v>9</v>
      </c>
      <c r="N3">
        <v>7</v>
      </c>
      <c r="O3">
        <v>9</v>
      </c>
      <c r="P3">
        <v>9</v>
      </c>
      <c r="Q3">
        <v>6</v>
      </c>
      <c r="R3">
        <v>2</v>
      </c>
      <c r="S3">
        <v>19</v>
      </c>
      <c r="T3">
        <v>17</v>
      </c>
      <c r="U3">
        <v>15</v>
      </c>
      <c r="V3">
        <v>17</v>
      </c>
      <c r="W3">
        <v>18</v>
      </c>
      <c r="X3">
        <v>17</v>
      </c>
      <c r="Y3">
        <v>27</v>
      </c>
      <c r="Z3">
        <v>9</v>
      </c>
      <c r="AA3">
        <v>12</v>
      </c>
      <c r="AB3">
        <v>54</v>
      </c>
      <c r="AC3">
        <v>17</v>
      </c>
    </row>
    <row r="4" spans="1:29" x14ac:dyDescent="0.35">
      <c r="A4" t="str">
        <f>tech_pot!A4</f>
        <v>Jaux</v>
      </c>
      <c r="B4">
        <v>6</v>
      </c>
      <c r="C4">
        <v>6</v>
      </c>
      <c r="D4">
        <v>4</v>
      </c>
      <c r="E4">
        <v>2</v>
      </c>
      <c r="F4">
        <v>3</v>
      </c>
      <c r="G4">
        <v>5</v>
      </c>
      <c r="H4">
        <v>9</v>
      </c>
      <c r="I4">
        <v>12</v>
      </c>
      <c r="J4">
        <v>15</v>
      </c>
      <c r="K4">
        <v>17</v>
      </c>
      <c r="L4">
        <v>13</v>
      </c>
      <c r="M4">
        <v>13</v>
      </c>
      <c r="N4">
        <v>11</v>
      </c>
      <c r="O4">
        <v>13</v>
      </c>
      <c r="P4">
        <v>6</v>
      </c>
      <c r="Q4">
        <v>8</v>
      </c>
      <c r="R4">
        <v>7</v>
      </c>
      <c r="S4">
        <v>17</v>
      </c>
      <c r="T4">
        <v>17</v>
      </c>
      <c r="U4">
        <v>14</v>
      </c>
      <c r="V4">
        <v>14</v>
      </c>
      <c r="W4">
        <v>12</v>
      </c>
      <c r="X4">
        <v>15</v>
      </c>
      <c r="Y4">
        <v>30</v>
      </c>
      <c r="Z4">
        <v>13</v>
      </c>
      <c r="AA4">
        <v>15</v>
      </c>
      <c r="AB4">
        <v>58</v>
      </c>
      <c r="AC4">
        <v>28</v>
      </c>
    </row>
    <row r="5" spans="1:29" x14ac:dyDescent="0.35">
      <c r="A5" t="str">
        <f>tech_pot!A5</f>
        <v>Armancourt</v>
      </c>
      <c r="B5">
        <v>8</v>
      </c>
      <c r="C5">
        <v>8</v>
      </c>
      <c r="D5">
        <v>6</v>
      </c>
      <c r="E5">
        <v>3</v>
      </c>
      <c r="F5">
        <v>2</v>
      </c>
      <c r="G5">
        <v>3</v>
      </c>
      <c r="H5">
        <v>6</v>
      </c>
      <c r="I5">
        <v>10</v>
      </c>
      <c r="J5">
        <v>13</v>
      </c>
      <c r="K5">
        <v>15</v>
      </c>
      <c r="L5">
        <v>16</v>
      </c>
      <c r="M5">
        <v>16</v>
      </c>
      <c r="N5">
        <v>13</v>
      </c>
      <c r="O5">
        <v>16</v>
      </c>
      <c r="P5">
        <v>5</v>
      </c>
      <c r="Q5">
        <v>10</v>
      </c>
      <c r="R5">
        <v>9</v>
      </c>
      <c r="S5">
        <v>15</v>
      </c>
      <c r="T5">
        <v>16</v>
      </c>
      <c r="U5">
        <v>12</v>
      </c>
      <c r="V5">
        <v>12</v>
      </c>
      <c r="W5">
        <v>10</v>
      </c>
      <c r="X5">
        <v>17</v>
      </c>
      <c r="Y5">
        <v>33</v>
      </c>
      <c r="Z5">
        <v>14</v>
      </c>
      <c r="AA5">
        <v>17</v>
      </c>
      <c r="AB5">
        <v>60</v>
      </c>
      <c r="AC5">
        <v>30</v>
      </c>
    </row>
    <row r="6" spans="1:29" x14ac:dyDescent="0.35">
      <c r="A6" t="str">
        <f>tech_pot!A6</f>
        <v>Le Meux</v>
      </c>
      <c r="B6">
        <v>13</v>
      </c>
      <c r="C6">
        <v>13</v>
      </c>
      <c r="D6">
        <v>11</v>
      </c>
      <c r="E6">
        <v>5</v>
      </c>
      <c r="F6">
        <v>3</v>
      </c>
      <c r="G6">
        <v>2</v>
      </c>
      <c r="H6">
        <v>5</v>
      </c>
      <c r="I6">
        <v>9</v>
      </c>
      <c r="J6">
        <v>13</v>
      </c>
      <c r="K6">
        <v>14</v>
      </c>
      <c r="L6">
        <v>16</v>
      </c>
      <c r="M6">
        <v>16</v>
      </c>
      <c r="N6">
        <v>14</v>
      </c>
      <c r="O6">
        <v>16</v>
      </c>
      <c r="P6">
        <v>3</v>
      </c>
      <c r="Q6">
        <v>10</v>
      </c>
      <c r="R6">
        <v>11</v>
      </c>
      <c r="S6">
        <v>14</v>
      </c>
      <c r="T6">
        <v>16</v>
      </c>
      <c r="U6">
        <v>11</v>
      </c>
      <c r="V6">
        <v>13</v>
      </c>
      <c r="W6">
        <v>11</v>
      </c>
      <c r="X6">
        <v>24</v>
      </c>
      <c r="Y6">
        <v>34</v>
      </c>
      <c r="Z6">
        <v>14</v>
      </c>
      <c r="AA6">
        <v>20</v>
      </c>
      <c r="AB6">
        <v>62</v>
      </c>
      <c r="AC6">
        <v>30</v>
      </c>
    </row>
    <row r="7" spans="1:29" x14ac:dyDescent="0.35">
      <c r="A7" t="str">
        <f>tech_pot!A7</f>
        <v>La Croix-St-Ouen</v>
      </c>
      <c r="B7">
        <v>9</v>
      </c>
      <c r="C7">
        <v>9</v>
      </c>
      <c r="D7">
        <v>9</v>
      </c>
      <c r="E7">
        <v>9</v>
      </c>
      <c r="F7">
        <v>6</v>
      </c>
      <c r="G7">
        <v>5</v>
      </c>
      <c r="H7">
        <v>2</v>
      </c>
      <c r="I7">
        <v>5</v>
      </c>
      <c r="J7">
        <v>8</v>
      </c>
      <c r="K7">
        <v>10</v>
      </c>
      <c r="L7">
        <v>17</v>
      </c>
      <c r="M7">
        <v>15</v>
      </c>
      <c r="N7">
        <v>15</v>
      </c>
      <c r="O7">
        <v>17</v>
      </c>
      <c r="P7">
        <v>8</v>
      </c>
      <c r="Q7">
        <v>14</v>
      </c>
      <c r="R7">
        <v>11</v>
      </c>
      <c r="S7">
        <v>10</v>
      </c>
      <c r="T7">
        <v>9</v>
      </c>
      <c r="U7">
        <v>7</v>
      </c>
      <c r="V7">
        <v>8</v>
      </c>
      <c r="W7">
        <v>7</v>
      </c>
      <c r="X7">
        <v>16</v>
      </c>
      <c r="Y7">
        <v>35</v>
      </c>
      <c r="Z7">
        <v>18</v>
      </c>
      <c r="AA7">
        <v>20</v>
      </c>
      <c r="AB7">
        <v>64</v>
      </c>
      <c r="AC7">
        <v>26</v>
      </c>
    </row>
    <row r="8" spans="1:29" x14ac:dyDescent="0.35">
      <c r="A8" t="str">
        <f>tech_pot!A8</f>
        <v>St-Sauveur</v>
      </c>
      <c r="B8">
        <v>14</v>
      </c>
      <c r="C8">
        <v>14</v>
      </c>
      <c r="D8">
        <v>14</v>
      </c>
      <c r="E8">
        <v>12</v>
      </c>
      <c r="F8">
        <v>10</v>
      </c>
      <c r="G8">
        <v>9</v>
      </c>
      <c r="H8">
        <v>5</v>
      </c>
      <c r="I8">
        <v>2</v>
      </c>
      <c r="J8">
        <v>3</v>
      </c>
      <c r="K8">
        <v>5</v>
      </c>
      <c r="L8">
        <v>22</v>
      </c>
      <c r="M8">
        <v>26</v>
      </c>
      <c r="N8">
        <v>20</v>
      </c>
      <c r="O8">
        <v>21</v>
      </c>
      <c r="P8">
        <v>12</v>
      </c>
      <c r="Q8">
        <v>18</v>
      </c>
      <c r="R8">
        <v>16</v>
      </c>
      <c r="S8">
        <v>5</v>
      </c>
      <c r="T8">
        <v>14</v>
      </c>
      <c r="U8">
        <v>2</v>
      </c>
      <c r="V8">
        <v>4</v>
      </c>
      <c r="W8">
        <v>5</v>
      </c>
      <c r="X8">
        <v>20</v>
      </c>
      <c r="Y8">
        <v>39</v>
      </c>
      <c r="Z8">
        <v>22</v>
      </c>
      <c r="AA8">
        <v>25</v>
      </c>
      <c r="AB8">
        <v>64</v>
      </c>
      <c r="AC8">
        <v>44</v>
      </c>
    </row>
    <row r="9" spans="1:29" x14ac:dyDescent="0.35">
      <c r="A9" t="str">
        <f>tech_pot!A9</f>
        <v>Bethisy-St-Pierre</v>
      </c>
      <c r="B9">
        <v>21</v>
      </c>
      <c r="C9">
        <v>21</v>
      </c>
      <c r="D9">
        <v>17</v>
      </c>
      <c r="E9">
        <v>15</v>
      </c>
      <c r="F9">
        <v>13</v>
      </c>
      <c r="G9">
        <v>13</v>
      </c>
      <c r="H9">
        <v>8</v>
      </c>
      <c r="I9">
        <v>3</v>
      </c>
      <c r="J9">
        <v>2</v>
      </c>
      <c r="K9">
        <v>2</v>
      </c>
      <c r="L9">
        <v>31</v>
      </c>
      <c r="M9">
        <v>27</v>
      </c>
      <c r="N9">
        <v>29</v>
      </c>
      <c r="O9">
        <v>29</v>
      </c>
      <c r="P9">
        <v>16</v>
      </c>
      <c r="Q9">
        <v>22</v>
      </c>
      <c r="R9">
        <v>23</v>
      </c>
      <c r="S9">
        <v>3</v>
      </c>
      <c r="T9">
        <v>14</v>
      </c>
      <c r="U9">
        <v>3</v>
      </c>
      <c r="V9">
        <v>6</v>
      </c>
      <c r="W9">
        <v>7</v>
      </c>
      <c r="X9">
        <v>21</v>
      </c>
      <c r="Y9">
        <v>43</v>
      </c>
      <c r="Z9">
        <v>26</v>
      </c>
      <c r="AA9">
        <v>28</v>
      </c>
      <c r="AB9">
        <v>57</v>
      </c>
      <c r="AC9">
        <v>41</v>
      </c>
    </row>
    <row r="10" spans="1:29" x14ac:dyDescent="0.35">
      <c r="A10" t="str">
        <f>tech_pot!A10</f>
        <v>Bethisy-St-Martin</v>
      </c>
      <c r="B10">
        <v>20</v>
      </c>
      <c r="C10">
        <v>20</v>
      </c>
      <c r="D10">
        <v>18</v>
      </c>
      <c r="E10">
        <v>17</v>
      </c>
      <c r="F10">
        <v>15</v>
      </c>
      <c r="G10">
        <v>14</v>
      </c>
      <c r="H10">
        <v>10</v>
      </c>
      <c r="I10">
        <v>5</v>
      </c>
      <c r="J10">
        <v>2</v>
      </c>
      <c r="K10">
        <v>2</v>
      </c>
      <c r="L10">
        <v>30</v>
      </c>
      <c r="M10">
        <v>26</v>
      </c>
      <c r="N10">
        <v>28</v>
      </c>
      <c r="O10">
        <v>28</v>
      </c>
      <c r="P10">
        <v>17</v>
      </c>
      <c r="Q10">
        <v>23</v>
      </c>
      <c r="R10">
        <v>22</v>
      </c>
      <c r="S10">
        <v>5</v>
      </c>
      <c r="T10">
        <v>13</v>
      </c>
      <c r="U10">
        <v>5</v>
      </c>
      <c r="V10">
        <v>7</v>
      </c>
      <c r="W10">
        <v>8</v>
      </c>
      <c r="X10">
        <v>20</v>
      </c>
      <c r="Y10">
        <v>51</v>
      </c>
      <c r="Z10">
        <v>39</v>
      </c>
      <c r="AA10">
        <v>41</v>
      </c>
      <c r="AB10">
        <v>57</v>
      </c>
      <c r="AC10">
        <v>42</v>
      </c>
    </row>
    <row r="11" spans="1:29" x14ac:dyDescent="0.35">
      <c r="A11" t="str">
        <f>tech_pot!A11</f>
        <v>Bienville</v>
      </c>
      <c r="B11">
        <v>5</v>
      </c>
      <c r="C11">
        <v>5</v>
      </c>
      <c r="D11">
        <v>6</v>
      </c>
      <c r="E11">
        <v>13</v>
      </c>
      <c r="F11">
        <v>16</v>
      </c>
      <c r="G11">
        <v>16</v>
      </c>
      <c r="H11">
        <v>17</v>
      </c>
      <c r="I11">
        <v>22</v>
      </c>
      <c r="J11">
        <v>31</v>
      </c>
      <c r="K11">
        <v>30</v>
      </c>
      <c r="L11">
        <v>2</v>
      </c>
      <c r="M11">
        <v>5</v>
      </c>
      <c r="N11">
        <v>2</v>
      </c>
      <c r="O11">
        <v>5</v>
      </c>
      <c r="P11">
        <v>14</v>
      </c>
      <c r="Q11">
        <v>10</v>
      </c>
      <c r="R11">
        <v>4</v>
      </c>
      <c r="S11">
        <v>27</v>
      </c>
      <c r="T11">
        <v>18</v>
      </c>
      <c r="U11">
        <v>23</v>
      </c>
      <c r="V11">
        <v>25</v>
      </c>
      <c r="W11">
        <v>26</v>
      </c>
      <c r="X11">
        <v>14</v>
      </c>
      <c r="Y11">
        <v>27</v>
      </c>
      <c r="Z11">
        <v>9</v>
      </c>
      <c r="AA11">
        <v>9</v>
      </c>
      <c r="AB11">
        <v>51</v>
      </c>
      <c r="AC11">
        <v>13</v>
      </c>
    </row>
    <row r="12" spans="1:29" x14ac:dyDescent="0.35">
      <c r="A12" t="str">
        <f>tech_pot!A12</f>
        <v>Choisy-au-Bac</v>
      </c>
      <c r="B12">
        <v>6</v>
      </c>
      <c r="C12">
        <v>6</v>
      </c>
      <c r="D12">
        <v>9</v>
      </c>
      <c r="E12">
        <v>13</v>
      </c>
      <c r="F12">
        <v>16</v>
      </c>
      <c r="G12">
        <v>16</v>
      </c>
      <c r="H12">
        <v>15</v>
      </c>
      <c r="I12">
        <v>26</v>
      </c>
      <c r="J12">
        <v>27</v>
      </c>
      <c r="K12">
        <v>26</v>
      </c>
      <c r="L12">
        <v>5</v>
      </c>
      <c r="M12">
        <v>2</v>
      </c>
      <c r="N12">
        <v>3</v>
      </c>
      <c r="O12">
        <v>3</v>
      </c>
      <c r="P12">
        <v>14</v>
      </c>
      <c r="Q12">
        <v>15</v>
      </c>
      <c r="R12">
        <v>5</v>
      </c>
      <c r="S12">
        <v>27</v>
      </c>
      <c r="T12">
        <v>14</v>
      </c>
      <c r="U12">
        <v>23</v>
      </c>
      <c r="V12">
        <v>23</v>
      </c>
      <c r="W12">
        <v>26</v>
      </c>
      <c r="X12">
        <v>9</v>
      </c>
      <c r="Y12">
        <v>19</v>
      </c>
      <c r="Z12">
        <v>14</v>
      </c>
      <c r="AA12">
        <v>17</v>
      </c>
      <c r="AB12">
        <v>47</v>
      </c>
      <c r="AC12">
        <v>17</v>
      </c>
    </row>
    <row r="13" spans="1:29" x14ac:dyDescent="0.35">
      <c r="A13" t="str">
        <f>tech_pot!A13</f>
        <v>Clairoix</v>
      </c>
      <c r="B13">
        <v>4</v>
      </c>
      <c r="C13">
        <v>4</v>
      </c>
      <c r="D13">
        <v>7</v>
      </c>
      <c r="E13">
        <v>11</v>
      </c>
      <c r="F13">
        <v>13</v>
      </c>
      <c r="G13">
        <v>14</v>
      </c>
      <c r="H13">
        <v>15</v>
      </c>
      <c r="I13">
        <v>20</v>
      </c>
      <c r="J13">
        <v>29</v>
      </c>
      <c r="K13">
        <v>28</v>
      </c>
      <c r="L13">
        <v>2</v>
      </c>
      <c r="M13">
        <v>3</v>
      </c>
      <c r="N13">
        <v>2</v>
      </c>
      <c r="O13">
        <v>3</v>
      </c>
      <c r="P13">
        <v>12</v>
      </c>
      <c r="Q13">
        <v>13</v>
      </c>
      <c r="R13">
        <v>3</v>
      </c>
      <c r="S13">
        <v>25</v>
      </c>
      <c r="T13">
        <v>16</v>
      </c>
      <c r="U13">
        <v>21</v>
      </c>
      <c r="V13">
        <v>23</v>
      </c>
      <c r="W13">
        <v>24</v>
      </c>
      <c r="X13">
        <v>12</v>
      </c>
      <c r="Y13">
        <v>25</v>
      </c>
      <c r="Z13">
        <v>12</v>
      </c>
      <c r="AA13">
        <v>10</v>
      </c>
      <c r="AB13">
        <v>49</v>
      </c>
      <c r="AC13">
        <v>15</v>
      </c>
    </row>
    <row r="14" spans="1:29" x14ac:dyDescent="0.35">
      <c r="A14" t="str">
        <f>tech_pot!A14</f>
        <v>Janville</v>
      </c>
      <c r="B14">
        <v>6</v>
      </c>
      <c r="C14">
        <v>6</v>
      </c>
      <c r="D14">
        <v>9</v>
      </c>
      <c r="E14">
        <v>13</v>
      </c>
      <c r="F14">
        <v>16</v>
      </c>
      <c r="G14">
        <v>16</v>
      </c>
      <c r="H14">
        <v>17</v>
      </c>
      <c r="I14">
        <v>21</v>
      </c>
      <c r="J14">
        <v>29</v>
      </c>
      <c r="K14">
        <v>28</v>
      </c>
      <c r="L14">
        <v>5</v>
      </c>
      <c r="M14">
        <v>3</v>
      </c>
      <c r="N14">
        <v>3</v>
      </c>
      <c r="O14">
        <v>2</v>
      </c>
      <c r="P14">
        <v>14</v>
      </c>
      <c r="Q14">
        <v>15</v>
      </c>
      <c r="R14">
        <v>5</v>
      </c>
      <c r="S14">
        <v>27</v>
      </c>
      <c r="T14">
        <v>16</v>
      </c>
      <c r="U14">
        <v>23</v>
      </c>
      <c r="V14">
        <v>25</v>
      </c>
      <c r="W14">
        <v>26</v>
      </c>
      <c r="X14">
        <v>12</v>
      </c>
      <c r="Y14">
        <v>20</v>
      </c>
      <c r="Z14">
        <v>14</v>
      </c>
      <c r="AA14">
        <v>12</v>
      </c>
      <c r="AB14">
        <v>49</v>
      </c>
      <c r="AC14">
        <v>17</v>
      </c>
    </row>
    <row r="15" spans="1:29" x14ac:dyDescent="0.35">
      <c r="A15" t="str">
        <f>tech_pot!A15</f>
        <v>Jonquières</v>
      </c>
      <c r="B15">
        <v>10</v>
      </c>
      <c r="C15">
        <v>10</v>
      </c>
      <c r="D15">
        <v>9</v>
      </c>
      <c r="E15">
        <v>6</v>
      </c>
      <c r="F15">
        <v>5</v>
      </c>
      <c r="G15">
        <v>3</v>
      </c>
      <c r="H15">
        <v>8</v>
      </c>
      <c r="I15">
        <v>12</v>
      </c>
      <c r="J15">
        <v>16</v>
      </c>
      <c r="K15">
        <v>17</v>
      </c>
      <c r="L15">
        <v>14</v>
      </c>
      <c r="M15">
        <v>14</v>
      </c>
      <c r="N15">
        <v>12</v>
      </c>
      <c r="O15">
        <v>14</v>
      </c>
      <c r="P15">
        <v>2</v>
      </c>
      <c r="Q15">
        <v>7</v>
      </c>
      <c r="R15">
        <v>9</v>
      </c>
      <c r="S15">
        <v>17</v>
      </c>
      <c r="T15">
        <v>20</v>
      </c>
      <c r="U15">
        <v>14</v>
      </c>
      <c r="V15">
        <v>16</v>
      </c>
      <c r="W15">
        <v>14</v>
      </c>
      <c r="X15">
        <v>22</v>
      </c>
      <c r="Y15">
        <v>32</v>
      </c>
      <c r="Z15">
        <v>11</v>
      </c>
      <c r="AA15">
        <v>14</v>
      </c>
      <c r="AB15">
        <v>59</v>
      </c>
      <c r="AC15">
        <v>27</v>
      </c>
    </row>
    <row r="16" spans="1:29" x14ac:dyDescent="0.35">
      <c r="A16" t="str">
        <f>tech_pot!A16</f>
        <v>Lachelle</v>
      </c>
      <c r="B16">
        <v>10</v>
      </c>
      <c r="C16">
        <v>10</v>
      </c>
      <c r="D16">
        <v>6</v>
      </c>
      <c r="E16">
        <v>8</v>
      </c>
      <c r="F16">
        <v>10</v>
      </c>
      <c r="G16">
        <v>10</v>
      </c>
      <c r="H16">
        <v>14</v>
      </c>
      <c r="I16">
        <v>18</v>
      </c>
      <c r="J16">
        <v>22</v>
      </c>
      <c r="K16">
        <v>23</v>
      </c>
      <c r="L16">
        <v>10</v>
      </c>
      <c r="M16">
        <v>15</v>
      </c>
      <c r="N16">
        <v>13</v>
      </c>
      <c r="O16">
        <v>15</v>
      </c>
      <c r="P16">
        <v>7</v>
      </c>
      <c r="Q16">
        <v>2</v>
      </c>
      <c r="R16">
        <v>9</v>
      </c>
      <c r="S16">
        <v>24</v>
      </c>
      <c r="T16">
        <v>22</v>
      </c>
      <c r="U16">
        <v>20</v>
      </c>
      <c r="V16">
        <v>22</v>
      </c>
      <c r="W16">
        <v>24</v>
      </c>
      <c r="X16">
        <v>23</v>
      </c>
      <c r="Y16">
        <v>33</v>
      </c>
      <c r="Z16">
        <v>4</v>
      </c>
      <c r="AA16">
        <v>7</v>
      </c>
      <c r="AB16">
        <v>60</v>
      </c>
      <c r="AC16">
        <v>13</v>
      </c>
    </row>
    <row r="17" spans="1:29" x14ac:dyDescent="0.35">
      <c r="A17" t="str">
        <f>tech_pot!A17</f>
        <v>Margny-lès-Compiègne</v>
      </c>
      <c r="B17">
        <v>2</v>
      </c>
      <c r="C17">
        <v>2</v>
      </c>
      <c r="D17">
        <v>2</v>
      </c>
      <c r="E17">
        <v>7</v>
      </c>
      <c r="F17">
        <v>9</v>
      </c>
      <c r="G17">
        <v>11</v>
      </c>
      <c r="H17">
        <v>11</v>
      </c>
      <c r="I17">
        <v>16</v>
      </c>
      <c r="J17">
        <v>23</v>
      </c>
      <c r="K17">
        <v>22</v>
      </c>
      <c r="L17">
        <v>4</v>
      </c>
      <c r="M17">
        <v>5</v>
      </c>
      <c r="N17">
        <v>3</v>
      </c>
      <c r="O17">
        <v>5</v>
      </c>
      <c r="P17">
        <v>9</v>
      </c>
      <c r="Q17">
        <v>9</v>
      </c>
      <c r="R17">
        <v>2</v>
      </c>
      <c r="S17">
        <v>22</v>
      </c>
      <c r="T17">
        <v>12</v>
      </c>
      <c r="U17">
        <v>19</v>
      </c>
      <c r="V17">
        <v>20</v>
      </c>
      <c r="W17">
        <v>21</v>
      </c>
      <c r="X17">
        <v>13</v>
      </c>
      <c r="Y17">
        <v>27</v>
      </c>
      <c r="Z17">
        <v>8</v>
      </c>
      <c r="AA17">
        <v>11</v>
      </c>
      <c r="AB17">
        <v>51</v>
      </c>
      <c r="AC17">
        <v>16</v>
      </c>
    </row>
    <row r="18" spans="1:29" x14ac:dyDescent="0.35">
      <c r="A18" t="str">
        <f>tech_pot!A18</f>
        <v>Nery</v>
      </c>
      <c r="B18">
        <v>20</v>
      </c>
      <c r="C18">
        <v>20</v>
      </c>
      <c r="D18">
        <v>19</v>
      </c>
      <c r="E18">
        <v>17</v>
      </c>
      <c r="F18">
        <v>15</v>
      </c>
      <c r="G18">
        <v>14</v>
      </c>
      <c r="H18">
        <v>10</v>
      </c>
      <c r="I18">
        <v>5</v>
      </c>
      <c r="J18">
        <v>3</v>
      </c>
      <c r="K18">
        <v>5</v>
      </c>
      <c r="L18">
        <v>27</v>
      </c>
      <c r="M18">
        <v>27</v>
      </c>
      <c r="N18">
        <v>25</v>
      </c>
      <c r="O18">
        <v>27</v>
      </c>
      <c r="P18">
        <v>17</v>
      </c>
      <c r="Q18">
        <v>24</v>
      </c>
      <c r="R18">
        <v>22</v>
      </c>
      <c r="S18">
        <v>2</v>
      </c>
      <c r="T18">
        <v>19</v>
      </c>
      <c r="U18">
        <v>5</v>
      </c>
      <c r="V18">
        <v>7</v>
      </c>
      <c r="W18">
        <v>10</v>
      </c>
      <c r="X18">
        <v>25</v>
      </c>
      <c r="Y18">
        <v>45</v>
      </c>
      <c r="Z18">
        <v>27</v>
      </c>
      <c r="AA18">
        <v>43</v>
      </c>
      <c r="AB18">
        <v>66</v>
      </c>
      <c r="AC18">
        <v>44</v>
      </c>
    </row>
    <row r="19" spans="1:29" x14ac:dyDescent="0.35">
      <c r="A19" t="str">
        <f>tech_pot!A19</f>
        <v>Saint-Jean-aux-Bois</v>
      </c>
      <c r="B19">
        <v>10</v>
      </c>
      <c r="C19">
        <v>10</v>
      </c>
      <c r="D19">
        <v>17</v>
      </c>
      <c r="E19">
        <v>17</v>
      </c>
      <c r="F19">
        <v>16</v>
      </c>
      <c r="G19">
        <v>16</v>
      </c>
      <c r="H19">
        <v>9</v>
      </c>
      <c r="I19">
        <v>14</v>
      </c>
      <c r="J19">
        <v>14</v>
      </c>
      <c r="K19">
        <v>13</v>
      </c>
      <c r="L19">
        <v>18</v>
      </c>
      <c r="M19">
        <v>14</v>
      </c>
      <c r="N19">
        <v>16</v>
      </c>
      <c r="O19">
        <v>16</v>
      </c>
      <c r="P19">
        <v>20</v>
      </c>
      <c r="Q19">
        <v>22</v>
      </c>
      <c r="R19">
        <v>12</v>
      </c>
      <c r="S19">
        <v>19</v>
      </c>
      <c r="T19">
        <v>2</v>
      </c>
      <c r="U19">
        <v>15</v>
      </c>
      <c r="V19">
        <v>17</v>
      </c>
      <c r="W19">
        <v>16</v>
      </c>
      <c r="X19">
        <v>7</v>
      </c>
      <c r="Y19">
        <v>39</v>
      </c>
      <c r="Z19">
        <v>27</v>
      </c>
      <c r="AA19">
        <v>29</v>
      </c>
      <c r="AB19">
        <v>50</v>
      </c>
      <c r="AC19">
        <v>31</v>
      </c>
    </row>
    <row r="20" spans="1:29" x14ac:dyDescent="0.35">
      <c r="A20" t="str">
        <f>tech_pot!A20</f>
        <v>Saintines</v>
      </c>
      <c r="B20">
        <v>16</v>
      </c>
      <c r="C20">
        <v>16</v>
      </c>
      <c r="D20">
        <v>15</v>
      </c>
      <c r="E20">
        <v>14</v>
      </c>
      <c r="F20">
        <v>12</v>
      </c>
      <c r="G20">
        <v>11</v>
      </c>
      <c r="H20">
        <v>7</v>
      </c>
      <c r="I20">
        <v>2</v>
      </c>
      <c r="J20">
        <v>3</v>
      </c>
      <c r="K20">
        <v>5</v>
      </c>
      <c r="L20">
        <v>23</v>
      </c>
      <c r="M20">
        <v>23</v>
      </c>
      <c r="N20">
        <v>21</v>
      </c>
      <c r="O20">
        <v>23</v>
      </c>
      <c r="P20">
        <v>14</v>
      </c>
      <c r="Q20">
        <v>20</v>
      </c>
      <c r="R20">
        <v>19</v>
      </c>
      <c r="S20">
        <v>5</v>
      </c>
      <c r="T20">
        <v>15</v>
      </c>
      <c r="U20">
        <v>2</v>
      </c>
      <c r="V20">
        <v>3</v>
      </c>
      <c r="W20">
        <v>4</v>
      </c>
      <c r="X20">
        <v>22</v>
      </c>
      <c r="Y20">
        <v>41</v>
      </c>
      <c r="Z20">
        <v>24</v>
      </c>
      <c r="AA20">
        <v>37</v>
      </c>
      <c r="AB20">
        <v>61</v>
      </c>
      <c r="AC20">
        <v>39</v>
      </c>
    </row>
    <row r="21" spans="1:29" x14ac:dyDescent="0.35">
      <c r="A21" t="str">
        <f>tech_pot!A21</f>
        <v>Saint-Vaast de Longmont</v>
      </c>
      <c r="B21">
        <v>18</v>
      </c>
      <c r="C21">
        <v>18</v>
      </c>
      <c r="D21">
        <v>17</v>
      </c>
      <c r="E21">
        <v>14</v>
      </c>
      <c r="F21">
        <v>12</v>
      </c>
      <c r="G21">
        <v>13</v>
      </c>
      <c r="H21">
        <v>8</v>
      </c>
      <c r="I21">
        <v>4</v>
      </c>
      <c r="J21">
        <v>6</v>
      </c>
      <c r="K21">
        <v>7</v>
      </c>
      <c r="L21">
        <v>25</v>
      </c>
      <c r="M21">
        <v>23</v>
      </c>
      <c r="N21">
        <v>23</v>
      </c>
      <c r="O21">
        <v>25</v>
      </c>
      <c r="P21">
        <v>16</v>
      </c>
      <c r="Q21">
        <v>22</v>
      </c>
      <c r="R21">
        <v>20</v>
      </c>
      <c r="S21">
        <v>7</v>
      </c>
      <c r="T21">
        <v>17</v>
      </c>
      <c r="U21">
        <v>3</v>
      </c>
      <c r="V21">
        <v>2</v>
      </c>
      <c r="W21">
        <v>2</v>
      </c>
      <c r="X21">
        <v>23</v>
      </c>
      <c r="Y21">
        <v>43</v>
      </c>
      <c r="Z21">
        <v>23</v>
      </c>
      <c r="AA21">
        <v>36</v>
      </c>
      <c r="AB21">
        <v>71</v>
      </c>
      <c r="AC21">
        <v>37</v>
      </c>
    </row>
    <row r="22" spans="1:29" x14ac:dyDescent="0.35">
      <c r="A22" t="str">
        <f>tech_pot!A22</f>
        <v>Verberie</v>
      </c>
      <c r="B22">
        <v>16</v>
      </c>
      <c r="C22">
        <v>16</v>
      </c>
      <c r="D22">
        <v>18</v>
      </c>
      <c r="E22">
        <v>12</v>
      </c>
      <c r="F22">
        <v>10</v>
      </c>
      <c r="G22">
        <v>11</v>
      </c>
      <c r="H22">
        <v>7</v>
      </c>
      <c r="I22">
        <v>5</v>
      </c>
      <c r="J22">
        <v>7</v>
      </c>
      <c r="K22">
        <v>8</v>
      </c>
      <c r="L22">
        <v>26</v>
      </c>
      <c r="M22">
        <v>26</v>
      </c>
      <c r="N22">
        <v>24</v>
      </c>
      <c r="O22">
        <v>26</v>
      </c>
      <c r="P22">
        <v>14</v>
      </c>
      <c r="Q22">
        <v>24</v>
      </c>
      <c r="R22">
        <v>21</v>
      </c>
      <c r="S22">
        <v>10</v>
      </c>
      <c r="T22">
        <v>16</v>
      </c>
      <c r="U22">
        <v>4</v>
      </c>
      <c r="V22">
        <v>2</v>
      </c>
      <c r="W22">
        <v>2</v>
      </c>
      <c r="X22">
        <v>22</v>
      </c>
      <c r="Y22">
        <v>43</v>
      </c>
      <c r="Z22">
        <v>21</v>
      </c>
      <c r="AA22">
        <v>34</v>
      </c>
      <c r="AB22">
        <v>70</v>
      </c>
      <c r="AC22">
        <v>35</v>
      </c>
    </row>
    <row r="23" spans="1:29" x14ac:dyDescent="0.35">
      <c r="A23" t="str">
        <f>tech_pot!A23</f>
        <v>Vieux-Moulin</v>
      </c>
      <c r="B23">
        <v>9</v>
      </c>
      <c r="C23">
        <v>9</v>
      </c>
      <c r="D23">
        <v>17</v>
      </c>
      <c r="E23">
        <v>15</v>
      </c>
      <c r="F23">
        <v>17</v>
      </c>
      <c r="G23">
        <v>24</v>
      </c>
      <c r="H23">
        <v>16</v>
      </c>
      <c r="I23">
        <v>20</v>
      </c>
      <c r="J23">
        <v>21</v>
      </c>
      <c r="K23">
        <v>20</v>
      </c>
      <c r="L23">
        <v>14</v>
      </c>
      <c r="M23">
        <v>9</v>
      </c>
      <c r="N23">
        <v>12</v>
      </c>
      <c r="O23">
        <v>12</v>
      </c>
      <c r="P23">
        <v>22</v>
      </c>
      <c r="Q23">
        <v>23</v>
      </c>
      <c r="R23">
        <v>13</v>
      </c>
      <c r="S23">
        <v>25</v>
      </c>
      <c r="T23">
        <v>7</v>
      </c>
      <c r="U23">
        <v>22</v>
      </c>
      <c r="V23">
        <v>23</v>
      </c>
      <c r="W23">
        <v>22</v>
      </c>
      <c r="X23">
        <v>2</v>
      </c>
      <c r="Y23">
        <v>35</v>
      </c>
      <c r="Z23">
        <v>22</v>
      </c>
      <c r="AA23">
        <v>25</v>
      </c>
      <c r="AB23">
        <v>45</v>
      </c>
      <c r="AC23">
        <v>26</v>
      </c>
    </row>
    <row r="24" spans="1:29" x14ac:dyDescent="0.35">
      <c r="A24" t="s">
        <v>72</v>
      </c>
      <c r="B24">
        <v>28</v>
      </c>
      <c r="C24">
        <v>28</v>
      </c>
      <c r="D24">
        <v>27</v>
      </c>
      <c r="E24">
        <v>30</v>
      </c>
      <c r="F24">
        <v>33</v>
      </c>
      <c r="G24">
        <v>34</v>
      </c>
      <c r="H24">
        <v>35</v>
      </c>
      <c r="I24">
        <v>39</v>
      </c>
      <c r="J24">
        <v>43</v>
      </c>
      <c r="K24">
        <v>51</v>
      </c>
      <c r="L24">
        <v>27</v>
      </c>
      <c r="M24">
        <v>19</v>
      </c>
      <c r="N24">
        <v>25</v>
      </c>
      <c r="O24">
        <v>20</v>
      </c>
      <c r="P24">
        <v>32</v>
      </c>
      <c r="Q24">
        <v>33</v>
      </c>
      <c r="R24">
        <v>27</v>
      </c>
      <c r="S24">
        <v>45</v>
      </c>
      <c r="T24">
        <v>39</v>
      </c>
      <c r="U24">
        <v>41</v>
      </c>
      <c r="V24">
        <v>43</v>
      </c>
      <c r="W24">
        <v>43</v>
      </c>
      <c r="X24">
        <v>35</v>
      </c>
      <c r="Y24">
        <v>2</v>
      </c>
      <c r="Z24">
        <v>32</v>
      </c>
      <c r="AA24">
        <v>25</v>
      </c>
      <c r="AB24">
        <v>55</v>
      </c>
      <c r="AC24">
        <v>19</v>
      </c>
    </row>
    <row r="25" spans="1:29" x14ac:dyDescent="0.35">
      <c r="A25" t="s">
        <v>67</v>
      </c>
      <c r="B25">
        <v>10</v>
      </c>
      <c r="C25">
        <v>10</v>
      </c>
      <c r="D25">
        <v>9</v>
      </c>
      <c r="E25">
        <v>13</v>
      </c>
      <c r="F25">
        <v>14</v>
      </c>
      <c r="G25">
        <v>14</v>
      </c>
      <c r="H25">
        <v>18</v>
      </c>
      <c r="I25">
        <v>22</v>
      </c>
      <c r="J25">
        <v>26</v>
      </c>
      <c r="K25">
        <v>39</v>
      </c>
      <c r="L25">
        <v>9</v>
      </c>
      <c r="M25">
        <v>14</v>
      </c>
      <c r="N25">
        <v>12</v>
      </c>
      <c r="O25">
        <v>14</v>
      </c>
      <c r="P25">
        <v>11</v>
      </c>
      <c r="Q25">
        <v>4</v>
      </c>
      <c r="R25">
        <v>8</v>
      </c>
      <c r="S25">
        <v>27</v>
      </c>
      <c r="T25">
        <v>27</v>
      </c>
      <c r="U25">
        <v>24</v>
      </c>
      <c r="V25">
        <v>23</v>
      </c>
      <c r="W25">
        <v>21</v>
      </c>
      <c r="X25">
        <v>22</v>
      </c>
      <c r="Y25">
        <v>32</v>
      </c>
      <c r="Z25">
        <v>2</v>
      </c>
      <c r="AA25">
        <v>3</v>
      </c>
      <c r="AB25">
        <v>60</v>
      </c>
      <c r="AC25">
        <v>9</v>
      </c>
    </row>
    <row r="26" spans="1:29" x14ac:dyDescent="0.35">
      <c r="A26" t="s">
        <v>68</v>
      </c>
      <c r="B26">
        <v>12</v>
      </c>
      <c r="C26">
        <v>12</v>
      </c>
      <c r="D26">
        <v>12</v>
      </c>
      <c r="E26">
        <v>15</v>
      </c>
      <c r="F26">
        <v>17</v>
      </c>
      <c r="G26">
        <v>20</v>
      </c>
      <c r="H26">
        <v>20</v>
      </c>
      <c r="I26">
        <v>25</v>
      </c>
      <c r="J26">
        <v>28</v>
      </c>
      <c r="K26">
        <v>41</v>
      </c>
      <c r="L26">
        <v>9</v>
      </c>
      <c r="M26">
        <v>17</v>
      </c>
      <c r="N26">
        <v>10</v>
      </c>
      <c r="O26">
        <v>12</v>
      </c>
      <c r="P26">
        <v>14</v>
      </c>
      <c r="Q26">
        <v>7</v>
      </c>
      <c r="R26">
        <v>11</v>
      </c>
      <c r="S26">
        <v>43</v>
      </c>
      <c r="T26">
        <v>29</v>
      </c>
      <c r="U26">
        <v>37</v>
      </c>
      <c r="V26">
        <v>36</v>
      </c>
      <c r="W26">
        <v>34</v>
      </c>
      <c r="X26">
        <v>25</v>
      </c>
      <c r="Y26">
        <v>25</v>
      </c>
      <c r="Z26">
        <v>3</v>
      </c>
      <c r="AA26">
        <v>2</v>
      </c>
      <c r="AB26">
        <v>63</v>
      </c>
      <c r="AC26">
        <v>6</v>
      </c>
    </row>
    <row r="27" spans="1:29" x14ac:dyDescent="0.35">
      <c r="A27" t="s">
        <v>71</v>
      </c>
      <c r="B27">
        <v>50</v>
      </c>
      <c r="C27">
        <v>50</v>
      </c>
      <c r="D27">
        <v>54</v>
      </c>
      <c r="E27">
        <v>58</v>
      </c>
      <c r="F27">
        <v>60</v>
      </c>
      <c r="G27">
        <v>62</v>
      </c>
      <c r="H27">
        <v>64</v>
      </c>
      <c r="I27">
        <v>64</v>
      </c>
      <c r="J27">
        <v>57</v>
      </c>
      <c r="K27">
        <v>57</v>
      </c>
      <c r="L27">
        <v>51</v>
      </c>
      <c r="M27">
        <v>47</v>
      </c>
      <c r="N27">
        <v>49</v>
      </c>
      <c r="O27">
        <v>49</v>
      </c>
      <c r="P27">
        <v>59</v>
      </c>
      <c r="Q27">
        <v>60</v>
      </c>
      <c r="R27">
        <v>51</v>
      </c>
      <c r="S27">
        <v>66</v>
      </c>
      <c r="T27">
        <v>50</v>
      </c>
      <c r="U27">
        <v>61</v>
      </c>
      <c r="V27">
        <v>71</v>
      </c>
      <c r="W27">
        <v>70</v>
      </c>
      <c r="X27">
        <v>45</v>
      </c>
      <c r="Y27">
        <v>55</v>
      </c>
      <c r="Z27">
        <v>60</v>
      </c>
      <c r="AA27">
        <v>63</v>
      </c>
      <c r="AB27">
        <v>2</v>
      </c>
      <c r="AC27">
        <v>64</v>
      </c>
    </row>
    <row r="28" spans="1:29" x14ac:dyDescent="0.35">
      <c r="A28" t="s">
        <v>70</v>
      </c>
      <c r="B28">
        <v>18</v>
      </c>
      <c r="C28">
        <v>18</v>
      </c>
      <c r="D28">
        <v>17</v>
      </c>
      <c r="E28">
        <v>28</v>
      </c>
      <c r="F28">
        <v>30</v>
      </c>
      <c r="G28">
        <v>30</v>
      </c>
      <c r="H28">
        <v>26</v>
      </c>
      <c r="I28">
        <v>44</v>
      </c>
      <c r="J28">
        <v>41</v>
      </c>
      <c r="K28">
        <v>42</v>
      </c>
      <c r="L28">
        <v>13</v>
      </c>
      <c r="M28">
        <v>17</v>
      </c>
      <c r="N28">
        <v>15</v>
      </c>
      <c r="O28">
        <v>17</v>
      </c>
      <c r="P28">
        <v>27</v>
      </c>
      <c r="Q28">
        <v>13</v>
      </c>
      <c r="R28">
        <v>16</v>
      </c>
      <c r="S28">
        <v>44</v>
      </c>
      <c r="T28">
        <v>31</v>
      </c>
      <c r="U28">
        <v>39</v>
      </c>
      <c r="V28">
        <v>37</v>
      </c>
      <c r="W28">
        <v>35</v>
      </c>
      <c r="X28">
        <v>26</v>
      </c>
      <c r="Y28">
        <v>19</v>
      </c>
      <c r="Z28">
        <v>9</v>
      </c>
      <c r="AA28">
        <v>6</v>
      </c>
      <c r="AB28">
        <v>64</v>
      </c>
      <c r="AC28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AB40-5CA3-462E-A87B-9CF9631CDA94}">
  <dimension ref="A1:C23"/>
  <sheetViews>
    <sheetView workbookViewId="0">
      <selection activeCell="A2" sqref="A2:A23"/>
    </sheetView>
  </sheetViews>
  <sheetFormatPr baseColWidth="10" defaultRowHeight="14.5" x14ac:dyDescent="0.35"/>
  <cols>
    <col min="1" max="1" width="12.7265625" customWidth="1"/>
    <col min="2" max="2" width="21" customWidth="1"/>
  </cols>
  <sheetData>
    <row r="1" spans="1:3" x14ac:dyDescent="0.35">
      <c r="B1" t="s">
        <v>82</v>
      </c>
    </row>
    <row r="2" spans="1:3" x14ac:dyDescent="0.35">
      <c r="A2" t="str">
        <f>mun!A2</f>
        <v>Compiègne</v>
      </c>
      <c r="B2">
        <v>46</v>
      </c>
    </row>
    <row r="3" spans="1:3" x14ac:dyDescent="0.35">
      <c r="A3" t="str">
        <f>mun!A3</f>
        <v>Venette</v>
      </c>
      <c r="B3">
        <v>5</v>
      </c>
      <c r="C3">
        <v>30</v>
      </c>
    </row>
    <row r="4" spans="1:3" x14ac:dyDescent="0.35">
      <c r="A4" t="str">
        <f>mun!A4</f>
        <v>Jaux</v>
      </c>
      <c r="B4">
        <v>5</v>
      </c>
    </row>
    <row r="5" spans="1:3" x14ac:dyDescent="0.35">
      <c r="A5" t="str">
        <f>mun!A5</f>
        <v>Armancourt</v>
      </c>
      <c r="B5">
        <v>5</v>
      </c>
    </row>
    <row r="6" spans="1:3" x14ac:dyDescent="0.35">
      <c r="A6" t="str">
        <f>mun!A6</f>
        <v>Le Meux</v>
      </c>
      <c r="B6">
        <v>5</v>
      </c>
    </row>
    <row r="7" spans="1:3" x14ac:dyDescent="0.35">
      <c r="A7" t="str">
        <f>mun!A7</f>
        <v>La Croix-St-Ouen</v>
      </c>
      <c r="B7">
        <v>5</v>
      </c>
      <c r="C7">
        <v>46</v>
      </c>
    </row>
    <row r="8" spans="1:3" x14ac:dyDescent="0.35">
      <c r="A8" t="str">
        <f>mun!A8</f>
        <v>St-Sauveur</v>
      </c>
      <c r="B8">
        <v>5</v>
      </c>
    </row>
    <row r="9" spans="1:3" x14ac:dyDescent="0.35">
      <c r="A9" t="str">
        <f>mun!A9</f>
        <v>Bethisy-St-Pierre</v>
      </c>
      <c r="B9">
        <v>19</v>
      </c>
      <c r="C9">
        <v>17</v>
      </c>
    </row>
    <row r="10" spans="1:3" x14ac:dyDescent="0.35">
      <c r="A10" t="str">
        <f>mun!A10</f>
        <v>Bethisy-St-Martin</v>
      </c>
      <c r="B10">
        <v>19</v>
      </c>
      <c r="C10">
        <v>12</v>
      </c>
    </row>
    <row r="11" spans="1:3" x14ac:dyDescent="0.35">
      <c r="A11" t="str">
        <f>mun!A11</f>
        <v>Bienville</v>
      </c>
      <c r="B11">
        <v>5</v>
      </c>
    </row>
    <row r="12" spans="1:3" x14ac:dyDescent="0.35">
      <c r="A12" t="str">
        <f>mun!A12</f>
        <v>Choisy-au-Bac</v>
      </c>
      <c r="B12">
        <v>5</v>
      </c>
    </row>
    <row r="13" spans="1:3" x14ac:dyDescent="0.35">
      <c r="A13" t="str">
        <f>mun!A13</f>
        <v>Clairoix</v>
      </c>
      <c r="B13">
        <v>5</v>
      </c>
    </row>
    <row r="14" spans="1:3" x14ac:dyDescent="0.35">
      <c r="A14" t="str">
        <f>mun!A14</f>
        <v>Janville</v>
      </c>
      <c r="B14">
        <v>5</v>
      </c>
      <c r="C14">
        <v>5</v>
      </c>
    </row>
    <row r="15" spans="1:3" x14ac:dyDescent="0.35">
      <c r="A15" t="str">
        <f>mun!A15</f>
        <v>Jonquières</v>
      </c>
      <c r="B15">
        <v>5</v>
      </c>
    </row>
    <row r="16" spans="1:3" x14ac:dyDescent="0.35">
      <c r="A16" t="str">
        <f>mun!A16</f>
        <v>Lachelle</v>
      </c>
      <c r="B16">
        <v>5</v>
      </c>
    </row>
    <row r="17" spans="1:2" x14ac:dyDescent="0.35">
      <c r="A17" t="str">
        <f>mun!A17</f>
        <v>Margny-lès-Compiègne</v>
      </c>
      <c r="B17">
        <v>5</v>
      </c>
    </row>
    <row r="18" spans="1:2" x14ac:dyDescent="0.35">
      <c r="A18" t="str">
        <f>mun!A18</f>
        <v>Nery</v>
      </c>
      <c r="B18">
        <v>19</v>
      </c>
    </row>
    <row r="19" spans="1:2" x14ac:dyDescent="0.35">
      <c r="A19" t="str">
        <f>mun!A19</f>
        <v>Saint-Jean-aux-Bois</v>
      </c>
      <c r="B19">
        <v>5</v>
      </c>
    </row>
    <row r="20" spans="1:2" x14ac:dyDescent="0.35">
      <c r="A20" t="str">
        <f>mun!A20</f>
        <v>Saintines</v>
      </c>
      <c r="B20">
        <v>19</v>
      </c>
    </row>
    <row r="21" spans="1:2" x14ac:dyDescent="0.35">
      <c r="A21" t="str">
        <f>mun!A21</f>
        <v>Saint-Vaast de Longmont</v>
      </c>
      <c r="B21">
        <v>19</v>
      </c>
    </row>
    <row r="22" spans="1:2" x14ac:dyDescent="0.35">
      <c r="A22" t="str">
        <f>mun!A22</f>
        <v>Verberie</v>
      </c>
      <c r="B22">
        <v>19</v>
      </c>
    </row>
    <row r="23" spans="1:2" x14ac:dyDescent="0.35">
      <c r="A23" t="str">
        <f>mun!A23</f>
        <v>Vieux-Moulin</v>
      </c>
      <c r="B23">
        <v>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B2B0E-AECF-41DB-AC20-A757648DB06D}">
  <dimension ref="A1:I15"/>
  <sheetViews>
    <sheetView workbookViewId="0">
      <selection activeCell="E2" sqref="E2"/>
    </sheetView>
  </sheetViews>
  <sheetFormatPr baseColWidth="10" defaultRowHeight="14.5" x14ac:dyDescent="0.35"/>
  <sheetData>
    <row r="1" spans="1:9" x14ac:dyDescent="0.35">
      <c r="B1" t="s">
        <v>12</v>
      </c>
      <c r="D1" t="s">
        <v>13</v>
      </c>
      <c r="F1" t="s">
        <v>14</v>
      </c>
      <c r="H1" t="s">
        <v>15</v>
      </c>
    </row>
    <row r="2" spans="1:9" x14ac:dyDescent="0.35">
      <c r="A2" t="s">
        <v>16</v>
      </c>
      <c r="B2" t="s">
        <v>26</v>
      </c>
      <c r="C2" t="s">
        <v>28</v>
      </c>
      <c r="D2" t="s">
        <v>26</v>
      </c>
      <c r="E2" t="s">
        <v>28</v>
      </c>
      <c r="F2" t="s">
        <v>26</v>
      </c>
      <c r="G2" t="s">
        <v>28</v>
      </c>
      <c r="H2" t="s">
        <v>26</v>
      </c>
      <c r="I2" t="s">
        <v>28</v>
      </c>
    </row>
    <row r="3" spans="1:9" x14ac:dyDescent="0.35">
      <c r="A3" t="s">
        <v>0</v>
      </c>
      <c r="B3">
        <v>1</v>
      </c>
      <c r="D3">
        <v>0</v>
      </c>
      <c r="F3">
        <v>1</v>
      </c>
      <c r="H3">
        <v>0</v>
      </c>
    </row>
    <row r="4" spans="1:9" x14ac:dyDescent="0.35">
      <c r="A4" t="s">
        <v>1</v>
      </c>
      <c r="B4">
        <v>1</v>
      </c>
      <c r="D4">
        <v>0</v>
      </c>
      <c r="F4">
        <v>0</v>
      </c>
      <c r="H4">
        <v>0</v>
      </c>
    </row>
    <row r="5" spans="1:9" x14ac:dyDescent="0.35">
      <c r="A5" t="s">
        <v>2</v>
      </c>
      <c r="B5">
        <v>1</v>
      </c>
      <c r="D5">
        <v>1</v>
      </c>
      <c r="F5">
        <v>0</v>
      </c>
      <c r="H5">
        <v>1</v>
      </c>
    </row>
    <row r="6" spans="1:9" x14ac:dyDescent="0.35">
      <c r="A6" t="s">
        <v>9</v>
      </c>
      <c r="B6">
        <v>1</v>
      </c>
      <c r="D6">
        <v>0</v>
      </c>
      <c r="F6">
        <v>1</v>
      </c>
      <c r="H6">
        <v>0</v>
      </c>
    </row>
    <row r="7" spans="1:9" x14ac:dyDescent="0.35">
      <c r="A7" t="s">
        <v>10</v>
      </c>
      <c r="B7">
        <v>1</v>
      </c>
      <c r="D7">
        <v>1</v>
      </c>
      <c r="F7">
        <v>0</v>
      </c>
      <c r="H7">
        <v>0</v>
      </c>
    </row>
    <row r="8" spans="1:9" x14ac:dyDescent="0.35">
      <c r="A8" t="s">
        <v>11</v>
      </c>
      <c r="B8">
        <v>1</v>
      </c>
      <c r="D8">
        <v>1</v>
      </c>
      <c r="F8">
        <v>0</v>
      </c>
      <c r="H8">
        <v>1</v>
      </c>
    </row>
    <row r="9" spans="1:9" x14ac:dyDescent="0.35">
      <c r="A9" t="s">
        <v>6</v>
      </c>
      <c r="B9">
        <v>1</v>
      </c>
      <c r="D9">
        <v>1</v>
      </c>
      <c r="F9">
        <v>1</v>
      </c>
      <c r="H9">
        <v>1</v>
      </c>
    </row>
    <row r="10" spans="1:9" x14ac:dyDescent="0.35">
      <c r="A10" t="s">
        <v>7</v>
      </c>
      <c r="B10">
        <v>1</v>
      </c>
      <c r="D10">
        <v>1</v>
      </c>
      <c r="F10">
        <v>0</v>
      </c>
      <c r="H10">
        <v>0</v>
      </c>
    </row>
    <row r="11" spans="1:9" x14ac:dyDescent="0.35">
      <c r="A11" t="s">
        <v>18</v>
      </c>
      <c r="B11">
        <v>0</v>
      </c>
      <c r="D11">
        <v>1</v>
      </c>
      <c r="F11">
        <v>1</v>
      </c>
      <c r="H11">
        <v>1</v>
      </c>
    </row>
    <row r="15" spans="1:9" x14ac:dyDescent="0.35">
      <c r="I15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mun</vt:lpstr>
      <vt:lpstr>waste_gen</vt:lpstr>
      <vt:lpstr>dist</vt:lpstr>
      <vt:lpstr>tech_pot</vt:lpstr>
      <vt:lpstr>market</vt:lpstr>
      <vt:lpstr>dist_market</vt:lpstr>
      <vt:lpstr>dist_col</vt:lpstr>
      <vt:lpstr>Feuil4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2025-05-14T22:14:50Z</dcterms:created>
  <dcterms:modified xsi:type="dcterms:W3CDTF">2025-12-09T14:32:47Z</dcterms:modified>
</cp:coreProperties>
</file>