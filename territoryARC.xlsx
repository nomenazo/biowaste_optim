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7EE83888-EFE4-4ADD-B865-44FC3E7BE9F0}" xr6:coauthVersionLast="36" xr6:coauthVersionMax="36" xr10:uidLastSave="{00000000-0000-0000-0000-000000000000}"/>
  <bookViews>
    <workbookView xWindow="0" yWindow="0" windowWidth="15200" windowHeight="6930" activeTab="1" xr2:uid="{B141029A-C238-484B-8693-F95FDEE8D83E}"/>
  </bookViews>
  <sheets>
    <sheet name="mun" sheetId="3" r:id="rId1"/>
    <sheet name="waste_gen" sheetId="1" r:id="rId2"/>
    <sheet name="dist" sheetId="6" r:id="rId3"/>
    <sheet name="tech_pot" sheetId="9" r:id="rId4"/>
    <sheet name="market" sheetId="8" r:id="rId5"/>
    <sheet name="dist_market" sheetId="4" r:id="rId6"/>
    <sheet name="Feuil4" sheetId="12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1" l="1"/>
  <c r="C6" i="1" l="1"/>
  <c r="C13" i="1"/>
  <c r="C14" i="1"/>
  <c r="C18" i="1"/>
  <c r="C19" i="1"/>
  <c r="C20" i="1"/>
  <c r="C22" i="1"/>
  <c r="C2" i="1"/>
  <c r="C4" i="1"/>
  <c r="B23" i="1"/>
  <c r="C23" i="1" s="1"/>
  <c r="B22" i="1"/>
  <c r="B3" i="1"/>
  <c r="C3" i="1" s="1"/>
  <c r="B21" i="1"/>
  <c r="C21" i="1" s="1"/>
  <c r="B8" i="1"/>
  <c r="C8" i="1" s="1"/>
  <c r="B19" i="1"/>
  <c r="B20" i="1"/>
  <c r="B6" i="1"/>
  <c r="B17" i="1"/>
  <c r="C17" i="1" s="1"/>
  <c r="B7" i="1"/>
  <c r="C7" i="1" s="1"/>
  <c r="B16" i="1"/>
  <c r="C16" i="1" s="1"/>
  <c r="B15" i="1"/>
  <c r="C15" i="1" s="1"/>
  <c r="B4" i="1"/>
  <c r="B14" i="1"/>
  <c r="B13" i="1"/>
  <c r="B12" i="1"/>
  <c r="C12" i="1" s="1"/>
  <c r="B11" i="1"/>
  <c r="C11" i="1" s="1"/>
  <c r="B9" i="1"/>
  <c r="C9" i="1" s="1"/>
  <c r="B10" i="1"/>
  <c r="C10" i="1" s="1"/>
  <c r="C5" i="1"/>
  <c r="B5" i="1"/>
  <c r="A24" i="4" l="1"/>
  <c r="A25" i="4"/>
  <c r="A26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3" i="4"/>
  <c r="A4" i="4"/>
  <c r="A5" i="4"/>
  <c r="A6" i="4"/>
  <c r="A7" i="4"/>
  <c r="A2" i="4"/>
  <c r="AC1" i="4"/>
  <c r="AA1" i="4"/>
  <c r="AB1" i="4"/>
  <c r="L1" i="4"/>
  <c r="M1" i="4"/>
  <c r="N1" i="4"/>
  <c r="O1" i="4"/>
  <c r="P1" i="4"/>
  <c r="Q1" i="4"/>
  <c r="R1" i="4"/>
  <c r="S1" i="4"/>
  <c r="T1" i="4"/>
  <c r="U1" i="4"/>
  <c r="V1" i="4"/>
  <c r="W1" i="4"/>
  <c r="X1" i="4"/>
  <c r="Y1" i="4"/>
  <c r="Z1" i="4"/>
  <c r="C1" i="4"/>
  <c r="D1" i="4"/>
  <c r="E1" i="4"/>
  <c r="F1" i="4"/>
  <c r="G1" i="4"/>
  <c r="H1" i="4"/>
  <c r="I1" i="4"/>
  <c r="J1" i="4"/>
  <c r="K1" i="4"/>
  <c r="B1" i="4"/>
  <c r="B1" i="6"/>
  <c r="A27" i="8"/>
  <c r="A28" i="8"/>
  <c r="A29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4" i="9"/>
  <c r="A25" i="9"/>
  <c r="A26" i="9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D1" i="6"/>
  <c r="C1" i="6"/>
  <c r="A3" i="6" l="1"/>
  <c r="A4" i="6"/>
  <c r="A5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3" i="1"/>
  <c r="A2" i="1"/>
  <c r="A2" i="6" s="1"/>
  <c r="J16" i="9" l="1"/>
</calcChain>
</file>

<file path=xl/sharedStrings.xml><?xml version="1.0" encoding="utf-8"?>
<sst xmlns="http://schemas.openxmlformats.org/spreadsheetml/2006/main" count="74" uniqueCount="57">
  <si>
    <t>A</t>
  </si>
  <si>
    <t>B</t>
  </si>
  <si>
    <t>C</t>
  </si>
  <si>
    <t>Home</t>
  </si>
  <si>
    <t>Total</t>
  </si>
  <si>
    <t>municipalities</t>
  </si>
  <si>
    <t>E</t>
  </si>
  <si>
    <t>F</t>
  </si>
  <si>
    <t>Building</t>
  </si>
  <si>
    <t>X</t>
  </si>
  <si>
    <t>Y</t>
  </si>
  <si>
    <t>Z</t>
  </si>
  <si>
    <t>Comp</t>
  </si>
  <si>
    <t>Dig</t>
  </si>
  <si>
    <t>Heat</t>
  </si>
  <si>
    <t>Elect</t>
  </si>
  <si>
    <t>market</t>
  </si>
  <si>
    <t>tech_place</t>
  </si>
  <si>
    <t>G</t>
  </si>
  <si>
    <t>HC</t>
  </si>
  <si>
    <t>CC</t>
  </si>
  <si>
    <t>IC</t>
  </si>
  <si>
    <t>AD-a</t>
  </si>
  <si>
    <t>AD-b</t>
  </si>
  <si>
    <t>The technology can be installed at the site</t>
  </si>
  <si>
    <t>The market can not valorize the coproduct</t>
  </si>
  <si>
    <t>The market can valorize the coproduct</t>
  </si>
  <si>
    <t>The technology can not be installed at the site</t>
  </si>
  <si>
    <t>lb_mark</t>
  </si>
  <si>
    <t xml:space="preserve"> </t>
  </si>
  <si>
    <t>ub_mark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</si>
  <si>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</si>
  <si>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</si>
  <si>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</si>
  <si>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</si>
  <si>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</si>
  <si>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</si>
  <si>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</si>
  <si>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</si>
  <si>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</si>
  <si>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</si>
  <si>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</si>
  <si>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</si>
  <si>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</si>
  <si>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</si>
  <si>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</si>
  <si>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</si>
  <si>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</si>
  <si>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</si>
  <si>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</si>
  <si>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</si>
  <si>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</si>
  <si>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</si>
  <si>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sites</t>
  </si>
  <si>
    <t>Other markets</t>
  </si>
  <si>
    <t>Hypothèse</t>
  </si>
  <si>
    <t>Chaque logement produit la même quantité de biodéchets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</si>
</sst>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€_-;\-* #,##0.00\ _€_-;_-* &quot;-&quot;??\ _€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7"/>
      <color rgb="FF000000"/>
      <name val="Courier New"/>
      <family val="3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3" fontId="2" fillId="0" borderId="0" xfId="1" applyFont="1" applyAlignment="1">
      <alignment horizontal="left" vertical="center"/>
    </xf>
    <xf numFmtId="11" fontId="0" fillId="0" borderId="0" xfId="0" applyNumberFormat="1"/>
    <xf numFmtId="0" fontId="3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RC_2023_dem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teur de territoires"/>
      <sheetName val="Communes"/>
      <sheetName val="Feuil1"/>
    </sheetNames>
    <sheetDataSet>
      <sheetData sheetId="0"/>
      <sheetData sheetId="1">
        <row r="29">
          <cell r="B29">
            <v>0.89300000000000002</v>
          </cell>
          <cell r="C29">
            <v>0.93200000000000005</v>
          </cell>
          <cell r="D29">
            <v>0.69099999999999995</v>
          </cell>
          <cell r="E29">
            <v>0.95599999999999996</v>
          </cell>
          <cell r="F29">
            <v>0.81</v>
          </cell>
          <cell r="G29">
            <v>0.83699999999999997</v>
          </cell>
          <cell r="H29">
            <v>0.20899999999999999</v>
          </cell>
          <cell r="I29">
            <v>0.90400000000000003</v>
          </cell>
          <cell r="J29">
            <v>0.79300000000000004</v>
          </cell>
          <cell r="K29">
            <v>0.96299999999999997</v>
          </cell>
          <cell r="L29">
            <v>0.94099999999999995</v>
          </cell>
          <cell r="M29">
            <v>0.72299999999999998</v>
          </cell>
          <cell r="N29">
            <v>0.44800000000000001</v>
          </cell>
          <cell r="O29">
            <v>0.82299999999999995</v>
          </cell>
          <cell r="Q29">
            <v>0.90900000000000003</v>
          </cell>
          <cell r="R29">
            <v>0.95899999999999996</v>
          </cell>
          <cell r="S29">
            <v>0.96699999999999997</v>
          </cell>
          <cell r="T29">
            <v>1</v>
          </cell>
          <cell r="U29">
            <v>0.67100000000000004</v>
          </cell>
          <cell r="V29">
            <v>0.60499999999999998</v>
          </cell>
          <cell r="W29">
            <v>0.96399999999999997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25225-AEB8-4ED8-9D1F-2C96755D2114}">
  <dimension ref="A1:C23"/>
  <sheetViews>
    <sheetView workbookViewId="0">
      <selection activeCell="C2" sqref="C2:C4"/>
    </sheetView>
  </sheetViews>
  <sheetFormatPr baseColWidth="10" defaultRowHeight="14.5" x14ac:dyDescent="0.35"/>
  <cols>
    <col min="1" max="1" width="30.453125" customWidth="1"/>
  </cols>
  <sheetData>
    <row r="1" spans="1:3" x14ac:dyDescent="0.35">
      <c r="A1" s="3" t="s">
        <v>5</v>
      </c>
      <c r="B1" s="3" t="s">
        <v>53</v>
      </c>
      <c r="C1" s="3" t="s">
        <v>54</v>
      </c>
    </row>
    <row r="2" spans="1:3" x14ac:dyDescent="0.35">
      <c r="A2" t="s">
        <v>31</v>
      </c>
      <c r="B2" t="s">
        <v>9</v>
      </c>
      <c r="C2" t="s">
        <v>6</v>
      </c>
    </row>
    <row r="3" spans="1:3" x14ac:dyDescent="0.35">
      <c r="A3" t="s">
        <v>32</v>
      </c>
      <c r="B3" t="s">
        <v>10</v>
      </c>
      <c r="C3" t="s">
        <v>7</v>
      </c>
    </row>
    <row r="4" spans="1:3" x14ac:dyDescent="0.35">
      <c r="A4" t="s">
        <v>33</v>
      </c>
      <c r="B4" t="s">
        <v>11</v>
      </c>
      <c r="C4" t="s">
        <v>18</v>
      </c>
    </row>
    <row r="5" spans="1:3" x14ac:dyDescent="0.35">
      <c r="A5" t="s">
        <v>34</v>
      </c>
    </row>
    <row r="6" spans="1:3" x14ac:dyDescent="0.35">
      <c r="A6" t="s">
        <v>35</v>
      </c>
    </row>
    <row r="7" spans="1:3" x14ac:dyDescent="0.35">
      <c r="A7" t="s">
        <v>36</v>
      </c>
    </row>
    <row r="8" spans="1:3" x14ac:dyDescent="0.35">
      <c r="A8" t="s">
        <v>37</v>
      </c>
    </row>
    <row r="9" spans="1:3" x14ac:dyDescent="0.35">
      <c r="A9" t="s">
        <v>38</v>
      </c>
    </row>
    <row r="10" spans="1:3" x14ac:dyDescent="0.35">
      <c r="A10" t="s">
        <v>39</v>
      </c>
    </row>
    <row r="11" spans="1:3" x14ac:dyDescent="0.35">
      <c r="A11" t="s">
        <v>40</v>
      </c>
    </row>
    <row r="12" spans="1:3" x14ac:dyDescent="0.35">
      <c r="A12" t="s">
        <v>41</v>
      </c>
    </row>
    <row r="13" spans="1:3" x14ac:dyDescent="0.35">
      <c r="A13" t="s">
        <v>42</v>
      </c>
    </row>
    <row r="14" spans="1:3" x14ac:dyDescent="0.35">
      <c r="A14" t="s">
        <v>43</v>
      </c>
    </row>
    <row r="15" spans="1:3" x14ac:dyDescent="0.35">
      <c r="A15" t="s">
        <v>44</v>
      </c>
    </row>
    <row r="16" spans="1:3" x14ac:dyDescent="0.35">
      <c r="A16" t="s">
        <v>45</v>
      </c>
    </row>
    <row r="17" spans="1:1" x14ac:dyDescent="0.35">
      <c r="A17" t="s">
        <v>46</v>
      </c>
    </row>
    <row r="18" spans="1:1" x14ac:dyDescent="0.35">
      <c r="A18" t="s">
        <v>47</v>
      </c>
    </row>
    <row r="19" spans="1:1" x14ac:dyDescent="0.35">
      <c r="A19" t="s">
        <v>48</v>
      </c>
    </row>
    <row r="20" spans="1:1" x14ac:dyDescent="0.35">
      <c r="A20" t="s">
        <v>49</v>
      </c>
    </row>
    <row r="21" spans="1:1" x14ac:dyDescent="0.35">
      <c r="A21" t="s">
        <v>50</v>
      </c>
    </row>
    <row r="22" spans="1:1" x14ac:dyDescent="0.35">
      <c r="A22" t="s">
        <v>51</v>
      </c>
    </row>
    <row r="23" spans="1:1" x14ac:dyDescent="0.35">
      <c r="A23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1C762-7C0F-4506-9633-75512DFB1A94}">
  <dimension ref="A1:J23"/>
  <sheetViews>
    <sheetView tabSelected="1" workbookViewId="0">
      <selection activeCell="I4" sqref="I4"/>
    </sheetView>
  </sheetViews>
  <sheetFormatPr baseColWidth="10" defaultRowHeight="14.5" x14ac:dyDescent="0.35"/>
  <cols>
    <col min="1" max="1" width="21.81640625" customWidth="1"/>
  </cols>
  <sheetData>
    <row r="1" spans="1:10" x14ac:dyDescent="0.35">
      <c r="B1" t="s">
        <v>3</v>
      </c>
      <c r="C1" t="s">
        <v>8</v>
      </c>
      <c r="D1" t="s">
        <v>4</v>
      </c>
    </row>
    <row r="2" spans="1:10" x14ac:dyDescent="0.35">
      <c r="A2" t="str">
        <f>mun!A2</f>
        <v>Compiègne</v>
      </c>
      <c r="B2">
        <f>D2*[1]Communes!$H$29</f>
        <v>615.29599999999994</v>
      </c>
      <c r="C2">
        <f t="shared" ref="C2:C4" si="0">D2-B2</f>
        <v>2328.7040000000002</v>
      </c>
      <c r="D2">
        <v>2944</v>
      </c>
    </row>
    <row r="3" spans="1:10" x14ac:dyDescent="0.35">
      <c r="A3" t="str">
        <f>mun!A3</f>
        <v>Venette</v>
      </c>
      <c r="B3">
        <f>D3*[1]Communes!$U$29</f>
        <v>124.80600000000001</v>
      </c>
      <c r="C3">
        <f t="shared" si="0"/>
        <v>61.193999999999988</v>
      </c>
      <c r="D3">
        <v>186</v>
      </c>
      <c r="I3" t="s">
        <v>55</v>
      </c>
      <c r="J3" t="s">
        <v>56</v>
      </c>
    </row>
    <row r="4" spans="1:10" x14ac:dyDescent="0.35">
      <c r="A4" t="str">
        <f>mun!A4</f>
        <v>Jaux</v>
      </c>
      <c r="B4">
        <f>D4*[1]Communes!$J$29</f>
        <v>147.49800000000002</v>
      </c>
      <c r="C4">
        <f t="shared" si="0"/>
        <v>38.501999999999981</v>
      </c>
      <c r="D4">
        <v>186</v>
      </c>
    </row>
    <row r="5" spans="1:10" x14ac:dyDescent="0.35">
      <c r="A5" t="str">
        <f>mun!A5</f>
        <v>Armancourt</v>
      </c>
      <c r="B5">
        <f>D5*[1]Communes!$B$29</f>
        <v>42.864000000000004</v>
      </c>
      <c r="C5">
        <f>D5-B5</f>
        <v>5.1359999999999957</v>
      </c>
      <c r="D5">
        <v>48</v>
      </c>
    </row>
    <row r="6" spans="1:10" x14ac:dyDescent="0.35">
      <c r="A6" t="str">
        <f>mun!A6</f>
        <v>Le Meux</v>
      </c>
      <c r="B6">
        <f>D6*[1]Communes!$O$29</f>
        <v>107.81299999999999</v>
      </c>
      <c r="C6">
        <f t="shared" ref="C6:C23" si="1">D6-B6</f>
        <v>23.187000000000012</v>
      </c>
      <c r="D6">
        <v>131</v>
      </c>
    </row>
    <row r="7" spans="1:10" x14ac:dyDescent="0.35">
      <c r="A7" t="str">
        <f>mun!A7</f>
        <v>La Croix-St-Ouen</v>
      </c>
      <c r="B7">
        <f>D7*[1]Communes!$M$29</f>
        <v>65.069999999999993</v>
      </c>
      <c r="C7">
        <f t="shared" si="1"/>
        <v>24.930000000000007</v>
      </c>
      <c r="D7">
        <v>90</v>
      </c>
    </row>
    <row r="8" spans="1:10" x14ac:dyDescent="0.35">
      <c r="A8" t="str">
        <f>mun!A8</f>
        <v>St-Sauveur</v>
      </c>
      <c r="B8">
        <f>D8*[1]Communes!$S$29</f>
        <v>144.083</v>
      </c>
      <c r="C8">
        <f t="shared" si="1"/>
        <v>4.9170000000000016</v>
      </c>
      <c r="D8">
        <v>149</v>
      </c>
    </row>
    <row r="9" spans="1:10" x14ac:dyDescent="0.35">
      <c r="A9" t="str">
        <f>mun!A9</f>
        <v>Bethisy-St-Pierre</v>
      </c>
      <c r="B9">
        <f>D9*[1]Communes!$D$29</f>
        <v>118.16099999999999</v>
      </c>
      <c r="C9">
        <f t="shared" si="1"/>
        <v>52.839000000000013</v>
      </c>
      <c r="D9">
        <v>171</v>
      </c>
    </row>
    <row r="10" spans="1:10" x14ac:dyDescent="0.35">
      <c r="A10" t="str">
        <f>mun!A10</f>
        <v>Bethisy-St-Martin</v>
      </c>
      <c r="B10">
        <f>D10*[1]Communes!$C$29</f>
        <v>46.6</v>
      </c>
      <c r="C10">
        <f t="shared" si="1"/>
        <v>3.3999999999999986</v>
      </c>
      <c r="D10">
        <v>50</v>
      </c>
    </row>
    <row r="11" spans="1:10" x14ac:dyDescent="0.35">
      <c r="A11" t="str">
        <f>mun!A11</f>
        <v>Bienville</v>
      </c>
      <c r="B11">
        <f>D11*[1]Communes!$E$29</f>
        <v>28.68</v>
      </c>
      <c r="C11">
        <f t="shared" si="1"/>
        <v>1.3200000000000003</v>
      </c>
      <c r="D11">
        <v>30</v>
      </c>
    </row>
    <row r="12" spans="1:10" x14ac:dyDescent="0.35">
      <c r="A12" t="str">
        <f>mun!A12</f>
        <v>Choisy-au-Bac</v>
      </c>
      <c r="B12">
        <f>D12*[1]Communes!$F$29</f>
        <v>172.53</v>
      </c>
      <c r="C12">
        <f t="shared" si="1"/>
        <v>40.47</v>
      </c>
      <c r="D12">
        <v>213</v>
      </c>
    </row>
    <row r="13" spans="1:10" x14ac:dyDescent="0.35">
      <c r="A13" t="str">
        <f>mun!A13</f>
        <v>Clairoix</v>
      </c>
      <c r="B13">
        <f>D13*[1]Communes!$G$29</f>
        <v>91.23299999999999</v>
      </c>
      <c r="C13">
        <f t="shared" si="1"/>
        <v>17.76700000000001</v>
      </c>
      <c r="D13">
        <v>109</v>
      </c>
    </row>
    <row r="14" spans="1:10" x14ac:dyDescent="0.35">
      <c r="A14" t="str">
        <f>mun!A14</f>
        <v>Janville</v>
      </c>
      <c r="B14">
        <f>D14*[1]Communes!$I$29</f>
        <v>37.064</v>
      </c>
      <c r="C14">
        <f t="shared" si="1"/>
        <v>3.9359999999999999</v>
      </c>
      <c r="D14">
        <v>41</v>
      </c>
    </row>
    <row r="15" spans="1:10" x14ac:dyDescent="0.35">
      <c r="A15" t="str">
        <f>mun!A15</f>
        <v>Jonquières</v>
      </c>
      <c r="B15">
        <f>D15*[1]Communes!$K$29</f>
        <v>39.482999999999997</v>
      </c>
      <c r="C15">
        <f t="shared" si="1"/>
        <v>1.517000000000003</v>
      </c>
      <c r="D15">
        <v>41</v>
      </c>
    </row>
    <row r="16" spans="1:10" x14ac:dyDescent="0.35">
      <c r="A16" t="str">
        <f>mun!A16</f>
        <v>Lachelle</v>
      </c>
      <c r="B16">
        <f>D16*[1]Communes!$L$29</f>
        <v>39.521999999999998</v>
      </c>
      <c r="C16">
        <f t="shared" si="1"/>
        <v>2.4780000000000015</v>
      </c>
      <c r="D16">
        <v>42</v>
      </c>
    </row>
    <row r="17" spans="1:4" x14ac:dyDescent="0.35">
      <c r="A17" t="str">
        <f>mun!A17</f>
        <v>Margny-lès-Compiègne</v>
      </c>
      <c r="B17">
        <f>D17*[1]Communes!$N$29</f>
        <v>241.024</v>
      </c>
      <c r="C17">
        <f t="shared" si="1"/>
        <v>296.976</v>
      </c>
      <c r="D17">
        <v>538</v>
      </c>
    </row>
    <row r="18" spans="1:4" x14ac:dyDescent="0.35">
      <c r="A18" t="str">
        <f>mun!A18</f>
        <v>Nery</v>
      </c>
      <c r="C18">
        <f t="shared" si="1"/>
        <v>32</v>
      </c>
      <c r="D18">
        <v>32</v>
      </c>
    </row>
    <row r="19" spans="1:4" x14ac:dyDescent="0.35">
      <c r="A19" t="str">
        <f>mun!A19</f>
        <v>Saint-Jean-aux-Bois</v>
      </c>
      <c r="B19">
        <f>D19*[1]Communes!$R$29</f>
        <v>19.18</v>
      </c>
      <c r="C19">
        <f t="shared" si="1"/>
        <v>0.82000000000000028</v>
      </c>
      <c r="D19">
        <v>20</v>
      </c>
    </row>
    <row r="20" spans="1:4" x14ac:dyDescent="0.35">
      <c r="A20" t="str">
        <f>mun!A20</f>
        <v>Saintines</v>
      </c>
      <c r="B20">
        <f>D20*[1]Communes!$Q$29</f>
        <v>48.177</v>
      </c>
      <c r="C20">
        <f t="shared" si="1"/>
        <v>4.8230000000000004</v>
      </c>
      <c r="D20">
        <v>53</v>
      </c>
    </row>
    <row r="21" spans="1:4" x14ac:dyDescent="0.35">
      <c r="A21" t="str">
        <f>mun!A21</f>
        <v>Saint-Vaast de Longmont</v>
      </c>
      <c r="B21">
        <f>D21*[1]Communes!$T$29</f>
        <v>31</v>
      </c>
      <c r="C21">
        <f t="shared" si="1"/>
        <v>0</v>
      </c>
      <c r="D21">
        <v>31</v>
      </c>
    </row>
    <row r="22" spans="1:4" x14ac:dyDescent="0.35">
      <c r="A22" t="str">
        <f>mun!A22</f>
        <v>Verberie</v>
      </c>
      <c r="B22">
        <f>D22*[1]Communes!$V$29</f>
        <v>114.95</v>
      </c>
      <c r="C22">
        <f t="shared" si="1"/>
        <v>75.05</v>
      </c>
      <c r="D22">
        <v>190</v>
      </c>
    </row>
    <row r="23" spans="1:4" x14ac:dyDescent="0.35">
      <c r="A23" t="str">
        <f>mun!A23</f>
        <v>Vieux-Moulin</v>
      </c>
      <c r="B23">
        <f>D23*[1]Communes!$W$29</f>
        <v>50.128</v>
      </c>
      <c r="C23">
        <f t="shared" si="1"/>
        <v>1.8719999999999999</v>
      </c>
      <c r="D23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4119B-877F-4A10-9FD1-253144E79B20}">
  <dimension ref="A1:P23"/>
  <sheetViews>
    <sheetView workbookViewId="0">
      <selection activeCell="B2" sqref="B2"/>
    </sheetView>
  </sheetViews>
  <sheetFormatPr baseColWidth="10" defaultRowHeight="14.5" x14ac:dyDescent="0.35"/>
  <cols>
    <col min="1" max="1" width="28" customWidth="1"/>
    <col min="16" max="16" width="13" bestFit="1" customWidth="1"/>
  </cols>
  <sheetData>
    <row r="1" spans="1:16" x14ac:dyDescent="0.35">
      <c r="B1" t="str">
        <f>INDEX(mun!$B:$B,COLUMN(A1)+1)</f>
        <v>X</v>
      </c>
      <c r="C1" t="str">
        <f>INDEX(mun!$B:$B,COLUMN(B1)+1)</f>
        <v>Y</v>
      </c>
      <c r="D1" t="str">
        <f>INDEX(mun!$B:$B,COLUMN(C1)+1)</f>
        <v>Z</v>
      </c>
    </row>
    <row r="2" spans="1:16" x14ac:dyDescent="0.35">
      <c r="A2" t="str">
        <f>waste_gen!A2</f>
        <v>Compiègne</v>
      </c>
    </row>
    <row r="3" spans="1:16" x14ac:dyDescent="0.35">
      <c r="A3" t="str">
        <f>waste_gen!A3</f>
        <v>Venette</v>
      </c>
    </row>
    <row r="4" spans="1:16" x14ac:dyDescent="0.35">
      <c r="A4" t="str">
        <f>waste_gen!A4</f>
        <v>Jaux</v>
      </c>
    </row>
    <row r="5" spans="1:16" x14ac:dyDescent="0.35">
      <c r="A5" t="str">
        <f>waste_gen!A5</f>
        <v>Armancourt</v>
      </c>
    </row>
    <row r="6" spans="1:16" x14ac:dyDescent="0.35">
      <c r="A6" t="str">
        <f>waste_gen!A6</f>
        <v>Le Meux</v>
      </c>
      <c r="P6" s="1"/>
    </row>
    <row r="7" spans="1:16" x14ac:dyDescent="0.35">
      <c r="A7" t="str">
        <f>waste_gen!A7</f>
        <v>La Croix-St-Ouen</v>
      </c>
      <c r="P7" s="1"/>
    </row>
    <row r="8" spans="1:16" x14ac:dyDescent="0.35">
      <c r="A8" t="str">
        <f>waste_gen!A8</f>
        <v>St-Sauveur</v>
      </c>
    </row>
    <row r="9" spans="1:16" x14ac:dyDescent="0.35">
      <c r="A9" t="str">
        <f>waste_gen!A9</f>
        <v>Bethisy-St-Pierre</v>
      </c>
    </row>
    <row r="10" spans="1:16" x14ac:dyDescent="0.35">
      <c r="A10" t="str">
        <f>waste_gen!A10</f>
        <v>Bethisy-St-Martin</v>
      </c>
    </row>
    <row r="11" spans="1:16" x14ac:dyDescent="0.35">
      <c r="A11" t="str">
        <f>waste_gen!A11</f>
        <v>Bienville</v>
      </c>
    </row>
    <row r="12" spans="1:16" x14ac:dyDescent="0.35">
      <c r="A12" t="str">
        <f>waste_gen!A12</f>
        <v>Choisy-au-Bac</v>
      </c>
    </row>
    <row r="13" spans="1:16" x14ac:dyDescent="0.35">
      <c r="A13" t="str">
        <f>waste_gen!A13</f>
        <v>Clairoix</v>
      </c>
    </row>
    <row r="14" spans="1:16" x14ac:dyDescent="0.35">
      <c r="A14" t="str">
        <f>waste_gen!A14</f>
        <v>Janville</v>
      </c>
    </row>
    <row r="15" spans="1:16" x14ac:dyDescent="0.35">
      <c r="A15" t="str">
        <f>waste_gen!A15</f>
        <v>Jonquières</v>
      </c>
    </row>
    <row r="16" spans="1:16" x14ac:dyDescent="0.35">
      <c r="A16" t="str">
        <f>waste_gen!A16</f>
        <v>Lachelle</v>
      </c>
    </row>
    <row r="17" spans="1:1" x14ac:dyDescent="0.35">
      <c r="A17" t="str">
        <f>waste_gen!A17</f>
        <v>Margny-lès-Compiègne</v>
      </c>
    </row>
    <row r="18" spans="1:1" x14ac:dyDescent="0.35">
      <c r="A18" t="str">
        <f>waste_gen!A18</f>
        <v>Nery</v>
      </c>
    </row>
    <row r="19" spans="1:1" x14ac:dyDescent="0.35">
      <c r="A19" t="str">
        <f>waste_gen!A19</f>
        <v>Saint-Jean-aux-Bois</v>
      </c>
    </row>
    <row r="20" spans="1:1" x14ac:dyDescent="0.35">
      <c r="A20" t="str">
        <f>waste_gen!A20</f>
        <v>Saintines</v>
      </c>
    </row>
    <row r="21" spans="1:1" x14ac:dyDescent="0.35">
      <c r="A21" t="str">
        <f>waste_gen!A21</f>
        <v>Saint-Vaast de Longmont</v>
      </c>
    </row>
    <row r="22" spans="1:1" x14ac:dyDescent="0.35">
      <c r="A22" t="str">
        <f>waste_gen!A22</f>
        <v>Verberie</v>
      </c>
    </row>
    <row r="23" spans="1:1" x14ac:dyDescent="0.35">
      <c r="A23" t="str">
        <f>waste_gen!A23</f>
        <v>Vieux-Moulin</v>
      </c>
    </row>
  </sheetData>
  <pageMargins left="0.7" right="0.7" top="0.75" bottom="0.75" header="0.3" footer="0.3"/>
  <pageSetup paperSize="9" orientation="portrait" verticalDpi="597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CAE16-4335-49F9-8C26-3341265BB48C}">
  <dimension ref="A1:K26"/>
  <sheetViews>
    <sheetView workbookViewId="0">
      <selection activeCell="A2" sqref="A2:A26"/>
    </sheetView>
  </sheetViews>
  <sheetFormatPr baseColWidth="10" defaultRowHeight="14.5" x14ac:dyDescent="0.35"/>
  <cols>
    <col min="1" max="1" width="24.54296875" customWidth="1"/>
  </cols>
  <sheetData>
    <row r="1" spans="1:11" x14ac:dyDescent="0.35">
      <c r="B1" t="s">
        <v>19</v>
      </c>
      <c r="C1" t="s">
        <v>20</v>
      </c>
      <c r="D1" t="s">
        <v>21</v>
      </c>
      <c r="E1" t="s">
        <v>22</v>
      </c>
      <c r="F1" t="s">
        <v>23</v>
      </c>
      <c r="J1">
        <v>1</v>
      </c>
      <c r="K1" t="s">
        <v>24</v>
      </c>
    </row>
    <row r="2" spans="1:11" x14ac:dyDescent="0.35">
      <c r="A2" t="str">
        <f>mun!A2</f>
        <v>Compiègne</v>
      </c>
      <c r="B2">
        <v>1</v>
      </c>
      <c r="C2">
        <v>1</v>
      </c>
      <c r="D2">
        <v>0</v>
      </c>
      <c r="E2">
        <v>0</v>
      </c>
      <c r="F2">
        <v>0</v>
      </c>
      <c r="J2">
        <v>0</v>
      </c>
      <c r="K2" t="s">
        <v>27</v>
      </c>
    </row>
    <row r="3" spans="1:11" x14ac:dyDescent="0.35">
      <c r="A3" t="str">
        <f>mun!A3</f>
        <v>Venette</v>
      </c>
      <c r="B3">
        <v>1</v>
      </c>
      <c r="C3">
        <v>1</v>
      </c>
      <c r="D3">
        <v>0</v>
      </c>
      <c r="E3">
        <v>0</v>
      </c>
      <c r="F3">
        <v>0</v>
      </c>
    </row>
    <row r="4" spans="1:11" x14ac:dyDescent="0.35">
      <c r="A4" t="str">
        <f>mun!A4</f>
        <v>Jaux</v>
      </c>
      <c r="B4">
        <v>1</v>
      </c>
      <c r="C4">
        <v>1</v>
      </c>
      <c r="D4">
        <v>0</v>
      </c>
      <c r="E4">
        <v>0</v>
      </c>
      <c r="F4">
        <v>0</v>
      </c>
    </row>
    <row r="5" spans="1:11" x14ac:dyDescent="0.35">
      <c r="A5" t="str">
        <f>mun!A5</f>
        <v>Armancourt</v>
      </c>
      <c r="B5">
        <v>1</v>
      </c>
      <c r="C5">
        <v>1</v>
      </c>
      <c r="D5">
        <v>0</v>
      </c>
      <c r="E5">
        <v>0</v>
      </c>
      <c r="F5">
        <v>0</v>
      </c>
    </row>
    <row r="6" spans="1:11" x14ac:dyDescent="0.35">
      <c r="A6" t="str">
        <f>mun!A6</f>
        <v>Le Meux</v>
      </c>
      <c r="B6">
        <v>1</v>
      </c>
      <c r="C6">
        <v>1</v>
      </c>
      <c r="D6">
        <v>0</v>
      </c>
      <c r="E6">
        <v>0</v>
      </c>
      <c r="F6">
        <v>0</v>
      </c>
    </row>
    <row r="7" spans="1:11" x14ac:dyDescent="0.35">
      <c r="A7" t="str">
        <f>mun!A7</f>
        <v>La Croix-St-Ouen</v>
      </c>
      <c r="B7">
        <v>1</v>
      </c>
      <c r="C7">
        <v>1</v>
      </c>
      <c r="D7">
        <v>0</v>
      </c>
      <c r="E7">
        <v>0</v>
      </c>
      <c r="F7">
        <v>0</v>
      </c>
    </row>
    <row r="8" spans="1:11" x14ac:dyDescent="0.35">
      <c r="A8" t="str">
        <f>mun!A8</f>
        <v>St-Sauveur</v>
      </c>
      <c r="B8">
        <v>1</v>
      </c>
      <c r="C8">
        <v>1</v>
      </c>
      <c r="D8">
        <v>0</v>
      </c>
      <c r="E8">
        <v>0</v>
      </c>
      <c r="F8">
        <v>0</v>
      </c>
    </row>
    <row r="9" spans="1:11" x14ac:dyDescent="0.35">
      <c r="A9" t="str">
        <f>mun!A9</f>
        <v>Bethisy-St-Pierre</v>
      </c>
      <c r="B9">
        <v>1</v>
      </c>
      <c r="C9">
        <v>1</v>
      </c>
      <c r="D9">
        <v>0</v>
      </c>
      <c r="E9">
        <v>0</v>
      </c>
      <c r="F9">
        <v>0</v>
      </c>
    </row>
    <row r="10" spans="1:11" x14ac:dyDescent="0.35">
      <c r="A10" t="str">
        <f>mun!A10</f>
        <v>Bethisy-St-Martin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11" x14ac:dyDescent="0.35">
      <c r="A11" t="str">
        <f>mun!A11</f>
        <v>Bienville</v>
      </c>
      <c r="B11">
        <v>1</v>
      </c>
      <c r="C11">
        <v>1</v>
      </c>
      <c r="D11">
        <v>0</v>
      </c>
      <c r="E11">
        <v>0</v>
      </c>
      <c r="F11">
        <v>0</v>
      </c>
    </row>
    <row r="12" spans="1:11" x14ac:dyDescent="0.35">
      <c r="A12" t="str">
        <f>mun!A12</f>
        <v>Choisy-au-Bac</v>
      </c>
      <c r="B12">
        <v>1</v>
      </c>
      <c r="C12">
        <v>1</v>
      </c>
      <c r="D12">
        <v>0</v>
      </c>
      <c r="E12">
        <v>0</v>
      </c>
      <c r="F12">
        <v>0</v>
      </c>
    </row>
    <row r="13" spans="1:11" x14ac:dyDescent="0.35">
      <c r="A13" t="str">
        <f>mun!A13</f>
        <v>Clairoix</v>
      </c>
      <c r="B13">
        <v>1</v>
      </c>
      <c r="C13">
        <v>1</v>
      </c>
      <c r="D13">
        <v>0</v>
      </c>
      <c r="E13">
        <v>0</v>
      </c>
      <c r="F13">
        <v>0</v>
      </c>
    </row>
    <row r="14" spans="1:11" x14ac:dyDescent="0.35">
      <c r="A14" t="str">
        <f>mun!A14</f>
        <v>Janville</v>
      </c>
      <c r="B14">
        <v>1</v>
      </c>
      <c r="C14">
        <v>1</v>
      </c>
      <c r="D14">
        <v>0</v>
      </c>
      <c r="E14">
        <v>0</v>
      </c>
      <c r="F14">
        <v>0</v>
      </c>
    </row>
    <row r="15" spans="1:11" x14ac:dyDescent="0.35">
      <c r="A15" t="str">
        <f>mun!A15</f>
        <v>Jonquières</v>
      </c>
      <c r="B15">
        <v>1</v>
      </c>
      <c r="C15">
        <v>1</v>
      </c>
      <c r="D15">
        <v>0</v>
      </c>
      <c r="E15">
        <v>0</v>
      </c>
      <c r="F15">
        <v>0</v>
      </c>
    </row>
    <row r="16" spans="1:11" x14ac:dyDescent="0.35">
      <c r="A16" t="str">
        <f>mun!A16</f>
        <v>Lachelle</v>
      </c>
      <c r="B16">
        <v>1</v>
      </c>
      <c r="C16">
        <v>1</v>
      </c>
      <c r="D16">
        <v>0</v>
      </c>
      <c r="E16">
        <v>0</v>
      </c>
      <c r="F16">
        <v>0</v>
      </c>
      <c r="J16">
        <f>11*20*12</f>
        <v>2640</v>
      </c>
    </row>
    <row r="17" spans="1:6" x14ac:dyDescent="0.35">
      <c r="A17" t="str">
        <f>mun!A17</f>
        <v>Margny-lès-Compiègne</v>
      </c>
      <c r="B17">
        <v>1</v>
      </c>
      <c r="C17">
        <v>1</v>
      </c>
      <c r="D17">
        <v>0</v>
      </c>
      <c r="E17">
        <v>0</v>
      </c>
      <c r="F17">
        <v>0</v>
      </c>
    </row>
    <row r="18" spans="1:6" x14ac:dyDescent="0.35">
      <c r="A18" t="str">
        <f>mun!A18</f>
        <v>Nery</v>
      </c>
      <c r="B18">
        <v>1</v>
      </c>
      <c r="C18">
        <v>1</v>
      </c>
      <c r="D18">
        <v>0</v>
      </c>
      <c r="E18">
        <v>0</v>
      </c>
      <c r="F18">
        <v>0</v>
      </c>
    </row>
    <row r="19" spans="1:6" x14ac:dyDescent="0.35">
      <c r="A19" t="str">
        <f>mun!A19</f>
        <v>Saint-Jean-aux-Bois</v>
      </c>
      <c r="B19">
        <v>1</v>
      </c>
      <c r="C19">
        <v>1</v>
      </c>
      <c r="D19">
        <v>0</v>
      </c>
      <c r="E19">
        <v>0</v>
      </c>
      <c r="F19">
        <v>0</v>
      </c>
    </row>
    <row r="20" spans="1:6" x14ac:dyDescent="0.35">
      <c r="A20" t="str">
        <f>mun!A20</f>
        <v>Saintines</v>
      </c>
      <c r="B20">
        <v>1</v>
      </c>
      <c r="C20">
        <v>1</v>
      </c>
      <c r="D20">
        <v>0</v>
      </c>
      <c r="E20">
        <v>0</v>
      </c>
      <c r="F20">
        <v>0</v>
      </c>
    </row>
    <row r="21" spans="1:6" x14ac:dyDescent="0.35">
      <c r="A21" t="str">
        <f>mun!A21</f>
        <v>Saint-Vaast de Longmont</v>
      </c>
      <c r="B21">
        <v>1</v>
      </c>
      <c r="C21">
        <v>1</v>
      </c>
      <c r="D21">
        <v>0</v>
      </c>
      <c r="E21">
        <v>0</v>
      </c>
      <c r="F21">
        <v>0</v>
      </c>
    </row>
    <row r="22" spans="1:6" x14ac:dyDescent="0.35">
      <c r="A22" t="str">
        <f>mun!A22</f>
        <v>Verberie</v>
      </c>
      <c r="B22">
        <v>1</v>
      </c>
      <c r="C22">
        <v>1</v>
      </c>
      <c r="D22">
        <v>0</v>
      </c>
      <c r="E22">
        <v>0</v>
      </c>
      <c r="F22">
        <v>0</v>
      </c>
    </row>
    <row r="23" spans="1:6" x14ac:dyDescent="0.35">
      <c r="A23" t="str">
        <f>mun!A23</f>
        <v>Vieux-Moulin</v>
      </c>
      <c r="B23">
        <v>1</v>
      </c>
      <c r="C23">
        <v>1</v>
      </c>
      <c r="D23">
        <v>0</v>
      </c>
      <c r="E23">
        <v>0</v>
      </c>
      <c r="F23">
        <v>0</v>
      </c>
    </row>
    <row r="24" spans="1:6" x14ac:dyDescent="0.35">
      <c r="A24" t="str">
        <f>mun!B2</f>
        <v>X</v>
      </c>
      <c r="B24">
        <v>0</v>
      </c>
      <c r="C24">
        <v>0</v>
      </c>
      <c r="D24">
        <v>1</v>
      </c>
      <c r="E24">
        <v>1</v>
      </c>
      <c r="F24">
        <v>1</v>
      </c>
    </row>
    <row r="25" spans="1:6" x14ac:dyDescent="0.35">
      <c r="A25" t="str">
        <f>mun!B3</f>
        <v>Y</v>
      </c>
      <c r="B25">
        <v>0</v>
      </c>
      <c r="C25">
        <v>0</v>
      </c>
      <c r="D25">
        <v>1</v>
      </c>
      <c r="E25">
        <v>1</v>
      </c>
      <c r="F25">
        <v>1</v>
      </c>
    </row>
    <row r="26" spans="1:6" x14ac:dyDescent="0.35">
      <c r="A26" t="str">
        <f>mun!B4</f>
        <v>Z</v>
      </c>
      <c r="B26">
        <v>0</v>
      </c>
      <c r="C26">
        <v>0</v>
      </c>
      <c r="D26">
        <v>1</v>
      </c>
      <c r="E26">
        <v>1</v>
      </c>
      <c r="F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62B02-F830-4504-8CFB-862612762922}">
  <dimension ref="A1:J29"/>
  <sheetViews>
    <sheetView workbookViewId="0">
      <selection activeCell="D27" sqref="D27"/>
    </sheetView>
  </sheetViews>
  <sheetFormatPr baseColWidth="10" defaultRowHeight="14.5" x14ac:dyDescent="0.35"/>
  <cols>
    <col min="10" max="10" width="22.36328125" customWidth="1"/>
  </cols>
  <sheetData>
    <row r="1" spans="1:10" x14ac:dyDescent="0.35">
      <c r="A1" t="s">
        <v>16</v>
      </c>
      <c r="B1" t="s">
        <v>12</v>
      </c>
      <c r="C1" t="s">
        <v>13</v>
      </c>
      <c r="D1" t="s">
        <v>14</v>
      </c>
      <c r="E1" t="s">
        <v>15</v>
      </c>
      <c r="I1">
        <v>1</v>
      </c>
      <c r="J1" t="s">
        <v>26</v>
      </c>
    </row>
    <row r="2" spans="1:10" x14ac:dyDescent="0.35">
      <c r="A2" t="str">
        <f>tech_pot!A2</f>
        <v>Compiègne</v>
      </c>
      <c r="B2">
        <v>1</v>
      </c>
      <c r="C2">
        <v>0</v>
      </c>
      <c r="D2">
        <v>1</v>
      </c>
      <c r="E2">
        <v>0</v>
      </c>
      <c r="I2">
        <v>0</v>
      </c>
      <c r="J2" t="s">
        <v>25</v>
      </c>
    </row>
    <row r="3" spans="1:10" x14ac:dyDescent="0.35">
      <c r="A3" t="str">
        <f>tech_pot!A3</f>
        <v>Venette</v>
      </c>
      <c r="B3">
        <v>1</v>
      </c>
      <c r="C3">
        <v>0</v>
      </c>
      <c r="D3">
        <v>0</v>
      </c>
      <c r="E3">
        <v>0</v>
      </c>
    </row>
    <row r="4" spans="1:10" x14ac:dyDescent="0.35">
      <c r="A4" t="str">
        <f>tech_pot!A4</f>
        <v>Jaux</v>
      </c>
      <c r="B4">
        <v>1</v>
      </c>
      <c r="C4">
        <v>1</v>
      </c>
      <c r="D4">
        <v>0</v>
      </c>
      <c r="E4">
        <v>1</v>
      </c>
    </row>
    <row r="5" spans="1:10" x14ac:dyDescent="0.35">
      <c r="A5" t="str">
        <f>tech_pot!A5</f>
        <v>Armancourt</v>
      </c>
      <c r="B5">
        <v>1</v>
      </c>
      <c r="C5">
        <v>0</v>
      </c>
      <c r="D5">
        <v>1</v>
      </c>
      <c r="E5">
        <v>0</v>
      </c>
    </row>
    <row r="6" spans="1:10" x14ac:dyDescent="0.35">
      <c r="A6" t="str">
        <f>tech_pot!A6</f>
        <v>Le Meux</v>
      </c>
      <c r="B6">
        <v>1</v>
      </c>
      <c r="C6">
        <v>1</v>
      </c>
      <c r="D6">
        <v>0</v>
      </c>
      <c r="E6">
        <v>0</v>
      </c>
    </row>
    <row r="7" spans="1:10" x14ac:dyDescent="0.35">
      <c r="A7" t="str">
        <f>tech_pot!A7</f>
        <v>La Croix-St-Ouen</v>
      </c>
      <c r="B7">
        <v>1</v>
      </c>
      <c r="C7">
        <v>1</v>
      </c>
      <c r="D7">
        <v>0</v>
      </c>
      <c r="E7">
        <v>1</v>
      </c>
    </row>
    <row r="8" spans="1:10" x14ac:dyDescent="0.35">
      <c r="A8" t="str">
        <f>tech_pot!A8</f>
        <v>St-Sauveur</v>
      </c>
      <c r="B8">
        <v>1</v>
      </c>
      <c r="C8">
        <v>1</v>
      </c>
      <c r="D8">
        <v>1</v>
      </c>
      <c r="E8">
        <v>1</v>
      </c>
      <c r="J8" s="2"/>
    </row>
    <row r="9" spans="1:10" x14ac:dyDescent="0.35">
      <c r="A9" t="str">
        <f>tech_pot!A9</f>
        <v>Bethisy-St-Pierre</v>
      </c>
      <c r="B9">
        <v>1</v>
      </c>
      <c r="C9">
        <v>1</v>
      </c>
      <c r="D9">
        <v>0</v>
      </c>
      <c r="E9">
        <v>0</v>
      </c>
      <c r="J9" s="2"/>
    </row>
    <row r="10" spans="1:10" x14ac:dyDescent="0.35">
      <c r="A10" t="str">
        <f>tech_pot!A10</f>
        <v>Bethisy-St-Martin</v>
      </c>
      <c r="B10">
        <v>1</v>
      </c>
      <c r="C10">
        <v>1</v>
      </c>
      <c r="D10">
        <v>1</v>
      </c>
      <c r="E10">
        <v>1</v>
      </c>
      <c r="J10" s="2"/>
    </row>
    <row r="11" spans="1:10" x14ac:dyDescent="0.35">
      <c r="A11" t="str">
        <f>tech_pot!A11</f>
        <v>Bienville</v>
      </c>
      <c r="B11">
        <v>1</v>
      </c>
    </row>
    <row r="12" spans="1:10" x14ac:dyDescent="0.35">
      <c r="A12" t="str">
        <f>tech_pot!A12</f>
        <v>Choisy-au-Bac</v>
      </c>
      <c r="B12">
        <v>1</v>
      </c>
    </row>
    <row r="13" spans="1:10" x14ac:dyDescent="0.35">
      <c r="A13" t="str">
        <f>tech_pot!A13</f>
        <v>Clairoix</v>
      </c>
      <c r="B13">
        <v>1</v>
      </c>
    </row>
    <row r="14" spans="1:10" x14ac:dyDescent="0.35">
      <c r="A14" t="str">
        <f>tech_pot!A14</f>
        <v>Janville</v>
      </c>
      <c r="B14">
        <v>1</v>
      </c>
    </row>
    <row r="15" spans="1:10" x14ac:dyDescent="0.35">
      <c r="A15" t="str">
        <f>tech_pot!A15</f>
        <v>Jonquières</v>
      </c>
      <c r="B15">
        <v>1</v>
      </c>
    </row>
    <row r="16" spans="1:10" x14ac:dyDescent="0.35">
      <c r="A16" t="str">
        <f>tech_pot!A16</f>
        <v>Lachelle</v>
      </c>
      <c r="B16">
        <v>1</v>
      </c>
    </row>
    <row r="17" spans="1:2" x14ac:dyDescent="0.35">
      <c r="A17" t="str">
        <f>tech_pot!A17</f>
        <v>Margny-lès-Compiègne</v>
      </c>
      <c r="B17">
        <v>1</v>
      </c>
    </row>
    <row r="18" spans="1:2" x14ac:dyDescent="0.35">
      <c r="A18" t="str">
        <f>tech_pot!A18</f>
        <v>Nery</v>
      </c>
      <c r="B18">
        <v>1</v>
      </c>
    </row>
    <row r="19" spans="1:2" x14ac:dyDescent="0.35">
      <c r="A19" t="str">
        <f>tech_pot!A19</f>
        <v>Saint-Jean-aux-Bois</v>
      </c>
      <c r="B19">
        <v>1</v>
      </c>
    </row>
    <row r="20" spans="1:2" x14ac:dyDescent="0.35">
      <c r="A20" t="str">
        <f>tech_pot!A20</f>
        <v>Saintines</v>
      </c>
      <c r="B20">
        <v>1</v>
      </c>
    </row>
    <row r="21" spans="1:2" x14ac:dyDescent="0.35">
      <c r="A21" t="str">
        <f>tech_pot!A21</f>
        <v>Saint-Vaast de Longmont</v>
      </c>
      <c r="B21">
        <v>1</v>
      </c>
    </row>
    <row r="22" spans="1:2" x14ac:dyDescent="0.35">
      <c r="A22" t="str">
        <f>tech_pot!A22</f>
        <v>Verberie</v>
      </c>
      <c r="B22">
        <v>1</v>
      </c>
    </row>
    <row r="23" spans="1:2" x14ac:dyDescent="0.35">
      <c r="A23" t="str">
        <f>tech_pot!A23</f>
        <v>Vieux-Moulin</v>
      </c>
      <c r="B23">
        <v>1</v>
      </c>
    </row>
    <row r="24" spans="1:2" x14ac:dyDescent="0.35">
      <c r="A24" t="str">
        <f>tech_pot!A24</f>
        <v>X</v>
      </c>
      <c r="B24">
        <v>1</v>
      </c>
    </row>
    <row r="25" spans="1:2" x14ac:dyDescent="0.35">
      <c r="A25" t="str">
        <f>tech_pot!A25</f>
        <v>Y</v>
      </c>
      <c r="B25">
        <v>1</v>
      </c>
    </row>
    <row r="26" spans="1:2" x14ac:dyDescent="0.35">
      <c r="A26" t="str">
        <f>tech_pot!A26</f>
        <v>Z</v>
      </c>
      <c r="B26">
        <v>1</v>
      </c>
    </row>
    <row r="27" spans="1:2" x14ac:dyDescent="0.35">
      <c r="A27" t="str">
        <f>mun!C2</f>
        <v>E</v>
      </c>
      <c r="B27">
        <v>1</v>
      </c>
    </row>
    <row r="28" spans="1:2" x14ac:dyDescent="0.35">
      <c r="A28" t="str">
        <f>mun!C3</f>
        <v>F</v>
      </c>
      <c r="B28">
        <v>1</v>
      </c>
    </row>
    <row r="29" spans="1:2" x14ac:dyDescent="0.35">
      <c r="A29" t="str">
        <f>mun!C4</f>
        <v>G</v>
      </c>
      <c r="B29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58C74-E6C0-46D4-987A-6DEF0A0AB368}">
  <dimension ref="A1:AC26"/>
  <sheetViews>
    <sheetView zoomScaleNormal="100" workbookViewId="0">
      <selection activeCell="H1" sqref="H1"/>
    </sheetView>
  </sheetViews>
  <sheetFormatPr baseColWidth="10" defaultRowHeight="14.5" x14ac:dyDescent="0.35"/>
  <cols>
    <col min="1" max="1" width="33.81640625" customWidth="1"/>
  </cols>
  <sheetData>
    <row r="1" spans="1:29" x14ac:dyDescent="0.35">
      <c r="A1" t="s">
        <v>17</v>
      </c>
      <c r="B1" t="str">
        <f>INDEX(market!$A:$A,COLUMN(A1)+1)</f>
        <v>Compiègne</v>
      </c>
      <c r="C1" t="str">
        <f>INDEX(market!$A:$A,COLUMN(B1)+1)</f>
        <v>Venette</v>
      </c>
      <c r="D1" t="str">
        <f>INDEX(market!$A:$A,COLUMN(C1)+1)</f>
        <v>Jaux</v>
      </c>
      <c r="E1" t="str">
        <f>INDEX(market!$A:$A,COLUMN(D1)+1)</f>
        <v>Armancourt</v>
      </c>
      <c r="F1" t="str">
        <f>INDEX(market!$A:$A,COLUMN(E1)+1)</f>
        <v>Le Meux</v>
      </c>
      <c r="G1" t="str">
        <f>INDEX(market!$A:$A,COLUMN(F1)+1)</f>
        <v>La Croix-St-Ouen</v>
      </c>
      <c r="H1" t="str">
        <f>INDEX(market!$A:$A,COLUMN(G1)+1)</f>
        <v>St-Sauveur</v>
      </c>
      <c r="I1" t="str">
        <f>INDEX(market!$A:$A,COLUMN(H1)+1)</f>
        <v>Bethisy-St-Pierre</v>
      </c>
      <c r="J1" t="str">
        <f>INDEX(market!$A:$A,COLUMN(I1)+1)</f>
        <v>Bethisy-St-Martin</v>
      </c>
      <c r="K1" t="str">
        <f>INDEX(market!$A:$A,COLUMN(J1)+1)</f>
        <v>Bienville</v>
      </c>
      <c r="L1" t="str">
        <f>INDEX(market!$A:$A,COLUMN(K1)+1)</f>
        <v>Choisy-au-Bac</v>
      </c>
      <c r="M1" t="str">
        <f>INDEX(market!$A:$A,COLUMN(L1)+1)</f>
        <v>Clairoix</v>
      </c>
      <c r="N1" t="str">
        <f>INDEX(market!$A:$A,COLUMN(M1)+1)</f>
        <v>Janville</v>
      </c>
      <c r="O1" t="str">
        <f>INDEX(market!$A:$A,COLUMN(N1)+1)</f>
        <v>Jonquières</v>
      </c>
      <c r="P1" t="str">
        <f>INDEX(market!$A:$A,COLUMN(O1)+1)</f>
        <v>Lachelle</v>
      </c>
      <c r="Q1" t="str">
        <f>INDEX(market!$A:$A,COLUMN(P1)+1)</f>
        <v>Margny-lès-Compiègne</v>
      </c>
      <c r="R1" t="str">
        <f>INDEX(market!$A:$A,COLUMN(Q1)+1)</f>
        <v>Nery</v>
      </c>
      <c r="S1" t="str">
        <f>INDEX(market!$A:$A,COLUMN(R1)+1)</f>
        <v>Saint-Jean-aux-Bois</v>
      </c>
      <c r="T1" t="str">
        <f>INDEX(market!$A:$A,COLUMN(S1)+1)</f>
        <v>Saintines</v>
      </c>
      <c r="U1" t="str">
        <f>INDEX(market!$A:$A,COLUMN(T1)+1)</f>
        <v>Saint-Vaast de Longmont</v>
      </c>
      <c r="V1" t="str">
        <f>INDEX(market!$A:$A,COLUMN(U1)+1)</f>
        <v>Verberie</v>
      </c>
      <c r="W1" t="str">
        <f>INDEX(market!$A:$A,COLUMN(V1)+1)</f>
        <v>Vieux-Moulin</v>
      </c>
      <c r="X1" t="str">
        <f>INDEX(market!$A:$A,COLUMN(W1)+1)</f>
        <v>X</v>
      </c>
      <c r="Y1" t="str">
        <f>INDEX(market!$A:$A,COLUMN(X1)+1)</f>
        <v>Y</v>
      </c>
      <c r="Z1" t="str">
        <f>INDEX(market!$A:$A,COLUMN(Y1)+1)</f>
        <v>Z</v>
      </c>
      <c r="AA1" t="str">
        <f>INDEX(market!$A:$A,COLUMN(Z1)+1)</f>
        <v>E</v>
      </c>
      <c r="AB1" t="str">
        <f>INDEX(market!$A:$A,COLUMN(AA1)+1)</f>
        <v>F</v>
      </c>
      <c r="AC1" t="str">
        <f>INDEX(market!$A:$A,COLUMN(AB1)+1)</f>
        <v>G</v>
      </c>
    </row>
    <row r="2" spans="1:29" x14ac:dyDescent="0.35">
      <c r="A2" t="str">
        <f>tech_pot!A2</f>
        <v>Compiègne</v>
      </c>
      <c r="B2">
        <v>2</v>
      </c>
      <c r="C2">
        <v>30</v>
      </c>
      <c r="D2">
        <v>25</v>
      </c>
      <c r="E2">
        <v>20</v>
      </c>
      <c r="F2">
        <v>100</v>
      </c>
      <c r="G2">
        <v>5</v>
      </c>
      <c r="H2">
        <v>50</v>
      </c>
      <c r="I2">
        <v>60</v>
      </c>
      <c r="J2">
        <v>20</v>
      </c>
    </row>
    <row r="3" spans="1:29" x14ac:dyDescent="0.35">
      <c r="A3" t="str">
        <f>tech_pot!A3</f>
        <v>Venette</v>
      </c>
      <c r="B3">
        <v>30</v>
      </c>
      <c r="C3">
        <v>3</v>
      </c>
      <c r="D3">
        <v>10</v>
      </c>
      <c r="E3">
        <v>10</v>
      </c>
      <c r="F3">
        <v>100</v>
      </c>
      <c r="G3">
        <v>50</v>
      </c>
      <c r="H3">
        <v>95</v>
      </c>
      <c r="I3">
        <v>11</v>
      </c>
      <c r="J3">
        <v>44</v>
      </c>
    </row>
    <row r="4" spans="1:29" x14ac:dyDescent="0.35">
      <c r="A4" t="str">
        <f>tech_pot!A4</f>
        <v>Jaux</v>
      </c>
      <c r="B4">
        <v>25</v>
      </c>
      <c r="C4">
        <v>10</v>
      </c>
      <c r="D4">
        <v>2</v>
      </c>
      <c r="E4">
        <v>40</v>
      </c>
      <c r="F4">
        <v>100</v>
      </c>
      <c r="G4">
        <v>10</v>
      </c>
      <c r="H4">
        <v>69</v>
      </c>
      <c r="I4">
        <v>47</v>
      </c>
      <c r="J4">
        <v>96</v>
      </c>
    </row>
    <row r="5" spans="1:29" x14ac:dyDescent="0.35">
      <c r="A5" t="str">
        <f>tech_pot!A5</f>
        <v>Armancourt</v>
      </c>
      <c r="B5">
        <v>20</v>
      </c>
      <c r="C5">
        <v>10</v>
      </c>
      <c r="D5">
        <v>40</v>
      </c>
      <c r="E5">
        <v>5</v>
      </c>
      <c r="F5">
        <v>20</v>
      </c>
      <c r="G5">
        <v>30</v>
      </c>
      <c r="H5">
        <v>74</v>
      </c>
      <c r="I5">
        <v>15</v>
      </c>
      <c r="J5">
        <v>60</v>
      </c>
    </row>
    <row r="6" spans="1:29" x14ac:dyDescent="0.35">
      <c r="A6" t="str">
        <f>tech_pot!A6</f>
        <v>Le Meux</v>
      </c>
      <c r="B6">
        <v>100</v>
      </c>
      <c r="C6">
        <v>100</v>
      </c>
      <c r="D6">
        <v>100</v>
      </c>
      <c r="E6">
        <v>20</v>
      </c>
      <c r="F6">
        <v>5</v>
      </c>
      <c r="G6">
        <v>50</v>
      </c>
      <c r="H6">
        <v>20</v>
      </c>
      <c r="I6">
        <v>25</v>
      </c>
      <c r="J6">
        <v>12</v>
      </c>
    </row>
    <row r="7" spans="1:29" x14ac:dyDescent="0.35">
      <c r="A7" t="str">
        <f>tech_pot!A7</f>
        <v>La Croix-St-Ouen</v>
      </c>
      <c r="B7">
        <v>5</v>
      </c>
      <c r="C7">
        <v>50</v>
      </c>
      <c r="D7">
        <v>10</v>
      </c>
      <c r="E7">
        <v>30</v>
      </c>
      <c r="F7">
        <v>50</v>
      </c>
      <c r="G7">
        <v>5</v>
      </c>
      <c r="H7">
        <v>60</v>
      </c>
      <c r="I7">
        <v>35</v>
      </c>
      <c r="J7">
        <v>96</v>
      </c>
    </row>
    <row r="8" spans="1:29" x14ac:dyDescent="0.35">
      <c r="A8" t="str">
        <f>tech_pot!A8</f>
        <v>St-Sauveur</v>
      </c>
    </row>
    <row r="9" spans="1:29" x14ac:dyDescent="0.35">
      <c r="A9" t="str">
        <f>tech_pot!A9</f>
        <v>Bethisy-St-Pierre</v>
      </c>
    </row>
    <row r="10" spans="1:29" x14ac:dyDescent="0.35">
      <c r="A10" t="str">
        <f>tech_pot!A10</f>
        <v>Bethisy-St-Martin</v>
      </c>
    </row>
    <row r="11" spans="1:29" x14ac:dyDescent="0.35">
      <c r="A11" t="str">
        <f>tech_pot!A11</f>
        <v>Bienville</v>
      </c>
    </row>
    <row r="12" spans="1:29" x14ac:dyDescent="0.35">
      <c r="A12" t="str">
        <f>tech_pot!A12</f>
        <v>Choisy-au-Bac</v>
      </c>
    </row>
    <row r="13" spans="1:29" x14ac:dyDescent="0.35">
      <c r="A13" t="str">
        <f>tech_pot!A13</f>
        <v>Clairoix</v>
      </c>
    </row>
    <row r="14" spans="1:29" x14ac:dyDescent="0.35">
      <c r="A14" t="str">
        <f>tech_pot!A14</f>
        <v>Janville</v>
      </c>
    </row>
    <row r="15" spans="1:29" x14ac:dyDescent="0.35">
      <c r="A15" t="str">
        <f>tech_pot!A15</f>
        <v>Jonquières</v>
      </c>
    </row>
    <row r="16" spans="1:29" x14ac:dyDescent="0.35">
      <c r="A16" t="str">
        <f>tech_pot!A16</f>
        <v>Lachelle</v>
      </c>
    </row>
    <row r="17" spans="1:1" x14ac:dyDescent="0.35">
      <c r="A17" t="str">
        <f>tech_pot!A17</f>
        <v>Margny-lès-Compiègne</v>
      </c>
    </row>
    <row r="18" spans="1:1" x14ac:dyDescent="0.35">
      <c r="A18" t="str">
        <f>tech_pot!A18</f>
        <v>Nery</v>
      </c>
    </row>
    <row r="19" spans="1:1" x14ac:dyDescent="0.35">
      <c r="A19" t="str">
        <f>tech_pot!A19</f>
        <v>Saint-Jean-aux-Bois</v>
      </c>
    </row>
    <row r="20" spans="1:1" x14ac:dyDescent="0.35">
      <c r="A20" t="str">
        <f>tech_pot!A20</f>
        <v>Saintines</v>
      </c>
    </row>
    <row r="21" spans="1:1" x14ac:dyDescent="0.35">
      <c r="A21" t="str">
        <f>tech_pot!A21</f>
        <v>Saint-Vaast de Longmont</v>
      </c>
    </row>
    <row r="22" spans="1:1" x14ac:dyDescent="0.35">
      <c r="A22" t="str">
        <f>tech_pot!A22</f>
        <v>Verberie</v>
      </c>
    </row>
    <row r="23" spans="1:1" x14ac:dyDescent="0.35">
      <c r="A23" t="str">
        <f>tech_pot!A23</f>
        <v>Vieux-Moulin</v>
      </c>
    </row>
    <row r="24" spans="1:1" x14ac:dyDescent="0.35">
      <c r="A24" t="str">
        <f>tech_pot!A24</f>
        <v>X</v>
      </c>
    </row>
    <row r="25" spans="1:1" x14ac:dyDescent="0.35">
      <c r="A25" t="str">
        <f>tech_pot!A25</f>
        <v>Y</v>
      </c>
    </row>
    <row r="26" spans="1:1" x14ac:dyDescent="0.35">
      <c r="A26" t="str">
        <f>tech_pot!A26</f>
        <v>Z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B2B0E-AECF-41DB-AC20-A757648DB06D}">
  <dimension ref="A1:I15"/>
  <sheetViews>
    <sheetView workbookViewId="0">
      <selection activeCell="E2" sqref="E2"/>
    </sheetView>
  </sheetViews>
  <sheetFormatPr baseColWidth="10" defaultRowHeight="14.5" x14ac:dyDescent="0.35"/>
  <sheetData>
    <row r="1" spans="1:9" x14ac:dyDescent="0.35">
      <c r="B1" t="s">
        <v>12</v>
      </c>
      <c r="D1" t="s">
        <v>13</v>
      </c>
      <c r="F1" t="s">
        <v>14</v>
      </c>
      <c r="H1" t="s">
        <v>15</v>
      </c>
    </row>
    <row r="2" spans="1:9" x14ac:dyDescent="0.35">
      <c r="A2" t="s">
        <v>16</v>
      </c>
      <c r="B2" t="s">
        <v>28</v>
      </c>
      <c r="C2" t="s">
        <v>30</v>
      </c>
      <c r="D2" t="s">
        <v>28</v>
      </c>
      <c r="E2" t="s">
        <v>30</v>
      </c>
      <c r="F2" t="s">
        <v>28</v>
      </c>
      <c r="G2" t="s">
        <v>30</v>
      </c>
      <c r="H2" t="s">
        <v>28</v>
      </c>
      <c r="I2" t="s">
        <v>30</v>
      </c>
    </row>
    <row r="3" spans="1:9" x14ac:dyDescent="0.35">
      <c r="A3" t="s">
        <v>0</v>
      </c>
      <c r="B3">
        <v>1</v>
      </c>
      <c r="D3">
        <v>0</v>
      </c>
      <c r="F3">
        <v>1</v>
      </c>
      <c r="H3">
        <v>0</v>
      </c>
    </row>
    <row r="4" spans="1:9" x14ac:dyDescent="0.35">
      <c r="A4" t="s">
        <v>1</v>
      </c>
      <c r="B4">
        <v>1</v>
      </c>
      <c r="D4">
        <v>0</v>
      </c>
      <c r="F4">
        <v>0</v>
      </c>
      <c r="H4">
        <v>0</v>
      </c>
    </row>
    <row r="5" spans="1:9" x14ac:dyDescent="0.35">
      <c r="A5" t="s">
        <v>2</v>
      </c>
      <c r="B5">
        <v>1</v>
      </c>
      <c r="D5">
        <v>1</v>
      </c>
      <c r="F5">
        <v>0</v>
      </c>
      <c r="H5">
        <v>1</v>
      </c>
    </row>
    <row r="6" spans="1:9" x14ac:dyDescent="0.35">
      <c r="A6" t="s">
        <v>9</v>
      </c>
      <c r="B6">
        <v>1</v>
      </c>
      <c r="D6">
        <v>0</v>
      </c>
      <c r="F6">
        <v>1</v>
      </c>
      <c r="H6">
        <v>0</v>
      </c>
    </row>
    <row r="7" spans="1:9" x14ac:dyDescent="0.35">
      <c r="A7" t="s">
        <v>10</v>
      </c>
      <c r="B7">
        <v>1</v>
      </c>
      <c r="D7">
        <v>1</v>
      </c>
      <c r="F7">
        <v>0</v>
      </c>
      <c r="H7">
        <v>0</v>
      </c>
    </row>
    <row r="8" spans="1:9" x14ac:dyDescent="0.35">
      <c r="A8" t="s">
        <v>11</v>
      </c>
      <c r="B8">
        <v>1</v>
      </c>
      <c r="D8">
        <v>1</v>
      </c>
      <c r="F8">
        <v>0</v>
      </c>
      <c r="H8">
        <v>1</v>
      </c>
    </row>
    <row r="9" spans="1:9" x14ac:dyDescent="0.35">
      <c r="A9" t="s">
        <v>6</v>
      </c>
      <c r="B9">
        <v>1</v>
      </c>
      <c r="D9">
        <v>1</v>
      </c>
      <c r="F9">
        <v>1</v>
      </c>
      <c r="H9">
        <v>1</v>
      </c>
    </row>
    <row r="10" spans="1:9" x14ac:dyDescent="0.35">
      <c r="A10" t="s">
        <v>7</v>
      </c>
      <c r="B10">
        <v>1</v>
      </c>
      <c r="D10">
        <v>1</v>
      </c>
      <c r="F10">
        <v>0</v>
      </c>
      <c r="H10">
        <v>0</v>
      </c>
    </row>
    <row r="11" spans="1:9" x14ac:dyDescent="0.35">
      <c r="A11" t="s">
        <v>18</v>
      </c>
      <c r="B11">
        <v>0</v>
      </c>
      <c r="D11">
        <v>1</v>
      </c>
      <c r="F11">
        <v>1</v>
      </c>
      <c r="H11">
        <v>1</v>
      </c>
    </row>
    <row r="15" spans="1:9" x14ac:dyDescent="0.35">
      <c r="I1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mun</vt:lpstr>
      <vt:lpstr>waste_gen</vt:lpstr>
      <vt:lpstr>dist</vt:lpstr>
      <vt:lpstr>tech_pot</vt:lpstr>
      <vt:lpstr>market</vt:lpstr>
      <vt:lpstr>dist_market</vt:lpstr>
      <vt:lpstr>Feuil4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2025-05-14T22:14:50Z</dcterms:created>
  <dcterms:modified xsi:type="dcterms:W3CDTF">2025-09-08T13:14:55Z</dcterms:modified>
</cp:coreProperties>
</file>