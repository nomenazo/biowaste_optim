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F67B51EF-4EDC-4D33-A2B0-AA6FCDB72B33}" xr6:coauthVersionLast="36" xr6:coauthVersionMax="36" xr10:uidLastSave="{00000000-0000-0000-0000-000000000000}"/>
  <bookViews>
    <workbookView xWindow="0" yWindow="0" windowWidth="15200" windowHeight="6930" activeTab="6" xr2:uid="{B141029A-C238-484B-8693-F95FDEE8D83E}"/>
  </bookViews>
  <sheets>
    <sheet name="mun" sheetId="3" r:id="rId1"/>
    <sheet name="Feuil2" sheetId="10" r:id="rId2"/>
    <sheet name="waste_gen" sheetId="1" r:id="rId3"/>
    <sheet name="dist" sheetId="6" r:id="rId4"/>
    <sheet name="market" sheetId="8" r:id="rId5"/>
    <sheet name="tech_pot" sheetId="9" r:id="rId6"/>
    <sheet name="dist_market" sheetId="4" r:id="rId7"/>
    <sheet name="Feuil4" sheetId="1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9" l="1"/>
  <c r="D6" i="1" l="1"/>
  <c r="D3" i="1" l="1"/>
  <c r="D4" i="1"/>
  <c r="D2" i="1"/>
</calcChain>
</file>

<file path=xl/sharedStrings.xml><?xml version="1.0" encoding="utf-8"?>
<sst xmlns="http://schemas.openxmlformats.org/spreadsheetml/2006/main" count="88" uniqueCount="32">
  <si>
    <t>A</t>
  </si>
  <si>
    <t>B</t>
  </si>
  <si>
    <t>C</t>
  </si>
  <si>
    <t>Home</t>
  </si>
  <si>
    <t>Total</t>
  </si>
  <si>
    <t>municipalities</t>
  </si>
  <si>
    <t>name</t>
  </si>
  <si>
    <t>E</t>
  </si>
  <si>
    <t>F</t>
  </si>
  <si>
    <t>Building</t>
  </si>
  <si>
    <t>X</t>
  </si>
  <si>
    <t>Y</t>
  </si>
  <si>
    <t>Z</t>
  </si>
  <si>
    <t>Comp</t>
  </si>
  <si>
    <t>Dig</t>
  </si>
  <si>
    <t>Heat</t>
  </si>
  <si>
    <t>Elect</t>
  </si>
  <si>
    <t>market</t>
  </si>
  <si>
    <t>tech_place</t>
  </si>
  <si>
    <t>G</t>
  </si>
  <si>
    <t>HC</t>
  </si>
  <si>
    <t>CC</t>
  </si>
  <si>
    <t>IC</t>
  </si>
  <si>
    <t>AD-a</t>
  </si>
  <si>
    <t>AD-b</t>
  </si>
  <si>
    <t>The technology can be installed at the site</t>
  </si>
  <si>
    <t>The market can not valorize the coproduct</t>
  </si>
  <si>
    <t>The market can valorize the coproduct</t>
  </si>
  <si>
    <t>The technology can not be installed at the site</t>
  </si>
  <si>
    <t>lb_mark</t>
  </si>
  <si>
    <t xml:space="preserve"> </t>
  </si>
  <si>
    <t>ub_mark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</si>
</sst>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2" fillId="0" borderId="0" xfId="1" applyFont="1" applyAlignment="1">
      <alignment horizontal="left" vertical="center"/>
    </xf>
    <xf numFmtId="11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B4"/>
  <sheetViews>
    <sheetView workbookViewId="0">
      <selection activeCell="B1" sqref="B1"/>
    </sheetView>
  </sheetViews>
  <sheetFormatPr baseColWidth="10"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0</v>
      </c>
    </row>
    <row r="3" spans="1:2" x14ac:dyDescent="0.35">
      <c r="A3" t="s">
        <v>1</v>
      </c>
    </row>
    <row r="4" spans="1:2" x14ac:dyDescent="0.35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DEDB-9C79-405B-9506-01756C23D52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D6"/>
  <sheetViews>
    <sheetView workbookViewId="0">
      <selection activeCell="D6" sqref="D6"/>
    </sheetView>
  </sheetViews>
  <sheetFormatPr baseColWidth="10" defaultRowHeight="14.5" x14ac:dyDescent="0.35"/>
  <sheetData>
    <row r="1" spans="1:4" x14ac:dyDescent="0.35">
      <c r="B1" t="s">
        <v>3</v>
      </c>
      <c r="C1" t="s">
        <v>9</v>
      </c>
      <c r="D1" t="s">
        <v>4</v>
      </c>
    </row>
    <row r="2" spans="1:4" x14ac:dyDescent="0.35">
      <c r="A2" t="s">
        <v>0</v>
      </c>
      <c r="B2">
        <v>100</v>
      </c>
      <c r="C2">
        <v>200</v>
      </c>
      <c r="D2">
        <f>SUM(B2:C2)</f>
        <v>300</v>
      </c>
    </row>
    <row r="3" spans="1:4" x14ac:dyDescent="0.35">
      <c r="A3" t="s">
        <v>1</v>
      </c>
      <c r="B3">
        <v>800</v>
      </c>
      <c r="C3">
        <v>200</v>
      </c>
      <c r="D3">
        <f t="shared" ref="D3:D4" si="0">SUM(B3:C3)</f>
        <v>1000</v>
      </c>
    </row>
    <row r="4" spans="1:4" x14ac:dyDescent="0.35">
      <c r="A4" t="s">
        <v>2</v>
      </c>
      <c r="B4">
        <v>600</v>
      </c>
      <c r="C4">
        <v>100</v>
      </c>
      <c r="D4">
        <f t="shared" si="0"/>
        <v>700</v>
      </c>
    </row>
    <row r="6" spans="1:4" x14ac:dyDescent="0.35">
      <c r="D6">
        <f>SUM(D2:D4)</f>
        <v>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119B-877F-4A10-9FD1-253144E79B20}">
  <dimension ref="A1:P7"/>
  <sheetViews>
    <sheetView workbookViewId="0">
      <selection activeCell="B2" sqref="B2"/>
    </sheetView>
  </sheetViews>
  <sheetFormatPr baseColWidth="10" defaultRowHeight="14.5" x14ac:dyDescent="0.35"/>
  <cols>
    <col min="16" max="16" width="13" bestFit="1" customWidth="1"/>
  </cols>
  <sheetData>
    <row r="1" spans="1:16" x14ac:dyDescent="0.35">
      <c r="B1" t="s">
        <v>0</v>
      </c>
      <c r="C1" t="s">
        <v>1</v>
      </c>
      <c r="D1" t="s">
        <v>2</v>
      </c>
      <c r="E1" t="s">
        <v>10</v>
      </c>
      <c r="F1" t="s">
        <v>11</v>
      </c>
      <c r="G1" t="s">
        <v>12</v>
      </c>
    </row>
    <row r="2" spans="1:16" x14ac:dyDescent="0.35">
      <c r="A2" t="s">
        <v>0</v>
      </c>
      <c r="B2">
        <v>2</v>
      </c>
      <c r="C2">
        <v>30</v>
      </c>
      <c r="D2">
        <v>25</v>
      </c>
      <c r="E2">
        <v>20</v>
      </c>
      <c r="F2">
        <v>100</v>
      </c>
      <c r="G2">
        <v>5</v>
      </c>
    </row>
    <row r="3" spans="1:16" x14ac:dyDescent="0.35">
      <c r="A3" t="s">
        <v>1</v>
      </c>
      <c r="B3">
        <v>30</v>
      </c>
      <c r="C3">
        <v>3</v>
      </c>
      <c r="D3">
        <v>10</v>
      </c>
      <c r="E3">
        <v>10</v>
      </c>
      <c r="F3">
        <v>100</v>
      </c>
      <c r="G3">
        <v>50</v>
      </c>
    </row>
    <row r="4" spans="1:16" x14ac:dyDescent="0.35">
      <c r="A4" t="s">
        <v>2</v>
      </c>
      <c r="B4">
        <v>25</v>
      </c>
      <c r="C4">
        <v>10</v>
      </c>
      <c r="D4">
        <v>2</v>
      </c>
      <c r="E4">
        <v>40</v>
      </c>
      <c r="F4">
        <v>100</v>
      </c>
      <c r="G4">
        <v>10</v>
      </c>
    </row>
    <row r="6" spans="1:16" x14ac:dyDescent="0.35">
      <c r="P6" s="1"/>
    </row>
    <row r="7" spans="1:16" x14ac:dyDescent="0.35">
      <c r="P7" s="1"/>
    </row>
  </sheetData>
  <pageMargins left="0.7" right="0.7" top="0.75" bottom="0.75" header="0.3" footer="0.3"/>
  <pageSetup paperSize="9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J10"/>
  <sheetViews>
    <sheetView workbookViewId="0">
      <selection activeCell="B3" sqref="B3"/>
    </sheetView>
  </sheetViews>
  <sheetFormatPr baseColWidth="10" defaultRowHeight="14.5" x14ac:dyDescent="0.35"/>
  <cols>
    <col min="10" max="10" width="22.36328125" customWidth="1"/>
  </cols>
  <sheetData>
    <row r="1" spans="1:10" x14ac:dyDescent="0.35">
      <c r="A1" t="s">
        <v>17</v>
      </c>
      <c r="B1" t="s">
        <v>13</v>
      </c>
      <c r="C1" t="s">
        <v>14</v>
      </c>
      <c r="D1" t="s">
        <v>15</v>
      </c>
      <c r="E1" t="s">
        <v>16</v>
      </c>
      <c r="I1">
        <v>1</v>
      </c>
      <c r="J1" t="s">
        <v>27</v>
      </c>
    </row>
    <row r="2" spans="1:10" x14ac:dyDescent="0.35">
      <c r="A2" t="s">
        <v>0</v>
      </c>
      <c r="B2">
        <v>1</v>
      </c>
      <c r="C2">
        <v>0</v>
      </c>
      <c r="D2">
        <v>1</v>
      </c>
      <c r="E2">
        <v>0</v>
      </c>
      <c r="I2">
        <v>0</v>
      </c>
      <c r="J2" t="s">
        <v>26</v>
      </c>
    </row>
    <row r="3" spans="1:10" x14ac:dyDescent="0.35">
      <c r="A3" t="s">
        <v>1</v>
      </c>
      <c r="B3">
        <v>1</v>
      </c>
      <c r="C3">
        <v>0</v>
      </c>
      <c r="D3">
        <v>0</v>
      </c>
      <c r="E3">
        <v>0</v>
      </c>
    </row>
    <row r="4" spans="1:10" x14ac:dyDescent="0.35">
      <c r="A4" t="s">
        <v>2</v>
      </c>
      <c r="B4">
        <v>1</v>
      </c>
      <c r="C4">
        <v>1</v>
      </c>
      <c r="D4">
        <v>0</v>
      </c>
      <c r="E4">
        <v>1</v>
      </c>
    </row>
    <row r="5" spans="1:10" x14ac:dyDescent="0.35">
      <c r="A5" t="s">
        <v>10</v>
      </c>
      <c r="B5">
        <v>1</v>
      </c>
      <c r="C5">
        <v>0</v>
      </c>
      <c r="D5">
        <v>1</v>
      </c>
      <c r="E5">
        <v>0</v>
      </c>
    </row>
    <row r="6" spans="1:10" x14ac:dyDescent="0.35">
      <c r="A6" t="s">
        <v>11</v>
      </c>
      <c r="B6">
        <v>1</v>
      </c>
      <c r="C6">
        <v>1</v>
      </c>
      <c r="D6">
        <v>0</v>
      </c>
      <c r="E6">
        <v>0</v>
      </c>
    </row>
    <row r="7" spans="1:10" x14ac:dyDescent="0.35">
      <c r="A7" t="s">
        <v>12</v>
      </c>
      <c r="B7">
        <v>1</v>
      </c>
      <c r="C7">
        <v>1</v>
      </c>
      <c r="D7">
        <v>0</v>
      </c>
      <c r="E7">
        <v>1</v>
      </c>
    </row>
    <row r="8" spans="1:10" x14ac:dyDescent="0.35">
      <c r="A8" t="s">
        <v>7</v>
      </c>
      <c r="B8">
        <v>1</v>
      </c>
      <c r="C8">
        <v>1</v>
      </c>
      <c r="D8">
        <v>1</v>
      </c>
      <c r="E8">
        <v>1</v>
      </c>
      <c r="J8" s="2"/>
    </row>
    <row r="9" spans="1:10" x14ac:dyDescent="0.35">
      <c r="A9" t="s">
        <v>8</v>
      </c>
      <c r="B9">
        <v>1</v>
      </c>
      <c r="C9">
        <v>1</v>
      </c>
      <c r="D9">
        <v>0</v>
      </c>
      <c r="E9">
        <v>0</v>
      </c>
      <c r="J9" s="2"/>
    </row>
    <row r="10" spans="1:10" x14ac:dyDescent="0.35">
      <c r="A10" t="s">
        <v>19</v>
      </c>
      <c r="B10">
        <v>0</v>
      </c>
      <c r="C10">
        <v>1</v>
      </c>
      <c r="D10">
        <v>1</v>
      </c>
      <c r="E10">
        <v>1</v>
      </c>
      <c r="J1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K16"/>
  <sheetViews>
    <sheetView workbookViewId="0">
      <selection activeCell="J17" sqref="J17"/>
    </sheetView>
  </sheetViews>
  <sheetFormatPr baseColWidth="10" defaultRowHeight="14.5" x14ac:dyDescent="0.35"/>
  <sheetData>
    <row r="1" spans="1:11" x14ac:dyDescent="0.35">
      <c r="B1" t="s">
        <v>20</v>
      </c>
      <c r="C1" t="s">
        <v>21</v>
      </c>
      <c r="D1" t="s">
        <v>22</v>
      </c>
      <c r="E1" t="s">
        <v>23</v>
      </c>
      <c r="F1" t="s">
        <v>24</v>
      </c>
      <c r="J1">
        <v>1</v>
      </c>
      <c r="K1" t="s">
        <v>25</v>
      </c>
    </row>
    <row r="2" spans="1:11" x14ac:dyDescent="0.35">
      <c r="A2" t="s">
        <v>0</v>
      </c>
      <c r="B2">
        <v>1</v>
      </c>
      <c r="C2">
        <v>1</v>
      </c>
      <c r="D2">
        <v>0</v>
      </c>
      <c r="E2">
        <v>0</v>
      </c>
      <c r="F2">
        <v>0</v>
      </c>
      <c r="J2">
        <v>0</v>
      </c>
      <c r="K2" t="s">
        <v>28</v>
      </c>
    </row>
    <row r="3" spans="1:11" x14ac:dyDescent="0.35">
      <c r="A3" t="s">
        <v>1</v>
      </c>
      <c r="B3">
        <v>1</v>
      </c>
      <c r="C3">
        <v>1</v>
      </c>
      <c r="D3">
        <v>0</v>
      </c>
      <c r="E3">
        <v>1</v>
      </c>
      <c r="F3">
        <v>0</v>
      </c>
    </row>
    <row r="4" spans="1:11" x14ac:dyDescent="0.35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</row>
    <row r="5" spans="1:11" x14ac:dyDescent="0.35">
      <c r="A5" t="s">
        <v>10</v>
      </c>
      <c r="B5">
        <v>0</v>
      </c>
      <c r="C5">
        <v>0</v>
      </c>
      <c r="D5">
        <v>1</v>
      </c>
      <c r="E5">
        <v>1</v>
      </c>
      <c r="F5">
        <v>1</v>
      </c>
    </row>
    <row r="6" spans="1:11" x14ac:dyDescent="0.35">
      <c r="A6" t="s">
        <v>11</v>
      </c>
      <c r="B6">
        <v>0</v>
      </c>
      <c r="C6">
        <v>0</v>
      </c>
      <c r="D6">
        <v>1</v>
      </c>
      <c r="E6">
        <v>1</v>
      </c>
      <c r="F6">
        <v>1</v>
      </c>
    </row>
    <row r="7" spans="1:11" x14ac:dyDescent="0.35">
      <c r="A7" t="s">
        <v>12</v>
      </c>
      <c r="B7">
        <v>0</v>
      </c>
      <c r="C7">
        <v>0</v>
      </c>
      <c r="D7">
        <v>1</v>
      </c>
      <c r="E7">
        <v>1</v>
      </c>
      <c r="F7">
        <v>1</v>
      </c>
    </row>
    <row r="16" spans="1:11" x14ac:dyDescent="0.35">
      <c r="J16">
        <f>11*20*12</f>
        <v>2640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J7"/>
  <sheetViews>
    <sheetView tabSelected="1" workbookViewId="0">
      <selection activeCell="A5" sqref="A5"/>
    </sheetView>
  </sheetViews>
  <sheetFormatPr baseColWidth="10" defaultRowHeight="14.5" x14ac:dyDescent="0.35"/>
  <sheetData>
    <row r="1" spans="1:10" x14ac:dyDescent="0.35">
      <c r="A1" t="s">
        <v>18</v>
      </c>
      <c r="B1" t="s">
        <v>0</v>
      </c>
      <c r="C1" t="s">
        <v>1</v>
      </c>
      <c r="D1" t="s">
        <v>2</v>
      </c>
      <c r="E1" t="s">
        <v>10</v>
      </c>
      <c r="F1" t="s">
        <v>11</v>
      </c>
      <c r="G1" t="s">
        <v>12</v>
      </c>
      <c r="H1" t="s">
        <v>7</v>
      </c>
      <c r="I1" t="s">
        <v>8</v>
      </c>
      <c r="J1" t="s">
        <v>19</v>
      </c>
    </row>
    <row r="2" spans="1:10" x14ac:dyDescent="0.35">
      <c r="A2" t="s">
        <v>0</v>
      </c>
      <c r="B2">
        <v>2</v>
      </c>
      <c r="C2">
        <v>30</v>
      </c>
      <c r="D2">
        <v>25</v>
      </c>
      <c r="E2">
        <v>20</v>
      </c>
      <c r="F2">
        <v>100</v>
      </c>
      <c r="G2">
        <v>5</v>
      </c>
      <c r="H2">
        <v>50</v>
      </c>
      <c r="I2">
        <v>60</v>
      </c>
      <c r="J2">
        <v>20</v>
      </c>
    </row>
    <row r="3" spans="1:10" x14ac:dyDescent="0.35">
      <c r="A3" t="s">
        <v>1</v>
      </c>
      <c r="B3">
        <v>30</v>
      </c>
      <c r="C3">
        <v>3</v>
      </c>
      <c r="D3">
        <v>10</v>
      </c>
      <c r="E3">
        <v>10</v>
      </c>
      <c r="F3">
        <v>100</v>
      </c>
      <c r="G3">
        <v>50</v>
      </c>
      <c r="H3">
        <v>95</v>
      </c>
      <c r="I3">
        <v>11</v>
      </c>
      <c r="J3">
        <v>44</v>
      </c>
    </row>
    <row r="4" spans="1:10" x14ac:dyDescent="0.35">
      <c r="A4" t="s">
        <v>2</v>
      </c>
      <c r="B4">
        <v>25</v>
      </c>
      <c r="C4">
        <v>10</v>
      </c>
      <c r="D4">
        <v>2</v>
      </c>
      <c r="E4">
        <v>40</v>
      </c>
      <c r="F4">
        <v>100</v>
      </c>
      <c r="G4">
        <v>10</v>
      </c>
      <c r="H4">
        <v>69</v>
      </c>
      <c r="I4">
        <v>47</v>
      </c>
      <c r="J4">
        <v>96</v>
      </c>
    </row>
    <row r="5" spans="1:10" x14ac:dyDescent="0.35">
      <c r="A5" t="s">
        <v>10</v>
      </c>
      <c r="B5">
        <v>20</v>
      </c>
      <c r="C5">
        <v>10</v>
      </c>
      <c r="D5">
        <v>40</v>
      </c>
      <c r="E5">
        <v>5</v>
      </c>
      <c r="F5">
        <v>20</v>
      </c>
      <c r="G5">
        <v>30</v>
      </c>
      <c r="H5">
        <v>74</v>
      </c>
      <c r="I5">
        <v>15</v>
      </c>
      <c r="J5">
        <v>60</v>
      </c>
    </row>
    <row r="6" spans="1:10" x14ac:dyDescent="0.35">
      <c r="A6" t="s">
        <v>11</v>
      </c>
      <c r="B6">
        <v>100</v>
      </c>
      <c r="C6">
        <v>100</v>
      </c>
      <c r="D6">
        <v>100</v>
      </c>
      <c r="E6">
        <v>20</v>
      </c>
      <c r="F6">
        <v>5</v>
      </c>
      <c r="G6">
        <v>50</v>
      </c>
      <c r="H6">
        <v>20</v>
      </c>
      <c r="I6">
        <v>25</v>
      </c>
      <c r="J6">
        <v>12</v>
      </c>
    </row>
    <row r="7" spans="1:10" x14ac:dyDescent="0.35">
      <c r="A7" t="s">
        <v>12</v>
      </c>
      <c r="B7">
        <v>5</v>
      </c>
      <c r="C7">
        <v>50</v>
      </c>
      <c r="D7">
        <v>10</v>
      </c>
      <c r="E7">
        <v>30</v>
      </c>
      <c r="F7">
        <v>50</v>
      </c>
      <c r="G7">
        <v>5</v>
      </c>
      <c r="H7">
        <v>60</v>
      </c>
      <c r="I7">
        <v>35</v>
      </c>
      <c r="J7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B0E-AECF-41DB-AC20-A757648DB06D}">
  <dimension ref="A1:I15"/>
  <sheetViews>
    <sheetView workbookViewId="0">
      <selection activeCell="E2" sqref="E2"/>
    </sheetView>
  </sheetViews>
  <sheetFormatPr baseColWidth="10" defaultRowHeight="14.5" x14ac:dyDescent="0.35"/>
  <sheetData>
    <row r="1" spans="1:9" x14ac:dyDescent="0.35">
      <c r="B1" t="s">
        <v>13</v>
      </c>
      <c r="D1" t="s">
        <v>14</v>
      </c>
      <c r="F1" t="s">
        <v>15</v>
      </c>
      <c r="H1" t="s">
        <v>16</v>
      </c>
    </row>
    <row r="2" spans="1:9" x14ac:dyDescent="0.35">
      <c r="A2" t="s">
        <v>17</v>
      </c>
      <c r="B2" t="s">
        <v>29</v>
      </c>
      <c r="C2" t="s">
        <v>31</v>
      </c>
      <c r="D2" t="s">
        <v>29</v>
      </c>
      <c r="E2" t="s">
        <v>31</v>
      </c>
      <c r="F2" t="s">
        <v>29</v>
      </c>
      <c r="G2" t="s">
        <v>31</v>
      </c>
      <c r="H2" t="s">
        <v>29</v>
      </c>
      <c r="I2" t="s">
        <v>31</v>
      </c>
    </row>
    <row r="3" spans="1:9" x14ac:dyDescent="0.35">
      <c r="A3" t="s">
        <v>0</v>
      </c>
      <c r="B3">
        <v>1</v>
      </c>
      <c r="D3">
        <v>0</v>
      </c>
      <c r="F3">
        <v>1</v>
      </c>
      <c r="H3">
        <v>0</v>
      </c>
    </row>
    <row r="4" spans="1:9" x14ac:dyDescent="0.35">
      <c r="A4" t="s">
        <v>1</v>
      </c>
      <c r="B4">
        <v>1</v>
      </c>
      <c r="D4">
        <v>0</v>
      </c>
      <c r="F4">
        <v>0</v>
      </c>
      <c r="H4">
        <v>0</v>
      </c>
    </row>
    <row r="5" spans="1:9" x14ac:dyDescent="0.35">
      <c r="A5" t="s">
        <v>2</v>
      </c>
      <c r="B5">
        <v>1</v>
      </c>
      <c r="D5">
        <v>1</v>
      </c>
      <c r="F5">
        <v>0</v>
      </c>
      <c r="H5">
        <v>1</v>
      </c>
    </row>
    <row r="6" spans="1:9" x14ac:dyDescent="0.35">
      <c r="A6" t="s">
        <v>10</v>
      </c>
      <c r="B6">
        <v>1</v>
      </c>
      <c r="D6">
        <v>0</v>
      </c>
      <c r="F6">
        <v>1</v>
      </c>
      <c r="H6">
        <v>0</v>
      </c>
    </row>
    <row r="7" spans="1:9" x14ac:dyDescent="0.35">
      <c r="A7" t="s">
        <v>11</v>
      </c>
      <c r="B7">
        <v>1</v>
      </c>
      <c r="D7">
        <v>1</v>
      </c>
      <c r="F7">
        <v>0</v>
      </c>
      <c r="H7">
        <v>0</v>
      </c>
    </row>
    <row r="8" spans="1:9" x14ac:dyDescent="0.35">
      <c r="A8" t="s">
        <v>12</v>
      </c>
      <c r="B8">
        <v>1</v>
      </c>
      <c r="D8">
        <v>1</v>
      </c>
      <c r="F8">
        <v>0</v>
      </c>
      <c r="H8">
        <v>1</v>
      </c>
    </row>
    <row r="9" spans="1:9" x14ac:dyDescent="0.35">
      <c r="A9" t="s">
        <v>7</v>
      </c>
      <c r="B9">
        <v>1</v>
      </c>
      <c r="D9">
        <v>1</v>
      </c>
      <c r="F9">
        <v>1</v>
      </c>
      <c r="H9">
        <v>1</v>
      </c>
    </row>
    <row r="10" spans="1:9" x14ac:dyDescent="0.35">
      <c r="A10" t="s">
        <v>8</v>
      </c>
      <c r="B10">
        <v>1</v>
      </c>
      <c r="D10">
        <v>1</v>
      </c>
      <c r="F10">
        <v>0</v>
      </c>
      <c r="H10">
        <v>0</v>
      </c>
    </row>
    <row r="11" spans="1:9" x14ac:dyDescent="0.35">
      <c r="A11" t="s">
        <v>19</v>
      </c>
      <c r="B11">
        <v>0</v>
      </c>
      <c r="D11">
        <v>1</v>
      </c>
      <c r="F11">
        <v>1</v>
      </c>
      <c r="H11">
        <v>1</v>
      </c>
    </row>
    <row r="15" spans="1:9" x14ac:dyDescent="0.35">
      <c r="I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mun</vt:lpstr>
      <vt:lpstr>Feuil2</vt:lpstr>
      <vt:lpstr>waste_gen</vt:lpstr>
      <vt:lpstr>dist</vt:lpstr>
      <vt:lpstr>market</vt:lpstr>
      <vt:lpstr>tech_pot</vt:lpstr>
      <vt:lpstr>dist_market</vt:lpstr>
      <vt:lpstr>Feuil4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2025-09-15T09:35:12Z</dcterms:modified>
</cp:coreProperties>
</file>