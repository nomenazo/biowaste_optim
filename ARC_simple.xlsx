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3CA09373-ECAA-4603-BE7E-41063F6B09BB}" xr6:coauthVersionLast="36" xr6:coauthVersionMax="36" xr10:uidLastSave="{00000000-0000-0000-0000-000000000000}"/>
  <bookViews>
    <workbookView xWindow="0" yWindow="0" windowWidth="15200" windowHeight="6930" activeTab="5" xr2:uid="{B141029A-C238-484B-8693-F95FDEE8D83E}"/>
  </bookViews>
  <sheets>
    <sheet name="mun" sheetId="3" r:id="rId1"/>
    <sheet name="waste_gen" sheetId="1" r:id="rId2"/>
    <sheet name="dist_market" sheetId="4" r:id="rId3"/>
    <sheet name="dist" sheetId="6" r:id="rId4"/>
    <sheet name="tech_pot" sheetId="9" r:id="rId5"/>
    <sheet name="market" sheetId="8" r:id="rId6"/>
    <sheet name="Feuil4" sheetId="12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4" l="1"/>
  <c r="A6" i="4"/>
  <c r="B2" i="1" l="1"/>
  <c r="C2" i="1" l="1"/>
  <c r="B3" i="1"/>
  <c r="C3" i="1" s="1"/>
  <c r="B4" i="1"/>
  <c r="C4" i="1" s="1"/>
  <c r="B5" i="1"/>
  <c r="C5" i="1" s="1"/>
  <c r="AA1" i="4" l="1"/>
  <c r="T1" i="4"/>
  <c r="B1" i="6"/>
  <c r="AB1" i="4"/>
  <c r="AC1" i="4"/>
  <c r="A6" i="8"/>
  <c r="K1" i="4"/>
  <c r="L1" i="4"/>
  <c r="M1" i="4"/>
  <c r="N1" i="4"/>
  <c r="S1" i="4"/>
  <c r="U1" i="4"/>
  <c r="V1" i="4"/>
  <c r="X1" i="4"/>
  <c r="Y1" i="4"/>
  <c r="Z1" i="4"/>
  <c r="A2" i="9"/>
  <c r="A2" i="4" s="1"/>
  <c r="A3" i="9"/>
  <c r="A3" i="4" s="1"/>
  <c r="A4" i="9"/>
  <c r="A4" i="4" s="1"/>
  <c r="A5" i="9"/>
  <c r="A5" i="8" s="1"/>
  <c r="E1" i="4" s="1"/>
  <c r="A7" i="8"/>
  <c r="W1" i="4"/>
  <c r="C1" i="6"/>
  <c r="A4" i="8" l="1"/>
  <c r="D1" i="4" s="1"/>
  <c r="A3" i="8"/>
  <c r="C1" i="4" s="1"/>
  <c r="A2" i="8"/>
  <c r="B1" i="4" s="1"/>
  <c r="A5" i="4"/>
  <c r="R1" i="4"/>
  <c r="Q1" i="4"/>
  <c r="P1" i="4"/>
  <c r="O1" i="4"/>
  <c r="A3" i="6"/>
  <c r="A4" i="6"/>
  <c r="A5" i="6"/>
  <c r="A4" i="1"/>
  <c r="A5" i="1"/>
  <c r="A3" i="1"/>
  <c r="A2" i="1"/>
  <c r="A2" i="6" s="1"/>
</calcChain>
</file>

<file path=xl/sharedStrings.xml><?xml version="1.0" encoding="utf-8"?>
<sst xmlns="http://schemas.openxmlformats.org/spreadsheetml/2006/main" count="59" uniqueCount="40">
  <si>
    <t>A</t>
  </si>
  <si>
    <t>B</t>
  </si>
  <si>
    <t>C</t>
  </si>
  <si>
    <t>Home</t>
  </si>
  <si>
    <t>Total</t>
  </si>
  <si>
    <t>municipalities</t>
  </si>
  <si>
    <t>E</t>
  </si>
  <si>
    <t>F</t>
  </si>
  <si>
    <t>Building</t>
  </si>
  <si>
    <t>X</t>
  </si>
  <si>
    <t>Y</t>
  </si>
  <si>
    <t>Z</t>
  </si>
  <si>
    <t>Comp</t>
  </si>
  <si>
    <t>Dig</t>
  </si>
  <si>
    <t>Heat</t>
  </si>
  <si>
    <t>Elect</t>
  </si>
  <si>
    <t>market</t>
  </si>
  <si>
    <t>tech_place</t>
  </si>
  <si>
    <t>G</t>
  </si>
  <si>
    <t>HC</t>
  </si>
  <si>
    <t>IC</t>
  </si>
  <si>
    <t>AD-a</t>
  </si>
  <si>
    <t>AD-b</t>
  </si>
  <si>
    <t>lb_mark</t>
  </si>
  <si>
    <t xml:space="preserve"> </t>
  </si>
  <si>
    <t>ub_mark</t>
  </si>
  <si>
    <t>Compiègne</t>
  </si>
  <si>
    <t>Venette</t>
  </si>
  <si>
    <t>Jaux</t>
  </si>
  <si>
    <t>Armancourt</t>
  </si>
  <si>
    <t>sites</t>
  </si>
  <si>
    <t>Other markets</t>
  </si>
  <si>
    <t>Hypothèse</t>
  </si>
  <si>
    <t>Chaque logement produit la même quantité de biodéchets</t>
  </si>
  <si>
    <t xml:space="preserve">X </t>
  </si>
  <si>
    <t>monchy-humières</t>
  </si>
  <si>
    <t>Villers-Saint-Paul</t>
  </si>
  <si>
    <t>AD-c</t>
  </si>
  <si>
    <t>Biomet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</si>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</sst>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2" fillId="0" borderId="0" xfId="1" applyFont="1" applyAlignment="1">
      <alignment horizontal="left" vertical="center"/>
    </xf>
    <xf numFmtId="11" fontId="0" fillId="0" borderId="0" xfId="0" applyNumberFormat="1"/>
    <xf numFmtId="0" fontId="3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RC_2023_de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eur de territoires"/>
      <sheetName val="Communes"/>
      <sheetName val="Feuil1"/>
    </sheetNames>
    <sheetDataSet>
      <sheetData sheetId="0"/>
      <sheetData sheetId="1">
        <row r="29">
          <cell r="B29">
            <v>0.89300000000000002</v>
          </cell>
          <cell r="H29">
            <v>0.20899999999999999</v>
          </cell>
          <cell r="J29">
            <v>0.79300000000000004</v>
          </cell>
          <cell r="U29">
            <v>0.67100000000000004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J5"/>
  <sheetViews>
    <sheetView workbookViewId="0">
      <selection activeCell="B2" sqref="B2:B3"/>
    </sheetView>
  </sheetViews>
  <sheetFormatPr baseColWidth="10" defaultRowHeight="14.5" x14ac:dyDescent="0.35"/>
  <cols>
    <col min="1" max="1" width="30.453125" customWidth="1"/>
  </cols>
  <sheetData>
    <row r="1" spans="1:10" x14ac:dyDescent="0.35">
      <c r="A1" s="3" t="s">
        <v>5</v>
      </c>
      <c r="B1" s="3" t="s">
        <v>30</v>
      </c>
      <c r="C1" s="3" t="s">
        <v>31</v>
      </c>
    </row>
    <row r="2" spans="1:10" x14ac:dyDescent="0.35">
      <c r="A2" t="s">
        <v>26</v>
      </c>
      <c r="B2" t="s">
        <v>9</v>
      </c>
      <c r="C2" t="s">
        <v>6</v>
      </c>
      <c r="I2" t="s">
        <v>34</v>
      </c>
      <c r="J2" t="s">
        <v>35</v>
      </c>
    </row>
    <row r="3" spans="1:10" x14ac:dyDescent="0.35">
      <c r="A3" t="s">
        <v>27</v>
      </c>
      <c r="B3" t="s">
        <v>10</v>
      </c>
      <c r="I3" t="s">
        <v>10</v>
      </c>
      <c r="J3" t="s">
        <v>36</v>
      </c>
    </row>
    <row r="4" spans="1:10" x14ac:dyDescent="0.35">
      <c r="A4" t="s">
        <v>28</v>
      </c>
    </row>
    <row r="5" spans="1:10" x14ac:dyDescent="0.35">
      <c r="A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J5"/>
  <sheetViews>
    <sheetView workbookViewId="0">
      <selection activeCell="C5" sqref="C5"/>
    </sheetView>
  </sheetViews>
  <sheetFormatPr baseColWidth="10" defaultRowHeight="14.5" x14ac:dyDescent="0.35"/>
  <cols>
    <col min="1" max="1" width="21.81640625" customWidth="1"/>
  </cols>
  <sheetData>
    <row r="1" spans="1:10" x14ac:dyDescent="0.35">
      <c r="B1" t="s">
        <v>3</v>
      </c>
      <c r="C1" t="s">
        <v>8</v>
      </c>
      <c r="D1" t="s">
        <v>4</v>
      </c>
    </row>
    <row r="2" spans="1:10" x14ac:dyDescent="0.35">
      <c r="A2" t="str">
        <f>mun!A2</f>
        <v>Compiègne</v>
      </c>
      <c r="B2">
        <f>D2*[1]Communes!$H$29</f>
        <v>615.29599999999994</v>
      </c>
      <c r="C2">
        <f t="shared" ref="C2:C4" si="0">D2-B2</f>
        <v>2328.7040000000002</v>
      </c>
      <c r="D2">
        <v>2944</v>
      </c>
    </row>
    <row r="3" spans="1:10" x14ac:dyDescent="0.35">
      <c r="A3" t="str">
        <f>mun!A3</f>
        <v>Venette</v>
      </c>
      <c r="B3">
        <f>D3*[1]Communes!$U$29</f>
        <v>124.80600000000001</v>
      </c>
      <c r="C3">
        <f t="shared" si="0"/>
        <v>61.193999999999988</v>
      </c>
      <c r="D3">
        <v>186</v>
      </c>
      <c r="I3" t="s">
        <v>32</v>
      </c>
      <c r="J3" t="s">
        <v>33</v>
      </c>
    </row>
    <row r="4" spans="1:10" x14ac:dyDescent="0.35">
      <c r="A4" t="str">
        <f>mun!A4</f>
        <v>Jaux</v>
      </c>
      <c r="B4">
        <f>D4*[1]Communes!$J$29</f>
        <v>147.49800000000002</v>
      </c>
      <c r="C4">
        <f t="shared" si="0"/>
        <v>38.501999999999981</v>
      </c>
      <c r="D4">
        <v>186</v>
      </c>
    </row>
    <row r="5" spans="1:10" x14ac:dyDescent="0.35">
      <c r="A5" t="str">
        <f>mun!A5</f>
        <v>Armancourt</v>
      </c>
      <c r="B5">
        <f>D5*[1]Communes!$B$29</f>
        <v>42.864000000000004</v>
      </c>
      <c r="C5">
        <f>D5-B5</f>
        <v>5.1359999999999957</v>
      </c>
      <c r="D5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C7"/>
  <sheetViews>
    <sheetView zoomScaleNormal="100" workbookViewId="0">
      <selection activeCell="D5" sqref="D5"/>
    </sheetView>
  </sheetViews>
  <sheetFormatPr baseColWidth="10" defaultRowHeight="14.5" x14ac:dyDescent="0.35"/>
  <cols>
    <col min="1" max="1" width="33.81640625" customWidth="1"/>
  </cols>
  <sheetData>
    <row r="1" spans="1:29" x14ac:dyDescent="0.35">
      <c r="A1" t="s">
        <v>17</v>
      </c>
      <c r="B1" t="str">
        <f>INDEX(market!$A:$A,COLUMN(A1)+1)</f>
        <v>Compiègne</v>
      </c>
      <c r="C1" t="str">
        <f>INDEX(market!$A:$A,COLUMN(B1)+1)</f>
        <v>Venette</v>
      </c>
      <c r="D1" t="str">
        <f>INDEX(market!$A:$A,COLUMN(C1)+1)</f>
        <v>Jaux</v>
      </c>
      <c r="E1" t="str">
        <f>INDEX(market!$A:$A,COLUMN(D1)+1)</f>
        <v>Armancourt</v>
      </c>
      <c r="F1" t="s">
        <v>9</v>
      </c>
      <c r="G1" t="s">
        <v>10</v>
      </c>
      <c r="K1">
        <f>INDEX(market!$A:$A,COLUMN(J1)+1)</f>
        <v>0</v>
      </c>
      <c r="L1">
        <f>INDEX(market!$A:$A,COLUMN(K1)+1)</f>
        <v>0</v>
      </c>
      <c r="M1">
        <f>INDEX(market!$A:$A,COLUMN(L1)+1)</f>
        <v>0</v>
      </c>
      <c r="N1">
        <f>INDEX(market!$A:$A,COLUMN(M1)+1)</f>
        <v>0</v>
      </c>
      <c r="O1">
        <f>INDEX(market!$A:$A,COLUMN(N1)+1)</f>
        <v>0</v>
      </c>
      <c r="P1">
        <f>INDEX(market!$A:$A,COLUMN(O1)+1)</f>
        <v>0</v>
      </c>
      <c r="Q1">
        <f>INDEX(market!$A:$A,COLUMN(P1)+1)</f>
        <v>0</v>
      </c>
      <c r="R1">
        <f>INDEX(market!$A:$A,COLUMN(Q1)+1)</f>
        <v>0</v>
      </c>
      <c r="S1">
        <f>INDEX(market!$A:$A,COLUMN(R1)+1)</f>
        <v>0</v>
      </c>
      <c r="T1">
        <f>INDEX(market!$A:$A,COLUMN(S1)+1)</f>
        <v>0</v>
      </c>
      <c r="U1">
        <f>INDEX(market!$A:$A,COLUMN(T1)+1)</f>
        <v>0</v>
      </c>
      <c r="V1">
        <f>INDEX(market!$A:$A,COLUMN(U1)+1)</f>
        <v>0</v>
      </c>
      <c r="W1">
        <f>INDEX(market!$A:$A,COLUMN(V1)+1)</f>
        <v>0</v>
      </c>
      <c r="X1">
        <f>INDEX(market!$A:$A,COLUMN(W1)+1)</f>
        <v>0</v>
      </c>
      <c r="Y1">
        <f>INDEX(market!$A:$A,COLUMN(X1)+1)</f>
        <v>0</v>
      </c>
      <c r="Z1">
        <f>INDEX(market!$A:$A,COLUMN(Y1)+1)</f>
        <v>0</v>
      </c>
      <c r="AA1">
        <f>INDEX(market!$A:$A,COLUMN(Z1)+1)</f>
        <v>0</v>
      </c>
      <c r="AB1">
        <f>INDEX(market!$A:$A,COLUMN(AA1)+1)</f>
        <v>0</v>
      </c>
      <c r="AC1">
        <f>INDEX(market!$A:$A,COLUMN(AB1)+1)</f>
        <v>0</v>
      </c>
    </row>
    <row r="2" spans="1:29" x14ac:dyDescent="0.35">
      <c r="A2" t="str">
        <f>tech_pot!A2</f>
        <v>Compiègne</v>
      </c>
      <c r="B2">
        <v>2</v>
      </c>
      <c r="C2">
        <v>3</v>
      </c>
      <c r="D2">
        <v>8</v>
      </c>
      <c r="E2">
        <v>9</v>
      </c>
      <c r="F2">
        <v>13</v>
      </c>
      <c r="G2">
        <v>36</v>
      </c>
    </row>
    <row r="3" spans="1:29" x14ac:dyDescent="0.35">
      <c r="A3" t="str">
        <f>tech_pot!A3</f>
        <v>Venette</v>
      </c>
      <c r="B3">
        <v>3</v>
      </c>
      <c r="C3">
        <v>2</v>
      </c>
      <c r="D3">
        <v>4</v>
      </c>
      <c r="E3">
        <v>7</v>
      </c>
      <c r="F3">
        <v>9</v>
      </c>
      <c r="G3">
        <v>35</v>
      </c>
    </row>
    <row r="4" spans="1:29" x14ac:dyDescent="0.35">
      <c r="A4" t="str">
        <f>tech_pot!A4</f>
        <v>Jaux</v>
      </c>
      <c r="B4">
        <v>8</v>
      </c>
      <c r="C4">
        <v>4</v>
      </c>
      <c r="D4">
        <v>2</v>
      </c>
      <c r="E4">
        <v>3</v>
      </c>
      <c r="F4">
        <v>12</v>
      </c>
      <c r="G4">
        <v>27</v>
      </c>
    </row>
    <row r="5" spans="1:29" x14ac:dyDescent="0.35">
      <c r="A5" t="str">
        <f>tech_pot!A5</f>
        <v>Armancourt</v>
      </c>
      <c r="B5">
        <v>9</v>
      </c>
      <c r="C5">
        <v>7</v>
      </c>
      <c r="D5">
        <v>3</v>
      </c>
      <c r="E5">
        <v>2</v>
      </c>
      <c r="F5">
        <v>15</v>
      </c>
      <c r="G5">
        <v>30</v>
      </c>
    </row>
    <row r="6" spans="1:29" x14ac:dyDescent="0.35">
      <c r="A6" t="str">
        <f>tech_pot!A6</f>
        <v>X</v>
      </c>
      <c r="B6">
        <v>13</v>
      </c>
      <c r="C6">
        <v>9</v>
      </c>
      <c r="D6">
        <v>12</v>
      </c>
      <c r="E6">
        <v>15</v>
      </c>
      <c r="F6">
        <v>2</v>
      </c>
      <c r="G6">
        <v>33</v>
      </c>
    </row>
    <row r="7" spans="1:29" x14ac:dyDescent="0.35">
      <c r="A7" t="str">
        <f>tech_pot!A7</f>
        <v>Y</v>
      </c>
      <c r="B7">
        <v>36</v>
      </c>
      <c r="C7">
        <v>35</v>
      </c>
      <c r="D7">
        <v>27</v>
      </c>
      <c r="E7">
        <v>30</v>
      </c>
      <c r="F7">
        <v>33</v>
      </c>
      <c r="G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119B-877F-4A10-9FD1-253144E79B20}">
  <dimension ref="A1:P7"/>
  <sheetViews>
    <sheetView workbookViewId="0">
      <selection activeCell="C1" sqref="C1"/>
    </sheetView>
  </sheetViews>
  <sheetFormatPr baseColWidth="10" defaultRowHeight="14.5" x14ac:dyDescent="0.35"/>
  <cols>
    <col min="1" max="1" width="28" customWidth="1"/>
    <col min="16" max="16" width="13" bestFit="1" customWidth="1"/>
  </cols>
  <sheetData>
    <row r="1" spans="1:16" x14ac:dyDescent="0.35">
      <c r="B1" t="str">
        <f>INDEX(mun!$B:$B,COLUMN(A1)+1)</f>
        <v>X</v>
      </c>
      <c r="C1" t="str">
        <f>INDEX(mun!$B:$B,COLUMN(B1)+1)</f>
        <v>Y</v>
      </c>
    </row>
    <row r="2" spans="1:16" x14ac:dyDescent="0.35">
      <c r="A2" t="str">
        <f>waste_gen!A2</f>
        <v>Compiègne</v>
      </c>
      <c r="B2">
        <v>13</v>
      </c>
      <c r="C2">
        <v>36</v>
      </c>
    </row>
    <row r="3" spans="1:16" x14ac:dyDescent="0.35">
      <c r="A3" t="str">
        <f>waste_gen!A3</f>
        <v>Venette</v>
      </c>
      <c r="B3">
        <v>9</v>
      </c>
      <c r="C3">
        <v>35</v>
      </c>
    </row>
    <row r="4" spans="1:16" x14ac:dyDescent="0.35">
      <c r="A4" t="str">
        <f>waste_gen!A4</f>
        <v>Jaux</v>
      </c>
      <c r="B4">
        <v>12</v>
      </c>
      <c r="C4">
        <v>27</v>
      </c>
    </row>
    <row r="5" spans="1:16" x14ac:dyDescent="0.35">
      <c r="A5" t="str">
        <f>waste_gen!A5</f>
        <v>Armancourt</v>
      </c>
      <c r="B5">
        <v>15</v>
      </c>
      <c r="C5">
        <v>30</v>
      </c>
    </row>
    <row r="6" spans="1:16" x14ac:dyDescent="0.35">
      <c r="P6" s="1"/>
    </row>
    <row r="7" spans="1:16" x14ac:dyDescent="0.35">
      <c r="P7" s="1"/>
    </row>
  </sheetData>
  <pageMargins left="0.7" right="0.7" top="0.75" bottom="0.75" header="0.3" footer="0.3"/>
  <pageSetup paperSize="9"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F7"/>
  <sheetViews>
    <sheetView workbookViewId="0">
      <selection activeCell="D7" sqref="D7"/>
    </sheetView>
  </sheetViews>
  <sheetFormatPr baseColWidth="10" defaultRowHeight="14.5" x14ac:dyDescent="0.35"/>
  <cols>
    <col min="1" max="1" width="24.54296875" customWidth="1"/>
  </cols>
  <sheetData>
    <row r="1" spans="1:6" x14ac:dyDescent="0.35">
      <c r="A1" t="s">
        <v>39</v>
      </c>
      <c r="B1" t="s">
        <v>19</v>
      </c>
      <c r="C1" t="s">
        <v>20</v>
      </c>
      <c r="D1" t="s">
        <v>21</v>
      </c>
      <c r="E1" t="s">
        <v>22</v>
      </c>
      <c r="F1" t="s">
        <v>37</v>
      </c>
    </row>
    <row r="2" spans="1:6" x14ac:dyDescent="0.35">
      <c r="A2" t="str">
        <f>mun!A2</f>
        <v>Compiègne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5">
      <c r="A3" t="str">
        <f>mun!A3</f>
        <v>Venette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35">
      <c r="A4" t="str">
        <f>mun!A4</f>
        <v>Jaux</v>
      </c>
      <c r="B4">
        <v>1</v>
      </c>
      <c r="C4">
        <v>0</v>
      </c>
      <c r="D4">
        <v>0</v>
      </c>
      <c r="E4">
        <v>0</v>
      </c>
      <c r="F4">
        <v>0</v>
      </c>
    </row>
    <row r="5" spans="1:6" x14ac:dyDescent="0.35">
      <c r="A5" t="str">
        <f>mun!A5</f>
        <v>Armancourt</v>
      </c>
      <c r="B5">
        <v>1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9</v>
      </c>
      <c r="B6">
        <v>0</v>
      </c>
      <c r="C6">
        <v>0</v>
      </c>
      <c r="D6">
        <v>0</v>
      </c>
      <c r="E6">
        <v>0</v>
      </c>
      <c r="F6">
        <v>1</v>
      </c>
    </row>
    <row r="7" spans="1:6" x14ac:dyDescent="0.35">
      <c r="A7" t="s">
        <v>10</v>
      </c>
      <c r="B7">
        <v>0</v>
      </c>
      <c r="C7">
        <v>0</v>
      </c>
      <c r="D7">
        <v>1</v>
      </c>
      <c r="E7">
        <v>0</v>
      </c>
      <c r="F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J10"/>
  <sheetViews>
    <sheetView tabSelected="1" workbookViewId="0">
      <selection activeCell="J17" sqref="J17"/>
    </sheetView>
  </sheetViews>
  <sheetFormatPr baseColWidth="10" defaultRowHeight="14.5" x14ac:dyDescent="0.35"/>
  <cols>
    <col min="10" max="10" width="22.36328125" customWidth="1"/>
  </cols>
  <sheetData>
    <row r="1" spans="1:10" x14ac:dyDescent="0.35">
      <c r="A1" t="s">
        <v>16</v>
      </c>
      <c r="B1" t="s">
        <v>12</v>
      </c>
      <c r="C1" t="s">
        <v>13</v>
      </c>
      <c r="D1" t="s">
        <v>14</v>
      </c>
      <c r="E1" t="s">
        <v>15</v>
      </c>
      <c r="F1" t="s">
        <v>38</v>
      </c>
    </row>
    <row r="2" spans="1:10" x14ac:dyDescent="0.35">
      <c r="A2" t="str">
        <f>tech_pot!A2</f>
        <v>Compiègne</v>
      </c>
      <c r="B2">
        <v>1</v>
      </c>
      <c r="C2">
        <v>0</v>
      </c>
      <c r="D2">
        <v>1</v>
      </c>
      <c r="E2">
        <v>0</v>
      </c>
      <c r="F2">
        <v>0</v>
      </c>
    </row>
    <row r="3" spans="1:10" x14ac:dyDescent="0.35">
      <c r="A3" t="str">
        <f>tech_pot!A3</f>
        <v>Venette</v>
      </c>
      <c r="B3">
        <v>1</v>
      </c>
      <c r="C3">
        <v>0</v>
      </c>
      <c r="D3">
        <v>0</v>
      </c>
      <c r="E3">
        <v>0</v>
      </c>
      <c r="F3">
        <v>0</v>
      </c>
    </row>
    <row r="4" spans="1:10" x14ac:dyDescent="0.35">
      <c r="A4" t="str">
        <f>tech_pot!A4</f>
        <v>Jaux</v>
      </c>
      <c r="B4">
        <v>1</v>
      </c>
      <c r="C4">
        <v>1</v>
      </c>
      <c r="D4">
        <v>0</v>
      </c>
      <c r="E4">
        <v>1</v>
      </c>
      <c r="F4">
        <v>0</v>
      </c>
    </row>
    <row r="5" spans="1:10" x14ac:dyDescent="0.35">
      <c r="A5" t="str">
        <f>tech_pot!A5</f>
        <v>Armancourt</v>
      </c>
      <c r="B5">
        <v>1</v>
      </c>
      <c r="C5">
        <v>0</v>
      </c>
      <c r="D5">
        <v>1</v>
      </c>
      <c r="E5">
        <v>0</v>
      </c>
      <c r="F5">
        <v>0</v>
      </c>
    </row>
    <row r="6" spans="1:10" x14ac:dyDescent="0.35">
      <c r="A6" t="str">
        <f>tech_pot!A6</f>
        <v>X</v>
      </c>
      <c r="B6">
        <v>1</v>
      </c>
      <c r="C6">
        <v>1</v>
      </c>
      <c r="D6">
        <v>0</v>
      </c>
      <c r="E6">
        <v>0</v>
      </c>
      <c r="F6">
        <v>1</v>
      </c>
    </row>
    <row r="7" spans="1:10" x14ac:dyDescent="0.35">
      <c r="A7" t="str">
        <f>tech_pot!A7</f>
        <v>Y</v>
      </c>
      <c r="B7">
        <v>1</v>
      </c>
      <c r="C7">
        <v>1</v>
      </c>
      <c r="D7">
        <v>1</v>
      </c>
      <c r="E7">
        <v>1</v>
      </c>
      <c r="F7">
        <v>0</v>
      </c>
    </row>
    <row r="8" spans="1:10" x14ac:dyDescent="0.35">
      <c r="J8" s="2"/>
    </row>
    <row r="9" spans="1:10" x14ac:dyDescent="0.35">
      <c r="J9" s="2"/>
    </row>
    <row r="10" spans="1:10" x14ac:dyDescent="0.35">
      <c r="J1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2B0E-AECF-41DB-AC20-A757648DB06D}">
  <dimension ref="A1:I15"/>
  <sheetViews>
    <sheetView workbookViewId="0">
      <selection activeCell="G25" sqref="G25"/>
    </sheetView>
  </sheetViews>
  <sheetFormatPr baseColWidth="10" defaultRowHeight="14.5" x14ac:dyDescent="0.35"/>
  <sheetData>
    <row r="1" spans="1:9" x14ac:dyDescent="0.35">
      <c r="B1" t="s">
        <v>12</v>
      </c>
      <c r="D1" t="s">
        <v>13</v>
      </c>
      <c r="F1" t="s">
        <v>14</v>
      </c>
      <c r="H1" t="s">
        <v>15</v>
      </c>
    </row>
    <row r="2" spans="1:9" x14ac:dyDescent="0.35">
      <c r="A2" t="s">
        <v>16</v>
      </c>
      <c r="B2" t="s">
        <v>23</v>
      </c>
      <c r="C2" t="s">
        <v>25</v>
      </c>
      <c r="D2" t="s">
        <v>23</v>
      </c>
      <c r="E2" t="s">
        <v>25</v>
      </c>
      <c r="F2" t="s">
        <v>23</v>
      </c>
      <c r="G2" t="s">
        <v>25</v>
      </c>
      <c r="H2" t="s">
        <v>23</v>
      </c>
      <c r="I2" t="s">
        <v>25</v>
      </c>
    </row>
    <row r="3" spans="1:9" x14ac:dyDescent="0.35">
      <c r="A3" t="s">
        <v>0</v>
      </c>
      <c r="B3">
        <v>1</v>
      </c>
      <c r="D3">
        <v>0</v>
      </c>
      <c r="F3">
        <v>1</v>
      </c>
      <c r="H3">
        <v>0</v>
      </c>
    </row>
    <row r="4" spans="1:9" x14ac:dyDescent="0.35">
      <c r="A4" t="s">
        <v>1</v>
      </c>
      <c r="B4">
        <v>1</v>
      </c>
      <c r="D4">
        <v>0</v>
      </c>
      <c r="F4">
        <v>0</v>
      </c>
      <c r="H4">
        <v>0</v>
      </c>
    </row>
    <row r="5" spans="1:9" x14ac:dyDescent="0.35">
      <c r="A5" t="s">
        <v>2</v>
      </c>
      <c r="B5">
        <v>1</v>
      </c>
      <c r="D5">
        <v>1</v>
      </c>
      <c r="F5">
        <v>0</v>
      </c>
      <c r="H5">
        <v>1</v>
      </c>
    </row>
    <row r="6" spans="1:9" x14ac:dyDescent="0.35">
      <c r="A6" t="s">
        <v>9</v>
      </c>
      <c r="B6">
        <v>1</v>
      </c>
      <c r="D6">
        <v>0</v>
      </c>
      <c r="F6">
        <v>1</v>
      </c>
      <c r="H6">
        <v>0</v>
      </c>
    </row>
    <row r="7" spans="1:9" x14ac:dyDescent="0.35">
      <c r="A7" t="s">
        <v>10</v>
      </c>
      <c r="B7">
        <v>1</v>
      </c>
      <c r="D7">
        <v>1</v>
      </c>
      <c r="F7">
        <v>0</v>
      </c>
      <c r="H7">
        <v>0</v>
      </c>
    </row>
    <row r="8" spans="1:9" x14ac:dyDescent="0.35">
      <c r="A8" t="s">
        <v>11</v>
      </c>
      <c r="B8">
        <v>1</v>
      </c>
      <c r="D8">
        <v>1</v>
      </c>
      <c r="F8">
        <v>0</v>
      </c>
      <c r="H8">
        <v>1</v>
      </c>
    </row>
    <row r="9" spans="1:9" x14ac:dyDescent="0.35">
      <c r="A9" t="s">
        <v>6</v>
      </c>
      <c r="B9">
        <v>1</v>
      </c>
      <c r="D9">
        <v>1</v>
      </c>
      <c r="F9">
        <v>1</v>
      </c>
      <c r="H9">
        <v>1</v>
      </c>
    </row>
    <row r="10" spans="1:9" x14ac:dyDescent="0.35">
      <c r="A10" t="s">
        <v>7</v>
      </c>
      <c r="B10">
        <v>1</v>
      </c>
      <c r="D10">
        <v>1</v>
      </c>
      <c r="F10">
        <v>0</v>
      </c>
      <c r="H10">
        <v>0</v>
      </c>
    </row>
    <row r="11" spans="1:9" x14ac:dyDescent="0.35">
      <c r="A11" t="s">
        <v>18</v>
      </c>
      <c r="B11">
        <v>0</v>
      </c>
      <c r="D11">
        <v>1</v>
      </c>
      <c r="F11">
        <v>1</v>
      </c>
      <c r="H11">
        <v>1</v>
      </c>
    </row>
    <row r="15" spans="1:9" x14ac:dyDescent="0.35">
      <c r="I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mun</vt:lpstr>
      <vt:lpstr>waste_gen</vt:lpstr>
      <vt:lpstr>dist_market</vt:lpstr>
      <vt:lpstr>dist</vt:lpstr>
      <vt:lpstr>tech_pot</vt:lpstr>
      <vt:lpstr>market</vt:lpstr>
      <vt:lpstr>Feuil4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2025-09-17T09:08:25Z</dcterms:modified>
</cp:coreProperties>
</file>