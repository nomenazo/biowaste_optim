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465F2EE2-CA57-42D5-9B2B-1EF9460AACAF}" xr6:coauthVersionLast="36" xr6:coauthVersionMax="36" xr10:uidLastSave="{00000000-0000-0000-0000-000000000000}"/>
  <bookViews>
    <workbookView xWindow="0" yWindow="0" windowWidth="19200" windowHeight="6930" activeTab="1" xr2:uid="{D746D7D5-B0A8-4858-AD5A-93AA09E65399}"/>
  </bookViews>
  <sheets>
    <sheet name="id_tech" sheetId="2" r:id="rId1"/>
    <sheet name="tech" sheetId="1" r:id="rId2"/>
    <sheet name="coproduct" sheetId="3" r:id="rId3"/>
    <sheet name="subs_ratio" sheetId="4" r:id="rId4"/>
    <sheet name="avoid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3" l="1"/>
  <c r="F4" i="3"/>
  <c r="E6" i="3"/>
  <c r="E5" i="3"/>
  <c r="E3" i="3"/>
  <c r="D6" i="3"/>
  <c r="D5" i="3"/>
  <c r="D4" i="3"/>
  <c r="F8" i="5"/>
  <c r="F5" i="5"/>
  <c r="F4" i="5"/>
  <c r="F3" i="5"/>
  <c r="F2" i="5"/>
  <c r="E7" i="5"/>
  <c r="E6" i="5"/>
  <c r="E5" i="5"/>
  <c r="E4" i="5"/>
  <c r="E3" i="5"/>
  <c r="E2" i="5"/>
  <c r="D7" i="5"/>
  <c r="D6" i="5"/>
  <c r="D5" i="5"/>
  <c r="D4" i="5"/>
  <c r="D3" i="5"/>
  <c r="D2" i="5"/>
  <c r="C5" i="5"/>
  <c r="C4" i="5"/>
  <c r="C3" i="5"/>
  <c r="C2" i="5"/>
  <c r="B5" i="5"/>
  <c r="B4" i="5"/>
  <c r="B3" i="5"/>
  <c r="B2" i="5"/>
</calcChain>
</file>

<file path=xl/sharedStrings.xml><?xml version="1.0" encoding="utf-8"?>
<sst xmlns="http://schemas.openxmlformats.org/spreadsheetml/2006/main" count="82" uniqueCount="42">
  <si>
    <t>HC</t>
  </si>
  <si>
    <t>IC</t>
  </si>
  <si>
    <t>Home Composting</t>
  </si>
  <si>
    <t>Industrial composting</t>
  </si>
  <si>
    <t>l.b</t>
  </si>
  <si>
    <t>u.b</t>
  </si>
  <si>
    <t>t/y</t>
  </si>
  <si>
    <t>Symbol</t>
  </si>
  <si>
    <t>name</t>
  </si>
  <si>
    <t>Coproduct</t>
  </si>
  <si>
    <t>compost</t>
  </si>
  <si>
    <t>heat, electricity, digestate</t>
  </si>
  <si>
    <t>heat, electricity, compost</t>
  </si>
  <si>
    <t>AD-a</t>
  </si>
  <si>
    <t>AD-b</t>
  </si>
  <si>
    <t>Decentralized</t>
  </si>
  <si>
    <t>Centralized</t>
  </si>
  <si>
    <t>Type</t>
  </si>
  <si>
    <t>Comp</t>
  </si>
  <si>
    <t>Dig</t>
  </si>
  <si>
    <t>Heat</t>
  </si>
  <si>
    <t>Elect</t>
  </si>
  <si>
    <t>Unit</t>
  </si>
  <si>
    <t>t/t</t>
  </si>
  <si>
    <t>kWh/t</t>
  </si>
  <si>
    <t>Fertilizer</t>
  </si>
  <si>
    <t>Co-product</t>
  </si>
  <si>
    <t>Conventional product</t>
  </si>
  <si>
    <t>MJ/t</t>
  </si>
  <si>
    <t>Centralized anaerobic digestion + Injection + Direct application of digestate</t>
  </si>
  <si>
    <t>AD-c</t>
  </si>
  <si>
    <t>Biomet</t>
  </si>
  <si>
    <t>m3/t</t>
  </si>
  <si>
    <t>AD+CHP+Digestate</t>
  </si>
  <si>
    <t>AD+CHP+Composting</t>
  </si>
  <si>
    <t>Gas</t>
  </si>
  <si>
    <t>Comp_dec</t>
  </si>
  <si>
    <t>N-fertilizer</t>
  </si>
  <si>
    <t>P-fertilizer</t>
  </si>
  <si>
    <t>K-fertilizer</t>
  </si>
  <si>
    <t>Peat</t>
  </si>
  <si>
    <t>kg/t of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</si>
</sst>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CA_tech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  <row r="25">
          <cell r="E25">
            <v>2161.4235062008215</v>
          </cell>
        </row>
        <row r="36">
          <cell r="E36">
            <v>0.15444202981514046</v>
          </cell>
        </row>
        <row r="46">
          <cell r="E46">
            <v>9.8391402733887965</v>
          </cell>
        </row>
        <row r="47">
          <cell r="E47">
            <v>31.938545835614104</v>
          </cell>
        </row>
        <row r="48">
          <cell r="E48">
            <v>2.8466868263749747</v>
          </cell>
        </row>
        <row r="49">
          <cell r="E49">
            <v>42.109844591027695</v>
          </cell>
        </row>
        <row r="50">
          <cell r="E50">
            <v>2161.4235062008215</v>
          </cell>
        </row>
        <row r="51">
          <cell r="E51">
            <v>509.03089819946877</v>
          </cell>
        </row>
      </sheetData>
      <sheetData sheetId="9"/>
      <sheetData sheetId="10">
        <row r="24">
          <cell r="E24">
            <v>509.03089819946877</v>
          </cell>
        </row>
        <row r="25">
          <cell r="E25">
            <v>2161.4235062008215</v>
          </cell>
        </row>
        <row r="28">
          <cell r="E28">
            <v>0.55448386609225153</v>
          </cell>
        </row>
        <row r="36">
          <cell r="E36">
            <v>18.008880467039923</v>
          </cell>
        </row>
        <row r="37">
          <cell r="E37">
            <v>50.21783936417313</v>
          </cell>
        </row>
        <row r="38">
          <cell r="E38">
            <v>18.509017076560308</v>
          </cell>
        </row>
        <row r="39">
          <cell r="E39">
            <v>157.6259364797985</v>
          </cell>
        </row>
        <row r="40">
          <cell r="E40">
            <v>2161.4235062008215</v>
          </cell>
        </row>
        <row r="41">
          <cell r="E41">
            <v>509.03089819946877</v>
          </cell>
        </row>
      </sheetData>
      <sheetData sheetId="11">
        <row r="23">
          <cell r="E23">
            <v>131.83340888752835</v>
          </cell>
        </row>
        <row r="26">
          <cell r="E26">
            <v>0.55448386609225153</v>
          </cell>
        </row>
        <row r="34">
          <cell r="E34">
            <v>18.008880467039923</v>
          </cell>
        </row>
        <row r="35">
          <cell r="E35">
            <v>50.21783936417313</v>
          </cell>
        </row>
        <row r="36">
          <cell r="E36">
            <v>18.509017076560308</v>
          </cell>
        </row>
        <row r="37">
          <cell r="E37">
            <v>157.6259364797985</v>
          </cell>
        </row>
        <row r="38">
          <cell r="E38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  <row r="16">
          <cell r="E16">
            <v>3.42132225661322</v>
          </cell>
        </row>
        <row r="17">
          <cell r="E17">
            <v>5.0218948273872694</v>
          </cell>
        </row>
        <row r="18">
          <cell r="E18">
            <v>438.31168831168799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  <row r="26">
          <cell r="E26">
            <v>2.6344181375921796</v>
          </cell>
        </row>
        <row r="27">
          <cell r="E27">
            <v>3.8668590170881956</v>
          </cell>
        </row>
        <row r="28">
          <cell r="E28">
            <v>357.9861111111112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9C1E-CAC5-40F7-973A-3A444FB50574}">
  <dimension ref="A1:C6"/>
  <sheetViews>
    <sheetView workbookViewId="0">
      <selection activeCell="C3" sqref="C3"/>
    </sheetView>
  </sheetViews>
  <sheetFormatPr baseColWidth="10" defaultRowHeight="14.5" x14ac:dyDescent="0.35"/>
  <cols>
    <col min="2" max="2" width="27.6328125" customWidth="1"/>
    <col min="3" max="3" width="27.36328125" customWidth="1"/>
  </cols>
  <sheetData>
    <row r="1" spans="1:3" x14ac:dyDescent="0.35">
      <c r="A1" t="s">
        <v>7</v>
      </c>
      <c r="B1" t="s">
        <v>17</v>
      </c>
      <c r="C1" t="s">
        <v>8</v>
      </c>
    </row>
    <row r="2" spans="1:3" x14ac:dyDescent="0.35">
      <c r="A2" t="s">
        <v>0</v>
      </c>
      <c r="B2" t="s">
        <v>15</v>
      </c>
      <c r="C2" t="s">
        <v>2</v>
      </c>
    </row>
    <row r="3" spans="1:3" x14ac:dyDescent="0.35">
      <c r="A3" t="s">
        <v>1</v>
      </c>
      <c r="B3" t="s">
        <v>16</v>
      </c>
      <c r="C3" t="s">
        <v>3</v>
      </c>
    </row>
    <row r="4" spans="1:3" x14ac:dyDescent="0.35">
      <c r="A4" t="s">
        <v>13</v>
      </c>
      <c r="B4" t="s">
        <v>16</v>
      </c>
      <c r="C4" t="s">
        <v>33</v>
      </c>
    </row>
    <row r="5" spans="1:3" x14ac:dyDescent="0.35">
      <c r="A5" t="s">
        <v>14</v>
      </c>
      <c r="B5" t="s">
        <v>16</v>
      </c>
      <c r="C5" t="s">
        <v>34</v>
      </c>
    </row>
    <row r="6" spans="1:3" x14ac:dyDescent="0.35">
      <c r="A6" t="s">
        <v>30</v>
      </c>
      <c r="B6" t="s">
        <v>16</v>
      </c>
      <c r="C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AFAF-F12D-4C8E-8EA8-866AAED0D37E}">
  <dimension ref="A1:I17"/>
  <sheetViews>
    <sheetView tabSelected="1" workbookViewId="0">
      <selection activeCell="F8" sqref="F8"/>
    </sheetView>
  </sheetViews>
  <sheetFormatPr baseColWidth="10" defaultRowHeight="14.5" x14ac:dyDescent="0.35"/>
  <cols>
    <col min="8" max="8" width="51.36328125" customWidth="1"/>
    <col min="9" max="9" width="33.54296875" customWidth="1"/>
  </cols>
  <sheetData>
    <row r="1" spans="1:9" x14ac:dyDescent="0.35">
      <c r="B1" t="s">
        <v>4</v>
      </c>
      <c r="C1" t="s">
        <v>5</v>
      </c>
      <c r="I1" t="s">
        <v>9</v>
      </c>
    </row>
    <row r="2" spans="1:9" x14ac:dyDescent="0.35">
      <c r="A2" t="s">
        <v>0</v>
      </c>
      <c r="I2" t="s">
        <v>10</v>
      </c>
    </row>
    <row r="3" spans="1:9" x14ac:dyDescent="0.35">
      <c r="A3" t="s">
        <v>1</v>
      </c>
      <c r="C3">
        <v>2100</v>
      </c>
      <c r="I3" t="s">
        <v>10</v>
      </c>
    </row>
    <row r="4" spans="1:9" x14ac:dyDescent="0.35">
      <c r="A4" t="s">
        <v>13</v>
      </c>
    </row>
    <row r="5" spans="1:9" x14ac:dyDescent="0.35">
      <c r="A5" t="s">
        <v>14</v>
      </c>
      <c r="C5" s="2">
        <v>3000</v>
      </c>
    </row>
    <row r="6" spans="1:9" x14ac:dyDescent="0.35">
      <c r="A6" t="s">
        <v>30</v>
      </c>
      <c r="C6">
        <v>2350</v>
      </c>
      <c r="I6" t="s">
        <v>11</v>
      </c>
    </row>
    <row r="7" spans="1:9" x14ac:dyDescent="0.35">
      <c r="I7" t="s">
        <v>12</v>
      </c>
    </row>
    <row r="13" spans="1:9" x14ac:dyDescent="0.35">
      <c r="B13" t="s">
        <v>6</v>
      </c>
      <c r="C13" t="s">
        <v>6</v>
      </c>
    </row>
    <row r="17" spans="4:4" x14ac:dyDescent="0.35">
      <c r="D17" s="1"/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BB80-2ABA-4FB4-95B0-0A371702950F}">
  <dimension ref="A1:G7"/>
  <sheetViews>
    <sheetView workbookViewId="0">
      <selection activeCell="I4" sqref="I4"/>
    </sheetView>
  </sheetViews>
  <sheetFormatPr baseColWidth="10" defaultRowHeight="14.5" x14ac:dyDescent="0.35"/>
  <cols>
    <col min="1" max="1" width="13.453125" customWidth="1"/>
  </cols>
  <sheetData>
    <row r="1" spans="1:7" x14ac:dyDescent="0.35">
      <c r="A1" t="s">
        <v>26</v>
      </c>
      <c r="B1" t="s">
        <v>0</v>
      </c>
      <c r="C1" t="s">
        <v>1</v>
      </c>
      <c r="D1" t="s">
        <v>13</v>
      </c>
      <c r="E1" t="s">
        <v>14</v>
      </c>
      <c r="F1" t="s">
        <v>30</v>
      </c>
      <c r="G1" t="s">
        <v>22</v>
      </c>
    </row>
    <row r="2" spans="1:7" x14ac:dyDescent="0.35">
      <c r="A2" t="s">
        <v>36</v>
      </c>
      <c r="B2">
        <v>0.8</v>
      </c>
      <c r="C2">
        <v>0</v>
      </c>
      <c r="D2">
        <v>0</v>
      </c>
      <c r="E2">
        <v>0</v>
      </c>
      <c r="F2">
        <v>0</v>
      </c>
      <c r="G2" t="s">
        <v>23</v>
      </c>
    </row>
    <row r="3" spans="1:7" x14ac:dyDescent="0.35">
      <c r="A3" t="s">
        <v>18</v>
      </c>
      <c r="B3">
        <v>0</v>
      </c>
      <c r="C3">
        <v>0.8</v>
      </c>
      <c r="D3">
        <v>0</v>
      </c>
      <c r="E3">
        <f>'[1]LCI_AD-b'!$E$36</f>
        <v>0.15444202981514046</v>
      </c>
      <c r="F3">
        <v>0</v>
      </c>
      <c r="G3" t="s">
        <v>23</v>
      </c>
    </row>
    <row r="4" spans="1:7" x14ac:dyDescent="0.35">
      <c r="A4" t="s">
        <v>19</v>
      </c>
      <c r="B4">
        <v>0</v>
      </c>
      <c r="C4">
        <v>0</v>
      </c>
      <c r="D4">
        <f>'[1]LCI_AD-a'!$E$28</f>
        <v>0.55448386609225153</v>
      </c>
      <c r="E4">
        <v>0</v>
      </c>
      <c r="F4">
        <f>'[1]LCI_AD-c'!$E$26</f>
        <v>0.55448386609225153</v>
      </c>
      <c r="G4" t="s">
        <v>23</v>
      </c>
    </row>
    <row r="5" spans="1:7" x14ac:dyDescent="0.35">
      <c r="A5" t="s">
        <v>20</v>
      </c>
      <c r="B5">
        <v>0</v>
      </c>
      <c r="C5">
        <v>0</v>
      </c>
      <c r="D5">
        <f>'[1]LCI_AD-a'!$E$25</f>
        <v>2161.4235062008215</v>
      </c>
      <c r="E5">
        <f>'[1]LCI_AD-b'!$E$25</f>
        <v>2161.4235062008215</v>
      </c>
      <c r="F5">
        <v>0</v>
      </c>
      <c r="G5" t="s">
        <v>28</v>
      </c>
    </row>
    <row r="6" spans="1:7" x14ac:dyDescent="0.35">
      <c r="A6" t="s">
        <v>21</v>
      </c>
      <c r="B6">
        <v>0</v>
      </c>
      <c r="C6">
        <v>0</v>
      </c>
      <c r="D6">
        <f>'[1]LCI_AD-a'!$E$24</f>
        <v>509.03089819946877</v>
      </c>
      <c r="E6">
        <f>'[1]LCI_AD-b'!$E$24</f>
        <v>509.03089819946877</v>
      </c>
      <c r="F6">
        <v>0</v>
      </c>
      <c r="G6" t="s">
        <v>24</v>
      </c>
    </row>
    <row r="7" spans="1:7" x14ac:dyDescent="0.35">
      <c r="A7" t="s">
        <v>31</v>
      </c>
      <c r="B7">
        <v>0</v>
      </c>
      <c r="C7">
        <v>0</v>
      </c>
      <c r="D7">
        <v>0</v>
      </c>
      <c r="E7">
        <v>0</v>
      </c>
      <c r="F7">
        <f>'[1]LCI_AD-c'!$E$23</f>
        <v>131.83340888752835</v>
      </c>
      <c r="G7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16C-DDEF-43A1-8AEB-42D6C7449595}">
  <dimension ref="A1:G5"/>
  <sheetViews>
    <sheetView workbookViewId="0"/>
  </sheetViews>
  <sheetFormatPr baseColWidth="10" defaultRowHeight="14.5" x14ac:dyDescent="0.35"/>
  <cols>
    <col min="1" max="2" width="24.90625" customWidth="1"/>
  </cols>
  <sheetData>
    <row r="1" spans="1:7" x14ac:dyDescent="0.35">
      <c r="A1" t="s">
        <v>27</v>
      </c>
      <c r="B1" t="s">
        <v>36</v>
      </c>
      <c r="C1" t="s">
        <v>18</v>
      </c>
      <c r="D1" t="s">
        <v>19</v>
      </c>
      <c r="E1" t="s">
        <v>20</v>
      </c>
      <c r="F1" t="s">
        <v>21</v>
      </c>
      <c r="G1" t="s">
        <v>31</v>
      </c>
    </row>
    <row r="2" spans="1:7" x14ac:dyDescent="0.35">
      <c r="A2" t="s">
        <v>25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</row>
    <row r="3" spans="1:7" x14ac:dyDescent="0.35">
      <c r="A3" t="s">
        <v>20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</row>
    <row r="4" spans="1:7" x14ac:dyDescent="0.35">
      <c r="A4" t="s">
        <v>21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35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BC93-5287-46F1-B8A8-81A7A63E9BBE}">
  <dimension ref="A1:G8"/>
  <sheetViews>
    <sheetView workbookViewId="0"/>
  </sheetViews>
  <sheetFormatPr baseColWidth="10" defaultRowHeight="14.5" x14ac:dyDescent="0.35"/>
  <cols>
    <col min="1" max="1" width="18.1796875" customWidth="1"/>
  </cols>
  <sheetData>
    <row r="1" spans="1:7" x14ac:dyDescent="0.35">
      <c r="A1" t="s">
        <v>27</v>
      </c>
      <c r="B1" t="s">
        <v>0</v>
      </c>
      <c r="C1" t="s">
        <v>1</v>
      </c>
      <c r="D1" t="s">
        <v>13</v>
      </c>
      <c r="E1" t="s">
        <v>14</v>
      </c>
      <c r="F1" t="s">
        <v>30</v>
      </c>
    </row>
    <row r="2" spans="1:7" x14ac:dyDescent="0.35">
      <c r="A2" t="s">
        <v>37</v>
      </c>
      <c r="B2">
        <f>[1]LCI_HC!$E$15</f>
        <v>11.6046876865655</v>
      </c>
      <c r="C2" s="3">
        <f>[1]LCI_IC!$E$25</f>
        <v>9.1614439984537466</v>
      </c>
      <c r="D2">
        <f>'[1]LCI_AD-a'!$E$36</f>
        <v>18.008880467039923</v>
      </c>
      <c r="E2">
        <f>'[1]LCI_AD-b'!$E$46</f>
        <v>9.8391402733887965</v>
      </c>
      <c r="F2">
        <f>+'[1]LCI_AD-c'!$E$34</f>
        <v>18.008880467039923</v>
      </c>
      <c r="G2" t="s">
        <v>41</v>
      </c>
    </row>
    <row r="3" spans="1:7" x14ac:dyDescent="0.35">
      <c r="A3" t="s">
        <v>38</v>
      </c>
      <c r="B3">
        <f>[1]LCI_HC!$E$16</f>
        <v>3.42132225661322</v>
      </c>
      <c r="C3" s="3">
        <f>[1]LCI_IC!$E$26</f>
        <v>2.6344181375921796</v>
      </c>
      <c r="D3">
        <f>'[1]LCI_AD-a'!$E$37</f>
        <v>50.21783936417313</v>
      </c>
      <c r="E3">
        <f>+'[1]LCI_AD-b'!$E$47</f>
        <v>31.938545835614104</v>
      </c>
      <c r="F3">
        <f>+'[1]LCI_AD-c'!$E$35</f>
        <v>50.21783936417313</v>
      </c>
      <c r="G3" t="s">
        <v>41</v>
      </c>
    </row>
    <row r="4" spans="1:7" x14ac:dyDescent="0.35">
      <c r="A4" t="s">
        <v>39</v>
      </c>
      <c r="B4">
        <f>[1]LCI_HC!$E$17</f>
        <v>5.0218948273872694</v>
      </c>
      <c r="C4" s="3">
        <f>[1]LCI_IC!$E$27</f>
        <v>3.8668590170881956</v>
      </c>
      <c r="D4">
        <f>'[1]LCI_AD-a'!$E$38</f>
        <v>18.509017076560308</v>
      </c>
      <c r="E4">
        <f>+'[1]LCI_AD-b'!$E$48</f>
        <v>2.8466868263749747</v>
      </c>
      <c r="F4">
        <f>+'[1]LCI_AD-c'!$E$36</f>
        <v>18.509017076560308</v>
      </c>
      <c r="G4" t="s">
        <v>41</v>
      </c>
    </row>
    <row r="5" spans="1:7" x14ac:dyDescent="0.35">
      <c r="A5" t="s">
        <v>40</v>
      </c>
      <c r="B5">
        <f>[1]LCI_HC!$E$18</f>
        <v>438.31168831168799</v>
      </c>
      <c r="C5" s="3">
        <f>[1]LCI_IC!$E$28</f>
        <v>357.9861111111112</v>
      </c>
      <c r="D5" s="3">
        <f>'[1]LCI_AD-a'!$E$39</f>
        <v>157.6259364797985</v>
      </c>
      <c r="E5">
        <f>+'[1]LCI_AD-b'!$E$49</f>
        <v>42.109844591027695</v>
      </c>
      <c r="F5">
        <f>+'[1]LCI_AD-c'!$E$37</f>
        <v>157.6259364797985</v>
      </c>
      <c r="G5" t="s">
        <v>41</v>
      </c>
    </row>
    <row r="6" spans="1:7" x14ac:dyDescent="0.35">
      <c r="A6" t="s">
        <v>20</v>
      </c>
      <c r="B6">
        <v>0</v>
      </c>
      <c r="C6">
        <v>0</v>
      </c>
      <c r="D6">
        <f>'[1]LCI_AD-a'!$E$40</f>
        <v>2161.4235062008215</v>
      </c>
      <c r="E6">
        <f>+'[1]LCI_AD-b'!$E$50</f>
        <v>2161.4235062008215</v>
      </c>
      <c r="F6">
        <v>0</v>
      </c>
      <c r="G6" t="s">
        <v>28</v>
      </c>
    </row>
    <row r="7" spans="1:7" x14ac:dyDescent="0.35">
      <c r="A7" t="s">
        <v>21</v>
      </c>
      <c r="B7">
        <v>0</v>
      </c>
      <c r="C7">
        <v>0</v>
      </c>
      <c r="D7">
        <f>'[1]LCI_AD-a'!$E$41</f>
        <v>509.03089819946877</v>
      </c>
      <c r="E7">
        <f>+'[1]LCI_AD-b'!$E$51</f>
        <v>509.03089819946877</v>
      </c>
      <c r="F7">
        <v>0</v>
      </c>
      <c r="G7" t="s">
        <v>24</v>
      </c>
    </row>
    <row r="8" spans="1:7" x14ac:dyDescent="0.35">
      <c r="A8" t="s">
        <v>35</v>
      </c>
      <c r="B8">
        <v>0</v>
      </c>
      <c r="C8">
        <v>0</v>
      </c>
      <c r="D8">
        <v>0</v>
      </c>
      <c r="E8">
        <v>0</v>
      </c>
      <c r="F8">
        <f>+'[1]LCI_AD-c'!$E$38</f>
        <v>131.83340888752835</v>
      </c>
      <c r="G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id_tech</vt:lpstr>
      <vt:lpstr>tech</vt:lpstr>
      <vt:lpstr>coproduct</vt:lpstr>
      <vt:lpstr>subs_ratio</vt:lpstr>
      <vt:lpstr>avoid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2025-05-15T07:52:14Z</dcterms:created>
  <dcterms:modified xsi:type="dcterms:W3CDTF">2026-01-14T13:27:00Z</dcterms:modified>
</cp:coreProperties>
</file>