
<file path=[Content_Types].xml><?xml version="1.0" encoding="utf-8"?>
<Types xmlns="http://schemas.openxmlformats.org/package/2006/content-types"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hravoaha\Desktop\Thèse\Extra activités\"/>
    </mc:Choice>
  </mc:AlternateContent>
  <xr:revisionPtr revIDLastSave="0" documentId="8_{12CA0B57-4C6A-4DD1-8595-53014258D9EA}" xr6:coauthVersionLast="36" xr6:coauthVersionMax="36" xr10:uidLastSave="{00000000-0000-0000-0000-000000000000}"/>
  <bookViews>
    <workbookView xWindow="0" yWindow="0" windowWidth="19200" windowHeight="6640" xr2:uid="{58749A5E-77AE-4DFD-B909-658697CEA8C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1" l="1"/>
  <c r="E2" i="1"/>
  <c r="D5" i="1"/>
  <c r="D4" i="1"/>
  <c r="D3" i="1"/>
  <c r="D2" i="1"/>
  <c r="G6" i="1"/>
  <c r="I6" i="1" l="1"/>
  <c r="E6" i="1"/>
  <c r="E7" i="1"/>
</calcChain>
</file>

<file path=xl/sharedStrings.xml><?xml version="1.0" encoding="utf-8"?>
<sst xmlns="http://schemas.openxmlformats.org/spreadsheetml/2006/main" count="11" uniqueCount="10">
  <si>
    <t>a</t>
  </si>
  <si>
    <t>b</t>
  </si>
  <si>
    <t>c</t>
  </si>
  <si>
    <t>d</t>
  </si>
  <si>
    <t>L/gVS</t>
  </si>
  <si>
    <t>L/gtot</t>
  </si>
  <si>
    <t>l/g-dry</t>
  </si>
  <si>
    <t>l/kg-dry</t>
  </si>
  <si>
    <t>l/gVS</t>
  </si>
  <si>
    <t>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</si>
</sst>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428625</xdr:colOff>
      <xdr:row>21</xdr:row>
      <xdr:rowOff>6350</xdr:rowOff>
    </xdr:from>
    <xdr:to>
      <xdr:col>21</xdr:col>
      <xdr:colOff>673999</xdr:colOff>
      <xdr:row>26</xdr:row>
      <xdr:rowOff>41004</xdr:rowOff>
    </xdr:to>
    <xdr:pic>
      <xdr:nvPicPr>
        <xdr:cNvPr id="2" name="Espace réservé du contenu 3">
          <a:extLst>
            <a:ext uri="{FF2B5EF4-FFF2-40B4-BE49-F238E27FC236}">
              <a16:creationId xmlns:a16="http://schemas.microsoft.com/office/drawing/2014/main" id="{8B5D4736-04B1-4151-8FD2-B15A5F29A4AD}"/>
            </a:ext>
          </a:extLst>
        </xdr:cNvPr>
        <xdr:cNvPicPr>
          <a:picLocks noGrp="1"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10625" y="3806825"/>
          <a:ext cx="7865374" cy="939529"/>
        </a:xfrm>
        <a:prstGeom prst="rect">
          <a:avLst/>
        </a:prstGeom>
      </xdr:spPr>
    </xdr:pic>
    <xdr:clientData/>
  </xdr:twoCellAnchor>
  <xdr:twoCellAnchor editAs="oneCell">
    <xdr:from>
      <xdr:col>9</xdr:col>
      <xdr:colOff>733425</xdr:colOff>
      <xdr:row>10</xdr:row>
      <xdr:rowOff>104775</xdr:rowOff>
    </xdr:from>
    <xdr:to>
      <xdr:col>22</xdr:col>
      <xdr:colOff>655996</xdr:colOff>
      <xdr:row>14</xdr:row>
      <xdr:rowOff>88812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DA4F2E3-E4B0-4BD5-9D71-7FACBB9D48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91425" y="1914525"/>
          <a:ext cx="9828571" cy="707937"/>
        </a:xfrm>
        <a:prstGeom prst="rect">
          <a:avLst/>
        </a:prstGeom>
      </xdr:spPr>
    </xdr:pic>
    <xdr:clientData/>
  </xdr:twoCellAnchor>
  <xdr:twoCellAnchor editAs="oneCell">
    <xdr:from>
      <xdr:col>10</xdr:col>
      <xdr:colOff>47625</xdr:colOff>
      <xdr:row>2</xdr:row>
      <xdr:rowOff>114300</xdr:rowOff>
    </xdr:from>
    <xdr:to>
      <xdr:col>21</xdr:col>
      <xdr:colOff>465625</xdr:colOff>
      <xdr:row>9</xdr:row>
      <xdr:rowOff>9380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74CA8ED5-5859-4677-AB16-AB0C2C8E36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67625" y="476250"/>
          <a:ext cx="8800000" cy="11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2D754-2A24-4249-A2E2-06C6E3A2ECF7}">
  <dimension ref="B2:J7"/>
  <sheetViews>
    <sheetView tabSelected="1" workbookViewId="0">
      <selection activeCell="I2" sqref="I2"/>
    </sheetView>
  </sheetViews>
  <sheetFormatPr baseColWidth="10" defaultRowHeight="14.5" x14ac:dyDescent="0.35"/>
  <sheetData>
    <row r="2" spans="2:10" x14ac:dyDescent="0.35">
      <c r="B2" t="s">
        <v>0</v>
      </c>
      <c r="C2">
        <v>1.42</v>
      </c>
      <c r="D2">
        <f>0.48/12</f>
        <v>0.04</v>
      </c>
      <c r="E2" s="1">
        <f>((22.4/8)*((4*C2)+(C3)-(2*C4)-(3*C5))/((12*C2)+C3+(16*C4)+(14*C5)))</f>
        <v>0.48674561926670634</v>
      </c>
      <c r="F2" s="1" t="s">
        <v>5</v>
      </c>
      <c r="G2">
        <f>((22.4/8)*((4*D2)+(C3)-(2*D4)-(3*D5))/((12*D2)+D3+(16*D4)+(14*D5)))</f>
        <v>7.3590543259557348</v>
      </c>
      <c r="H2" t="s">
        <v>8</v>
      </c>
      <c r="I2" t="s">
        <v>9</v>
      </c>
    </row>
    <row r="3" spans="2:10" x14ac:dyDescent="0.35">
      <c r="B3" t="s">
        <v>1</v>
      </c>
      <c r="C3">
        <v>2.5110000000000001</v>
      </c>
      <c r="D3">
        <f>0.07/1</f>
        <v>7.0000000000000007E-2</v>
      </c>
    </row>
    <row r="4" spans="2:10" x14ac:dyDescent="0.35">
      <c r="B4" t="s">
        <v>2</v>
      </c>
      <c r="C4">
        <v>0.9</v>
      </c>
      <c r="D4">
        <f>0.41/16</f>
        <v>2.5624999999999998E-2</v>
      </c>
    </row>
    <row r="5" spans="2:10" x14ac:dyDescent="0.35">
      <c r="B5" t="s">
        <v>3</v>
      </c>
      <c r="C5">
        <v>0.09</v>
      </c>
      <c r="D5">
        <f>0.034/14</f>
        <v>2.4285714285714288E-3</v>
      </c>
    </row>
    <row r="6" spans="2:10" x14ac:dyDescent="0.35">
      <c r="E6">
        <f>22.4*((C2/2)+(C3/8)-(C4/4))/34</f>
        <v>0.52631764705882345</v>
      </c>
      <c r="F6" t="s">
        <v>5</v>
      </c>
      <c r="G6">
        <f>E6/0.36</f>
        <v>1.4619934640522874</v>
      </c>
      <c r="H6" t="s">
        <v>6</v>
      </c>
      <c r="I6">
        <f>G6*1000</f>
        <v>1461.9934640522874</v>
      </c>
      <c r="J6" t="s">
        <v>7</v>
      </c>
    </row>
    <row r="7" spans="2:10" x14ac:dyDescent="0.35">
      <c r="E7">
        <f>E6/0.35</f>
        <v>1.5037647058823529</v>
      </c>
      <c r="F7" t="s"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UTC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Nomena Ravoahangy</dc:creator>
  <cp:lastModifiedBy>Nomena Ravoahangy</cp:lastModifiedBy>
  <dcterms:created xsi:type="dcterms:W3CDTF">2025-09-05T11:27:33Z</dcterms:created>
  <dcterms:modified xsi:type="dcterms:W3CDTF">2025-09-19T13:21:51Z</dcterms:modified>
</cp:coreProperties>
</file>