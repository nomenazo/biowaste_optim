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659D3E1B-EE53-4749-BC0C-A634063A8B72}" xr6:coauthVersionLast="36" xr6:coauthVersionMax="36" xr10:uidLastSave="{00000000-0000-0000-0000-000000000000}"/>
  <bookViews>
    <workbookView xWindow="0" yWindow="0" windowWidth="19200" windowHeight="6640" firstSheet="8" activeTab="10" xr2:uid="{D3821372-1969-4DD6-A628-04C5F8F02CF2}"/>
  </bookViews>
  <sheets>
    <sheet name="Waste_characteristics" sheetId="6" r:id="rId1"/>
    <sheet name="LCI" sheetId="1" r:id="rId2"/>
    <sheet name="LCI_AD-c" sheetId="22" r:id="rId3"/>
    <sheet name="LCI_AD-d" sheetId="23" r:id="rId4"/>
    <sheet name="LCI_AD-b" sheetId="21" r:id="rId5"/>
    <sheet name="params_HC" sheetId="14" r:id="rId6"/>
    <sheet name="LCI_HC" sheetId="17" r:id="rId7"/>
    <sheet name="LCIA_HC" sheetId="11" r:id="rId8"/>
    <sheet name="LCI_AD-a" sheetId="20" r:id="rId9"/>
    <sheet name="LCI_IC" sheetId="19" r:id="rId10"/>
    <sheet name="LCIA_IC" sheetId="12" r:id="rId11"/>
    <sheet name="IW+_end" sheetId="27" r:id="rId12"/>
    <sheet name="LCIA_AD-a" sheetId="29" r:id="rId13"/>
    <sheet name="IW+f" sheetId="28" r:id="rId14"/>
    <sheet name="AD_a_end" sheetId="9" r:id="rId15"/>
    <sheet name="impact_process_end" sheetId="8" r:id="rId16"/>
    <sheet name="impact_process_mid" sheetId="7" r:id="rId17"/>
    <sheet name="IW+_mid" sheetId="26" r:id="rId18"/>
    <sheet name="Parameters" sheetId="3" r:id="rId19"/>
    <sheet name="IC_end" sheetId="13" r:id="rId20"/>
    <sheet name="AD_a_mid" sheetId="2" r:id="rId21"/>
  </sheets>
  <externalReferences>
    <externalReference r:id="rId22"/>
    <externalReference r:id="rId23"/>
    <externalReference r:id="rId24"/>
    <externalReference r:id="rId25"/>
  </externalReferences>
  <definedNames>
    <definedName name="_xlnm._FilterDatabase" localSheetId="11" hidden="1">'IW+_end'!$A$1:$AK$35</definedName>
    <definedName name="_xlnm._FilterDatabase" localSheetId="17" hidden="1">'IW+_mid'!$A$1:$A$39</definedName>
    <definedName name="_xlnm._FilterDatabase" localSheetId="13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6" i="12" l="1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J76" i="12"/>
  <c r="AK76" i="12"/>
  <c r="C76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G75" i="12"/>
  <c r="AH75" i="12"/>
  <c r="AI75" i="12"/>
  <c r="AJ75" i="12"/>
  <c r="AK75" i="12"/>
  <c r="C75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AJ74" i="12"/>
  <c r="AK74" i="12"/>
  <c r="C74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AK72" i="12"/>
  <c r="C72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J71" i="12"/>
  <c r="AK71" i="12"/>
  <c r="C71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K70" i="12"/>
  <c r="C70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J69" i="12"/>
  <c r="AK69" i="12"/>
  <c r="C69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C67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K65" i="12"/>
  <c r="C65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C64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AJ61" i="12"/>
  <c r="AK61" i="12"/>
  <c r="C61" i="12"/>
  <c r="D5" i="29" l="1"/>
  <c r="E5" i="29"/>
  <c r="F5" i="29"/>
  <c r="D33" i="29"/>
  <c r="E33" i="29"/>
  <c r="F33" i="29"/>
  <c r="G33" i="29"/>
  <c r="C33" i="29"/>
  <c r="D27" i="29"/>
  <c r="E27" i="29"/>
  <c r="F27" i="29"/>
  <c r="G27" i="29"/>
  <c r="C27" i="29"/>
  <c r="D25" i="29"/>
  <c r="E25" i="29"/>
  <c r="F25" i="29"/>
  <c r="G25" i="29"/>
  <c r="C25" i="29"/>
  <c r="D16" i="29"/>
  <c r="E16" i="29"/>
  <c r="F16" i="29"/>
  <c r="G16" i="29"/>
  <c r="C16" i="29"/>
  <c r="D12" i="29"/>
  <c r="E12" i="29"/>
  <c r="F12" i="29"/>
  <c r="G12" i="29"/>
  <c r="C12" i="29"/>
  <c r="D9" i="29"/>
  <c r="E9" i="29"/>
  <c r="F9" i="29"/>
  <c r="D6" i="29"/>
  <c r="E6" i="29"/>
  <c r="F6" i="29"/>
  <c r="G6" i="29"/>
  <c r="C6" i="29"/>
  <c r="D39" i="29"/>
  <c r="E39" i="29"/>
  <c r="F39" i="29"/>
  <c r="G39" i="29"/>
  <c r="C39" i="29"/>
  <c r="D38" i="29"/>
  <c r="E38" i="29"/>
  <c r="F38" i="29"/>
  <c r="G38" i="29"/>
  <c r="C38" i="29"/>
  <c r="D37" i="29"/>
  <c r="E37" i="29"/>
  <c r="F37" i="29"/>
  <c r="G37" i="29"/>
  <c r="C37" i="29"/>
  <c r="D36" i="29"/>
  <c r="E36" i="29"/>
  <c r="F36" i="29"/>
  <c r="G36" i="29"/>
  <c r="C36" i="29"/>
  <c r="D35" i="29"/>
  <c r="E35" i="29"/>
  <c r="F35" i="29"/>
  <c r="G35" i="29"/>
  <c r="C35" i="29"/>
  <c r="D34" i="29"/>
  <c r="E34" i="29"/>
  <c r="F34" i="29"/>
  <c r="G34" i="29"/>
  <c r="C34" i="29"/>
  <c r="D32" i="29"/>
  <c r="E32" i="29"/>
  <c r="F32" i="29"/>
  <c r="G32" i="29"/>
  <c r="C32" i="29"/>
  <c r="D31" i="29"/>
  <c r="E31" i="29"/>
  <c r="F31" i="29"/>
  <c r="G31" i="29"/>
  <c r="C31" i="29"/>
  <c r="E34" i="20"/>
  <c r="E33" i="20"/>
  <c r="D8" i="29"/>
  <c r="E8" i="29"/>
  <c r="F8" i="29"/>
  <c r="G8" i="29"/>
  <c r="C8" i="29"/>
  <c r="D53" i="12" l="1"/>
  <c r="E53" i="12"/>
  <c r="F53" i="12"/>
  <c r="G53" i="12"/>
  <c r="C53" i="12"/>
  <c r="D50" i="12"/>
  <c r="E50" i="12"/>
  <c r="F50" i="12"/>
  <c r="G50" i="12"/>
  <c r="C50" i="12"/>
  <c r="D32" i="12"/>
  <c r="E32" i="12"/>
  <c r="F32" i="12"/>
  <c r="G32" i="12"/>
  <c r="C32" i="12"/>
  <c r="D31" i="12"/>
  <c r="D30" i="12" s="1"/>
  <c r="E31" i="12"/>
  <c r="E30" i="12" s="1"/>
  <c r="F31" i="12"/>
  <c r="F30" i="12" s="1"/>
  <c r="G31" i="12"/>
  <c r="C31" i="12"/>
  <c r="C30" i="12" s="1"/>
  <c r="D48" i="12"/>
  <c r="E48" i="12"/>
  <c r="F48" i="12"/>
  <c r="G48" i="12"/>
  <c r="C48" i="12"/>
  <c r="D46" i="12"/>
  <c r="E46" i="12"/>
  <c r="F46" i="12"/>
  <c r="G46" i="12"/>
  <c r="C46" i="12"/>
  <c r="D45" i="12"/>
  <c r="E45" i="12"/>
  <c r="F45" i="12"/>
  <c r="G45" i="12"/>
  <c r="C45" i="12"/>
  <c r="D44" i="12"/>
  <c r="E44" i="12"/>
  <c r="F44" i="12"/>
  <c r="G44" i="12"/>
  <c r="C44" i="12"/>
  <c r="D42" i="12"/>
  <c r="E42" i="12"/>
  <c r="F42" i="12"/>
  <c r="G42" i="12"/>
  <c r="C42" i="12"/>
  <c r="D41" i="12"/>
  <c r="E41" i="12"/>
  <c r="F41" i="12"/>
  <c r="G41" i="12"/>
  <c r="C41" i="12"/>
  <c r="D40" i="12"/>
  <c r="E40" i="12"/>
  <c r="F40" i="12"/>
  <c r="G40" i="12"/>
  <c r="C40" i="12"/>
  <c r="D39" i="12"/>
  <c r="E39" i="12"/>
  <c r="E38" i="12" s="1"/>
  <c r="F39" i="12"/>
  <c r="G39" i="12"/>
  <c r="G38" i="12" s="1"/>
  <c r="C39" i="12"/>
  <c r="D37" i="12"/>
  <c r="D36" i="12" s="1"/>
  <c r="E37" i="12"/>
  <c r="E36" i="12" s="1"/>
  <c r="F37" i="12"/>
  <c r="F36" i="12" s="1"/>
  <c r="G37" i="12"/>
  <c r="G36" i="12" s="1"/>
  <c r="C37" i="12"/>
  <c r="C36" i="12" s="1"/>
  <c r="D35" i="12"/>
  <c r="E35" i="12"/>
  <c r="F35" i="12"/>
  <c r="G35" i="12"/>
  <c r="C35" i="12"/>
  <c r="D34" i="12"/>
  <c r="D33" i="12" s="1"/>
  <c r="E34" i="12"/>
  <c r="F34" i="12"/>
  <c r="F33" i="12" s="1"/>
  <c r="G34" i="12"/>
  <c r="C34" i="12"/>
  <c r="C33" i="12" s="1"/>
  <c r="E8" i="19"/>
  <c r="E28" i="19"/>
  <c r="E25" i="19"/>
  <c r="E23" i="19"/>
  <c r="E21" i="19"/>
  <c r="E20" i="19"/>
  <c r="E19" i="19"/>
  <c r="E14" i="19"/>
  <c r="G33" i="12" l="1"/>
  <c r="F38" i="12"/>
  <c r="E33" i="12"/>
  <c r="E29" i="12" s="1"/>
  <c r="D38" i="12"/>
  <c r="D29" i="12" s="1"/>
  <c r="G30" i="12"/>
  <c r="C38" i="12"/>
  <c r="C29" i="12" s="1"/>
  <c r="G29" i="12"/>
  <c r="F29" i="12"/>
  <c r="E27" i="19" l="1"/>
  <c r="D52" i="12" l="1"/>
  <c r="E52" i="12"/>
  <c r="F52" i="12"/>
  <c r="G52" i="12"/>
  <c r="C52" i="12"/>
  <c r="E26" i="19" l="1"/>
  <c r="E22" i="19"/>
  <c r="D75" i="11"/>
  <c r="E75" i="11"/>
  <c r="D85" i="11"/>
  <c r="E85" i="11"/>
  <c r="F85" i="11"/>
  <c r="G85" i="11"/>
  <c r="C85" i="11"/>
  <c r="D84" i="11"/>
  <c r="E84" i="11"/>
  <c r="F84" i="11"/>
  <c r="G84" i="11"/>
  <c r="C84" i="11"/>
  <c r="D83" i="11"/>
  <c r="E83" i="11"/>
  <c r="F83" i="11"/>
  <c r="G83" i="11"/>
  <c r="C83" i="11"/>
  <c r="D82" i="11"/>
  <c r="D81" i="11" s="1"/>
  <c r="E82" i="11"/>
  <c r="E81" i="11" s="1"/>
  <c r="F82" i="11"/>
  <c r="F81" i="11" s="1"/>
  <c r="G82" i="11"/>
  <c r="G81" i="11" s="1"/>
  <c r="C82" i="11"/>
  <c r="D80" i="11"/>
  <c r="E80" i="11"/>
  <c r="F80" i="11"/>
  <c r="G80" i="11"/>
  <c r="C80" i="11"/>
  <c r="D79" i="11"/>
  <c r="E79" i="11"/>
  <c r="F79" i="11"/>
  <c r="G79" i="11"/>
  <c r="C79" i="11"/>
  <c r="D78" i="11"/>
  <c r="E78" i="11"/>
  <c r="F78" i="11"/>
  <c r="G78" i="11"/>
  <c r="C78" i="11"/>
  <c r="D77" i="11"/>
  <c r="E77" i="11"/>
  <c r="F77" i="11"/>
  <c r="G77" i="11"/>
  <c r="C77" i="11"/>
  <c r="D76" i="11"/>
  <c r="E76" i="11"/>
  <c r="F76" i="11"/>
  <c r="F75" i="11" s="1"/>
  <c r="G76" i="11"/>
  <c r="G75" i="11" s="1"/>
  <c r="C76" i="11"/>
  <c r="D74" i="11"/>
  <c r="E74" i="11"/>
  <c r="F74" i="11"/>
  <c r="G74" i="11"/>
  <c r="D73" i="11"/>
  <c r="E73" i="11"/>
  <c r="F73" i="11"/>
  <c r="G73" i="11"/>
  <c r="D72" i="11"/>
  <c r="E72" i="11"/>
  <c r="F72" i="11"/>
  <c r="G72" i="11"/>
  <c r="D71" i="11"/>
  <c r="D70" i="11" s="1"/>
  <c r="E71" i="11"/>
  <c r="E70" i="11" s="1"/>
  <c r="F71" i="11"/>
  <c r="F70" i="11" s="1"/>
  <c r="G71" i="11"/>
  <c r="G70" i="11" s="1"/>
  <c r="C74" i="11"/>
  <c r="C73" i="11"/>
  <c r="C72" i="11"/>
  <c r="C71" i="11"/>
  <c r="H50" i="11"/>
  <c r="P50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D61" i="11" s="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S61" i="11" s="1"/>
  <c r="T63" i="11"/>
  <c r="T61" i="11" s="1"/>
  <c r="I62" i="11"/>
  <c r="I61" i="11" s="1"/>
  <c r="J62" i="11"/>
  <c r="J61" i="11" s="1"/>
  <c r="K62" i="11"/>
  <c r="L62" i="11"/>
  <c r="M62" i="11"/>
  <c r="M61" i="11" s="1"/>
  <c r="N62" i="11"/>
  <c r="N61" i="11" s="1"/>
  <c r="O62" i="11"/>
  <c r="O61" i="11" s="1"/>
  <c r="P62" i="11"/>
  <c r="P61" i="11" s="1"/>
  <c r="Q62" i="11"/>
  <c r="Q61" i="11" s="1"/>
  <c r="R62" i="11"/>
  <c r="R61" i="11" s="1"/>
  <c r="S62" i="11"/>
  <c r="T62" i="11"/>
  <c r="D62" i="11"/>
  <c r="E62" i="11"/>
  <c r="E61" i="11" s="1"/>
  <c r="F62" i="11"/>
  <c r="F61" i="11" s="1"/>
  <c r="G62" i="11"/>
  <c r="G61" i="11" s="1"/>
  <c r="H62" i="11"/>
  <c r="H61" i="11" s="1"/>
  <c r="C65" i="11"/>
  <c r="C64" i="11"/>
  <c r="C63" i="11"/>
  <c r="C62" i="11"/>
  <c r="C61" i="11" s="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D56" i="11"/>
  <c r="D55" i="11" s="1"/>
  <c r="E56" i="11"/>
  <c r="E55" i="11" s="1"/>
  <c r="F56" i="11"/>
  <c r="F55" i="11" s="1"/>
  <c r="G56" i="11"/>
  <c r="G55" i="11" s="1"/>
  <c r="H56" i="11"/>
  <c r="H55" i="11" s="1"/>
  <c r="I56" i="11"/>
  <c r="I55" i="11" s="1"/>
  <c r="J56" i="11"/>
  <c r="J55" i="11" s="1"/>
  <c r="K56" i="11"/>
  <c r="K55" i="11" s="1"/>
  <c r="L56" i="11"/>
  <c r="L55" i="11" s="1"/>
  <c r="M56" i="11"/>
  <c r="M55" i="11" s="1"/>
  <c r="N56" i="11"/>
  <c r="N55" i="11" s="1"/>
  <c r="O56" i="11"/>
  <c r="O55" i="11" s="1"/>
  <c r="P56" i="11"/>
  <c r="P55" i="11" s="1"/>
  <c r="Q56" i="11"/>
  <c r="Q55" i="11" s="1"/>
  <c r="R56" i="11"/>
  <c r="R55" i="11" s="1"/>
  <c r="S56" i="11"/>
  <c r="S55" i="11" s="1"/>
  <c r="T56" i="11"/>
  <c r="T55" i="11" s="1"/>
  <c r="C60" i="11"/>
  <c r="C59" i="11"/>
  <c r="C58" i="11"/>
  <c r="C57" i="11"/>
  <c r="C56" i="11"/>
  <c r="C55" i="11" s="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C53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C52" i="11"/>
  <c r="D51" i="11"/>
  <c r="D50" i="11" s="1"/>
  <c r="E51" i="11"/>
  <c r="E50" i="11" s="1"/>
  <c r="F51" i="11"/>
  <c r="F50" i="11" s="1"/>
  <c r="G51" i="11"/>
  <c r="G50" i="11" s="1"/>
  <c r="H51" i="11"/>
  <c r="I51" i="11"/>
  <c r="I50" i="11" s="1"/>
  <c r="J51" i="11"/>
  <c r="J50" i="11" s="1"/>
  <c r="K51" i="11"/>
  <c r="K50" i="11" s="1"/>
  <c r="L51" i="11"/>
  <c r="L50" i="11" s="1"/>
  <c r="M51" i="11"/>
  <c r="M50" i="11" s="1"/>
  <c r="N51" i="11"/>
  <c r="N50" i="11" s="1"/>
  <c r="O51" i="11"/>
  <c r="O50" i="11" s="1"/>
  <c r="P51" i="11"/>
  <c r="Q51" i="11"/>
  <c r="Q50" i="11" s="1"/>
  <c r="R51" i="11"/>
  <c r="R50" i="11" s="1"/>
  <c r="S51" i="11"/>
  <c r="S50" i="11" s="1"/>
  <c r="T51" i="11"/>
  <c r="T50" i="11" s="1"/>
  <c r="C54" i="11"/>
  <c r="C51" i="11"/>
  <c r="C50" i="11" s="1"/>
  <c r="AD41" i="11"/>
  <c r="D41" i="11"/>
  <c r="L41" i="11"/>
  <c r="T41" i="11"/>
  <c r="AB41" i="11"/>
  <c r="D45" i="11"/>
  <c r="E45" i="11"/>
  <c r="F45" i="11"/>
  <c r="G45" i="11"/>
  <c r="H45" i="11"/>
  <c r="I45" i="11"/>
  <c r="J45" i="11"/>
  <c r="K45" i="11"/>
  <c r="K41" i="11" s="1"/>
  <c r="L45" i="11"/>
  <c r="M45" i="11"/>
  <c r="N45" i="11"/>
  <c r="O45" i="11"/>
  <c r="P45" i="11"/>
  <c r="Q45" i="11"/>
  <c r="R45" i="11"/>
  <c r="S45" i="11"/>
  <c r="S41" i="11" s="1"/>
  <c r="T45" i="11"/>
  <c r="U45" i="11"/>
  <c r="V45" i="11"/>
  <c r="W45" i="11"/>
  <c r="X45" i="11"/>
  <c r="Y45" i="11"/>
  <c r="Z45" i="11"/>
  <c r="AA45" i="11"/>
  <c r="AA41" i="11" s="1"/>
  <c r="AB45" i="11"/>
  <c r="AC45" i="11"/>
  <c r="AD45" i="11"/>
  <c r="AE45" i="11"/>
  <c r="AF45" i="11"/>
  <c r="AG45" i="11"/>
  <c r="AH45" i="1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K41" i="11" s="1"/>
  <c r="C43" i="11"/>
  <c r="D42" i="11"/>
  <c r="E42" i="11"/>
  <c r="E41" i="11" s="1"/>
  <c r="F42" i="11"/>
  <c r="F41" i="11" s="1"/>
  <c r="G42" i="11"/>
  <c r="G41" i="11" s="1"/>
  <c r="H42" i="11"/>
  <c r="H41" i="11" s="1"/>
  <c r="I42" i="11"/>
  <c r="I41" i="11" s="1"/>
  <c r="J42" i="11"/>
  <c r="J41" i="11" s="1"/>
  <c r="K42" i="11"/>
  <c r="L42" i="11"/>
  <c r="M42" i="11"/>
  <c r="M41" i="11" s="1"/>
  <c r="N42" i="11"/>
  <c r="N41" i="11" s="1"/>
  <c r="O42" i="11"/>
  <c r="O41" i="11" s="1"/>
  <c r="P42" i="11"/>
  <c r="P41" i="11" s="1"/>
  <c r="Q42" i="11"/>
  <c r="Q41" i="11" s="1"/>
  <c r="R42" i="11"/>
  <c r="R41" i="11" s="1"/>
  <c r="S42" i="11"/>
  <c r="T42" i="11"/>
  <c r="U42" i="11"/>
  <c r="U41" i="11" s="1"/>
  <c r="V42" i="11"/>
  <c r="V41" i="11" s="1"/>
  <c r="W42" i="11"/>
  <c r="W41" i="11" s="1"/>
  <c r="X42" i="11"/>
  <c r="X41" i="11" s="1"/>
  <c r="Y42" i="11"/>
  <c r="Y41" i="11" s="1"/>
  <c r="Z42" i="11"/>
  <c r="Z41" i="11" s="1"/>
  <c r="AA42" i="11"/>
  <c r="AB42" i="11"/>
  <c r="AC42" i="11"/>
  <c r="AC41" i="11" s="1"/>
  <c r="AD42" i="11"/>
  <c r="AE42" i="11"/>
  <c r="AE41" i="11" s="1"/>
  <c r="AF42" i="11"/>
  <c r="AF41" i="11" s="1"/>
  <c r="AG42" i="11"/>
  <c r="AG41" i="11" s="1"/>
  <c r="AH42" i="11"/>
  <c r="AH41" i="11" s="1"/>
  <c r="AI42" i="11"/>
  <c r="AI41" i="11" s="1"/>
  <c r="AJ42" i="11"/>
  <c r="AJ41" i="11" s="1"/>
  <c r="AK42" i="11"/>
  <c r="C42" i="11"/>
  <c r="C41" i="11" s="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C40" i="11"/>
  <c r="AH26" i="27"/>
  <c r="AG26" i="27"/>
  <c r="AH24" i="27"/>
  <c r="AH25" i="27"/>
  <c r="AG24" i="27"/>
  <c r="AG25" i="27"/>
  <c r="AG39" i="11" s="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H39" i="11"/>
  <c r="AI39" i="11"/>
  <c r="AJ39" i="11"/>
  <c r="AK39" i="11"/>
  <c r="C39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C38" i="11"/>
  <c r="D37" i="11"/>
  <c r="E37" i="11"/>
  <c r="F37" i="11"/>
  <c r="G37" i="11"/>
  <c r="H37" i="11"/>
  <c r="H35" i="11" s="1"/>
  <c r="I37" i="11"/>
  <c r="I35" i="11" s="1"/>
  <c r="J37" i="11"/>
  <c r="K37" i="11"/>
  <c r="L37" i="11"/>
  <c r="M37" i="11"/>
  <c r="N37" i="11"/>
  <c r="O37" i="11"/>
  <c r="P37" i="11"/>
  <c r="P35" i="11" s="1"/>
  <c r="Q37" i="11"/>
  <c r="Q35" i="11" s="1"/>
  <c r="R37" i="11"/>
  <c r="S37" i="11"/>
  <c r="T37" i="11"/>
  <c r="U37" i="11"/>
  <c r="V37" i="11"/>
  <c r="W37" i="11"/>
  <c r="X37" i="11"/>
  <c r="X35" i="11" s="1"/>
  <c r="Y37" i="11"/>
  <c r="Y35" i="11" s="1"/>
  <c r="Z37" i="11"/>
  <c r="AA37" i="11"/>
  <c r="AB37" i="11"/>
  <c r="AC37" i="11"/>
  <c r="AD37" i="11"/>
  <c r="AE37" i="11"/>
  <c r="AF37" i="11"/>
  <c r="AF35" i="11" s="1"/>
  <c r="AG37" i="11"/>
  <c r="AG35" i="11" s="1"/>
  <c r="AH37" i="11"/>
  <c r="AI37" i="11"/>
  <c r="AJ37" i="11"/>
  <c r="AK37" i="11"/>
  <c r="C37" i="11"/>
  <c r="D36" i="11"/>
  <c r="D35" i="11" s="1"/>
  <c r="E36" i="11"/>
  <c r="E35" i="11" s="1"/>
  <c r="F36" i="11"/>
  <c r="F35" i="11" s="1"/>
  <c r="G36" i="11"/>
  <c r="G35" i="11" s="1"/>
  <c r="H36" i="11"/>
  <c r="I36" i="11"/>
  <c r="J36" i="11"/>
  <c r="J35" i="11" s="1"/>
  <c r="K36" i="11"/>
  <c r="K35" i="11" s="1"/>
  <c r="L36" i="11"/>
  <c r="L35" i="11" s="1"/>
  <c r="M36" i="11"/>
  <c r="M35" i="11" s="1"/>
  <c r="N36" i="11"/>
  <c r="N35" i="11" s="1"/>
  <c r="O36" i="11"/>
  <c r="O35" i="11" s="1"/>
  <c r="P36" i="11"/>
  <c r="Q36" i="11"/>
  <c r="R36" i="11"/>
  <c r="R35" i="11" s="1"/>
  <c r="S36" i="11"/>
  <c r="S35" i="11" s="1"/>
  <c r="T36" i="11"/>
  <c r="T35" i="11" s="1"/>
  <c r="U36" i="11"/>
  <c r="U35" i="11" s="1"/>
  <c r="V36" i="11"/>
  <c r="V35" i="11" s="1"/>
  <c r="W36" i="11"/>
  <c r="W35" i="11" s="1"/>
  <c r="X36" i="11"/>
  <c r="Y36" i="11"/>
  <c r="Z36" i="11"/>
  <c r="Z35" i="11" s="1"/>
  <c r="AA36" i="11"/>
  <c r="AA35" i="11" s="1"/>
  <c r="AB36" i="11"/>
  <c r="AB35" i="11" s="1"/>
  <c r="AC36" i="11"/>
  <c r="AC35" i="11" s="1"/>
  <c r="AD36" i="11"/>
  <c r="AD35" i="11" s="1"/>
  <c r="AE36" i="11"/>
  <c r="AE35" i="11" s="1"/>
  <c r="AF36" i="11"/>
  <c r="AG36" i="11"/>
  <c r="AH36" i="11"/>
  <c r="AH35" i="11" s="1"/>
  <c r="AI36" i="11"/>
  <c r="AI35" i="11" s="1"/>
  <c r="AJ36" i="11"/>
  <c r="AJ35" i="11" s="1"/>
  <c r="AK36" i="11"/>
  <c r="AK35" i="11" s="1"/>
  <c r="C36" i="11"/>
  <c r="C35" i="11" s="1"/>
  <c r="E13" i="17"/>
  <c r="E12" i="17"/>
  <c r="E11" i="17"/>
  <c r="E10" i="17"/>
  <c r="E9" i="17"/>
  <c r="E47" i="12" l="1"/>
  <c r="E43" i="12" s="1"/>
  <c r="F47" i="12"/>
  <c r="F43" i="12" s="1"/>
  <c r="G47" i="12"/>
  <c r="G43" i="12" s="1"/>
  <c r="C47" i="12"/>
  <c r="C43" i="12" s="1"/>
  <c r="D47" i="12"/>
  <c r="D43" i="12" s="1"/>
  <c r="F51" i="12"/>
  <c r="F49" i="12" s="1"/>
  <c r="C51" i="12"/>
  <c r="C49" i="12" s="1"/>
  <c r="G51" i="12"/>
  <c r="G49" i="12" s="1"/>
  <c r="D51" i="12"/>
  <c r="D49" i="12" s="1"/>
  <c r="E51" i="12"/>
  <c r="E49" i="12" s="1"/>
  <c r="C81" i="11"/>
  <c r="C75" i="11"/>
  <c r="C70" i="11"/>
  <c r="E18" i="17"/>
  <c r="E17" i="17"/>
  <c r="E16" i="17"/>
  <c r="E15" i="17"/>
  <c r="AH19" i="27" l="1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D39" i="28"/>
  <c r="E39" i="28"/>
  <c r="F39" i="28"/>
  <c r="G39" i="28"/>
  <c r="C39" i="28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C39" i="27"/>
  <c r="C37" i="7"/>
  <c r="AG13" i="27" l="1"/>
  <c r="AH13" i="27" s="1"/>
  <c r="AG12" i="27"/>
  <c r="AH12" i="27" s="1"/>
  <c r="E7" i="23" l="1"/>
  <c r="E6" i="23"/>
  <c r="E8" i="23" s="1"/>
  <c r="E4" i="23"/>
  <c r="E7" i="22"/>
  <c r="E6" i="22"/>
  <c r="E8" i="22" s="1"/>
  <c r="E10" i="22" s="1"/>
  <c r="E4" i="22"/>
  <c r="E7" i="21"/>
  <c r="E6" i="21"/>
  <c r="E8" i="21" s="1"/>
  <c r="E10" i="21" s="1"/>
  <c r="E4" i="21"/>
  <c r="E9" i="21" l="1"/>
  <c r="E9" i="22"/>
  <c r="E9" i="23"/>
  <c r="E10" i="23"/>
  <c r="E8" i="20"/>
  <c r="E6" i="20"/>
  <c r="E9" i="20" s="1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D11" i="29" l="1"/>
  <c r="E11" i="29"/>
  <c r="G11" i="29"/>
  <c r="F11" i="29"/>
  <c r="E7" i="20"/>
  <c r="C11" i="29"/>
  <c r="G7" i="29"/>
  <c r="D7" i="29"/>
  <c r="C7" i="29"/>
  <c r="F7" i="29"/>
  <c r="E7" i="29"/>
  <c r="E11" i="20"/>
  <c r="E10" i="20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F30" i="11" s="1"/>
  <c r="N31" i="11"/>
  <c r="V31" i="11"/>
  <c r="V30" i="11" s="1"/>
  <c r="AD31" i="11"/>
  <c r="C16" i="11"/>
  <c r="G31" i="11"/>
  <c r="O31" i="11"/>
  <c r="W31" i="11"/>
  <c r="AE31" i="11"/>
  <c r="H31" i="11"/>
  <c r="P31" i="11"/>
  <c r="P30" i="11" s="1"/>
  <c r="X31" i="11"/>
  <c r="AF31" i="11"/>
  <c r="Q31" i="11"/>
  <c r="AG31" i="11"/>
  <c r="J31" i="11"/>
  <c r="R31" i="11"/>
  <c r="AH31" i="11"/>
  <c r="K31" i="11"/>
  <c r="K30" i="11" s="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E11" i="19" s="1"/>
  <c r="E12" i="19" s="1"/>
  <c r="B11" i="6"/>
  <c r="B10" i="6"/>
  <c r="B9" i="6"/>
  <c r="B8" i="6"/>
  <c r="B5" i="6"/>
  <c r="B4" i="6"/>
  <c r="F13" i="29" l="1"/>
  <c r="C13" i="29"/>
  <c r="E13" i="29"/>
  <c r="G13" i="29"/>
  <c r="D13" i="29"/>
  <c r="D14" i="29"/>
  <c r="E14" i="29"/>
  <c r="F14" i="29"/>
  <c r="G14" i="29"/>
  <c r="C14" i="29"/>
  <c r="G10" i="29"/>
  <c r="G9" i="29" s="1"/>
  <c r="G5" i="29" s="1"/>
  <c r="C10" i="29"/>
  <c r="C9" i="29" s="1"/>
  <c r="C5" i="29" s="1"/>
  <c r="F10" i="29"/>
  <c r="D10" i="29"/>
  <c r="E10" i="29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30" i="20"/>
  <c r="E31" i="21"/>
  <c r="E68" i="1"/>
  <c r="E67" i="1"/>
  <c r="E30" i="23"/>
  <c r="E29" i="23"/>
  <c r="E29" i="22"/>
  <c r="E69" i="1"/>
  <c r="E32" i="20"/>
  <c r="E28" i="22"/>
  <c r="E27" i="22"/>
  <c r="E31" i="20"/>
  <c r="E32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G29" i="29" l="1"/>
  <c r="C29" i="29"/>
  <c r="D29" i="29"/>
  <c r="E29" i="29"/>
  <c r="F29" i="29"/>
  <c r="D28" i="29"/>
  <c r="G28" i="29"/>
  <c r="E28" i="29"/>
  <c r="F28" i="29"/>
  <c r="C28" i="29"/>
  <c r="D30" i="29"/>
  <c r="E30" i="29"/>
  <c r="F30" i="29"/>
  <c r="G30" i="29"/>
  <c r="C30" i="29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I13" i="12"/>
  <c r="Q13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67" i="3"/>
  <c r="P11" i="13" l="1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E105" i="1" l="1"/>
  <c r="E104" i="1"/>
  <c r="E107" i="1" s="1"/>
  <c r="E102" i="1"/>
  <c r="I6" i="13" l="1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I8" i="13" l="1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E97" i="1" l="1"/>
  <c r="E96" i="1"/>
  <c r="E95" i="1"/>
  <c r="E6" i="1" l="1"/>
  <c r="H67" i="3"/>
  <c r="C70" i="3" s="1"/>
  <c r="E85" i="1" l="1"/>
  <c r="K71" i="2" s="1"/>
  <c r="E84" i="1"/>
  <c r="W71" i="9"/>
  <c r="L71" i="2"/>
  <c r="O71" i="9"/>
  <c r="G71" i="9"/>
  <c r="D71" i="2"/>
  <c r="H71" i="9"/>
  <c r="P71" i="9"/>
  <c r="X71" i="9"/>
  <c r="E71" i="2"/>
  <c r="M71" i="2"/>
  <c r="C71" i="2"/>
  <c r="F71" i="2"/>
  <c r="N71" i="2"/>
  <c r="K71" i="9"/>
  <c r="S71" i="9"/>
  <c r="AA71" i="9"/>
  <c r="P71" i="2"/>
  <c r="I71" i="9"/>
  <c r="Q71" i="9"/>
  <c r="Y71" i="9"/>
  <c r="J71" i="9"/>
  <c r="R71" i="9"/>
  <c r="Z71" i="9"/>
  <c r="G71" i="2"/>
  <c r="O71" i="2"/>
  <c r="H71" i="2"/>
  <c r="D71" i="9"/>
  <c r="T71" i="9"/>
  <c r="C71" i="9"/>
  <c r="I71" i="2"/>
  <c r="Q71" i="2"/>
  <c r="R71" i="2"/>
  <c r="L71" i="9"/>
  <c r="E71" i="9"/>
  <c r="M71" i="9"/>
  <c r="U71" i="9"/>
  <c r="J71" i="2"/>
  <c r="F71" i="9"/>
  <c r="V71" i="9"/>
  <c r="N71" i="9"/>
  <c r="T71" i="2"/>
  <c r="S71" i="2" l="1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H10" i="7" l="1"/>
  <c r="I10" i="7"/>
  <c r="J10" i="7"/>
  <c r="K10" i="7"/>
  <c r="L10" i="7"/>
  <c r="P10" i="7"/>
  <c r="Q10" i="7"/>
  <c r="R10" i="7"/>
  <c r="S10" i="7"/>
  <c r="T10" i="7"/>
  <c r="C105" i="3"/>
  <c r="C106" i="3"/>
  <c r="G10" i="7" s="1"/>
  <c r="O10" i="7" l="1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I6" i="2" l="1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E9" i="1"/>
  <c r="E11" i="22" l="1"/>
  <c r="E12" i="22" s="1"/>
  <c r="E14" i="22" s="1"/>
  <c r="E11" i="21"/>
  <c r="E12" i="21" s="1"/>
  <c r="E11" i="23"/>
  <c r="E12" i="23" s="1"/>
  <c r="E12" i="20"/>
  <c r="C66" i="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13" i="20" l="1"/>
  <c r="E15" i="20" s="1"/>
  <c r="E16" i="20" s="1"/>
  <c r="C15" i="29"/>
  <c r="E15" i="29"/>
  <c r="D15" i="29"/>
  <c r="F15" i="29"/>
  <c r="G15" i="29"/>
  <c r="E13" i="22"/>
  <c r="E23" i="22" s="1"/>
  <c r="E13" i="23"/>
  <c r="E14" i="20"/>
  <c r="E26" i="20" s="1"/>
  <c r="E13" i="21"/>
  <c r="C68" i="3"/>
  <c r="E62" i="1"/>
  <c r="E72" i="1"/>
  <c r="E22" i="22"/>
  <c r="E21" i="22"/>
  <c r="E20" i="22"/>
  <c r="E15" i="22"/>
  <c r="E18" i="22"/>
  <c r="E19" i="22"/>
  <c r="E16" i="22"/>
  <c r="E17" i="22"/>
  <c r="E14" i="23"/>
  <c r="E28" i="23"/>
  <c r="E14" i="21"/>
  <c r="E30" i="21"/>
  <c r="E17" i="20"/>
  <c r="E22" i="20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4" i="1"/>
  <c r="E25" i="20" l="1"/>
  <c r="E40" i="20" s="1"/>
  <c r="E20" i="20"/>
  <c r="E24" i="20"/>
  <c r="E41" i="20" s="1"/>
  <c r="E21" i="20"/>
  <c r="E18" i="20"/>
  <c r="F19" i="29" s="1"/>
  <c r="D18" i="29"/>
  <c r="G18" i="29"/>
  <c r="E18" i="29"/>
  <c r="F18" i="29"/>
  <c r="C18" i="29"/>
  <c r="F22" i="29"/>
  <c r="G22" i="29"/>
  <c r="C22" i="29"/>
  <c r="D22" i="29"/>
  <c r="E22" i="29"/>
  <c r="D19" i="29"/>
  <c r="E17" i="29"/>
  <c r="G17" i="29"/>
  <c r="F17" i="29"/>
  <c r="C17" i="29"/>
  <c r="D17" i="29"/>
  <c r="F21" i="29"/>
  <c r="C21" i="29"/>
  <c r="D21" i="29"/>
  <c r="E21" i="29"/>
  <c r="G21" i="29"/>
  <c r="D23" i="29"/>
  <c r="E23" i="29"/>
  <c r="F23" i="29"/>
  <c r="C23" i="29"/>
  <c r="G23" i="29"/>
  <c r="C34" i="3"/>
  <c r="E73" i="1"/>
  <c r="C35" i="3"/>
  <c r="E27" i="21"/>
  <c r="E29" i="21" s="1"/>
  <c r="E74" i="1"/>
  <c r="E82" i="1" s="1"/>
  <c r="E25" i="23"/>
  <c r="E27" i="23" s="1"/>
  <c r="E25" i="21"/>
  <c r="E34" i="21"/>
  <c r="E17" i="23"/>
  <c r="E21" i="23"/>
  <c r="E20" i="23"/>
  <c r="E16" i="23"/>
  <c r="E18" i="23"/>
  <c r="E22" i="23"/>
  <c r="E15" i="23"/>
  <c r="E19" i="23"/>
  <c r="E15" i="21"/>
  <c r="E17" i="21"/>
  <c r="E20" i="21"/>
  <c r="E21" i="21"/>
  <c r="E23" i="21"/>
  <c r="E19" i="21"/>
  <c r="E16" i="21"/>
  <c r="E24" i="21"/>
  <c r="E23" i="23"/>
  <c r="E32" i="23"/>
  <c r="E83" i="1"/>
  <c r="E87" i="1"/>
  <c r="E27" i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G19" i="29" l="1"/>
  <c r="E19" i="29"/>
  <c r="C19" i="29"/>
  <c r="E34" i="23"/>
  <c r="E31" i="23"/>
  <c r="E33" i="23"/>
  <c r="E35" i="23"/>
  <c r="E26" i="21"/>
  <c r="E28" i="21"/>
  <c r="E88" i="1"/>
  <c r="E89" i="1"/>
  <c r="E90" i="1"/>
  <c r="E86" i="1"/>
  <c r="E37" i="21"/>
  <c r="E36" i="21"/>
  <c r="E35" i="21"/>
  <c r="E33" i="21"/>
  <c r="E75" i="1"/>
  <c r="E78" i="1" s="1"/>
  <c r="E24" i="23"/>
  <c r="E26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2" i="21"/>
  <c r="E18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9" i="1"/>
  <c r="E30" i="1"/>
  <c r="E32" i="1"/>
  <c r="E33" i="1"/>
  <c r="E36" i="1"/>
  <c r="E34" i="1"/>
  <c r="E35" i="1"/>
  <c r="E29" i="1"/>
  <c r="B6" i="6"/>
  <c r="O51" i="3"/>
  <c r="O57" i="3"/>
  <c r="D20" i="29" l="1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3" i="3"/>
  <c r="C74" i="3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E24" i="22" l="1"/>
  <c r="E27" i="20"/>
  <c r="C77" i="3"/>
  <c r="E63" i="1"/>
  <c r="O54" i="2" s="1"/>
  <c r="H54" i="9"/>
  <c r="P54" i="9"/>
  <c r="X54" i="9"/>
  <c r="G54" i="2"/>
  <c r="Q54" i="2"/>
  <c r="S54" i="9"/>
  <c r="J54" i="2"/>
  <c r="E54" i="9"/>
  <c r="L54" i="2"/>
  <c r="L54" i="9"/>
  <c r="C54" i="9"/>
  <c r="S54" i="2"/>
  <c r="M54" i="9"/>
  <c r="T54" i="2"/>
  <c r="F54" i="9"/>
  <c r="V54" i="9"/>
  <c r="M54" i="2"/>
  <c r="C54" i="2"/>
  <c r="G54" i="9"/>
  <c r="O54" i="9"/>
  <c r="W54" i="9"/>
  <c r="F54" i="2"/>
  <c r="E66" i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E28" i="20" l="1"/>
  <c r="E29" i="20" s="1"/>
  <c r="E26" i="29"/>
  <c r="F26" i="29"/>
  <c r="G26" i="29"/>
  <c r="C26" i="29"/>
  <c r="D26" i="29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E25" i="22"/>
  <c r="E26" i="22" s="1"/>
  <c r="J54" i="9"/>
  <c r="Y54" i="9"/>
  <c r="Q54" i="9"/>
  <c r="I54" i="9"/>
</calcChain>
</file>

<file path=xl/sharedStrings.xml><?xml version="1.0" encoding="utf-8"?>
<sst xmlns="http://schemas.openxmlformats.org/spreadsheetml/2006/main" count="2569" uniqueCount="430">
  <si>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</si>
  <si>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</si>
  <si>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</si>
  <si>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</si>
  <si>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</si>
  <si>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</si>
  <si>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</si>
  <si>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</si>
  <si>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</si>
  <si>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</si>
  <si>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</si>
  <si>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</si>
  <si>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</si>
  <si>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</si>
  <si>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</si>
  <si>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</si>
  <si>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</si>
  <si>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</si>
  <si>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</si>
  <si>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</si>
  <si>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</si>
  <si>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</si>
  <si>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</si>
  <si>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</si>
  <si>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</si>
  <si>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</si>
  <si>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</si>
  <si>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</si>
  <si>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</si>
  <si>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</si>
  <si>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</si>
  <si>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</si>
  <si>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</si>
  <si>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</si>
  <si>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</si>
  <si>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</si>
  <si>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</si>
  <si>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</si>
  <si>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</si>
  <si>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</si>
  <si>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</si>
  <si>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</si>
  <si>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</si>
  <si>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</si>
  <si>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</si>
  <si>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</si>
  <si>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</si>
  <si>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</si>
  <si>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</si>
  <si>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</si>
  <si>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</si>
  <si>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</si>
  <si>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</si>
  <si>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</si>
  <si>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</si>
  <si>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</si>
  <si>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</si>
  <si>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</si>
  <si>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</si>
  <si>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</si>
  <si>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</si>
  <si>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</si>
  <si>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</si>
  <si>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</si>
  <si>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</si>
  <si>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</si>
  <si>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</si>
  <si>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</si>
  <si>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</si>
  <si>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</si>
  <si>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</si>
  <si>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</si>
  <si>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</si>
  <si>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</si>
  <si>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</si>
  <si>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</si>
  <si>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</si>
  <si>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</si>
  <si>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</si>
  <si>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</si>
  <si>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</si>
  <si>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</si>
  <si>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</si>
  <si>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</si>
  <si>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</si>
  <si>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</si>
  <si>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</si>
  <si>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</si>
  <si>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</si>
  <si>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</si>
  <si>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</si>
  <si>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</si>
  <si>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</si>
  <si>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</si>
  <si>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</si>
  <si>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</si>
  <si>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%of total waste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</si>
  <si>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</si>
  <si>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</si>
  <si>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</si>
  <si>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</si>
  <si>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</si>
  <si>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</si>
  <si>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</si>
  <si>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</si>
  <si>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</si>
  <si>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</si>
  <si>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</si>
  <si>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</si>
  <si>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</si>
  <si>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</si>
  <si>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</si>
  <si>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</si>
  <si>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</si>
  <si>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</si>
  <si>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</si>
  <si>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</si>
  <si>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</si>
  <si>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</si>
  <si>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</si>
  <si>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</si>
  <si>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</si>
  <si>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</si>
  <si>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</si>
  <si>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</si>
  <si>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</si>
  <si>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</si>
  <si>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</si>
  <si>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</si>
  <si>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</si>
  <si>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</si>
  <si>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</si>
  <si>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</si>
  <si>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</si>
  <si>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</si>
  <si>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</si>
  <si>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</si>
  <si>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</si>
  <si>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</si>
  <si>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</si>
  <si>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</si>
  <si>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</si>
  <si>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</si>
  <si>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</si>
  <si>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</si>
  <si>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</si>
  <si>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</si>
  <si>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</si>
  <si>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</si>
  <si>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</si>
  <si>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</si>
  <si>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</si>
  <si>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</si>
  <si>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</si>
  <si>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</si>
  <si>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</si>
  <si>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</si>
  <si>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</si>
  <si>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</si>
  <si>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</si>
  <si>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</si>
  <si>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</si>
  <si>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</si>
  <si>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</si>
  <si>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</si>
  <si>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</si>
  <si>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</si>
  <si>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</si>
  <si>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</si>
  <si>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</si>
  <si>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</si>
  <si>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</si>
  <si>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</si>
  <si>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</si>
  <si>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</si>
  <si>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</si>
  <si>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</si>
  <si>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</si>
  <si>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</si>
  <si>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</si>
  <si>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</si>
  <si>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</si>
  <si>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</si>
  <si>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</si>
  <si>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</si>
  <si>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</si>
  <si>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</si>
  <si>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</si>
  <si>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</si>
  <si>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</si>
  <si>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</si>
  <si>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</si>
  <si>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</si>
  <si>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</si>
  <si>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</si>
  <si>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</si>
  <si>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</si>
  <si>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</si>
  <si>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</si>
  <si>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</si>
  <si>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</si>
  <si>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</si>
  <si>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</si>
  <si>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</si>
  <si>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</si>
  <si>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</si>
  <si>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</si>
  <si>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</si>
  <si>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</si>
  <si>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</si>
  <si>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</si>
  <si>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</si>
  <si>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</si>
  <si>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</si>
  <si>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</si>
  <si>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</si>
  <si>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</si>
  <si>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</si>
  <si>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</si>
  <si>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</si>
  <si>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</si>
  <si>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</si>
  <si>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</si>
  <si>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</si>
  <si>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 xml:space="preserve"> 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</si>
  <si>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</si>
  <si>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</si>
  <si>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</si>
  <si>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</si>
  <si>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</si>
  <si>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</si>
  <si>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</si>
  <si>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</si>
  <si>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</si>
  <si>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</si>
  <si>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</si>
  <si>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</si>
  <si>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</si>
  <si>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</si>
  <si>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</si>
  <si>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</si>
  <si>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</si>
  <si>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</si>
  <si>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</si>
  <si>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</si>
  <si>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</si>
  <si>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</si>
  <si>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</si>
  <si>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</si>
  <si>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</si>
  <si>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</si>
  <si>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</si>
  <si>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</si>
  <si>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</si>
  <si>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</si>
  <si>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</si>
  <si>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</si>
  <si>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</si>
  <si>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</si>
  <si>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</si>
  <si>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</si>
  <si>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</si>
  <si>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</si>
  <si>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</si>
  <si>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t VS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</si>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</sst>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0000000000"/>
    <numFmt numFmtId="171" formatCode="0.0000E+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7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Alignment="1">
      <alignment horizontal="center"/>
    </xf>
    <xf numFmtId="0" fontId="0" fillId="0" borderId="0" xfId="0" applyBorder="1" applyAlignment="1">
      <alignment vertical="top"/>
    </xf>
    <xf numFmtId="0" fontId="11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11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71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7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0" borderId="0" xfId="0" applyFont="1" applyBorder="1"/>
    <xf numFmtId="11" fontId="2" fillId="0" borderId="8" xfId="0" applyNumberFormat="1" applyFont="1" applyBorder="1"/>
    <xf numFmtId="0" fontId="2" fillId="0" borderId="8" xfId="0" applyFont="1" applyBorder="1"/>
    <xf numFmtId="11" fontId="2" fillId="0" borderId="0" xfId="0" applyNumberFormat="1" applyFont="1" applyBorder="1"/>
    <xf numFmtId="0" fontId="2" fillId="6" borderId="1" xfId="0" applyFont="1" applyFill="1" applyBorder="1"/>
    <xf numFmtId="11" fontId="2" fillId="6" borderId="1" xfId="0" applyNumberFormat="1" applyFont="1" applyFill="1" applyBorder="1"/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158750</xdr:colOff>
      <xdr:row>1</xdr:row>
      <xdr:rowOff>177800</xdr:rowOff>
    </xdr:from>
    <xdr:to>
      <xdr:col>18</xdr:col>
      <xdr:colOff>183195</xdr:colOff>
      <xdr:row>33</xdr:row>
      <xdr:rowOff>116759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8675" y="358775"/>
          <a:ext cx="7644445" cy="5730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73</xdr:row>
      <xdr:rowOff>44450</xdr:rowOff>
    </xdr:from>
    <xdr:to>
      <xdr:col>5</xdr:col>
      <xdr:colOff>6289052</xdr:colOff>
      <xdr:row>76</xdr:row>
      <xdr:rowOff>50712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389940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  <row r="26">
          <cell r="C26">
            <v>-0.35639999999999994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24">
          <cell r="C24">
            <v>0.35798611111111117</v>
          </cell>
        </row>
        <row r="26">
          <cell r="C26">
            <v>-0.29108566666666669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workbookViewId="0">
      <selection activeCell="B11" sqref="B11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263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266</v>
      </c>
      <c r="B8" s="10">
        <f>[2]mass_composition!$R$99/[2]mass_composition!$E$99</f>
        <v>3.2826763766385117E-2</v>
      </c>
      <c r="C8" t="s">
        <v>268</v>
      </c>
    </row>
    <row r="9" spans="1:4" x14ac:dyDescent="0.35">
      <c r="A9" t="s">
        <v>267</v>
      </c>
      <c r="B9" s="1">
        <f>[2]mass_composition!$J$99/[2]mass_composition!$E$99</f>
        <v>0.46707762798496266</v>
      </c>
      <c r="C9" t="s">
        <v>268</v>
      </c>
    </row>
    <row r="10" spans="1:4" x14ac:dyDescent="0.35">
      <c r="A10" t="s">
        <v>273</v>
      </c>
      <c r="B10" s="10">
        <f>[2]mass_composition!$U$99/[2]mass_composition!$E$99</f>
        <v>4.0243826369155064E-3</v>
      </c>
      <c r="C10" t="s">
        <v>268</v>
      </c>
    </row>
    <row r="11" spans="1:4" x14ac:dyDescent="0.35">
      <c r="A11" t="s">
        <v>274</v>
      </c>
      <c r="B11" s="1">
        <f>[2]mass_composition!$Q$99/[2]mass_composition!$E$99</f>
        <v>8.2642016535860938E-3</v>
      </c>
      <c r="C11" t="s">
        <v>268</v>
      </c>
    </row>
    <row r="35" spans="10:10" x14ac:dyDescent="0.35">
      <c r="J35" t="s">
        <v>296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37" zoomScaleNormal="100" workbookViewId="0">
      <selection activeCell="E69" sqref="E69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1" t="s">
        <v>0</v>
      </c>
      <c r="B2" s="41" t="s">
        <v>10</v>
      </c>
      <c r="C2" s="41" t="s">
        <v>11</v>
      </c>
      <c r="D2" s="41" t="s">
        <v>12</v>
      </c>
      <c r="E2" s="41" t="s">
        <v>1</v>
      </c>
      <c r="F2" s="41" t="s">
        <v>2</v>
      </c>
      <c r="I2" s="37" t="s">
        <v>338</v>
      </c>
      <c r="J2" s="37" t="s">
        <v>339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129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238</v>
      </c>
      <c r="E6">
        <f>E3*Parameters!C5</f>
        <v>0.77</v>
      </c>
      <c r="F6" t="s">
        <v>14</v>
      </c>
    </row>
    <row r="7" spans="1:10" x14ac:dyDescent="0.35">
      <c r="A7" t="s">
        <v>237</v>
      </c>
      <c r="B7" t="s">
        <v>3</v>
      </c>
      <c r="C7" t="s">
        <v>17</v>
      </c>
      <c r="D7" t="s">
        <v>239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129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220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241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241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129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220</v>
      </c>
    </row>
    <row r="27" spans="1:6" x14ac:dyDescent="0.35">
      <c r="A27" t="s">
        <v>123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241</v>
      </c>
    </row>
    <row r="28" spans="1:6" x14ac:dyDescent="0.35">
      <c r="B28" t="s">
        <v>4</v>
      </c>
      <c r="C28" t="s">
        <v>20</v>
      </c>
      <c r="D28" t="s">
        <v>98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97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112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143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144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145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125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111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124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146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129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220</v>
      </c>
    </row>
    <row r="42" spans="1:6" x14ac:dyDescent="0.35">
      <c r="A42" t="s">
        <v>127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241</v>
      </c>
    </row>
    <row r="43" spans="1:6" x14ac:dyDescent="0.35">
      <c r="B43" t="s">
        <v>4</v>
      </c>
      <c r="C43" t="s">
        <v>20</v>
      </c>
      <c r="D43" s="2" t="s">
        <v>98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97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142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143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129</v>
      </c>
    </row>
    <row r="48" spans="1:6" x14ac:dyDescent="0.35">
      <c r="B48" t="s">
        <v>3</v>
      </c>
      <c r="C48" t="s">
        <v>15</v>
      </c>
      <c r="D48" s="2" t="s">
        <v>128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135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256</v>
      </c>
      <c r="E50">
        <f>(E42*Parameters!C10*(1-Parameters!C48))</f>
        <v>131.83340888752835</v>
      </c>
      <c r="F50" t="s">
        <v>241</v>
      </c>
    </row>
    <row r="52" spans="1:6" x14ac:dyDescent="0.35">
      <c r="A52" t="s">
        <v>130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241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129</v>
      </c>
    </row>
    <row r="61" spans="1:6" x14ac:dyDescent="0.35">
      <c r="A61" t="s">
        <v>101</v>
      </c>
    </row>
    <row r="62" spans="1:6" x14ac:dyDescent="0.35">
      <c r="B62" t="s">
        <v>3</v>
      </c>
      <c r="C62" t="s">
        <v>15</v>
      </c>
      <c r="D62" t="s">
        <v>261</v>
      </c>
      <c r="E62">
        <f>Parameters!C66</f>
        <v>0.55582190304980861</v>
      </c>
      <c r="F62" t="s">
        <v>14</v>
      </c>
    </row>
    <row r="63" spans="1:6" x14ac:dyDescent="0.35">
      <c r="B63" t="s">
        <v>4</v>
      </c>
      <c r="C63" t="s">
        <v>20</v>
      </c>
      <c r="D63" t="s">
        <v>97</v>
      </c>
      <c r="E63">
        <f>Parameters!C74*1000</f>
        <v>1.7377103344898694</v>
      </c>
      <c r="F63" t="s">
        <v>88</v>
      </c>
    </row>
    <row r="65" spans="1:6" x14ac:dyDescent="0.35">
      <c r="A65" t="s">
        <v>272</v>
      </c>
    </row>
    <row r="66" spans="1:6" x14ac:dyDescent="0.35">
      <c r="B66" t="s">
        <v>3</v>
      </c>
      <c r="C66" t="s">
        <v>15</v>
      </c>
      <c r="D66" t="s">
        <v>269</v>
      </c>
      <c r="E66">
        <f>E62-E63*0.001</f>
        <v>0.55408419271531872</v>
      </c>
      <c r="F66" t="s">
        <v>14</v>
      </c>
    </row>
    <row r="67" spans="1:6" x14ac:dyDescent="0.35">
      <c r="B67" t="s">
        <v>4</v>
      </c>
      <c r="C67" t="s">
        <v>20</v>
      </c>
      <c r="D67" t="s">
        <v>112</v>
      </c>
      <c r="E67">
        <f>Waste_characteristics!B3*Parameters!C5*(1-Waste_characteristics!B4)*Waste_characteristics!B8*Parameters!C78*(44/28)*1000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111</v>
      </c>
      <c r="E68">
        <f>Waste_characteristics!B3*Parameters!C5*(1-Waste_characteristics!B4)*Waste_characteristics!B8*Parameters!C79*(17/14)*1000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115</v>
      </c>
      <c r="E69">
        <f>Waste_characteristics!B3*Parameters!C5*(1-Waste_characteristics!B4)*Waste_characteristics!B8*Parameters!C80*(62/14)*1000</f>
        <v>6.1214776538009943</v>
      </c>
      <c r="F69" t="s">
        <v>88</v>
      </c>
    </row>
    <row r="71" spans="1:6" x14ac:dyDescent="0.35">
      <c r="A71" t="s">
        <v>275</v>
      </c>
    </row>
    <row r="72" spans="1:6" x14ac:dyDescent="0.35">
      <c r="B72" t="s">
        <v>3</v>
      </c>
      <c r="C72" t="s">
        <v>15</v>
      </c>
      <c r="D72" t="s">
        <v>261</v>
      </c>
      <c r="E72">
        <f>Parameters!C66</f>
        <v>0.55582190304980861</v>
      </c>
      <c r="F72" t="s">
        <v>14</v>
      </c>
    </row>
    <row r="73" spans="1:6" x14ac:dyDescent="0.35">
      <c r="B73" t="s">
        <v>3</v>
      </c>
      <c r="C73" t="s">
        <v>15</v>
      </c>
      <c r="D73" t="s">
        <v>276</v>
      </c>
      <c r="E73">
        <f>Parameters!C84*LCI!E72*1000</f>
        <v>2.0184751679156077</v>
      </c>
      <c r="F73" t="s">
        <v>129</v>
      </c>
    </row>
    <row r="74" spans="1:6" x14ac:dyDescent="0.35">
      <c r="B74" t="s">
        <v>4</v>
      </c>
      <c r="C74" t="s">
        <v>15</v>
      </c>
      <c r="D74" t="s">
        <v>278</v>
      </c>
      <c r="E74">
        <f>Parameters!C68*Parameters!C82*(1/Parameters!C83)</f>
        <v>0.29700390349065431</v>
      </c>
      <c r="F74" t="s">
        <v>14</v>
      </c>
    </row>
    <row r="75" spans="1:6" x14ac:dyDescent="0.35">
      <c r="B75" t="s">
        <v>4</v>
      </c>
      <c r="C75" t="s">
        <v>15</v>
      </c>
      <c r="D75" t="s">
        <v>277</v>
      </c>
      <c r="E75">
        <f>((E72-E74)*1000)/Parameters!C70</f>
        <v>0.25911227332693015</v>
      </c>
      <c r="F75" t="s">
        <v>241</v>
      </c>
    </row>
    <row r="77" spans="1:6" x14ac:dyDescent="0.35">
      <c r="A77" t="s">
        <v>285</v>
      </c>
    </row>
    <row r="78" spans="1:6" x14ac:dyDescent="0.35">
      <c r="B78" t="s">
        <v>3</v>
      </c>
      <c r="C78" t="s">
        <v>15</v>
      </c>
      <c r="D78" t="s">
        <v>277</v>
      </c>
      <c r="E78">
        <f>E75</f>
        <v>0.25911227332693015</v>
      </c>
      <c r="F78" t="s">
        <v>241</v>
      </c>
    </row>
    <row r="79" spans="1:6" x14ac:dyDescent="0.35">
      <c r="B79" t="s">
        <v>3</v>
      </c>
      <c r="C79" t="s">
        <v>15</v>
      </c>
      <c r="D79" t="s">
        <v>286</v>
      </c>
      <c r="F79" t="s">
        <v>287</v>
      </c>
    </row>
    <row r="81" spans="1:7" x14ac:dyDescent="0.35">
      <c r="A81" t="s">
        <v>290</v>
      </c>
    </row>
    <row r="82" spans="1:7" x14ac:dyDescent="0.35">
      <c r="B82" t="s">
        <v>3</v>
      </c>
      <c r="C82" t="s">
        <v>15</v>
      </c>
      <c r="D82" t="s">
        <v>278</v>
      </c>
      <c r="E82">
        <f>E74</f>
        <v>0.29700390349065431</v>
      </c>
      <c r="F82" t="s">
        <v>14</v>
      </c>
    </row>
    <row r="83" spans="1:7" x14ac:dyDescent="0.35">
      <c r="B83" t="s">
        <v>4</v>
      </c>
      <c r="C83" t="s">
        <v>20</v>
      </c>
      <c r="D83" t="s">
        <v>97</v>
      </c>
      <c r="E83">
        <f>(16/12)*Parameters!C91*(1-Parameters!C88)*((E6*1000*(1-Waste_characteristics!B4)*Waste_characteristics!B9)-((E13*(1-Parameters!C10)*Parameters!C12*(12/44)))-((E13*(Parameters!C10)*Parameters!C11*(12/16))))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293</v>
      </c>
    </row>
    <row r="84" spans="1:7" x14ac:dyDescent="0.35">
      <c r="B84" t="s">
        <v>4</v>
      </c>
      <c r="C84" t="s">
        <v>20</v>
      </c>
      <c r="D84" t="s">
        <v>112</v>
      </c>
      <c r="E84">
        <f>(E6*1000*(1-Waste_characteristics!B4)*Waste_characteristics!B8)*(1-Parameters!C85)*Parameters!C92*(44/28)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111</v>
      </c>
      <c r="E85">
        <f>(E6*1000*(1-Waste_characteristics!B4)*Waste_characteristics!B8)*(1-Parameters!C85)*Parameters!C93*(17/14)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291</v>
      </c>
      <c r="E86">
        <f>E82*Parameters!C94</f>
        <v>3.0888405963028047E-2</v>
      </c>
      <c r="F86" t="s">
        <v>88</v>
      </c>
    </row>
    <row r="87" spans="1:7" x14ac:dyDescent="0.35">
      <c r="B87" t="s">
        <v>4</v>
      </c>
      <c r="C87" t="s">
        <v>20</v>
      </c>
      <c r="D87" t="s">
        <v>124</v>
      </c>
      <c r="E87">
        <f>(44/12)*Parameters!C95*(1-Parameters!C88)*((E6*1000*(1-Waste_characteristics!B4)*Waste_characteristics!B9)-((E13*(1-Parameters!C10)*Parameters!C12*(12/44)))-((E13*(Parameters!C10)*Parameters!C11*(12/16))))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349</v>
      </c>
      <c r="E88">
        <f>E82*(1-Parameters!C96)</f>
        <v>0.15444202981514024</v>
      </c>
      <c r="F88" t="s">
        <v>14</v>
      </c>
    </row>
    <row r="89" spans="1:7" x14ac:dyDescent="0.35">
      <c r="B89" t="s">
        <v>3</v>
      </c>
      <c r="C89" t="s">
        <v>15</v>
      </c>
      <c r="D89" t="s">
        <v>276</v>
      </c>
      <c r="E89">
        <f>Parameters!C97*LCI!E82</f>
        <v>3.12547394401899</v>
      </c>
      <c r="F89" t="s">
        <v>129</v>
      </c>
    </row>
    <row r="90" spans="1:7" x14ac:dyDescent="0.35">
      <c r="B90" t="s">
        <v>3</v>
      </c>
      <c r="C90" t="s">
        <v>15</v>
      </c>
      <c r="D90" t="s">
        <v>292</v>
      </c>
      <c r="E90">
        <f>Parameters!C98*LCI!E82*Parameters!C99</f>
        <v>0.44883055543440398</v>
      </c>
      <c r="F90" t="s">
        <v>88</v>
      </c>
    </row>
    <row r="93" spans="1:7" x14ac:dyDescent="0.35">
      <c r="A93" t="s">
        <v>302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97</v>
      </c>
      <c r="E95" s="5">
        <f>[3]LCI!$B$4*1000</f>
        <v>0.34804999999999997</v>
      </c>
      <c r="F95" t="s">
        <v>88</v>
      </c>
      <c r="G95" t="s">
        <v>340</v>
      </c>
    </row>
    <row r="96" spans="1:7" x14ac:dyDescent="0.35">
      <c r="B96" t="s">
        <v>4</v>
      </c>
      <c r="C96" t="s">
        <v>20</v>
      </c>
      <c r="D96" t="s">
        <v>112</v>
      </c>
      <c r="E96" s="5">
        <f>[3]LCI!$B$6*1000</f>
        <v>7.0148999999999989E-2</v>
      </c>
      <c r="F96" t="s">
        <v>88</v>
      </c>
      <c r="G96" t="s">
        <v>340</v>
      </c>
    </row>
    <row r="97" spans="1:7" x14ac:dyDescent="0.35">
      <c r="B97" t="s">
        <v>4</v>
      </c>
      <c r="C97" t="s">
        <v>20</v>
      </c>
      <c r="D97" t="s">
        <v>111</v>
      </c>
      <c r="E97" s="5">
        <f>[3]LCI!$B$5*1000</f>
        <v>6.4731999999999998E-2</v>
      </c>
      <c r="F97" t="s">
        <v>88</v>
      </c>
      <c r="G97" t="s">
        <v>340</v>
      </c>
    </row>
    <row r="98" spans="1:7" x14ac:dyDescent="0.35">
      <c r="B98" t="s">
        <v>3</v>
      </c>
      <c r="C98" t="s">
        <v>15</v>
      </c>
      <c r="D98" t="s">
        <v>304</v>
      </c>
      <c r="E98">
        <f>E94*(1/8)*1000</f>
        <v>125</v>
      </c>
      <c r="F98" t="s">
        <v>88</v>
      </c>
      <c r="G98" t="s">
        <v>340</v>
      </c>
    </row>
    <row r="100" spans="1:7" x14ac:dyDescent="0.35">
      <c r="A100" t="s">
        <v>320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129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238</v>
      </c>
      <c r="E104">
        <f>E101*Parameters!C5</f>
        <v>0.77</v>
      </c>
      <c r="F104" t="s">
        <v>14</v>
      </c>
    </row>
    <row r="105" spans="1:7" x14ac:dyDescent="0.35">
      <c r="A105" t="s">
        <v>237</v>
      </c>
      <c r="B105" t="s">
        <v>3</v>
      </c>
      <c r="C105" t="s">
        <v>17</v>
      </c>
      <c r="D105" t="s">
        <v>239</v>
      </c>
      <c r="E105">
        <f>E101*(1-Parameters!C5)*1000</f>
        <v>229.99999999999997</v>
      </c>
      <c r="F105" t="s">
        <v>88</v>
      </c>
    </row>
    <row r="107" spans="1:7" x14ac:dyDescent="0.35">
      <c r="A107" t="s">
        <v>303</v>
      </c>
      <c r="B107" t="s">
        <v>3</v>
      </c>
      <c r="C107" t="s">
        <v>15</v>
      </c>
      <c r="D107" t="s">
        <v>238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304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337</v>
      </c>
      <c r="E109">
        <f>E107+(E108/1000)</f>
        <v>0.86624999999999996</v>
      </c>
      <c r="F109" t="s">
        <v>14</v>
      </c>
    </row>
    <row r="111" spans="1:7" x14ac:dyDescent="0.35">
      <c r="A111" t="s">
        <v>305</v>
      </c>
      <c r="B111" t="s">
        <v>3</v>
      </c>
      <c r="C111" t="s">
        <v>15</v>
      </c>
      <c r="D111" t="s">
        <v>337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298</v>
      </c>
      <c r="E112" s="5">
        <f>[4]LCI!C4*1000</f>
        <v>0.1410178</v>
      </c>
      <c r="F112" t="s">
        <v>88</v>
      </c>
      <c r="G112" t="s">
        <v>340</v>
      </c>
    </row>
    <row r="113" spans="2:7" ht="16.5" x14ac:dyDescent="0.45">
      <c r="B113" t="s">
        <v>4</v>
      </c>
      <c r="C113" t="s">
        <v>20</v>
      </c>
      <c r="D113" t="s">
        <v>299</v>
      </c>
      <c r="E113" s="5">
        <f>[4]LCI!C5*1000</f>
        <v>0.1932546</v>
      </c>
      <c r="F113" t="s">
        <v>88</v>
      </c>
      <c r="G113" t="s">
        <v>340</v>
      </c>
    </row>
    <row r="114" spans="2:7" ht="16.5" x14ac:dyDescent="0.45">
      <c r="B114" t="s">
        <v>4</v>
      </c>
      <c r="C114" t="s">
        <v>20</v>
      </c>
      <c r="D114" t="s">
        <v>300</v>
      </c>
      <c r="E114" s="5">
        <f>[4]LCI!C6*1000</f>
        <v>6.0094649999999999E-2</v>
      </c>
      <c r="F114" t="s">
        <v>88</v>
      </c>
      <c r="G114" t="s">
        <v>340</v>
      </c>
    </row>
    <row r="115" spans="2:7" ht="16.5" x14ac:dyDescent="0.45">
      <c r="B115" t="s">
        <v>4</v>
      </c>
      <c r="C115" t="s">
        <v>20</v>
      </c>
      <c r="D115" t="s">
        <v>301</v>
      </c>
      <c r="E115" s="5">
        <f>[4]LCI!C7*1000</f>
        <v>314.00600000000003</v>
      </c>
      <c r="F115" t="s">
        <v>88</v>
      </c>
      <c r="G115" t="s">
        <v>340</v>
      </c>
    </row>
    <row r="116" spans="2:7" x14ac:dyDescent="0.35">
      <c r="B116" t="s">
        <v>4</v>
      </c>
      <c r="C116" t="s">
        <v>15</v>
      </c>
      <c r="D116" t="s">
        <v>341</v>
      </c>
      <c r="E116" s="5">
        <f>[4]LCI!$C$31*1000</f>
        <v>6.93</v>
      </c>
      <c r="F116" t="s">
        <v>129</v>
      </c>
      <c r="G116" t="s">
        <v>340</v>
      </c>
    </row>
    <row r="117" spans="2:7" x14ac:dyDescent="0.35">
      <c r="B117" t="s">
        <v>4</v>
      </c>
      <c r="C117" t="s">
        <v>15</v>
      </c>
      <c r="D117" t="s">
        <v>229</v>
      </c>
      <c r="E117" s="5">
        <f>[4]LCI!$C$34*1000</f>
        <v>0</v>
      </c>
      <c r="F117" t="s">
        <v>342</v>
      </c>
      <c r="G117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F29"/>
  <sheetViews>
    <sheetView workbookViewId="0">
      <selection activeCell="A2" sqref="A2:F22"/>
    </sheetView>
  </sheetViews>
  <sheetFormatPr baseColWidth="10" defaultRowHeight="14.5" x14ac:dyDescent="0.35"/>
  <cols>
    <col min="1" max="1" width="21.089843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1" t="s">
        <v>357</v>
      </c>
    </row>
    <row r="2" spans="1:6" x14ac:dyDescent="0.35">
      <c r="A2" s="62" t="s">
        <v>0</v>
      </c>
      <c r="B2" s="63" t="s">
        <v>10</v>
      </c>
      <c r="C2" s="63" t="s">
        <v>11</v>
      </c>
      <c r="D2" s="63" t="s">
        <v>12</v>
      </c>
      <c r="E2" s="63" t="s">
        <v>1</v>
      </c>
      <c r="F2" s="64" t="s">
        <v>2</v>
      </c>
    </row>
    <row r="3" spans="1:6" x14ac:dyDescent="0.35">
      <c r="A3" s="43" t="s">
        <v>5</v>
      </c>
      <c r="B3" s="44" t="s">
        <v>3</v>
      </c>
      <c r="C3" s="44" t="s">
        <v>15</v>
      </c>
      <c r="D3" s="44" t="s">
        <v>13</v>
      </c>
      <c r="E3" s="44">
        <v>1</v>
      </c>
      <c r="F3" s="45" t="s">
        <v>14</v>
      </c>
    </row>
    <row r="4" spans="1:6" x14ac:dyDescent="0.35">
      <c r="A4" s="55"/>
      <c r="B4" s="47" t="s">
        <v>3</v>
      </c>
      <c r="C4" s="47" t="s">
        <v>15</v>
      </c>
      <c r="D4" s="47" t="s">
        <v>8</v>
      </c>
      <c r="E4" s="47">
        <f>E3*Parameters!C3</f>
        <v>9.98</v>
      </c>
      <c r="F4" s="48" t="s">
        <v>129</v>
      </c>
    </row>
    <row r="5" spans="1:6" x14ac:dyDescent="0.35">
      <c r="A5" s="55"/>
      <c r="B5" s="47" t="s">
        <v>3</v>
      </c>
      <c r="C5" s="47" t="s">
        <v>15</v>
      </c>
      <c r="D5" s="47" t="s">
        <v>9</v>
      </c>
      <c r="E5" s="47"/>
      <c r="F5" s="48"/>
    </row>
    <row r="6" spans="1:6" x14ac:dyDescent="0.35">
      <c r="A6" s="56"/>
      <c r="B6" s="50" t="s">
        <v>4</v>
      </c>
      <c r="C6" s="50" t="s">
        <v>17</v>
      </c>
      <c r="D6" s="50" t="s">
        <v>238</v>
      </c>
      <c r="E6" s="50">
        <f>E3*Parameters!C5</f>
        <v>0.77</v>
      </c>
      <c r="F6" s="51" t="s">
        <v>14</v>
      </c>
    </row>
    <row r="7" spans="1:6" x14ac:dyDescent="0.35">
      <c r="A7" s="52" t="s">
        <v>237</v>
      </c>
      <c r="B7" s="53" t="s">
        <v>3</v>
      </c>
      <c r="C7" s="53" t="s">
        <v>17</v>
      </c>
      <c r="D7" s="53" t="s">
        <v>239</v>
      </c>
      <c r="E7" s="53">
        <f>E3*(1-Parameters!C5)*1000</f>
        <v>229.99999999999997</v>
      </c>
      <c r="F7" s="54" t="s">
        <v>88</v>
      </c>
    </row>
    <row r="8" spans="1:6" x14ac:dyDescent="0.35">
      <c r="A8" s="43" t="s">
        <v>6</v>
      </c>
      <c r="B8" s="44" t="s">
        <v>3</v>
      </c>
      <c r="C8" s="44" t="s">
        <v>17</v>
      </c>
      <c r="D8" s="44" t="s">
        <v>16</v>
      </c>
      <c r="E8" s="44">
        <f>E6</f>
        <v>0.77</v>
      </c>
      <c r="F8" s="45" t="s">
        <v>14</v>
      </c>
    </row>
    <row r="9" spans="1:6" x14ac:dyDescent="0.35">
      <c r="A9" s="55"/>
      <c r="B9" s="47" t="s">
        <v>3</v>
      </c>
      <c r="C9" s="47" t="s">
        <v>17</v>
      </c>
      <c r="D9" s="47" t="s">
        <v>8</v>
      </c>
      <c r="E9" s="47">
        <f>Parameters!C14*E8</f>
        <v>22.330000000000002</v>
      </c>
      <c r="F9" s="48" t="s">
        <v>129</v>
      </c>
    </row>
    <row r="10" spans="1:6" x14ac:dyDescent="0.35">
      <c r="A10" s="55"/>
      <c r="B10" s="47" t="s">
        <v>3</v>
      </c>
      <c r="C10" s="47" t="s">
        <v>17</v>
      </c>
      <c r="D10" s="47" t="s">
        <v>18</v>
      </c>
      <c r="E10" s="47">
        <f>E8*Parameters!C15</f>
        <v>227.15</v>
      </c>
      <c r="F10" s="48" t="s">
        <v>220</v>
      </c>
    </row>
    <row r="11" spans="1:6" x14ac:dyDescent="0.35">
      <c r="A11" s="55"/>
      <c r="B11" s="47" t="s">
        <v>4</v>
      </c>
      <c r="C11" s="47" t="s">
        <v>20</v>
      </c>
      <c r="D11" s="47" t="s">
        <v>19</v>
      </c>
      <c r="E11" s="47">
        <f>Parameters!C9*(Parameters!C7*(1-Waste_characteristics!B4))*E8*Parameters!C11*0.001</f>
        <v>1.5118453902366449</v>
      </c>
      <c r="F11" s="48" t="s">
        <v>88</v>
      </c>
    </row>
    <row r="12" spans="1:6" x14ac:dyDescent="0.35">
      <c r="A12" s="55"/>
      <c r="B12" s="47" t="s">
        <v>4</v>
      </c>
      <c r="C12" s="47" t="s">
        <v>17</v>
      </c>
      <c r="D12" s="47" t="s">
        <v>21</v>
      </c>
      <c r="E12" s="47">
        <f>(((Parameters!C7*(1-Waste_characteristics!B4))/Parameters!C10)*0.001)-((E11/Parameters!C11)*(1/Parameters!C10))</f>
        <v>223.74984536240387</v>
      </c>
      <c r="F12" s="48" t="s">
        <v>241</v>
      </c>
    </row>
    <row r="13" spans="1:6" x14ac:dyDescent="0.35">
      <c r="A13" s="56"/>
      <c r="B13" s="50" t="s">
        <v>4</v>
      </c>
      <c r="C13" s="50" t="s">
        <v>15</v>
      </c>
      <c r="D13" s="50" t="s">
        <v>352</v>
      </c>
      <c r="E13" s="50">
        <f>Parameters!C66</f>
        <v>0.55582190304980861</v>
      </c>
      <c r="F13" s="51" t="s">
        <v>14</v>
      </c>
    </row>
    <row r="14" spans="1:6" x14ac:dyDescent="0.35">
      <c r="A14" s="43" t="s">
        <v>127</v>
      </c>
      <c r="B14" s="44" t="s">
        <v>3</v>
      </c>
      <c r="C14" s="44" t="s">
        <v>15</v>
      </c>
      <c r="D14" s="44" t="s">
        <v>21</v>
      </c>
      <c r="E14" s="44">
        <f>E12</f>
        <v>223.74984536240387</v>
      </c>
      <c r="F14" s="45" t="s">
        <v>241</v>
      </c>
    </row>
    <row r="15" spans="1:6" x14ac:dyDescent="0.35">
      <c r="A15" s="55"/>
      <c r="B15" s="47" t="s">
        <v>4</v>
      </c>
      <c r="C15" s="47" t="s">
        <v>20</v>
      </c>
      <c r="D15" s="67" t="s">
        <v>98</v>
      </c>
      <c r="E15" s="47">
        <f>E14*(1-Parameters!C10)*Parameters!C47*Parameters!C12</f>
        <v>174.55172936411853</v>
      </c>
      <c r="F15" s="48" t="s">
        <v>88</v>
      </c>
    </row>
    <row r="16" spans="1:6" x14ac:dyDescent="0.35">
      <c r="A16" s="55"/>
      <c r="B16" s="47" t="s">
        <v>4</v>
      </c>
      <c r="C16" s="47" t="s">
        <v>20</v>
      </c>
      <c r="D16" s="67" t="s">
        <v>97</v>
      </c>
      <c r="E16" s="47">
        <f>E14*Parameters!C10*Parameters!C48*Parameters!C11</f>
        <v>1.7398787975380521</v>
      </c>
      <c r="F16" s="48" t="s">
        <v>88</v>
      </c>
    </row>
    <row r="17" spans="1:6" x14ac:dyDescent="0.35">
      <c r="A17" s="55"/>
      <c r="B17" s="47" t="s">
        <v>4</v>
      </c>
      <c r="C17" s="47" t="s">
        <v>20</v>
      </c>
      <c r="D17" s="67" t="s">
        <v>142</v>
      </c>
      <c r="E17" s="68">
        <f>Parameters!C49*E14</f>
        <v>1.3424990721744234E-3</v>
      </c>
      <c r="F17" s="48" t="s">
        <v>88</v>
      </c>
    </row>
    <row r="18" spans="1:6" x14ac:dyDescent="0.35">
      <c r="A18" s="55"/>
      <c r="B18" s="47" t="s">
        <v>4</v>
      </c>
      <c r="C18" s="47" t="s">
        <v>20</v>
      </c>
      <c r="D18" s="67" t="s">
        <v>143</v>
      </c>
      <c r="E18" s="68">
        <f>E14*Parameters!C50</f>
        <v>1.4767489793918657E-3</v>
      </c>
      <c r="F18" s="48" t="s">
        <v>88</v>
      </c>
    </row>
    <row r="19" spans="1:6" x14ac:dyDescent="0.35">
      <c r="A19" s="55"/>
      <c r="B19" s="47" t="s">
        <v>3</v>
      </c>
      <c r="C19" s="47" t="s">
        <v>15</v>
      </c>
      <c r="D19" s="67" t="s">
        <v>79</v>
      </c>
      <c r="E19" s="47">
        <f>E14*Parameters!C51</f>
        <v>76.074947423217324</v>
      </c>
      <c r="F19" s="48" t="s">
        <v>129</v>
      </c>
    </row>
    <row r="20" spans="1:6" x14ac:dyDescent="0.35">
      <c r="A20" s="55"/>
      <c r="B20" s="47" t="s">
        <v>3</v>
      </c>
      <c r="C20" s="47" t="s">
        <v>15</v>
      </c>
      <c r="D20" s="67" t="s">
        <v>128</v>
      </c>
      <c r="E20" s="68">
        <f>E14*Parameters!C52</f>
        <v>0.19913736237253943</v>
      </c>
      <c r="F20" s="48" t="s">
        <v>88</v>
      </c>
    </row>
    <row r="21" spans="1:6" x14ac:dyDescent="0.35">
      <c r="A21" s="55"/>
      <c r="B21" s="47" t="s">
        <v>3</v>
      </c>
      <c r="C21" s="47" t="s">
        <v>15</v>
      </c>
      <c r="D21" s="67" t="s">
        <v>135</v>
      </c>
      <c r="E21" s="68">
        <f>E14*Parameters!C53</f>
        <v>2.6626231598126062</v>
      </c>
      <c r="F21" s="48" t="s">
        <v>88</v>
      </c>
    </row>
    <row r="22" spans="1:6" x14ac:dyDescent="0.35">
      <c r="A22" s="56"/>
      <c r="B22" s="50" t="s">
        <v>4</v>
      </c>
      <c r="C22" s="50" t="s">
        <v>15</v>
      </c>
      <c r="D22" s="69" t="s">
        <v>256</v>
      </c>
      <c r="E22" s="50">
        <f>(E14*Parameters!C10*(1-Parameters!C48))</f>
        <v>131.83340888752835</v>
      </c>
      <c r="F22" s="51" t="s">
        <v>241</v>
      </c>
    </row>
    <row r="23" spans="1:6" x14ac:dyDescent="0.35">
      <c r="A23" s="57" t="s">
        <v>101</v>
      </c>
      <c r="B23" s="44" t="s">
        <v>3</v>
      </c>
      <c r="C23" s="44" t="s">
        <v>15</v>
      </c>
      <c r="D23" s="44" t="s">
        <v>352</v>
      </c>
      <c r="E23">
        <f>E13</f>
        <v>0.55582190304980861</v>
      </c>
      <c r="F23" s="45" t="s">
        <v>14</v>
      </c>
    </row>
    <row r="24" spans="1:6" x14ac:dyDescent="0.35">
      <c r="A24" s="55"/>
      <c r="B24" s="47" t="s">
        <v>4</v>
      </c>
      <c r="C24" s="47" t="s">
        <v>20</v>
      </c>
      <c r="D24" s="47" t="s">
        <v>97</v>
      </c>
      <c r="E24">
        <f>Parameters!C74*1000</f>
        <v>1.7377103344898694</v>
      </c>
      <c r="F24" s="48" t="s">
        <v>88</v>
      </c>
    </row>
    <row r="25" spans="1:6" x14ac:dyDescent="0.35">
      <c r="A25" s="55"/>
      <c r="B25" s="58" t="s">
        <v>4</v>
      </c>
      <c r="C25" s="58" t="s">
        <v>15</v>
      </c>
      <c r="D25" s="58" t="s">
        <v>353</v>
      </c>
      <c r="E25">
        <f>E23-(E24*0.001)</f>
        <v>0.55408419271531872</v>
      </c>
      <c r="F25" s="59" t="s">
        <v>14</v>
      </c>
    </row>
    <row r="26" spans="1:6" x14ac:dyDescent="0.35">
      <c r="A26" s="43" t="s">
        <v>109</v>
      </c>
      <c r="B26" s="44" t="s">
        <v>3</v>
      </c>
      <c r="C26" s="44" t="s">
        <v>15</v>
      </c>
      <c r="D26" s="44" t="s">
        <v>353</v>
      </c>
      <c r="E26" s="44">
        <f>E24-(E25*0.001)</f>
        <v>1.737156250297154</v>
      </c>
      <c r="F26" s="45" t="s">
        <v>14</v>
      </c>
    </row>
    <row r="27" spans="1:6" x14ac:dyDescent="0.35">
      <c r="A27" s="55"/>
      <c r="B27" s="47" t="s">
        <v>4</v>
      </c>
      <c r="C27" s="47" t="s">
        <v>20</v>
      </c>
      <c r="D27" s="47" t="s">
        <v>112</v>
      </c>
      <c r="E27" s="47">
        <f>Waste_characteristics!B3*Parameters!C5*(1-Waste_characteristics!B4)*Waste_characteristics!B8*Parameters!C78*(44/28)*1000</f>
        <v>0.18825189343947143</v>
      </c>
      <c r="F27" s="48" t="s">
        <v>88</v>
      </c>
    </row>
    <row r="28" spans="1:6" x14ac:dyDescent="0.35">
      <c r="A28" s="55"/>
      <c r="B28" s="47" t="s">
        <v>4</v>
      </c>
      <c r="C28" s="47" t="s">
        <v>20</v>
      </c>
      <c r="D28" s="47" t="s">
        <v>111</v>
      </c>
      <c r="E28" s="47">
        <f>Waste_characteristics!B3*Parameters!C5*(1-Waste_characteristics!B4)*Waste_characteristics!B8*Parameters!C79*(17/14)*1000</f>
        <v>4.4759191447147053</v>
      </c>
      <c r="F28" s="48" t="s">
        <v>88</v>
      </c>
    </row>
    <row r="29" spans="1:6" x14ac:dyDescent="0.35">
      <c r="A29" s="56"/>
      <c r="B29" s="50" t="s">
        <v>4</v>
      </c>
      <c r="C29" s="50" t="s">
        <v>20</v>
      </c>
      <c r="D29" s="50" t="s">
        <v>115</v>
      </c>
      <c r="E29" s="50">
        <f>Waste_characteristics!B3*Parameters!C5*(1-Waste_characteristics!B4)*Waste_characteristics!B8*Parameters!C80*(62/14)*1000</f>
        <v>6.1214776538009943</v>
      </c>
      <c r="F29" s="5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36"/>
  <sheetViews>
    <sheetView topLeftCell="A17" workbookViewId="0">
      <selection activeCell="L29" sqref="L29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1" t="s">
        <v>358</v>
      </c>
    </row>
    <row r="2" spans="1:6" x14ac:dyDescent="0.35">
      <c r="A2" s="62" t="s">
        <v>0</v>
      </c>
      <c r="B2" s="63" t="s">
        <v>10</v>
      </c>
      <c r="C2" s="63" t="s">
        <v>11</v>
      </c>
      <c r="D2" s="63" t="s">
        <v>12</v>
      </c>
      <c r="E2" s="63" t="s">
        <v>1</v>
      </c>
      <c r="F2" s="64" t="s">
        <v>2</v>
      </c>
    </row>
    <row r="3" spans="1:6" x14ac:dyDescent="0.35">
      <c r="A3" s="43" t="s">
        <v>5</v>
      </c>
      <c r="B3" s="44" t="s">
        <v>3</v>
      </c>
      <c r="C3" s="44" t="s">
        <v>15</v>
      </c>
      <c r="D3" s="44" t="s">
        <v>13</v>
      </c>
      <c r="E3" s="44">
        <v>1</v>
      </c>
      <c r="F3" s="45" t="s">
        <v>14</v>
      </c>
    </row>
    <row r="4" spans="1:6" x14ac:dyDescent="0.35">
      <c r="A4" s="55"/>
      <c r="B4" s="47" t="s">
        <v>3</v>
      </c>
      <c r="C4" s="47" t="s">
        <v>15</v>
      </c>
      <c r="D4" s="47" t="s">
        <v>8</v>
      </c>
      <c r="E4" s="47">
        <f>E3*Parameters!C3</f>
        <v>9.98</v>
      </c>
      <c r="F4" s="48" t="s">
        <v>129</v>
      </c>
    </row>
    <row r="5" spans="1:6" x14ac:dyDescent="0.35">
      <c r="A5" s="55"/>
      <c r="B5" s="47" t="s">
        <v>3</v>
      </c>
      <c r="C5" s="47" t="s">
        <v>15</v>
      </c>
      <c r="D5" s="47" t="s">
        <v>9</v>
      </c>
      <c r="E5" s="47"/>
      <c r="F5" s="48"/>
    </row>
    <row r="6" spans="1:6" x14ac:dyDescent="0.35">
      <c r="A6" s="56"/>
      <c r="B6" s="50" t="s">
        <v>4</v>
      </c>
      <c r="C6" s="50" t="s">
        <v>17</v>
      </c>
      <c r="D6" s="50" t="s">
        <v>238</v>
      </c>
      <c r="E6" s="50">
        <f>E3*Parameters!C5</f>
        <v>0.77</v>
      </c>
      <c r="F6" s="51" t="s">
        <v>14</v>
      </c>
    </row>
    <row r="7" spans="1:6" x14ac:dyDescent="0.35">
      <c r="A7" s="52" t="s">
        <v>237</v>
      </c>
      <c r="B7" s="70" t="s">
        <v>3</v>
      </c>
      <c r="C7" s="70" t="s">
        <v>17</v>
      </c>
      <c r="D7" s="70" t="s">
        <v>239</v>
      </c>
      <c r="E7" s="70">
        <f>E3*(1-Parameters!C5)*1000</f>
        <v>229.99999999999997</v>
      </c>
      <c r="F7" s="71" t="s">
        <v>88</v>
      </c>
    </row>
    <row r="8" spans="1:6" x14ac:dyDescent="0.35">
      <c r="A8" s="43" t="s">
        <v>6</v>
      </c>
      <c r="B8" s="44" t="s">
        <v>3</v>
      </c>
      <c r="C8" s="44" t="s">
        <v>17</v>
      </c>
      <c r="D8" s="44" t="s">
        <v>16</v>
      </c>
      <c r="E8" s="44">
        <f>E6</f>
        <v>0.77</v>
      </c>
      <c r="F8" s="45" t="s">
        <v>14</v>
      </c>
    </row>
    <row r="9" spans="1:6" x14ac:dyDescent="0.35">
      <c r="A9" s="55"/>
      <c r="B9" s="47" t="s">
        <v>3</v>
      </c>
      <c r="C9" s="47" t="s">
        <v>17</v>
      </c>
      <c r="D9" s="47" t="s">
        <v>8</v>
      </c>
      <c r="E9" s="47">
        <f>Parameters!C14*E8</f>
        <v>22.330000000000002</v>
      </c>
      <c r="F9" s="48" t="s">
        <v>129</v>
      </c>
    </row>
    <row r="10" spans="1:6" x14ac:dyDescent="0.35">
      <c r="A10" s="55"/>
      <c r="B10" s="47" t="s">
        <v>3</v>
      </c>
      <c r="C10" s="47" t="s">
        <v>17</v>
      </c>
      <c r="D10" s="47" t="s">
        <v>18</v>
      </c>
      <c r="E10" s="47">
        <f>E8*Parameters!C15</f>
        <v>227.15</v>
      </c>
      <c r="F10" s="48" t="s">
        <v>220</v>
      </c>
    </row>
    <row r="11" spans="1:6" x14ac:dyDescent="0.35">
      <c r="A11" s="55"/>
      <c r="B11" s="47" t="s">
        <v>4</v>
      </c>
      <c r="C11" s="47" t="s">
        <v>20</v>
      </c>
      <c r="D11" s="47" t="s">
        <v>19</v>
      </c>
      <c r="E11" s="47">
        <f>Parameters!C9*(Parameters!C7*(1-Waste_characteristics!B4))*E8*Parameters!C11*0.001</f>
        <v>1.5118453902366449</v>
      </c>
      <c r="F11" s="48" t="s">
        <v>88</v>
      </c>
    </row>
    <row r="12" spans="1:6" x14ac:dyDescent="0.35">
      <c r="A12" s="55"/>
      <c r="B12" s="47" t="s">
        <v>4</v>
      </c>
      <c r="C12" s="47" t="s">
        <v>17</v>
      </c>
      <c r="D12" s="47" t="s">
        <v>21</v>
      </c>
      <c r="E12" s="47">
        <f>(((Parameters!C7*(1-Waste_characteristics!B4))/Parameters!C10)*0.001)-((E11/Parameters!C11)*(1/Parameters!C10))</f>
        <v>223.74984536240387</v>
      </c>
      <c r="F12" s="48" t="s">
        <v>241</v>
      </c>
    </row>
    <row r="13" spans="1:6" x14ac:dyDescent="0.35">
      <c r="A13" s="56"/>
      <c r="B13" s="50" t="s">
        <v>4</v>
      </c>
      <c r="C13" s="50" t="s">
        <v>15</v>
      </c>
      <c r="D13" s="50" t="s">
        <v>352</v>
      </c>
      <c r="E13" s="50">
        <f>Parameters!C66</f>
        <v>0.55582190304980861</v>
      </c>
      <c r="F13" s="51" t="s">
        <v>14</v>
      </c>
    </row>
    <row r="14" spans="1:6" x14ac:dyDescent="0.35">
      <c r="A14" s="43" t="s">
        <v>127</v>
      </c>
      <c r="B14" s="44" t="s">
        <v>3</v>
      </c>
      <c r="C14" s="44" t="s">
        <v>15</v>
      </c>
      <c r="D14" s="44" t="s">
        <v>21</v>
      </c>
      <c r="E14" s="44">
        <f>E12</f>
        <v>223.74984536240387</v>
      </c>
      <c r="F14" s="45" t="s">
        <v>241</v>
      </c>
    </row>
    <row r="15" spans="1:6" x14ac:dyDescent="0.35">
      <c r="A15" s="55"/>
      <c r="B15" s="47" t="s">
        <v>4</v>
      </c>
      <c r="C15" s="47" t="s">
        <v>20</v>
      </c>
      <c r="D15" s="47" t="s">
        <v>98</v>
      </c>
      <c r="E15" s="47">
        <f>E14*(1-Parameters!C10)*Parameters!C47*Parameters!C12</f>
        <v>174.55172936411853</v>
      </c>
      <c r="F15" s="48" t="s">
        <v>88</v>
      </c>
    </row>
    <row r="16" spans="1:6" x14ac:dyDescent="0.35">
      <c r="A16" s="55"/>
      <c r="B16" s="47" t="s">
        <v>4</v>
      </c>
      <c r="C16" s="47" t="s">
        <v>20</v>
      </c>
      <c r="D16" s="47" t="s">
        <v>97</v>
      </c>
      <c r="E16" s="47">
        <f>E14*Parameters!C10*Parameters!C48*Parameters!C11</f>
        <v>1.7398787975380521</v>
      </c>
      <c r="F16" s="48" t="s">
        <v>88</v>
      </c>
    </row>
    <row r="17" spans="1:6" x14ac:dyDescent="0.35">
      <c r="A17" s="55"/>
      <c r="B17" s="47" t="s">
        <v>4</v>
      </c>
      <c r="C17" s="47" t="s">
        <v>20</v>
      </c>
      <c r="D17" s="47" t="s">
        <v>142</v>
      </c>
      <c r="E17" s="47">
        <f>Parameters!C49*E14</f>
        <v>1.3424990721744234E-3</v>
      </c>
      <c r="F17" s="48" t="s">
        <v>88</v>
      </c>
    </row>
    <row r="18" spans="1:6" x14ac:dyDescent="0.35">
      <c r="A18" s="55"/>
      <c r="B18" s="47" t="s">
        <v>4</v>
      </c>
      <c r="C18" s="47" t="s">
        <v>20</v>
      </c>
      <c r="D18" s="47" t="s">
        <v>143</v>
      </c>
      <c r="E18" s="47">
        <f>E14*Parameters!C50</f>
        <v>1.4767489793918657E-3</v>
      </c>
      <c r="F18" s="48" t="s">
        <v>88</v>
      </c>
    </row>
    <row r="19" spans="1:6" x14ac:dyDescent="0.35">
      <c r="A19" s="55"/>
      <c r="B19" s="47" t="s">
        <v>3</v>
      </c>
      <c r="C19" s="47" t="s">
        <v>15</v>
      </c>
      <c r="D19" s="47" t="s">
        <v>79</v>
      </c>
      <c r="E19" s="47">
        <f>E14*Parameters!C51</f>
        <v>76.074947423217324</v>
      </c>
      <c r="F19" s="48" t="s">
        <v>129</v>
      </c>
    </row>
    <row r="20" spans="1:6" x14ac:dyDescent="0.35">
      <c r="A20" s="55"/>
      <c r="B20" s="47" t="s">
        <v>3</v>
      </c>
      <c r="C20" s="47" t="s">
        <v>15</v>
      </c>
      <c r="D20" s="47" t="s">
        <v>128</v>
      </c>
      <c r="E20" s="47">
        <f>E14*Parameters!C52</f>
        <v>0.19913736237253943</v>
      </c>
      <c r="F20" s="48" t="s">
        <v>88</v>
      </c>
    </row>
    <row r="21" spans="1:6" x14ac:dyDescent="0.35">
      <c r="A21" s="55"/>
      <c r="B21" s="47" t="s">
        <v>3</v>
      </c>
      <c r="C21" s="47" t="s">
        <v>15</v>
      </c>
      <c r="D21" s="47" t="s">
        <v>135</v>
      </c>
      <c r="E21" s="47">
        <f>E14*Parameters!C53</f>
        <v>2.6626231598126062</v>
      </c>
      <c r="F21" s="48" t="s">
        <v>88</v>
      </c>
    </row>
    <row r="22" spans="1:6" x14ac:dyDescent="0.35">
      <c r="A22" s="56"/>
      <c r="B22" s="50" t="s">
        <v>4</v>
      </c>
      <c r="C22" s="50" t="s">
        <v>15</v>
      </c>
      <c r="D22" s="50" t="s">
        <v>256</v>
      </c>
      <c r="E22" s="50">
        <f>(E14*Parameters!C10*(1-Parameters!C48))</f>
        <v>131.83340888752835</v>
      </c>
      <c r="F22" s="51" t="s">
        <v>241</v>
      </c>
    </row>
    <row r="23" spans="1:6" x14ac:dyDescent="0.35">
      <c r="A23" s="43" t="s">
        <v>275</v>
      </c>
      <c r="B23" s="44" t="s">
        <v>3</v>
      </c>
      <c r="C23" s="44" t="s">
        <v>15</v>
      </c>
      <c r="D23" s="44" t="s">
        <v>352</v>
      </c>
      <c r="E23" s="44">
        <f>E13</f>
        <v>0.55582190304980861</v>
      </c>
      <c r="F23" s="65" t="s">
        <v>14</v>
      </c>
    </row>
    <row r="24" spans="1:6" x14ac:dyDescent="0.35">
      <c r="A24" s="55"/>
      <c r="B24" s="47" t="s">
        <v>3</v>
      </c>
      <c r="C24" s="47" t="s">
        <v>15</v>
      </c>
      <c r="D24" s="47" t="s">
        <v>276</v>
      </c>
      <c r="E24" s="47">
        <f>E23*Parameters!C84*1000</f>
        <v>2.0184751679156077</v>
      </c>
      <c r="F24" s="59" t="s">
        <v>129</v>
      </c>
    </row>
    <row r="25" spans="1:6" x14ac:dyDescent="0.35">
      <c r="A25" s="55"/>
      <c r="B25" s="47" t="s">
        <v>4</v>
      </c>
      <c r="C25" s="47" t="s">
        <v>15</v>
      </c>
      <c r="D25" s="47" t="s">
        <v>278</v>
      </c>
      <c r="E25" s="47">
        <f>Parameters!C68*Parameters!C82*(1/Parameters!C83)</f>
        <v>0.29700390349065431</v>
      </c>
      <c r="F25" s="59" t="s">
        <v>14</v>
      </c>
    </row>
    <row r="26" spans="1:6" x14ac:dyDescent="0.35">
      <c r="A26" s="56"/>
      <c r="B26" s="50" t="s">
        <v>4</v>
      </c>
      <c r="C26" s="50" t="s">
        <v>15</v>
      </c>
      <c r="D26" s="50" t="s">
        <v>277</v>
      </c>
      <c r="E26" s="50">
        <f>(E23-E25)*1000/Parameters!C70</f>
        <v>0.25911227332693015</v>
      </c>
      <c r="F26" s="61" t="s">
        <v>241</v>
      </c>
    </row>
    <row r="27" spans="1:6" x14ac:dyDescent="0.35">
      <c r="A27" s="43" t="s">
        <v>290</v>
      </c>
      <c r="B27" s="44" t="s">
        <v>3</v>
      </c>
      <c r="C27" s="44" t="s">
        <v>15</v>
      </c>
      <c r="D27" s="44" t="s">
        <v>278</v>
      </c>
      <c r="E27" s="44">
        <f>E25</f>
        <v>0.29700390349065431</v>
      </c>
      <c r="F27" s="65" t="s">
        <v>14</v>
      </c>
    </row>
    <row r="28" spans="1:6" x14ac:dyDescent="0.35">
      <c r="A28" s="55"/>
      <c r="B28" s="47" t="s">
        <v>4</v>
      </c>
      <c r="C28" s="47" t="s">
        <v>20</v>
      </c>
      <c r="D28" s="47" t="s">
        <v>97</v>
      </c>
      <c r="E28" s="47">
        <f>(16/12)*Parameters!C91*(1-Parameters!C88)*((E6*1000*(1-Waste_characteristics!B4)*Waste_characteristics!B9)-((E12*(1-Parameters!C10)*Parameters!C12*(12/44)))-((E12*(Parameters!C10)*Parameters!C11*(12/16))))</f>
        <v>8.8228561282663459E-2</v>
      </c>
      <c r="F28" s="59" t="s">
        <v>88</v>
      </c>
    </row>
    <row r="29" spans="1:6" x14ac:dyDescent="0.35">
      <c r="A29" s="55"/>
      <c r="B29" s="47" t="s">
        <v>4</v>
      </c>
      <c r="C29" s="47" t="s">
        <v>20</v>
      </c>
      <c r="D29" s="47" t="s">
        <v>112</v>
      </c>
      <c r="E29" s="47">
        <f>(E6*1000*(1-Waste_characteristics!B4)*Waste_characteristics!B8)*(1-Parameters!C85)*Parameters!C92*(44/28)</f>
        <v>6.2318617185905041E-2</v>
      </c>
      <c r="F29" s="59" t="s">
        <v>88</v>
      </c>
    </row>
    <row r="30" spans="1:6" x14ac:dyDescent="0.35">
      <c r="A30" s="55"/>
      <c r="B30" s="47" t="s">
        <v>4</v>
      </c>
      <c r="C30" s="47" t="s">
        <v>20</v>
      </c>
      <c r="D30" s="47" t="s">
        <v>111</v>
      </c>
      <c r="E30" s="47">
        <f>(E6*1000*(1-Waste_characteristics!B4)*Waste_characteristics!B8)*(1-Parameters!C85)*Parameters!C93*(17/14)</f>
        <v>0.20275913725557618</v>
      </c>
      <c r="F30" s="59" t="s">
        <v>88</v>
      </c>
    </row>
    <row r="31" spans="1:6" x14ac:dyDescent="0.35">
      <c r="A31" s="55"/>
      <c r="B31" s="47" t="s">
        <v>4</v>
      </c>
      <c r="C31" s="47" t="s">
        <v>20</v>
      </c>
      <c r="D31" s="47" t="s">
        <v>291</v>
      </c>
      <c r="E31" s="47">
        <f>E27*Parameters!C94</f>
        <v>3.0888405963028047E-2</v>
      </c>
      <c r="F31" s="59" t="s">
        <v>88</v>
      </c>
    </row>
    <row r="32" spans="1:6" x14ac:dyDescent="0.35">
      <c r="A32" s="55"/>
      <c r="B32" s="47" t="s">
        <v>4</v>
      </c>
      <c r="C32" s="47" t="s">
        <v>20</v>
      </c>
      <c r="D32" s="47" t="s">
        <v>124</v>
      </c>
      <c r="E32" s="47">
        <f>(44/12)*Parameters!C95*(1-Parameters!C88)*((E6*1000*(1-Waste_characteristics!B4)*Waste_characteristics!B9)-((E13*(1-Parameters!C10)*Parameters!C12*(12/44)))-((E13*(Parameters!C10)*Parameters!C11*(12/16))))</f>
        <v>0.12509676555232005</v>
      </c>
      <c r="F32" s="59" t="s">
        <v>88</v>
      </c>
    </row>
    <row r="33" spans="1:6" x14ac:dyDescent="0.35">
      <c r="A33" s="55"/>
      <c r="B33" s="47" t="s">
        <v>4</v>
      </c>
      <c r="C33" s="47" t="s">
        <v>15</v>
      </c>
      <c r="D33" s="47" t="s">
        <v>349</v>
      </c>
      <c r="E33" s="47">
        <f>E27*(1-Parameters!C96)</f>
        <v>0.15444202981514024</v>
      </c>
      <c r="F33" s="59" t="s">
        <v>14</v>
      </c>
    </row>
    <row r="34" spans="1:6" x14ac:dyDescent="0.35">
      <c r="A34" s="55"/>
      <c r="B34" s="47" t="s">
        <v>3</v>
      </c>
      <c r="C34" s="47" t="s">
        <v>15</v>
      </c>
      <c r="D34" s="47" t="s">
        <v>276</v>
      </c>
      <c r="E34" s="47">
        <f>E27*Parameters!C97</f>
        <v>3.12547394401899</v>
      </c>
      <c r="F34" s="59" t="s">
        <v>129</v>
      </c>
    </row>
    <row r="35" spans="1:6" x14ac:dyDescent="0.35">
      <c r="A35" s="56"/>
      <c r="B35" s="50" t="s">
        <v>3</v>
      </c>
      <c r="C35" s="50" t="s">
        <v>15</v>
      </c>
      <c r="D35" s="50" t="s">
        <v>292</v>
      </c>
      <c r="E35" s="50">
        <f>E27*Parameters!C98*Parameters!C99</f>
        <v>0.44883055543440398</v>
      </c>
      <c r="F35" s="61" t="s">
        <v>88</v>
      </c>
    </row>
    <row r="36" spans="1:6" x14ac:dyDescent="0.35">
      <c r="A36" s="42" t="s">
        <v>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38"/>
  <sheetViews>
    <sheetView topLeftCell="A13" workbookViewId="0">
      <selection activeCell="E25" sqref="E25:E37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1" t="s">
        <v>355</v>
      </c>
    </row>
    <row r="2" spans="1:6" x14ac:dyDescent="0.35">
      <c r="A2" s="62" t="s">
        <v>0</v>
      </c>
      <c r="B2" s="63" t="s">
        <v>10</v>
      </c>
      <c r="C2" s="63" t="s">
        <v>11</v>
      </c>
      <c r="D2" s="63" t="s">
        <v>12</v>
      </c>
      <c r="E2" s="63" t="s">
        <v>1</v>
      </c>
      <c r="F2" s="64" t="s">
        <v>2</v>
      </c>
    </row>
    <row r="3" spans="1:6" x14ac:dyDescent="0.35">
      <c r="A3" s="43" t="s">
        <v>5</v>
      </c>
      <c r="B3" s="44" t="s">
        <v>3</v>
      </c>
      <c r="C3" s="44" t="s">
        <v>15</v>
      </c>
      <c r="D3" s="44" t="s">
        <v>13</v>
      </c>
      <c r="E3" s="44">
        <v>1</v>
      </c>
      <c r="F3" s="45" t="s">
        <v>14</v>
      </c>
    </row>
    <row r="4" spans="1:6" x14ac:dyDescent="0.35">
      <c r="A4" s="46"/>
      <c r="B4" s="47" t="s">
        <v>3</v>
      </c>
      <c r="C4" s="47" t="s">
        <v>15</v>
      </c>
      <c r="D4" s="47" t="s">
        <v>8</v>
      </c>
      <c r="E4" s="47">
        <f>E3*Parameters!C3</f>
        <v>9.98</v>
      </c>
      <c r="F4" s="48" t="s">
        <v>129</v>
      </c>
    </row>
    <row r="5" spans="1:6" x14ac:dyDescent="0.35">
      <c r="A5" s="46"/>
      <c r="B5" s="47" t="s">
        <v>3</v>
      </c>
      <c r="C5" s="47" t="s">
        <v>15</v>
      </c>
      <c r="D5" s="47" t="s">
        <v>9</v>
      </c>
      <c r="E5" s="47"/>
      <c r="F5" s="48"/>
    </row>
    <row r="6" spans="1:6" x14ac:dyDescent="0.35">
      <c r="A6" s="49"/>
      <c r="B6" s="50" t="s">
        <v>4</v>
      </c>
      <c r="C6" s="50" t="s">
        <v>17</v>
      </c>
      <c r="D6" s="50" t="s">
        <v>238</v>
      </c>
      <c r="E6" s="50">
        <f>E3*Parameters!C5</f>
        <v>0.77</v>
      </c>
      <c r="F6" s="51" t="s">
        <v>14</v>
      </c>
    </row>
    <row r="7" spans="1:6" x14ac:dyDescent="0.35">
      <c r="A7" s="52" t="s">
        <v>237</v>
      </c>
      <c r="B7" s="53" t="s">
        <v>3</v>
      </c>
      <c r="C7" s="53" t="s">
        <v>17</v>
      </c>
      <c r="D7" s="53" t="s">
        <v>239</v>
      </c>
      <c r="E7" s="53">
        <f>E3*(1-Parameters!C5)*1000</f>
        <v>229.99999999999997</v>
      </c>
      <c r="F7" s="54" t="s">
        <v>88</v>
      </c>
    </row>
    <row r="8" spans="1:6" x14ac:dyDescent="0.35">
      <c r="A8" s="43" t="s">
        <v>6</v>
      </c>
      <c r="B8" s="44" t="s">
        <v>3</v>
      </c>
      <c r="C8" s="44" t="s">
        <v>17</v>
      </c>
      <c r="D8" s="44" t="s">
        <v>16</v>
      </c>
      <c r="E8" s="44">
        <f>E6</f>
        <v>0.77</v>
      </c>
      <c r="F8" s="45" t="s">
        <v>14</v>
      </c>
    </row>
    <row r="9" spans="1:6" x14ac:dyDescent="0.35">
      <c r="A9" s="46"/>
      <c r="B9" s="47" t="s">
        <v>3</v>
      </c>
      <c r="C9" s="47" t="s">
        <v>17</v>
      </c>
      <c r="D9" s="47" t="s">
        <v>8</v>
      </c>
      <c r="E9" s="47">
        <f>Parameters!C14*E8</f>
        <v>22.330000000000002</v>
      </c>
      <c r="F9" s="48" t="s">
        <v>129</v>
      </c>
    </row>
    <row r="10" spans="1:6" x14ac:dyDescent="0.35">
      <c r="A10" s="46"/>
      <c r="B10" s="47" t="s">
        <v>3</v>
      </c>
      <c r="C10" s="47" t="s">
        <v>17</v>
      </c>
      <c r="D10" s="47" t="s">
        <v>18</v>
      </c>
      <c r="E10" s="47">
        <f>E8*Parameters!C15</f>
        <v>227.15</v>
      </c>
      <c r="F10" s="48" t="s">
        <v>220</v>
      </c>
    </row>
    <row r="11" spans="1:6" x14ac:dyDescent="0.35">
      <c r="A11" s="46"/>
      <c r="B11" s="47" t="s">
        <v>4</v>
      </c>
      <c r="C11" s="47" t="s">
        <v>20</v>
      </c>
      <c r="D11" s="47" t="s">
        <v>19</v>
      </c>
      <c r="E11" s="47">
        <f>Parameters!C9*(Parameters!C7*(1-Waste_characteristics!B4))*E8*Parameters!C11*0.001</f>
        <v>1.5118453902366449</v>
      </c>
      <c r="F11" s="48" t="s">
        <v>88</v>
      </c>
    </row>
    <row r="12" spans="1:6" x14ac:dyDescent="0.35">
      <c r="A12" s="46"/>
      <c r="B12" s="47" t="s">
        <v>4</v>
      </c>
      <c r="C12" s="47" t="s">
        <v>17</v>
      </c>
      <c r="D12" s="47" t="s">
        <v>21</v>
      </c>
      <c r="E12" s="47">
        <f>(((Parameters!C7*(1-Waste_characteristics!B4))/Parameters!C10)*0.001)-((E11/Parameters!C11)*(1/Parameters!C10))</f>
        <v>223.74984536240387</v>
      </c>
      <c r="F12" s="48" t="s">
        <v>241</v>
      </c>
    </row>
    <row r="13" spans="1:6" x14ac:dyDescent="0.35">
      <c r="A13" s="49"/>
      <c r="B13" s="50" t="s">
        <v>4</v>
      </c>
      <c r="C13" s="50" t="s">
        <v>15</v>
      </c>
      <c r="D13" s="50" t="s">
        <v>352</v>
      </c>
      <c r="E13" s="50">
        <f>Parameters!C66</f>
        <v>0.55582190304980861</v>
      </c>
      <c r="F13" s="51" t="s">
        <v>14</v>
      </c>
    </row>
    <row r="14" spans="1:6" x14ac:dyDescent="0.35">
      <c r="A14" s="43" t="s">
        <v>7</v>
      </c>
      <c r="B14" s="44" t="s">
        <v>3</v>
      </c>
      <c r="C14" s="44" t="s">
        <v>17</v>
      </c>
      <c r="D14" s="44" t="s">
        <v>21</v>
      </c>
      <c r="E14" s="44">
        <f>E12</f>
        <v>223.74984536240387</v>
      </c>
      <c r="F14" s="45" t="s">
        <v>241</v>
      </c>
    </row>
    <row r="15" spans="1:6" x14ac:dyDescent="0.35">
      <c r="A15" s="55"/>
      <c r="B15" s="47" t="s">
        <v>4</v>
      </c>
      <c r="C15" s="47" t="s">
        <v>20</v>
      </c>
      <c r="D15" s="47" t="s">
        <v>50</v>
      </c>
      <c r="E15" s="47">
        <f>E14*Parameters!C24</f>
        <v>3.6718365183242771E-2</v>
      </c>
      <c r="F15" s="48" t="s">
        <v>88</v>
      </c>
    </row>
    <row r="16" spans="1:6" x14ac:dyDescent="0.35">
      <c r="A16" s="55"/>
      <c r="B16" s="47" t="s">
        <v>4</v>
      </c>
      <c r="C16" s="47" t="s">
        <v>20</v>
      </c>
      <c r="D16" s="47" t="s">
        <v>51</v>
      </c>
      <c r="E16" s="47">
        <f>E14*Parameters!C25</f>
        <v>0.35389510062325319</v>
      </c>
      <c r="F16" s="48" t="s">
        <v>88</v>
      </c>
    </row>
    <row r="17" spans="1:8" x14ac:dyDescent="0.35">
      <c r="A17" s="55"/>
      <c r="B17" s="47" t="s">
        <v>4</v>
      </c>
      <c r="C17" s="47" t="s">
        <v>20</v>
      </c>
      <c r="D17" s="47" t="s">
        <v>52</v>
      </c>
      <c r="E17" s="47">
        <f>E14*Parameters!C26</f>
        <v>3.1472884442779359E-3</v>
      </c>
      <c r="F17" s="48" t="s">
        <v>88</v>
      </c>
    </row>
    <row r="18" spans="1:8" x14ac:dyDescent="0.35">
      <c r="A18" s="55"/>
      <c r="B18" s="47" t="s">
        <v>4</v>
      </c>
      <c r="C18" s="47" t="s">
        <v>20</v>
      </c>
      <c r="D18" s="47" t="s">
        <v>53</v>
      </c>
      <c r="E18" s="47">
        <f>LCI!E14*Parameters!C27</f>
        <v>7.693371752679418E-3</v>
      </c>
      <c r="F18" s="48" t="s">
        <v>88</v>
      </c>
    </row>
    <row r="19" spans="1:8" x14ac:dyDescent="0.35">
      <c r="A19" s="55"/>
      <c r="B19" s="47" t="s">
        <v>4</v>
      </c>
      <c r="C19" s="47" t="s">
        <v>20</v>
      </c>
      <c r="D19" s="47" t="s">
        <v>54</v>
      </c>
      <c r="E19" s="47">
        <f>E14*Parameters!C28</f>
        <v>0.23901907240710826</v>
      </c>
      <c r="F19" s="48" t="s">
        <v>88</v>
      </c>
    </row>
    <row r="20" spans="1:8" x14ac:dyDescent="0.35">
      <c r="A20" s="55"/>
      <c r="B20" s="47" t="s">
        <v>4</v>
      </c>
      <c r="C20" s="47" t="s">
        <v>20</v>
      </c>
      <c r="D20" s="47" t="s">
        <v>55</v>
      </c>
      <c r="E20" s="47">
        <f>E14*Parameters!C29</f>
        <v>1.4337647357266187E-2</v>
      </c>
      <c r="F20" s="48" t="s">
        <v>88</v>
      </c>
    </row>
    <row r="21" spans="1:8" x14ac:dyDescent="0.35">
      <c r="A21" s="55"/>
      <c r="B21" s="47" t="s">
        <v>4</v>
      </c>
      <c r="C21" s="47" t="s">
        <v>20</v>
      </c>
      <c r="D21" s="47" t="s">
        <v>58</v>
      </c>
      <c r="E21" s="47">
        <f>E14*Parameters!C30</f>
        <v>0.96288795800695026</v>
      </c>
      <c r="F21" s="48" t="s">
        <v>88</v>
      </c>
    </row>
    <row r="22" spans="1:8" x14ac:dyDescent="0.35">
      <c r="A22" s="55"/>
      <c r="B22" s="47" t="s">
        <v>4</v>
      </c>
      <c r="C22" s="47" t="s">
        <v>20</v>
      </c>
      <c r="D22" s="47" t="s">
        <v>59</v>
      </c>
      <c r="E22" s="47">
        <f>LCI!E14*Parameters!C31</f>
        <v>2.2925903762070245E-2</v>
      </c>
      <c r="F22" s="48" t="s">
        <v>88</v>
      </c>
    </row>
    <row r="23" spans="1:8" x14ac:dyDescent="0.35">
      <c r="A23" s="55"/>
      <c r="B23" s="47" t="s">
        <v>4</v>
      </c>
      <c r="C23" s="47" t="s">
        <v>15</v>
      </c>
      <c r="D23" s="47" t="s">
        <v>8</v>
      </c>
      <c r="E23" s="47">
        <f>E14*Parameters!C10*Parameters!C20*Parameters!C19/3.6</f>
        <v>509.03089819946877</v>
      </c>
      <c r="F23" s="48" t="s">
        <v>129</v>
      </c>
    </row>
    <row r="24" spans="1:8" x14ac:dyDescent="0.35">
      <c r="A24" s="56"/>
      <c r="B24" s="50" t="s">
        <v>4</v>
      </c>
      <c r="C24" s="50" t="s">
        <v>15</v>
      </c>
      <c r="D24" s="50" t="s">
        <v>18</v>
      </c>
      <c r="E24" s="50">
        <f>E14*Parameters!C10*Parameters!C20*Parameters!C18</f>
        <v>2161.4235062008215</v>
      </c>
      <c r="F24" s="51" t="s">
        <v>220</v>
      </c>
    </row>
    <row r="25" spans="1:8" x14ac:dyDescent="0.35">
      <c r="A25" s="43" t="s">
        <v>275</v>
      </c>
      <c r="B25" s="44" t="s">
        <v>3</v>
      </c>
      <c r="C25" s="44" t="s">
        <v>15</v>
      </c>
      <c r="D25" s="44" t="s">
        <v>352</v>
      </c>
      <c r="E25" s="44">
        <f>E13</f>
        <v>0.55582190304980861</v>
      </c>
      <c r="F25" s="65" t="s">
        <v>14</v>
      </c>
    </row>
    <row r="26" spans="1:8" x14ac:dyDescent="0.35">
      <c r="A26" s="55"/>
      <c r="B26" s="47" t="s">
        <v>3</v>
      </c>
      <c r="C26" s="47" t="s">
        <v>15</v>
      </c>
      <c r="D26" s="47" t="s">
        <v>276</v>
      </c>
      <c r="E26" s="47">
        <f>E25*Parameters!C84*1000</f>
        <v>2.0184751679156077</v>
      </c>
      <c r="F26" s="59" t="s">
        <v>129</v>
      </c>
    </row>
    <row r="27" spans="1:8" x14ac:dyDescent="0.35">
      <c r="A27" s="55"/>
      <c r="B27" s="47" t="s">
        <v>4</v>
      </c>
      <c r="C27" s="47" t="s">
        <v>15</v>
      </c>
      <c r="D27" s="47" t="s">
        <v>278</v>
      </c>
      <c r="E27" s="47">
        <f>Parameters!C68*Parameters!C82*(1/Parameters!C83)</f>
        <v>0.29700390349065431</v>
      </c>
      <c r="F27" s="59" t="s">
        <v>14</v>
      </c>
    </row>
    <row r="28" spans="1:8" x14ac:dyDescent="0.35">
      <c r="A28" s="56"/>
      <c r="B28" s="50" t="s">
        <v>4</v>
      </c>
      <c r="C28" s="50" t="s">
        <v>15</v>
      </c>
      <c r="D28" s="50" t="s">
        <v>277</v>
      </c>
      <c r="E28" s="50">
        <f>(E25-E27)*1000/Parameters!C70</f>
        <v>0.25911227332693015</v>
      </c>
      <c r="F28" s="61" t="s">
        <v>241</v>
      </c>
    </row>
    <row r="29" spans="1:8" x14ac:dyDescent="0.35">
      <c r="A29" s="43" t="s">
        <v>290</v>
      </c>
      <c r="B29" s="44" t="s">
        <v>3</v>
      </c>
      <c r="C29" s="44" t="s">
        <v>15</v>
      </c>
      <c r="D29" s="44" t="s">
        <v>278</v>
      </c>
      <c r="E29" s="44">
        <f>E27</f>
        <v>0.29700390349065431</v>
      </c>
      <c r="F29" s="65" t="s">
        <v>14</v>
      </c>
    </row>
    <row r="30" spans="1:8" x14ac:dyDescent="0.35">
      <c r="A30" s="55"/>
      <c r="B30" s="47" t="s">
        <v>4</v>
      </c>
      <c r="C30" s="47" t="s">
        <v>20</v>
      </c>
      <c r="D30" s="47" t="s">
        <v>97</v>
      </c>
      <c r="E30" s="47">
        <f>(16/12)*Parameters!C91*(1-Parameters!C88)*((E6*1000*(1-Waste_characteristics!B4)*Waste_characteristics!B9)-((E12*(1-Parameters!C10)*Parameters!C12*(12/44)))-((E12*(Parameters!C10)*Parameters!C11*(12/16))))</f>
        <v>8.8228561282663459E-2</v>
      </c>
      <c r="F30" s="59" t="s">
        <v>88</v>
      </c>
      <c r="H30" t="s">
        <v>293</v>
      </c>
    </row>
    <row r="31" spans="1:8" x14ac:dyDescent="0.35">
      <c r="A31" s="55"/>
      <c r="B31" s="47" t="s">
        <v>4</v>
      </c>
      <c r="C31" s="47" t="s">
        <v>20</v>
      </c>
      <c r="D31" s="47" t="s">
        <v>112</v>
      </c>
      <c r="E31" s="47">
        <f>(E6*1000*(1-Waste_characteristics!B4)*Waste_characteristics!B8)*(1-Parameters!C85)*Parameters!C92*(44/28)</f>
        <v>6.2318617185905041E-2</v>
      </c>
      <c r="F31" s="59" t="s">
        <v>88</v>
      </c>
    </row>
    <row r="32" spans="1:8" x14ac:dyDescent="0.35">
      <c r="A32" s="55"/>
      <c r="B32" s="47" t="s">
        <v>4</v>
      </c>
      <c r="C32" s="47" t="s">
        <v>20</v>
      </c>
      <c r="D32" s="47" t="s">
        <v>111</v>
      </c>
      <c r="E32" s="47">
        <f>(E6*1000*(1-Waste_characteristics!B4)*Waste_characteristics!B8)*(1-Parameters!C85)*Parameters!C93*(17/14)</f>
        <v>0.20275913725557618</v>
      </c>
      <c r="F32" s="59" t="s">
        <v>88</v>
      </c>
    </row>
    <row r="33" spans="1:6" x14ac:dyDescent="0.35">
      <c r="A33" s="55"/>
      <c r="B33" s="47" t="s">
        <v>4</v>
      </c>
      <c r="C33" s="47" t="s">
        <v>20</v>
      </c>
      <c r="D33" s="47" t="s">
        <v>291</v>
      </c>
      <c r="E33" s="47">
        <f>E29*Parameters!C94</f>
        <v>3.0888405963028047E-2</v>
      </c>
      <c r="F33" s="59" t="s">
        <v>88</v>
      </c>
    </row>
    <row r="34" spans="1:6" x14ac:dyDescent="0.35">
      <c r="A34" s="55"/>
      <c r="B34" s="47" t="s">
        <v>4</v>
      </c>
      <c r="C34" s="47" t="s">
        <v>20</v>
      </c>
      <c r="D34" s="47" t="s">
        <v>124</v>
      </c>
      <c r="E34" s="47">
        <f>(44/12)*Parameters!C95*(1-Parameters!C88)*((E6*1000*(1-Waste_characteristics!B4)*Waste_characteristics!B9)-((E13*(1-Parameters!C10)*Parameters!C12*(12/44)))-((E13*(Parameters!C10)*Parameters!C11*(12/16))))</f>
        <v>0.12509676555232005</v>
      </c>
      <c r="F34" s="59" t="s">
        <v>88</v>
      </c>
    </row>
    <row r="35" spans="1:6" x14ac:dyDescent="0.35">
      <c r="A35" s="55"/>
      <c r="B35" s="47" t="s">
        <v>4</v>
      </c>
      <c r="C35" s="47" t="s">
        <v>15</v>
      </c>
      <c r="D35" s="47" t="s">
        <v>349</v>
      </c>
      <c r="E35" s="47">
        <f>E29*(1-Parameters!C96)</f>
        <v>0.15444202981514024</v>
      </c>
      <c r="F35" s="59" t="s">
        <v>14</v>
      </c>
    </row>
    <row r="36" spans="1:6" x14ac:dyDescent="0.35">
      <c r="A36" s="55"/>
      <c r="B36" s="47" t="s">
        <v>3</v>
      </c>
      <c r="C36" s="47" t="s">
        <v>15</v>
      </c>
      <c r="D36" s="47" t="s">
        <v>276</v>
      </c>
      <c r="E36" s="47">
        <f>E29*Parameters!C97</f>
        <v>3.12547394401899</v>
      </c>
      <c r="F36" s="59" t="s">
        <v>129</v>
      </c>
    </row>
    <row r="37" spans="1:6" x14ac:dyDescent="0.35">
      <c r="A37" s="56"/>
      <c r="B37" s="50" t="s">
        <v>3</v>
      </c>
      <c r="C37" s="50" t="s">
        <v>15</v>
      </c>
      <c r="D37" s="50" t="s">
        <v>292</v>
      </c>
      <c r="E37" s="66">
        <f>E29*Parameters!C98*Parameters!C99</f>
        <v>0.44883055543440398</v>
      </c>
      <c r="F37" s="61" t="s">
        <v>88</v>
      </c>
    </row>
    <row r="38" spans="1:6" x14ac:dyDescent="0.35">
      <c r="A38" s="42" t="s">
        <v>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workbookViewId="0">
      <selection activeCell="G35" sqref="G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321</v>
      </c>
      <c r="I2" s="72" t="s">
        <v>322</v>
      </c>
      <c r="J2" s="72"/>
    </row>
    <row r="3" spans="2:10" x14ac:dyDescent="0.35">
      <c r="B3" t="s">
        <v>323</v>
      </c>
      <c r="C3">
        <v>1</v>
      </c>
      <c r="D3" s="39" t="s">
        <v>324</v>
      </c>
      <c r="I3">
        <v>0</v>
      </c>
      <c r="J3" t="s">
        <v>325</v>
      </c>
    </row>
    <row r="4" spans="2:10" x14ac:dyDescent="0.35">
      <c r="B4" t="s">
        <v>326</v>
      </c>
      <c r="C4" t="s">
        <v>327</v>
      </c>
      <c r="I4">
        <v>1</v>
      </c>
      <c r="J4" t="s">
        <v>328</v>
      </c>
    </row>
    <row r="5" spans="2:10" x14ac:dyDescent="0.35">
      <c r="B5" t="s">
        <v>329</v>
      </c>
      <c r="C5" t="s">
        <v>330</v>
      </c>
      <c r="D5" s="39" t="s">
        <v>324</v>
      </c>
      <c r="I5">
        <v>2</v>
      </c>
      <c r="J5" t="s">
        <v>331</v>
      </c>
    </row>
    <row r="6" spans="2:10" x14ac:dyDescent="0.35">
      <c r="B6" t="s">
        <v>332</v>
      </c>
      <c r="C6">
        <v>20</v>
      </c>
      <c r="D6" t="s">
        <v>333</v>
      </c>
      <c r="I6">
        <v>3</v>
      </c>
      <c r="J6" t="s">
        <v>334</v>
      </c>
    </row>
    <row r="7" spans="2:10" x14ac:dyDescent="0.35">
      <c r="B7" t="s">
        <v>335</v>
      </c>
      <c r="C7">
        <v>20</v>
      </c>
      <c r="D7" s="40" t="s">
        <v>333</v>
      </c>
      <c r="I7">
        <v>4</v>
      </c>
      <c r="J7" t="s">
        <v>336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C15" sqref="C15:D18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1" t="s">
        <v>302</v>
      </c>
    </row>
    <row r="2" spans="1:7" x14ac:dyDescent="0.35">
      <c r="A2" s="62" t="s">
        <v>0</v>
      </c>
      <c r="B2" s="63" t="s">
        <v>10</v>
      </c>
      <c r="C2" s="63" t="s">
        <v>11</v>
      </c>
      <c r="D2" s="63" t="s">
        <v>12</v>
      </c>
      <c r="E2" s="63" t="s">
        <v>1</v>
      </c>
      <c r="F2" s="64" t="s">
        <v>2</v>
      </c>
    </row>
    <row r="3" spans="1:7" x14ac:dyDescent="0.35">
      <c r="A3" s="43" t="s">
        <v>350</v>
      </c>
      <c r="B3" s="44" t="s">
        <v>3</v>
      </c>
      <c r="C3" s="44" t="s">
        <v>15</v>
      </c>
      <c r="D3" s="44" t="s">
        <v>13</v>
      </c>
      <c r="E3" s="44">
        <v>1</v>
      </c>
      <c r="F3" s="45" t="s">
        <v>14</v>
      </c>
    </row>
    <row r="4" spans="1:7" x14ac:dyDescent="0.35">
      <c r="A4" s="55"/>
      <c r="B4" s="47" t="s">
        <v>4</v>
      </c>
      <c r="C4" s="47" t="s">
        <v>20</v>
      </c>
      <c r="D4" s="47" t="s">
        <v>97</v>
      </c>
      <c r="E4" s="47">
        <f>[3]LCI!$B$4*1000</f>
        <v>0.34804999999999997</v>
      </c>
      <c r="F4" s="48" t="s">
        <v>88</v>
      </c>
      <c r="G4" t="s">
        <v>340</v>
      </c>
    </row>
    <row r="5" spans="1:7" x14ac:dyDescent="0.35">
      <c r="A5" s="55"/>
      <c r="B5" s="47" t="s">
        <v>4</v>
      </c>
      <c r="C5" s="47" t="s">
        <v>20</v>
      </c>
      <c r="D5" s="47" t="s">
        <v>112</v>
      </c>
      <c r="E5" s="47">
        <f>[3]LCI!$B$6*1000</f>
        <v>7.0148999999999989E-2</v>
      </c>
      <c r="F5" s="48" t="s">
        <v>88</v>
      </c>
      <c r="G5" t="s">
        <v>340</v>
      </c>
    </row>
    <row r="6" spans="1:7" x14ac:dyDescent="0.35">
      <c r="A6" s="55"/>
      <c r="B6" s="47" t="s">
        <v>4</v>
      </c>
      <c r="C6" s="47" t="s">
        <v>20</v>
      </c>
      <c r="D6" s="47" t="s">
        <v>111</v>
      </c>
      <c r="E6" s="47">
        <f>[3]LCI!$B$5*1000</f>
        <v>6.4731999999999998E-2</v>
      </c>
      <c r="F6" s="48" t="s">
        <v>88</v>
      </c>
      <c r="G6" t="s">
        <v>340</v>
      </c>
    </row>
    <row r="7" spans="1:7" x14ac:dyDescent="0.35">
      <c r="A7" s="55"/>
      <c r="B7" s="47" t="s">
        <v>3</v>
      </c>
      <c r="C7" s="47" t="s">
        <v>15</v>
      </c>
      <c r="D7" s="47" t="s">
        <v>304</v>
      </c>
      <c r="E7" s="47">
        <f>E3*(1/8)*1000</f>
        <v>125</v>
      </c>
      <c r="F7" s="48" t="s">
        <v>88</v>
      </c>
      <c r="G7" t="s">
        <v>340</v>
      </c>
    </row>
    <row r="8" spans="1:7" x14ac:dyDescent="0.35">
      <c r="A8" s="43" t="s">
        <v>354</v>
      </c>
      <c r="B8" s="44"/>
      <c r="C8" s="44"/>
      <c r="D8" s="44"/>
      <c r="E8" s="44"/>
      <c r="F8" s="45"/>
    </row>
    <row r="9" spans="1:7" x14ac:dyDescent="0.35">
      <c r="A9" s="55"/>
      <c r="B9" s="47" t="s">
        <v>4</v>
      </c>
      <c r="C9" s="47" t="s">
        <v>20</v>
      </c>
      <c r="D9" s="47" t="s">
        <v>111</v>
      </c>
      <c r="E9" s="68">
        <f>[3]LCI!$C$18*1000</f>
        <v>0.36486015466419197</v>
      </c>
      <c r="F9" s="48" t="s">
        <v>88</v>
      </c>
      <c r="G9" t="s">
        <v>340</v>
      </c>
    </row>
    <row r="10" spans="1:7" x14ac:dyDescent="0.35">
      <c r="A10" s="55"/>
      <c r="B10" s="47" t="s">
        <v>4</v>
      </c>
      <c r="C10" s="47" t="s">
        <v>20</v>
      </c>
      <c r="D10" s="47" t="s">
        <v>112</v>
      </c>
      <c r="E10" s="68">
        <f>[3]LCI!$C$19*1000</f>
        <v>0.130953250012004</v>
      </c>
      <c r="F10" s="48" t="s">
        <v>88</v>
      </c>
      <c r="G10" t="s">
        <v>340</v>
      </c>
    </row>
    <row r="11" spans="1:7" x14ac:dyDescent="0.35">
      <c r="A11" s="55"/>
      <c r="B11" s="47" t="s">
        <v>4</v>
      </c>
      <c r="C11" s="47" t="s">
        <v>20</v>
      </c>
      <c r="D11" s="47" t="s">
        <v>115</v>
      </c>
      <c r="E11" s="68">
        <f>[3]LCI!$C$20*1000</f>
        <v>13.6083287743184</v>
      </c>
      <c r="F11" s="48" t="s">
        <v>88</v>
      </c>
      <c r="G11" t="s">
        <v>340</v>
      </c>
    </row>
    <row r="12" spans="1:7" x14ac:dyDescent="0.35">
      <c r="A12" s="55"/>
      <c r="B12" s="47" t="s">
        <v>4</v>
      </c>
      <c r="C12" s="47" t="s">
        <v>20</v>
      </c>
      <c r="D12" s="47" t="s">
        <v>417</v>
      </c>
      <c r="E12" s="68">
        <f>[3]LCI!$C$22*1000</f>
        <v>-8.1278569907775836E-2</v>
      </c>
      <c r="F12" s="48" t="s">
        <v>88</v>
      </c>
      <c r="G12" t="s">
        <v>340</v>
      </c>
    </row>
    <row r="13" spans="1:7" x14ac:dyDescent="0.35">
      <c r="A13" s="56"/>
      <c r="B13" s="50" t="s">
        <v>4</v>
      </c>
      <c r="C13" s="50" t="s">
        <v>20</v>
      </c>
      <c r="D13" s="50" t="s">
        <v>418</v>
      </c>
      <c r="E13" s="103">
        <f>[3]LCI!$C$26*1000</f>
        <v>-356.39999999999992</v>
      </c>
      <c r="F13" s="51" t="s">
        <v>88</v>
      </c>
      <c r="G13" t="s">
        <v>340</v>
      </c>
    </row>
    <row r="14" spans="1:7" x14ac:dyDescent="0.35">
      <c r="A14" s="43" t="s">
        <v>416</v>
      </c>
      <c r="B14" s="44"/>
      <c r="C14" s="44"/>
      <c r="D14" s="44"/>
      <c r="E14" s="44"/>
      <c r="F14" s="45"/>
    </row>
    <row r="15" spans="1:7" x14ac:dyDescent="0.35">
      <c r="A15" s="55"/>
      <c r="B15" s="47"/>
      <c r="C15" s="47" t="s">
        <v>15</v>
      </c>
      <c r="D15" s="47" t="s">
        <v>230</v>
      </c>
      <c r="E15" s="47">
        <f>0.0116046876865655*1000</f>
        <v>11.6046876865655</v>
      </c>
      <c r="F15" s="48" t="s">
        <v>88</v>
      </c>
      <c r="G15" t="s">
        <v>340</v>
      </c>
    </row>
    <row r="16" spans="1:7" x14ac:dyDescent="0.35">
      <c r="A16" s="55"/>
      <c r="B16" s="47"/>
      <c r="C16" s="47" t="s">
        <v>15</v>
      </c>
      <c r="D16" s="47" t="s">
        <v>232</v>
      </c>
      <c r="E16" s="47">
        <f>0.00342132225661322*1000</f>
        <v>3.42132225661322</v>
      </c>
      <c r="F16" s="48" t="s">
        <v>88</v>
      </c>
      <c r="G16" t="s">
        <v>340</v>
      </c>
    </row>
    <row r="17" spans="1:14" x14ac:dyDescent="0.35">
      <c r="A17" s="55"/>
      <c r="B17" s="47"/>
      <c r="C17" s="47" t="s">
        <v>15</v>
      </c>
      <c r="D17" s="47" t="s">
        <v>231</v>
      </c>
      <c r="E17" s="47">
        <f>0.00502189482738727*1000</f>
        <v>5.0218948273872694</v>
      </c>
      <c r="F17" s="48" t="s">
        <v>88</v>
      </c>
      <c r="G17" t="s">
        <v>340</v>
      </c>
    </row>
    <row r="18" spans="1:14" x14ac:dyDescent="0.35">
      <c r="A18" s="56"/>
      <c r="B18" s="50"/>
      <c r="C18" s="50" t="s">
        <v>15</v>
      </c>
      <c r="D18" s="50" t="s">
        <v>233</v>
      </c>
      <c r="E18" s="50">
        <f>0.438311688311688*1000</f>
        <v>438.31168831168799</v>
      </c>
      <c r="F18" s="51" t="s">
        <v>88</v>
      </c>
      <c r="G18" t="s">
        <v>340</v>
      </c>
    </row>
    <row r="21" spans="1:14" x14ac:dyDescent="0.35">
      <c r="N21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5"/>
  <sheetViews>
    <sheetView topLeftCell="A61" zoomScale="80" zoomScaleNormal="80" workbookViewId="0">
      <selection activeCell="C70" sqref="C70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4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74" t="s">
        <v>359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</row>
    <row r="3" spans="1:27" ht="57" customHeight="1" x14ac:dyDescent="0.35">
      <c r="A3" s="75" t="s">
        <v>0</v>
      </c>
      <c r="B3" s="76"/>
      <c r="C3" s="77" t="s">
        <v>32</v>
      </c>
      <c r="D3" s="77" t="s">
        <v>33</v>
      </c>
      <c r="E3" s="77" t="s">
        <v>34</v>
      </c>
      <c r="F3" s="77" t="s">
        <v>35</v>
      </c>
      <c r="G3" s="77" t="s">
        <v>36</v>
      </c>
      <c r="H3" s="77" t="s">
        <v>37</v>
      </c>
      <c r="I3" s="77" t="s">
        <v>38</v>
      </c>
      <c r="J3" s="77" t="s">
        <v>39</v>
      </c>
      <c r="K3" s="77" t="s">
        <v>40</v>
      </c>
      <c r="L3" s="77" t="s">
        <v>41</v>
      </c>
      <c r="M3" s="77" t="s">
        <v>42</v>
      </c>
      <c r="N3" s="77" t="s">
        <v>43</v>
      </c>
      <c r="O3" s="77" t="s">
        <v>44</v>
      </c>
      <c r="P3" s="77" t="s">
        <v>45</v>
      </c>
      <c r="Q3" s="77" t="s">
        <v>46</v>
      </c>
      <c r="R3" s="77" t="s">
        <v>47</v>
      </c>
      <c r="S3" s="77" t="s">
        <v>48</v>
      </c>
      <c r="T3" s="77" t="s">
        <v>49</v>
      </c>
    </row>
    <row r="4" spans="1:27" x14ac:dyDescent="0.35">
      <c r="A4" s="82" t="s">
        <v>297</v>
      </c>
      <c r="B4" s="78"/>
      <c r="C4" s="91">
        <f>SUM(C5:C7)</f>
        <v>0.12687472</v>
      </c>
      <c r="D4" s="91">
        <f t="shared" ref="D4:T4" si="0">SUM(D5:D7)</f>
        <v>32.738101999999998</v>
      </c>
      <c r="E4" s="91">
        <f t="shared" si="0"/>
        <v>0</v>
      </c>
      <c r="F4" s="91">
        <f t="shared" si="0"/>
        <v>0</v>
      </c>
      <c r="G4" s="91">
        <f t="shared" si="0"/>
        <v>0</v>
      </c>
      <c r="H4" s="91">
        <f t="shared" si="0"/>
        <v>0</v>
      </c>
      <c r="I4" s="91">
        <f t="shared" si="0"/>
        <v>0</v>
      </c>
      <c r="J4" s="91">
        <f t="shared" si="0"/>
        <v>0</v>
      </c>
      <c r="K4" s="91">
        <f t="shared" si="0"/>
        <v>0</v>
      </c>
      <c r="L4" s="91">
        <f t="shared" si="0"/>
        <v>0</v>
      </c>
      <c r="M4" s="91">
        <f t="shared" si="0"/>
        <v>0</v>
      </c>
      <c r="N4" s="91">
        <f t="shared" si="0"/>
        <v>0</v>
      </c>
      <c r="O4" s="91">
        <f t="shared" si="0"/>
        <v>0</v>
      </c>
      <c r="P4" s="91">
        <f t="shared" si="0"/>
        <v>7.7163899999999985E-4</v>
      </c>
      <c r="Q4" s="91">
        <f t="shared" si="0"/>
        <v>1.553568E-2</v>
      </c>
      <c r="R4" s="91">
        <f t="shared" si="0"/>
        <v>0</v>
      </c>
      <c r="S4" s="91">
        <f t="shared" si="0"/>
        <v>0</v>
      </c>
      <c r="T4" s="91">
        <f t="shared" si="0"/>
        <v>0</v>
      </c>
    </row>
    <row r="5" spans="1:27" ht="16.5" x14ac:dyDescent="0.45">
      <c r="A5" s="78"/>
      <c r="B5" s="78" t="s">
        <v>298</v>
      </c>
      <c r="C5" s="80">
        <f>LCI_HC!$E4*impact_process_mid!C11</f>
        <v>0</v>
      </c>
      <c r="D5" s="80">
        <f>LCI_HC!$E4*impact_process_mid!D11</f>
        <v>11.833699999999999</v>
      </c>
      <c r="E5" s="80">
        <f>LCI_HC!$E4*impact_process_mid!E11</f>
        <v>0</v>
      </c>
      <c r="F5" s="80">
        <f>LCI_HC!$E4*impact_process_mid!F11</f>
        <v>0</v>
      </c>
      <c r="G5" s="80">
        <f>LCI_HC!$E4*impact_process_mid!G11</f>
        <v>0</v>
      </c>
      <c r="H5" s="80">
        <f>LCI_HC!$E4*impact_process_mid!H11</f>
        <v>0</v>
      </c>
      <c r="I5" s="80">
        <f>LCI_HC!$E4*impact_process_mid!I11</f>
        <v>0</v>
      </c>
      <c r="J5" s="80">
        <f>LCI_HC!$E4*impact_process_mid!J11</f>
        <v>0</v>
      </c>
      <c r="K5" s="80">
        <f>LCI_HC!$E4*impact_process_mid!K11</f>
        <v>0</v>
      </c>
      <c r="L5" s="80">
        <f>LCI_HC!$E4*impact_process_mid!L11</f>
        <v>0</v>
      </c>
      <c r="M5" s="80">
        <f>LCI_HC!$E4*impact_process_mid!M11</f>
        <v>0</v>
      </c>
      <c r="N5" s="80">
        <f>LCI_HC!$E4*impact_process_mid!N11</f>
        <v>0</v>
      </c>
      <c r="O5" s="80">
        <f>LCI_HC!$E4*impact_process_mid!O11</f>
        <v>0</v>
      </c>
      <c r="P5" s="80">
        <f>LCI_HC!$E4*impact_process_mid!P11</f>
        <v>0</v>
      </c>
      <c r="Q5" s="80">
        <f>LCI_HC!$E4*impact_process_mid!Q11</f>
        <v>0</v>
      </c>
      <c r="R5" s="80">
        <f>LCI_HC!$E4*impact_process_mid!R11</f>
        <v>0</v>
      </c>
      <c r="S5" s="80">
        <f>LCI_HC!$E4*impact_process_mid!S11</f>
        <v>0</v>
      </c>
      <c r="T5" s="80">
        <f>LCI_HC!$E4*impact_process_mid!T11</f>
        <v>0</v>
      </c>
      <c r="U5" s="36"/>
    </row>
    <row r="6" spans="1:27" ht="16.5" x14ac:dyDescent="0.45">
      <c r="A6" s="78"/>
      <c r="B6" s="78" t="s">
        <v>299</v>
      </c>
      <c r="C6" s="80">
        <f>LCI_HC!$E6*impact_process_mid!C17</f>
        <v>0.12687472</v>
      </c>
      <c r="D6" s="80">
        <f>LCI_HC!$E6*impact_process_mid!D17</f>
        <v>0</v>
      </c>
      <c r="E6" s="80">
        <f>LCI_HC!$E6*impact_process_mid!E17</f>
        <v>0</v>
      </c>
      <c r="F6" s="80">
        <f>LCI_HC!$E6*impact_process_mid!F17</f>
        <v>0</v>
      </c>
      <c r="G6" s="80">
        <f>LCI_HC!$E6*impact_process_mid!G17</f>
        <v>0</v>
      </c>
      <c r="H6" s="80">
        <f>LCI_HC!$E6*impact_process_mid!H17</f>
        <v>0</v>
      </c>
      <c r="I6" s="80">
        <f>LCI_HC!$E6*impact_process_mid!I17</f>
        <v>0</v>
      </c>
      <c r="J6" s="80">
        <f>LCI_HC!$E6*impact_process_mid!J17</f>
        <v>0</v>
      </c>
      <c r="K6" s="80">
        <f>LCI_HC!$E6*impact_process_mid!K17</f>
        <v>0</v>
      </c>
      <c r="L6" s="80">
        <f>LCI_HC!$E6*impact_process_mid!L17</f>
        <v>0</v>
      </c>
      <c r="M6" s="80">
        <f>LCI_HC!$E6*impact_process_mid!M17</f>
        <v>0</v>
      </c>
      <c r="N6" s="80">
        <f>LCI_HC!$E6*impact_process_mid!N17</f>
        <v>0</v>
      </c>
      <c r="O6" s="80">
        <f>LCI_HC!$E6*impact_process_mid!O17</f>
        <v>0</v>
      </c>
      <c r="P6" s="80">
        <f>LCI_HC!$E6*impact_process_mid!P17</f>
        <v>0</v>
      </c>
      <c r="Q6" s="80">
        <f>LCI_HC!$E6*impact_process_mid!Q17</f>
        <v>1.553568E-2</v>
      </c>
      <c r="R6" s="80">
        <f>LCI_HC!$E6*impact_process_mid!R17</f>
        <v>0</v>
      </c>
      <c r="S6" s="80">
        <f>LCI_HC!$E6*impact_process_mid!S17</f>
        <v>0</v>
      </c>
      <c r="T6" s="80">
        <f>LCI_HC!$E6*impact_process_mid!T17</f>
        <v>0</v>
      </c>
    </row>
    <row r="7" spans="1:27" ht="16.5" x14ac:dyDescent="0.45">
      <c r="A7" s="78"/>
      <c r="B7" s="78" t="s">
        <v>300</v>
      </c>
      <c r="C7" s="80">
        <f>LCI_HC!$E5*impact_process_mid!C19</f>
        <v>0</v>
      </c>
      <c r="D7" s="80">
        <f>LCI_HC!$E5*impact_process_mid!D19</f>
        <v>20.904401999999997</v>
      </c>
      <c r="E7" s="80">
        <f>LCI_HC!$E5*impact_process_mid!E19</f>
        <v>0</v>
      </c>
      <c r="F7" s="80">
        <f>LCI_HC!$E5*impact_process_mid!F19</f>
        <v>0</v>
      </c>
      <c r="G7" s="80">
        <f>LCI_HC!$E5*impact_process_mid!G19</f>
        <v>0</v>
      </c>
      <c r="H7" s="80">
        <f>LCI_HC!$E5*impact_process_mid!H19</f>
        <v>0</v>
      </c>
      <c r="I7" s="80">
        <f>LCI_HC!$E5*impact_process_mid!I19</f>
        <v>0</v>
      </c>
      <c r="J7" s="80">
        <f>LCI_HC!$E5*impact_process_mid!J19</f>
        <v>0</v>
      </c>
      <c r="K7" s="80">
        <f>LCI_HC!$E5*impact_process_mid!K19</f>
        <v>0</v>
      </c>
      <c r="L7" s="80">
        <f>LCI_HC!$E5*impact_process_mid!L19</f>
        <v>0</v>
      </c>
      <c r="M7" s="80">
        <f>LCI_HC!$E5*impact_process_mid!M19</f>
        <v>0</v>
      </c>
      <c r="N7" s="80">
        <f>LCI_HC!$E5*impact_process_mid!N19</f>
        <v>0</v>
      </c>
      <c r="O7" s="80">
        <f>LCI_HC!$E5*impact_process_mid!O19</f>
        <v>0</v>
      </c>
      <c r="P7" s="80">
        <f>LCI_HC!$E5*impact_process_mid!P19</f>
        <v>7.7163899999999985E-4</v>
      </c>
      <c r="Q7" s="80">
        <f>LCI_HC!$E5*impact_process_mid!Q19</f>
        <v>0</v>
      </c>
      <c r="R7" s="80">
        <f>LCI_HC!$E5*impact_process_mid!R19</f>
        <v>0</v>
      </c>
      <c r="S7" s="80">
        <f>LCI_HC!$E5*impact_process_mid!S19</f>
        <v>0</v>
      </c>
      <c r="T7" s="80">
        <f>LCI_HC!$E5*impact_process_mid!T19</f>
        <v>0</v>
      </c>
    </row>
    <row r="8" spans="1:27" x14ac:dyDescent="0.35">
      <c r="A8" s="78"/>
      <c r="B8" s="78" t="s">
        <v>343</v>
      </c>
      <c r="C8" s="78">
        <f>LCI_HC!$E7*impact_process_mid!C33</f>
        <v>1.4295466509523749E-2</v>
      </c>
      <c r="D8" s="78">
        <f>LCI_HC!$E7*impact_process_mid!D33</f>
        <v>5.7556616802676039</v>
      </c>
      <c r="E8" s="78">
        <f>LCI_HC!$E7*impact_process_mid!E33</f>
        <v>0.129308865146636</v>
      </c>
      <c r="F8" s="78">
        <f>LCI_HC!$E7*impact_process_mid!F33</f>
        <v>0.20158552991181719</v>
      </c>
      <c r="G8" s="78">
        <f>LCI_HC!$E7*impact_process_mid!G33</f>
        <v>57.734744806932433</v>
      </c>
      <c r="H8" s="78">
        <f>LCI_HC!$E7*impact_process_mid!H33</f>
        <v>1.7373117397259801</v>
      </c>
      <c r="I8" s="78">
        <f>LCI_HC!$E7*impact_process_mid!I33</f>
        <v>1.9765582209530343E-3</v>
      </c>
      <c r="J8" s="78">
        <f>LCI_HC!$E7*impact_process_mid!J33</f>
        <v>3.1560346846586172E-4</v>
      </c>
      <c r="K8" s="78">
        <f>LCI_HC!$E7*impact_process_mid!K33</f>
        <v>0.40035582233896388</v>
      </c>
      <c r="L8" s="78">
        <f>LCI_HC!$E7*impact_process_mid!L33</f>
        <v>3.466683664084059</v>
      </c>
      <c r="M8" s="78">
        <f>LCI_HC!$E7*impact_process_mid!M33</f>
        <v>0.49716298893330546</v>
      </c>
      <c r="N8" s="78">
        <f>LCI_HC!$E7*impact_process_mid!N33</f>
        <v>58.672077655837455</v>
      </c>
      <c r="O8" s="78">
        <f>LCI_HC!$E7*impact_process_mid!O33</f>
        <v>0.10439624041088992</v>
      </c>
      <c r="P8" s="78">
        <f>LCI_HC!$E7*impact_process_mid!P33</f>
        <v>2.1306487396046929E-6</v>
      </c>
      <c r="Q8" s="78">
        <f>LCI_HC!$E7*impact_process_mid!Q33</f>
        <v>6.2833412557336613E-3</v>
      </c>
      <c r="R8" s="78">
        <f>LCI_HC!$E7*impact_process_mid!R33</f>
        <v>2.5827598708231092E-2</v>
      </c>
      <c r="S8" s="78">
        <f>LCI_HC!$E7*impact_process_mid!S33</f>
        <v>2.8323550693570544E-2</v>
      </c>
      <c r="T8" s="78">
        <f>LCI_HC!$E7*impact_process_mid!T33</f>
        <v>2.693234621842466E-2</v>
      </c>
    </row>
    <row r="9" spans="1:27" x14ac:dyDescent="0.35">
      <c r="A9" s="42" t="s">
        <v>354</v>
      </c>
    </row>
    <row r="13" spans="1:27" ht="18.5" x14ac:dyDescent="0.45">
      <c r="A13" s="84" t="s">
        <v>360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</row>
    <row r="14" spans="1:27" ht="64.5" customHeight="1" x14ac:dyDescent="0.35">
      <c r="A14" s="85" t="s">
        <v>0</v>
      </c>
      <c r="B14" s="85"/>
      <c r="C14" s="86" t="s">
        <v>187</v>
      </c>
      <c r="D14" s="86" t="s">
        <v>188</v>
      </c>
      <c r="E14" s="86" t="s">
        <v>189</v>
      </c>
      <c r="F14" s="86" t="s">
        <v>190</v>
      </c>
      <c r="G14" s="86" t="s">
        <v>191</v>
      </c>
      <c r="H14" s="86" t="s">
        <v>192</v>
      </c>
      <c r="I14" s="86" t="s">
        <v>193</v>
      </c>
      <c r="J14" s="86" t="s">
        <v>194</v>
      </c>
      <c r="K14" s="86" t="s">
        <v>195</v>
      </c>
      <c r="L14" s="86" t="s">
        <v>196</v>
      </c>
      <c r="M14" s="86" t="s">
        <v>197</v>
      </c>
      <c r="N14" s="86" t="s">
        <v>198</v>
      </c>
      <c r="O14" s="86" t="s">
        <v>199</v>
      </c>
      <c r="P14" s="86" t="s">
        <v>200</v>
      </c>
      <c r="Q14" s="86" t="s">
        <v>201</v>
      </c>
      <c r="R14" s="86" t="s">
        <v>202</v>
      </c>
      <c r="S14" s="86" t="s">
        <v>203</v>
      </c>
      <c r="T14" s="86" t="s">
        <v>204</v>
      </c>
      <c r="U14" s="86" t="s">
        <v>205</v>
      </c>
      <c r="V14" s="86" t="s">
        <v>206</v>
      </c>
      <c r="W14" s="86" t="s">
        <v>207</v>
      </c>
      <c r="X14" s="86" t="s">
        <v>208</v>
      </c>
      <c r="Y14" s="86" t="s">
        <v>209</v>
      </c>
      <c r="Z14" s="86" t="s">
        <v>210</v>
      </c>
      <c r="AA14" s="86" t="s">
        <v>211</v>
      </c>
    </row>
    <row r="15" spans="1:27" x14ac:dyDescent="0.35">
      <c r="A15" s="89" t="s">
        <v>297</v>
      </c>
      <c r="B15" s="87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7"/>
      <c r="V15" s="87"/>
      <c r="W15" s="87"/>
      <c r="X15" s="87"/>
      <c r="Y15" s="87"/>
      <c r="Z15" s="87"/>
      <c r="AA15" s="87"/>
    </row>
    <row r="16" spans="1:27" x14ac:dyDescent="0.35">
      <c r="A16" s="87"/>
      <c r="B16" s="87" t="s">
        <v>97</v>
      </c>
      <c r="C16" s="88">
        <f>LCI_HC!$E4*impact_process_end!C11</f>
        <v>0</v>
      </c>
      <c r="D16" s="88">
        <f>LCI_HC!$E4*impact_process_end!D11</f>
        <v>9.0492999999999986E-13</v>
      </c>
      <c r="E16" s="88">
        <f>LCI_HC!$E4*impact_process_end!E11</f>
        <v>3.313436E-8</v>
      </c>
      <c r="F16" s="88">
        <f>LCI_HC!$E4*impact_process_end!F11</f>
        <v>0</v>
      </c>
      <c r="G16" s="88">
        <f>LCI_HC!$E4*impact_process_end!G11</f>
        <v>0</v>
      </c>
      <c r="H16" s="88">
        <f>LCI_HC!$E4*impact_process_end!H11</f>
        <v>0</v>
      </c>
      <c r="I16" s="88">
        <f>LCI_HC!$E4*impact_process_end!I11</f>
        <v>0</v>
      </c>
      <c r="J16" s="88">
        <f>LCI_HC!$E4*impact_process_end!J11</f>
        <v>0</v>
      </c>
      <c r="K16" s="88">
        <f>LCI_HC!$E4*impact_process_end!K11</f>
        <v>0</v>
      </c>
      <c r="L16" s="88">
        <f>LCI_HC!$E4*impact_process_end!L11</f>
        <v>0</v>
      </c>
      <c r="M16" s="88">
        <f>LCI_HC!$E4*impact_process_end!M11</f>
        <v>0</v>
      </c>
      <c r="N16" s="88">
        <f>LCI_HC!$E4*impact_process_end!N11</f>
        <v>0</v>
      </c>
      <c r="O16" s="88">
        <f>LCI_HC!$E4*impact_process_end!O11</f>
        <v>1.099838E-5</v>
      </c>
      <c r="P16" s="88">
        <f>LCI_HC!$E4*impact_process_end!P11</f>
        <v>0</v>
      </c>
      <c r="Q16" s="88">
        <f>LCI_HC!$E4*impact_process_end!Q11</f>
        <v>0</v>
      </c>
      <c r="R16" s="88">
        <f>LCI_HC!$E4*impact_process_end!R11</f>
        <v>0</v>
      </c>
      <c r="S16" s="88">
        <f>LCI_HC!$E4*impact_process_end!S11</f>
        <v>0</v>
      </c>
      <c r="T16" s="88">
        <f>LCI_HC!$E4*impact_process_end!T11</f>
        <v>0</v>
      </c>
      <c r="U16" s="88">
        <f>LCI_HC!$E4*impact_process_end!U11</f>
        <v>0</v>
      </c>
      <c r="V16" s="88">
        <f>LCI_HC!$E4*impact_process_end!V11</f>
        <v>0</v>
      </c>
      <c r="W16" s="88">
        <f>LCI_HC!$E4*impact_process_end!W11</f>
        <v>0</v>
      </c>
      <c r="X16" s="88">
        <f>LCI_HC!$E4*impact_process_end!X11</f>
        <v>0</v>
      </c>
      <c r="Y16" s="88">
        <f>LCI_HC!$E4*impact_process_end!Y11</f>
        <v>3.313526493E-8</v>
      </c>
      <c r="Z16" s="88">
        <f>LCI_HC!$E4*impact_process_end!Z11</f>
        <v>1.099838E-5</v>
      </c>
      <c r="AA16" s="88">
        <f>LCI_HC!$E4*impact_process_end!AA11</f>
        <v>0</v>
      </c>
    </row>
    <row r="17" spans="1:37" x14ac:dyDescent="0.35">
      <c r="A17" s="87"/>
      <c r="B17" s="87" t="s">
        <v>111</v>
      </c>
      <c r="C17" s="90">
        <f>LCI_HC!$E6*impact_process_end!C17</f>
        <v>2.6928511999999999E-8</v>
      </c>
      <c r="D17" s="90">
        <f>LCI_HC!$E6*impact_process_end!D17</f>
        <v>0</v>
      </c>
      <c r="E17" s="90">
        <f>LCI_HC!$E6*impact_process_end!E17</f>
        <v>0</v>
      </c>
      <c r="F17" s="90">
        <f>LCI_HC!$E6*impact_process_end!F17</f>
        <v>0</v>
      </c>
      <c r="G17" s="90">
        <f>LCI_HC!$E6*impact_process_end!G17</f>
        <v>0</v>
      </c>
      <c r="H17" s="90">
        <f>LCI_HC!$E6*impact_process_end!H17</f>
        <v>0</v>
      </c>
      <c r="I17" s="90">
        <f>LCI_HC!$E6*impact_process_end!I17</f>
        <v>0</v>
      </c>
      <c r="J17" s="90">
        <f>LCI_HC!$E6*impact_process_end!J17</f>
        <v>0</v>
      </c>
      <c r="K17" s="90">
        <f>LCI_HC!$E6*impact_process_end!K17</f>
        <v>0</v>
      </c>
      <c r="L17" s="90">
        <f>LCI_HC!$E6*impact_process_end!L17</f>
        <v>0</v>
      </c>
      <c r="M17" s="90">
        <f>LCI_HC!$E6*impact_process_end!M17</f>
        <v>0</v>
      </c>
      <c r="N17" s="90">
        <f>LCI_HC!$E6*impact_process_end!N17</f>
        <v>0</v>
      </c>
      <c r="O17" s="90">
        <f>LCI_HC!$E6*impact_process_end!O17</f>
        <v>0</v>
      </c>
      <c r="P17" s="90">
        <f>LCI_HC!$E6*impact_process_end!P17</f>
        <v>0</v>
      </c>
      <c r="Q17" s="90">
        <f>LCI_HC!$E6*impact_process_end!Q17</f>
        <v>0</v>
      </c>
      <c r="R17" s="90">
        <f>LCI_HC!$E6*impact_process_end!R17</f>
        <v>0</v>
      </c>
      <c r="S17" s="90">
        <f>LCI_HC!$E6*impact_process_end!S17</f>
        <v>0</v>
      </c>
      <c r="T17" s="90">
        <f>LCI_HC!$E6*impact_process_end!T17</f>
        <v>9.7097999999999981E-6</v>
      </c>
      <c r="U17" s="90">
        <f>LCI_HC!$E6*impact_process_end!U17</f>
        <v>0</v>
      </c>
      <c r="V17" s="90">
        <f>LCI_HC!$E6*impact_process_end!V17</f>
        <v>0</v>
      </c>
      <c r="W17" s="90">
        <f>LCI_HC!$E6*impact_process_end!W17</f>
        <v>0</v>
      </c>
      <c r="X17" s="90">
        <f>LCI_HC!$E6*impact_process_end!X17</f>
        <v>0</v>
      </c>
      <c r="Y17" s="90">
        <f>LCI_HC!$E6*impact_process_end!Y17</f>
        <v>2.6928511999999999E-8</v>
      </c>
      <c r="Z17" s="90">
        <f>LCI_HC!$E6*impact_process_end!Z17</f>
        <v>9.7097999999999981E-6</v>
      </c>
      <c r="AA17" s="90">
        <f>LCI_HC!$E6*impact_process_end!AA17</f>
        <v>0</v>
      </c>
    </row>
    <row r="18" spans="1:37" x14ac:dyDescent="0.35">
      <c r="A18" s="87"/>
      <c r="B18" s="87" t="s">
        <v>112</v>
      </c>
      <c r="C18" s="88">
        <f>LCI_HC!$E5*impact_process_end!C19</f>
        <v>0</v>
      </c>
      <c r="D18" s="88">
        <f>LCI_HC!$E5*impact_process_end!D19</f>
        <v>1.5993971999999998E-12</v>
      </c>
      <c r="E18" s="88">
        <f>LCI_HC!$E5*impact_process_end!E19</f>
        <v>5.8504265999999991E-8</v>
      </c>
      <c r="F18" s="88">
        <f>LCI_HC!$E5*impact_process_end!F19</f>
        <v>0</v>
      </c>
      <c r="G18" s="88">
        <f>LCI_HC!$E5*impact_process_end!G19</f>
        <v>0</v>
      </c>
      <c r="H18" s="88">
        <f>LCI_HC!$E5*impact_process_end!H19</f>
        <v>0</v>
      </c>
      <c r="I18" s="88">
        <f>LCI_HC!$E5*impact_process_end!I19</f>
        <v>0</v>
      </c>
      <c r="J18" s="88">
        <f>LCI_HC!$E5*impact_process_end!J19</f>
        <v>0</v>
      </c>
      <c r="K18" s="88">
        <f>LCI_HC!$E5*impact_process_end!K19</f>
        <v>0</v>
      </c>
      <c r="L18" s="88">
        <f>LCI_HC!$E5*impact_process_end!L19</f>
        <v>0</v>
      </c>
      <c r="M18" s="88">
        <f>LCI_HC!$E5*impact_process_end!M19</f>
        <v>0</v>
      </c>
      <c r="N18" s="88">
        <f>LCI_HC!$E5*impact_process_end!N19</f>
        <v>0</v>
      </c>
      <c r="O18" s="88">
        <f>LCI_HC!$E5*impact_process_end!O19</f>
        <v>1.9641719999999997E-5</v>
      </c>
      <c r="P18" s="88">
        <f>LCI_HC!$E5*impact_process_end!P19</f>
        <v>0</v>
      </c>
      <c r="Q18" s="88">
        <f>LCI_HC!$E5*impact_process_end!Q19</f>
        <v>0</v>
      </c>
      <c r="R18" s="88">
        <f>LCI_HC!$E5*impact_process_end!R19</f>
        <v>0</v>
      </c>
      <c r="S18" s="88">
        <f>LCI_HC!$E5*impact_process_end!S19</f>
        <v>4.0967015999999993E-7</v>
      </c>
      <c r="T18" s="88">
        <f>LCI_HC!$E5*impact_process_end!T19</f>
        <v>0</v>
      </c>
      <c r="U18" s="88">
        <f>LCI_HC!$E5*impact_process_end!U19</f>
        <v>0</v>
      </c>
      <c r="V18" s="88">
        <f>LCI_HC!$E5*impact_process_end!V19</f>
        <v>0</v>
      </c>
      <c r="W18" s="88">
        <f>LCI_HC!$E5*impact_process_end!W19</f>
        <v>0</v>
      </c>
      <c r="X18" s="88">
        <f>LCI_HC!$E5*impact_process_end!X19</f>
        <v>0</v>
      </c>
      <c r="Y18" s="88">
        <f>LCI_HC!$E5*impact_process_end!Y19</f>
        <v>5.8505865397199988E-8</v>
      </c>
      <c r="Z18" s="88">
        <f>LCI_HC!$E5*impact_process_end!Z19</f>
        <v>2.0051390159999996E-5</v>
      </c>
      <c r="AA18" s="88">
        <f>LCI_HC!$E5*impact_process_end!AA19</f>
        <v>0</v>
      </c>
    </row>
    <row r="19" spans="1:37" x14ac:dyDescent="0.35">
      <c r="A19" s="87"/>
      <c r="B19" s="87" t="s">
        <v>343</v>
      </c>
      <c r="C19" s="88">
        <f>LCI_HC!$E7*impact_process_end!C33</f>
        <v>3.0302879762410357E-9</v>
      </c>
      <c r="D19" s="88">
        <f>LCI_HC!$E7*impact_process_end!D33</f>
        <v>4.4028426623268897E-13</v>
      </c>
      <c r="E19" s="88">
        <f>LCI_HC!$E7*impact_process_end!E33</f>
        <v>1.6121280684692799E-8</v>
      </c>
      <c r="F19" s="88">
        <f>LCI_HC!$E7*impact_process_end!F33</f>
        <v>8.9550842310419634E-11</v>
      </c>
      <c r="G19" s="88">
        <f>LCI_HC!$E7*impact_process_end!G33</f>
        <v>2.1182825105606582E-11</v>
      </c>
      <c r="H19" s="88">
        <f>LCI_HC!$E7*impact_process_end!H33</f>
        <v>6.5822852956409875E-10</v>
      </c>
      <c r="I19" s="88">
        <f>LCI_HC!$E7*impact_process_end!I33</f>
        <v>1.3248146722419573E-9</v>
      </c>
      <c r="J19" s="88">
        <f>LCI_HC!$E7*impact_process_end!J33</f>
        <v>5.3657236463384755E-13</v>
      </c>
      <c r="K19" s="88">
        <f>LCI_HC!$E7*impact_process_end!K33</f>
        <v>5.2024258898378559E-7</v>
      </c>
      <c r="L19" s="88">
        <f>LCI_HC!$E7*impact_process_end!L33</f>
        <v>3.6535315050201752E-9</v>
      </c>
      <c r="M19" s="88">
        <f>LCI_HC!$E7*impact_process_end!M33</f>
        <v>1.6267137115928494E-14</v>
      </c>
      <c r="N19" s="88">
        <f>LCI_HC!$E7*impact_process_end!N33</f>
        <v>3.6358667394873286E-10</v>
      </c>
      <c r="O19" s="88">
        <f>LCI_HC!$E7*impact_process_end!O33</f>
        <v>5.3418072641283292E-6</v>
      </c>
      <c r="P19" s="88">
        <f>LCI_HC!$E7*impact_process_end!P33</f>
        <v>1.3290955933070178E-6</v>
      </c>
      <c r="Q19" s="88">
        <f>LCI_HC!$E7*impact_process_end!Q33</f>
        <v>7.9050034919984862E-7</v>
      </c>
      <c r="R19" s="88">
        <f>LCI_HC!$E7*impact_process_end!R33</f>
        <v>4.2177806699609076E-9</v>
      </c>
      <c r="S19" s="88">
        <f>LCI_HC!$E7*impact_process_end!S33</f>
        <v>1.1310747876410628E-9</v>
      </c>
      <c r="T19" s="88">
        <f>LCI_HC!$E7*impact_process_end!T33</f>
        <v>3.949934860764492E-6</v>
      </c>
      <c r="U19" s="88">
        <f>LCI_HC!$E7*impact_process_end!U33</f>
        <v>2.3507587615002564E-8</v>
      </c>
      <c r="V19" s="88">
        <f>LCI_HC!$E7*impact_process_end!V33</f>
        <v>5.9789808604902742E-8</v>
      </c>
      <c r="W19" s="88">
        <f>LCI_HC!$E7*impact_process_end!W33</f>
        <v>0.69855187502947691</v>
      </c>
      <c r="X19" s="88">
        <f>LCI_HC!$E7*impact_process_end!X33</f>
        <v>2.4148827034438176E-2</v>
      </c>
      <c r="Y19" s="88">
        <f>LCI_HC!$E7*impact_process_end!Y33</f>
        <v>5.4514157559695496E-7</v>
      </c>
      <c r="Z19" s="88">
        <f>LCI_HC!$E7*impact_process_end!Z33</f>
        <v>1.1499684208052905E-5</v>
      </c>
      <c r="AA19" s="88">
        <f>LCI_HC!$E7*impact_process_end!AA33</f>
        <v>0.72270070242750173</v>
      </c>
    </row>
    <row r="28" spans="1:37" ht="18.5" x14ac:dyDescent="0.45">
      <c r="A28" s="99" t="s">
        <v>415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1"/>
    </row>
    <row r="29" spans="1:37" ht="72.5" x14ac:dyDescent="0.35">
      <c r="A29" s="94" t="s">
        <v>0</v>
      </c>
      <c r="B29" s="95"/>
      <c r="C29" s="96" t="s">
        <v>379</v>
      </c>
      <c r="D29" s="96" t="s">
        <v>380</v>
      </c>
      <c r="E29" s="96" t="s">
        <v>381</v>
      </c>
      <c r="F29" s="96" t="s">
        <v>382</v>
      </c>
      <c r="G29" s="96" t="s">
        <v>383</v>
      </c>
      <c r="H29" s="96" t="s">
        <v>364</v>
      </c>
      <c r="I29" s="96" t="s">
        <v>384</v>
      </c>
      <c r="J29" s="96" t="s">
        <v>385</v>
      </c>
      <c r="K29" s="96" t="s">
        <v>366</v>
      </c>
      <c r="L29" s="96" t="s">
        <v>386</v>
      </c>
      <c r="M29" s="96" t="s">
        <v>387</v>
      </c>
      <c r="N29" s="96" t="s">
        <v>388</v>
      </c>
      <c r="O29" s="96" t="s">
        <v>389</v>
      </c>
      <c r="P29" s="96" t="s">
        <v>390</v>
      </c>
      <c r="Q29" s="96" t="s">
        <v>391</v>
      </c>
      <c r="R29" s="96" t="s">
        <v>370</v>
      </c>
      <c r="S29" s="96" t="s">
        <v>371</v>
      </c>
      <c r="T29" s="96" t="s">
        <v>392</v>
      </c>
      <c r="U29" s="96" t="s">
        <v>393</v>
      </c>
      <c r="V29" s="96" t="s">
        <v>394</v>
      </c>
      <c r="W29" s="96" t="s">
        <v>395</v>
      </c>
      <c r="X29" s="96" t="s">
        <v>372</v>
      </c>
      <c r="Y29" s="96" t="s">
        <v>374</v>
      </c>
      <c r="Z29" s="96" t="s">
        <v>375</v>
      </c>
      <c r="AA29" s="96" t="s">
        <v>396</v>
      </c>
      <c r="AB29" s="96" t="s">
        <v>397</v>
      </c>
      <c r="AC29" s="96" t="s">
        <v>377</v>
      </c>
      <c r="AD29" s="96" t="s">
        <v>398</v>
      </c>
      <c r="AE29" s="96" t="s">
        <v>399</v>
      </c>
      <c r="AF29" s="96" t="s">
        <v>400</v>
      </c>
      <c r="AG29" s="96" t="s">
        <v>401</v>
      </c>
      <c r="AH29" s="96" t="s">
        <v>402</v>
      </c>
      <c r="AI29" s="96" t="s">
        <v>403</v>
      </c>
      <c r="AJ29" s="96" t="s">
        <v>404</v>
      </c>
      <c r="AK29" s="96" t="s">
        <v>405</v>
      </c>
    </row>
    <row r="30" spans="1:37" x14ac:dyDescent="0.35">
      <c r="A30" s="104" t="s">
        <v>297</v>
      </c>
      <c r="B30" s="95"/>
      <c r="C30" s="105">
        <f>SUM(C31:C34)</f>
        <v>5.9124722432782884</v>
      </c>
      <c r="D30" s="105">
        <f t="shared" ref="D30:AK30" si="1">SUM(D31:D34)</f>
        <v>4.1174272633040436</v>
      </c>
      <c r="E30" s="105">
        <f t="shared" si="1"/>
        <v>7.968222552031427E-5</v>
      </c>
      <c r="F30" s="105">
        <f t="shared" si="1"/>
        <v>5.5490464231184139E-5</v>
      </c>
      <c r="G30" s="105">
        <f t="shared" si="1"/>
        <v>5.6277794486703148E-18</v>
      </c>
      <c r="H30" s="105">
        <f t="shared" si="1"/>
        <v>0.15195189258170927</v>
      </c>
      <c r="I30" s="105">
        <f t="shared" si="1"/>
        <v>0.51155102871179303</v>
      </c>
      <c r="J30" s="105">
        <f t="shared" si="1"/>
        <v>8.7051064351598859E-2</v>
      </c>
      <c r="K30" s="105">
        <f t="shared" si="1"/>
        <v>1.7178536165424186E-2</v>
      </c>
      <c r="L30" s="105">
        <f t="shared" si="1"/>
        <v>1.65473264628103E-8</v>
      </c>
      <c r="M30" s="105">
        <f t="shared" si="1"/>
        <v>1.345695908501447E-6</v>
      </c>
      <c r="N30" s="105">
        <f t="shared" si="1"/>
        <v>5.4668732139866088E-7</v>
      </c>
      <c r="O30" s="105">
        <f t="shared" si="1"/>
        <v>3.5557160456416687E-7</v>
      </c>
      <c r="P30" s="105">
        <f t="shared" si="1"/>
        <v>7.4986018095373098E-10</v>
      </c>
      <c r="Q30" s="105">
        <f t="shared" si="1"/>
        <v>1.3164098395917526E-8</v>
      </c>
      <c r="R30" s="105">
        <f t="shared" si="1"/>
        <v>31.470870169787869</v>
      </c>
      <c r="S30" s="105">
        <f t="shared" si="1"/>
        <v>0.23733962088834182</v>
      </c>
      <c r="T30" s="105">
        <f t="shared" si="1"/>
        <v>0.7795634512901618</v>
      </c>
      <c r="U30" s="105">
        <f t="shared" si="1"/>
        <v>8.4619968013163058E-2</v>
      </c>
      <c r="V30" s="105">
        <f t="shared" si="1"/>
        <v>1.1658923539154123E-6</v>
      </c>
      <c r="W30" s="105">
        <f t="shared" si="1"/>
        <v>8.7397245484159419E-7</v>
      </c>
      <c r="X30" s="105">
        <f t="shared" si="1"/>
        <v>5.3936050617333822E-2</v>
      </c>
      <c r="Y30" s="105">
        <f t="shared" si="1"/>
        <v>1.7286063782371375E-10</v>
      </c>
      <c r="Z30" s="105">
        <f t="shared" si="1"/>
        <v>1.4497858333340074E-5</v>
      </c>
      <c r="AA30" s="105">
        <f t="shared" si="1"/>
        <v>0.25628941225984636</v>
      </c>
      <c r="AB30" s="105">
        <f t="shared" si="1"/>
        <v>2.4113100969075709E-8</v>
      </c>
      <c r="AC30" s="105">
        <f t="shared" si="1"/>
        <v>1.7755289501838178</v>
      </c>
      <c r="AD30" s="105">
        <f t="shared" si="1"/>
        <v>4.2555871137612694E-2</v>
      </c>
      <c r="AE30" s="105">
        <f t="shared" si="1"/>
        <v>3.189999460171819E-2</v>
      </c>
      <c r="AF30" s="105">
        <f t="shared" si="1"/>
        <v>8.3194443297340197E-4</v>
      </c>
      <c r="AG30" s="105">
        <f t="shared" si="1"/>
        <v>45.531422488575686</v>
      </c>
      <c r="AH30" s="105">
        <f t="shared" si="1"/>
        <v>1.5340506341983027E-4</v>
      </c>
      <c r="AI30" s="105">
        <f t="shared" si="1"/>
        <v>1.1728631702773519E-5</v>
      </c>
      <c r="AJ30" s="105">
        <f t="shared" si="1"/>
        <v>1.4325631145776835E-6</v>
      </c>
      <c r="AK30" s="105">
        <f t="shared" si="1"/>
        <v>3.4125772359188772E-4</v>
      </c>
    </row>
    <row r="31" spans="1:37" x14ac:dyDescent="0.35">
      <c r="A31" s="95"/>
      <c r="B31" s="106" t="s">
        <v>97</v>
      </c>
      <c r="C31" s="97">
        <f>LCI_HC!$E4*'IW+_end'!C12</f>
        <v>0.21593705317517195</v>
      </c>
      <c r="D31" s="97">
        <f>LCI_HC!$E4*'IW+_end'!D12</f>
        <v>0.82011227592755376</v>
      </c>
      <c r="E31" s="97">
        <f>LCI_HC!$E4*'IW+_end'!E12</f>
        <v>2.9101777160742744E-6</v>
      </c>
      <c r="F31" s="97">
        <f>LCI_HC!$E4*'IW+_end'!F12</f>
        <v>1.1052640994999999E-5</v>
      </c>
      <c r="G31" s="97">
        <f>LCI_HC!$E4*'IW+_end'!G12</f>
        <v>0</v>
      </c>
      <c r="H31" s="97">
        <f>LCI_HC!$E4*'IW+_end'!H12</f>
        <v>0</v>
      </c>
      <c r="I31" s="97">
        <f>LCI_HC!$E4*'IW+_end'!I12</f>
        <v>0</v>
      </c>
      <c r="J31" s="97">
        <f>LCI_HC!$E4*'IW+_end'!J12</f>
        <v>0</v>
      </c>
      <c r="K31" s="97">
        <f>LCI_HC!$E4*'IW+_end'!K12</f>
        <v>0</v>
      </c>
      <c r="L31" s="97">
        <f>LCI_HC!$E4*'IW+_end'!L12</f>
        <v>0</v>
      </c>
      <c r="M31" s="97">
        <f>LCI_HC!$E4*'IW+_end'!M12</f>
        <v>0</v>
      </c>
      <c r="N31" s="97">
        <f>LCI_HC!$E4*'IW+_end'!N12</f>
        <v>0</v>
      </c>
      <c r="O31" s="97">
        <f>LCI_HC!$E4*'IW+_end'!O12</f>
        <v>0</v>
      </c>
      <c r="P31" s="97">
        <f>LCI_HC!$E4*'IW+_end'!P12</f>
        <v>0</v>
      </c>
      <c r="Q31" s="97">
        <f>LCI_HC!$E4*'IW+_end'!Q12</f>
        <v>0</v>
      </c>
      <c r="R31" s="97">
        <f>LCI_HC!$E4*'IW+_end'!R12</f>
        <v>0</v>
      </c>
      <c r="S31" s="97">
        <f>LCI_HC!$E4*'IW+_end'!S12</f>
        <v>0</v>
      </c>
      <c r="T31" s="97">
        <f>LCI_HC!$E4*'IW+_end'!T12</f>
        <v>0</v>
      </c>
      <c r="U31" s="97">
        <f>LCI_HC!$E4*'IW+_end'!U12</f>
        <v>0</v>
      </c>
      <c r="V31" s="97">
        <f>LCI_HC!$E4*'IW+_end'!V12</f>
        <v>0</v>
      </c>
      <c r="W31" s="97">
        <f>LCI_HC!$E4*'IW+_end'!W12</f>
        <v>0</v>
      </c>
      <c r="X31" s="97">
        <f>LCI_HC!$E4*'IW+_end'!X12</f>
        <v>0</v>
      </c>
      <c r="Y31" s="97">
        <f>LCI_HC!$E4*'IW+_end'!Y12</f>
        <v>0</v>
      </c>
      <c r="Z31" s="97">
        <f>LCI_HC!$E4*'IW+_end'!Z12</f>
        <v>0</v>
      </c>
      <c r="AA31" s="97">
        <f>LCI_HC!$E4*'IW+_end'!AA12</f>
        <v>0</v>
      </c>
      <c r="AB31" s="96">
        <f>LCI_HC!$E4*'IW+_end'!AB12</f>
        <v>0</v>
      </c>
      <c r="AC31" s="96">
        <f>LCI_HC!$E4*'IW+_end'!AC12</f>
        <v>0</v>
      </c>
      <c r="AD31" s="96">
        <f>LCI_HC!$E4*'IW+_end'!AD12</f>
        <v>0</v>
      </c>
      <c r="AE31" s="96">
        <f>LCI_HC!$E4*'IW+_end'!AE12</f>
        <v>0</v>
      </c>
      <c r="AF31" s="96">
        <f>LCI_HC!$E4*'IW+_end'!AF12</f>
        <v>0</v>
      </c>
      <c r="AG31" s="96">
        <f>LCI_HC!$E4*'IW+_end'!AG12</f>
        <v>1.0360493291027257</v>
      </c>
      <c r="AH31" s="96">
        <f>LCI_HC!$E4*'IW+_end'!AH12</f>
        <v>1.3962818711001311E-5</v>
      </c>
      <c r="AI31" s="96">
        <f>LCI_HC!$E4*'IW+_end'!AI12</f>
        <v>0</v>
      </c>
      <c r="AJ31" s="96">
        <f>LCI_HC!$E4*'IW+_end'!AJ12</f>
        <v>0</v>
      </c>
      <c r="AK31" s="96">
        <f>LCI_HC!$E4*'IW+_end'!AK12</f>
        <v>0</v>
      </c>
    </row>
    <row r="32" spans="1:37" x14ac:dyDescent="0.35">
      <c r="A32" s="95"/>
      <c r="B32" s="106" t="s">
        <v>111</v>
      </c>
      <c r="C32" s="102">
        <f>LCI_HC!$E6*'IW+_end'!C18</f>
        <v>0</v>
      </c>
      <c r="D32" s="102">
        <f>LCI_HC!$E6*'IW+_end'!D18</f>
        <v>0</v>
      </c>
      <c r="E32" s="102">
        <f>LCI_HC!$E6*'IW+_end'!E18</f>
        <v>0</v>
      </c>
      <c r="F32" s="102">
        <f>LCI_HC!$E6*'IW+_end'!F18</f>
        <v>0</v>
      </c>
      <c r="G32" s="102">
        <f>LCI_HC!$E6*'IW+_end'!G18</f>
        <v>0</v>
      </c>
      <c r="H32" s="102">
        <f>LCI_HC!$E6*'IW+_end'!H18</f>
        <v>0.11954158649720915</v>
      </c>
      <c r="I32" s="102">
        <f>LCI_HC!$E6*'IW+_end'!I18</f>
        <v>0</v>
      </c>
      <c r="J32" s="102">
        <f>LCI_HC!$E6*'IW+_end'!J18</f>
        <v>0</v>
      </c>
      <c r="K32" s="102">
        <f>LCI_HC!$E6*'IW+_end'!K18</f>
        <v>0</v>
      </c>
      <c r="L32" s="102">
        <f>LCI_HC!$E6*'IW+_end'!L18</f>
        <v>0</v>
      </c>
      <c r="M32" s="102">
        <f>LCI_HC!$E6*'IW+_end'!M18</f>
        <v>0</v>
      </c>
      <c r="N32" s="102">
        <f>LCI_HC!$E6*'IW+_end'!N18</f>
        <v>0</v>
      </c>
      <c r="O32" s="102">
        <f>LCI_HC!$E6*'IW+_end'!O18</f>
        <v>0</v>
      </c>
      <c r="P32" s="102">
        <f>LCI_HC!$E6*'IW+_end'!P18</f>
        <v>0</v>
      </c>
      <c r="Q32" s="102">
        <f>LCI_HC!$E6*'IW+_end'!Q18</f>
        <v>0</v>
      </c>
      <c r="R32" s="102">
        <f>LCI_HC!$E6*'IW+_end'!R18</f>
        <v>0</v>
      </c>
      <c r="S32" s="102">
        <f>LCI_HC!$E6*'IW+_end'!S18</f>
        <v>0</v>
      </c>
      <c r="T32" s="102">
        <f>LCI_HC!$E6*'IW+_end'!T18</f>
        <v>0</v>
      </c>
      <c r="U32" s="102">
        <f>LCI_HC!$E6*'IW+_end'!U18</f>
        <v>0</v>
      </c>
      <c r="V32" s="102">
        <f>LCI_HC!$E6*'IW+_end'!V18</f>
        <v>0</v>
      </c>
      <c r="W32" s="102">
        <f>LCI_HC!$E6*'IW+_end'!W18</f>
        <v>0</v>
      </c>
      <c r="X32" s="102">
        <f>LCI_HC!$E6*'IW+_end'!X18</f>
        <v>4.5891639433651252E-2</v>
      </c>
      <c r="Y32" s="102">
        <f>LCI_HC!$E6*'IW+_end'!Y18</f>
        <v>0</v>
      </c>
      <c r="Z32" s="102">
        <f>LCI_HC!$E6*'IW+_end'!Z18</f>
        <v>1.1483159701098625E-5</v>
      </c>
      <c r="AA32" s="102">
        <f>LCI_HC!$E6*'IW+_end'!AA18</f>
        <v>0</v>
      </c>
      <c r="AB32" s="102">
        <f>LCI_HC!$E6*'IW+_end'!AB18</f>
        <v>0</v>
      </c>
      <c r="AC32" s="102">
        <f>LCI_HC!$E6*'IW+_end'!AC18</f>
        <v>1.54121019112393</v>
      </c>
      <c r="AD32" s="102">
        <f>LCI_HC!$E6*'IW+_end'!AD18</f>
        <v>0</v>
      </c>
      <c r="AE32" s="102">
        <f>LCI_HC!$E6*'IW+_end'!AE18</f>
        <v>0</v>
      </c>
      <c r="AF32" s="102">
        <f>LCI_HC!$E6*'IW+_end'!AF18</f>
        <v>0</v>
      </c>
      <c r="AG32" s="102">
        <f>LCI_HC!$E6*'IW+_end'!AG18</f>
        <v>1.7066434170547906</v>
      </c>
      <c r="AH32" s="102">
        <f>LCI_HC!$E6*'IW+_end'!AH18</f>
        <v>1.1483159700972393E-5</v>
      </c>
      <c r="AI32" s="102">
        <f>LCI_HC!$E6*'IW+_end'!AI18</f>
        <v>0</v>
      </c>
      <c r="AJ32" s="102">
        <f>LCI_HC!$E6*'IW+_end'!AJ18</f>
        <v>0</v>
      </c>
      <c r="AK32" s="102">
        <f>LCI_HC!$E6*'IW+_end'!AK18</f>
        <v>0</v>
      </c>
    </row>
    <row r="33" spans="1:45" x14ac:dyDescent="0.35">
      <c r="A33" s="95"/>
      <c r="B33" s="106" t="s">
        <v>112</v>
      </c>
      <c r="C33" s="97">
        <f>LCI_HC!$E5*'IW+_end'!C20</f>
        <v>3.5672543868179409</v>
      </c>
      <c r="D33" s="97">
        <f>LCI_HC!$E5*'IW+_end'!D20</f>
        <v>2.6464982178980989</v>
      </c>
      <c r="E33" s="97">
        <f>LCI_HC!$E5*'IW+_end'!E20</f>
        <v>4.8075789084998944E-5</v>
      </c>
      <c r="F33" s="97">
        <f>LCI_HC!$E5*'IW+_end'!F20</f>
        <v>3.5666783565437958E-5</v>
      </c>
      <c r="G33" s="97">
        <f>LCI_HC!$E5*'IW+_end'!G20</f>
        <v>0</v>
      </c>
      <c r="H33" s="97">
        <f>LCI_HC!$E5*'IW+_end'!H20</f>
        <v>0</v>
      </c>
      <c r="I33" s="97">
        <f>LCI_HC!$E5*'IW+_end'!I20</f>
        <v>0</v>
      </c>
      <c r="J33" s="97">
        <f>LCI_HC!$E5*'IW+_end'!J20</f>
        <v>0</v>
      </c>
      <c r="K33" s="97">
        <f>LCI_HC!$E5*'IW+_end'!K20</f>
        <v>0</v>
      </c>
      <c r="L33" s="97">
        <f>LCI_HC!$E5*'IW+_end'!L20</f>
        <v>0</v>
      </c>
      <c r="M33" s="97">
        <f>LCI_HC!$E5*'IW+_end'!M20</f>
        <v>0</v>
      </c>
      <c r="N33" s="97">
        <f>LCI_HC!$E5*'IW+_end'!N20</f>
        <v>0</v>
      </c>
      <c r="O33" s="97">
        <f>LCI_HC!$E5*'IW+_end'!O20</f>
        <v>0</v>
      </c>
      <c r="P33" s="97">
        <f>LCI_HC!$E5*'IW+_end'!P20</f>
        <v>0</v>
      </c>
      <c r="Q33" s="97">
        <f>LCI_HC!$E5*'IW+_end'!Q20</f>
        <v>0</v>
      </c>
      <c r="R33" s="97">
        <f>LCI_HC!$E5*'IW+_end'!R20</f>
        <v>0</v>
      </c>
      <c r="S33" s="97">
        <f>LCI_HC!$E5*'IW+_end'!S20</f>
        <v>0</v>
      </c>
      <c r="T33" s="97">
        <f>LCI_HC!$E5*'IW+_end'!T20</f>
        <v>0</v>
      </c>
      <c r="U33" s="97">
        <f>LCI_HC!$E5*'IW+_end'!U20</f>
        <v>0</v>
      </c>
      <c r="V33" s="97">
        <f>LCI_HC!$E5*'IW+_end'!V20</f>
        <v>0</v>
      </c>
      <c r="W33" s="97">
        <f>LCI_HC!$E5*'IW+_end'!W20</f>
        <v>0</v>
      </c>
      <c r="X33" s="97">
        <f>LCI_HC!$E5*'IW+_end'!X20</f>
        <v>0</v>
      </c>
      <c r="Y33" s="97">
        <f>LCI_HC!$E5*'IW+_end'!Y20</f>
        <v>0</v>
      </c>
      <c r="Z33" s="97">
        <f>LCI_HC!$E5*'IW+_end'!Z20</f>
        <v>0</v>
      </c>
      <c r="AA33" s="97">
        <f>LCI_HC!$E5*'IW+_end'!AA20</f>
        <v>0</v>
      </c>
      <c r="AB33" s="97">
        <f>LCI_HC!$E5*'IW+_end'!AB20</f>
        <v>0</v>
      </c>
      <c r="AC33" s="97">
        <f>LCI_HC!$E5*'IW+_end'!AC20</f>
        <v>0</v>
      </c>
      <c r="AD33" s="97">
        <f>LCI_HC!$E5*'IW+_end'!AD20</f>
        <v>0</v>
      </c>
      <c r="AE33" s="97">
        <f>LCI_HC!$E5*'IW+_end'!AE20</f>
        <v>0</v>
      </c>
      <c r="AF33" s="97">
        <f>LCI_HC!$E5*'IW+_end'!AF20</f>
        <v>0</v>
      </c>
      <c r="AG33" s="97">
        <f>LCI_HC!$E5*'IW+_end'!AG20</f>
        <v>6.2137526047160394</v>
      </c>
      <c r="AH33" s="97">
        <f>LCI_HC!$E5*'IW+_end'!AH20</f>
        <v>8.3742572650119949E-5</v>
      </c>
      <c r="AI33" s="97">
        <f>LCI_HC!$E5*'IW+_end'!AI20</f>
        <v>0</v>
      </c>
      <c r="AJ33" s="97">
        <f>LCI_HC!$E5*'IW+_end'!AJ20</f>
        <v>0</v>
      </c>
      <c r="AK33" s="97">
        <f>LCI_HC!$E5*'IW+_end'!AK20</f>
        <v>0</v>
      </c>
    </row>
    <row r="34" spans="1:45" x14ac:dyDescent="0.35">
      <c r="A34" s="95"/>
      <c r="B34" s="106" t="s">
        <v>343</v>
      </c>
      <c r="C34" s="97">
        <f>LCI_HC!$E7*'IW+_end'!C35</f>
        <v>2.1292808032851753</v>
      </c>
      <c r="D34" s="97">
        <f>LCI_HC!$E7*'IW+_end'!D35</f>
        <v>0.65081676947839107</v>
      </c>
      <c r="E34" s="97">
        <f>LCI_HC!$E7*'IW+_end'!E35</f>
        <v>2.8696258719241049E-5</v>
      </c>
      <c r="F34" s="97">
        <f>LCI_HC!$E7*'IW+_end'!F35</f>
        <v>8.7710396707461815E-6</v>
      </c>
      <c r="G34" s="97">
        <f>LCI_HC!$E7*'IW+_end'!G35</f>
        <v>5.6277794486703148E-18</v>
      </c>
      <c r="H34" s="97">
        <f>LCI_HC!$E7*'IW+_end'!H35</f>
        <v>3.2410306084500101E-2</v>
      </c>
      <c r="I34" s="97">
        <f>LCI_HC!$E7*'IW+_end'!I35</f>
        <v>0.51155102871179303</v>
      </c>
      <c r="J34" s="97">
        <f>LCI_HC!$E7*'IW+_end'!J35</f>
        <v>8.7051064351598859E-2</v>
      </c>
      <c r="K34" s="97">
        <f>LCI_HC!$E7*'IW+_end'!K35</f>
        <v>1.7178536165424186E-2</v>
      </c>
      <c r="L34" s="97">
        <f>LCI_HC!$E7*'IW+_end'!L35</f>
        <v>1.65473264628103E-8</v>
      </c>
      <c r="M34" s="97">
        <f>LCI_HC!$E7*'IW+_end'!M35</f>
        <v>1.345695908501447E-6</v>
      </c>
      <c r="N34" s="97">
        <f>LCI_HC!$E7*'IW+_end'!N35</f>
        <v>5.4668732139866088E-7</v>
      </c>
      <c r="O34" s="97">
        <f>LCI_HC!$E7*'IW+_end'!O35</f>
        <v>3.5557160456416687E-7</v>
      </c>
      <c r="P34" s="97">
        <f>LCI_HC!$E7*'IW+_end'!P35</f>
        <v>7.4986018095373098E-10</v>
      </c>
      <c r="Q34" s="97">
        <f>LCI_HC!$E7*'IW+_end'!Q35</f>
        <v>1.3164098395917526E-8</v>
      </c>
      <c r="R34" s="97">
        <f>LCI_HC!$E7*'IW+_end'!R35</f>
        <v>31.470870169787869</v>
      </c>
      <c r="S34" s="97">
        <f>LCI_HC!$E7*'IW+_end'!S35</f>
        <v>0.23733962088834182</v>
      </c>
      <c r="T34" s="97">
        <f>LCI_HC!$E7*'IW+_end'!T35</f>
        <v>0.7795634512901618</v>
      </c>
      <c r="U34" s="97">
        <f>LCI_HC!$E7*'IW+_end'!U35</f>
        <v>8.4619968013163058E-2</v>
      </c>
      <c r="V34" s="97">
        <f>LCI_HC!$E7*'IW+_end'!V35</f>
        <v>1.1658923539154123E-6</v>
      </c>
      <c r="W34" s="97">
        <f>LCI_HC!$E7*'IW+_end'!W35</f>
        <v>8.7397245484159419E-7</v>
      </c>
      <c r="X34" s="97">
        <f>LCI_HC!$E7*'IW+_end'!X35</f>
        <v>8.0444111836825722E-3</v>
      </c>
      <c r="Y34" s="97">
        <f>LCI_HC!$E7*'IW+_end'!Y35</f>
        <v>1.7286063782371375E-10</v>
      </c>
      <c r="Z34" s="97">
        <f>LCI_HC!$E7*'IW+_end'!Z35</f>
        <v>3.0146986322414495E-6</v>
      </c>
      <c r="AA34" s="97">
        <f>LCI_HC!$E7*'IW+_end'!AA35</f>
        <v>0.25628941225984636</v>
      </c>
      <c r="AB34" s="97">
        <f>LCI_HC!$E7*'IW+_end'!AB35</f>
        <v>2.4113100969075709E-8</v>
      </c>
      <c r="AC34" s="97">
        <f>LCI_HC!$E7*'IW+_end'!AC35</f>
        <v>0.23431875905988775</v>
      </c>
      <c r="AD34" s="97">
        <f>LCI_HC!$E7*'IW+_end'!AD35</f>
        <v>4.2555871137612694E-2</v>
      </c>
      <c r="AE34" s="97">
        <f>LCI_HC!$E7*'IW+_end'!AE35</f>
        <v>3.189999460171819E-2</v>
      </c>
      <c r="AF34" s="97">
        <f>LCI_HC!$E7*'IW+_end'!AF35</f>
        <v>8.3194443297340197E-4</v>
      </c>
      <c r="AG34" s="97">
        <f>LCI_HC!$E7*'IW+_end'!AG35</f>
        <v>36.574977137702128</v>
      </c>
      <c r="AH34" s="97">
        <f>LCI_HC!$E7*'IW+_end'!AH35</f>
        <v>4.4216512357736619E-5</v>
      </c>
      <c r="AI34" s="97">
        <f>LCI_HC!$E7*'IW+_end'!AI35</f>
        <v>1.1728631702773519E-5</v>
      </c>
      <c r="AJ34" s="97">
        <f>LCI_HC!$E7*'IW+_end'!AJ35</f>
        <v>1.4325631145776835E-6</v>
      </c>
      <c r="AK34" s="97">
        <f>LCI_HC!$E7*'IW+_end'!AK35</f>
        <v>3.4125772359188772E-4</v>
      </c>
    </row>
    <row r="35" spans="1:45" s="41" customFormat="1" x14ac:dyDescent="0.35">
      <c r="A35" s="104" t="s">
        <v>354</v>
      </c>
      <c r="B35" s="95"/>
      <c r="C35" s="107">
        <f>SUM(C36:C40)</f>
        <v>-141.54373963905152</v>
      </c>
      <c r="D35" s="107">
        <f t="shared" ref="D35:AK35" si="2">SUM(D36:D40)</f>
        <v>-37.189590649013006</v>
      </c>
      <c r="E35" s="107">
        <f t="shared" si="2"/>
        <v>-1.9075810792566104E-3</v>
      </c>
      <c r="F35" s="107">
        <f t="shared" si="2"/>
        <v>-5.0120308851712026E-4</v>
      </c>
      <c r="G35" s="107">
        <f t="shared" si="2"/>
        <v>0</v>
      </c>
      <c r="H35" s="107">
        <f t="shared" si="2"/>
        <v>0.67379289591198499</v>
      </c>
      <c r="I35" s="107">
        <f t="shared" si="2"/>
        <v>0</v>
      </c>
      <c r="J35" s="107">
        <f t="shared" si="2"/>
        <v>1.5513494802722975E-9</v>
      </c>
      <c r="K35" s="107">
        <f t="shared" si="2"/>
        <v>-0.25419203593559148</v>
      </c>
      <c r="L35" s="107">
        <f t="shared" si="2"/>
        <v>0</v>
      </c>
      <c r="M35" s="107">
        <f t="shared" si="2"/>
        <v>0</v>
      </c>
      <c r="N35" s="107">
        <f t="shared" si="2"/>
        <v>0</v>
      </c>
      <c r="O35" s="107">
        <f t="shared" si="2"/>
        <v>0</v>
      </c>
      <c r="P35" s="107">
        <f t="shared" si="2"/>
        <v>0</v>
      </c>
      <c r="Q35" s="107">
        <f t="shared" si="2"/>
        <v>0</v>
      </c>
      <c r="R35" s="107">
        <f t="shared" si="2"/>
        <v>0</v>
      </c>
      <c r="S35" s="107">
        <f t="shared" si="2"/>
        <v>0</v>
      </c>
      <c r="T35" s="107">
        <f t="shared" si="2"/>
        <v>-54.172799999999988</v>
      </c>
      <c r="U35" s="107">
        <f t="shared" si="2"/>
        <v>-5.8805999999999994</v>
      </c>
      <c r="V35" s="107">
        <f t="shared" si="2"/>
        <v>0</v>
      </c>
      <c r="W35" s="107">
        <f t="shared" si="2"/>
        <v>0</v>
      </c>
      <c r="X35" s="107">
        <f t="shared" si="2"/>
        <v>0.25866697555390422</v>
      </c>
      <c r="Y35" s="107">
        <f t="shared" si="2"/>
        <v>1.5513494802722975E-9</v>
      </c>
      <c r="Z35" s="107">
        <f t="shared" si="2"/>
        <v>6.4724516847563201E-5</v>
      </c>
      <c r="AA35" s="107">
        <f t="shared" si="2"/>
        <v>0</v>
      </c>
      <c r="AB35" s="107">
        <f t="shared" si="2"/>
        <v>0</v>
      </c>
      <c r="AC35" s="107">
        <f t="shared" si="2"/>
        <v>8.6869892588442497</v>
      </c>
      <c r="AD35" s="107">
        <f t="shared" si="2"/>
        <v>0</v>
      </c>
      <c r="AE35" s="107">
        <f t="shared" si="2"/>
        <v>0</v>
      </c>
      <c r="AF35" s="107">
        <f t="shared" si="2"/>
        <v>0</v>
      </c>
      <c r="AG35" s="107">
        <f t="shared" si="2"/>
        <v>-229.42147319368993</v>
      </c>
      <c r="AH35" s="107">
        <f t="shared" si="2"/>
        <v>-2.3440596509630048E-3</v>
      </c>
      <c r="AI35" s="107">
        <f t="shared" si="2"/>
        <v>0</v>
      </c>
      <c r="AJ35" s="107">
        <f t="shared" si="2"/>
        <v>0</v>
      </c>
      <c r="AK35" s="107">
        <f t="shared" si="2"/>
        <v>0</v>
      </c>
    </row>
    <row r="36" spans="1:45" x14ac:dyDescent="0.35">
      <c r="A36" s="98"/>
      <c r="B36" s="98" t="s">
        <v>111</v>
      </c>
      <c r="C36" s="102">
        <f>LCI_HC!$E9*'IW+_end'!C18</f>
        <v>0</v>
      </c>
      <c r="D36" s="102">
        <f>LCI_HC!$E9*'IW+_end'!D18</f>
        <v>0</v>
      </c>
      <c r="E36" s="102">
        <f>LCI_HC!$E9*'IW+_end'!E18</f>
        <v>0</v>
      </c>
      <c r="F36" s="102">
        <f>LCI_HC!$E9*'IW+_end'!F18</f>
        <v>0</v>
      </c>
      <c r="G36" s="102">
        <f>LCI_HC!$E9*'IW+_end'!G18</f>
        <v>0</v>
      </c>
      <c r="H36" s="102">
        <f>LCI_HC!$E9*'IW+_end'!H18</f>
        <v>0.67379289591198499</v>
      </c>
      <c r="I36" s="102">
        <f>LCI_HC!$E9*'IW+_end'!I18</f>
        <v>0</v>
      </c>
      <c r="J36" s="102">
        <f>LCI_HC!$E9*'IW+_end'!J18</f>
        <v>0</v>
      </c>
      <c r="K36" s="102">
        <f>LCI_HC!$E9*'IW+_end'!K18</f>
        <v>0</v>
      </c>
      <c r="L36" s="102">
        <f>LCI_HC!$E9*'IW+_end'!L18</f>
        <v>0</v>
      </c>
      <c r="M36" s="102">
        <f>LCI_HC!$E9*'IW+_end'!M18</f>
        <v>0</v>
      </c>
      <c r="N36" s="102">
        <f>LCI_HC!$E9*'IW+_end'!N18</f>
        <v>0</v>
      </c>
      <c r="O36" s="102">
        <f>LCI_HC!$E9*'IW+_end'!O18</f>
        <v>0</v>
      </c>
      <c r="P36" s="102">
        <f>LCI_HC!$E9*'IW+_end'!P18</f>
        <v>0</v>
      </c>
      <c r="Q36" s="102">
        <f>LCI_HC!$E9*'IW+_end'!Q18</f>
        <v>0</v>
      </c>
      <c r="R36" s="102">
        <f>LCI_HC!$E9*'IW+_end'!R18</f>
        <v>0</v>
      </c>
      <c r="S36" s="102">
        <f>LCI_HC!$E9*'IW+_end'!S18</f>
        <v>0</v>
      </c>
      <c r="T36" s="102">
        <f>LCI_HC!$E9*'IW+_end'!T18</f>
        <v>0</v>
      </c>
      <c r="U36" s="102">
        <f>LCI_HC!$E9*'IW+_end'!U18</f>
        <v>0</v>
      </c>
      <c r="V36" s="102">
        <f>LCI_HC!$E9*'IW+_end'!V18</f>
        <v>0</v>
      </c>
      <c r="W36" s="102">
        <f>LCI_HC!$E9*'IW+_end'!W18</f>
        <v>0</v>
      </c>
      <c r="X36" s="102">
        <f>LCI_HC!$E9*'IW+_end'!X18</f>
        <v>0.25866697555390422</v>
      </c>
      <c r="Y36" s="102">
        <f>LCI_HC!$E9*'IW+_end'!Y18</f>
        <v>0</v>
      </c>
      <c r="Z36" s="102">
        <f>LCI_HC!$E9*'IW+_end'!Z18</f>
        <v>6.4724516847563201E-5</v>
      </c>
      <c r="AA36" s="102">
        <f>LCI_HC!$E9*'IW+_end'!AA18</f>
        <v>0</v>
      </c>
      <c r="AB36" s="102">
        <f>LCI_HC!$E9*'IW+_end'!AB18</f>
        <v>0</v>
      </c>
      <c r="AC36" s="102">
        <f>LCI_HC!$E9*'IW+_end'!AC18</f>
        <v>8.6869892588442497</v>
      </c>
      <c r="AD36" s="102">
        <f>LCI_HC!$E9*'IW+_end'!AD18</f>
        <v>0</v>
      </c>
      <c r="AE36" s="102">
        <f>LCI_HC!$E9*'IW+_end'!AE18</f>
        <v>0</v>
      </c>
      <c r="AF36" s="102">
        <f>LCI_HC!$E9*'IW+_end'!AF18</f>
        <v>0</v>
      </c>
      <c r="AG36" s="102">
        <f>LCI_HC!$E9*'IW+_end'!AG18</f>
        <v>9.619449130310139</v>
      </c>
      <c r="AH36" s="102">
        <f>LCI_HC!$E9*'IW+_end'!AH18</f>
        <v>6.4724516846851693E-5</v>
      </c>
      <c r="AI36" s="102">
        <f>LCI_HC!$E9*'IW+_end'!AI18</f>
        <v>0</v>
      </c>
      <c r="AJ36" s="102">
        <f>LCI_HC!$E9*'IW+_end'!AJ18</f>
        <v>0</v>
      </c>
      <c r="AK36" s="102">
        <f>LCI_HC!$E9*'IW+_end'!AK18</f>
        <v>0</v>
      </c>
    </row>
    <row r="37" spans="1:45" x14ac:dyDescent="0.35">
      <c r="A37" s="98"/>
      <c r="B37" s="98" t="s">
        <v>112</v>
      </c>
      <c r="C37" s="102">
        <f>LCI_HC!$E10*'IW+_end'!C20</f>
        <v>6.6593045599137257</v>
      </c>
      <c r="D37" s="102">
        <f>LCI_HC!$E10*'IW+_end'!D20</f>
        <v>4.9404487987673784</v>
      </c>
      <c r="E37" s="102">
        <f>LCI_HC!$E10*'IW+_end'!E20</f>
        <v>8.974726407464455E-5</v>
      </c>
      <c r="F37" s="102">
        <f>LCI_HC!$E10*'IW+_end'!F20</f>
        <v>6.6582292340145019E-5</v>
      </c>
      <c r="G37" s="102">
        <f>LCI_HC!$E10*'IW+_end'!G20</f>
        <v>0</v>
      </c>
      <c r="H37" s="102">
        <f>LCI_HC!$E10*'IW+_end'!H20</f>
        <v>0</v>
      </c>
      <c r="I37" s="102">
        <f>LCI_HC!$E10*'IW+_end'!I20</f>
        <v>0</v>
      </c>
      <c r="J37" s="102">
        <f>LCI_HC!$E10*'IW+_end'!J20</f>
        <v>0</v>
      </c>
      <c r="K37" s="102">
        <f>LCI_HC!$E10*'IW+_end'!K20</f>
        <v>0</v>
      </c>
      <c r="L37" s="102">
        <f>LCI_HC!$E10*'IW+_end'!L20</f>
        <v>0</v>
      </c>
      <c r="M37" s="102">
        <f>LCI_HC!$E10*'IW+_end'!M20</f>
        <v>0</v>
      </c>
      <c r="N37" s="102">
        <f>LCI_HC!$E10*'IW+_end'!N20</f>
        <v>0</v>
      </c>
      <c r="O37" s="102">
        <f>LCI_HC!$E10*'IW+_end'!O20</f>
        <v>0</v>
      </c>
      <c r="P37" s="102">
        <f>LCI_HC!$E10*'IW+_end'!P20</f>
        <v>0</v>
      </c>
      <c r="Q37" s="102">
        <f>LCI_HC!$E10*'IW+_end'!Q20</f>
        <v>0</v>
      </c>
      <c r="R37" s="102">
        <f>LCI_HC!$E10*'IW+_end'!R20</f>
        <v>0</v>
      </c>
      <c r="S37" s="102">
        <f>LCI_HC!$E10*'IW+_end'!S20</f>
        <v>0</v>
      </c>
      <c r="T37" s="102">
        <f>LCI_HC!$E10*'IW+_end'!T20</f>
        <v>0</v>
      </c>
      <c r="U37" s="102">
        <f>LCI_HC!$E10*'IW+_end'!U20</f>
        <v>0</v>
      </c>
      <c r="V37" s="102">
        <f>LCI_HC!$E10*'IW+_end'!V20</f>
        <v>0</v>
      </c>
      <c r="W37" s="102">
        <f>LCI_HC!$E10*'IW+_end'!W20</f>
        <v>0</v>
      </c>
      <c r="X37" s="102">
        <f>LCI_HC!$E10*'IW+_end'!X20</f>
        <v>0</v>
      </c>
      <c r="Y37" s="102">
        <f>LCI_HC!$E10*'IW+_end'!Y20</f>
        <v>0</v>
      </c>
      <c r="Z37" s="102">
        <f>LCI_HC!$E10*'IW+_end'!Z20</f>
        <v>0</v>
      </c>
      <c r="AA37" s="102">
        <f>LCI_HC!$E10*'IW+_end'!AA20</f>
        <v>0</v>
      </c>
      <c r="AB37" s="102">
        <f>LCI_HC!$E10*'IW+_end'!AB20</f>
        <v>0</v>
      </c>
      <c r="AC37" s="102">
        <f>LCI_HC!$E10*'IW+_end'!AC20</f>
        <v>0</v>
      </c>
      <c r="AD37" s="102">
        <f>LCI_HC!$E10*'IW+_end'!AD20</f>
        <v>0</v>
      </c>
      <c r="AE37" s="102">
        <f>LCI_HC!$E10*'IW+_end'!AE20</f>
        <v>0</v>
      </c>
      <c r="AF37" s="102">
        <f>LCI_HC!$E10*'IW+_end'!AF20</f>
        <v>0</v>
      </c>
      <c r="AG37" s="102">
        <f>LCI_HC!$E10*'IW+_end'!AG20</f>
        <v>11.599753358681102</v>
      </c>
      <c r="AH37" s="102">
        <f>LCI_HC!$E10*'IW+_end'!AH20</f>
        <v>1.5632955641419789E-4</v>
      </c>
      <c r="AI37" s="102">
        <f>LCI_HC!$E10*'IW+_end'!AI20</f>
        <v>0</v>
      </c>
      <c r="AJ37" s="102">
        <f>LCI_HC!$E10*'IW+_end'!AJ20</f>
        <v>0</v>
      </c>
      <c r="AK37" s="102">
        <f>LCI_HC!$E10*'IW+_end'!AK20</f>
        <v>0</v>
      </c>
      <c r="AL37" s="36"/>
      <c r="AM37" s="36"/>
      <c r="AN37" s="36"/>
      <c r="AO37" s="36"/>
      <c r="AP37" s="36"/>
      <c r="AQ37" s="36"/>
      <c r="AR37" s="36"/>
      <c r="AS37" s="36"/>
    </row>
    <row r="38" spans="1:45" x14ac:dyDescent="0.35">
      <c r="A38" s="98"/>
      <c r="B38" s="98" t="s">
        <v>115</v>
      </c>
      <c r="C38" s="102">
        <f>LCI_HC!$E11*impact_process_end!C20</f>
        <v>0</v>
      </c>
      <c r="D38" s="102">
        <f>LCI_HC!$E11*impact_process_end!D20</f>
        <v>0</v>
      </c>
      <c r="E38" s="102">
        <f>LCI_HC!$E11*impact_process_end!E20</f>
        <v>0</v>
      </c>
      <c r="F38" s="102">
        <f>LCI_HC!$E11*impact_process_end!F20</f>
        <v>0</v>
      </c>
      <c r="G38" s="102">
        <f>LCI_HC!$E11*impact_process_end!G20</f>
        <v>0</v>
      </c>
      <c r="H38" s="102">
        <f>LCI_HC!$E11*impact_process_end!H20</f>
        <v>0</v>
      </c>
      <c r="I38" s="102">
        <f>LCI_HC!$E11*impact_process_end!I20</f>
        <v>0</v>
      </c>
      <c r="J38" s="102">
        <f>LCI_HC!$E11*impact_process_end!J20</f>
        <v>1.5513494802722975E-9</v>
      </c>
      <c r="K38" s="102">
        <f>LCI_HC!$E11*impact_process_end!K20</f>
        <v>0</v>
      </c>
      <c r="L38" s="102">
        <f>LCI_HC!$E11*impact_process_end!L20</f>
        <v>0</v>
      </c>
      <c r="M38" s="102">
        <f>LCI_HC!$E11*impact_process_end!M20</f>
        <v>0</v>
      </c>
      <c r="N38" s="102">
        <f>LCI_HC!$E11*impact_process_end!N20</f>
        <v>0</v>
      </c>
      <c r="O38" s="102">
        <f>LCI_HC!$E11*impact_process_end!O20</f>
        <v>0</v>
      </c>
      <c r="P38" s="102">
        <f>LCI_HC!$E11*impact_process_end!P20</f>
        <v>0</v>
      </c>
      <c r="Q38" s="102">
        <f>LCI_HC!$E11*impact_process_end!Q20</f>
        <v>0</v>
      </c>
      <c r="R38" s="102">
        <f>LCI_HC!$E11*impact_process_end!R20</f>
        <v>0</v>
      </c>
      <c r="S38" s="102">
        <f>LCI_HC!$E11*impact_process_end!S20</f>
        <v>0</v>
      </c>
      <c r="T38" s="102">
        <f>LCI_HC!$E11*impact_process_end!T20</f>
        <v>0</v>
      </c>
      <c r="U38" s="102">
        <f>LCI_HC!$E11*impact_process_end!U20</f>
        <v>0</v>
      </c>
      <c r="V38" s="102">
        <f>LCI_HC!$E11*impact_process_end!V20</f>
        <v>0</v>
      </c>
      <c r="W38" s="102">
        <f>LCI_HC!$E11*impact_process_end!W20</f>
        <v>0</v>
      </c>
      <c r="X38" s="102">
        <f>LCI_HC!$E11*impact_process_end!X20</f>
        <v>0</v>
      </c>
      <c r="Y38" s="102">
        <f>LCI_HC!$E11*impact_process_end!Y20</f>
        <v>1.5513494802722975E-9</v>
      </c>
      <c r="Z38" s="102">
        <f>LCI_HC!$E11*impact_process_end!Z20</f>
        <v>0</v>
      </c>
      <c r="AA38" s="102">
        <f>LCI_HC!$E11*impact_process_end!AA20</f>
        <v>0</v>
      </c>
      <c r="AB38" s="102">
        <f>LCI_HC!$E11*impact_process_end!AB20</f>
        <v>0</v>
      </c>
      <c r="AC38" s="102">
        <f>LCI_HC!$E11*impact_process_end!AC20</f>
        <v>0</v>
      </c>
      <c r="AD38" s="102">
        <f>LCI_HC!$E11*impact_process_end!AD20</f>
        <v>0</v>
      </c>
      <c r="AE38" s="102">
        <f>LCI_HC!$E11*impact_process_end!AE20</f>
        <v>0</v>
      </c>
      <c r="AF38" s="102">
        <f>LCI_HC!$E11*impact_process_end!AF20</f>
        <v>0</v>
      </c>
      <c r="AG38" s="102">
        <f>LCI_HC!$E11*impact_process_end!AG20</f>
        <v>0</v>
      </c>
      <c r="AH38" s="102">
        <f>LCI_HC!$E11*impact_process_end!AH20</f>
        <v>0</v>
      </c>
      <c r="AI38" s="102">
        <f>LCI_HC!$E11*impact_process_end!AI20</f>
        <v>0</v>
      </c>
      <c r="AJ38" s="102">
        <f>LCI_HC!$E11*impact_process_end!AJ20</f>
        <v>0</v>
      </c>
      <c r="AK38" s="102">
        <f>LCI_HC!$E11*impact_process_end!AK20</f>
        <v>0</v>
      </c>
    </row>
    <row r="39" spans="1:45" x14ac:dyDescent="0.35">
      <c r="A39" s="98"/>
      <c r="B39" s="98" t="s">
        <v>417</v>
      </c>
      <c r="C39" s="102">
        <f>LCI_HC!$E12*'IW+_end'!C25</f>
        <v>0</v>
      </c>
      <c r="D39" s="102">
        <f>LCI_HC!$E12*'IW+_end'!D25</f>
        <v>0</v>
      </c>
      <c r="E39" s="102">
        <f>LCI_HC!$E12*'IW+_end'!E25</f>
        <v>0</v>
      </c>
      <c r="F39" s="102">
        <f>LCI_HC!$E12*'IW+_end'!F25</f>
        <v>0</v>
      </c>
      <c r="G39" s="102">
        <f>LCI_HC!$E12*'IW+_end'!G25</f>
        <v>0</v>
      </c>
      <c r="H39" s="102">
        <f>LCI_HC!$E12*'IW+_end'!H25</f>
        <v>0</v>
      </c>
      <c r="I39" s="102">
        <f>LCI_HC!$E12*'IW+_end'!I25</f>
        <v>0</v>
      </c>
      <c r="J39" s="102">
        <f>LCI_HC!$E12*'IW+_end'!J25</f>
        <v>0</v>
      </c>
      <c r="K39" s="102">
        <f>LCI_HC!$E12*'IW+_end'!K25</f>
        <v>-0.25419203593559148</v>
      </c>
      <c r="L39" s="102">
        <f>LCI_HC!$E12*'IW+_end'!L25</f>
        <v>0</v>
      </c>
      <c r="M39" s="102">
        <f>LCI_HC!$E12*'IW+_end'!M25</f>
        <v>0</v>
      </c>
      <c r="N39" s="102">
        <f>LCI_HC!$E12*'IW+_end'!N25</f>
        <v>0</v>
      </c>
      <c r="O39" s="102">
        <f>LCI_HC!$E12*'IW+_end'!O25</f>
        <v>0</v>
      </c>
      <c r="P39" s="102">
        <f>LCI_HC!$E12*'IW+_end'!P25</f>
        <v>0</v>
      </c>
      <c r="Q39" s="102">
        <f>LCI_HC!$E12*'IW+_end'!Q25</f>
        <v>0</v>
      </c>
      <c r="R39" s="102">
        <f>LCI_HC!$E12*'IW+_end'!R25</f>
        <v>0</v>
      </c>
      <c r="S39" s="102">
        <f>LCI_HC!$E12*'IW+_end'!S25</f>
        <v>0</v>
      </c>
      <c r="T39" s="102">
        <f>LCI_HC!$E12*'IW+_end'!T25</f>
        <v>0</v>
      </c>
      <c r="U39" s="102">
        <f>LCI_HC!$E12*'IW+_end'!U25</f>
        <v>0</v>
      </c>
      <c r="V39" s="102">
        <f>LCI_HC!$E12*'IW+_end'!V25</f>
        <v>0</v>
      </c>
      <c r="W39" s="102">
        <f>LCI_HC!$E12*'IW+_end'!W25</f>
        <v>0</v>
      </c>
      <c r="X39" s="102">
        <f>LCI_HC!$E12*'IW+_end'!X25</f>
        <v>0</v>
      </c>
      <c r="Y39" s="102">
        <f>LCI_HC!$E12*'IW+_end'!Y25</f>
        <v>0</v>
      </c>
      <c r="Z39" s="102">
        <f>LCI_HC!$E12*'IW+_end'!Z25</f>
        <v>0</v>
      </c>
      <c r="AA39" s="102">
        <f>LCI_HC!$E12*'IW+_end'!AA25</f>
        <v>0</v>
      </c>
      <c r="AB39" s="102">
        <f>LCI_HC!$E12*'IW+_end'!AB25</f>
        <v>0</v>
      </c>
      <c r="AC39" s="102">
        <f>LCI_HC!$E12*'IW+_end'!AC25</f>
        <v>0</v>
      </c>
      <c r="AD39" s="102">
        <f>LCI_HC!$E12*'IW+_end'!AD25</f>
        <v>0</v>
      </c>
      <c r="AE39" s="102">
        <f>LCI_HC!$E12*'IW+_end'!AE25</f>
        <v>0</v>
      </c>
      <c r="AF39" s="102">
        <f>LCI_HC!$E12*'IW+_end'!AF25</f>
        <v>0</v>
      </c>
      <c r="AG39" s="102">
        <f>LCI_HC!$E12*'IW+_end'!AG25</f>
        <v>-0.25419203593559148</v>
      </c>
      <c r="AH39" s="102">
        <f>LCI_HC!$E12*'IW+_end'!AH25</f>
        <v>0</v>
      </c>
      <c r="AI39" s="102">
        <f>LCI_HC!$E12*'IW+_end'!AI25</f>
        <v>0</v>
      </c>
      <c r="AJ39" s="102">
        <f>LCI_HC!$E12*'IW+_end'!AJ25</f>
        <v>0</v>
      </c>
      <c r="AK39" s="102">
        <f>LCI_HC!$E12*'IW+_end'!AK25</f>
        <v>0</v>
      </c>
    </row>
    <row r="40" spans="1:45" x14ac:dyDescent="0.35">
      <c r="A40" s="98"/>
      <c r="B40" s="98" t="s">
        <v>418</v>
      </c>
      <c r="C40" s="102">
        <f>LCI_HC!$E13*'IW+_end'!C26</f>
        <v>-148.20304419896524</v>
      </c>
      <c r="D40" s="102">
        <f>LCI_HC!$E13*'IW+_end'!D26</f>
        <v>-42.130039447780383</v>
      </c>
      <c r="E40" s="102">
        <f>LCI_HC!$E13*'IW+_end'!E26</f>
        <v>-1.997328343331255E-3</v>
      </c>
      <c r="F40" s="102">
        <f>LCI_HC!$E13*'IW+_end'!F26</f>
        <v>-5.6778538085726523E-4</v>
      </c>
      <c r="G40" s="102">
        <f>LCI_HC!$E13*'IW+_end'!G26</f>
        <v>0</v>
      </c>
      <c r="H40" s="102">
        <f>LCI_HC!$E13*'IW+_end'!H26</f>
        <v>0</v>
      </c>
      <c r="I40" s="102">
        <f>LCI_HC!$E13*'IW+_end'!I26</f>
        <v>0</v>
      </c>
      <c r="J40" s="102">
        <f>LCI_HC!$E13*'IW+_end'!J26</f>
        <v>0</v>
      </c>
      <c r="K40" s="102">
        <f>LCI_HC!$E13*'IW+_end'!K26</f>
        <v>0</v>
      </c>
      <c r="L40" s="102">
        <f>LCI_HC!$E13*'IW+_end'!L26</f>
        <v>0</v>
      </c>
      <c r="M40" s="102">
        <f>LCI_HC!$E13*'IW+_end'!M26</f>
        <v>0</v>
      </c>
      <c r="N40" s="102">
        <f>LCI_HC!$E13*'IW+_end'!N26</f>
        <v>0</v>
      </c>
      <c r="O40" s="102">
        <f>LCI_HC!$E13*'IW+_end'!O26</f>
        <v>0</v>
      </c>
      <c r="P40" s="102">
        <f>LCI_HC!$E13*'IW+_end'!P26</f>
        <v>0</v>
      </c>
      <c r="Q40" s="102">
        <f>LCI_HC!$E13*'IW+_end'!Q26</f>
        <v>0</v>
      </c>
      <c r="R40" s="102">
        <f>LCI_HC!$E13*'IW+_end'!R26</f>
        <v>0</v>
      </c>
      <c r="S40" s="102">
        <f>LCI_HC!$E13*'IW+_end'!S26</f>
        <v>0</v>
      </c>
      <c r="T40" s="102">
        <f>LCI_HC!$E13*'IW+_end'!T26</f>
        <v>-54.172799999999988</v>
      </c>
      <c r="U40" s="102">
        <f>LCI_HC!$E13*'IW+_end'!U26</f>
        <v>-5.8805999999999994</v>
      </c>
      <c r="V40" s="102">
        <f>LCI_HC!$E13*'IW+_end'!V26</f>
        <v>0</v>
      </c>
      <c r="W40" s="102">
        <f>LCI_HC!$E13*'IW+_end'!W26</f>
        <v>0</v>
      </c>
      <c r="X40" s="102">
        <f>LCI_HC!$E13*'IW+_end'!X26</f>
        <v>0</v>
      </c>
      <c r="Y40" s="102">
        <f>LCI_HC!$E13*'IW+_end'!Y26</f>
        <v>0</v>
      </c>
      <c r="Z40" s="102">
        <f>LCI_HC!$E13*'IW+_end'!Z26</f>
        <v>0</v>
      </c>
      <c r="AA40" s="102">
        <f>LCI_HC!$E13*'IW+_end'!AA26</f>
        <v>0</v>
      </c>
      <c r="AB40" s="102">
        <f>LCI_HC!$E13*'IW+_end'!AB26</f>
        <v>0</v>
      </c>
      <c r="AC40" s="102">
        <f>LCI_HC!$E13*'IW+_end'!AC26</f>
        <v>0</v>
      </c>
      <c r="AD40" s="102">
        <f>LCI_HC!$E13*'IW+_end'!AD26</f>
        <v>0</v>
      </c>
      <c r="AE40" s="102">
        <f>LCI_HC!$E13*'IW+_end'!AE26</f>
        <v>0</v>
      </c>
      <c r="AF40" s="102">
        <f>LCI_HC!$E13*'IW+_end'!AF26</f>
        <v>0</v>
      </c>
      <c r="AG40" s="102">
        <f>LCI_HC!$E13*'IW+_end'!AG26</f>
        <v>-250.38648364674557</v>
      </c>
      <c r="AH40" s="102">
        <f>LCI_HC!$E13*'IW+_end'!AH26</f>
        <v>-2.5651137242240544E-3</v>
      </c>
      <c r="AI40" s="102">
        <f>LCI_HC!$E13*'IW+_end'!AI26</f>
        <v>0</v>
      </c>
      <c r="AJ40" s="102">
        <f>LCI_HC!$E13*'IW+_end'!AJ26</f>
        <v>0</v>
      </c>
      <c r="AK40" s="102">
        <f>LCI_HC!$E13*'IW+_end'!AK26</f>
        <v>0</v>
      </c>
    </row>
    <row r="41" spans="1:45" s="41" customFormat="1" x14ac:dyDescent="0.35">
      <c r="A41" s="104" t="s">
        <v>416</v>
      </c>
      <c r="B41" s="95"/>
      <c r="C41" s="105">
        <f>SUM(C42:C45)</f>
        <v>9.875027666282481</v>
      </c>
      <c r="D41" s="105">
        <f t="shared" ref="D41:AC41" si="3">SUM(D42:D45)</f>
        <v>3.3376955514663154</v>
      </c>
      <c r="E41" s="105">
        <f t="shared" si="3"/>
        <v>1.3308547577853331E-4</v>
      </c>
      <c r="F41" s="105">
        <f t="shared" si="3"/>
        <v>4.498203098584436E-5</v>
      </c>
      <c r="G41" s="105">
        <f t="shared" si="3"/>
        <v>6.5378740004241354E-17</v>
      </c>
      <c r="H41" s="105">
        <f t="shared" si="3"/>
        <v>0.2046115945425323</v>
      </c>
      <c r="I41" s="105">
        <f t="shared" si="3"/>
        <v>2.1024818448679872</v>
      </c>
      <c r="J41" s="105">
        <f t="shared" si="3"/>
        <v>0.51323164662653831</v>
      </c>
      <c r="K41" s="105">
        <f t="shared" si="3"/>
        <v>1.1376462559755478E-2</v>
      </c>
      <c r="L41" s="105">
        <f t="shared" si="3"/>
        <v>1.1450731018120105E-7</v>
      </c>
      <c r="M41" s="105">
        <f t="shared" si="3"/>
        <v>5.827172399897369E-6</v>
      </c>
      <c r="N41" s="105">
        <f t="shared" si="3"/>
        <v>3.7209261526484251E-6</v>
      </c>
      <c r="O41" s="105">
        <f t="shared" si="3"/>
        <v>3.9267873321452929E-6</v>
      </c>
      <c r="P41" s="105">
        <f t="shared" si="3"/>
        <v>6.0812760615196873E-9</v>
      </c>
      <c r="Q41" s="105">
        <f t="shared" si="3"/>
        <v>8.6457444015782077E-8</v>
      </c>
      <c r="R41" s="105">
        <f t="shared" si="3"/>
        <v>0.64540205679489793</v>
      </c>
      <c r="S41" s="105">
        <f t="shared" si="3"/>
        <v>2.2430255910703742</v>
      </c>
      <c r="T41" s="105">
        <f t="shared" si="3"/>
        <v>3.4321452653022959</v>
      </c>
      <c r="U41" s="105">
        <f t="shared" si="3"/>
        <v>0.37256712244254886</v>
      </c>
      <c r="V41" s="105">
        <f t="shared" si="3"/>
        <v>7.5889110382084268E-6</v>
      </c>
      <c r="W41" s="105">
        <f t="shared" si="3"/>
        <v>9.343549260478693E-6</v>
      </c>
      <c r="X41" s="105">
        <f t="shared" si="3"/>
        <v>5.4007808162823127E-2</v>
      </c>
      <c r="Y41" s="105">
        <f t="shared" si="3"/>
        <v>9.6094779847868126E-10</v>
      </c>
      <c r="Z41" s="105">
        <f t="shared" si="3"/>
        <v>1.7448064879082395E-5</v>
      </c>
      <c r="AA41" s="105">
        <f t="shared" si="3"/>
        <v>0.56707140787607058</v>
      </c>
      <c r="AB41" s="105">
        <f t="shared" si="3"/>
        <v>5.5969756855648734E-8</v>
      </c>
      <c r="AC41" s="105">
        <f t="shared" si="3"/>
        <v>1.6169154907151457</v>
      </c>
      <c r="AD41" s="105">
        <f t="shared" ref="AD41" si="4">SUM(AD42:AD45)</f>
        <v>0.27699717528794032</v>
      </c>
      <c r="AE41" s="105">
        <f t="shared" ref="AE41" si="5">SUM(AE42:AE45)</f>
        <v>0.34103954800747222</v>
      </c>
      <c r="AF41" s="105">
        <f t="shared" ref="AF41" si="6">SUM(AF42:AF45)</f>
        <v>5.123599148485097E-3</v>
      </c>
      <c r="AG41" s="105">
        <f t="shared" ref="AG41" si="7">SUM(AG42:AG45)</f>
        <v>25.664447052442327</v>
      </c>
      <c r="AH41" s="105">
        <f t="shared" ref="AH41" si="8">SUM(AH42:AH45)</f>
        <v>2.5461623353061253E-4</v>
      </c>
      <c r="AI41" s="105">
        <f t="shared" ref="AI41" si="9">SUM(AI42:AI45)</f>
        <v>3.7143435888912726E-4</v>
      </c>
      <c r="AJ41" s="105">
        <f t="shared" ref="AJ41" si="10">SUM(AJ42:AJ45)</f>
        <v>4.5367880543610386E-5</v>
      </c>
      <c r="AK41" s="105">
        <f t="shared" ref="AK41" si="11">SUM(AK42:AK45)</f>
        <v>6.5338848388217796E-2</v>
      </c>
    </row>
    <row r="42" spans="1:45" x14ac:dyDescent="0.35">
      <c r="A42" s="98"/>
      <c r="B42" s="98" t="s">
        <v>230</v>
      </c>
      <c r="C42" s="97">
        <f>LCI_HC!$E15*'IW+_end'!C28</f>
        <v>6.6748424413639267</v>
      </c>
      <c r="D42" s="97">
        <f>LCI_HC!$E15*'IW+_end'!D28</f>
        <v>2.150297846727995</v>
      </c>
      <c r="E42" s="97">
        <f>LCI_HC!$E15*'IW+_end'!E28</f>
        <v>8.9956667674844182E-5</v>
      </c>
      <c r="F42" s="97">
        <f>LCI_HC!$E15*'IW+_end'!F28</f>
        <v>2.8979504834651552E-5</v>
      </c>
      <c r="G42" s="97">
        <f>LCI_HC!$E15*'IW+_end'!G28</f>
        <v>4.6292152927115792E-17</v>
      </c>
      <c r="H42" s="97">
        <f>LCI_HC!$E15*'IW+_end'!H28</f>
        <v>0.10295072805299263</v>
      </c>
      <c r="I42" s="97">
        <f>LCI_HC!$E15*'IW+_end'!I28</f>
        <v>0.85618657218561223</v>
      </c>
      <c r="J42" s="97">
        <f>LCI_HC!$E15*'IW+_end'!J28</f>
        <v>0.28460820332217035</v>
      </c>
      <c r="K42" s="97">
        <f>LCI_HC!$E15*'IW+_end'!K28</f>
        <v>4.1863851103124161E-4</v>
      </c>
      <c r="L42" s="97">
        <f>LCI_HC!$E15*'IW+_end'!L28</f>
        <v>6.3909403758238549E-8</v>
      </c>
      <c r="M42" s="97">
        <f>LCI_HC!$E15*'IW+_end'!M28</f>
        <v>3.000852173687233E-6</v>
      </c>
      <c r="N42" s="97">
        <f>LCI_HC!$E15*'IW+_end'!N28</f>
        <v>2.081739596642815E-6</v>
      </c>
      <c r="O42" s="97">
        <f>LCI_HC!$E15*'IW+_end'!O28</f>
        <v>2.1069805493880804E-6</v>
      </c>
      <c r="P42" s="97">
        <f>LCI_HC!$E15*'IW+_end'!P28</f>
        <v>8.9991788255373009E-10</v>
      </c>
      <c r="Q42" s="97">
        <f>LCI_HC!$E15*'IW+_end'!Q28</f>
        <v>1.6256217079466632E-8</v>
      </c>
      <c r="R42" s="97">
        <f>LCI_HC!$E15*'IW+_end'!R28</f>
        <v>0.12194851115378483</v>
      </c>
      <c r="S42" s="97">
        <f>LCI_HC!$E15*'IW+_end'!S28</f>
        <v>0.22014143210996107</v>
      </c>
      <c r="T42" s="97">
        <f>LCI_HC!$E15*'IW+_end'!T28</f>
        <v>2.3090486810740609</v>
      </c>
      <c r="U42" s="97">
        <f>LCI_HC!$E15*'IW+_end'!U28</f>
        <v>0.25065280804408024</v>
      </c>
      <c r="V42" s="97">
        <f>LCI_HC!$E15*'IW+_end'!V28</f>
        <v>4.4757861494123518E-6</v>
      </c>
      <c r="W42" s="97">
        <f>LCI_HC!$E15*'IW+_end'!W28</f>
        <v>6.0909930278491217E-6</v>
      </c>
      <c r="X42" s="97">
        <f>LCI_HC!$E15*'IW+_end'!X28</f>
        <v>4.2075428846099251E-2</v>
      </c>
      <c r="Y42" s="97">
        <f>LCI_HC!$E15*'IW+_end'!Y28</f>
        <v>6.9901523227614036E-10</v>
      </c>
      <c r="Z42" s="97">
        <f>LCI_HC!$E15*'IW+_end'!Z28</f>
        <v>8.2828076851175855E-6</v>
      </c>
      <c r="AA42" s="97">
        <f>LCI_HC!$E15*'IW+_end'!AA28</f>
        <v>0.23951583329252632</v>
      </c>
      <c r="AB42" s="97">
        <f>LCI_HC!$E15*'IW+_end'!AB28</f>
        <v>2.3034182335339925E-8</v>
      </c>
      <c r="AC42" s="97">
        <f>LCI_HC!$E15*'IW+_end'!AC28</f>
        <v>0.94363922189700389</v>
      </c>
      <c r="AD42" s="97">
        <f>LCI_HC!$E15*'IW+_end'!AD28</f>
        <v>0.16336690677324175</v>
      </c>
      <c r="AE42" s="97">
        <f>LCI_HC!$E15*'IW+_end'!AE28</f>
        <v>0.22232124551649288</v>
      </c>
      <c r="AF42" s="97">
        <f>LCI_HC!$E15*'IW+_end'!AF28</f>
        <v>1.0106305199529127E-3</v>
      </c>
      <c r="AG42" s="97">
        <f>LCI_HC!$E15*'IW+_end'!AG28</f>
        <v>14.583630768202491</v>
      </c>
      <c r="AH42" s="97">
        <f>LCI_HC!$E15*'IW+_end'!AH28</f>
        <v>1.6150309428838609E-4</v>
      </c>
      <c r="AI42" s="97">
        <f>LCI_HC!$E15*'IW+_end'!AI28</f>
        <v>2.209768682625648E-4</v>
      </c>
      <c r="AJ42" s="97">
        <f>LCI_HC!$E15*'IW+_end'!AJ28</f>
        <v>2.6990642955649751E-5</v>
      </c>
      <c r="AK42" s="97">
        <f>LCI_HC!$E15*'IW+_end'!AK28</f>
        <v>3.7409426421651818E-4</v>
      </c>
    </row>
    <row r="43" spans="1:45" x14ac:dyDescent="0.35">
      <c r="A43" s="98"/>
      <c r="B43" s="98" t="s">
        <v>232</v>
      </c>
      <c r="C43" s="97">
        <f>LCI_HC!$E16*'IW+_end'!C30</f>
        <v>0.51520429007742774</v>
      </c>
      <c r="D43" s="97">
        <f>LCI_HC!$E16*'IW+_end'!D30</f>
        <v>0.15469605983935858</v>
      </c>
      <c r="E43" s="97">
        <f>LCI_HC!$E16*'IW+_end'!E30</f>
        <v>6.9433940222982852E-6</v>
      </c>
      <c r="F43" s="97">
        <f>LCI_HC!$E16*'IW+_end'!F30</f>
        <v>2.0848345362191696E-6</v>
      </c>
      <c r="G43" s="97">
        <f>LCI_HC!$E16*'IW+_end'!G30</f>
        <v>7.8331901426245151E-18</v>
      </c>
      <c r="H43" s="97">
        <f>LCI_HC!$E16*'IW+_end'!H30</f>
        <v>4.8015644796273689E-2</v>
      </c>
      <c r="I43" s="97">
        <f>LCI_HC!$E16*'IW+_end'!I30</f>
        <v>0.25144537652628279</v>
      </c>
      <c r="J43" s="97">
        <f>LCI_HC!$E16*'IW+_end'!J30</f>
        <v>2.3061628172271337E-2</v>
      </c>
      <c r="K43" s="97">
        <f>LCI_HC!$E16*'IW+_end'!K30</f>
        <v>1.0675207240507285E-2</v>
      </c>
      <c r="L43" s="97">
        <f>LCI_HC!$E16*'IW+_end'!L30</f>
        <v>1.3376426456597807E-8</v>
      </c>
      <c r="M43" s="97">
        <f>LCI_HC!$E16*'IW+_end'!M30</f>
        <v>5.0108435709937927E-7</v>
      </c>
      <c r="N43" s="97">
        <f>LCI_HC!$E16*'IW+_end'!N30</f>
        <v>4.2956541842466537E-7</v>
      </c>
      <c r="O43" s="97">
        <f>LCI_HC!$E16*'IW+_end'!O30</f>
        <v>7.5064949003693002E-7</v>
      </c>
      <c r="P43" s="97">
        <f>LCI_HC!$E16*'IW+_end'!P30</f>
        <v>4.9783520347123131E-10</v>
      </c>
      <c r="Q43" s="97">
        <f>LCI_HC!$E16*'IW+_end'!Q30</f>
        <v>1.0129007383915898E-8</v>
      </c>
      <c r="R43" s="97">
        <f>LCI_HC!$E16*'IW+_end'!R30</f>
        <v>7.3184826302345782E-2</v>
      </c>
      <c r="S43" s="97">
        <f>LCI_HC!$E16*'IW+_end'!S30</f>
        <v>8.474271890382172E-2</v>
      </c>
      <c r="T43" s="97">
        <f>LCI_HC!$E16*'IW+_end'!T30</f>
        <v>0.18544799297208378</v>
      </c>
      <c r="U43" s="97">
        <f>LCI_HC!$E16*'IW+_end'!U30</f>
        <v>2.0130791493059987E-2</v>
      </c>
      <c r="V43" s="97">
        <f>LCI_HC!$E16*'IW+_end'!V30</f>
        <v>7.7533750367736558E-7</v>
      </c>
      <c r="W43" s="97">
        <f>LCI_HC!$E16*'IW+_end'!W30</f>
        <v>1.0288287018240121E-6</v>
      </c>
      <c r="X43" s="97">
        <f>LCI_HC!$E16*'IW+_end'!X30</f>
        <v>1.5435709280101895E-3</v>
      </c>
      <c r="Y43" s="97">
        <f>LCI_HC!$E16*'IW+_end'!Y30</f>
        <v>4.0964213504788057E-11</v>
      </c>
      <c r="Z43" s="97">
        <f>LCI_HC!$E16*'IW+_end'!Z30</f>
        <v>3.8661496074075332E-6</v>
      </c>
      <c r="AA43" s="97">
        <f>LCI_HC!$E16*'IW+_end'!AA30</f>
        <v>2.9557453434271824E-2</v>
      </c>
      <c r="AB43" s="97">
        <f>LCI_HC!$E16*'IW+_end'!AB30</f>
        <v>2.9574801160325263E-9</v>
      </c>
      <c r="AC43" s="97">
        <f>LCI_HC!$E16*'IW+_end'!AC30</f>
        <v>0.29279023155428913</v>
      </c>
      <c r="AD43" s="97">
        <f>LCI_HC!$E16*'IW+_end'!AD30</f>
        <v>2.830021297252128E-2</v>
      </c>
      <c r="AE43" s="97">
        <f>LCI_HC!$E16*'IW+_end'!AE30</f>
        <v>3.7552247616576447E-2</v>
      </c>
      <c r="AF43" s="97">
        <f>LCI_HC!$E16*'IW+_end'!AF30</f>
        <v>4.1401224274427711E-4</v>
      </c>
      <c r="AG43" s="97">
        <f>LCI_HC!$E16*'IW+_end'!AG30</f>
        <v>1.7571571153536865</v>
      </c>
      <c r="AH43" s="97">
        <f>LCI_HC!$E16*'IW+_end'!AH30</f>
        <v>1.770010554270558E-5</v>
      </c>
      <c r="AI43" s="97">
        <f>LCI_HC!$E16*'IW+_end'!AI30</f>
        <v>2.536321925560983E-5</v>
      </c>
      <c r="AJ43" s="97">
        <f>LCI_HC!$E16*'IW+_end'!AJ30</f>
        <v>3.0979242330496308E-6</v>
      </c>
      <c r="AK43" s="97">
        <f>LCI_HC!$E16*'IW+_end'!AK30</f>
        <v>3.6768239854565203E-4</v>
      </c>
    </row>
    <row r="44" spans="1:45" x14ac:dyDescent="0.35">
      <c r="A44" s="98"/>
      <c r="B44" s="98" t="s">
        <v>231</v>
      </c>
      <c r="C44" s="97">
        <f>LCI_HC!$E17*'IW+_end'!C29</f>
        <v>1.2678327822603039</v>
      </c>
      <c r="D44" s="97">
        <f>LCI_HC!$E17*'IW+_end'!D29</f>
        <v>0.38610408416040953</v>
      </c>
      <c r="E44" s="97">
        <f>LCI_HC!$E17*'IW+_end'!E29</f>
        <v>1.7086547474783307E-5</v>
      </c>
      <c r="F44" s="97">
        <f>LCI_HC!$E17*'IW+_end'!F29</f>
        <v>5.203514104165255E-6</v>
      </c>
      <c r="G44" s="97">
        <f>LCI_HC!$E17*'IW+_end'!G29</f>
        <v>1.0405520400279362E-17</v>
      </c>
      <c r="H44" s="97">
        <f>LCI_HC!$E17*'IW+_end'!H29</f>
        <v>2.4554952857069458E-2</v>
      </c>
      <c r="I44" s="97">
        <f>LCI_HC!$E17*'IW+_end'!I29</f>
        <v>0.66390176231282261</v>
      </c>
      <c r="J44" s="97">
        <f>LCI_HC!$E17*'IW+_end'!J29</f>
        <v>6.9057074839158003E-2</v>
      </c>
      <c r="K44" s="97">
        <f>LCI_HC!$E17*'IW+_end'!K29</f>
        <v>1.2497377757873589E-4</v>
      </c>
      <c r="L44" s="97">
        <f>LCI_HC!$E17*'IW+_end'!L29</f>
        <v>1.8437611374042475E-8</v>
      </c>
      <c r="M44" s="97">
        <f>LCI_HC!$E17*'IW+_end'!M29</f>
        <v>9.1768141590951861E-7</v>
      </c>
      <c r="N44" s="97">
        <f>LCI_HC!$E17*'IW+_end'!N29</f>
        <v>6.1266058613965471E-7</v>
      </c>
      <c r="O44" s="97">
        <f>LCI_HC!$E17*'IW+_end'!O29</f>
        <v>5.6980381794694568E-7</v>
      </c>
      <c r="P44" s="97">
        <f>LCI_HC!$E17*'IW+_end'!P29</f>
        <v>2.2818519953777497E-10</v>
      </c>
      <c r="Q44" s="97">
        <f>LCI_HC!$E17*'IW+_end'!Q29</f>
        <v>3.963971350920135E-9</v>
      </c>
      <c r="R44" s="97">
        <f>LCI_HC!$E17*'IW+_end'!R29</f>
        <v>0.1187702287474309</v>
      </c>
      <c r="S44" s="97">
        <f>LCI_HC!$E17*'IW+_end'!S29</f>
        <v>0.21909295547277571</v>
      </c>
      <c r="T44" s="97">
        <f>LCI_HC!$E17*'IW+_end'!T29</f>
        <v>0.45852209522142268</v>
      </c>
      <c r="U44" s="97">
        <f>LCI_HC!$E17*'IW+_end'!U29</f>
        <v>4.977348942305785E-2</v>
      </c>
      <c r="V44" s="97">
        <f>LCI_HC!$E17*'IW+_end'!V29</f>
        <v>1.1351874538350625E-6</v>
      </c>
      <c r="W44" s="97">
        <f>LCI_HC!$E17*'IW+_end'!W29</f>
        <v>1.4209985988460966E-6</v>
      </c>
      <c r="X44" s="97">
        <f>LCI_HC!$E17*'IW+_end'!X29</f>
        <v>4.0179692239828702E-3</v>
      </c>
      <c r="Y44" s="97">
        <f>LCI_HC!$E17*'IW+_end'!Y29</f>
        <v>1.3543422347070106E-10</v>
      </c>
      <c r="Z44" s="97">
        <f>LCI_HC!$E17*'IW+_end'!Z29</f>
        <v>2.2555874427055315E-6</v>
      </c>
      <c r="AA44" s="97">
        <f>LCI_HC!$E17*'IW+_end'!AA29</f>
        <v>0.10863140153467742</v>
      </c>
      <c r="AB44" s="97">
        <f>LCI_HC!$E17*'IW+_end'!AB29</f>
        <v>1.0803637403305305E-8</v>
      </c>
      <c r="AC44" s="97">
        <f>LCI_HC!$E17*'IW+_end'!AC29</f>
        <v>0.16925975061046689</v>
      </c>
      <c r="AD44" s="97">
        <f>LCI_HC!$E17*'IW+_end'!AD29</f>
        <v>4.1434566754961787E-2</v>
      </c>
      <c r="AE44" s="97">
        <f>LCI_HC!$E17*'IW+_end'!AE29</f>
        <v>5.1866448857882511E-2</v>
      </c>
      <c r="AF44" s="97">
        <f>LCI_HC!$E17*'IW+_end'!AF29</f>
        <v>2.5519246162501345E-4</v>
      </c>
      <c r="AG44" s="97">
        <f>LCI_HC!$E17*'IW+_end'!AG29</f>
        <v>3.6332925298994376</v>
      </c>
      <c r="AH44" s="97">
        <f>LCI_HC!$E17*'IW+_end'!AH29</f>
        <v>2.8222543111142134E-5</v>
      </c>
      <c r="AI44" s="97">
        <f>LCI_HC!$E17*'IW+_end'!AI29</f>
        <v>1.263613400416889E-5</v>
      </c>
      <c r="AJ44" s="97">
        <f>LCI_HC!$E17*'IW+_end'!AJ29</f>
        <v>1.5434076151401091E-6</v>
      </c>
      <c r="AK44" s="97">
        <f>LCI_HC!$E17*'IW+_end'!AK29</f>
        <v>7.7608835570562427E-5</v>
      </c>
    </row>
    <row r="45" spans="1:45" x14ac:dyDescent="0.35">
      <c r="A45" s="98"/>
      <c r="B45" s="98" t="s">
        <v>233</v>
      </c>
      <c r="C45" s="97">
        <f>LCI_HC!$E18*'IW+_end'!C31</f>
        <v>1.4171481525808212</v>
      </c>
      <c r="D45" s="97">
        <f>LCI_HC!$E18*'IW+_end'!D31</f>
        <v>0.64659756073855257</v>
      </c>
      <c r="E45" s="97">
        <f>LCI_HC!$E18*'IW+_end'!E31</f>
        <v>1.9098866606607546E-5</v>
      </c>
      <c r="F45" s="97">
        <f>LCI_HC!$E18*'IW+_end'!F31</f>
        <v>8.7141775108083831E-6</v>
      </c>
      <c r="G45" s="97">
        <f>LCI_HC!$E18*'IW+_end'!G31</f>
        <v>8.478765342216783E-19</v>
      </c>
      <c r="H45" s="97">
        <f>LCI_HC!$E18*'IW+_end'!H31</f>
        <v>2.9090268836196535E-2</v>
      </c>
      <c r="I45" s="97">
        <f>LCI_HC!$E18*'IW+_end'!I31</f>
        <v>0.33094813384326949</v>
      </c>
      <c r="J45" s="97">
        <f>LCI_HC!$E18*'IW+_end'!J31</f>
        <v>0.13650474029293855</v>
      </c>
      <c r="K45" s="97">
        <f>LCI_HC!$E18*'IW+_end'!K31</f>
        <v>1.5764303063821406E-4</v>
      </c>
      <c r="L45" s="97">
        <f>LCI_HC!$E18*'IW+_end'!L31</f>
        <v>1.8783868592322231E-8</v>
      </c>
      <c r="M45" s="97">
        <f>LCI_HC!$E18*'IW+_end'!M31</f>
        <v>1.4075544532012384E-6</v>
      </c>
      <c r="N45" s="97">
        <f>LCI_HC!$E18*'IW+_end'!N31</f>
        <v>5.9696055144129051E-7</v>
      </c>
      <c r="O45" s="97">
        <f>LCI_HC!$E18*'IW+_end'!O31</f>
        <v>4.9935347477333678E-7</v>
      </c>
      <c r="P45" s="97">
        <f>LCI_HC!$E18*'IW+_end'!P31</f>
        <v>4.4553377759569509E-9</v>
      </c>
      <c r="Q45" s="97">
        <f>LCI_HC!$E18*'IW+_end'!Q31</f>
        <v>5.6108248201479414E-8</v>
      </c>
      <c r="R45" s="97">
        <f>LCI_HC!$E18*'IW+_end'!R31</f>
        <v>0.33149849059133646</v>
      </c>
      <c r="S45" s="97">
        <f>LCI_HC!$E18*'IW+_end'!S31</f>
        <v>1.7190484845838159</v>
      </c>
      <c r="T45" s="97">
        <f>LCI_HC!$E18*'IW+_end'!T31</f>
        <v>0.47912649603472901</v>
      </c>
      <c r="U45" s="97">
        <f>LCI_HC!$E18*'IW+_end'!U31</f>
        <v>5.2010033482350788E-2</v>
      </c>
      <c r="V45" s="97">
        <f>LCI_HC!$E18*'IW+_end'!V31</f>
        <v>1.202599931283647E-6</v>
      </c>
      <c r="W45" s="97">
        <f>LCI_HC!$E18*'IW+_end'!W31</f>
        <v>8.0272893195946268E-7</v>
      </c>
      <c r="X45" s="97">
        <f>LCI_HC!$E18*'IW+_end'!X31</f>
        <v>6.3708391647308137E-3</v>
      </c>
      <c r="Y45" s="97">
        <f>LCI_HC!$E18*'IW+_end'!Y31</f>
        <v>8.5534129227051785E-11</v>
      </c>
      <c r="Z45" s="97">
        <f>LCI_HC!$E18*'IW+_end'!Z31</f>
        <v>3.0435201438517455E-6</v>
      </c>
      <c r="AA45" s="97">
        <f>LCI_HC!$E18*'IW+_end'!AA31</f>
        <v>0.189366719614595</v>
      </c>
      <c r="AB45" s="97">
        <f>LCI_HC!$E18*'IW+_end'!AB31</f>
        <v>1.9174457000970975E-8</v>
      </c>
      <c r="AC45" s="97">
        <f>LCI_HC!$E18*'IW+_end'!AC31</f>
        <v>0.21122628665338591</v>
      </c>
      <c r="AD45" s="97">
        <f>LCI_HC!$E18*'IW+_end'!AD31</f>
        <v>4.3895488787215484E-2</v>
      </c>
      <c r="AE45" s="97">
        <f>LCI_HC!$E18*'IW+_end'!AE31</f>
        <v>2.9299606016520385E-2</v>
      </c>
      <c r="AF45" s="97">
        <f>LCI_HC!$E18*'IW+_end'!AF31</f>
        <v>3.4437639241628941E-3</v>
      </c>
      <c r="AG45" s="97">
        <f>LCI_HC!$E18*'IW+_end'!AG31</f>
        <v>5.6903666389867089</v>
      </c>
      <c r="AH45" s="97">
        <f>LCI_HC!$E18*'IW+_end'!AH31</f>
        <v>4.7190490588378698E-5</v>
      </c>
      <c r="AI45" s="97">
        <f>LCI_HC!$E18*'IW+_end'!AI31</f>
        <v>1.1245813736678375E-4</v>
      </c>
      <c r="AJ45" s="97">
        <f>LCI_HC!$E18*'IW+_end'!AJ31</f>
        <v>1.3735905739770897E-5</v>
      </c>
      <c r="AK45" s="97">
        <f>LCI_HC!$E18*'IW+_end'!AK31</f>
        <v>6.4519462889885068E-2</v>
      </c>
    </row>
    <row r="48" spans="1:45" x14ac:dyDescent="0.35">
      <c r="A48" s="108" t="s">
        <v>419</v>
      </c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</row>
    <row r="49" spans="1:28" ht="29" x14ac:dyDescent="0.35">
      <c r="A49" s="109" t="s">
        <v>0</v>
      </c>
      <c r="B49" s="87"/>
      <c r="C49" s="110" t="s">
        <v>361</v>
      </c>
      <c r="D49" s="110" t="s">
        <v>362</v>
      </c>
      <c r="E49" s="110" t="s">
        <v>363</v>
      </c>
      <c r="F49" s="110" t="s">
        <v>364</v>
      </c>
      <c r="G49" s="110" t="s">
        <v>365</v>
      </c>
      <c r="H49" s="110" t="s">
        <v>366</v>
      </c>
      <c r="I49" s="110" t="s">
        <v>367</v>
      </c>
      <c r="J49" s="110" t="s">
        <v>368</v>
      </c>
      <c r="K49" s="110" t="s">
        <v>369</v>
      </c>
      <c r="L49" s="110" t="s">
        <v>370</v>
      </c>
      <c r="M49" s="110" t="s">
        <v>371</v>
      </c>
      <c r="N49" s="110" t="s">
        <v>372</v>
      </c>
      <c r="O49" s="110" t="s">
        <v>373</v>
      </c>
      <c r="P49" s="110" t="s">
        <v>374</v>
      </c>
      <c r="Q49" s="110" t="s">
        <v>375</v>
      </c>
      <c r="R49" s="110" t="s">
        <v>376</v>
      </c>
      <c r="S49" s="110" t="s">
        <v>377</v>
      </c>
      <c r="T49" s="110" t="s">
        <v>378</v>
      </c>
    </row>
    <row r="50" spans="1:28" x14ac:dyDescent="0.35">
      <c r="A50" s="109" t="s">
        <v>297</v>
      </c>
      <c r="B50" s="87"/>
      <c r="C50" s="111">
        <f>SUM(C51:C54)</f>
        <v>23.266494862658526</v>
      </c>
      <c r="D50" s="111">
        <f t="shared" ref="D50:T50" si="12">SUM(D51:D54)</f>
        <v>34.264521044421535</v>
      </c>
      <c r="E50" s="111">
        <f t="shared" si="12"/>
        <v>89.514107231873453</v>
      </c>
      <c r="F50" s="111">
        <f t="shared" si="12"/>
        <v>5.9796920433079305E-2</v>
      </c>
      <c r="G50" s="111">
        <f t="shared" si="12"/>
        <v>1068.2938482575864</v>
      </c>
      <c r="H50" s="111">
        <f t="shared" si="12"/>
        <v>5.4928819760052339E-3</v>
      </c>
      <c r="I50" s="111">
        <f t="shared" si="12"/>
        <v>1.1845593347515277E-7</v>
      </c>
      <c r="J50" s="111">
        <f t="shared" si="12"/>
        <v>3.3416997257882508E-7</v>
      </c>
      <c r="K50" s="111">
        <f t="shared" si="12"/>
        <v>62.686182837702539</v>
      </c>
      <c r="L50" s="111">
        <f t="shared" si="12"/>
        <v>47.760527586652962</v>
      </c>
      <c r="M50" s="111">
        <f t="shared" si="12"/>
        <v>1.4790737915970755E-3</v>
      </c>
      <c r="N50" s="111">
        <f t="shared" si="12"/>
        <v>6.1641200705524367E-3</v>
      </c>
      <c r="O50" s="111">
        <f t="shared" si="12"/>
        <v>0.12165404826242537</v>
      </c>
      <c r="P50" s="111">
        <f t="shared" si="12"/>
        <v>1.2900047598784607E-7</v>
      </c>
      <c r="Q50" s="111">
        <f t="shared" si="12"/>
        <v>1.0600960411111802E-2</v>
      </c>
      <c r="R50" s="111">
        <f t="shared" si="12"/>
        <v>2.6497913152830455E-2</v>
      </c>
      <c r="S50" s="111">
        <f t="shared" si="12"/>
        <v>0.12585702842084132</v>
      </c>
      <c r="T50" s="111">
        <f t="shared" si="12"/>
        <v>1.4632061758519388</v>
      </c>
    </row>
    <row r="51" spans="1:28" x14ac:dyDescent="0.35">
      <c r="A51" s="109"/>
      <c r="B51" s="87" t="s">
        <v>97</v>
      </c>
      <c r="C51" s="88">
        <f>LCI_HC!$E4*'IW+_mid'!C12</f>
        <v>1.6358349999999999</v>
      </c>
      <c r="D51" s="88">
        <f>LCI_HC!$E4*'IW+_mid'!D12</f>
        <v>9.3973499999999994</v>
      </c>
      <c r="E51" s="88">
        <f>LCI_HC!$E4*'IW+_mid'!E12</f>
        <v>0</v>
      </c>
      <c r="F51" s="88">
        <f>LCI_HC!$E4*'IW+_mid'!F12</f>
        <v>0</v>
      </c>
      <c r="G51" s="88">
        <f>LCI_HC!$E4*'IW+_mid'!G12</f>
        <v>0</v>
      </c>
      <c r="H51" s="88">
        <f>LCI_HC!$E4*'IW+_mid'!H12</f>
        <v>0</v>
      </c>
      <c r="I51" s="88">
        <f>LCI_HC!$E4*'IW+_mid'!I12</f>
        <v>0</v>
      </c>
      <c r="J51" s="88">
        <f>LCI_HC!$E4*'IW+_mid'!J12</f>
        <v>0</v>
      </c>
      <c r="K51" s="88">
        <f>LCI_HC!$E4*'IW+_mid'!K12</f>
        <v>0</v>
      </c>
      <c r="L51" s="88">
        <f>LCI_HC!$E4*'IW+_mid'!L12</f>
        <v>0</v>
      </c>
      <c r="M51" s="88">
        <f>LCI_HC!$E4*'IW+_mid'!M12</f>
        <v>0</v>
      </c>
      <c r="N51" s="88">
        <f>LCI_HC!$E4*'IW+_mid'!N12</f>
        <v>0</v>
      </c>
      <c r="O51" s="88">
        <f>LCI_HC!$E4*'IW+_mid'!O12</f>
        <v>0</v>
      </c>
      <c r="P51" s="88">
        <f>LCI_HC!$E4*'IW+_mid'!P12</f>
        <v>0</v>
      </c>
      <c r="Q51" s="88">
        <f>LCI_HC!$E4*'IW+_mid'!Q12</f>
        <v>0</v>
      </c>
      <c r="R51" s="88">
        <f>LCI_HC!$E4*'IW+_mid'!R12</f>
        <v>0</v>
      </c>
      <c r="S51" s="88">
        <f>LCI_HC!$E4*'IW+_mid'!S12</f>
        <v>0</v>
      </c>
      <c r="T51" s="88">
        <f>LCI_HC!$E4*'IW+_mid'!T12</f>
        <v>0</v>
      </c>
    </row>
    <row r="52" spans="1:28" x14ac:dyDescent="0.35">
      <c r="A52" s="109"/>
      <c r="B52" s="87" t="s">
        <v>111</v>
      </c>
      <c r="C52" s="88">
        <f>LCI_HC!$E6*'IW+_mid'!C18</f>
        <v>0</v>
      </c>
      <c r="D52" s="88">
        <f>LCI_HC!$E6*'IW+_mid'!D18</f>
        <v>0</v>
      </c>
      <c r="E52" s="88">
        <f>LCI_HC!$E6*'IW+_mid'!E18</f>
        <v>0</v>
      </c>
      <c r="F52" s="88">
        <f>LCI_HC!$E6*'IW+_mid'!F18</f>
        <v>4.4981165226137862E-2</v>
      </c>
      <c r="G52" s="88">
        <f>LCI_HC!$E6*'IW+_mid'!G18</f>
        <v>0</v>
      </c>
      <c r="H52" s="88">
        <f>LCI_HC!$E6*'IW+_mid'!H18</f>
        <v>0</v>
      </c>
      <c r="I52" s="88">
        <f>LCI_HC!$E6*'IW+_mid'!I18</f>
        <v>0</v>
      </c>
      <c r="J52" s="88">
        <f>LCI_HC!$E6*'IW+_mid'!J18</f>
        <v>0</v>
      </c>
      <c r="K52" s="88">
        <f>LCI_HC!$E6*'IW+_mid'!K18</f>
        <v>0</v>
      </c>
      <c r="L52" s="88">
        <f>LCI_HC!$E6*'IW+_mid'!L18</f>
        <v>0</v>
      </c>
      <c r="M52" s="88">
        <f>LCI_HC!$E6*'IW+_mid'!M18</f>
        <v>0</v>
      </c>
      <c r="N52" s="88">
        <f>LCI_HC!$E6*'IW+_mid'!N18</f>
        <v>5.2447587924172858E-3</v>
      </c>
      <c r="O52" s="88">
        <f>LCI_HC!$E6*'IW+_mid'!O18</f>
        <v>0</v>
      </c>
      <c r="P52" s="88">
        <f>LCI_HC!$E6*'IW+_mid'!P18</f>
        <v>0</v>
      </c>
      <c r="Q52" s="88">
        <f>LCI_HC!$E6*'IW+_mid'!Q18</f>
        <v>8.3965864879420246E-3</v>
      </c>
      <c r="R52" s="88">
        <f>LCI_HC!$E6*'IW+_mid'!R18</f>
        <v>0</v>
      </c>
      <c r="S52" s="88">
        <f>LCI_HC!$E6*'IW+_mid'!S18</f>
        <v>0.10964498697085123</v>
      </c>
      <c r="T52" s="88">
        <f>LCI_HC!$E6*'IW+_mid'!T18</f>
        <v>0</v>
      </c>
    </row>
    <row r="53" spans="1:28" x14ac:dyDescent="0.35">
      <c r="A53" s="109"/>
      <c r="B53" s="87" t="s">
        <v>112</v>
      </c>
      <c r="C53" s="88">
        <f>LCI_HC!$E5*'IW+_mid'!C20</f>
        <v>16.344716999999996</v>
      </c>
      <c r="D53" s="88">
        <f>LCI_HC!$E5*'IW+_mid'!D20</f>
        <v>19.150676999999998</v>
      </c>
      <c r="E53" s="88">
        <f>LCI_HC!$E5*'IW+_mid'!E20</f>
        <v>0</v>
      </c>
      <c r="F53" s="88">
        <f>LCI_HC!$E5*'IW+_mid'!F20</f>
        <v>0</v>
      </c>
      <c r="G53" s="88">
        <f>LCI_HC!$E5*'IW+_mid'!G20</f>
        <v>0</v>
      </c>
      <c r="H53" s="88">
        <f>LCI_HC!$E5*'IW+_mid'!H20</f>
        <v>0</v>
      </c>
      <c r="I53" s="88">
        <f>LCI_HC!$E5*'IW+_mid'!I20</f>
        <v>0</v>
      </c>
      <c r="J53" s="88">
        <f>LCI_HC!$E5*'IW+_mid'!J20</f>
        <v>0</v>
      </c>
      <c r="K53" s="88">
        <f>LCI_HC!$E5*'IW+_mid'!K20</f>
        <v>0</v>
      </c>
      <c r="L53" s="88">
        <f>LCI_HC!$E5*'IW+_mid'!L20</f>
        <v>0</v>
      </c>
      <c r="M53" s="88">
        <f>LCI_HC!$E5*'IW+_mid'!M20</f>
        <v>0</v>
      </c>
      <c r="N53" s="88">
        <f>LCI_HC!$E5*'IW+_mid'!N20</f>
        <v>0</v>
      </c>
      <c r="O53" s="88">
        <f>LCI_HC!$E5*'IW+_mid'!O20</f>
        <v>0</v>
      </c>
      <c r="P53" s="88">
        <f>LCI_HC!$E5*'IW+_mid'!P20</f>
        <v>0</v>
      </c>
      <c r="Q53" s="88">
        <f>LCI_HC!$E5*'IW+_mid'!Q20</f>
        <v>0</v>
      </c>
      <c r="R53" s="88">
        <f>LCI_HC!$E5*'IW+_mid'!R20</f>
        <v>0</v>
      </c>
      <c r="S53" s="88">
        <f>LCI_HC!$E5*'IW+_mid'!S20</f>
        <v>0</v>
      </c>
      <c r="T53" s="88">
        <f>LCI_HC!$E5*'IW+_mid'!T20</f>
        <v>0</v>
      </c>
    </row>
    <row r="54" spans="1:28" x14ac:dyDescent="0.35">
      <c r="A54" s="109"/>
      <c r="B54" s="87" t="s">
        <v>343</v>
      </c>
      <c r="C54" s="88">
        <f>LCI_HC!$E7*'IW+_mid'!C35</f>
        <v>5.2859428626585281</v>
      </c>
      <c r="D54" s="88">
        <f>LCI_HC!$E7*'IW+_mid'!D35</f>
        <v>5.7164940444215384</v>
      </c>
      <c r="E54" s="88">
        <f>LCI_HC!$E7*'IW+_mid'!E35</f>
        <v>89.514107231873453</v>
      </c>
      <c r="F54" s="88">
        <f>LCI_HC!$E7*'IW+_mid'!F35</f>
        <v>1.4815755206941443E-2</v>
      </c>
      <c r="G54" s="88">
        <f>LCI_HC!$E7*'IW+_mid'!G35</f>
        <v>1068.2938482575864</v>
      </c>
      <c r="H54" s="88">
        <f>LCI_HC!$E7*'IW+_mid'!H35</f>
        <v>5.4928819760052339E-3</v>
      </c>
      <c r="I54" s="88">
        <f>LCI_HC!$E7*'IW+_mid'!I35</f>
        <v>1.1845593347515277E-7</v>
      </c>
      <c r="J54" s="88">
        <f>LCI_HC!$E7*'IW+_mid'!J35</f>
        <v>3.3416997257882508E-7</v>
      </c>
      <c r="K54" s="88">
        <f>LCI_HC!$E7*'IW+_mid'!K35</f>
        <v>62.686182837702539</v>
      </c>
      <c r="L54" s="88">
        <f>LCI_HC!$E7*'IW+_mid'!L35</f>
        <v>47.760527586652962</v>
      </c>
      <c r="M54" s="88">
        <f>LCI_HC!$E7*'IW+_mid'!M35</f>
        <v>1.4790737915970755E-3</v>
      </c>
      <c r="N54" s="88">
        <f>LCI_HC!$E7*'IW+_mid'!N35</f>
        <v>9.1936127813515081E-4</v>
      </c>
      <c r="O54" s="88">
        <f>LCI_HC!$E7*'IW+_mid'!O35</f>
        <v>0.12165404826242537</v>
      </c>
      <c r="P54" s="88">
        <f>LCI_HC!$E7*'IW+_mid'!P35</f>
        <v>1.2900047598784607E-7</v>
      </c>
      <c r="Q54" s="88">
        <f>LCI_HC!$E7*'IW+_mid'!Q35</f>
        <v>2.2043739231697775E-3</v>
      </c>
      <c r="R54" s="88">
        <f>LCI_HC!$E7*'IW+_mid'!R35</f>
        <v>2.6497913152830455E-2</v>
      </c>
      <c r="S54" s="88">
        <f>LCI_HC!$E7*'IW+_mid'!S35</f>
        <v>1.6212041449990073E-2</v>
      </c>
      <c r="T54" s="112">
        <f>LCI_HC!$E7*'IW+_mid'!T35</f>
        <v>1.4632061758519388</v>
      </c>
      <c r="U54" s="73"/>
      <c r="V54" s="73"/>
      <c r="W54" s="73"/>
      <c r="X54" s="73"/>
      <c r="Y54" s="73"/>
      <c r="Z54" s="73"/>
      <c r="AA54" s="73"/>
      <c r="AB54" s="73"/>
    </row>
    <row r="55" spans="1:28" x14ac:dyDescent="0.35">
      <c r="A55" s="109" t="s">
        <v>354</v>
      </c>
      <c r="B55" s="87"/>
      <c r="C55" s="113">
        <f>SUM(C56:C60)</f>
        <v>-325.88789274720301</v>
      </c>
      <c r="D55" s="113">
        <f t="shared" ref="D55:T55" si="13">SUM(D56:D60)</f>
        <v>-320.64976274672284</v>
      </c>
      <c r="E55" s="113">
        <f t="shared" si="13"/>
        <v>0</v>
      </c>
      <c r="F55" s="113">
        <f t="shared" si="13"/>
        <v>0.25353511248508054</v>
      </c>
      <c r="G55" s="113">
        <f t="shared" si="13"/>
        <v>0</v>
      </c>
      <c r="H55" s="113">
        <f t="shared" si="13"/>
        <v>-8.1278569907775836E-2</v>
      </c>
      <c r="I55" s="113">
        <f t="shared" si="13"/>
        <v>0</v>
      </c>
      <c r="J55" s="113">
        <f t="shared" si="13"/>
        <v>0</v>
      </c>
      <c r="K55" s="113">
        <f t="shared" si="13"/>
        <v>0</v>
      </c>
      <c r="L55" s="113">
        <f t="shared" si="13"/>
        <v>0</v>
      </c>
      <c r="M55" s="113">
        <f t="shared" si="13"/>
        <v>0</v>
      </c>
      <c r="N55" s="113">
        <f t="shared" si="13"/>
        <v>3.1036834101818287</v>
      </c>
      <c r="O55" s="113">
        <f t="shared" si="13"/>
        <v>0</v>
      </c>
      <c r="P55" s="113">
        <f t="shared" si="13"/>
        <v>0</v>
      </c>
      <c r="Q55" s="113">
        <f t="shared" si="13"/>
        <v>4.7327131011583014E-2</v>
      </c>
      <c r="R55" s="113">
        <f t="shared" si="13"/>
        <v>0</v>
      </c>
      <c r="S55" s="113">
        <f t="shared" si="13"/>
        <v>0.61801098227056317</v>
      </c>
      <c r="T55" s="113">
        <f t="shared" si="13"/>
        <v>0</v>
      </c>
    </row>
    <row r="56" spans="1:28" x14ac:dyDescent="0.35">
      <c r="A56" s="109"/>
      <c r="B56" s="87" t="s">
        <v>111</v>
      </c>
      <c r="C56" s="90">
        <f>LCI_HC!$E9*'IW+_mid'!C18</f>
        <v>0</v>
      </c>
      <c r="D56" s="90">
        <f>LCI_HC!$E9*'IW+_mid'!D18</f>
        <v>0</v>
      </c>
      <c r="E56" s="90">
        <f>LCI_HC!$E9*'IW+_mid'!E18</f>
        <v>0</v>
      </c>
      <c r="F56" s="90">
        <f>LCI_HC!$E9*'IW+_mid'!F18</f>
        <v>0.25353511248508054</v>
      </c>
      <c r="G56" s="90">
        <f>LCI_HC!$E9*'IW+_mid'!G18</f>
        <v>0</v>
      </c>
      <c r="H56" s="90">
        <f>LCI_HC!$E9*'IW+_mid'!H18</f>
        <v>0</v>
      </c>
      <c r="I56" s="90">
        <f>LCI_HC!$E9*'IW+_mid'!I18</f>
        <v>0</v>
      </c>
      <c r="J56" s="90">
        <f>LCI_HC!$E9*'IW+_mid'!J18</f>
        <v>0</v>
      </c>
      <c r="K56" s="90">
        <f>LCI_HC!$E9*'IW+_mid'!K18</f>
        <v>0</v>
      </c>
      <c r="L56" s="90">
        <f>LCI_HC!$E9*'IW+_mid'!L18</f>
        <v>0</v>
      </c>
      <c r="M56" s="90">
        <f>LCI_HC!$E9*'IW+_mid'!M18</f>
        <v>0</v>
      </c>
      <c r="N56" s="90">
        <f>LCI_HC!$E9*'IW+_mid'!N18</f>
        <v>2.956194006330334E-2</v>
      </c>
      <c r="O56" s="90">
        <f>LCI_HC!$E9*'IW+_mid'!O18</f>
        <v>0</v>
      </c>
      <c r="P56" s="90">
        <f>LCI_HC!$E9*'IW+_mid'!P18</f>
        <v>0</v>
      </c>
      <c r="Q56" s="90">
        <f>LCI_HC!$E9*'IW+_mid'!Q18</f>
        <v>4.7327131011583014E-2</v>
      </c>
      <c r="R56" s="90">
        <f>LCI_HC!$E9*'IW+_mid'!R18</f>
        <v>0</v>
      </c>
      <c r="S56" s="90">
        <f>LCI_HC!$E9*'IW+_mid'!S18</f>
        <v>0.61801098227056317</v>
      </c>
      <c r="T56" s="90">
        <f>LCI_HC!$E9*'IW+_mid'!T18</f>
        <v>0</v>
      </c>
    </row>
    <row r="57" spans="1:28" x14ac:dyDescent="0.35">
      <c r="A57" s="109"/>
      <c r="B57" s="87" t="s">
        <v>112</v>
      </c>
      <c r="C57" s="90">
        <f>LCI_HC!$E10*'IW+_mid'!C20</f>
        <v>30.512107252796934</v>
      </c>
      <c r="D57" s="90">
        <f>LCI_HC!$E10*'IW+_mid'!D20</f>
        <v>35.750237253277092</v>
      </c>
      <c r="E57" s="90">
        <f>LCI_HC!$E10*'IW+_mid'!E20</f>
        <v>0</v>
      </c>
      <c r="F57" s="90">
        <f>LCI_HC!$E10*'IW+_mid'!F20</f>
        <v>0</v>
      </c>
      <c r="G57" s="90">
        <f>LCI_HC!$E10*'IW+_mid'!G20</f>
        <v>0</v>
      </c>
      <c r="H57" s="90">
        <f>LCI_HC!$E10*'IW+_mid'!H20</f>
        <v>0</v>
      </c>
      <c r="I57" s="90">
        <f>LCI_HC!$E10*'IW+_mid'!I20</f>
        <v>0</v>
      </c>
      <c r="J57" s="90">
        <f>LCI_HC!$E10*'IW+_mid'!J20</f>
        <v>0</v>
      </c>
      <c r="K57" s="90">
        <f>LCI_HC!$E10*'IW+_mid'!K20</f>
        <v>0</v>
      </c>
      <c r="L57" s="90">
        <f>LCI_HC!$E10*'IW+_mid'!L20</f>
        <v>0</v>
      </c>
      <c r="M57" s="90">
        <f>LCI_HC!$E10*'IW+_mid'!M20</f>
        <v>0</v>
      </c>
      <c r="N57" s="90">
        <f>LCI_HC!$E10*'IW+_mid'!N20</f>
        <v>0</v>
      </c>
      <c r="O57" s="90">
        <f>LCI_HC!$E10*'IW+_mid'!O20</f>
        <v>0</v>
      </c>
      <c r="P57" s="90">
        <f>LCI_HC!$E10*'IW+_mid'!P20</f>
        <v>0</v>
      </c>
      <c r="Q57" s="90">
        <f>LCI_HC!$E10*'IW+_mid'!Q20</f>
        <v>0</v>
      </c>
      <c r="R57" s="90">
        <f>LCI_HC!$E10*'IW+_mid'!R20</f>
        <v>0</v>
      </c>
      <c r="S57" s="90">
        <f>LCI_HC!$E10*'IW+_mid'!S20</f>
        <v>0</v>
      </c>
      <c r="T57" s="90">
        <f>LCI_HC!$E10*'IW+_mid'!T20</f>
        <v>0</v>
      </c>
    </row>
    <row r="58" spans="1:28" x14ac:dyDescent="0.35">
      <c r="A58" s="109"/>
      <c r="B58" s="87" t="s">
        <v>115</v>
      </c>
      <c r="C58" s="90">
        <f>LCI_HC!$E11*'IW+_mid'!C21</f>
        <v>0</v>
      </c>
      <c r="D58" s="90">
        <f>LCI_HC!$E11*'IW+_mid'!D21</f>
        <v>0</v>
      </c>
      <c r="E58" s="90">
        <f>LCI_HC!$E11*'IW+_mid'!E21</f>
        <v>0</v>
      </c>
      <c r="F58" s="90">
        <f>LCI_HC!$E11*'IW+_mid'!F21</f>
        <v>0</v>
      </c>
      <c r="G58" s="90">
        <f>LCI_HC!$E11*'IW+_mid'!G21</f>
        <v>0</v>
      </c>
      <c r="H58" s="90">
        <f>LCI_HC!$E11*'IW+_mid'!H21</f>
        <v>0</v>
      </c>
      <c r="I58" s="90">
        <f>LCI_HC!$E11*'IW+_mid'!I21</f>
        <v>0</v>
      </c>
      <c r="J58" s="90">
        <f>LCI_HC!$E11*'IW+_mid'!J21</f>
        <v>0</v>
      </c>
      <c r="K58" s="90">
        <f>LCI_HC!$E11*'IW+_mid'!K21</f>
        <v>0</v>
      </c>
      <c r="L58" s="90">
        <f>LCI_HC!$E11*'IW+_mid'!L21</f>
        <v>0</v>
      </c>
      <c r="M58" s="90">
        <f>LCI_HC!$E11*'IW+_mid'!M21</f>
        <v>0</v>
      </c>
      <c r="N58" s="90">
        <f>LCI_HC!$E11*'IW+_mid'!N21</f>
        <v>3.0741214701185253</v>
      </c>
      <c r="O58" s="90">
        <f>LCI_HC!$E11*'IW+_mid'!O21</f>
        <v>0</v>
      </c>
      <c r="P58" s="90">
        <f>LCI_HC!$E11*'IW+_mid'!P21</f>
        <v>0</v>
      </c>
      <c r="Q58" s="90">
        <f>LCI_HC!$E11*'IW+_mid'!Q21</f>
        <v>0</v>
      </c>
      <c r="R58" s="90">
        <f>LCI_HC!$E11*'IW+_mid'!R21</f>
        <v>0</v>
      </c>
      <c r="S58" s="90">
        <f>LCI_HC!$E11*'IW+_mid'!S21</f>
        <v>0</v>
      </c>
      <c r="T58" s="90">
        <f>LCI_HC!$E11*'IW+_mid'!T21</f>
        <v>0</v>
      </c>
    </row>
    <row r="59" spans="1:28" x14ac:dyDescent="0.35">
      <c r="A59" s="109"/>
      <c r="B59" s="87" t="s">
        <v>417</v>
      </c>
      <c r="C59" s="90">
        <f>LCI_HC!$E12*'IW+_mid'!C25</f>
        <v>0</v>
      </c>
      <c r="D59" s="90">
        <f>LCI_HC!$E12*'IW+_mid'!D25</f>
        <v>0</v>
      </c>
      <c r="E59" s="90">
        <f>LCI_HC!$E12*'IW+_mid'!E25</f>
        <v>0</v>
      </c>
      <c r="F59" s="90">
        <f>LCI_HC!$E12*'IW+_mid'!F25</f>
        <v>0</v>
      </c>
      <c r="G59" s="90">
        <f>LCI_HC!$E12*'IW+_mid'!G25</f>
        <v>0</v>
      </c>
      <c r="H59" s="90">
        <f>LCI_HC!$E12*'IW+_mid'!H25</f>
        <v>-8.1278569907775836E-2</v>
      </c>
      <c r="I59" s="90">
        <f>LCI_HC!$E12*'IW+_mid'!I25</f>
        <v>0</v>
      </c>
      <c r="J59" s="90">
        <f>LCI_HC!$E12*'IW+_mid'!J25</f>
        <v>0</v>
      </c>
      <c r="K59" s="90">
        <f>LCI_HC!$E12*'IW+_mid'!K25</f>
        <v>0</v>
      </c>
      <c r="L59" s="90">
        <f>LCI_HC!$E12*'IW+_mid'!L25</f>
        <v>0</v>
      </c>
      <c r="M59" s="90">
        <f>LCI_HC!$E12*'IW+_mid'!M25</f>
        <v>0</v>
      </c>
      <c r="N59" s="90">
        <f>LCI_HC!$E12*'IW+_mid'!N25</f>
        <v>0</v>
      </c>
      <c r="O59" s="90">
        <f>LCI_HC!$E12*'IW+_mid'!O25</f>
        <v>0</v>
      </c>
      <c r="P59" s="90">
        <f>LCI_HC!$E12*'IW+_mid'!P25</f>
        <v>0</v>
      </c>
      <c r="Q59" s="90">
        <f>LCI_HC!$E12*'IW+_mid'!Q25</f>
        <v>0</v>
      </c>
      <c r="R59" s="90">
        <f>LCI_HC!$E12*'IW+_mid'!R25</f>
        <v>0</v>
      </c>
      <c r="S59" s="90">
        <f>LCI_HC!$E12*'IW+_mid'!S25</f>
        <v>0</v>
      </c>
      <c r="T59" s="90">
        <f>LCI_HC!$E12*'IW+_mid'!T25</f>
        <v>0</v>
      </c>
    </row>
    <row r="60" spans="1:28" x14ac:dyDescent="0.35">
      <c r="A60" s="109"/>
      <c r="B60" s="87" t="s">
        <v>418</v>
      </c>
      <c r="C60" s="90">
        <f>LCI_HC!$E13*'IW+_mid'!C26</f>
        <v>-356.39999999999992</v>
      </c>
      <c r="D60" s="90">
        <f>LCI_HC!$E13*'IW+_mid'!D26</f>
        <v>-356.39999999999992</v>
      </c>
      <c r="E60" s="90">
        <f>LCI_HC!$E13*'IW+_mid'!E26</f>
        <v>0</v>
      </c>
      <c r="F60" s="90">
        <f>LCI_HC!$E13*'IW+_mid'!F26</f>
        <v>0</v>
      </c>
      <c r="G60" s="90">
        <f>LCI_HC!$E13*'IW+_mid'!G26</f>
        <v>0</v>
      </c>
      <c r="H60" s="90">
        <f>LCI_HC!$E13*'IW+_mid'!H26</f>
        <v>0</v>
      </c>
      <c r="I60" s="90">
        <f>LCI_HC!$E13*'IW+_mid'!I26</f>
        <v>0</v>
      </c>
      <c r="J60" s="90">
        <f>LCI_HC!$E13*'IW+_mid'!J26</f>
        <v>0</v>
      </c>
      <c r="K60" s="90">
        <f>LCI_HC!$E13*'IW+_mid'!K26</f>
        <v>0</v>
      </c>
      <c r="L60" s="90">
        <f>LCI_HC!$E13*'IW+_mid'!L26</f>
        <v>0</v>
      </c>
      <c r="M60" s="90">
        <f>LCI_HC!$E13*'IW+_mid'!M26</f>
        <v>0</v>
      </c>
      <c r="N60" s="90">
        <f>LCI_HC!$E13*'IW+_mid'!N26</f>
        <v>0</v>
      </c>
      <c r="O60" s="90">
        <f>LCI_HC!$E13*'IW+_mid'!O26</f>
        <v>0</v>
      </c>
      <c r="P60" s="90">
        <f>LCI_HC!$E13*'IW+_mid'!P26</f>
        <v>0</v>
      </c>
      <c r="Q60" s="90">
        <f>LCI_HC!$E13*'IW+_mid'!Q26</f>
        <v>0</v>
      </c>
      <c r="R60" s="90">
        <f>LCI_HC!$E13*'IW+_mid'!R26</f>
        <v>0</v>
      </c>
      <c r="S60" s="90">
        <f>LCI_HC!$E13*'IW+_mid'!S26</f>
        <v>0</v>
      </c>
      <c r="T60" s="90">
        <f>LCI_HC!$E13*'IW+_mid'!T26</f>
        <v>0</v>
      </c>
    </row>
    <row r="61" spans="1:28" x14ac:dyDescent="0.35">
      <c r="A61" s="109" t="s">
        <v>416</v>
      </c>
      <c r="B61" s="87"/>
      <c r="C61" s="111">
        <f>SUM(C62:C65)</f>
        <v>25.059377839664744</v>
      </c>
      <c r="D61" s="111">
        <f t="shared" ref="D61:T61" si="14">SUM(D62:D65)</f>
        <v>29.25339567634315</v>
      </c>
      <c r="E61" s="111">
        <f t="shared" si="14"/>
        <v>4761.6247250279694</v>
      </c>
      <c r="F61" s="111">
        <f t="shared" si="14"/>
        <v>8.7014371809955776E-2</v>
      </c>
      <c r="G61" s="111">
        <f t="shared" si="14"/>
        <v>4702.4726258787796</v>
      </c>
      <c r="H61" s="111">
        <f t="shared" si="14"/>
        <v>3.6376537292481343E-3</v>
      </c>
      <c r="I61" s="111">
        <f t="shared" si="14"/>
        <v>5.1666780087639719E-7</v>
      </c>
      <c r="J61" s="111">
        <f t="shared" si="14"/>
        <v>2.8324864758495259E-6</v>
      </c>
      <c r="K61" s="111">
        <f t="shared" si="14"/>
        <v>411.70211436086709</v>
      </c>
      <c r="L61" s="111">
        <f t="shared" si="14"/>
        <v>0.97946903189309087</v>
      </c>
      <c r="M61" s="111">
        <f t="shared" si="14"/>
        <v>1.39782829062268E-2</v>
      </c>
      <c r="N61" s="111">
        <f t="shared" si="14"/>
        <v>6.1723209328940721E-3</v>
      </c>
      <c r="O61" s="111">
        <f t="shared" si="14"/>
        <v>0.81501741515232096</v>
      </c>
      <c r="P61" s="111">
        <f t="shared" si="14"/>
        <v>7.1712522274528449E-7</v>
      </c>
      <c r="Q61" s="111">
        <f t="shared" si="14"/>
        <v>1.2758177158367188E-2</v>
      </c>
      <c r="R61" s="111">
        <f t="shared" si="14"/>
        <v>6.1505227313899707E-2</v>
      </c>
      <c r="S61" s="111">
        <f t="shared" si="14"/>
        <v>0.11338463887488935</v>
      </c>
      <c r="T61" s="111">
        <f t="shared" si="14"/>
        <v>46.338316491067204</v>
      </c>
    </row>
    <row r="62" spans="1:28" x14ac:dyDescent="0.35">
      <c r="A62" s="109"/>
      <c r="B62" s="87" t="s">
        <v>230</v>
      </c>
      <c r="C62" s="88">
        <f>LCI_HC!$E15*'IW+_mid'!C28</f>
        <v>16.899395513510495</v>
      </c>
      <c r="D62" s="88">
        <f>LCI_HC!$E15*'IW+_mid'!D28</f>
        <v>18.308110784151349</v>
      </c>
      <c r="E62" s="88">
        <f>LCI_HC!$E15*'IW+_mid'!E28</f>
        <v>269.22901041827924</v>
      </c>
      <c r="F62" s="88">
        <f>LCI_HC!$E15*'IW+_mid'!F28</f>
        <v>4.2563194152059898E-2</v>
      </c>
      <c r="G62" s="88">
        <f>LCI_HC!$E15*'IW+_mid'!G28</f>
        <v>2054.9783938007849</v>
      </c>
      <c r="H62" s="88">
        <f>LCI_HC!$E15*'IW+_mid'!H28</f>
        <v>1.3386076145029867E-4</v>
      </c>
      <c r="I62" s="88">
        <f>LCI_HC!$E15*'IW+_mid'!I28</f>
        <v>2.6650100673438869E-7</v>
      </c>
      <c r="J62" s="88">
        <f>LCI_HC!$E15*'IW+_mid'!J28</f>
        <v>1.5513778318632954E-6</v>
      </c>
      <c r="K62" s="88">
        <f>LCI_HC!$E15*'IW+_mid'!K28</f>
        <v>77.410557521269666</v>
      </c>
      <c r="L62" s="88">
        <f>LCI_HC!$E15*'IW+_mid'!L28</f>
        <v>0.18507035870596827</v>
      </c>
      <c r="M62" s="88">
        <f>LCI_HC!$E15*'IW+_mid'!M28</f>
        <v>1.3718966157432527E-3</v>
      </c>
      <c r="N62" s="88">
        <f>LCI_HC!$E15*'IW+_mid'!N28</f>
        <v>4.8086204395542008E-3</v>
      </c>
      <c r="O62" s="88">
        <f>LCI_HC!$E15*'IW+_mid'!O28</f>
        <v>0.46657472872745775</v>
      </c>
      <c r="P62" s="88">
        <f>LCI_HC!$E15*'IW+_mid'!P28</f>
        <v>5.2165315841502998E-7</v>
      </c>
      <c r="Q62" s="88">
        <f>LCI_HC!$E15*'IW+_mid'!Q28</f>
        <v>6.0564611919859401E-3</v>
      </c>
      <c r="R62" s="88">
        <f>LCI_HC!$E15*'IW+_mid'!R28</f>
        <v>2.5312288280593329E-2</v>
      </c>
      <c r="S62" s="88">
        <f>LCI_HC!$E15*'IW+_mid'!S28</f>
        <v>6.650234456763153E-2</v>
      </c>
      <c r="T62" s="88">
        <f>LCI_HC!$E15*'IW+_mid'!T28</f>
        <v>27.567982911920282</v>
      </c>
    </row>
    <row r="63" spans="1:28" x14ac:dyDescent="0.35">
      <c r="A63" s="109"/>
      <c r="B63" s="87" t="s">
        <v>232</v>
      </c>
      <c r="C63" s="88">
        <f>LCI_HC!$E16*'IW+_mid'!C30</f>
        <v>1.2567384720857138</v>
      </c>
      <c r="D63" s="88">
        <f>LCI_HC!$E16*'IW+_mid'!D30</f>
        <v>1.3338680131740035</v>
      </c>
      <c r="E63" s="88">
        <f>LCI_HC!$E16*'IW+_mid'!E30</f>
        <v>23.386831225863222</v>
      </c>
      <c r="F63" s="88">
        <f>LCI_HC!$E16*'IW+_mid'!F30</f>
        <v>2.023895294857702E-2</v>
      </c>
      <c r="G63" s="88">
        <f>LCI_HC!$E16*'IW+_mid'!G30</f>
        <v>493.87974212277186</v>
      </c>
      <c r="H63" s="88">
        <f>LCI_HC!$E16*'IW+_mid'!H30</f>
        <v>3.4134255024316339E-3</v>
      </c>
      <c r="I63" s="88">
        <f>LCI_HC!$E16*'IW+_mid'!I30</f>
        <v>4.4735720309215414E-8</v>
      </c>
      <c r="J63" s="88">
        <f>LCI_HC!$E16*'IW+_mid'!J30</f>
        <v>4.3711663276355398E-7</v>
      </c>
      <c r="K63" s="88">
        <f>LCI_HC!$E16*'IW+_mid'!K30</f>
        <v>48.233368494837606</v>
      </c>
      <c r="L63" s="88">
        <f>LCI_HC!$E16*'IW+_mid'!L30</f>
        <v>0.11106607147117058</v>
      </c>
      <c r="M63" s="88">
        <f>LCI_HC!$E16*'IW+_mid'!M30</f>
        <v>5.2810708170083912E-4</v>
      </c>
      <c r="N63" s="88">
        <f>LCI_HC!$E16*'IW+_mid'!N30</f>
        <v>1.7640810605830737E-4</v>
      </c>
      <c r="O63" s="88">
        <f>LCI_HC!$E16*'IW+_mid'!O30</f>
        <v>7.0441773159003435E-2</v>
      </c>
      <c r="P63" s="88">
        <f>LCI_HC!$E16*'IW+_mid'!P30</f>
        <v>3.0570308585662721E-8</v>
      </c>
      <c r="Q63" s="88">
        <f>LCI_HC!$E16*'IW+_mid'!Q30</f>
        <v>2.8269622994805768E-3</v>
      </c>
      <c r="R63" s="88">
        <f>LCI_HC!$E16*'IW+_mid'!R30</f>
        <v>3.2499781494862937E-3</v>
      </c>
      <c r="S63" s="88">
        <f>LCI_HC!$E16*'IW+_mid'!S30</f>
        <v>2.0507715013613547E-2</v>
      </c>
      <c r="T63" s="88">
        <f>LCI_HC!$E16*'IW+_mid'!T30</f>
        <v>3.1641899920453693</v>
      </c>
    </row>
    <row r="64" spans="1:28" x14ac:dyDescent="0.35">
      <c r="A64" s="109"/>
      <c r="B64" s="87" t="s">
        <v>231</v>
      </c>
      <c r="C64" s="88">
        <f>LCI_HC!$E17*'IW+_mid'!C29</f>
        <v>3.1037839646180649</v>
      </c>
      <c r="D64" s="88">
        <f>LCI_HC!$E17*'IW+_mid'!D29</f>
        <v>3.3503467244399605</v>
      </c>
      <c r="E64" s="88">
        <f>LCI_HC!$E17*'IW+_mid'!E29</f>
        <v>54.318388846732752</v>
      </c>
      <c r="F64" s="88">
        <f>LCI_HC!$E17*'IW+_mid'!F29</f>
        <v>1.0885943881061129E-2</v>
      </c>
      <c r="G64" s="88">
        <f>LCI_HC!$E17*'IW+_mid'!G29</f>
        <v>1315.8487975891778</v>
      </c>
      <c r="H64" s="88">
        <f>LCI_HC!$E17*'IW+_mid'!H29</f>
        <v>3.9960693025590789E-5</v>
      </c>
      <c r="I64" s="88">
        <f>LCI_HC!$E17*'IW+_mid'!I29</f>
        <v>8.140165454639666E-8</v>
      </c>
      <c r="J64" s="88">
        <f>LCI_HC!$E17*'IW+_mid'!J29</f>
        <v>4.3794977929133372E-7</v>
      </c>
      <c r="K64" s="88">
        <f>LCI_HC!$E17*'IW+_mid'!K29</f>
        <v>18.876054052000651</v>
      </c>
      <c r="L64" s="88">
        <f>LCI_HC!$E17*'IW+_mid'!L29</f>
        <v>0.18024696349230282</v>
      </c>
      <c r="M64" s="88">
        <f>LCI_HC!$E17*'IW+_mid'!M29</f>
        <v>1.3653626274046928E-3</v>
      </c>
      <c r="N64" s="88">
        <f>LCI_HC!$E17*'IW+_mid'!N29</f>
        <v>4.5919648274089954E-4</v>
      </c>
      <c r="O64" s="88">
        <f>LCI_HC!$E17*'IW+_mid'!O29</f>
        <v>0.12588080066105384</v>
      </c>
      <c r="P64" s="88">
        <f>LCI_HC!$E17*'IW+_mid'!P29</f>
        <v>1.0107031602291122E-7</v>
      </c>
      <c r="Q64" s="88">
        <f>LCI_HC!$E17*'IW+_mid'!Q29</f>
        <v>1.6493052031646834E-3</v>
      </c>
      <c r="R64" s="88">
        <f>LCI_HC!$E17*'IW+_mid'!R29</f>
        <v>1.1872129014621213E-2</v>
      </c>
      <c r="S64" s="88">
        <f>LCI_HC!$E17*'IW+_mid'!S29</f>
        <v>1.1764363268456137E-2</v>
      </c>
      <c r="T64" s="112">
        <f>LCI_HC!$E17*'IW+_mid'!T29</f>
        <v>1.5764216817741601</v>
      </c>
      <c r="U64" s="73"/>
    </row>
    <row r="65" spans="1:20" x14ac:dyDescent="0.35">
      <c r="A65" s="87"/>
      <c r="B65" s="87" t="s">
        <v>233</v>
      </c>
      <c r="C65" s="88">
        <f>LCI_HC!$E18*'IW+_mid'!C31</f>
        <v>3.7994598894504699</v>
      </c>
      <c r="D65" s="88">
        <f>LCI_HC!$E18*'IW+_mid'!D31</f>
        <v>6.2610701545778342</v>
      </c>
      <c r="E65" s="88">
        <f>LCI_HC!$E18*'IW+_mid'!E31</f>
        <v>4414.6904945370943</v>
      </c>
      <c r="F65" s="88">
        <f>LCI_HC!$E18*'IW+_mid'!F31</f>
        <v>1.332628082825774E-2</v>
      </c>
      <c r="G65" s="88">
        <f>LCI_HC!$E18*'IW+_mid'!G31</f>
        <v>837.76569236604564</v>
      </c>
      <c r="H65" s="88">
        <f>LCI_HC!$E18*'IW+_mid'!H31</f>
        <v>5.040677234061083E-5</v>
      </c>
      <c r="I65" s="88">
        <f>LCI_HC!$E18*'IW+_mid'!I31</f>
        <v>1.2402941928639649E-7</v>
      </c>
      <c r="J65" s="88">
        <f>LCI_HC!$E18*'IW+_mid'!J31</f>
        <v>4.0604223193134332E-7</v>
      </c>
      <c r="K65" s="88">
        <f>LCI_HC!$E18*'IW+_mid'!K31</f>
        <v>267.18213429275914</v>
      </c>
      <c r="L65" s="88">
        <f>LCI_HC!$E18*'IW+_mid'!L31</f>
        <v>0.50308563822364916</v>
      </c>
      <c r="M65" s="88">
        <f>LCI_HC!$E18*'IW+_mid'!M31</f>
        <v>1.0712916581378015E-2</v>
      </c>
      <c r="N65" s="88">
        <f>LCI_HC!$E18*'IW+_mid'!N31</f>
        <v>7.2809590454066459E-4</v>
      </c>
      <c r="O65" s="88">
        <f>LCI_HC!$E18*'IW+_mid'!O31</f>
        <v>0.15212011260480582</v>
      </c>
      <c r="P65" s="88">
        <f>LCI_HC!$E18*'IW+_mid'!P31</f>
        <v>6.3831439721680437E-8</v>
      </c>
      <c r="Q65" s="88">
        <f>LCI_HC!$E18*'IW+_mid'!Q31</f>
        <v>2.2254484637359881E-3</v>
      </c>
      <c r="R65" s="88">
        <f>LCI_HC!$E18*'IW+_mid'!R31</f>
        <v>2.1070831869198878E-2</v>
      </c>
      <c r="S65" s="88">
        <f>LCI_HC!$E18*'IW+_mid'!S31</f>
        <v>1.4610216025188135E-2</v>
      </c>
      <c r="T65" s="88">
        <f>LCI_HC!$E18*'IW+_mid'!T31</f>
        <v>14.029721905327388</v>
      </c>
    </row>
    <row r="68" spans="1:20" x14ac:dyDescent="0.35">
      <c r="A68" s="114" t="s">
        <v>420</v>
      </c>
      <c r="B68" s="114"/>
      <c r="C68" s="114"/>
      <c r="D68" s="114"/>
      <c r="E68" s="114"/>
      <c r="F68" s="114"/>
      <c r="G68" s="114"/>
    </row>
    <row r="69" spans="1:20" ht="29" x14ac:dyDescent="0.35">
      <c r="A69" s="78" t="s">
        <v>0</v>
      </c>
      <c r="B69" s="78"/>
      <c r="C69" s="115" t="s">
        <v>406</v>
      </c>
      <c r="D69" s="115" t="s">
        <v>407</v>
      </c>
      <c r="E69" s="115" t="s">
        <v>408</v>
      </c>
      <c r="F69" s="115" t="s">
        <v>409</v>
      </c>
      <c r="G69" s="115" t="s">
        <v>410</v>
      </c>
    </row>
    <row r="70" spans="1:20" x14ac:dyDescent="0.35">
      <c r="A70" s="82" t="s">
        <v>297</v>
      </c>
      <c r="B70" s="78"/>
      <c r="C70" s="116">
        <f>SUM(C71:C74)</f>
        <v>34.264521044421535</v>
      </c>
      <c r="D70" s="116">
        <f t="shared" ref="D70:G70" si="15">SUM(D71:D74)</f>
        <v>34.167498478606134</v>
      </c>
      <c r="E70" s="116">
        <f t="shared" si="15"/>
        <v>89.514107231873453</v>
      </c>
      <c r="F70" s="116">
        <f t="shared" si="15"/>
        <v>1.6236575906408505E-5</v>
      </c>
      <c r="G70" s="116">
        <f t="shared" si="15"/>
        <v>1.4632061758519388</v>
      </c>
    </row>
    <row r="71" spans="1:20" x14ac:dyDescent="0.35">
      <c r="A71" s="78"/>
      <c r="B71" s="78" t="s">
        <v>97</v>
      </c>
      <c r="C71" s="79">
        <f>LCI_HC!$E4*'IW+f'!C12</f>
        <v>9.3973499999999994</v>
      </c>
      <c r="D71" s="79">
        <f>LCI_HC!$E4*'IW+f'!D12</f>
        <v>0</v>
      </c>
      <c r="E71" s="79">
        <f>LCI_HC!$E4*'IW+f'!E12</f>
        <v>0</v>
      </c>
      <c r="F71" s="79">
        <f>LCI_HC!$E4*'IW+f'!F12</f>
        <v>0</v>
      </c>
      <c r="G71" s="79">
        <f>LCI_HC!$E4*'IW+f'!G12</f>
        <v>0</v>
      </c>
    </row>
    <row r="72" spans="1:20" x14ac:dyDescent="0.35">
      <c r="A72" s="78"/>
      <c r="B72" s="78" t="s">
        <v>111</v>
      </c>
      <c r="C72" s="79">
        <f>LCI_HC!$E6*'IW+f'!C18</f>
        <v>0</v>
      </c>
      <c r="D72" s="79">
        <f>LCI_HC!$E6*'IW+f'!D18</f>
        <v>1.7066434170547904</v>
      </c>
      <c r="E72" s="79">
        <f>LCI_HC!$E6*'IW+f'!E18</f>
        <v>0</v>
      </c>
      <c r="F72" s="79">
        <f>LCI_HC!$E6*'IW+f'!F18</f>
        <v>1.1483159701098625E-5</v>
      </c>
      <c r="G72" s="79">
        <f>LCI_HC!$E6*'IW+f'!G18</f>
        <v>0</v>
      </c>
    </row>
    <row r="73" spans="1:20" x14ac:dyDescent="0.35">
      <c r="A73" s="78"/>
      <c r="B73" s="78" t="s">
        <v>112</v>
      </c>
      <c r="C73" s="79">
        <f>LCI_HC!$E5*'IW+f'!C20</f>
        <v>19.150676999999998</v>
      </c>
      <c r="D73" s="79">
        <f>LCI_HC!$E5*'IW+f'!D20</f>
        <v>0</v>
      </c>
      <c r="E73" s="79">
        <f>LCI_HC!$E5*'IW+f'!E20</f>
        <v>0</v>
      </c>
      <c r="F73" s="79">
        <f>LCI_HC!$E5*'IW+f'!F20</f>
        <v>0</v>
      </c>
      <c r="G73" s="79">
        <f>LCI_HC!$E5*'IW+f'!G20</f>
        <v>0</v>
      </c>
    </row>
    <row r="74" spans="1:20" x14ac:dyDescent="0.35">
      <c r="A74" s="78"/>
      <c r="B74" s="78" t="s">
        <v>343</v>
      </c>
      <c r="C74" s="79">
        <f>LCI_HC!$E7*'IW+f'!C35</f>
        <v>5.7164940444215384</v>
      </c>
      <c r="D74" s="79">
        <f>LCI_HC!$E7*'IW+f'!D35</f>
        <v>32.460855061551342</v>
      </c>
      <c r="E74" s="79">
        <f>LCI_HC!$E7*'IW+f'!E35</f>
        <v>89.514107231873453</v>
      </c>
      <c r="F74" s="79">
        <f>LCI_HC!$E7*'IW+f'!F35</f>
        <v>4.7534162053098814E-6</v>
      </c>
      <c r="G74" s="79">
        <f>LCI_HC!$E7*'IW+f'!G35</f>
        <v>1.4632061758519388</v>
      </c>
    </row>
    <row r="75" spans="1:20" s="41" customFormat="1" x14ac:dyDescent="0.35">
      <c r="A75" s="82" t="s">
        <v>354</v>
      </c>
      <c r="B75" s="81"/>
      <c r="C75" s="116">
        <f>SUM(C76:C80)</f>
        <v>-320.64976274672284</v>
      </c>
      <c r="D75" s="116">
        <f t="shared" ref="D75:G75" si="16">SUM(D76:D80)</f>
        <v>30.383219957911656</v>
      </c>
      <c r="E75" s="116">
        <f t="shared" si="16"/>
        <v>0</v>
      </c>
      <c r="F75" s="116">
        <f t="shared" si="16"/>
        <v>6.4724516847563201E-5</v>
      </c>
      <c r="G75" s="116">
        <f t="shared" si="16"/>
        <v>0</v>
      </c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</row>
    <row r="76" spans="1:20" x14ac:dyDescent="0.35">
      <c r="A76" s="78"/>
      <c r="B76" s="78" t="s">
        <v>111</v>
      </c>
      <c r="C76" s="80">
        <f>LCI_HC!$E9*'IW+f'!C18</f>
        <v>0</v>
      </c>
      <c r="D76" s="80">
        <f>LCI_HC!$E9*'IW+f'!D18</f>
        <v>9.619449130310139</v>
      </c>
      <c r="E76" s="80">
        <f>LCI_HC!$E9*'IW+f'!E18</f>
        <v>0</v>
      </c>
      <c r="F76" s="80">
        <f>LCI_HC!$E9*'IW+f'!F18</f>
        <v>6.4724516847563201E-5</v>
      </c>
      <c r="G76" s="80">
        <f>LCI_HC!$E9*'IW+f'!G18</f>
        <v>0</v>
      </c>
    </row>
    <row r="77" spans="1:20" x14ac:dyDescent="0.35">
      <c r="A77" s="78"/>
      <c r="B77" s="78" t="s">
        <v>112</v>
      </c>
      <c r="C77" s="80">
        <f>LCI_HC!$E10*'IW+f'!C20</f>
        <v>35.750237253277092</v>
      </c>
      <c r="D77" s="80">
        <f>LCI_HC!$E10*'IW+f'!D20</f>
        <v>0</v>
      </c>
      <c r="E77" s="80">
        <f>LCI_HC!$E10*'IW+f'!E20</f>
        <v>0</v>
      </c>
      <c r="F77" s="80">
        <f>LCI_HC!$E10*'IW+f'!F20</f>
        <v>0</v>
      </c>
      <c r="G77" s="80">
        <f>LCI_HC!$E10*'IW+f'!G20</f>
        <v>0</v>
      </c>
    </row>
    <row r="78" spans="1:20" x14ac:dyDescent="0.35">
      <c r="A78" s="78"/>
      <c r="B78" s="78" t="s">
        <v>115</v>
      </c>
      <c r="C78" s="80">
        <f>LCI_HC!$E11*'IW+f'!C21</f>
        <v>0</v>
      </c>
      <c r="D78" s="80">
        <f>LCI_HC!$E11*'IW+f'!D21</f>
        <v>26.898562863537109</v>
      </c>
      <c r="E78" s="80">
        <f>LCI_HC!$E11*'IW+f'!E21</f>
        <v>0</v>
      </c>
      <c r="F78" s="80">
        <f>LCI_HC!$E11*'IW+f'!F21</f>
        <v>0</v>
      </c>
      <c r="G78" s="80">
        <f>LCI_HC!$E11*'IW+f'!G21</f>
        <v>0</v>
      </c>
    </row>
    <row r="79" spans="1:20" x14ac:dyDescent="0.35">
      <c r="A79" s="78"/>
      <c r="B79" s="78" t="s">
        <v>417</v>
      </c>
      <c r="C79" s="80">
        <f>LCI_HC!$E12*'IW+f'!C25</f>
        <v>0</v>
      </c>
      <c r="D79" s="80">
        <f>LCI_HC!$E12*'IW+f'!D25</f>
        <v>-0.25419203593559148</v>
      </c>
      <c r="E79" s="80">
        <f>LCI_HC!$E12*'IW+f'!E25</f>
        <v>0</v>
      </c>
      <c r="F79" s="80">
        <f>LCI_HC!$E12*'IW+f'!F25</f>
        <v>0</v>
      </c>
      <c r="G79" s="80">
        <f>LCI_HC!$E12*'IW+f'!G25</f>
        <v>0</v>
      </c>
    </row>
    <row r="80" spans="1:20" x14ac:dyDescent="0.35">
      <c r="A80" s="78"/>
      <c r="B80" s="78" t="s">
        <v>418</v>
      </c>
      <c r="C80" s="80">
        <f>LCI_HC!$E13*'IW+f'!C26</f>
        <v>-356.39999999999992</v>
      </c>
      <c r="D80" s="80">
        <f>LCI_HC!$E13*'IW+f'!D26</f>
        <v>-5.8805999999999994</v>
      </c>
      <c r="E80" s="80">
        <f>LCI_HC!$E13*'IW+f'!E26</f>
        <v>0</v>
      </c>
      <c r="F80" s="80">
        <f>LCI_HC!$E13*'IW+f'!F26</f>
        <v>0</v>
      </c>
      <c r="G80" s="80">
        <f>LCI_HC!$E13*'IW+f'!G26</f>
        <v>0</v>
      </c>
    </row>
    <row r="81" spans="1:20" s="41" customFormat="1" x14ac:dyDescent="0.35">
      <c r="A81" s="82" t="s">
        <v>416</v>
      </c>
      <c r="B81" s="81"/>
      <c r="C81" s="116">
        <f>SUM(C82:C85)</f>
        <v>29.25339567634315</v>
      </c>
      <c r="D81" s="116">
        <f t="shared" ref="D81:G81" si="17">SUM(D82:D85)</f>
        <v>6.5743816775771826</v>
      </c>
      <c r="E81" s="116">
        <f t="shared" si="17"/>
        <v>4761.6247250279694</v>
      </c>
      <c r="F81" s="116">
        <f t="shared" si="17"/>
        <v>2.7345412759794961E-5</v>
      </c>
      <c r="G81" s="116">
        <f t="shared" si="17"/>
        <v>46.338316491067204</v>
      </c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</row>
    <row r="82" spans="1:20" x14ac:dyDescent="0.35">
      <c r="A82" s="78"/>
      <c r="B82" s="78" t="s">
        <v>230</v>
      </c>
      <c r="C82" s="79">
        <f>LCI_HC!$E15*'IW+f'!C28</f>
        <v>18.308110784151349</v>
      </c>
      <c r="D82" s="79">
        <f>LCI_HC!$E15*'IW+f'!D28</f>
        <v>2.4292887731590418</v>
      </c>
      <c r="E82" s="79">
        <f>LCI_HC!$E15*'IW+f'!E28</f>
        <v>269.22901041827924</v>
      </c>
      <c r="F82" s="79">
        <f>LCI_HC!$E15*'IW+f'!F28</f>
        <v>1.3430629822839985E-5</v>
      </c>
      <c r="G82" s="79">
        <f>LCI_HC!$E15*'IW+f'!G28</f>
        <v>27.567982911920282</v>
      </c>
    </row>
    <row r="83" spans="1:20" x14ac:dyDescent="0.35">
      <c r="A83" s="78"/>
      <c r="B83" s="78" t="s">
        <v>232</v>
      </c>
      <c r="C83" s="79">
        <f>LCI_HC!$E16*'IW+f'!C30</f>
        <v>1.3338680131740035</v>
      </c>
      <c r="D83" s="79">
        <f>LCI_HC!$E16*'IW+f'!D30</f>
        <v>0.62166936201070866</v>
      </c>
      <c r="E83" s="79">
        <f>LCI_HC!$E16*'IW+f'!E30</f>
        <v>23.386831225863222</v>
      </c>
      <c r="F83" s="79">
        <f>LCI_HC!$E16*'IW+f'!F30</f>
        <v>5.1310109062572922E-6</v>
      </c>
      <c r="G83" s="79">
        <f>LCI_HC!$E16*'IW+f'!G30</f>
        <v>3.1641899920453693</v>
      </c>
    </row>
    <row r="84" spans="1:20" x14ac:dyDescent="0.35">
      <c r="A84" s="78"/>
      <c r="B84" s="78" t="s">
        <v>231</v>
      </c>
      <c r="C84" s="79">
        <f>LCI_HC!$E17*'IW+f'!C29</f>
        <v>3.3503467244399605</v>
      </c>
      <c r="D84" s="79">
        <f>LCI_HC!$E17*'IW+f'!D29</f>
        <v>0.81540585903248997</v>
      </c>
      <c r="E84" s="79">
        <f>LCI_HC!$E17*'IW+f'!E29</f>
        <v>54.318388846732752</v>
      </c>
      <c r="F84" s="79">
        <f>LCI_HC!$E17*'IW+f'!F29</f>
        <v>3.7579757195396908E-6</v>
      </c>
      <c r="G84" s="79">
        <f>LCI_HC!$E17*'IW+f'!G29</f>
        <v>1.5764216817741601</v>
      </c>
    </row>
    <row r="85" spans="1:20" x14ac:dyDescent="0.35">
      <c r="A85" s="78"/>
      <c r="B85" s="78" t="s">
        <v>233</v>
      </c>
      <c r="C85" s="79">
        <f>LCI_HC!$E18*'IW+f'!C31</f>
        <v>6.2610701545778342</v>
      </c>
      <c r="D85" s="79">
        <f>LCI_HC!$E18*'IW+f'!D31</f>
        <v>2.7080176833749428</v>
      </c>
      <c r="E85" s="79">
        <f>LCI_HC!$E18*'IW+f'!E31</f>
        <v>4414.6904945370943</v>
      </c>
      <c r="F85" s="79">
        <f>LCI_HC!$E18*'IW+f'!F31</f>
        <v>5.0257963111579954E-6</v>
      </c>
      <c r="G85" s="79">
        <f>LCI_HC!$E18*'IW+f'!G31</f>
        <v>14.029721905327388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1"/>
  <sheetViews>
    <sheetView topLeftCell="A16" workbookViewId="0">
      <selection activeCell="E41" sqref="E41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1" t="s">
        <v>351</v>
      </c>
    </row>
    <row r="2" spans="1:6" x14ac:dyDescent="0.35">
      <c r="A2" s="62" t="s">
        <v>0</v>
      </c>
      <c r="B2" s="63" t="s">
        <v>10</v>
      </c>
      <c r="C2" s="63" t="s">
        <v>11</v>
      </c>
      <c r="D2" s="63" t="s">
        <v>12</v>
      </c>
      <c r="E2" s="63" t="s">
        <v>1</v>
      </c>
      <c r="F2" s="64" t="s">
        <v>2</v>
      </c>
    </row>
    <row r="3" spans="1:6" x14ac:dyDescent="0.35">
      <c r="A3" s="43" t="s">
        <v>5</v>
      </c>
      <c r="B3" s="44" t="s">
        <v>3</v>
      </c>
      <c r="C3" s="44" t="s">
        <v>15</v>
      </c>
      <c r="D3" s="44" t="s">
        <v>13</v>
      </c>
      <c r="E3" s="44">
        <v>1</v>
      </c>
      <c r="F3" s="45" t="s">
        <v>14</v>
      </c>
    </row>
    <row r="4" spans="1:6" x14ac:dyDescent="0.35">
      <c r="A4" s="46"/>
      <c r="B4" s="47" t="s">
        <v>3</v>
      </c>
      <c r="C4" s="47" t="s">
        <v>15</v>
      </c>
      <c r="D4" s="47" t="s">
        <v>8</v>
      </c>
      <c r="E4" s="47">
        <f>E3*Parameters!C3</f>
        <v>9.98</v>
      </c>
      <c r="F4" s="48" t="s">
        <v>129</v>
      </c>
    </row>
    <row r="5" spans="1:6" x14ac:dyDescent="0.35">
      <c r="A5" s="46"/>
      <c r="B5" s="47" t="s">
        <v>3</v>
      </c>
      <c r="C5" s="47" t="s">
        <v>15</v>
      </c>
      <c r="D5" s="47" t="s">
        <v>9</v>
      </c>
      <c r="E5" s="47"/>
      <c r="F5" s="48"/>
    </row>
    <row r="6" spans="1:6" x14ac:dyDescent="0.35">
      <c r="A6" s="49"/>
      <c r="B6" s="50" t="s">
        <v>4</v>
      </c>
      <c r="C6" s="50" t="s">
        <v>17</v>
      </c>
      <c r="D6" s="50" t="s">
        <v>238</v>
      </c>
      <c r="E6" s="50">
        <f>E3*Parameters!C5</f>
        <v>0.77</v>
      </c>
      <c r="F6" s="51" t="s">
        <v>14</v>
      </c>
    </row>
    <row r="7" spans="1:6" x14ac:dyDescent="0.35">
      <c r="A7" s="52" t="s">
        <v>237</v>
      </c>
      <c r="B7" s="53" t="s">
        <v>3</v>
      </c>
      <c r="C7" s="53" t="s">
        <v>17</v>
      </c>
      <c r="D7" s="50" t="s">
        <v>425</v>
      </c>
      <c r="E7" s="66">
        <f>E8*0.001*Parameters!C6</f>
        <v>2.2999999999999998</v>
      </c>
      <c r="F7" s="51" t="s">
        <v>287</v>
      </c>
    </row>
    <row r="8" spans="1:6" x14ac:dyDescent="0.35">
      <c r="B8" s="53" t="s">
        <v>3</v>
      </c>
      <c r="C8" s="53" t="s">
        <v>17</v>
      </c>
      <c r="D8" s="53" t="s">
        <v>239</v>
      </c>
      <c r="E8" s="53">
        <f>E3*(1-Parameters!C5)*1000</f>
        <v>229.99999999999997</v>
      </c>
      <c r="F8" s="54" t="s">
        <v>88</v>
      </c>
    </row>
    <row r="9" spans="1:6" x14ac:dyDescent="0.35">
      <c r="A9" s="43" t="s">
        <v>6</v>
      </c>
      <c r="B9" s="44" t="s">
        <v>3</v>
      </c>
      <c r="C9" s="44" t="s">
        <v>17</v>
      </c>
      <c r="D9" s="44" t="s">
        <v>16</v>
      </c>
      <c r="E9" s="44">
        <f>E6</f>
        <v>0.77</v>
      </c>
      <c r="F9" s="45" t="s">
        <v>14</v>
      </c>
    </row>
    <row r="10" spans="1:6" x14ac:dyDescent="0.35">
      <c r="A10" s="46"/>
      <c r="B10" s="47" t="s">
        <v>3</v>
      </c>
      <c r="C10" s="47" t="s">
        <v>17</v>
      </c>
      <c r="D10" s="47" t="s">
        <v>8</v>
      </c>
      <c r="E10" s="47">
        <f>Parameters!C14*E9</f>
        <v>22.330000000000002</v>
      </c>
      <c r="F10" s="48" t="s">
        <v>129</v>
      </c>
    </row>
    <row r="11" spans="1:6" x14ac:dyDescent="0.35">
      <c r="A11" s="46"/>
      <c r="B11" s="47" t="s">
        <v>3</v>
      </c>
      <c r="C11" s="47" t="s">
        <v>17</v>
      </c>
      <c r="D11" s="47" t="s">
        <v>18</v>
      </c>
      <c r="E11" s="47">
        <f>E9*Parameters!C15</f>
        <v>227.15</v>
      </c>
      <c r="F11" s="48" t="s">
        <v>220</v>
      </c>
    </row>
    <row r="12" spans="1:6" x14ac:dyDescent="0.35">
      <c r="A12" s="46"/>
      <c r="B12" s="47" t="s">
        <v>4</v>
      </c>
      <c r="C12" s="47" t="s">
        <v>20</v>
      </c>
      <c r="D12" s="47" t="s">
        <v>19</v>
      </c>
      <c r="E12" s="47">
        <f>Parameters!C9*(Parameters!C7*(1-Waste_characteristics!B4))*E9*Parameters!C11*0.001</f>
        <v>1.5118453902366449</v>
      </c>
      <c r="F12" s="48" t="s">
        <v>88</v>
      </c>
    </row>
    <row r="13" spans="1:6" x14ac:dyDescent="0.35">
      <c r="A13" s="46"/>
      <c r="B13" s="47" t="s">
        <v>4</v>
      </c>
      <c r="C13" s="47" t="s">
        <v>17</v>
      </c>
      <c r="D13" s="47" t="s">
        <v>21</v>
      </c>
      <c r="E13" s="47">
        <f>(((Parameters!C7*(1-Waste_characteristics!B4))/Parameters!C10)*0.001)-((E12/Parameters!C11)*(1/Parameters!C10))</f>
        <v>223.74984536240387</v>
      </c>
      <c r="F13" s="48" t="s">
        <v>241</v>
      </c>
    </row>
    <row r="14" spans="1:6" x14ac:dyDescent="0.35">
      <c r="A14" s="49"/>
      <c r="B14" s="50" t="s">
        <v>4</v>
      </c>
      <c r="C14" s="50" t="s">
        <v>15</v>
      </c>
      <c r="D14" s="50" t="s">
        <v>352</v>
      </c>
      <c r="E14" s="50">
        <f>Parameters!C66</f>
        <v>0.55582190304980861</v>
      </c>
      <c r="F14" s="51" t="s">
        <v>14</v>
      </c>
    </row>
    <row r="15" spans="1:6" x14ac:dyDescent="0.35">
      <c r="A15" s="43" t="s">
        <v>7</v>
      </c>
      <c r="B15" s="44" t="s">
        <v>3</v>
      </c>
      <c r="C15" s="44" t="s">
        <v>17</v>
      </c>
      <c r="D15" s="44" t="s">
        <v>21</v>
      </c>
      <c r="E15" s="44">
        <f>E13</f>
        <v>223.74984536240387</v>
      </c>
      <c r="F15" s="45" t="s">
        <v>241</v>
      </c>
    </row>
    <row r="16" spans="1:6" x14ac:dyDescent="0.35">
      <c r="A16" s="55"/>
      <c r="B16" s="47" t="s">
        <v>4</v>
      </c>
      <c r="C16" s="47" t="s">
        <v>20</v>
      </c>
      <c r="D16" s="47" t="s">
        <v>50</v>
      </c>
      <c r="E16" s="47">
        <f>E15*Parameters!C24</f>
        <v>3.6718365183242771E-2</v>
      </c>
      <c r="F16" s="48" t="s">
        <v>88</v>
      </c>
    </row>
    <row r="17" spans="1:8" x14ac:dyDescent="0.35">
      <c r="A17" s="55"/>
      <c r="B17" s="47" t="s">
        <v>4</v>
      </c>
      <c r="C17" s="47" t="s">
        <v>20</v>
      </c>
      <c r="D17" s="47" t="s">
        <v>51</v>
      </c>
      <c r="E17" s="47">
        <f>E15*Parameters!C25</f>
        <v>0.35389510062325319</v>
      </c>
      <c r="F17" s="48" t="s">
        <v>88</v>
      </c>
    </row>
    <row r="18" spans="1:8" x14ac:dyDescent="0.35">
      <c r="A18" s="55"/>
      <c r="B18" s="47" t="s">
        <v>4</v>
      </c>
      <c r="C18" s="47" t="s">
        <v>20</v>
      </c>
      <c r="D18" s="47" t="s">
        <v>52</v>
      </c>
      <c r="E18" s="47">
        <f>E15*Parameters!C26</f>
        <v>3.1472884442779359E-3</v>
      </c>
      <c r="F18" s="48" t="s">
        <v>88</v>
      </c>
    </row>
    <row r="19" spans="1:8" x14ac:dyDescent="0.35">
      <c r="A19" s="55"/>
      <c r="B19" s="47" t="s">
        <v>4</v>
      </c>
      <c r="C19" s="47" t="s">
        <v>20</v>
      </c>
      <c r="D19" s="47" t="s">
        <v>53</v>
      </c>
      <c r="E19" s="47">
        <f>LCI!E14*Parameters!C27</f>
        <v>7.693371752679418E-3</v>
      </c>
      <c r="F19" s="48" t="s">
        <v>88</v>
      </c>
    </row>
    <row r="20" spans="1:8" x14ac:dyDescent="0.35">
      <c r="A20" s="55"/>
      <c r="B20" s="47" t="s">
        <v>4</v>
      </c>
      <c r="C20" s="47" t="s">
        <v>20</v>
      </c>
      <c r="D20" s="47" t="s">
        <v>54</v>
      </c>
      <c r="E20" s="47">
        <f>E15*Parameters!C28</f>
        <v>0.23901907240710826</v>
      </c>
      <c r="F20" s="48" t="s">
        <v>88</v>
      </c>
    </row>
    <row r="21" spans="1:8" x14ac:dyDescent="0.35">
      <c r="A21" s="55"/>
      <c r="B21" s="47" t="s">
        <v>4</v>
      </c>
      <c r="C21" s="47" t="s">
        <v>20</v>
      </c>
      <c r="D21" s="47" t="s">
        <v>55</v>
      </c>
      <c r="E21" s="47">
        <f>E15*Parameters!C29</f>
        <v>1.4337647357266187E-2</v>
      </c>
      <c r="F21" s="48" t="s">
        <v>88</v>
      </c>
    </row>
    <row r="22" spans="1:8" x14ac:dyDescent="0.35">
      <c r="A22" s="55"/>
      <c r="B22" s="47" t="s">
        <v>4</v>
      </c>
      <c r="C22" s="47" t="s">
        <v>20</v>
      </c>
      <c r="D22" s="47" t="s">
        <v>58</v>
      </c>
      <c r="E22" s="47">
        <f>E15*Parameters!C30</f>
        <v>0.96288795800695026</v>
      </c>
      <c r="F22" s="48" t="s">
        <v>88</v>
      </c>
    </row>
    <row r="23" spans="1:8" x14ac:dyDescent="0.35">
      <c r="A23" s="55"/>
      <c r="B23" s="47" t="s">
        <v>4</v>
      </c>
      <c r="C23" s="47" t="s">
        <v>20</v>
      </c>
      <c r="D23" s="47" t="s">
        <v>59</v>
      </c>
      <c r="E23" s="47">
        <f>LCI!E14*Parameters!C31</f>
        <v>2.2925903762070245E-2</v>
      </c>
      <c r="F23" s="48" t="s">
        <v>88</v>
      </c>
    </row>
    <row r="24" spans="1:8" x14ac:dyDescent="0.35">
      <c r="A24" s="55"/>
      <c r="B24" s="47" t="s">
        <v>4</v>
      </c>
      <c r="C24" s="47" t="s">
        <v>15</v>
      </c>
      <c r="D24" s="47" t="s">
        <v>8</v>
      </c>
      <c r="E24" s="47">
        <f>E15*Parameters!C10*Parameters!C20*Parameters!C19/3.6</f>
        <v>509.03089819946877</v>
      </c>
      <c r="F24" s="48" t="s">
        <v>129</v>
      </c>
    </row>
    <row r="25" spans="1:8" x14ac:dyDescent="0.35">
      <c r="A25" s="55"/>
      <c r="B25" s="47" t="s">
        <v>4</v>
      </c>
      <c r="C25" s="47" t="s">
        <v>15</v>
      </c>
      <c r="D25" s="47" t="s">
        <v>18</v>
      </c>
      <c r="E25" s="47">
        <f>E15*Parameters!C10*Parameters!C20*Parameters!C18</f>
        <v>2161.4235062008215</v>
      </c>
      <c r="F25" s="48" t="s">
        <v>220</v>
      </c>
    </row>
    <row r="26" spans="1:8" x14ac:dyDescent="0.35">
      <c r="A26" s="57" t="s">
        <v>101</v>
      </c>
      <c r="B26" s="44" t="s">
        <v>3</v>
      </c>
      <c r="C26" s="44" t="s">
        <v>15</v>
      </c>
      <c r="D26" s="44" t="s">
        <v>352</v>
      </c>
      <c r="E26" s="44">
        <f>E14</f>
        <v>0.55582190304980861</v>
      </c>
      <c r="F26" s="45" t="s">
        <v>14</v>
      </c>
    </row>
    <row r="27" spans="1:8" x14ac:dyDescent="0.35">
      <c r="A27" s="55"/>
      <c r="B27" s="47" t="s">
        <v>4</v>
      </c>
      <c r="C27" s="47" t="s">
        <v>20</v>
      </c>
      <c r="D27" s="47" t="s">
        <v>97</v>
      </c>
      <c r="E27" s="47">
        <f>Parameters!C74*1000</f>
        <v>1.7377103344898694</v>
      </c>
      <c r="F27" s="48" t="s">
        <v>88</v>
      </c>
    </row>
    <row r="28" spans="1:8" x14ac:dyDescent="0.35">
      <c r="A28" s="56"/>
      <c r="B28" s="60" t="s">
        <v>4</v>
      </c>
      <c r="C28" s="60" t="s">
        <v>15</v>
      </c>
      <c r="D28" s="60" t="s">
        <v>353</v>
      </c>
      <c r="E28" s="50">
        <f>E26-(E27*0.001)</f>
        <v>0.55408419271531872</v>
      </c>
      <c r="F28" s="61" t="s">
        <v>14</v>
      </c>
    </row>
    <row r="29" spans="1:8" x14ac:dyDescent="0.35">
      <c r="A29" s="43" t="s">
        <v>109</v>
      </c>
      <c r="B29" s="44" t="s">
        <v>3</v>
      </c>
      <c r="C29" s="44" t="s">
        <v>15</v>
      </c>
      <c r="D29" s="44" t="s">
        <v>353</v>
      </c>
      <c r="E29" s="44">
        <f>E28</f>
        <v>0.55408419271531872</v>
      </c>
      <c r="F29" s="45" t="s">
        <v>14</v>
      </c>
    </row>
    <row r="30" spans="1:8" x14ac:dyDescent="0.35">
      <c r="A30" s="55"/>
      <c r="B30" s="47" t="s">
        <v>4</v>
      </c>
      <c r="C30" s="47" t="s">
        <v>20</v>
      </c>
      <c r="D30" s="131" t="s">
        <v>112</v>
      </c>
      <c r="E30" s="131">
        <f>Waste_characteristics!B3*Parameters!C5*(1-Waste_characteristics!B4)*Waste_characteristics!B8*Parameters!C78*(44/28)*1000</f>
        <v>0.18825189343947143</v>
      </c>
      <c r="F30" s="48" t="s">
        <v>88</v>
      </c>
      <c r="H30" s="17" t="s">
        <v>428</v>
      </c>
    </row>
    <row r="31" spans="1:8" x14ac:dyDescent="0.35">
      <c r="A31" s="55"/>
      <c r="B31" s="47" t="s">
        <v>4</v>
      </c>
      <c r="C31" s="47" t="s">
        <v>20</v>
      </c>
      <c r="D31" s="131" t="s">
        <v>111</v>
      </c>
      <c r="E31" s="131">
        <f>Waste_characteristics!B3*Parameters!C5*(1-Waste_characteristics!B4)*Waste_characteristics!B8*Parameters!C79*(17/14)*1000</f>
        <v>4.4759191447147053</v>
      </c>
      <c r="F31" s="48" t="s">
        <v>88</v>
      </c>
    </row>
    <row r="32" spans="1:8" x14ac:dyDescent="0.35">
      <c r="A32" s="55"/>
      <c r="B32" s="47" t="s">
        <v>4</v>
      </c>
      <c r="C32" s="47" t="s">
        <v>20</v>
      </c>
      <c r="D32" s="131" t="s">
        <v>115</v>
      </c>
      <c r="E32" s="131">
        <f>Waste_characteristics!B3*Parameters!C5*(1-Waste_characteristics!B4)*Waste_characteristics!B8*Parameters!C80*(62/14)*1000</f>
        <v>6.1214776538009943</v>
      </c>
      <c r="F32" s="48" t="s">
        <v>88</v>
      </c>
    </row>
    <row r="33" spans="1:6" x14ac:dyDescent="0.35">
      <c r="A33" s="55"/>
      <c r="B33" s="47" t="s">
        <v>4</v>
      </c>
      <c r="C33" s="47" t="s">
        <v>20</v>
      </c>
      <c r="D33" s="131" t="s">
        <v>417</v>
      </c>
      <c r="E33" s="134">
        <f>[4]LCI!$C$22*1000</f>
        <v>-6.2584498828987409E-2</v>
      </c>
      <c r="F33" s="48" t="s">
        <v>88</v>
      </c>
    </row>
    <row r="34" spans="1:6" x14ac:dyDescent="0.35">
      <c r="A34" s="56"/>
      <c r="B34" s="50" t="s">
        <v>4</v>
      </c>
      <c r="C34" s="50" t="s">
        <v>20</v>
      </c>
      <c r="D34" s="133" t="s">
        <v>418</v>
      </c>
      <c r="E34" s="132">
        <f>[4]LCI!$C$26*1000</f>
        <v>-291.08566666666667</v>
      </c>
      <c r="F34" s="51" t="s">
        <v>88</v>
      </c>
    </row>
    <row r="35" spans="1:6" x14ac:dyDescent="0.35">
      <c r="A35" s="43" t="s">
        <v>424</v>
      </c>
      <c r="B35" s="44"/>
      <c r="C35" s="44"/>
      <c r="D35" s="44"/>
      <c r="E35" s="44"/>
      <c r="F35" s="45"/>
    </row>
    <row r="36" spans="1:6" x14ac:dyDescent="0.35">
      <c r="A36" s="55"/>
      <c r="B36" s="47"/>
      <c r="C36" s="47" t="s">
        <v>15</v>
      </c>
      <c r="D36" s="47" t="s">
        <v>230</v>
      </c>
      <c r="E36" s="131">
        <v>4.2300000000000004</v>
      </c>
      <c r="F36" s="48" t="s">
        <v>88</v>
      </c>
    </row>
    <row r="37" spans="1:6" x14ac:dyDescent="0.35">
      <c r="A37" s="55"/>
      <c r="B37" s="47"/>
      <c r="C37" s="47" t="s">
        <v>15</v>
      </c>
      <c r="D37" s="47" t="s">
        <v>232</v>
      </c>
      <c r="E37" s="131">
        <v>1.62</v>
      </c>
      <c r="F37" s="48" t="s">
        <v>88</v>
      </c>
    </row>
    <row r="38" spans="1:6" x14ac:dyDescent="0.35">
      <c r="A38" s="55"/>
      <c r="B38" s="47"/>
      <c r="C38" s="47" t="s">
        <v>15</v>
      </c>
      <c r="D38" s="47" t="s">
        <v>231</v>
      </c>
      <c r="E38" s="131">
        <v>2.68</v>
      </c>
      <c r="F38" s="48" t="s">
        <v>88</v>
      </c>
    </row>
    <row r="39" spans="1:6" x14ac:dyDescent="0.35">
      <c r="A39" s="55"/>
      <c r="B39" s="47"/>
      <c r="C39" s="47" t="s">
        <v>15</v>
      </c>
      <c r="D39" s="47" t="s">
        <v>233</v>
      </c>
      <c r="E39" s="134">
        <v>150</v>
      </c>
      <c r="F39" s="48" t="s">
        <v>88</v>
      </c>
    </row>
    <row r="40" spans="1:6" x14ac:dyDescent="0.35">
      <c r="A40" s="55"/>
      <c r="B40" s="47"/>
      <c r="C40" s="47" t="s">
        <v>15</v>
      </c>
      <c r="D40" s="58" t="s">
        <v>426</v>
      </c>
      <c r="E40" s="47">
        <f>E25</f>
        <v>2161.4235062008215</v>
      </c>
      <c r="F40" s="59" t="s">
        <v>220</v>
      </c>
    </row>
    <row r="41" spans="1:6" x14ac:dyDescent="0.35">
      <c r="A41" s="56"/>
      <c r="B41" s="50"/>
      <c r="C41" s="50" t="s">
        <v>15</v>
      </c>
      <c r="D41" s="60" t="s">
        <v>427</v>
      </c>
      <c r="E41" s="50">
        <f>E24</f>
        <v>509.03089819946877</v>
      </c>
      <c r="F41" s="61" t="s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workbookViewId="0">
      <selection activeCell="B22" sqref="B22:F23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1" t="s">
        <v>320</v>
      </c>
    </row>
    <row r="2" spans="1:7" x14ac:dyDescent="0.35">
      <c r="A2" s="62" t="s">
        <v>0</v>
      </c>
      <c r="B2" s="63" t="s">
        <v>10</v>
      </c>
      <c r="C2" s="63" t="s">
        <v>11</v>
      </c>
      <c r="D2" s="63" t="s">
        <v>12</v>
      </c>
      <c r="E2" s="63" t="s">
        <v>1</v>
      </c>
      <c r="F2" s="64" t="s">
        <v>2</v>
      </c>
    </row>
    <row r="3" spans="1:7" x14ac:dyDescent="0.35">
      <c r="A3" s="43" t="s">
        <v>5</v>
      </c>
      <c r="B3" s="44" t="s">
        <v>3</v>
      </c>
      <c r="C3" s="44" t="s">
        <v>15</v>
      </c>
      <c r="D3" s="44" t="s">
        <v>13</v>
      </c>
      <c r="E3" s="44">
        <v>1</v>
      </c>
      <c r="F3" s="45" t="s">
        <v>14</v>
      </c>
    </row>
    <row r="4" spans="1:7" x14ac:dyDescent="0.35">
      <c r="A4" s="55"/>
      <c r="B4" s="47" t="s">
        <v>3</v>
      </c>
      <c r="C4" s="47" t="s">
        <v>15</v>
      </c>
      <c r="D4" s="47" t="s">
        <v>8</v>
      </c>
      <c r="E4" s="47">
        <f>E3*Parameters!C3</f>
        <v>9.98</v>
      </c>
      <c r="F4" s="48" t="s">
        <v>129</v>
      </c>
    </row>
    <row r="5" spans="1:7" x14ac:dyDescent="0.35">
      <c r="A5" s="55"/>
      <c r="B5" s="47" t="s">
        <v>3</v>
      </c>
      <c r="C5" s="47" t="s">
        <v>15</v>
      </c>
      <c r="D5" s="47" t="s">
        <v>9</v>
      </c>
      <c r="E5" s="47"/>
      <c r="F5" s="48"/>
    </row>
    <row r="6" spans="1:7" x14ac:dyDescent="0.35">
      <c r="A6" s="55"/>
      <c r="B6" s="47" t="s">
        <v>4</v>
      </c>
      <c r="C6" s="47" t="s">
        <v>17</v>
      </c>
      <c r="D6" s="47" t="s">
        <v>238</v>
      </c>
      <c r="E6" s="47">
        <f>E3*Parameters!C5</f>
        <v>0.77</v>
      </c>
      <c r="F6" s="48" t="s">
        <v>14</v>
      </c>
    </row>
    <row r="7" spans="1:7" x14ac:dyDescent="0.35">
      <c r="A7" s="43" t="s">
        <v>237</v>
      </c>
      <c r="B7" s="44" t="s">
        <v>3</v>
      </c>
      <c r="C7" s="44" t="s">
        <v>17</v>
      </c>
      <c r="D7" s="44" t="s">
        <v>239</v>
      </c>
      <c r="E7" s="44">
        <f>E3*(1-Parameters!C5)*1000</f>
        <v>229.99999999999997</v>
      </c>
      <c r="F7" s="45" t="s">
        <v>88</v>
      </c>
    </row>
    <row r="8" spans="1:7" x14ac:dyDescent="0.35">
      <c r="A8" s="56"/>
      <c r="B8" s="50" t="s">
        <v>3</v>
      </c>
      <c r="C8" s="50" t="s">
        <v>17</v>
      </c>
      <c r="D8" s="60" t="s">
        <v>421</v>
      </c>
      <c r="E8" s="66">
        <f>E7*0.001*Parameters!C6</f>
        <v>2.2999999999999998</v>
      </c>
      <c r="F8" s="61" t="s">
        <v>287</v>
      </c>
    </row>
    <row r="9" spans="1:7" x14ac:dyDescent="0.35">
      <c r="A9" s="46" t="s">
        <v>303</v>
      </c>
      <c r="B9" s="47" t="s">
        <v>3</v>
      </c>
      <c r="C9" s="47" t="s">
        <v>15</v>
      </c>
      <c r="D9" s="47" t="s">
        <v>238</v>
      </c>
      <c r="E9" s="47">
        <f>E6</f>
        <v>0.77</v>
      </c>
      <c r="F9" s="48" t="s">
        <v>14</v>
      </c>
    </row>
    <row r="10" spans="1:7" x14ac:dyDescent="0.35">
      <c r="A10" s="55"/>
      <c r="B10" s="47" t="s">
        <v>3</v>
      </c>
      <c r="C10" s="47" t="s">
        <v>15</v>
      </c>
      <c r="D10" s="47" t="s">
        <v>304</v>
      </c>
      <c r="E10" s="47">
        <f>E9*(1/8)*1000</f>
        <v>96.25</v>
      </c>
      <c r="F10" s="48" t="s">
        <v>88</v>
      </c>
    </row>
    <row r="11" spans="1:7" x14ac:dyDescent="0.35">
      <c r="A11" s="56"/>
      <c r="B11" s="50" t="s">
        <v>4</v>
      </c>
      <c r="C11" s="50" t="s">
        <v>15</v>
      </c>
      <c r="D11" s="50" t="s">
        <v>337</v>
      </c>
      <c r="E11" s="50">
        <f>E9+(E10/1000)</f>
        <v>0.86624999999999996</v>
      </c>
      <c r="F11" s="51" t="s">
        <v>14</v>
      </c>
    </row>
    <row r="12" spans="1:7" x14ac:dyDescent="0.35">
      <c r="A12" s="43" t="s">
        <v>305</v>
      </c>
      <c r="B12" s="44" t="s">
        <v>3</v>
      </c>
      <c r="C12" s="44" t="s">
        <v>15</v>
      </c>
      <c r="D12" s="44" t="s">
        <v>337</v>
      </c>
      <c r="E12" s="44">
        <f>E11</f>
        <v>0.86624999999999996</v>
      </c>
      <c r="F12" s="45" t="s">
        <v>14</v>
      </c>
    </row>
    <row r="13" spans="1:7" x14ac:dyDescent="0.35">
      <c r="A13" s="55"/>
      <c r="B13" s="47" t="s">
        <v>4</v>
      </c>
      <c r="C13" s="47" t="s">
        <v>20</v>
      </c>
      <c r="D13" s="47" t="s">
        <v>97</v>
      </c>
      <c r="E13" s="47">
        <f>[4]LCI!C4*1000</f>
        <v>0.1410178</v>
      </c>
      <c r="F13" s="48" t="s">
        <v>88</v>
      </c>
      <c r="G13" t="s">
        <v>340</v>
      </c>
    </row>
    <row r="14" spans="1:7" x14ac:dyDescent="0.35">
      <c r="A14" s="55"/>
      <c r="B14" s="47" t="s">
        <v>4</v>
      </c>
      <c r="C14" s="47" t="s">
        <v>20</v>
      </c>
      <c r="D14" s="47" t="s">
        <v>111</v>
      </c>
      <c r="E14" s="68">
        <f>[4]LCI!C5*1000</f>
        <v>0.1932546</v>
      </c>
      <c r="F14" s="48" t="s">
        <v>88</v>
      </c>
      <c r="G14" t="s">
        <v>340</v>
      </c>
    </row>
    <row r="15" spans="1:7" x14ac:dyDescent="0.35">
      <c r="A15" s="55"/>
      <c r="B15" s="47" t="s">
        <v>4</v>
      </c>
      <c r="C15" s="47" t="s">
        <v>20</v>
      </c>
      <c r="D15" s="47" t="s">
        <v>112</v>
      </c>
      <c r="E15" s="47">
        <f>[4]LCI!C6*1000</f>
        <v>6.0094649999999999E-2</v>
      </c>
      <c r="F15" s="48" t="s">
        <v>88</v>
      </c>
      <c r="G15" t="s">
        <v>340</v>
      </c>
    </row>
    <row r="16" spans="1:7" x14ac:dyDescent="0.35">
      <c r="A16" s="55"/>
      <c r="B16" s="47" t="s">
        <v>4</v>
      </c>
      <c r="C16" s="47" t="s">
        <v>20</v>
      </c>
      <c r="D16" s="47" t="s">
        <v>98</v>
      </c>
      <c r="E16" s="47">
        <f>[4]LCI!C7*1000</f>
        <v>314.00600000000003</v>
      </c>
      <c r="F16" s="48" t="s">
        <v>88</v>
      </c>
      <c r="G16" t="s">
        <v>340</v>
      </c>
    </row>
    <row r="17" spans="1:7" x14ac:dyDescent="0.35">
      <c r="A17" s="55"/>
      <c r="B17" s="47" t="s">
        <v>4</v>
      </c>
      <c r="C17" s="47" t="s">
        <v>15</v>
      </c>
      <c r="D17" s="47" t="s">
        <v>341</v>
      </c>
      <c r="E17" s="47">
        <f>[4]LCI!$C$31*1000</f>
        <v>6.93</v>
      </c>
      <c r="F17" s="48" t="s">
        <v>129</v>
      </c>
      <c r="G17" t="s">
        <v>340</v>
      </c>
    </row>
    <row r="18" spans="1:7" x14ac:dyDescent="0.35">
      <c r="A18" s="56"/>
      <c r="B18" s="50" t="s">
        <v>4</v>
      </c>
      <c r="C18" s="50" t="s">
        <v>15</v>
      </c>
      <c r="D18" s="50" t="s">
        <v>229</v>
      </c>
      <c r="E18" s="50">
        <f>[4]LCI!$C$34*1000</f>
        <v>0</v>
      </c>
      <c r="F18" s="51" t="s">
        <v>342</v>
      </c>
      <c r="G18" t="s">
        <v>340</v>
      </c>
    </row>
    <row r="19" spans="1:7" x14ac:dyDescent="0.35">
      <c r="A19" s="43" t="s">
        <v>354</v>
      </c>
      <c r="B19" s="44" t="s">
        <v>4</v>
      </c>
      <c r="C19" s="44" t="s">
        <v>20</v>
      </c>
      <c r="D19" s="44" t="s">
        <v>111</v>
      </c>
      <c r="E19" s="117">
        <f>[4]LCI!C18*1000</f>
        <v>0.28248772601314265</v>
      </c>
      <c r="F19" s="45" t="s">
        <v>88</v>
      </c>
      <c r="G19" t="s">
        <v>340</v>
      </c>
    </row>
    <row r="20" spans="1:7" x14ac:dyDescent="0.35">
      <c r="A20" s="55"/>
      <c r="B20" s="47" t="s">
        <v>4</v>
      </c>
      <c r="C20" s="47" t="s">
        <v>20</v>
      </c>
      <c r="D20" s="47" t="s">
        <v>112</v>
      </c>
      <c r="E20" s="68">
        <f>[4]LCI!C19*1000</f>
        <v>9.9088000395629622E-2</v>
      </c>
      <c r="F20" s="48" t="s">
        <v>88</v>
      </c>
      <c r="G20" t="s">
        <v>340</v>
      </c>
    </row>
    <row r="21" spans="1:7" x14ac:dyDescent="0.35">
      <c r="A21" s="55"/>
      <c r="B21" s="47" t="s">
        <v>4</v>
      </c>
      <c r="C21" s="47" t="s">
        <v>20</v>
      </c>
      <c r="D21" s="47" t="s">
        <v>115</v>
      </c>
      <c r="E21" s="68">
        <f>[4]LCI!C20*1000</f>
        <v>10.355959855438968</v>
      </c>
      <c r="F21" s="48" t="s">
        <v>88</v>
      </c>
      <c r="G21" t="s">
        <v>340</v>
      </c>
    </row>
    <row r="22" spans="1:7" x14ac:dyDescent="0.35">
      <c r="A22" s="55"/>
      <c r="B22" s="47" t="s">
        <v>4</v>
      </c>
      <c r="C22" s="47" t="s">
        <v>20</v>
      </c>
      <c r="D22" s="47" t="s">
        <v>417</v>
      </c>
      <c r="E22" s="68">
        <f>[4]LCI!$C$22*1000</f>
        <v>-6.2584498828987409E-2</v>
      </c>
      <c r="F22" s="48" t="s">
        <v>88</v>
      </c>
      <c r="G22" t="s">
        <v>340</v>
      </c>
    </row>
    <row r="23" spans="1:7" x14ac:dyDescent="0.35">
      <c r="A23" s="55"/>
      <c r="B23" s="47" t="s">
        <v>4</v>
      </c>
      <c r="C23" s="47" t="s">
        <v>20</v>
      </c>
      <c r="D23" s="47" t="s">
        <v>418</v>
      </c>
      <c r="E23" s="68">
        <f>[4]LCI!$C$26*1000</f>
        <v>-291.08566666666667</v>
      </c>
      <c r="F23" s="48" t="s">
        <v>88</v>
      </c>
      <c r="G23" t="s">
        <v>340</v>
      </c>
    </row>
    <row r="24" spans="1:7" x14ac:dyDescent="0.35">
      <c r="A24" s="43" t="s">
        <v>416</v>
      </c>
      <c r="B24" s="44"/>
      <c r="C24" s="44"/>
      <c r="D24" s="44"/>
      <c r="E24" s="44"/>
      <c r="F24" s="45"/>
    </row>
    <row r="25" spans="1:7" x14ac:dyDescent="0.35">
      <c r="A25" s="55"/>
      <c r="B25" s="47"/>
      <c r="C25" s="47" t="s">
        <v>15</v>
      </c>
      <c r="D25" s="47" t="s">
        <v>230</v>
      </c>
      <c r="E25" s="68">
        <f>[4]LCI!$C$17*1000</f>
        <v>9.1614439984537466</v>
      </c>
      <c r="F25" s="48" t="s">
        <v>88</v>
      </c>
    </row>
    <row r="26" spans="1:7" x14ac:dyDescent="0.35">
      <c r="A26" s="55"/>
      <c r="B26" s="47"/>
      <c r="C26" s="47" t="s">
        <v>15</v>
      </c>
      <c r="D26" s="47" t="s">
        <v>232</v>
      </c>
      <c r="E26" s="68">
        <f>[4]LCI!$C$21*1000</f>
        <v>2.6344181375921796</v>
      </c>
      <c r="F26" s="48" t="s">
        <v>88</v>
      </c>
    </row>
    <row r="27" spans="1:7" x14ac:dyDescent="0.35">
      <c r="A27" s="55"/>
      <c r="B27" s="47"/>
      <c r="C27" s="47" t="s">
        <v>15</v>
      </c>
      <c r="D27" s="47" t="s">
        <v>231</v>
      </c>
      <c r="E27" s="68">
        <f>[4]LCI!$C$23*1000</f>
        <v>3.8668590170881956</v>
      </c>
      <c r="F27" s="48" t="s">
        <v>88</v>
      </c>
    </row>
    <row r="28" spans="1:7" x14ac:dyDescent="0.35">
      <c r="A28" s="56"/>
      <c r="B28" s="50"/>
      <c r="C28" s="50" t="s">
        <v>15</v>
      </c>
      <c r="D28" s="50" t="s">
        <v>233</v>
      </c>
      <c r="E28" s="103">
        <f>[4]LCI!$C$24*1000</f>
        <v>357.9861111111112</v>
      </c>
      <c r="F28" s="51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3"/>
  <sheetViews>
    <sheetView tabSelected="1" topLeftCell="A58" workbookViewId="0">
      <selection activeCell="C77" sqref="C77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4" width="11.81640625" bestFit="1" customWidth="1"/>
    <col min="5" max="5" width="13.08984375" bestFit="1" customWidth="1"/>
    <col min="6" max="7" width="11.81640625" bestFit="1" customWidth="1"/>
  </cols>
  <sheetData>
    <row r="1" spans="1:20" ht="87" x14ac:dyDescent="0.35">
      <c r="A1" s="35" t="s">
        <v>0</v>
      </c>
      <c r="B1" s="31"/>
      <c r="C1" s="33" t="s">
        <v>32</v>
      </c>
      <c r="D1" s="33" t="s">
        <v>33</v>
      </c>
      <c r="E1" s="33" t="s">
        <v>34</v>
      </c>
      <c r="F1" s="33" t="s">
        <v>35</v>
      </c>
      <c r="G1" s="33" t="s">
        <v>36</v>
      </c>
      <c r="H1" s="33" t="s">
        <v>37</v>
      </c>
      <c r="I1" s="33" t="s">
        <v>38</v>
      </c>
      <c r="J1" s="33" t="s">
        <v>39</v>
      </c>
      <c r="K1" s="33" t="s">
        <v>40</v>
      </c>
      <c r="L1" s="33" t="s">
        <v>41</v>
      </c>
      <c r="M1" s="33" t="s">
        <v>42</v>
      </c>
      <c r="N1" s="33" t="s">
        <v>43</v>
      </c>
      <c r="O1" s="33" t="s">
        <v>44</v>
      </c>
      <c r="P1" s="33" t="s">
        <v>45</v>
      </c>
      <c r="Q1" s="33" t="s">
        <v>46</v>
      </c>
      <c r="R1" s="33" t="s">
        <v>47</v>
      </c>
      <c r="S1" s="33" t="s">
        <v>48</v>
      </c>
      <c r="T1" s="33" t="s">
        <v>49</v>
      </c>
    </row>
    <row r="2" spans="1:20" x14ac:dyDescent="0.35">
      <c r="A2" t="s">
        <v>5</v>
      </c>
    </row>
    <row r="3" spans="1:20" x14ac:dyDescent="0.35">
      <c r="B3" t="s">
        <v>251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252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237</v>
      </c>
    </row>
    <row r="6" spans="1:20" x14ac:dyDescent="0.35">
      <c r="B6" t="s">
        <v>237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303</v>
      </c>
    </row>
    <row r="8" spans="1:20" x14ac:dyDescent="0.35">
      <c r="B8" t="s">
        <v>304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305</v>
      </c>
    </row>
    <row r="10" spans="1:20" x14ac:dyDescent="0.35">
      <c r="B10" t="s">
        <v>306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307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308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251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8" t="s">
        <v>309</v>
      </c>
    </row>
    <row r="15" spans="1:20" x14ac:dyDescent="0.35">
      <c r="B15" t="s">
        <v>310</v>
      </c>
    </row>
    <row r="16" spans="1:20" x14ac:dyDescent="0.35">
      <c r="B16" t="s">
        <v>311</v>
      </c>
    </row>
    <row r="17" spans="1:7" x14ac:dyDescent="0.35">
      <c r="B17" t="s">
        <v>312</v>
      </c>
    </row>
    <row r="18" spans="1:7" x14ac:dyDescent="0.35">
      <c r="B18" t="s">
        <v>313</v>
      </c>
    </row>
    <row r="19" spans="1:7" x14ac:dyDescent="0.35">
      <c r="A19" s="38" t="s">
        <v>319</v>
      </c>
    </row>
    <row r="20" spans="1:7" x14ac:dyDescent="0.35">
      <c r="B20" t="s">
        <v>314</v>
      </c>
    </row>
    <row r="21" spans="1:7" x14ac:dyDescent="0.35">
      <c r="B21" t="s">
        <v>315</v>
      </c>
    </row>
    <row r="22" spans="1:7" x14ac:dyDescent="0.35">
      <c r="B22" t="s">
        <v>316</v>
      </c>
    </row>
    <row r="23" spans="1:7" x14ac:dyDescent="0.35">
      <c r="B23" t="s">
        <v>317</v>
      </c>
    </row>
    <row r="24" spans="1:7" x14ac:dyDescent="0.35">
      <c r="B24" t="s">
        <v>318</v>
      </c>
    </row>
    <row r="27" spans="1:7" x14ac:dyDescent="0.35">
      <c r="A27" s="118" t="s">
        <v>423</v>
      </c>
      <c r="B27" s="119"/>
      <c r="C27" s="119"/>
      <c r="D27" s="119"/>
      <c r="E27" s="119"/>
      <c r="F27" s="119"/>
      <c r="G27" s="120"/>
    </row>
    <row r="28" spans="1:7" ht="43.5" x14ac:dyDescent="0.35">
      <c r="A28" s="121" t="s">
        <v>0</v>
      </c>
      <c r="B28" s="121"/>
      <c r="C28" s="121" t="s">
        <v>406</v>
      </c>
      <c r="D28" s="121" t="s">
        <v>407</v>
      </c>
      <c r="E28" s="121" t="s">
        <v>408</v>
      </c>
      <c r="F28" s="121" t="s">
        <v>409</v>
      </c>
      <c r="G28" s="121" t="s">
        <v>410</v>
      </c>
    </row>
    <row r="29" spans="1:7" x14ac:dyDescent="0.35">
      <c r="A29" s="122" t="s">
        <v>297</v>
      </c>
      <c r="B29" s="123"/>
      <c r="C29" s="124">
        <f>SUM(C30,C33,C36,C38)</f>
        <v>35.421319139716672</v>
      </c>
      <c r="D29" s="124">
        <f t="shared" ref="D29:G29" si="0">SUM(D30,D33,D36,D38)</f>
        <v>32.067942378795308</v>
      </c>
      <c r="E29" s="124">
        <f t="shared" si="0"/>
        <v>337.21257014819105</v>
      </c>
      <c r="F29" s="124">
        <f t="shared" si="0"/>
        <v>7.8437449326508788E-5</v>
      </c>
      <c r="G29" s="124">
        <f t="shared" si="0"/>
        <v>13.278828638799126</v>
      </c>
    </row>
    <row r="30" spans="1:7" x14ac:dyDescent="0.35">
      <c r="A30" s="125" t="s">
        <v>5</v>
      </c>
      <c r="B30" s="126"/>
      <c r="C30" s="127">
        <f>SUM(C31:C32)</f>
        <v>0.77610650091942801</v>
      </c>
      <c r="D30" s="127">
        <f t="shared" ref="D30:G30" si="1">SUM(D31:D32)</f>
        <v>0.11916920601637257</v>
      </c>
      <c r="E30" s="127">
        <f t="shared" si="1"/>
        <v>116.96082759610819</v>
      </c>
      <c r="F30" s="127">
        <f t="shared" si="1"/>
        <v>7.7420482538410759E-7</v>
      </c>
      <c r="G30" s="127">
        <f t="shared" si="1"/>
        <v>1.2592266934323948</v>
      </c>
    </row>
    <row r="31" spans="1:7" x14ac:dyDescent="0.35">
      <c r="A31" s="126"/>
      <c r="B31" s="126" t="s">
        <v>251</v>
      </c>
      <c r="C31" s="126">
        <f>LCI_IC!$E4*'IW+f'!C2</f>
        <v>0.77610650091942801</v>
      </c>
      <c r="D31" s="126">
        <f>LCI_IC!$E4*'IW+f'!D2</f>
        <v>0.11916920601637257</v>
      </c>
      <c r="E31" s="126">
        <f>LCI_IC!$E4*'IW+f'!E2</f>
        <v>116.96082759610819</v>
      </c>
      <c r="F31" s="126">
        <f>LCI_IC!$E4*'IW+f'!F2</f>
        <v>7.7420482538410759E-7</v>
      </c>
      <c r="G31" s="126">
        <f>LCI_IC!$E4*'IW+f'!G2</f>
        <v>1.2592266934323948</v>
      </c>
    </row>
    <row r="32" spans="1:7" x14ac:dyDescent="0.35">
      <c r="A32" s="126"/>
      <c r="B32" s="126" t="s">
        <v>252</v>
      </c>
      <c r="C32" s="126">
        <f>LCI_IC!$E5*'IW+f'!C3</f>
        <v>0</v>
      </c>
      <c r="D32" s="126">
        <f>LCI_IC!$E5*'IW+f'!D3</f>
        <v>0</v>
      </c>
      <c r="E32" s="126">
        <f>LCI_IC!$E5*'IW+f'!E3</f>
        <v>0</v>
      </c>
      <c r="F32" s="126">
        <f>LCI_IC!$E5*'IW+f'!F3</f>
        <v>0</v>
      </c>
      <c r="G32" s="126">
        <f>LCI_IC!$E5*'IW+f'!G3</f>
        <v>0</v>
      </c>
    </row>
    <row r="33" spans="1:7" x14ac:dyDescent="0.35">
      <c r="A33" s="125" t="s">
        <v>237</v>
      </c>
      <c r="B33" s="126"/>
      <c r="C33" s="124">
        <f>SUM(C34:C35)</f>
        <v>9.4912725301666416</v>
      </c>
      <c r="D33" s="124">
        <f t="shared" ref="D33:G33" si="2">SUM(D34:D35)</f>
        <v>1.776054546690981</v>
      </c>
      <c r="E33" s="124">
        <f t="shared" si="2"/>
        <v>70.109593887244714</v>
      </c>
      <c r="F33" s="124">
        <f t="shared" si="2"/>
        <v>3.9183035816743554E-5</v>
      </c>
      <c r="G33" s="124">
        <f t="shared" si="2"/>
        <v>10.018540305643455</v>
      </c>
    </row>
    <row r="34" spans="1:7" x14ac:dyDescent="0.35">
      <c r="A34" s="126"/>
      <c r="B34" s="126" t="s">
        <v>289</v>
      </c>
      <c r="C34" s="128">
        <f>LCI_IC!$E8*'IW+f'!C4</f>
        <v>0.43472978582596905</v>
      </c>
      <c r="D34" s="128">
        <f>LCI_IC!$E8*'IW+f'!D4</f>
        <v>6.359420180299287E-2</v>
      </c>
      <c r="E34" s="128">
        <f>LCI_IC!$E8*'IW+f'!E4</f>
        <v>6.5761119524385903</v>
      </c>
      <c r="F34" s="128">
        <f>LCI_IC!$E8*'IW+f'!F4</f>
        <v>3.4579966311397133E-7</v>
      </c>
      <c r="G34" s="128">
        <f>LCI_IC!$E8*'IW+f'!G4</f>
        <v>3.9223403259142219E-2</v>
      </c>
    </row>
    <row r="35" spans="1:7" x14ac:dyDescent="0.35">
      <c r="A35" s="126"/>
      <c r="B35" s="126" t="s">
        <v>237</v>
      </c>
      <c r="C35" s="126">
        <f>LCI_IC!$E7*'IW+f'!C5</f>
        <v>9.056542744340673</v>
      </c>
      <c r="D35" s="126">
        <f>LCI_IC!$E7*'IW+f'!D5</f>
        <v>1.712460344887988</v>
      </c>
      <c r="E35" s="126">
        <f>LCI_IC!$E7*'IW+f'!E5</f>
        <v>63.533481934806119</v>
      </c>
      <c r="F35" s="126">
        <f>LCI_IC!$E7*'IW+f'!F5</f>
        <v>3.8837236153629584E-5</v>
      </c>
      <c r="G35" s="126">
        <f>LCI_IC!$E7*'IW+f'!G5</f>
        <v>9.9793169023843138</v>
      </c>
    </row>
    <row r="36" spans="1:7" x14ac:dyDescent="0.35">
      <c r="A36" s="125" t="s">
        <v>303</v>
      </c>
      <c r="B36" s="126"/>
      <c r="C36" s="127">
        <f>C37</f>
        <v>4.4017004142045844</v>
      </c>
      <c r="D36" s="127">
        <f t="shared" ref="D36:G36" si="3">D37</f>
        <v>24.994858397394534</v>
      </c>
      <c r="E36" s="127">
        <f t="shared" si="3"/>
        <v>68.925862568542556</v>
      </c>
      <c r="F36" s="127">
        <f t="shared" si="3"/>
        <v>3.6601304780886087E-6</v>
      </c>
      <c r="G36" s="127">
        <f t="shared" si="3"/>
        <v>1.1266687554059929</v>
      </c>
    </row>
    <row r="37" spans="1:7" x14ac:dyDescent="0.35">
      <c r="A37" s="126"/>
      <c r="B37" s="126" t="s">
        <v>304</v>
      </c>
      <c r="C37" s="126">
        <f>LCI_IC!$E10*'IW+f'!C35</f>
        <v>4.4017004142045844</v>
      </c>
      <c r="D37" s="126">
        <f>LCI_IC!$E10*'IW+f'!D35</f>
        <v>24.994858397394534</v>
      </c>
      <c r="E37" s="126">
        <f>LCI_IC!$E10*'IW+f'!E35</f>
        <v>68.925862568542556</v>
      </c>
      <c r="F37" s="126">
        <f>LCI_IC!$E10*'IW+f'!F35</f>
        <v>3.6601304780886087E-6</v>
      </c>
      <c r="G37" s="126">
        <f>LCI_IC!$E10*'IW+f'!G35</f>
        <v>1.1266687554059929</v>
      </c>
    </row>
    <row r="38" spans="1:7" x14ac:dyDescent="0.35">
      <c r="A38" s="125" t="s">
        <v>305</v>
      </c>
      <c r="B38" s="126"/>
      <c r="C38" s="127">
        <f>SUM(C39:C42)</f>
        <v>20.752239694426017</v>
      </c>
      <c r="D38" s="127">
        <f t="shared" ref="D38:G38" si="4">SUM(D39:D42)</f>
        <v>5.1778602286934197</v>
      </c>
      <c r="E38" s="127">
        <f t="shared" si="4"/>
        <v>81.216286096295562</v>
      </c>
      <c r="F38" s="127">
        <f t="shared" si="4"/>
        <v>3.4820078206292518E-5</v>
      </c>
      <c r="G38" s="127">
        <f t="shared" si="4"/>
        <v>0.87439288431728412</v>
      </c>
    </row>
    <row r="39" spans="1:7" x14ac:dyDescent="0.35">
      <c r="A39" s="126"/>
      <c r="B39" s="126" t="s">
        <v>97</v>
      </c>
      <c r="C39" s="126">
        <f>LCI_IC!$E13*'IW+f'!C12</f>
        <v>3.8074805999999999</v>
      </c>
      <c r="D39" s="126">
        <f>LCI_IC!$E13*'IW+f'!D12</f>
        <v>0</v>
      </c>
      <c r="E39" s="126">
        <f>LCI_IC!$E13*'IW+f'!E12</f>
        <v>0</v>
      </c>
      <c r="F39" s="126">
        <f>LCI_IC!$E13*'IW+f'!F12</f>
        <v>0</v>
      </c>
      <c r="G39" s="126">
        <f>LCI_IC!$E13*'IW+f'!G12</f>
        <v>0</v>
      </c>
    </row>
    <row r="40" spans="1:7" x14ac:dyDescent="0.35">
      <c r="A40" s="126"/>
      <c r="B40" s="126" t="s">
        <v>111</v>
      </c>
      <c r="C40" s="129">
        <f>LCI_IC!$E14*'IW+f'!C18</f>
        <v>0</v>
      </c>
      <c r="D40" s="129">
        <f>LCI_IC!$E14*'IW+f'!D18</f>
        <v>5.0951104694054976</v>
      </c>
      <c r="E40" s="129">
        <f>LCI_IC!$E14*'IW+f'!E18</f>
        <v>0</v>
      </c>
      <c r="F40" s="129">
        <f>LCI_IC!$E14*'IW+f'!F18</f>
        <v>3.4282479064016783E-5</v>
      </c>
      <c r="G40" s="129">
        <f>LCI_IC!$E14*'IW+f'!G18</f>
        <v>0</v>
      </c>
    </row>
    <row r="41" spans="1:7" x14ac:dyDescent="0.35">
      <c r="A41" s="126"/>
      <c r="B41" s="126" t="s">
        <v>112</v>
      </c>
      <c r="C41" s="126">
        <f>LCI_IC!$E15*'IW+f'!C20</f>
        <v>16.405839449999998</v>
      </c>
      <c r="D41" s="126">
        <f>LCI_IC!$E15*'IW+f'!D20</f>
        <v>0</v>
      </c>
      <c r="E41" s="126">
        <f>LCI_IC!$E15*'IW+f'!E20</f>
        <v>0</v>
      </c>
      <c r="F41" s="126">
        <f>LCI_IC!$E15*'IW+f'!F20</f>
        <v>0</v>
      </c>
      <c r="G41" s="126">
        <f>LCI_IC!$E15*'IW+f'!G20</f>
        <v>0</v>
      </c>
    </row>
    <row r="42" spans="1:7" x14ac:dyDescent="0.35">
      <c r="A42" s="126"/>
      <c r="B42" s="126" t="s">
        <v>251</v>
      </c>
      <c r="C42" s="126">
        <f>LCI_IC!$E17*'IW+f'!C2</f>
        <v>0.53891964442601559</v>
      </c>
      <c r="D42" s="126">
        <f>LCI_IC!$E17*'IW+f'!D2</f>
        <v>8.2749759287922026E-2</v>
      </c>
      <c r="E42" s="126">
        <f>LCI_IC!$E17*'IW+f'!E2</f>
        <v>81.216286096295562</v>
      </c>
      <c r="F42" s="126">
        <f>LCI_IC!$E17*'IW+f'!F2</f>
        <v>5.3759914227573803E-7</v>
      </c>
      <c r="G42" s="126">
        <f>LCI_IC!$E17*'IW+f'!G2</f>
        <v>0.87439288431728412</v>
      </c>
    </row>
    <row r="43" spans="1:7" x14ac:dyDescent="0.35">
      <c r="A43" s="125" t="s">
        <v>354</v>
      </c>
      <c r="B43" s="126"/>
      <c r="C43" s="130">
        <f>SUM(C44:C48)</f>
        <v>-264.03464255865981</v>
      </c>
      <c r="D43" s="130">
        <f t="shared" ref="D43:G43" si="5">SUM(D44:D48)</f>
        <v>22.918927889093091</v>
      </c>
      <c r="E43" s="130">
        <f t="shared" si="5"/>
        <v>0</v>
      </c>
      <c r="F43" s="130">
        <f t="shared" si="5"/>
        <v>5.0112026067618947E-5</v>
      </c>
      <c r="G43" s="130">
        <f t="shared" si="5"/>
        <v>0</v>
      </c>
    </row>
    <row r="44" spans="1:7" x14ac:dyDescent="0.35">
      <c r="A44" s="126"/>
      <c r="B44" s="126" t="s">
        <v>111</v>
      </c>
      <c r="C44" s="129">
        <f>LCI_IC!$E19*'IW+f'!C18</f>
        <v>0</v>
      </c>
      <c r="D44" s="129">
        <f>LCI_IC!$E19*'IW+f'!D18</f>
        <v>7.4477201075064441</v>
      </c>
      <c r="E44" s="129">
        <f>LCI_IC!$E19*'IW+f'!E18</f>
        <v>0</v>
      </c>
      <c r="F44" s="129">
        <f>LCI_IC!$E19*'IW+f'!F18</f>
        <v>5.0112026067618947E-5</v>
      </c>
      <c r="G44" s="129">
        <f>LCI_IC!$E19*'IW+f'!G18</f>
        <v>0</v>
      </c>
    </row>
    <row r="45" spans="1:7" x14ac:dyDescent="0.35">
      <c r="A45" s="126"/>
      <c r="B45" s="126" t="s">
        <v>112</v>
      </c>
      <c r="C45" s="129">
        <f>LCI_IC!$E20*'IW+f'!C20</f>
        <v>27.051024108006885</v>
      </c>
      <c r="D45" s="129">
        <f>LCI_IC!$E20*'IW+f'!D20</f>
        <v>0</v>
      </c>
      <c r="E45" s="129">
        <f>LCI_IC!$E20*'IW+f'!E20</f>
        <v>0</v>
      </c>
      <c r="F45" s="129">
        <f>LCI_IC!$E20*'IW+f'!F20</f>
        <v>0</v>
      </c>
      <c r="G45" s="129">
        <f>LCI_IC!$E20*'IW+f'!G20</f>
        <v>0</v>
      </c>
    </row>
    <row r="46" spans="1:7" x14ac:dyDescent="0.35">
      <c r="A46" s="126"/>
      <c r="B46" s="126" t="s">
        <v>115</v>
      </c>
      <c r="C46" s="129">
        <f>LCI_IC!$E21*'IW+f'!C21</f>
        <v>0</v>
      </c>
      <c r="D46" s="129">
        <f>LCI_IC!$E21*'IW+f'!D21</f>
        <v>20.469849149257051</v>
      </c>
      <c r="E46" s="129">
        <f>LCI_IC!$E21*'IW+f'!E21</f>
        <v>0</v>
      </c>
      <c r="F46" s="129">
        <f>LCI_IC!$E21*'IW+f'!F21</f>
        <v>0</v>
      </c>
      <c r="G46" s="129">
        <f>LCI_IC!$E21*'IW+f'!G21</f>
        <v>0</v>
      </c>
    </row>
    <row r="47" spans="1:7" x14ac:dyDescent="0.35">
      <c r="A47" s="126"/>
      <c r="B47" s="126" t="s">
        <v>417</v>
      </c>
      <c r="C47" s="129">
        <f>LCI_IC!$E22*'IW+f'!C25</f>
        <v>0</v>
      </c>
      <c r="D47" s="129">
        <f>LCI_IC!$E22*'IW+f'!D25</f>
        <v>-0.19572786767040548</v>
      </c>
      <c r="E47" s="129">
        <f>LCI_IC!$E22*'IW+f'!E25</f>
        <v>0</v>
      </c>
      <c r="F47" s="129">
        <f>LCI_IC!$E22*'IW+f'!F25</f>
        <v>0</v>
      </c>
      <c r="G47" s="129">
        <f>LCI_IC!$E22*'IW+f'!G25</f>
        <v>0</v>
      </c>
    </row>
    <row r="48" spans="1:7" x14ac:dyDescent="0.35">
      <c r="A48" s="126"/>
      <c r="B48" s="126" t="s">
        <v>418</v>
      </c>
      <c r="C48" s="129">
        <f>LCI_IC!$E23*'IW+f'!C26</f>
        <v>-291.08566666666667</v>
      </c>
      <c r="D48" s="129">
        <f>LCI_IC!$E23*'IW+f'!D26</f>
        <v>-4.8029134999999998</v>
      </c>
      <c r="E48" s="129">
        <f>LCI_IC!$E23*'IW+f'!E26</f>
        <v>0</v>
      </c>
      <c r="F48" s="129">
        <f>LCI_IC!$E23*'IW+f'!F26</f>
        <v>0</v>
      </c>
      <c r="G48" s="129">
        <f>LCI_IC!$E23*'IW+f'!G26</f>
        <v>0</v>
      </c>
    </row>
    <row r="49" spans="1:37" x14ac:dyDescent="0.35">
      <c r="A49" s="125" t="s">
        <v>424</v>
      </c>
      <c r="B49" s="126"/>
      <c r="C49" s="130">
        <f>SUM(C50:C53)</f>
        <v>23.174036130287757</v>
      </c>
      <c r="D49" s="130">
        <f t="shared" ref="D49:G49" si="6">SUM(D50:D53)</f>
        <v>5.2361185509122059</v>
      </c>
      <c r="E49" s="130">
        <f t="shared" si="6"/>
        <v>3878.0272233170053</v>
      </c>
      <c r="F49" s="130">
        <f t="shared" si="6"/>
        <v>2.1552235381983263E-5</v>
      </c>
      <c r="G49" s="130">
        <f t="shared" si="6"/>
        <v>36.87272461273961</v>
      </c>
    </row>
    <row r="50" spans="1:37" x14ac:dyDescent="0.35">
      <c r="A50" s="126"/>
      <c r="B50" s="126" t="s">
        <v>230</v>
      </c>
      <c r="C50" s="129">
        <f>LCI_IC!$E25*'IW+f'!C28</f>
        <v>14.453532589305759</v>
      </c>
      <c r="D50" s="129">
        <f>LCI_IC!$E25*'IW+f'!D28</f>
        <v>1.9178278341031123</v>
      </c>
      <c r="E50" s="129">
        <f>LCI_IC!$E25*'IW+f'!E28</f>
        <v>212.54570293706664</v>
      </c>
      <c r="F50" s="129">
        <f>LCI_IC!$E25*'IW+f'!F28</f>
        <v>1.0602953419276994E-5</v>
      </c>
      <c r="G50" s="129">
        <f>LCI_IC!$E25*'IW+f'!G28</f>
        <v>21.76383703029542</v>
      </c>
    </row>
    <row r="51" spans="1:37" x14ac:dyDescent="0.35">
      <c r="A51" s="126"/>
      <c r="B51" s="126" t="s">
        <v>232</v>
      </c>
      <c r="C51" s="129">
        <f>LCI_IC!$E26*'IW+f'!C30</f>
        <v>1.0270783701439827</v>
      </c>
      <c r="D51" s="129">
        <f>LCI_IC!$E26*'IW+f'!D30</f>
        <v>0.47868540874824567</v>
      </c>
      <c r="E51" s="129">
        <f>LCI_IC!$E26*'IW+f'!E30</f>
        <v>18.007860043914683</v>
      </c>
      <c r="F51" s="129">
        <f>LCI_IC!$E26*'IW+f'!F30</f>
        <v>3.9508783978181153E-6</v>
      </c>
      <c r="G51" s="129">
        <f>LCI_IC!$E26*'IW+f'!G30</f>
        <v>2.4364262938749346</v>
      </c>
    </row>
    <row r="52" spans="1:37" x14ac:dyDescent="0.35">
      <c r="A52" s="126"/>
      <c r="B52" s="126" t="s">
        <v>231</v>
      </c>
      <c r="C52" s="129">
        <f>LCI_IC!$E27*'IW+f'!C29</f>
        <v>2.5797669778187684</v>
      </c>
      <c r="D52" s="129">
        <f>LCI_IC!$E27*'IW+f'!D29</f>
        <v>0.62786251145501704</v>
      </c>
      <c r="E52" s="129">
        <f>LCI_IC!$E27*'IW+f'!E29</f>
        <v>41.825159411984195</v>
      </c>
      <c r="F52" s="129">
        <f>LCI_IC!$E27*'IW+f'!F29</f>
        <v>2.8936413040455602E-6</v>
      </c>
      <c r="G52" s="129">
        <f>LCI_IC!$E27*'IW+f'!G29</f>
        <v>1.2138446949661026</v>
      </c>
    </row>
    <row r="53" spans="1:37" x14ac:dyDescent="0.35">
      <c r="A53" s="126"/>
      <c r="B53" s="126" t="s">
        <v>233</v>
      </c>
      <c r="C53" s="129">
        <f>LCI_IC!$E28*'IW+f'!C31</f>
        <v>5.1136581930192486</v>
      </c>
      <c r="D53" s="129">
        <f>LCI_IC!$E28*'IW+f'!D31</f>
        <v>2.2117427966058312</v>
      </c>
      <c r="E53" s="129">
        <f>LCI_IC!$E28*'IW+f'!E31</f>
        <v>3605.6485009240396</v>
      </c>
      <c r="F53" s="129">
        <f>LCI_IC!$E28*'IW+f'!F31</f>
        <v>4.1047622608425945E-6</v>
      </c>
      <c r="G53" s="129">
        <f>LCI_IC!$E28*'IW+f'!G31</f>
        <v>11.458616593603153</v>
      </c>
    </row>
    <row r="57" spans="1:37" x14ac:dyDescent="0.35">
      <c r="A57" t="s">
        <v>429</v>
      </c>
    </row>
    <row r="58" spans="1:37" ht="72.5" x14ac:dyDescent="0.35">
      <c r="A58" t="s">
        <v>0</v>
      </c>
      <c r="C58" s="92" t="s">
        <v>379</v>
      </c>
      <c r="D58" s="92" t="s">
        <v>380</v>
      </c>
      <c r="E58" s="92" t="s">
        <v>381</v>
      </c>
      <c r="F58" s="92" t="s">
        <v>382</v>
      </c>
      <c r="G58" s="92" t="s">
        <v>383</v>
      </c>
      <c r="H58" s="92" t="s">
        <v>364</v>
      </c>
      <c r="I58" s="92" t="s">
        <v>384</v>
      </c>
      <c r="J58" s="92" t="s">
        <v>385</v>
      </c>
      <c r="K58" s="92" t="s">
        <v>366</v>
      </c>
      <c r="L58" s="92" t="s">
        <v>386</v>
      </c>
      <c r="M58" s="92" t="s">
        <v>387</v>
      </c>
      <c r="N58" s="92" t="s">
        <v>388</v>
      </c>
      <c r="O58" s="92" t="s">
        <v>389</v>
      </c>
      <c r="P58" s="92" t="s">
        <v>390</v>
      </c>
      <c r="Q58" s="92" t="s">
        <v>391</v>
      </c>
      <c r="R58" s="92" t="s">
        <v>370</v>
      </c>
      <c r="S58" s="92" t="s">
        <v>371</v>
      </c>
      <c r="T58" s="92" t="s">
        <v>392</v>
      </c>
      <c r="U58" s="92" t="s">
        <v>393</v>
      </c>
      <c r="V58" s="92" t="s">
        <v>394</v>
      </c>
      <c r="W58" s="92" t="s">
        <v>395</v>
      </c>
      <c r="X58" s="92" t="s">
        <v>372</v>
      </c>
      <c r="Y58" s="92" t="s">
        <v>374</v>
      </c>
      <c r="Z58" s="92" t="s">
        <v>375</v>
      </c>
      <c r="AA58" s="92" t="s">
        <v>396</v>
      </c>
      <c r="AB58" s="92" t="s">
        <v>397</v>
      </c>
      <c r="AC58" s="92" t="s">
        <v>377</v>
      </c>
      <c r="AD58" s="92" t="s">
        <v>398</v>
      </c>
      <c r="AE58" s="92" t="s">
        <v>399</v>
      </c>
      <c r="AF58" s="92" t="s">
        <v>400</v>
      </c>
      <c r="AG58" s="92" t="s">
        <v>401</v>
      </c>
      <c r="AH58" s="92" t="s">
        <v>402</v>
      </c>
      <c r="AI58" s="92" t="s">
        <v>403</v>
      </c>
      <c r="AJ58" s="92" t="s">
        <v>404</v>
      </c>
      <c r="AK58" s="92" t="s">
        <v>405</v>
      </c>
    </row>
    <row r="59" spans="1:37" x14ac:dyDescent="0.35">
      <c r="A59" t="s">
        <v>297</v>
      </c>
    </row>
    <row r="60" spans="1:37" x14ac:dyDescent="0.35">
      <c r="A60" t="s">
        <v>5</v>
      </c>
    </row>
    <row r="61" spans="1:37" x14ac:dyDescent="0.35">
      <c r="B61" t="s">
        <v>251</v>
      </c>
      <c r="C61">
        <f>LCI_IC!$E4*'IW+_end'!C2</f>
        <v>0.29375833601169027</v>
      </c>
      <c r="D61">
        <f>LCI_IC!$E4*'IW+_end'!D2</f>
        <v>8.9990845888640369E-2</v>
      </c>
      <c r="E61">
        <f>LCI_IC!$E4*'IW+_end'!E2</f>
        <v>3.9589730007048797E-6</v>
      </c>
      <c r="F61">
        <f>LCI_IC!$E4*'IW+_end'!F2</f>
        <v>1.2128041505843192E-6</v>
      </c>
      <c r="G61">
        <f>LCI_IC!$E4*'IW+_end'!G2</f>
        <v>9.0040097542142219E-20</v>
      </c>
      <c r="H61">
        <f>LCI_IC!$E4*'IW+_end'!H2</f>
        <v>5.1931114803604956E-3</v>
      </c>
      <c r="I61">
        <f>LCI_IC!$E4*'IW+_end'!I2</f>
        <v>0.24839018720173295</v>
      </c>
      <c r="J61">
        <f>LCI_IC!$E4*'IW+_end'!J2</f>
        <v>1.234083364332369E-2</v>
      </c>
      <c r="K61">
        <f>LCI_IC!$E4*'IW+_end'!K2</f>
        <v>2.1439753416220663E-5</v>
      </c>
      <c r="L61">
        <f>LCI_IC!$E4*'IW+_end'!L2</f>
        <v>8.7015032149142414E-9</v>
      </c>
      <c r="M61">
        <f>LCI_IC!$E4*'IW+_end'!M2</f>
        <v>1.6596905236710246E-7</v>
      </c>
      <c r="N61">
        <f>LCI_IC!$E4*'IW+_end'!N2</f>
        <v>1.9676602640470916E-7</v>
      </c>
      <c r="O61">
        <f>LCI_IC!$E4*'IW+_end'!O2</f>
        <v>1.0474046667854858E-7</v>
      </c>
      <c r="P61">
        <f>LCI_IC!$E4*'IW+_end'!P2</f>
        <v>4.1389310905179983E-9</v>
      </c>
      <c r="Q61">
        <f>LCI_IC!$E4*'IW+_end'!Q2</f>
        <v>1.2763337153218512E-7</v>
      </c>
      <c r="R61">
        <f>LCI_IC!$E4*'IW+_end'!R2</f>
        <v>1.6534106080479432E-2</v>
      </c>
      <c r="S61">
        <f>LCI_IC!$E4*'IW+_end'!S2</f>
        <v>1.1656841267618703E-2</v>
      </c>
      <c r="T61">
        <f>LCI_IC!$E4*'IW+_end'!T2</f>
        <v>0.10249049260823448</v>
      </c>
      <c r="U61">
        <f>LCI_IC!$E4*'IW+_end'!U2</f>
        <v>1.1125576504552512E-2</v>
      </c>
      <c r="V61">
        <f>LCI_IC!$E4*'IW+_end'!V2</f>
        <v>9.6489525909131685E-7</v>
      </c>
      <c r="W61">
        <f>LCI_IC!$E4*'IW+_end'!W2</f>
        <v>2.6554776215088471E-7</v>
      </c>
      <c r="X61">
        <f>LCI_IC!$E4*'IW+_end'!X2</f>
        <v>6.7963986332143073E-4</v>
      </c>
      <c r="Y61">
        <f>LCI_IC!$E4*'IW+_end'!Y2</f>
        <v>4.6233568878889853E-11</v>
      </c>
      <c r="Z61">
        <f>LCI_IC!$E4*'IW+_end'!Z2</f>
        <v>3.7424948947123667E-7</v>
      </c>
      <c r="AA61">
        <f>LCI_IC!$E4*'IW+_end'!AA2</f>
        <v>1.5755418847462184E-2</v>
      </c>
      <c r="AB61">
        <f>LCI_IC!$E4*'IW+_end'!AB2</f>
        <v>1.5662117661554336E-9</v>
      </c>
      <c r="AC61">
        <f>LCI_IC!$E4*'IW+_end'!AC2</f>
        <v>3.4269056902659287E-2</v>
      </c>
      <c r="AD61">
        <f>LCI_IC!$E4*'IW+_end'!AD2</f>
        <v>3.5220034139757453E-2</v>
      </c>
      <c r="AE61">
        <f>LCI_IC!$E4*'IW+_end'!AE2</f>
        <v>9.6924933185072934E-3</v>
      </c>
      <c r="AF61">
        <f>LCI_IC!$E4*'IW+_end'!AF2</f>
        <v>1.9004186679781043E-3</v>
      </c>
      <c r="AG61">
        <f>LCI_IC!$E4*'IW+_end'!AG2</f>
        <v>0.88904487549306932</v>
      </c>
      <c r="AH61">
        <f>LCI_IC!$E4*'IW+_end'!AH2</f>
        <v>7.3843049600713193E-6</v>
      </c>
      <c r="AI61">
        <f>LCI_IC!$E4*'IW+_end'!AI2</f>
        <v>1.0093591977195651E-5</v>
      </c>
      <c r="AJ61">
        <f>LCI_IC!$E4*'IW+_end'!AJ2</f>
        <v>1.2328554537785757E-6</v>
      </c>
      <c r="AK61">
        <f>LCI_IC!$E4*'IW+_end'!AK2</f>
        <v>1.4715139405635514E-5</v>
      </c>
    </row>
    <row r="62" spans="1:37" x14ac:dyDescent="0.35">
      <c r="B62" t="s">
        <v>252</v>
      </c>
      <c r="C62">
        <f>LCI_IC!$E5*'IW+_end'!C3</f>
        <v>0</v>
      </c>
      <c r="D62">
        <f>LCI_IC!$E5*'IW+_end'!D3</f>
        <v>0</v>
      </c>
      <c r="E62">
        <f>LCI_IC!$E5*'IW+_end'!E3</f>
        <v>0</v>
      </c>
      <c r="F62">
        <f>LCI_IC!$E5*'IW+_end'!F3</f>
        <v>0</v>
      </c>
      <c r="G62">
        <f>LCI_IC!$E5*'IW+_end'!G3</f>
        <v>0</v>
      </c>
      <c r="H62">
        <f>LCI_IC!$E5*'IW+_end'!H3</f>
        <v>0</v>
      </c>
      <c r="I62">
        <f>LCI_IC!$E5*'IW+_end'!I3</f>
        <v>0</v>
      </c>
      <c r="J62">
        <f>LCI_IC!$E5*'IW+_end'!J3</f>
        <v>0</v>
      </c>
      <c r="K62">
        <f>LCI_IC!$E5*'IW+_end'!K3</f>
        <v>0</v>
      </c>
      <c r="L62">
        <f>LCI_IC!$E5*'IW+_end'!L3</f>
        <v>0</v>
      </c>
      <c r="M62">
        <f>LCI_IC!$E5*'IW+_end'!M3</f>
        <v>0</v>
      </c>
      <c r="N62">
        <f>LCI_IC!$E5*'IW+_end'!N3</f>
        <v>0</v>
      </c>
      <c r="O62">
        <f>LCI_IC!$E5*'IW+_end'!O3</f>
        <v>0</v>
      </c>
      <c r="P62">
        <f>LCI_IC!$E5*'IW+_end'!P3</f>
        <v>0</v>
      </c>
      <c r="Q62">
        <f>LCI_IC!$E5*'IW+_end'!Q3</f>
        <v>0</v>
      </c>
      <c r="R62">
        <f>LCI_IC!$E5*'IW+_end'!R3</f>
        <v>0</v>
      </c>
      <c r="S62">
        <f>LCI_IC!$E5*'IW+_end'!S3</f>
        <v>0</v>
      </c>
      <c r="T62">
        <f>LCI_IC!$E5*'IW+_end'!T3</f>
        <v>0</v>
      </c>
      <c r="U62">
        <f>LCI_IC!$E5*'IW+_end'!U3</f>
        <v>0</v>
      </c>
      <c r="V62">
        <f>LCI_IC!$E5*'IW+_end'!V3</f>
        <v>0</v>
      </c>
      <c r="W62">
        <f>LCI_IC!$E5*'IW+_end'!W3</f>
        <v>0</v>
      </c>
      <c r="X62">
        <f>LCI_IC!$E5*'IW+_end'!X3</f>
        <v>0</v>
      </c>
      <c r="Y62">
        <f>LCI_IC!$E5*'IW+_end'!Y3</f>
        <v>0</v>
      </c>
      <c r="Z62">
        <f>LCI_IC!$E5*'IW+_end'!Z3</f>
        <v>0</v>
      </c>
      <c r="AA62">
        <f>LCI_IC!$E5*'IW+_end'!AA3</f>
        <v>0</v>
      </c>
      <c r="AB62">
        <f>LCI_IC!$E5*'IW+_end'!AB3</f>
        <v>0</v>
      </c>
      <c r="AC62">
        <f>LCI_IC!$E5*'IW+_end'!AC3</f>
        <v>0</v>
      </c>
      <c r="AD62">
        <f>LCI_IC!$E5*'IW+_end'!AD3</f>
        <v>0</v>
      </c>
      <c r="AE62">
        <f>LCI_IC!$E5*'IW+_end'!AE3</f>
        <v>0</v>
      </c>
      <c r="AF62">
        <f>LCI_IC!$E5*'IW+_end'!AF3</f>
        <v>0</v>
      </c>
      <c r="AG62">
        <f>LCI_IC!$E5*'IW+_end'!AG3</f>
        <v>0</v>
      </c>
      <c r="AH62">
        <f>LCI_IC!$E5*'IW+_end'!AH3</f>
        <v>0</v>
      </c>
      <c r="AI62">
        <f>LCI_IC!$E5*'IW+_end'!AI3</f>
        <v>0</v>
      </c>
      <c r="AJ62">
        <f>LCI_IC!$E5*'IW+_end'!AJ3</f>
        <v>0</v>
      </c>
      <c r="AK62">
        <f>LCI_IC!$E5*'IW+_end'!AK3</f>
        <v>0</v>
      </c>
    </row>
    <row r="63" spans="1:37" x14ac:dyDescent="0.35">
      <c r="A63" t="s">
        <v>237</v>
      </c>
    </row>
    <row r="64" spans="1:37" x14ac:dyDescent="0.35">
      <c r="B64" t="s">
        <v>289</v>
      </c>
      <c r="C64" s="5">
        <f>LCI_IC!$E8*'IW+_end'!C5</f>
        <v>0.1642293381452089</v>
      </c>
      <c r="D64" s="5">
        <f>LCI_IC!$E8*'IW+_end'!D5</f>
        <v>5.0160114465116465E-2</v>
      </c>
      <c r="E64" s="5">
        <f>LCI_IC!$E8*'IW+_end'!E5</f>
        <v>2.2133142652831479E-6</v>
      </c>
      <c r="F64" s="5">
        <f>LCI_IC!$E8*'IW+_end'!F5</f>
        <v>6.7600648061868024E-7</v>
      </c>
      <c r="G64" s="5">
        <f>LCI_IC!$E8*'IW+_end'!G5</f>
        <v>3.4259653114390555E-19</v>
      </c>
      <c r="H64" s="5">
        <f>LCI_IC!$E8*'IW+_end'!H5</f>
        <v>1.9088748614477355E-3</v>
      </c>
      <c r="I64" s="5">
        <f>LCI_IC!$E8*'IW+_end'!I5</f>
        <v>2.1165975185515697E-2</v>
      </c>
      <c r="J64" s="5">
        <f>LCI_IC!$E8*'IW+_end'!J5</f>
        <v>7.7842440064621963E-3</v>
      </c>
      <c r="K64" s="5">
        <f>LCI_IC!$E8*'IW+_end'!K5</f>
        <v>1.2090234903629117E-5</v>
      </c>
      <c r="L64" s="5">
        <f>LCI_IC!$E8*'IW+_end'!L5</f>
        <v>1.3807900143766815E-9</v>
      </c>
      <c r="M64" s="5">
        <f>LCI_IC!$E8*'IW+_end'!M5</f>
        <v>7.8521018154124293E-8</v>
      </c>
      <c r="N64" s="5">
        <f>LCI_IC!$E8*'IW+_end'!N5</f>
        <v>5.1916740498462542E-8</v>
      </c>
      <c r="O64" s="5">
        <f>LCI_IC!$E8*'IW+_end'!O5</f>
        <v>3.4957298081958831E-8</v>
      </c>
      <c r="P64" s="5">
        <f>LCI_IC!$E8*'IW+_end'!P5</f>
        <v>1.6087202212299374E-11</v>
      </c>
      <c r="Q64" s="5">
        <f>LCI_IC!$E8*'IW+_end'!Q5</f>
        <v>1.9821700798180701E-10</v>
      </c>
      <c r="R64" s="5">
        <f>LCI_IC!$E8*'IW+_end'!R5</f>
        <v>9.3882236600461508E-3</v>
      </c>
      <c r="S64" s="5">
        <f>LCI_IC!$E8*'IW+_end'!S5</f>
        <v>1.0847515163367839E-2</v>
      </c>
      <c r="T64" s="5">
        <f>LCI_IC!$E8*'IW+_end'!T5</f>
        <v>5.9340583237830792E-2</v>
      </c>
      <c r="U64" s="5">
        <f>LCI_IC!$E8*'IW+_end'!U5</f>
        <v>6.4415394809225063E-3</v>
      </c>
      <c r="V64" s="5">
        <f>LCI_IC!$E8*'IW+_end'!V5</f>
        <v>2.2361093064658549E-8</v>
      </c>
      <c r="W64" s="5">
        <f>LCI_IC!$E8*'IW+_end'!W5</f>
        <v>1.8378519819012135E-8</v>
      </c>
      <c r="X64" s="5">
        <f>LCI_IC!$E8*'IW+_end'!X5</f>
        <v>4.9087972213900696E-4</v>
      </c>
      <c r="Y64" s="5">
        <f>LCI_IC!$E8*'IW+_end'!Y5</f>
        <v>1.4130656214684504E-11</v>
      </c>
      <c r="Z64" s="5">
        <f>LCI_IC!$E8*'IW+_end'!Z5</f>
        <v>2.3089230034193365E-7</v>
      </c>
      <c r="AA64" s="5">
        <f>LCI_IC!$E8*'IW+_end'!AA5</f>
        <v>1.24610140420619E-2</v>
      </c>
      <c r="AB64" s="5">
        <f>LCI_IC!$E8*'IW+_end'!AB5</f>
        <v>1.2166988717580699E-9</v>
      </c>
      <c r="AC64" s="5">
        <f>LCI_IC!$E8*'IW+_end'!AC5</f>
        <v>1.357355809150523E-2</v>
      </c>
      <c r="AD64" s="5">
        <f>LCI_IC!$E8*'IW+_end'!AD5</f>
        <v>8.1619861313748173E-4</v>
      </c>
      <c r="AE64" s="5">
        <f>LCI_IC!$E8*'IW+_end'!AE5</f>
        <v>6.7081597339394266E-4</v>
      </c>
      <c r="AF64" s="5">
        <f>LCI_IC!$E8*'IW+_end'!AF5</f>
        <v>1.5428172135718716E-5</v>
      </c>
      <c r="AG64" s="5">
        <f>LCI_IC!$E8*'IW+_end'!AG5</f>
        <v>0.35931316945148462</v>
      </c>
      <c r="AH64" s="5">
        <f>LCI_IC!$E8*'IW+_end'!AH5</f>
        <v>3.3268199102587953E-6</v>
      </c>
      <c r="AI64" s="5">
        <f>LCI_IC!$E8*'IW+_end'!AI5</f>
        <v>3.14403300469906E-7</v>
      </c>
      <c r="AJ64" s="5">
        <f>LCI_IC!$E8*'IW+_end'!AJ5</f>
        <v>3.8401970730154165E-8</v>
      </c>
      <c r="AK64" s="5">
        <f>LCI_IC!$E8*'IW+_end'!AK5</f>
        <v>6.4212372885133327E-6</v>
      </c>
    </row>
    <row r="65" spans="1:43" x14ac:dyDescent="0.35">
      <c r="B65" t="s">
        <v>237</v>
      </c>
      <c r="C65">
        <f>LCI_IC!$E7*'IW+_end'!C4</f>
        <v>2.8461745710597834</v>
      </c>
      <c r="D65">
        <f>LCI_IC!$E7*'IW+_end'!D4</f>
        <v>1.1214611679069222</v>
      </c>
      <c r="E65">
        <f>LCI_IC!$E7*'IW+_end'!E4</f>
        <v>3.8357816275450525E-5</v>
      </c>
      <c r="F65">
        <f>LCI_IC!$E7*'IW+_end'!F4</f>
        <v>1.5113901261020833E-5</v>
      </c>
      <c r="G65">
        <f>LCI_IC!$E7*'IW+_end'!G4</f>
        <v>1.3417014761931066E-18</v>
      </c>
      <c r="H65">
        <f>LCI_IC!$E7*'IW+_end'!H4</f>
        <v>7.0661974280644954E-2</v>
      </c>
      <c r="I65">
        <f>LCI_IC!$E7*'IW+_end'!I4</f>
        <v>0.93416719125512804</v>
      </c>
      <c r="J65">
        <f>LCI_IC!$E7*'IW+_end'!J4</f>
        <v>0.11947233209536294</v>
      </c>
      <c r="K65">
        <f>LCI_IC!$E7*'IW+_end'!K4</f>
        <v>5.8252778621848689E-3</v>
      </c>
      <c r="L65">
        <f>LCI_IC!$E7*'IW+_end'!L4</f>
        <v>7.543227881230801E-8</v>
      </c>
      <c r="M65">
        <f>LCI_IC!$E7*'IW+_end'!M4</f>
        <v>9.2358423028085057E-6</v>
      </c>
      <c r="N65">
        <f>LCI_IC!$E7*'IW+_end'!N4</f>
        <v>2.0141902382323624E-6</v>
      </c>
      <c r="O65">
        <f>LCI_IC!$E7*'IW+_end'!O4</f>
        <v>2.073338334217323E-5</v>
      </c>
      <c r="P65">
        <f>LCI_IC!$E7*'IW+_end'!P4</f>
        <v>1.6721138820675336E-10</v>
      </c>
      <c r="Q65">
        <f>LCI_IC!$E7*'IW+_end'!Q4</f>
        <v>2.5414819458518307E-9</v>
      </c>
      <c r="R65">
        <f>LCI_IC!$E7*'IW+_end'!R4</f>
        <v>0.10325709629067527</v>
      </c>
      <c r="S65">
        <f>LCI_IC!$E7*'IW+_end'!S4</f>
        <v>0.20192306813671582</v>
      </c>
      <c r="T65">
        <f>LCI_IC!$E7*'IW+_end'!T4</f>
        <v>0.81381304343515604</v>
      </c>
      <c r="U65">
        <f>LCI_IC!$E7*'IW+_end'!U4</f>
        <v>8.8340903369667073E-2</v>
      </c>
      <c r="V65">
        <f>LCI_IC!$E7*'IW+_end'!V4</f>
        <v>4.1790110398157114E-7</v>
      </c>
      <c r="W65">
        <f>LCI_IC!$E7*'IW+_end'!W4</f>
        <v>9.1166986820938597E-7</v>
      </c>
      <c r="X65">
        <f>LCI_IC!$E7*'IW+_end'!X4</f>
        <v>3.6914893888666471E-2</v>
      </c>
      <c r="Y65">
        <f>LCI_IC!$E7*'IW+_end'!Y4</f>
        <v>3.4271490621614475E-10</v>
      </c>
      <c r="Z65">
        <f>LCI_IC!$E7*'IW+_end'!Z4</f>
        <v>8.8111435597395313E-6</v>
      </c>
      <c r="AA65">
        <f>LCI_IC!$E7*'IW+_end'!AA4</f>
        <v>0.52310036021523809</v>
      </c>
      <c r="AB65">
        <f>LCI_IC!$E7*'IW+_end'!AB4</f>
        <v>5.3982752056258097E-8</v>
      </c>
      <c r="AC65">
        <f>LCI_IC!$E7*'IW+_end'!AC4</f>
        <v>0.52930584039175488</v>
      </c>
      <c r="AD65">
        <f>LCI_IC!$E7*'IW+_end'!AD4</f>
        <v>1.5262636374080941E-2</v>
      </c>
      <c r="AE65">
        <f>LCI_IC!$E7*'IW+_end'!AE4</f>
        <v>3.3275950189642592E-2</v>
      </c>
      <c r="AF65">
        <f>LCI_IC!$E7*'IW+_end'!AF4</f>
        <v>3.8173633035694057E-4</v>
      </c>
      <c r="AG65">
        <f>LCI_IC!$E7*'IW+_end'!AG4</f>
        <v>7.4436332210323055</v>
      </c>
      <c r="AH65">
        <f>LCI_IC!$E7*'IW+_end'!AH4</f>
        <v>1.04168902179637E-4</v>
      </c>
      <c r="AI65">
        <f>LCI_IC!$E7*'IW+_end'!AI4</f>
        <v>7.999127841649449E-5</v>
      </c>
      <c r="AJ65">
        <f>LCI_IC!$E7*'IW+_end'!AJ4</f>
        <v>9.7703259724914291E-6</v>
      </c>
      <c r="AK65">
        <f>LCI_IC!$E7*'IW+_end'!AK4</f>
        <v>2.1385693372968594E-4</v>
      </c>
    </row>
    <row r="66" spans="1:43" x14ac:dyDescent="0.35">
      <c r="A66" t="s">
        <v>303</v>
      </c>
    </row>
    <row r="67" spans="1:43" x14ac:dyDescent="0.35">
      <c r="B67" t="s">
        <v>304</v>
      </c>
      <c r="C67">
        <f>LCI_IC!$E10*'IW+_end'!C35</f>
        <v>1.639546218529585</v>
      </c>
      <c r="D67">
        <f>LCI_IC!$E10*'IW+_end'!D35</f>
        <v>0.50112891249836111</v>
      </c>
      <c r="E67">
        <f>LCI_IC!$E10*'IW+_end'!E35</f>
        <v>2.2096119213815607E-5</v>
      </c>
      <c r="F67">
        <f>LCI_IC!$E10*'IW+_end'!F35</f>
        <v>6.753700546474559E-6</v>
      </c>
      <c r="G67">
        <f>LCI_IC!$E10*'IW+_end'!G35</f>
        <v>4.3333901754761425E-18</v>
      </c>
      <c r="H67">
        <f>LCI_IC!$E10*'IW+_end'!H35</f>
        <v>2.495593568506508E-2</v>
      </c>
      <c r="I67">
        <f>LCI_IC!$E10*'IW+_end'!I35</f>
        <v>0.39389429210808058</v>
      </c>
      <c r="J67">
        <f>LCI_IC!$E10*'IW+_end'!J35</f>
        <v>6.7029319550731117E-2</v>
      </c>
      <c r="K67">
        <f>LCI_IC!$E10*'IW+_end'!K35</f>
        <v>1.3227472847376623E-2</v>
      </c>
      <c r="L67">
        <f>LCI_IC!$E10*'IW+_end'!L35</f>
        <v>1.2741441376363931E-8</v>
      </c>
      <c r="M67">
        <f>LCI_IC!$E10*'IW+_end'!M35</f>
        <v>1.0361858495461141E-6</v>
      </c>
      <c r="N67">
        <f>LCI_IC!$E10*'IW+_end'!N35</f>
        <v>4.2094923747696886E-7</v>
      </c>
      <c r="O67">
        <f>LCI_IC!$E10*'IW+_end'!O35</f>
        <v>2.7379013551440849E-7</v>
      </c>
      <c r="P67">
        <f>LCI_IC!$E10*'IW+_end'!P35</f>
        <v>5.7739233933437292E-10</v>
      </c>
      <c r="Q67">
        <f>LCI_IC!$E10*'IW+_end'!Q35</f>
        <v>1.0136355764856495E-8</v>
      </c>
      <c r="R67">
        <f>LCI_IC!$E10*'IW+_end'!R35</f>
        <v>24.23257003073666</v>
      </c>
      <c r="S67">
        <f>LCI_IC!$E10*'IW+_end'!S35</f>
        <v>0.18275150808402318</v>
      </c>
      <c r="T67">
        <f>LCI_IC!$E10*'IW+_end'!T35</f>
        <v>0.60026385749342459</v>
      </c>
      <c r="U67">
        <f>LCI_IC!$E10*'IW+_end'!U35</f>
        <v>6.5157375370135551E-2</v>
      </c>
      <c r="V67">
        <f>LCI_IC!$E10*'IW+_end'!V35</f>
        <v>8.9773711251486744E-7</v>
      </c>
      <c r="W67">
        <f>LCI_IC!$E10*'IW+_end'!W35</f>
        <v>6.7295879022802748E-7</v>
      </c>
      <c r="X67">
        <f>LCI_IC!$E10*'IW+_end'!X35</f>
        <v>6.19419661143558E-3</v>
      </c>
      <c r="Y67">
        <f>LCI_IC!$E10*'IW+_end'!Y35</f>
        <v>1.3310269112425958E-10</v>
      </c>
      <c r="Z67">
        <f>LCI_IC!$E10*'IW+_end'!Z35</f>
        <v>2.3213179468259162E-6</v>
      </c>
      <c r="AA67">
        <f>LCI_IC!$E10*'IW+_end'!AA35</f>
        <v>0.19734284744008171</v>
      </c>
      <c r="AB67">
        <f>LCI_IC!$E10*'IW+_end'!AB35</f>
        <v>1.8567087746188296E-8</v>
      </c>
      <c r="AC67">
        <f>LCI_IC!$E10*'IW+_end'!AC35</f>
        <v>0.18042544447611356</v>
      </c>
      <c r="AD67">
        <f>LCI_IC!$E10*'IW+_end'!AD35</f>
        <v>3.2768020775961776E-2</v>
      </c>
      <c r="AE67">
        <f>LCI_IC!$E10*'IW+_end'!AE35</f>
        <v>2.4562995843323009E-2</v>
      </c>
      <c r="AF67">
        <f>LCI_IC!$E10*'IW+_end'!AF35</f>
        <v>6.4059721338951951E-4</v>
      </c>
      <c r="AG67">
        <f>LCI_IC!$E10*'IW+_end'!AG35</f>
        <v>28.162732396030638</v>
      </c>
      <c r="AH67">
        <f>LCI_IC!$E10*'IW+_end'!AH35</f>
        <v>3.4046714515457196E-5</v>
      </c>
      <c r="AI67">
        <f>LCI_IC!$E10*'IW+_end'!AI35</f>
        <v>9.0310464111356095E-6</v>
      </c>
      <c r="AJ67">
        <f>LCI_IC!$E10*'IW+_end'!AJ35</f>
        <v>1.1030735982248163E-6</v>
      </c>
      <c r="AK67">
        <f>LCI_IC!$E10*'IW+_end'!AK35</f>
        <v>2.6276844716575351E-4</v>
      </c>
    </row>
    <row r="68" spans="1:43" x14ac:dyDescent="0.35">
      <c r="A68" t="s">
        <v>305</v>
      </c>
    </row>
    <row r="69" spans="1:43" x14ac:dyDescent="0.35">
      <c r="B69" t="s">
        <v>97</v>
      </c>
      <c r="C69">
        <f>LCI_IC!$E13*'IW+_end'!C12</f>
        <v>8.7490211685808825E-2</v>
      </c>
      <c r="D69">
        <f>LCI_IC!$E13*'IW+_end'!D12</f>
        <v>0.33228107715643329</v>
      </c>
      <c r="E69">
        <f>LCI_IC!$E13*'IW+_end'!E12</f>
        <v>1.1791031723310412E-6</v>
      </c>
      <c r="F69">
        <f>LCI_IC!$E13*'IW+_end'!F12</f>
        <v>4.4781471550199997E-6</v>
      </c>
      <c r="G69">
        <f>LCI_IC!$E13*'IW+_end'!G12</f>
        <v>0</v>
      </c>
      <c r="H69">
        <f>LCI_IC!$E13*'IW+_end'!H12</f>
        <v>0</v>
      </c>
      <c r="I69">
        <f>LCI_IC!$E13*'IW+_end'!I12</f>
        <v>0</v>
      </c>
      <c r="J69">
        <f>LCI_IC!$E13*'IW+_end'!J12</f>
        <v>0</v>
      </c>
      <c r="K69">
        <f>LCI_IC!$E13*'IW+_end'!K12</f>
        <v>0</v>
      </c>
      <c r="L69">
        <f>LCI_IC!$E13*'IW+_end'!L12</f>
        <v>0</v>
      </c>
      <c r="M69">
        <f>LCI_IC!$E13*'IW+_end'!M12</f>
        <v>0</v>
      </c>
      <c r="N69">
        <f>LCI_IC!$E13*'IW+_end'!N12</f>
        <v>0</v>
      </c>
      <c r="O69">
        <f>LCI_IC!$E13*'IW+_end'!O12</f>
        <v>0</v>
      </c>
      <c r="P69">
        <f>LCI_IC!$E13*'IW+_end'!P12</f>
        <v>0</v>
      </c>
      <c r="Q69">
        <f>LCI_IC!$E13*'IW+_end'!Q12</f>
        <v>0</v>
      </c>
      <c r="R69">
        <f>LCI_IC!$E13*'IW+_end'!R12</f>
        <v>0</v>
      </c>
      <c r="S69">
        <f>LCI_IC!$E13*'IW+_end'!S12</f>
        <v>0</v>
      </c>
      <c r="T69">
        <f>LCI_IC!$E13*'IW+_end'!T12</f>
        <v>0</v>
      </c>
      <c r="U69">
        <f>LCI_IC!$E13*'IW+_end'!U12</f>
        <v>0</v>
      </c>
      <c r="V69">
        <f>LCI_IC!$E13*'IW+_end'!V12</f>
        <v>0</v>
      </c>
      <c r="W69">
        <f>LCI_IC!$E13*'IW+_end'!W12</f>
        <v>0</v>
      </c>
      <c r="X69">
        <f>LCI_IC!$E13*'IW+_end'!X12</f>
        <v>0</v>
      </c>
      <c r="Y69">
        <f>LCI_IC!$E13*'IW+_end'!Y12</f>
        <v>0</v>
      </c>
      <c r="Z69">
        <f>LCI_IC!$E13*'IW+_end'!Z12</f>
        <v>0</v>
      </c>
      <c r="AA69">
        <f>LCI_IC!$E13*'IW+_end'!AA12</f>
        <v>0</v>
      </c>
      <c r="AB69">
        <f>LCI_IC!$E13*'IW+_end'!AB12</f>
        <v>0</v>
      </c>
      <c r="AC69">
        <f>LCI_IC!$E13*'IW+_end'!AC12</f>
        <v>0</v>
      </c>
      <c r="AD69">
        <f>LCI_IC!$E13*'IW+_end'!AD12</f>
        <v>0</v>
      </c>
      <c r="AE69">
        <f>LCI_IC!$E13*'IW+_end'!AE12</f>
        <v>0</v>
      </c>
      <c r="AF69">
        <f>LCI_IC!$E13*'IW+_end'!AF12</f>
        <v>0</v>
      </c>
      <c r="AG69">
        <f>LCI_IC!$E13*'IW+_end'!AG12</f>
        <v>0.41977128884224213</v>
      </c>
      <c r="AH69">
        <f>LCI_IC!$E13*'IW+_end'!AH12</f>
        <v>5.6572503273214794E-6</v>
      </c>
      <c r="AI69">
        <f>LCI_IC!$E13*'IW+_end'!AI12</f>
        <v>0</v>
      </c>
      <c r="AJ69">
        <f>LCI_IC!$E13*'IW+_end'!AJ12</f>
        <v>0</v>
      </c>
      <c r="AK69">
        <f>LCI_IC!$E13*'IW+_end'!AK12</f>
        <v>0</v>
      </c>
    </row>
    <row r="70" spans="1:43" x14ac:dyDescent="0.35">
      <c r="B70" t="s">
        <v>111</v>
      </c>
      <c r="C70" s="5">
        <f>LCI_IC!$E14*'IW+_end'!C18</f>
        <v>0</v>
      </c>
      <c r="D70" s="5">
        <f>LCI_IC!$E14*'IW+_end'!D18</f>
        <v>0</v>
      </c>
      <c r="E70" s="5">
        <f>LCI_IC!$E14*'IW+_end'!E18</f>
        <v>0</v>
      </c>
      <c r="F70" s="5">
        <f>LCI_IC!$E14*'IW+_end'!F18</f>
        <v>0</v>
      </c>
      <c r="G70" s="5">
        <f>LCI_IC!$E14*'IW+_end'!G18</f>
        <v>0</v>
      </c>
      <c r="H70" s="5">
        <f>LCI_IC!$E14*'IW+_end'!H18</f>
        <v>0.35688626153808867</v>
      </c>
      <c r="I70" s="5">
        <f>LCI_IC!$E14*'IW+_end'!I18</f>
        <v>0</v>
      </c>
      <c r="J70" s="5">
        <f>LCI_IC!$E14*'IW+_end'!J18</f>
        <v>0</v>
      </c>
      <c r="K70" s="5">
        <f>LCI_IC!$E14*'IW+_end'!K18</f>
        <v>0</v>
      </c>
      <c r="L70" s="5">
        <f>LCI_IC!$E14*'IW+_end'!L18</f>
        <v>0</v>
      </c>
      <c r="M70" s="5">
        <f>LCI_IC!$E14*'IW+_end'!M18</f>
        <v>0</v>
      </c>
      <c r="N70" s="5">
        <f>LCI_IC!$E14*'IW+_end'!N18</f>
        <v>0</v>
      </c>
      <c r="O70" s="5">
        <f>LCI_IC!$E14*'IW+_end'!O18</f>
        <v>0</v>
      </c>
      <c r="P70" s="5">
        <f>LCI_IC!$E14*'IW+_end'!P18</f>
        <v>0</v>
      </c>
      <c r="Q70" s="5">
        <f>LCI_IC!$E14*'IW+_end'!Q18</f>
        <v>0</v>
      </c>
      <c r="R70" s="5">
        <f>LCI_IC!$E14*'IW+_end'!R18</f>
        <v>0</v>
      </c>
      <c r="S70" s="5">
        <f>LCI_IC!$E14*'IW+_end'!S18</f>
        <v>0</v>
      </c>
      <c r="T70" s="5">
        <f>LCI_IC!$E14*'IW+_end'!T18</f>
        <v>0</v>
      </c>
      <c r="U70" s="5">
        <f>LCI_IC!$E14*'IW+_end'!U18</f>
        <v>0</v>
      </c>
      <c r="V70" s="5">
        <f>LCI_IC!$E14*'IW+_end'!V18</f>
        <v>0</v>
      </c>
      <c r="W70" s="5">
        <f>LCI_IC!$E14*'IW+_end'!W18</f>
        <v>0</v>
      </c>
      <c r="X70" s="5">
        <f>LCI_IC!$E14*'IW+_end'!X18</f>
        <v>0.13700751439928474</v>
      </c>
      <c r="Y70" s="5">
        <f>LCI_IC!$E14*'IW+_end'!Y18</f>
        <v>0</v>
      </c>
      <c r="Z70" s="5">
        <f>LCI_IC!$E14*'IW+_end'!Z18</f>
        <v>3.4282479064016783E-5</v>
      </c>
      <c r="AA70" s="5">
        <f>LCI_IC!$E14*'IW+_end'!AA18</f>
        <v>0</v>
      </c>
      <c r="AB70" s="5">
        <f>LCI_IC!$E14*'IW+_end'!AB18</f>
        <v>0</v>
      </c>
      <c r="AC70" s="5">
        <f>LCI_IC!$E14*'IW+_end'!AC18</f>
        <v>4.6012166934681247</v>
      </c>
      <c r="AD70" s="5">
        <f>LCI_IC!$E14*'IW+_end'!AD18</f>
        <v>0</v>
      </c>
      <c r="AE70" s="5">
        <f>LCI_IC!$E14*'IW+_end'!AE18</f>
        <v>0</v>
      </c>
      <c r="AF70" s="5">
        <f>LCI_IC!$E14*'IW+_end'!AF18</f>
        <v>0</v>
      </c>
      <c r="AG70" s="5">
        <f>LCI_IC!$E14*'IW+_end'!AG18</f>
        <v>5.0951104694054985</v>
      </c>
      <c r="AH70" s="5">
        <f>LCI_IC!$E14*'IW+_end'!AH18</f>
        <v>3.4282479063639921E-5</v>
      </c>
      <c r="AI70" s="5">
        <f>LCI_IC!$E14*'IW+_end'!AI18</f>
        <v>0</v>
      </c>
      <c r="AJ70" s="5">
        <f>LCI_IC!$E14*'IW+_end'!AJ18</f>
        <v>0</v>
      </c>
      <c r="AK70" s="5">
        <f>LCI_IC!$E14*'IW+_end'!AK18</f>
        <v>0</v>
      </c>
    </row>
    <row r="71" spans="1:43" x14ac:dyDescent="0.35">
      <c r="B71" t="s">
        <v>112</v>
      </c>
      <c r="C71">
        <f>LCI_IC!$E15*'IW+_end'!C20</f>
        <v>3.0559652145688294</v>
      </c>
      <c r="D71">
        <f>LCI_IC!$E15*'IW+_end'!D20</f>
        <v>2.2671796337825203</v>
      </c>
      <c r="E71">
        <f>LCI_IC!$E15*'IW+_end'!E20</f>
        <v>4.1185158997802283E-5</v>
      </c>
      <c r="F71">
        <f>LCI_IC!$E15*'IW+_end'!F20</f>
        <v>3.0554717458420595E-5</v>
      </c>
      <c r="G71">
        <f>LCI_IC!$E15*'IW+_end'!G20</f>
        <v>0</v>
      </c>
      <c r="H71">
        <f>LCI_IC!$E15*'IW+_end'!H20</f>
        <v>0</v>
      </c>
      <c r="I71">
        <f>LCI_IC!$E15*'IW+_end'!I20</f>
        <v>0</v>
      </c>
      <c r="J71">
        <f>LCI_IC!$E15*'IW+_end'!J20</f>
        <v>0</v>
      </c>
      <c r="K71">
        <f>LCI_IC!$E15*'IW+_end'!K20</f>
        <v>0</v>
      </c>
      <c r="L71">
        <f>LCI_IC!$E15*'IW+_end'!L20</f>
        <v>0</v>
      </c>
      <c r="M71">
        <f>LCI_IC!$E15*'IW+_end'!M20</f>
        <v>0</v>
      </c>
      <c r="N71">
        <f>LCI_IC!$E15*'IW+_end'!N20</f>
        <v>0</v>
      </c>
      <c r="O71">
        <f>LCI_IC!$E15*'IW+_end'!O20</f>
        <v>0</v>
      </c>
      <c r="P71">
        <f>LCI_IC!$E15*'IW+_end'!P20</f>
        <v>0</v>
      </c>
      <c r="Q71">
        <f>LCI_IC!$E15*'IW+_end'!Q20</f>
        <v>0</v>
      </c>
      <c r="R71">
        <f>LCI_IC!$E15*'IW+_end'!R20</f>
        <v>0</v>
      </c>
      <c r="S71">
        <f>LCI_IC!$E15*'IW+_end'!S20</f>
        <v>0</v>
      </c>
      <c r="T71">
        <f>LCI_IC!$E15*'IW+_end'!T20</f>
        <v>0</v>
      </c>
      <c r="U71">
        <f>LCI_IC!$E15*'IW+_end'!U20</f>
        <v>0</v>
      </c>
      <c r="V71">
        <f>LCI_IC!$E15*'IW+_end'!V20</f>
        <v>0</v>
      </c>
      <c r="W71">
        <f>LCI_IC!$E15*'IW+_end'!W20</f>
        <v>0</v>
      </c>
      <c r="X71">
        <f>LCI_IC!$E15*'IW+_end'!X20</f>
        <v>0</v>
      </c>
      <c r="Y71">
        <f>LCI_IC!$E15*'IW+_end'!Y20</f>
        <v>0</v>
      </c>
      <c r="Z71">
        <f>LCI_IC!$E15*'IW+_end'!Z20</f>
        <v>0</v>
      </c>
      <c r="AA71">
        <f>LCI_IC!$E15*'IW+_end'!AA20</f>
        <v>0</v>
      </c>
      <c r="AB71">
        <f>LCI_IC!$E15*'IW+_end'!AB20</f>
        <v>0</v>
      </c>
      <c r="AC71">
        <f>LCI_IC!$E15*'IW+_end'!AC20</f>
        <v>0</v>
      </c>
      <c r="AD71">
        <f>LCI_IC!$E15*'IW+_end'!AD20</f>
        <v>0</v>
      </c>
      <c r="AE71">
        <f>LCI_IC!$E15*'IW+_end'!AE20</f>
        <v>0</v>
      </c>
      <c r="AF71">
        <f>LCI_IC!$E15*'IW+_end'!AF20</f>
        <v>0</v>
      </c>
      <c r="AG71">
        <f>LCI_IC!$E15*'IW+_end'!AG20</f>
        <v>5.3231448483513493</v>
      </c>
      <c r="AH71">
        <f>LCI_IC!$E15*'IW+_end'!AH20</f>
        <v>7.1739876455951352E-5</v>
      </c>
      <c r="AI71">
        <f>LCI_IC!$E15*'IW+_end'!AI20</f>
        <v>0</v>
      </c>
      <c r="AJ71">
        <f>LCI_IC!$E15*'IW+_end'!AJ20</f>
        <v>0</v>
      </c>
      <c r="AK71">
        <f>LCI_IC!$E15*'IW+_end'!AK20</f>
        <v>0</v>
      </c>
    </row>
    <row r="72" spans="1:43" x14ac:dyDescent="0.35">
      <c r="B72" t="s">
        <v>251</v>
      </c>
      <c r="C72">
        <f>LCI_IC!$E17*'IW+_end'!C2</f>
        <v>0.2039824918397809</v>
      </c>
      <c r="D72">
        <f>LCI_IC!$E17*'IW+_end'!D2</f>
        <v>6.2488633467763302E-2</v>
      </c>
      <c r="E72">
        <f>LCI_IC!$E17*'IW+_end'!E2</f>
        <v>2.7490664223331478E-6</v>
      </c>
      <c r="F72">
        <f>LCI_IC!$E17*'IW+_end'!F2</f>
        <v>8.4215759153800914E-7</v>
      </c>
      <c r="G72">
        <f>LCI_IC!$E17*'IW+_end'!G2</f>
        <v>6.252283326323102E-20</v>
      </c>
      <c r="H72">
        <f>LCI_IC!$E17*'IW+_end'!H2</f>
        <v>3.606038332554933E-3</v>
      </c>
      <c r="I72">
        <f>LCI_IC!$E17*'IW+_end'!I2</f>
        <v>0.17247935844769632</v>
      </c>
      <c r="J72">
        <f>LCI_IC!$E17*'IW+_end'!J2</f>
        <v>8.5693363875985126E-3</v>
      </c>
      <c r="K72">
        <f>LCI_IC!$E17*'IW+_end'!K2</f>
        <v>1.4887524165772464E-5</v>
      </c>
      <c r="L72">
        <f>LCI_IC!$E17*'IW+_end'!L2</f>
        <v>6.0422261802961613E-9</v>
      </c>
      <c r="M72">
        <f>LCI_IC!$E17*'IW+_end'!M2</f>
        <v>1.1524704738517235E-7</v>
      </c>
      <c r="N72">
        <f>LCI_IC!$E17*'IW+_end'!N2</f>
        <v>1.3663212053954253E-7</v>
      </c>
      <c r="O72">
        <f>LCI_IC!$E17*'IW+_end'!O2</f>
        <v>7.2730604617469096E-8</v>
      </c>
      <c r="P72">
        <f>LCI_IC!$E17*'IW+_end'!P2</f>
        <v>2.8740273003296317E-9</v>
      </c>
      <c r="Q72">
        <f>LCI_IC!$E17*'IW+_end'!Q2</f>
        <v>8.862718083347123E-8</v>
      </c>
      <c r="R72">
        <f>LCI_IC!$E17*'IW+_end'!R2</f>
        <v>1.1481097709190627E-2</v>
      </c>
      <c r="S72">
        <f>LCI_IC!$E17*'IW+_end'!S2</f>
        <v>8.0943797579757122E-3</v>
      </c>
      <c r="T72">
        <f>LCI_IC!$E17*'IW+_end'!T2</f>
        <v>7.1168247873253002E-2</v>
      </c>
      <c r="U72">
        <f>LCI_IC!$E17*'IW+_end'!U2</f>
        <v>7.7254754685920739E-3</v>
      </c>
      <c r="V72">
        <f>LCI_IC!$E17*'IW+_end'!V2</f>
        <v>6.7001243942914083E-7</v>
      </c>
      <c r="W72">
        <f>LCI_IC!$E17*'IW+_end'!W2</f>
        <v>1.8439338594244798E-7</v>
      </c>
      <c r="X72">
        <f>LCI_IC!$E17*'IW+_end'!X2</f>
        <v>4.719342938694904E-4</v>
      </c>
      <c r="Y72">
        <f>LCI_IC!$E17*'IW+_end'!Y2</f>
        <v>3.2104071375822308E-11</v>
      </c>
      <c r="Z72">
        <f>LCI_IC!$E17*'IW+_end'!Z2</f>
        <v>2.5987464549455609E-7</v>
      </c>
      <c r="AA72">
        <f>LCI_IC!$E17*'IW+_end'!AA2</f>
        <v>1.0940386033358009E-2</v>
      </c>
      <c r="AB72">
        <f>LCI_IC!$E17*'IW+_end'!AB2</f>
        <v>1.0875598736931017E-9</v>
      </c>
      <c r="AC72">
        <f>LCI_IC!$E17*'IW+_end'!AC2</f>
        <v>2.3796048530604092E-2</v>
      </c>
      <c r="AD72">
        <f>LCI_IC!$E17*'IW+_end'!AD2</f>
        <v>2.4456396451755423E-2</v>
      </c>
      <c r="AE72">
        <f>LCI_IC!$E17*'IW+_end'!AE2</f>
        <v>6.7303585868993517E-3</v>
      </c>
      <c r="AF72">
        <f>LCI_IC!$E17*'IW+_end'!AF2</f>
        <v>1.3196293957002266E-3</v>
      </c>
      <c r="AG72">
        <f>LCI_IC!$E17*'IW+_end'!AG2</f>
        <v>0.61734278428526745</v>
      </c>
      <c r="AH72">
        <f>LCI_IC!$E17*'IW+_end'!AH2</f>
        <v>5.12757849431806E-6</v>
      </c>
      <c r="AI72">
        <f>LCI_IC!$E17*'IW+_end'!AI2</f>
        <v>7.0088769941849565E-6</v>
      </c>
      <c r="AJ72">
        <f>LCI_IC!$E17*'IW+_end'!AJ2</f>
        <v>8.5608099145145577E-7</v>
      </c>
      <c r="AK72">
        <f>LCI_IC!$E17*'IW+_end'!AK2</f>
        <v>1.0218027663432276E-5</v>
      </c>
    </row>
    <row r="73" spans="1:43" x14ac:dyDescent="0.35">
      <c r="A73" t="s">
        <v>354</v>
      </c>
    </row>
    <row r="74" spans="1:43" x14ac:dyDescent="0.35">
      <c r="B74" t="s">
        <v>111</v>
      </c>
      <c r="C74" s="5">
        <f>LCI_IC!$E19*'IW+_end'!C18</f>
        <v>0</v>
      </c>
      <c r="D74" s="5">
        <f>LCI_IC!$E19*'IW+_end'!D18</f>
        <v>0</v>
      </c>
      <c r="E74" s="5">
        <f>LCI_IC!$E19*'IW+_end'!E18</f>
        <v>0</v>
      </c>
      <c r="F74" s="5">
        <f>LCI_IC!$E19*'IW+_end'!F18</f>
        <v>0</v>
      </c>
      <c r="G74" s="5">
        <f>LCI_IC!$E19*'IW+_end'!G18</f>
        <v>0</v>
      </c>
      <c r="H74" s="5">
        <f>LCI_IC!$E19*'IW+_end'!H18</f>
        <v>0.52167445673855295</v>
      </c>
      <c r="I74" s="5">
        <f>LCI_IC!$E19*'IW+_end'!I18</f>
        <v>0</v>
      </c>
      <c r="J74" s="5">
        <f>LCI_IC!$E19*'IW+_end'!J18</f>
        <v>0</v>
      </c>
      <c r="K74" s="5">
        <f>LCI_IC!$E19*'IW+_end'!K18</f>
        <v>0</v>
      </c>
      <c r="L74" s="5">
        <f>LCI_IC!$E19*'IW+_end'!L18</f>
        <v>0</v>
      </c>
      <c r="M74" s="5">
        <f>LCI_IC!$E19*'IW+_end'!M18</f>
        <v>0</v>
      </c>
      <c r="N74" s="5">
        <f>LCI_IC!$E19*'IW+_end'!N18</f>
        <v>0</v>
      </c>
      <c r="O74" s="5">
        <f>LCI_IC!$E19*'IW+_end'!O18</f>
        <v>0</v>
      </c>
      <c r="P74" s="5">
        <f>LCI_IC!$E19*'IW+_end'!P18</f>
        <v>0</v>
      </c>
      <c r="Q74" s="5">
        <f>LCI_IC!$E19*'IW+_end'!Q18</f>
        <v>0</v>
      </c>
      <c r="R74" s="5">
        <f>LCI_IC!$E19*'IW+_end'!R18</f>
        <v>0</v>
      </c>
      <c r="S74" s="5">
        <f>LCI_IC!$E19*'IW+_end'!S18</f>
        <v>0</v>
      </c>
      <c r="T74" s="5">
        <f>LCI_IC!$E19*'IW+_end'!T18</f>
        <v>0</v>
      </c>
      <c r="U74" s="5">
        <f>LCI_IC!$E19*'IW+_end'!U18</f>
        <v>0</v>
      </c>
      <c r="V74" s="5">
        <f>LCI_IC!$E19*'IW+_end'!V18</f>
        <v>0</v>
      </c>
      <c r="W74" s="5">
        <f>LCI_IC!$E19*'IW+_end'!W18</f>
        <v>0</v>
      </c>
      <c r="X74" s="5">
        <f>LCI_IC!$E19*'IW+_end'!X18</f>
        <v>0.20026918474057975</v>
      </c>
      <c r="Y74" s="5">
        <f>LCI_IC!$E19*'IW+_end'!Y18</f>
        <v>0</v>
      </c>
      <c r="Z74" s="5">
        <f>LCI_IC!$E19*'IW+_end'!Z18</f>
        <v>5.0112026067618947E-5</v>
      </c>
      <c r="AA74" s="5">
        <f>LCI_IC!$E19*'IW+_end'!AA18</f>
        <v>0</v>
      </c>
      <c r="AB74" s="5">
        <f>LCI_IC!$E19*'IW+_end'!AB18</f>
        <v>0</v>
      </c>
      <c r="AC74" s="5">
        <f>LCI_IC!$E19*'IW+_end'!AC18</f>
        <v>6.7257764660273125</v>
      </c>
      <c r="AD74" s="5">
        <f>LCI_IC!$E19*'IW+_end'!AD18</f>
        <v>0</v>
      </c>
      <c r="AE74" s="5">
        <f>LCI_IC!$E19*'IW+_end'!AE18</f>
        <v>0</v>
      </c>
      <c r="AF74" s="5">
        <f>LCI_IC!$E19*'IW+_end'!AF18</f>
        <v>0</v>
      </c>
      <c r="AG74" s="5">
        <f>LCI_IC!$E19*'IW+_end'!AG18</f>
        <v>7.4477201075064459</v>
      </c>
      <c r="AH74" s="5">
        <f>LCI_IC!$E19*'IW+_end'!AH18</f>
        <v>5.0112026067068077E-5</v>
      </c>
      <c r="AI74" s="5">
        <f>LCI_IC!$E19*'IW+_end'!AI18</f>
        <v>0</v>
      </c>
      <c r="AJ74" s="5">
        <f>LCI_IC!$E19*'IW+_end'!AJ18</f>
        <v>0</v>
      </c>
      <c r="AK74" s="5">
        <f>LCI_IC!$E19*'IW+_end'!AK18</f>
        <v>0</v>
      </c>
    </row>
    <row r="75" spans="1:43" x14ac:dyDescent="0.35">
      <c r="B75" t="s">
        <v>112</v>
      </c>
      <c r="C75" s="5">
        <f>LCI_IC!$E20*'IW+_end'!C20</f>
        <v>5.0388758798033857</v>
      </c>
      <c r="D75" s="5">
        <f>LCI_IC!$E20*'IW+_end'!D20</f>
        <v>3.7382744794953595</v>
      </c>
      <c r="E75" s="5">
        <f>LCI_IC!$E20*'IW+_end'!E20</f>
        <v>6.7908791399372509E-5</v>
      </c>
      <c r="F75" s="5">
        <f>LCI_IC!$E20*'IW+_end'!F20</f>
        <v>5.0380622162011616E-5</v>
      </c>
      <c r="G75" s="5">
        <f>LCI_IC!$E20*'IW+_end'!G20</f>
        <v>0</v>
      </c>
      <c r="H75" s="5">
        <f>LCI_IC!$E20*'IW+_end'!H20</f>
        <v>0</v>
      </c>
      <c r="I75" s="5">
        <f>LCI_IC!$E20*'IW+_end'!I20</f>
        <v>0</v>
      </c>
      <c r="J75" s="5">
        <f>LCI_IC!$E20*'IW+_end'!J20</f>
        <v>0</v>
      </c>
      <c r="K75" s="5">
        <f>LCI_IC!$E20*'IW+_end'!K20</f>
        <v>0</v>
      </c>
      <c r="L75" s="5">
        <f>LCI_IC!$E20*'IW+_end'!L20</f>
        <v>0</v>
      </c>
      <c r="M75" s="5">
        <f>LCI_IC!$E20*'IW+_end'!M20</f>
        <v>0</v>
      </c>
      <c r="N75" s="5">
        <f>LCI_IC!$E20*'IW+_end'!N20</f>
        <v>0</v>
      </c>
      <c r="O75" s="5">
        <f>LCI_IC!$E20*'IW+_end'!O20</f>
        <v>0</v>
      </c>
      <c r="P75" s="5">
        <f>LCI_IC!$E20*'IW+_end'!P20</f>
        <v>0</v>
      </c>
      <c r="Q75" s="5">
        <f>LCI_IC!$E20*'IW+_end'!Q20</f>
        <v>0</v>
      </c>
      <c r="R75" s="5">
        <f>LCI_IC!$E20*'IW+_end'!R20</f>
        <v>0</v>
      </c>
      <c r="S75" s="5">
        <f>LCI_IC!$E20*'IW+_end'!S20</f>
        <v>0</v>
      </c>
      <c r="T75" s="5">
        <f>LCI_IC!$E20*'IW+_end'!T20</f>
        <v>0</v>
      </c>
      <c r="U75" s="5">
        <f>LCI_IC!$E20*'IW+_end'!U20</f>
        <v>0</v>
      </c>
      <c r="V75" s="5">
        <f>LCI_IC!$E20*'IW+_end'!V20</f>
        <v>0</v>
      </c>
      <c r="W75" s="5">
        <f>LCI_IC!$E20*'IW+_end'!W20</f>
        <v>0</v>
      </c>
      <c r="X75" s="5">
        <f>LCI_IC!$E20*'IW+_end'!X20</f>
        <v>0</v>
      </c>
      <c r="Y75" s="5">
        <f>LCI_IC!$E20*'IW+_end'!Y20</f>
        <v>0</v>
      </c>
      <c r="Z75" s="5">
        <f>LCI_IC!$E20*'IW+_end'!Z20</f>
        <v>0</v>
      </c>
      <c r="AA75" s="5">
        <f>LCI_IC!$E20*'IW+_end'!AA20</f>
        <v>0</v>
      </c>
      <c r="AB75" s="5">
        <f>LCI_IC!$E20*'IW+_end'!AB20</f>
        <v>0</v>
      </c>
      <c r="AC75" s="5">
        <f>LCI_IC!$E20*'IW+_end'!AC20</f>
        <v>0</v>
      </c>
      <c r="AD75" s="5">
        <f>LCI_IC!$E20*'IW+_end'!AD20</f>
        <v>0</v>
      </c>
      <c r="AE75" s="5">
        <f>LCI_IC!$E20*'IW+_end'!AE20</f>
        <v>0</v>
      </c>
      <c r="AF75" s="5">
        <f>LCI_IC!$E20*'IW+_end'!AF20</f>
        <v>0</v>
      </c>
      <c r="AG75" s="5">
        <f>LCI_IC!$E20*'IW+_end'!AG20</f>
        <v>8.7771503592987443</v>
      </c>
      <c r="AH75" s="5">
        <f>LCI_IC!$E20*'IW+_end'!AH20</f>
        <v>1.1828941356093644E-4</v>
      </c>
      <c r="AI75" s="5">
        <f>LCI_IC!$E20*'IW+_end'!AI20</f>
        <v>0</v>
      </c>
      <c r="AJ75" s="5">
        <f>LCI_IC!$E20*'IW+_end'!AJ20</f>
        <v>0</v>
      </c>
      <c r="AK75" s="5">
        <f>LCI_IC!$E20*'IW+_end'!AK20</f>
        <v>0</v>
      </c>
    </row>
    <row r="76" spans="1:43" x14ac:dyDescent="0.35">
      <c r="B76" t="s">
        <v>115</v>
      </c>
      <c r="C76" s="5">
        <f>LCI_IC!$E21*'IW+_end'!C21</f>
        <v>0</v>
      </c>
      <c r="D76" s="5">
        <f>LCI_IC!$E21*'IW+_end'!D21</f>
        <v>0</v>
      </c>
      <c r="E76" s="5">
        <f>LCI_IC!$E21*'IW+_end'!E21</f>
        <v>0</v>
      </c>
      <c r="F76" s="5">
        <f>LCI_IC!$E21*'IW+_end'!F21</f>
        <v>0</v>
      </c>
      <c r="G76" s="5">
        <f>LCI_IC!$E21*'IW+_end'!G21</f>
        <v>0</v>
      </c>
      <c r="H76" s="5">
        <f>LCI_IC!$E21*'IW+_end'!H21</f>
        <v>0</v>
      </c>
      <c r="I76" s="5">
        <f>LCI_IC!$E21*'IW+_end'!I21</f>
        <v>0</v>
      </c>
      <c r="J76" s="5">
        <f>LCI_IC!$E21*'IW+_end'!J21</f>
        <v>0</v>
      </c>
      <c r="K76" s="5">
        <f>LCI_IC!$E21*'IW+_end'!K21</f>
        <v>0</v>
      </c>
      <c r="L76" s="5">
        <f>LCI_IC!$E21*'IW+_end'!L21</f>
        <v>0</v>
      </c>
      <c r="M76" s="5">
        <f>LCI_IC!$E21*'IW+_end'!M21</f>
        <v>0</v>
      </c>
      <c r="N76" s="5">
        <f>LCI_IC!$E21*'IW+_end'!N21</f>
        <v>0</v>
      </c>
      <c r="O76" s="5">
        <f>LCI_IC!$E21*'IW+_end'!O21</f>
        <v>0</v>
      </c>
      <c r="P76" s="5">
        <f>LCI_IC!$E21*'IW+_end'!P21</f>
        <v>0</v>
      </c>
      <c r="Q76" s="5">
        <f>LCI_IC!$E21*'IW+_end'!Q21</f>
        <v>0</v>
      </c>
      <c r="R76" s="5">
        <f>LCI_IC!$E21*'IW+_end'!R21</f>
        <v>0</v>
      </c>
      <c r="S76" s="5">
        <f>LCI_IC!$E21*'IW+_end'!S21</f>
        <v>0</v>
      </c>
      <c r="T76" s="5">
        <f>LCI_IC!$E21*'IW+_end'!T21</f>
        <v>0</v>
      </c>
      <c r="U76" s="5">
        <f>LCI_IC!$E21*'IW+_end'!U21</f>
        <v>0</v>
      </c>
      <c r="V76" s="5">
        <f>LCI_IC!$E21*'IW+_end'!V21</f>
        <v>0</v>
      </c>
      <c r="W76" s="5">
        <f>LCI_IC!$E21*'IW+_end'!W21</f>
        <v>0</v>
      </c>
      <c r="X76" s="5">
        <f>LCI_IC!$E21*'IW+_end'!X21</f>
        <v>20.469849149257051</v>
      </c>
      <c r="Y76" s="5">
        <f>LCI_IC!$E21*'IW+_end'!Y21</f>
        <v>0</v>
      </c>
      <c r="Z76" s="5">
        <f>LCI_IC!$E21*'IW+_end'!Z21</f>
        <v>0</v>
      </c>
      <c r="AA76" s="5">
        <f>LCI_IC!$E21*'IW+_end'!AA21</f>
        <v>0</v>
      </c>
      <c r="AB76" s="5">
        <f>LCI_IC!$E21*'IW+_end'!AB21</f>
        <v>0</v>
      </c>
      <c r="AC76" s="5">
        <f>LCI_IC!$E21*'IW+_end'!AC21</f>
        <v>0</v>
      </c>
      <c r="AD76" s="5">
        <f>LCI_IC!$E21*'IW+_end'!AD21</f>
        <v>0</v>
      </c>
      <c r="AE76" s="5">
        <f>LCI_IC!$E21*'IW+_end'!AE21</f>
        <v>0</v>
      </c>
      <c r="AF76" s="5">
        <f>LCI_IC!$E21*'IW+_end'!AF21</f>
        <v>0</v>
      </c>
      <c r="AG76" s="5">
        <f>LCI_IC!$E21*'IW+_end'!AG21</f>
        <v>20.469849149257051</v>
      </c>
      <c r="AH76" s="5">
        <f>LCI_IC!$E21*'IW+_end'!AH21</f>
        <v>0</v>
      </c>
      <c r="AI76" s="5">
        <f>LCI_IC!$E21*'IW+_end'!AI21</f>
        <v>0</v>
      </c>
      <c r="AJ76" s="5">
        <f>LCI_IC!$E21*'IW+_end'!AJ21</f>
        <v>0</v>
      </c>
      <c r="AK76" s="5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B77" t="s">
        <v>417</v>
      </c>
    </row>
    <row r="78" spans="1:43" x14ac:dyDescent="0.35">
      <c r="B78" t="s">
        <v>418</v>
      </c>
    </row>
    <row r="79" spans="1:43" x14ac:dyDescent="0.35">
      <c r="A79" t="s">
        <v>424</v>
      </c>
    </row>
    <row r="80" spans="1:43" x14ac:dyDescent="0.35">
      <c r="B80" t="s">
        <v>230</v>
      </c>
    </row>
    <row r="81" spans="2:2" x14ac:dyDescent="0.35">
      <c r="B81" t="s">
        <v>232</v>
      </c>
    </row>
    <row r="82" spans="2:2" x14ac:dyDescent="0.35">
      <c r="B82" t="s">
        <v>231</v>
      </c>
    </row>
    <row r="83" spans="2:2" x14ac:dyDescent="0.35">
      <c r="B83" t="s">
        <v>233</v>
      </c>
    </row>
  </sheetData>
  <mergeCells count="1">
    <mergeCell ref="A27:G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:AK1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1" t="s">
        <v>0</v>
      </c>
      <c r="B1" s="41" t="s">
        <v>185</v>
      </c>
      <c r="C1" s="92" t="s">
        <v>379</v>
      </c>
      <c r="D1" s="92" t="s">
        <v>380</v>
      </c>
      <c r="E1" s="92" t="s">
        <v>381</v>
      </c>
      <c r="F1" s="92" t="s">
        <v>382</v>
      </c>
      <c r="G1" s="92" t="s">
        <v>383</v>
      </c>
      <c r="H1" s="92" t="s">
        <v>364</v>
      </c>
      <c r="I1" s="92" t="s">
        <v>384</v>
      </c>
      <c r="J1" s="92" t="s">
        <v>385</v>
      </c>
      <c r="K1" s="92" t="s">
        <v>366</v>
      </c>
      <c r="L1" s="92" t="s">
        <v>386</v>
      </c>
      <c r="M1" s="92" t="s">
        <v>387</v>
      </c>
      <c r="N1" s="92" t="s">
        <v>388</v>
      </c>
      <c r="O1" s="92" t="s">
        <v>389</v>
      </c>
      <c r="P1" s="92" t="s">
        <v>390</v>
      </c>
      <c r="Q1" s="92" t="s">
        <v>391</v>
      </c>
      <c r="R1" s="92" t="s">
        <v>370</v>
      </c>
      <c r="S1" s="92" t="s">
        <v>371</v>
      </c>
      <c r="T1" s="92" t="s">
        <v>392</v>
      </c>
      <c r="U1" s="92" t="s">
        <v>393</v>
      </c>
      <c r="V1" s="92" t="s">
        <v>394</v>
      </c>
      <c r="W1" s="92" t="s">
        <v>395</v>
      </c>
      <c r="X1" s="92" t="s">
        <v>372</v>
      </c>
      <c r="Y1" s="92" t="s">
        <v>374</v>
      </c>
      <c r="Z1" s="92" t="s">
        <v>375</v>
      </c>
      <c r="AA1" s="92" t="s">
        <v>396</v>
      </c>
      <c r="AB1" s="92" t="s">
        <v>397</v>
      </c>
      <c r="AC1" s="92" t="s">
        <v>377</v>
      </c>
      <c r="AD1" s="92" t="s">
        <v>398</v>
      </c>
      <c r="AE1" s="92" t="s">
        <v>399</v>
      </c>
      <c r="AF1" s="92" t="s">
        <v>400</v>
      </c>
      <c r="AG1" s="92" t="s">
        <v>401</v>
      </c>
      <c r="AH1" s="92" t="s">
        <v>402</v>
      </c>
      <c r="AI1" s="92" t="s">
        <v>403</v>
      </c>
      <c r="AJ1" s="92" t="s">
        <v>404</v>
      </c>
      <c r="AK1" s="92" t="s">
        <v>405</v>
      </c>
      <c r="AM1" s="92" t="s">
        <v>413</v>
      </c>
      <c r="AN1" s="92" t="s">
        <v>414</v>
      </c>
    </row>
    <row r="2" spans="1:40" x14ac:dyDescent="0.35">
      <c r="A2" t="s">
        <v>22</v>
      </c>
      <c r="B2" t="s">
        <v>129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213</v>
      </c>
      <c r="AN2" t="s">
        <v>215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216</v>
      </c>
      <c r="AN3" t="s">
        <v>217</v>
      </c>
    </row>
    <row r="4" spans="1:40" x14ac:dyDescent="0.35">
      <c r="A4" t="s">
        <v>237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289</v>
      </c>
      <c r="B5" t="s">
        <v>287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219</v>
      </c>
      <c r="B6" t="s">
        <v>220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221</v>
      </c>
      <c r="B7" t="s">
        <v>220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222</v>
      </c>
      <c r="B8" t="s">
        <v>220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223</v>
      </c>
      <c r="B9" t="s">
        <v>220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257</v>
      </c>
      <c r="B10" s="17" t="s">
        <v>220</v>
      </c>
    </row>
    <row r="11" spans="1:40" x14ac:dyDescent="0.35">
      <c r="A11" s="17" t="s">
        <v>258</v>
      </c>
      <c r="B11" s="17" t="s">
        <v>220</v>
      </c>
      <c r="C11">
        <f>(C6*Parameters!$C104)+(C7*Parameters!$C106)+(C8*Parameters!$C105)+(C9*Parameters!$C107)+(C10*Parameters!$C108)</f>
        <v>1.5897436834520041E-2</v>
      </c>
      <c r="D11">
        <f>(D6*Parameters!$C104)+(D7*Parameters!$C106)+(D8*Parameters!$C105)+(D9*Parameters!$C107)+(D10*Parameters!$C108)</f>
        <v>4.9132377297279725E-3</v>
      </c>
      <c r="E11">
        <f>(E6*Parameters!$C104)+(E7*Parameters!$C106)+(E8*Parameters!$C105)+(E9*Parameters!$C107)+(E10*Parameters!$C108)</f>
        <v>2.1424931820750602E-7</v>
      </c>
      <c r="F11">
        <f>(F6*Parameters!$C104)+(F7*Parameters!$C106)+(F8*Parameters!$C105)+(F9*Parameters!$C107)+(F10*Parameters!$C108)</f>
        <v>6.6215569512429125E-8</v>
      </c>
      <c r="G11">
        <f>(G6*Parameters!$C104)+(G7*Parameters!$C106)+(G8*Parameters!$C105)+(G9*Parameters!$C107)+(G10*Parameters!$C108)</f>
        <v>1.1956472007918376E-19</v>
      </c>
      <c r="H11">
        <f>(H6*Parameters!$C104)+(H7*Parameters!$C106)+(H8*Parameters!$C105)+(H9*Parameters!$C107)+(H10*Parameters!$C108)</f>
        <v>1.7338511952427632E-4</v>
      </c>
      <c r="I11">
        <f>(I6*Parameters!$C104)+(I7*Parameters!$C106)+(I8*Parameters!$C105)+(I9*Parameters!$C107)+(I10*Parameters!$C108)</f>
        <v>4.9148544019979208E-3</v>
      </c>
      <c r="J11">
        <f>(J6*Parameters!$C104)+(J7*Parameters!$C106)+(J8*Parameters!$C105)+(J9*Parameters!$C107)+(J10*Parameters!$C108)</f>
        <v>6.3684545636486639E-4</v>
      </c>
      <c r="K11">
        <f>(K6*Parameters!$C104)+(K7*Parameters!$C106)+(K8*Parameters!$C105)+(K9*Parameters!$C107)+(K10*Parameters!$C108)</f>
        <v>2.6296320567730675E-6</v>
      </c>
      <c r="L11">
        <f>(L6*Parameters!$C104)+(L7*Parameters!$C106)+(L8*Parameters!$C105)+(L9*Parameters!$C107)+(L10*Parameters!$C108)</f>
        <v>1.0922634506401339E-10</v>
      </c>
      <c r="M11">
        <f>(M6*Parameters!$C104)+(M7*Parameters!$C106)+(M8*Parameters!$C105)+(M9*Parameters!$C107)+(M10*Parameters!$C108)</f>
        <v>4.1834016479332636E-9</v>
      </c>
      <c r="N11">
        <f>(N6*Parameters!$C104)+(N7*Parameters!$C106)+(N8*Parameters!$C105)+(N9*Parameters!$C107)+(N10*Parameters!$C108)</f>
        <v>3.9047305478542126E-9</v>
      </c>
      <c r="O11">
        <f>(O6*Parameters!$C104)+(O7*Parameters!$C106)+(O8*Parameters!$C105)+(O9*Parameters!$C107)+(O10*Parameters!$C108)</f>
        <v>2.8153144118293557E-9</v>
      </c>
      <c r="P11">
        <f>(P6*Parameters!$C104)+(P7*Parameters!$C106)+(P8*Parameters!$C105)+(P9*Parameters!$C107)+(P10*Parameters!$C108)</f>
        <v>1.5075797929132167E-12</v>
      </c>
      <c r="Q11">
        <f>(Q6*Parameters!$C104)+(Q7*Parameters!$C106)+(Q8*Parameters!$C105)+(Q9*Parameters!$C107)+(Q10*Parameters!$C108)</f>
        <v>2.4831589662665749E-11</v>
      </c>
      <c r="R11">
        <f>(R6*Parameters!$C104)+(R7*Parameters!$C106)+(R8*Parameters!$C105)+(R9*Parameters!$C107)+(R10*Parameters!$C108)</f>
        <v>5.513048052015578E-3</v>
      </c>
      <c r="S11">
        <f>(S6*Parameters!$C104)+(S7*Parameters!$C106)+(S8*Parameters!$C105)+(S9*Parameters!$C107)+(S10*Parameters!$C108)</f>
        <v>9.7894484543755572E-4</v>
      </c>
      <c r="T11">
        <f>(T6*Parameters!$C104)+(T7*Parameters!$C106)+(T8*Parameters!$C105)+(T9*Parameters!$C107)+(T10*Parameters!$C108)</f>
        <v>5.7200543217100479E-3</v>
      </c>
      <c r="U11">
        <f>(U6*Parameters!$C104)+(U7*Parameters!$C106)+(U8*Parameters!$C105)+(U9*Parameters!$C107)+(U10*Parameters!$C108)</f>
        <v>6.2092544756616993E-4</v>
      </c>
      <c r="V11">
        <f>(V6*Parameters!$C104)+(V7*Parameters!$C106)+(V8*Parameters!$C105)+(V9*Parameters!$C107)+(V10*Parameters!$C108)</f>
        <v>2.156969672530875E-8</v>
      </c>
      <c r="W11">
        <f>(W6*Parameters!$C104)+(W7*Parameters!$C106)+(W8*Parameters!$C105)+(W9*Parameters!$C107)+(W10*Parameters!$C108)</f>
        <v>1.3927771515028752E-8</v>
      </c>
      <c r="X11">
        <f>(X6*Parameters!$C104)+(X7*Parameters!$C106)+(X8*Parameters!$C105)+(X9*Parameters!$C107)+(X10*Parameters!$C108)</f>
        <v>3.8715283991820489E-5</v>
      </c>
      <c r="Y11">
        <f>(Y6*Parameters!$C104)+(Y7*Parameters!$C106)+(Y8*Parameters!$C105)+(Y9*Parameters!$C107)+(Y10*Parameters!$C108)</f>
        <v>2.4442012332880924E-12</v>
      </c>
      <c r="Z11">
        <f>(Z6*Parameters!$C104)+(Z7*Parameters!$C106)+(Z8*Parameters!$C105)+(Z9*Parameters!$C107)+(Z10*Parameters!$C108)</f>
        <v>1.8595577423618802E-7</v>
      </c>
      <c r="AA11">
        <f>(AA6*Parameters!$C104)+(AA7*Parameters!$C106)+(AA8*Parameters!$C105)+(AA9*Parameters!$C107)+(AA10*Parameters!$C108)</f>
        <v>1.325259959724183E-3</v>
      </c>
      <c r="AB11">
        <f>(AB6*Parameters!$C104)+(AB7*Parameters!$C106)+(AB8*Parameters!$C105)+(AB9*Parameters!$C107)+(AB10*Parameters!$C108)</f>
        <v>1.3328518227523368E-10</v>
      </c>
      <c r="AC11">
        <f>(AC6*Parameters!$C104)+(AC7*Parameters!$C106)+(AC8*Parameters!$C105)+(AC9*Parameters!$C107)+(AC10*Parameters!$C108)</f>
        <v>1.2969661050848211E-3</v>
      </c>
      <c r="AD11">
        <f>(AD6*Parameters!$C104)+(AD7*Parameters!$C106)+(AD8*Parameters!$C105)+(AD9*Parameters!$C107)+(AD10*Parameters!$C108)</f>
        <v>7.8729715820392485E-4</v>
      </c>
      <c r="AE11">
        <f>(AE6*Parameters!$C104)+(AE7*Parameters!$C106)+(AE8*Parameters!$C105)+(AE9*Parameters!$C107)+(AE10*Parameters!$C108)</f>
        <v>5.0836366029854952E-4</v>
      </c>
      <c r="AF11">
        <f>(AF6*Parameters!$C104)+(AF7*Parameters!$C106)+(AF8*Parameters!$C105)+(AF9*Parameters!$C107)+(AF10*Parameters!$C108)</f>
        <v>1.9103662055097187E-6</v>
      </c>
      <c r="AG11">
        <f>(AG6*Parameters!$C104)+(AG7*Parameters!$C106)+(AG8*Parameters!$C105)+(AG9*Parameters!$C107)+(AG10*Parameters!$C108)</f>
        <v>4.3330564524379528E-2</v>
      </c>
      <c r="AH11">
        <f>(AH6*Parameters!$C104)+(AH7*Parameters!$C106)+(AH8*Parameters!$C105)+(AH9*Parameters!$C107)+(AH10*Parameters!$C108)</f>
        <v>4.8400969148032617E-7</v>
      </c>
      <c r="AI11">
        <f>(AI6*Parameters!$C104)+(AI7*Parameters!$C106)+(AI8*Parameters!$C105)+(AI9*Parameters!$C107)+(AI10*Parameters!$C108)</f>
        <v>5.2527182144792331E-8</v>
      </c>
      <c r="AJ11">
        <f>(AJ6*Parameters!$C104)+(AJ7*Parameters!$C106)+(AJ8*Parameters!$C105)+(AJ9*Parameters!$C107)+(AJ10*Parameters!$C108)</f>
        <v>6.4157955983514137E-9</v>
      </c>
      <c r="AK11">
        <f>(AK6*Parameters!$C104)+(AK7*Parameters!$C106)+(AK8*Parameters!$C105)+(AK9*Parameters!$C107)+(AK10*Parameters!$C108)</f>
        <v>6.0212379157918856E-7</v>
      </c>
    </row>
    <row r="12" spans="1:40" x14ac:dyDescent="0.35">
      <c r="A12" t="s">
        <v>97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93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93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93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93">
        <f t="shared" si="1"/>
        <v>0</v>
      </c>
    </row>
    <row r="17" spans="1:37" x14ac:dyDescent="0.35">
      <c r="A17" s="17" t="s">
        <v>412</v>
      </c>
      <c r="B17" t="s">
        <v>88</v>
      </c>
      <c r="AG17">
        <f t="shared" si="0"/>
        <v>0</v>
      </c>
      <c r="AH17" s="93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93">
        <f t="shared" si="1"/>
        <v>1.7739541032213424E-4</v>
      </c>
    </row>
    <row r="19" spans="1:37" x14ac:dyDescent="0.35">
      <c r="A19" t="s">
        <v>225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93">
        <f t="shared" si="1"/>
        <v>9.2871714816311624E-5</v>
      </c>
    </row>
    <row r="20" spans="1:37" x14ac:dyDescent="0.35">
      <c r="A20" t="s">
        <v>226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93">
        <f t="shared" si="1"/>
        <v>1.19378141741322E-3</v>
      </c>
    </row>
    <row r="21" spans="1:37" x14ac:dyDescent="0.35">
      <c r="A21" t="s">
        <v>227</v>
      </c>
      <c r="B21" t="s">
        <v>88</v>
      </c>
      <c r="X21">
        <v>1.9766250000000001</v>
      </c>
      <c r="AG21">
        <f t="shared" si="0"/>
        <v>1.9766250000000001</v>
      </c>
      <c r="AH21" s="93">
        <f t="shared" si="1"/>
        <v>0</v>
      </c>
    </row>
    <row r="22" spans="1:37" x14ac:dyDescent="0.35">
      <c r="A22" t="s">
        <v>145</v>
      </c>
      <c r="B22" t="s">
        <v>88</v>
      </c>
      <c r="Z22">
        <v>1.3675985732522491E-3</v>
      </c>
      <c r="AG22">
        <f t="shared" si="0"/>
        <v>0</v>
      </c>
      <c r="AH22" s="93">
        <f t="shared" si="1"/>
        <v>1.3675985732522491E-3</v>
      </c>
    </row>
    <row r="23" spans="1:37" x14ac:dyDescent="0.35">
      <c r="A23" t="s">
        <v>228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93">
        <f t="shared" si="1"/>
        <v>1.6379999978610726E-7</v>
      </c>
    </row>
    <row r="24" spans="1:37" x14ac:dyDescent="0.35">
      <c r="A24" s="17" t="s">
        <v>142</v>
      </c>
      <c r="AG24">
        <f t="shared" si="0"/>
        <v>0</v>
      </c>
      <c r="AH24" s="93">
        <f t="shared" si="1"/>
        <v>0</v>
      </c>
    </row>
    <row r="25" spans="1:37" x14ac:dyDescent="0.35">
      <c r="A25" s="40" t="s">
        <v>417</v>
      </c>
      <c r="B25" t="s">
        <v>88</v>
      </c>
      <c r="K25">
        <v>3.1274176726290208</v>
      </c>
      <c r="AG25">
        <f t="shared" si="0"/>
        <v>3.1274176726290208</v>
      </c>
      <c r="AH25" s="93">
        <f t="shared" si="1"/>
        <v>0</v>
      </c>
    </row>
    <row r="26" spans="1:37" x14ac:dyDescent="0.35">
      <c r="A26" s="40" t="s">
        <v>418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93">
        <f t="shared" si="1"/>
        <v>7.1972887885074499E-6</v>
      </c>
    </row>
    <row r="27" spans="1:37" x14ac:dyDescent="0.35">
      <c r="A27" t="s">
        <v>229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230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231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232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233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128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7" x14ac:dyDescent="0.35">
      <c r="A33" t="s">
        <v>255</v>
      </c>
      <c r="B33" t="s">
        <v>88</v>
      </c>
      <c r="C33">
        <v>4.5428433234108039E-9</v>
      </c>
      <c r="D33">
        <v>4.0558264438822112E-13</v>
      </c>
      <c r="E33">
        <v>1.4850289590455413E-8</v>
      </c>
      <c r="F33">
        <v>2.7419700616910455E-10</v>
      </c>
      <c r="G33">
        <v>5.6207622730559858E-11</v>
      </c>
      <c r="H33">
        <v>3.8952531874588023E-10</v>
      </c>
      <c r="I33">
        <v>1.3335995328815145E-9</v>
      </c>
      <c r="J33">
        <v>4.3267918336867326E-13</v>
      </c>
      <c r="K33">
        <v>1.0867890069376035E-9</v>
      </c>
      <c r="L33">
        <v>1.9279206876519991E-9</v>
      </c>
      <c r="M33">
        <v>4.4888536688586988E-14</v>
      </c>
      <c r="N33">
        <v>1.0033033862515306E-9</v>
      </c>
      <c r="O33">
        <v>4.9206984223972336E-6</v>
      </c>
      <c r="P33">
        <v>5.8408873857330551E-6</v>
      </c>
      <c r="Q33">
        <v>2.0060128741872115E-6</v>
      </c>
      <c r="R33">
        <v>2.4426086558711506E-9</v>
      </c>
      <c r="S33">
        <v>1.2827195689062224E-9</v>
      </c>
      <c r="T33">
        <v>5.8557816202500278E-6</v>
      </c>
      <c r="U33">
        <v>1.3190524840312319E-8</v>
      </c>
      <c r="V33">
        <v>1.6498766796136279E-7</v>
      </c>
      <c r="W33">
        <v>0.36568076951268635</v>
      </c>
      <c r="X33">
        <v>8.1563185427371815E-2</v>
      </c>
      <c r="Y33">
        <v>2.4461901244218563E-8</v>
      </c>
      <c r="Z33">
        <v>1.8805159742434524E-5</v>
      </c>
      <c r="AA33">
        <v>0.44724395594336153</v>
      </c>
    </row>
    <row r="34" spans="1:37" x14ac:dyDescent="0.35">
      <c r="A34" t="s">
        <v>284</v>
      </c>
      <c r="B34" t="s">
        <v>241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7" x14ac:dyDescent="0.35">
      <c r="A35" t="s">
        <v>343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7" x14ac:dyDescent="0.35">
      <c r="A37" t="s">
        <v>344</v>
      </c>
      <c r="B37" t="s">
        <v>129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7" x14ac:dyDescent="0.35">
      <c r="A38" t="s">
        <v>346</v>
      </c>
      <c r="B38" t="s">
        <v>241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7" x14ac:dyDescent="0.35">
      <c r="A39" t="s">
        <v>348</v>
      </c>
      <c r="B39" t="s">
        <v>220</v>
      </c>
      <c r="C39">
        <f>(C9*0.75)+(C6*0.25)</f>
        <v>1.1727115942784574E-2</v>
      </c>
      <c r="D39">
        <f t="shared" ref="D39:AL39" si="2">(D9*0.75)+(D6*0.25)</f>
        <v>3.6711148979433001E-3</v>
      </c>
      <c r="E39">
        <f t="shared" si="2"/>
        <v>1.5804601845161695E-7</v>
      </c>
      <c r="F39">
        <f t="shared" si="2"/>
        <v>4.9475514331837038E-8</v>
      </c>
      <c r="G39">
        <f t="shared" si="2"/>
        <v>6.9460622609848014E-20</v>
      </c>
      <c r="H39">
        <f t="shared" si="2"/>
        <v>2.8950958079851418E-4</v>
      </c>
      <c r="I39">
        <f t="shared" si="2"/>
        <v>9.4707528221052092E-3</v>
      </c>
      <c r="J39">
        <f t="shared" si="2"/>
        <v>7.0289635981306796E-4</v>
      </c>
      <c r="K39">
        <f t="shared" si="2"/>
        <v>4.7183027696029896E-6</v>
      </c>
      <c r="L39">
        <f t="shared" si="2"/>
        <v>1.7136685013317717E-10</v>
      </c>
      <c r="M39">
        <f t="shared" si="2"/>
        <v>4.67974974953058E-9</v>
      </c>
      <c r="N39">
        <f t="shared" si="2"/>
        <v>6.4559481908081532E-9</v>
      </c>
      <c r="O39">
        <f t="shared" si="2"/>
        <v>4.8828787957331204E-9</v>
      </c>
      <c r="P39">
        <f t="shared" si="2"/>
        <v>2.0297511115292472E-12</v>
      </c>
      <c r="Q39">
        <f t="shared" si="2"/>
        <v>3.1285038827269542E-11</v>
      </c>
      <c r="R39">
        <f t="shared" si="2"/>
        <v>1.1398005392967514E-2</v>
      </c>
      <c r="S39">
        <f t="shared" si="2"/>
        <v>1.7228357601727074E-3</v>
      </c>
      <c r="T39">
        <f t="shared" si="2"/>
        <v>4.1816202097337421E-3</v>
      </c>
      <c r="U39">
        <f t="shared" si="2"/>
        <v>4.5392411360181245E-4</v>
      </c>
      <c r="V39">
        <f t="shared" si="2"/>
        <v>4.3142434111056332E-8</v>
      </c>
      <c r="W39">
        <f t="shared" si="2"/>
        <v>2.7447044429275303E-8</v>
      </c>
      <c r="X39">
        <f t="shared" si="2"/>
        <v>6.9804730020985907E-5</v>
      </c>
      <c r="Y39">
        <f t="shared" si="2"/>
        <v>1.4440704601025176E-12</v>
      </c>
      <c r="Z39">
        <f t="shared" si="2"/>
        <v>3.8167541676825349E-7</v>
      </c>
      <c r="AA39">
        <f t="shared" si="2"/>
        <v>2.2932760445962914E-3</v>
      </c>
      <c r="AB39">
        <f t="shared" si="2"/>
        <v>2.347040242986831E-10</v>
      </c>
      <c r="AC39">
        <f t="shared" si="2"/>
        <v>2.2059843295259137E-3</v>
      </c>
      <c r="AD39">
        <f t="shared" si="2"/>
        <v>1.5747046487109171E-3</v>
      </c>
      <c r="AE39">
        <f t="shared" si="2"/>
        <v>1.0018171216685486E-3</v>
      </c>
      <c r="AF39">
        <f t="shared" si="2"/>
        <v>3.0109941251384952E-6</v>
      </c>
      <c r="AG39">
        <f t="shared" si="2"/>
        <v>5.0772048261817547E-2</v>
      </c>
      <c r="AH39">
        <f t="shared" si="2"/>
        <v>6.1655176047584382E-7</v>
      </c>
      <c r="AI39">
        <f t="shared" si="2"/>
        <v>8.921910035750695E-8</v>
      </c>
      <c r="AJ39">
        <f t="shared" si="2"/>
        <v>1.0897434204346044E-8</v>
      </c>
      <c r="AK39">
        <f t="shared" si="2"/>
        <v>7.9719987107931683E-7</v>
      </c>
    </row>
  </sheetData>
  <autoFilter ref="A1:AK35" xr:uid="{53E97A23-3613-4D1B-AFA4-17D7DC5FF149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G79"/>
  <sheetViews>
    <sheetView topLeftCell="A26" workbookViewId="0">
      <selection activeCell="D46" sqref="D4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18" t="s">
        <v>423</v>
      </c>
      <c r="B3" s="119"/>
      <c r="C3" s="119"/>
      <c r="D3" s="119"/>
      <c r="E3" s="119"/>
      <c r="F3" s="119"/>
      <c r="G3" s="120"/>
    </row>
    <row r="4" spans="1:7" ht="43.5" x14ac:dyDescent="0.35">
      <c r="A4" s="121" t="s">
        <v>0</v>
      </c>
      <c r="B4" s="121"/>
      <c r="C4" s="121" t="s">
        <v>406</v>
      </c>
      <c r="D4" s="121" t="s">
        <v>407</v>
      </c>
      <c r="E4" s="121" t="s">
        <v>408</v>
      </c>
      <c r="F4" s="121" t="s">
        <v>409</v>
      </c>
      <c r="G4" s="121" t="s">
        <v>410</v>
      </c>
    </row>
    <row r="5" spans="1:7" x14ac:dyDescent="0.35">
      <c r="A5" s="127" t="s">
        <v>6</v>
      </c>
      <c r="B5" s="126"/>
      <c r="C5" s="124">
        <f>SUM(C6,C9,C12,C16,C25)</f>
        <v>141.69101636421289</v>
      </c>
      <c r="D5" s="124">
        <f t="shared" ref="D5:G5" si="0">SUM(D6,D9,D12,D16,D25)</f>
        <v>5.7126690238664333</v>
      </c>
      <c r="E5" s="124">
        <f t="shared" si="0"/>
        <v>603.93844484610645</v>
      </c>
      <c r="F5" s="124">
        <f t="shared" si="0"/>
        <v>9.9635855944950542E-5</v>
      </c>
      <c r="G5" s="124">
        <f t="shared" si="0"/>
        <v>15.5837763706547</v>
      </c>
    </row>
    <row r="6" spans="1:7" x14ac:dyDescent="0.35">
      <c r="A6" s="127" t="s">
        <v>5</v>
      </c>
      <c r="B6" s="126"/>
      <c r="C6" s="127">
        <f>SUM(C7:C8)</f>
        <v>0.77610650091942801</v>
      </c>
      <c r="D6" s="127">
        <f t="shared" ref="D6:G6" si="1">SUM(D7:D8)</f>
        <v>0.11916920601637257</v>
      </c>
      <c r="E6" s="127">
        <f t="shared" si="1"/>
        <v>116.96082759610819</v>
      </c>
      <c r="F6" s="127">
        <f t="shared" si="1"/>
        <v>7.7420482538410759E-7</v>
      </c>
      <c r="G6" s="127">
        <f t="shared" si="1"/>
        <v>1.2592266934323948</v>
      </c>
    </row>
    <row r="7" spans="1:7" x14ac:dyDescent="0.35">
      <c r="A7" s="126"/>
      <c r="B7" s="126" t="s">
        <v>251</v>
      </c>
      <c r="C7" s="126">
        <f>'LCI_AD-a'!$E4*'IW+f'!C2</f>
        <v>0.77610650091942801</v>
      </c>
      <c r="D7" s="126">
        <f>'LCI_AD-a'!$E4*'IW+f'!D2</f>
        <v>0.11916920601637257</v>
      </c>
      <c r="E7" s="126">
        <f>'LCI_AD-a'!$E4*'IW+f'!E2</f>
        <v>116.96082759610819</v>
      </c>
      <c r="F7" s="126">
        <f>'LCI_AD-a'!$E4*'IW+f'!F2</f>
        <v>7.7420482538410759E-7</v>
      </c>
      <c r="G7" s="126">
        <f>'LCI_AD-a'!$E4*'IW+f'!G2</f>
        <v>1.2592266934323948</v>
      </c>
    </row>
    <row r="8" spans="1:7" x14ac:dyDescent="0.35">
      <c r="A8" s="126"/>
      <c r="B8" s="126" t="s">
        <v>252</v>
      </c>
      <c r="C8" s="126">
        <f>'LCI_AD-a'!$E5*'IW+f'!C3</f>
        <v>0</v>
      </c>
      <c r="D8" s="126">
        <f>'LCI_AD-a'!$E5*'IW+f'!D3</f>
        <v>0</v>
      </c>
      <c r="E8" s="126">
        <f>'LCI_AD-a'!$E5*'IW+f'!E3</f>
        <v>0</v>
      </c>
      <c r="F8" s="126">
        <f>'LCI_AD-a'!$E5*'IW+f'!F3</f>
        <v>0</v>
      </c>
      <c r="G8" s="126">
        <f>'LCI_AD-a'!$E5*'IW+f'!G3</f>
        <v>0</v>
      </c>
    </row>
    <row r="9" spans="1:7" x14ac:dyDescent="0.35">
      <c r="A9" s="125" t="s">
        <v>237</v>
      </c>
      <c r="B9" s="126"/>
      <c r="C9" s="124">
        <f>SUM(C10:C11)</f>
        <v>9.4912725301666416</v>
      </c>
      <c r="D9" s="124">
        <f t="shared" ref="D9:G9" si="2">SUM(D10:D11)</f>
        <v>1.776054546690981</v>
      </c>
      <c r="E9" s="124">
        <f t="shared" si="2"/>
        <v>70.109593887244714</v>
      </c>
      <c r="F9" s="124">
        <f t="shared" si="2"/>
        <v>3.9183035816743554E-5</v>
      </c>
      <c r="G9" s="124">
        <f t="shared" si="2"/>
        <v>10.018540305643455</v>
      </c>
    </row>
    <row r="10" spans="1:7" x14ac:dyDescent="0.35">
      <c r="A10" s="126"/>
      <c r="B10" s="126" t="s">
        <v>289</v>
      </c>
      <c r="C10" s="128">
        <f>'LCI_AD-a'!$E7*'IW+f'!C4</f>
        <v>0.43472978582596905</v>
      </c>
      <c r="D10" s="128">
        <f>'LCI_AD-a'!$E7*'IW+f'!D4</f>
        <v>6.359420180299287E-2</v>
      </c>
      <c r="E10" s="128">
        <f>'LCI_AD-a'!$E7*'IW+f'!E4</f>
        <v>6.5761119524385903</v>
      </c>
      <c r="F10" s="128">
        <f>'LCI_AD-a'!$E7*'IW+f'!F4</f>
        <v>3.4579966311397133E-7</v>
      </c>
      <c r="G10" s="128">
        <f>'LCI_AD-a'!$E7*'IW+f'!G4</f>
        <v>3.9223403259142219E-2</v>
      </c>
    </row>
    <row r="11" spans="1:7" x14ac:dyDescent="0.35">
      <c r="A11" s="126"/>
      <c r="B11" s="126" t="s">
        <v>237</v>
      </c>
      <c r="C11" s="126">
        <f>'LCI_AD-a'!$E8*'IW+f'!C5</f>
        <v>9.056542744340673</v>
      </c>
      <c r="D11" s="126">
        <f>'LCI_AD-a'!$E8*'IW+f'!D5</f>
        <v>1.712460344887988</v>
      </c>
      <c r="E11" s="126">
        <f>'LCI_AD-a'!$E8*'IW+f'!E5</f>
        <v>63.533481934806119</v>
      </c>
      <c r="F11" s="126">
        <f>'LCI_AD-a'!$E8*'IW+f'!F5</f>
        <v>3.8837236153629584E-5</v>
      </c>
      <c r="G11" s="126">
        <f>'LCI_AD-a'!$E8*'IW+f'!G5</f>
        <v>9.9793169023843138</v>
      </c>
    </row>
    <row r="12" spans="1:7" x14ac:dyDescent="0.35">
      <c r="A12" s="125" t="s">
        <v>6</v>
      </c>
      <c r="B12" s="126"/>
      <c r="C12" s="127">
        <f>SUM(C13:C15)</f>
        <v>52.2487117086675</v>
      </c>
      <c r="D12" s="127">
        <f t="shared" ref="D12:G12" si="3">SUM(D13:D15)</f>
        <v>2.7873234481033835</v>
      </c>
      <c r="E12" s="127">
        <f t="shared" si="3"/>
        <v>416.86802336275355</v>
      </c>
      <c r="F12" s="127">
        <f t="shared" si="3"/>
        <v>4.5598347798669536E-5</v>
      </c>
      <c r="G12" s="127">
        <f t="shared" si="3"/>
        <v>4.3060093715788508</v>
      </c>
    </row>
    <row r="13" spans="1:7" x14ac:dyDescent="0.35">
      <c r="A13" s="126"/>
      <c r="B13" s="126" t="s">
        <v>8</v>
      </c>
      <c r="C13" s="126">
        <f>'LCI_AD-a'!$E10*'IW+f'!C2</f>
        <v>1.7365188542616061</v>
      </c>
      <c r="D13" s="126">
        <f>'LCI_AD-a'!$E10*'IW+f'!D2</f>
        <v>0.26663811326108211</v>
      </c>
      <c r="E13" s="126">
        <f>'LCI_AD-a'!$E10*'IW+f'!E2</f>
        <v>261.69692186584126</v>
      </c>
      <c r="F13" s="126">
        <f>'LCI_AD-a'!$E10*'IW+f'!F2</f>
        <v>1.7322639028884893E-6</v>
      </c>
      <c r="G13" s="126">
        <f>'LCI_AD-a'!$E10*'IW+f'!G2</f>
        <v>2.8174881828001381</v>
      </c>
    </row>
    <row r="14" spans="1:7" x14ac:dyDescent="0.35">
      <c r="A14" s="126"/>
      <c r="B14" s="126" t="s">
        <v>18</v>
      </c>
      <c r="C14" s="126">
        <f>'LCI_AD-a'!$E11*'IW+f'!C11</f>
        <v>9.6923673180164887</v>
      </c>
      <c r="D14" s="126">
        <f>'LCI_AD-a'!$E11*'IW+f'!D11</f>
        <v>2.5206853348423013</v>
      </c>
      <c r="E14" s="126">
        <f>'LCI_AD-a'!$E11*'IW+f'!E11</f>
        <v>155.17110149691229</v>
      </c>
      <c r="F14" s="126">
        <f>'LCI_AD-a'!$E11*'IW+f'!F11</f>
        <v>4.3866083895781045E-5</v>
      </c>
      <c r="G14" s="126">
        <f>'LCI_AD-a'!$E11*'IW+f'!G11</f>
        <v>1.4885211887787131</v>
      </c>
    </row>
    <row r="15" spans="1:7" x14ac:dyDescent="0.35">
      <c r="A15" s="126"/>
      <c r="B15" s="126" t="s">
        <v>97</v>
      </c>
      <c r="C15" s="126">
        <f>'LCI_AD-a'!$E12*'IW+f'!C12</f>
        <v>40.819825536389409</v>
      </c>
      <c r="D15" s="126">
        <f>'LCI_AD-a'!$E12*'IW+f'!D12</f>
        <v>0</v>
      </c>
      <c r="E15" s="126">
        <f>'LCI_AD-a'!$E12*'IW+f'!E12</f>
        <v>0</v>
      </c>
      <c r="F15" s="126">
        <f>'LCI_AD-a'!$E12*'IW+f'!F12</f>
        <v>0</v>
      </c>
      <c r="G15" s="126">
        <f>'LCI_AD-a'!$E12*'IW+f'!G12</f>
        <v>0</v>
      </c>
    </row>
    <row r="16" spans="1:7" x14ac:dyDescent="0.35">
      <c r="A16" s="127" t="s">
        <v>7</v>
      </c>
      <c r="B16" s="126"/>
      <c r="C16" s="127">
        <f>SUM(C17:C24)</f>
        <v>32.256746593232833</v>
      </c>
      <c r="D16" s="127">
        <f t="shared" ref="D16:G16" si="4">SUM(D17:D24)</f>
        <v>1.0301218230556968</v>
      </c>
      <c r="E16" s="127">
        <f t="shared" si="4"/>
        <v>0</v>
      </c>
      <c r="F16" s="127">
        <f t="shared" si="4"/>
        <v>1.4080267504153357E-5</v>
      </c>
      <c r="G16" s="127">
        <f t="shared" si="4"/>
        <v>0</v>
      </c>
    </row>
    <row r="17" spans="1:7" x14ac:dyDescent="0.35">
      <c r="A17" s="126"/>
      <c r="B17" s="126" t="s">
        <v>50</v>
      </c>
      <c r="C17" s="126">
        <f>'LCI_AD-a'!$E16*'IW+f'!C13</f>
        <v>0</v>
      </c>
      <c r="D17" s="126">
        <f>'LCI_AD-a'!$E16*'IW+f'!D13</f>
        <v>0.59971300052812748</v>
      </c>
      <c r="E17" s="126">
        <f>'LCI_AD-a'!$E16*'IW+f'!E13</f>
        <v>0</v>
      </c>
      <c r="F17" s="126">
        <f>'LCI_AD-a'!$E16*'IW+f'!F13</f>
        <v>7.2309636082261313E-7</v>
      </c>
      <c r="G17" s="126">
        <f>'LCI_AD-a'!$E16*'IW+f'!G13</f>
        <v>0</v>
      </c>
    </row>
    <row r="18" spans="1:7" x14ac:dyDescent="0.35">
      <c r="A18" s="126"/>
      <c r="B18" s="126" t="s">
        <v>51</v>
      </c>
      <c r="C18" s="126">
        <f>'LCI_AD-a'!$E17*'IW+f'!C14</f>
        <v>0</v>
      </c>
      <c r="D18" s="126">
        <f>'LCI_AD-a'!$E17*'IW+f'!D14</f>
        <v>0</v>
      </c>
      <c r="E18" s="126">
        <f>'LCI_AD-a'!$E17*'IW+f'!E14</f>
        <v>0</v>
      </c>
      <c r="F18" s="126">
        <f>'LCI_AD-a'!$E17*'IW+f'!F14</f>
        <v>0</v>
      </c>
      <c r="G18" s="126">
        <f>'LCI_AD-a'!$E17*'IW+f'!G14</f>
        <v>0</v>
      </c>
    </row>
    <row r="19" spans="1:7" x14ac:dyDescent="0.35">
      <c r="A19" s="126"/>
      <c r="B19" s="126" t="s">
        <v>52</v>
      </c>
      <c r="C19" s="126">
        <f>'LCI_AD-a'!$E18*'IW+f'!C15</f>
        <v>0</v>
      </c>
      <c r="D19" s="126">
        <f>'LCI_AD-a'!$E18*'IW+f'!D15</f>
        <v>5.2400241326133447E-2</v>
      </c>
      <c r="E19" s="126">
        <f>'LCI_AD-a'!$E18*'IW+f'!E15</f>
        <v>0</v>
      </c>
      <c r="F19" s="126">
        <f>'LCI_AD-a'!$E18*'IW+f'!F15</f>
        <v>2.9229407484295913E-7</v>
      </c>
      <c r="G19" s="126">
        <f>'LCI_AD-a'!$E18*'IW+f'!G15</f>
        <v>0</v>
      </c>
    </row>
    <row r="20" spans="1:7" x14ac:dyDescent="0.35">
      <c r="A20" s="126"/>
      <c r="B20" s="126" t="s">
        <v>53</v>
      </c>
      <c r="C20" s="126">
        <f>'LCI_AD-a'!$E19*'IW+f'!C22</f>
        <v>0</v>
      </c>
      <c r="D20" s="126">
        <f>'LCI_AD-a'!$E19*'IW+f'!D22</f>
        <v>0</v>
      </c>
      <c r="E20" s="126">
        <f>'LCI_AD-a'!$E19*'IW+f'!E22</f>
        <v>0</v>
      </c>
      <c r="F20" s="126">
        <f>'LCI_AD-a'!$E19*'IW+f'!F22</f>
        <v>1.0521444232463526E-5</v>
      </c>
      <c r="G20" s="126">
        <f>'LCI_AD-a'!$E19*'IW+f'!G22</f>
        <v>0</v>
      </c>
    </row>
    <row r="21" spans="1:7" x14ac:dyDescent="0.35">
      <c r="A21" s="126"/>
      <c r="B21" s="126" t="s">
        <v>54</v>
      </c>
      <c r="C21" s="126">
        <f>'LCI_AD-a'!$E20*'IW+f'!C17</f>
        <v>0</v>
      </c>
      <c r="D21" s="126">
        <f>'LCI_AD-a'!$E20*'IW+f'!D17</f>
        <v>0</v>
      </c>
      <c r="E21" s="126">
        <f>'LCI_AD-a'!$E20*'IW+f'!E17</f>
        <v>0</v>
      </c>
      <c r="F21" s="126">
        <f>'LCI_AD-a'!$E20*'IW+f'!F17</f>
        <v>0</v>
      </c>
      <c r="G21" s="126">
        <f>'LCI_AD-a'!$E20*'IW+f'!G17</f>
        <v>0</v>
      </c>
    </row>
    <row r="22" spans="1:7" x14ac:dyDescent="0.35">
      <c r="A22" s="126"/>
      <c r="B22" s="126" t="s">
        <v>55</v>
      </c>
      <c r="C22" s="126">
        <f>'LCI_AD-a'!$E21*'IW+f'!C18</f>
        <v>0</v>
      </c>
      <c r="D22" s="126">
        <f>'LCI_AD-a'!$E21*'IW+f'!D18</f>
        <v>0.37800858120143593</v>
      </c>
      <c r="E22" s="126">
        <f>'LCI_AD-a'!$E21*'IW+f'!E18</f>
        <v>0</v>
      </c>
      <c r="F22" s="126">
        <f>'LCI_AD-a'!$E21*'IW+f'!F18</f>
        <v>2.5434328360242584E-6</v>
      </c>
      <c r="G22" s="126">
        <f>'LCI_AD-a'!$E21*'IW+f'!G18</f>
        <v>0</v>
      </c>
    </row>
    <row r="23" spans="1:7" x14ac:dyDescent="0.35">
      <c r="A23" s="126"/>
      <c r="B23" s="126" t="s">
        <v>58</v>
      </c>
      <c r="C23" s="126">
        <f>'LCI_AD-a'!$E22*'IW+f'!C12</f>
        <v>25.997974866187658</v>
      </c>
      <c r="D23" s="126">
        <f>'LCI_AD-a'!$E22*'IW+f'!D12</f>
        <v>0</v>
      </c>
      <c r="E23" s="126">
        <f>'LCI_AD-a'!$E22*'IW+f'!E12</f>
        <v>0</v>
      </c>
      <c r="F23" s="126">
        <f>'LCI_AD-a'!$E22*'IW+f'!F12</f>
        <v>0</v>
      </c>
      <c r="G23" s="126">
        <f>'LCI_AD-a'!$E22*'IW+f'!G12</f>
        <v>0</v>
      </c>
    </row>
    <row r="24" spans="1:7" x14ac:dyDescent="0.35">
      <c r="A24" s="126"/>
      <c r="B24" s="126" t="s">
        <v>59</v>
      </c>
      <c r="C24" s="126">
        <f>'LCI_AD-a'!$E23*'IW+f'!C20</f>
        <v>6.2587717270451764</v>
      </c>
      <c r="D24" s="126">
        <f>'LCI_AD-a'!$E23*'IW+f'!D20</f>
        <v>0</v>
      </c>
      <c r="E24" s="126">
        <f>'LCI_AD-a'!$E23*'IW+f'!E20</f>
        <v>0</v>
      </c>
      <c r="F24" s="126">
        <f>'LCI_AD-a'!$E23*'IW+f'!F20</f>
        <v>0</v>
      </c>
      <c r="G24" s="126">
        <f>'LCI_AD-a'!$E23*'IW+f'!G20</f>
        <v>0</v>
      </c>
    </row>
    <row r="25" spans="1:7" x14ac:dyDescent="0.35">
      <c r="A25" s="127" t="s">
        <v>101</v>
      </c>
      <c r="B25" s="126"/>
      <c r="C25" s="127">
        <f>C26</f>
        <v>46.918179031226472</v>
      </c>
      <c r="D25" s="127">
        <f t="shared" ref="D25:G25" si="5">D26</f>
        <v>0</v>
      </c>
      <c r="E25" s="127">
        <f t="shared" si="5"/>
        <v>0</v>
      </c>
      <c r="F25" s="127">
        <f t="shared" si="5"/>
        <v>0</v>
      </c>
      <c r="G25" s="127">
        <f t="shared" si="5"/>
        <v>0</v>
      </c>
    </row>
    <row r="26" spans="1:7" x14ac:dyDescent="0.35">
      <c r="A26" s="126"/>
      <c r="B26" s="126" t="s">
        <v>97</v>
      </c>
      <c r="C26" s="126">
        <f>'LCI_AD-a'!$E27*'IW+f'!C12</f>
        <v>46.918179031226472</v>
      </c>
      <c r="D26" s="126">
        <f>'LCI_AD-a'!$E27*'IW+f'!D12</f>
        <v>0</v>
      </c>
      <c r="E26" s="126">
        <f>'LCI_AD-a'!$E27*'IW+f'!E12</f>
        <v>0</v>
      </c>
      <c r="F26" s="126">
        <f>'LCI_AD-a'!$E27*'IW+f'!F12</f>
        <v>0</v>
      </c>
      <c r="G26" s="126">
        <f>'LCI_AD-a'!$E27*'IW+f'!G12</f>
        <v>0</v>
      </c>
    </row>
    <row r="27" spans="1:7" x14ac:dyDescent="0.35">
      <c r="A27" s="125" t="s">
        <v>109</v>
      </c>
      <c r="B27" s="126"/>
      <c r="C27" s="127">
        <f>SUM(C28:C32)</f>
        <v>-239.69289975769095</v>
      </c>
      <c r="D27" s="127">
        <f t="shared" ref="D27:G27" si="6">SUM(D28:D32)</f>
        <v>125.10774271524174</v>
      </c>
      <c r="E27" s="127">
        <f t="shared" si="6"/>
        <v>0</v>
      </c>
      <c r="F27" s="127">
        <f t="shared" si="6"/>
        <v>7.9400751325408962E-4</v>
      </c>
      <c r="G27" s="127">
        <f t="shared" si="6"/>
        <v>0</v>
      </c>
    </row>
    <row r="28" spans="1:7" x14ac:dyDescent="0.35">
      <c r="A28" s="126"/>
      <c r="B28" s="135" t="s">
        <v>112</v>
      </c>
      <c r="C28" s="135">
        <f>'LCI_AD-a'!$E30*'IW+f'!C20</f>
        <v>51.392766908975702</v>
      </c>
      <c r="D28" s="135">
        <f>'LCI_AD-a'!$E30*'IW+f'!D20</f>
        <v>0</v>
      </c>
      <c r="E28" s="135">
        <f>'LCI_AD-a'!$E30*'IW+f'!E20</f>
        <v>0</v>
      </c>
      <c r="F28" s="135">
        <f>'LCI_AD-a'!$E30*'IW+f'!F20</f>
        <v>0</v>
      </c>
      <c r="G28" s="135">
        <f>'LCI_AD-a'!$E30*'IW+f'!G20</f>
        <v>0</v>
      </c>
    </row>
    <row r="29" spans="1:7" x14ac:dyDescent="0.35">
      <c r="A29" s="126"/>
      <c r="B29" s="135" t="s">
        <v>111</v>
      </c>
      <c r="C29" s="135">
        <f>'LCI_AD-a'!$E31*'IW+f'!C18</f>
        <v>0</v>
      </c>
      <c r="D29" s="135">
        <f>'LCI_AD-a'!$E31*'IW+f'!D18</f>
        <v>118.00651831546776</v>
      </c>
      <c r="E29" s="135">
        <f>'LCI_AD-a'!$E31*'IW+f'!E18</f>
        <v>0</v>
      </c>
      <c r="F29" s="135">
        <f>'LCI_AD-a'!$E31*'IW+f'!F18</f>
        <v>7.9400751325408962E-4</v>
      </c>
      <c r="G29" s="135">
        <f>'LCI_AD-a'!$E31*'IW+f'!G18</f>
        <v>0</v>
      </c>
    </row>
    <row r="30" spans="1:7" x14ac:dyDescent="0.35">
      <c r="A30" s="126"/>
      <c r="B30" s="135" t="s">
        <v>115</v>
      </c>
      <c r="C30" s="135">
        <f>'LCI_AD-a'!$E32*'IW+f'!C21</f>
        <v>0</v>
      </c>
      <c r="D30" s="135">
        <f>'LCI_AD-a'!$E32*'IW+f'!D21</f>
        <v>12.09986576744439</v>
      </c>
      <c r="E30" s="135">
        <f>'LCI_AD-a'!$E32*'IW+f'!E21</f>
        <v>0</v>
      </c>
      <c r="F30" s="135">
        <f>'LCI_AD-a'!$E32*'IW+f'!F21</f>
        <v>0</v>
      </c>
      <c r="G30" s="135">
        <f>'LCI_AD-a'!$E32*'IW+f'!G21</f>
        <v>0</v>
      </c>
    </row>
    <row r="31" spans="1:7" x14ac:dyDescent="0.35">
      <c r="A31" s="126"/>
      <c r="B31" s="135" t="s">
        <v>417</v>
      </c>
      <c r="C31" s="136">
        <f>'LCI_AD-a'!$E33*'IW+f'!C25</f>
        <v>0</v>
      </c>
      <c r="D31" s="136">
        <f>'LCI_AD-a'!$E33*'IW+f'!D25</f>
        <v>-0.19572786767040548</v>
      </c>
      <c r="E31" s="136">
        <f>'LCI_AD-a'!$E33*'IW+f'!E25</f>
        <v>0</v>
      </c>
      <c r="F31" s="136">
        <f>'LCI_AD-a'!$E33*'IW+f'!F25</f>
        <v>0</v>
      </c>
      <c r="G31" s="136">
        <f>'LCI_AD-a'!$E33*'IW+f'!G25</f>
        <v>0</v>
      </c>
    </row>
    <row r="32" spans="1:7" x14ac:dyDescent="0.35">
      <c r="A32" s="126"/>
      <c r="B32" s="135" t="s">
        <v>418</v>
      </c>
      <c r="C32" s="136">
        <f>'LCI_AD-a'!$E34*'IW+f'!C26</f>
        <v>-291.08566666666667</v>
      </c>
      <c r="D32" s="136">
        <f>'LCI_AD-a'!$E34*'IW+f'!D26</f>
        <v>-4.8029134999999998</v>
      </c>
      <c r="E32" s="136">
        <f>'LCI_AD-a'!$E34*'IW+f'!E26</f>
        <v>0</v>
      </c>
      <c r="F32" s="136">
        <f>'LCI_AD-a'!$E34*'IW+f'!F26</f>
        <v>0</v>
      </c>
      <c r="G32" s="136">
        <f>'LCI_AD-a'!$E34*'IW+f'!G26</f>
        <v>0</v>
      </c>
    </row>
    <row r="33" spans="1:7" x14ac:dyDescent="0.35">
      <c r="A33" s="125" t="s">
        <v>424</v>
      </c>
      <c r="B33" s="126"/>
      <c r="C33" s="127">
        <f>SUM(C34:C39)</f>
        <v>99.055919095678362</v>
      </c>
      <c r="D33" s="127">
        <f t="shared" ref="D33:G33" si="7">SUM(D34:D39)</f>
        <v>71.039056776254171</v>
      </c>
      <c r="E33" s="127">
        <f t="shared" si="7"/>
        <v>2916.2091339699455</v>
      </c>
      <c r="F33" s="127">
        <f t="shared" si="7"/>
        <v>9.2668505467881856E-4</v>
      </c>
      <c r="G33" s="127">
        <f t="shared" si="7"/>
        <v>48.228253204006556</v>
      </c>
    </row>
    <row r="34" spans="1:7" x14ac:dyDescent="0.35">
      <c r="A34" s="126"/>
      <c r="B34" s="126" t="s">
        <v>230</v>
      </c>
      <c r="C34" s="126">
        <f>'LCI_AD-a'!$E36*'IW+f'!C28</f>
        <v>6.6734504804135915</v>
      </c>
      <c r="D34" s="126">
        <f>'LCI_AD-a'!$E36*'IW+f'!D28</f>
        <v>0.88549487827741624</v>
      </c>
      <c r="E34" s="126">
        <f>'LCI_AD-a'!$E36*'IW+f'!E28</f>
        <v>98.136093346805936</v>
      </c>
      <c r="F34" s="126">
        <f>'LCI_AD-a'!$E36*'IW+f'!F28</f>
        <v>4.8955702803085935E-6</v>
      </c>
      <c r="G34" s="126">
        <f>'LCI_AD-a'!$E36*'IW+f'!G28</f>
        <v>10.04874675364359</v>
      </c>
    </row>
    <row r="35" spans="1:7" x14ac:dyDescent="0.35">
      <c r="A35" s="126"/>
      <c r="B35" s="126" t="s">
        <v>232</v>
      </c>
      <c r="C35" s="126">
        <f>'LCI_AD-a'!$E37*'IW+f'!C30</f>
        <v>0.63158802920860646</v>
      </c>
      <c r="D35" s="126">
        <f>'LCI_AD-a'!$E37*'IW+f'!D30</f>
        <v>0.29436115364773752</v>
      </c>
      <c r="E35" s="126">
        <f>'LCI_AD-a'!$E37*'IW+f'!E30</f>
        <v>11.073691322898819</v>
      </c>
      <c r="F35" s="126">
        <f>'LCI_AD-a'!$E37*'IW+f'!F30</f>
        <v>2.4295395302414834E-6</v>
      </c>
      <c r="G35" s="126">
        <f>'LCI_AD-a'!$E37*'IW+f'!G30</f>
        <v>1.498247578755628</v>
      </c>
    </row>
    <row r="36" spans="1:7" x14ac:dyDescent="0.35">
      <c r="A36" s="126"/>
      <c r="B36" s="126" t="s">
        <v>231</v>
      </c>
      <c r="C36" s="126">
        <f>'LCI_AD-a'!$E38*'IW+f'!C29</f>
        <v>1.787956444753054</v>
      </c>
      <c r="D36" s="126">
        <f>'LCI_AD-a'!$E38*'IW+f'!D29</f>
        <v>0.43515202474760079</v>
      </c>
      <c r="E36" s="126">
        <f>'LCI_AD-a'!$E38*'IW+f'!E29</f>
        <v>28.987720195841074</v>
      </c>
      <c r="F36" s="126">
        <f>'LCI_AD-a'!$E38*'IW+f'!F29</f>
        <v>2.005493001056373E-6</v>
      </c>
      <c r="G36" s="126">
        <f>'LCI_AD-a'!$E38*'IW+f'!G29</f>
        <v>0.84127809370169193</v>
      </c>
    </row>
    <row r="37" spans="1:7" x14ac:dyDescent="0.35">
      <c r="A37" s="126"/>
      <c r="B37" s="126" t="s">
        <v>233</v>
      </c>
      <c r="C37" s="129">
        <f>'LCI_AD-a'!$E39*'IW+f'!C31</f>
        <v>2.1426773417888603</v>
      </c>
      <c r="D37" s="129">
        <f>'LCI_AD-a'!$E39*'IW+f'!D31</f>
        <v>0.92674382942164779</v>
      </c>
      <c r="E37" s="129">
        <f>'LCI_AD-a'!$E39*'IW+f'!E31</f>
        <v>1510.8051914638068</v>
      </c>
      <c r="F37" s="129">
        <f>'LCI_AD-a'!$E39*'IW+f'!F31</f>
        <v>1.7199391820407375E-6</v>
      </c>
      <c r="G37" s="129">
        <f>'LCI_AD-a'!$E39*'IW+f'!G31</f>
        <v>4.8012826076009318</v>
      </c>
    </row>
    <row r="38" spans="1:7" x14ac:dyDescent="0.35">
      <c r="A38" s="126"/>
      <c r="B38" s="126" t="s">
        <v>426</v>
      </c>
      <c r="C38" s="126">
        <f>'LCI_AD-a'!$E40*'IW+f'!C39</f>
        <v>68.755804233899894</v>
      </c>
      <c r="D38" s="126">
        <f>'LCI_AD-a'!$E40*'IW+f'!D39</f>
        <v>43.543627672640632</v>
      </c>
      <c r="E38" s="126">
        <f>'LCI_AD-a'!$E40*'IW+f'!E39</f>
        <v>1051.5512827210114</v>
      </c>
      <c r="F38" s="126">
        <f>'LCI_AD-a'!$E40*'IW+f'!F39</f>
        <v>8.4620914392196842E-4</v>
      </c>
      <c r="G38" s="126">
        <f>'LCI_AD-a'!$E40*'IW+f'!G39</f>
        <v>24.05779869139641</v>
      </c>
    </row>
    <row r="39" spans="1:7" x14ac:dyDescent="0.35">
      <c r="A39" s="126"/>
      <c r="B39" s="126" t="s">
        <v>427</v>
      </c>
      <c r="C39" s="126">
        <f>'LCI_AD-a'!$E41*'IW+f'!C37</f>
        <v>19.064442565614353</v>
      </c>
      <c r="D39" s="126">
        <f>'LCI_AD-a'!$E41*'IW+f'!D37</f>
        <v>24.953677217519139</v>
      </c>
      <c r="E39" s="126">
        <f>'LCI_AD-a'!$E41*'IW+f'!E37</f>
        <v>215.65515491958169</v>
      </c>
      <c r="F39" s="126">
        <f>'LCI_AD-a'!$E41*'IW+f'!F37</f>
        <v>6.9425368763202937E-5</v>
      </c>
      <c r="G39" s="126">
        <f>'LCI_AD-a'!$E41*'IW+f'!G37</f>
        <v>6.980899478908305</v>
      </c>
    </row>
    <row r="44" spans="1:7" x14ac:dyDescent="0.35">
      <c r="A44" t="s">
        <v>0</v>
      </c>
    </row>
    <row r="45" spans="1:7" x14ac:dyDescent="0.35">
      <c r="A45" t="s">
        <v>6</v>
      </c>
    </row>
    <row r="46" spans="1:7" x14ac:dyDescent="0.35">
      <c r="A46" t="s">
        <v>5</v>
      </c>
    </row>
    <row r="47" spans="1:7" x14ac:dyDescent="0.35">
      <c r="B47" t="s">
        <v>251</v>
      </c>
    </row>
    <row r="48" spans="1:7" x14ac:dyDescent="0.35">
      <c r="B48" t="s">
        <v>252</v>
      </c>
    </row>
    <row r="49" spans="1:2" x14ac:dyDescent="0.35">
      <c r="A49" t="s">
        <v>237</v>
      </c>
    </row>
    <row r="50" spans="1:2" x14ac:dyDescent="0.35">
      <c r="B50" t="s">
        <v>289</v>
      </c>
    </row>
    <row r="51" spans="1:2" x14ac:dyDescent="0.35">
      <c r="B51" t="s">
        <v>237</v>
      </c>
    </row>
    <row r="52" spans="1:2" x14ac:dyDescent="0.35">
      <c r="A52" t="s">
        <v>6</v>
      </c>
    </row>
    <row r="53" spans="1:2" x14ac:dyDescent="0.35">
      <c r="B53" t="s">
        <v>8</v>
      </c>
    </row>
    <row r="54" spans="1:2" x14ac:dyDescent="0.35">
      <c r="B54" t="s">
        <v>18</v>
      </c>
    </row>
    <row r="55" spans="1:2" x14ac:dyDescent="0.35">
      <c r="B55" t="s">
        <v>97</v>
      </c>
    </row>
    <row r="56" spans="1:2" x14ac:dyDescent="0.35">
      <c r="A56" t="s">
        <v>7</v>
      </c>
    </row>
    <row r="57" spans="1:2" x14ac:dyDescent="0.35">
      <c r="B57" t="s">
        <v>50</v>
      </c>
    </row>
    <row r="58" spans="1:2" x14ac:dyDescent="0.35">
      <c r="B58" t="s">
        <v>51</v>
      </c>
    </row>
    <row r="59" spans="1:2" x14ac:dyDescent="0.35">
      <c r="B59" t="s">
        <v>52</v>
      </c>
    </row>
    <row r="60" spans="1:2" x14ac:dyDescent="0.35">
      <c r="B60" t="s">
        <v>53</v>
      </c>
    </row>
    <row r="61" spans="1:2" x14ac:dyDescent="0.35">
      <c r="B61" t="s">
        <v>54</v>
      </c>
    </row>
    <row r="62" spans="1:2" x14ac:dyDescent="0.35">
      <c r="B62" t="s">
        <v>55</v>
      </c>
    </row>
    <row r="63" spans="1:2" x14ac:dyDescent="0.35">
      <c r="B63" t="s">
        <v>58</v>
      </c>
    </row>
    <row r="64" spans="1:2" x14ac:dyDescent="0.35">
      <c r="B64" t="s">
        <v>59</v>
      </c>
    </row>
    <row r="65" spans="1:2" x14ac:dyDescent="0.35">
      <c r="A65" t="s">
        <v>101</v>
      </c>
    </row>
    <row r="66" spans="1:2" x14ac:dyDescent="0.35">
      <c r="B66" t="s">
        <v>97</v>
      </c>
    </row>
    <row r="67" spans="1:2" x14ac:dyDescent="0.35">
      <c r="A67" t="s">
        <v>109</v>
      </c>
    </row>
    <row r="68" spans="1:2" x14ac:dyDescent="0.35">
      <c r="B68" t="s">
        <v>112</v>
      </c>
    </row>
    <row r="69" spans="1:2" x14ac:dyDescent="0.35">
      <c r="B69" t="s">
        <v>111</v>
      </c>
    </row>
    <row r="70" spans="1:2" x14ac:dyDescent="0.35">
      <c r="B70" t="s">
        <v>115</v>
      </c>
    </row>
    <row r="71" spans="1:2" x14ac:dyDescent="0.35">
      <c r="B71" t="s">
        <v>417</v>
      </c>
    </row>
    <row r="72" spans="1:2" x14ac:dyDescent="0.35">
      <c r="B72" t="s">
        <v>418</v>
      </c>
    </row>
    <row r="73" spans="1:2" x14ac:dyDescent="0.35">
      <c r="A73" t="s">
        <v>424</v>
      </c>
    </row>
    <row r="74" spans="1:2" x14ac:dyDescent="0.35">
      <c r="B74" t="s">
        <v>230</v>
      </c>
    </row>
    <row r="75" spans="1:2" x14ac:dyDescent="0.35">
      <c r="B75" t="s">
        <v>232</v>
      </c>
    </row>
    <row r="76" spans="1:2" x14ac:dyDescent="0.35">
      <c r="B76" t="s">
        <v>231</v>
      </c>
    </row>
    <row r="77" spans="1:2" x14ac:dyDescent="0.35">
      <c r="B77" t="s">
        <v>233</v>
      </c>
    </row>
    <row r="78" spans="1:2" x14ac:dyDescent="0.35">
      <c r="B78" t="s">
        <v>426</v>
      </c>
    </row>
    <row r="79" spans="1:2" x14ac:dyDescent="0.35">
      <c r="B79" t="s">
        <v>427</v>
      </c>
    </row>
  </sheetData>
  <mergeCells count="1">
    <mergeCell ref="A3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G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4" sqref="G4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1" t="s">
        <v>0</v>
      </c>
      <c r="B1" s="41" t="s">
        <v>185</v>
      </c>
      <c r="C1" s="92" t="s">
        <v>406</v>
      </c>
      <c r="D1" s="92" t="s">
        <v>407</v>
      </c>
      <c r="E1" s="92" t="s">
        <v>408</v>
      </c>
      <c r="F1" s="92" t="s">
        <v>409</v>
      </c>
      <c r="G1" s="92" t="s">
        <v>410</v>
      </c>
    </row>
    <row r="2" spans="1:7" x14ac:dyDescent="0.35">
      <c r="A2" t="s">
        <v>22</v>
      </c>
      <c r="B2" t="s">
        <v>129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289</v>
      </c>
      <c r="B4" t="s">
        <v>287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237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219</v>
      </c>
      <c r="B6" t="s">
        <v>220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x14ac:dyDescent="0.35">
      <c r="A7" t="s">
        <v>221</v>
      </c>
      <c r="B7" t="s">
        <v>220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x14ac:dyDescent="0.35">
      <c r="A8" t="s">
        <v>222</v>
      </c>
      <c r="B8" t="s">
        <v>220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223</v>
      </c>
      <c r="B9" t="s">
        <v>220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257</v>
      </c>
      <c r="B10" s="17" t="s">
        <v>220</v>
      </c>
    </row>
    <row r="11" spans="1:7" x14ac:dyDescent="0.35">
      <c r="A11" s="17" t="s">
        <v>258</v>
      </c>
      <c r="B11" s="17" t="s">
        <v>220</v>
      </c>
      <c r="C11">
        <f>(C6*Parameters!$C104)+(C7*Parameters!$C106)+(C8*Parameters!$C105)+(C9*Parameters!$C107)+(C10*Parameters!$C108)</f>
        <v>4.2669457706434023E-2</v>
      </c>
      <c r="D11">
        <f>(D6*Parameters!$C104)+(D7*Parameters!$C106)+(D8*Parameters!$C105)+(D9*Parameters!$C107)+(D10*Parameters!$C108)</f>
        <v>1.1097007857549203E-2</v>
      </c>
      <c r="E11">
        <f>(E6*Parameters!$C104)+(E7*Parameters!$C106)+(E8*Parameters!$C105)+(E9*Parameters!$C107)+(E10*Parameters!$C108)</f>
        <v>0.6831217323218679</v>
      </c>
      <c r="F11">
        <f>(F6*Parameters!$C104)+(F7*Parameters!$C106)+(F8*Parameters!$C105)+(F9*Parameters!$C107)+(F10*Parameters!$C108)</f>
        <v>1.9311505126912192E-7</v>
      </c>
      <c r="G11">
        <f>(G6*Parameters!$C104)+(G7*Parameters!$C106)+(G8*Parameters!$C105)+(G9*Parameters!$C107)+(G10*Parameters!$C108)</f>
        <v>6.5530318678349679E-3</v>
      </c>
    </row>
    <row r="12" spans="1:7" x14ac:dyDescent="0.35">
      <c r="A12" t="s">
        <v>97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225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226</v>
      </c>
      <c r="B20" t="s">
        <v>88</v>
      </c>
      <c r="C20">
        <v>273</v>
      </c>
    </row>
    <row r="21" spans="1:7" x14ac:dyDescent="0.35">
      <c r="A21" t="s">
        <v>227</v>
      </c>
      <c r="D21">
        <v>1.9766250000000001</v>
      </c>
    </row>
    <row r="22" spans="1:7" x14ac:dyDescent="0.35">
      <c r="A22" t="s">
        <v>145</v>
      </c>
      <c r="B22" t="s">
        <v>88</v>
      </c>
      <c r="F22">
        <v>1.3675985732522491E-3</v>
      </c>
    </row>
    <row r="23" spans="1:7" x14ac:dyDescent="0.35">
      <c r="A23" t="s">
        <v>228</v>
      </c>
      <c r="D23">
        <v>2.5277027027027019</v>
      </c>
      <c r="F23">
        <v>1.638E-7</v>
      </c>
    </row>
    <row r="24" spans="1:7" x14ac:dyDescent="0.35">
      <c r="A24" t="s">
        <v>142</v>
      </c>
    </row>
    <row r="25" spans="1:7" x14ac:dyDescent="0.35">
      <c r="A25" t="s">
        <v>417</v>
      </c>
      <c r="B25" t="s">
        <v>88</v>
      </c>
      <c r="D25">
        <v>3.1274176726290208</v>
      </c>
    </row>
    <row r="26" spans="1:7" x14ac:dyDescent="0.35">
      <c r="A26" t="s">
        <v>418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229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230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231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232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233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128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7" x14ac:dyDescent="0.35">
      <c r="A33" t="s">
        <v>255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7" x14ac:dyDescent="0.35">
      <c r="A34" t="s">
        <v>284</v>
      </c>
      <c r="B34" t="s">
        <v>241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7" x14ac:dyDescent="0.35">
      <c r="A35" t="s">
        <v>343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7" x14ac:dyDescent="0.35">
      <c r="A37" t="s">
        <v>344</v>
      </c>
      <c r="B37" t="s">
        <v>129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7" x14ac:dyDescent="0.35">
      <c r="A38" t="s">
        <v>346</v>
      </c>
      <c r="B38" t="s">
        <v>241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7" x14ac:dyDescent="0.35">
      <c r="A39" t="s">
        <v>348</v>
      </c>
      <c r="B39" t="s">
        <v>220</v>
      </c>
      <c r="C39">
        <f>(C9*0.75)+(C6*0.25)</f>
        <v>3.1810426802821895E-2</v>
      </c>
      <c r="D39">
        <f t="shared" ref="D39:G39" si="0">(D9*0.75)+(D6*0.25)</f>
        <v>2.0145810179134287E-2</v>
      </c>
      <c r="E39">
        <f t="shared" si="0"/>
        <v>0.48650867342945886</v>
      </c>
      <c r="F39">
        <f t="shared" si="0"/>
        <v>3.9150547844710343E-7</v>
      </c>
      <c r="G39">
        <f t="shared" si="0"/>
        <v>1.1130534401230463E-2</v>
      </c>
    </row>
  </sheetData>
  <autoFilter ref="A1:G35" xr:uid="{3DE421AE-67CB-443D-A16B-D547AB6DBE8E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B3" sqref="B3:B4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187</v>
      </c>
      <c r="D1" s="21" t="s">
        <v>188</v>
      </c>
      <c r="E1" s="21" t="s">
        <v>189</v>
      </c>
      <c r="F1" s="21" t="s">
        <v>190</v>
      </c>
      <c r="G1" s="21" t="s">
        <v>191</v>
      </c>
      <c r="H1" s="21" t="s">
        <v>192</v>
      </c>
      <c r="I1" s="21" t="s">
        <v>193</v>
      </c>
      <c r="J1" s="21" t="s">
        <v>194</v>
      </c>
      <c r="K1" s="21" t="s">
        <v>195</v>
      </c>
      <c r="L1" s="21" t="s">
        <v>196</v>
      </c>
      <c r="M1" s="21" t="s">
        <v>197</v>
      </c>
      <c r="N1" s="21" t="s">
        <v>198</v>
      </c>
      <c r="O1" s="21" t="s">
        <v>199</v>
      </c>
      <c r="P1" s="21" t="s">
        <v>200</v>
      </c>
      <c r="Q1" s="21" t="s">
        <v>201</v>
      </c>
      <c r="R1" s="21" t="s">
        <v>202</v>
      </c>
      <c r="S1" s="21" t="s">
        <v>203</v>
      </c>
      <c r="T1" s="21" t="s">
        <v>204</v>
      </c>
      <c r="U1" s="21" t="s">
        <v>205</v>
      </c>
      <c r="V1" s="21" t="s">
        <v>206</v>
      </c>
      <c r="W1" s="21" t="s">
        <v>207</v>
      </c>
      <c r="X1" s="21" t="s">
        <v>208</v>
      </c>
      <c r="Y1" s="21" t="s">
        <v>209</v>
      </c>
      <c r="Z1" s="21" t="s">
        <v>210</v>
      </c>
      <c r="AA1" s="21" t="s">
        <v>211</v>
      </c>
    </row>
    <row r="2" spans="1:27" x14ac:dyDescent="0.35">
      <c r="A2" t="s">
        <v>5</v>
      </c>
    </row>
    <row r="3" spans="1:27" x14ac:dyDescent="0.35">
      <c r="B3" t="s">
        <v>251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252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237</v>
      </c>
    </row>
    <row r="6" spans="1:27" x14ac:dyDescent="0.35">
      <c r="B6" t="s">
        <v>237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251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253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259</v>
      </c>
    </row>
    <row r="21" spans="1:29" x14ac:dyDescent="0.35">
      <c r="B21" s="20" t="s">
        <v>259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123</v>
      </c>
    </row>
    <row r="24" spans="1:29" x14ac:dyDescent="0.35">
      <c r="B24" t="s">
        <v>98</v>
      </c>
    </row>
    <row r="25" spans="1:29" x14ac:dyDescent="0.35">
      <c r="B25" t="s">
        <v>97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112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143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144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145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125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111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124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146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251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260</v>
      </c>
    </row>
    <row r="37" spans="1:29" x14ac:dyDescent="0.35">
      <c r="B37" s="2" t="s">
        <v>98</v>
      </c>
    </row>
    <row r="38" spans="1:29" x14ac:dyDescent="0.35">
      <c r="B38" s="2" t="s">
        <v>97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142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143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128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135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130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101</v>
      </c>
    </row>
    <row r="54" spans="1:29" x14ac:dyDescent="0.35">
      <c r="B54" t="s">
        <v>97</v>
      </c>
      <c r="C54" s="22">
        <f>LCI!$E63*impact_process_end!C11</f>
        <v>0</v>
      </c>
      <c r="D54" s="22">
        <f>LCI!$E63*impact_process_end!D11</f>
        <v>4.51804686967366E-12</v>
      </c>
      <c r="E54" s="22">
        <f>LCI!$E63*impact_process_end!E11</f>
        <v>1.6543002384343557E-7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5.4911646569879881E-5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1.6543454189030524E-7</v>
      </c>
      <c r="Z54" s="22">
        <f>LCI!$E63*impact_process_end!Z11</f>
        <v>5.4911646569879881E-5</v>
      </c>
      <c r="AA54" s="22">
        <f>LCI!$E63*impact_process_end!AA11</f>
        <v>0</v>
      </c>
      <c r="AB54" s="22"/>
      <c r="AC54" s="22"/>
    </row>
    <row r="56" spans="1:29" x14ac:dyDescent="0.35">
      <c r="A56" t="s">
        <v>272</v>
      </c>
    </row>
    <row r="57" spans="1:29" x14ac:dyDescent="0.35">
      <c r="B57" t="s">
        <v>112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111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115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275</v>
      </c>
    </row>
    <row r="62" spans="1:29" x14ac:dyDescent="0.35">
      <c r="B62" t="s">
        <v>8</v>
      </c>
      <c r="C62" s="22">
        <f>LCI!$E73*impact_process_end!C2</f>
        <v>3.8723313107967494E-11</v>
      </c>
      <c r="D62" s="22">
        <f>LCI!$E73*impact_process_end!D2</f>
        <v>1.2260005719987853E-14</v>
      </c>
      <c r="E62" s="22">
        <f>LCI!$E73*impact_process_end!E2</f>
        <v>4.4886132626043336E-10</v>
      </c>
      <c r="F62" s="22">
        <f>LCI!$E73*impact_process_end!F2</f>
        <v>8.6638139577796566E-12</v>
      </c>
      <c r="G62" s="22">
        <f>LCI!$E73*impact_process_end!G2</f>
        <v>1.6660487000701514E-12</v>
      </c>
      <c r="H62" s="22">
        <f>LCI!$E73*impact_process_end!H2</f>
        <v>1.3076215139622569E-11</v>
      </c>
      <c r="I62" s="22">
        <f>LCI!$E73*impact_process_end!I2</f>
        <v>2.0742001089721453E-11</v>
      </c>
      <c r="J62" s="22">
        <f>LCI!$E73*impact_process_end!J2</f>
        <v>3.9672640500974317E-14</v>
      </c>
      <c r="K62" s="22">
        <f>LCI!$E73*impact_process_end!K2</f>
        <v>5.1026924522920402E-11</v>
      </c>
      <c r="L62" s="22">
        <f>LCI!$E73*impact_process_end!L2</f>
        <v>2.3484861482381338E-11</v>
      </c>
      <c r="M62" s="22">
        <f>LCI!$E73*impact_process_end!M2</f>
        <v>3.8223505374248939E-15</v>
      </c>
      <c r="N62" s="22">
        <f>LCI!$E73*impact_process_end!N2</f>
        <v>8.5433331548404099E-11</v>
      </c>
      <c r="O62" s="22">
        <f>LCI!$E73*impact_process_end!O2</f>
        <v>1.4874210888805808E-7</v>
      </c>
      <c r="P62" s="22">
        <f>LCI!$E73*impact_process_end!P2</f>
        <v>3.963112044140504E-8</v>
      </c>
      <c r="Q62" s="22">
        <f>LCI!$E73*impact_process_end!Q2</f>
        <v>5.8846072466869366E-8</v>
      </c>
      <c r="R62" s="22">
        <f>LCI!$E73*impact_process_end!R2</f>
        <v>9.4189230562198665E-9</v>
      </c>
      <c r="S62" s="22">
        <f>LCI!$E73*impact_process_end!S2</f>
        <v>9.2648142381190196E-11</v>
      </c>
      <c r="T62" s="22">
        <f>LCI!$E73*impact_process_end!T2</f>
        <v>6.3674245787532609E-8</v>
      </c>
      <c r="U62" s="22">
        <f>LCI!$E73*impact_process_end!U2</f>
        <v>1.5008095515470912E-10</v>
      </c>
      <c r="V62" s="22">
        <f>LCI!$E73*impact_process_end!V2</f>
        <v>1.4049036743515341E-8</v>
      </c>
      <c r="W62" s="22">
        <f>LCI!$E73*impact_process_end!W2</f>
        <v>1.651264519179171E-2</v>
      </c>
      <c r="X62" s="22">
        <f>LCI!$E73*impact_process_end!X2</f>
        <v>8.2768404330471894E-4</v>
      </c>
      <c r="Y62" s="22">
        <f>LCI!$E73*impact_process_end!Y2</f>
        <v>6.0629948823705392E-10</v>
      </c>
      <c r="Z62" s="22">
        <f>LCI!$E73*impact_process_end!Z2</f>
        <v>3.3460378297001324E-7</v>
      </c>
      <c r="AA62" s="22">
        <f>LCI!$E73*impact_process_end!AA2</f>
        <v>1.7340329320529764E-2</v>
      </c>
      <c r="AB62" s="22"/>
      <c r="AC62" s="22"/>
    </row>
    <row r="64" spans="1:29" x14ac:dyDescent="0.35">
      <c r="A64" t="s">
        <v>288</v>
      </c>
    </row>
    <row r="65" spans="1:28" x14ac:dyDescent="0.35">
      <c r="B65" t="s">
        <v>289</v>
      </c>
    </row>
    <row r="66" spans="1:28" x14ac:dyDescent="0.35">
      <c r="B66" t="s">
        <v>288</v>
      </c>
      <c r="C66" s="22">
        <f>LCI!$E78*impact_process_end!C32</f>
        <v>8.0272996457630768E-11</v>
      </c>
      <c r="D66" s="22">
        <f>LCI!$E78*impact_process_end!D32</f>
        <v>9.5961877929227721E-15</v>
      </c>
      <c r="E66" s="22">
        <f>LCI!$E78*impact_process_end!E32</f>
        <v>3.5133514505537228E-10</v>
      </c>
      <c r="F66" s="22">
        <f>LCI!$E78*impact_process_end!F32</f>
        <v>5.116201585331559E-12</v>
      </c>
      <c r="G66" s="22">
        <f>LCI!$E78*impact_process_end!G32</f>
        <v>1.0474248302497845E-12</v>
      </c>
      <c r="H66" s="22">
        <f>LCI!$E78*impact_process_end!H32</f>
        <v>5.2857956878978806E-12</v>
      </c>
      <c r="I66" s="22">
        <f>LCI!$E78*impact_process_end!I32</f>
        <v>3.1405700574743921E-10</v>
      </c>
      <c r="J66" s="22">
        <f>LCI!$E78*impact_process_end!J32</f>
        <v>2.4113377317200371E-12</v>
      </c>
      <c r="K66" s="22">
        <f>LCI!$E78*impact_process_end!K32</f>
        <v>1.9628325952354504E-11</v>
      </c>
      <c r="L66" s="22">
        <f>LCI!$E78*impact_process_end!L32</f>
        <v>3.7955225487507677E-11</v>
      </c>
      <c r="M66" s="22">
        <f>LCI!$E78*impact_process_end!M32</f>
        <v>4.6852461727219376E-16</v>
      </c>
      <c r="N66" s="22">
        <f>LCI!$E78*impact_process_end!N32</f>
        <v>1.0471990617838768E-11</v>
      </c>
      <c r="O66" s="22">
        <f>LCI!$E78*impact_process_end!O32</f>
        <v>1.1648167899436131E-7</v>
      </c>
      <c r="P66" s="22">
        <f>LCI!$E78*impact_process_end!P32</f>
        <v>2.8777112051987166E-8</v>
      </c>
      <c r="Q66" s="22">
        <f>LCI!$E78*impact_process_end!Q32</f>
        <v>2.0304537785972764E-7</v>
      </c>
      <c r="R66" s="22">
        <f>LCI!$E78*impact_process_end!R32</f>
        <v>4.2553919367512047E-11</v>
      </c>
      <c r="S66" s="22">
        <f>LCI!$E78*impact_process_end!S32</f>
        <v>2.6907967427684941E-10</v>
      </c>
      <c r="T66" s="22">
        <f>LCI!$E78*impact_process_end!T32</f>
        <v>1.1289549341791995E-7</v>
      </c>
      <c r="U66" s="22">
        <f>LCI!$E78*impact_process_end!U32</f>
        <v>2.6127933584897645E-10</v>
      </c>
      <c r="V66" s="22">
        <f>LCI!$E78*impact_process_end!V32</f>
        <v>1.7220606793779307E-9</v>
      </c>
      <c r="W66" s="22">
        <f>LCI!$E78*impact_process_end!W32</f>
        <v>5.5484930255785894E-3</v>
      </c>
      <c r="X66" s="22">
        <f>LCI!$E78*impact_process_end!X32</f>
        <v>3.9700274032404949E-4</v>
      </c>
      <c r="Y66" s="22">
        <f>LCI!$E78*impact_process_end!Y32</f>
        <v>8.1710813716645711E-10</v>
      </c>
      <c r="Z66" s="22">
        <f>LCI!$E78*impact_process_end!Z32</f>
        <v>4.6349074595265089E-7</v>
      </c>
      <c r="AA66" s="22">
        <f>LCI!$E78*impact_process_end!AA32</f>
        <v>5.9454957763746289E-3</v>
      </c>
      <c r="AB66" s="22"/>
    </row>
    <row r="68" spans="1:28" x14ac:dyDescent="0.35">
      <c r="A68" t="s">
        <v>290</v>
      </c>
    </row>
    <row r="69" spans="1:28" x14ac:dyDescent="0.35">
      <c r="B69" t="s">
        <v>97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112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111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291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0.11552263830172491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5.0656985779366003E-9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0.11552263830172491</v>
      </c>
      <c r="Z72">
        <f>LCI!$E86*impact_process_end!Z22</f>
        <v>5.0656985779366003E-9</v>
      </c>
      <c r="AA72">
        <f>LCI!$E86*impact_process_end!AA22</f>
        <v>0</v>
      </c>
    </row>
    <row r="73" spans="1:28" x14ac:dyDescent="0.35">
      <c r="B73" t="s">
        <v>124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276</v>
      </c>
      <c r="C74">
        <f>LCI!$E89*impact_process_end!C2</f>
        <v>5.9960463259016727E-11</v>
      </c>
      <c r="D74">
        <f>LCI!$E89*impact_process_end!D2</f>
        <v>1.8983799771446036E-14</v>
      </c>
      <c r="E74">
        <f>LCI!$E89*impact_process_end!E2</f>
        <v>6.9503177547312123E-10</v>
      </c>
      <c r="F74">
        <f>LCI!$E89*impact_process_end!F2</f>
        <v>1.3415337087763723E-11</v>
      </c>
      <c r="G74">
        <f>LCI!$E89*impact_process_end!G2</f>
        <v>2.5797651040281115E-12</v>
      </c>
      <c r="H74">
        <f>LCI!$E89*impact_process_end!H2</f>
        <v>2.024764552713374E-11</v>
      </c>
      <c r="I74">
        <f>LCI!$E89*impact_process_end!I2</f>
        <v>3.2117602922845756E-11</v>
      </c>
      <c r="J74">
        <f>LCI!$E89*impact_process_end!J2</f>
        <v>6.1430433302913917E-14</v>
      </c>
      <c r="K74">
        <f>LCI!$E89*impact_process_end!K2</f>
        <v>7.9011783535837554E-11</v>
      </c>
      <c r="L74">
        <f>LCI!$E89*impact_process_end!L2</f>
        <v>3.6364738991501417E-11</v>
      </c>
      <c r="M74">
        <f>LCI!$E89*impact_process_end!M2</f>
        <v>5.9186544375303306E-15</v>
      </c>
      <c r="N74">
        <f>LCI!$E89*impact_process_end!N2</f>
        <v>1.3228780613685342E-10</v>
      </c>
      <c r="O74">
        <f>LCI!$E89*impact_process_end!O2</f>
        <v>2.3031721821385219E-7</v>
      </c>
      <c r="P74">
        <f>LCI!$E89*impact_process_end!P2</f>
        <v>6.136614226460905E-8</v>
      </c>
      <c r="Q74">
        <f>LCI!$E89*impact_process_end!Q2</f>
        <v>9.111921173297449E-8</v>
      </c>
      <c r="R74">
        <f>LCI!$E89*impact_process_end!R2</f>
        <v>1.4584573078169139E-8</v>
      </c>
      <c r="S74">
        <f>LCI!$E89*impact_process_end!S2</f>
        <v>1.4345945869286925E-10</v>
      </c>
      <c r="T74">
        <f>LCI!$E89*impact_process_end!T2</f>
        <v>9.8595315551741679E-8</v>
      </c>
      <c r="U74">
        <f>LCI!$E89*impact_process_end!U2</f>
        <v>2.3239033220999122E-10</v>
      </c>
      <c r="V74">
        <f>LCI!$E89*impact_process_end!V2</f>
        <v>2.175399478694923E-8</v>
      </c>
      <c r="W74">
        <f>LCI!$E89*impact_process_end!W2</f>
        <v>2.5568727876434921E-2</v>
      </c>
      <c r="X74">
        <f>LCI!$E89*impact_process_end!X2</f>
        <v>1.2816134438258012E-3</v>
      </c>
      <c r="Y74">
        <f>LCI!$E89*impact_process_end!Y2</f>
        <v>9.3881425091487137E-10</v>
      </c>
      <c r="Z74">
        <f>LCI!$E89*impact_process_end!Z2</f>
        <v>5.1811160318752369E-7</v>
      </c>
      <c r="AA74">
        <f>LCI!$E89*impact_process_end!AA2</f>
        <v>2.685034145254853E-2</v>
      </c>
    </row>
    <row r="75" spans="1:28" x14ac:dyDescent="0.35">
      <c r="B75" t="s">
        <v>292</v>
      </c>
      <c r="C75">
        <f>LCI!$E90*impact_process_end!C25</f>
        <v>2.2368232974921015E-10</v>
      </c>
      <c r="D75">
        <f>LCI!$E90*impact_process_end!D25</f>
        <v>3.1868885608507814E-14</v>
      </c>
      <c r="E75">
        <f>LCI!$E90*impact_process_end!E25</f>
        <v>1.1682457604175933E-9</v>
      </c>
      <c r="F75">
        <f>LCI!$E90*impact_process_end!F25</f>
        <v>2.5203742293873814E-12</v>
      </c>
      <c r="G75">
        <f>LCI!$E90*impact_process_end!G25</f>
        <v>6.8145102970068231E-13</v>
      </c>
      <c r="H75">
        <f>LCI!$E90*impact_process_end!H25</f>
        <v>9.4914850872691915E-12</v>
      </c>
      <c r="I75">
        <f>LCI!$E90*impact_process_end!I25</f>
        <v>1.5205301912234567E-11</v>
      </c>
      <c r="J75">
        <f>LCI!$E90*impact_process_end!J25</f>
        <v>7.2613940281219475E-14</v>
      </c>
      <c r="K75">
        <f>LCI!$E90*impact_process_end!K25</f>
        <v>3.2699791721566634E-11</v>
      </c>
      <c r="L75">
        <f>LCI!$E90*impact_process_end!L25</f>
        <v>1.7923899906590475E-10</v>
      </c>
      <c r="M75">
        <f>LCI!$E90*impact_process_end!M25</f>
        <v>4.2830809220371297E-16</v>
      </c>
      <c r="N75">
        <f>LCI!$E90*impact_process_end!N25</f>
        <v>9.5731113323677584E-12</v>
      </c>
      <c r="O75">
        <f>LCI!$E90*impact_process_end!O25</f>
        <v>3.8680677170068629E-7</v>
      </c>
      <c r="P75">
        <f>LCI!$E90*impact_process_end!P25</f>
        <v>4.9465989920733225E-8</v>
      </c>
      <c r="Q75">
        <f>LCI!$E90*impact_process_end!Q25</f>
        <v>2.4253867382183414E-8</v>
      </c>
      <c r="R75">
        <f>LCI!$E90*impact_process_end!R25</f>
        <v>7.0788947391050812E-11</v>
      </c>
      <c r="S75">
        <f>LCI!$E90*impact_process_end!S25</f>
        <v>5.3712034745879485E-11</v>
      </c>
      <c r="T75">
        <f>LCI!$E90*impact_process_end!T25</f>
        <v>2.400957467506611E-7</v>
      </c>
      <c r="U75">
        <f>LCI!$E90*impact_process_end!U25</f>
        <v>9.9792081424139185E-10</v>
      </c>
      <c r="V75">
        <f>LCI!$E90*impact_process_end!V25</f>
        <v>1.5742449746560315E-9</v>
      </c>
      <c r="W75">
        <f>LCI!$E90*impact_process_end!W25</f>
        <v>0.24086652458048358</v>
      </c>
      <c r="X75">
        <f>LCI!$E90*impact_process_end!X25</f>
        <v>1.8294724366943564E-3</v>
      </c>
      <c r="Y75">
        <f>LCI!$E90*impact_process_end!Y25</f>
        <v>1.6318700211680019E-9</v>
      </c>
      <c r="Z75">
        <f>LCI!$E90*impact_process_end!Z25</f>
        <v>7.033182193922775E-7</v>
      </c>
      <c r="AA75">
        <f>LCI!$E90*impact_process_end!AA25</f>
        <v>0.24269599702675099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185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t="s">
        <v>199</v>
      </c>
      <c r="P1" t="s">
        <v>200</v>
      </c>
      <c r="Q1" t="s">
        <v>201</v>
      </c>
      <c r="R1" t="s">
        <v>202</v>
      </c>
      <c r="S1" t="s">
        <v>203</v>
      </c>
      <c r="T1" t="s">
        <v>204</v>
      </c>
      <c r="U1" t="s">
        <v>205</v>
      </c>
      <c r="V1" t="s">
        <v>206</v>
      </c>
      <c r="W1" t="s">
        <v>207</v>
      </c>
      <c r="X1" t="s">
        <v>208</v>
      </c>
      <c r="Y1" t="s">
        <v>209</v>
      </c>
      <c r="Z1" t="s">
        <v>210</v>
      </c>
      <c r="AA1" t="s">
        <v>211</v>
      </c>
    </row>
    <row r="2" spans="1:27" x14ac:dyDescent="0.35">
      <c r="A2" t="s">
        <v>22</v>
      </c>
      <c r="B2" t="s">
        <v>129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237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219</v>
      </c>
      <c r="B5" t="s">
        <v>220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221</v>
      </c>
      <c r="B6" t="s">
        <v>220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222</v>
      </c>
      <c r="B7" t="s">
        <v>220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223</v>
      </c>
      <c r="B8" t="s">
        <v>220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257</v>
      </c>
      <c r="B9" t="s">
        <v>220</v>
      </c>
    </row>
    <row r="10" spans="1:27" x14ac:dyDescent="0.35">
      <c r="A10" s="17" t="s">
        <v>258</v>
      </c>
      <c r="B10" t="s">
        <v>220</v>
      </c>
      <c r="C10">
        <f>(C5*Parameters!$C104)+(C6*Parameters!$C106)+(C7*Parameters!$C105)+(C8*Parameters!$C107)+(C9*Parameters!$C108)</f>
        <v>1.5020307726001505E-11</v>
      </c>
      <c r="D10">
        <f>(D5*Parameters!$C104)+(D6*Parameters!$C106)+(D7*Parameters!$C105)+(D8*Parameters!$C107)+(D9*Parameters!$C108)</f>
        <v>3.3315802416669033E-15</v>
      </c>
      <c r="E10">
        <f>(E5*Parameters!$C104)+(E6*Parameters!$C106)+(E7*Parameters!$C105)+(E8*Parameters!$C107)+(E9*Parameters!$C108)</f>
        <v>1.2199368637457753E-10</v>
      </c>
      <c r="F10">
        <f>(F5*Parameters!$C104)+(F6*Parameters!$C106)+(F7*Parameters!$C105)+(F8*Parameters!$C107)+(F9*Parameters!$C108)</f>
        <v>3.9067868021250655E-13</v>
      </c>
      <c r="G10">
        <f>(G5*Parameters!$C104)+(G6*Parameters!$C106)+(G7*Parameters!$C105)+(G8*Parameters!$C107)+(G9*Parameters!$C108)</f>
        <v>8.1296246798854409E-14</v>
      </c>
      <c r="H10">
        <f>(H5*Parameters!$C104)+(H6*Parameters!$C106)+(H7*Parameters!$C105)+(H8*Parameters!$C107)+(H9*Parameters!$C108)</f>
        <v>9.093912183343459E-13</v>
      </c>
      <c r="I10">
        <f>(I5*Parameters!$C104)+(I6*Parameters!$C106)+(I7*Parameters!$C105)+(I8*Parameters!$C107)+(I9*Parameters!$C108)</f>
        <v>2.4064240662504447E-12</v>
      </c>
      <c r="J10">
        <f>(J5*Parameters!$C104)+(J6*Parameters!$C106)+(J7*Parameters!$C105)+(J8*Parameters!$C107)+(J9*Parameters!$C108)</f>
        <v>6.4936328093283193E-16</v>
      </c>
      <c r="K10">
        <f>(K5*Parameters!$C104)+(K6*Parameters!$C106)+(K7*Parameters!$C105)+(K8*Parameters!$C107)+(K9*Parameters!$C108)</f>
        <v>9.0846550802301166E-11</v>
      </c>
      <c r="L10">
        <f>(L5*Parameters!$C104)+(L6*Parameters!$C106)+(L7*Parameters!$C105)+(L8*Parameters!$C107)+(L9*Parameters!$C108)</f>
        <v>1.8820166232017543E-11</v>
      </c>
      <c r="M10">
        <f>(M5*Parameters!$C104)+(M6*Parameters!$C106)+(M7*Parameters!$C105)+(M8*Parameters!$C107)+(M9*Parameters!$C108)</f>
        <v>9.409897500767112E-17</v>
      </c>
      <c r="N10">
        <f>(N5*Parameters!$C104)+(N6*Parameters!$C106)+(N7*Parameters!$C105)+(N8*Parameters!$C107)+(N9*Parameters!$C108)</f>
        <v>2.1032055672244374E-12</v>
      </c>
      <c r="O10">
        <f>(O5*Parameters!$C104)+(O6*Parameters!$C106)+(O7*Parameters!$C105)+(O8*Parameters!$C107)+(O9*Parameters!$C108)</f>
        <v>4.0421822873719699E-8</v>
      </c>
      <c r="P10">
        <f>(P5*Parameters!$C104)+(P6*Parameters!$C106)+(P7*Parameters!$C105)+(P8*Parameters!$C107)+(P9*Parameters!$C108)</f>
        <v>4.2004647057410574E-9</v>
      </c>
      <c r="Q10">
        <f>(Q5*Parameters!$C104)+(Q6*Parameters!$C106)+(Q7*Parameters!$C105)+(Q8*Parameters!$C107)+(Q9*Parameters!$C108)</f>
        <v>4.4456896873894662E-9</v>
      </c>
      <c r="R10">
        <f>(R5*Parameters!$C104)+(R6*Parameters!$C106)+(R7*Parameters!$C105)+(R8*Parameters!$C107)+(R9*Parameters!$C108)</f>
        <v>7.6054840660607705E-12</v>
      </c>
      <c r="S10">
        <f>(S5*Parameters!$C104)+(S6*Parameters!$C106)+(S7*Parameters!$C105)+(S8*Parameters!$C107)+(S9*Parameters!$C108)</f>
        <v>1.1813266812102398E-11</v>
      </c>
      <c r="T10">
        <f>(T5*Parameters!$C104)+(T6*Parameters!$C106)+(T7*Parameters!$C105)+(T8*Parameters!$C107)+(T9*Parameters!$C108)</f>
        <v>4.584999869201481E-8</v>
      </c>
      <c r="U10">
        <f>(U5*Parameters!$C104)+(U6*Parameters!$C106)+(U7*Parameters!$C105)+(U8*Parameters!$C107)+(U9*Parameters!$C108)</f>
        <v>1.2772256520934023E-10</v>
      </c>
      <c r="V10">
        <f>(V5*Parameters!$C104)+(V6*Parameters!$C106)+(V7*Parameters!$C105)+(V8*Parameters!$C107)+(V9*Parameters!$C108)</f>
        <v>3.4586047105468522E-10</v>
      </c>
      <c r="W10">
        <f>(W5*Parameters!$C104)+(W6*Parameters!$C106)+(W7*Parameters!$C105)+(W8*Parameters!$C107)+(W9*Parameters!$C108)</f>
        <v>4.7917667328448224E-3</v>
      </c>
      <c r="X10">
        <f>(X5*Parameters!$C104)+(X6*Parameters!$C106)+(X7*Parameters!$C105)+(X8*Parameters!$C107)+(X9*Parameters!$C108)</f>
        <v>7.6503817668579894E-5</v>
      </c>
      <c r="Y10">
        <f>(Y5*Parameters!$C104)+(Y6*Parameters!$C106)+(Y7*Parameters!$C105)+(Y8*Parameters!$C107)+(Y9*Parameters!$C108)</f>
        <v>2.5047178153681755E-10</v>
      </c>
      <c r="Z10">
        <f>(Z5*Parameters!$C104)+(Z6*Parameters!$C106)+(Z7*Parameters!$C105)+(Z8*Parameters!$C107)+(Z9*Parameters!$C108)</f>
        <v>9.5410658022027234E-8</v>
      </c>
      <c r="AA10">
        <f>(AA5*Parameters!$C104)+(AA6*Parameters!$C106)+(AA7*Parameters!$C105)+(AA8*Parameters!$C107)+(AA9*Parameters!$C108)</f>
        <v>4.8682705526166105E-3</v>
      </c>
    </row>
    <row r="11" spans="1:27" x14ac:dyDescent="0.35">
      <c r="A11" t="s">
        <v>97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225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226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227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145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228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142</v>
      </c>
      <c r="B23" t="s">
        <v>88</v>
      </c>
      <c r="U23" s="5"/>
      <c r="Y23" s="5"/>
    </row>
    <row r="24" spans="1:27" x14ac:dyDescent="0.35">
      <c r="A24" t="s">
        <v>417</v>
      </c>
      <c r="B24" t="s">
        <v>88</v>
      </c>
      <c r="U24" s="5"/>
      <c r="Y24" s="5"/>
    </row>
    <row r="25" spans="1:27" x14ac:dyDescent="0.35">
      <c r="A25" t="s">
        <v>229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230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231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232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233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128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255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284</v>
      </c>
      <c r="B32" t="s">
        <v>241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343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344</v>
      </c>
      <c r="B35" t="s">
        <v>129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346</v>
      </c>
      <c r="B36" t="s">
        <v>241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348</v>
      </c>
      <c r="B37" t="s">
        <v>220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185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186</v>
      </c>
      <c r="W1" t="s">
        <v>214</v>
      </c>
    </row>
    <row r="2" spans="1:23" x14ac:dyDescent="0.35">
      <c r="A2" t="s">
        <v>8</v>
      </c>
      <c r="B2" t="s">
        <v>212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213</v>
      </c>
      <c r="W2" t="s">
        <v>215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216</v>
      </c>
      <c r="W3" t="s">
        <v>217</v>
      </c>
    </row>
    <row r="4" spans="1:23" x14ac:dyDescent="0.35">
      <c r="A4" t="s">
        <v>237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219</v>
      </c>
      <c r="B5" t="s">
        <v>220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221</v>
      </c>
      <c r="B6" t="s">
        <v>220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222</v>
      </c>
      <c r="B7" t="s">
        <v>220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223</v>
      </c>
      <c r="B8" t="s">
        <v>220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249</v>
      </c>
      <c r="B9" t="s">
        <v>220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242</v>
      </c>
      <c r="B10" t="s">
        <v>220</v>
      </c>
      <c r="C10">
        <f>(C5*Parameters!$C104)+(impact_process_mid!C6*Parameters!$C106)+(impact_process_mid!C7*Parameters!$C105)+(impact_process_mid!C8*Parameters!$C107)+(impact_process_mid!C9*Parameters!$C108)</f>
        <v>7.0859796205647902E-5</v>
      </c>
      <c r="D10">
        <f>(D5*Parameters!$C104)+(impact_process_mid!D6*Parameters!$C106)+(impact_process_mid!D7*Parameters!$C105)+(impact_process_mid!D8*Parameters!$C107)+(impact_process_mid!D9*Parameters!$C108)</f>
        <v>4.3557614437502765E-2</v>
      </c>
      <c r="E10">
        <f>(E5*Parameters!$C104)+(impact_process_mid!E6*Parameters!$C106)+(impact_process_mid!E7*Parameters!$C105)+(impact_process_mid!E8*Parameters!$C107)+(impact_process_mid!E9*Parameters!$C108)</f>
        <v>5.643975413442148E-4</v>
      </c>
      <c r="F10">
        <f>(F5*Parameters!$C104)+(impact_process_mid!F6*Parameters!$C106)+(impact_process_mid!F7*Parameters!$C105)+(impact_process_mid!F8*Parameters!$C107)+(impact_process_mid!F9*Parameters!$C108)</f>
        <v>7.7338445244801136E-4</v>
      </c>
      <c r="G10">
        <f>(G5*Parameters!$C104)+(impact_process_mid!G6*Parameters!$C106)+(impact_process_mid!G7*Parameters!$C105)+(impact_process_mid!G8*Parameters!$C107)+(impact_process_mid!G9*Parameters!$C108)</f>
        <v>7.9723262650306825E-2</v>
      </c>
      <c r="H10">
        <f>(H5*Parameters!$C104)+(impact_process_mid!H6*Parameters!$C106)+(impact_process_mid!H7*Parameters!$C105)+(impact_process_mid!H8*Parameters!$C107)+(impact_process_mid!H9*Parameters!$C108)</f>
        <v>1.403841285559273E-2</v>
      </c>
      <c r="I10">
        <f>(I5*Parameters!$C104)+(impact_process_mid!I6*Parameters!$C106)+(impact_process_mid!I7*Parameters!$C105)+(impact_process_mid!I8*Parameters!$C107)+(impact_process_mid!I9*Parameters!$C108)</f>
        <v>3.5928661340940148E-6</v>
      </c>
      <c r="J10">
        <f>(J5*Parameters!$C104)+(impact_process_mid!J6*Parameters!$C106)+(impact_process_mid!J7*Parameters!$C105)+(impact_process_mid!J8*Parameters!$C107)+(impact_process_mid!J9*Parameters!$C108)</f>
        <v>3.8199833616392333E-7</v>
      </c>
      <c r="K10">
        <f>(K5*Parameters!$C104)+(impact_process_mid!K6*Parameters!$C106)+(impact_process_mid!K7*Parameters!$C105)+(impact_process_mid!K8*Parameters!$C107)+(impact_process_mid!K9*Parameters!$C108)</f>
        <v>1.2654672781481815E-3</v>
      </c>
      <c r="L10">
        <f>(L5*Parameters!$C104)+(impact_process_mid!L6*Parameters!$C106)+(impact_process_mid!L7*Parameters!$C105)+(impact_process_mid!L8*Parameters!$C107)+(impact_process_mid!L9*Parameters!$C108)</f>
        <v>1.9495626238510887E-2</v>
      </c>
      <c r="M10">
        <f>(M5*Parameters!$C104)+(impact_process_mid!M6*Parameters!$C106)+(impact_process_mid!M7*Parameters!$C105)+(impact_process_mid!M8*Parameters!$C107)+(impact_process_mid!M9*Parameters!$C108)</f>
        <v>8.9647174914883783E-4</v>
      </c>
      <c r="N10">
        <f>(N5*Parameters!$C104)+(impact_process_mid!N6*Parameters!$C106)+(impact_process_mid!N7*Parameters!$C105)+(impact_process_mid!N8*Parameters!$C107)+(impact_process_mid!N9*Parameters!$C108)</f>
        <v>1.0245174418695643E-2</v>
      </c>
      <c r="O10">
        <f>(O5*Parameters!$C104)+(impact_process_mid!O6*Parameters!$C106)+(impact_process_mid!O7*Parameters!$C105)+(impact_process_mid!O8*Parameters!$C107)+(impact_process_mid!O9*Parameters!$C108)</f>
        <v>3.3073031970681565E-4</v>
      </c>
      <c r="P10">
        <f>(P5*Parameters!$C104)+(impact_process_mid!P6*Parameters!$C106)+(impact_process_mid!P7*Parameters!$C105)+(impact_process_mid!P8*Parameters!$C107)+(impact_process_mid!P9*Parameters!$C108)</f>
        <v>2.2253353617823675E-8</v>
      </c>
      <c r="Q10">
        <f>(Q5*Parameters!$C104)+(impact_process_mid!Q6*Parameters!$C106)+(impact_process_mid!Q7*Parameters!$C105)+(impact_process_mid!Q8*Parameters!$C107)+(impact_process_mid!Q9*Parameters!$C108)</f>
        <v>7.2904946218519531E-5</v>
      </c>
      <c r="R10">
        <f>(R5*Parameters!$C104)+(impact_process_mid!R6*Parameters!$C106)+(impact_process_mid!R7*Parameters!$C105)+(impact_process_mid!R8*Parameters!$C107)+(impact_process_mid!R9*Parameters!$C108)</f>
        <v>1.4034435779950713E-4</v>
      </c>
      <c r="S10">
        <f>(S5*Parameters!$C104)+(impact_process_mid!S6*Parameters!$C106)+(impact_process_mid!S7*Parameters!$C105)+(impact_process_mid!S8*Parameters!$C107)+(impact_process_mid!S9*Parameters!$C108)</f>
        <v>1.4589570309846291E-4</v>
      </c>
      <c r="T10">
        <f>(T5*Parameters!$C104)+(impact_process_mid!T6*Parameters!$C106)+(impact_process_mid!T7*Parameters!$C105)+(impact_process_mid!T8*Parameters!$C107)+(impact_process_mid!T9*Parameters!$C108)</f>
        <v>1.5579300497958797E-4</v>
      </c>
    </row>
    <row r="11" spans="1:23" x14ac:dyDescent="0.35">
      <c r="A11" t="s">
        <v>97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225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226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227</v>
      </c>
      <c r="B20" t="s">
        <v>88</v>
      </c>
      <c r="J20">
        <v>6.7100000000000007E-2</v>
      </c>
    </row>
    <row r="21" spans="1:20" x14ac:dyDescent="0.35">
      <c r="A21" t="s">
        <v>145</v>
      </c>
      <c r="B21" t="s">
        <v>88</v>
      </c>
      <c r="Q21">
        <v>1</v>
      </c>
    </row>
    <row r="22" spans="1:20" x14ac:dyDescent="0.35">
      <c r="A22" t="s">
        <v>228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142</v>
      </c>
      <c r="B23" t="s">
        <v>88</v>
      </c>
    </row>
    <row r="24" spans="1:20" x14ac:dyDescent="0.35">
      <c r="A24" t="s">
        <v>417</v>
      </c>
      <c r="B24" t="s">
        <v>88</v>
      </c>
    </row>
    <row r="25" spans="1:20" x14ac:dyDescent="0.35">
      <c r="A25" t="s">
        <v>229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230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231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232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233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128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255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284</v>
      </c>
      <c r="B32" t="s">
        <v>241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343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344</v>
      </c>
      <c r="B35" t="s">
        <v>129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345</v>
      </c>
      <c r="W35" t="s">
        <v>215</v>
      </c>
    </row>
    <row r="36" spans="1:23" x14ac:dyDescent="0.35">
      <c r="A36" t="s">
        <v>346</v>
      </c>
      <c r="B36" t="s">
        <v>241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347</v>
      </c>
      <c r="W36" t="s">
        <v>215</v>
      </c>
    </row>
    <row r="37" spans="1:23" x14ac:dyDescent="0.35">
      <c r="A37" t="s">
        <v>348</v>
      </c>
      <c r="B37" t="s">
        <v>220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:T4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92" customFormat="1" ht="58" x14ac:dyDescent="0.35">
      <c r="A1" s="92" t="s">
        <v>0</v>
      </c>
      <c r="B1" s="92" t="s">
        <v>185</v>
      </c>
      <c r="C1" s="92" t="s">
        <v>361</v>
      </c>
      <c r="D1" s="92" t="s">
        <v>362</v>
      </c>
      <c r="E1" s="92" t="s">
        <v>363</v>
      </c>
      <c r="F1" s="92" t="s">
        <v>364</v>
      </c>
      <c r="G1" s="92" t="s">
        <v>365</v>
      </c>
      <c r="H1" s="92" t="s">
        <v>366</v>
      </c>
      <c r="I1" s="92" t="s">
        <v>367</v>
      </c>
      <c r="J1" s="92" t="s">
        <v>368</v>
      </c>
      <c r="K1" s="92" t="s">
        <v>369</v>
      </c>
      <c r="L1" s="92" t="s">
        <v>370</v>
      </c>
      <c r="M1" s="92" t="s">
        <v>371</v>
      </c>
      <c r="N1" s="92" t="s">
        <v>372</v>
      </c>
      <c r="O1" s="92" t="s">
        <v>373</v>
      </c>
      <c r="P1" s="92" t="s">
        <v>374</v>
      </c>
      <c r="Q1" s="92" t="s">
        <v>375</v>
      </c>
      <c r="R1" s="92" t="s">
        <v>376</v>
      </c>
      <c r="S1" s="92" t="s">
        <v>377</v>
      </c>
      <c r="T1" s="92" t="s">
        <v>378</v>
      </c>
    </row>
    <row r="2" spans="1:20" x14ac:dyDescent="0.35">
      <c r="A2" t="s">
        <v>22</v>
      </c>
      <c r="B2" t="s">
        <v>129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411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289</v>
      </c>
      <c r="B4" t="s">
        <v>287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237</v>
      </c>
      <c r="B5" t="s">
        <v>411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219</v>
      </c>
      <c r="B6" t="s">
        <v>220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221</v>
      </c>
      <c r="B7" t="s">
        <v>220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222</v>
      </c>
      <c r="B8" t="s">
        <v>220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223</v>
      </c>
      <c r="B9" t="s">
        <v>220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257</v>
      </c>
      <c r="B10" s="17" t="s">
        <v>220</v>
      </c>
    </row>
    <row r="11" spans="1:20" x14ac:dyDescent="0.35">
      <c r="A11" s="17" t="s">
        <v>258</v>
      </c>
      <c r="B11" s="17" t="s">
        <v>220</v>
      </c>
      <c r="C11">
        <f>(C6*Parameters!$C104)+(C7*Parameters!$C106)+(C8*Parameters!$C105)+(C9*Parameters!$C107)+(C10*Parameters!$C108)</f>
        <v>3.9015743162470896E-2</v>
      </c>
      <c r="D11">
        <f>(D6*Parameters!$C104)+(D7*Parameters!$C106)+(D8*Parameters!$C105)+(D9*Parameters!$C107)+(D10*Parameters!$C108)</f>
        <v>4.2669457706434023E-2</v>
      </c>
      <c r="E11">
        <f>(E6*Parameters!$C104)+(E7*Parameters!$C106)+(E8*Parameters!$C105)+(E9*Parameters!$C107)+(E10*Parameters!$C108)</f>
        <v>0.6831217323218679</v>
      </c>
      <c r="F11">
        <f>(F6*Parameters!$C104)+(F7*Parameters!$C106)+(F8*Parameters!$C105)+(F9*Parameters!$C107)+(F10*Parameters!$C108)</f>
        <v>8.046532259043323E-5</v>
      </c>
      <c r="G11">
        <f>(G6*Parameters!$C104)+(G7*Parameters!$C106)+(G8*Parameters!$C105)+(G9*Parameters!$C107)+(G10*Parameters!$C108)</f>
        <v>9.4793525096378772</v>
      </c>
      <c r="H11">
        <f>(H6*Parameters!$C104)+(H7*Parameters!$C106)+(H8*Parameters!$C105)+(H9*Parameters!$C107)+(H10*Parameters!$C108)</f>
        <v>8.4083174428137812E-7</v>
      </c>
      <c r="I11">
        <f>(I6*Parameters!$C104)+(I7*Parameters!$C106)+(I8*Parameters!$C105)+(I9*Parameters!$C107)+(I10*Parameters!$C108)</f>
        <v>3.7327199939106759E-10</v>
      </c>
      <c r="J11">
        <f>(J6*Parameters!$C104)+(J7*Parameters!$C106)+(J8*Parameters!$C105)+(J9*Parameters!$C107)+(J10*Parameters!$C108)</f>
        <v>2.4889055406235435E-9</v>
      </c>
      <c r="K11">
        <f>(K6*Parameters!$C104)+(K7*Parameters!$C106)+(K8*Parameters!$C105)+(K9*Parameters!$C107)+(K10*Parameters!$C108)</f>
        <v>0.11824566506031314</v>
      </c>
      <c r="L11">
        <f>(L6*Parameters!$C104)+(L7*Parameters!$C106)+(L8*Parameters!$C105)+(L9*Parameters!$C107)+(L10*Parameters!$C108)</f>
        <v>8.3666604118118083E-3</v>
      </c>
      <c r="M11">
        <f>(M6*Parameters!$C104)+(M7*Parameters!$C106)+(M8*Parameters!$C105)+(M9*Parameters!$C107)+(M10*Parameters!$C108)</f>
        <v>6.1006740420596806E-6</v>
      </c>
      <c r="N11">
        <f>(N6*Parameters!$C104)+(N7*Parameters!$C106)+(N8*Parameters!$C105)+(N9*Parameters!$C107)+(N10*Parameters!$C108)</f>
        <v>4.4246038847794855E-6</v>
      </c>
      <c r="O11">
        <f>(O6*Parameters!$C104)+(O7*Parameters!$C106)+(O8*Parameters!$C105)+(O9*Parameters!$C107)+(O10*Parameters!$C108)</f>
        <v>3.9522319821044447E-4</v>
      </c>
      <c r="P11">
        <f>(P6*Parameters!$C104)+(P7*Parameters!$C106)+(P8*Parameters!$C105)+(P9*Parameters!$C107)+(P10*Parameters!$C108)</f>
        <v>1.8240307711105171E-9</v>
      </c>
      <c r="Q11">
        <f>(Q6*Parameters!$C104)+(Q7*Parameters!$C106)+(Q8*Parameters!$C105)+(Q9*Parameters!$C107)+(Q10*Parameters!$C108)</f>
        <v>1.3597248335377513E-4</v>
      </c>
      <c r="R11">
        <f>(R6*Parameters!$C104)+(R7*Parameters!$C106)+(R8*Parameters!$C105)+(R9*Parameters!$C107)+(R10*Parameters!$C108)</f>
        <v>1.4646723326948758E-4</v>
      </c>
      <c r="S11">
        <f>(S6*Parameters!$C104)+(S7*Parameters!$C106)+(S8*Parameters!$C105)+(S9*Parameters!$C107)+(S10*Parameters!$C108)</f>
        <v>8.9566471647205018E-5</v>
      </c>
      <c r="T11">
        <f>(T6*Parameters!$C104)+(T7*Parameters!$C106)+(T8*Parameters!$C105)+(T9*Parameters!$C107)+(T10*Parameters!$C108)</f>
        <v>6.5530318678349679E-3</v>
      </c>
    </row>
    <row r="12" spans="1:20" x14ac:dyDescent="0.35">
      <c r="A12" t="s">
        <v>97</v>
      </c>
      <c r="B12" t="s">
        <v>411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411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225</v>
      </c>
      <c r="B19" t="s">
        <v>411</v>
      </c>
      <c r="F19">
        <v>1</v>
      </c>
      <c r="Q19">
        <v>6.7908607564477613E-2</v>
      </c>
      <c r="S19">
        <v>1</v>
      </c>
    </row>
    <row r="20" spans="1:20" x14ac:dyDescent="0.35">
      <c r="A20" t="s">
        <v>226</v>
      </c>
      <c r="B20" t="s">
        <v>411</v>
      </c>
      <c r="C20">
        <v>233</v>
      </c>
      <c r="D20">
        <v>273</v>
      </c>
    </row>
    <row r="21" spans="1:20" x14ac:dyDescent="0.35">
      <c r="A21" t="s">
        <v>227</v>
      </c>
      <c r="B21" t="s">
        <v>411</v>
      </c>
      <c r="N21">
        <v>0.22589999999999991</v>
      </c>
    </row>
    <row r="22" spans="1:20" x14ac:dyDescent="0.35">
      <c r="A22" t="s">
        <v>145</v>
      </c>
      <c r="B22" t="s">
        <v>411</v>
      </c>
      <c r="Q22">
        <v>1</v>
      </c>
    </row>
    <row r="23" spans="1:20" x14ac:dyDescent="0.35">
      <c r="A23" t="s">
        <v>228</v>
      </c>
      <c r="B23" t="s">
        <v>411</v>
      </c>
      <c r="R23">
        <v>0.18</v>
      </c>
    </row>
    <row r="24" spans="1:20" x14ac:dyDescent="0.35">
      <c r="A24" t="s">
        <v>142</v>
      </c>
    </row>
    <row r="25" spans="1:20" x14ac:dyDescent="0.35">
      <c r="A25" t="s">
        <v>417</v>
      </c>
      <c r="B25" t="s">
        <v>411</v>
      </c>
      <c r="H25">
        <v>1</v>
      </c>
    </row>
    <row r="26" spans="1:20" x14ac:dyDescent="0.35">
      <c r="A26" t="s">
        <v>418</v>
      </c>
      <c r="B26" t="s">
        <v>411</v>
      </c>
      <c r="C26">
        <v>1</v>
      </c>
      <c r="D26">
        <v>1</v>
      </c>
    </row>
    <row r="27" spans="1:20" x14ac:dyDescent="0.35">
      <c r="A27" t="s">
        <v>229</v>
      </c>
      <c r="B27" t="s">
        <v>411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230</v>
      </c>
      <c r="B28" t="s">
        <v>411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231</v>
      </c>
      <c r="B29" t="s">
        <v>411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232</v>
      </c>
      <c r="B30" t="s">
        <v>411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233</v>
      </c>
      <c r="B31" t="s">
        <v>411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128</v>
      </c>
      <c r="B32" t="s">
        <v>411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255</v>
      </c>
      <c r="B33" t="s">
        <v>411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284</v>
      </c>
      <c r="B34" t="s">
        <v>241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343</v>
      </c>
      <c r="B35" t="s">
        <v>411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344</v>
      </c>
      <c r="B37" t="s">
        <v>129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346</v>
      </c>
      <c r="B38" t="s">
        <v>241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348</v>
      </c>
      <c r="B39" t="s">
        <v>220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08"/>
  <sheetViews>
    <sheetView workbookViewId="0">
      <selection activeCell="D7" sqref="D7"/>
    </sheetView>
  </sheetViews>
  <sheetFormatPr baseColWidth="10" defaultRowHeight="14.5" x14ac:dyDescent="0.35"/>
  <cols>
    <col min="1" max="1" width="20.36328125" customWidth="1"/>
    <col min="2" max="2" width="33.54296875" bestFit="1" customWidth="1"/>
    <col min="3" max="3" width="28.6328125" customWidth="1"/>
    <col min="4" max="4" width="22.179687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328</v>
      </c>
      <c r="F3" s="2"/>
    </row>
    <row r="4" spans="1:6" x14ac:dyDescent="0.35">
      <c r="A4" s="2"/>
      <c r="B4" s="2" t="s">
        <v>234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235</v>
      </c>
      <c r="C5" s="6">
        <v>0.77</v>
      </c>
      <c r="D5" s="2" t="s">
        <v>236</v>
      </c>
      <c r="E5" s="2"/>
      <c r="F5" s="2"/>
    </row>
    <row r="6" spans="1:6" x14ac:dyDescent="0.35">
      <c r="A6" s="2"/>
      <c r="B6" s="2" t="s">
        <v>422</v>
      </c>
      <c r="C6" s="26">
        <v>10</v>
      </c>
      <c r="D6" s="2" t="s">
        <v>333</v>
      </c>
      <c r="E6" s="2"/>
      <c r="F6" s="2"/>
    </row>
    <row r="7" spans="1:6" x14ac:dyDescent="0.35">
      <c r="A7" s="2" t="s">
        <v>6</v>
      </c>
      <c r="B7" s="2" t="s">
        <v>104</v>
      </c>
      <c r="C7" s="4">
        <f>374*1000</f>
        <v>374000</v>
      </c>
      <c r="D7" s="2" t="s">
        <v>240</v>
      </c>
      <c r="E7" s="2"/>
      <c r="F7" s="2" t="s">
        <v>61</v>
      </c>
    </row>
    <row r="8" spans="1:6" x14ac:dyDescent="0.35">
      <c r="A8" s="2"/>
      <c r="B8" s="2" t="s">
        <v>105</v>
      </c>
      <c r="C8" s="1">
        <v>0.86</v>
      </c>
      <c r="D8" s="2" t="s">
        <v>106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108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218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96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120</v>
      </c>
    </row>
    <row r="22" spans="1:6" x14ac:dyDescent="0.35">
      <c r="A22" s="2"/>
      <c r="B22" s="2" t="s">
        <v>121</v>
      </c>
      <c r="C22" s="4">
        <v>1.54</v>
      </c>
      <c r="D22" s="2" t="s">
        <v>122</v>
      </c>
      <c r="E22" s="2"/>
      <c r="F22" s="2" t="s">
        <v>120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254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123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149</v>
      </c>
    </row>
    <row r="34" spans="1:13" x14ac:dyDescent="0.35">
      <c r="A34" s="2"/>
      <c r="B34" t="s">
        <v>98</v>
      </c>
      <c r="C34" s="13">
        <f t="shared" ref="C34:C43" si="0">L37*L$48</f>
        <v>2.009683968926554</v>
      </c>
      <c r="D34" s="14" t="s">
        <v>126</v>
      </c>
      <c r="E34" s="2" t="s">
        <v>148</v>
      </c>
      <c r="F34" s="2"/>
    </row>
    <row r="35" spans="1:13" x14ac:dyDescent="0.35">
      <c r="A35" s="2"/>
      <c r="B35" t="s">
        <v>97</v>
      </c>
      <c r="C35" s="13">
        <f t="shared" si="0"/>
        <v>2.5621468926553675E-5</v>
      </c>
      <c r="D35" s="14" t="s">
        <v>126</v>
      </c>
      <c r="E35" s="2" t="s">
        <v>148</v>
      </c>
      <c r="F35" s="2"/>
    </row>
    <row r="36" spans="1:13" x14ac:dyDescent="0.35">
      <c r="A36" s="2"/>
      <c r="B36" t="s">
        <v>112</v>
      </c>
      <c r="C36" s="13">
        <f t="shared" si="0"/>
        <v>2.5621468926553675E-5</v>
      </c>
      <c r="D36" s="14" t="s">
        <v>126</v>
      </c>
      <c r="E36" s="2" t="s">
        <v>148</v>
      </c>
      <c r="F36" s="2"/>
    </row>
    <row r="37" spans="1:13" x14ac:dyDescent="0.35">
      <c r="A37" s="2"/>
      <c r="B37" t="s">
        <v>143</v>
      </c>
      <c r="C37" s="13">
        <f t="shared" si="0"/>
        <v>1.7774894067796614E-4</v>
      </c>
      <c r="D37" s="14" t="s">
        <v>126</v>
      </c>
      <c r="E37" s="2" t="s">
        <v>148</v>
      </c>
      <c r="F37" s="2"/>
      <c r="K37" t="s">
        <v>98</v>
      </c>
      <c r="L37">
        <f>39.1+86.4</f>
        <v>125.5</v>
      </c>
    </row>
    <row r="38" spans="1:13" x14ac:dyDescent="0.35">
      <c r="A38" s="2"/>
      <c r="B38" t="s">
        <v>144</v>
      </c>
      <c r="C38" s="13">
        <f t="shared" si="0"/>
        <v>1.3034922316384183E-4</v>
      </c>
      <c r="D38" s="14" t="s">
        <v>126</v>
      </c>
      <c r="E38" s="2" t="s">
        <v>148</v>
      </c>
      <c r="F38" s="2"/>
      <c r="K38" t="s">
        <v>97</v>
      </c>
      <c r="L38" s="5">
        <v>1.6000000000000001E-3</v>
      </c>
    </row>
    <row r="39" spans="1:13" x14ac:dyDescent="0.35">
      <c r="A39" s="2"/>
      <c r="B39" t="s">
        <v>145</v>
      </c>
      <c r="C39" s="13">
        <f t="shared" si="0"/>
        <v>1.3034922316384183E-4</v>
      </c>
      <c r="D39" s="14" t="s">
        <v>126</v>
      </c>
      <c r="E39" s="2" t="s">
        <v>148</v>
      </c>
      <c r="F39" s="2"/>
      <c r="K39" t="s">
        <v>112</v>
      </c>
      <c r="L39" s="5">
        <v>1.6000000000000001E-3</v>
      </c>
    </row>
    <row r="40" spans="1:13" x14ac:dyDescent="0.35">
      <c r="A40" s="2"/>
      <c r="B40" t="s">
        <v>125</v>
      </c>
      <c r="C40" s="13">
        <f t="shared" si="0"/>
        <v>1.713435734463277E-3</v>
      </c>
      <c r="D40" s="14" t="s">
        <v>126</v>
      </c>
      <c r="E40" s="2" t="s">
        <v>148</v>
      </c>
      <c r="F40" s="2"/>
      <c r="K40" t="s">
        <v>143</v>
      </c>
      <c r="L40" s="5">
        <v>1.11E-2</v>
      </c>
    </row>
    <row r="41" spans="1:13" x14ac:dyDescent="0.35">
      <c r="A41" s="2"/>
      <c r="B41" t="s">
        <v>111</v>
      </c>
      <c r="C41" s="13">
        <f t="shared" si="0"/>
        <v>5.4125353107344641E-5</v>
      </c>
      <c r="D41" s="14" t="s">
        <v>126</v>
      </c>
      <c r="E41" s="2" t="s">
        <v>148</v>
      </c>
      <c r="F41" s="2"/>
      <c r="K41" t="s">
        <v>144</v>
      </c>
      <c r="L41" s="5">
        <v>8.1399999999999997E-3</v>
      </c>
    </row>
    <row r="42" spans="1:13" x14ac:dyDescent="0.35">
      <c r="A42" s="2"/>
      <c r="B42" t="s">
        <v>124</v>
      </c>
      <c r="C42" s="13">
        <f t="shared" si="0"/>
        <v>1.4412076271186442E-3</v>
      </c>
      <c r="D42" s="14" t="s">
        <v>126</v>
      </c>
      <c r="E42" s="2" t="s">
        <v>148</v>
      </c>
      <c r="F42" s="2"/>
      <c r="K42" t="s">
        <v>145</v>
      </c>
      <c r="L42" s="5">
        <v>8.1399999999999997E-3</v>
      </c>
    </row>
    <row r="43" spans="1:13" x14ac:dyDescent="0.35">
      <c r="A43" s="2"/>
      <c r="B43" t="s">
        <v>146</v>
      </c>
      <c r="C43" s="13">
        <f t="shared" si="0"/>
        <v>8.615218926553674E-5</v>
      </c>
      <c r="D43" s="14" t="s">
        <v>126</v>
      </c>
      <c r="E43" s="2" t="s">
        <v>148</v>
      </c>
      <c r="F43" s="2"/>
      <c r="K43" t="s">
        <v>125</v>
      </c>
      <c r="L43" s="5">
        <v>0.107</v>
      </c>
    </row>
    <row r="44" spans="1:13" x14ac:dyDescent="0.35">
      <c r="A44" s="2"/>
      <c r="B44" s="9" t="s">
        <v>150</v>
      </c>
      <c r="C44" s="11">
        <v>2.7200000000000002E-3</v>
      </c>
      <c r="D44" s="9" t="s">
        <v>119</v>
      </c>
      <c r="E44" s="2" t="s">
        <v>151</v>
      </c>
      <c r="F44" s="2" t="s">
        <v>152</v>
      </c>
      <c r="K44" t="s">
        <v>111</v>
      </c>
      <c r="L44" s="5">
        <v>3.3800000000000002E-3</v>
      </c>
    </row>
    <row r="45" spans="1:13" x14ac:dyDescent="0.35">
      <c r="A45" s="2"/>
      <c r="B45" s="9"/>
      <c r="C45" s="11"/>
      <c r="D45" s="9"/>
      <c r="E45" s="2"/>
      <c r="F45" s="2"/>
      <c r="K45" t="s">
        <v>124</v>
      </c>
      <c r="L45" s="5">
        <v>0.09</v>
      </c>
    </row>
    <row r="46" spans="1:13" x14ac:dyDescent="0.35">
      <c r="A46" s="2" t="s">
        <v>127</v>
      </c>
      <c r="B46" s="2" t="s">
        <v>138</v>
      </c>
      <c r="C46" s="5"/>
      <c r="D46" s="2"/>
      <c r="E46" s="2"/>
      <c r="F46" s="2"/>
      <c r="K46" t="s">
        <v>146</v>
      </c>
      <c r="L46" s="5">
        <v>5.3800000000000002E-3</v>
      </c>
    </row>
    <row r="47" spans="1:13" x14ac:dyDescent="0.35">
      <c r="A47" s="2"/>
      <c r="B47" s="2" t="s">
        <v>137</v>
      </c>
      <c r="C47" s="10">
        <v>0.98499999999999999</v>
      </c>
      <c r="D47" s="2" t="s">
        <v>141</v>
      </c>
      <c r="E47" s="2"/>
      <c r="F47" s="2" t="s">
        <v>120</v>
      </c>
    </row>
    <row r="48" spans="1:13" x14ac:dyDescent="0.35">
      <c r="A48" s="2"/>
      <c r="B48" s="2" t="s">
        <v>136</v>
      </c>
      <c r="C48" s="10">
        <v>1.7999999999999999E-2</v>
      </c>
      <c r="D48" s="2" t="s">
        <v>140</v>
      </c>
      <c r="E48" s="2" t="s">
        <v>134</v>
      </c>
      <c r="F48" s="2" t="s">
        <v>120</v>
      </c>
      <c r="K48" t="s">
        <v>147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142</v>
      </c>
      <c r="C49" s="5">
        <v>6.0000000000000002E-6</v>
      </c>
      <c r="D49" s="2" t="s">
        <v>126</v>
      </c>
      <c r="E49" s="2" t="s">
        <v>134</v>
      </c>
      <c r="F49" s="2" t="s">
        <v>120</v>
      </c>
    </row>
    <row r="50" spans="1:16" x14ac:dyDescent="0.35">
      <c r="B50" s="2" t="s">
        <v>143</v>
      </c>
      <c r="C50" s="5">
        <v>6.6000000000000003E-6</v>
      </c>
      <c r="D50" s="2" t="s">
        <v>126</v>
      </c>
      <c r="E50" s="2" t="s">
        <v>134</v>
      </c>
      <c r="F50" s="2" t="s">
        <v>120</v>
      </c>
    </row>
    <row r="51" spans="1:16" x14ac:dyDescent="0.35">
      <c r="B51" s="2" t="s">
        <v>79</v>
      </c>
      <c r="C51">
        <v>0.34</v>
      </c>
      <c r="D51" t="s">
        <v>119</v>
      </c>
      <c r="E51" t="s">
        <v>134</v>
      </c>
      <c r="F51" s="2" t="s">
        <v>133</v>
      </c>
      <c r="G51" t="s">
        <v>139</v>
      </c>
      <c r="O51" t="e">
        <f>#REF!*C11*0.001</f>
        <v>#REF!</v>
      </c>
      <c r="P51" t="s">
        <v>88</v>
      </c>
    </row>
    <row r="52" spans="1:16" x14ac:dyDescent="0.35">
      <c r="B52" s="2" t="s">
        <v>128</v>
      </c>
      <c r="C52" s="5">
        <v>8.8999999999999995E-4</v>
      </c>
      <c r="D52" t="s">
        <v>126</v>
      </c>
      <c r="E52" t="s">
        <v>134</v>
      </c>
      <c r="F52" s="2" t="s">
        <v>133</v>
      </c>
    </row>
    <row r="53" spans="1:16" x14ac:dyDescent="0.35">
      <c r="B53" s="2" t="s">
        <v>135</v>
      </c>
      <c r="C53" s="5">
        <v>1.1900000000000001E-2</v>
      </c>
      <c r="D53" s="2" t="s">
        <v>126</v>
      </c>
      <c r="E53" t="s">
        <v>134</v>
      </c>
      <c r="F53" s="2" t="s">
        <v>133</v>
      </c>
    </row>
    <row r="54" spans="1:16" x14ac:dyDescent="0.35">
      <c r="A54" t="s">
        <v>130</v>
      </c>
      <c r="B54" s="2"/>
    </row>
    <row r="55" spans="1:16" x14ac:dyDescent="0.35">
      <c r="B55" s="2" t="s">
        <v>70</v>
      </c>
      <c r="C55" s="1">
        <v>0.35</v>
      </c>
      <c r="D55" t="s">
        <v>131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126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126</v>
      </c>
      <c r="F57" s="2" t="s">
        <v>67</v>
      </c>
      <c r="N57" t="s">
        <v>98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126</v>
      </c>
      <c r="F58" s="2" t="s">
        <v>67</v>
      </c>
      <c r="N58" t="s">
        <v>99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126</v>
      </c>
      <c r="F59" s="2" t="s">
        <v>67</v>
      </c>
      <c r="N59" t="s">
        <v>100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126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126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(Waste_characteristics!B3*C5)+(C5*C16*Waste_characteristics!B2)-((Waste_characteristics!B3*C5)*(1-Waste_characteristics!B4)*Parameters!C7*Parameters!C11*0.000001)-((Waste_characteristics!B3*C5)*(1-Waste_characteristics!B4)*Parameters!C7*((1-C10)/C10)*C12*0.000001)</f>
        <v>0.55582190304980861</v>
      </c>
      <c r="D66" t="s">
        <v>14</v>
      </c>
      <c r="E66" s="2"/>
      <c r="F66" s="2" t="s">
        <v>262</v>
      </c>
    </row>
    <row r="67" spans="1:8" x14ac:dyDescent="0.35">
      <c r="B67" s="2" t="s">
        <v>279</v>
      </c>
      <c r="C67" s="28">
        <f>(Waste_characteristics!B3*Waste_characteristics!B4*C5)+(((Waste_characteristics!B3*C5)+(Waste_characteristics!B7*(1-Parameters!C4)))*Parameters!C16)</f>
        <v>0.48928004489070026</v>
      </c>
      <c r="D67" t="s">
        <v>14</v>
      </c>
      <c r="E67" s="2"/>
      <c r="F67" s="2"/>
      <c r="G67" t="s">
        <v>282</v>
      </c>
      <c r="H67">
        <f>(-0.000001877*(298^2))+(0.001097*298)-0.156</f>
        <v>4.2208920000000316E-3</v>
      </c>
    </row>
    <row r="68" spans="1:8" x14ac:dyDescent="0.35">
      <c r="B68" s="2" t="s">
        <v>280</v>
      </c>
      <c r="C68" s="28">
        <f>C66-C67</f>
        <v>6.6541858159108347E-2</v>
      </c>
      <c r="D68" t="s">
        <v>14</v>
      </c>
      <c r="E68" s="2"/>
      <c r="F68" s="2"/>
    </row>
    <row r="69" spans="1:8" x14ac:dyDescent="0.35">
      <c r="B69" s="2" t="s">
        <v>281</v>
      </c>
      <c r="C69" s="27">
        <f>Waste_characteristics!B6*(1-Parameters!C8)</f>
        <v>4.9235126143879634E-2</v>
      </c>
      <c r="D69" t="s">
        <v>14</v>
      </c>
      <c r="E69" s="2"/>
      <c r="F69" s="2"/>
    </row>
    <row r="70" spans="1:8" x14ac:dyDescent="0.35">
      <c r="B70" s="2" t="s">
        <v>283</v>
      </c>
      <c r="C70" s="27">
        <f>998*(1-(H67*C83))^-1</f>
        <v>998.86430015839301</v>
      </c>
      <c r="D70" t="s">
        <v>78</v>
      </c>
      <c r="E70" s="2"/>
      <c r="F70" s="2"/>
    </row>
    <row r="71" spans="1:8" x14ac:dyDescent="0.35">
      <c r="A71" t="s">
        <v>101</v>
      </c>
      <c r="E71" s="28"/>
    </row>
    <row r="72" spans="1:8" x14ac:dyDescent="0.35">
      <c r="B72" s="7" t="s">
        <v>102</v>
      </c>
      <c r="C72" s="1">
        <v>0.1</v>
      </c>
      <c r="D72" s="2" t="s">
        <v>103</v>
      </c>
      <c r="E72" s="2"/>
    </row>
    <row r="73" spans="1:8" x14ac:dyDescent="0.35">
      <c r="B73" s="7" t="s">
        <v>102</v>
      </c>
      <c r="C73" s="29">
        <f>Waste_characteristics!B6*(1-Parameters!C8)*Parameters!C72</f>
        <v>4.9235126143879638E-3</v>
      </c>
      <c r="D73" t="s">
        <v>264</v>
      </c>
      <c r="E73" s="30"/>
      <c r="F73" t="s">
        <v>265</v>
      </c>
    </row>
    <row r="74" spans="1:8" x14ac:dyDescent="0.35">
      <c r="B74" t="s">
        <v>107</v>
      </c>
      <c r="C74">
        <f>(C73/C13)*C10*C11</f>
        <v>1.7377103344898693E-3</v>
      </c>
      <c r="D74" s="2" t="s">
        <v>14</v>
      </c>
      <c r="E74" s="2"/>
    </row>
    <row r="75" spans="1:8" x14ac:dyDescent="0.35">
      <c r="D75" s="2"/>
      <c r="E75" s="2"/>
    </row>
    <row r="76" spans="1:8" x14ac:dyDescent="0.35">
      <c r="A76" t="s">
        <v>109</v>
      </c>
    </row>
    <row r="77" spans="1:8" x14ac:dyDescent="0.35">
      <c r="B77" t="s">
        <v>110</v>
      </c>
      <c r="C77">
        <f>C66-C74</f>
        <v>0.55408419271531872</v>
      </c>
    </row>
    <row r="78" spans="1:8" x14ac:dyDescent="0.35">
      <c r="B78" t="s">
        <v>112</v>
      </c>
      <c r="C78">
        <v>1.2999999999999999E-2</v>
      </c>
      <c r="D78" t="s">
        <v>116</v>
      </c>
      <c r="F78" s="8" t="s">
        <v>113</v>
      </c>
    </row>
    <row r="79" spans="1:8" x14ac:dyDescent="0.35">
      <c r="B79" t="s">
        <v>111</v>
      </c>
      <c r="C79">
        <v>0.4</v>
      </c>
      <c r="D79" t="s">
        <v>117</v>
      </c>
      <c r="F79" s="8" t="s">
        <v>114</v>
      </c>
    </row>
    <row r="80" spans="1:8" x14ac:dyDescent="0.35">
      <c r="B80" t="s">
        <v>115</v>
      </c>
      <c r="C80">
        <v>0.15</v>
      </c>
      <c r="D80" t="s">
        <v>118</v>
      </c>
      <c r="E80" t="s">
        <v>271</v>
      </c>
      <c r="F80" t="s">
        <v>270</v>
      </c>
    </row>
    <row r="81" spans="1:4" x14ac:dyDescent="0.35">
      <c r="A81" t="s">
        <v>132</v>
      </c>
    </row>
    <row r="82" spans="1:4" x14ac:dyDescent="0.35">
      <c r="B82" t="s">
        <v>153</v>
      </c>
      <c r="C82" s="16">
        <v>0.91500000000000004</v>
      </c>
      <c r="D82" t="s">
        <v>160</v>
      </c>
    </row>
    <row r="83" spans="1:4" x14ac:dyDescent="0.35">
      <c r="B83" t="s">
        <v>154</v>
      </c>
      <c r="C83" s="16">
        <v>0.20499999999999999</v>
      </c>
      <c r="D83" t="s">
        <v>161</v>
      </c>
    </row>
    <row r="84" spans="1:4" x14ac:dyDescent="0.35">
      <c r="B84" t="s">
        <v>155</v>
      </c>
      <c r="C84">
        <v>3.6315142617449662E-3</v>
      </c>
      <c r="D84" t="s">
        <v>162</v>
      </c>
    </row>
    <row r="85" spans="1:4" x14ac:dyDescent="0.35">
      <c r="B85" t="s">
        <v>156</v>
      </c>
      <c r="C85" s="16">
        <v>0.54699999999999993</v>
      </c>
      <c r="D85" t="s">
        <v>163</v>
      </c>
    </row>
    <row r="86" spans="1:4" x14ac:dyDescent="0.35">
      <c r="B86" t="s">
        <v>157</v>
      </c>
      <c r="C86" s="16">
        <v>0.36399999999999999</v>
      </c>
      <c r="D86" t="s">
        <v>164</v>
      </c>
    </row>
    <row r="87" spans="1:4" x14ac:dyDescent="0.35">
      <c r="B87" t="s">
        <v>158</v>
      </c>
      <c r="C87" s="16">
        <v>0.84620000000000006</v>
      </c>
      <c r="D87" t="s">
        <v>165</v>
      </c>
    </row>
    <row r="88" spans="1:4" x14ac:dyDescent="0.35">
      <c r="B88" t="s">
        <v>159</v>
      </c>
      <c r="C88" s="16">
        <v>0.34799999999999998</v>
      </c>
      <c r="D88" t="s">
        <v>166</v>
      </c>
    </row>
    <row r="89" spans="1:4" x14ac:dyDescent="0.35">
      <c r="A89" t="s">
        <v>167</v>
      </c>
    </row>
    <row r="90" spans="1:4" x14ac:dyDescent="0.35">
      <c r="B90" t="s">
        <v>168</v>
      </c>
      <c r="C90" s="16">
        <v>0.57999999999999996</v>
      </c>
      <c r="D90" t="s">
        <v>169</v>
      </c>
    </row>
    <row r="91" spans="1:4" x14ac:dyDescent="0.35">
      <c r="B91" t="s">
        <v>170</v>
      </c>
      <c r="C91" s="16">
        <v>9.8600000000000007E-3</v>
      </c>
      <c r="D91" t="s">
        <v>171</v>
      </c>
    </row>
    <row r="92" spans="1:4" x14ac:dyDescent="0.35">
      <c r="B92" t="s">
        <v>172</v>
      </c>
      <c r="C92" s="16">
        <v>9.4999999999999998E-3</v>
      </c>
      <c r="D92" t="s">
        <v>173</v>
      </c>
    </row>
    <row r="93" spans="1:4" x14ac:dyDescent="0.35">
      <c r="B93" t="s">
        <v>174</v>
      </c>
      <c r="C93" s="16">
        <v>0.04</v>
      </c>
      <c r="D93" t="s">
        <v>173</v>
      </c>
    </row>
    <row r="94" spans="1:4" x14ac:dyDescent="0.35">
      <c r="B94" t="s">
        <v>175</v>
      </c>
      <c r="C94" s="16">
        <v>0.104</v>
      </c>
      <c r="D94" t="s">
        <v>176</v>
      </c>
    </row>
    <row r="95" spans="1:4" x14ac:dyDescent="0.35">
      <c r="B95" t="s">
        <v>177</v>
      </c>
      <c r="C95" s="16">
        <v>4.0000000000000002E-4</v>
      </c>
      <c r="D95" t="s">
        <v>171</v>
      </c>
    </row>
    <row r="96" spans="1:4" x14ac:dyDescent="0.35">
      <c r="B96" t="s">
        <v>178</v>
      </c>
      <c r="C96" s="16">
        <v>0.48</v>
      </c>
      <c r="D96" t="s">
        <v>179</v>
      </c>
    </row>
    <row r="97" spans="1:5" x14ac:dyDescent="0.35">
      <c r="B97" t="s">
        <v>180</v>
      </c>
      <c r="C97">
        <v>10.523342983999999</v>
      </c>
      <c r="D97" t="s">
        <v>182</v>
      </c>
    </row>
    <row r="98" spans="1:5" x14ac:dyDescent="0.35">
      <c r="B98" t="s">
        <v>181</v>
      </c>
      <c r="C98">
        <v>1.7990406305204509</v>
      </c>
      <c r="D98" t="s">
        <v>183</v>
      </c>
    </row>
    <row r="99" spans="1:5" x14ac:dyDescent="0.35">
      <c r="B99" t="s">
        <v>294</v>
      </c>
      <c r="C99" s="26">
        <v>0.84</v>
      </c>
      <c r="D99" t="s">
        <v>295</v>
      </c>
    </row>
    <row r="100" spans="1:5" x14ac:dyDescent="0.35">
      <c r="A100" t="s">
        <v>184</v>
      </c>
    </row>
    <row r="101" spans="1:5" x14ac:dyDescent="0.35">
      <c r="C101" t="s">
        <v>224</v>
      </c>
    </row>
    <row r="104" spans="1:5" x14ac:dyDescent="0.35">
      <c r="A104" t="s">
        <v>243</v>
      </c>
      <c r="B104" s="19" t="s">
        <v>244</v>
      </c>
      <c r="C104">
        <v>0.47101295324660464</v>
      </c>
    </row>
    <row r="105" spans="1:5" x14ac:dyDescent="0.35">
      <c r="B105" s="19" t="s">
        <v>247</v>
      </c>
      <c r="C105">
        <f>0.00385440116849596*(2/5)</f>
        <v>1.5417604673983842E-3</v>
      </c>
      <c r="E105" t="s">
        <v>250</v>
      </c>
    </row>
    <row r="106" spans="1:5" x14ac:dyDescent="0.35">
      <c r="B106" t="s">
        <v>248</v>
      </c>
      <c r="C106">
        <f>0.00385440116849596*(3/5)</f>
        <v>2.3126407010975762E-3</v>
      </c>
      <c r="E106" t="s">
        <v>250</v>
      </c>
    </row>
    <row r="107" spans="1:5" x14ac:dyDescent="0.35">
      <c r="B107" s="19" t="s">
        <v>245</v>
      </c>
      <c r="C107">
        <v>0.36064674386390433</v>
      </c>
    </row>
    <row r="108" spans="1:5" x14ac:dyDescent="0.35">
      <c r="B108" s="19" t="s">
        <v>246</v>
      </c>
      <c r="C108">
        <v>0.16448590172099503</v>
      </c>
    </row>
  </sheetData>
  <hyperlinks>
    <hyperlink ref="F78" r:id="rId1" xr:uid="{9BBFB4ED-D8C2-43B9-9DDA-65BB07F7577F}"/>
    <hyperlink ref="F21" r:id="rId2" xr:uid="{D0E4D42D-1CC4-43D1-9B5D-F20FE75F4462}"/>
    <hyperlink ref="F33" r:id="rId3" xr:uid="{F5A2770C-B205-4146-A421-558C59CAB5D8}"/>
    <hyperlink ref="F79" r:id="rId4" location="sec3" xr:uid="{4DA64013-DBDC-4C21-88BA-185CE17CC1AA}"/>
  </hyperlinks>
  <pageMargins left="0.7" right="0.7" top="0.75" bottom="0.75" header="0.3" footer="0.3"/>
  <pageSetup paperSize="9" orientation="portrait" verticalDpi="597" r:id="rId5"/>
  <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187</v>
      </c>
      <c r="D1" s="21" t="s">
        <v>188</v>
      </c>
      <c r="E1" s="21" t="s">
        <v>189</v>
      </c>
      <c r="F1" s="21" t="s">
        <v>190</v>
      </c>
      <c r="G1" s="21" t="s">
        <v>191</v>
      </c>
      <c r="H1" s="21" t="s">
        <v>192</v>
      </c>
      <c r="I1" s="21" t="s">
        <v>193</v>
      </c>
      <c r="J1" s="21" t="s">
        <v>194</v>
      </c>
      <c r="K1" s="21" t="s">
        <v>195</v>
      </c>
      <c r="L1" s="21" t="s">
        <v>196</v>
      </c>
      <c r="M1" s="21" t="s">
        <v>197</v>
      </c>
      <c r="N1" s="21" t="s">
        <v>198</v>
      </c>
      <c r="O1" s="21" t="s">
        <v>199</v>
      </c>
      <c r="P1" s="21" t="s">
        <v>200</v>
      </c>
      <c r="Q1" s="21" t="s">
        <v>201</v>
      </c>
      <c r="R1" s="21" t="s">
        <v>202</v>
      </c>
      <c r="S1" s="21" t="s">
        <v>203</v>
      </c>
      <c r="T1" s="21" t="s">
        <v>204</v>
      </c>
      <c r="U1" s="21" t="s">
        <v>205</v>
      </c>
      <c r="V1" s="21" t="s">
        <v>206</v>
      </c>
      <c r="W1" s="21" t="s">
        <v>207</v>
      </c>
      <c r="X1" s="21" t="s">
        <v>208</v>
      </c>
      <c r="Y1" s="21" t="s">
        <v>209</v>
      </c>
      <c r="Z1" s="21" t="s">
        <v>210</v>
      </c>
      <c r="AA1" s="21" t="s">
        <v>211</v>
      </c>
    </row>
    <row r="2" spans="1:27" x14ac:dyDescent="0.35">
      <c r="A2" t="s">
        <v>5</v>
      </c>
    </row>
    <row r="3" spans="1:27" x14ac:dyDescent="0.35">
      <c r="B3" t="s">
        <v>251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252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237</v>
      </c>
    </row>
    <row r="6" spans="1:27" x14ac:dyDescent="0.35">
      <c r="B6" t="s">
        <v>237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303</v>
      </c>
    </row>
    <row r="8" spans="1:27" x14ac:dyDescent="0.35">
      <c r="B8" t="s">
        <v>304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305</v>
      </c>
    </row>
    <row r="10" spans="1:27" x14ac:dyDescent="0.35">
      <c r="B10" t="s">
        <v>306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307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308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251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8" t="s">
        <v>309</v>
      </c>
    </row>
    <row r="15" spans="1:27" x14ac:dyDescent="0.35">
      <c r="B15" t="s">
        <v>310</v>
      </c>
    </row>
    <row r="16" spans="1:27" x14ac:dyDescent="0.35">
      <c r="B16" t="s">
        <v>311</v>
      </c>
    </row>
    <row r="17" spans="1:2" x14ac:dyDescent="0.35">
      <c r="B17" t="s">
        <v>312</v>
      </c>
    </row>
    <row r="18" spans="1:2" x14ac:dyDescent="0.35">
      <c r="B18" t="s">
        <v>313</v>
      </c>
    </row>
    <row r="19" spans="1:2" x14ac:dyDescent="0.35">
      <c r="A19" s="38" t="s">
        <v>319</v>
      </c>
    </row>
    <row r="20" spans="1:2" x14ac:dyDescent="0.35">
      <c r="B20" t="s">
        <v>314</v>
      </c>
    </row>
    <row r="21" spans="1:2" x14ac:dyDescent="0.35">
      <c r="B21" t="s">
        <v>315</v>
      </c>
    </row>
    <row r="22" spans="1:2" x14ac:dyDescent="0.35">
      <c r="B22" t="s">
        <v>316</v>
      </c>
    </row>
    <row r="23" spans="1:2" x14ac:dyDescent="0.35">
      <c r="B23" t="s">
        <v>317</v>
      </c>
    </row>
    <row r="24" spans="1:2" x14ac:dyDescent="0.35">
      <c r="B24" t="s">
        <v>318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1" customFormat="1" ht="87" x14ac:dyDescent="0.35">
      <c r="A1" s="31" t="s">
        <v>0</v>
      </c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251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252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237</v>
      </c>
    </row>
    <row r="6" spans="1:20" x14ac:dyDescent="0.35">
      <c r="B6" t="s">
        <v>237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251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253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259</v>
      </c>
    </row>
    <row r="21" spans="1:21" x14ac:dyDescent="0.35">
      <c r="B21" s="20" t="s">
        <v>259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123</v>
      </c>
    </row>
    <row r="24" spans="1:21" x14ac:dyDescent="0.35">
      <c r="B24" t="s">
        <v>98</v>
      </c>
    </row>
    <row r="25" spans="1:21" x14ac:dyDescent="0.35">
      <c r="B25" t="s">
        <v>97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112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143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144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145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125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111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124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146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251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260</v>
      </c>
    </row>
    <row r="37" spans="1:21" x14ac:dyDescent="0.35">
      <c r="B37" s="2" t="s">
        <v>98</v>
      </c>
    </row>
    <row r="38" spans="1:21" x14ac:dyDescent="0.35">
      <c r="B38" s="2" t="s">
        <v>97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142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143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128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135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130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101</v>
      </c>
    </row>
    <row r="54" spans="1:20" x14ac:dyDescent="0.35">
      <c r="B54" t="s">
        <v>97</v>
      </c>
      <c r="C54">
        <f>LCI!$E63*impact_process_mid!C11</f>
        <v>0</v>
      </c>
      <c r="D54">
        <f>LCI!$E63*impact_process_mid!D11</f>
        <v>59.082151372655559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272</v>
      </c>
    </row>
    <row r="57" spans="1:20" x14ac:dyDescent="0.35">
      <c r="B57" t="s">
        <v>112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111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115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275</v>
      </c>
    </row>
    <row r="62" spans="1:20" x14ac:dyDescent="0.35">
      <c r="B62" t="s">
        <v>8</v>
      </c>
      <c r="C62">
        <f>LCI!$E73*impact_process_mid!C2</f>
        <v>1.8265950741946032E-4</v>
      </c>
      <c r="D62">
        <f>LCI!$E73*impact_process_mid!D2</f>
        <v>0.1602794196831773</v>
      </c>
      <c r="E62">
        <f>LCI!$E73*impact_process_mid!E2</f>
        <v>1.2521471663222891E-2</v>
      </c>
      <c r="F62">
        <f>LCI!$E73*impact_process_mid!F2</f>
        <v>1.5845570275665508E-2</v>
      </c>
      <c r="G62">
        <f>LCI!$E73*impact_process_mid!G2</f>
        <v>1.1452185883214669</v>
      </c>
      <c r="H62">
        <f>LCI!$E73*impact_process_mid!H2</f>
        <v>4.9201728089504591E-2</v>
      </c>
      <c r="I62">
        <f>LCI!$E73*impact_process_mid!I2</f>
        <v>3.0971775884959016E-5</v>
      </c>
      <c r="J62">
        <f>LCI!$E73*impact_process_mid!J2</f>
        <v>2.3346920610902848E-5</v>
      </c>
      <c r="K62">
        <f>LCI!$E73*impact_process_mid!K2</f>
        <v>1.1938796881778032E-2</v>
      </c>
      <c r="L62">
        <f>LCI!$E73*impact_process_mid!L2</f>
        <v>0.2582517615588022</v>
      </c>
      <c r="M62">
        <f>LCI!$E73*impact_process_mid!M2</f>
        <v>1.1102950476762483</v>
      </c>
      <c r="N62">
        <f>LCI!$E73*impact_process_mid!N2</f>
        <v>5.7538141409437171E-3</v>
      </c>
      <c r="O62">
        <f>LCI!$E73*impact_process_mid!O2</f>
        <v>3.5781895592028722E-3</v>
      </c>
      <c r="P62">
        <f>LCI!$E73*impact_process_mid!P2</f>
        <v>1.7451562512421255E-7</v>
      </c>
      <c r="Q62">
        <f>LCI!$E73*impact_process_mid!Q2</f>
        <v>1.0130946681973936E-4</v>
      </c>
      <c r="R62">
        <f>LCI!$E73*impact_process_mid!R2</f>
        <v>1.6489114781195334E-4</v>
      </c>
      <c r="S62">
        <f>LCI!$E73*impact_process_mid!S2</f>
        <v>1.8206270386414357E-4</v>
      </c>
      <c r="T62">
        <f>LCI!$E73*impact_process_mid!T2</f>
        <v>6.3283949295114151E-3</v>
      </c>
    </row>
    <row r="64" spans="1:20" x14ac:dyDescent="0.35">
      <c r="A64" t="s">
        <v>288</v>
      </c>
    </row>
    <row r="65" spans="1:20" x14ac:dyDescent="0.35">
      <c r="B65" t="s">
        <v>289</v>
      </c>
    </row>
    <row r="66" spans="1:20" x14ac:dyDescent="0.35">
      <c r="B66" t="s">
        <v>288</v>
      </c>
      <c r="C66">
        <f>LCI!$E78*impact_process_mid!C32</f>
        <v>3.7855852658257797E-4</v>
      </c>
      <c r="D66">
        <f>LCI!$E78*impact_process_mid!D32</f>
        <v>0.12545430690251114</v>
      </c>
      <c r="E66">
        <f>LCI!$E78*impact_process_mid!E32</f>
        <v>7.3907465229837883E-3</v>
      </c>
      <c r="F66">
        <f>LCI!$E78*impact_process_mid!F32</f>
        <v>9.9677920024060819E-3</v>
      </c>
      <c r="G66">
        <f>LCI!$E78*impact_process_mid!G32</f>
        <v>0.46337019848792349</v>
      </c>
      <c r="H66">
        <f>LCI!$E78*impact_process_mid!H32</f>
        <v>2.2101395782072313E-2</v>
      </c>
      <c r="I66">
        <f>LCI!$E78*impact_process_mid!I32</f>
        <v>4.6895376565924974E-4</v>
      </c>
      <c r="J66">
        <f>LCI!$E78*impact_process_mid!J32</f>
        <v>1.419288305710987E-3</v>
      </c>
      <c r="K66">
        <f>LCI!$E78*impact_process_mid!K32</f>
        <v>8.6682887274452045E-3</v>
      </c>
      <c r="L66">
        <f>LCI!$E78*impact_process_mid!L32</f>
        <v>0.89011807533187148</v>
      </c>
      <c r="M66">
        <f>LCI!$E78*impact_process_mid!M32</f>
        <v>5.0157820584228836E-3</v>
      </c>
      <c r="N66">
        <f>LCI!$E78*impact_process_mid!N32</f>
        <v>2.2118379976640789E-3</v>
      </c>
      <c r="O66">
        <f>LCI!$E78*impact_process_mid!O32</f>
        <v>1.7163171646857461E-3</v>
      </c>
      <c r="P66">
        <f>LCI!$E78*impact_process_mid!P32</f>
        <v>5.0682912008546004E-7</v>
      </c>
      <c r="Q66">
        <f>LCI!$E78*impact_process_mid!Q32</f>
        <v>1.7959448380599778E-4</v>
      </c>
      <c r="R66">
        <f>LCI!$E78*impact_process_mid!R32</f>
        <v>2.8710663421650762E-4</v>
      </c>
      <c r="S66">
        <f>LCI!$E78*impact_process_mid!S32</f>
        <v>2.942304631168909E-4</v>
      </c>
      <c r="T66">
        <f>LCI!$E78*impact_process_mid!T32</f>
        <v>7.7570300872879762E-4</v>
      </c>
    </row>
    <row r="68" spans="1:20" x14ac:dyDescent="0.35">
      <c r="A68" t="s">
        <v>290</v>
      </c>
    </row>
    <row r="69" spans="1:20" x14ac:dyDescent="0.35">
      <c r="B69" t="s">
        <v>97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112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111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291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5.5599130733450484E-3</v>
      </c>
      <c r="S72">
        <f>LCI!$E86*impact_process_mid!S22</f>
        <v>8.9576377292781336E-3</v>
      </c>
      <c r="T72">
        <f>LCI!$E86*impact_process_mid!T22</f>
        <v>0</v>
      </c>
    </row>
    <row r="73" spans="1:20" x14ac:dyDescent="0.35">
      <c r="B73" t="s">
        <v>124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276</v>
      </c>
      <c r="C74">
        <f>LCI!$E89*impact_process_mid!C2</f>
        <v>2.8283604383223988E-4</v>
      </c>
      <c r="D74">
        <f>LCI!$E89*impact_process_mid!D2</f>
        <v>0.24818197317709073</v>
      </c>
      <c r="E74">
        <f>LCI!$E89*impact_process_mid!E2</f>
        <v>1.9388662316113033E-2</v>
      </c>
      <c r="F74">
        <f>LCI!$E89*impact_process_mid!F2</f>
        <v>2.453580693581512E-2</v>
      </c>
      <c r="G74">
        <f>LCI!$E89*impact_process_mid!G2</f>
        <v>1.7732944724314825</v>
      </c>
      <c r="H74">
        <f>LCI!$E89*impact_process_mid!H2</f>
        <v>7.6185588799318499E-2</v>
      </c>
      <c r="I74">
        <f>LCI!$E89*impact_process_mid!I2</f>
        <v>4.795772574621159E-5</v>
      </c>
      <c r="J74">
        <f>LCI!$E89*impact_process_mid!J2</f>
        <v>3.6151146767790033E-5</v>
      </c>
      <c r="K74">
        <f>LCI!$E89*impact_process_mid!K2</f>
        <v>1.8486429345308905E-2</v>
      </c>
      <c r="L74">
        <f>LCI!$E89*impact_process_mid!L2</f>
        <v>0.39988559907950699</v>
      </c>
      <c r="M74">
        <f>LCI!$E89*impact_process_mid!M2</f>
        <v>1.7192177029697921</v>
      </c>
      <c r="N74">
        <f>LCI!$E89*impact_process_mid!N2</f>
        <v>8.9093967872878391E-3</v>
      </c>
      <c r="O74">
        <f>LCI!$E89*impact_process_mid!O2</f>
        <v>5.5405874750483709E-3</v>
      </c>
      <c r="P74">
        <f>LCI!$E89*impact_process_mid!P2</f>
        <v>2.7022578618748563E-7</v>
      </c>
      <c r="Q74">
        <f>LCI!$E89*impact_process_mid!Q2</f>
        <v>1.5687094092642833E-4</v>
      </c>
      <c r="R74">
        <f>LCI!$E89*impact_process_mid!R2</f>
        <v>2.5532292607683511E-4</v>
      </c>
      <c r="S74">
        <f>LCI!$E89*impact_process_mid!S2</f>
        <v>2.8191193339903274E-4</v>
      </c>
      <c r="T74">
        <f>LCI!$E89*impact_process_mid!T2</f>
        <v>9.7990967508780318E-3</v>
      </c>
    </row>
    <row r="75" spans="1:20" x14ac:dyDescent="0.35">
      <c r="B75" t="s">
        <v>292</v>
      </c>
      <c r="C75">
        <f>LCI!$E90*impact_process_mid!C25</f>
        <v>1.0551509084848684E-3</v>
      </c>
      <c r="D75">
        <f>LCI!$E90*impact_process_mid!D25</f>
        <v>0.41685771703198737</v>
      </c>
      <c r="E75">
        <f>LCI!$E90*impact_process_mid!E25</f>
        <v>3.63724840737384E-3</v>
      </c>
      <c r="F75">
        <f>LCI!$E90*impact_process_mid!F25</f>
        <v>6.4855792280490787E-3</v>
      </c>
      <c r="G75">
        <f>LCI!$E90*impact_process_mid!G25</f>
        <v>0.83280745746285745</v>
      </c>
      <c r="H75">
        <f>LCI!$E90*impact_process_mid!H25</f>
        <v>0.5397275958391109</v>
      </c>
      <c r="I75">
        <f>LCI!$E90*impact_process_mid!I25</f>
        <v>2.2703649930984119E-5</v>
      </c>
      <c r="J75">
        <f>LCI!$E90*impact_process_mid!J25</f>
        <v>4.2665549415272655E-5</v>
      </c>
      <c r="K75">
        <f>LCI!$E90*impact_process_mid!K25</f>
        <v>1.4899711758887775E-2</v>
      </c>
      <c r="L75">
        <f>LCI!$E90*impact_process_mid!L25</f>
        <v>0.10636357888329026</v>
      </c>
      <c r="M75">
        <f>LCI!$E90*impact_process_mid!M25</f>
        <v>8.3440868255182897E-3</v>
      </c>
      <c r="N75">
        <f>LCI!$E90*impact_process_mid!N25</f>
        <v>3.6844313332009015E-3</v>
      </c>
      <c r="O75">
        <f>LCI!$E90*impact_process_mid!O25</f>
        <v>7.9084108246016815E-3</v>
      </c>
      <c r="P75">
        <f>LCI!$E90*impact_process_mid!P25</f>
        <v>1.0124339029564232E-7</v>
      </c>
      <c r="Q75">
        <f>LCI!$E90*impact_process_mid!Q25</f>
        <v>3.8223633073806757E-4</v>
      </c>
      <c r="R75">
        <f>LCI!$E90*impact_process_mid!R25</f>
        <v>1.0960455286719139E-3</v>
      </c>
      <c r="S75">
        <f>LCI!$E90*impact_process_mid!S25</f>
        <v>1.3896038157386475E-3</v>
      </c>
      <c r="T75">
        <f>LCI!$E90*impact_process_mid!T25</f>
        <v>7.0911935795316724E-4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Plages nommées</vt:lpstr>
      </vt:variant>
      <vt:variant>
        <vt:i4>5</vt:i4>
      </vt:variant>
    </vt:vector>
  </HeadingPairs>
  <TitlesOfParts>
    <vt:vector size="26" baseType="lpstr">
      <vt:lpstr>Waste_characteristics</vt:lpstr>
      <vt:lpstr>LCI</vt:lpstr>
      <vt:lpstr>LCI_AD-c</vt:lpstr>
      <vt:lpstr>LCI_AD-d</vt:lpstr>
      <vt:lpstr>LCI_AD-b</vt:lpstr>
      <vt:lpstr>params_HC</vt:lpstr>
      <vt:lpstr>LCI_HC</vt:lpstr>
      <vt:lpstr>LCIA_HC</vt:lpstr>
      <vt:lpstr>LCI_AD-a</vt:lpstr>
      <vt:lpstr>LCI_IC</vt:lpstr>
      <vt:lpstr>LCIA_IC</vt:lpstr>
      <vt:lpstr>IW+_end</vt:lpstr>
      <vt:lpstr>LCIA_AD-a</vt:lpstr>
      <vt:lpstr>IW+f</vt:lpstr>
      <vt:lpstr>AD_a_end</vt:lpstr>
      <vt:lpstr>impact_process_end</vt:lpstr>
      <vt:lpstr>impact_process_mid</vt:lpstr>
      <vt:lpstr>IW+_mid</vt:lpstr>
      <vt:lpstr>Parameters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2025-09-24T14:54:54Z</dcterms:modified>
</cp:coreProperties>
</file>