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F54AD6E2-225E-46EE-A792-ABD605C3E19A}" xr6:coauthVersionLast="36" xr6:coauthVersionMax="36" xr10:uidLastSave="{00000000-0000-0000-0000-000000000000}"/>
  <bookViews>
    <workbookView xWindow="0" yWindow="0" windowWidth="19200" windowHeight="6930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3" i="4"/>
  <c r="B2" i="4"/>
  <c r="D4" i="3" l="1"/>
</calcChain>
</file>

<file path=xl/sharedStrings.xml><?xml version="1.0" encoding="utf-8"?>
<sst xmlns="http://schemas.openxmlformats.org/spreadsheetml/2006/main" count="46" uniqueCount="30">
  <si>
    <t>HC</t>
  </si>
  <si>
    <t>IC</t>
  </si>
  <si>
    <t>Home Composting</t>
  </si>
  <si>
    <t>Industrial composting</t>
  </si>
  <si>
    <t>l.b</t>
  </si>
  <si>
    <t>u.b</t>
  </si>
  <si>
    <t>t/y</t>
  </si>
  <si>
    <t>Symbol</t>
  </si>
  <si>
    <t>name</t>
  </si>
  <si>
    <t>Coproduct</t>
  </si>
  <si>
    <t>compost</t>
  </si>
  <si>
    <t>AD-a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</si>
  <si>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</si>
  <si>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</si>
  <si>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</si>
  <si>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</si>
  <si>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</si>
  <si>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</si>
  <si>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</si>
  <si>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</si>
  <si>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</si>
  <si>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</si>
  <si>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Co-product</t>
  </si>
  <si>
    <t>Conventional product</t>
  </si>
  <si>
    <t>MJ/t</t>
  </si>
  <si>
    <t>AD+CHP+Digestate</t>
  </si>
  <si>
    <t>N-fertilizer</t>
  </si>
  <si>
    <t>P-fertilizer</t>
  </si>
  <si>
    <t>K-fertilizer</t>
  </si>
  <si>
    <t>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</si>
</sst>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_CHP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_characteristics"/>
      <sheetName val="LCI"/>
      <sheetName val="SP_mid"/>
      <sheetName val="SP_end"/>
      <sheetName val="Parameters"/>
      <sheetName val="Feuil5"/>
      <sheetName val="HC_end"/>
      <sheetName val="HC_mid"/>
      <sheetName val="IC_mid"/>
      <sheetName val="IC_end"/>
      <sheetName val="impact_process_end"/>
      <sheetName val="impact_process_mid"/>
      <sheetName val="AD_a_end"/>
      <sheetName val="AD_a_mid"/>
    </sheetNames>
    <sheetDataSet>
      <sheetData sheetId="0" refreshError="1"/>
      <sheetData sheetId="1">
        <row r="24">
          <cell r="E24">
            <v>2161.4235062008215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1">
          <cell r="C21">
            <v>2.0114159106083146E-8</v>
          </cell>
        </row>
      </sheetData>
      <sheetData sheetId="13">
        <row r="21">
          <cell r="C21">
            <v>9.4856034682359522E-2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9">
          <cell r="B9">
            <v>1.1204000000000001</v>
          </cell>
        </row>
        <row r="17">
          <cell r="B17">
            <v>1.16046876865655E-2</v>
          </cell>
        </row>
        <row r="21">
          <cell r="B21">
            <v>3.4213222566132203E-3</v>
          </cell>
        </row>
        <row r="23">
          <cell r="B23">
            <v>5.021894827387267E-3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4"/>
  <sheetViews>
    <sheetView tabSelected="1" workbookViewId="0">
      <selection activeCell="E6" sqref="E6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7</v>
      </c>
      <c r="B1" t="s">
        <v>14</v>
      </c>
      <c r="C1" t="s">
        <v>8</v>
      </c>
    </row>
    <row r="2" spans="1:3" x14ac:dyDescent="0.35">
      <c r="A2" t="s">
        <v>0</v>
      </c>
      <c r="B2" t="s">
        <v>12</v>
      </c>
      <c r="C2" t="s">
        <v>2</v>
      </c>
    </row>
    <row r="3" spans="1:3" x14ac:dyDescent="0.35">
      <c r="A3" t="s">
        <v>1</v>
      </c>
      <c r="B3" t="s">
        <v>13</v>
      </c>
      <c r="C3" t="s">
        <v>3</v>
      </c>
    </row>
    <row r="4" spans="1:3" x14ac:dyDescent="0.35">
      <c r="A4" t="s">
        <v>11</v>
      </c>
      <c r="B4" t="s">
        <v>13</v>
      </c>
      <c r="C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17"/>
  <sheetViews>
    <sheetView workbookViewId="0">
      <selection activeCell="C5" sqref="C5"/>
    </sheetView>
  </sheetViews>
  <sheetFormatPr baseColWidth="10" defaultRowHeight="14.5" x14ac:dyDescent="0.35"/>
  <cols>
    <col min="8" max="8" width="51.36328125" customWidth="1"/>
    <col min="9" max="9" width="33.54296875" customWidth="1"/>
  </cols>
  <sheetData>
    <row r="1" spans="1:9" x14ac:dyDescent="0.35">
      <c r="B1" t="s">
        <v>4</v>
      </c>
      <c r="C1" t="s">
        <v>5</v>
      </c>
      <c r="I1" t="s">
        <v>9</v>
      </c>
    </row>
    <row r="2" spans="1:9" x14ac:dyDescent="0.35">
      <c r="A2" t="s">
        <v>0</v>
      </c>
      <c r="I2" t="s">
        <v>10</v>
      </c>
    </row>
    <row r="3" spans="1:9" x14ac:dyDescent="0.35">
      <c r="A3" t="s">
        <v>1</v>
      </c>
      <c r="C3">
        <v>3000</v>
      </c>
      <c r="I3" t="s">
        <v>10</v>
      </c>
    </row>
    <row r="4" spans="1:9" x14ac:dyDescent="0.35">
      <c r="A4" t="s">
        <v>11</v>
      </c>
      <c r="C4">
        <v>1500</v>
      </c>
    </row>
    <row r="6" spans="1:9" x14ac:dyDescent="0.35">
      <c r="C6" s="2"/>
    </row>
    <row r="13" spans="1:9" x14ac:dyDescent="0.35">
      <c r="B13" t="s">
        <v>6</v>
      </c>
      <c r="C13" t="s">
        <v>6</v>
      </c>
    </row>
    <row r="17" spans="4:4" x14ac:dyDescent="0.35">
      <c r="D17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5"/>
  <sheetViews>
    <sheetView workbookViewId="0">
      <selection activeCell="A3" sqref="A3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22</v>
      </c>
      <c r="B1" t="s">
        <v>0</v>
      </c>
      <c r="C1" t="s">
        <v>1</v>
      </c>
      <c r="D1" t="s">
        <v>11</v>
      </c>
      <c r="G1" t="s">
        <v>19</v>
      </c>
    </row>
    <row r="2" spans="1:7" x14ac:dyDescent="0.35">
      <c r="A2" t="s">
        <v>15</v>
      </c>
      <c r="B2">
        <v>0.7</v>
      </c>
      <c r="C2">
        <v>0.7</v>
      </c>
      <c r="D2">
        <v>0</v>
      </c>
      <c r="G2" t="s">
        <v>20</v>
      </c>
    </row>
    <row r="3" spans="1:7" x14ac:dyDescent="0.35">
      <c r="A3" t="s">
        <v>16</v>
      </c>
      <c r="B3">
        <v>0</v>
      </c>
      <c r="C3">
        <v>0</v>
      </c>
      <c r="D3">
        <v>0.55000000000000004</v>
      </c>
      <c r="G3" t="s">
        <v>20</v>
      </c>
    </row>
    <row r="4" spans="1:7" x14ac:dyDescent="0.35">
      <c r="A4" t="s">
        <v>17</v>
      </c>
      <c r="B4">
        <v>0</v>
      </c>
      <c r="C4">
        <v>0</v>
      </c>
      <c r="D4">
        <f>[1]LCI!$E$24</f>
        <v>2161.4235062008215</v>
      </c>
      <c r="G4" t="s">
        <v>24</v>
      </c>
    </row>
    <row r="5" spans="1:7" x14ac:dyDescent="0.35">
      <c r="A5" t="s">
        <v>18</v>
      </c>
      <c r="B5">
        <v>0</v>
      </c>
      <c r="C5">
        <v>0</v>
      </c>
      <c r="D5">
        <v>509</v>
      </c>
      <c r="G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E7"/>
  <sheetViews>
    <sheetView workbookViewId="0">
      <selection activeCell="B5" sqref="B5"/>
    </sheetView>
  </sheetViews>
  <sheetFormatPr baseColWidth="10" defaultRowHeight="14.5" x14ac:dyDescent="0.35"/>
  <cols>
    <col min="1" max="1" width="24.90625" customWidth="1"/>
  </cols>
  <sheetData>
    <row r="1" spans="1:5" x14ac:dyDescent="0.35">
      <c r="A1" t="s">
        <v>23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 t="s">
        <v>26</v>
      </c>
      <c r="B2" s="3">
        <f>[2]LCI!$B$17/[2]LCI!$B$9</f>
        <v>1.0357629138312655E-2</v>
      </c>
      <c r="C2">
        <v>1</v>
      </c>
      <c r="D2">
        <v>0</v>
      </c>
      <c r="E2">
        <v>0</v>
      </c>
    </row>
    <row r="3" spans="1:5" x14ac:dyDescent="0.35">
      <c r="A3" t="s">
        <v>27</v>
      </c>
      <c r="B3" s="3">
        <f>[2]LCI!$B$21/[2]LCI!$B$9</f>
        <v>3.0536614214684223E-3</v>
      </c>
    </row>
    <row r="4" spans="1:5" x14ac:dyDescent="0.35">
      <c r="A4" t="s">
        <v>28</v>
      </c>
      <c r="B4" s="3">
        <f>[2]LCI!$B$23/[2]LCI!$B$9</f>
        <v>4.482233869499524E-3</v>
      </c>
    </row>
    <row r="5" spans="1:5" x14ac:dyDescent="0.35">
      <c r="A5" t="s">
        <v>29</v>
      </c>
    </row>
    <row r="6" spans="1:5" x14ac:dyDescent="0.35">
      <c r="A6" t="s">
        <v>17</v>
      </c>
      <c r="B6">
        <v>0</v>
      </c>
      <c r="C6">
        <v>0</v>
      </c>
      <c r="D6">
        <v>1</v>
      </c>
      <c r="E6">
        <v>0</v>
      </c>
    </row>
    <row r="7" spans="1:5" x14ac:dyDescent="0.35">
      <c r="A7" t="s">
        <v>18</v>
      </c>
      <c r="B7">
        <v>0</v>
      </c>
      <c r="C7">
        <v>0</v>
      </c>
      <c r="D7">
        <v>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id_tech</vt:lpstr>
      <vt:lpstr>tech</vt:lpstr>
      <vt:lpstr>coproduct</vt:lpstr>
      <vt:lpstr>subs_ratio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2025-09-24T11:15:44Z</dcterms:modified>
</cp:coreProperties>
</file>