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D:\Users\hravoaha\Desktop\Thèse\Thèse 2023\Objectif 2\biowaste_optim\"/>
    </mc:Choice>
  </mc:AlternateContent>
  <xr:revisionPtr revIDLastSave="0" documentId="8_{AB8D23C1-C48D-4675-83FA-42CDAC9541CB}" xr6:coauthVersionLast="36" xr6:coauthVersionMax="36" xr10:uidLastSave="{00000000-0000-0000-0000-000000000000}"/>
  <bookViews>
    <workbookView xWindow="0" yWindow="0" windowWidth="9580" windowHeight="7010" activeTab="1" xr2:uid="{00000000-000D-0000-FFFF-FFFF00000000}"/>
  </bookViews>
  <sheets>
    <sheet name="Comparateur de territoires" sheetId="1" r:id="rId1"/>
    <sheet name="Communes" sheetId="3" r:id="rId2"/>
    <sheet name="Feuil1" sheetId="2" r:id="rId3"/>
  </sheets>
  <definedNames>
    <definedName name="_xlnm._FilterDatabase" localSheetId="1" hidden="1">Communes!$A$7:$W$17</definedName>
    <definedName name="_xlnm.Print_Area" localSheetId="1">Communes!$A$1:$X$65</definedName>
  </definedNames>
  <calcPr calcId="191029"/>
</workbook>
</file>

<file path=xl/calcChain.xml><?xml version="1.0" encoding="utf-8"?>
<calcChain xmlns="http://schemas.openxmlformats.org/spreadsheetml/2006/main">
  <c r="H34" i="3" l="1"/>
  <c r="I34" i="3"/>
  <c r="J34" i="3"/>
  <c r="K34" i="3"/>
  <c r="L34" i="3"/>
  <c r="M34" i="3"/>
  <c r="N34" i="3"/>
  <c r="O34" i="3"/>
  <c r="P34" i="3"/>
  <c r="Q34" i="3"/>
  <c r="R34" i="3"/>
  <c r="S34" i="3"/>
  <c r="T34" i="3"/>
  <c r="U34" i="3"/>
  <c r="V34" i="3"/>
  <c r="W34" i="3"/>
  <c r="X34" i="3"/>
  <c r="E34" i="3"/>
  <c r="F34" i="3"/>
  <c r="G34" i="3"/>
  <c r="D34" i="3"/>
  <c r="C34" i="3"/>
  <c r="B34" i="3"/>
  <c r="Y71" i="3" l="1"/>
  <c r="Y70" i="3"/>
  <c r="Y69" i="3"/>
  <c r="Y68" i="3"/>
  <c r="Y55" i="3"/>
  <c r="Y45" i="3"/>
  <c r="Y39" i="3"/>
  <c r="Y37" i="3"/>
  <c r="Y32" i="3"/>
  <c r="Y25" i="3"/>
  <c r="Y24" i="3"/>
  <c r="Y16" i="3"/>
  <c r="Y12" i="3"/>
  <c r="Y9" i="3"/>
  <c r="Y8" i="3"/>
  <c r="E47" i="3"/>
  <c r="C28" i="3"/>
  <c r="C27" i="3"/>
  <c r="C26" i="3"/>
  <c r="B47" i="3"/>
  <c r="X71" i="3" l="1"/>
  <c r="X70" i="3"/>
  <c r="X69" i="3"/>
  <c r="X68" i="3"/>
  <c r="X47" i="3"/>
  <c r="X28" i="3"/>
  <c r="X27" i="3"/>
  <c r="X26" i="3"/>
  <c r="W47" i="3"/>
  <c r="W28" i="3"/>
  <c r="W27" i="3"/>
  <c r="W26" i="3"/>
  <c r="X20" i="3"/>
  <c r="X19" i="3"/>
  <c r="V47" i="3"/>
  <c r="V28" i="3"/>
  <c r="V27" i="3"/>
  <c r="V26" i="3"/>
  <c r="U47" i="3"/>
  <c r="U28" i="3"/>
  <c r="U27" i="3"/>
  <c r="U26" i="3"/>
  <c r="T47" i="3"/>
  <c r="T28" i="3"/>
  <c r="T27" i="3"/>
  <c r="T26" i="3"/>
  <c r="S47" i="3"/>
  <c r="R47" i="3"/>
  <c r="R28" i="3"/>
  <c r="R27" i="3"/>
  <c r="R26" i="3"/>
  <c r="Q47" i="3"/>
  <c r="Q28" i="3"/>
  <c r="Q27" i="3"/>
  <c r="Q26" i="3"/>
  <c r="P47" i="3"/>
  <c r="P28" i="3"/>
  <c r="P27" i="3"/>
  <c r="P26" i="3"/>
  <c r="O47" i="3"/>
  <c r="O33" i="3"/>
  <c r="O28" i="3"/>
  <c r="O27" i="3"/>
  <c r="O26" i="3"/>
  <c r="N47" i="3"/>
  <c r="N28" i="3"/>
  <c r="N27" i="3"/>
  <c r="N26" i="3"/>
  <c r="M47" i="3"/>
  <c r="M28" i="3"/>
  <c r="M27" i="3"/>
  <c r="M26" i="3"/>
  <c r="L47" i="3"/>
  <c r="L33" i="3"/>
  <c r="L28" i="3"/>
  <c r="L27" i="3"/>
  <c r="L26" i="3"/>
  <c r="K47" i="3"/>
  <c r="K28" i="3"/>
  <c r="K27" i="3"/>
  <c r="K26" i="3"/>
  <c r="J47" i="3"/>
  <c r="J28" i="3"/>
  <c r="J27" i="3"/>
  <c r="J26" i="3"/>
  <c r="I47" i="3"/>
  <c r="I28" i="3"/>
  <c r="I27" i="3"/>
  <c r="I26" i="3"/>
  <c r="H47" i="3"/>
  <c r="H33" i="3"/>
  <c r="H28" i="3"/>
  <c r="H27" i="3"/>
  <c r="H26" i="3"/>
  <c r="G47" i="3"/>
  <c r="G46" i="3"/>
  <c r="G33" i="3"/>
  <c r="G28" i="3"/>
  <c r="G27" i="3"/>
  <c r="G26" i="3"/>
  <c r="F47" i="3"/>
  <c r="F33" i="3"/>
  <c r="F28" i="3"/>
  <c r="F27" i="3"/>
  <c r="F26" i="3"/>
  <c r="E58" i="3"/>
  <c r="E28" i="3"/>
  <c r="E27" i="3"/>
  <c r="E26" i="3"/>
  <c r="B59" i="3"/>
  <c r="B57" i="3"/>
  <c r="D47" i="3"/>
  <c r="D33" i="3"/>
  <c r="D28" i="3"/>
  <c r="D27" i="3"/>
  <c r="D26" i="3"/>
  <c r="C47" i="3"/>
  <c r="B28" i="3"/>
  <c r="B27" i="3"/>
  <c r="B26" i="3"/>
  <c r="F3" i="3" l="1"/>
  <c r="X9" i="3" l="1"/>
  <c r="W10" i="3"/>
  <c r="V10" i="3"/>
  <c r="U10" i="3"/>
  <c r="T10" i="3"/>
  <c r="S10" i="3"/>
  <c r="R10" i="3"/>
  <c r="Q10" i="3"/>
  <c r="P10" i="3"/>
  <c r="O10" i="3"/>
  <c r="N10" i="3"/>
  <c r="L10" i="3"/>
  <c r="M10" i="3"/>
  <c r="K10" i="3"/>
  <c r="J10" i="3"/>
  <c r="I10" i="3"/>
  <c r="H10" i="3"/>
  <c r="G10" i="3"/>
  <c r="F10" i="3"/>
  <c r="E10" i="3"/>
  <c r="D10" i="3"/>
  <c r="B10" i="3"/>
  <c r="Y10" i="3" s="1"/>
  <c r="C10" i="3"/>
  <c r="P18" i="3" l="1"/>
  <c r="E33" i="3" l="1"/>
  <c r="I33" i="3"/>
  <c r="K33" i="3"/>
  <c r="R33" i="3"/>
  <c r="W33" i="3"/>
  <c r="B33" i="3"/>
  <c r="X12" i="3" l="1"/>
  <c r="X8" i="3"/>
  <c r="X10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TURLAN Armelle</author>
  </authors>
  <commentList>
    <comment ref="X17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TURLAN Armelle:</t>
        </r>
        <r>
          <rPr>
            <sz val="9"/>
            <color indexed="81"/>
            <rFont val="Tahoma"/>
            <family val="2"/>
          </rPr>
          <t xml:space="preserve">
Population des ménages</t>
        </r>
      </text>
    </comment>
    <comment ref="D40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TURLAN Armelle:</t>
        </r>
        <r>
          <rPr>
            <sz val="9"/>
            <color indexed="81"/>
            <rFont val="Tahoma"/>
            <family val="2"/>
          </rPr>
          <t xml:space="preserve">
100% locataires</t>
        </r>
      </text>
    </comment>
    <comment ref="H40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TURLAN Armelle:</t>
        </r>
        <r>
          <rPr>
            <sz val="9"/>
            <color indexed="81"/>
            <rFont val="Tahoma"/>
            <family val="2"/>
          </rPr>
          <t xml:space="preserve">
5% de propriétaires
31% de locataires</t>
        </r>
      </text>
    </comment>
    <comment ref="N40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TURLAN Armelle:</t>
        </r>
        <r>
          <rPr>
            <sz val="9"/>
            <color indexed="81"/>
            <rFont val="Tahoma"/>
            <family val="2"/>
          </rPr>
          <t xml:space="preserve">
20% des locataires
5% des propriétaires</t>
        </r>
      </text>
    </comment>
    <comment ref="X40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TURLAN Armelle:</t>
        </r>
        <r>
          <rPr>
            <sz val="9"/>
            <color indexed="81"/>
            <rFont val="Tahoma"/>
            <family val="2"/>
          </rPr>
          <t xml:space="preserve">
25,9% des locataires
5% des propriétaires</t>
        </r>
      </text>
    </comment>
    <comment ref="H68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TURLAN Armelle:</t>
        </r>
        <r>
          <rPr>
            <sz val="9"/>
            <color indexed="81"/>
            <rFont val="Tahoma"/>
            <family val="2"/>
          </rPr>
          <t xml:space="preserve">
1x2 étoiles
7x3 étoiles
3 non classés</t>
        </r>
      </text>
    </comment>
    <comment ref="J68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TURLAN Armelle:</t>
        </r>
        <r>
          <rPr>
            <sz val="9"/>
            <color indexed="81"/>
            <rFont val="Tahoma"/>
            <family val="2"/>
          </rPr>
          <t xml:space="preserve">
1 x 3 étoiles
1 non classé</t>
        </r>
      </text>
    </comment>
    <comment ref="M68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TURLAN Armelle:</t>
        </r>
        <r>
          <rPr>
            <sz val="9"/>
            <color indexed="81"/>
            <rFont val="Tahoma"/>
            <family val="2"/>
          </rPr>
          <t xml:space="preserve">
1x4étoiles</t>
        </r>
      </text>
    </comment>
    <comment ref="R68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TURLAN Armelle:</t>
        </r>
        <r>
          <rPr>
            <sz val="9"/>
            <color indexed="81"/>
            <rFont val="Tahoma"/>
            <family val="2"/>
          </rPr>
          <t xml:space="preserve">
1 x 3 étoiles</t>
        </r>
      </text>
    </comment>
    <comment ref="X68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TURLAN Armelle:</t>
        </r>
        <r>
          <rPr>
            <sz val="9"/>
            <color indexed="81"/>
            <rFont val="Tahoma"/>
            <family val="2"/>
          </rPr>
          <t xml:space="preserve">
1x2étoiles
10x3étoiles
2x4 étoiles
6xnonclassé</t>
        </r>
      </text>
    </comment>
    <comment ref="H70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TURLAN Armelle:</t>
        </r>
        <r>
          <rPr>
            <sz val="9"/>
            <color indexed="81"/>
            <rFont val="Tahoma"/>
            <family val="2"/>
          </rPr>
          <t xml:space="preserve">
1 résidence tourisme</t>
        </r>
      </text>
    </comment>
  </commentList>
</comments>
</file>

<file path=xl/sharedStrings.xml><?xml version="1.0" encoding="utf-8"?>
<sst xmlns="http://schemas.openxmlformats.org/spreadsheetml/2006/main" count="399" uniqueCount="137">
  <si>
    <t>Insee - Statistiques locales</t>
  </si>
  <si>
    <t>SYNTHÈSE - Comparateur de territoires</t>
  </si>
  <si>
    <t>Population et ménages</t>
  </si>
  <si>
    <t>Indicateurs</t>
  </si>
  <si>
    <t>CA de la Région de Compiègne et de la Basse Automne</t>
  </si>
  <si>
    <t>Oise</t>
  </si>
  <si>
    <t>Population</t>
  </si>
  <si>
    <t>Densité de population (hab/km²)</t>
  </si>
  <si>
    <t>Superficie (km²)</t>
  </si>
  <si>
    <t>Nombre de ménages</t>
  </si>
  <si>
    <t>Source : Insee, séries historiques du RP, exploitation principale - 2018</t>
  </si>
  <si>
    <t>Evolution annuelle moyenne de la population</t>
  </si>
  <si>
    <t>Variation de population (%)</t>
  </si>
  <si>
    <t>- due au solde naturel (%)</t>
  </si>
  <si>
    <t>- due au solde entrées/sorties (%)</t>
  </si>
  <si>
    <t>Source : Insee, séries historiques du RP, exploitation principale - 2013-2018</t>
  </si>
  <si>
    <t>Logement</t>
  </si>
  <si>
    <t>Nombre de logements</t>
  </si>
  <si>
    <t>Part des résidences principales (%)</t>
  </si>
  <si>
    <t>Part des rés. secondaires (yc log. occasionnels) (%)</t>
  </si>
  <si>
    <t>Part des logements vacants (%)</t>
  </si>
  <si>
    <t>Naissances -Décès</t>
  </si>
  <si>
    <t>Naissances domiciliées</t>
  </si>
  <si>
    <t>N/A</t>
  </si>
  <si>
    <t>Décès domiciliés</t>
  </si>
  <si>
    <t>Source : Insee, État civil - 2020p</t>
  </si>
  <si>
    <t>Emploi - Chômage</t>
  </si>
  <si>
    <t>Emploi total au lieu de travail</t>
  </si>
  <si>
    <t>dont part des emplois salariés (%)</t>
  </si>
  <si>
    <t>Taux d'activité des 15 à 64 ans (%)</t>
  </si>
  <si>
    <t>Taux de chômage des 15 à 64 ans (au sens du recensement) (%)</t>
  </si>
  <si>
    <t>Source : Insee, Recensement de la population (RP), exploitation principale - 2018</t>
  </si>
  <si>
    <t>Revenus</t>
  </si>
  <si>
    <t>Nombre de ménages fiscaux</t>
  </si>
  <si>
    <t>Part des ménages fiscaux imposés (%)</t>
  </si>
  <si>
    <t>Médiane du niveau de vie (€)</t>
  </si>
  <si>
    <t>Taux de pauvreté (%)</t>
  </si>
  <si>
    <t>Source : Insee, Fichier localisé social et fiscal (Filosofi) et Enquête 'Budget de Famille 2017 (extension DOM)' pour la Guadeloupe, la Guyane et Mayotte - 2018</t>
  </si>
  <si>
    <t>Etablissements</t>
  </si>
  <si>
    <t>Nb étab. actifs employeurs au 31/12</t>
  </si>
  <si>
    <t>Part étab. sans salarié dans les étab. actifs employeurs au 31/12 (%)</t>
  </si>
  <si>
    <t>Part étab. de 1 à 9 salariés dans les étab. actifs employeurs au 31/12 (%)</t>
  </si>
  <si>
    <t>Part étab. de 10 salariés ou plus dans les étab. actifs employeurs au 31/12 (%)</t>
  </si>
  <si>
    <t>Source : Insee, Fichier LOcalisé des Rémunérations et de l'Emploi Salarié (Flores) - 2018</t>
  </si>
  <si>
    <t>Postes dans les établissements</t>
  </si>
  <si>
    <t>Postes dans les étab. actifs au 31/12</t>
  </si>
  <si>
    <t>Part de l'agriculture (%)</t>
  </si>
  <si>
    <t>Part de l'industrie (%)</t>
  </si>
  <si>
    <t>Part de la construction (%)</t>
  </si>
  <si>
    <t>Part du commerce. transport. services (%)</t>
  </si>
  <si>
    <t>Part de l'admin. publique. enseignement. santé et action sociale (%)</t>
  </si>
  <si>
    <t>CA du Beauvaisis</t>
  </si>
  <si>
    <t>Zone d'étude CA de la Région de Compiègne et de la Basse Automne (intercommunalité), comparée avec Oise (département) et CA du Beauvaisis</t>
  </si>
  <si>
    <t>Compiègne (60159)</t>
  </si>
  <si>
    <t>Armancourt (60023)</t>
  </si>
  <si>
    <t>Béthisy-Saint-Martin (60067)</t>
  </si>
  <si>
    <t>Béthisy-Saint-Pierre (60068)</t>
  </si>
  <si>
    <t>Bienville (60070)</t>
  </si>
  <si>
    <t>Choisy-au-Bac (60151)</t>
  </si>
  <si>
    <t>Clairoix (60156)</t>
  </si>
  <si>
    <t>Janville (60323)</t>
  </si>
  <si>
    <t>Jaux (60325)</t>
  </si>
  <si>
    <t>Jonquières (60326)</t>
  </si>
  <si>
    <t>Lacroix-Saint-Ouen (60338)</t>
  </si>
  <si>
    <t>Lachelle (60337)</t>
  </si>
  <si>
    <t>Margny-lès-Compiègne (60382)</t>
  </si>
  <si>
    <t>Néry (60447)</t>
  </si>
  <si>
    <t>Saintines (60578)</t>
  </si>
  <si>
    <t>Saint-Jean-aux-Bois (60579)</t>
  </si>
  <si>
    <t>Saint-Sauveur (60597)</t>
  </si>
  <si>
    <t>Saint-Vaast-de-Longmont (60600)</t>
  </si>
  <si>
    <t>Venette (60665)</t>
  </si>
  <si>
    <t>Verberie (60667)</t>
  </si>
  <si>
    <t>Vieux-Moulin (60674)</t>
  </si>
  <si>
    <t>Avertissement : Pour des raisons de secret statistique, certains indicateurs peuvent ne pas être renseignés.</t>
  </si>
  <si>
    <t xml:space="preserve">Emploi – Chômage au sens du recensement </t>
  </si>
  <si>
    <t>Établissements</t>
  </si>
  <si>
    <t>Part de la construction, en %</t>
  </si>
  <si>
    <t>Part de l'administration publique, enseignement, santé et action sociale, en %</t>
  </si>
  <si>
    <t>Source : Insee, Flores (Fichier LOcalisé des Rémunérations et de l'Emploi Salarié) en géographie au 01/01/2021</t>
  </si>
  <si>
    <t>Avertissement : Les données sur les zones de moins de 1000 salariés ne sont pas renseignées.</t>
  </si>
  <si>
    <t>ARC</t>
  </si>
  <si>
    <t>taille moyenne des ménages</t>
  </si>
  <si>
    <t>Le Meux (60402)</t>
  </si>
  <si>
    <t>Recensement population 2020</t>
  </si>
  <si>
    <t>Population municipale en 2020</t>
  </si>
  <si>
    <t>Population comptée à part en 2020</t>
  </si>
  <si>
    <t>Population totale en 2020</t>
  </si>
  <si>
    <t>Superficie en 2020 en km²</t>
  </si>
  <si>
    <r>
      <t>Chiffres INSEE parution juillet 2023</t>
    </r>
    <r>
      <rPr>
        <sz val="11"/>
        <color theme="6"/>
        <rFont val="Calibri"/>
        <family val="2"/>
        <scheme val="minor"/>
      </rPr>
      <t xml:space="preserve"> (janvier 2023 pour populations légales)</t>
    </r>
  </si>
  <si>
    <t>OLV</t>
  </si>
  <si>
    <t>2/3 ARC</t>
  </si>
  <si>
    <t>1/3 Ville</t>
  </si>
  <si>
    <t>Densité de la population (nombre d'habitants au km²) en 2020</t>
  </si>
  <si>
    <t>Variation de la population : taux annuel moyen entre 2014 et 2020, en %</t>
  </si>
  <si>
    <t>dont variation due au solde naturel : taux annuel moyen entre 2014 et 2020, en %</t>
  </si>
  <si>
    <t>dont variation due au solde apparent des entrées sorties : taux annuel moyen entre 2014 et 2020, en %</t>
  </si>
  <si>
    <t>Nombre total de logements en 2020</t>
  </si>
  <si>
    <t>Part des résidences principales en 2020 en %</t>
  </si>
  <si>
    <t>Part des résidences secondaires (y compris les logements occasionnels) en 2020 en %</t>
  </si>
  <si>
    <t>Source : Insee, état civil en géographie au 28/07/2023</t>
  </si>
  <si>
    <t>Sources : Insee, RP 2020</t>
  </si>
  <si>
    <t>Naissances domiciliées en 2021</t>
  </si>
  <si>
    <t>Décès domiciliés en 2021</t>
  </si>
  <si>
    <t>Part des logements vacants en 2020, en %</t>
  </si>
  <si>
    <t>Part des ménages propriétaires de leur résidence principale en 2020, en %</t>
  </si>
  <si>
    <t>Nombre total de logements locatifs sociaux en 2020</t>
  </si>
  <si>
    <t>Part des logements locatifs sociaux en 2020</t>
  </si>
  <si>
    <t>Nombre de ménages en 2020</t>
  </si>
  <si>
    <t>Nombre de ménages fiscaux en 2020</t>
  </si>
  <si>
    <t>Sources : Insee-DGFiP-Cnaf-Cnav-Ccmsa, Fichier localisé social et fiscal en géographie au 01/01/2023</t>
  </si>
  <si>
    <t>Part des ménages fiscaux imposés en 2020 en %</t>
  </si>
  <si>
    <t>Médiane du revenu disponible par unité de consommation en 2020 en euros</t>
  </si>
  <si>
    <t>Taux de pauvreté en 2020 en %</t>
  </si>
  <si>
    <t>Emploi total (salarié et non salarié) au lieu de travail en 2020</t>
  </si>
  <si>
    <t>dont part de l'emploi salarié au lieu de travail en 2020, en %</t>
  </si>
  <si>
    <t>Variation de l'emploi total au lieu de travail : taux annuel moyen entre 2014 et 2020, en %</t>
  </si>
  <si>
    <t>Taux d'activité des 15 à 64 ans en 2020</t>
  </si>
  <si>
    <t>Taux de chômage des 15 à 64 ans en 2020</t>
  </si>
  <si>
    <t>Nombre d'établissements actifs fin 2020</t>
  </si>
  <si>
    <t>Part de l'industrie manufacturière, industries extractives et autres (hors agriculture), en %</t>
  </si>
  <si>
    <t>Part des activités tertiaires privées, en %</t>
  </si>
  <si>
    <t>Part des actifs salariés, en % HOMMES</t>
  </si>
  <si>
    <t>Part des actifs salariés, en % FEMMES</t>
  </si>
  <si>
    <t>Type de logement Maison en 2020 en % (construction achevée avant 2018)</t>
  </si>
  <si>
    <t>Type de logement Appartement en 2020 en % (construction achevée avant 2018)</t>
  </si>
  <si>
    <t>Nombre de résidences principales en 2020</t>
  </si>
  <si>
    <t>Secret stat</t>
  </si>
  <si>
    <t>Part d'établissements 1-9 salariés</t>
  </si>
  <si>
    <t>Part d'établissements &gt; 10 salariés</t>
  </si>
  <si>
    <t>Tourisme</t>
  </si>
  <si>
    <t>Nombre des hôtels</t>
  </si>
  <si>
    <t>Capacité en nombre de chambres</t>
  </si>
  <si>
    <t>Autre résidence de tourisme ou assimilé</t>
  </si>
  <si>
    <t>Capacité en nombre de places-lit</t>
  </si>
  <si>
    <t>Secret Stat</t>
  </si>
  <si>
    <t>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</si>
</sst>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\ _€_-;\-* #,##0.00\ _€_-;_-* &quot;-&quot;??\ _€_-;_-@_-"/>
    <numFmt numFmtId="164" formatCode="0.0%"/>
    <numFmt numFmtId="176" formatCode="#,##0.000000"/>
  </numFmts>
  <fonts count="16" x14ac:knownFonts="1">
    <font>
      <sz val="12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Calibri"/>
      <family val="2"/>
    </font>
    <font>
      <b/>
      <sz val="12"/>
      <name val="Calibri"/>
      <family val="2"/>
    </font>
    <font>
      <i/>
      <sz val="11"/>
      <name val="Calibri"/>
      <family val="2"/>
    </font>
    <font>
      <sz val="11"/>
      <name val="Calibri"/>
      <family val="2"/>
    </font>
    <font>
      <i/>
      <sz val="9"/>
      <color theme="1"/>
      <name val="Calibri"/>
      <family val="2"/>
      <scheme val="minor"/>
    </font>
    <font>
      <sz val="11"/>
      <color theme="6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13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E0E0E0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8" fillId="0" borderId="1"/>
    <xf numFmtId="0" fontId="7" fillId="0" borderId="1"/>
    <xf numFmtId="9" fontId="8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63">
    <xf numFmtId="0" fontId="0" fillId="0" borderId="0" xfId="0"/>
    <xf numFmtId="0" fontId="0" fillId="0" borderId="0" xfId="0"/>
    <xf numFmtId="0" fontId="9" fillId="0" borderId="0" xfId="0" applyFont="1" applyAlignment="1"/>
    <xf numFmtId="0" fontId="0" fillId="2" borderId="0" xfId="0" applyFill="1"/>
    <xf numFmtId="0" fontId="0" fillId="3" borderId="0" xfId="0" applyFill="1"/>
    <xf numFmtId="0" fontId="10" fillId="0" borderId="0" xfId="0" applyFont="1"/>
    <xf numFmtId="0" fontId="8" fillId="0" borderId="1" xfId="1"/>
    <xf numFmtId="0" fontId="8" fillId="3" borderId="1" xfId="1" applyFill="1"/>
    <xf numFmtId="0" fontId="7" fillId="0" borderId="1" xfId="2"/>
    <xf numFmtId="0" fontId="7" fillId="4" borderId="1" xfId="2" applyFill="1"/>
    <xf numFmtId="0" fontId="7" fillId="5" borderId="1" xfId="2" applyFill="1"/>
    <xf numFmtId="0" fontId="7" fillId="6" borderId="1" xfId="2" applyFill="1"/>
    <xf numFmtId="0" fontId="7" fillId="7" borderId="1" xfId="2" applyFill="1"/>
    <xf numFmtId="0" fontId="7" fillId="8" borderId="1" xfId="2" applyFill="1"/>
    <xf numFmtId="0" fontId="7" fillId="9" borderId="1" xfId="2" applyFill="1"/>
    <xf numFmtId="0" fontId="7" fillId="10" borderId="1" xfId="2" applyFill="1"/>
    <xf numFmtId="0" fontId="7" fillId="0" borderId="2" xfId="2" applyBorder="1"/>
    <xf numFmtId="0" fontId="7" fillId="8" borderId="2" xfId="2" applyFill="1" applyBorder="1"/>
    <xf numFmtId="2" fontId="7" fillId="0" borderId="2" xfId="2" applyNumberFormat="1" applyBorder="1"/>
    <xf numFmtId="0" fontId="7" fillId="10" borderId="2" xfId="2" applyFill="1" applyBorder="1"/>
    <xf numFmtId="0" fontId="7" fillId="9" borderId="2" xfId="2" applyFill="1" applyBorder="1"/>
    <xf numFmtId="0" fontId="7" fillId="7" borderId="2" xfId="2" applyFill="1" applyBorder="1"/>
    <xf numFmtId="0" fontId="7" fillId="6" borderId="2" xfId="2" applyFill="1" applyBorder="1"/>
    <xf numFmtId="0" fontId="11" fillId="0" borderId="2" xfId="0" applyFont="1" applyBorder="1"/>
    <xf numFmtId="0" fontId="7" fillId="5" borderId="2" xfId="2" applyFill="1" applyBorder="1"/>
    <xf numFmtId="0" fontId="7" fillId="4" borderId="2" xfId="2" applyFill="1" applyBorder="1"/>
    <xf numFmtId="0" fontId="12" fillId="0" borderId="2" xfId="2" applyFont="1" applyBorder="1"/>
    <xf numFmtId="0" fontId="6" fillId="8" borderId="2" xfId="2" applyFont="1" applyFill="1" applyBorder="1"/>
    <xf numFmtId="0" fontId="5" fillId="7" borderId="2" xfId="2" applyFont="1" applyFill="1" applyBorder="1"/>
    <xf numFmtId="0" fontId="5" fillId="6" borderId="2" xfId="2" applyFont="1" applyFill="1" applyBorder="1"/>
    <xf numFmtId="0" fontId="5" fillId="5" borderId="2" xfId="2" applyFont="1" applyFill="1" applyBorder="1"/>
    <xf numFmtId="0" fontId="5" fillId="4" borderId="2" xfId="2" applyFont="1" applyFill="1" applyBorder="1"/>
    <xf numFmtId="10" fontId="7" fillId="0" borderId="2" xfId="3" applyNumberFormat="1" applyFont="1" applyBorder="1"/>
    <xf numFmtId="0" fontId="4" fillId="0" borderId="1" xfId="2" applyFont="1"/>
    <xf numFmtId="0" fontId="4" fillId="0" borderId="2" xfId="2" applyFont="1" applyBorder="1"/>
    <xf numFmtId="0" fontId="4" fillId="0" borderId="1" xfId="2" applyFont="1" applyAlignment="1">
      <alignment horizontal="right"/>
    </xf>
    <xf numFmtId="2" fontId="7" fillId="0" borderId="1" xfId="2" applyNumberFormat="1"/>
    <xf numFmtId="0" fontId="3" fillId="0" borderId="1" xfId="2" applyFont="1"/>
    <xf numFmtId="0" fontId="4" fillId="11" borderId="2" xfId="2" applyFont="1" applyFill="1" applyBorder="1"/>
    <xf numFmtId="0" fontId="2" fillId="0" borderId="1" xfId="2" applyFont="1"/>
    <xf numFmtId="0" fontId="1" fillId="0" borderId="2" xfId="2" applyFont="1" applyBorder="1"/>
    <xf numFmtId="0" fontId="1" fillId="10" borderId="2" xfId="2" applyFont="1" applyFill="1" applyBorder="1"/>
    <xf numFmtId="0" fontId="1" fillId="9" borderId="2" xfId="2" applyFont="1" applyFill="1" applyBorder="1"/>
    <xf numFmtId="164" fontId="7" fillId="0" borderId="2" xfId="3" applyNumberFormat="1" applyFont="1" applyBorder="1"/>
    <xf numFmtId="10" fontId="7" fillId="0" borderId="2" xfId="2" applyNumberFormat="1" applyBorder="1"/>
    <xf numFmtId="164" fontId="7" fillId="0" borderId="2" xfId="2" applyNumberFormat="1" applyBorder="1"/>
    <xf numFmtId="9" fontId="7" fillId="0" borderId="2" xfId="2" applyNumberFormat="1" applyBorder="1"/>
    <xf numFmtId="10" fontId="1" fillId="0" borderId="2" xfId="2" applyNumberFormat="1" applyFont="1" applyBorder="1"/>
    <xf numFmtId="164" fontId="1" fillId="0" borderId="2" xfId="2" applyNumberFormat="1" applyFont="1" applyBorder="1"/>
    <xf numFmtId="9" fontId="7" fillId="0" borderId="2" xfId="3" applyNumberFormat="1" applyFont="1" applyBorder="1"/>
    <xf numFmtId="0" fontId="1" fillId="0" borderId="2" xfId="2" applyFont="1" applyBorder="1" applyAlignment="1">
      <alignment horizontal="right"/>
    </xf>
    <xf numFmtId="0" fontId="1" fillId="0" borderId="2" xfId="2" applyFont="1" applyBorder="1" applyAlignment="1">
      <alignment horizontal="left"/>
    </xf>
    <xf numFmtId="0" fontId="1" fillId="7" borderId="2" xfId="2" applyFont="1" applyFill="1" applyBorder="1"/>
    <xf numFmtId="0" fontId="1" fillId="5" borderId="2" xfId="2" applyFont="1" applyFill="1" applyBorder="1"/>
    <xf numFmtId="0" fontId="1" fillId="6" borderId="2" xfId="2" applyFont="1" applyFill="1" applyBorder="1"/>
    <xf numFmtId="0" fontId="1" fillId="12" borderId="2" xfId="2" applyFont="1" applyFill="1" applyBorder="1"/>
    <xf numFmtId="0" fontId="7" fillId="12" borderId="2" xfId="2" applyFill="1" applyBorder="1"/>
    <xf numFmtId="164" fontId="1" fillId="0" borderId="2" xfId="3" applyNumberFormat="1" applyFont="1" applyBorder="1"/>
    <xf numFmtId="1" fontId="7" fillId="0" borderId="2" xfId="4" applyNumberFormat="1" applyFont="1" applyBorder="1"/>
    <xf numFmtId="0" fontId="1" fillId="4" borderId="2" xfId="2" applyFont="1" applyFill="1" applyBorder="1"/>
    <xf numFmtId="10" fontId="0" fillId="0" borderId="2" xfId="0" applyNumberFormat="1" applyBorder="1"/>
    <xf numFmtId="10" fontId="11" fillId="0" borderId="2" xfId="0" applyNumberFormat="1" applyFont="1" applyBorder="1"/>
    <xf numFmtId="176" fontId="7" fillId="0" borderId="2" xfId="2" applyNumberFormat="1" applyBorder="1"/>
  </cellXfs>
  <cellStyles count="5">
    <cellStyle name="Milliers" xfId="4" builtinId="3"/>
    <cellStyle name="Normal" xfId="0" builtinId="0"/>
    <cellStyle name="Normal 2" xfId="1" xr:uid="{00000000-0005-0000-0000-000002000000}"/>
    <cellStyle name="Normal 3" xfId="2" xr:uid="{00000000-0005-0000-0000-000003000000}"/>
    <cellStyle name="Pourcentage" xfId="3" builtinId="5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Comparateur de territoires"/>
  <dimension ref="A1:D90"/>
  <sheetViews>
    <sheetView workbookViewId="0">
      <selection activeCell="A45" sqref="A45"/>
    </sheetView>
  </sheetViews>
  <sheetFormatPr baseColWidth="10" defaultRowHeight="15.5" x14ac:dyDescent="0.35"/>
  <cols>
    <col min="1" max="1" width="50.83203125" customWidth="1"/>
    <col min="2" max="6" width="30.83203125" customWidth="1"/>
  </cols>
  <sheetData>
    <row r="1" spans="1:4" x14ac:dyDescent="0.35">
      <c r="A1" s="2" t="s">
        <v>0</v>
      </c>
      <c r="D1" s="6"/>
    </row>
    <row r="3" spans="1:4" x14ac:dyDescent="0.35">
      <c r="A3" s="2" t="s">
        <v>1</v>
      </c>
      <c r="D3" s="6"/>
    </row>
    <row r="4" spans="1:4" x14ac:dyDescent="0.35">
      <c r="A4" s="2" t="s">
        <v>52</v>
      </c>
      <c r="D4" s="6"/>
    </row>
    <row r="6" spans="1:4" x14ac:dyDescent="0.35">
      <c r="A6" s="2" t="s">
        <v>2</v>
      </c>
      <c r="D6" s="6"/>
    </row>
    <row r="8" spans="1:4" x14ac:dyDescent="0.35">
      <c r="A8" s="3" t="s">
        <v>3</v>
      </c>
      <c r="B8" s="4" t="s">
        <v>4</v>
      </c>
      <c r="C8" s="4" t="s">
        <v>5</v>
      </c>
      <c r="D8" s="7" t="s">
        <v>51</v>
      </c>
    </row>
    <row r="9" spans="1:4" x14ac:dyDescent="0.35">
      <c r="A9" s="1" t="s">
        <v>6</v>
      </c>
      <c r="B9" s="1">
        <v>82870</v>
      </c>
      <c r="C9" s="1">
        <v>827153</v>
      </c>
      <c r="D9" s="6">
        <v>103191</v>
      </c>
    </row>
    <row r="10" spans="1:4" x14ac:dyDescent="0.35">
      <c r="A10" s="1" t="s">
        <v>7</v>
      </c>
      <c r="B10" s="1">
        <v>314.2</v>
      </c>
      <c r="C10" s="1">
        <v>141.1</v>
      </c>
      <c r="D10" s="6">
        <v>191.5</v>
      </c>
    </row>
    <row r="11" spans="1:4" x14ac:dyDescent="0.35">
      <c r="A11" s="1" t="s">
        <v>8</v>
      </c>
      <c r="B11" s="1">
        <v>263.8</v>
      </c>
      <c r="C11" s="1">
        <v>5860.2</v>
      </c>
      <c r="D11" s="6">
        <v>539</v>
      </c>
    </row>
    <row r="12" spans="1:4" x14ac:dyDescent="0.35">
      <c r="A12" s="1" t="s">
        <v>9</v>
      </c>
      <c r="B12" s="1">
        <v>37830</v>
      </c>
      <c r="C12" s="1">
        <v>340146</v>
      </c>
      <c r="D12" s="6">
        <v>44381</v>
      </c>
    </row>
    <row r="14" spans="1:4" x14ac:dyDescent="0.35">
      <c r="A14" s="5" t="s">
        <v>10</v>
      </c>
      <c r="D14" s="6"/>
    </row>
    <row r="17" spans="1:4" x14ac:dyDescent="0.35">
      <c r="A17" s="2" t="s">
        <v>11</v>
      </c>
      <c r="D17" s="6"/>
    </row>
    <row r="19" spans="1:4" x14ac:dyDescent="0.35">
      <c r="A19" s="4" t="s">
        <v>3</v>
      </c>
      <c r="B19" s="4" t="s">
        <v>4</v>
      </c>
      <c r="C19" s="4" t="s">
        <v>5</v>
      </c>
      <c r="D19" s="7" t="s">
        <v>51</v>
      </c>
    </row>
    <row r="20" spans="1:4" x14ac:dyDescent="0.35">
      <c r="A20" s="1" t="s">
        <v>12</v>
      </c>
      <c r="B20" s="1">
        <v>0.3</v>
      </c>
      <c r="C20" s="1">
        <v>0.3</v>
      </c>
      <c r="D20" s="6">
        <v>0.5</v>
      </c>
    </row>
    <row r="21" spans="1:4" x14ac:dyDescent="0.35">
      <c r="A21" s="1" t="s">
        <v>13</v>
      </c>
      <c r="B21" s="1">
        <v>0.4</v>
      </c>
      <c r="C21" s="1">
        <v>0.5</v>
      </c>
      <c r="D21" s="6">
        <v>0.6</v>
      </c>
    </row>
    <row r="22" spans="1:4" x14ac:dyDescent="0.35">
      <c r="A22" s="1" t="s">
        <v>14</v>
      </c>
      <c r="B22" s="1">
        <v>-0.1</v>
      </c>
      <c r="C22" s="1">
        <v>-0.2</v>
      </c>
      <c r="D22" s="6">
        <v>0</v>
      </c>
    </row>
    <row r="24" spans="1:4" x14ac:dyDescent="0.35">
      <c r="A24" s="5" t="s">
        <v>15</v>
      </c>
      <c r="D24" s="6"/>
    </row>
    <row r="27" spans="1:4" x14ac:dyDescent="0.35">
      <c r="A27" s="2" t="s">
        <v>16</v>
      </c>
      <c r="D27" s="6"/>
    </row>
    <row r="29" spans="1:4" x14ac:dyDescent="0.35">
      <c r="A29" s="4" t="s">
        <v>3</v>
      </c>
      <c r="B29" s="4" t="s">
        <v>4</v>
      </c>
      <c r="C29" s="4" t="s">
        <v>5</v>
      </c>
      <c r="D29" s="7" t="s">
        <v>51</v>
      </c>
    </row>
    <row r="30" spans="1:4" x14ac:dyDescent="0.35">
      <c r="A30" s="1" t="s">
        <v>17</v>
      </c>
      <c r="B30" s="1">
        <v>41518</v>
      </c>
      <c r="C30" s="1">
        <v>376185</v>
      </c>
      <c r="D30" s="6">
        <v>49407</v>
      </c>
    </row>
    <row r="31" spans="1:4" x14ac:dyDescent="0.35">
      <c r="A31" s="1" t="s">
        <v>18</v>
      </c>
      <c r="B31" s="1">
        <v>91.1</v>
      </c>
      <c r="C31" s="1">
        <v>90.4</v>
      </c>
      <c r="D31" s="6">
        <v>89.8</v>
      </c>
    </row>
    <row r="32" spans="1:4" x14ac:dyDescent="0.35">
      <c r="A32" s="1" t="s">
        <v>19</v>
      </c>
      <c r="B32" s="1">
        <v>2.1</v>
      </c>
      <c r="C32" s="1">
        <v>2.5</v>
      </c>
      <c r="D32" s="6">
        <v>1.6</v>
      </c>
    </row>
    <row r="33" spans="1:4" x14ac:dyDescent="0.35">
      <c r="A33" s="1" t="s">
        <v>20</v>
      </c>
      <c r="B33" s="1">
        <v>6.8</v>
      </c>
      <c r="C33" s="1">
        <v>7.1</v>
      </c>
      <c r="D33" s="6">
        <v>8.6</v>
      </c>
    </row>
    <row r="35" spans="1:4" x14ac:dyDescent="0.35">
      <c r="A35" s="5" t="s">
        <v>10</v>
      </c>
      <c r="D35" s="6"/>
    </row>
    <row r="38" spans="1:4" x14ac:dyDescent="0.35">
      <c r="A38" s="2" t="s">
        <v>21</v>
      </c>
      <c r="D38" s="6"/>
    </row>
    <row r="40" spans="1:4" x14ac:dyDescent="0.35">
      <c r="A40" s="4" t="s">
        <v>3</v>
      </c>
      <c r="B40" s="4" t="s">
        <v>4</v>
      </c>
      <c r="C40" s="4" t="s">
        <v>5</v>
      </c>
      <c r="D40" s="7" t="s">
        <v>51</v>
      </c>
    </row>
    <row r="41" spans="1:4" x14ac:dyDescent="0.35">
      <c r="A41" s="1" t="s">
        <v>22</v>
      </c>
      <c r="B41" s="1" t="s">
        <v>23</v>
      </c>
      <c r="C41" s="1" t="s">
        <v>23</v>
      </c>
      <c r="D41" s="6" t="s">
        <v>23</v>
      </c>
    </row>
    <row r="42" spans="1:4" x14ac:dyDescent="0.35">
      <c r="A42" s="1" t="s">
        <v>24</v>
      </c>
      <c r="B42" s="1">
        <v>835</v>
      </c>
      <c r="C42" s="1">
        <v>7714</v>
      </c>
      <c r="D42" s="6">
        <v>970</v>
      </c>
    </row>
    <row r="44" spans="1:4" x14ac:dyDescent="0.35">
      <c r="A44" s="5" t="s">
        <v>25</v>
      </c>
      <c r="D44" s="6"/>
    </row>
    <row r="47" spans="1:4" x14ac:dyDescent="0.35">
      <c r="A47" s="2" t="s">
        <v>26</v>
      </c>
      <c r="D47" s="6"/>
    </row>
    <row r="49" spans="1:4" x14ac:dyDescent="0.35">
      <c r="A49" s="4" t="s">
        <v>3</v>
      </c>
      <c r="B49" s="4" t="s">
        <v>4</v>
      </c>
      <c r="C49" s="4" t="s">
        <v>5</v>
      </c>
      <c r="D49" s="7" t="s">
        <v>51</v>
      </c>
    </row>
    <row r="50" spans="1:4" x14ac:dyDescent="0.35">
      <c r="A50" s="1" t="s">
        <v>27</v>
      </c>
      <c r="B50" s="1">
        <v>41277</v>
      </c>
      <c r="C50" s="1">
        <v>268047</v>
      </c>
      <c r="D50" s="6">
        <v>48762</v>
      </c>
    </row>
    <row r="51" spans="1:4" x14ac:dyDescent="0.35">
      <c r="A51" s="1" t="s">
        <v>28</v>
      </c>
      <c r="B51" s="1">
        <v>91</v>
      </c>
      <c r="C51" s="1">
        <v>89.1</v>
      </c>
      <c r="D51" s="6">
        <v>91.6</v>
      </c>
    </row>
    <row r="52" spans="1:4" x14ac:dyDescent="0.35">
      <c r="A52" s="1" t="s">
        <v>29</v>
      </c>
      <c r="B52" s="1">
        <v>72.3</v>
      </c>
      <c r="C52" s="1">
        <v>74.599999999999994</v>
      </c>
      <c r="D52" s="6">
        <v>72</v>
      </c>
    </row>
    <row r="53" spans="1:4" x14ac:dyDescent="0.35">
      <c r="A53" s="1" t="s">
        <v>30</v>
      </c>
      <c r="B53" s="1">
        <v>13.7</v>
      </c>
      <c r="C53" s="1">
        <v>13.3</v>
      </c>
      <c r="D53" s="6">
        <v>16.600000000000001</v>
      </c>
    </row>
    <row r="55" spans="1:4" x14ac:dyDescent="0.35">
      <c r="A55" s="5" t="s">
        <v>31</v>
      </c>
      <c r="D55" s="6"/>
    </row>
    <row r="58" spans="1:4" x14ac:dyDescent="0.35">
      <c r="A58" s="2" t="s">
        <v>32</v>
      </c>
      <c r="D58" s="6"/>
    </row>
    <row r="60" spans="1:4" x14ac:dyDescent="0.35">
      <c r="A60" s="4" t="s">
        <v>3</v>
      </c>
      <c r="B60" s="4" t="s">
        <v>4</v>
      </c>
      <c r="C60" s="4" t="s">
        <v>5</v>
      </c>
      <c r="D60" s="7" t="s">
        <v>51</v>
      </c>
    </row>
    <row r="61" spans="1:4" x14ac:dyDescent="0.35">
      <c r="A61" s="1" t="s">
        <v>33</v>
      </c>
      <c r="B61" s="1">
        <v>34006</v>
      </c>
      <c r="C61" s="1">
        <v>325346</v>
      </c>
      <c r="D61" s="6">
        <v>42427</v>
      </c>
    </row>
    <row r="62" spans="1:4" x14ac:dyDescent="0.35">
      <c r="A62" s="1" t="s">
        <v>34</v>
      </c>
      <c r="B62" s="1">
        <v>54.5</v>
      </c>
      <c r="C62" s="1">
        <v>54.5</v>
      </c>
      <c r="D62" s="6">
        <v>50.9</v>
      </c>
    </row>
    <row r="63" spans="1:4" x14ac:dyDescent="0.35">
      <c r="A63" s="1" t="s">
        <v>35</v>
      </c>
      <c r="B63" s="1">
        <v>22050</v>
      </c>
      <c r="C63" s="1">
        <v>22150</v>
      </c>
      <c r="D63" s="6">
        <v>20800</v>
      </c>
    </row>
    <row r="64" spans="1:4" x14ac:dyDescent="0.35">
      <c r="A64" s="1" t="s">
        <v>36</v>
      </c>
      <c r="B64" s="1">
        <v>14.5</v>
      </c>
      <c r="C64" s="1">
        <v>12.9</v>
      </c>
      <c r="D64" s="6">
        <v>17.100000000000001</v>
      </c>
    </row>
    <row r="66" spans="1:4" x14ac:dyDescent="0.35">
      <c r="A66" s="5" t="s">
        <v>37</v>
      </c>
      <c r="D66" s="6"/>
    </row>
    <row r="69" spans="1:4" x14ac:dyDescent="0.35">
      <c r="A69" s="2" t="s">
        <v>38</v>
      </c>
      <c r="D69" s="6"/>
    </row>
    <row r="71" spans="1:4" x14ac:dyDescent="0.35">
      <c r="A71" s="4" t="s">
        <v>3</v>
      </c>
      <c r="B71" s="4" t="s">
        <v>4</v>
      </c>
      <c r="C71" s="4" t="s">
        <v>5</v>
      </c>
      <c r="D71" s="7" t="s">
        <v>51</v>
      </c>
    </row>
    <row r="72" spans="1:4" x14ac:dyDescent="0.35">
      <c r="A72" s="1" t="s">
        <v>39</v>
      </c>
      <c r="B72" s="1">
        <v>2805</v>
      </c>
      <c r="C72" s="1">
        <v>20849</v>
      </c>
      <c r="D72" s="6">
        <v>3218</v>
      </c>
    </row>
    <row r="73" spans="1:4" x14ac:dyDescent="0.35">
      <c r="A73" s="1" t="s">
        <v>40</v>
      </c>
      <c r="B73" s="1">
        <v>6.7</v>
      </c>
      <c r="C73" s="1">
        <v>7.8</v>
      </c>
      <c r="D73" s="6">
        <v>7.1</v>
      </c>
    </row>
    <row r="74" spans="1:4" x14ac:dyDescent="0.35">
      <c r="A74" s="1" t="s">
        <v>41</v>
      </c>
      <c r="B74" s="1">
        <v>71.599999999999994</v>
      </c>
      <c r="C74" s="1">
        <v>73.7</v>
      </c>
      <c r="D74" s="6">
        <v>71</v>
      </c>
    </row>
    <row r="75" spans="1:4" x14ac:dyDescent="0.35">
      <c r="A75" s="1" t="s">
        <v>42</v>
      </c>
      <c r="B75" s="1">
        <v>21.7</v>
      </c>
      <c r="C75" s="1">
        <v>18.600000000000001</v>
      </c>
      <c r="D75" s="6">
        <v>21.8</v>
      </c>
    </row>
    <row r="77" spans="1:4" x14ac:dyDescent="0.35">
      <c r="A77" s="5" t="s">
        <v>43</v>
      </c>
      <c r="D77" s="6"/>
    </row>
    <row r="80" spans="1:4" x14ac:dyDescent="0.35">
      <c r="A80" s="2" t="s">
        <v>44</v>
      </c>
      <c r="D80" s="6"/>
    </row>
    <row r="82" spans="1:4" x14ac:dyDescent="0.35">
      <c r="A82" s="4" t="s">
        <v>3</v>
      </c>
      <c r="B82" s="4" t="s">
        <v>4</v>
      </c>
      <c r="C82" s="4" t="s">
        <v>5</v>
      </c>
      <c r="D82" s="7" t="s">
        <v>51</v>
      </c>
    </row>
    <row r="83" spans="1:4" x14ac:dyDescent="0.35">
      <c r="A83" s="1" t="s">
        <v>45</v>
      </c>
      <c r="B83" s="1">
        <v>39030</v>
      </c>
      <c r="C83" s="1">
        <v>240896</v>
      </c>
      <c r="D83" s="6">
        <v>50121</v>
      </c>
    </row>
    <row r="84" spans="1:4" x14ac:dyDescent="0.35">
      <c r="A84" s="1" t="s">
        <v>46</v>
      </c>
      <c r="B84" s="1">
        <v>0.5</v>
      </c>
      <c r="C84" s="1">
        <v>0.9</v>
      </c>
      <c r="D84" s="6">
        <v>0.4</v>
      </c>
    </row>
    <row r="85" spans="1:4" x14ac:dyDescent="0.35">
      <c r="A85" s="1" t="s">
        <v>47</v>
      </c>
      <c r="B85" s="1">
        <v>15.7</v>
      </c>
      <c r="C85" s="1">
        <v>17.899999999999999</v>
      </c>
      <c r="D85" s="6">
        <v>13.2</v>
      </c>
    </row>
    <row r="86" spans="1:4" x14ac:dyDescent="0.35">
      <c r="A86" s="1" t="s">
        <v>48</v>
      </c>
      <c r="B86" s="1">
        <v>6.1</v>
      </c>
      <c r="C86" s="1">
        <v>5.8</v>
      </c>
      <c r="D86" s="6">
        <v>5.5</v>
      </c>
    </row>
    <row r="87" spans="1:4" x14ac:dyDescent="0.35">
      <c r="A87" s="1" t="s">
        <v>49</v>
      </c>
      <c r="B87" s="1">
        <v>47.5</v>
      </c>
      <c r="C87" s="1">
        <v>42.7</v>
      </c>
      <c r="D87" s="6">
        <v>39.6</v>
      </c>
    </row>
    <row r="88" spans="1:4" x14ac:dyDescent="0.35">
      <c r="A88" s="1" t="s">
        <v>50</v>
      </c>
      <c r="B88" s="1">
        <v>30.2</v>
      </c>
      <c r="C88" s="1">
        <v>32.700000000000003</v>
      </c>
      <c r="D88" s="6">
        <v>41.3</v>
      </c>
    </row>
    <row r="90" spans="1:4" x14ac:dyDescent="0.35">
      <c r="A90" s="5" t="s">
        <v>43</v>
      </c>
      <c r="D90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A72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B29" sqref="B29"/>
    </sheetView>
  </sheetViews>
  <sheetFormatPr baseColWidth="10" defaultColWidth="11" defaultRowHeight="14.5" x14ac:dyDescent="0.35"/>
  <cols>
    <col min="1" max="1" width="81.25" style="8" bestFit="1" customWidth="1"/>
    <col min="2" max="2" width="16.08203125" style="8" customWidth="1"/>
    <col min="3" max="3" width="23.08203125" style="8" customWidth="1"/>
    <col min="4" max="4" width="24.75" style="8" customWidth="1"/>
    <col min="5" max="5" width="13.75" style="8" customWidth="1"/>
    <col min="6" max="6" width="17.83203125" style="8" customWidth="1"/>
    <col min="7" max="7" width="12.75" style="8" customWidth="1"/>
    <col min="8" max="8" width="15.75" style="8" customWidth="1"/>
    <col min="9" max="9" width="12.75" style="8" customWidth="1"/>
    <col min="10" max="10" width="10.25" style="8" customWidth="1"/>
    <col min="11" max="11" width="15.33203125" style="8" customWidth="1"/>
    <col min="12" max="12" width="13.25" style="8" customWidth="1"/>
    <col min="13" max="13" width="21.83203125" style="8" customWidth="1"/>
    <col min="14" max="14" width="25.25" style="8" customWidth="1"/>
    <col min="15" max="15" width="15.33203125" style="8" customWidth="1"/>
    <col min="16" max="16" width="10.58203125" style="8" customWidth="1"/>
    <col min="17" max="17" width="14" style="8" customWidth="1"/>
    <col min="18" max="18" width="22.33203125" style="8" customWidth="1"/>
    <col min="19" max="19" width="17.75" style="8" customWidth="1"/>
    <col min="20" max="20" width="27" style="8" customWidth="1"/>
    <col min="21" max="21" width="13.25" style="8" customWidth="1"/>
    <col min="22" max="22" width="13.75" style="8" customWidth="1"/>
    <col min="23" max="23" width="17.58203125" style="8" customWidth="1"/>
    <col min="24" max="16384" width="11" style="8"/>
  </cols>
  <sheetData>
    <row r="1" spans="1:27" x14ac:dyDescent="0.35">
      <c r="A1" s="37" t="s">
        <v>89</v>
      </c>
    </row>
    <row r="2" spans="1:27" x14ac:dyDescent="0.35">
      <c r="A2" s="33" t="s">
        <v>84</v>
      </c>
    </row>
    <row r="3" spans="1:27" x14ac:dyDescent="0.35">
      <c r="F3" s="8">
        <f>67*3</f>
        <v>201</v>
      </c>
    </row>
    <row r="6" spans="1:27" x14ac:dyDescent="0.35">
      <c r="Y6" s="39" t="s">
        <v>90</v>
      </c>
      <c r="Z6" s="39" t="s">
        <v>91</v>
      </c>
      <c r="AA6" s="39" t="s">
        <v>92</v>
      </c>
    </row>
    <row r="7" spans="1:27" s="13" customFormat="1" x14ac:dyDescent="0.35">
      <c r="A7" s="17" t="s">
        <v>6</v>
      </c>
      <c r="B7" s="17" t="s">
        <v>54</v>
      </c>
      <c r="C7" s="17" t="s">
        <v>55</v>
      </c>
      <c r="D7" s="17" t="s">
        <v>56</v>
      </c>
      <c r="E7" s="17" t="s">
        <v>57</v>
      </c>
      <c r="F7" s="17" t="s">
        <v>58</v>
      </c>
      <c r="G7" s="17" t="s">
        <v>59</v>
      </c>
      <c r="H7" s="17" t="s">
        <v>53</v>
      </c>
      <c r="I7" s="17" t="s">
        <v>60</v>
      </c>
      <c r="J7" s="17" t="s">
        <v>61</v>
      </c>
      <c r="K7" s="17" t="s">
        <v>62</v>
      </c>
      <c r="L7" s="17" t="s">
        <v>64</v>
      </c>
      <c r="M7" s="17" t="s">
        <v>63</v>
      </c>
      <c r="N7" s="17" t="s">
        <v>65</v>
      </c>
      <c r="O7" s="27" t="s">
        <v>83</v>
      </c>
      <c r="P7" s="17" t="s">
        <v>66</v>
      </c>
      <c r="Q7" s="17" t="s">
        <v>67</v>
      </c>
      <c r="R7" s="17" t="s">
        <v>68</v>
      </c>
      <c r="S7" s="17" t="s">
        <v>69</v>
      </c>
      <c r="T7" s="17" t="s">
        <v>70</v>
      </c>
      <c r="U7" s="17" t="s">
        <v>71</v>
      </c>
      <c r="V7" s="17" t="s">
        <v>72</v>
      </c>
      <c r="W7" s="17" t="s">
        <v>73</v>
      </c>
      <c r="X7" s="17" t="s">
        <v>81</v>
      </c>
    </row>
    <row r="8" spans="1:27" x14ac:dyDescent="0.35">
      <c r="A8" s="38" t="s">
        <v>85</v>
      </c>
      <c r="B8" s="16">
        <v>539</v>
      </c>
      <c r="C8" s="16">
        <v>999</v>
      </c>
      <c r="D8" s="16">
        <v>3154</v>
      </c>
      <c r="E8" s="16">
        <v>452</v>
      </c>
      <c r="F8" s="16">
        <v>3307</v>
      </c>
      <c r="G8" s="16">
        <v>2245</v>
      </c>
      <c r="H8" s="16">
        <v>40453</v>
      </c>
      <c r="I8" s="16">
        <v>646</v>
      </c>
      <c r="J8" s="16">
        <v>2282</v>
      </c>
      <c r="K8" s="16">
        <v>599</v>
      </c>
      <c r="L8" s="16">
        <v>773</v>
      </c>
      <c r="M8" s="16">
        <v>4943</v>
      </c>
      <c r="N8" s="16">
        <v>8704</v>
      </c>
      <c r="O8" s="16">
        <v>2331</v>
      </c>
      <c r="P8" s="16">
        <v>651</v>
      </c>
      <c r="Q8" s="16">
        <v>1074</v>
      </c>
      <c r="R8" s="16">
        <v>330</v>
      </c>
      <c r="S8" s="16">
        <v>1735</v>
      </c>
      <c r="T8" s="16">
        <v>633</v>
      </c>
      <c r="U8" s="16">
        <v>2840</v>
      </c>
      <c r="V8" s="16">
        <v>3788</v>
      </c>
      <c r="W8" s="16">
        <v>600</v>
      </c>
      <c r="X8" s="16">
        <f>SUM(B8:W8)</f>
        <v>83078</v>
      </c>
      <c r="Y8" s="8">
        <f>SUM(B8:W8)</f>
        <v>83078</v>
      </c>
    </row>
    <row r="9" spans="1:27" x14ac:dyDescent="0.35">
      <c r="A9" s="38" t="s">
        <v>86</v>
      </c>
      <c r="B9" s="16">
        <v>20</v>
      </c>
      <c r="C9" s="16">
        <v>19</v>
      </c>
      <c r="D9" s="16">
        <v>41</v>
      </c>
      <c r="E9" s="16">
        <v>10</v>
      </c>
      <c r="F9" s="16">
        <v>105</v>
      </c>
      <c r="G9" s="16">
        <v>47</v>
      </c>
      <c r="H9" s="16">
        <v>1017</v>
      </c>
      <c r="I9" s="16">
        <v>11</v>
      </c>
      <c r="J9" s="16">
        <v>64</v>
      </c>
      <c r="K9" s="16">
        <v>22</v>
      </c>
      <c r="L9" s="16">
        <v>29</v>
      </c>
      <c r="M9" s="16">
        <v>164</v>
      </c>
      <c r="N9" s="16">
        <v>179</v>
      </c>
      <c r="O9" s="16">
        <v>55</v>
      </c>
      <c r="P9" s="16">
        <v>14</v>
      </c>
      <c r="Q9" s="16">
        <v>17</v>
      </c>
      <c r="R9" s="16">
        <v>6</v>
      </c>
      <c r="S9" s="16">
        <v>33</v>
      </c>
      <c r="T9" s="16">
        <v>7</v>
      </c>
      <c r="U9" s="16">
        <v>58</v>
      </c>
      <c r="V9" s="16">
        <v>54</v>
      </c>
      <c r="W9" s="16">
        <v>31</v>
      </c>
      <c r="X9" s="16">
        <f>SUM(B9:W9)</f>
        <v>2003</v>
      </c>
      <c r="Y9" s="8">
        <f>SUM(B9:W9)</f>
        <v>2003</v>
      </c>
    </row>
    <row r="10" spans="1:27" s="12" customFormat="1" x14ac:dyDescent="0.35">
      <c r="A10" s="38" t="s">
        <v>87</v>
      </c>
      <c r="B10" s="21">
        <f t="shared" ref="B10:X10" si="0">B8+B9</f>
        <v>559</v>
      </c>
      <c r="C10" s="21">
        <f t="shared" si="0"/>
        <v>1018</v>
      </c>
      <c r="D10" s="21">
        <f t="shared" si="0"/>
        <v>3195</v>
      </c>
      <c r="E10" s="21">
        <f t="shared" si="0"/>
        <v>462</v>
      </c>
      <c r="F10" s="21">
        <f t="shared" si="0"/>
        <v>3412</v>
      </c>
      <c r="G10" s="21">
        <f t="shared" si="0"/>
        <v>2292</v>
      </c>
      <c r="H10" s="21">
        <f t="shared" si="0"/>
        <v>41470</v>
      </c>
      <c r="I10" s="21">
        <f t="shared" si="0"/>
        <v>657</v>
      </c>
      <c r="J10" s="21">
        <f t="shared" si="0"/>
        <v>2346</v>
      </c>
      <c r="K10" s="21">
        <f t="shared" si="0"/>
        <v>621</v>
      </c>
      <c r="L10" s="21">
        <f>L8+L9</f>
        <v>802</v>
      </c>
      <c r="M10" s="21">
        <f t="shared" si="0"/>
        <v>5107</v>
      </c>
      <c r="N10" s="21">
        <f t="shared" si="0"/>
        <v>8883</v>
      </c>
      <c r="O10" s="21">
        <f t="shared" si="0"/>
        <v>2386</v>
      </c>
      <c r="P10" s="21">
        <f t="shared" si="0"/>
        <v>665</v>
      </c>
      <c r="Q10" s="21">
        <f t="shared" si="0"/>
        <v>1091</v>
      </c>
      <c r="R10" s="21">
        <f t="shared" si="0"/>
        <v>336</v>
      </c>
      <c r="S10" s="21">
        <f t="shared" si="0"/>
        <v>1768</v>
      </c>
      <c r="T10" s="21">
        <f t="shared" si="0"/>
        <v>640</v>
      </c>
      <c r="U10" s="21">
        <f t="shared" si="0"/>
        <v>2898</v>
      </c>
      <c r="V10" s="21">
        <f t="shared" si="0"/>
        <v>3842</v>
      </c>
      <c r="W10" s="21">
        <f t="shared" si="0"/>
        <v>631</v>
      </c>
      <c r="X10" s="21">
        <f t="shared" si="0"/>
        <v>85081</v>
      </c>
      <c r="Y10" s="8">
        <f>SUM(B10:W10)</f>
        <v>85081</v>
      </c>
    </row>
    <row r="11" spans="1:27" x14ac:dyDescent="0.35">
      <c r="A11" s="40" t="s">
        <v>93</v>
      </c>
      <c r="B11" s="18">
        <v>265.5</v>
      </c>
      <c r="C11" s="18">
        <v>101.7</v>
      </c>
      <c r="D11" s="18">
        <v>483</v>
      </c>
      <c r="E11" s="18">
        <v>128.80000000000001</v>
      </c>
      <c r="F11" s="18">
        <v>208.5</v>
      </c>
      <c r="G11" s="18">
        <v>477.7</v>
      </c>
      <c r="H11" s="18">
        <v>761.8</v>
      </c>
      <c r="I11" s="18">
        <v>687.2</v>
      </c>
      <c r="J11" s="18">
        <v>264.39999999999998</v>
      </c>
      <c r="K11" s="18">
        <v>81.8</v>
      </c>
      <c r="L11" s="18">
        <v>85.2</v>
      </c>
      <c r="M11" s="18">
        <v>237.3</v>
      </c>
      <c r="N11" s="18">
        <v>1306.9000000000001</v>
      </c>
      <c r="O11" s="18">
        <v>298.8</v>
      </c>
      <c r="P11" s="18">
        <v>39.799999999999997</v>
      </c>
      <c r="Q11" s="18">
        <v>374.2</v>
      </c>
      <c r="R11" s="18">
        <v>13.1</v>
      </c>
      <c r="S11" s="18">
        <v>105.2</v>
      </c>
      <c r="T11" s="18">
        <v>129.19999999999999</v>
      </c>
      <c r="U11" s="18">
        <v>336.1</v>
      </c>
      <c r="V11" s="18">
        <v>251.7</v>
      </c>
      <c r="W11" s="18">
        <v>34</v>
      </c>
      <c r="X11" s="18">
        <v>315</v>
      </c>
    </row>
    <row r="12" spans="1:27" x14ac:dyDescent="0.35">
      <c r="A12" s="34" t="s">
        <v>88</v>
      </c>
      <c r="B12" s="16">
        <v>2</v>
      </c>
      <c r="C12" s="16">
        <v>9.8000000000000007</v>
      </c>
      <c r="D12" s="16">
        <v>6.5</v>
      </c>
      <c r="E12" s="16">
        <v>3.5</v>
      </c>
      <c r="F12" s="16">
        <v>15.9</v>
      </c>
      <c r="G12" s="16">
        <v>4.7</v>
      </c>
      <c r="H12" s="16">
        <v>53.1</v>
      </c>
      <c r="I12" s="16">
        <v>0.9</v>
      </c>
      <c r="J12" s="16">
        <v>8.6</v>
      </c>
      <c r="K12" s="16">
        <v>7.3</v>
      </c>
      <c r="L12" s="16">
        <v>9.1</v>
      </c>
      <c r="M12" s="16">
        <v>20.8</v>
      </c>
      <c r="N12" s="16">
        <v>6.7</v>
      </c>
      <c r="O12" s="16">
        <v>7.8</v>
      </c>
      <c r="P12" s="16">
        <v>16.3</v>
      </c>
      <c r="Q12" s="16">
        <v>2.9</v>
      </c>
      <c r="R12" s="16">
        <v>25.2</v>
      </c>
      <c r="S12" s="16">
        <v>16.5</v>
      </c>
      <c r="T12" s="16">
        <v>4.9000000000000004</v>
      </c>
      <c r="U12" s="16">
        <v>8.5</v>
      </c>
      <c r="V12" s="16">
        <v>15.1</v>
      </c>
      <c r="W12" s="16">
        <v>17.7</v>
      </c>
      <c r="X12" s="16">
        <f>SUM(B12:W12)</f>
        <v>263.8</v>
      </c>
      <c r="Y12" s="8">
        <f>SUM(B12:W12)</f>
        <v>263.8</v>
      </c>
    </row>
    <row r="13" spans="1:27" ht="15.5" x14ac:dyDescent="0.35">
      <c r="A13" s="40" t="s">
        <v>94</v>
      </c>
      <c r="B13" s="44">
        <v>-6.0000000000000001E-3</v>
      </c>
      <c r="C13" s="46">
        <v>-0.02</v>
      </c>
      <c r="D13" s="45">
        <v>1E-3</v>
      </c>
      <c r="E13" s="45">
        <v>0</v>
      </c>
      <c r="F13" s="45">
        <v>-2E-3</v>
      </c>
      <c r="G13" s="44">
        <v>8.9999999999999993E-3</v>
      </c>
      <c r="H13" s="44">
        <v>-1E-3</v>
      </c>
      <c r="I13" s="44">
        <v>-1.4E-2</v>
      </c>
      <c r="J13" s="44">
        <v>-1.0999999999999999E-2</v>
      </c>
      <c r="K13" s="44">
        <v>-1E-3</v>
      </c>
      <c r="L13" s="44">
        <v>3.7999999999999999E-2</v>
      </c>
      <c r="M13" s="44">
        <v>2.3E-2</v>
      </c>
      <c r="N13" s="44">
        <v>1.6E-2</v>
      </c>
      <c r="O13" s="45">
        <v>1.4E-2</v>
      </c>
      <c r="P13" s="44">
        <v>-5.0000000000000001E-3</v>
      </c>
      <c r="Q13" s="44">
        <v>1.2E-2</v>
      </c>
      <c r="R13" s="44">
        <v>1.2999999999999999E-2</v>
      </c>
      <c r="S13" s="46">
        <v>0.01</v>
      </c>
      <c r="T13" s="44">
        <v>-2E-3</v>
      </c>
      <c r="U13" s="44">
        <v>2E-3</v>
      </c>
      <c r="V13" s="44">
        <v>-1.2999999999999999E-2</v>
      </c>
      <c r="W13" s="46">
        <v>-0.01</v>
      </c>
      <c r="X13" s="60">
        <v>2E-3</v>
      </c>
    </row>
    <row r="14" spans="1:27" ht="15.5" x14ac:dyDescent="0.35">
      <c r="A14" s="40" t="s">
        <v>95</v>
      </c>
      <c r="B14" s="44">
        <v>5.0000000000000001E-3</v>
      </c>
      <c r="C14" s="44">
        <v>-1E-3</v>
      </c>
      <c r="D14" s="45">
        <v>5.0000000000000001E-3</v>
      </c>
      <c r="E14" s="45">
        <v>5.0000000000000001E-3</v>
      </c>
      <c r="F14" s="45">
        <v>1E-3</v>
      </c>
      <c r="G14" s="44">
        <v>1E-3</v>
      </c>
      <c r="H14" s="44">
        <v>3.0000000000000001E-3</v>
      </c>
      <c r="I14" s="44">
        <v>4.0000000000000001E-3</v>
      </c>
      <c r="J14" s="44">
        <v>7.0000000000000001E-3</v>
      </c>
      <c r="K14" s="44">
        <v>1E-3</v>
      </c>
      <c r="L14" s="44">
        <v>4.0000000000000001E-3</v>
      </c>
      <c r="M14" s="44">
        <v>4.0000000000000001E-3</v>
      </c>
      <c r="N14" s="44">
        <v>6.0000000000000001E-3</v>
      </c>
      <c r="O14" s="45">
        <v>5.0000000000000001E-3</v>
      </c>
      <c r="P14" s="44">
        <v>3.0000000000000001E-3</v>
      </c>
      <c r="Q14" s="44">
        <v>8.0000000000000002E-3</v>
      </c>
      <c r="R14" s="44">
        <v>-2E-3</v>
      </c>
      <c r="S14" s="44">
        <v>4.0000000000000001E-3</v>
      </c>
      <c r="T14" s="44">
        <v>6.0000000000000001E-3</v>
      </c>
      <c r="U14" s="44">
        <v>5.0000000000000001E-3</v>
      </c>
      <c r="V14" s="44">
        <v>4.0000000000000001E-3</v>
      </c>
      <c r="W14" s="44">
        <v>6.0000000000000001E-3</v>
      </c>
      <c r="X14" s="60">
        <v>4.0000000000000001E-3</v>
      </c>
    </row>
    <row r="15" spans="1:27" ht="15.5" x14ac:dyDescent="0.35">
      <c r="A15" s="40" t="s">
        <v>96</v>
      </c>
      <c r="B15" s="44">
        <v>-1.0999999999999999E-2</v>
      </c>
      <c r="C15" s="44">
        <v>-1.9E-2</v>
      </c>
      <c r="D15" s="45">
        <v>-4.0000000000000001E-3</v>
      </c>
      <c r="E15" s="45">
        <v>-5.0000000000000001E-3</v>
      </c>
      <c r="F15" s="45">
        <v>-4.0000000000000001E-3</v>
      </c>
      <c r="G15" s="44">
        <v>8.0000000000000002E-3</v>
      </c>
      <c r="H15" s="44">
        <v>-4.0000000000000001E-3</v>
      </c>
      <c r="I15" s="44">
        <v>-1.7000000000000001E-2</v>
      </c>
      <c r="J15" s="44">
        <v>-1.7999999999999999E-2</v>
      </c>
      <c r="K15" s="44">
        <v>-2E-3</v>
      </c>
      <c r="L15" s="44">
        <v>3.5000000000000003E-2</v>
      </c>
      <c r="M15" s="44">
        <v>1.9E-2</v>
      </c>
      <c r="N15" s="44">
        <v>0.01</v>
      </c>
      <c r="O15" s="45">
        <v>8.0000000000000002E-3</v>
      </c>
      <c r="P15" s="44">
        <v>-7.0000000000000001E-3</v>
      </c>
      <c r="Q15" s="44">
        <v>4.0000000000000001E-3</v>
      </c>
      <c r="R15" s="44">
        <v>1.4999999999999999E-2</v>
      </c>
      <c r="S15" s="44">
        <v>7.0000000000000001E-3</v>
      </c>
      <c r="T15" s="44">
        <v>-8.0000000000000002E-3</v>
      </c>
      <c r="U15" s="44">
        <v>-3.0000000000000001E-3</v>
      </c>
      <c r="V15" s="44">
        <v>-1.7999999999999999E-2</v>
      </c>
      <c r="W15" s="44">
        <v>-1.6E-2</v>
      </c>
      <c r="X15" s="60">
        <v>-1E-3</v>
      </c>
    </row>
    <row r="16" spans="1:27" x14ac:dyDescent="0.35">
      <c r="A16" s="40" t="s">
        <v>108</v>
      </c>
      <c r="B16" s="16">
        <v>232</v>
      </c>
      <c r="C16" s="16">
        <v>429</v>
      </c>
      <c r="D16" s="16">
        <v>1368</v>
      </c>
      <c r="E16" s="16">
        <v>170</v>
      </c>
      <c r="F16" s="16">
        <v>1438</v>
      </c>
      <c r="G16" s="16">
        <v>923</v>
      </c>
      <c r="H16" s="16">
        <v>19579</v>
      </c>
      <c r="I16" s="16">
        <v>266</v>
      </c>
      <c r="J16" s="16">
        <v>908</v>
      </c>
      <c r="K16" s="16">
        <v>256</v>
      </c>
      <c r="L16" s="16">
        <v>283</v>
      </c>
      <c r="M16" s="16">
        <v>2245</v>
      </c>
      <c r="N16" s="16">
        <v>4003</v>
      </c>
      <c r="O16" s="16">
        <v>907</v>
      </c>
      <c r="P16" s="16">
        <v>269</v>
      </c>
      <c r="Q16" s="16">
        <v>430</v>
      </c>
      <c r="R16" s="16">
        <v>155</v>
      </c>
      <c r="S16" s="16">
        <v>693</v>
      </c>
      <c r="T16" s="16">
        <v>249</v>
      </c>
      <c r="U16" s="16">
        <v>1237</v>
      </c>
      <c r="V16" s="16">
        <v>1673</v>
      </c>
      <c r="W16" s="16">
        <v>249</v>
      </c>
      <c r="X16" s="16">
        <v>38000</v>
      </c>
      <c r="Y16" s="8">
        <f>SUM(B16:W16)</f>
        <v>37962</v>
      </c>
    </row>
    <row r="17" spans="1:25" x14ac:dyDescent="0.35">
      <c r="A17" s="26" t="s">
        <v>101</v>
      </c>
      <c r="B17" s="16"/>
      <c r="C17" s="16"/>
      <c r="D17" s="16"/>
      <c r="E17" s="16"/>
      <c r="F17" s="16"/>
      <c r="G17" s="18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>
        <v>80867</v>
      </c>
    </row>
    <row r="18" spans="1:25" x14ac:dyDescent="0.35">
      <c r="A18" s="16" t="s">
        <v>82</v>
      </c>
      <c r="B18" s="18">
        <v>2.3199999999999998</v>
      </c>
      <c r="C18" s="18">
        <v>2.33</v>
      </c>
      <c r="D18" s="18">
        <v>2.2999999999999998</v>
      </c>
      <c r="E18" s="18">
        <v>2.58</v>
      </c>
      <c r="F18" s="18">
        <v>2.27</v>
      </c>
      <c r="G18" s="18">
        <v>2.38</v>
      </c>
      <c r="H18" s="18">
        <v>2</v>
      </c>
      <c r="I18" s="18">
        <v>2.3199999999999998</v>
      </c>
      <c r="J18" s="18">
        <v>2.2999999999999998</v>
      </c>
      <c r="K18" s="18">
        <v>2.2999999999999998</v>
      </c>
      <c r="L18" s="18">
        <v>2.4500000000000002</v>
      </c>
      <c r="M18" s="18">
        <v>2.16</v>
      </c>
      <c r="N18" s="18">
        <v>2.12</v>
      </c>
      <c r="O18" s="18">
        <v>2.5299999999999998</v>
      </c>
      <c r="P18" s="18">
        <f t="shared" ref="P18" si="1">P8/P16</f>
        <v>2.4200743494423791</v>
      </c>
      <c r="Q18" s="18">
        <v>2.4700000000000002</v>
      </c>
      <c r="R18" s="18">
        <v>2.13</v>
      </c>
      <c r="S18" s="18">
        <v>2.4700000000000002</v>
      </c>
      <c r="T18" s="18">
        <v>2.54</v>
      </c>
      <c r="U18" s="18">
        <v>2.27</v>
      </c>
      <c r="V18" s="18">
        <v>2.2200000000000002</v>
      </c>
      <c r="W18" s="18">
        <v>2.39</v>
      </c>
      <c r="X18" s="18">
        <v>2.13</v>
      </c>
    </row>
    <row r="19" spans="1:25" s="15" customFormat="1" x14ac:dyDescent="0.35">
      <c r="A19" s="41" t="s">
        <v>102</v>
      </c>
      <c r="B19" s="19">
        <v>6</v>
      </c>
      <c r="C19" s="19">
        <v>13</v>
      </c>
      <c r="D19" s="19">
        <v>32</v>
      </c>
      <c r="E19" s="19">
        <v>5</v>
      </c>
      <c r="F19" s="19">
        <v>27</v>
      </c>
      <c r="G19" s="19">
        <v>22</v>
      </c>
      <c r="H19" s="19">
        <v>405</v>
      </c>
      <c r="I19" s="19">
        <v>4</v>
      </c>
      <c r="J19" s="19">
        <v>25</v>
      </c>
      <c r="K19" s="19">
        <v>4</v>
      </c>
      <c r="L19" s="19">
        <v>9</v>
      </c>
      <c r="M19" s="19">
        <v>54</v>
      </c>
      <c r="N19" s="19">
        <v>100</v>
      </c>
      <c r="O19" s="19">
        <v>20</v>
      </c>
      <c r="P19" s="19">
        <v>5</v>
      </c>
      <c r="Q19" s="19">
        <v>16</v>
      </c>
      <c r="R19" s="19">
        <v>3</v>
      </c>
      <c r="S19" s="19">
        <v>21</v>
      </c>
      <c r="T19" s="19">
        <v>3</v>
      </c>
      <c r="U19" s="19">
        <v>32</v>
      </c>
      <c r="V19" s="19">
        <v>45</v>
      </c>
      <c r="W19" s="19">
        <v>5</v>
      </c>
      <c r="X19" s="19">
        <f>SUM(B19:W19)</f>
        <v>856</v>
      </c>
    </row>
    <row r="20" spans="1:25" s="14" customFormat="1" x14ac:dyDescent="0.35">
      <c r="A20" s="42" t="s">
        <v>103</v>
      </c>
      <c r="B20" s="20">
        <v>2</v>
      </c>
      <c r="C20" s="20">
        <v>8</v>
      </c>
      <c r="D20" s="20">
        <v>31</v>
      </c>
      <c r="E20" s="20">
        <v>4</v>
      </c>
      <c r="F20" s="20">
        <v>26</v>
      </c>
      <c r="G20" s="20">
        <v>20</v>
      </c>
      <c r="H20" s="20">
        <v>412</v>
      </c>
      <c r="I20" s="20">
        <v>7</v>
      </c>
      <c r="J20" s="20">
        <v>20</v>
      </c>
      <c r="K20" s="20">
        <v>4</v>
      </c>
      <c r="L20" s="20">
        <v>4</v>
      </c>
      <c r="M20" s="20">
        <v>32</v>
      </c>
      <c r="N20" s="20">
        <v>63</v>
      </c>
      <c r="O20" s="20">
        <v>16</v>
      </c>
      <c r="P20" s="20">
        <v>3</v>
      </c>
      <c r="Q20" s="20">
        <v>8</v>
      </c>
      <c r="R20" s="20">
        <v>1</v>
      </c>
      <c r="S20" s="20">
        <v>12</v>
      </c>
      <c r="T20" s="20">
        <v>2</v>
      </c>
      <c r="U20" s="20">
        <v>20</v>
      </c>
      <c r="V20" s="20">
        <v>46</v>
      </c>
      <c r="W20" s="20">
        <v>5</v>
      </c>
      <c r="X20" s="20">
        <f>SUM(B20:W20)</f>
        <v>746</v>
      </c>
    </row>
    <row r="21" spans="1:25" x14ac:dyDescent="0.35">
      <c r="A21" s="26" t="s">
        <v>100</v>
      </c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</row>
    <row r="22" spans="1:25" x14ac:dyDescent="0.35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</row>
    <row r="23" spans="1:25" s="12" customFormat="1" x14ac:dyDescent="0.35">
      <c r="A23" s="21" t="s">
        <v>16</v>
      </c>
      <c r="B23" s="21" t="s">
        <v>54</v>
      </c>
      <c r="C23" s="21" t="s">
        <v>55</v>
      </c>
      <c r="D23" s="21" t="s">
        <v>56</v>
      </c>
      <c r="E23" s="21" t="s">
        <v>57</v>
      </c>
      <c r="F23" s="21" t="s">
        <v>58</v>
      </c>
      <c r="G23" s="21" t="s">
        <v>59</v>
      </c>
      <c r="H23" s="21" t="s">
        <v>53</v>
      </c>
      <c r="I23" s="21" t="s">
        <v>60</v>
      </c>
      <c r="J23" s="21" t="s">
        <v>61</v>
      </c>
      <c r="K23" s="21" t="s">
        <v>62</v>
      </c>
      <c r="L23" s="21" t="s">
        <v>64</v>
      </c>
      <c r="M23" s="21" t="s">
        <v>63</v>
      </c>
      <c r="N23" s="21" t="s">
        <v>65</v>
      </c>
      <c r="O23" s="28" t="s">
        <v>83</v>
      </c>
      <c r="P23" s="21" t="s">
        <v>66</v>
      </c>
      <c r="Q23" s="21" t="s">
        <v>67</v>
      </c>
      <c r="R23" s="21" t="s">
        <v>68</v>
      </c>
      <c r="S23" s="21" t="s">
        <v>69</v>
      </c>
      <c r="T23" s="21" t="s">
        <v>70</v>
      </c>
      <c r="U23" s="21" t="s">
        <v>71</v>
      </c>
      <c r="V23" s="21" t="s">
        <v>72</v>
      </c>
      <c r="W23" s="21" t="s">
        <v>73</v>
      </c>
      <c r="X23" s="52" t="s">
        <v>81</v>
      </c>
    </row>
    <row r="24" spans="1:25" x14ac:dyDescent="0.35">
      <c r="A24" s="40" t="s">
        <v>97</v>
      </c>
      <c r="B24" s="16">
        <v>252</v>
      </c>
      <c r="C24" s="16">
        <v>487</v>
      </c>
      <c r="D24" s="16">
        <v>1494</v>
      </c>
      <c r="E24" s="16">
        <v>182</v>
      </c>
      <c r="F24" s="16">
        <v>1579</v>
      </c>
      <c r="G24" s="16">
        <v>995</v>
      </c>
      <c r="H24" s="16">
        <v>21652</v>
      </c>
      <c r="I24" s="16">
        <v>286</v>
      </c>
      <c r="J24" s="16">
        <v>982</v>
      </c>
      <c r="K24" s="16">
        <v>275</v>
      </c>
      <c r="L24" s="16">
        <v>339</v>
      </c>
      <c r="M24" s="16">
        <v>2413</v>
      </c>
      <c r="N24" s="16">
        <v>4548</v>
      </c>
      <c r="O24" s="16">
        <v>977</v>
      </c>
      <c r="P24" s="16">
        <v>315</v>
      </c>
      <c r="Q24" s="16">
        <v>463</v>
      </c>
      <c r="R24" s="16">
        <v>218</v>
      </c>
      <c r="S24" s="16">
        <v>752</v>
      </c>
      <c r="T24" s="16">
        <v>255</v>
      </c>
      <c r="U24" s="16">
        <v>1354</v>
      </c>
      <c r="V24" s="16">
        <v>1881</v>
      </c>
      <c r="W24" s="16">
        <v>303</v>
      </c>
      <c r="X24" s="16">
        <v>42003</v>
      </c>
      <c r="Y24" s="8">
        <f>SUM(B24:W24)</f>
        <v>42002</v>
      </c>
    </row>
    <row r="25" spans="1:25" x14ac:dyDescent="0.35">
      <c r="A25" s="40" t="s">
        <v>126</v>
      </c>
      <c r="B25" s="16">
        <v>232</v>
      </c>
      <c r="C25" s="16">
        <v>429</v>
      </c>
      <c r="D25" s="16">
        <v>1368</v>
      </c>
      <c r="E25" s="16">
        <v>170</v>
      </c>
      <c r="F25" s="16">
        <v>1438</v>
      </c>
      <c r="G25" s="16">
        <v>926</v>
      </c>
      <c r="H25" s="16">
        <v>19579</v>
      </c>
      <c r="I25" s="16">
        <v>266</v>
      </c>
      <c r="J25" s="16">
        <v>909</v>
      </c>
      <c r="K25" s="16">
        <v>256</v>
      </c>
      <c r="L25" s="16">
        <v>316</v>
      </c>
      <c r="M25" s="16">
        <v>2257</v>
      </c>
      <c r="N25" s="16">
        <v>3991</v>
      </c>
      <c r="O25" s="16">
        <v>907</v>
      </c>
      <c r="P25" s="16">
        <v>269</v>
      </c>
      <c r="Q25" s="16">
        <v>430</v>
      </c>
      <c r="R25" s="16">
        <v>155</v>
      </c>
      <c r="S25" s="16">
        <v>693</v>
      </c>
      <c r="T25" s="16">
        <v>249</v>
      </c>
      <c r="U25" s="16">
        <v>1237</v>
      </c>
      <c r="V25" s="16">
        <v>1673</v>
      </c>
      <c r="W25" s="16">
        <v>249</v>
      </c>
      <c r="X25" s="16">
        <v>38000</v>
      </c>
      <c r="Y25" s="8">
        <f>SUM(B25:W25)</f>
        <v>37999</v>
      </c>
    </row>
    <row r="26" spans="1:25" x14ac:dyDescent="0.35">
      <c r="A26" s="40" t="s">
        <v>98</v>
      </c>
      <c r="B26" s="43">
        <f>232/B24</f>
        <v>0.92063492063492058</v>
      </c>
      <c r="C26" s="43">
        <f>429/487</f>
        <v>0.8809034907597536</v>
      </c>
      <c r="D26" s="43">
        <f>1368/1494</f>
        <v>0.91566265060240959</v>
      </c>
      <c r="E26" s="43">
        <f>170/182</f>
        <v>0.93406593406593408</v>
      </c>
      <c r="F26" s="43">
        <f>1438/1579</f>
        <v>0.9107029765674477</v>
      </c>
      <c r="G26" s="43">
        <f>926/995</f>
        <v>0.93065326633165835</v>
      </c>
      <c r="H26" s="43">
        <f>H25/H24</f>
        <v>0.90425826713467583</v>
      </c>
      <c r="I26" s="43">
        <f>266/286</f>
        <v>0.93006993006993011</v>
      </c>
      <c r="J26" s="43">
        <f>909/982</f>
        <v>0.92566191446028512</v>
      </c>
      <c r="K26" s="43">
        <f>256/275</f>
        <v>0.93090909090909091</v>
      </c>
      <c r="L26" s="43">
        <f>316/339</f>
        <v>0.93215339233038352</v>
      </c>
      <c r="M26" s="43">
        <f>2257/2413</f>
        <v>0.93535018648984669</v>
      </c>
      <c r="N26" s="32">
        <f>3991/4548</f>
        <v>0.87752858399296396</v>
      </c>
      <c r="O26" s="43">
        <f>907/977</f>
        <v>0.92835209825997955</v>
      </c>
      <c r="P26" s="43">
        <f>269/315</f>
        <v>0.85396825396825393</v>
      </c>
      <c r="Q26" s="43">
        <f>430/463</f>
        <v>0.92872570194384452</v>
      </c>
      <c r="R26" s="43">
        <f>155/218</f>
        <v>0.71100917431192656</v>
      </c>
      <c r="S26" s="44">
        <v>0.92200000000000004</v>
      </c>
      <c r="T26" s="32">
        <f>249/255</f>
        <v>0.97647058823529409</v>
      </c>
      <c r="U26" s="32">
        <f>1237/1354</f>
        <v>0.91358936484490394</v>
      </c>
      <c r="V26" s="32">
        <f>1673/1881</f>
        <v>0.88942052099946833</v>
      </c>
      <c r="W26" s="43">
        <f>249/303</f>
        <v>0.82178217821782173</v>
      </c>
      <c r="X26" s="43">
        <f>38000/42003</f>
        <v>0.90469728352736711</v>
      </c>
    </row>
    <row r="27" spans="1:25" x14ac:dyDescent="0.35">
      <c r="A27" s="40" t="s">
        <v>99</v>
      </c>
      <c r="B27" s="43">
        <f>8/B24</f>
        <v>3.1746031746031744E-2</v>
      </c>
      <c r="C27" s="43">
        <f>17/487</f>
        <v>3.4907597535934289E-2</v>
      </c>
      <c r="D27" s="43">
        <f>17/1494</f>
        <v>1.1378848728246318E-2</v>
      </c>
      <c r="E27" s="43">
        <f>1/182</f>
        <v>5.4945054945054949E-3</v>
      </c>
      <c r="F27" s="43">
        <f>34/1579</f>
        <v>2.1532615579480684E-2</v>
      </c>
      <c r="G27" s="43">
        <f>6/995</f>
        <v>6.030150753768844E-3</v>
      </c>
      <c r="H27" s="43">
        <f>368/21652</f>
        <v>1.6996120450766674E-2</v>
      </c>
      <c r="I27" s="43">
        <f>3/286</f>
        <v>1.048951048951049E-2</v>
      </c>
      <c r="J27" s="43">
        <f>14/982</f>
        <v>1.4256619144602852E-2</v>
      </c>
      <c r="K27" s="43">
        <f>9/275</f>
        <v>3.272727272727273E-2</v>
      </c>
      <c r="L27" s="43">
        <f>9/339</f>
        <v>2.6548672566371681E-2</v>
      </c>
      <c r="M27" s="43">
        <f>21/2413</f>
        <v>8.7028595109821805E-3</v>
      </c>
      <c r="N27" s="43">
        <f>186/4548</f>
        <v>4.0897097625329816E-2</v>
      </c>
      <c r="O27" s="43">
        <f>17/907</f>
        <v>1.8743109151047408E-2</v>
      </c>
      <c r="P27" s="43">
        <f>18/315</f>
        <v>5.7142857142857141E-2</v>
      </c>
      <c r="Q27" s="43">
        <f>14/463</f>
        <v>3.0237580993520519E-2</v>
      </c>
      <c r="R27" s="43">
        <f>47/218</f>
        <v>0.21559633027522937</v>
      </c>
      <c r="S27" s="44">
        <v>1.4999999999999999E-2</v>
      </c>
      <c r="T27" s="32">
        <f>3/255</f>
        <v>1.1764705882352941E-2</v>
      </c>
      <c r="U27" s="32">
        <f>25/1354</f>
        <v>1.8463810930576072E-2</v>
      </c>
      <c r="V27" s="32">
        <f>35/1881</f>
        <v>1.8607123870281767E-2</v>
      </c>
      <c r="W27" s="43">
        <f>25/303</f>
        <v>8.2508250825082508E-2</v>
      </c>
      <c r="X27" s="43">
        <f>887/42003</f>
        <v>2.1117539223388805E-2</v>
      </c>
    </row>
    <row r="28" spans="1:25" x14ac:dyDescent="0.35">
      <c r="A28" s="40" t="s">
        <v>104</v>
      </c>
      <c r="B28" s="43">
        <f>12/252</f>
        <v>4.7619047619047616E-2</v>
      </c>
      <c r="C28" s="43">
        <f>40/487</f>
        <v>8.2135523613963035E-2</v>
      </c>
      <c r="D28" s="43">
        <f>109/1494</f>
        <v>7.2958500669344048E-2</v>
      </c>
      <c r="E28" s="43">
        <f>11/182</f>
        <v>6.043956043956044E-2</v>
      </c>
      <c r="F28" s="43">
        <f>107/1579</f>
        <v>6.776440785307157E-2</v>
      </c>
      <c r="G28" s="43">
        <f>63/995</f>
        <v>6.3316582914572858E-2</v>
      </c>
      <c r="H28" s="43">
        <f>1706/21652</f>
        <v>7.879179752447811E-2</v>
      </c>
      <c r="I28" s="43">
        <f>17/286</f>
        <v>5.944055944055944E-2</v>
      </c>
      <c r="J28" s="43">
        <f>59/982</f>
        <v>6.008146639511202E-2</v>
      </c>
      <c r="K28" s="57">
        <f>10/975</f>
        <v>1.0256410256410256E-2</v>
      </c>
      <c r="L28" s="43">
        <f>14/339</f>
        <v>4.1297935103244837E-2</v>
      </c>
      <c r="M28" s="43">
        <f>135/2413</f>
        <v>5.5946953999171156E-2</v>
      </c>
      <c r="N28" s="43">
        <f>372/4548</f>
        <v>8.1794195250659632E-2</v>
      </c>
      <c r="O28" s="43">
        <f>53/9077</f>
        <v>5.8389335683595904E-3</v>
      </c>
      <c r="P28" s="43">
        <f>28/315</f>
        <v>8.8888888888888892E-2</v>
      </c>
      <c r="Q28" s="43">
        <f>18/463</f>
        <v>3.8876889848812095E-2</v>
      </c>
      <c r="R28" s="43">
        <f>16/218</f>
        <v>7.3394495412844041E-2</v>
      </c>
      <c r="S28" s="44">
        <v>6.4000000000000001E-2</v>
      </c>
      <c r="T28" s="32">
        <f>3/255</f>
        <v>1.1764705882352941E-2</v>
      </c>
      <c r="U28" s="32">
        <f>92/1354</f>
        <v>6.7946824224519947E-2</v>
      </c>
      <c r="V28" s="32">
        <f>173/1881</f>
        <v>9.1972355130249872E-2</v>
      </c>
      <c r="W28" s="43">
        <f>29/303</f>
        <v>9.5709570957095716E-2</v>
      </c>
      <c r="X28" s="43">
        <f>3117/42003</f>
        <v>7.4208985072494821E-2</v>
      </c>
    </row>
    <row r="29" spans="1:25" x14ac:dyDescent="0.35">
      <c r="A29" s="40" t="s">
        <v>124</v>
      </c>
      <c r="B29" s="43">
        <v>0.89300000000000002</v>
      </c>
      <c r="C29" s="43">
        <v>0.93200000000000005</v>
      </c>
      <c r="D29" s="43">
        <v>0.69099999999999995</v>
      </c>
      <c r="E29" s="45">
        <v>0.95599999999999996</v>
      </c>
      <c r="F29" s="45">
        <v>0.81</v>
      </c>
      <c r="G29" s="44">
        <v>0.83699999999999997</v>
      </c>
      <c r="H29" s="44">
        <v>0.20899999999999999</v>
      </c>
      <c r="I29" s="44">
        <v>0.90400000000000003</v>
      </c>
      <c r="J29" s="44">
        <v>0.79300000000000004</v>
      </c>
      <c r="K29" s="44">
        <v>0.96299999999999997</v>
      </c>
      <c r="L29" s="44">
        <v>0.94099999999999995</v>
      </c>
      <c r="M29" s="44">
        <v>0.72299999999999998</v>
      </c>
      <c r="N29" s="44">
        <v>0.44800000000000001</v>
      </c>
      <c r="O29" s="45">
        <v>0.82299999999999995</v>
      </c>
      <c r="P29" s="44">
        <v>0.96099999999999997</v>
      </c>
      <c r="Q29" s="44">
        <v>0.90900000000000003</v>
      </c>
      <c r="R29" s="44">
        <v>0.95899999999999996</v>
      </c>
      <c r="S29" s="44">
        <v>0.96699999999999997</v>
      </c>
      <c r="T29" s="46">
        <v>1</v>
      </c>
      <c r="U29" s="44">
        <v>0.67100000000000004</v>
      </c>
      <c r="V29" s="44">
        <v>0.60499999999999998</v>
      </c>
      <c r="W29" s="44">
        <v>0.96399999999999997</v>
      </c>
      <c r="X29" s="44">
        <v>0.45200000000000001</v>
      </c>
    </row>
    <row r="30" spans="1:25" x14ac:dyDescent="0.35">
      <c r="A30" s="40" t="s">
        <v>125</v>
      </c>
      <c r="B30" s="43">
        <v>9.5000000000000001E-2</v>
      </c>
      <c r="C30" s="43">
        <v>6.8000000000000005E-2</v>
      </c>
      <c r="D30" s="43">
        <v>0.29099999999999998</v>
      </c>
      <c r="E30" s="45">
        <v>4.3999999999999997E-2</v>
      </c>
      <c r="F30" s="45">
        <v>0.187</v>
      </c>
      <c r="G30" s="46">
        <v>0.16</v>
      </c>
      <c r="H30" s="44">
        <v>0.77900000000000003</v>
      </c>
      <c r="I30" s="44">
        <v>8.8999999999999996E-2</v>
      </c>
      <c r="J30" s="44">
        <v>0.182</v>
      </c>
      <c r="K30" s="44">
        <v>3.3000000000000002E-2</v>
      </c>
      <c r="L30" s="44">
        <v>5.6000000000000001E-2</v>
      </c>
      <c r="M30" s="44">
        <v>0.27600000000000002</v>
      </c>
      <c r="N30" s="46">
        <v>0.53</v>
      </c>
      <c r="O30" s="45">
        <v>0.15</v>
      </c>
      <c r="P30" s="44">
        <v>3.2000000000000001E-2</v>
      </c>
      <c r="Q30" s="44">
        <v>8.8999999999999996E-2</v>
      </c>
      <c r="R30" s="44">
        <v>4.1000000000000002E-2</v>
      </c>
      <c r="S30" s="44">
        <v>3.3000000000000002E-2</v>
      </c>
      <c r="T30" s="46">
        <v>0</v>
      </c>
      <c r="U30" s="44">
        <v>0.32800000000000001</v>
      </c>
      <c r="V30" s="44">
        <v>0.39200000000000002</v>
      </c>
      <c r="W30" s="44">
        <v>3.3000000000000002E-2</v>
      </c>
      <c r="X30" s="44">
        <v>0.53700000000000003</v>
      </c>
    </row>
    <row r="31" spans="1:25" x14ac:dyDescent="0.35">
      <c r="A31" s="40" t="s">
        <v>105</v>
      </c>
      <c r="B31" s="45">
        <v>0.82799999999999996</v>
      </c>
      <c r="C31" s="44">
        <v>0.82299999999999995</v>
      </c>
      <c r="D31" s="45">
        <v>0.63700000000000001</v>
      </c>
      <c r="E31" s="45">
        <v>0.85299999999999998</v>
      </c>
      <c r="F31" s="45">
        <v>0.70199999999999996</v>
      </c>
      <c r="G31" s="44">
        <v>0.72099999999999997</v>
      </c>
      <c r="H31" s="45">
        <v>0.35</v>
      </c>
      <c r="I31" s="44">
        <v>0.78800000000000003</v>
      </c>
      <c r="J31" s="44">
        <v>0.68400000000000005</v>
      </c>
      <c r="K31" s="44">
        <v>0.81200000000000006</v>
      </c>
      <c r="L31" s="44">
        <v>0.81599999999999995</v>
      </c>
      <c r="M31" s="44">
        <v>0.627</v>
      </c>
      <c r="N31" s="44">
        <v>0.44700000000000001</v>
      </c>
      <c r="O31" s="44">
        <v>0.66300000000000003</v>
      </c>
      <c r="P31" s="44">
        <v>0.85799999999999998</v>
      </c>
      <c r="Q31" s="44">
        <v>0.746</v>
      </c>
      <c r="R31" s="44">
        <v>0.79400000000000004</v>
      </c>
      <c r="S31" s="44">
        <v>0.75800000000000001</v>
      </c>
      <c r="T31" s="44">
        <v>0.93899999999999995</v>
      </c>
      <c r="U31" s="44">
        <v>0.58699999999999997</v>
      </c>
      <c r="V31" s="46">
        <v>0.56000000000000005</v>
      </c>
      <c r="W31" s="44">
        <v>0.86299999999999999</v>
      </c>
      <c r="X31" s="44">
        <v>0.48699999999999999</v>
      </c>
    </row>
    <row r="32" spans="1:25" x14ac:dyDescent="0.35">
      <c r="A32" s="40" t="s">
        <v>106</v>
      </c>
      <c r="B32" s="16">
        <v>0</v>
      </c>
      <c r="C32" s="16">
        <v>1</v>
      </c>
      <c r="D32" s="16">
        <v>317</v>
      </c>
      <c r="E32" s="16">
        <v>0</v>
      </c>
      <c r="F32" s="16">
        <v>224</v>
      </c>
      <c r="G32" s="16">
        <v>114</v>
      </c>
      <c r="H32" s="16">
        <v>5490</v>
      </c>
      <c r="I32" s="16">
        <v>0</v>
      </c>
      <c r="J32" s="16">
        <v>85</v>
      </c>
      <c r="K32" s="16">
        <v>0</v>
      </c>
      <c r="L32" s="16">
        <v>15</v>
      </c>
      <c r="M32" s="16">
        <v>378</v>
      </c>
      <c r="N32" s="16">
        <v>791</v>
      </c>
      <c r="O32" s="16">
        <v>112</v>
      </c>
      <c r="P32" s="58">
        <v>0</v>
      </c>
      <c r="Q32" s="16">
        <v>29</v>
      </c>
      <c r="R32" s="16">
        <v>0</v>
      </c>
      <c r="S32" s="16">
        <v>60</v>
      </c>
      <c r="T32" s="16">
        <v>1</v>
      </c>
      <c r="U32" s="16">
        <v>266</v>
      </c>
      <c r="V32" s="16">
        <v>326</v>
      </c>
      <c r="W32" s="16">
        <v>0</v>
      </c>
      <c r="X32" s="16">
        <v>8208</v>
      </c>
      <c r="Y32" s="8">
        <f>SUM(B32:W32)</f>
        <v>8209</v>
      </c>
    </row>
    <row r="33" spans="1:25" x14ac:dyDescent="0.35">
      <c r="A33" s="40" t="s">
        <v>107</v>
      </c>
      <c r="B33" s="32">
        <f>B32/(B24*B26/100)</f>
        <v>0</v>
      </c>
      <c r="C33" s="32">
        <v>2E-3</v>
      </c>
      <c r="D33" s="32">
        <f>D32/1368</f>
        <v>0.23172514619883042</v>
      </c>
      <c r="E33" s="32">
        <f>E32/(E24*E26/100)</f>
        <v>0</v>
      </c>
      <c r="F33" s="43">
        <f>224/1438</f>
        <v>0.15577190542420027</v>
      </c>
      <c r="G33" s="43">
        <f>114/926</f>
        <v>0.12311015118790497</v>
      </c>
      <c r="H33" s="49">
        <f>5490/19579</f>
        <v>0.28040247203636548</v>
      </c>
      <c r="I33" s="32">
        <f>I32/(I24*I26/100)</f>
        <v>0</v>
      </c>
      <c r="J33" s="32">
        <v>9.2999999999999999E-2</v>
      </c>
      <c r="K33" s="32">
        <f>K32/(K24*K26/100)</f>
        <v>0</v>
      </c>
      <c r="L33" s="32">
        <f>15/316</f>
        <v>4.746835443037975E-2</v>
      </c>
      <c r="M33" s="32">
        <v>0.16700000000000001</v>
      </c>
      <c r="N33" s="32">
        <v>0.19800000000000001</v>
      </c>
      <c r="O33" s="32">
        <f>12.4%</f>
        <v>0.124</v>
      </c>
      <c r="P33" s="32">
        <v>0</v>
      </c>
      <c r="Q33" s="32">
        <v>6.8000000000000005E-2</v>
      </c>
      <c r="R33" s="32">
        <f>R32/(R24*R26/100)</f>
        <v>0</v>
      </c>
      <c r="S33" s="32">
        <v>8.6999999999999994E-2</v>
      </c>
      <c r="T33" s="32">
        <v>4.0000000000000001E-3</v>
      </c>
      <c r="U33" s="32">
        <v>0.215</v>
      </c>
      <c r="V33" s="32">
        <v>0.19500000000000001</v>
      </c>
      <c r="W33" s="32">
        <f>W32/(W24*W26/100)</f>
        <v>0</v>
      </c>
      <c r="X33" s="32">
        <v>0.216</v>
      </c>
    </row>
    <row r="34" spans="1:25" x14ac:dyDescent="0.35">
      <c r="A34" s="26" t="s">
        <v>101</v>
      </c>
      <c r="B34" s="62">
        <f>B29+B30</f>
        <v>0.98799999999999999</v>
      </c>
      <c r="C34" s="62">
        <f>C29+C30</f>
        <v>1</v>
      </c>
      <c r="D34" s="62">
        <f>D29+D30</f>
        <v>0.98199999999999998</v>
      </c>
      <c r="E34" s="62">
        <f>E29+E30</f>
        <v>1</v>
      </c>
      <c r="F34" s="62">
        <f>F29+F30</f>
        <v>0.99700000000000011</v>
      </c>
      <c r="G34" s="62">
        <f>G29+G30</f>
        <v>0.997</v>
      </c>
      <c r="H34" s="62">
        <f t="shared" ref="H34:X34" si="2">H29+H30</f>
        <v>0.98799999999999999</v>
      </c>
      <c r="I34" s="62">
        <f t="shared" si="2"/>
        <v>0.99299999999999999</v>
      </c>
      <c r="J34" s="62">
        <f t="shared" si="2"/>
        <v>0.97500000000000009</v>
      </c>
      <c r="K34" s="62">
        <f t="shared" si="2"/>
        <v>0.996</v>
      </c>
      <c r="L34" s="62">
        <f t="shared" si="2"/>
        <v>0.997</v>
      </c>
      <c r="M34" s="62">
        <f t="shared" si="2"/>
        <v>0.999</v>
      </c>
      <c r="N34" s="62">
        <f t="shared" si="2"/>
        <v>0.97799999999999998</v>
      </c>
      <c r="O34" s="62">
        <f t="shared" si="2"/>
        <v>0.97299999999999998</v>
      </c>
      <c r="P34" s="62">
        <f t="shared" si="2"/>
        <v>0.99299999999999999</v>
      </c>
      <c r="Q34" s="62">
        <f t="shared" si="2"/>
        <v>0.998</v>
      </c>
      <c r="R34" s="62">
        <f t="shared" si="2"/>
        <v>1</v>
      </c>
      <c r="S34" s="62">
        <f t="shared" si="2"/>
        <v>1</v>
      </c>
      <c r="T34" s="62">
        <f t="shared" si="2"/>
        <v>1</v>
      </c>
      <c r="U34" s="62">
        <f t="shared" si="2"/>
        <v>0.99900000000000011</v>
      </c>
      <c r="V34" s="62">
        <f t="shared" si="2"/>
        <v>0.997</v>
      </c>
      <c r="W34" s="62">
        <f t="shared" si="2"/>
        <v>0.997</v>
      </c>
      <c r="X34" s="62">
        <f t="shared" si="2"/>
        <v>0.9890000000000001</v>
      </c>
    </row>
    <row r="35" spans="1:25" x14ac:dyDescent="0.35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</row>
    <row r="36" spans="1:25" s="11" customFormat="1" x14ac:dyDescent="0.35">
      <c r="A36" s="22" t="s">
        <v>32</v>
      </c>
      <c r="B36" s="22" t="s">
        <v>54</v>
      </c>
      <c r="C36" s="22" t="s">
        <v>55</v>
      </c>
      <c r="D36" s="22" t="s">
        <v>56</v>
      </c>
      <c r="E36" s="22" t="s">
        <v>57</v>
      </c>
      <c r="F36" s="22" t="s">
        <v>58</v>
      </c>
      <c r="G36" s="22" t="s">
        <v>59</v>
      </c>
      <c r="H36" s="22" t="s">
        <v>53</v>
      </c>
      <c r="I36" s="22" t="s">
        <v>60</v>
      </c>
      <c r="J36" s="22" t="s">
        <v>61</v>
      </c>
      <c r="K36" s="22" t="s">
        <v>62</v>
      </c>
      <c r="L36" s="22" t="s">
        <v>64</v>
      </c>
      <c r="M36" s="22" t="s">
        <v>63</v>
      </c>
      <c r="N36" s="22" t="s">
        <v>65</v>
      </c>
      <c r="O36" s="29" t="s">
        <v>83</v>
      </c>
      <c r="P36" s="22" t="s">
        <v>66</v>
      </c>
      <c r="Q36" s="22" t="s">
        <v>67</v>
      </c>
      <c r="R36" s="22" t="s">
        <v>68</v>
      </c>
      <c r="S36" s="22" t="s">
        <v>69</v>
      </c>
      <c r="T36" s="22" t="s">
        <v>70</v>
      </c>
      <c r="U36" s="22" t="s">
        <v>71</v>
      </c>
      <c r="V36" s="22" t="s">
        <v>72</v>
      </c>
      <c r="W36" s="22" t="s">
        <v>73</v>
      </c>
      <c r="X36" s="54" t="s">
        <v>81</v>
      </c>
    </row>
    <row r="37" spans="1:25" x14ac:dyDescent="0.35">
      <c r="A37" s="40" t="s">
        <v>109</v>
      </c>
      <c r="B37" s="16">
        <v>229</v>
      </c>
      <c r="C37" s="16">
        <v>427</v>
      </c>
      <c r="D37" s="16">
        <v>1331</v>
      </c>
      <c r="E37" s="16">
        <v>165</v>
      </c>
      <c r="F37" s="16">
        <v>1439</v>
      </c>
      <c r="G37" s="16">
        <v>931</v>
      </c>
      <c r="H37" s="16">
        <v>16916</v>
      </c>
      <c r="I37" s="16">
        <v>259</v>
      </c>
      <c r="J37" s="16">
        <v>885</v>
      </c>
      <c r="K37" s="16">
        <v>240</v>
      </c>
      <c r="L37" s="16">
        <v>311</v>
      </c>
      <c r="M37" s="16">
        <v>2234</v>
      </c>
      <c r="N37" s="16">
        <v>3623</v>
      </c>
      <c r="O37" s="16">
        <v>871</v>
      </c>
      <c r="P37" s="16">
        <v>267</v>
      </c>
      <c r="Q37" s="16">
        <v>422</v>
      </c>
      <c r="R37" s="16">
        <v>155</v>
      </c>
      <c r="S37" s="16">
        <v>681</v>
      </c>
      <c r="T37" s="16">
        <v>243</v>
      </c>
      <c r="U37" s="16">
        <v>1193</v>
      </c>
      <c r="V37" s="16">
        <v>1690</v>
      </c>
      <c r="W37" s="16">
        <v>251</v>
      </c>
      <c r="X37" s="16">
        <v>34763</v>
      </c>
      <c r="Y37" s="8">
        <f>SUM(B37:W37)</f>
        <v>34763</v>
      </c>
    </row>
    <row r="38" spans="1:25" x14ac:dyDescent="0.35">
      <c r="A38" s="40" t="s">
        <v>111</v>
      </c>
      <c r="B38" s="40" t="s">
        <v>127</v>
      </c>
      <c r="C38" s="40" t="s">
        <v>127</v>
      </c>
      <c r="D38" s="46">
        <v>0.5</v>
      </c>
      <c r="E38" s="40" t="s">
        <v>127</v>
      </c>
      <c r="F38" s="46">
        <v>0.6</v>
      </c>
      <c r="G38" s="46">
        <v>0.59</v>
      </c>
      <c r="H38" s="46">
        <v>0.48</v>
      </c>
      <c r="I38" s="40" t="s">
        <v>127</v>
      </c>
      <c r="J38" s="46">
        <v>0.66</v>
      </c>
      <c r="K38" s="40" t="s">
        <v>127</v>
      </c>
      <c r="L38" s="40" t="s">
        <v>127</v>
      </c>
      <c r="M38" s="46">
        <v>0.6</v>
      </c>
      <c r="N38" s="46">
        <v>0.56000000000000005</v>
      </c>
      <c r="O38" s="46">
        <v>0.67</v>
      </c>
      <c r="P38" s="40" t="s">
        <v>135</v>
      </c>
      <c r="Q38" s="40" t="s">
        <v>127</v>
      </c>
      <c r="R38" s="40" t="s">
        <v>127</v>
      </c>
      <c r="S38" s="40" t="s">
        <v>127</v>
      </c>
      <c r="T38" s="40" t="s">
        <v>127</v>
      </c>
      <c r="U38" s="46">
        <v>0.54</v>
      </c>
      <c r="V38" s="46">
        <v>0.52</v>
      </c>
      <c r="W38" s="40" t="s">
        <v>127</v>
      </c>
      <c r="X38" s="61">
        <v>0.53700000000000003</v>
      </c>
    </row>
    <row r="39" spans="1:25" x14ac:dyDescent="0.35">
      <c r="A39" s="40" t="s">
        <v>112</v>
      </c>
      <c r="B39" s="16">
        <v>27110</v>
      </c>
      <c r="C39" s="16">
        <v>22400</v>
      </c>
      <c r="D39" s="16">
        <v>21630</v>
      </c>
      <c r="E39" s="16">
        <v>25540</v>
      </c>
      <c r="F39" s="16">
        <v>25380</v>
      </c>
      <c r="G39" s="16">
        <v>24230</v>
      </c>
      <c r="H39" s="16">
        <v>20430</v>
      </c>
      <c r="I39" s="16">
        <v>23040</v>
      </c>
      <c r="J39" s="16">
        <v>27360</v>
      </c>
      <c r="K39" s="16">
        <v>31160</v>
      </c>
      <c r="L39" s="16">
        <v>28370</v>
      </c>
      <c r="M39" s="16">
        <v>25180</v>
      </c>
      <c r="N39" s="16">
        <v>22630</v>
      </c>
      <c r="O39" s="16">
        <v>26390</v>
      </c>
      <c r="P39" s="16">
        <v>27440</v>
      </c>
      <c r="Q39" s="16">
        <v>23750</v>
      </c>
      <c r="R39" s="16">
        <v>33100</v>
      </c>
      <c r="S39" s="16">
        <v>23220</v>
      </c>
      <c r="T39" s="16">
        <v>25910</v>
      </c>
      <c r="U39" s="16">
        <v>22330</v>
      </c>
      <c r="V39" s="16">
        <v>22990</v>
      </c>
      <c r="W39" s="16">
        <v>30170</v>
      </c>
      <c r="X39" s="23">
        <v>22650</v>
      </c>
      <c r="Y39" s="8">
        <f>SUM(B39:W39)</f>
        <v>559760</v>
      </c>
    </row>
    <row r="40" spans="1:25" x14ac:dyDescent="0.35">
      <c r="A40" s="40" t="s">
        <v>113</v>
      </c>
      <c r="B40" s="40" t="s">
        <v>127</v>
      </c>
      <c r="C40" s="40" t="s">
        <v>127</v>
      </c>
      <c r="D40" s="46">
        <v>0.1</v>
      </c>
      <c r="E40" s="40" t="s">
        <v>127</v>
      </c>
      <c r="F40" s="46">
        <v>0.08</v>
      </c>
      <c r="G40" s="40" t="s">
        <v>127</v>
      </c>
      <c r="H40" s="46">
        <v>0.21</v>
      </c>
      <c r="I40" s="40" t="s">
        <v>127</v>
      </c>
      <c r="J40" s="40" t="s">
        <v>127</v>
      </c>
      <c r="K40" s="40" t="s">
        <v>127</v>
      </c>
      <c r="L40" s="40" t="s">
        <v>127</v>
      </c>
      <c r="M40" s="46">
        <v>7.0000000000000007E-2</v>
      </c>
      <c r="N40" s="46">
        <v>0.12</v>
      </c>
      <c r="O40" s="40" t="s">
        <v>127</v>
      </c>
      <c r="P40" s="40" t="s">
        <v>135</v>
      </c>
      <c r="Q40" s="40" t="s">
        <v>127</v>
      </c>
      <c r="R40" s="40" t="s">
        <v>127</v>
      </c>
      <c r="S40" s="40" t="s">
        <v>127</v>
      </c>
      <c r="T40" s="40" t="s">
        <v>127</v>
      </c>
      <c r="U40" s="46">
        <v>0.11</v>
      </c>
      <c r="V40" s="46">
        <v>0.09</v>
      </c>
      <c r="W40" s="40" t="s">
        <v>127</v>
      </c>
      <c r="X40" s="61">
        <v>0.14299999999999999</v>
      </c>
    </row>
    <row r="41" spans="1:25" x14ac:dyDescent="0.35">
      <c r="A41" s="26" t="s">
        <v>74</v>
      </c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</row>
    <row r="42" spans="1:25" x14ac:dyDescent="0.35">
      <c r="A42" s="26" t="s">
        <v>110</v>
      </c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</row>
    <row r="43" spans="1:25" x14ac:dyDescent="0.35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</row>
    <row r="44" spans="1:25" s="10" customFormat="1" x14ac:dyDescent="0.35">
      <c r="A44" s="24" t="s">
        <v>75</v>
      </c>
      <c r="B44" s="24" t="s">
        <v>54</v>
      </c>
      <c r="C44" s="24" t="s">
        <v>55</v>
      </c>
      <c r="D44" s="24" t="s">
        <v>56</v>
      </c>
      <c r="E44" s="24" t="s">
        <v>57</v>
      </c>
      <c r="F44" s="24" t="s">
        <v>58</v>
      </c>
      <c r="G44" s="24" t="s">
        <v>59</v>
      </c>
      <c r="H44" s="24" t="s">
        <v>53</v>
      </c>
      <c r="I44" s="24" t="s">
        <v>60</v>
      </c>
      <c r="J44" s="24" t="s">
        <v>61</v>
      </c>
      <c r="K44" s="24" t="s">
        <v>62</v>
      </c>
      <c r="L44" s="24" t="s">
        <v>64</v>
      </c>
      <c r="M44" s="24" t="s">
        <v>63</v>
      </c>
      <c r="N44" s="24" t="s">
        <v>65</v>
      </c>
      <c r="O44" s="30" t="s">
        <v>83</v>
      </c>
      <c r="P44" s="24" t="s">
        <v>66</v>
      </c>
      <c r="Q44" s="24" t="s">
        <v>67</v>
      </c>
      <c r="R44" s="24" t="s">
        <v>68</v>
      </c>
      <c r="S44" s="24" t="s">
        <v>69</v>
      </c>
      <c r="T44" s="24" t="s">
        <v>70</v>
      </c>
      <c r="U44" s="24" t="s">
        <v>71</v>
      </c>
      <c r="V44" s="24" t="s">
        <v>72</v>
      </c>
      <c r="W44" s="24" t="s">
        <v>73</v>
      </c>
      <c r="X44" s="53" t="s">
        <v>81</v>
      </c>
    </row>
    <row r="45" spans="1:25" x14ac:dyDescent="0.35">
      <c r="A45" s="40" t="s">
        <v>114</v>
      </c>
      <c r="B45" s="16">
        <v>67</v>
      </c>
      <c r="C45" s="16">
        <v>77</v>
      </c>
      <c r="D45" s="16">
        <v>395</v>
      </c>
      <c r="E45" s="16">
        <v>25</v>
      </c>
      <c r="F45" s="16">
        <v>734</v>
      </c>
      <c r="G45" s="16">
        <v>1047</v>
      </c>
      <c r="H45" s="16">
        <v>26156</v>
      </c>
      <c r="I45" s="16">
        <v>91</v>
      </c>
      <c r="J45" s="16">
        <v>1110</v>
      </c>
      <c r="K45" s="16">
        <v>147</v>
      </c>
      <c r="L45" s="16">
        <v>121</v>
      </c>
      <c r="M45" s="16">
        <v>2921</v>
      </c>
      <c r="N45" s="16">
        <v>2082</v>
      </c>
      <c r="O45" s="16">
        <v>2308</v>
      </c>
      <c r="P45" s="16">
        <v>31</v>
      </c>
      <c r="Q45" s="16">
        <v>93</v>
      </c>
      <c r="R45" s="16">
        <v>38</v>
      </c>
      <c r="S45" s="16">
        <v>232</v>
      </c>
      <c r="T45" s="16">
        <v>57</v>
      </c>
      <c r="U45" s="16">
        <v>2775</v>
      </c>
      <c r="V45" s="16">
        <v>1651</v>
      </c>
      <c r="W45" s="16">
        <v>67</v>
      </c>
      <c r="X45" s="16">
        <v>42223</v>
      </c>
      <c r="Y45" s="8">
        <f>SUM(B45:W45)</f>
        <v>42225</v>
      </c>
    </row>
    <row r="46" spans="1:25" x14ac:dyDescent="0.35">
      <c r="A46" s="40" t="s">
        <v>115</v>
      </c>
      <c r="B46" s="44">
        <v>0.71499999999999997</v>
      </c>
      <c r="C46" s="48">
        <v>0.75700000000000001</v>
      </c>
      <c r="D46" s="45">
        <v>0.79400000000000004</v>
      </c>
      <c r="E46" s="45">
        <v>0.80100000000000005</v>
      </c>
      <c r="F46" s="44">
        <v>0.84899999999999998</v>
      </c>
      <c r="G46" s="43">
        <f>75.5%</f>
        <v>0.755</v>
      </c>
      <c r="H46" s="44">
        <v>0.91200000000000003</v>
      </c>
      <c r="I46" s="16">
        <v>62.1</v>
      </c>
      <c r="J46" s="44">
        <v>0.90400000000000003</v>
      </c>
      <c r="K46" s="44">
        <v>0.84099999999999997</v>
      </c>
      <c r="L46" s="44">
        <v>0.79600000000000004</v>
      </c>
      <c r="M46" s="44">
        <v>0.93600000000000005</v>
      </c>
      <c r="N46" s="44">
        <v>0.879</v>
      </c>
      <c r="O46" s="44">
        <v>0.96299999999999997</v>
      </c>
      <c r="P46" s="44">
        <v>0.57899999999999996</v>
      </c>
      <c r="Q46" s="44">
        <v>0.82399999999999995</v>
      </c>
      <c r="R46" s="44">
        <v>0.78900000000000003</v>
      </c>
      <c r="S46" s="44">
        <v>0.80600000000000005</v>
      </c>
      <c r="T46" s="44">
        <v>0.69899999999999995</v>
      </c>
      <c r="U46" s="44">
        <v>0.93799999999999994</v>
      </c>
      <c r="V46" s="44">
        <v>0.89800000000000002</v>
      </c>
      <c r="W46" s="44">
        <v>0.55200000000000005</v>
      </c>
      <c r="X46" s="44">
        <v>0.90900000000000003</v>
      </c>
    </row>
    <row r="47" spans="1:25" x14ac:dyDescent="0.35">
      <c r="A47" s="40" t="s">
        <v>116</v>
      </c>
      <c r="B47" s="44">
        <f>(67-84)/84</f>
        <v>-0.20238095238095238</v>
      </c>
      <c r="C47" s="43">
        <f>(43-52)/52</f>
        <v>-0.17307692307692307</v>
      </c>
      <c r="D47" s="43">
        <f>(395-441)/441</f>
        <v>-0.10430839002267574</v>
      </c>
      <c r="E47" s="43">
        <f>(25-34)/34</f>
        <v>-0.26470588235294118</v>
      </c>
      <c r="F47" s="43">
        <f>(734-793)/793</f>
        <v>-7.4401008827238338E-2</v>
      </c>
      <c r="G47" s="43">
        <f>(1047-844)/844</f>
        <v>0.24052132701421802</v>
      </c>
      <c r="H47" s="43">
        <f>(26156-25575)/25575</f>
        <v>2.2717497556207233E-2</v>
      </c>
      <c r="I47" s="43">
        <f>(91-95)/95</f>
        <v>-4.2105263157894736E-2</v>
      </c>
      <c r="J47" s="43">
        <f>(1110-1038)/1038</f>
        <v>6.9364161849710976E-2</v>
      </c>
      <c r="K47" s="43">
        <f>(147-134)/134</f>
        <v>9.7014925373134331E-2</v>
      </c>
      <c r="L47" s="43">
        <f>(121-117)/117</f>
        <v>3.4188034188034191E-2</v>
      </c>
      <c r="M47" s="43">
        <f>(2921-2745)/2745</f>
        <v>6.4116575591985428E-2</v>
      </c>
      <c r="N47" s="43">
        <f>(2082-1880)/2082</f>
        <v>9.7022094140249759E-2</v>
      </c>
      <c r="O47" s="43">
        <f>(2308-2356)/2356</f>
        <v>-2.037351443123939E-2</v>
      </c>
      <c r="P47" s="43">
        <f>(31-64)/64</f>
        <v>-0.515625</v>
      </c>
      <c r="Q47" s="43">
        <f>(93-86)/86</f>
        <v>8.1395348837209308E-2</v>
      </c>
      <c r="R47" s="43">
        <f>(38-61)/61</f>
        <v>-0.37704918032786883</v>
      </c>
      <c r="S47" s="43">
        <f>(232-220)/220</f>
        <v>5.4545454545454543E-2</v>
      </c>
      <c r="T47" s="43">
        <f>(57-33)/33</f>
        <v>0.72727272727272729</v>
      </c>
      <c r="U47" s="43">
        <f>(2775-2333)/2333</f>
        <v>0.18945563651950278</v>
      </c>
      <c r="V47" s="43">
        <f>(1651-1648)/1648</f>
        <v>1.8203883495145632E-3</v>
      </c>
      <c r="W47" s="43">
        <f>(67-90)/90</f>
        <v>-0.25555555555555554</v>
      </c>
      <c r="X47" s="43">
        <f>(42223-40748)/40748</f>
        <v>3.619809561205458E-2</v>
      </c>
    </row>
    <row r="48" spans="1:25" x14ac:dyDescent="0.35">
      <c r="A48" s="40" t="s">
        <v>117</v>
      </c>
      <c r="B48" s="44">
        <v>0.79600000000000004</v>
      </c>
      <c r="C48" s="44">
        <v>0.76700000000000002</v>
      </c>
      <c r="D48" s="44">
        <v>0.77500000000000002</v>
      </c>
      <c r="E48" s="44">
        <v>0.76800000000000002</v>
      </c>
      <c r="F48" s="44">
        <v>0.73399999999999999</v>
      </c>
      <c r="G48" s="44">
        <v>0.755</v>
      </c>
      <c r="H48" s="44">
        <v>0.67100000000000004</v>
      </c>
      <c r="I48" s="44">
        <v>0.79900000000000004</v>
      </c>
      <c r="J48" s="44">
        <v>0.73299999999999998</v>
      </c>
      <c r="K48" s="44">
        <v>0.79200000000000004</v>
      </c>
      <c r="L48" s="44">
        <v>0.80100000000000005</v>
      </c>
      <c r="M48" s="43">
        <v>0.77800000000000002</v>
      </c>
      <c r="N48" s="44">
        <v>0.79200000000000004</v>
      </c>
      <c r="O48" s="44">
        <v>0.80700000000000005</v>
      </c>
      <c r="P48" s="44">
        <v>0.86099999999999999</v>
      </c>
      <c r="Q48" s="46">
        <v>0.83</v>
      </c>
      <c r="R48" s="44">
        <v>0.73799999999999999</v>
      </c>
      <c r="S48" s="44">
        <v>0.79500000000000004</v>
      </c>
      <c r="T48" s="45">
        <v>0.78</v>
      </c>
      <c r="U48" s="45">
        <v>0.78800000000000003</v>
      </c>
      <c r="V48" s="44">
        <v>0.81100000000000005</v>
      </c>
      <c r="W48" s="44">
        <v>0.73699999999999999</v>
      </c>
      <c r="X48" s="44">
        <v>0.72799999999999998</v>
      </c>
    </row>
    <row r="49" spans="1:26" x14ac:dyDescent="0.35">
      <c r="A49" s="40" t="s">
        <v>118</v>
      </c>
      <c r="B49" s="44">
        <v>8.3000000000000004E-2</v>
      </c>
      <c r="C49" s="46">
        <v>7.0000000000000007E-2</v>
      </c>
      <c r="D49" s="44">
        <v>0.115</v>
      </c>
      <c r="E49" s="44">
        <v>0.13900000000000001</v>
      </c>
      <c r="F49" s="44">
        <v>0.11700000000000001</v>
      </c>
      <c r="G49" s="45">
        <v>0.1</v>
      </c>
      <c r="H49" s="44">
        <v>0.158</v>
      </c>
      <c r="I49" s="44">
        <v>9.8000000000000004E-2</v>
      </c>
      <c r="J49" s="44">
        <v>8.7999999999999995E-2</v>
      </c>
      <c r="K49" s="44">
        <v>6.6000000000000003E-2</v>
      </c>
      <c r="L49" s="44">
        <v>6.9000000000000006E-2</v>
      </c>
      <c r="M49" s="44">
        <v>0.105</v>
      </c>
      <c r="N49" s="44">
        <v>0.14499999999999999</v>
      </c>
      <c r="O49" s="44">
        <v>6.8000000000000005E-2</v>
      </c>
      <c r="P49" s="44">
        <v>9.7000000000000003E-2</v>
      </c>
      <c r="Q49" s="44">
        <v>0.13100000000000001</v>
      </c>
      <c r="R49" s="44">
        <v>8.1000000000000003E-2</v>
      </c>
      <c r="S49" s="44">
        <v>9.4E-2</v>
      </c>
      <c r="T49" s="45">
        <v>0.06</v>
      </c>
      <c r="U49" s="45">
        <v>0.124</v>
      </c>
      <c r="V49" s="44">
        <v>0.13400000000000001</v>
      </c>
      <c r="W49" s="44">
        <v>7.1999999999999995E-2</v>
      </c>
      <c r="X49" s="44">
        <v>0.13300000000000001</v>
      </c>
    </row>
    <row r="50" spans="1:26" x14ac:dyDescent="0.35">
      <c r="A50" s="40" t="s">
        <v>122</v>
      </c>
      <c r="B50" s="45">
        <v>0.91900000000000004</v>
      </c>
      <c r="C50" s="45">
        <v>0.89</v>
      </c>
      <c r="D50" s="45">
        <v>0.90900000000000003</v>
      </c>
      <c r="E50" s="44">
        <v>0.88500000000000001</v>
      </c>
      <c r="F50" s="44">
        <v>0.85499999999999998</v>
      </c>
      <c r="G50" s="44">
        <v>0.86</v>
      </c>
      <c r="H50" s="44">
        <v>0.875</v>
      </c>
      <c r="I50" s="44">
        <v>0.85399999999999998</v>
      </c>
      <c r="J50" s="46">
        <v>0.85</v>
      </c>
      <c r="K50" s="44">
        <v>0.73499999999999999</v>
      </c>
      <c r="L50" s="44">
        <v>0.82499999999999996</v>
      </c>
      <c r="M50" s="44">
        <v>0.89600000000000002</v>
      </c>
      <c r="N50" s="44">
        <v>0.90200000000000002</v>
      </c>
      <c r="O50" s="44">
        <v>0.88300000000000001</v>
      </c>
      <c r="P50" s="44">
        <v>0.86199999999999999</v>
      </c>
      <c r="Q50" s="44">
        <v>0.90200000000000002</v>
      </c>
      <c r="R50" s="44">
        <v>0.67200000000000004</v>
      </c>
      <c r="S50" s="44">
        <v>0.84899999999999998</v>
      </c>
      <c r="T50" s="44">
        <v>0.83299999999999996</v>
      </c>
      <c r="U50" s="44">
        <v>0.89100000000000001</v>
      </c>
      <c r="V50" s="44">
        <v>0.92200000000000004</v>
      </c>
      <c r="W50" s="44">
        <v>0.69599999999999995</v>
      </c>
      <c r="X50" s="44">
        <v>0.878</v>
      </c>
    </row>
    <row r="51" spans="1:26" x14ac:dyDescent="0.35">
      <c r="A51" s="40" t="s">
        <v>123</v>
      </c>
      <c r="B51" s="45">
        <v>0.95</v>
      </c>
      <c r="C51" s="45">
        <v>0.95599999999999996</v>
      </c>
      <c r="D51" s="45">
        <v>0.94899999999999995</v>
      </c>
      <c r="E51" s="44">
        <v>0.90800000000000003</v>
      </c>
      <c r="F51" s="44">
        <v>0.90400000000000003</v>
      </c>
      <c r="G51" s="44">
        <v>0.93300000000000005</v>
      </c>
      <c r="H51" s="44">
        <v>0.92500000000000004</v>
      </c>
      <c r="I51" s="44">
        <v>0.93600000000000005</v>
      </c>
      <c r="J51" s="44">
        <v>0.92100000000000004</v>
      </c>
      <c r="K51" s="44">
        <v>0.85199999999999998</v>
      </c>
      <c r="L51" s="44">
        <v>0.94099999999999995</v>
      </c>
      <c r="M51" s="44">
        <v>0.94099999999999995</v>
      </c>
      <c r="N51" s="46">
        <v>0.93</v>
      </c>
      <c r="O51" s="44">
        <v>0.92700000000000005</v>
      </c>
      <c r="P51" s="44">
        <v>0.90300000000000002</v>
      </c>
      <c r="Q51" s="44">
        <v>0.93799999999999994</v>
      </c>
      <c r="R51" s="44">
        <v>0.75800000000000001</v>
      </c>
      <c r="S51" s="44">
        <v>0.92200000000000004</v>
      </c>
      <c r="T51" s="44">
        <v>0.92600000000000005</v>
      </c>
      <c r="U51" s="44">
        <v>0.89800000000000002</v>
      </c>
      <c r="V51" s="44">
        <v>0.95</v>
      </c>
      <c r="W51" s="44">
        <v>0.88500000000000001</v>
      </c>
      <c r="X51" s="44">
        <v>0.92700000000000005</v>
      </c>
    </row>
    <row r="52" spans="1:26" x14ac:dyDescent="0.35">
      <c r="A52" s="26" t="s">
        <v>101</v>
      </c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</row>
    <row r="53" spans="1:26" x14ac:dyDescent="0.35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</row>
    <row r="54" spans="1:26" s="9" customFormat="1" x14ac:dyDescent="0.35">
      <c r="A54" s="25" t="s">
        <v>76</v>
      </c>
      <c r="B54" s="25" t="s">
        <v>54</v>
      </c>
      <c r="C54" s="25" t="s">
        <v>55</v>
      </c>
      <c r="D54" s="25" t="s">
        <v>56</v>
      </c>
      <c r="E54" s="25" t="s">
        <v>57</v>
      </c>
      <c r="F54" s="25" t="s">
        <v>58</v>
      </c>
      <c r="G54" s="25" t="s">
        <v>59</v>
      </c>
      <c r="H54" s="25" t="s">
        <v>53</v>
      </c>
      <c r="I54" s="25" t="s">
        <v>60</v>
      </c>
      <c r="J54" s="25" t="s">
        <v>61</v>
      </c>
      <c r="K54" s="25" t="s">
        <v>62</v>
      </c>
      <c r="L54" s="25" t="s">
        <v>64</v>
      </c>
      <c r="M54" s="25" t="s">
        <v>63</v>
      </c>
      <c r="N54" s="25" t="s">
        <v>65</v>
      </c>
      <c r="O54" s="31" t="s">
        <v>83</v>
      </c>
      <c r="P54" s="25" t="s">
        <v>66</v>
      </c>
      <c r="Q54" s="25" t="s">
        <v>67</v>
      </c>
      <c r="R54" s="25" t="s">
        <v>68</v>
      </c>
      <c r="S54" s="25" t="s">
        <v>69</v>
      </c>
      <c r="T54" s="25" t="s">
        <v>70</v>
      </c>
      <c r="U54" s="25" t="s">
        <v>71</v>
      </c>
      <c r="V54" s="25" t="s">
        <v>72</v>
      </c>
      <c r="W54" s="25" t="s">
        <v>73</v>
      </c>
      <c r="X54" s="59" t="s">
        <v>81</v>
      </c>
    </row>
    <row r="55" spans="1:26" x14ac:dyDescent="0.35">
      <c r="A55" s="40" t="s">
        <v>119</v>
      </c>
      <c r="B55" s="16">
        <v>31</v>
      </c>
      <c r="C55" s="16">
        <v>40</v>
      </c>
      <c r="D55" s="16">
        <v>142</v>
      </c>
      <c r="E55" s="16">
        <v>23</v>
      </c>
      <c r="F55" s="16">
        <v>210</v>
      </c>
      <c r="G55" s="16">
        <v>214</v>
      </c>
      <c r="H55" s="16">
        <v>3884</v>
      </c>
      <c r="I55" s="16">
        <v>56</v>
      </c>
      <c r="J55" s="16">
        <v>251</v>
      </c>
      <c r="K55" s="16">
        <v>57</v>
      </c>
      <c r="L55" s="16">
        <v>35</v>
      </c>
      <c r="M55" s="16">
        <v>457</v>
      </c>
      <c r="N55" s="16">
        <v>512</v>
      </c>
      <c r="O55" s="16">
        <v>174</v>
      </c>
      <c r="P55" s="16">
        <v>22</v>
      </c>
      <c r="Q55" s="16">
        <v>31</v>
      </c>
      <c r="R55" s="16">
        <v>16</v>
      </c>
      <c r="S55" s="16">
        <v>100</v>
      </c>
      <c r="T55" s="16">
        <v>33</v>
      </c>
      <c r="U55" s="16">
        <v>313</v>
      </c>
      <c r="V55" s="16">
        <v>311</v>
      </c>
      <c r="W55" s="16">
        <v>60</v>
      </c>
      <c r="X55" s="16">
        <v>6972</v>
      </c>
      <c r="Y55" s="8">
        <f>SUM(B55:W55)</f>
        <v>6972</v>
      </c>
    </row>
    <row r="56" spans="1:26" ht="15.5" x14ac:dyDescent="0.35">
      <c r="A56" s="40" t="s">
        <v>120</v>
      </c>
      <c r="B56" s="43">
        <v>0.19400000000000001</v>
      </c>
      <c r="C56" s="43">
        <v>0.1</v>
      </c>
      <c r="D56" s="43">
        <v>9.1999999999999998E-2</v>
      </c>
      <c r="E56" s="44">
        <v>4.2999999999999997E-2</v>
      </c>
      <c r="F56" s="44">
        <v>6.2E-2</v>
      </c>
      <c r="G56" s="44">
        <v>9.2999999999999999E-2</v>
      </c>
      <c r="H56" s="44">
        <v>4.2000000000000003E-2</v>
      </c>
      <c r="I56" s="44">
        <v>5.3999999999999999E-2</v>
      </c>
      <c r="J56" s="46">
        <v>3.5999999999999997E-2</v>
      </c>
      <c r="K56" s="44">
        <v>3.5000000000000003E-2</v>
      </c>
      <c r="L56" s="44">
        <v>0.114</v>
      </c>
      <c r="M56" s="44">
        <v>7.3999999999999996E-2</v>
      </c>
      <c r="N56" s="44">
        <v>4.9000000000000002E-2</v>
      </c>
      <c r="O56" s="44">
        <v>0.14399999999999999</v>
      </c>
      <c r="P56" s="44">
        <v>0.182</v>
      </c>
      <c r="Q56" s="46">
        <v>0</v>
      </c>
      <c r="R56" s="44">
        <v>6.3E-2</v>
      </c>
      <c r="S56" s="44">
        <v>0.12</v>
      </c>
      <c r="T56" s="44">
        <v>0.03</v>
      </c>
      <c r="U56" s="44">
        <v>6.7000000000000004E-2</v>
      </c>
      <c r="V56" s="44">
        <v>0.122</v>
      </c>
      <c r="W56" s="44">
        <v>6.7000000000000004E-2</v>
      </c>
      <c r="X56" s="44">
        <v>5.8000000000000003E-2</v>
      </c>
      <c r="Z56" s="1"/>
    </row>
    <row r="57" spans="1:26" ht="15.5" x14ac:dyDescent="0.35">
      <c r="A57" s="16" t="s">
        <v>77</v>
      </c>
      <c r="B57" s="43">
        <f>5/31</f>
        <v>0.16129032258064516</v>
      </c>
      <c r="C57" s="43">
        <v>0.17499999999999999</v>
      </c>
      <c r="D57" s="43">
        <v>0.19700000000000001</v>
      </c>
      <c r="E57" s="43">
        <v>0.34799999999999998</v>
      </c>
      <c r="F57" s="44">
        <v>0.124</v>
      </c>
      <c r="G57" s="44">
        <v>0.14499999999999999</v>
      </c>
      <c r="H57" s="44">
        <v>5.8999999999999997E-2</v>
      </c>
      <c r="I57" s="44">
        <v>7.0999999999999994E-2</v>
      </c>
      <c r="J57" s="46">
        <v>9.1999999999999998E-2</v>
      </c>
      <c r="K57" s="44">
        <v>0.193</v>
      </c>
      <c r="L57" s="44">
        <v>0.22900000000000001</v>
      </c>
      <c r="M57" s="44">
        <v>8.5000000000000006E-2</v>
      </c>
      <c r="N57" s="44">
        <v>7.8E-2</v>
      </c>
      <c r="O57" s="44">
        <v>0.13200000000000001</v>
      </c>
      <c r="P57" s="46">
        <v>0</v>
      </c>
      <c r="Q57" s="46">
        <v>0.28999999999999998</v>
      </c>
      <c r="R57" s="44">
        <v>0</v>
      </c>
      <c r="S57" s="44">
        <v>0.16</v>
      </c>
      <c r="T57" s="44">
        <v>0.21199999999999999</v>
      </c>
      <c r="U57" s="44">
        <v>4.4999999999999998E-2</v>
      </c>
      <c r="V57" s="44">
        <v>0.16400000000000001</v>
      </c>
      <c r="W57" s="44">
        <v>8.3000000000000004E-2</v>
      </c>
      <c r="X57" s="44">
        <v>8.4000000000000005E-2</v>
      </c>
      <c r="Z57" s="1"/>
    </row>
    <row r="58" spans="1:26" ht="15.5" x14ac:dyDescent="0.35">
      <c r="A58" s="40" t="s">
        <v>121</v>
      </c>
      <c r="B58" s="43">
        <v>0.58099999999999996</v>
      </c>
      <c r="C58" s="43">
        <v>0.625</v>
      </c>
      <c r="D58" s="43">
        <v>0.59099999999999997</v>
      </c>
      <c r="E58" s="43">
        <f>(5+0+0+1+4+2)/23</f>
        <v>0.52173913043478259</v>
      </c>
      <c r="F58" s="44">
        <v>0.67200000000000004</v>
      </c>
      <c r="G58" s="44">
        <v>0.63500000000000001</v>
      </c>
      <c r="H58" s="45">
        <v>0.73</v>
      </c>
      <c r="I58" s="44">
        <v>0.82199999999999995</v>
      </c>
      <c r="J58" s="44">
        <v>0.80100000000000005</v>
      </c>
      <c r="K58" s="44">
        <v>0.66700000000000004</v>
      </c>
      <c r="L58" s="44">
        <v>0.60099999999999998</v>
      </c>
      <c r="M58" s="44">
        <v>0.71299999999999997</v>
      </c>
      <c r="N58" s="44">
        <v>0.68400000000000005</v>
      </c>
      <c r="O58" s="44">
        <v>0.60199999999999998</v>
      </c>
      <c r="P58" s="44">
        <v>0.72499999999999998</v>
      </c>
      <c r="Q58" s="44">
        <v>0.58099999999999996</v>
      </c>
      <c r="R58" s="44">
        <v>0.93799999999999994</v>
      </c>
      <c r="S58" s="44">
        <v>0.66</v>
      </c>
      <c r="T58" s="44">
        <v>0.63600000000000001</v>
      </c>
      <c r="U58" s="44">
        <v>0.82399999999999995</v>
      </c>
      <c r="V58" s="44">
        <v>0.58599999999999997</v>
      </c>
      <c r="W58" s="44">
        <v>0.76400000000000001</v>
      </c>
      <c r="X58" s="32">
        <v>0.71</v>
      </c>
      <c r="Z58" s="1"/>
    </row>
    <row r="59" spans="1:26" ht="15.5" x14ac:dyDescent="0.35">
      <c r="A59" s="16" t="s">
        <v>78</v>
      </c>
      <c r="B59" s="43">
        <f>2/31</f>
        <v>6.4516129032258063E-2</v>
      </c>
      <c r="C59" s="43">
        <v>0.1</v>
      </c>
      <c r="D59" s="43">
        <v>0.127</v>
      </c>
      <c r="E59" s="44">
        <v>8.6999999999999994E-2</v>
      </c>
      <c r="F59" s="44">
        <v>0.14299999999999999</v>
      </c>
      <c r="G59" s="44">
        <v>0.126</v>
      </c>
      <c r="H59" s="44">
        <v>0.17</v>
      </c>
      <c r="I59" s="44">
        <v>5.3999999999999999E-2</v>
      </c>
      <c r="J59" s="44">
        <v>7.1999999999999995E-2</v>
      </c>
      <c r="K59" s="44">
        <v>0.105</v>
      </c>
      <c r="L59" s="44">
        <v>5.7000000000000002E-2</v>
      </c>
      <c r="M59" s="44">
        <v>0.127</v>
      </c>
      <c r="N59" s="44">
        <v>0.189</v>
      </c>
      <c r="O59" s="44">
        <v>0.121</v>
      </c>
      <c r="P59" s="44">
        <v>9.0999999999999998E-2</v>
      </c>
      <c r="Q59" s="44">
        <v>0.129</v>
      </c>
      <c r="R59" s="46">
        <v>0</v>
      </c>
      <c r="S59" s="44">
        <v>0.12</v>
      </c>
      <c r="T59" s="44">
        <v>0.121</v>
      </c>
      <c r="U59" s="44">
        <v>6.4000000000000001E-2</v>
      </c>
      <c r="V59" s="44">
        <v>0.129</v>
      </c>
      <c r="W59" s="44">
        <v>8.3000000000000004E-2</v>
      </c>
      <c r="X59" s="44">
        <v>0.14799999999999999</v>
      </c>
      <c r="Z59" s="1"/>
    </row>
    <row r="60" spans="1:26" x14ac:dyDescent="0.35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</row>
    <row r="61" spans="1:26" x14ac:dyDescent="0.35">
      <c r="A61" s="40" t="s">
        <v>128</v>
      </c>
      <c r="B61" s="48" t="s">
        <v>136</v>
      </c>
      <c r="C61" s="48" t="s">
        <v>136</v>
      </c>
      <c r="D61" s="48" t="s">
        <v>136</v>
      </c>
      <c r="E61" s="47" t="s">
        <v>136</v>
      </c>
      <c r="F61" s="47" t="s">
        <v>136</v>
      </c>
      <c r="G61" s="44">
        <v>0.71399999999999997</v>
      </c>
      <c r="H61" s="44">
        <v>0.71499999999999997</v>
      </c>
      <c r="I61" s="47" t="s">
        <v>136</v>
      </c>
      <c r="J61" s="44">
        <v>0.32700000000000001</v>
      </c>
      <c r="K61" s="40" t="s">
        <v>136</v>
      </c>
      <c r="L61" s="40" t="s">
        <v>136</v>
      </c>
      <c r="M61" s="44">
        <v>0.65200000000000002</v>
      </c>
      <c r="N61" s="44">
        <v>0.76800000000000002</v>
      </c>
      <c r="O61" s="44">
        <v>0.44400000000000001</v>
      </c>
      <c r="P61" s="40" t="s">
        <v>136</v>
      </c>
      <c r="Q61" s="40" t="s">
        <v>136</v>
      </c>
      <c r="R61" s="40" t="s">
        <v>136</v>
      </c>
      <c r="S61" s="40" t="s">
        <v>136</v>
      </c>
      <c r="T61" s="40" t="s">
        <v>136</v>
      </c>
      <c r="U61" s="44">
        <v>0.63200000000000001</v>
      </c>
      <c r="V61" s="44">
        <v>0.76500000000000001</v>
      </c>
      <c r="W61" s="40" t="s">
        <v>136</v>
      </c>
      <c r="X61" s="44">
        <v>0.69899999999999995</v>
      </c>
    </row>
    <row r="62" spans="1:26" x14ac:dyDescent="0.35">
      <c r="A62" s="40" t="s">
        <v>129</v>
      </c>
      <c r="B62" s="40" t="s">
        <v>136</v>
      </c>
      <c r="C62" s="40" t="s">
        <v>136</v>
      </c>
      <c r="D62" s="40" t="s">
        <v>136</v>
      </c>
      <c r="E62" s="40" t="s">
        <v>136</v>
      </c>
      <c r="F62" s="40" t="s">
        <v>136</v>
      </c>
      <c r="G62" s="44">
        <v>0.245</v>
      </c>
      <c r="H62" s="44">
        <v>0.21199999999999999</v>
      </c>
      <c r="I62" s="47" t="s">
        <v>136</v>
      </c>
      <c r="J62" s="44">
        <v>0.59599999999999997</v>
      </c>
      <c r="K62" s="40" t="s">
        <v>136</v>
      </c>
      <c r="L62" s="40" t="s">
        <v>136</v>
      </c>
      <c r="M62" s="44">
        <v>0.24</v>
      </c>
      <c r="N62" s="44">
        <v>0.16</v>
      </c>
      <c r="O62" s="44">
        <v>0.48899999999999999</v>
      </c>
      <c r="P62" s="40" t="s">
        <v>136</v>
      </c>
      <c r="Q62" s="40" t="s">
        <v>136</v>
      </c>
      <c r="R62" s="40" t="s">
        <v>136</v>
      </c>
      <c r="S62" s="40" t="s">
        <v>136</v>
      </c>
      <c r="T62" s="40" t="s">
        <v>136</v>
      </c>
      <c r="U62" s="44">
        <v>0.30599999999999999</v>
      </c>
      <c r="V62" s="44">
        <v>0.13900000000000001</v>
      </c>
      <c r="W62" s="40" t="s">
        <v>136</v>
      </c>
      <c r="X62" s="44">
        <v>0.223</v>
      </c>
    </row>
    <row r="63" spans="1:26" x14ac:dyDescent="0.35">
      <c r="A63" s="16"/>
      <c r="B63" s="16"/>
      <c r="C63" s="16"/>
      <c r="D63" s="16"/>
      <c r="E63" s="16"/>
      <c r="F63" s="16"/>
      <c r="G63" s="16"/>
      <c r="H63" s="44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</row>
    <row r="64" spans="1:26" x14ac:dyDescent="0.35">
      <c r="A64" s="26" t="s">
        <v>79</v>
      </c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</row>
    <row r="65" spans="1:25" x14ac:dyDescent="0.35">
      <c r="A65" s="26" t="s">
        <v>80</v>
      </c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</row>
    <row r="67" spans="1:25" x14ac:dyDescent="0.35">
      <c r="A67" s="55" t="s">
        <v>130</v>
      </c>
      <c r="B67" s="56" t="s">
        <v>54</v>
      </c>
      <c r="C67" s="56" t="s">
        <v>55</v>
      </c>
      <c r="D67" s="56" t="s">
        <v>56</v>
      </c>
      <c r="E67" s="56" t="s">
        <v>57</v>
      </c>
      <c r="F67" s="56" t="s">
        <v>58</v>
      </c>
      <c r="G67" s="56" t="s">
        <v>59</v>
      </c>
      <c r="H67" s="56" t="s">
        <v>53</v>
      </c>
      <c r="I67" s="56" t="s">
        <v>60</v>
      </c>
      <c r="J67" s="56" t="s">
        <v>61</v>
      </c>
      <c r="K67" s="56" t="s">
        <v>62</v>
      </c>
      <c r="L67" s="56" t="s">
        <v>64</v>
      </c>
      <c r="M67" s="56" t="s">
        <v>63</v>
      </c>
      <c r="N67" s="56" t="s">
        <v>65</v>
      </c>
      <c r="O67" s="56" t="s">
        <v>83</v>
      </c>
      <c r="P67" s="56" t="s">
        <v>66</v>
      </c>
      <c r="Q67" s="56" t="s">
        <v>67</v>
      </c>
      <c r="R67" s="56" t="s">
        <v>68</v>
      </c>
      <c r="S67" s="56" t="s">
        <v>69</v>
      </c>
      <c r="T67" s="56" t="s">
        <v>70</v>
      </c>
      <c r="U67" s="56" t="s">
        <v>71</v>
      </c>
      <c r="V67" s="56" t="s">
        <v>72</v>
      </c>
      <c r="W67" s="55" t="s">
        <v>73</v>
      </c>
      <c r="X67" s="55" t="s">
        <v>81</v>
      </c>
    </row>
    <row r="68" spans="1:25" x14ac:dyDescent="0.35">
      <c r="A68" s="40" t="s">
        <v>131</v>
      </c>
      <c r="B68" s="16">
        <v>0</v>
      </c>
      <c r="C68" s="16">
        <v>0</v>
      </c>
      <c r="D68" s="16">
        <v>0</v>
      </c>
      <c r="E68" s="16">
        <v>0</v>
      </c>
      <c r="F68" s="16">
        <v>0</v>
      </c>
      <c r="G68" s="16">
        <v>0</v>
      </c>
      <c r="H68" s="16">
        <v>11</v>
      </c>
      <c r="I68" s="16">
        <v>0</v>
      </c>
      <c r="J68" s="16">
        <v>2</v>
      </c>
      <c r="K68" s="16">
        <v>0</v>
      </c>
      <c r="L68" s="16">
        <v>0</v>
      </c>
      <c r="M68" s="16">
        <v>1</v>
      </c>
      <c r="N68" s="16">
        <v>1</v>
      </c>
      <c r="O68" s="16">
        <v>1</v>
      </c>
      <c r="P68" s="16">
        <v>0</v>
      </c>
      <c r="Q68" s="16">
        <v>0</v>
      </c>
      <c r="R68" s="16">
        <v>1</v>
      </c>
      <c r="S68" s="16">
        <v>0</v>
      </c>
      <c r="T68" s="16">
        <v>0</v>
      </c>
      <c r="U68" s="16">
        <v>1</v>
      </c>
      <c r="V68" s="16">
        <v>1</v>
      </c>
      <c r="W68" s="16">
        <v>0</v>
      </c>
      <c r="X68" s="16">
        <f>SUM(B68:W68)</f>
        <v>19</v>
      </c>
      <c r="Y68" s="8">
        <f>SUM(B68:W68)</f>
        <v>19</v>
      </c>
    </row>
    <row r="69" spans="1:25" x14ac:dyDescent="0.35">
      <c r="A69" s="50" t="s">
        <v>132</v>
      </c>
      <c r="B69" s="16">
        <v>0</v>
      </c>
      <c r="C69" s="16">
        <v>0</v>
      </c>
      <c r="D69" s="16">
        <v>0</v>
      </c>
      <c r="E69" s="16">
        <v>0</v>
      </c>
      <c r="F69" s="16">
        <v>0</v>
      </c>
      <c r="G69" s="16">
        <v>0</v>
      </c>
      <c r="H69" s="16">
        <v>473</v>
      </c>
      <c r="I69" s="16">
        <v>0</v>
      </c>
      <c r="J69" s="16">
        <v>115</v>
      </c>
      <c r="K69" s="16">
        <v>0</v>
      </c>
      <c r="L69" s="16">
        <v>0</v>
      </c>
      <c r="M69" s="16">
        <v>92</v>
      </c>
      <c r="N69" s="16">
        <v>79</v>
      </c>
      <c r="O69" s="16">
        <v>14</v>
      </c>
      <c r="P69" s="16">
        <v>0</v>
      </c>
      <c r="Q69" s="16">
        <v>0</v>
      </c>
      <c r="R69" s="16">
        <v>23</v>
      </c>
      <c r="S69" s="16">
        <v>0</v>
      </c>
      <c r="T69" s="16">
        <v>0</v>
      </c>
      <c r="U69" s="16">
        <v>79</v>
      </c>
      <c r="V69" s="16">
        <v>16</v>
      </c>
      <c r="W69" s="16">
        <v>0</v>
      </c>
      <c r="X69" s="16">
        <f>SUM(B69:W69)</f>
        <v>891</v>
      </c>
      <c r="Y69" s="8">
        <f>SUM(B69:W69)</f>
        <v>891</v>
      </c>
    </row>
    <row r="70" spans="1:25" x14ac:dyDescent="0.35">
      <c r="A70" s="51" t="s">
        <v>133</v>
      </c>
      <c r="B70" s="16">
        <v>0</v>
      </c>
      <c r="C70" s="16">
        <v>0</v>
      </c>
      <c r="D70" s="16">
        <v>0</v>
      </c>
      <c r="E70" s="16">
        <v>0</v>
      </c>
      <c r="F70" s="16">
        <v>0</v>
      </c>
      <c r="G70" s="16">
        <v>0</v>
      </c>
      <c r="H70" s="16">
        <v>1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8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f>SUM(B70:W70)</f>
        <v>1</v>
      </c>
      <c r="Y70" s="8">
        <f>SUM(B70:W70)</f>
        <v>1</v>
      </c>
    </row>
    <row r="71" spans="1:25" x14ac:dyDescent="0.35">
      <c r="A71" s="50" t="s">
        <v>134</v>
      </c>
      <c r="B71" s="16">
        <v>0</v>
      </c>
      <c r="C71" s="16">
        <v>0</v>
      </c>
      <c r="D71" s="16">
        <v>0</v>
      </c>
      <c r="E71" s="16">
        <v>0</v>
      </c>
      <c r="F71" s="16">
        <v>0</v>
      </c>
      <c r="G71" s="16">
        <v>0</v>
      </c>
      <c r="H71" s="16">
        <v>109</v>
      </c>
      <c r="I71" s="16">
        <v>0</v>
      </c>
      <c r="J71" s="16">
        <v>0</v>
      </c>
      <c r="K71" s="16">
        <v>0</v>
      </c>
      <c r="L71" s="16">
        <v>0</v>
      </c>
      <c r="M71" s="16">
        <v>0</v>
      </c>
      <c r="N71" s="18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f>SUM(B71:W71)</f>
        <v>109</v>
      </c>
      <c r="Y71" s="8">
        <f>SUM(B71:W71)</f>
        <v>109</v>
      </c>
    </row>
    <row r="72" spans="1:25" x14ac:dyDescent="0.35">
      <c r="A72" s="35"/>
      <c r="N72" s="36"/>
    </row>
  </sheetData>
  <autoFilter ref="A7:W17" xr:uid="{00000000-0009-0000-0000-000001000000}"/>
  <printOptions horizontalCentered="1"/>
  <pageMargins left="0.70866141732283472" right="0.70866141732283472" top="0.74803149606299213" bottom="0.74803149606299213" header="0.31496062992125984" footer="0.31496062992125984"/>
  <pageSetup paperSize="8" orientation="portrait" r:id="rId1"/>
  <headerFooter>
    <oddHeader>&amp;CDonnées INSEE 2018 (disp. 2021)</oddHeader>
    <oddFooter>&amp;L&amp;D&amp;R&amp;Z&amp;F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0"/>
  <sheetViews>
    <sheetView workbookViewId="0">
      <selection activeCell="B9" sqref="B9"/>
    </sheetView>
  </sheetViews>
  <sheetFormatPr baseColWidth="10" defaultRowHeight="15.5" x14ac:dyDescent="0.35"/>
  <cols>
    <col min="1" max="1" width="50.83203125" style="1" customWidth="1"/>
    <col min="2" max="2" width="16.83203125" style="1" bestFit="1" customWidth="1"/>
  </cols>
  <sheetData>
    <row r="1" spans="1:1" x14ac:dyDescent="0.35">
      <c r="A1" s="2" t="s">
        <v>0</v>
      </c>
    </row>
    <row r="3" spans="1:1" x14ac:dyDescent="0.35">
      <c r="A3" s="2" t="s">
        <v>1</v>
      </c>
    </row>
    <row r="4" spans="1:1" x14ac:dyDescent="0.35">
      <c r="A4" s="2" t="s">
        <v>52</v>
      </c>
    </row>
    <row r="6" spans="1:1" x14ac:dyDescent="0.35">
      <c r="A6" s="2" t="s">
        <v>2</v>
      </c>
    </row>
    <row r="8" spans="1:1" x14ac:dyDescent="0.35">
      <c r="A8" s="3" t="s">
        <v>3</v>
      </c>
    </row>
    <row r="9" spans="1:1" x14ac:dyDescent="0.35">
      <c r="A9" s="1" t="s">
        <v>6</v>
      </c>
    </row>
    <row r="10" spans="1:1" x14ac:dyDescent="0.35">
      <c r="A10" s="1" t="s">
        <v>7</v>
      </c>
    </row>
    <row r="11" spans="1:1" x14ac:dyDescent="0.35">
      <c r="A11" s="1" t="s">
        <v>8</v>
      </c>
    </row>
    <row r="12" spans="1:1" x14ac:dyDescent="0.35">
      <c r="A12" s="1" t="s">
        <v>9</v>
      </c>
    </row>
    <row r="14" spans="1:1" x14ac:dyDescent="0.35">
      <c r="A14" s="5" t="s">
        <v>10</v>
      </c>
    </row>
    <row r="17" spans="1:1" x14ac:dyDescent="0.35">
      <c r="A17" s="2" t="s">
        <v>11</v>
      </c>
    </row>
    <row r="19" spans="1:1" x14ac:dyDescent="0.35">
      <c r="A19" s="4" t="s">
        <v>3</v>
      </c>
    </row>
    <row r="20" spans="1:1" x14ac:dyDescent="0.35">
      <c r="A20" s="1" t="s">
        <v>12</v>
      </c>
    </row>
    <row r="21" spans="1:1" x14ac:dyDescent="0.35">
      <c r="A21" s="1" t="s">
        <v>13</v>
      </c>
    </row>
    <row r="22" spans="1:1" x14ac:dyDescent="0.35">
      <c r="A22" s="1" t="s">
        <v>14</v>
      </c>
    </row>
    <row r="24" spans="1:1" x14ac:dyDescent="0.35">
      <c r="A24" s="5" t="s">
        <v>15</v>
      </c>
    </row>
    <row r="27" spans="1:1" x14ac:dyDescent="0.35">
      <c r="A27" s="2" t="s">
        <v>16</v>
      </c>
    </row>
    <row r="29" spans="1:1" x14ac:dyDescent="0.35">
      <c r="A29" s="4" t="s">
        <v>3</v>
      </c>
    </row>
    <row r="30" spans="1:1" x14ac:dyDescent="0.35">
      <c r="A30" s="1" t="s">
        <v>17</v>
      </c>
    </row>
    <row r="31" spans="1:1" x14ac:dyDescent="0.35">
      <c r="A31" s="1" t="s">
        <v>18</v>
      </c>
    </row>
    <row r="32" spans="1:1" x14ac:dyDescent="0.35">
      <c r="A32" s="1" t="s">
        <v>19</v>
      </c>
    </row>
    <row r="33" spans="1:1" x14ac:dyDescent="0.35">
      <c r="A33" s="1" t="s">
        <v>20</v>
      </c>
    </row>
    <row r="35" spans="1:1" x14ac:dyDescent="0.35">
      <c r="A35" s="5" t="s">
        <v>10</v>
      </c>
    </row>
    <row r="38" spans="1:1" x14ac:dyDescent="0.35">
      <c r="A38" s="2" t="s">
        <v>21</v>
      </c>
    </row>
    <row r="40" spans="1:1" x14ac:dyDescent="0.35">
      <c r="A40" s="4" t="s">
        <v>3</v>
      </c>
    </row>
    <row r="41" spans="1:1" x14ac:dyDescent="0.35">
      <c r="A41" s="1" t="s">
        <v>22</v>
      </c>
    </row>
    <row r="42" spans="1:1" x14ac:dyDescent="0.35">
      <c r="A42" s="1" t="s">
        <v>24</v>
      </c>
    </row>
    <row r="44" spans="1:1" x14ac:dyDescent="0.35">
      <c r="A44" s="5" t="s">
        <v>25</v>
      </c>
    </row>
    <row r="47" spans="1:1" x14ac:dyDescent="0.35">
      <c r="A47" s="2" t="s">
        <v>26</v>
      </c>
    </row>
    <row r="49" spans="1:1" x14ac:dyDescent="0.35">
      <c r="A49" s="4" t="s">
        <v>3</v>
      </c>
    </row>
    <row r="50" spans="1:1" x14ac:dyDescent="0.35">
      <c r="A50" s="1" t="s">
        <v>27</v>
      </c>
    </row>
    <row r="51" spans="1:1" x14ac:dyDescent="0.35">
      <c r="A51" s="1" t="s">
        <v>28</v>
      </c>
    </row>
    <row r="52" spans="1:1" x14ac:dyDescent="0.35">
      <c r="A52" s="1" t="s">
        <v>29</v>
      </c>
    </row>
    <row r="53" spans="1:1" x14ac:dyDescent="0.35">
      <c r="A53" s="1" t="s">
        <v>30</v>
      </c>
    </row>
    <row r="55" spans="1:1" x14ac:dyDescent="0.35">
      <c r="A55" s="5" t="s">
        <v>31</v>
      </c>
    </row>
    <row r="58" spans="1:1" x14ac:dyDescent="0.35">
      <c r="A58" s="2" t="s">
        <v>32</v>
      </c>
    </row>
    <row r="60" spans="1:1" x14ac:dyDescent="0.35">
      <c r="A60" s="4" t="s">
        <v>3</v>
      </c>
    </row>
    <row r="61" spans="1:1" x14ac:dyDescent="0.35">
      <c r="A61" s="1" t="s">
        <v>33</v>
      </c>
    </row>
    <row r="62" spans="1:1" x14ac:dyDescent="0.35">
      <c r="A62" s="1" t="s">
        <v>34</v>
      </c>
    </row>
    <row r="63" spans="1:1" x14ac:dyDescent="0.35">
      <c r="A63" s="1" t="s">
        <v>35</v>
      </c>
    </row>
    <row r="64" spans="1:1" x14ac:dyDescent="0.35">
      <c r="A64" s="1" t="s">
        <v>36</v>
      </c>
    </row>
    <row r="66" spans="1:1" x14ac:dyDescent="0.35">
      <c r="A66" s="5" t="s">
        <v>37</v>
      </c>
    </row>
    <row r="69" spans="1:1" x14ac:dyDescent="0.35">
      <c r="A69" s="2" t="s">
        <v>38</v>
      </c>
    </row>
    <row r="71" spans="1:1" x14ac:dyDescent="0.35">
      <c r="A71" s="4" t="s">
        <v>3</v>
      </c>
    </row>
    <row r="72" spans="1:1" x14ac:dyDescent="0.35">
      <c r="A72" s="1" t="s">
        <v>39</v>
      </c>
    </row>
    <row r="73" spans="1:1" x14ac:dyDescent="0.35">
      <c r="A73" s="1" t="s">
        <v>40</v>
      </c>
    </row>
    <row r="74" spans="1:1" x14ac:dyDescent="0.35">
      <c r="A74" s="1" t="s">
        <v>41</v>
      </c>
    </row>
    <row r="75" spans="1:1" x14ac:dyDescent="0.35">
      <c r="A75" s="1" t="s">
        <v>42</v>
      </c>
    </row>
    <row r="77" spans="1:1" x14ac:dyDescent="0.35">
      <c r="A77" s="5" t="s">
        <v>43</v>
      </c>
    </row>
    <row r="80" spans="1:1" x14ac:dyDescent="0.35">
      <c r="A80" s="2" t="s">
        <v>44</v>
      </c>
    </row>
    <row r="82" spans="1:1" x14ac:dyDescent="0.35">
      <c r="A82" s="4" t="s">
        <v>3</v>
      </c>
    </row>
    <row r="83" spans="1:1" x14ac:dyDescent="0.35">
      <c r="A83" s="1" t="s">
        <v>45</v>
      </c>
    </row>
    <row r="84" spans="1:1" x14ac:dyDescent="0.35">
      <c r="A84" s="1" t="s">
        <v>46</v>
      </c>
    </row>
    <row r="85" spans="1:1" x14ac:dyDescent="0.35">
      <c r="A85" s="1" t="s">
        <v>47</v>
      </c>
    </row>
    <row r="86" spans="1:1" x14ac:dyDescent="0.35">
      <c r="A86" s="1" t="s">
        <v>48</v>
      </c>
    </row>
    <row r="87" spans="1:1" x14ac:dyDescent="0.35">
      <c r="A87" s="1" t="s">
        <v>49</v>
      </c>
    </row>
    <row r="88" spans="1:1" x14ac:dyDescent="0.35">
      <c r="A88" s="1" t="s">
        <v>50</v>
      </c>
    </row>
    <row r="90" spans="1:1" x14ac:dyDescent="0.35">
      <c r="A90" s="5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1</vt:i4>
      </vt:variant>
    </vt:vector>
  </HeadingPairs>
  <TitlesOfParts>
    <vt:vector size="4" baseType="lpstr">
      <vt:lpstr>Comparateur de territoires</vt:lpstr>
      <vt:lpstr>Communes</vt:lpstr>
      <vt:lpstr>Feuil1</vt:lpstr>
      <vt:lpstr>Communes!Zone_d_impression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GORGUES Armelle</dc:creator>
  <cp:lastModifiedBy>Nomena Ravoahangy</cp:lastModifiedBy>
  <cp:lastPrinted>2021-09-22T11:28:23Z</cp:lastPrinted>
  <dcterms:created xsi:type="dcterms:W3CDTF">2021-09-07T09:03:12Z</dcterms:created>
  <dcterms:modified xsi:type="dcterms:W3CDTF">2025-09-02T14:06:38Z</dcterms:modified>
</cp:coreProperties>
</file>