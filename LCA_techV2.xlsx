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01E08C8B-2B5B-4595-8808-10AA0F05714B}" xr6:coauthVersionLast="36" xr6:coauthVersionMax="36" xr10:uidLastSave="{00000000-0000-0000-0000-000000000000}"/>
  <bookViews>
    <workbookView xWindow="0" yWindow="0" windowWidth="19200" windowHeight="6640" firstSheet="13" activeTab="17" xr2:uid="{D3821372-1969-4DD6-A628-04C5F8F02CF2}"/>
  </bookViews>
  <sheets>
    <sheet name="LCIA_AD-f" sheetId="38" r:id="rId1"/>
    <sheet name="IW+f" sheetId="28" r:id="rId2"/>
    <sheet name="LCIA_AD-e" sheetId="37" r:id="rId3"/>
    <sheet name="LCI_AD-e" sheetId="35" r:id="rId4"/>
    <sheet name="LCI_AD-f" sheetId="36" r:id="rId5"/>
    <sheet name="LCIA_AD-d" sheetId="34" r:id="rId6"/>
    <sheet name="Waste_characteristics" sheetId="6" r:id="rId7"/>
    <sheet name="Parameters" sheetId="3" r:id="rId8"/>
    <sheet name="LCI_AD-b" sheetId="21" r:id="rId9"/>
    <sheet name="LCI" sheetId="1" r:id="rId10"/>
    <sheet name="LCI_AD-a" sheetId="20" r:id="rId11"/>
    <sheet name="LCI_AD-c" sheetId="22" r:id="rId12"/>
    <sheet name="LCI_AD-d" sheetId="23" r:id="rId13"/>
    <sheet name="params_HC" sheetId="14" r:id="rId14"/>
    <sheet name="LCI_HC" sheetId="17" r:id="rId15"/>
    <sheet name="LCIA_HC" sheetId="11" r:id="rId16"/>
    <sheet name="LCIA_AD-a" sheetId="29" r:id="rId17"/>
    <sheet name="LCIA_AD-b" sheetId="30" r:id="rId18"/>
    <sheet name="LCIA_AD-c" sheetId="31" r:id="rId19"/>
    <sheet name="LCI_IC" sheetId="19" r:id="rId20"/>
    <sheet name="LCIA_IC" sheetId="12" r:id="rId21"/>
    <sheet name="IW+_end" sheetId="27" r:id="rId22"/>
    <sheet name="AD_a_end" sheetId="9" r:id="rId23"/>
    <sheet name="impact_process_end" sheetId="8" r:id="rId24"/>
    <sheet name="impact_process_mid" sheetId="7" r:id="rId25"/>
    <sheet name="IW+_mid" sheetId="26" r:id="rId26"/>
    <sheet name="IC_end" sheetId="13" r:id="rId27"/>
    <sheet name="AD_a_mid" sheetId="2" r:id="rId28"/>
  </sheets>
  <externalReferences>
    <externalReference r:id="rId29"/>
    <externalReference r:id="rId30"/>
    <externalReference r:id="rId31"/>
    <externalReference r:id="rId32"/>
  </externalReferences>
  <definedNames>
    <definedName name="_xlnm._FilterDatabase" localSheetId="21" hidden="1">'IW+_end'!$A$1:$AK$35</definedName>
    <definedName name="_xlnm._FilterDatabase" localSheetId="25" hidden="1">'IW+_mid'!$A$1:$A$39</definedName>
    <definedName name="_xlnm._FilterDatabase" localSheetId="1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30" l="1"/>
  <c r="C41" i="29"/>
  <c r="D43" i="38" l="1"/>
  <c r="E43" i="38"/>
  <c r="F43" i="38"/>
  <c r="G43" i="38"/>
  <c r="G8" i="38"/>
  <c r="F8" i="38"/>
  <c r="E8" i="38"/>
  <c r="D8" i="38"/>
  <c r="C8" i="38"/>
  <c r="D8" i="37" l="1"/>
  <c r="E8" i="37"/>
  <c r="F8" i="37"/>
  <c r="G8" i="37"/>
  <c r="C8" i="37"/>
  <c r="E41" i="36"/>
  <c r="E47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E41" i="30"/>
  <c r="F41" i="30"/>
  <c r="G41" i="30"/>
  <c r="E43" i="23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D53" i="12" s="1"/>
  <c r="E25" i="19"/>
  <c r="G50" i="12" s="1"/>
  <c r="E23" i="19"/>
  <c r="C48" i="12" s="1"/>
  <c r="E21" i="19"/>
  <c r="D46" i="12" s="1"/>
  <c r="E20" i="19"/>
  <c r="G45" i="12" s="1"/>
  <c r="E19" i="19"/>
  <c r="D44" i="12" s="1"/>
  <c r="E14" i="19"/>
  <c r="E40" i="12" s="1"/>
  <c r="G48" i="12" l="1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D52" i="12" l="1"/>
  <c r="E52" i="12"/>
  <c r="F52" i="12"/>
  <c r="G52" i="12"/>
  <c r="C52" i="12"/>
  <c r="E26" i="19" l="1"/>
  <c r="E22" i="19"/>
  <c r="D85" i="1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D81" i="11" s="1"/>
  <c r="E82" i="11"/>
  <c r="E81" i="11" s="1"/>
  <c r="F82" i="11"/>
  <c r="F81" i="11" s="1"/>
  <c r="G82" i="11"/>
  <c r="G81" i="11" s="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M61" i="11" s="1"/>
  <c r="N62" i="11"/>
  <c r="N61" i="11" s="1"/>
  <c r="O62" i="11"/>
  <c r="O61" i="11" s="1"/>
  <c r="P62" i="11"/>
  <c r="P61" i="11" s="1"/>
  <c r="Q62" i="11"/>
  <c r="Q61" i="11" s="1"/>
  <c r="R62" i="11"/>
  <c r="R61" i="11" s="1"/>
  <c r="S62" i="11"/>
  <c r="T62" i="11"/>
  <c r="D62" i="11"/>
  <c r="E62" i="11"/>
  <c r="E61" i="11" s="1"/>
  <c r="F62" i="11"/>
  <c r="F61" i="11" s="1"/>
  <c r="G62" i="11"/>
  <c r="G61" i="11" s="1"/>
  <c r="H62" i="11"/>
  <c r="H61" i="11" s="1"/>
  <c r="C65" i="11"/>
  <c r="C64" i="11"/>
  <c r="C63" i="11"/>
  <c r="C62" i="11"/>
  <c r="C61" i="11" s="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AD41" i="11"/>
  <c r="D41" i="11"/>
  <c r="L41" i="11"/>
  <c r="T41" i="11"/>
  <c r="AB41" i="11"/>
  <c r="D45" i="11"/>
  <c r="E45" i="11"/>
  <c r="F45" i="11"/>
  <c r="G45" i="11"/>
  <c r="H45" i="11"/>
  <c r="I45" i="11"/>
  <c r="J45" i="11"/>
  <c r="K45" i="11"/>
  <c r="K41" i="11" s="1"/>
  <c r="L45" i="11"/>
  <c r="M45" i="11"/>
  <c r="N45" i="11"/>
  <c r="O45" i="11"/>
  <c r="P45" i="11"/>
  <c r="Q45" i="11"/>
  <c r="R45" i="11"/>
  <c r="S45" i="11"/>
  <c r="S41" i="11" s="1"/>
  <c r="T45" i="11"/>
  <c r="U45" i="11"/>
  <c r="V45" i="11"/>
  <c r="W45" i="11"/>
  <c r="X45" i="11"/>
  <c r="Y45" i="11"/>
  <c r="Z45" i="11"/>
  <c r="AA45" i="11"/>
  <c r="AA41" i="11" s="1"/>
  <c r="AB45" i="11"/>
  <c r="AC45" i="11"/>
  <c r="AD45" i="11"/>
  <c r="AE45" i="11"/>
  <c r="AF45" i="11"/>
  <c r="AG45" i="11"/>
  <c r="AH45" i="1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K41" i="11" s="1"/>
  <c r="C43" i="11"/>
  <c r="D42" i="11"/>
  <c r="E42" i="11"/>
  <c r="E41" i="11" s="1"/>
  <c r="F42" i="11"/>
  <c r="F41" i="11" s="1"/>
  <c r="G42" i="11"/>
  <c r="G41" i="11" s="1"/>
  <c r="H42" i="11"/>
  <c r="H41" i="11" s="1"/>
  <c r="I42" i="11"/>
  <c r="I41" i="11" s="1"/>
  <c r="J42" i="11"/>
  <c r="J41" i="11" s="1"/>
  <c r="K42" i="11"/>
  <c r="L42" i="11"/>
  <c r="M42" i="11"/>
  <c r="M41" i="11" s="1"/>
  <c r="N42" i="11"/>
  <c r="N41" i="11" s="1"/>
  <c r="O42" i="11"/>
  <c r="O41" i="11" s="1"/>
  <c r="P42" i="11"/>
  <c r="P41" i="11" s="1"/>
  <c r="Q42" i="11"/>
  <c r="Q41" i="11" s="1"/>
  <c r="R42" i="11"/>
  <c r="R41" i="11" s="1"/>
  <c r="S42" i="11"/>
  <c r="T42" i="11"/>
  <c r="U42" i="11"/>
  <c r="U41" i="11" s="1"/>
  <c r="V42" i="11"/>
  <c r="V41" i="11" s="1"/>
  <c r="W42" i="11"/>
  <c r="W41" i="11" s="1"/>
  <c r="X42" i="11"/>
  <c r="X41" i="11" s="1"/>
  <c r="Y42" i="11"/>
  <c r="Y41" i="11" s="1"/>
  <c r="Z42" i="11"/>
  <c r="Z41" i="11" s="1"/>
  <c r="AA42" i="11"/>
  <c r="AB42" i="11"/>
  <c r="AC42" i="11"/>
  <c r="AC41" i="11" s="1"/>
  <c r="AD42" i="11"/>
  <c r="AE42" i="11"/>
  <c r="AE41" i="11" s="1"/>
  <c r="AF42" i="11"/>
  <c r="AF41" i="11" s="1"/>
  <c r="AG42" i="11"/>
  <c r="AG41" i="11" s="1"/>
  <c r="AH42" i="11"/>
  <c r="AH41" i="11" s="1"/>
  <c r="AI42" i="11"/>
  <c r="AI41" i="11" s="1"/>
  <c r="AJ42" i="11"/>
  <c r="AJ41" i="11" s="1"/>
  <c r="AK42" i="11"/>
  <c r="C42" i="11"/>
  <c r="C41" i="11" s="1"/>
  <c r="AH26" i="27"/>
  <c r="AG26" i="27"/>
  <c r="AH24" i="27"/>
  <c r="AH25" i="27"/>
  <c r="AG24" i="27"/>
  <c r="AG25" i="27"/>
  <c r="E13" i="17"/>
  <c r="D80" i="11" s="1"/>
  <c r="E12" i="17"/>
  <c r="G79" i="11" s="1"/>
  <c r="E11" i="17"/>
  <c r="K58" i="11" s="1"/>
  <c r="E10" i="17"/>
  <c r="E77" i="11" s="1"/>
  <c r="E9" i="17"/>
  <c r="C76" i="11" s="1"/>
  <c r="N38" i="11" l="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43" i="12" s="1"/>
  <c r="D47" i="12"/>
  <c r="D43" i="12" s="1"/>
  <c r="F51" i="12"/>
  <c r="F49" i="12" s="1"/>
  <c r="C51" i="12"/>
  <c r="C49" i="12" s="1"/>
  <c r="G51" i="12"/>
  <c r="G49" i="12" s="1"/>
  <c r="D51" i="12"/>
  <c r="D49" i="12" s="1"/>
  <c r="E51" i="12"/>
  <c r="E49" i="12" s="1"/>
  <c r="C81" i="11"/>
  <c r="E18" i="17"/>
  <c r="E17" i="17"/>
  <c r="E16" i="17"/>
  <c r="E15" i="17"/>
  <c r="G75" i="11" l="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D39" i="28"/>
  <c r="E39" i="28"/>
  <c r="F39" i="28"/>
  <c r="G39" i="28"/>
  <c r="C39" i="28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C39" i="27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15" i="6" s="1"/>
  <c r="C86" i="3" s="1"/>
  <c r="B9" i="6"/>
  <c r="B14" i="6" s="1"/>
  <c r="B8" i="6"/>
  <c r="B5" i="6"/>
  <c r="B4" i="6"/>
  <c r="E32" i="21" l="1"/>
  <c r="C67" i="3"/>
  <c r="E37" i="20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G38" i="12"/>
  <c r="D50" i="11"/>
  <c r="C70" i="11"/>
  <c r="E50" i="11"/>
  <c r="F38" i="12"/>
  <c r="E70" i="11"/>
  <c r="Q50" i="11"/>
  <c r="C50" i="11"/>
  <c r="E38" i="12"/>
  <c r="F70" i="11"/>
  <c r="I50" i="11"/>
  <c r="N50" i="11"/>
  <c r="S50" i="11"/>
  <c r="P50" i="11"/>
  <c r="F50" i="11"/>
  <c r="K50" i="11"/>
  <c r="H50" i="11"/>
  <c r="G70" i="1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E34" i="36" l="1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E45" i="23"/>
  <c r="F44" i="30"/>
  <c r="F46" i="38" s="1"/>
  <c r="D31" i="34"/>
  <c r="E31" i="34"/>
  <c r="F31" i="34"/>
  <c r="G31" i="34"/>
  <c r="C31" i="34"/>
  <c r="C85" i="3"/>
  <c r="E33" i="20"/>
  <c r="E37" i="37"/>
  <c r="D37" i="37"/>
  <c r="F37" i="37"/>
  <c r="C37" i="37"/>
  <c r="E39" i="35"/>
  <c r="E35" i="22"/>
  <c r="G37" i="37"/>
  <c r="D13" i="29"/>
  <c r="C31" i="29"/>
  <c r="E13" i="29"/>
  <c r="G35" i="29"/>
  <c r="G13" i="29"/>
  <c r="C13" i="29"/>
  <c r="D35" i="29"/>
  <c r="E35" i="29"/>
  <c r="C35" i="29"/>
  <c r="F35" i="29"/>
  <c r="G29" i="12"/>
  <c r="E29" i="12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D29" i="12"/>
  <c r="C29" i="12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E38" i="20" l="1"/>
  <c r="C114" i="3"/>
  <c r="E48" i="21" s="1"/>
  <c r="G45" i="30" s="1"/>
  <c r="G47" i="38" s="1"/>
  <c r="E38" i="37"/>
  <c r="D38" i="37"/>
  <c r="F38" i="37"/>
  <c r="C38" i="37"/>
  <c r="E36" i="22"/>
  <c r="G38" i="37"/>
  <c r="E40" i="35"/>
  <c r="D36" i="29"/>
  <c r="E36" i="29"/>
  <c r="F36" i="29"/>
  <c r="G36" i="29"/>
  <c r="C36" i="29"/>
  <c r="C33" i="31"/>
  <c r="F33" i="31"/>
  <c r="G33" i="31"/>
  <c r="D33" i="31"/>
  <c r="E33" i="31"/>
  <c r="E45" i="30"/>
  <c r="E47" i="38" s="1"/>
  <c r="F45" i="30"/>
  <c r="F47" i="38" s="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1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E46" i="23" l="1"/>
  <c r="D45" i="30"/>
  <c r="D47" i="38" s="1"/>
  <c r="C45" i="30"/>
  <c r="C47" i="38" s="1"/>
  <c r="E46" i="21"/>
  <c r="E41" i="21" s="1"/>
  <c r="C43" i="30"/>
  <c r="C45" i="38" s="1"/>
  <c r="F43" i="30"/>
  <c r="F45" i="38" s="1"/>
  <c r="E44" i="23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D34" i="31"/>
  <c r="F34" i="31"/>
  <c r="E34" i="31"/>
  <c r="G34" i="31"/>
  <c r="C34" i="31"/>
  <c r="E105" i="1"/>
  <c r="E104" i="1"/>
  <c r="E107" i="1" s="1"/>
  <c r="E102" i="1"/>
  <c r="F38" i="30" l="1"/>
  <c r="F40" i="38" s="1"/>
  <c r="E38" i="30"/>
  <c r="E40" i="38" s="1"/>
  <c r="C38" i="30"/>
  <c r="C40" i="38" s="1"/>
  <c r="G38" i="30"/>
  <c r="G40" i="38" s="1"/>
  <c r="E39" i="23"/>
  <c r="E43" i="36" s="1"/>
  <c r="D38" i="30"/>
  <c r="D40" i="38" s="1"/>
  <c r="E43" i="30"/>
  <c r="E45" i="38" s="1"/>
  <c r="D43" i="30"/>
  <c r="D45" i="38" s="1"/>
  <c r="E42" i="21"/>
  <c r="E40" i="21"/>
  <c r="G43" i="30"/>
  <c r="G45" i="38" s="1"/>
  <c r="E48" i="36"/>
  <c r="C41" i="34"/>
  <c r="E41" i="34"/>
  <c r="F41" i="34"/>
  <c r="G41" i="34"/>
  <c r="D41" i="34"/>
  <c r="F36" i="34"/>
  <c r="G36" i="34"/>
  <c r="D36" i="34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C36" i="34" l="1"/>
  <c r="E36" i="34"/>
  <c r="F37" i="30"/>
  <c r="G37" i="30"/>
  <c r="C37" i="30"/>
  <c r="C39" i="38" s="1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D37" i="34" l="1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E6" i="1" l="1"/>
  <c r="H67" i="3"/>
  <c r="C70" i="3" s="1"/>
  <c r="E85" i="1" l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26" i="35" l="1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E15" i="23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E26" i="23" l="1"/>
  <c r="E28" i="21"/>
  <c r="C21" i="38"/>
  <c r="C21" i="37"/>
  <c r="G21" i="38"/>
  <c r="F21" i="37"/>
  <c r="D21" i="37"/>
  <c r="E21" i="37"/>
  <c r="E21" i="38"/>
  <c r="D21" i="38"/>
  <c r="F21" i="38"/>
  <c r="G21" i="37"/>
  <c r="C49" i="38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C40" i="37"/>
  <c r="D40" i="37"/>
  <c r="E42" i="35"/>
  <c r="E17" i="22"/>
  <c r="G17" i="31" s="1"/>
  <c r="E20" i="22"/>
  <c r="E21" i="22"/>
  <c r="E22" i="22"/>
  <c r="C22" i="31" s="1"/>
  <c r="E15" i="21"/>
  <c r="E17" i="21" s="1"/>
  <c r="E18" i="31"/>
  <c r="F18" i="31"/>
  <c r="G18" i="31"/>
  <c r="D18" i="31"/>
  <c r="C18" i="31"/>
  <c r="E19" i="22"/>
  <c r="G20" i="31"/>
  <c r="F20" i="31"/>
  <c r="C20" i="31"/>
  <c r="E20" i="31"/>
  <c r="D20" i="31"/>
  <c r="E16" i="22"/>
  <c r="E28" i="35"/>
  <c r="E24" i="22"/>
  <c r="D22" i="31"/>
  <c r="G22" i="31"/>
  <c r="E23" i="22"/>
  <c r="E38" i="22" s="1"/>
  <c r="D21" i="31"/>
  <c r="E21" i="31"/>
  <c r="F21" i="31"/>
  <c r="G21" i="31"/>
  <c r="C21" i="31"/>
  <c r="E33" i="36"/>
  <c r="G27" i="34"/>
  <c r="C27" i="34"/>
  <c r="D27" i="34"/>
  <c r="E27" i="34"/>
  <c r="F27" i="34"/>
  <c r="E22" i="20"/>
  <c r="E23" i="29" s="1"/>
  <c r="E17" i="20"/>
  <c r="F18" i="29" s="1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F21" i="29" s="1"/>
  <c r="E24" i="20"/>
  <c r="E41" i="20" s="1"/>
  <c r="E21" i="20"/>
  <c r="F22" i="29" s="1"/>
  <c r="E18" i="20"/>
  <c r="F19" i="29" s="1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8" i="23"/>
  <c r="E22" i="23"/>
  <c r="E21" i="23"/>
  <c r="E17" i="23"/>
  <c r="E19" i="23"/>
  <c r="E23" i="23"/>
  <c r="E48" i="23" s="1"/>
  <c r="E16" i="23"/>
  <c r="E20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E20" i="21" l="1"/>
  <c r="E22" i="21"/>
  <c r="E21" i="21"/>
  <c r="F17" i="31"/>
  <c r="E17" i="31"/>
  <c r="D17" i="31"/>
  <c r="F22" i="31"/>
  <c r="C17" i="31"/>
  <c r="G23" i="29"/>
  <c r="E22" i="31"/>
  <c r="E24" i="21"/>
  <c r="E51" i="21" s="1"/>
  <c r="F48" i="30" s="1"/>
  <c r="E18" i="21"/>
  <c r="E16" i="21"/>
  <c r="E25" i="21"/>
  <c r="E50" i="21" s="1"/>
  <c r="D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C45" i="34"/>
  <c r="E28" i="23"/>
  <c r="E32" i="36" s="1"/>
  <c r="E30" i="36"/>
  <c r="F23" i="29"/>
  <c r="C47" i="30"/>
  <c r="D20" i="34"/>
  <c r="E20" i="34"/>
  <c r="F20" i="34"/>
  <c r="G20" i="34"/>
  <c r="C20" i="34"/>
  <c r="E48" i="30"/>
  <c r="G19" i="34"/>
  <c r="C19" i="34"/>
  <c r="E19" i="34"/>
  <c r="F19" i="34"/>
  <c r="D19" i="34"/>
  <c r="E36" i="31"/>
  <c r="F36" i="31"/>
  <c r="G36" i="31"/>
  <c r="C36" i="31"/>
  <c r="D36" i="31"/>
  <c r="C19" i="31"/>
  <c r="D19" i="31"/>
  <c r="D16" i="31" s="1"/>
  <c r="E19" i="31"/>
  <c r="E16" i="31" s="1"/>
  <c r="F19" i="31"/>
  <c r="F16" i="31" s="1"/>
  <c r="G19" i="31"/>
  <c r="G16" i="31" s="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F23" i="30"/>
  <c r="G23" i="30"/>
  <c r="D23" i="30"/>
  <c r="E23" i="30"/>
  <c r="C23" i="30"/>
  <c r="E17" i="30"/>
  <c r="C17" i="30"/>
  <c r="D17" i="30"/>
  <c r="F17" i="30"/>
  <c r="G17" i="30"/>
  <c r="D21" i="29"/>
  <c r="D22" i="29"/>
  <c r="F22" i="30"/>
  <c r="G22" i="30"/>
  <c r="D22" i="30"/>
  <c r="C22" i="30"/>
  <c r="E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G19" i="30"/>
  <c r="C19" i="30"/>
  <c r="E19" i="30"/>
  <c r="F19" i="30"/>
  <c r="D19" i="30"/>
  <c r="G21" i="30"/>
  <c r="C21" i="30"/>
  <c r="D21" i="30"/>
  <c r="E21" i="30"/>
  <c r="F21" i="30"/>
  <c r="D38" i="29"/>
  <c r="E38" i="29"/>
  <c r="F38" i="29"/>
  <c r="G38" i="29"/>
  <c r="C38" i="29"/>
  <c r="C39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G47" i="30" l="1"/>
  <c r="F47" i="30"/>
  <c r="C16" i="31"/>
  <c r="E47" i="30"/>
  <c r="D48" i="30"/>
  <c r="C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D23" i="34" l="1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49" i="21" s="1"/>
  <c r="E25" i="30"/>
  <c r="E27" i="38" s="1"/>
  <c r="E5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F5" i="38" l="1"/>
  <c r="G5" i="38"/>
  <c r="C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C27" i="29" s="1"/>
  <c r="D37" i="29"/>
  <c r="D33" i="29" s="1"/>
  <c r="F37" i="29"/>
  <c r="F33" i="29" s="1"/>
  <c r="G37" i="29"/>
  <c r="G33" i="29" s="1"/>
  <c r="C37" i="29"/>
  <c r="C33" i="29" s="1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C26" i="29"/>
  <c r="C25" i="29" s="1"/>
  <c r="C5" i="29" s="1"/>
  <c r="D26" i="29"/>
  <c r="D25" i="29" s="1"/>
  <c r="D5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C42" i="30" l="1"/>
  <c r="C48" i="38"/>
  <c r="C44" i="38" s="1"/>
  <c r="G42" i="30"/>
  <c r="G48" i="38"/>
  <c r="G44" i="38" s="1"/>
  <c r="E42" i="30"/>
  <c r="E48" i="38"/>
  <c r="E44" i="38" s="1"/>
  <c r="D42" i="30"/>
  <c r="D48" i="38"/>
  <c r="D44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48" i="38"/>
  <c r="F44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E30" i="31"/>
  <c r="E25" i="31" s="1"/>
  <c r="E5" i="31" s="1"/>
  <c r="F30" i="31"/>
  <c r="F25" i="31" s="1"/>
  <c r="F5" i="31" s="1"/>
  <c r="C30" i="31"/>
  <c r="C25" i="31" s="1"/>
  <c r="G30" i="31"/>
  <c r="G25" i="31" s="1"/>
  <c r="G5" i="31" s="1"/>
  <c r="C41" i="30"/>
  <c r="E42" i="23"/>
  <c r="E46" i="36" s="1"/>
  <c r="E31" i="35" l="1"/>
  <c r="E27" i="22"/>
  <c r="C36" i="30"/>
  <c r="C38" i="38" s="1"/>
  <c r="C43" i="38"/>
  <c r="G39" i="34"/>
  <c r="G34" i="34" s="1"/>
  <c r="E39" i="34"/>
  <c r="E34" i="34" s="1"/>
  <c r="F39" i="34"/>
  <c r="F34" i="34" s="1"/>
  <c r="C39" i="34"/>
  <c r="C34" i="34" s="1"/>
  <c r="D39" i="34"/>
  <c r="D34" i="34" s="1"/>
</calcChain>
</file>

<file path=xl/sharedStrings.xml><?xml version="1.0" encoding="utf-8"?>
<sst xmlns="http://schemas.openxmlformats.org/spreadsheetml/2006/main" count="3412" uniqueCount="485">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</sst>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0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0" xfId="0" applyFill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3" fontId="0" fillId="0" borderId="0" xfId="0" applyNumberFormat="1"/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G49"/>
  <sheetViews>
    <sheetView topLeftCell="A13" zoomScaleNormal="100" workbookViewId="0">
      <selection activeCell="C29" sqref="C29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38" t="s">
        <v>420</v>
      </c>
      <c r="B3" s="139"/>
      <c r="C3" s="139"/>
      <c r="D3" s="139"/>
      <c r="E3" s="139"/>
      <c r="F3" s="139"/>
      <c r="G3" s="140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 t="shared" ref="D5:G5" si="0">SUM(D6,D9,D12,D16,D27)</f>
        <v>12.136919211846868</v>
      </c>
      <c r="E5" s="112">
        <f t="shared" si="0"/>
        <v>635.68926661540377</v>
      </c>
      <c r="F5" s="112">
        <f t="shared" si="0"/>
        <v>1.3928493842029554E-4</v>
      </c>
      <c r="G5" s="112">
        <f t="shared" si="0"/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7">
        <f>'LCIA_AD-b'!C28</f>
        <v>20.023161550779676</v>
      </c>
      <c r="D30" s="137">
        <f>'LCIA_AD-b'!D28</f>
        <v>5.5377949616824766</v>
      </c>
      <c r="E30" s="137">
        <f>'LCIA_AD-b'!E28</f>
        <v>61.671424253960097</v>
      </c>
      <c r="F30" s="137">
        <f>'LCIA_AD-b'!F28</f>
        <v>3.6457711739845012E-5</v>
      </c>
      <c r="G30" s="137">
        <f>'LCIA_AD-b'!G28</f>
        <v>0.42904899156069698</v>
      </c>
    </row>
    <row r="31" spans="1:7" x14ac:dyDescent="0.35">
      <c r="A31" s="114"/>
      <c r="B31" s="114" t="s">
        <v>96</v>
      </c>
      <c r="C31" s="135">
        <f>'LCIA_AD-b'!C29</f>
        <v>2.3821711546319135</v>
      </c>
      <c r="D31" s="135">
        <f>'LCIA_AD-b'!D29</f>
        <v>0</v>
      </c>
      <c r="E31" s="135">
        <f>'LCIA_AD-b'!E29</f>
        <v>0</v>
      </c>
      <c r="F31" s="135">
        <f>'LCIA_AD-b'!F29</f>
        <v>0</v>
      </c>
      <c r="G31" s="135">
        <f>'LCIA_AD-b'!G29</f>
        <v>0</v>
      </c>
    </row>
    <row r="32" spans="1:7" x14ac:dyDescent="0.35">
      <c r="A32" s="114"/>
      <c r="B32" s="114" t="s">
        <v>111</v>
      </c>
      <c r="C32" s="135">
        <f>'LCIA_AD-b'!C30</f>
        <v>17.012982491752076</v>
      </c>
      <c r="D32" s="135">
        <f>'LCIA_AD-b'!D30</f>
        <v>0</v>
      </c>
      <c r="E32" s="135">
        <f>'LCIA_AD-b'!E30</f>
        <v>0</v>
      </c>
      <c r="F32" s="135">
        <f>'LCIA_AD-b'!F30</f>
        <v>0</v>
      </c>
      <c r="G32" s="135">
        <f>'LCIA_AD-b'!G30</f>
        <v>0</v>
      </c>
    </row>
    <row r="33" spans="1:7" x14ac:dyDescent="0.35">
      <c r="A33" s="114"/>
      <c r="B33" s="114" t="s">
        <v>110</v>
      </c>
      <c r="C33" s="136">
        <f>'LCIA_AD-b'!C31</f>
        <v>0</v>
      </c>
      <c r="D33" s="136">
        <f>'LCIA_AD-b'!D31</f>
        <v>5.3456952796906902</v>
      </c>
      <c r="E33" s="136">
        <f>'LCIA_AD-b'!E31</f>
        <v>0</v>
      </c>
      <c r="F33" s="136">
        <f>'LCIA_AD-b'!F31</f>
        <v>3.5968540350410269E-5</v>
      </c>
      <c r="G33" s="136">
        <f>'LCIA_AD-b'!G31</f>
        <v>0</v>
      </c>
    </row>
    <row r="34" spans="1:7" x14ac:dyDescent="0.35">
      <c r="A34" s="114"/>
      <c r="B34" s="114" t="s">
        <v>288</v>
      </c>
      <c r="C34" s="136">
        <f>'LCIA_AD-b'!C32</f>
        <v>0</v>
      </c>
      <c r="D34" s="136">
        <f>'LCIA_AD-b'!D32</f>
        <v>7.8076707234924367E-2</v>
      </c>
      <c r="E34" s="136">
        <f>'LCIA_AD-b'!E32</f>
        <v>0</v>
      </c>
      <c r="F34" s="136">
        <f>'LCIA_AD-b'!F32</f>
        <v>5.059520896744001E-9</v>
      </c>
      <c r="G34" s="136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-27.214300839017277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-30.816321150470795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153.78727266201372</v>
      </c>
      <c r="D44" s="115">
        <f t="shared" ref="D44:G44" si="5">SUM(D45:D49)</f>
        <v>86.68000299724244</v>
      </c>
      <c r="E44" s="115">
        <f t="shared" si="5"/>
        <v>2787.444611387883</v>
      </c>
      <c r="F44" s="115">
        <f t="shared" si="5"/>
        <v>1.5795567965376648E-3</v>
      </c>
      <c r="G44" s="115">
        <f t="shared" si="5"/>
        <v>98.300560832806468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0.60151873247630161</v>
      </c>
      <c r="D48" s="114">
        <f>'LCIA_AD-b'!D46</f>
        <v>0.26016692421759646</v>
      </c>
      <c r="E48" s="114">
        <f>'LCIA_AD-b'!E46</f>
        <v>424.13181213239164</v>
      </c>
      <c r="F48" s="114">
        <f>'LCIA_AD-b'!F46</f>
        <v>4.8284247774503164E-7</v>
      </c>
      <c r="G48" s="114">
        <f>'LCIA_AD-b'!G46</f>
        <v>1.3478750962911963</v>
      </c>
    </row>
    <row r="49" spans="1:7" x14ac:dyDescent="0.35">
      <c r="A49" s="114"/>
      <c r="B49" s="114" t="s">
        <v>423</v>
      </c>
      <c r="C49" s="114">
        <f>'LCI_AD-f'!$E52*'IW+f'!C39</f>
        <v>123.31204020210303</v>
      </c>
      <c r="D49" s="114">
        <f>'LCI_AD-f'!$E52*'IW+f'!D39</f>
        <v>78.094549630279374</v>
      </c>
      <c r="E49" s="114">
        <f>'LCI_AD-f'!$E52*'IW+f'!E39</f>
        <v>1885.9343657496397</v>
      </c>
      <c r="F49" s="114">
        <f>'LCI_AD-f'!$E52*'IW+f'!F39</f>
        <v>1.5176577037730953E-3</v>
      </c>
      <c r="G49" s="114">
        <f>'LCI_AD-f'!$E52*'IW+f'!G39</f>
        <v>43.147138957395725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G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x14ac:dyDescent="0.35">
      <c r="A10" s="17" t="s">
        <v>255</v>
      </c>
      <c r="B10" s="17" t="s">
        <v>219</v>
      </c>
    </row>
    <row r="11" spans="1:7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7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7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7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7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7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7" x14ac:dyDescent="0.35">
      <c r="A39" t="s">
        <v>345</v>
      </c>
      <c r="B39" t="s">
        <v>219</v>
      </c>
      <c r="C39">
        <f>(C9*0.75)+(C6*0.25)</f>
        <v>3.1810426802821895E-2</v>
      </c>
      <c r="D39">
        <f t="shared" ref="D39:G39" si="0">(D9*0.75)+(D6*0.25)</f>
        <v>2.0145810179134287E-2</v>
      </c>
      <c r="E39">
        <f t="shared" si="0"/>
        <v>0.48650867342945886</v>
      </c>
      <c r="F39">
        <f t="shared" si="0"/>
        <v>3.9150547844710343E-7</v>
      </c>
      <c r="G39">
        <f t="shared" si="0"/>
        <v>1.1130534401230463E-2</v>
      </c>
    </row>
  </sheetData>
  <autoFilter ref="A1:G35" xr:uid="{3DE421AE-67CB-443D-A16B-D547AB6DBE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G80"/>
  <sheetViews>
    <sheetView workbookViewId="0">
      <selection activeCell="C9" sqref="C9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8" t="s">
        <v>420</v>
      </c>
      <c r="B3" s="139"/>
      <c r="C3" s="139"/>
      <c r="D3" s="139"/>
      <c r="E3" s="139"/>
      <c r="F3" s="139"/>
      <c r="G3" s="140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 t="shared" ref="D5:G5" si="0">SUM(D6,D9,D12,D16,D27)</f>
        <v>11.932948643856003</v>
      </c>
      <c r="E5" s="112">
        <f t="shared" si="0"/>
        <v>611.07094088614645</v>
      </c>
      <c r="F5" s="112">
        <f t="shared" si="0"/>
        <v>1.3888158027973831E-4</v>
      </c>
      <c r="G5" s="112">
        <f t="shared" si="0"/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 t="shared" ref="D16:G16" si="4">SUM(D17:D26)</f>
        <v>7.2504014430452663</v>
      </c>
      <c r="E16" s="118">
        <f t="shared" si="4"/>
        <v>7.1324960400400128</v>
      </c>
      <c r="F16" s="118">
        <f t="shared" si="4"/>
        <v>5.3325991838941126E-5</v>
      </c>
      <c r="G16" s="118">
        <f t="shared" si="4"/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 t="shared" ref="D27:G27" si="5">D28</f>
        <v>0</v>
      </c>
      <c r="E27" s="115">
        <f t="shared" si="5"/>
        <v>0</v>
      </c>
      <c r="F27" s="115">
        <f t="shared" si="5"/>
        <v>0</v>
      </c>
      <c r="G27" s="115">
        <f t="shared" si="5"/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-96.310982618440732</v>
      </c>
      <c r="D29" s="115">
        <f t="shared" ref="D29:G29" si="6">SUM(D30:D34)</f>
        <v>108.30291146722087</v>
      </c>
      <c r="E29" s="115">
        <f t="shared" si="6"/>
        <v>0</v>
      </c>
      <c r="F29" s="115">
        <f t="shared" si="6"/>
        <v>7.6801640589139021E-4</v>
      </c>
      <c r="G29" s="115">
        <f t="shared" si="6"/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7" x14ac:dyDescent="0.35">
      <c r="A34" s="114"/>
      <c r="B34" s="119" t="s">
        <v>415</v>
      </c>
      <c r="C34" s="120">
        <f>'LCI_AD-a'!$E34*'IW+f'!C26</f>
        <v>-115.3519213234084</v>
      </c>
      <c r="D34" s="120">
        <f>'LCI_AD-a'!$E34*'IW+f'!D26</f>
        <v>-1.9033067018362388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7" x14ac:dyDescent="0.35">
      <c r="A35" s="113" t="s">
        <v>421</v>
      </c>
      <c r="B35" s="114"/>
      <c r="C35" s="115">
        <f>SUM(C36:C40)</f>
        <v>185.9019611376188</v>
      </c>
      <c r="D35" s="115">
        <f>SUM(D36:D40)</f>
        <v>94.968446246549405</v>
      </c>
      <c r="E35" s="115">
        <f>SUM(E36:E40)</f>
        <v>4434.8236707497153</v>
      </c>
      <c r="F35" s="115">
        <f>SUM(F36:F40)</f>
        <v>1.6294706966543562E-3</v>
      </c>
      <c r="G35" s="115">
        <f>SUM(G36:G40)</f>
        <v>143.22807493657996</v>
      </c>
    </row>
    <row r="36" spans="1: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7" x14ac:dyDescent="0.35">
      <c r="A39" s="114"/>
      <c r="B39" s="114" t="s">
        <v>231</v>
      </c>
      <c r="C39" s="117">
        <f>'LCI_AD-a'!$E39*'IW+f'!C31</f>
        <v>2.2516101504900958</v>
      </c>
      <c r="D39" s="117">
        <f>'LCI_AD-a'!$E39*'IW+f'!D31</f>
        <v>0.97385909326307918</v>
      </c>
      <c r="E39" s="117">
        <f>'LCI_AD-a'!$E39*'IW+f'!E31</f>
        <v>1587.6138876201587</v>
      </c>
      <c r="F39" s="117">
        <f>'LCI_AD-a'!$E39*'IW+f'!F31</f>
        <v>1.8073801617164658E-6</v>
      </c>
      <c r="G39" s="117">
        <f>'LCI_AD-a'!$E39*'IW+f'!G31</f>
        <v>5.045377782181772</v>
      </c>
    </row>
    <row r="40" spans="1:7" x14ac:dyDescent="0.35">
      <c r="A40" s="114"/>
      <c r="B40" s="114" t="s">
        <v>423</v>
      </c>
      <c r="C40" s="114">
        <f>'LCI_AD-e'!$E27*'IW+f'!C39</f>
        <v>123.31204020210303</v>
      </c>
      <c r="D40" s="114">
        <f>'LCI_AD-e'!$E27*'IW+f'!D39</f>
        <v>78.094549630279374</v>
      </c>
      <c r="E40" s="114">
        <f>'LCI_AD-e'!$E27*'IW+f'!E39</f>
        <v>1885.9343657496397</v>
      </c>
      <c r="F40" s="114">
        <f>'LCI_AD-e'!$E27*'IW+f'!F39</f>
        <v>1.5176577037730953E-3</v>
      </c>
      <c r="G40" s="114">
        <f>'LCI_AD-e'!$E27*'IW+f'!G39</f>
        <v>43.147138957395725</v>
      </c>
    </row>
    <row r="45" spans="1:7" x14ac:dyDescent="0.35">
      <c r="A45" t="s">
        <v>0</v>
      </c>
    </row>
    <row r="46" spans="1:7" x14ac:dyDescent="0.35">
      <c r="A46" t="s">
        <v>6</v>
      </c>
    </row>
    <row r="47" spans="1:7" x14ac:dyDescent="0.35">
      <c r="A47" t="s">
        <v>5</v>
      </c>
    </row>
    <row r="48" spans="1:7" x14ac:dyDescent="0.35">
      <c r="B48" t="s">
        <v>249</v>
      </c>
    </row>
    <row r="49" spans="1:2" x14ac:dyDescent="0.35">
      <c r="B49" t="s">
        <v>250</v>
      </c>
    </row>
    <row r="50" spans="1:2" x14ac:dyDescent="0.35">
      <c r="A50" t="s">
        <v>235</v>
      </c>
    </row>
    <row r="51" spans="1:2" x14ac:dyDescent="0.35">
      <c r="B51" t="s">
        <v>286</v>
      </c>
    </row>
    <row r="52" spans="1:2" x14ac:dyDescent="0.35">
      <c r="B52" t="s">
        <v>235</v>
      </c>
    </row>
    <row r="53" spans="1:2" x14ac:dyDescent="0.35">
      <c r="A53" t="s">
        <v>6</v>
      </c>
    </row>
    <row r="54" spans="1:2" x14ac:dyDescent="0.35">
      <c r="B54" t="s">
        <v>8</v>
      </c>
    </row>
    <row r="55" spans="1:2" x14ac:dyDescent="0.35">
      <c r="B55" t="s">
        <v>18</v>
      </c>
    </row>
    <row r="56" spans="1:2" x14ac:dyDescent="0.35">
      <c r="B56" t="s">
        <v>96</v>
      </c>
    </row>
    <row r="57" spans="1:2" x14ac:dyDescent="0.35">
      <c r="A57" t="s">
        <v>7</v>
      </c>
    </row>
    <row r="58" spans="1:2" x14ac:dyDescent="0.35">
      <c r="B58" t="s">
        <v>50</v>
      </c>
    </row>
    <row r="59" spans="1:2" x14ac:dyDescent="0.35">
      <c r="B59" t="s">
        <v>51</v>
      </c>
    </row>
    <row r="60" spans="1:2" x14ac:dyDescent="0.35">
      <c r="B60" t="s">
        <v>52</v>
      </c>
    </row>
    <row r="61" spans="1:2" x14ac:dyDescent="0.35">
      <c r="B61" t="s">
        <v>53</v>
      </c>
    </row>
    <row r="62" spans="1:2" x14ac:dyDescent="0.35">
      <c r="B62" t="s">
        <v>54</v>
      </c>
    </row>
    <row r="63" spans="1:2" x14ac:dyDescent="0.35">
      <c r="B63" t="s">
        <v>55</v>
      </c>
    </row>
    <row r="64" spans="1:2" x14ac:dyDescent="0.35">
      <c r="B64" t="s">
        <v>58</v>
      </c>
    </row>
    <row r="65" spans="1:2" x14ac:dyDescent="0.35">
      <c r="B65" t="s">
        <v>59</v>
      </c>
    </row>
    <row r="66" spans="1:2" x14ac:dyDescent="0.35">
      <c r="A66" t="s">
        <v>100</v>
      </c>
    </row>
    <row r="67" spans="1:2" x14ac:dyDescent="0.35">
      <c r="B67" t="s">
        <v>96</v>
      </c>
    </row>
    <row r="68" spans="1:2" x14ac:dyDescent="0.35">
      <c r="A68" t="s">
        <v>108</v>
      </c>
    </row>
    <row r="69" spans="1:2" x14ac:dyDescent="0.35">
      <c r="B69" t="s">
        <v>111</v>
      </c>
    </row>
    <row r="70" spans="1:2" x14ac:dyDescent="0.35">
      <c r="B70" t="s">
        <v>110</v>
      </c>
    </row>
    <row r="71" spans="1:2" x14ac:dyDescent="0.35">
      <c r="B71" t="s">
        <v>114</v>
      </c>
    </row>
    <row r="72" spans="1:2" x14ac:dyDescent="0.35">
      <c r="B72" t="s">
        <v>414</v>
      </c>
    </row>
    <row r="73" spans="1:2" x14ac:dyDescent="0.35">
      <c r="B73" t="s">
        <v>415</v>
      </c>
    </row>
    <row r="74" spans="1:2" x14ac:dyDescent="0.35">
      <c r="A74" t="s">
        <v>421</v>
      </c>
    </row>
    <row r="75" spans="1:2" x14ac:dyDescent="0.35">
      <c r="B75" t="s">
        <v>228</v>
      </c>
    </row>
    <row r="76" spans="1:2" x14ac:dyDescent="0.35">
      <c r="B76" t="s">
        <v>230</v>
      </c>
    </row>
    <row r="77" spans="1:2" x14ac:dyDescent="0.35">
      <c r="B77" t="s">
        <v>229</v>
      </c>
    </row>
    <row r="78" spans="1:2" x14ac:dyDescent="0.35">
      <c r="B78" t="s">
        <v>231</v>
      </c>
    </row>
    <row r="79" spans="1:2" x14ac:dyDescent="0.35">
      <c r="B79" t="s">
        <v>423</v>
      </c>
    </row>
    <row r="80" spans="1:2" x14ac:dyDescent="0.35">
      <c r="B80" t="s">
        <v>424</v>
      </c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3"/>
  <sheetViews>
    <sheetView topLeftCell="A24" workbookViewId="0">
      <selection activeCell="E40" sqref="E40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4" t="s">
        <v>3</v>
      </c>
      <c r="C15" s="43" t="s">
        <v>17</v>
      </c>
      <c r="D15" s="134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2"/>
  <sheetViews>
    <sheetView topLeftCell="A31" workbookViewId="0">
      <selection activeCell="M41" sqref="M41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4" t="s">
        <v>3</v>
      </c>
      <c r="C15" s="43" t="s">
        <v>17</v>
      </c>
      <c r="D15" s="134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G45"/>
  <sheetViews>
    <sheetView zoomScale="80" workbookViewId="0">
      <selection activeCell="C32" sqref="C32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8" t="s">
        <v>420</v>
      </c>
      <c r="B3" s="139"/>
      <c r="C3" s="139"/>
      <c r="D3" s="139"/>
      <c r="E3" s="139"/>
      <c r="F3" s="139"/>
      <c r="G3" s="140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 t="shared" ref="D5:G5" si="0">SUM(D6,D9,D12,D16,D23,D26)</f>
        <v>17.579182524942819</v>
      </c>
      <c r="E5" s="124">
        <f t="shared" si="0"/>
        <v>1771.9128631729932</v>
      </c>
      <c r="F5" s="124">
        <f t="shared" si="0"/>
        <v>1.8730310859468852E-4</v>
      </c>
      <c r="G5" s="124">
        <f t="shared" si="0"/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 t="shared" ref="D23:G23" si="5">SUM(D24:D25)</f>
        <v>0.2039705679908648</v>
      </c>
      <c r="E23" s="115">
        <f t="shared" si="5"/>
        <v>24.618325729257286</v>
      </c>
      <c r="F23" s="115">
        <f t="shared" si="5"/>
        <v>4.0335814055722942E-7</v>
      </c>
      <c r="G23" s="115">
        <f t="shared" si="5"/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 t="shared" ref="D26:G26" si="6">SUM(D27:D33)</f>
        <v>8.9135985816485395</v>
      </c>
      <c r="E26" s="115">
        <f t="shared" si="6"/>
        <v>61.671424253960097</v>
      </c>
      <c r="F26" s="115">
        <f t="shared" si="6"/>
        <v>5.5288300511530377E-5</v>
      </c>
      <c r="G26" s="115">
        <f t="shared" si="6"/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7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7" x14ac:dyDescent="0.35">
      <c r="A34" s="113" t="s">
        <v>353</v>
      </c>
      <c r="B34" s="114"/>
      <c r="C34" s="115">
        <f>SUM(C35:C39)</f>
        <v>-27.214300839017277</v>
      </c>
      <c r="D34" s="115">
        <f t="shared" ref="D34:G34" si="7">SUM(D35:D39)</f>
        <v>6.6866847732851395</v>
      </c>
      <c r="E34" s="115">
        <f t="shared" si="7"/>
        <v>0</v>
      </c>
      <c r="F34" s="115">
        <f t="shared" si="7"/>
        <v>1.4004955712866033E-5</v>
      </c>
      <c r="G34" s="115">
        <f t="shared" si="7"/>
        <v>0</v>
      </c>
    </row>
    <row r="35" spans="1:7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7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7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7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7" x14ac:dyDescent="0.35">
      <c r="A39" s="114"/>
      <c r="B39" s="114" t="s">
        <v>415</v>
      </c>
      <c r="C39" s="117">
        <f>'LCI_AD-d'!$E42*'IW+f'!C26</f>
        <v>-30.816321150470795</v>
      </c>
      <c r="D39" s="117">
        <f>'LCI_AD-d'!$E42*'IW+f'!D26</f>
        <v>-0.50846929898276816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7" x14ac:dyDescent="0.35">
      <c r="A40" s="113" t="s">
        <v>421</v>
      </c>
      <c r="B40" s="114"/>
      <c r="C40" s="115">
        <f>SUM(C41:C45)</f>
        <v>127.46670691939865</v>
      </c>
      <c r="D40" s="115">
        <f>SUM(D41:D45)</f>
        <v>21.38556158781822</v>
      </c>
      <c r="E40" s="115">
        <f>SUM(E41:E45)</f>
        <v>7190.0103072814718</v>
      </c>
      <c r="F40" s="115">
        <f>SUM(F41:F45)</f>
        <v>9.1311749139430049E-5</v>
      </c>
      <c r="G40" s="115">
        <f>SUM(G41:G45)</f>
        <v>65.554187526342133</v>
      </c>
    </row>
    <row r="41" spans="1:7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7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7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7" x14ac:dyDescent="0.35">
      <c r="A44" s="114"/>
      <c r="B44" s="114" t="s">
        <v>231</v>
      </c>
      <c r="C44" s="117">
        <f>'LCI_AD-d'!$E47*'IW+f'!C31</f>
        <v>0.60151873247630161</v>
      </c>
      <c r="D44" s="117">
        <f>'LCI_AD-d'!$E47*'IW+f'!D31</f>
        <v>0.26016692421759646</v>
      </c>
      <c r="E44" s="117">
        <f>'LCI_AD-d'!$E47*'IW+f'!E31</f>
        <v>424.13181213239164</v>
      </c>
      <c r="F44" s="117">
        <f>'LCI_AD-d'!$E47*'IW+f'!F31</f>
        <v>4.8284247774503164E-7</v>
      </c>
      <c r="G44" s="117">
        <f>'LCI_AD-d'!$E47*'IW+f'!G31</f>
        <v>1.3478750962911963</v>
      </c>
    </row>
    <row r="45" spans="1:7" x14ac:dyDescent="0.35">
      <c r="A45" s="114"/>
      <c r="B45" s="114" t="s">
        <v>475</v>
      </c>
      <c r="C45" s="117">
        <f>'LCI_AD-d'!$E48*'IW+f'!C38</f>
        <v>96.991474459487947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</sheetData>
  <mergeCells count="1"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workbookViewId="0">
      <selection activeCell="C7" sqref="C7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1"/>
  <sheetViews>
    <sheetView topLeftCell="A16" zoomScale="88" workbookViewId="0">
      <selection activeCell="E36" sqref="E36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1"/>
  <sheetViews>
    <sheetView topLeftCell="A30" workbookViewId="0">
      <selection activeCell="H41" sqref="H41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G40"/>
  <sheetViews>
    <sheetView topLeftCell="A30" zoomScale="110" zoomScaleNormal="110" workbookViewId="0">
      <selection activeCell="G28" sqref="G28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7" x14ac:dyDescent="0.35">
      <c r="A33" s="42" t="s">
        <v>421</v>
      </c>
      <c r="B33" s="43"/>
      <c r="C33" s="43"/>
      <c r="D33" s="43"/>
      <c r="E33" s="43"/>
      <c r="F33" s="44"/>
    </row>
    <row r="34" spans="1:7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7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7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7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7" x14ac:dyDescent="0.35">
      <c r="A38" s="55"/>
      <c r="B38" s="49"/>
      <c r="C38" s="49" t="s">
        <v>15</v>
      </c>
      <c r="D38" s="59" t="s">
        <v>474</v>
      </c>
      <c r="E38" s="49">
        <f>E23</f>
        <v>131.83340888752835</v>
      </c>
      <c r="F38" s="50" t="s">
        <v>239</v>
      </c>
    </row>
    <row r="39" spans="1:7" x14ac:dyDescent="0.35">
      <c r="A39" s="54"/>
      <c r="B39" s="46"/>
      <c r="C39" s="46"/>
      <c r="D39" s="46"/>
      <c r="E39" s="46"/>
      <c r="F39" s="46"/>
      <c r="G39" s="46"/>
    </row>
    <row r="40" spans="1:7" x14ac:dyDescent="0.35">
      <c r="A40" s="46"/>
      <c r="B40" s="46"/>
      <c r="C40" s="46"/>
      <c r="D40" s="46"/>
      <c r="E40" s="46"/>
      <c r="F40" s="4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0"/>
  <sheetViews>
    <sheetView topLeftCell="A22" workbookViewId="0">
      <selection activeCell="E48" sqref="E48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5" x14ac:dyDescent="0.35">
      <c r="A49" s="54"/>
      <c r="B49" s="46"/>
      <c r="C49" s="46"/>
      <c r="D49" s="57"/>
      <c r="E49" s="5"/>
    </row>
    <row r="50" spans="1:5" x14ac:dyDescent="0.35">
      <c r="A50" s="46"/>
      <c r="B50" s="46"/>
      <c r="C50" s="46"/>
      <c r="D50" s="4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41" t="s">
        <v>319</v>
      </c>
      <c r="J2" s="141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5" sqref="E15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f>[3]LCI!$C$26*1000</f>
        <v>-356.39999999999992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</f>
        <v>438.31168831168799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5"/>
  <sheetViews>
    <sheetView topLeftCell="A58" zoomScale="80" zoomScaleNormal="80" workbookViewId="0">
      <selection activeCell="C81" sqref="C81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43" t="s">
        <v>356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44" t="s">
        <v>357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45" t="s">
        <v>412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7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-141.54373963905152</v>
      </c>
      <c r="D35" s="100">
        <f t="shared" ref="D35:AK35" si="2">SUM(D36:D40)</f>
        <v>-37.189590649013006</v>
      </c>
      <c r="E35" s="100">
        <f t="shared" si="2"/>
        <v>-1.9075810792566104E-3</v>
      </c>
      <c r="F35" s="100">
        <f t="shared" si="2"/>
        <v>-5.0120308851712026E-4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-54.172799999999988</v>
      </c>
      <c r="U35" s="100">
        <f t="shared" si="2"/>
        <v>-5.8805999999999994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-229.42147319368993</v>
      </c>
      <c r="AH35" s="100">
        <f t="shared" si="2"/>
        <v>-2.3440596509630048E-3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-148.20304419896524</v>
      </c>
      <c r="D40" s="95">
        <f>LCI_HC!$E13*'IW+_end'!D26</f>
        <v>-42.130039447780383</v>
      </c>
      <c r="E40" s="95">
        <f>LCI_HC!$E13*'IW+_end'!E26</f>
        <v>-1.997328343331255E-3</v>
      </c>
      <c r="F40" s="95">
        <f>LCI_HC!$E13*'IW+_end'!F26</f>
        <v>-5.6778538085726523E-4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-54.172799999999988</v>
      </c>
      <c r="U40" s="95">
        <f>LCI_HC!$E13*'IW+_end'!U26</f>
        <v>-5.8805999999999994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-250.38648364674557</v>
      </c>
      <c r="AH40" s="95">
        <f>LCI_HC!$E13*'IW+_end'!AH26</f>
        <v>-2.5651137242240544E-3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9.875027666282481</v>
      </c>
      <c r="D41" s="98">
        <f t="shared" ref="D41:AC41" si="3">SUM(D42:D45)</f>
        <v>3.3376955514663154</v>
      </c>
      <c r="E41" s="98">
        <f t="shared" si="3"/>
        <v>1.3308547577853331E-4</v>
      </c>
      <c r="F41" s="98">
        <f t="shared" si="3"/>
        <v>4.498203098584436E-5</v>
      </c>
      <c r="G41" s="98">
        <f t="shared" si="3"/>
        <v>6.5378740004241354E-17</v>
      </c>
      <c r="H41" s="98">
        <f t="shared" si="3"/>
        <v>0.2046115945425323</v>
      </c>
      <c r="I41" s="98">
        <f t="shared" si="3"/>
        <v>2.1024818448679872</v>
      </c>
      <c r="J41" s="98">
        <f t="shared" si="3"/>
        <v>0.51323164662653831</v>
      </c>
      <c r="K41" s="98">
        <f t="shared" si="3"/>
        <v>1.1376462559755478E-2</v>
      </c>
      <c r="L41" s="98">
        <f t="shared" si="3"/>
        <v>1.1450731018120105E-7</v>
      </c>
      <c r="M41" s="98">
        <f t="shared" si="3"/>
        <v>5.827172399897369E-6</v>
      </c>
      <c r="N41" s="98">
        <f t="shared" si="3"/>
        <v>3.7209261526484251E-6</v>
      </c>
      <c r="O41" s="98">
        <f t="shared" si="3"/>
        <v>3.9267873321452929E-6</v>
      </c>
      <c r="P41" s="98">
        <f t="shared" si="3"/>
        <v>6.0812760615196873E-9</v>
      </c>
      <c r="Q41" s="98">
        <f t="shared" si="3"/>
        <v>8.6457444015782077E-8</v>
      </c>
      <c r="R41" s="98">
        <f t="shared" si="3"/>
        <v>0.64540205679489793</v>
      </c>
      <c r="S41" s="98">
        <f t="shared" si="3"/>
        <v>2.2430255910703742</v>
      </c>
      <c r="T41" s="98">
        <f t="shared" si="3"/>
        <v>3.4321452653022959</v>
      </c>
      <c r="U41" s="98">
        <f t="shared" si="3"/>
        <v>0.37256712244254886</v>
      </c>
      <c r="V41" s="98">
        <f t="shared" si="3"/>
        <v>7.5889110382084268E-6</v>
      </c>
      <c r="W41" s="98">
        <f t="shared" si="3"/>
        <v>9.343549260478693E-6</v>
      </c>
      <c r="X41" s="98">
        <f t="shared" si="3"/>
        <v>5.4007808162823127E-2</v>
      </c>
      <c r="Y41" s="98">
        <f t="shared" si="3"/>
        <v>9.6094779847868126E-10</v>
      </c>
      <c r="Z41" s="98">
        <f t="shared" si="3"/>
        <v>1.7448064879082395E-5</v>
      </c>
      <c r="AA41" s="98">
        <f t="shared" si="3"/>
        <v>0.56707140787607058</v>
      </c>
      <c r="AB41" s="98">
        <f t="shared" si="3"/>
        <v>5.5969756855648734E-8</v>
      </c>
      <c r="AC41" s="98">
        <f t="shared" si="3"/>
        <v>1.6169154907151457</v>
      </c>
      <c r="AD41" s="98">
        <f t="shared" ref="AD41" si="4">SUM(AD42:AD45)</f>
        <v>0.27699717528794032</v>
      </c>
      <c r="AE41" s="98">
        <f t="shared" ref="AE41" si="5">SUM(AE42:AE45)</f>
        <v>0.34103954800747222</v>
      </c>
      <c r="AF41" s="98">
        <f t="shared" ref="AF41" si="6">SUM(AF42:AF45)</f>
        <v>5.123599148485097E-3</v>
      </c>
      <c r="AG41" s="98">
        <f t="shared" ref="AG41" si="7">SUM(AG42:AG45)</f>
        <v>25.664447052442327</v>
      </c>
      <c r="AH41" s="98">
        <f t="shared" ref="AH41" si="8">SUM(AH42:AH45)</f>
        <v>2.5461623353061253E-4</v>
      </c>
      <c r="AI41" s="98">
        <f t="shared" ref="AI41" si="9">SUM(AI42:AI45)</f>
        <v>3.7143435888912726E-4</v>
      </c>
      <c r="AJ41" s="98">
        <f t="shared" ref="AJ41" si="10">SUM(AJ42:AJ45)</f>
        <v>4.5367880543610386E-5</v>
      </c>
      <c r="AK41" s="98">
        <f t="shared" ref="AK41" si="11">SUM(AK42:AK45)</f>
        <v>6.5338848388217796E-2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1.4171481525808212</v>
      </c>
      <c r="D45" s="93">
        <f>LCI_HC!$E18*'IW+_end'!D31</f>
        <v>0.64659756073855257</v>
      </c>
      <c r="E45" s="93">
        <f>LCI_HC!$E18*'IW+_end'!E31</f>
        <v>1.9098866606607546E-5</v>
      </c>
      <c r="F45" s="93">
        <f>LCI_HC!$E18*'IW+_end'!F31</f>
        <v>8.7141775108083831E-6</v>
      </c>
      <c r="G45" s="93">
        <f>LCI_HC!$E18*'IW+_end'!G31</f>
        <v>8.478765342216783E-19</v>
      </c>
      <c r="H45" s="93">
        <f>LCI_HC!$E18*'IW+_end'!H31</f>
        <v>2.9090268836196535E-2</v>
      </c>
      <c r="I45" s="93">
        <f>LCI_HC!$E18*'IW+_end'!I31</f>
        <v>0.33094813384326949</v>
      </c>
      <c r="J45" s="93">
        <f>LCI_HC!$E18*'IW+_end'!J31</f>
        <v>0.13650474029293855</v>
      </c>
      <c r="K45" s="93">
        <f>LCI_HC!$E18*'IW+_end'!K31</f>
        <v>1.5764303063821406E-4</v>
      </c>
      <c r="L45" s="93">
        <f>LCI_HC!$E18*'IW+_end'!L31</f>
        <v>1.8783868592322231E-8</v>
      </c>
      <c r="M45" s="93">
        <f>LCI_HC!$E18*'IW+_end'!M31</f>
        <v>1.4075544532012384E-6</v>
      </c>
      <c r="N45" s="93">
        <f>LCI_HC!$E18*'IW+_end'!N31</f>
        <v>5.9696055144129051E-7</v>
      </c>
      <c r="O45" s="93">
        <f>LCI_HC!$E18*'IW+_end'!O31</f>
        <v>4.9935347477333678E-7</v>
      </c>
      <c r="P45" s="93">
        <f>LCI_HC!$E18*'IW+_end'!P31</f>
        <v>4.4553377759569509E-9</v>
      </c>
      <c r="Q45" s="93">
        <f>LCI_HC!$E18*'IW+_end'!Q31</f>
        <v>5.6108248201479414E-8</v>
      </c>
      <c r="R45" s="93">
        <f>LCI_HC!$E18*'IW+_end'!R31</f>
        <v>0.33149849059133646</v>
      </c>
      <c r="S45" s="93">
        <f>LCI_HC!$E18*'IW+_end'!S31</f>
        <v>1.7190484845838159</v>
      </c>
      <c r="T45" s="93">
        <f>LCI_HC!$E18*'IW+_end'!T31</f>
        <v>0.47912649603472901</v>
      </c>
      <c r="U45" s="93">
        <f>LCI_HC!$E18*'IW+_end'!U31</f>
        <v>5.2010033482350788E-2</v>
      </c>
      <c r="V45" s="93">
        <f>LCI_HC!$E18*'IW+_end'!V31</f>
        <v>1.202599931283647E-6</v>
      </c>
      <c r="W45" s="93">
        <f>LCI_HC!$E18*'IW+_end'!W31</f>
        <v>8.0272893195946268E-7</v>
      </c>
      <c r="X45" s="93">
        <f>LCI_HC!$E18*'IW+_end'!X31</f>
        <v>6.3708391647308137E-3</v>
      </c>
      <c r="Y45" s="93">
        <f>LCI_HC!$E18*'IW+_end'!Y31</f>
        <v>8.5534129227051785E-11</v>
      </c>
      <c r="Z45" s="93">
        <f>LCI_HC!$E18*'IW+_end'!Z31</f>
        <v>3.0435201438517455E-6</v>
      </c>
      <c r="AA45" s="93">
        <f>LCI_HC!$E18*'IW+_end'!AA31</f>
        <v>0.189366719614595</v>
      </c>
      <c r="AB45" s="93">
        <f>LCI_HC!$E18*'IW+_end'!AB31</f>
        <v>1.9174457000970975E-8</v>
      </c>
      <c r="AC45" s="93">
        <f>LCI_HC!$E18*'IW+_end'!AC31</f>
        <v>0.21122628665338591</v>
      </c>
      <c r="AD45" s="93">
        <f>LCI_HC!$E18*'IW+_end'!AD31</f>
        <v>4.3895488787215484E-2</v>
      </c>
      <c r="AE45" s="93">
        <f>LCI_HC!$E18*'IW+_end'!AE31</f>
        <v>2.9299606016520385E-2</v>
      </c>
      <c r="AF45" s="93">
        <f>LCI_HC!$E18*'IW+_end'!AF31</f>
        <v>3.4437639241628941E-3</v>
      </c>
      <c r="AG45" s="93">
        <f>LCI_HC!$E18*'IW+_end'!AG31</f>
        <v>5.6903666389867089</v>
      </c>
      <c r="AH45" s="93">
        <f>LCI_HC!$E18*'IW+_end'!AH31</f>
        <v>4.7190490588378698E-5</v>
      </c>
      <c r="AI45" s="93">
        <f>LCI_HC!$E18*'IW+_end'!AI31</f>
        <v>1.1245813736678375E-4</v>
      </c>
      <c r="AJ45" s="93">
        <f>LCI_HC!$E18*'IW+_end'!AJ31</f>
        <v>1.3735905739770897E-5</v>
      </c>
      <c r="AK45" s="93">
        <f>LCI_HC!$E18*'IW+_end'!AK31</f>
        <v>6.4519462889885068E-2</v>
      </c>
    </row>
    <row r="48" spans="1:45" x14ac:dyDescent="0.35">
      <c r="A48" s="148" t="s">
        <v>416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12">SUM(D51:D54)</f>
        <v>34.264521044421535</v>
      </c>
      <c r="E50" s="103">
        <f t="shared" si="12"/>
        <v>89.514107231873453</v>
      </c>
      <c r="F50" s="103">
        <f t="shared" si="12"/>
        <v>5.9796920433079305E-2</v>
      </c>
      <c r="G50" s="103">
        <f t="shared" si="12"/>
        <v>1068.2938482575864</v>
      </c>
      <c r="H50" s="103">
        <f t="shared" si="12"/>
        <v>5.4928819760052339E-3</v>
      </c>
      <c r="I50" s="103">
        <f t="shared" si="12"/>
        <v>1.1845593347515277E-7</v>
      </c>
      <c r="J50" s="103">
        <f t="shared" si="12"/>
        <v>3.3416997257882508E-7</v>
      </c>
      <c r="K50" s="103">
        <f t="shared" si="12"/>
        <v>62.686182837702539</v>
      </c>
      <c r="L50" s="103">
        <f t="shared" si="12"/>
        <v>47.760527586652962</v>
      </c>
      <c r="M50" s="103">
        <f t="shared" si="12"/>
        <v>1.4790737915970755E-3</v>
      </c>
      <c r="N50" s="103">
        <f t="shared" si="12"/>
        <v>6.1641200705524367E-3</v>
      </c>
      <c r="O50" s="103">
        <f t="shared" si="12"/>
        <v>0.12165404826242537</v>
      </c>
      <c r="P50" s="103">
        <f t="shared" si="12"/>
        <v>1.2900047598784607E-7</v>
      </c>
      <c r="Q50" s="103">
        <f t="shared" si="12"/>
        <v>1.0600960411111802E-2</v>
      </c>
      <c r="R50" s="103">
        <f t="shared" si="12"/>
        <v>2.6497913152830455E-2</v>
      </c>
      <c r="S50" s="103">
        <f t="shared" si="12"/>
        <v>0.12585702842084132</v>
      </c>
      <c r="T50" s="103">
        <f t="shared" si="12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-325.88789274720301</v>
      </c>
      <c r="D55" s="105">
        <f t="shared" ref="D55:T55" si="13">SUM(D56:D60)</f>
        <v>-320.64976274672284</v>
      </c>
      <c r="E55" s="105">
        <f t="shared" si="13"/>
        <v>0</v>
      </c>
      <c r="F55" s="105">
        <f t="shared" si="13"/>
        <v>0.25353511248508054</v>
      </c>
      <c r="G55" s="105">
        <f t="shared" si="13"/>
        <v>0</v>
      </c>
      <c r="H55" s="105">
        <f t="shared" si="13"/>
        <v>-8.1278569907775836E-2</v>
      </c>
      <c r="I55" s="105">
        <f t="shared" si="13"/>
        <v>0</v>
      </c>
      <c r="J55" s="105">
        <f t="shared" si="13"/>
        <v>0</v>
      </c>
      <c r="K55" s="105">
        <f t="shared" si="13"/>
        <v>0</v>
      </c>
      <c r="L55" s="105">
        <f t="shared" si="13"/>
        <v>0</v>
      </c>
      <c r="M55" s="105">
        <f t="shared" si="13"/>
        <v>0</v>
      </c>
      <c r="N55" s="105">
        <f t="shared" si="13"/>
        <v>3.1036834101818287</v>
      </c>
      <c r="O55" s="105">
        <f t="shared" si="13"/>
        <v>0</v>
      </c>
      <c r="P55" s="105">
        <f t="shared" si="13"/>
        <v>0</v>
      </c>
      <c r="Q55" s="105">
        <f t="shared" si="13"/>
        <v>4.7327131011583014E-2</v>
      </c>
      <c r="R55" s="105">
        <f t="shared" si="13"/>
        <v>0</v>
      </c>
      <c r="S55" s="105">
        <f t="shared" si="13"/>
        <v>0.61801098227056317</v>
      </c>
      <c r="T55" s="105">
        <f t="shared" si="13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-356.39999999999992</v>
      </c>
      <c r="D60" s="86">
        <f>LCI_HC!$E13*'IW+_mid'!D26</f>
        <v>-356.39999999999992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25.059377839664744</v>
      </c>
      <c r="D61" s="103">
        <f t="shared" ref="D61:T61" si="14">SUM(D62:D65)</f>
        <v>29.25339567634315</v>
      </c>
      <c r="E61" s="103">
        <f t="shared" si="14"/>
        <v>4761.6247250279694</v>
      </c>
      <c r="F61" s="103">
        <f t="shared" si="14"/>
        <v>8.7014371809955776E-2</v>
      </c>
      <c r="G61" s="103">
        <f t="shared" si="14"/>
        <v>4702.4726258787796</v>
      </c>
      <c r="H61" s="103">
        <f t="shared" si="14"/>
        <v>3.6376537292481343E-3</v>
      </c>
      <c r="I61" s="103">
        <f t="shared" si="14"/>
        <v>5.1666780087639719E-7</v>
      </c>
      <c r="J61" s="103">
        <f t="shared" si="14"/>
        <v>2.8324864758495259E-6</v>
      </c>
      <c r="K61" s="103">
        <f t="shared" si="14"/>
        <v>411.70211436086709</v>
      </c>
      <c r="L61" s="103">
        <f t="shared" si="14"/>
        <v>0.97946903189309087</v>
      </c>
      <c r="M61" s="103">
        <f t="shared" si="14"/>
        <v>1.39782829062268E-2</v>
      </c>
      <c r="N61" s="103">
        <f t="shared" si="14"/>
        <v>6.1723209328940721E-3</v>
      </c>
      <c r="O61" s="103">
        <f t="shared" si="14"/>
        <v>0.81501741515232096</v>
      </c>
      <c r="P61" s="103">
        <f t="shared" si="14"/>
        <v>7.1712522274528449E-7</v>
      </c>
      <c r="Q61" s="103">
        <f t="shared" si="14"/>
        <v>1.2758177158367188E-2</v>
      </c>
      <c r="R61" s="103">
        <f t="shared" si="14"/>
        <v>6.1505227313899707E-2</v>
      </c>
      <c r="S61" s="103">
        <f t="shared" si="14"/>
        <v>0.11338463887488935</v>
      </c>
      <c r="T61" s="103">
        <f t="shared" si="14"/>
        <v>46.338316491067204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3.7994598894504699</v>
      </c>
      <c r="D65" s="84">
        <f>LCI_HC!$E18*'IW+_mid'!D31</f>
        <v>6.2610701545778342</v>
      </c>
      <c r="E65" s="84">
        <f>LCI_HC!$E18*'IW+_mid'!E31</f>
        <v>4414.6904945370943</v>
      </c>
      <c r="F65" s="84">
        <f>LCI_HC!$E18*'IW+_mid'!F31</f>
        <v>1.332628082825774E-2</v>
      </c>
      <c r="G65" s="84">
        <f>LCI_HC!$E18*'IW+_mid'!G31</f>
        <v>837.76569236604564</v>
      </c>
      <c r="H65" s="84">
        <f>LCI_HC!$E18*'IW+_mid'!H31</f>
        <v>5.040677234061083E-5</v>
      </c>
      <c r="I65" s="84">
        <f>LCI_HC!$E18*'IW+_mid'!I31</f>
        <v>1.2402941928639649E-7</v>
      </c>
      <c r="J65" s="84">
        <f>LCI_HC!$E18*'IW+_mid'!J31</f>
        <v>4.0604223193134332E-7</v>
      </c>
      <c r="K65" s="84">
        <f>LCI_HC!$E18*'IW+_mid'!K31</f>
        <v>267.18213429275914</v>
      </c>
      <c r="L65" s="84">
        <f>LCI_HC!$E18*'IW+_mid'!L31</f>
        <v>0.50308563822364916</v>
      </c>
      <c r="M65" s="84">
        <f>LCI_HC!$E18*'IW+_mid'!M31</f>
        <v>1.0712916581378015E-2</v>
      </c>
      <c r="N65" s="84">
        <f>LCI_HC!$E18*'IW+_mid'!N31</f>
        <v>7.2809590454066459E-4</v>
      </c>
      <c r="O65" s="84">
        <f>LCI_HC!$E18*'IW+_mid'!O31</f>
        <v>0.15212011260480582</v>
      </c>
      <c r="P65" s="84">
        <f>LCI_HC!$E18*'IW+_mid'!P31</f>
        <v>6.3831439721680437E-8</v>
      </c>
      <c r="Q65" s="84">
        <f>LCI_HC!$E18*'IW+_mid'!Q31</f>
        <v>2.2254484637359881E-3</v>
      </c>
      <c r="R65" s="84">
        <f>LCI_HC!$E18*'IW+_mid'!R31</f>
        <v>2.1070831869198878E-2</v>
      </c>
      <c r="S65" s="84">
        <f>LCI_HC!$E18*'IW+_mid'!S31</f>
        <v>1.4610216025188135E-2</v>
      </c>
      <c r="T65" s="84">
        <f>LCI_HC!$E18*'IW+_mid'!T31</f>
        <v>14.029721905327388</v>
      </c>
    </row>
    <row r="68" spans="1:20" x14ac:dyDescent="0.35">
      <c r="A68" s="142" t="s">
        <v>417</v>
      </c>
      <c r="B68" s="142"/>
      <c r="C68" s="142"/>
      <c r="D68" s="142"/>
      <c r="E68" s="142"/>
      <c r="F68" s="142"/>
      <c r="G68" s="142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 t="shared" ref="D70:G70" si="15">SUM(D71:D74)</f>
        <v>34.167498478606134</v>
      </c>
      <c r="E70" s="107">
        <f t="shared" si="15"/>
        <v>89.514107231873453</v>
      </c>
      <c r="F70" s="107">
        <f t="shared" si="15"/>
        <v>1.6236575906408505E-5</v>
      </c>
      <c r="G70" s="107">
        <f t="shared" si="15"/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-320.64976274672284</v>
      </c>
      <c r="D75" s="107">
        <f t="shared" ref="D75:G75" si="16">SUM(D76:D80)</f>
        <v>30.383219957911656</v>
      </c>
      <c r="E75" s="107">
        <f t="shared" si="16"/>
        <v>0</v>
      </c>
      <c r="F75" s="107">
        <f t="shared" si="16"/>
        <v>6.4724516847563201E-5</v>
      </c>
      <c r="G75" s="107">
        <f t="shared" si="16"/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-356.39999999999992</v>
      </c>
      <c r="D80" s="77">
        <f>LCI_HC!$E13*'IW+f'!D26</f>
        <v>-5.8805999999999994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29.25339567634315</v>
      </c>
      <c r="D81" s="107">
        <f t="shared" ref="D81:G81" si="17">SUM(D82:D85)</f>
        <v>6.5743816775771826</v>
      </c>
      <c r="E81" s="107">
        <f t="shared" si="17"/>
        <v>4761.6247250279694</v>
      </c>
      <c r="F81" s="107">
        <f t="shared" si="17"/>
        <v>2.7345412759794961E-5</v>
      </c>
      <c r="G81" s="107">
        <f t="shared" si="17"/>
        <v>46.338316491067204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6.2610701545778342</v>
      </c>
      <c r="D85" s="76">
        <f>LCI_HC!$E18*'IW+f'!D31</f>
        <v>2.7080176833749428</v>
      </c>
      <c r="E85" s="76">
        <f>LCI_HC!$E18*'IW+f'!E31</f>
        <v>4414.6904945370943</v>
      </c>
      <c r="F85" s="76">
        <f>LCI_HC!$E18*'IW+f'!F31</f>
        <v>5.0257963111579954E-6</v>
      </c>
      <c r="G85" s="76">
        <f>LCI_HC!$E18*'IW+f'!G31</f>
        <v>14.029721905327388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G79"/>
  <sheetViews>
    <sheetView workbookViewId="0">
      <selection activeCell="C42" sqref="C42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8" t="s">
        <v>420</v>
      </c>
      <c r="B3" s="139"/>
      <c r="C3" s="139"/>
      <c r="D3" s="139"/>
      <c r="E3" s="139"/>
      <c r="F3" s="139"/>
      <c r="G3" s="140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 t="shared" ref="D5:G5" si="0">SUM(D6,D9,D12,D16,D25)</f>
        <v>5.7126690238664333</v>
      </c>
      <c r="E5" s="112">
        <f t="shared" si="0"/>
        <v>603.93844484610645</v>
      </c>
      <c r="F5" s="112">
        <f t="shared" si="0"/>
        <v>9.9635855944950542E-5</v>
      </c>
      <c r="G5" s="112">
        <f t="shared" si="0"/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 t="shared" ref="D25:G25" si="5">D26</f>
        <v>0</v>
      </c>
      <c r="E25" s="115">
        <f t="shared" si="5"/>
        <v>0</v>
      </c>
      <c r="F25" s="115">
        <f t="shared" si="5"/>
        <v>0</v>
      </c>
      <c r="G25" s="115">
        <f t="shared" si="5"/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-96.310982618440732</v>
      </c>
      <c r="D27" s="115">
        <f t="shared" ref="D27:G27" si="6">SUM(D28:D32)</f>
        <v>108.30291146722087</v>
      </c>
      <c r="E27" s="115">
        <f t="shared" si="6"/>
        <v>0</v>
      </c>
      <c r="F27" s="115">
        <f t="shared" si="6"/>
        <v>7.6801640589139021E-4</v>
      </c>
      <c r="G27" s="115">
        <f t="shared" si="6"/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-115.3519213234084</v>
      </c>
      <c r="D32" s="120">
        <f>'LCI_AD-a'!$E34*'IW+f'!D26</f>
        <v>-1.9033067018362388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7" x14ac:dyDescent="0.35">
      <c r="A33" s="113" t="s">
        <v>421</v>
      </c>
      <c r="B33" s="114"/>
      <c r="C33" s="115">
        <f>SUM(C34:C39)</f>
        <v>150.41016773502997</v>
      </c>
      <c r="D33" s="115">
        <f t="shared" ref="D33:G33" si="7">SUM(D34:D39)</f>
        <v>85.371201506429799</v>
      </c>
      <c r="E33" s="115">
        <f t="shared" si="7"/>
        <v>3816.0957426406685</v>
      </c>
      <c r="F33" s="115">
        <f t="shared" si="7"/>
        <v>1.0274475055664322E-3</v>
      </c>
      <c r="G33" s="115">
        <f t="shared" si="7"/>
        <v>131.11963414948895</v>
      </c>
    </row>
    <row r="34" spans="1: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7" x14ac:dyDescent="0.35">
      <c r="A37" s="114"/>
      <c r="B37" s="114" t="s">
        <v>231</v>
      </c>
      <c r="C37" s="117">
        <f>'LCI_AD-a'!$E39*'IW+f'!C31</f>
        <v>2.2516101504900958</v>
      </c>
      <c r="D37" s="117">
        <f>'LCI_AD-a'!$E39*'IW+f'!D31</f>
        <v>0.97385909326307918</v>
      </c>
      <c r="E37" s="117">
        <f>'LCI_AD-a'!$E39*'IW+f'!E31</f>
        <v>1587.6138876201587</v>
      </c>
      <c r="F37" s="117">
        <f>'LCI_AD-a'!$E39*'IW+f'!F31</f>
        <v>1.8073801617164658E-6</v>
      </c>
      <c r="G37" s="117">
        <f>'LCI_AD-a'!$E39*'IW+f'!G31</f>
        <v>5.045377782181772</v>
      </c>
    </row>
    <row r="38" spans="1:7" x14ac:dyDescent="0.35">
      <c r="A38" s="114"/>
      <c r="B38" s="114" t="s">
        <v>423</v>
      </c>
      <c r="C38" s="114">
        <f>'LCI_AD-a'!$E40*'IW+f'!C39</f>
        <v>68.755804233899894</v>
      </c>
      <c r="D38" s="114">
        <f>'LCI_AD-a'!$E40*'IW+f'!D39</f>
        <v>43.543627672640632</v>
      </c>
      <c r="E38" s="114">
        <f>'LCI_AD-a'!$E40*'IW+f'!E39</f>
        <v>1051.5512827210114</v>
      </c>
      <c r="F38" s="114">
        <f>'LCI_AD-a'!$E40*'IW+f'!F39</f>
        <v>8.4620914392196842E-4</v>
      </c>
      <c r="G38" s="114">
        <f>'LCI_AD-a'!$E40*'IW+f'!G39</f>
        <v>24.05779869139641</v>
      </c>
    </row>
    <row r="39" spans="1:7" x14ac:dyDescent="0.35">
      <c r="A39" s="114"/>
      <c r="B39" s="114" t="s">
        <v>424</v>
      </c>
      <c r="C39" s="114">
        <f>'LCI_AD-a'!$E41*'IW+f'!C37</f>
        <v>19.064442565614353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1" spans="1:7" x14ac:dyDescent="0.35">
      <c r="C41" s="149">
        <f>C5+C27-C33</f>
        <v>-115.82131516643992</v>
      </c>
    </row>
    <row r="44" spans="1:7" x14ac:dyDescent="0.35">
      <c r="A44" t="s">
        <v>0</v>
      </c>
    </row>
    <row r="45" spans="1:7" x14ac:dyDescent="0.35">
      <c r="A45" t="s">
        <v>6</v>
      </c>
    </row>
    <row r="46" spans="1:7" x14ac:dyDescent="0.35">
      <c r="A46" t="s">
        <v>5</v>
      </c>
    </row>
    <row r="47" spans="1:7" x14ac:dyDescent="0.35">
      <c r="B47" t="s">
        <v>249</v>
      </c>
    </row>
    <row r="48" spans="1:7" x14ac:dyDescent="0.35">
      <c r="B48" t="s">
        <v>250</v>
      </c>
    </row>
    <row r="49" spans="1:2" x14ac:dyDescent="0.35">
      <c r="A49" t="s">
        <v>235</v>
      </c>
    </row>
    <row r="50" spans="1:2" x14ac:dyDescent="0.35">
      <c r="B50" t="s">
        <v>286</v>
      </c>
    </row>
    <row r="51" spans="1:2" x14ac:dyDescent="0.35">
      <c r="B51" t="s">
        <v>235</v>
      </c>
    </row>
    <row r="52" spans="1:2" x14ac:dyDescent="0.35">
      <c r="A52" t="s">
        <v>6</v>
      </c>
    </row>
    <row r="53" spans="1:2" x14ac:dyDescent="0.35">
      <c r="B53" t="s">
        <v>8</v>
      </c>
    </row>
    <row r="54" spans="1:2" x14ac:dyDescent="0.35">
      <c r="B54" t="s">
        <v>18</v>
      </c>
    </row>
    <row r="55" spans="1:2" x14ac:dyDescent="0.35">
      <c r="B55" t="s">
        <v>96</v>
      </c>
    </row>
    <row r="56" spans="1:2" x14ac:dyDescent="0.35">
      <c r="A56" t="s">
        <v>7</v>
      </c>
    </row>
    <row r="57" spans="1:2" x14ac:dyDescent="0.35">
      <c r="B57" t="s">
        <v>50</v>
      </c>
    </row>
    <row r="58" spans="1:2" x14ac:dyDescent="0.35">
      <c r="B58" t="s">
        <v>51</v>
      </c>
    </row>
    <row r="59" spans="1:2" x14ac:dyDescent="0.35">
      <c r="B59" t="s">
        <v>52</v>
      </c>
    </row>
    <row r="60" spans="1:2" x14ac:dyDescent="0.35">
      <c r="B60" t="s">
        <v>53</v>
      </c>
    </row>
    <row r="61" spans="1:2" x14ac:dyDescent="0.35">
      <c r="B61" t="s">
        <v>54</v>
      </c>
    </row>
    <row r="62" spans="1:2" x14ac:dyDescent="0.35">
      <c r="B62" t="s">
        <v>55</v>
      </c>
    </row>
    <row r="63" spans="1:2" x14ac:dyDescent="0.35">
      <c r="B63" t="s">
        <v>58</v>
      </c>
    </row>
    <row r="64" spans="1:2" x14ac:dyDescent="0.35">
      <c r="B64" t="s">
        <v>59</v>
      </c>
    </row>
    <row r="65" spans="1:2" x14ac:dyDescent="0.35">
      <c r="A65" t="s">
        <v>100</v>
      </c>
    </row>
    <row r="66" spans="1:2" x14ac:dyDescent="0.35">
      <c r="B66" t="s">
        <v>96</v>
      </c>
    </row>
    <row r="67" spans="1:2" x14ac:dyDescent="0.35">
      <c r="A67" t="s">
        <v>108</v>
      </c>
    </row>
    <row r="68" spans="1:2" x14ac:dyDescent="0.35">
      <c r="B68" t="s">
        <v>111</v>
      </c>
    </row>
    <row r="69" spans="1:2" x14ac:dyDescent="0.35">
      <c r="B69" t="s">
        <v>110</v>
      </c>
    </row>
    <row r="70" spans="1:2" x14ac:dyDescent="0.35">
      <c r="B70" t="s">
        <v>114</v>
      </c>
    </row>
    <row r="71" spans="1:2" x14ac:dyDescent="0.35">
      <c r="B71" t="s">
        <v>414</v>
      </c>
    </row>
    <row r="72" spans="1:2" x14ac:dyDescent="0.35">
      <c r="B72" t="s">
        <v>415</v>
      </c>
    </row>
    <row r="73" spans="1:2" x14ac:dyDescent="0.35">
      <c r="A73" t="s">
        <v>421</v>
      </c>
    </row>
    <row r="74" spans="1:2" x14ac:dyDescent="0.35">
      <c r="B74" t="s">
        <v>228</v>
      </c>
    </row>
    <row r="75" spans="1:2" x14ac:dyDescent="0.35">
      <c r="B75" t="s">
        <v>230</v>
      </c>
    </row>
    <row r="76" spans="1:2" x14ac:dyDescent="0.35">
      <c r="B76" t="s">
        <v>229</v>
      </c>
    </row>
    <row r="77" spans="1:2" x14ac:dyDescent="0.35">
      <c r="B77" t="s">
        <v>231</v>
      </c>
    </row>
    <row r="78" spans="1:2" x14ac:dyDescent="0.35">
      <c r="B78" t="s">
        <v>423</v>
      </c>
    </row>
    <row r="79" spans="1:2" x14ac:dyDescent="0.35">
      <c r="B79" t="s">
        <v>424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G50"/>
  <sheetViews>
    <sheetView tabSelected="1" topLeftCell="A40" workbookViewId="0">
      <selection activeCell="C51" sqref="C51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38" t="s">
        <v>420</v>
      </c>
      <c r="B3" s="139"/>
      <c r="C3" s="139"/>
      <c r="D3" s="139"/>
      <c r="E3" s="139"/>
      <c r="F3" s="139"/>
      <c r="G3" s="140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 t="shared" ref="D5:G5" si="0">SUM(D6,D9,D12,D16,D25,D28)</f>
        <v>11.454434553539775</v>
      </c>
      <c r="E5" s="124">
        <f t="shared" si="0"/>
        <v>690.22819482932391</v>
      </c>
      <c r="F5" s="124">
        <f t="shared" si="0"/>
        <v>1.3649692582535277E-4</v>
      </c>
      <c r="G5" s="124">
        <f t="shared" si="0"/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 t="shared" ref="D16:G16" si="4">SUM(D17:D24)</f>
        <v>1.0301218230556968</v>
      </c>
      <c r="E16" s="115">
        <f t="shared" si="4"/>
        <v>0</v>
      </c>
      <c r="F16" s="115">
        <f t="shared" si="4"/>
        <v>1.4080267504153357E-5</v>
      </c>
      <c r="G16" s="115">
        <f t="shared" si="4"/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 t="shared" ref="D25:G25" si="5">SUM(D26:D27)</f>
        <v>0.2039705679908648</v>
      </c>
      <c r="E25" s="115">
        <f t="shared" si="5"/>
        <v>24.618325729257286</v>
      </c>
      <c r="F25" s="115">
        <f t="shared" si="5"/>
        <v>4.0335814055722942E-7</v>
      </c>
      <c r="G25" s="115">
        <f t="shared" si="5"/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 t="shared" ref="D28:G28" si="6">SUM(D29:D35)</f>
        <v>5.5377949616824766</v>
      </c>
      <c r="E28" s="115">
        <f t="shared" si="6"/>
        <v>61.671424253960097</v>
      </c>
      <c r="F28" s="115">
        <f t="shared" si="6"/>
        <v>3.6457711739845012E-5</v>
      </c>
      <c r="G28" s="115">
        <f t="shared" si="6"/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-27.214300839017277</v>
      </c>
      <c r="D36" s="115">
        <f t="shared" ref="D36:G36" si="7">SUM(D37:D41)</f>
        <v>7.1951540722679077</v>
      </c>
      <c r="E36" s="115">
        <f t="shared" si="7"/>
        <v>0</v>
      </c>
      <c r="F36" s="115">
        <f t="shared" si="7"/>
        <v>1.4004955712866033E-5</v>
      </c>
      <c r="G36" s="115">
        <f t="shared" si="7"/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-30.816321150470795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118.29547925942495</v>
      </c>
      <c r="D42" s="115">
        <f t="shared" ref="D42:G42" si="8">SUM(D43:D48)</f>
        <v>77.082758257122848</v>
      </c>
      <c r="E42" s="115">
        <f t="shared" si="8"/>
        <v>2168.7166832788366</v>
      </c>
      <c r="F42" s="115">
        <f t="shared" si="8"/>
        <v>9.7753360544974074E-4</v>
      </c>
      <c r="G42" s="115">
        <f t="shared" si="8"/>
        <v>86.192120045715455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0.60151873247630161</v>
      </c>
      <c r="D46" s="114">
        <f>'LCI_AD-b'!$E49*'IW+f'!D31</f>
        <v>0.26016692421759646</v>
      </c>
      <c r="E46" s="114">
        <f>'LCI_AD-b'!$E49*'IW+f'!E31</f>
        <v>424.13181213239164</v>
      </c>
      <c r="F46" s="114">
        <f>'LCI_AD-b'!$E49*'IW+f'!F31</f>
        <v>4.8284247774503164E-7</v>
      </c>
      <c r="G46" s="114">
        <f>'LCI_AD-b'!$E49*'IW+f'!G31</f>
        <v>1.3478750962911963</v>
      </c>
    </row>
    <row r="47" spans="1:7" x14ac:dyDescent="0.35">
      <c r="A47" s="114"/>
      <c r="B47" s="114" t="s">
        <v>423</v>
      </c>
      <c r="C47" s="114">
        <f>'LCI_AD-b'!$E50*'IW+f'!C39</f>
        <v>68.755804233899894</v>
      </c>
      <c r="D47" s="114">
        <f>'LCI_AD-b'!$E50*'IW+f'!D39</f>
        <v>43.543627672640632</v>
      </c>
      <c r="E47" s="114">
        <f>'LCI_AD-b'!$E50*'IW+f'!E39</f>
        <v>1051.5512827210114</v>
      </c>
      <c r="F47" s="114">
        <f>'LCI_AD-b'!$E50*'IW+f'!F39</f>
        <v>8.4620914392196842E-4</v>
      </c>
      <c r="G47" s="114">
        <f>'LCI_AD-b'!$E50*'IW+f'!G39</f>
        <v>24.05779869139641</v>
      </c>
    </row>
    <row r="48" spans="1:7" x14ac:dyDescent="0.35">
      <c r="A48" s="114"/>
      <c r="B48" s="114" t="s">
        <v>424</v>
      </c>
      <c r="C48" s="114">
        <f>'LCI_AD-b'!$E51*'IW+f'!C37</f>
        <v>19.064442565614353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50" spans="3:3" x14ac:dyDescent="0.35">
      <c r="C50" s="149">
        <f>C5+C36-C42</f>
        <v>-30.473917845992673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G38"/>
  <sheetViews>
    <sheetView zoomScale="85" workbookViewId="0">
      <selection activeCell="O14" sqref="O14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8" t="s">
        <v>420</v>
      </c>
      <c r="B3" s="139"/>
      <c r="C3" s="139"/>
      <c r="D3" s="139"/>
      <c r="E3" s="139"/>
      <c r="F3" s="139"/>
      <c r="G3" s="140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 t="shared" ref="D5:G5" si="0">SUM(D6,D9,D12,D16,D25,D28)</f>
        <v>113.02127048900029</v>
      </c>
      <c r="E5" s="124">
        <f t="shared" si="0"/>
        <v>1685.6231131897757</v>
      </c>
      <c r="F5" s="124">
        <f t="shared" si="0"/>
        <v>8.996278558339912E-4</v>
      </c>
      <c r="G5" s="124">
        <f t="shared" si="0"/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 t="shared" ref="D6:G6" si="1">SUM(D7:D8)</f>
        <v>0.11916920601637257</v>
      </c>
      <c r="E6" s="115">
        <f t="shared" si="1"/>
        <v>116.96082759610819</v>
      </c>
      <c r="F6" s="115">
        <f t="shared" si="1"/>
        <v>7.7420482538410759E-7</v>
      </c>
      <c r="G6" s="115">
        <f t="shared" si="1"/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 t="shared" ref="D9:G9" si="2">SUM(D10:D11)</f>
        <v>1.776054546690981</v>
      </c>
      <c r="E9" s="112">
        <f t="shared" si="2"/>
        <v>70.109593887244714</v>
      </c>
      <c r="F9" s="112">
        <f t="shared" si="2"/>
        <v>3.9183035816743554E-5</v>
      </c>
      <c r="G9" s="112">
        <f t="shared" si="2"/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 t="shared" ref="D12:G12" si="3">SUM(D13:D15)</f>
        <v>2.7873234481033835</v>
      </c>
      <c r="E12" s="115">
        <f t="shared" si="3"/>
        <v>416.86802336275355</v>
      </c>
      <c r="F12" s="115">
        <f t="shared" si="3"/>
        <v>4.5598347798669536E-5</v>
      </c>
      <c r="G12" s="115">
        <f t="shared" si="3"/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 t="shared" ref="D16:G16" si="4">SUM(D17:D22)</f>
        <v>3.7790661744926783</v>
      </c>
      <c r="E16" s="115">
        <f t="shared" si="4"/>
        <v>1081.6846683436693</v>
      </c>
      <c r="F16" s="115">
        <f t="shared" si="4"/>
        <v>4.6055861501803745E-5</v>
      </c>
      <c r="G16" s="115">
        <f t="shared" si="4"/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 t="shared" ref="D23:G23" si="5">D24</f>
        <v>0</v>
      </c>
      <c r="E23" s="115">
        <f t="shared" si="5"/>
        <v>0</v>
      </c>
      <c r="F23" s="115">
        <f t="shared" si="5"/>
        <v>0</v>
      </c>
      <c r="G23" s="115">
        <f t="shared" si="5"/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-96.310982618440732</v>
      </c>
      <c r="D25" s="114">
        <f t="shared" ref="D25:G25" si="6">SUM(D26:D30)</f>
        <v>108.30291146722087</v>
      </c>
      <c r="E25" s="114">
        <f t="shared" si="6"/>
        <v>0</v>
      </c>
      <c r="F25" s="114">
        <f t="shared" si="6"/>
        <v>7.6801640589139021E-4</v>
      </c>
      <c r="G25" s="114">
        <f t="shared" si="6"/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-115.3519213234084</v>
      </c>
      <c r="D30" s="114">
        <f>'LCI_AD-c'!$E32*'IW+f'!D26</f>
        <v>-1.9033067018362388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159.58139539500371</v>
      </c>
      <c r="D31" s="115">
        <f t="shared" ref="D31:G31" si="7">SUM(D32:D36)</f>
        <v>29.674004837125175</v>
      </c>
      <c r="E31" s="115">
        <f t="shared" si="7"/>
        <v>8837.3893666433032</v>
      </c>
      <c r="F31" s="115">
        <f t="shared" si="7"/>
        <v>1.4122564925612134E-4</v>
      </c>
      <c r="G31" s="115">
        <f t="shared" si="7"/>
        <v>110.48170163011559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7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7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7" x14ac:dyDescent="0.35">
      <c r="A35" s="114"/>
      <c r="B35" s="114" t="s">
        <v>231</v>
      </c>
      <c r="C35" s="114">
        <f>'LCI_AD-c'!$E37*'IW+f'!C31</f>
        <v>2.2516101504900958</v>
      </c>
      <c r="D35" s="114">
        <f>'LCI_AD-c'!$E37*'IW+f'!D31</f>
        <v>0.97385909326307918</v>
      </c>
      <c r="E35" s="114">
        <f>'LCI_AD-c'!$E37*'IW+f'!E31</f>
        <v>1587.6138876201587</v>
      </c>
      <c r="F35" s="114">
        <f>'LCI_AD-c'!$E37*'IW+f'!F31</f>
        <v>1.8073801617164658E-6</v>
      </c>
      <c r="G35" s="114">
        <f>'LCI_AD-c'!$E37*'IW+f'!G31</f>
        <v>5.045377782181772</v>
      </c>
    </row>
    <row r="36" spans="1:7" x14ac:dyDescent="0.35">
      <c r="A36" s="114"/>
      <c r="B36" s="114" t="s">
        <v>474</v>
      </c>
      <c r="C36" s="114">
        <f>'LCI_AD-c'!$E38*'IW+f'!C38</f>
        <v>96.991474459487947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7" x14ac:dyDescent="0.35">
      <c r="A37" s="57"/>
      <c r="B37" s="57"/>
    </row>
    <row r="38" spans="1:7" x14ac:dyDescent="0.35">
      <c r="A38" s="133"/>
      <c r="B38" s="133"/>
    </row>
  </sheetData>
  <mergeCells count="1">
    <mergeCell ref="A3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10" workbookViewId="0">
      <selection activeCell="E15" sqref="E15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3"/>
  <sheetViews>
    <sheetView topLeftCell="A25" workbookViewId="0">
      <selection activeCell="C43" sqref="C43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4" width="11.81640625" bestFit="1" customWidth="1"/>
    <col min="5" max="5" width="13.08984375" bestFit="1" customWidth="1"/>
    <col min="6" max="7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38" t="s">
        <v>420</v>
      </c>
      <c r="B27" s="139"/>
      <c r="C27" s="139"/>
      <c r="D27" s="139"/>
      <c r="E27" s="139"/>
      <c r="F27" s="139"/>
      <c r="G27" s="140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 t="shared" ref="D29:G29" si="0">SUM(D30,D33,D36,D38)</f>
        <v>32.067942378795308</v>
      </c>
      <c r="E29" s="112">
        <f t="shared" si="0"/>
        <v>337.21257014819105</v>
      </c>
      <c r="F29" s="112">
        <f t="shared" si="0"/>
        <v>7.8437449326508788E-5</v>
      </c>
      <c r="G29" s="112">
        <f t="shared" si="0"/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 t="shared" ref="D30:G30" si="1">SUM(D31:D32)</f>
        <v>0.11916920601637257</v>
      </c>
      <c r="E30" s="115">
        <f t="shared" si="1"/>
        <v>116.96082759610819</v>
      </c>
      <c r="F30" s="115">
        <f t="shared" si="1"/>
        <v>7.7420482538410759E-7</v>
      </c>
      <c r="G30" s="115">
        <f t="shared" si="1"/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 t="shared" ref="D33:G33" si="2">SUM(D34:D35)</f>
        <v>1.776054546690981</v>
      </c>
      <c r="E33" s="112">
        <f t="shared" si="2"/>
        <v>70.109593887244714</v>
      </c>
      <c r="F33" s="112">
        <f t="shared" si="2"/>
        <v>3.9183035816743554E-5</v>
      </c>
      <c r="G33" s="112">
        <f t="shared" si="2"/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 t="shared" ref="D36:G36" si="3">D37</f>
        <v>24.994858397394534</v>
      </c>
      <c r="E36" s="115">
        <f t="shared" si="3"/>
        <v>68.925862568542556</v>
      </c>
      <c r="F36" s="115">
        <f t="shared" si="3"/>
        <v>3.6601304780886087E-6</v>
      </c>
      <c r="G36" s="115">
        <f t="shared" si="3"/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 t="shared" ref="D38:G38" si="4">SUM(D39:D42)</f>
        <v>5.1778602286934197</v>
      </c>
      <c r="E38" s="115">
        <f t="shared" si="4"/>
        <v>81.216286096295562</v>
      </c>
      <c r="F38" s="115">
        <f t="shared" si="4"/>
        <v>3.4820078206292518E-5</v>
      </c>
      <c r="G38" s="115">
        <f t="shared" si="4"/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-264.03464255865981</v>
      </c>
      <c r="D43" s="118">
        <f t="shared" ref="D43:G43" si="5">SUM(D44:D48)</f>
        <v>22.918927889093091</v>
      </c>
      <c r="E43" s="118">
        <f t="shared" si="5"/>
        <v>0</v>
      </c>
      <c r="F43" s="118">
        <f t="shared" si="5"/>
        <v>5.0112026067618947E-5</v>
      </c>
      <c r="G43" s="118">
        <f t="shared" si="5"/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-291.08566666666667</v>
      </c>
      <c r="D48" s="117">
        <f>LCI_IC!$E23*'IW+f'!D26</f>
        <v>-4.8029134999999998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23.174036130287757</v>
      </c>
      <c r="D49" s="118">
        <f t="shared" ref="D49:G49" si="6">SUM(D50:D53)</f>
        <v>5.2361185509122059</v>
      </c>
      <c r="E49" s="118">
        <f t="shared" si="6"/>
        <v>3878.0272233170053</v>
      </c>
      <c r="F49" s="118">
        <f t="shared" si="6"/>
        <v>2.1552235381983263E-5</v>
      </c>
      <c r="G49" s="118">
        <f t="shared" si="6"/>
        <v>36.87272461273961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5.1136581930192486</v>
      </c>
      <c r="D53" s="117">
        <f>LCI_IC!$E28*'IW+f'!D31</f>
        <v>2.2117427966058312</v>
      </c>
      <c r="E53" s="117">
        <f>LCI_IC!$E28*'IW+f'!E31</f>
        <v>3605.6485009240396</v>
      </c>
      <c r="F53" s="117">
        <f>LCI_IC!$E28*'IW+f'!F31</f>
        <v>4.1047622608425945E-6</v>
      </c>
      <c r="G53" s="117">
        <f>LCI_IC!$E28*'IW+f'!G31</f>
        <v>11.458616593603153</v>
      </c>
    </row>
    <row r="57" spans="1:37" x14ac:dyDescent="0.35">
      <c r="A57" t="s">
        <v>426</v>
      </c>
    </row>
    <row r="58" spans="1:37" ht="72.5" x14ac:dyDescent="0.35">
      <c r="A58" t="s">
        <v>0</v>
      </c>
      <c r="C58" s="88" t="s">
        <v>376</v>
      </c>
      <c r="D58" s="88" t="s">
        <v>377</v>
      </c>
      <c r="E58" s="88" t="s">
        <v>378</v>
      </c>
      <c r="F58" s="88" t="s">
        <v>379</v>
      </c>
      <c r="G58" s="88" t="s">
        <v>380</v>
      </c>
      <c r="H58" s="88" t="s">
        <v>361</v>
      </c>
      <c r="I58" s="88" t="s">
        <v>381</v>
      </c>
      <c r="J58" s="88" t="s">
        <v>382</v>
      </c>
      <c r="K58" s="88" t="s">
        <v>363</v>
      </c>
      <c r="L58" s="88" t="s">
        <v>383</v>
      </c>
      <c r="M58" s="88" t="s">
        <v>384</v>
      </c>
      <c r="N58" s="88" t="s">
        <v>385</v>
      </c>
      <c r="O58" s="88" t="s">
        <v>386</v>
      </c>
      <c r="P58" s="88" t="s">
        <v>387</v>
      </c>
      <c r="Q58" s="88" t="s">
        <v>388</v>
      </c>
      <c r="R58" s="88" t="s">
        <v>367</v>
      </c>
      <c r="S58" s="88" t="s">
        <v>368</v>
      </c>
      <c r="T58" s="88" t="s">
        <v>389</v>
      </c>
      <c r="U58" s="88" t="s">
        <v>390</v>
      </c>
      <c r="V58" s="88" t="s">
        <v>391</v>
      </c>
      <c r="W58" s="88" t="s">
        <v>392</v>
      </c>
      <c r="X58" s="88" t="s">
        <v>369</v>
      </c>
      <c r="Y58" s="88" t="s">
        <v>371</v>
      </c>
      <c r="Z58" s="88" t="s">
        <v>372</v>
      </c>
      <c r="AA58" s="88" t="s">
        <v>393</v>
      </c>
      <c r="AB58" s="88" t="s">
        <v>394</v>
      </c>
      <c r="AC58" s="88" t="s">
        <v>374</v>
      </c>
      <c r="AD58" s="88" t="s">
        <v>395</v>
      </c>
      <c r="AE58" s="88" t="s">
        <v>396</v>
      </c>
      <c r="AF58" s="88" t="s">
        <v>397</v>
      </c>
      <c r="AG58" s="88" t="s">
        <v>398</v>
      </c>
      <c r="AH58" s="88" t="s">
        <v>399</v>
      </c>
      <c r="AI58" s="88" t="s">
        <v>400</v>
      </c>
      <c r="AJ58" s="88" t="s">
        <v>401</v>
      </c>
      <c r="AK58" s="88" t="s">
        <v>402</v>
      </c>
    </row>
    <row r="59" spans="1:37" x14ac:dyDescent="0.35">
      <c r="A59" t="s">
        <v>294</v>
      </c>
    </row>
    <row r="60" spans="1:37" x14ac:dyDescent="0.35">
      <c r="A60" t="s">
        <v>5</v>
      </c>
    </row>
    <row r="61" spans="1:37" x14ac:dyDescent="0.35">
      <c r="B61" t="s">
        <v>249</v>
      </c>
      <c r="C61">
        <f>LCI_IC!$E4*'IW+_end'!C2</f>
        <v>0.29375833601169027</v>
      </c>
      <c r="D61">
        <f>LCI_IC!$E4*'IW+_end'!D2</f>
        <v>8.9990845888640369E-2</v>
      </c>
      <c r="E61">
        <f>LCI_IC!$E4*'IW+_end'!E2</f>
        <v>3.9589730007048797E-6</v>
      </c>
      <c r="F61">
        <f>LCI_IC!$E4*'IW+_end'!F2</f>
        <v>1.2128041505843192E-6</v>
      </c>
      <c r="G61">
        <f>LCI_IC!$E4*'IW+_end'!G2</f>
        <v>9.0040097542142219E-20</v>
      </c>
      <c r="H61">
        <f>LCI_IC!$E4*'IW+_end'!H2</f>
        <v>5.1931114803604956E-3</v>
      </c>
      <c r="I61">
        <f>LCI_IC!$E4*'IW+_end'!I2</f>
        <v>0.24839018720173295</v>
      </c>
      <c r="J61">
        <f>LCI_IC!$E4*'IW+_end'!J2</f>
        <v>1.234083364332369E-2</v>
      </c>
      <c r="K61">
        <f>LCI_IC!$E4*'IW+_end'!K2</f>
        <v>2.1439753416220663E-5</v>
      </c>
      <c r="L61">
        <f>LCI_IC!$E4*'IW+_end'!L2</f>
        <v>8.7015032149142414E-9</v>
      </c>
      <c r="M61">
        <f>LCI_IC!$E4*'IW+_end'!M2</f>
        <v>1.6596905236710246E-7</v>
      </c>
      <c r="N61">
        <f>LCI_IC!$E4*'IW+_end'!N2</f>
        <v>1.9676602640470916E-7</v>
      </c>
      <c r="O61">
        <f>LCI_IC!$E4*'IW+_end'!O2</f>
        <v>1.0474046667854858E-7</v>
      </c>
      <c r="P61">
        <f>LCI_IC!$E4*'IW+_end'!P2</f>
        <v>4.1389310905179983E-9</v>
      </c>
      <c r="Q61">
        <f>LCI_IC!$E4*'IW+_end'!Q2</f>
        <v>1.2763337153218512E-7</v>
      </c>
      <c r="R61">
        <f>LCI_IC!$E4*'IW+_end'!R2</f>
        <v>1.6534106080479432E-2</v>
      </c>
      <c r="S61">
        <f>LCI_IC!$E4*'IW+_end'!S2</f>
        <v>1.1656841267618703E-2</v>
      </c>
      <c r="T61">
        <f>LCI_IC!$E4*'IW+_end'!T2</f>
        <v>0.10249049260823448</v>
      </c>
      <c r="U61">
        <f>LCI_IC!$E4*'IW+_end'!U2</f>
        <v>1.1125576504552512E-2</v>
      </c>
      <c r="V61">
        <f>LCI_IC!$E4*'IW+_end'!V2</f>
        <v>9.6489525909131685E-7</v>
      </c>
      <c r="W61">
        <f>LCI_IC!$E4*'IW+_end'!W2</f>
        <v>2.6554776215088471E-7</v>
      </c>
      <c r="X61">
        <f>LCI_IC!$E4*'IW+_end'!X2</f>
        <v>6.7963986332143073E-4</v>
      </c>
      <c r="Y61">
        <f>LCI_IC!$E4*'IW+_end'!Y2</f>
        <v>4.6233568878889853E-11</v>
      </c>
      <c r="Z61">
        <f>LCI_IC!$E4*'IW+_end'!Z2</f>
        <v>3.7424948947123667E-7</v>
      </c>
      <c r="AA61">
        <f>LCI_IC!$E4*'IW+_end'!AA2</f>
        <v>1.5755418847462184E-2</v>
      </c>
      <c r="AB61">
        <f>LCI_IC!$E4*'IW+_end'!AB2</f>
        <v>1.5662117661554336E-9</v>
      </c>
      <c r="AC61">
        <f>LCI_IC!$E4*'IW+_end'!AC2</f>
        <v>3.4269056902659287E-2</v>
      </c>
      <c r="AD61">
        <f>LCI_IC!$E4*'IW+_end'!AD2</f>
        <v>3.5220034139757453E-2</v>
      </c>
      <c r="AE61">
        <f>LCI_IC!$E4*'IW+_end'!AE2</f>
        <v>9.6924933185072934E-3</v>
      </c>
      <c r="AF61">
        <f>LCI_IC!$E4*'IW+_end'!AF2</f>
        <v>1.9004186679781043E-3</v>
      </c>
      <c r="AG61">
        <f>LCI_IC!$E4*'IW+_end'!AG2</f>
        <v>0.88904487549306932</v>
      </c>
      <c r="AH61">
        <f>LCI_IC!$E4*'IW+_end'!AH2</f>
        <v>7.3843049600713193E-6</v>
      </c>
      <c r="AI61">
        <f>LCI_IC!$E4*'IW+_end'!AI2</f>
        <v>1.0093591977195651E-5</v>
      </c>
      <c r="AJ61">
        <f>LCI_IC!$E4*'IW+_end'!AJ2</f>
        <v>1.2328554537785757E-6</v>
      </c>
      <c r="AK61">
        <f>LCI_IC!$E4*'IW+_end'!AK2</f>
        <v>1.4715139405635514E-5</v>
      </c>
    </row>
    <row r="62" spans="1:37" x14ac:dyDescent="0.35">
      <c r="B62" t="s">
        <v>250</v>
      </c>
      <c r="C62">
        <f>LCI_IC!$E5*'IW+_end'!C3</f>
        <v>0</v>
      </c>
      <c r="D62">
        <f>LCI_IC!$E5*'IW+_end'!D3</f>
        <v>0</v>
      </c>
      <c r="E62">
        <f>LCI_IC!$E5*'IW+_end'!E3</f>
        <v>0</v>
      </c>
      <c r="F62">
        <f>LCI_IC!$E5*'IW+_end'!F3</f>
        <v>0</v>
      </c>
      <c r="G62">
        <f>LCI_IC!$E5*'IW+_end'!G3</f>
        <v>0</v>
      </c>
      <c r="H62">
        <f>LCI_IC!$E5*'IW+_end'!H3</f>
        <v>0</v>
      </c>
      <c r="I62">
        <f>LCI_IC!$E5*'IW+_end'!I3</f>
        <v>0</v>
      </c>
      <c r="J62">
        <f>LCI_IC!$E5*'IW+_end'!J3</f>
        <v>0</v>
      </c>
      <c r="K62">
        <f>LCI_IC!$E5*'IW+_end'!K3</f>
        <v>0</v>
      </c>
      <c r="L62">
        <f>LCI_IC!$E5*'IW+_end'!L3</f>
        <v>0</v>
      </c>
      <c r="M62">
        <f>LCI_IC!$E5*'IW+_end'!M3</f>
        <v>0</v>
      </c>
      <c r="N62">
        <f>LCI_IC!$E5*'IW+_end'!N3</f>
        <v>0</v>
      </c>
      <c r="O62">
        <f>LCI_IC!$E5*'IW+_end'!O3</f>
        <v>0</v>
      </c>
      <c r="P62">
        <f>LCI_IC!$E5*'IW+_end'!P3</f>
        <v>0</v>
      </c>
      <c r="Q62">
        <f>LCI_IC!$E5*'IW+_end'!Q3</f>
        <v>0</v>
      </c>
      <c r="R62">
        <f>LCI_IC!$E5*'IW+_end'!R3</f>
        <v>0</v>
      </c>
      <c r="S62">
        <f>LCI_IC!$E5*'IW+_end'!S3</f>
        <v>0</v>
      </c>
      <c r="T62">
        <f>LCI_IC!$E5*'IW+_end'!T3</f>
        <v>0</v>
      </c>
      <c r="U62">
        <f>LCI_IC!$E5*'IW+_end'!U3</f>
        <v>0</v>
      </c>
      <c r="V62">
        <f>LCI_IC!$E5*'IW+_end'!V3</f>
        <v>0</v>
      </c>
      <c r="W62">
        <f>LCI_IC!$E5*'IW+_end'!W3</f>
        <v>0</v>
      </c>
      <c r="X62">
        <f>LCI_IC!$E5*'IW+_end'!X3</f>
        <v>0</v>
      </c>
      <c r="Y62">
        <f>LCI_IC!$E5*'IW+_end'!Y3</f>
        <v>0</v>
      </c>
      <c r="Z62">
        <f>LCI_IC!$E5*'IW+_end'!Z3</f>
        <v>0</v>
      </c>
      <c r="AA62">
        <f>LCI_IC!$E5*'IW+_end'!AA3</f>
        <v>0</v>
      </c>
      <c r="AB62">
        <f>LCI_IC!$E5*'IW+_end'!AB3</f>
        <v>0</v>
      </c>
      <c r="AC62">
        <f>LCI_IC!$E5*'IW+_end'!AC3</f>
        <v>0</v>
      </c>
      <c r="AD62">
        <f>LCI_IC!$E5*'IW+_end'!AD3</f>
        <v>0</v>
      </c>
      <c r="AE62">
        <f>LCI_IC!$E5*'IW+_end'!AE3</f>
        <v>0</v>
      </c>
      <c r="AF62">
        <f>LCI_IC!$E5*'IW+_end'!AF3</f>
        <v>0</v>
      </c>
      <c r="AG62">
        <f>LCI_IC!$E5*'IW+_end'!AG3</f>
        <v>0</v>
      </c>
      <c r="AH62">
        <f>LCI_IC!$E5*'IW+_end'!AH3</f>
        <v>0</v>
      </c>
      <c r="AI62">
        <f>LCI_IC!$E5*'IW+_end'!AI3</f>
        <v>0</v>
      </c>
      <c r="AJ62">
        <f>LCI_IC!$E5*'IW+_end'!AJ3</f>
        <v>0</v>
      </c>
      <c r="AK62">
        <f>LCI_IC!$E5*'IW+_end'!AK3</f>
        <v>0</v>
      </c>
    </row>
    <row r="63" spans="1:37" x14ac:dyDescent="0.35">
      <c r="A63" t="s">
        <v>235</v>
      </c>
    </row>
    <row r="64" spans="1:37" x14ac:dyDescent="0.35">
      <c r="B64" t="s">
        <v>286</v>
      </c>
      <c r="C64" s="5">
        <f>LCI_IC!$E8*'IW+_end'!C5</f>
        <v>0.1642293381452089</v>
      </c>
      <c r="D64" s="5">
        <f>LCI_IC!$E8*'IW+_end'!D5</f>
        <v>5.0160114465116465E-2</v>
      </c>
      <c r="E64" s="5">
        <f>LCI_IC!$E8*'IW+_end'!E5</f>
        <v>2.2133142652831479E-6</v>
      </c>
      <c r="F64" s="5">
        <f>LCI_IC!$E8*'IW+_end'!F5</f>
        <v>6.7600648061868024E-7</v>
      </c>
      <c r="G64" s="5">
        <f>LCI_IC!$E8*'IW+_end'!G5</f>
        <v>3.4259653114390555E-19</v>
      </c>
      <c r="H64" s="5">
        <f>LCI_IC!$E8*'IW+_end'!H5</f>
        <v>1.9088748614477355E-3</v>
      </c>
      <c r="I64" s="5">
        <f>LCI_IC!$E8*'IW+_end'!I5</f>
        <v>2.1165975185515697E-2</v>
      </c>
      <c r="J64" s="5">
        <f>LCI_IC!$E8*'IW+_end'!J5</f>
        <v>7.7842440064621963E-3</v>
      </c>
      <c r="K64" s="5">
        <f>LCI_IC!$E8*'IW+_end'!K5</f>
        <v>1.2090234903629117E-5</v>
      </c>
      <c r="L64" s="5">
        <f>LCI_IC!$E8*'IW+_end'!L5</f>
        <v>1.3807900143766815E-9</v>
      </c>
      <c r="M64" s="5">
        <f>LCI_IC!$E8*'IW+_end'!M5</f>
        <v>7.8521018154124293E-8</v>
      </c>
      <c r="N64" s="5">
        <f>LCI_IC!$E8*'IW+_end'!N5</f>
        <v>5.1916740498462542E-8</v>
      </c>
      <c r="O64" s="5">
        <f>LCI_IC!$E8*'IW+_end'!O5</f>
        <v>3.4957298081958831E-8</v>
      </c>
      <c r="P64" s="5">
        <f>LCI_IC!$E8*'IW+_end'!P5</f>
        <v>1.6087202212299374E-11</v>
      </c>
      <c r="Q64" s="5">
        <f>LCI_IC!$E8*'IW+_end'!Q5</f>
        <v>1.9821700798180701E-10</v>
      </c>
      <c r="R64" s="5">
        <f>LCI_IC!$E8*'IW+_end'!R5</f>
        <v>9.3882236600461508E-3</v>
      </c>
      <c r="S64" s="5">
        <f>LCI_IC!$E8*'IW+_end'!S5</f>
        <v>1.0847515163367839E-2</v>
      </c>
      <c r="T64" s="5">
        <f>LCI_IC!$E8*'IW+_end'!T5</f>
        <v>5.9340583237830792E-2</v>
      </c>
      <c r="U64" s="5">
        <f>LCI_IC!$E8*'IW+_end'!U5</f>
        <v>6.4415394809225063E-3</v>
      </c>
      <c r="V64" s="5">
        <f>LCI_IC!$E8*'IW+_end'!V5</f>
        <v>2.2361093064658549E-8</v>
      </c>
      <c r="W64" s="5">
        <f>LCI_IC!$E8*'IW+_end'!W5</f>
        <v>1.8378519819012135E-8</v>
      </c>
      <c r="X64" s="5">
        <f>LCI_IC!$E8*'IW+_end'!X5</f>
        <v>4.9087972213900696E-4</v>
      </c>
      <c r="Y64" s="5">
        <f>LCI_IC!$E8*'IW+_end'!Y5</f>
        <v>1.4130656214684504E-11</v>
      </c>
      <c r="Z64" s="5">
        <f>LCI_IC!$E8*'IW+_end'!Z5</f>
        <v>2.3089230034193365E-7</v>
      </c>
      <c r="AA64" s="5">
        <f>LCI_IC!$E8*'IW+_end'!AA5</f>
        <v>1.24610140420619E-2</v>
      </c>
      <c r="AB64" s="5">
        <f>LCI_IC!$E8*'IW+_end'!AB5</f>
        <v>1.2166988717580699E-9</v>
      </c>
      <c r="AC64" s="5">
        <f>LCI_IC!$E8*'IW+_end'!AC5</f>
        <v>1.357355809150523E-2</v>
      </c>
      <c r="AD64" s="5">
        <f>LCI_IC!$E8*'IW+_end'!AD5</f>
        <v>8.1619861313748173E-4</v>
      </c>
      <c r="AE64" s="5">
        <f>LCI_IC!$E8*'IW+_end'!AE5</f>
        <v>6.7081597339394266E-4</v>
      </c>
      <c r="AF64" s="5">
        <f>LCI_IC!$E8*'IW+_end'!AF5</f>
        <v>1.5428172135718716E-5</v>
      </c>
      <c r="AG64" s="5">
        <f>LCI_IC!$E8*'IW+_end'!AG5</f>
        <v>0.35931316945148462</v>
      </c>
      <c r="AH64" s="5">
        <f>LCI_IC!$E8*'IW+_end'!AH5</f>
        <v>3.3268199102587953E-6</v>
      </c>
      <c r="AI64" s="5">
        <f>LCI_IC!$E8*'IW+_end'!AI5</f>
        <v>3.14403300469906E-7</v>
      </c>
      <c r="AJ64" s="5">
        <f>LCI_IC!$E8*'IW+_end'!AJ5</f>
        <v>3.8401970730154165E-8</v>
      </c>
      <c r="AK64" s="5">
        <f>LCI_IC!$E8*'IW+_end'!AK5</f>
        <v>6.4212372885133327E-6</v>
      </c>
    </row>
    <row r="65" spans="1:43" x14ac:dyDescent="0.35">
      <c r="B65" t="s">
        <v>235</v>
      </c>
      <c r="C65">
        <f>LCI_IC!$E7*'IW+_end'!C4</f>
        <v>2.8461745710597834</v>
      </c>
      <c r="D65">
        <f>LCI_IC!$E7*'IW+_end'!D4</f>
        <v>1.1214611679069222</v>
      </c>
      <c r="E65">
        <f>LCI_IC!$E7*'IW+_end'!E4</f>
        <v>3.8357816275450525E-5</v>
      </c>
      <c r="F65">
        <f>LCI_IC!$E7*'IW+_end'!F4</f>
        <v>1.5113901261020833E-5</v>
      </c>
      <c r="G65">
        <f>LCI_IC!$E7*'IW+_end'!G4</f>
        <v>1.3417014761931066E-18</v>
      </c>
      <c r="H65">
        <f>LCI_IC!$E7*'IW+_end'!H4</f>
        <v>7.0661974280644954E-2</v>
      </c>
      <c r="I65">
        <f>LCI_IC!$E7*'IW+_end'!I4</f>
        <v>0.93416719125512804</v>
      </c>
      <c r="J65">
        <f>LCI_IC!$E7*'IW+_end'!J4</f>
        <v>0.11947233209536294</v>
      </c>
      <c r="K65">
        <f>LCI_IC!$E7*'IW+_end'!K4</f>
        <v>5.8252778621848689E-3</v>
      </c>
      <c r="L65">
        <f>LCI_IC!$E7*'IW+_end'!L4</f>
        <v>7.543227881230801E-8</v>
      </c>
      <c r="M65">
        <f>LCI_IC!$E7*'IW+_end'!M4</f>
        <v>9.2358423028085057E-6</v>
      </c>
      <c r="N65">
        <f>LCI_IC!$E7*'IW+_end'!N4</f>
        <v>2.0141902382323624E-6</v>
      </c>
      <c r="O65">
        <f>LCI_IC!$E7*'IW+_end'!O4</f>
        <v>2.073338334217323E-5</v>
      </c>
      <c r="P65">
        <f>LCI_IC!$E7*'IW+_end'!P4</f>
        <v>1.6721138820675336E-10</v>
      </c>
      <c r="Q65">
        <f>LCI_IC!$E7*'IW+_end'!Q4</f>
        <v>2.5414819458518307E-9</v>
      </c>
      <c r="R65">
        <f>LCI_IC!$E7*'IW+_end'!R4</f>
        <v>0.10325709629067527</v>
      </c>
      <c r="S65">
        <f>LCI_IC!$E7*'IW+_end'!S4</f>
        <v>0.20192306813671582</v>
      </c>
      <c r="T65">
        <f>LCI_IC!$E7*'IW+_end'!T4</f>
        <v>0.81381304343515604</v>
      </c>
      <c r="U65">
        <f>LCI_IC!$E7*'IW+_end'!U4</f>
        <v>8.8340903369667073E-2</v>
      </c>
      <c r="V65">
        <f>LCI_IC!$E7*'IW+_end'!V4</f>
        <v>4.1790110398157114E-7</v>
      </c>
      <c r="W65">
        <f>LCI_IC!$E7*'IW+_end'!W4</f>
        <v>9.1166986820938597E-7</v>
      </c>
      <c r="X65">
        <f>LCI_IC!$E7*'IW+_end'!X4</f>
        <v>3.6914893888666471E-2</v>
      </c>
      <c r="Y65">
        <f>LCI_IC!$E7*'IW+_end'!Y4</f>
        <v>3.4271490621614475E-10</v>
      </c>
      <c r="Z65">
        <f>LCI_IC!$E7*'IW+_end'!Z4</f>
        <v>8.8111435597395313E-6</v>
      </c>
      <c r="AA65">
        <f>LCI_IC!$E7*'IW+_end'!AA4</f>
        <v>0.52310036021523809</v>
      </c>
      <c r="AB65">
        <f>LCI_IC!$E7*'IW+_end'!AB4</f>
        <v>5.3982752056258097E-8</v>
      </c>
      <c r="AC65">
        <f>LCI_IC!$E7*'IW+_end'!AC4</f>
        <v>0.52930584039175488</v>
      </c>
      <c r="AD65">
        <f>LCI_IC!$E7*'IW+_end'!AD4</f>
        <v>1.5262636374080941E-2</v>
      </c>
      <c r="AE65">
        <f>LCI_IC!$E7*'IW+_end'!AE4</f>
        <v>3.3275950189642592E-2</v>
      </c>
      <c r="AF65">
        <f>LCI_IC!$E7*'IW+_end'!AF4</f>
        <v>3.8173633035694057E-4</v>
      </c>
      <c r="AG65">
        <f>LCI_IC!$E7*'IW+_end'!AG4</f>
        <v>7.4436332210323055</v>
      </c>
      <c r="AH65">
        <f>LCI_IC!$E7*'IW+_end'!AH4</f>
        <v>1.04168902179637E-4</v>
      </c>
      <c r="AI65">
        <f>LCI_IC!$E7*'IW+_end'!AI4</f>
        <v>7.999127841649449E-5</v>
      </c>
      <c r="AJ65">
        <f>LCI_IC!$E7*'IW+_end'!AJ4</f>
        <v>9.7703259724914291E-6</v>
      </c>
      <c r="AK65">
        <f>LCI_IC!$E7*'IW+_end'!AK4</f>
        <v>2.1385693372968594E-4</v>
      </c>
    </row>
    <row r="66" spans="1:43" x14ac:dyDescent="0.35">
      <c r="A66" t="s">
        <v>300</v>
      </c>
    </row>
    <row r="67" spans="1:43" x14ac:dyDescent="0.35">
      <c r="B67" t="s">
        <v>301</v>
      </c>
      <c r="C67">
        <f>LCI_IC!$E10*'IW+_end'!C35</f>
        <v>1.639546218529585</v>
      </c>
      <c r="D67">
        <f>LCI_IC!$E10*'IW+_end'!D35</f>
        <v>0.50112891249836111</v>
      </c>
      <c r="E67">
        <f>LCI_IC!$E10*'IW+_end'!E35</f>
        <v>2.2096119213815607E-5</v>
      </c>
      <c r="F67">
        <f>LCI_IC!$E10*'IW+_end'!F35</f>
        <v>6.753700546474559E-6</v>
      </c>
      <c r="G67">
        <f>LCI_IC!$E10*'IW+_end'!G35</f>
        <v>4.3333901754761425E-18</v>
      </c>
      <c r="H67">
        <f>LCI_IC!$E10*'IW+_end'!H35</f>
        <v>2.495593568506508E-2</v>
      </c>
      <c r="I67">
        <f>LCI_IC!$E10*'IW+_end'!I35</f>
        <v>0.39389429210808058</v>
      </c>
      <c r="J67">
        <f>LCI_IC!$E10*'IW+_end'!J35</f>
        <v>6.7029319550731117E-2</v>
      </c>
      <c r="K67">
        <f>LCI_IC!$E10*'IW+_end'!K35</f>
        <v>1.3227472847376623E-2</v>
      </c>
      <c r="L67">
        <f>LCI_IC!$E10*'IW+_end'!L35</f>
        <v>1.2741441376363931E-8</v>
      </c>
      <c r="M67">
        <f>LCI_IC!$E10*'IW+_end'!M35</f>
        <v>1.0361858495461141E-6</v>
      </c>
      <c r="N67">
        <f>LCI_IC!$E10*'IW+_end'!N35</f>
        <v>4.2094923747696886E-7</v>
      </c>
      <c r="O67">
        <f>LCI_IC!$E10*'IW+_end'!O35</f>
        <v>2.7379013551440849E-7</v>
      </c>
      <c r="P67">
        <f>LCI_IC!$E10*'IW+_end'!P35</f>
        <v>5.7739233933437292E-10</v>
      </c>
      <c r="Q67">
        <f>LCI_IC!$E10*'IW+_end'!Q35</f>
        <v>1.0136355764856495E-8</v>
      </c>
      <c r="R67">
        <f>LCI_IC!$E10*'IW+_end'!R35</f>
        <v>24.23257003073666</v>
      </c>
      <c r="S67">
        <f>LCI_IC!$E10*'IW+_end'!S35</f>
        <v>0.18275150808402318</v>
      </c>
      <c r="T67">
        <f>LCI_IC!$E10*'IW+_end'!T35</f>
        <v>0.60026385749342459</v>
      </c>
      <c r="U67">
        <f>LCI_IC!$E10*'IW+_end'!U35</f>
        <v>6.5157375370135551E-2</v>
      </c>
      <c r="V67">
        <f>LCI_IC!$E10*'IW+_end'!V35</f>
        <v>8.9773711251486744E-7</v>
      </c>
      <c r="W67">
        <f>LCI_IC!$E10*'IW+_end'!W35</f>
        <v>6.7295879022802748E-7</v>
      </c>
      <c r="X67">
        <f>LCI_IC!$E10*'IW+_end'!X35</f>
        <v>6.19419661143558E-3</v>
      </c>
      <c r="Y67">
        <f>LCI_IC!$E10*'IW+_end'!Y35</f>
        <v>1.3310269112425958E-10</v>
      </c>
      <c r="Z67">
        <f>LCI_IC!$E10*'IW+_end'!Z35</f>
        <v>2.3213179468259162E-6</v>
      </c>
      <c r="AA67">
        <f>LCI_IC!$E10*'IW+_end'!AA35</f>
        <v>0.19734284744008171</v>
      </c>
      <c r="AB67">
        <f>LCI_IC!$E10*'IW+_end'!AB35</f>
        <v>1.8567087746188296E-8</v>
      </c>
      <c r="AC67">
        <f>LCI_IC!$E10*'IW+_end'!AC35</f>
        <v>0.18042544447611356</v>
      </c>
      <c r="AD67">
        <f>LCI_IC!$E10*'IW+_end'!AD35</f>
        <v>3.2768020775961776E-2</v>
      </c>
      <c r="AE67">
        <f>LCI_IC!$E10*'IW+_end'!AE35</f>
        <v>2.4562995843323009E-2</v>
      </c>
      <c r="AF67">
        <f>LCI_IC!$E10*'IW+_end'!AF35</f>
        <v>6.4059721338951951E-4</v>
      </c>
      <c r="AG67">
        <f>LCI_IC!$E10*'IW+_end'!AG35</f>
        <v>28.162732396030638</v>
      </c>
      <c r="AH67">
        <f>LCI_IC!$E10*'IW+_end'!AH35</f>
        <v>3.4046714515457196E-5</v>
      </c>
      <c r="AI67">
        <f>LCI_IC!$E10*'IW+_end'!AI35</f>
        <v>9.0310464111356095E-6</v>
      </c>
      <c r="AJ67">
        <f>LCI_IC!$E10*'IW+_end'!AJ35</f>
        <v>1.1030735982248163E-6</v>
      </c>
      <c r="AK67">
        <f>LCI_IC!$E10*'IW+_end'!AK35</f>
        <v>2.6276844716575351E-4</v>
      </c>
    </row>
    <row r="68" spans="1:43" x14ac:dyDescent="0.35">
      <c r="A68" t="s">
        <v>302</v>
      </c>
    </row>
    <row r="69" spans="1:43" x14ac:dyDescent="0.35">
      <c r="B69" t="s">
        <v>96</v>
      </c>
      <c r="C69">
        <f>LCI_IC!$E13*'IW+_end'!C12</f>
        <v>8.7490211685808825E-2</v>
      </c>
      <c r="D69">
        <f>LCI_IC!$E13*'IW+_end'!D12</f>
        <v>0.33228107715643329</v>
      </c>
      <c r="E69">
        <f>LCI_IC!$E13*'IW+_end'!E12</f>
        <v>1.1791031723310412E-6</v>
      </c>
      <c r="F69">
        <f>LCI_IC!$E13*'IW+_end'!F12</f>
        <v>4.4781471550199997E-6</v>
      </c>
      <c r="G69">
        <f>LCI_IC!$E13*'IW+_end'!G12</f>
        <v>0</v>
      </c>
      <c r="H69">
        <f>LCI_IC!$E13*'IW+_end'!H12</f>
        <v>0</v>
      </c>
      <c r="I69">
        <f>LCI_IC!$E13*'IW+_end'!I12</f>
        <v>0</v>
      </c>
      <c r="J69">
        <f>LCI_IC!$E13*'IW+_end'!J12</f>
        <v>0</v>
      </c>
      <c r="K69">
        <f>LCI_IC!$E13*'IW+_end'!K12</f>
        <v>0</v>
      </c>
      <c r="L69">
        <f>LCI_IC!$E13*'IW+_end'!L12</f>
        <v>0</v>
      </c>
      <c r="M69">
        <f>LCI_IC!$E13*'IW+_end'!M12</f>
        <v>0</v>
      </c>
      <c r="N69">
        <f>LCI_IC!$E13*'IW+_end'!N12</f>
        <v>0</v>
      </c>
      <c r="O69">
        <f>LCI_IC!$E13*'IW+_end'!O12</f>
        <v>0</v>
      </c>
      <c r="P69">
        <f>LCI_IC!$E13*'IW+_end'!P12</f>
        <v>0</v>
      </c>
      <c r="Q69">
        <f>LCI_IC!$E13*'IW+_end'!Q12</f>
        <v>0</v>
      </c>
      <c r="R69">
        <f>LCI_IC!$E13*'IW+_end'!R12</f>
        <v>0</v>
      </c>
      <c r="S69">
        <f>LCI_IC!$E13*'IW+_end'!S12</f>
        <v>0</v>
      </c>
      <c r="T69">
        <f>LCI_IC!$E13*'IW+_end'!T12</f>
        <v>0</v>
      </c>
      <c r="U69">
        <f>LCI_IC!$E13*'IW+_end'!U12</f>
        <v>0</v>
      </c>
      <c r="V69">
        <f>LCI_IC!$E13*'IW+_end'!V12</f>
        <v>0</v>
      </c>
      <c r="W69">
        <f>LCI_IC!$E13*'IW+_end'!W12</f>
        <v>0</v>
      </c>
      <c r="X69">
        <f>LCI_IC!$E13*'IW+_end'!X12</f>
        <v>0</v>
      </c>
      <c r="Y69">
        <f>LCI_IC!$E13*'IW+_end'!Y12</f>
        <v>0</v>
      </c>
      <c r="Z69">
        <f>LCI_IC!$E13*'IW+_end'!Z12</f>
        <v>0</v>
      </c>
      <c r="AA69">
        <f>LCI_IC!$E13*'IW+_end'!AA12</f>
        <v>0</v>
      </c>
      <c r="AB69">
        <f>LCI_IC!$E13*'IW+_end'!AB12</f>
        <v>0</v>
      </c>
      <c r="AC69">
        <f>LCI_IC!$E13*'IW+_end'!AC12</f>
        <v>0</v>
      </c>
      <c r="AD69">
        <f>LCI_IC!$E13*'IW+_end'!AD12</f>
        <v>0</v>
      </c>
      <c r="AE69">
        <f>LCI_IC!$E13*'IW+_end'!AE12</f>
        <v>0</v>
      </c>
      <c r="AF69">
        <f>LCI_IC!$E13*'IW+_end'!AF12</f>
        <v>0</v>
      </c>
      <c r="AG69">
        <f>LCI_IC!$E13*'IW+_end'!AG12</f>
        <v>0.41977128884224213</v>
      </c>
      <c r="AH69">
        <f>LCI_IC!$E13*'IW+_end'!AH12</f>
        <v>5.6572503273214794E-6</v>
      </c>
      <c r="AI69">
        <f>LCI_IC!$E13*'IW+_end'!AI12</f>
        <v>0</v>
      </c>
      <c r="AJ69">
        <f>LCI_IC!$E13*'IW+_end'!AJ12</f>
        <v>0</v>
      </c>
      <c r="AK69">
        <f>LCI_IC!$E13*'IW+_end'!AK12</f>
        <v>0</v>
      </c>
    </row>
    <row r="70" spans="1:43" x14ac:dyDescent="0.35">
      <c r="B70" t="s">
        <v>110</v>
      </c>
      <c r="C70" s="5">
        <f>LCI_IC!$E14*'IW+_end'!C18</f>
        <v>0</v>
      </c>
      <c r="D70" s="5">
        <f>LCI_IC!$E14*'IW+_end'!D18</f>
        <v>0</v>
      </c>
      <c r="E70" s="5">
        <f>LCI_IC!$E14*'IW+_end'!E18</f>
        <v>0</v>
      </c>
      <c r="F70" s="5">
        <f>LCI_IC!$E14*'IW+_end'!F18</f>
        <v>0</v>
      </c>
      <c r="G70" s="5">
        <f>LCI_IC!$E14*'IW+_end'!G18</f>
        <v>0</v>
      </c>
      <c r="H70" s="5">
        <f>LCI_IC!$E14*'IW+_end'!H18</f>
        <v>0.35688626153808867</v>
      </c>
      <c r="I70" s="5">
        <f>LCI_IC!$E14*'IW+_end'!I18</f>
        <v>0</v>
      </c>
      <c r="J70" s="5">
        <f>LCI_IC!$E14*'IW+_end'!J18</f>
        <v>0</v>
      </c>
      <c r="K70" s="5">
        <f>LCI_IC!$E14*'IW+_end'!K18</f>
        <v>0</v>
      </c>
      <c r="L70" s="5">
        <f>LCI_IC!$E14*'IW+_end'!L18</f>
        <v>0</v>
      </c>
      <c r="M70" s="5">
        <f>LCI_IC!$E14*'IW+_end'!M18</f>
        <v>0</v>
      </c>
      <c r="N70" s="5">
        <f>LCI_IC!$E14*'IW+_end'!N18</f>
        <v>0</v>
      </c>
      <c r="O70" s="5">
        <f>LCI_IC!$E14*'IW+_end'!O18</f>
        <v>0</v>
      </c>
      <c r="P70" s="5">
        <f>LCI_IC!$E14*'IW+_end'!P18</f>
        <v>0</v>
      </c>
      <c r="Q70" s="5">
        <f>LCI_IC!$E14*'IW+_end'!Q18</f>
        <v>0</v>
      </c>
      <c r="R70" s="5">
        <f>LCI_IC!$E14*'IW+_end'!R18</f>
        <v>0</v>
      </c>
      <c r="S70" s="5">
        <f>LCI_IC!$E14*'IW+_end'!S18</f>
        <v>0</v>
      </c>
      <c r="T70" s="5">
        <f>LCI_IC!$E14*'IW+_end'!T18</f>
        <v>0</v>
      </c>
      <c r="U70" s="5">
        <f>LCI_IC!$E14*'IW+_end'!U18</f>
        <v>0</v>
      </c>
      <c r="V70" s="5">
        <f>LCI_IC!$E14*'IW+_end'!V18</f>
        <v>0</v>
      </c>
      <c r="W70" s="5">
        <f>LCI_IC!$E14*'IW+_end'!W18</f>
        <v>0</v>
      </c>
      <c r="X70" s="5">
        <f>LCI_IC!$E14*'IW+_end'!X18</f>
        <v>0.13700751439928474</v>
      </c>
      <c r="Y70" s="5">
        <f>LCI_IC!$E14*'IW+_end'!Y18</f>
        <v>0</v>
      </c>
      <c r="Z70" s="5">
        <f>LCI_IC!$E14*'IW+_end'!Z18</f>
        <v>3.4282479064016783E-5</v>
      </c>
      <c r="AA70" s="5">
        <f>LCI_IC!$E14*'IW+_end'!AA18</f>
        <v>0</v>
      </c>
      <c r="AB70" s="5">
        <f>LCI_IC!$E14*'IW+_end'!AB18</f>
        <v>0</v>
      </c>
      <c r="AC70" s="5">
        <f>LCI_IC!$E14*'IW+_end'!AC18</f>
        <v>4.6012166934681247</v>
      </c>
      <c r="AD70" s="5">
        <f>LCI_IC!$E14*'IW+_end'!AD18</f>
        <v>0</v>
      </c>
      <c r="AE70" s="5">
        <f>LCI_IC!$E14*'IW+_end'!AE18</f>
        <v>0</v>
      </c>
      <c r="AF70" s="5">
        <f>LCI_IC!$E14*'IW+_end'!AF18</f>
        <v>0</v>
      </c>
      <c r="AG70" s="5">
        <f>LCI_IC!$E14*'IW+_end'!AG18</f>
        <v>5.0951104694054985</v>
      </c>
      <c r="AH70" s="5">
        <f>LCI_IC!$E14*'IW+_end'!AH18</f>
        <v>3.4282479063639921E-5</v>
      </c>
      <c r="AI70" s="5">
        <f>LCI_IC!$E14*'IW+_end'!AI18</f>
        <v>0</v>
      </c>
      <c r="AJ70" s="5">
        <f>LCI_IC!$E14*'IW+_end'!AJ18</f>
        <v>0</v>
      </c>
      <c r="AK70" s="5">
        <f>LCI_IC!$E14*'IW+_end'!AK18</f>
        <v>0</v>
      </c>
    </row>
    <row r="71" spans="1:43" x14ac:dyDescent="0.35">
      <c r="B71" t="s">
        <v>111</v>
      </c>
      <c r="C71">
        <f>LCI_IC!$E15*'IW+_end'!C20</f>
        <v>3.0559652145688294</v>
      </c>
      <c r="D71">
        <f>LCI_IC!$E15*'IW+_end'!D20</f>
        <v>2.2671796337825203</v>
      </c>
      <c r="E71">
        <f>LCI_IC!$E15*'IW+_end'!E20</f>
        <v>4.1185158997802283E-5</v>
      </c>
      <c r="F71">
        <f>LCI_IC!$E15*'IW+_end'!F20</f>
        <v>3.0554717458420595E-5</v>
      </c>
      <c r="G71">
        <f>LCI_IC!$E15*'IW+_end'!G20</f>
        <v>0</v>
      </c>
      <c r="H71">
        <f>LCI_IC!$E15*'IW+_end'!H20</f>
        <v>0</v>
      </c>
      <c r="I71">
        <f>LCI_IC!$E15*'IW+_end'!I20</f>
        <v>0</v>
      </c>
      <c r="J71">
        <f>LCI_IC!$E15*'IW+_end'!J20</f>
        <v>0</v>
      </c>
      <c r="K71">
        <f>LCI_IC!$E15*'IW+_end'!K20</f>
        <v>0</v>
      </c>
      <c r="L71">
        <f>LCI_IC!$E15*'IW+_end'!L20</f>
        <v>0</v>
      </c>
      <c r="M71">
        <f>LCI_IC!$E15*'IW+_end'!M20</f>
        <v>0</v>
      </c>
      <c r="N71">
        <f>LCI_IC!$E15*'IW+_end'!N20</f>
        <v>0</v>
      </c>
      <c r="O71">
        <f>LCI_IC!$E15*'IW+_end'!O20</f>
        <v>0</v>
      </c>
      <c r="P71">
        <f>LCI_IC!$E15*'IW+_end'!P20</f>
        <v>0</v>
      </c>
      <c r="Q71">
        <f>LCI_IC!$E15*'IW+_end'!Q20</f>
        <v>0</v>
      </c>
      <c r="R71">
        <f>LCI_IC!$E15*'IW+_end'!R20</f>
        <v>0</v>
      </c>
      <c r="S71">
        <f>LCI_IC!$E15*'IW+_end'!S20</f>
        <v>0</v>
      </c>
      <c r="T71">
        <f>LCI_IC!$E15*'IW+_end'!T20</f>
        <v>0</v>
      </c>
      <c r="U71">
        <f>LCI_IC!$E15*'IW+_end'!U20</f>
        <v>0</v>
      </c>
      <c r="V71">
        <f>LCI_IC!$E15*'IW+_end'!V20</f>
        <v>0</v>
      </c>
      <c r="W71">
        <f>LCI_IC!$E15*'IW+_end'!W20</f>
        <v>0</v>
      </c>
      <c r="X71">
        <f>LCI_IC!$E15*'IW+_end'!X20</f>
        <v>0</v>
      </c>
      <c r="Y71">
        <f>LCI_IC!$E15*'IW+_end'!Y20</f>
        <v>0</v>
      </c>
      <c r="Z71">
        <f>LCI_IC!$E15*'IW+_end'!Z20</f>
        <v>0</v>
      </c>
      <c r="AA71">
        <f>LCI_IC!$E15*'IW+_end'!AA20</f>
        <v>0</v>
      </c>
      <c r="AB71">
        <f>LCI_IC!$E15*'IW+_end'!AB20</f>
        <v>0</v>
      </c>
      <c r="AC71">
        <f>LCI_IC!$E15*'IW+_end'!AC20</f>
        <v>0</v>
      </c>
      <c r="AD71">
        <f>LCI_IC!$E15*'IW+_end'!AD20</f>
        <v>0</v>
      </c>
      <c r="AE71">
        <f>LCI_IC!$E15*'IW+_end'!AE20</f>
        <v>0</v>
      </c>
      <c r="AF71">
        <f>LCI_IC!$E15*'IW+_end'!AF20</f>
        <v>0</v>
      </c>
      <c r="AG71">
        <f>LCI_IC!$E15*'IW+_end'!AG20</f>
        <v>5.3231448483513493</v>
      </c>
      <c r="AH71">
        <f>LCI_IC!$E15*'IW+_end'!AH20</f>
        <v>7.1739876455951352E-5</v>
      </c>
      <c r="AI71">
        <f>LCI_IC!$E15*'IW+_end'!AI20</f>
        <v>0</v>
      </c>
      <c r="AJ71">
        <f>LCI_IC!$E15*'IW+_end'!AJ20</f>
        <v>0</v>
      </c>
      <c r="AK71">
        <f>LCI_IC!$E15*'IW+_end'!AK20</f>
        <v>0</v>
      </c>
    </row>
    <row r="72" spans="1:43" x14ac:dyDescent="0.35">
      <c r="B72" t="s">
        <v>249</v>
      </c>
      <c r="C72">
        <f>LCI_IC!$E17*'IW+_end'!C2</f>
        <v>0.2039824918397809</v>
      </c>
      <c r="D72">
        <f>LCI_IC!$E17*'IW+_end'!D2</f>
        <v>6.2488633467763302E-2</v>
      </c>
      <c r="E72">
        <f>LCI_IC!$E17*'IW+_end'!E2</f>
        <v>2.7490664223331478E-6</v>
      </c>
      <c r="F72">
        <f>LCI_IC!$E17*'IW+_end'!F2</f>
        <v>8.4215759153800914E-7</v>
      </c>
      <c r="G72">
        <f>LCI_IC!$E17*'IW+_end'!G2</f>
        <v>6.252283326323102E-20</v>
      </c>
      <c r="H72">
        <f>LCI_IC!$E17*'IW+_end'!H2</f>
        <v>3.606038332554933E-3</v>
      </c>
      <c r="I72">
        <f>LCI_IC!$E17*'IW+_end'!I2</f>
        <v>0.17247935844769632</v>
      </c>
      <c r="J72">
        <f>LCI_IC!$E17*'IW+_end'!J2</f>
        <v>8.5693363875985126E-3</v>
      </c>
      <c r="K72">
        <f>LCI_IC!$E17*'IW+_end'!K2</f>
        <v>1.4887524165772464E-5</v>
      </c>
      <c r="L72">
        <f>LCI_IC!$E17*'IW+_end'!L2</f>
        <v>6.0422261802961613E-9</v>
      </c>
      <c r="M72">
        <f>LCI_IC!$E17*'IW+_end'!M2</f>
        <v>1.1524704738517235E-7</v>
      </c>
      <c r="N72">
        <f>LCI_IC!$E17*'IW+_end'!N2</f>
        <v>1.3663212053954253E-7</v>
      </c>
      <c r="O72">
        <f>LCI_IC!$E17*'IW+_end'!O2</f>
        <v>7.2730604617469096E-8</v>
      </c>
      <c r="P72">
        <f>LCI_IC!$E17*'IW+_end'!P2</f>
        <v>2.8740273003296317E-9</v>
      </c>
      <c r="Q72">
        <f>LCI_IC!$E17*'IW+_end'!Q2</f>
        <v>8.862718083347123E-8</v>
      </c>
      <c r="R72">
        <f>LCI_IC!$E17*'IW+_end'!R2</f>
        <v>1.1481097709190627E-2</v>
      </c>
      <c r="S72">
        <f>LCI_IC!$E17*'IW+_end'!S2</f>
        <v>8.0943797579757122E-3</v>
      </c>
      <c r="T72">
        <f>LCI_IC!$E17*'IW+_end'!T2</f>
        <v>7.1168247873253002E-2</v>
      </c>
      <c r="U72">
        <f>LCI_IC!$E17*'IW+_end'!U2</f>
        <v>7.7254754685920739E-3</v>
      </c>
      <c r="V72">
        <f>LCI_IC!$E17*'IW+_end'!V2</f>
        <v>6.7001243942914083E-7</v>
      </c>
      <c r="W72">
        <f>LCI_IC!$E17*'IW+_end'!W2</f>
        <v>1.8439338594244798E-7</v>
      </c>
      <c r="X72">
        <f>LCI_IC!$E17*'IW+_end'!X2</f>
        <v>4.719342938694904E-4</v>
      </c>
      <c r="Y72">
        <f>LCI_IC!$E17*'IW+_end'!Y2</f>
        <v>3.2104071375822308E-11</v>
      </c>
      <c r="Z72">
        <f>LCI_IC!$E17*'IW+_end'!Z2</f>
        <v>2.5987464549455609E-7</v>
      </c>
      <c r="AA72">
        <f>LCI_IC!$E17*'IW+_end'!AA2</f>
        <v>1.0940386033358009E-2</v>
      </c>
      <c r="AB72">
        <f>LCI_IC!$E17*'IW+_end'!AB2</f>
        <v>1.0875598736931017E-9</v>
      </c>
      <c r="AC72">
        <f>LCI_IC!$E17*'IW+_end'!AC2</f>
        <v>2.3796048530604092E-2</v>
      </c>
      <c r="AD72">
        <f>LCI_IC!$E17*'IW+_end'!AD2</f>
        <v>2.4456396451755423E-2</v>
      </c>
      <c r="AE72">
        <f>LCI_IC!$E17*'IW+_end'!AE2</f>
        <v>6.7303585868993517E-3</v>
      </c>
      <c r="AF72">
        <f>LCI_IC!$E17*'IW+_end'!AF2</f>
        <v>1.3196293957002266E-3</v>
      </c>
      <c r="AG72">
        <f>LCI_IC!$E17*'IW+_end'!AG2</f>
        <v>0.61734278428526745</v>
      </c>
      <c r="AH72">
        <f>LCI_IC!$E17*'IW+_end'!AH2</f>
        <v>5.12757849431806E-6</v>
      </c>
      <c r="AI72">
        <f>LCI_IC!$E17*'IW+_end'!AI2</f>
        <v>7.0088769941849565E-6</v>
      </c>
      <c r="AJ72">
        <f>LCI_IC!$E17*'IW+_end'!AJ2</f>
        <v>8.5608099145145577E-7</v>
      </c>
      <c r="AK72">
        <f>LCI_IC!$E17*'IW+_end'!AK2</f>
        <v>1.0218027663432276E-5</v>
      </c>
    </row>
    <row r="73" spans="1:43" x14ac:dyDescent="0.35">
      <c r="A73" t="s">
        <v>351</v>
      </c>
    </row>
    <row r="74" spans="1:43" x14ac:dyDescent="0.35">
      <c r="B74" t="s">
        <v>110</v>
      </c>
      <c r="C74" s="5">
        <f>LCI_IC!$E19*'IW+_end'!C18</f>
        <v>0</v>
      </c>
      <c r="D74" s="5">
        <f>LCI_IC!$E19*'IW+_end'!D18</f>
        <v>0</v>
      </c>
      <c r="E74" s="5">
        <f>LCI_IC!$E19*'IW+_end'!E18</f>
        <v>0</v>
      </c>
      <c r="F74" s="5">
        <f>LCI_IC!$E19*'IW+_end'!F18</f>
        <v>0</v>
      </c>
      <c r="G74" s="5">
        <f>LCI_IC!$E19*'IW+_end'!G18</f>
        <v>0</v>
      </c>
      <c r="H74" s="5">
        <f>LCI_IC!$E19*'IW+_end'!H18</f>
        <v>0.52167445673855295</v>
      </c>
      <c r="I74" s="5">
        <f>LCI_IC!$E19*'IW+_end'!I18</f>
        <v>0</v>
      </c>
      <c r="J74" s="5">
        <f>LCI_IC!$E19*'IW+_end'!J18</f>
        <v>0</v>
      </c>
      <c r="K74" s="5">
        <f>LCI_IC!$E19*'IW+_end'!K18</f>
        <v>0</v>
      </c>
      <c r="L74" s="5">
        <f>LCI_IC!$E19*'IW+_end'!L18</f>
        <v>0</v>
      </c>
      <c r="M74" s="5">
        <f>LCI_IC!$E19*'IW+_end'!M18</f>
        <v>0</v>
      </c>
      <c r="N74" s="5">
        <f>LCI_IC!$E19*'IW+_end'!N18</f>
        <v>0</v>
      </c>
      <c r="O74" s="5">
        <f>LCI_IC!$E19*'IW+_end'!O18</f>
        <v>0</v>
      </c>
      <c r="P74" s="5">
        <f>LCI_IC!$E19*'IW+_end'!P18</f>
        <v>0</v>
      </c>
      <c r="Q74" s="5">
        <f>LCI_IC!$E19*'IW+_end'!Q18</f>
        <v>0</v>
      </c>
      <c r="R74" s="5">
        <f>LCI_IC!$E19*'IW+_end'!R18</f>
        <v>0</v>
      </c>
      <c r="S74" s="5">
        <f>LCI_IC!$E19*'IW+_end'!S18</f>
        <v>0</v>
      </c>
      <c r="T74" s="5">
        <f>LCI_IC!$E19*'IW+_end'!T18</f>
        <v>0</v>
      </c>
      <c r="U74" s="5">
        <f>LCI_IC!$E19*'IW+_end'!U18</f>
        <v>0</v>
      </c>
      <c r="V74" s="5">
        <f>LCI_IC!$E19*'IW+_end'!V18</f>
        <v>0</v>
      </c>
      <c r="W74" s="5">
        <f>LCI_IC!$E19*'IW+_end'!W18</f>
        <v>0</v>
      </c>
      <c r="X74" s="5">
        <f>LCI_IC!$E19*'IW+_end'!X18</f>
        <v>0.20026918474057975</v>
      </c>
      <c r="Y74" s="5">
        <f>LCI_IC!$E19*'IW+_end'!Y18</f>
        <v>0</v>
      </c>
      <c r="Z74" s="5">
        <f>LCI_IC!$E19*'IW+_end'!Z18</f>
        <v>5.0112026067618947E-5</v>
      </c>
      <c r="AA74" s="5">
        <f>LCI_IC!$E19*'IW+_end'!AA18</f>
        <v>0</v>
      </c>
      <c r="AB74" s="5">
        <f>LCI_IC!$E19*'IW+_end'!AB18</f>
        <v>0</v>
      </c>
      <c r="AC74" s="5">
        <f>LCI_IC!$E19*'IW+_end'!AC18</f>
        <v>6.7257764660273125</v>
      </c>
      <c r="AD74" s="5">
        <f>LCI_IC!$E19*'IW+_end'!AD18</f>
        <v>0</v>
      </c>
      <c r="AE74" s="5">
        <f>LCI_IC!$E19*'IW+_end'!AE18</f>
        <v>0</v>
      </c>
      <c r="AF74" s="5">
        <f>LCI_IC!$E19*'IW+_end'!AF18</f>
        <v>0</v>
      </c>
      <c r="AG74" s="5">
        <f>LCI_IC!$E19*'IW+_end'!AG18</f>
        <v>7.4477201075064459</v>
      </c>
      <c r="AH74" s="5">
        <f>LCI_IC!$E19*'IW+_end'!AH18</f>
        <v>5.0112026067068077E-5</v>
      </c>
      <c r="AI74" s="5">
        <f>LCI_IC!$E19*'IW+_end'!AI18</f>
        <v>0</v>
      </c>
      <c r="AJ74" s="5">
        <f>LCI_IC!$E19*'IW+_end'!AJ18</f>
        <v>0</v>
      </c>
      <c r="AK74" s="5">
        <f>LCI_IC!$E19*'IW+_end'!AK18</f>
        <v>0</v>
      </c>
    </row>
    <row r="75" spans="1:43" x14ac:dyDescent="0.35">
      <c r="B75" t="s">
        <v>111</v>
      </c>
      <c r="C75" s="5">
        <f>LCI_IC!$E20*'IW+_end'!C20</f>
        <v>5.0388758798033857</v>
      </c>
      <c r="D75" s="5">
        <f>LCI_IC!$E20*'IW+_end'!D20</f>
        <v>3.7382744794953595</v>
      </c>
      <c r="E75" s="5">
        <f>LCI_IC!$E20*'IW+_end'!E20</f>
        <v>6.7908791399372509E-5</v>
      </c>
      <c r="F75" s="5">
        <f>LCI_IC!$E20*'IW+_end'!F20</f>
        <v>5.0380622162011616E-5</v>
      </c>
      <c r="G75" s="5">
        <f>LCI_IC!$E20*'IW+_end'!G20</f>
        <v>0</v>
      </c>
      <c r="H75" s="5">
        <f>LCI_IC!$E20*'IW+_end'!H20</f>
        <v>0</v>
      </c>
      <c r="I75" s="5">
        <f>LCI_IC!$E20*'IW+_end'!I20</f>
        <v>0</v>
      </c>
      <c r="J75" s="5">
        <f>LCI_IC!$E20*'IW+_end'!J20</f>
        <v>0</v>
      </c>
      <c r="K75" s="5">
        <f>LCI_IC!$E20*'IW+_end'!K20</f>
        <v>0</v>
      </c>
      <c r="L75" s="5">
        <f>LCI_IC!$E20*'IW+_end'!L20</f>
        <v>0</v>
      </c>
      <c r="M75" s="5">
        <f>LCI_IC!$E20*'IW+_end'!M20</f>
        <v>0</v>
      </c>
      <c r="N75" s="5">
        <f>LCI_IC!$E20*'IW+_end'!N20</f>
        <v>0</v>
      </c>
      <c r="O75" s="5">
        <f>LCI_IC!$E20*'IW+_end'!O20</f>
        <v>0</v>
      </c>
      <c r="P75" s="5">
        <f>LCI_IC!$E20*'IW+_end'!P20</f>
        <v>0</v>
      </c>
      <c r="Q75" s="5">
        <f>LCI_IC!$E20*'IW+_end'!Q20</f>
        <v>0</v>
      </c>
      <c r="R75" s="5">
        <f>LCI_IC!$E20*'IW+_end'!R20</f>
        <v>0</v>
      </c>
      <c r="S75" s="5">
        <f>LCI_IC!$E20*'IW+_end'!S20</f>
        <v>0</v>
      </c>
      <c r="T75" s="5">
        <f>LCI_IC!$E20*'IW+_end'!T20</f>
        <v>0</v>
      </c>
      <c r="U75" s="5">
        <f>LCI_IC!$E20*'IW+_end'!U20</f>
        <v>0</v>
      </c>
      <c r="V75" s="5">
        <f>LCI_IC!$E20*'IW+_end'!V20</f>
        <v>0</v>
      </c>
      <c r="W75" s="5">
        <f>LCI_IC!$E20*'IW+_end'!W20</f>
        <v>0</v>
      </c>
      <c r="X75" s="5">
        <f>LCI_IC!$E20*'IW+_end'!X20</f>
        <v>0</v>
      </c>
      <c r="Y75" s="5">
        <f>LCI_IC!$E20*'IW+_end'!Y20</f>
        <v>0</v>
      </c>
      <c r="Z75" s="5">
        <f>LCI_IC!$E20*'IW+_end'!Z20</f>
        <v>0</v>
      </c>
      <c r="AA75" s="5">
        <f>LCI_IC!$E20*'IW+_end'!AA20</f>
        <v>0</v>
      </c>
      <c r="AB75" s="5">
        <f>LCI_IC!$E20*'IW+_end'!AB20</f>
        <v>0</v>
      </c>
      <c r="AC75" s="5">
        <f>LCI_IC!$E20*'IW+_end'!AC20</f>
        <v>0</v>
      </c>
      <c r="AD75" s="5">
        <f>LCI_IC!$E20*'IW+_end'!AD20</f>
        <v>0</v>
      </c>
      <c r="AE75" s="5">
        <f>LCI_IC!$E20*'IW+_end'!AE20</f>
        <v>0</v>
      </c>
      <c r="AF75" s="5">
        <f>LCI_IC!$E20*'IW+_end'!AF20</f>
        <v>0</v>
      </c>
      <c r="AG75" s="5">
        <f>LCI_IC!$E20*'IW+_end'!AG20</f>
        <v>8.7771503592987443</v>
      </c>
      <c r="AH75" s="5">
        <f>LCI_IC!$E20*'IW+_end'!AH20</f>
        <v>1.1828941356093644E-4</v>
      </c>
      <c r="AI75" s="5">
        <f>LCI_IC!$E20*'IW+_end'!AI20</f>
        <v>0</v>
      </c>
      <c r="AJ75" s="5">
        <f>LCI_IC!$E20*'IW+_end'!AJ20</f>
        <v>0</v>
      </c>
      <c r="AK75" s="5">
        <f>LCI_IC!$E20*'IW+_end'!AK20</f>
        <v>0</v>
      </c>
    </row>
    <row r="76" spans="1:43" x14ac:dyDescent="0.35">
      <c r="B76" t="s">
        <v>114</v>
      </c>
      <c r="C76" s="5">
        <f>LCI_IC!$E21*'IW+_end'!C21</f>
        <v>0</v>
      </c>
      <c r="D76" s="5">
        <f>LCI_IC!$E21*'IW+_end'!D21</f>
        <v>0</v>
      </c>
      <c r="E76" s="5">
        <f>LCI_IC!$E21*'IW+_end'!E21</f>
        <v>0</v>
      </c>
      <c r="F76" s="5">
        <f>LCI_IC!$E21*'IW+_end'!F21</f>
        <v>0</v>
      </c>
      <c r="G76" s="5">
        <f>LCI_IC!$E21*'IW+_end'!G21</f>
        <v>0</v>
      </c>
      <c r="H76" s="5">
        <f>LCI_IC!$E21*'IW+_end'!H21</f>
        <v>0</v>
      </c>
      <c r="I76" s="5">
        <f>LCI_IC!$E21*'IW+_end'!I21</f>
        <v>0</v>
      </c>
      <c r="J76" s="5">
        <f>LCI_IC!$E21*'IW+_end'!J21</f>
        <v>0</v>
      </c>
      <c r="K76" s="5">
        <f>LCI_IC!$E21*'IW+_end'!K21</f>
        <v>0</v>
      </c>
      <c r="L76" s="5">
        <f>LCI_IC!$E21*'IW+_end'!L21</f>
        <v>0</v>
      </c>
      <c r="M76" s="5">
        <f>LCI_IC!$E21*'IW+_end'!M21</f>
        <v>0</v>
      </c>
      <c r="N76" s="5">
        <f>LCI_IC!$E21*'IW+_end'!N21</f>
        <v>0</v>
      </c>
      <c r="O76" s="5">
        <f>LCI_IC!$E21*'IW+_end'!O21</f>
        <v>0</v>
      </c>
      <c r="P76" s="5">
        <f>LCI_IC!$E21*'IW+_end'!P21</f>
        <v>0</v>
      </c>
      <c r="Q76" s="5">
        <f>LCI_IC!$E21*'IW+_end'!Q21</f>
        <v>0</v>
      </c>
      <c r="R76" s="5">
        <f>LCI_IC!$E21*'IW+_end'!R21</f>
        <v>0</v>
      </c>
      <c r="S76" s="5">
        <f>LCI_IC!$E21*'IW+_end'!S21</f>
        <v>0</v>
      </c>
      <c r="T76" s="5">
        <f>LCI_IC!$E21*'IW+_end'!T21</f>
        <v>0</v>
      </c>
      <c r="U76" s="5">
        <f>LCI_IC!$E21*'IW+_end'!U21</f>
        <v>0</v>
      </c>
      <c r="V76" s="5">
        <f>LCI_IC!$E21*'IW+_end'!V21</f>
        <v>0</v>
      </c>
      <c r="W76" s="5">
        <f>LCI_IC!$E21*'IW+_end'!W21</f>
        <v>0</v>
      </c>
      <c r="X76" s="5">
        <f>LCI_IC!$E21*'IW+_end'!X21</f>
        <v>20.469849149257051</v>
      </c>
      <c r="Y76" s="5">
        <f>LCI_IC!$E21*'IW+_end'!Y21</f>
        <v>0</v>
      </c>
      <c r="Z76" s="5">
        <f>LCI_IC!$E21*'IW+_end'!Z21</f>
        <v>0</v>
      </c>
      <c r="AA76" s="5">
        <f>LCI_IC!$E21*'IW+_end'!AA21</f>
        <v>0</v>
      </c>
      <c r="AB76" s="5">
        <f>LCI_IC!$E21*'IW+_end'!AB21</f>
        <v>0</v>
      </c>
      <c r="AC76" s="5">
        <f>LCI_IC!$E21*'IW+_end'!AC21</f>
        <v>0</v>
      </c>
      <c r="AD76" s="5">
        <f>LCI_IC!$E21*'IW+_end'!AD21</f>
        <v>0</v>
      </c>
      <c r="AE76" s="5">
        <f>LCI_IC!$E21*'IW+_end'!AE21</f>
        <v>0</v>
      </c>
      <c r="AF76" s="5">
        <f>LCI_IC!$E21*'IW+_end'!AF21</f>
        <v>0</v>
      </c>
      <c r="AG76" s="5">
        <f>LCI_IC!$E21*'IW+_end'!AG21</f>
        <v>20.469849149257051</v>
      </c>
      <c r="AH76" s="5">
        <f>LCI_IC!$E21*'IW+_end'!AH21</f>
        <v>0</v>
      </c>
      <c r="AI76" s="5">
        <f>LCI_IC!$E21*'IW+_end'!AI21</f>
        <v>0</v>
      </c>
      <c r="AJ76" s="5">
        <f>LCI_IC!$E21*'IW+_end'!AJ21</f>
        <v>0</v>
      </c>
      <c r="AK76" s="5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B77" t="s">
        <v>414</v>
      </c>
    </row>
    <row r="78" spans="1:43" x14ac:dyDescent="0.35">
      <c r="B78" t="s">
        <v>415</v>
      </c>
    </row>
    <row r="79" spans="1:43" x14ac:dyDescent="0.35">
      <c r="A79" t="s">
        <v>421</v>
      </c>
    </row>
    <row r="80" spans="1:43" x14ac:dyDescent="0.35">
      <c r="B80" t="s">
        <v>228</v>
      </c>
    </row>
    <row r="81" spans="2:2" x14ac:dyDescent="0.35">
      <c r="B81" t="s">
        <v>230</v>
      </c>
    </row>
    <row r="82" spans="2:2" x14ac:dyDescent="0.35">
      <c r="B82" t="s">
        <v>229</v>
      </c>
    </row>
    <row r="83" spans="2:2" x14ac:dyDescent="0.35">
      <c r="B83" t="s">
        <v>231</v>
      </c>
    </row>
  </sheetData>
  <mergeCells count="1">
    <mergeCell ref="A27:G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C33" sqref="C33:AK33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7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7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7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7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7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7" x14ac:dyDescent="0.35">
      <c r="A39" t="s">
        <v>345</v>
      </c>
      <c r="B39" t="s">
        <v>219</v>
      </c>
      <c r="C39">
        <f>(C9*0.75)+(C6*0.25)</f>
        <v>1.1727115942784574E-2</v>
      </c>
      <c r="D39">
        <f t="shared" ref="D39:AK39" si="2">(D9*0.75)+(D6*0.25)</f>
        <v>3.6711148979433001E-3</v>
      </c>
      <c r="E39">
        <f t="shared" si="2"/>
        <v>1.5804601845161695E-7</v>
      </c>
      <c r="F39">
        <f t="shared" si="2"/>
        <v>4.9475514331837038E-8</v>
      </c>
      <c r="G39">
        <f t="shared" si="2"/>
        <v>6.9460622609848014E-20</v>
      </c>
      <c r="H39">
        <f t="shared" si="2"/>
        <v>2.8950958079851418E-4</v>
      </c>
      <c r="I39">
        <f t="shared" si="2"/>
        <v>9.4707528221052092E-3</v>
      </c>
      <c r="J39">
        <f t="shared" si="2"/>
        <v>7.0289635981306796E-4</v>
      </c>
      <c r="K39">
        <f t="shared" si="2"/>
        <v>4.7183027696029896E-6</v>
      </c>
      <c r="L39">
        <f t="shared" si="2"/>
        <v>1.7136685013317717E-10</v>
      </c>
      <c r="M39">
        <f t="shared" si="2"/>
        <v>4.67974974953058E-9</v>
      </c>
      <c r="N39">
        <f t="shared" si="2"/>
        <v>6.4559481908081532E-9</v>
      </c>
      <c r="O39">
        <f t="shared" si="2"/>
        <v>4.8828787957331204E-9</v>
      </c>
      <c r="P39">
        <f t="shared" si="2"/>
        <v>2.0297511115292472E-12</v>
      </c>
      <c r="Q39">
        <f t="shared" si="2"/>
        <v>3.1285038827269542E-11</v>
      </c>
      <c r="R39">
        <f t="shared" si="2"/>
        <v>1.1398005392967514E-2</v>
      </c>
      <c r="S39">
        <f t="shared" si="2"/>
        <v>1.7228357601727074E-3</v>
      </c>
      <c r="T39">
        <f t="shared" si="2"/>
        <v>4.1816202097337421E-3</v>
      </c>
      <c r="U39">
        <f t="shared" si="2"/>
        <v>4.5392411360181245E-4</v>
      </c>
      <c r="V39">
        <f t="shared" si="2"/>
        <v>4.3142434111056332E-8</v>
      </c>
      <c r="W39">
        <f t="shared" si="2"/>
        <v>2.7447044429275303E-8</v>
      </c>
      <c r="X39">
        <f t="shared" si="2"/>
        <v>6.9804730020985907E-5</v>
      </c>
      <c r="Y39">
        <f t="shared" si="2"/>
        <v>1.4440704601025176E-12</v>
      </c>
      <c r="Z39">
        <f t="shared" si="2"/>
        <v>3.8167541676825349E-7</v>
      </c>
      <c r="AA39">
        <f t="shared" si="2"/>
        <v>2.2932760445962914E-3</v>
      </c>
      <c r="AB39">
        <f t="shared" si="2"/>
        <v>2.347040242986831E-10</v>
      </c>
      <c r="AC39">
        <f t="shared" si="2"/>
        <v>2.2059843295259137E-3</v>
      </c>
      <c r="AD39">
        <f t="shared" si="2"/>
        <v>1.5747046487109171E-3</v>
      </c>
      <c r="AE39">
        <f t="shared" si="2"/>
        <v>1.0018171216685486E-3</v>
      </c>
      <c r="AF39">
        <f t="shared" si="2"/>
        <v>3.0109941251384952E-6</v>
      </c>
      <c r="AG39">
        <f t="shared" si="2"/>
        <v>5.0772048261817547E-2</v>
      </c>
      <c r="AH39">
        <f t="shared" si="2"/>
        <v>6.1655176047584382E-7</v>
      </c>
      <c r="AI39">
        <f t="shared" si="2"/>
        <v>8.921910035750695E-8</v>
      </c>
      <c r="AJ39">
        <f t="shared" si="2"/>
        <v>1.0897434204346044E-8</v>
      </c>
      <c r="AK39">
        <f t="shared" si="2"/>
        <v>7.9719987107931683E-7</v>
      </c>
    </row>
  </sheetData>
  <autoFilter ref="A1:AK35" xr:uid="{53E97A23-3613-4D1B-AFA4-17D7DC5FF14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28</vt:i4>
      </vt:variant>
      <vt:variant>
        <vt:lpstr>Plages nommées</vt:lpstr>
      </vt:variant>
      <vt:variant>
        <vt:i4>5</vt:i4>
      </vt:variant>
    </vt:vector>
  </HeadingPairs>
  <TitlesOfParts>
    <vt:vector size="33" baseType="lpstr">
      <vt:lpstr>LCIA_AD-f</vt:lpstr>
      <vt:lpstr>IW+f</vt:lpstr>
      <vt:lpstr>LCIA_AD-e</vt:lpstr>
      <vt:lpstr>LCI_AD-e</vt:lpstr>
      <vt:lpstr>LCI_AD-f</vt:lpstr>
      <vt:lpstr>LCIA_AD-d</vt:lpstr>
      <vt:lpstr>Waste_characteristics</vt:lpstr>
      <vt:lpstr>Parameters</vt:lpstr>
      <vt:lpstr>LCI_AD-b</vt:lpstr>
      <vt:lpstr>LCI</vt:lpstr>
      <vt:lpstr>LCI_AD-a</vt:lpstr>
      <vt:lpstr>LCI_AD-c</vt:lpstr>
      <vt:lpstr>LCI_AD-d</vt:lpstr>
      <vt:lpstr>params_HC</vt:lpstr>
      <vt:lpstr>LCI_HC</vt:lpstr>
      <vt:lpstr>LCIA_HC</vt:lpstr>
      <vt:lpstr>LCIA_AD-a</vt:lpstr>
      <vt:lpstr>LCIA_AD-b</vt:lpstr>
      <vt:lpstr>LCIA_AD-c</vt:lpstr>
      <vt:lpstr>LCI_IC</vt:lpstr>
      <vt:lpstr>LCIA_IC</vt:lpstr>
      <vt:lpstr>IW+_end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2026-01-08T10:04:08Z</dcterms:modified>
</cp:coreProperties>
</file>