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CAA97BDD-65DC-479C-8ED8-BD45C94531AC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12" i="1"/>
  <c r="D3" i="1"/>
  <c r="C3" i="1"/>
  <c r="D6" i="1"/>
  <c r="C6" i="1"/>
  <c r="D21" i="1" l="1"/>
  <c r="D7" i="1" l="1"/>
  <c r="C7" i="1"/>
  <c r="D9" i="1" l="1"/>
  <c r="C9" i="1"/>
  <c r="C8" i="1" l="1"/>
  <c r="D8" i="1"/>
</calcChain>
</file>

<file path=xl/sharedStrings.xml><?xml version="1.0" encoding="utf-8"?>
<sst xmlns="http://schemas.openxmlformats.org/spreadsheetml/2006/main" count="66" uniqueCount="39">
  <si>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</si>
  <si>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</si>
  <si>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</si>
  <si>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</si>
  <si>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</si>
  <si>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</si>
  <si>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</si>
  <si>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</si>
  <si>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</si>
  <si>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</si>
  <si>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</si>
  <si>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</si>
  <si>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</t>
  </si>
  <si>
    <t>t of waste</t>
  </si>
  <si>
    <t>MJ.km</t>
  </si>
  <si>
    <t>kWh.km</t>
  </si>
  <si>
    <t>Conventional products</t>
  </si>
  <si>
    <t>Fertilizer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</si>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</sst>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"/>
      <sheetName val="LCI_AD-d"/>
      <sheetName val="LCI_AD-a"/>
      <sheetName val="LCI_AD-b"/>
      <sheetName val="params_HC"/>
      <sheetName val="LCIA_HC"/>
      <sheetName val="LCI_HC"/>
      <sheetName val="LCIA_AD-a"/>
      <sheetName val="LCIA_AD-b"/>
      <sheetName val="LCI_AD-c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C4">
            <v>0.189012950359117</v>
          </cell>
          <cell r="G4">
            <v>1.70536535909314E-2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0">
          <cell r="C70">
            <v>34.264521044421535</v>
          </cell>
          <cell r="G70">
            <v>1.4632061758519388</v>
          </cell>
        </row>
      </sheetData>
      <sheetData sheetId="14"/>
      <sheetData sheetId="15">
        <row r="5">
          <cell r="C5">
            <v>130.89983518703079</v>
          </cell>
          <cell r="G5">
            <v>15.5837763706547</v>
          </cell>
        </row>
      </sheetData>
      <sheetData sheetId="16">
        <row r="5">
          <cell r="C5">
            <v>115.03586225244955</v>
          </cell>
          <cell r="G5">
            <v>16.267041103736279</v>
          </cell>
        </row>
      </sheetData>
      <sheetData sheetId="17"/>
      <sheetData sheetId="18"/>
      <sheetData sheetId="19"/>
      <sheetData sheetId="20">
        <row r="29">
          <cell r="C29">
            <v>35.421319139716672</v>
          </cell>
          <cell r="G29">
            <v>13.278828638799126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29"/>
  <sheetViews>
    <sheetView tabSelected="1" zoomScale="80" zoomScaleNormal="80" zoomScaleSheetLayoutView="90" workbookViewId="0">
      <selection activeCell="C12" sqref="C12"/>
    </sheetView>
  </sheetViews>
  <sheetFormatPr baseColWidth="10" defaultRowHeight="14.5" x14ac:dyDescent="0.35"/>
  <cols>
    <col min="1" max="1" width="27.1796875" customWidth="1"/>
    <col min="2" max="2" width="14.90625" customWidth="1"/>
    <col min="3" max="3" width="16.81640625" customWidth="1"/>
    <col min="4" max="4" width="15.26953125" customWidth="1"/>
    <col min="5" max="5" width="16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8" x14ac:dyDescent="0.35">
      <c r="C2" t="s">
        <v>21</v>
      </c>
      <c r="D2" t="s">
        <v>22</v>
      </c>
    </row>
    <row r="3" spans="1:8" x14ac:dyDescent="0.35">
      <c r="A3" s="1" t="s">
        <v>5</v>
      </c>
      <c r="B3" t="s">
        <v>4</v>
      </c>
      <c r="C3">
        <f>'[1]IW+f'!$C$4</f>
        <v>0.189012950359117</v>
      </c>
      <c r="D3">
        <f>'[1]IW+f'!$G$4</f>
        <v>1.70536535909314E-2</v>
      </c>
    </row>
    <row r="4" spans="1:8" x14ac:dyDescent="0.35">
      <c r="A4" s="1" t="s">
        <v>37</v>
      </c>
      <c r="B4" t="s">
        <v>4</v>
      </c>
      <c r="C4">
        <v>1.38914</v>
      </c>
      <c r="D4">
        <v>4.6600000000000003E-2</v>
      </c>
    </row>
    <row r="5" spans="1:8" x14ac:dyDescent="0.35">
      <c r="A5" s="2" t="s">
        <v>6</v>
      </c>
    </row>
    <row r="6" spans="1:8" x14ac:dyDescent="0.35">
      <c r="A6" t="s">
        <v>9</v>
      </c>
      <c r="B6" t="s">
        <v>13</v>
      </c>
      <c r="C6" s="3">
        <f>[1]LCIA_HC!$C$70</f>
        <v>34.264521044421535</v>
      </c>
      <c r="D6">
        <f>[1]LCIA_HC!$G$70</f>
        <v>1.4632061758519388</v>
      </c>
    </row>
    <row r="7" spans="1:8" x14ac:dyDescent="0.35">
      <c r="A7" t="s">
        <v>10</v>
      </c>
      <c r="B7" t="s">
        <v>13</v>
      </c>
      <c r="C7" s="4">
        <f>[1]LCIA_IC!$C$29</f>
        <v>35.421319139716672</v>
      </c>
      <c r="D7" s="4">
        <f>[1]LCIA_IC!$G$29</f>
        <v>13.278828638799126</v>
      </c>
      <c r="H7" s="3"/>
    </row>
    <row r="8" spans="1:8" x14ac:dyDescent="0.35">
      <c r="A8" t="s">
        <v>7</v>
      </c>
      <c r="B8" t="s">
        <v>13</v>
      </c>
      <c r="C8" s="4">
        <f>'[1]LCIA_AD-a'!$C$5</f>
        <v>130.89983518703079</v>
      </c>
      <c r="D8" s="4">
        <f>'[1]LCIA_AD-a'!$G$5</f>
        <v>15.5837763706547</v>
      </c>
    </row>
    <row r="9" spans="1:8" x14ac:dyDescent="0.35">
      <c r="A9" t="s">
        <v>8</v>
      </c>
      <c r="B9" t="s">
        <v>13</v>
      </c>
      <c r="C9" s="4">
        <f>'[1]LCIA_AD-b'!$C$5</f>
        <v>115.03586225244955</v>
      </c>
      <c r="D9" s="4">
        <f>'[1]LCIA_AD-b'!$G$5</f>
        <v>16.267041103736279</v>
      </c>
    </row>
    <row r="10" spans="1:8" x14ac:dyDescent="0.35">
      <c r="A10" t="s">
        <v>27</v>
      </c>
      <c r="B10" t="s">
        <v>13</v>
      </c>
      <c r="C10" s="3">
        <v>125</v>
      </c>
      <c r="D10" s="3">
        <v>12</v>
      </c>
    </row>
    <row r="11" spans="1:8" x14ac:dyDescent="0.35">
      <c r="A11" s="2" t="s">
        <v>11</v>
      </c>
    </row>
    <row r="12" spans="1:8" x14ac:dyDescent="0.35">
      <c r="A12" t="s">
        <v>23</v>
      </c>
      <c r="B12" t="s">
        <v>4</v>
      </c>
      <c r="C12">
        <f>'[1]IW+f'!$C$4</f>
        <v>0.189012950359117</v>
      </c>
      <c r="D12">
        <f>'[1]IW+f'!$G$4</f>
        <v>1.70536535909314E-2</v>
      </c>
    </row>
    <row r="13" spans="1:8" x14ac:dyDescent="0.35">
      <c r="A13" t="s">
        <v>38</v>
      </c>
      <c r="B13" t="s">
        <v>4</v>
      </c>
      <c r="C13" s="3">
        <v>0</v>
      </c>
      <c r="D13" s="3">
        <v>0</v>
      </c>
    </row>
    <row r="14" spans="1:8" x14ac:dyDescent="0.35">
      <c r="A14" t="s">
        <v>24</v>
      </c>
      <c r="B14" t="s">
        <v>4</v>
      </c>
      <c r="C14">
        <v>0.23535</v>
      </c>
      <c r="D14">
        <v>2.1149999999999999E-2</v>
      </c>
    </row>
    <row r="15" spans="1:8" x14ac:dyDescent="0.35">
      <c r="A15" t="s">
        <v>25</v>
      </c>
      <c r="B15" t="s">
        <v>14</v>
      </c>
      <c r="C15">
        <v>0</v>
      </c>
      <c r="D15">
        <v>0</v>
      </c>
    </row>
    <row r="16" spans="1:8" x14ac:dyDescent="0.35">
      <c r="A16" t="s">
        <v>26</v>
      </c>
      <c r="B16" t="s">
        <v>15</v>
      </c>
      <c r="C16">
        <v>0</v>
      </c>
      <c r="D16">
        <v>0</v>
      </c>
    </row>
    <row r="17" spans="1:4" x14ac:dyDescent="0.35">
      <c r="A17" t="s">
        <v>28</v>
      </c>
      <c r="B17" t="s">
        <v>36</v>
      </c>
      <c r="C17">
        <v>0</v>
      </c>
      <c r="D17">
        <v>0</v>
      </c>
    </row>
    <row r="18" spans="1:4" x14ac:dyDescent="0.35">
      <c r="A18" s="2" t="s">
        <v>16</v>
      </c>
    </row>
    <row r="19" spans="1:4" x14ac:dyDescent="0.35">
      <c r="A19" t="s">
        <v>17</v>
      </c>
      <c r="B19" t="s">
        <v>12</v>
      </c>
      <c r="C19" s="3">
        <v>1610</v>
      </c>
      <c r="D19" s="3">
        <v>25</v>
      </c>
    </row>
    <row r="20" spans="1:4" x14ac:dyDescent="0.35">
      <c r="A20" t="s">
        <v>25</v>
      </c>
      <c r="B20" t="s">
        <v>18</v>
      </c>
      <c r="C20">
        <v>3.2000000000000001E-2</v>
      </c>
      <c r="D20">
        <v>2.7799999999999998E-4</v>
      </c>
    </row>
    <row r="21" spans="1:4" x14ac:dyDescent="0.35">
      <c r="A21" t="s">
        <v>26</v>
      </c>
      <c r="B21" t="s">
        <v>19</v>
      </c>
      <c r="C21">
        <v>3.7999999999999999E-2</v>
      </c>
      <c r="D21">
        <f>0.0003</f>
        <v>2.9999999999999997E-4</v>
      </c>
    </row>
    <row r="22" spans="1:4" x14ac:dyDescent="0.35">
      <c r="A22" t="s">
        <v>29</v>
      </c>
      <c r="B22" t="s">
        <v>35</v>
      </c>
      <c r="C22">
        <v>0.8</v>
      </c>
      <c r="D22">
        <v>1.6999999999999999E-3</v>
      </c>
    </row>
    <row r="23" spans="1:4" x14ac:dyDescent="0.35">
      <c r="A23" s="2" t="s">
        <v>20</v>
      </c>
    </row>
    <row r="24" spans="1:4" x14ac:dyDescent="0.35">
      <c r="A24" t="s">
        <v>38</v>
      </c>
      <c r="B24" t="s">
        <v>12</v>
      </c>
      <c r="C24" s="3">
        <v>-350</v>
      </c>
      <c r="D24">
        <v>0</v>
      </c>
    </row>
    <row r="25" spans="1:4" x14ac:dyDescent="0.35">
      <c r="A25" t="s">
        <v>23</v>
      </c>
      <c r="B25" t="s">
        <v>12</v>
      </c>
      <c r="C25" s="3">
        <v>-350</v>
      </c>
      <c r="D25">
        <v>0</v>
      </c>
    </row>
    <row r="26" spans="1:4" x14ac:dyDescent="0.35">
      <c r="A26" t="s">
        <v>24</v>
      </c>
      <c r="B26" t="s">
        <v>12</v>
      </c>
      <c r="C26" s="3">
        <v>-170</v>
      </c>
      <c r="D26">
        <v>0</v>
      </c>
    </row>
    <row r="27" spans="1:4" x14ac:dyDescent="0.35">
      <c r="A27" t="s">
        <v>25</v>
      </c>
      <c r="B27" t="s">
        <v>18</v>
      </c>
      <c r="C27">
        <v>0</v>
      </c>
      <c r="D27">
        <v>0</v>
      </c>
    </row>
    <row r="28" spans="1:4" x14ac:dyDescent="0.35">
      <c r="A28" t="s">
        <v>26</v>
      </c>
      <c r="B28" t="s">
        <v>19</v>
      </c>
      <c r="C28">
        <v>0</v>
      </c>
      <c r="D28">
        <v>0</v>
      </c>
    </row>
    <row r="29" spans="1:4" x14ac:dyDescent="0.35">
      <c r="A29" t="s">
        <v>28</v>
      </c>
      <c r="B29" t="s">
        <v>35</v>
      </c>
      <c r="C29">
        <v>0</v>
      </c>
      <c r="D29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9</v>
      </c>
      <c r="B1" t="s">
        <v>30</v>
      </c>
    </row>
    <row r="2" spans="1:2" x14ac:dyDescent="0.35">
      <c r="A2" t="s">
        <v>10</v>
      </c>
      <c r="B2" t="s">
        <v>31</v>
      </c>
    </row>
    <row r="3" spans="1:2" x14ac:dyDescent="0.35">
      <c r="A3" t="s">
        <v>7</v>
      </c>
      <c r="B3" t="s">
        <v>33</v>
      </c>
    </row>
    <row r="4" spans="1:2" x14ac:dyDescent="0.35">
      <c r="A4" t="s">
        <v>8</v>
      </c>
      <c r="B4" t="s">
        <v>32</v>
      </c>
    </row>
    <row r="5" spans="1:2" x14ac:dyDescent="0.35">
      <c r="A5" t="s">
        <v>27</v>
      </c>
      <c r="B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2025-12-12T14:01:25Z</dcterms:modified>
</cp:coreProperties>
</file>