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PaCTEA_for_study_case\"/>
    </mc:Choice>
  </mc:AlternateContent>
  <xr:revisionPtr revIDLastSave="0" documentId="13_ncr:1_{F3CA99CC-5E3F-498C-B73B-9EAC7CDFD4F6}" xr6:coauthVersionLast="36" xr6:coauthVersionMax="36" xr10:uidLastSave="{00000000-0000-0000-0000-000000000000}"/>
  <bookViews>
    <workbookView xWindow="0" yWindow="0" windowWidth="19200" windowHeight="6930" activeTab="1" xr2:uid="{F085D84B-7C2F-4678-89C8-0550E7737E0F}"/>
  </bookViews>
  <sheets>
    <sheet name="Parametrization" sheetId="18" r:id="rId1"/>
    <sheet name="LCI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14" i="1" l="1"/>
  <c r="B21" i="1" l="1"/>
  <c r="B23" i="1"/>
  <c r="C36" i="1" l="1"/>
  <c r="J12" i="1"/>
  <c r="J14" i="1"/>
  <c r="C28" i="1"/>
  <c r="B32" i="1"/>
  <c r="C32" i="1" s="1"/>
  <c r="C17" i="1"/>
  <c r="C11" i="1"/>
  <c r="B31" i="1"/>
  <c r="C31" i="1" s="1"/>
  <c r="C4" i="1"/>
  <c r="C5" i="1"/>
  <c r="B34" i="1" s="1"/>
  <c r="C34" i="1" s="1"/>
  <c r="C23" i="1" l="1"/>
  <c r="C20" i="1"/>
  <c r="C19" i="1"/>
  <c r="C18" i="1"/>
  <c r="C15" i="1"/>
  <c r="C14" i="1"/>
  <c r="C13" i="1"/>
  <c r="C12" i="1"/>
  <c r="C10" i="1"/>
  <c r="C9" i="1"/>
  <c r="C37" i="1" s="1"/>
  <c r="C7" i="1"/>
  <c r="C6" i="1"/>
  <c r="B25" i="1" l="1"/>
  <c r="C25" i="1" l="1"/>
  <c r="B24" i="1"/>
  <c r="C24" i="1" s="1"/>
  <c r="B26" i="1"/>
  <c r="C26" i="1" s="1"/>
  <c r="C21" i="1" l="1"/>
  <c r="C22" i="1"/>
</calcChain>
</file>

<file path=xl/sharedStrings.xml><?xml version="1.0" encoding="utf-8"?>
<sst xmlns="http://schemas.openxmlformats.org/spreadsheetml/2006/main" count="69" uniqueCount="65">
  <si>
    <t>NH3</t>
  </si>
  <si>
    <t>N2O</t>
  </si>
  <si>
    <t>CO2</t>
  </si>
  <si>
    <t>direct emissions</t>
  </si>
  <si>
    <t>Compost composition</t>
  </si>
  <si>
    <t>mass of compost</t>
  </si>
  <si>
    <t>NO3</t>
  </si>
  <si>
    <t>N-NO3</t>
  </si>
  <si>
    <t>NH4</t>
  </si>
  <si>
    <t>N-NH4</t>
  </si>
  <si>
    <t>Norg</t>
  </si>
  <si>
    <t>C content</t>
  </si>
  <si>
    <t>Substitution</t>
  </si>
  <si>
    <t>(PO4)3-</t>
  </si>
  <si>
    <t>compost density</t>
  </si>
  <si>
    <t>kg/m3</t>
  </si>
  <si>
    <t xml:space="preserve">Peat sub factor </t>
  </si>
  <si>
    <t>m3/m3</t>
  </si>
  <si>
    <t>peat density</t>
  </si>
  <si>
    <t>C content of substitued peat</t>
  </si>
  <si>
    <t>N-fertilizer</t>
  </si>
  <si>
    <t>P-fertilizer</t>
  </si>
  <si>
    <t>K-fertilizer</t>
  </si>
  <si>
    <t>Peat</t>
  </si>
  <si>
    <t>Diesel consumption</t>
  </si>
  <si>
    <t>Transport of compost</t>
  </si>
  <si>
    <t>km</t>
  </si>
  <si>
    <t>dry fraction of peat</t>
  </si>
  <si>
    <t>kgsec/kgpeat</t>
  </si>
  <si>
    <t>C_tourbe</t>
  </si>
  <si>
    <t>kg/kgsec</t>
  </si>
  <si>
    <t>kgC/kgpeat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</si>
  <si>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</si>
  <si>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</si>
  <si>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</si>
  <si>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</si>
  <si>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per kg of biowaste entering the active phase</t>
  </si>
  <si>
    <t>Pretreatement technology</t>
  </si>
  <si>
    <t>None</t>
  </si>
  <si>
    <t>Drum-screen + Shredder + Piston press</t>
  </si>
  <si>
    <t>Pulp + Drum-screen</t>
  </si>
  <si>
    <t>Shredder + Piston press + Screw press</t>
  </si>
  <si>
    <t>Separation-mill</t>
  </si>
  <si>
    <t>per kg of total biowaste entering the system</t>
  </si>
  <si>
    <t>(kg/kgbiowaste)</t>
  </si>
  <si>
    <t>Ratio Biowaste/WC</t>
  </si>
  <si>
    <t>(kg/kgbio_tot)</t>
  </si>
  <si>
    <t>Energy consumption</t>
  </si>
  <si>
    <t xml:space="preserve">Electricity consumption for aeration </t>
  </si>
  <si>
    <t>Pretratment technology</t>
  </si>
  <si>
    <t>Technology</t>
  </si>
  <si>
    <t>Aeration mode for industrial composting</t>
  </si>
  <si>
    <t>(don't select if home composting)</t>
  </si>
  <si>
    <t>(kWh/kgbiowaste)</t>
  </si>
  <si>
    <t>(kWh/kgbio_tot)</t>
  </si>
  <si>
    <t>(l/kgbiowaste)</t>
  </si>
  <si>
    <t>(l/kgbio_tot)</t>
  </si>
  <si>
    <t>Electricity consumption for sorting</t>
  </si>
  <si>
    <t>8_1</t>
  </si>
  <si>
    <t>Rejected biowaste sent to incineration</t>
  </si>
  <si>
    <t>tkm/kgbio_tot</t>
  </si>
  <si>
    <t>Distance of biowaste collection</t>
  </si>
  <si>
    <t>Distance of compost transport from composting site to land</t>
  </si>
  <si>
    <t>Collection of biowaste</t>
  </si>
  <si>
    <t>N_Xi+N_org+N_bio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</si>
</sst>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2" fontId="0" fillId="0" borderId="0" xfId="0" applyNumberFormat="1"/>
    <xf numFmtId="10" fontId="0" fillId="0" borderId="0" xfId="1" quotePrefix="1" applyNumberFormat="1" applyFont="1"/>
    <xf numFmtId="0" fontId="3" fillId="0" borderId="0" xfId="0" applyFont="1"/>
    <xf numFmtId="0" fontId="6" fillId="0" borderId="0" xfId="0" applyFont="1"/>
    <xf numFmtId="0" fontId="5" fillId="0" borderId="0" xfId="0" applyFont="1"/>
    <xf numFmtId="11" fontId="5" fillId="0" borderId="0" xfId="0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ste_characterization_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/>
      <sheetData sheetId="3">
        <row r="77">
          <cell r="B77">
            <v>8.1278569907775841E-5</v>
          </cell>
        </row>
        <row r="79">
          <cell r="B79">
            <v>3.4213222566132203E-3</v>
          </cell>
        </row>
        <row r="82">
          <cell r="B82">
            <v>5.021894827387267E-3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2983-BC72-4828-9FE7-6E1EAA02D5A6}">
  <dimension ref="B2:J7"/>
  <sheetViews>
    <sheetView workbookViewId="0">
      <selection activeCell="C13" sqref="C13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50</v>
      </c>
      <c r="I2" s="9" t="s">
        <v>49</v>
      </c>
      <c r="J2" s="9"/>
    </row>
    <row r="3" spans="2:10" x14ac:dyDescent="0.35">
      <c r="B3" t="s">
        <v>37</v>
      </c>
      <c r="C3">
        <v>0</v>
      </c>
      <c r="D3" s="6" t="s">
        <v>52</v>
      </c>
      <c r="I3">
        <v>0</v>
      </c>
      <c r="J3" t="s">
        <v>38</v>
      </c>
    </row>
    <row r="4" spans="2:10" x14ac:dyDescent="0.35">
      <c r="B4" t="s">
        <v>45</v>
      </c>
      <c r="C4" t="s">
        <v>58</v>
      </c>
      <c r="I4">
        <v>1</v>
      </c>
      <c r="J4" t="s">
        <v>39</v>
      </c>
    </row>
    <row r="5" spans="2:10" x14ac:dyDescent="0.35">
      <c r="B5" t="s">
        <v>51</v>
      </c>
      <c r="D5" s="6" t="s">
        <v>52</v>
      </c>
      <c r="I5">
        <v>2</v>
      </c>
      <c r="J5" t="s">
        <v>41</v>
      </c>
    </row>
    <row r="6" spans="2:10" x14ac:dyDescent="0.35">
      <c r="B6" t="s">
        <v>61</v>
      </c>
      <c r="C6">
        <v>20</v>
      </c>
      <c r="D6" t="s">
        <v>26</v>
      </c>
      <c r="I6">
        <v>3</v>
      </c>
      <c r="J6" t="s">
        <v>42</v>
      </c>
    </row>
    <row r="7" spans="2:10" x14ac:dyDescent="0.35">
      <c r="B7" t="s">
        <v>62</v>
      </c>
      <c r="C7">
        <v>20</v>
      </c>
      <c r="D7" s="5" t="s">
        <v>26</v>
      </c>
      <c r="I7">
        <v>4</v>
      </c>
      <c r="J7" t="s">
        <v>40</v>
      </c>
    </row>
  </sheetData>
  <mergeCells count="1">
    <mergeCell ref="I2:J2"/>
  </mergeCells>
  <dataValidations count="4">
    <dataValidation type="list" allowBlank="1" showInputMessage="1" showErrorMessage="1" sqref="C3" xr:uid="{0F468EED-91C8-4681-AEBB-514CFF424FC4}">
      <formula1>"0,1,2,3,4"</formula1>
    </dataValidation>
    <dataValidation type="list" allowBlank="1" showInputMessage="1" showErrorMessage="1" sqref="C4" xr:uid="{129F8882-E3C5-4A4E-9E12-54564638ABC7}">
      <formula1>"3_1,8_1"</formula1>
    </dataValidation>
    <dataValidation type="list" allowBlank="1" showInputMessage="1" showErrorMessage="1" sqref="C5" xr:uid="{EA23DC2B-7B43-485E-A1AD-836C40835E14}">
      <formula1>"Passive, Active, Turning by machine"</formula1>
    </dataValidation>
    <dataValidation type="list" allowBlank="1" showInputMessage="1" showErrorMessage="1" sqref="C2" xr:uid="{4D609F81-9ED3-473A-A652-90202D52F6E9}">
      <formula1>"Home composting, Industrial composting"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51A2-71D3-44C9-B6EF-3AC6A42AF065}">
  <sheetPr codeName="Feuil1"/>
  <dimension ref="A1:Q37"/>
  <sheetViews>
    <sheetView tabSelected="1" zoomScale="80" zoomScaleNormal="80" workbookViewId="0">
      <selection activeCell="B17" sqref="B17"/>
    </sheetView>
  </sheetViews>
  <sheetFormatPr baseColWidth="10" defaultRowHeight="14.5" x14ac:dyDescent="0.35"/>
  <cols>
    <col min="1" max="1" width="15.90625" customWidth="1"/>
    <col min="2" max="2" width="26.81640625" customWidth="1"/>
    <col min="3" max="3" width="19.90625" customWidth="1"/>
    <col min="9" max="9" width="26.1796875" customWidth="1"/>
  </cols>
  <sheetData>
    <row r="1" spans="1:17" x14ac:dyDescent="0.35">
      <c r="B1" t="s">
        <v>36</v>
      </c>
      <c r="C1" s="7" t="s">
        <v>43</v>
      </c>
      <c r="D1" s="1"/>
      <c r="I1" s="1"/>
      <c r="J1" s="1"/>
    </row>
    <row r="2" spans="1:17" x14ac:dyDescent="0.35">
      <c r="B2" t="s">
        <v>44</v>
      </c>
      <c r="C2" s="7" t="s">
        <v>46</v>
      </c>
      <c r="D2" s="1"/>
      <c r="I2" s="1"/>
      <c r="J2" s="1"/>
    </row>
    <row r="3" spans="1:17" x14ac:dyDescent="0.35">
      <c r="A3" s="1" t="s">
        <v>3</v>
      </c>
      <c r="C3" s="7"/>
      <c r="I3" s="1"/>
      <c r="J3" s="1"/>
      <c r="O3" s="1"/>
    </row>
    <row r="4" spans="1:17" ht="16.5" x14ac:dyDescent="0.45">
      <c r="A4" t="s">
        <v>32</v>
      </c>
      <c r="B4" s="2">
        <v>3.4804999999999998E-4</v>
      </c>
      <c r="C4" s="8">
        <f>_xlfn.SWITCH(Parametrization!C3,
    1, B4*0.77,
    2, B4*0.93,
    3, B4*0.99,
    4, B4*0.8,
    B4*1)</f>
        <v>3.4804999999999998E-4</v>
      </c>
      <c r="F4" s="4"/>
      <c r="G4" s="4"/>
      <c r="I4" s="1"/>
      <c r="J4" s="1"/>
      <c r="P4" s="2"/>
      <c r="Q4" s="2"/>
    </row>
    <row r="5" spans="1:17" ht="16.5" x14ac:dyDescent="0.45">
      <c r="A5" t="s">
        <v>33</v>
      </c>
      <c r="B5" s="2">
        <v>6.4732000000000003E-5</v>
      </c>
      <c r="C5" s="8">
        <f>_xlfn.SWITCH(Parametrization!C3,
    1, B5*0.77,
    2, B5*0.93,
    3, B5*0.99,
    4, B5*0.8,
    B5*1)</f>
        <v>6.4732000000000003E-5</v>
      </c>
      <c r="F5" s="4"/>
      <c r="G5" s="4"/>
      <c r="I5" s="1"/>
      <c r="J5" s="1"/>
      <c r="P5" s="2"/>
      <c r="Q5" s="2"/>
    </row>
    <row r="6" spans="1:17" ht="16.5" x14ac:dyDescent="0.45">
      <c r="A6" t="s">
        <v>34</v>
      </c>
      <c r="B6" s="2">
        <v>7.0148999999999995E-5</v>
      </c>
      <c r="C6" s="8">
        <f>_xlfn.SWITCH(Parametrization!C3,
    1, B6*0.77,
    2, B6*0.93,
    3, B6*0.99,
    4, B6*0.8,
    B6*1)</f>
        <v>7.0148999999999995E-5</v>
      </c>
      <c r="F6" s="4"/>
      <c r="G6" s="4"/>
      <c r="I6" s="1"/>
      <c r="P6" s="2"/>
      <c r="Q6" s="2"/>
    </row>
    <row r="7" spans="1:17" ht="16.5" x14ac:dyDescent="0.45">
      <c r="A7" t="s">
        <v>35</v>
      </c>
      <c r="B7">
        <v>0.42920000000000003</v>
      </c>
      <c r="C7" s="8">
        <f>_xlfn.SWITCH(Parametrization!C3,
    1, B7*0.77,
    2, B7*0.93,
    3, B7*0.99,
    4, B7*0.8,
    B7*1)</f>
        <v>0.42920000000000003</v>
      </c>
      <c r="F7" s="4"/>
      <c r="G7" s="4"/>
      <c r="I7" s="1"/>
      <c r="J7" s="3"/>
      <c r="P7" s="2"/>
      <c r="Q7" s="2"/>
    </row>
    <row r="8" spans="1:17" x14ac:dyDescent="0.35">
      <c r="A8" s="1" t="s">
        <v>4</v>
      </c>
      <c r="C8" s="8"/>
      <c r="F8" s="4"/>
      <c r="G8" s="4"/>
      <c r="I8" s="1"/>
      <c r="O8" s="1"/>
      <c r="P8" s="2"/>
      <c r="Q8" s="2"/>
    </row>
    <row r="9" spans="1:17" x14ac:dyDescent="0.35">
      <c r="A9" t="s">
        <v>5</v>
      </c>
      <c r="B9" s="2">
        <v>1.1204000000000001</v>
      </c>
      <c r="C9" s="8">
        <f>_xlfn.SWITCH(Parametrization!C3,
    1, B9*0.77,
    2, B9*0.93,
    3, B9*0.99,
    4, B9*0.8,
    B9*1)</f>
        <v>1.1204000000000001</v>
      </c>
      <c r="F9" s="4"/>
      <c r="G9" s="4"/>
      <c r="I9" s="1" t="s">
        <v>14</v>
      </c>
      <c r="J9">
        <v>700</v>
      </c>
      <c r="K9" t="s">
        <v>15</v>
      </c>
      <c r="P9" s="2"/>
      <c r="Q9" s="2"/>
    </row>
    <row r="10" spans="1:17" x14ac:dyDescent="0.35">
      <c r="A10" t="s">
        <v>6</v>
      </c>
      <c r="B10" s="2">
        <v>5.2331999999999997E-4</v>
      </c>
      <c r="C10" s="8">
        <f>_xlfn.SWITCH(Parametrization!C3,
    1, B10*0.77,
    2, B10*0.93,
    3, B10*0.99,
    4, B10*0.8,
    B10*1)</f>
        <v>5.2331999999999997E-4</v>
      </c>
      <c r="F10" s="4"/>
      <c r="G10" s="4"/>
      <c r="I10" s="1" t="s">
        <v>16</v>
      </c>
      <c r="J10">
        <v>1</v>
      </c>
      <c r="K10" t="s">
        <v>17</v>
      </c>
      <c r="P10" s="2"/>
      <c r="Q10" s="2"/>
    </row>
    <row r="11" spans="1:17" x14ac:dyDescent="0.35">
      <c r="A11" t="s">
        <v>7</v>
      </c>
      <c r="B11" s="2">
        <v>1.1817E-4</v>
      </c>
      <c r="C11" s="8">
        <f>_xlfn.SWITCH(Parametrization!C3,
    1, B11*0.77,
    2, B11*0.93,
    3, B11*0.99,
    4, B11*0.8,
    B11*1)</f>
        <v>1.1817E-4</v>
      </c>
      <c r="F11" s="4"/>
      <c r="G11" s="4"/>
      <c r="I11" s="1" t="s">
        <v>18</v>
      </c>
      <c r="J11">
        <v>200</v>
      </c>
      <c r="K11" t="s">
        <v>15</v>
      </c>
      <c r="P11" s="2"/>
      <c r="Q11" s="2"/>
    </row>
    <row r="12" spans="1:17" x14ac:dyDescent="0.35">
      <c r="A12" t="s">
        <v>8</v>
      </c>
      <c r="B12" s="2">
        <v>1.03E-2</v>
      </c>
      <c r="C12" s="8">
        <f>_xlfn.SWITCH(Parametrization!C3,
    1, B12*0.77,
    2, B12*0.93,
    3, B12*0.99,
    4, B12*0.8,
    B12*1)</f>
        <v>1.03E-2</v>
      </c>
      <c r="F12" s="4"/>
      <c r="G12" s="4"/>
      <c r="I12" s="1" t="s">
        <v>27</v>
      </c>
      <c r="J12">
        <f>1-0.56</f>
        <v>0.43999999999999995</v>
      </c>
      <c r="K12" t="s">
        <v>28</v>
      </c>
      <c r="P12" s="2"/>
      <c r="Q12" s="2"/>
    </row>
    <row r="13" spans="1:17" x14ac:dyDescent="0.35">
      <c r="A13" t="s">
        <v>9</v>
      </c>
      <c r="B13" s="2">
        <v>8.0000000000000002E-3</v>
      </c>
      <c r="C13" s="8">
        <f>_xlfn.SWITCH(Parametrization!C3,
    1, B13*0.77,
    2, B13*0.93,
    3, B13*0.99,
    4, B13*0.8,
    B13*1)</f>
        <v>8.0000000000000002E-3</v>
      </c>
      <c r="F13" s="4"/>
      <c r="G13" s="4"/>
      <c r="I13" s="1" t="s">
        <v>29</v>
      </c>
      <c r="J13">
        <v>0.504</v>
      </c>
      <c r="K13" t="s">
        <v>30</v>
      </c>
      <c r="P13" s="2"/>
      <c r="Q13" s="2"/>
    </row>
    <row r="14" spans="1:17" x14ac:dyDescent="0.35">
      <c r="A14" t="s">
        <v>10</v>
      </c>
      <c r="B14" s="2">
        <f>0.0000003716+0.0018+0.00080981</f>
        <v>2.6101815999999998E-3</v>
      </c>
      <c r="C14" s="8">
        <f>_xlfn.SWITCH(Parametrization!C3,
    1, B14*0.77,
    2, B14*0.93,
    3, B14*0.99,
    4, B14*0.8,
    B14*1)</f>
        <v>2.6101815999999998E-3</v>
      </c>
      <c r="E14" t="s">
        <v>64</v>
      </c>
      <c r="F14" s="4"/>
      <c r="G14" s="4"/>
      <c r="J14">
        <f>J12*J13</f>
        <v>0.22175999999999998</v>
      </c>
      <c r="K14" t="s">
        <v>31</v>
      </c>
      <c r="P14" s="2"/>
      <c r="Q14" s="2"/>
    </row>
    <row r="15" spans="1:17" x14ac:dyDescent="0.35">
      <c r="A15" t="s">
        <v>11</v>
      </c>
      <c r="B15" s="2">
        <v>9.7199999999999995E-2</v>
      </c>
      <c r="C15" s="8">
        <f>_xlfn.SWITCH(Parametrization!C3,
    1, B15*0.77,
    2, B15*0.93,
    3, B15*0.99,
    4, B15*0.8,
    B15*1)</f>
        <v>9.7199999999999995E-2</v>
      </c>
      <c r="F15" s="4"/>
      <c r="G15" s="4"/>
      <c r="P15" s="2"/>
      <c r="Q15" s="2"/>
    </row>
    <row r="16" spans="1:17" x14ac:dyDescent="0.35">
      <c r="A16" s="1" t="s">
        <v>12</v>
      </c>
      <c r="B16" s="2"/>
      <c r="C16" s="8"/>
      <c r="F16" s="4"/>
      <c r="G16" s="4"/>
      <c r="O16" s="1"/>
      <c r="P16" s="2"/>
      <c r="Q16" s="2"/>
    </row>
    <row r="17" spans="1:17" x14ac:dyDescent="0.35">
      <c r="A17" t="s">
        <v>20</v>
      </c>
      <c r="B17" s="2">
        <v>1.16046876865655E-2</v>
      </c>
      <c r="C17" s="8">
        <f>_xlfn.SWITCH(Parametrization!C3,
    1, B17*0.77,
    2, B17*0.93,
    3, B17*0.99,
    4, B17*0.8,
    B17*1)</f>
        <v>1.16046876865655E-2</v>
      </c>
      <c r="F17" s="4"/>
      <c r="G17" s="4"/>
      <c r="P17" s="2"/>
      <c r="Q17" s="2"/>
    </row>
    <row r="18" spans="1:17" x14ac:dyDescent="0.35">
      <c r="A18" t="s">
        <v>0</v>
      </c>
      <c r="B18" s="2">
        <v>3.6486015466419199E-4</v>
      </c>
      <c r="C18" s="8">
        <f>_xlfn.SWITCH(Parametrization!C3,
    1, B18*0.77,
    2, B18*0.93,
    3, B18*0.99,
    4, B18*0.8,
    B18*1)</f>
        <v>3.6486015466419199E-4</v>
      </c>
      <c r="F18" s="4"/>
      <c r="G18" s="4"/>
      <c r="P18" s="2"/>
      <c r="Q18" s="2"/>
    </row>
    <row r="19" spans="1:17" x14ac:dyDescent="0.35">
      <c r="A19" t="s">
        <v>1</v>
      </c>
      <c r="B19" s="2">
        <v>1.30953250012004E-4</v>
      </c>
      <c r="C19" s="8">
        <f>_xlfn.SWITCH(Parametrization!C3,
    1, B19*0.77,
    2, B19*0.93,
    3, B19*0.99,
    4, B19*0.8,
    B19*1)</f>
        <v>1.30953250012004E-4</v>
      </c>
      <c r="F19" s="4"/>
      <c r="G19" s="4"/>
      <c r="P19" s="2"/>
      <c r="Q19" s="2"/>
    </row>
    <row r="20" spans="1:17" x14ac:dyDescent="0.35">
      <c r="A20" t="s">
        <v>6</v>
      </c>
      <c r="B20" s="2">
        <v>1.36083287743184E-2</v>
      </c>
      <c r="C20" s="8">
        <f>_xlfn.SWITCH(Parametrization!C3,
    1, B20*0.77,
    2, B20*0.93,
    3, B20*0.99,
    4, B20*0.8,
    B20*1)</f>
        <v>1.36083287743184E-2</v>
      </c>
      <c r="F20" s="4"/>
      <c r="G20" s="4"/>
      <c r="P20" s="2"/>
      <c r="Q20" s="2"/>
    </row>
    <row r="21" spans="1:17" x14ac:dyDescent="0.35">
      <c r="A21" t="s">
        <v>21</v>
      </c>
      <c r="B21" s="2">
        <f>[1]Variables!$B$79</f>
        <v>3.4213222566132203E-3</v>
      </c>
      <c r="C21" s="8">
        <f>_xlfn.SWITCH(Parametrization!C3,
    1, B21*0.77,
    2, B21*0.93,
    3, B21*0.99,
    4, B21*0.8,
    B21*1)</f>
        <v>3.4213222566132203E-3</v>
      </c>
      <c r="F21" s="4"/>
      <c r="G21" s="4"/>
      <c r="P21" s="2"/>
      <c r="Q21" s="2"/>
    </row>
    <row r="22" spans="1:17" x14ac:dyDescent="0.35">
      <c r="A22" t="s">
        <v>13</v>
      </c>
      <c r="B22" s="2">
        <f>-[1]Variables!$B$77</f>
        <v>-8.1278569907775841E-5</v>
      </c>
      <c r="C22" s="8">
        <f>_xlfn.SWITCH(Parametrization!C3,
    1, B22*0.77,
    2, B22*0.93,
    3, B22*0.99,
    4, B22*0.8,
    B22*1)</f>
        <v>-8.1278569907775841E-5</v>
      </c>
      <c r="F22" s="4"/>
      <c r="G22" s="4"/>
      <c r="P22" s="2"/>
      <c r="Q22" s="2"/>
    </row>
    <row r="23" spans="1:17" x14ac:dyDescent="0.35">
      <c r="A23" t="s">
        <v>22</v>
      </c>
      <c r="B23" s="2">
        <f>[1]Variables!$B$82</f>
        <v>5.021894827387267E-3</v>
      </c>
      <c r="C23" s="8">
        <f>_xlfn.SWITCH(Parametrization!C3,
    1, B23*0.77,
    2, B23*0.93,
    3, B23*0.99,
    4, B23*0.8,
    B23*1)</f>
        <v>5.021894827387267E-3</v>
      </c>
      <c r="F23" s="4"/>
      <c r="G23" s="4"/>
      <c r="P23" s="2"/>
      <c r="Q23" s="2"/>
    </row>
    <row r="24" spans="1:17" x14ac:dyDescent="0.35">
      <c r="A24" t="s">
        <v>23</v>
      </c>
      <c r="B24" s="2">
        <f>B25/J14</f>
        <v>0.43831168831168832</v>
      </c>
      <c r="C24" s="8">
        <f>_xlfn.SWITCH(Parametrization!C3,
    1, B24*0.77,
    2, B24*0.93,
    3, B24*0.99,
    4, B24*0.8,
    B24*1)</f>
        <v>0.43831168831168832</v>
      </c>
      <c r="F24" s="4"/>
      <c r="G24" s="4"/>
      <c r="P24" s="2"/>
      <c r="Q24" s="2"/>
    </row>
    <row r="25" spans="1:17" x14ac:dyDescent="0.35">
      <c r="A25" t="s">
        <v>19</v>
      </c>
      <c r="B25" s="2">
        <f>B15</f>
        <v>9.7199999999999995E-2</v>
      </c>
      <c r="C25" s="8">
        <f>_xlfn.SWITCH(Parametrization!C3,
    1, B25*0.77,
    2, B25*0.93,
    3, B25*0.99,
    4, B25*0.8,
    B25*1)</f>
        <v>9.7199999999999995E-2</v>
      </c>
      <c r="F25" s="4"/>
      <c r="G25" s="4"/>
      <c r="P25" s="2"/>
      <c r="Q25" s="2"/>
    </row>
    <row r="26" spans="1:17" x14ac:dyDescent="0.35">
      <c r="A26" t="s">
        <v>2</v>
      </c>
      <c r="B26" s="2">
        <f>-B25*(44/12)</f>
        <v>-0.35639999999999994</v>
      </c>
      <c r="C26" s="8">
        <f>_xlfn.SWITCH(Parametrization!C3,
    1, B26*0.77,
    2, B26*0.93,
    3, B26*0.99,
    4, B26*0.8,
    B26*1)</f>
        <v>-0.35639999999999994</v>
      </c>
      <c r="F26" s="4"/>
      <c r="G26" s="4"/>
      <c r="P26" s="2"/>
      <c r="Q26" s="2"/>
    </row>
    <row r="27" spans="1:17" x14ac:dyDescent="0.35">
      <c r="C27" s="8"/>
      <c r="F27" s="4"/>
      <c r="G27" s="4"/>
      <c r="P27" s="2"/>
      <c r="Q27" s="2"/>
    </row>
    <row r="28" spans="1:17" x14ac:dyDescent="0.35">
      <c r="A28" s="1" t="s">
        <v>59</v>
      </c>
      <c r="C28" s="8">
        <f>_xlfn.SWITCH(Parametrization!C3,
    1, 1-0.77,
    2, 1-0.93,
    3, 1-0.99,
    4, 1-0.8,
    0)</f>
        <v>0</v>
      </c>
      <c r="F28" s="4"/>
      <c r="G28" s="4"/>
      <c r="P28" s="2"/>
      <c r="Q28" s="2"/>
    </row>
    <row r="29" spans="1:17" x14ac:dyDescent="0.35">
      <c r="A29" s="1" t="s">
        <v>47</v>
      </c>
      <c r="C29" s="8"/>
    </row>
    <row r="30" spans="1:17" x14ac:dyDescent="0.35">
      <c r="A30" s="1"/>
      <c r="B30" t="s">
        <v>53</v>
      </c>
      <c r="C30" s="7" t="s">
        <v>54</v>
      </c>
    </row>
    <row r="31" spans="1:17" x14ac:dyDescent="0.35">
      <c r="A31" t="s">
        <v>48</v>
      </c>
      <c r="B31">
        <f>_xlfn.SWITCH(Parametrization!C5,"Passive",0,"Active", 0.009,"Turning by machine", 0,0)</f>
        <v>0</v>
      </c>
      <c r="C31" s="8">
        <f>_xlfn.SWITCH(Parametrization!C3,
    1, B31*0.77,
    2, B31*0.93,
    3, B31*0.99,
    4, B31*0.8,
    B31*1)</f>
        <v>0</v>
      </c>
    </row>
    <row r="32" spans="1:17" x14ac:dyDescent="0.35">
      <c r="A32" t="s">
        <v>57</v>
      </c>
      <c r="B32">
        <f>_xlfn.SWITCH(Parametrization!C3,1,0.00998,2,0.01249,3,0.009,4,0.02204,0)</f>
        <v>0</v>
      </c>
      <c r="C32" s="8">
        <f>_xlfn.SWITCH(Parametrization!C3,
    1, B32*0.77,
    2, B32*0.93,
    3, B32*0.99,
    4, B32*0.8,
    B32*1)</f>
        <v>0</v>
      </c>
    </row>
    <row r="33" spans="1:3" x14ac:dyDescent="0.35">
      <c r="B33" t="s">
        <v>55</v>
      </c>
      <c r="C33" s="8" t="s">
        <v>56</v>
      </c>
    </row>
    <row r="34" spans="1:3" x14ac:dyDescent="0.35">
      <c r="A34" t="s">
        <v>24</v>
      </c>
      <c r="B34">
        <f>_xlfn.SWITCH(LCI!C5,"Passive",0.00102,0)</f>
        <v>0</v>
      </c>
      <c r="C34" s="8">
        <f>_xlfn.SWITCH(Parametrization!C3,
    1, B34*0.77,
    2, B34*0.93,
    3, B34*0.99,
    4, B34*0.8,
    B34*1)</f>
        <v>0</v>
      </c>
    </row>
    <row r="35" spans="1:3" x14ac:dyDescent="0.35">
      <c r="C35" s="8" t="s">
        <v>60</v>
      </c>
    </row>
    <row r="36" spans="1:3" x14ac:dyDescent="0.35">
      <c r="A36" t="s">
        <v>63</v>
      </c>
      <c r="C36" s="8">
        <f>Parametrization!C6*0.001</f>
        <v>0.02</v>
      </c>
    </row>
    <row r="37" spans="1:3" x14ac:dyDescent="0.35">
      <c r="A37" t="s">
        <v>25</v>
      </c>
      <c r="C37" s="8">
        <f>C9*0.001*Parametrization!C7</f>
        <v>2.2408000000000004E-2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Parametrization</vt:lpstr>
      <vt:lpstr>LCI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cp:lastPrinted>2025-02-17T15:56:06Z</cp:lastPrinted>
  <dcterms:created xsi:type="dcterms:W3CDTF">2025-01-13T09:35:04Z</dcterms:created>
  <dcterms:modified xsi:type="dcterms:W3CDTF">2025-09-24T11:40:39Z</dcterms:modified>
</cp:coreProperties>
</file>