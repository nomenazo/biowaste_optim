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PaCTEA_for_study_case\"/>
    </mc:Choice>
  </mc:AlternateContent>
  <xr:revisionPtr revIDLastSave="0" documentId="13_ncr:1_{A1431258-B433-4E15-A9CD-9022493C1032}" xr6:coauthVersionLast="36" xr6:coauthVersionMax="36" xr10:uidLastSave="{00000000-0000-0000-0000-000000000000}"/>
  <bookViews>
    <workbookView xWindow="0" yWindow="0" windowWidth="19200" windowHeight="6930" activeTab="2" xr2:uid="{14B8D0C9-091E-43B5-9C59-8A05020574F1}"/>
  </bookViews>
  <sheets>
    <sheet name="Parameters" sheetId="12" r:id="rId1"/>
    <sheet name="raw_data" sheetId="4" r:id="rId2"/>
    <sheet name="mass_composition" sheetId="6" r:id="rId3"/>
    <sheet name="Variables" sheetId="1" r:id="rId4"/>
  </sheets>
  <definedNames>
    <definedName name="_xlnm._FilterDatabase" localSheetId="2" hidden="1">mass_composition!$B$1:$B$98</definedName>
    <definedName name="_xlnm._FilterDatabase" localSheetId="1" hidden="1">raw_data!$B$1:$B$113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6" i="6" l="1"/>
  <c r="L101" i="6" l="1"/>
  <c r="M101" i="6"/>
  <c r="N101" i="6"/>
  <c r="O101" i="6"/>
  <c r="P101" i="6"/>
  <c r="Q101" i="6"/>
  <c r="R101" i="6"/>
  <c r="S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AJ101" i="6"/>
  <c r="AK101" i="6"/>
  <c r="AL101" i="6"/>
  <c r="AM101" i="6"/>
  <c r="AN101" i="6"/>
  <c r="AO101" i="6"/>
  <c r="AP101" i="6"/>
  <c r="AQ101" i="6"/>
  <c r="AR101" i="6"/>
  <c r="AS101" i="6"/>
  <c r="AT101" i="6"/>
  <c r="AU101" i="6"/>
  <c r="AV101" i="6"/>
  <c r="AW101" i="6"/>
  <c r="AX101" i="6"/>
  <c r="AY101" i="6"/>
  <c r="AZ101" i="6"/>
  <c r="BA101" i="6"/>
  <c r="BB101" i="6"/>
  <c r="BC101" i="6"/>
  <c r="BD101" i="6"/>
  <c r="BE101" i="6"/>
  <c r="BF101" i="6"/>
  <c r="BG101" i="6"/>
  <c r="BH101" i="6"/>
  <c r="BI101" i="6"/>
  <c r="BJ101" i="6"/>
  <c r="BK101" i="6"/>
  <c r="BL101" i="6"/>
  <c r="BM101" i="6"/>
  <c r="BN101" i="6"/>
  <c r="BO101" i="6"/>
  <c r="BP101" i="6"/>
  <c r="BQ101" i="6"/>
  <c r="BR101" i="6"/>
  <c r="K101" i="6"/>
  <c r="J101" i="6"/>
  <c r="F97" i="4"/>
  <c r="S99" i="6" l="1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AJ99" i="6"/>
  <c r="AK99" i="6"/>
  <c r="AL99" i="6"/>
  <c r="AM99" i="6"/>
  <c r="AN99" i="6"/>
  <c r="AO99" i="6"/>
  <c r="AP99" i="6"/>
  <c r="AQ99" i="6"/>
  <c r="AR99" i="6"/>
  <c r="AS99" i="6"/>
  <c r="AT99" i="6"/>
  <c r="AU99" i="6"/>
  <c r="AV99" i="6"/>
  <c r="AW99" i="6"/>
  <c r="AX99" i="6"/>
  <c r="AY99" i="6"/>
  <c r="AZ99" i="6"/>
  <c r="BA99" i="6"/>
  <c r="BB99" i="6"/>
  <c r="BC99" i="6"/>
  <c r="BD99" i="6"/>
  <c r="BE99" i="6"/>
  <c r="BF99" i="6"/>
  <c r="BG99" i="6"/>
  <c r="BH99" i="6"/>
  <c r="BI99" i="6"/>
  <c r="BJ99" i="6"/>
  <c r="BK99" i="6"/>
  <c r="BL99" i="6"/>
  <c r="BM99" i="6"/>
  <c r="BN99" i="6"/>
  <c r="BO99" i="6"/>
  <c r="BP99" i="6"/>
  <c r="BQ99" i="6"/>
  <c r="BR99" i="6"/>
  <c r="L99" i="6"/>
  <c r="M99" i="6"/>
  <c r="N99" i="6"/>
  <c r="O99" i="6"/>
  <c r="P99" i="6"/>
  <c r="Q99" i="6"/>
  <c r="R99" i="6"/>
  <c r="E99" i="6"/>
  <c r="F99" i="6"/>
  <c r="G99" i="6"/>
  <c r="H99" i="6"/>
  <c r="I99" i="6"/>
  <c r="J99" i="6"/>
  <c r="K99" i="6"/>
  <c r="D99" i="6"/>
  <c r="C99" i="6"/>
  <c r="C4" i="6" l="1"/>
  <c r="C5" i="6"/>
  <c r="C6" i="6"/>
  <c r="C10" i="6"/>
  <c r="C12" i="6"/>
  <c r="C15" i="6"/>
  <c r="C21" i="6"/>
  <c r="C42" i="6"/>
  <c r="C47" i="6"/>
  <c r="C49" i="6"/>
  <c r="C50" i="6"/>
  <c r="C63" i="6"/>
  <c r="C65" i="6"/>
  <c r="D63" i="1" l="1"/>
  <c r="D62" i="1"/>
  <c r="L39" i="1" l="1"/>
  <c r="B23" i="1" l="1"/>
  <c r="T94" i="6"/>
  <c r="BG3" i="6"/>
  <c r="BG7" i="6"/>
  <c r="BG8" i="6"/>
  <c r="BG9" i="6"/>
  <c r="BG11" i="6"/>
  <c r="BG13" i="6"/>
  <c r="BG14" i="6"/>
  <c r="BG64" i="6"/>
  <c r="BG66" i="6"/>
  <c r="BG67" i="6"/>
  <c r="BG68" i="6"/>
  <c r="BG69" i="6"/>
  <c r="BG70" i="6"/>
  <c r="BG71" i="6"/>
  <c r="BG72" i="6"/>
  <c r="BG73" i="6"/>
  <c r="BG74" i="6"/>
  <c r="BG75" i="6"/>
  <c r="BG76" i="6"/>
  <c r="BG77" i="6"/>
  <c r="BG78" i="6"/>
  <c r="BG79" i="6"/>
  <c r="BG80" i="6"/>
  <c r="BG81" i="6"/>
  <c r="BG82" i="6"/>
  <c r="BG83" i="6"/>
  <c r="BG84" i="6"/>
  <c r="BG85" i="6"/>
  <c r="BG86" i="6"/>
  <c r="BG87" i="6"/>
  <c r="BG89" i="6"/>
  <c r="BG90" i="6"/>
  <c r="BG93" i="6"/>
  <c r="BG94" i="6"/>
  <c r="BG2" i="6"/>
  <c r="BH2" i="6"/>
  <c r="BI2" i="6"/>
  <c r="BJ2" i="6"/>
  <c r="BF3" i="6"/>
  <c r="BF7" i="6"/>
  <c r="BF8" i="6"/>
  <c r="BF9" i="6"/>
  <c r="BF11" i="6"/>
  <c r="BF13" i="6"/>
  <c r="BF14" i="6"/>
  <c r="BF64" i="6"/>
  <c r="BF66" i="6"/>
  <c r="BF67" i="6"/>
  <c r="BF68" i="6"/>
  <c r="BF69" i="6"/>
  <c r="BF70" i="6"/>
  <c r="BF71" i="6"/>
  <c r="BF72" i="6"/>
  <c r="BF73" i="6"/>
  <c r="BF74" i="6"/>
  <c r="BF75" i="6"/>
  <c r="BF76" i="6"/>
  <c r="BF77" i="6"/>
  <c r="BF78" i="6"/>
  <c r="BF79" i="6"/>
  <c r="BF80" i="6"/>
  <c r="BF81" i="6"/>
  <c r="BF82" i="6"/>
  <c r="BF83" i="6"/>
  <c r="BF84" i="6"/>
  <c r="BF85" i="6"/>
  <c r="BF86" i="6"/>
  <c r="BF87" i="6"/>
  <c r="BF89" i="6"/>
  <c r="BF90" i="6"/>
  <c r="BF93" i="6"/>
  <c r="BF94" i="6"/>
  <c r="BF2" i="6"/>
  <c r="BE3" i="6"/>
  <c r="BE7" i="6"/>
  <c r="BE8" i="6"/>
  <c r="BE9" i="6"/>
  <c r="BE11" i="6"/>
  <c r="BE13" i="6"/>
  <c r="BE14" i="6"/>
  <c r="BE64" i="6"/>
  <c r="BE66" i="6"/>
  <c r="BE67" i="6"/>
  <c r="BE68" i="6"/>
  <c r="BE69" i="6"/>
  <c r="BE70" i="6"/>
  <c r="BE71" i="6"/>
  <c r="BE72" i="6"/>
  <c r="BE73" i="6"/>
  <c r="BE74" i="6"/>
  <c r="BE75" i="6"/>
  <c r="BE76" i="6"/>
  <c r="BE77" i="6"/>
  <c r="BE78" i="6"/>
  <c r="BE79" i="6"/>
  <c r="BE80" i="6"/>
  <c r="BE81" i="6"/>
  <c r="BE82" i="6"/>
  <c r="BE83" i="6"/>
  <c r="BE84" i="6"/>
  <c r="BE85" i="6"/>
  <c r="BE86" i="6"/>
  <c r="BE87" i="6"/>
  <c r="BE89" i="6"/>
  <c r="BE90" i="6"/>
  <c r="BE93" i="6"/>
  <c r="BE94" i="6"/>
  <c r="BE2" i="6"/>
  <c r="BD3" i="6"/>
  <c r="BD7" i="6"/>
  <c r="BD8" i="6"/>
  <c r="BD9" i="6"/>
  <c r="BD11" i="6"/>
  <c r="BD13" i="6"/>
  <c r="BD14" i="6"/>
  <c r="BD64" i="6"/>
  <c r="BD66" i="6"/>
  <c r="BD67" i="6"/>
  <c r="BD68" i="6"/>
  <c r="BD69" i="6"/>
  <c r="BD70" i="6"/>
  <c r="BD71" i="6"/>
  <c r="BD72" i="6"/>
  <c r="BD73" i="6"/>
  <c r="BD74" i="6"/>
  <c r="BD75" i="6"/>
  <c r="BD76" i="6"/>
  <c r="BD77" i="6"/>
  <c r="BD78" i="6"/>
  <c r="BD79" i="6"/>
  <c r="BD80" i="6"/>
  <c r="BD81" i="6"/>
  <c r="BD82" i="6"/>
  <c r="BD83" i="6"/>
  <c r="BD84" i="6"/>
  <c r="BD85" i="6"/>
  <c r="BD86" i="6"/>
  <c r="BD87" i="6"/>
  <c r="BD89" i="6"/>
  <c r="BD90" i="6"/>
  <c r="BD93" i="6"/>
  <c r="BD94" i="6"/>
  <c r="BD2" i="6"/>
  <c r="BC3" i="6"/>
  <c r="BC7" i="6"/>
  <c r="BC8" i="6"/>
  <c r="BC9" i="6"/>
  <c r="BC11" i="6"/>
  <c r="BC13" i="6"/>
  <c r="BC14" i="6"/>
  <c r="BC64" i="6"/>
  <c r="BC66" i="6"/>
  <c r="BC67" i="6"/>
  <c r="BC68" i="6"/>
  <c r="BC69" i="6"/>
  <c r="BC70" i="6"/>
  <c r="BC71" i="6"/>
  <c r="BC72" i="6"/>
  <c r="BC73" i="6"/>
  <c r="BC74" i="6"/>
  <c r="BC75" i="6"/>
  <c r="BC76" i="6"/>
  <c r="BC77" i="6"/>
  <c r="BC78" i="6"/>
  <c r="BC79" i="6"/>
  <c r="BC80" i="6"/>
  <c r="BC81" i="6"/>
  <c r="BC82" i="6"/>
  <c r="BC83" i="6"/>
  <c r="BC84" i="6"/>
  <c r="BC85" i="6"/>
  <c r="BC86" i="6"/>
  <c r="BC87" i="6"/>
  <c r="BC89" i="6"/>
  <c r="BC90" i="6"/>
  <c r="BC93" i="6"/>
  <c r="BC94" i="6"/>
  <c r="BC2" i="6"/>
  <c r="BB3" i="6"/>
  <c r="BB7" i="6"/>
  <c r="BB8" i="6"/>
  <c r="BB9" i="6"/>
  <c r="BB11" i="6"/>
  <c r="BB13" i="6"/>
  <c r="BB14" i="6"/>
  <c r="BB64" i="6"/>
  <c r="BB66" i="6"/>
  <c r="BB67" i="6"/>
  <c r="BB68" i="6"/>
  <c r="BB69" i="6"/>
  <c r="BB70" i="6"/>
  <c r="BB71" i="6"/>
  <c r="BB72" i="6"/>
  <c r="BB73" i="6"/>
  <c r="BB74" i="6"/>
  <c r="BB75" i="6"/>
  <c r="BB76" i="6"/>
  <c r="BB77" i="6"/>
  <c r="BB78" i="6"/>
  <c r="BB79" i="6"/>
  <c r="BB80" i="6"/>
  <c r="BB81" i="6"/>
  <c r="BB82" i="6"/>
  <c r="BB83" i="6"/>
  <c r="BB84" i="6"/>
  <c r="BB85" i="6"/>
  <c r="BB86" i="6"/>
  <c r="BB87" i="6"/>
  <c r="BB89" i="6"/>
  <c r="BB90" i="6"/>
  <c r="BB93" i="6"/>
  <c r="BB94" i="6"/>
  <c r="BB2" i="6"/>
  <c r="BA3" i="6"/>
  <c r="BA7" i="6"/>
  <c r="BA8" i="6"/>
  <c r="BA9" i="6"/>
  <c r="BA11" i="6"/>
  <c r="BA13" i="6"/>
  <c r="BA14" i="6"/>
  <c r="BA64" i="6"/>
  <c r="BA66" i="6"/>
  <c r="BA67" i="6"/>
  <c r="BA68" i="6"/>
  <c r="BA69" i="6"/>
  <c r="BA70" i="6"/>
  <c r="BA71" i="6"/>
  <c r="BA72" i="6"/>
  <c r="BA73" i="6"/>
  <c r="BA74" i="6"/>
  <c r="BA75" i="6"/>
  <c r="BA76" i="6"/>
  <c r="BA77" i="6"/>
  <c r="BA78" i="6"/>
  <c r="BA79" i="6"/>
  <c r="BA80" i="6"/>
  <c r="BA81" i="6"/>
  <c r="BA82" i="6"/>
  <c r="BA83" i="6"/>
  <c r="BA84" i="6"/>
  <c r="BA85" i="6"/>
  <c r="BA86" i="6"/>
  <c r="BA87" i="6"/>
  <c r="BA89" i="6"/>
  <c r="BA90" i="6"/>
  <c r="BA93" i="6"/>
  <c r="BA94" i="6"/>
  <c r="BA2" i="6"/>
  <c r="AZ3" i="6"/>
  <c r="AZ7" i="6"/>
  <c r="AZ8" i="6"/>
  <c r="AZ9" i="6"/>
  <c r="AZ11" i="6"/>
  <c r="AZ13" i="6"/>
  <c r="AZ14" i="6"/>
  <c r="AZ64" i="6"/>
  <c r="AZ66" i="6"/>
  <c r="AZ67" i="6"/>
  <c r="AZ68" i="6"/>
  <c r="AZ69" i="6"/>
  <c r="AZ70" i="6"/>
  <c r="AZ71" i="6"/>
  <c r="AZ72" i="6"/>
  <c r="AZ73" i="6"/>
  <c r="AZ74" i="6"/>
  <c r="AZ75" i="6"/>
  <c r="AZ76" i="6"/>
  <c r="AZ77" i="6"/>
  <c r="AZ78" i="6"/>
  <c r="AZ79" i="6"/>
  <c r="AZ80" i="6"/>
  <c r="AZ81" i="6"/>
  <c r="AZ82" i="6"/>
  <c r="AZ83" i="6"/>
  <c r="AZ84" i="6"/>
  <c r="AZ85" i="6"/>
  <c r="AZ86" i="6"/>
  <c r="AZ87" i="6"/>
  <c r="AZ89" i="6"/>
  <c r="AZ90" i="6"/>
  <c r="AZ93" i="6"/>
  <c r="AZ94" i="6"/>
  <c r="AZ2" i="6"/>
  <c r="AY3" i="6"/>
  <c r="AY7" i="6"/>
  <c r="AY8" i="6"/>
  <c r="AY9" i="6"/>
  <c r="AY11" i="6"/>
  <c r="AY13" i="6"/>
  <c r="AY14" i="6"/>
  <c r="AY64" i="6"/>
  <c r="AY66" i="6"/>
  <c r="AY67" i="6"/>
  <c r="AY68" i="6"/>
  <c r="AY69" i="6"/>
  <c r="AY70" i="6"/>
  <c r="AY71" i="6"/>
  <c r="AY72" i="6"/>
  <c r="AY73" i="6"/>
  <c r="AY74" i="6"/>
  <c r="AY75" i="6"/>
  <c r="AY76" i="6"/>
  <c r="AY77" i="6"/>
  <c r="AY78" i="6"/>
  <c r="AY79" i="6"/>
  <c r="AY80" i="6"/>
  <c r="AY81" i="6"/>
  <c r="AY82" i="6"/>
  <c r="AY83" i="6"/>
  <c r="AY84" i="6"/>
  <c r="AY85" i="6"/>
  <c r="AY86" i="6"/>
  <c r="AY87" i="6"/>
  <c r="AY89" i="6"/>
  <c r="AY90" i="6"/>
  <c r="AY93" i="6"/>
  <c r="AY94" i="6"/>
  <c r="AY2" i="6"/>
  <c r="AX3" i="6"/>
  <c r="AX7" i="6"/>
  <c r="AX8" i="6"/>
  <c r="AX9" i="6"/>
  <c r="AX11" i="6"/>
  <c r="AX13" i="6"/>
  <c r="AX14" i="6"/>
  <c r="AX64" i="6"/>
  <c r="AX66" i="6"/>
  <c r="AX67" i="6"/>
  <c r="AX68" i="6"/>
  <c r="AX69" i="6"/>
  <c r="AX70" i="6"/>
  <c r="AX71" i="6"/>
  <c r="AX72" i="6"/>
  <c r="AX73" i="6"/>
  <c r="AX74" i="6"/>
  <c r="AX75" i="6"/>
  <c r="AX76" i="6"/>
  <c r="AX77" i="6"/>
  <c r="AX78" i="6"/>
  <c r="AX79" i="6"/>
  <c r="AX80" i="6"/>
  <c r="AX81" i="6"/>
  <c r="AX82" i="6"/>
  <c r="AX83" i="6"/>
  <c r="AX84" i="6"/>
  <c r="AX85" i="6"/>
  <c r="AX86" i="6"/>
  <c r="AX87" i="6"/>
  <c r="AX89" i="6"/>
  <c r="AX90" i="6"/>
  <c r="AX93" i="6"/>
  <c r="AX94" i="6"/>
  <c r="AX2" i="6"/>
  <c r="AW3" i="6"/>
  <c r="AW7" i="6"/>
  <c r="AW8" i="6"/>
  <c r="AW9" i="6"/>
  <c r="AW11" i="6"/>
  <c r="AW13" i="6"/>
  <c r="AW14" i="6"/>
  <c r="AW64" i="6"/>
  <c r="AW66" i="6"/>
  <c r="AW67" i="6"/>
  <c r="AW68" i="6"/>
  <c r="AW69" i="6"/>
  <c r="AW70" i="6"/>
  <c r="AW71" i="6"/>
  <c r="AW72" i="6"/>
  <c r="AW73" i="6"/>
  <c r="AW74" i="6"/>
  <c r="AW75" i="6"/>
  <c r="AW76" i="6"/>
  <c r="AW77" i="6"/>
  <c r="AW78" i="6"/>
  <c r="AW79" i="6"/>
  <c r="AW80" i="6"/>
  <c r="AW81" i="6"/>
  <c r="AW82" i="6"/>
  <c r="AW83" i="6"/>
  <c r="AW84" i="6"/>
  <c r="AW85" i="6"/>
  <c r="AW86" i="6"/>
  <c r="AW87" i="6"/>
  <c r="AW89" i="6"/>
  <c r="AW90" i="6"/>
  <c r="AW93" i="6"/>
  <c r="AW94" i="6"/>
  <c r="AW2" i="6"/>
  <c r="AV3" i="6"/>
  <c r="AV7" i="6"/>
  <c r="AV8" i="6"/>
  <c r="AV9" i="6"/>
  <c r="AV11" i="6"/>
  <c r="AV13" i="6"/>
  <c r="AV14" i="6"/>
  <c r="AV64" i="6"/>
  <c r="AV66" i="6"/>
  <c r="AV67" i="6"/>
  <c r="AV68" i="6"/>
  <c r="AV69" i="6"/>
  <c r="AV70" i="6"/>
  <c r="AV71" i="6"/>
  <c r="AV72" i="6"/>
  <c r="AV73" i="6"/>
  <c r="AV74" i="6"/>
  <c r="AV75" i="6"/>
  <c r="AV76" i="6"/>
  <c r="AV77" i="6"/>
  <c r="AV78" i="6"/>
  <c r="AV79" i="6"/>
  <c r="AV80" i="6"/>
  <c r="AV81" i="6"/>
  <c r="AV82" i="6"/>
  <c r="AV83" i="6"/>
  <c r="AV84" i="6"/>
  <c r="AV85" i="6"/>
  <c r="AV86" i="6"/>
  <c r="AV87" i="6"/>
  <c r="AV89" i="6"/>
  <c r="AV90" i="6"/>
  <c r="AV93" i="6"/>
  <c r="AV94" i="6"/>
  <c r="AV2" i="6"/>
  <c r="AU3" i="6"/>
  <c r="AU7" i="6"/>
  <c r="AU8" i="6"/>
  <c r="AU9" i="6"/>
  <c r="AU11" i="6"/>
  <c r="AU13" i="6"/>
  <c r="AU14" i="6"/>
  <c r="AU64" i="6"/>
  <c r="AU66" i="6"/>
  <c r="AU67" i="6"/>
  <c r="AU68" i="6"/>
  <c r="AU69" i="6"/>
  <c r="AU70" i="6"/>
  <c r="AU71" i="6"/>
  <c r="AU72" i="6"/>
  <c r="AU73" i="6"/>
  <c r="AU74" i="6"/>
  <c r="AU75" i="6"/>
  <c r="AU76" i="6"/>
  <c r="AU77" i="6"/>
  <c r="AU78" i="6"/>
  <c r="AU79" i="6"/>
  <c r="AU80" i="6"/>
  <c r="AU81" i="6"/>
  <c r="AU82" i="6"/>
  <c r="AU83" i="6"/>
  <c r="AU84" i="6"/>
  <c r="AU85" i="6"/>
  <c r="AU86" i="6"/>
  <c r="AU87" i="6"/>
  <c r="AU89" i="6"/>
  <c r="AU90" i="6"/>
  <c r="AU93" i="6"/>
  <c r="AU94" i="6"/>
  <c r="AU2" i="6"/>
  <c r="AT3" i="6"/>
  <c r="AT7" i="6"/>
  <c r="AT8" i="6"/>
  <c r="AT9" i="6"/>
  <c r="AT11" i="6"/>
  <c r="AT13" i="6"/>
  <c r="AT14" i="6"/>
  <c r="AT64" i="6"/>
  <c r="AT66" i="6"/>
  <c r="AT67" i="6"/>
  <c r="AT68" i="6"/>
  <c r="AT69" i="6"/>
  <c r="AT70" i="6"/>
  <c r="AT71" i="6"/>
  <c r="AT72" i="6"/>
  <c r="AT73" i="6"/>
  <c r="AT74" i="6"/>
  <c r="AT75" i="6"/>
  <c r="AT76" i="6"/>
  <c r="AT77" i="6"/>
  <c r="AT78" i="6"/>
  <c r="AT79" i="6"/>
  <c r="AT80" i="6"/>
  <c r="AT81" i="6"/>
  <c r="AT82" i="6"/>
  <c r="AT83" i="6"/>
  <c r="AT84" i="6"/>
  <c r="AT85" i="6"/>
  <c r="AT86" i="6"/>
  <c r="AT87" i="6"/>
  <c r="AT89" i="6"/>
  <c r="AT90" i="6"/>
  <c r="AT93" i="6"/>
  <c r="AT94" i="6"/>
  <c r="AT2" i="6"/>
  <c r="AS3" i="6"/>
  <c r="AS7" i="6"/>
  <c r="AS8" i="6"/>
  <c r="AS9" i="6"/>
  <c r="AS11" i="6"/>
  <c r="AS13" i="6"/>
  <c r="AS14" i="6"/>
  <c r="AS64" i="6"/>
  <c r="AS66" i="6"/>
  <c r="AS67" i="6"/>
  <c r="AS68" i="6"/>
  <c r="AS69" i="6"/>
  <c r="AS70" i="6"/>
  <c r="AS71" i="6"/>
  <c r="AS72" i="6"/>
  <c r="AS73" i="6"/>
  <c r="AS74" i="6"/>
  <c r="AS75" i="6"/>
  <c r="AS76" i="6"/>
  <c r="AS77" i="6"/>
  <c r="AS78" i="6"/>
  <c r="AS79" i="6"/>
  <c r="AS80" i="6"/>
  <c r="AS81" i="6"/>
  <c r="AS82" i="6"/>
  <c r="AS83" i="6"/>
  <c r="AS84" i="6"/>
  <c r="AS85" i="6"/>
  <c r="AS86" i="6"/>
  <c r="AS87" i="6"/>
  <c r="AS89" i="6"/>
  <c r="AS90" i="6"/>
  <c r="AS93" i="6"/>
  <c r="AS94" i="6"/>
  <c r="AS2" i="6"/>
  <c r="AR3" i="6"/>
  <c r="AR7" i="6"/>
  <c r="AR8" i="6"/>
  <c r="AR9" i="6"/>
  <c r="AR11" i="6"/>
  <c r="AR13" i="6"/>
  <c r="AR14" i="6"/>
  <c r="AR64" i="6"/>
  <c r="AR66" i="6"/>
  <c r="AR67" i="6"/>
  <c r="AR68" i="6"/>
  <c r="AR69" i="6"/>
  <c r="AR70" i="6"/>
  <c r="AR71" i="6"/>
  <c r="AR72" i="6"/>
  <c r="AR73" i="6"/>
  <c r="AR74" i="6"/>
  <c r="AR75" i="6"/>
  <c r="AR76" i="6"/>
  <c r="AR77" i="6"/>
  <c r="AR78" i="6"/>
  <c r="AR79" i="6"/>
  <c r="AR80" i="6"/>
  <c r="AR81" i="6"/>
  <c r="AR82" i="6"/>
  <c r="AR83" i="6"/>
  <c r="AR84" i="6"/>
  <c r="AR85" i="6"/>
  <c r="AR86" i="6"/>
  <c r="AR87" i="6"/>
  <c r="AR89" i="6"/>
  <c r="AR90" i="6"/>
  <c r="AR93" i="6"/>
  <c r="AR94" i="6"/>
  <c r="AR2" i="6"/>
  <c r="AQ3" i="6"/>
  <c r="AQ7" i="6"/>
  <c r="AQ8" i="6"/>
  <c r="AQ9" i="6"/>
  <c r="AQ11" i="6"/>
  <c r="AQ13" i="6"/>
  <c r="AQ14" i="6"/>
  <c r="AQ64" i="6"/>
  <c r="AQ66" i="6"/>
  <c r="AQ67" i="6"/>
  <c r="AQ68" i="6"/>
  <c r="AQ69" i="6"/>
  <c r="AQ70" i="6"/>
  <c r="AQ71" i="6"/>
  <c r="AQ72" i="6"/>
  <c r="AQ73" i="6"/>
  <c r="AQ74" i="6"/>
  <c r="AQ75" i="6"/>
  <c r="AQ76" i="6"/>
  <c r="AQ77" i="6"/>
  <c r="AQ78" i="6"/>
  <c r="AQ79" i="6"/>
  <c r="AQ80" i="6"/>
  <c r="AQ81" i="6"/>
  <c r="AQ82" i="6"/>
  <c r="AQ83" i="6"/>
  <c r="AQ84" i="6"/>
  <c r="AQ85" i="6"/>
  <c r="AQ86" i="6"/>
  <c r="AQ87" i="6"/>
  <c r="AQ89" i="6"/>
  <c r="AQ90" i="6"/>
  <c r="AQ93" i="6"/>
  <c r="AQ94" i="6"/>
  <c r="AQ2" i="6"/>
  <c r="AP3" i="6"/>
  <c r="AP7" i="6"/>
  <c r="AP8" i="6"/>
  <c r="AP9" i="6"/>
  <c r="AP11" i="6"/>
  <c r="AP13" i="6"/>
  <c r="AP14" i="6"/>
  <c r="AP64" i="6"/>
  <c r="AP66" i="6"/>
  <c r="AP67" i="6"/>
  <c r="AP68" i="6"/>
  <c r="AP69" i="6"/>
  <c r="AP70" i="6"/>
  <c r="AP71" i="6"/>
  <c r="AP72" i="6"/>
  <c r="AP73" i="6"/>
  <c r="AP74" i="6"/>
  <c r="AP75" i="6"/>
  <c r="AP76" i="6"/>
  <c r="AP77" i="6"/>
  <c r="AP78" i="6"/>
  <c r="AP79" i="6"/>
  <c r="AP80" i="6"/>
  <c r="AP81" i="6"/>
  <c r="AP82" i="6"/>
  <c r="AP83" i="6"/>
  <c r="AP84" i="6"/>
  <c r="AP85" i="6"/>
  <c r="AP86" i="6"/>
  <c r="AP87" i="6"/>
  <c r="AP89" i="6"/>
  <c r="AP90" i="6"/>
  <c r="AP93" i="6"/>
  <c r="AP94" i="6"/>
  <c r="AP2" i="6"/>
  <c r="AO3" i="6"/>
  <c r="AO7" i="6"/>
  <c r="AO8" i="6"/>
  <c r="AO9" i="6"/>
  <c r="AO11" i="6"/>
  <c r="AO13" i="6"/>
  <c r="AO14" i="6"/>
  <c r="AO64" i="6"/>
  <c r="AO66" i="6"/>
  <c r="AO67" i="6"/>
  <c r="AO68" i="6"/>
  <c r="AO69" i="6"/>
  <c r="AO70" i="6"/>
  <c r="AO71" i="6"/>
  <c r="AO72" i="6"/>
  <c r="AO73" i="6"/>
  <c r="AO74" i="6"/>
  <c r="AO75" i="6"/>
  <c r="AO76" i="6"/>
  <c r="AO77" i="6"/>
  <c r="AO78" i="6"/>
  <c r="AO79" i="6"/>
  <c r="AO80" i="6"/>
  <c r="AO81" i="6"/>
  <c r="AO82" i="6"/>
  <c r="AO83" i="6"/>
  <c r="AO84" i="6"/>
  <c r="AO85" i="6"/>
  <c r="AO86" i="6"/>
  <c r="AO87" i="6"/>
  <c r="AO89" i="6"/>
  <c r="AO90" i="6"/>
  <c r="AO93" i="6"/>
  <c r="AO94" i="6"/>
  <c r="AO2" i="6"/>
  <c r="AN3" i="6"/>
  <c r="AN7" i="6"/>
  <c r="AN8" i="6"/>
  <c r="AN9" i="6"/>
  <c r="AN11" i="6"/>
  <c r="AN13" i="6"/>
  <c r="AN14" i="6"/>
  <c r="AN64" i="6"/>
  <c r="AN66" i="6"/>
  <c r="AN67" i="6"/>
  <c r="AN68" i="6"/>
  <c r="AN69" i="6"/>
  <c r="AN70" i="6"/>
  <c r="AN71" i="6"/>
  <c r="AN72" i="6"/>
  <c r="AN73" i="6"/>
  <c r="AN74" i="6"/>
  <c r="AN75" i="6"/>
  <c r="AN76" i="6"/>
  <c r="AN77" i="6"/>
  <c r="AN78" i="6"/>
  <c r="AN79" i="6"/>
  <c r="AN80" i="6"/>
  <c r="AN81" i="6"/>
  <c r="AN82" i="6"/>
  <c r="AN83" i="6"/>
  <c r="AN84" i="6"/>
  <c r="AN85" i="6"/>
  <c r="AN86" i="6"/>
  <c r="AN87" i="6"/>
  <c r="AN89" i="6"/>
  <c r="AN90" i="6"/>
  <c r="AN93" i="6"/>
  <c r="AN94" i="6"/>
  <c r="AN2" i="6"/>
  <c r="AM3" i="6"/>
  <c r="AM7" i="6"/>
  <c r="AM8" i="6"/>
  <c r="AM9" i="6"/>
  <c r="AM11" i="6"/>
  <c r="AM13" i="6"/>
  <c r="AM14" i="6"/>
  <c r="AM64" i="6"/>
  <c r="AM66" i="6"/>
  <c r="AM67" i="6"/>
  <c r="AM68" i="6"/>
  <c r="AM69" i="6"/>
  <c r="AM70" i="6"/>
  <c r="AM71" i="6"/>
  <c r="AM72" i="6"/>
  <c r="AM73" i="6"/>
  <c r="AM74" i="6"/>
  <c r="AM75" i="6"/>
  <c r="AM76" i="6"/>
  <c r="AM77" i="6"/>
  <c r="AM78" i="6"/>
  <c r="AM79" i="6"/>
  <c r="AM80" i="6"/>
  <c r="AM81" i="6"/>
  <c r="AM82" i="6"/>
  <c r="AM83" i="6"/>
  <c r="AM84" i="6"/>
  <c r="AM85" i="6"/>
  <c r="AM86" i="6"/>
  <c r="AM87" i="6"/>
  <c r="AM89" i="6"/>
  <c r="AM90" i="6"/>
  <c r="AM93" i="6"/>
  <c r="AM94" i="6"/>
  <c r="AM2" i="6"/>
  <c r="AL3" i="6"/>
  <c r="AL7" i="6"/>
  <c r="AL8" i="6"/>
  <c r="AL9" i="6"/>
  <c r="AL11" i="6"/>
  <c r="AL13" i="6"/>
  <c r="AL14" i="6"/>
  <c r="AL64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9" i="6"/>
  <c r="AL90" i="6"/>
  <c r="AL93" i="6"/>
  <c r="AL94" i="6"/>
  <c r="AL2" i="6"/>
  <c r="AK3" i="6"/>
  <c r="AK7" i="6"/>
  <c r="AK8" i="6"/>
  <c r="AK9" i="6"/>
  <c r="AK11" i="6"/>
  <c r="AK13" i="6"/>
  <c r="AK14" i="6"/>
  <c r="AK64" i="6"/>
  <c r="AK66" i="6"/>
  <c r="AK67" i="6"/>
  <c r="AK68" i="6"/>
  <c r="AK69" i="6"/>
  <c r="AK70" i="6"/>
  <c r="AK71" i="6"/>
  <c r="AK72" i="6"/>
  <c r="AK73" i="6"/>
  <c r="AK74" i="6"/>
  <c r="AK75" i="6"/>
  <c r="AK76" i="6"/>
  <c r="AK77" i="6"/>
  <c r="AK78" i="6"/>
  <c r="AK79" i="6"/>
  <c r="AK80" i="6"/>
  <c r="AK81" i="6"/>
  <c r="AK82" i="6"/>
  <c r="AK83" i="6"/>
  <c r="AK84" i="6"/>
  <c r="AK85" i="6"/>
  <c r="AK86" i="6"/>
  <c r="AK87" i="6"/>
  <c r="AK89" i="6"/>
  <c r="AK90" i="6"/>
  <c r="AK93" i="6"/>
  <c r="AK94" i="6"/>
  <c r="AK2" i="6"/>
  <c r="AJ3" i="6"/>
  <c r="AJ7" i="6"/>
  <c r="AJ8" i="6"/>
  <c r="AJ9" i="6"/>
  <c r="AJ11" i="6"/>
  <c r="AJ13" i="6"/>
  <c r="AJ14" i="6"/>
  <c r="AJ64" i="6"/>
  <c r="AJ66" i="6"/>
  <c r="AJ67" i="6"/>
  <c r="AJ68" i="6"/>
  <c r="AJ69" i="6"/>
  <c r="AJ70" i="6"/>
  <c r="AJ71" i="6"/>
  <c r="AJ72" i="6"/>
  <c r="AJ73" i="6"/>
  <c r="AJ74" i="6"/>
  <c r="AJ75" i="6"/>
  <c r="AJ76" i="6"/>
  <c r="AJ77" i="6"/>
  <c r="AJ78" i="6"/>
  <c r="AJ79" i="6"/>
  <c r="AJ80" i="6"/>
  <c r="AJ81" i="6"/>
  <c r="AJ82" i="6"/>
  <c r="AJ83" i="6"/>
  <c r="AJ84" i="6"/>
  <c r="AJ85" i="6"/>
  <c r="AJ86" i="6"/>
  <c r="AJ87" i="6"/>
  <c r="AJ89" i="6"/>
  <c r="AJ90" i="6"/>
  <c r="AJ93" i="6"/>
  <c r="AJ94" i="6"/>
  <c r="AJ2" i="6"/>
  <c r="AI3" i="6"/>
  <c r="AI7" i="6"/>
  <c r="AI8" i="6"/>
  <c r="AI9" i="6"/>
  <c r="AI11" i="6"/>
  <c r="AI13" i="6"/>
  <c r="AI14" i="6"/>
  <c r="AI64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9" i="6"/>
  <c r="AI90" i="6"/>
  <c r="AI93" i="6"/>
  <c r="AI94" i="6"/>
  <c r="AI2" i="6"/>
  <c r="AH3" i="6"/>
  <c r="AH7" i="6"/>
  <c r="AH8" i="6"/>
  <c r="AH9" i="6"/>
  <c r="AH11" i="6"/>
  <c r="AH13" i="6"/>
  <c r="AH14" i="6"/>
  <c r="AH64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9" i="6"/>
  <c r="AH90" i="6"/>
  <c r="AH93" i="6"/>
  <c r="AH94" i="6"/>
  <c r="AH2" i="6"/>
  <c r="AG3" i="6"/>
  <c r="AG7" i="6"/>
  <c r="AG8" i="6"/>
  <c r="AG9" i="6"/>
  <c r="AG11" i="6"/>
  <c r="AG13" i="6"/>
  <c r="AG14" i="6"/>
  <c r="AG64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9" i="6"/>
  <c r="AG90" i="6"/>
  <c r="AG93" i="6"/>
  <c r="AG94" i="6"/>
  <c r="AG2" i="6"/>
  <c r="AF3" i="6"/>
  <c r="AF7" i="6"/>
  <c r="AF8" i="6"/>
  <c r="AF9" i="6"/>
  <c r="AF11" i="6"/>
  <c r="AF13" i="6"/>
  <c r="AF14" i="6"/>
  <c r="AF64" i="6"/>
  <c r="AF66" i="6"/>
  <c r="AF67" i="6"/>
  <c r="AF68" i="6"/>
  <c r="AF69" i="6"/>
  <c r="AF70" i="6"/>
  <c r="AF71" i="6"/>
  <c r="AF72" i="6"/>
  <c r="AF73" i="6"/>
  <c r="AF74" i="6"/>
  <c r="AF75" i="6"/>
  <c r="AF76" i="6"/>
  <c r="AF77" i="6"/>
  <c r="AF78" i="6"/>
  <c r="AF79" i="6"/>
  <c r="AF80" i="6"/>
  <c r="AF81" i="6"/>
  <c r="AF82" i="6"/>
  <c r="AF83" i="6"/>
  <c r="AF84" i="6"/>
  <c r="AF85" i="6"/>
  <c r="AF86" i="6"/>
  <c r="AF87" i="6"/>
  <c r="AF89" i="6"/>
  <c r="AF90" i="6"/>
  <c r="AF93" i="6"/>
  <c r="AF94" i="6"/>
  <c r="AF2" i="6"/>
  <c r="AE3" i="6"/>
  <c r="AE7" i="6"/>
  <c r="AE8" i="6"/>
  <c r="AE9" i="6"/>
  <c r="AE11" i="6"/>
  <c r="AE13" i="6"/>
  <c r="AE14" i="6"/>
  <c r="AE64" i="6"/>
  <c r="AE66" i="6"/>
  <c r="AE67" i="6"/>
  <c r="AE68" i="6"/>
  <c r="AE69" i="6"/>
  <c r="AE70" i="6"/>
  <c r="AE71" i="6"/>
  <c r="AE72" i="6"/>
  <c r="AE73" i="6"/>
  <c r="AE74" i="6"/>
  <c r="AE75" i="6"/>
  <c r="AE76" i="6"/>
  <c r="AE77" i="6"/>
  <c r="AE78" i="6"/>
  <c r="AE79" i="6"/>
  <c r="AE80" i="6"/>
  <c r="AE81" i="6"/>
  <c r="AE82" i="6"/>
  <c r="AE83" i="6"/>
  <c r="AE84" i="6"/>
  <c r="AE85" i="6"/>
  <c r="AE86" i="6"/>
  <c r="AE87" i="6"/>
  <c r="AE89" i="6"/>
  <c r="AE90" i="6"/>
  <c r="AE93" i="6"/>
  <c r="AE94" i="6"/>
  <c r="AE2" i="6"/>
  <c r="AD3" i="6"/>
  <c r="AD7" i="6"/>
  <c r="AD8" i="6"/>
  <c r="AD9" i="6"/>
  <c r="AD11" i="6"/>
  <c r="AD13" i="6"/>
  <c r="AD14" i="6"/>
  <c r="AD64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9" i="6"/>
  <c r="AD90" i="6"/>
  <c r="AD93" i="6"/>
  <c r="AD94" i="6"/>
  <c r="AD2" i="6"/>
  <c r="AC3" i="6"/>
  <c r="AC7" i="6"/>
  <c r="AC8" i="6"/>
  <c r="AC9" i="6"/>
  <c r="AC11" i="6"/>
  <c r="AC13" i="6"/>
  <c r="AC14" i="6"/>
  <c r="AC64" i="6"/>
  <c r="AC66" i="6"/>
  <c r="AC67" i="6"/>
  <c r="AC68" i="6"/>
  <c r="AC69" i="6"/>
  <c r="AC70" i="6"/>
  <c r="AC71" i="6"/>
  <c r="AC72" i="6"/>
  <c r="AC73" i="6"/>
  <c r="AC74" i="6"/>
  <c r="AC75" i="6"/>
  <c r="AC76" i="6"/>
  <c r="AC77" i="6"/>
  <c r="AC78" i="6"/>
  <c r="AC79" i="6"/>
  <c r="AC80" i="6"/>
  <c r="AC81" i="6"/>
  <c r="AC82" i="6"/>
  <c r="AC83" i="6"/>
  <c r="AC84" i="6"/>
  <c r="AC85" i="6"/>
  <c r="AC86" i="6"/>
  <c r="AC87" i="6"/>
  <c r="AC89" i="6"/>
  <c r="AC90" i="6"/>
  <c r="AC93" i="6"/>
  <c r="AC94" i="6"/>
  <c r="AC2" i="6"/>
  <c r="AB3" i="6"/>
  <c r="AB7" i="6"/>
  <c r="AB8" i="6"/>
  <c r="AB9" i="6"/>
  <c r="AB11" i="6"/>
  <c r="AB13" i="6"/>
  <c r="AB14" i="6"/>
  <c r="AB64" i="6"/>
  <c r="AB66" i="6"/>
  <c r="AB67" i="6"/>
  <c r="AB68" i="6"/>
  <c r="AB69" i="6"/>
  <c r="AB70" i="6"/>
  <c r="AB71" i="6"/>
  <c r="AB72" i="6"/>
  <c r="AB73" i="6"/>
  <c r="AB74" i="6"/>
  <c r="AB75" i="6"/>
  <c r="AB76" i="6"/>
  <c r="AB77" i="6"/>
  <c r="AB78" i="6"/>
  <c r="AB79" i="6"/>
  <c r="AB80" i="6"/>
  <c r="AB81" i="6"/>
  <c r="AB82" i="6"/>
  <c r="AB83" i="6"/>
  <c r="AB84" i="6"/>
  <c r="AB85" i="6"/>
  <c r="AB86" i="6"/>
  <c r="AB87" i="6"/>
  <c r="AB89" i="6"/>
  <c r="AB90" i="6"/>
  <c r="AB93" i="6"/>
  <c r="AB94" i="6"/>
  <c r="AB2" i="6"/>
  <c r="AA3" i="6"/>
  <c r="AA7" i="6"/>
  <c r="AA8" i="6"/>
  <c r="AA9" i="6"/>
  <c r="AA11" i="6"/>
  <c r="AA13" i="6"/>
  <c r="AA14" i="6"/>
  <c r="AA64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9" i="6"/>
  <c r="AA90" i="6"/>
  <c r="AA93" i="6"/>
  <c r="AA94" i="6"/>
  <c r="AA2" i="6"/>
  <c r="Z3" i="6"/>
  <c r="Z7" i="6"/>
  <c r="Z8" i="6"/>
  <c r="Z9" i="6"/>
  <c r="Z11" i="6"/>
  <c r="Z13" i="6"/>
  <c r="Z14" i="6"/>
  <c r="Z64" i="6"/>
  <c r="Z66" i="6"/>
  <c r="Z67" i="6"/>
  <c r="Z68" i="6"/>
  <c r="Z69" i="6"/>
  <c r="Z70" i="6"/>
  <c r="Z71" i="6"/>
  <c r="Z72" i="6"/>
  <c r="Z73" i="6"/>
  <c r="Z74" i="6"/>
  <c r="Z75" i="6"/>
  <c r="Z76" i="6"/>
  <c r="Z77" i="6"/>
  <c r="Z78" i="6"/>
  <c r="Z79" i="6"/>
  <c r="Z80" i="6"/>
  <c r="Z81" i="6"/>
  <c r="Z82" i="6"/>
  <c r="Z83" i="6"/>
  <c r="Z84" i="6"/>
  <c r="Z85" i="6"/>
  <c r="Z86" i="6"/>
  <c r="Z87" i="6"/>
  <c r="Z89" i="6"/>
  <c r="Z90" i="6"/>
  <c r="Z93" i="6"/>
  <c r="Z94" i="6"/>
  <c r="Z2" i="6"/>
  <c r="Y3" i="6"/>
  <c r="Y7" i="6"/>
  <c r="Y8" i="6"/>
  <c r="Y9" i="6"/>
  <c r="Y11" i="6"/>
  <c r="Y13" i="6"/>
  <c r="Y14" i="6"/>
  <c r="Y64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9" i="6"/>
  <c r="Y90" i="6"/>
  <c r="Y93" i="6"/>
  <c r="Y94" i="6"/>
  <c r="Y2" i="6"/>
  <c r="X3" i="6"/>
  <c r="X7" i="6"/>
  <c r="X8" i="6"/>
  <c r="X9" i="6"/>
  <c r="X11" i="6"/>
  <c r="X13" i="6"/>
  <c r="X14" i="6"/>
  <c r="X64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87" i="6"/>
  <c r="X89" i="6"/>
  <c r="X90" i="6"/>
  <c r="X93" i="6"/>
  <c r="X94" i="6"/>
  <c r="X2" i="6"/>
  <c r="W3" i="6"/>
  <c r="W7" i="6"/>
  <c r="W8" i="6"/>
  <c r="W9" i="6"/>
  <c r="W11" i="6"/>
  <c r="W13" i="6"/>
  <c r="W14" i="6"/>
  <c r="W64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9" i="6"/>
  <c r="W90" i="6"/>
  <c r="W93" i="6"/>
  <c r="W94" i="6"/>
  <c r="W2" i="6"/>
  <c r="V3" i="6"/>
  <c r="V7" i="6"/>
  <c r="V8" i="6"/>
  <c r="V9" i="6"/>
  <c r="V11" i="6"/>
  <c r="V13" i="6"/>
  <c r="V14" i="6"/>
  <c r="V64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9" i="6"/>
  <c r="V90" i="6"/>
  <c r="V93" i="6"/>
  <c r="V94" i="6"/>
  <c r="V2" i="6"/>
  <c r="T2" i="6"/>
  <c r="S3" i="6"/>
  <c r="S7" i="6"/>
  <c r="S8" i="6"/>
  <c r="S9" i="6"/>
  <c r="S11" i="6"/>
  <c r="S13" i="6"/>
  <c r="S14" i="6"/>
  <c r="S64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9" i="6"/>
  <c r="S90" i="6"/>
  <c r="S93" i="6"/>
  <c r="S94" i="6"/>
  <c r="S2" i="6"/>
  <c r="K3" i="6"/>
  <c r="K7" i="6"/>
  <c r="K8" i="6"/>
  <c r="K9" i="6"/>
  <c r="K11" i="6"/>
  <c r="K13" i="6"/>
  <c r="K14" i="6"/>
  <c r="K64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9" i="6"/>
  <c r="K90" i="6"/>
  <c r="K93" i="6"/>
  <c r="K94" i="6"/>
  <c r="K2" i="6"/>
  <c r="L3" i="6"/>
  <c r="L7" i="6"/>
  <c r="L8" i="6"/>
  <c r="L9" i="6"/>
  <c r="L11" i="6"/>
  <c r="L13" i="6"/>
  <c r="L14" i="6"/>
  <c r="L64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9" i="6"/>
  <c r="L90" i="6"/>
  <c r="L93" i="6"/>
  <c r="L94" i="6"/>
  <c r="L2" i="6"/>
  <c r="M3" i="6"/>
  <c r="M7" i="6"/>
  <c r="M8" i="6"/>
  <c r="M9" i="6"/>
  <c r="M11" i="6"/>
  <c r="M13" i="6"/>
  <c r="M14" i="6"/>
  <c r="M64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9" i="6"/>
  <c r="M90" i="6"/>
  <c r="M93" i="6"/>
  <c r="M94" i="6"/>
  <c r="M2" i="6"/>
  <c r="N3" i="6"/>
  <c r="N7" i="6"/>
  <c r="N8" i="6"/>
  <c r="N9" i="6"/>
  <c r="N11" i="6"/>
  <c r="N13" i="6"/>
  <c r="N14" i="6"/>
  <c r="N64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9" i="6"/>
  <c r="N90" i="6"/>
  <c r="N93" i="6"/>
  <c r="N94" i="6"/>
  <c r="N2" i="6"/>
  <c r="O2" i="6"/>
  <c r="O3" i="6"/>
  <c r="O7" i="6"/>
  <c r="O8" i="6"/>
  <c r="O9" i="6"/>
  <c r="O11" i="6"/>
  <c r="O13" i="6"/>
  <c r="O14" i="6"/>
  <c r="O64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9" i="6"/>
  <c r="O90" i="6"/>
  <c r="O93" i="6"/>
  <c r="O94" i="6"/>
  <c r="P2" i="6"/>
  <c r="P3" i="6"/>
  <c r="P7" i="6"/>
  <c r="P8" i="6"/>
  <c r="P9" i="6"/>
  <c r="P11" i="6"/>
  <c r="P13" i="6"/>
  <c r="P14" i="6"/>
  <c r="P64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9" i="6"/>
  <c r="P90" i="6"/>
  <c r="P93" i="6"/>
  <c r="P94" i="6"/>
  <c r="R8" i="1" l="1"/>
  <c r="P8" i="1"/>
  <c r="Q8" i="1"/>
  <c r="E96" i="6" l="1"/>
  <c r="BR96" i="6" l="1"/>
  <c r="J96" i="6"/>
  <c r="BP96" i="6"/>
  <c r="G96" i="6"/>
  <c r="BL96" i="6"/>
  <c r="BK96" i="6"/>
  <c r="T96" i="6"/>
  <c r="R96" i="6"/>
  <c r="BO96" i="6"/>
  <c r="F96" i="6"/>
  <c r="BN96" i="6"/>
  <c r="D96" i="6"/>
  <c r="R97" i="4"/>
  <c r="C98" i="6"/>
  <c r="L18" i="1" l="1"/>
  <c r="L31" i="1" l="1"/>
  <c r="L27" i="1" l="1"/>
  <c r="L29" i="1"/>
  <c r="L30" i="1"/>
  <c r="L22" i="1"/>
  <c r="L14" i="1" l="1"/>
  <c r="L15" i="1" l="1"/>
  <c r="L16" i="1"/>
  <c r="L17" i="1"/>
  <c r="L19" i="1"/>
  <c r="L20" i="1"/>
  <c r="L8" i="1"/>
  <c r="L9" i="1"/>
  <c r="L10" i="1"/>
  <c r="L11" i="1"/>
  <c r="L12" i="1"/>
  <c r="L13" i="1"/>
  <c r="L3" i="1"/>
  <c r="L4" i="1"/>
  <c r="L5" i="1"/>
  <c r="L7" i="1"/>
  <c r="L2" i="1"/>
  <c r="H98" i="6" l="1"/>
  <c r="I98" i="6"/>
  <c r="BH98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2" i="6"/>
  <c r="D2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3" i="6"/>
  <c r="AZ62" i="6" l="1"/>
  <c r="AR62" i="6"/>
  <c r="AJ62" i="6"/>
  <c r="AB62" i="6"/>
  <c r="L62" i="6"/>
  <c r="BA62" i="6"/>
  <c r="AS62" i="6"/>
  <c r="AK62" i="6"/>
  <c r="AC62" i="6"/>
  <c r="K62" i="6"/>
  <c r="BB62" i="6"/>
  <c r="AT62" i="6"/>
  <c r="AL62" i="6"/>
  <c r="AD62" i="6"/>
  <c r="V62" i="6"/>
  <c r="S62" i="6"/>
  <c r="BC62" i="6"/>
  <c r="AU62" i="6"/>
  <c r="AM62" i="6"/>
  <c r="AE62" i="6"/>
  <c r="W62" i="6"/>
  <c r="AG62" i="6"/>
  <c r="BG62" i="6"/>
  <c r="BD62" i="6"/>
  <c r="AV62" i="6"/>
  <c r="AN62" i="6"/>
  <c r="AF62" i="6"/>
  <c r="X62" i="6"/>
  <c r="BE62" i="6"/>
  <c r="AW62" i="6"/>
  <c r="AO62" i="6"/>
  <c r="BF62" i="6"/>
  <c r="AX62" i="6"/>
  <c r="AP62" i="6"/>
  <c r="AH62" i="6"/>
  <c r="Z62" i="6"/>
  <c r="N62" i="6"/>
  <c r="O62" i="6"/>
  <c r="AY62" i="6"/>
  <c r="Y62" i="6"/>
  <c r="AQ62" i="6"/>
  <c r="M62" i="6"/>
  <c r="AA62" i="6"/>
  <c r="AI62" i="6"/>
  <c r="P62" i="6"/>
  <c r="AZ54" i="6"/>
  <c r="AR54" i="6"/>
  <c r="AJ54" i="6"/>
  <c r="AB54" i="6"/>
  <c r="L54" i="6"/>
  <c r="BA54" i="6"/>
  <c r="AS54" i="6"/>
  <c r="AK54" i="6"/>
  <c r="AC54" i="6"/>
  <c r="K54" i="6"/>
  <c r="BB54" i="6"/>
  <c r="AT54" i="6"/>
  <c r="AL54" i="6"/>
  <c r="AD54" i="6"/>
  <c r="V54" i="6"/>
  <c r="S54" i="6"/>
  <c r="BC54" i="6"/>
  <c r="AU54" i="6"/>
  <c r="AM54" i="6"/>
  <c r="AE54" i="6"/>
  <c r="W54" i="6"/>
  <c r="BG54" i="6"/>
  <c r="BD54" i="6"/>
  <c r="AV54" i="6"/>
  <c r="AN54" i="6"/>
  <c r="AF54" i="6"/>
  <c r="X54" i="6"/>
  <c r="BE54" i="6"/>
  <c r="AW54" i="6"/>
  <c r="AO54" i="6"/>
  <c r="AG54" i="6"/>
  <c r="BF54" i="6"/>
  <c r="AX54" i="6"/>
  <c r="AP54" i="6"/>
  <c r="AH54" i="6"/>
  <c r="Z54" i="6"/>
  <c r="N54" i="6"/>
  <c r="O54" i="6"/>
  <c r="AY54" i="6"/>
  <c r="AQ54" i="6"/>
  <c r="M54" i="6"/>
  <c r="AA54" i="6"/>
  <c r="P54" i="6"/>
  <c r="AI54" i="6"/>
  <c r="Y54" i="6"/>
  <c r="AY55" i="6"/>
  <c r="AQ55" i="6"/>
  <c r="AI55" i="6"/>
  <c r="AA55" i="6"/>
  <c r="M55" i="6"/>
  <c r="AZ55" i="6"/>
  <c r="AR55" i="6"/>
  <c r="AJ55" i="6"/>
  <c r="AB55" i="6"/>
  <c r="L55" i="6"/>
  <c r="BA55" i="6"/>
  <c r="AS55" i="6"/>
  <c r="AK55" i="6"/>
  <c r="AC55" i="6"/>
  <c r="K55" i="6"/>
  <c r="BB55" i="6"/>
  <c r="AT55" i="6"/>
  <c r="AL55" i="6"/>
  <c r="AD55" i="6"/>
  <c r="V55" i="6"/>
  <c r="S55" i="6"/>
  <c r="BC55" i="6"/>
  <c r="AU55" i="6"/>
  <c r="AM55" i="6"/>
  <c r="AE55" i="6"/>
  <c r="W55" i="6"/>
  <c r="AF55" i="6"/>
  <c r="BG55" i="6"/>
  <c r="BD55" i="6"/>
  <c r="AV55" i="6"/>
  <c r="AN55" i="6"/>
  <c r="BE55" i="6"/>
  <c r="AW55" i="6"/>
  <c r="AO55" i="6"/>
  <c r="AG55" i="6"/>
  <c r="Y55" i="6"/>
  <c r="P55" i="6"/>
  <c r="BF55" i="6"/>
  <c r="AX55" i="6"/>
  <c r="N55" i="6"/>
  <c r="Z55" i="6"/>
  <c r="O55" i="6"/>
  <c r="AH55" i="6"/>
  <c r="X55" i="6"/>
  <c r="AP55" i="6"/>
  <c r="BA61" i="6"/>
  <c r="AS61" i="6"/>
  <c r="AK61" i="6"/>
  <c r="AC61" i="6"/>
  <c r="K61" i="6"/>
  <c r="BB61" i="6"/>
  <c r="AT61" i="6"/>
  <c r="AL61" i="6"/>
  <c r="AD61" i="6"/>
  <c r="V61" i="6"/>
  <c r="S61" i="6"/>
  <c r="BC61" i="6"/>
  <c r="AU61" i="6"/>
  <c r="AM61" i="6"/>
  <c r="AE61" i="6"/>
  <c r="W61" i="6"/>
  <c r="X61" i="6"/>
  <c r="BG61" i="6"/>
  <c r="BD61" i="6"/>
  <c r="AV61" i="6"/>
  <c r="AN61" i="6"/>
  <c r="AF61" i="6"/>
  <c r="AP61" i="6"/>
  <c r="BE61" i="6"/>
  <c r="AW61" i="6"/>
  <c r="AO61" i="6"/>
  <c r="AG61" i="6"/>
  <c r="Y61" i="6"/>
  <c r="P61" i="6"/>
  <c r="AH61" i="6"/>
  <c r="BF61" i="6"/>
  <c r="AX61" i="6"/>
  <c r="AY61" i="6"/>
  <c r="AQ61" i="6"/>
  <c r="AI61" i="6"/>
  <c r="AA61" i="6"/>
  <c r="M61" i="6"/>
  <c r="AZ61" i="6"/>
  <c r="O61" i="6"/>
  <c r="AJ61" i="6"/>
  <c r="N61" i="6"/>
  <c r="Z61" i="6"/>
  <c r="L61" i="6"/>
  <c r="AR61" i="6"/>
  <c r="AB61" i="6"/>
  <c r="BA53" i="6"/>
  <c r="AS53" i="6"/>
  <c r="AK53" i="6"/>
  <c r="AC53" i="6"/>
  <c r="K53" i="6"/>
  <c r="BB53" i="6"/>
  <c r="AT53" i="6"/>
  <c r="AL53" i="6"/>
  <c r="AD53" i="6"/>
  <c r="V53" i="6"/>
  <c r="S53" i="6"/>
  <c r="BC53" i="6"/>
  <c r="AU53" i="6"/>
  <c r="AM53" i="6"/>
  <c r="AE53" i="6"/>
  <c r="W53" i="6"/>
  <c r="BG53" i="6"/>
  <c r="BD53" i="6"/>
  <c r="AV53" i="6"/>
  <c r="AN53" i="6"/>
  <c r="AF53" i="6"/>
  <c r="X53" i="6"/>
  <c r="BE53" i="6"/>
  <c r="AW53" i="6"/>
  <c r="AO53" i="6"/>
  <c r="AG53" i="6"/>
  <c r="Y53" i="6"/>
  <c r="P53" i="6"/>
  <c r="BF53" i="6"/>
  <c r="AX53" i="6"/>
  <c r="AP53" i="6"/>
  <c r="AH53" i="6"/>
  <c r="AY53" i="6"/>
  <c r="AQ53" i="6"/>
  <c r="AI53" i="6"/>
  <c r="AA53" i="6"/>
  <c r="M53" i="6"/>
  <c r="AZ53" i="6"/>
  <c r="AJ53" i="6"/>
  <c r="Z53" i="6"/>
  <c r="L53" i="6"/>
  <c r="AR53" i="6"/>
  <c r="AB53" i="6"/>
  <c r="N53" i="6"/>
  <c r="O53" i="6"/>
  <c r="BB60" i="6"/>
  <c r="AT60" i="6"/>
  <c r="AL60" i="6"/>
  <c r="AD60" i="6"/>
  <c r="V60" i="6"/>
  <c r="S60" i="6"/>
  <c r="P60" i="6"/>
  <c r="BC60" i="6"/>
  <c r="AU60" i="6"/>
  <c r="AM60" i="6"/>
  <c r="AE60" i="6"/>
  <c r="W60" i="6"/>
  <c r="BG60" i="6"/>
  <c r="BD60" i="6"/>
  <c r="AV60" i="6"/>
  <c r="AN60" i="6"/>
  <c r="AF60" i="6"/>
  <c r="X60" i="6"/>
  <c r="BE60" i="6"/>
  <c r="AW60" i="6"/>
  <c r="AO60" i="6"/>
  <c r="AG60" i="6"/>
  <c r="Y60" i="6"/>
  <c r="BF60" i="6"/>
  <c r="AX60" i="6"/>
  <c r="AP60" i="6"/>
  <c r="AH60" i="6"/>
  <c r="Z60" i="6"/>
  <c r="N60" i="6"/>
  <c r="O60" i="6"/>
  <c r="AY60" i="6"/>
  <c r="AQ60" i="6"/>
  <c r="AI60" i="6"/>
  <c r="AZ60" i="6"/>
  <c r="AR60" i="6"/>
  <c r="AJ60" i="6"/>
  <c r="AB60" i="6"/>
  <c r="L60" i="6"/>
  <c r="BA60" i="6"/>
  <c r="AS60" i="6"/>
  <c r="AC60" i="6"/>
  <c r="M60" i="6"/>
  <c r="AA60" i="6"/>
  <c r="AK60" i="6"/>
  <c r="K60" i="6"/>
  <c r="BB52" i="6"/>
  <c r="AT52" i="6"/>
  <c r="AL52" i="6"/>
  <c r="AD52" i="6"/>
  <c r="V52" i="6"/>
  <c r="S52" i="6"/>
  <c r="BC52" i="6"/>
  <c r="AU52" i="6"/>
  <c r="AM52" i="6"/>
  <c r="AE52" i="6"/>
  <c r="W52" i="6"/>
  <c r="BG52" i="6"/>
  <c r="BD52" i="6"/>
  <c r="AV52" i="6"/>
  <c r="AN52" i="6"/>
  <c r="AF52" i="6"/>
  <c r="X52" i="6"/>
  <c r="P52" i="6"/>
  <c r="BE52" i="6"/>
  <c r="AW52" i="6"/>
  <c r="AO52" i="6"/>
  <c r="AG52" i="6"/>
  <c r="Y52" i="6"/>
  <c r="BF52" i="6"/>
  <c r="AX52" i="6"/>
  <c r="AP52" i="6"/>
  <c r="AH52" i="6"/>
  <c r="Z52" i="6"/>
  <c r="N52" i="6"/>
  <c r="O52" i="6"/>
  <c r="AY52" i="6"/>
  <c r="AQ52" i="6"/>
  <c r="AI52" i="6"/>
  <c r="AZ52" i="6"/>
  <c r="AR52" i="6"/>
  <c r="AJ52" i="6"/>
  <c r="AB52" i="6"/>
  <c r="L52" i="6"/>
  <c r="BA52" i="6"/>
  <c r="M52" i="6"/>
  <c r="AA52" i="6"/>
  <c r="AK52" i="6"/>
  <c r="K52" i="6"/>
  <c r="AS52" i="6"/>
  <c r="AC52" i="6"/>
  <c r="BC59" i="6"/>
  <c r="AU59" i="6"/>
  <c r="AM59" i="6"/>
  <c r="AE59" i="6"/>
  <c r="W59" i="6"/>
  <c r="AB59" i="6"/>
  <c r="BG59" i="6"/>
  <c r="BD59" i="6"/>
  <c r="AV59" i="6"/>
  <c r="AN59" i="6"/>
  <c r="AF59" i="6"/>
  <c r="X59" i="6"/>
  <c r="BE59" i="6"/>
  <c r="AW59" i="6"/>
  <c r="AO59" i="6"/>
  <c r="AG59" i="6"/>
  <c r="Y59" i="6"/>
  <c r="P59" i="6"/>
  <c r="N59" i="6"/>
  <c r="O59" i="6"/>
  <c r="BF59" i="6"/>
  <c r="AX59" i="6"/>
  <c r="AP59" i="6"/>
  <c r="AH59" i="6"/>
  <c r="Z59" i="6"/>
  <c r="AY59" i="6"/>
  <c r="AQ59" i="6"/>
  <c r="AI59" i="6"/>
  <c r="AA59" i="6"/>
  <c r="M59" i="6"/>
  <c r="AZ59" i="6"/>
  <c r="AR59" i="6"/>
  <c r="AJ59" i="6"/>
  <c r="BA59" i="6"/>
  <c r="AS59" i="6"/>
  <c r="AK59" i="6"/>
  <c r="AC59" i="6"/>
  <c r="K59" i="6"/>
  <c r="BB59" i="6"/>
  <c r="V59" i="6"/>
  <c r="AT59" i="6"/>
  <c r="AD59" i="6"/>
  <c r="L59" i="6"/>
  <c r="AL59" i="6"/>
  <c r="S59" i="6"/>
  <c r="BC51" i="6"/>
  <c r="AU51" i="6"/>
  <c r="AM51" i="6"/>
  <c r="AE51" i="6"/>
  <c r="W51" i="6"/>
  <c r="N51" i="6"/>
  <c r="O51" i="6"/>
  <c r="BG51" i="6"/>
  <c r="BD51" i="6"/>
  <c r="AV51" i="6"/>
  <c r="AN51" i="6"/>
  <c r="AF51" i="6"/>
  <c r="X51" i="6"/>
  <c r="BE51" i="6"/>
  <c r="AW51" i="6"/>
  <c r="AO51" i="6"/>
  <c r="AG51" i="6"/>
  <c r="Y51" i="6"/>
  <c r="P51" i="6"/>
  <c r="AB51" i="6"/>
  <c r="BF51" i="6"/>
  <c r="AX51" i="6"/>
  <c r="AP51" i="6"/>
  <c r="AH51" i="6"/>
  <c r="Z51" i="6"/>
  <c r="AY51" i="6"/>
  <c r="AQ51" i="6"/>
  <c r="AI51" i="6"/>
  <c r="AA51" i="6"/>
  <c r="M51" i="6"/>
  <c r="AZ51" i="6"/>
  <c r="AR51" i="6"/>
  <c r="AJ51" i="6"/>
  <c r="BA51" i="6"/>
  <c r="AS51" i="6"/>
  <c r="AK51" i="6"/>
  <c r="AC51" i="6"/>
  <c r="K51" i="6"/>
  <c r="BB51" i="6"/>
  <c r="AT51" i="6"/>
  <c r="L51" i="6"/>
  <c r="AD51" i="6"/>
  <c r="S51" i="6"/>
  <c r="AL51" i="6"/>
  <c r="V51" i="6"/>
  <c r="BG58" i="6"/>
  <c r="BD58" i="6"/>
  <c r="AV58" i="6"/>
  <c r="AN58" i="6"/>
  <c r="AF58" i="6"/>
  <c r="X58" i="6"/>
  <c r="BE58" i="6"/>
  <c r="AW58" i="6"/>
  <c r="AO58" i="6"/>
  <c r="AG58" i="6"/>
  <c r="Y58" i="6"/>
  <c r="P58" i="6"/>
  <c r="BF58" i="6"/>
  <c r="AX58" i="6"/>
  <c r="AP58" i="6"/>
  <c r="AH58" i="6"/>
  <c r="Z58" i="6"/>
  <c r="N58" i="6"/>
  <c r="O58" i="6"/>
  <c r="M58" i="6"/>
  <c r="AC58" i="6"/>
  <c r="AY58" i="6"/>
  <c r="AQ58" i="6"/>
  <c r="AI58" i="6"/>
  <c r="AA58" i="6"/>
  <c r="AZ58" i="6"/>
  <c r="AR58" i="6"/>
  <c r="AJ58" i="6"/>
  <c r="AB58" i="6"/>
  <c r="L58" i="6"/>
  <c r="BA58" i="6"/>
  <c r="AS58" i="6"/>
  <c r="AK58" i="6"/>
  <c r="BB58" i="6"/>
  <c r="AT58" i="6"/>
  <c r="AL58" i="6"/>
  <c r="AD58" i="6"/>
  <c r="V58" i="6"/>
  <c r="S58" i="6"/>
  <c r="BC58" i="6"/>
  <c r="AU58" i="6"/>
  <c r="AM58" i="6"/>
  <c r="W58" i="6"/>
  <c r="K58" i="6"/>
  <c r="AE58" i="6"/>
  <c r="BE57" i="6"/>
  <c r="AW57" i="6"/>
  <c r="AO57" i="6"/>
  <c r="AG57" i="6"/>
  <c r="Y57" i="6"/>
  <c r="P57" i="6"/>
  <c r="L57" i="6"/>
  <c r="AD57" i="6"/>
  <c r="BF57" i="6"/>
  <c r="AX57" i="6"/>
  <c r="AP57" i="6"/>
  <c r="AH57" i="6"/>
  <c r="Z57" i="6"/>
  <c r="N57" i="6"/>
  <c r="O57" i="6"/>
  <c r="AY57" i="6"/>
  <c r="AQ57" i="6"/>
  <c r="AI57" i="6"/>
  <c r="AA57" i="6"/>
  <c r="M57" i="6"/>
  <c r="AZ57" i="6"/>
  <c r="AR57" i="6"/>
  <c r="AJ57" i="6"/>
  <c r="AB57" i="6"/>
  <c r="BA57" i="6"/>
  <c r="AS57" i="6"/>
  <c r="AK57" i="6"/>
  <c r="AC57" i="6"/>
  <c r="K57" i="6"/>
  <c r="BB57" i="6"/>
  <c r="AT57" i="6"/>
  <c r="AL57" i="6"/>
  <c r="BC57" i="6"/>
  <c r="AU57" i="6"/>
  <c r="AM57" i="6"/>
  <c r="AE57" i="6"/>
  <c r="W57" i="6"/>
  <c r="BG57" i="6"/>
  <c r="BD57" i="6"/>
  <c r="AV57" i="6"/>
  <c r="AF57" i="6"/>
  <c r="X57" i="6"/>
  <c r="V57" i="6"/>
  <c r="AN57" i="6"/>
  <c r="S57" i="6"/>
  <c r="BF56" i="6"/>
  <c r="AX56" i="6"/>
  <c r="AP56" i="6"/>
  <c r="AH56" i="6"/>
  <c r="Z56" i="6"/>
  <c r="N56" i="6"/>
  <c r="O56" i="6"/>
  <c r="K56" i="6"/>
  <c r="AY56" i="6"/>
  <c r="AQ56" i="6"/>
  <c r="AI56" i="6"/>
  <c r="AA56" i="6"/>
  <c r="M56" i="6"/>
  <c r="AZ56" i="6"/>
  <c r="AR56" i="6"/>
  <c r="AJ56" i="6"/>
  <c r="AB56" i="6"/>
  <c r="L56" i="6"/>
  <c r="AE56" i="6"/>
  <c r="BA56" i="6"/>
  <c r="AS56" i="6"/>
  <c r="AK56" i="6"/>
  <c r="AC56" i="6"/>
  <c r="BB56" i="6"/>
  <c r="AT56" i="6"/>
  <c r="AL56" i="6"/>
  <c r="AD56" i="6"/>
  <c r="V56" i="6"/>
  <c r="S56" i="6"/>
  <c r="BC56" i="6"/>
  <c r="AU56" i="6"/>
  <c r="AM56" i="6"/>
  <c r="BG56" i="6"/>
  <c r="BD56" i="6"/>
  <c r="AV56" i="6"/>
  <c r="AN56" i="6"/>
  <c r="AF56" i="6"/>
  <c r="X56" i="6"/>
  <c r="BE56" i="6"/>
  <c r="AW56" i="6"/>
  <c r="W56" i="6"/>
  <c r="Y56" i="6"/>
  <c r="AO56" i="6"/>
  <c r="P56" i="6"/>
  <c r="AG56" i="6"/>
  <c r="S46" i="6"/>
  <c r="L46" i="6"/>
  <c r="N46" i="6"/>
  <c r="BC46" i="6"/>
  <c r="AO46" i="6"/>
  <c r="AA46" i="6"/>
  <c r="P46" i="6"/>
  <c r="BE46" i="6"/>
  <c r="BA46" i="6"/>
  <c r="AY46" i="6"/>
  <c r="AQ46" i="6"/>
  <c r="Y46" i="6"/>
  <c r="BF46" i="6"/>
  <c r="BD46" i="6"/>
  <c r="BB46" i="6"/>
  <c r="AZ46" i="6"/>
  <c r="AX46" i="6"/>
  <c r="AV46" i="6"/>
  <c r="AT46" i="6"/>
  <c r="AR46" i="6"/>
  <c r="AP46" i="6"/>
  <c r="AN46" i="6"/>
  <c r="AL46" i="6"/>
  <c r="AJ46" i="6"/>
  <c r="AH46" i="6"/>
  <c r="AF46" i="6"/>
  <c r="AD46" i="6"/>
  <c r="AB46" i="6"/>
  <c r="Z46" i="6"/>
  <c r="X46" i="6"/>
  <c r="V46" i="6"/>
  <c r="AS46" i="6"/>
  <c r="AM46" i="6"/>
  <c r="AK46" i="6"/>
  <c r="AG46" i="6"/>
  <c r="BG46" i="6"/>
  <c r="K46" i="6"/>
  <c r="M46" i="6"/>
  <c r="AU46" i="6"/>
  <c r="AC46" i="6"/>
  <c r="O46" i="6"/>
  <c r="AW46" i="6"/>
  <c r="AI46" i="6"/>
  <c r="AE46" i="6"/>
  <c r="W46" i="6"/>
  <c r="BF43" i="6"/>
  <c r="BD43" i="6"/>
  <c r="BB43" i="6"/>
  <c r="AZ43" i="6"/>
  <c r="AX43" i="6"/>
  <c r="AV43" i="6"/>
  <c r="AT43" i="6"/>
  <c r="AR43" i="6"/>
  <c r="AP43" i="6"/>
  <c r="AN43" i="6"/>
  <c r="AL43" i="6"/>
  <c r="AJ43" i="6"/>
  <c r="AH43" i="6"/>
  <c r="AF43" i="6"/>
  <c r="AD43" i="6"/>
  <c r="AB43" i="6"/>
  <c r="Z43" i="6"/>
  <c r="X43" i="6"/>
  <c r="V43" i="6"/>
  <c r="BG43" i="6"/>
  <c r="K43" i="6"/>
  <c r="M43" i="6"/>
  <c r="O43" i="6"/>
  <c r="BE43" i="6"/>
  <c r="BC43" i="6"/>
  <c r="BA43" i="6"/>
  <c r="AY43" i="6"/>
  <c r="AW43" i="6"/>
  <c r="AU43" i="6"/>
  <c r="AS43" i="6"/>
  <c r="AQ43" i="6"/>
  <c r="AO43" i="6"/>
  <c r="AM43" i="6"/>
  <c r="AK43" i="6"/>
  <c r="AI43" i="6"/>
  <c r="AG43" i="6"/>
  <c r="AE43" i="6"/>
  <c r="AC43" i="6"/>
  <c r="AA43" i="6"/>
  <c r="Y43" i="6"/>
  <c r="W43" i="6"/>
  <c r="S43" i="6"/>
  <c r="L43" i="6"/>
  <c r="N43" i="6"/>
  <c r="P43" i="6"/>
  <c r="P45" i="6"/>
  <c r="L45" i="6"/>
  <c r="BF45" i="6"/>
  <c r="BD45" i="6"/>
  <c r="BB45" i="6"/>
  <c r="AZ45" i="6"/>
  <c r="AX45" i="6"/>
  <c r="AV45" i="6"/>
  <c r="AT45" i="6"/>
  <c r="AR45" i="6"/>
  <c r="AP45" i="6"/>
  <c r="AN45" i="6"/>
  <c r="AL45" i="6"/>
  <c r="AJ45" i="6"/>
  <c r="AH45" i="6"/>
  <c r="AF45" i="6"/>
  <c r="AD45" i="6"/>
  <c r="AB45" i="6"/>
  <c r="Z45" i="6"/>
  <c r="X45" i="6"/>
  <c r="V45" i="6"/>
  <c r="BG45" i="6"/>
  <c r="K45" i="6"/>
  <c r="M45" i="6"/>
  <c r="O45" i="6"/>
  <c r="BE45" i="6"/>
  <c r="BC45" i="6"/>
  <c r="BA45" i="6"/>
  <c r="AY45" i="6"/>
  <c r="AW45" i="6"/>
  <c r="AU45" i="6"/>
  <c r="AS45" i="6"/>
  <c r="AQ45" i="6"/>
  <c r="AO45" i="6"/>
  <c r="AM45" i="6"/>
  <c r="AK45" i="6"/>
  <c r="AI45" i="6"/>
  <c r="AG45" i="6"/>
  <c r="AE45" i="6"/>
  <c r="AC45" i="6"/>
  <c r="AA45" i="6"/>
  <c r="Y45" i="6"/>
  <c r="W45" i="6"/>
  <c r="S45" i="6"/>
  <c r="N45" i="6"/>
  <c r="BF44" i="6"/>
  <c r="BD44" i="6"/>
  <c r="BB44" i="6"/>
  <c r="AZ44" i="6"/>
  <c r="AX44" i="6"/>
  <c r="AV44" i="6"/>
  <c r="AT44" i="6"/>
  <c r="AR44" i="6"/>
  <c r="AP44" i="6"/>
  <c r="AN44" i="6"/>
  <c r="AL44" i="6"/>
  <c r="AJ44" i="6"/>
  <c r="AH44" i="6"/>
  <c r="AF44" i="6"/>
  <c r="AD44" i="6"/>
  <c r="AB44" i="6"/>
  <c r="Z44" i="6"/>
  <c r="X44" i="6"/>
  <c r="V44" i="6"/>
  <c r="BG44" i="6"/>
  <c r="K44" i="6"/>
  <c r="M44" i="6"/>
  <c r="O44" i="6"/>
  <c r="P44" i="6"/>
  <c r="BE44" i="6"/>
  <c r="BC44" i="6"/>
  <c r="BA44" i="6"/>
  <c r="AY44" i="6"/>
  <c r="AW44" i="6"/>
  <c r="AU44" i="6"/>
  <c r="AS44" i="6"/>
  <c r="AQ44" i="6"/>
  <c r="AO44" i="6"/>
  <c r="AM44" i="6"/>
  <c r="AK44" i="6"/>
  <c r="AI44" i="6"/>
  <c r="AG44" i="6"/>
  <c r="AE44" i="6"/>
  <c r="AC44" i="6"/>
  <c r="AA44" i="6"/>
  <c r="Y44" i="6"/>
  <c r="W44" i="6"/>
  <c r="S44" i="6"/>
  <c r="L44" i="6"/>
  <c r="N44" i="6"/>
  <c r="BE48" i="6"/>
  <c r="BC48" i="6"/>
  <c r="BA48" i="6"/>
  <c r="AY48" i="6"/>
  <c r="AW48" i="6"/>
  <c r="AU48" i="6"/>
  <c r="AS48" i="6"/>
  <c r="AQ48" i="6"/>
  <c r="AO48" i="6"/>
  <c r="AM48" i="6"/>
  <c r="AK48" i="6"/>
  <c r="AI48" i="6"/>
  <c r="AG48" i="6"/>
  <c r="AE48" i="6"/>
  <c r="AC48" i="6"/>
  <c r="AA48" i="6"/>
  <c r="Y48" i="6"/>
  <c r="W48" i="6"/>
  <c r="S48" i="6"/>
  <c r="L48" i="6"/>
  <c r="N48" i="6"/>
  <c r="P48" i="6"/>
  <c r="BF48" i="6"/>
  <c r="BD48" i="6"/>
  <c r="BB48" i="6"/>
  <c r="AZ48" i="6"/>
  <c r="AX48" i="6"/>
  <c r="AV48" i="6"/>
  <c r="AT48" i="6"/>
  <c r="AR48" i="6"/>
  <c r="AP48" i="6"/>
  <c r="AN48" i="6"/>
  <c r="AL48" i="6"/>
  <c r="AJ48" i="6"/>
  <c r="AH48" i="6"/>
  <c r="AF48" i="6"/>
  <c r="AD48" i="6"/>
  <c r="AB48" i="6"/>
  <c r="Z48" i="6"/>
  <c r="X48" i="6"/>
  <c r="V48" i="6"/>
  <c r="BG48" i="6"/>
  <c r="K48" i="6"/>
  <c r="M48" i="6"/>
  <c r="O48" i="6"/>
  <c r="BG39" i="6"/>
  <c r="BF39" i="6"/>
  <c r="BE39" i="6"/>
  <c r="BD39" i="6"/>
  <c r="BC39" i="6"/>
  <c r="BB39" i="6"/>
  <c r="BA39" i="6"/>
  <c r="AZ39" i="6"/>
  <c r="AY39" i="6"/>
  <c r="AX39" i="6"/>
  <c r="AW39" i="6"/>
  <c r="AV39" i="6"/>
  <c r="AU39" i="6"/>
  <c r="AT39" i="6"/>
  <c r="AS39" i="6"/>
  <c r="AR39" i="6"/>
  <c r="AQ39" i="6"/>
  <c r="AP39" i="6"/>
  <c r="AO39" i="6"/>
  <c r="AN39" i="6"/>
  <c r="AM39" i="6"/>
  <c r="AL39" i="6"/>
  <c r="AK39" i="6"/>
  <c r="AJ39" i="6"/>
  <c r="AI39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N39" i="6"/>
  <c r="S39" i="6"/>
  <c r="K39" i="6"/>
  <c r="L39" i="6"/>
  <c r="M39" i="6"/>
  <c r="O39" i="6"/>
  <c r="P39" i="6"/>
  <c r="BG31" i="6"/>
  <c r="BF31" i="6"/>
  <c r="BE31" i="6"/>
  <c r="BD31" i="6"/>
  <c r="BC31" i="6"/>
  <c r="BB31" i="6"/>
  <c r="BA31" i="6"/>
  <c r="AZ31" i="6"/>
  <c r="AY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N31" i="6"/>
  <c r="AE31" i="6"/>
  <c r="AD31" i="6"/>
  <c r="AC31" i="6"/>
  <c r="AB31" i="6"/>
  <c r="AA31" i="6"/>
  <c r="Z31" i="6"/>
  <c r="Y31" i="6"/>
  <c r="X31" i="6"/>
  <c r="W31" i="6"/>
  <c r="V31" i="6"/>
  <c r="S31" i="6"/>
  <c r="K31" i="6"/>
  <c r="L31" i="6"/>
  <c r="M31" i="6"/>
  <c r="O31" i="6"/>
  <c r="P31" i="6"/>
  <c r="BG23" i="6"/>
  <c r="BF23" i="6"/>
  <c r="BE23" i="6"/>
  <c r="BD23" i="6"/>
  <c r="BC23" i="6"/>
  <c r="BB23" i="6"/>
  <c r="BA23" i="6"/>
  <c r="AZ23" i="6"/>
  <c r="AY23" i="6"/>
  <c r="AX23" i="6"/>
  <c r="AW23" i="6"/>
  <c r="AV23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S23" i="6"/>
  <c r="K23" i="6"/>
  <c r="L23" i="6"/>
  <c r="M23" i="6"/>
  <c r="N23" i="6"/>
  <c r="O23" i="6"/>
  <c r="P23" i="6"/>
  <c r="BG38" i="6"/>
  <c r="BF38" i="6"/>
  <c r="BE38" i="6"/>
  <c r="BD38" i="6"/>
  <c r="BC38" i="6"/>
  <c r="BB38" i="6"/>
  <c r="BA38" i="6"/>
  <c r="AZ38" i="6"/>
  <c r="AY38" i="6"/>
  <c r="AX38" i="6"/>
  <c r="AW38" i="6"/>
  <c r="AV38" i="6"/>
  <c r="AU38" i="6"/>
  <c r="AT38" i="6"/>
  <c r="AS38" i="6"/>
  <c r="AR38" i="6"/>
  <c r="AQ38" i="6"/>
  <c r="AP38" i="6"/>
  <c r="AO38" i="6"/>
  <c r="AN38" i="6"/>
  <c r="AM38" i="6"/>
  <c r="AL38" i="6"/>
  <c r="AK38" i="6"/>
  <c r="AJ38" i="6"/>
  <c r="AI38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S38" i="6"/>
  <c r="K38" i="6"/>
  <c r="L38" i="6"/>
  <c r="M38" i="6"/>
  <c r="N38" i="6"/>
  <c r="O38" i="6"/>
  <c r="P38" i="6"/>
  <c r="BG30" i="6"/>
  <c r="BF30" i="6"/>
  <c r="BE30" i="6"/>
  <c r="BD30" i="6"/>
  <c r="BC30" i="6"/>
  <c r="BB30" i="6"/>
  <c r="BA30" i="6"/>
  <c r="AZ30" i="6"/>
  <c r="AY30" i="6"/>
  <c r="AX30" i="6"/>
  <c r="AW30" i="6"/>
  <c r="AV30" i="6"/>
  <c r="AU30" i="6"/>
  <c r="AT30" i="6"/>
  <c r="AS30" i="6"/>
  <c r="AR30" i="6"/>
  <c r="AQ30" i="6"/>
  <c r="AP30" i="6"/>
  <c r="AO30" i="6"/>
  <c r="AN30" i="6"/>
  <c r="AM30" i="6"/>
  <c r="AL30" i="6"/>
  <c r="AK30" i="6"/>
  <c r="AJ30" i="6"/>
  <c r="AI30" i="6"/>
  <c r="AH30" i="6"/>
  <c r="AG30" i="6"/>
  <c r="AF30" i="6"/>
  <c r="AE30" i="6"/>
  <c r="AD30" i="6"/>
  <c r="AC30" i="6"/>
  <c r="AB30" i="6"/>
  <c r="AA30" i="6"/>
  <c r="Z30" i="6"/>
  <c r="Y30" i="6"/>
  <c r="X30" i="6"/>
  <c r="W30" i="6"/>
  <c r="V30" i="6"/>
  <c r="O30" i="6"/>
  <c r="P30" i="6"/>
  <c r="S30" i="6"/>
  <c r="K30" i="6"/>
  <c r="L30" i="6"/>
  <c r="M30" i="6"/>
  <c r="N30" i="6"/>
  <c r="BG22" i="6"/>
  <c r="BF22" i="6"/>
  <c r="BE22" i="6"/>
  <c r="BD22" i="6"/>
  <c r="BC22" i="6"/>
  <c r="BB22" i="6"/>
  <c r="BA22" i="6"/>
  <c r="AZ22" i="6"/>
  <c r="AY22" i="6"/>
  <c r="AX22" i="6"/>
  <c r="AW22" i="6"/>
  <c r="AV22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S22" i="6"/>
  <c r="K22" i="6"/>
  <c r="L22" i="6"/>
  <c r="M22" i="6"/>
  <c r="N22" i="6"/>
  <c r="P22" i="6"/>
  <c r="O22" i="6"/>
  <c r="BF36" i="6"/>
  <c r="BE36" i="6"/>
  <c r="BD36" i="6"/>
  <c r="BC36" i="6"/>
  <c r="BB36" i="6"/>
  <c r="BA36" i="6"/>
  <c r="AZ36" i="6"/>
  <c r="AY36" i="6"/>
  <c r="AX36" i="6"/>
  <c r="AW36" i="6"/>
  <c r="AV36" i="6"/>
  <c r="AU36" i="6"/>
  <c r="AT36" i="6"/>
  <c r="AS36" i="6"/>
  <c r="AR36" i="6"/>
  <c r="AQ36" i="6"/>
  <c r="AP36" i="6"/>
  <c r="AO36" i="6"/>
  <c r="AN36" i="6"/>
  <c r="AM36" i="6"/>
  <c r="AL36" i="6"/>
  <c r="AK36" i="6"/>
  <c r="AJ36" i="6"/>
  <c r="AI36" i="6"/>
  <c r="AH36" i="6"/>
  <c r="AG36" i="6"/>
  <c r="AF36" i="6"/>
  <c r="O36" i="6"/>
  <c r="P36" i="6"/>
  <c r="N36" i="6"/>
  <c r="BG36" i="6"/>
  <c r="S36" i="6"/>
  <c r="K36" i="6"/>
  <c r="M36" i="6"/>
  <c r="AE36" i="6"/>
  <c r="AD36" i="6"/>
  <c r="AC36" i="6"/>
  <c r="AB36" i="6"/>
  <c r="AA36" i="6"/>
  <c r="Z36" i="6"/>
  <c r="Y36" i="6"/>
  <c r="X36" i="6"/>
  <c r="W36" i="6"/>
  <c r="V36" i="6"/>
  <c r="L36" i="6"/>
  <c r="BF28" i="6"/>
  <c r="BE28" i="6"/>
  <c r="BD28" i="6"/>
  <c r="BC28" i="6"/>
  <c r="BB28" i="6"/>
  <c r="BA28" i="6"/>
  <c r="AZ28" i="6"/>
  <c r="AY28" i="6"/>
  <c r="AX28" i="6"/>
  <c r="AW28" i="6"/>
  <c r="AV28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AI28" i="6"/>
  <c r="AH28" i="6"/>
  <c r="AG28" i="6"/>
  <c r="AF28" i="6"/>
  <c r="AE28" i="6"/>
  <c r="O28" i="6"/>
  <c r="P28" i="6"/>
  <c r="S28" i="6"/>
  <c r="L28" i="6"/>
  <c r="M28" i="6"/>
  <c r="BG28" i="6"/>
  <c r="K28" i="6"/>
  <c r="N28" i="6"/>
  <c r="AD28" i="6"/>
  <c r="AC28" i="6"/>
  <c r="AB28" i="6"/>
  <c r="AA28" i="6"/>
  <c r="Z28" i="6"/>
  <c r="Y28" i="6"/>
  <c r="X28" i="6"/>
  <c r="W28" i="6"/>
  <c r="V28" i="6"/>
  <c r="BF35" i="6"/>
  <c r="BE35" i="6"/>
  <c r="BD35" i="6"/>
  <c r="BC35" i="6"/>
  <c r="BB35" i="6"/>
  <c r="BA35" i="6"/>
  <c r="AZ35" i="6"/>
  <c r="AY35" i="6"/>
  <c r="AX35" i="6"/>
  <c r="AW35" i="6"/>
  <c r="AV35" i="6"/>
  <c r="AU35" i="6"/>
  <c r="AT35" i="6"/>
  <c r="AS35" i="6"/>
  <c r="AR35" i="6"/>
  <c r="AQ35" i="6"/>
  <c r="AP35" i="6"/>
  <c r="AO35" i="6"/>
  <c r="AN35" i="6"/>
  <c r="AM35" i="6"/>
  <c r="AL35" i="6"/>
  <c r="AK35" i="6"/>
  <c r="AJ35" i="6"/>
  <c r="AI35" i="6"/>
  <c r="AH35" i="6"/>
  <c r="AG35" i="6"/>
  <c r="AF35" i="6"/>
  <c r="BG35" i="6"/>
  <c r="O35" i="6"/>
  <c r="P35" i="6"/>
  <c r="AE35" i="6"/>
  <c r="AD35" i="6"/>
  <c r="AC35" i="6"/>
  <c r="AB35" i="6"/>
  <c r="AA35" i="6"/>
  <c r="Z35" i="6"/>
  <c r="Y35" i="6"/>
  <c r="X35" i="6"/>
  <c r="W35" i="6"/>
  <c r="V35" i="6"/>
  <c r="S35" i="6"/>
  <c r="K35" i="6"/>
  <c r="L35" i="6"/>
  <c r="M35" i="6"/>
  <c r="N35" i="6"/>
  <c r="BF27" i="6"/>
  <c r="BE27" i="6"/>
  <c r="BD27" i="6"/>
  <c r="BC27" i="6"/>
  <c r="BB27" i="6"/>
  <c r="BA27" i="6"/>
  <c r="AZ27" i="6"/>
  <c r="AY27" i="6"/>
  <c r="AX27" i="6"/>
  <c r="AW27" i="6"/>
  <c r="AV27" i="6"/>
  <c r="AU27" i="6"/>
  <c r="AT27" i="6"/>
  <c r="AS27" i="6"/>
  <c r="AR27" i="6"/>
  <c r="AQ27" i="6"/>
  <c r="AP27" i="6"/>
  <c r="AO27" i="6"/>
  <c r="AN27" i="6"/>
  <c r="AM27" i="6"/>
  <c r="AL27" i="6"/>
  <c r="AK27" i="6"/>
  <c r="AJ27" i="6"/>
  <c r="AI27" i="6"/>
  <c r="AH27" i="6"/>
  <c r="AG27" i="6"/>
  <c r="AF27" i="6"/>
  <c r="AE27" i="6"/>
  <c r="BG27" i="6"/>
  <c r="P27" i="6"/>
  <c r="AD27" i="6"/>
  <c r="AC27" i="6"/>
  <c r="AB27" i="6"/>
  <c r="AA27" i="6"/>
  <c r="Z27" i="6"/>
  <c r="Y27" i="6"/>
  <c r="X27" i="6"/>
  <c r="W27" i="6"/>
  <c r="V27" i="6"/>
  <c r="S27" i="6"/>
  <c r="K27" i="6"/>
  <c r="L27" i="6"/>
  <c r="M27" i="6"/>
  <c r="N27" i="6"/>
  <c r="O27" i="6"/>
  <c r="BG29" i="6"/>
  <c r="BF29" i="6"/>
  <c r="BE29" i="6"/>
  <c r="BD29" i="6"/>
  <c r="BC29" i="6"/>
  <c r="BB29" i="6"/>
  <c r="BA29" i="6"/>
  <c r="AZ29" i="6"/>
  <c r="AY29" i="6"/>
  <c r="AX29" i="6"/>
  <c r="AW29" i="6"/>
  <c r="AV29" i="6"/>
  <c r="AU29" i="6"/>
  <c r="AT29" i="6"/>
  <c r="AS29" i="6"/>
  <c r="AR29" i="6"/>
  <c r="AQ29" i="6"/>
  <c r="AP29" i="6"/>
  <c r="AO29" i="6"/>
  <c r="AN29" i="6"/>
  <c r="AM29" i="6"/>
  <c r="AL29" i="6"/>
  <c r="AK29" i="6"/>
  <c r="AJ29" i="6"/>
  <c r="AI29" i="6"/>
  <c r="AH29" i="6"/>
  <c r="AG29" i="6"/>
  <c r="AF29" i="6"/>
  <c r="AE29" i="6"/>
  <c r="S29" i="6"/>
  <c r="K29" i="6"/>
  <c r="L29" i="6"/>
  <c r="M29" i="6"/>
  <c r="N29" i="6"/>
  <c r="AC29" i="6"/>
  <c r="O29" i="6"/>
  <c r="P29" i="6"/>
  <c r="AD29" i="6"/>
  <c r="AA29" i="6"/>
  <c r="Z29" i="6"/>
  <c r="Y29" i="6"/>
  <c r="AB29" i="6"/>
  <c r="X29" i="6"/>
  <c r="W29" i="6"/>
  <c r="V29" i="6"/>
  <c r="BF34" i="6"/>
  <c r="BE34" i="6"/>
  <c r="BD34" i="6"/>
  <c r="BC34" i="6"/>
  <c r="BB34" i="6"/>
  <c r="BA34" i="6"/>
  <c r="AZ34" i="6"/>
  <c r="AY34" i="6"/>
  <c r="AX34" i="6"/>
  <c r="AW34" i="6"/>
  <c r="AV34" i="6"/>
  <c r="AU34" i="6"/>
  <c r="AT34" i="6"/>
  <c r="AS34" i="6"/>
  <c r="AR34" i="6"/>
  <c r="AQ34" i="6"/>
  <c r="AP34" i="6"/>
  <c r="AO34" i="6"/>
  <c r="AN34" i="6"/>
  <c r="AM34" i="6"/>
  <c r="AL34" i="6"/>
  <c r="AK34" i="6"/>
  <c r="AJ34" i="6"/>
  <c r="AI34" i="6"/>
  <c r="AH34" i="6"/>
  <c r="AG34" i="6"/>
  <c r="AF34" i="6"/>
  <c r="BG34" i="6"/>
  <c r="AE34" i="6"/>
  <c r="AD34" i="6"/>
  <c r="AC34" i="6"/>
  <c r="AB34" i="6"/>
  <c r="AA34" i="6"/>
  <c r="Z34" i="6"/>
  <c r="Y34" i="6"/>
  <c r="X34" i="6"/>
  <c r="W34" i="6"/>
  <c r="V34" i="6"/>
  <c r="S34" i="6"/>
  <c r="K34" i="6"/>
  <c r="L34" i="6"/>
  <c r="M34" i="6"/>
  <c r="N34" i="6"/>
  <c r="O34" i="6"/>
  <c r="P34" i="6"/>
  <c r="BF26" i="6"/>
  <c r="BE26" i="6"/>
  <c r="BD26" i="6"/>
  <c r="BC26" i="6"/>
  <c r="BB26" i="6"/>
  <c r="BA26" i="6"/>
  <c r="AZ26" i="6"/>
  <c r="AY26" i="6"/>
  <c r="AX26" i="6"/>
  <c r="AW26" i="6"/>
  <c r="AV26" i="6"/>
  <c r="AU26" i="6"/>
  <c r="AT26" i="6"/>
  <c r="AS26" i="6"/>
  <c r="AR26" i="6"/>
  <c r="AQ26" i="6"/>
  <c r="AP26" i="6"/>
  <c r="AO26" i="6"/>
  <c r="AN26" i="6"/>
  <c r="AM26" i="6"/>
  <c r="AL26" i="6"/>
  <c r="AK26" i="6"/>
  <c r="AJ26" i="6"/>
  <c r="AI26" i="6"/>
  <c r="AH26" i="6"/>
  <c r="AG26" i="6"/>
  <c r="AF26" i="6"/>
  <c r="AE26" i="6"/>
  <c r="BG26" i="6"/>
  <c r="AD26" i="6"/>
  <c r="AC26" i="6"/>
  <c r="AB26" i="6"/>
  <c r="AA26" i="6"/>
  <c r="Z26" i="6"/>
  <c r="Y26" i="6"/>
  <c r="X26" i="6"/>
  <c r="W26" i="6"/>
  <c r="V26" i="6"/>
  <c r="S26" i="6"/>
  <c r="K26" i="6"/>
  <c r="L26" i="6"/>
  <c r="M26" i="6"/>
  <c r="N26" i="6"/>
  <c r="O26" i="6"/>
  <c r="P26" i="6"/>
  <c r="BG41" i="6"/>
  <c r="BB41" i="6"/>
  <c r="AT41" i="6"/>
  <c r="AL41" i="6"/>
  <c r="BC41" i="6"/>
  <c r="AU41" i="6"/>
  <c r="AM41" i="6"/>
  <c r="BD41" i="6"/>
  <c r="AV41" i="6"/>
  <c r="AN41" i="6"/>
  <c r="AF41" i="6"/>
  <c r="BE41" i="6"/>
  <c r="AW41" i="6"/>
  <c r="AO41" i="6"/>
  <c r="AG41" i="6"/>
  <c r="AE41" i="6"/>
  <c r="AD41" i="6"/>
  <c r="AC41" i="6"/>
  <c r="AB41" i="6"/>
  <c r="AA41" i="6"/>
  <c r="Z41" i="6"/>
  <c r="Y41" i="6"/>
  <c r="X41" i="6"/>
  <c r="W41" i="6"/>
  <c r="V41" i="6"/>
  <c r="BF41" i="6"/>
  <c r="AX41" i="6"/>
  <c r="AP41" i="6"/>
  <c r="AH41" i="6"/>
  <c r="S41" i="6"/>
  <c r="K41" i="6"/>
  <c r="L41" i="6"/>
  <c r="M41" i="6"/>
  <c r="N41" i="6"/>
  <c r="BA41" i="6"/>
  <c r="AY41" i="6"/>
  <c r="AQ41" i="6"/>
  <c r="AI41" i="6"/>
  <c r="O41" i="6"/>
  <c r="P41" i="6"/>
  <c r="AZ41" i="6"/>
  <c r="AR41" i="6"/>
  <c r="AJ41" i="6"/>
  <c r="AS41" i="6"/>
  <c r="AK41" i="6"/>
  <c r="BG33" i="6"/>
  <c r="BC33" i="6"/>
  <c r="AU33" i="6"/>
  <c r="AM33" i="6"/>
  <c r="AT33" i="6"/>
  <c r="BD33" i="6"/>
  <c r="AV33" i="6"/>
  <c r="AN33" i="6"/>
  <c r="AF33" i="6"/>
  <c r="BE33" i="6"/>
  <c r="AW33" i="6"/>
  <c r="AO33" i="6"/>
  <c r="AG33" i="6"/>
  <c r="BF33" i="6"/>
  <c r="AX33" i="6"/>
  <c r="AP33" i="6"/>
  <c r="AH33" i="6"/>
  <c r="AE33" i="6"/>
  <c r="AD33" i="6"/>
  <c r="AC33" i="6"/>
  <c r="AB33" i="6"/>
  <c r="AA33" i="6"/>
  <c r="Z33" i="6"/>
  <c r="Y33" i="6"/>
  <c r="X33" i="6"/>
  <c r="W33" i="6"/>
  <c r="V33" i="6"/>
  <c r="AY33" i="6"/>
  <c r="AQ33" i="6"/>
  <c r="AI33" i="6"/>
  <c r="S33" i="6"/>
  <c r="K33" i="6"/>
  <c r="L33" i="6"/>
  <c r="M33" i="6"/>
  <c r="N33" i="6"/>
  <c r="BB33" i="6"/>
  <c r="AL33" i="6"/>
  <c r="AZ33" i="6"/>
  <c r="AR33" i="6"/>
  <c r="AJ33" i="6"/>
  <c r="O33" i="6"/>
  <c r="P33" i="6"/>
  <c r="BA33" i="6"/>
  <c r="AS33" i="6"/>
  <c r="AK33" i="6"/>
  <c r="BG25" i="6"/>
  <c r="BD25" i="6"/>
  <c r="AV25" i="6"/>
  <c r="AN25" i="6"/>
  <c r="AF25" i="6"/>
  <c r="BE25" i="6"/>
  <c r="AW25" i="6"/>
  <c r="AO25" i="6"/>
  <c r="AG25" i="6"/>
  <c r="BF25" i="6"/>
  <c r="AX25" i="6"/>
  <c r="AP25" i="6"/>
  <c r="AH25" i="6"/>
  <c r="AY25" i="6"/>
  <c r="AQ25" i="6"/>
  <c r="AI25" i="6"/>
  <c r="AD25" i="6"/>
  <c r="AC25" i="6"/>
  <c r="AB25" i="6"/>
  <c r="AA25" i="6"/>
  <c r="Z25" i="6"/>
  <c r="Y25" i="6"/>
  <c r="X25" i="6"/>
  <c r="W25" i="6"/>
  <c r="V25" i="6"/>
  <c r="AZ25" i="6"/>
  <c r="AR25" i="6"/>
  <c r="AJ25" i="6"/>
  <c r="S25" i="6"/>
  <c r="K25" i="6"/>
  <c r="L25" i="6"/>
  <c r="M25" i="6"/>
  <c r="N25" i="6"/>
  <c r="BC25" i="6"/>
  <c r="AU25" i="6"/>
  <c r="BA25" i="6"/>
  <c r="AS25" i="6"/>
  <c r="AK25" i="6"/>
  <c r="O25" i="6"/>
  <c r="P25" i="6"/>
  <c r="AM25" i="6"/>
  <c r="BB25" i="6"/>
  <c r="AT25" i="6"/>
  <c r="AL25" i="6"/>
  <c r="AE25" i="6"/>
  <c r="BG37" i="6"/>
  <c r="BF37" i="6"/>
  <c r="BE37" i="6"/>
  <c r="BD37" i="6"/>
  <c r="BC37" i="6"/>
  <c r="BB37" i="6"/>
  <c r="BA37" i="6"/>
  <c r="AZ37" i="6"/>
  <c r="AY37" i="6"/>
  <c r="AX37" i="6"/>
  <c r="AW37" i="6"/>
  <c r="AV37" i="6"/>
  <c r="AU37" i="6"/>
  <c r="AT37" i="6"/>
  <c r="AS37" i="6"/>
  <c r="AR37" i="6"/>
  <c r="AQ37" i="6"/>
  <c r="AP37" i="6"/>
  <c r="AO37" i="6"/>
  <c r="AN37" i="6"/>
  <c r="AM37" i="6"/>
  <c r="AL37" i="6"/>
  <c r="AK37" i="6"/>
  <c r="AJ37" i="6"/>
  <c r="AI37" i="6"/>
  <c r="AH37" i="6"/>
  <c r="AG37" i="6"/>
  <c r="AF37" i="6"/>
  <c r="S37" i="6"/>
  <c r="K37" i="6"/>
  <c r="L37" i="6"/>
  <c r="M37" i="6"/>
  <c r="N37" i="6"/>
  <c r="O37" i="6"/>
  <c r="P37" i="6"/>
  <c r="AB37" i="6"/>
  <c r="AA37" i="6"/>
  <c r="W37" i="6"/>
  <c r="AD37" i="6"/>
  <c r="V37" i="6"/>
  <c r="AE37" i="6"/>
  <c r="X37" i="6"/>
  <c r="AC37" i="6"/>
  <c r="Z37" i="6"/>
  <c r="Y37" i="6"/>
  <c r="BG40" i="6"/>
  <c r="BF40" i="6"/>
  <c r="BE40" i="6"/>
  <c r="BD40" i="6"/>
  <c r="BC40" i="6"/>
  <c r="BB40" i="6"/>
  <c r="BA40" i="6"/>
  <c r="AZ40" i="6"/>
  <c r="AY40" i="6"/>
  <c r="AX40" i="6"/>
  <c r="AW40" i="6"/>
  <c r="AV40" i="6"/>
  <c r="AU40" i="6"/>
  <c r="AT40" i="6"/>
  <c r="AS40" i="6"/>
  <c r="AR40" i="6"/>
  <c r="AQ40" i="6"/>
  <c r="AP40" i="6"/>
  <c r="AO40" i="6"/>
  <c r="AN40" i="6"/>
  <c r="AM40" i="6"/>
  <c r="AL40" i="6"/>
  <c r="AK40" i="6"/>
  <c r="AJ40" i="6"/>
  <c r="AI40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S40" i="6"/>
  <c r="K40" i="6"/>
  <c r="L40" i="6"/>
  <c r="M40" i="6"/>
  <c r="N40" i="6"/>
  <c r="O40" i="6"/>
  <c r="P40" i="6"/>
  <c r="BG32" i="6"/>
  <c r="BF32" i="6"/>
  <c r="BE32" i="6"/>
  <c r="BD32" i="6"/>
  <c r="BC32" i="6"/>
  <c r="BB32" i="6"/>
  <c r="BA32" i="6"/>
  <c r="AZ32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H32" i="6"/>
  <c r="AG32" i="6"/>
  <c r="AF32" i="6"/>
  <c r="AE32" i="6"/>
  <c r="AD32" i="6"/>
  <c r="AC32" i="6"/>
  <c r="AB32" i="6"/>
  <c r="AA32" i="6"/>
  <c r="Z32" i="6"/>
  <c r="Y32" i="6"/>
  <c r="X32" i="6"/>
  <c r="W32" i="6"/>
  <c r="V32" i="6"/>
  <c r="S32" i="6"/>
  <c r="K32" i="6"/>
  <c r="L32" i="6"/>
  <c r="M32" i="6"/>
  <c r="N32" i="6"/>
  <c r="O32" i="6"/>
  <c r="P32" i="6"/>
  <c r="BG24" i="6"/>
  <c r="BF24" i="6"/>
  <c r="BE24" i="6"/>
  <c r="BD24" i="6"/>
  <c r="BC24" i="6"/>
  <c r="BB24" i="6"/>
  <c r="BA24" i="6"/>
  <c r="AZ24" i="6"/>
  <c r="AY24" i="6"/>
  <c r="AX24" i="6"/>
  <c r="AW24" i="6"/>
  <c r="AV24" i="6"/>
  <c r="AU24" i="6"/>
  <c r="AT24" i="6"/>
  <c r="AS24" i="6"/>
  <c r="AR24" i="6"/>
  <c r="AQ24" i="6"/>
  <c r="AP24" i="6"/>
  <c r="AO24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Z24" i="6"/>
  <c r="Y24" i="6"/>
  <c r="X24" i="6"/>
  <c r="W24" i="6"/>
  <c r="V24" i="6"/>
  <c r="S24" i="6"/>
  <c r="K24" i="6"/>
  <c r="L24" i="6"/>
  <c r="M24" i="6"/>
  <c r="N24" i="6"/>
  <c r="O24" i="6"/>
  <c r="P24" i="6"/>
  <c r="AY20" i="6"/>
  <c r="AQ20" i="6"/>
  <c r="AI20" i="6"/>
  <c r="AA20" i="6"/>
  <c r="AV20" i="6"/>
  <c r="AN20" i="6"/>
  <c r="X20" i="6"/>
  <c r="BB20" i="6"/>
  <c r="AT20" i="6"/>
  <c r="AL20" i="6"/>
  <c r="AD20" i="6"/>
  <c r="V20" i="6"/>
  <c r="L20" i="6"/>
  <c r="O20" i="6"/>
  <c r="BE20" i="6"/>
  <c r="AW20" i="6"/>
  <c r="AO20" i="6"/>
  <c r="AG20" i="6"/>
  <c r="Y20" i="6"/>
  <c r="BD20" i="6"/>
  <c r="AZ20" i="6"/>
  <c r="AR20" i="6"/>
  <c r="AJ20" i="6"/>
  <c r="AB20" i="6"/>
  <c r="N20" i="6"/>
  <c r="BC20" i="6"/>
  <c r="AU20" i="6"/>
  <c r="AM20" i="6"/>
  <c r="AE20" i="6"/>
  <c r="W20" i="6"/>
  <c r="K20" i="6"/>
  <c r="BG20" i="6"/>
  <c r="BF20" i="6"/>
  <c r="AX20" i="6"/>
  <c r="AP20" i="6"/>
  <c r="AH20" i="6"/>
  <c r="Z20" i="6"/>
  <c r="AF20" i="6"/>
  <c r="S20" i="6"/>
  <c r="BA20" i="6"/>
  <c r="AS20" i="6"/>
  <c r="AK20" i="6"/>
  <c r="AC20" i="6"/>
  <c r="M20" i="6"/>
  <c r="P20" i="6"/>
  <c r="BB19" i="6"/>
  <c r="AT19" i="6"/>
  <c r="AL19" i="6"/>
  <c r="AD19" i="6"/>
  <c r="V19" i="6"/>
  <c r="L19" i="6"/>
  <c r="O19" i="6"/>
  <c r="BE19" i="6"/>
  <c r="AW19" i="6"/>
  <c r="AO19" i="6"/>
  <c r="AG19" i="6"/>
  <c r="Y19" i="6"/>
  <c r="AZ19" i="6"/>
  <c r="AR19" i="6"/>
  <c r="AJ19" i="6"/>
  <c r="AB19" i="6"/>
  <c r="N19" i="6"/>
  <c r="BC19" i="6"/>
  <c r="AU19" i="6"/>
  <c r="AM19" i="6"/>
  <c r="AE19" i="6"/>
  <c r="W19" i="6"/>
  <c r="K19" i="6"/>
  <c r="BG19" i="6"/>
  <c r="BF19" i="6"/>
  <c r="AX19" i="6"/>
  <c r="AP19" i="6"/>
  <c r="AH19" i="6"/>
  <c r="Z19" i="6"/>
  <c r="AY19" i="6"/>
  <c r="AI19" i="6"/>
  <c r="BA19" i="6"/>
  <c r="AS19" i="6"/>
  <c r="AK19" i="6"/>
  <c r="AC19" i="6"/>
  <c r="M19" i="6"/>
  <c r="P19" i="6"/>
  <c r="BD19" i="6"/>
  <c r="AV19" i="6"/>
  <c r="AN19" i="6"/>
  <c r="AF19" i="6"/>
  <c r="X19" i="6"/>
  <c r="S19" i="6"/>
  <c r="AQ19" i="6"/>
  <c r="AA19" i="6"/>
  <c r="BE18" i="6"/>
  <c r="AW18" i="6"/>
  <c r="AO18" i="6"/>
  <c r="AG18" i="6"/>
  <c r="Y18" i="6"/>
  <c r="AD18" i="6"/>
  <c r="O18" i="6"/>
  <c r="AZ18" i="6"/>
  <c r="AR18" i="6"/>
  <c r="AJ18" i="6"/>
  <c r="AB18" i="6"/>
  <c r="N18" i="6"/>
  <c r="BB18" i="6"/>
  <c r="BC18" i="6"/>
  <c r="AU18" i="6"/>
  <c r="AM18" i="6"/>
  <c r="AE18" i="6"/>
  <c r="W18" i="6"/>
  <c r="K18" i="6"/>
  <c r="BG18" i="6"/>
  <c r="BF18" i="6"/>
  <c r="AX18" i="6"/>
  <c r="AP18" i="6"/>
  <c r="AH18" i="6"/>
  <c r="Z18" i="6"/>
  <c r="BA18" i="6"/>
  <c r="AS18" i="6"/>
  <c r="AK18" i="6"/>
  <c r="AC18" i="6"/>
  <c r="M18" i="6"/>
  <c r="P18" i="6"/>
  <c r="AT18" i="6"/>
  <c r="BD18" i="6"/>
  <c r="AV18" i="6"/>
  <c r="AN18" i="6"/>
  <c r="AF18" i="6"/>
  <c r="X18" i="6"/>
  <c r="S18" i="6"/>
  <c r="V18" i="6"/>
  <c r="AY18" i="6"/>
  <c r="AQ18" i="6"/>
  <c r="AI18" i="6"/>
  <c r="AA18" i="6"/>
  <c r="AL18" i="6"/>
  <c r="L18" i="6"/>
  <c r="AZ17" i="6"/>
  <c r="AR17" i="6"/>
  <c r="AJ17" i="6"/>
  <c r="AB17" i="6"/>
  <c r="N17" i="6"/>
  <c r="BC17" i="6"/>
  <c r="AU17" i="6"/>
  <c r="AM17" i="6"/>
  <c r="AE17" i="6"/>
  <c r="W17" i="6"/>
  <c r="K17" i="6"/>
  <c r="AW17" i="6"/>
  <c r="AO17" i="6"/>
  <c r="AG17" i="6"/>
  <c r="BG17" i="6"/>
  <c r="BF17" i="6"/>
  <c r="AX17" i="6"/>
  <c r="AP17" i="6"/>
  <c r="AH17" i="6"/>
  <c r="Z17" i="6"/>
  <c r="BA17" i="6"/>
  <c r="AS17" i="6"/>
  <c r="AK17" i="6"/>
  <c r="AC17" i="6"/>
  <c r="M17" i="6"/>
  <c r="P17" i="6"/>
  <c r="BD17" i="6"/>
  <c r="AV17" i="6"/>
  <c r="AN17" i="6"/>
  <c r="AF17" i="6"/>
  <c r="X17" i="6"/>
  <c r="S17" i="6"/>
  <c r="Y17" i="6"/>
  <c r="AY17" i="6"/>
  <c r="AQ17" i="6"/>
  <c r="AI17" i="6"/>
  <c r="AA17" i="6"/>
  <c r="BB17" i="6"/>
  <c r="AT17" i="6"/>
  <c r="AL17" i="6"/>
  <c r="AD17" i="6"/>
  <c r="V17" i="6"/>
  <c r="L17" i="6"/>
  <c r="O17" i="6"/>
  <c r="BE17" i="6"/>
  <c r="BC16" i="6"/>
  <c r="AU16" i="6"/>
  <c r="AM16" i="6"/>
  <c r="AE16" i="6"/>
  <c r="W16" i="6"/>
  <c r="K16" i="6"/>
  <c r="AZ16" i="6"/>
  <c r="BG16" i="6"/>
  <c r="BF16" i="6"/>
  <c r="AX16" i="6"/>
  <c r="AP16" i="6"/>
  <c r="AH16" i="6"/>
  <c r="Z16" i="6"/>
  <c r="BA16" i="6"/>
  <c r="AS16" i="6"/>
  <c r="AK16" i="6"/>
  <c r="AC16" i="6"/>
  <c r="M16" i="6"/>
  <c r="P16" i="6"/>
  <c r="BD16" i="6"/>
  <c r="AV16" i="6"/>
  <c r="AN16" i="6"/>
  <c r="AF16" i="6"/>
  <c r="X16" i="6"/>
  <c r="S16" i="6"/>
  <c r="AY16" i="6"/>
  <c r="AQ16" i="6"/>
  <c r="AI16" i="6"/>
  <c r="AA16" i="6"/>
  <c r="N16" i="6"/>
  <c r="BB16" i="6"/>
  <c r="AT16" i="6"/>
  <c r="AL16" i="6"/>
  <c r="AD16" i="6"/>
  <c r="V16" i="6"/>
  <c r="L16" i="6"/>
  <c r="O16" i="6"/>
  <c r="BE16" i="6"/>
  <c r="AW16" i="6"/>
  <c r="AO16" i="6"/>
  <c r="AG16" i="6"/>
  <c r="Y16" i="6"/>
  <c r="AR16" i="6"/>
  <c r="AJ16" i="6"/>
  <c r="AB16" i="6"/>
  <c r="BD63" i="6"/>
  <c r="AZ63" i="6"/>
  <c r="AV63" i="6"/>
  <c r="AR63" i="6"/>
  <c r="AN63" i="6"/>
  <c r="AJ63" i="6"/>
  <c r="AF63" i="6"/>
  <c r="AB63" i="6"/>
  <c r="X63" i="6"/>
  <c r="K63" i="6"/>
  <c r="AO63" i="6"/>
  <c r="AK63" i="6"/>
  <c r="AG63" i="6"/>
  <c r="AC63" i="6"/>
  <c r="Y63" i="6"/>
  <c r="O63" i="6"/>
  <c r="BE63" i="6"/>
  <c r="BA63" i="6"/>
  <c r="AW63" i="6"/>
  <c r="AS63" i="6"/>
  <c r="BG63" i="6"/>
  <c r="S63" i="6"/>
  <c r="N63" i="6"/>
  <c r="BF63" i="6"/>
  <c r="BB63" i="6"/>
  <c r="AX63" i="6"/>
  <c r="AT63" i="6"/>
  <c r="AP63" i="6"/>
  <c r="AL63" i="6"/>
  <c r="AH63" i="6"/>
  <c r="AD63" i="6"/>
  <c r="Z63" i="6"/>
  <c r="V63" i="6"/>
  <c r="M63" i="6"/>
  <c r="P63" i="6"/>
  <c r="BC63" i="6"/>
  <c r="AY63" i="6"/>
  <c r="AU63" i="6"/>
  <c r="AQ63" i="6"/>
  <c r="AM63" i="6"/>
  <c r="AI63" i="6"/>
  <c r="AE63" i="6"/>
  <c r="AA63" i="6"/>
  <c r="W63" i="6"/>
  <c r="L63" i="6"/>
  <c r="BE49" i="6"/>
  <c r="AW49" i="6"/>
  <c r="AO49" i="6"/>
  <c r="AG49" i="6"/>
  <c r="Y49" i="6"/>
  <c r="P49" i="6"/>
  <c r="BF49" i="6"/>
  <c r="AX49" i="6"/>
  <c r="AP49" i="6"/>
  <c r="AH49" i="6"/>
  <c r="Z49" i="6"/>
  <c r="N49" i="6"/>
  <c r="O49" i="6"/>
  <c r="AY49" i="6"/>
  <c r="AQ49" i="6"/>
  <c r="AI49" i="6"/>
  <c r="AA49" i="6"/>
  <c r="M49" i="6"/>
  <c r="X49" i="6"/>
  <c r="AZ49" i="6"/>
  <c r="AR49" i="6"/>
  <c r="AJ49" i="6"/>
  <c r="AB49" i="6"/>
  <c r="L49" i="6"/>
  <c r="BA49" i="6"/>
  <c r="AS49" i="6"/>
  <c r="AK49" i="6"/>
  <c r="AC49" i="6"/>
  <c r="K49" i="6"/>
  <c r="BG49" i="6"/>
  <c r="BD49" i="6"/>
  <c r="AV49" i="6"/>
  <c r="AF49" i="6"/>
  <c r="BB49" i="6"/>
  <c r="AT49" i="6"/>
  <c r="AL49" i="6"/>
  <c r="AD49" i="6"/>
  <c r="V49" i="6"/>
  <c r="S49" i="6"/>
  <c r="BC49" i="6"/>
  <c r="AU49" i="6"/>
  <c r="AM49" i="6"/>
  <c r="AE49" i="6"/>
  <c r="W49" i="6"/>
  <c r="AN49" i="6"/>
  <c r="BF47" i="6"/>
  <c r="BE47" i="6"/>
  <c r="BD47" i="6"/>
  <c r="BC47" i="6"/>
  <c r="BB47" i="6"/>
  <c r="BA47" i="6"/>
  <c r="AZ47" i="6"/>
  <c r="AY47" i="6"/>
  <c r="AX47" i="6"/>
  <c r="AW47" i="6"/>
  <c r="AV47" i="6"/>
  <c r="AU47" i="6"/>
  <c r="AT47" i="6"/>
  <c r="AS47" i="6"/>
  <c r="AR47" i="6"/>
  <c r="AQ47" i="6"/>
  <c r="AP47" i="6"/>
  <c r="AO47" i="6"/>
  <c r="AN47" i="6"/>
  <c r="AM47" i="6"/>
  <c r="AL47" i="6"/>
  <c r="AK47" i="6"/>
  <c r="AJ47" i="6"/>
  <c r="AI47" i="6"/>
  <c r="AH47" i="6"/>
  <c r="AG47" i="6"/>
  <c r="AF47" i="6"/>
  <c r="AE47" i="6"/>
  <c r="AD47" i="6"/>
  <c r="AC47" i="6"/>
  <c r="AB47" i="6"/>
  <c r="AA47" i="6"/>
  <c r="Z47" i="6"/>
  <c r="Y47" i="6"/>
  <c r="X47" i="6"/>
  <c r="W47" i="6"/>
  <c r="V47" i="6"/>
  <c r="S47" i="6"/>
  <c r="K47" i="6"/>
  <c r="L47" i="6"/>
  <c r="M47" i="6"/>
  <c r="N47" i="6"/>
  <c r="O47" i="6"/>
  <c r="P47" i="6"/>
  <c r="BG47" i="6"/>
  <c r="BD42" i="6"/>
  <c r="AV42" i="6"/>
  <c r="AN42" i="6"/>
  <c r="AF42" i="6"/>
  <c r="X42" i="6"/>
  <c r="N42" i="6"/>
  <c r="AZ42" i="6"/>
  <c r="AJ42" i="6"/>
  <c r="AB42" i="6"/>
  <c r="BC42" i="6"/>
  <c r="AU42" i="6"/>
  <c r="AM42" i="6"/>
  <c r="AE42" i="6"/>
  <c r="W42" i="6"/>
  <c r="BG42" i="6"/>
  <c r="BB42" i="6"/>
  <c r="AT42" i="6"/>
  <c r="AL42" i="6"/>
  <c r="AD42" i="6"/>
  <c r="V42" i="6"/>
  <c r="O42" i="6"/>
  <c r="P42" i="6"/>
  <c r="BA42" i="6"/>
  <c r="AS42" i="6"/>
  <c r="AK42" i="6"/>
  <c r="AC42" i="6"/>
  <c r="AR42" i="6"/>
  <c r="S42" i="6"/>
  <c r="AY42" i="6"/>
  <c r="AQ42" i="6"/>
  <c r="AI42" i="6"/>
  <c r="AA42" i="6"/>
  <c r="K42" i="6"/>
  <c r="BE42" i="6"/>
  <c r="AW42" i="6"/>
  <c r="AO42" i="6"/>
  <c r="AG42" i="6"/>
  <c r="Y42" i="6"/>
  <c r="M42" i="6"/>
  <c r="BF42" i="6"/>
  <c r="AX42" i="6"/>
  <c r="AP42" i="6"/>
  <c r="AH42" i="6"/>
  <c r="Z42" i="6"/>
  <c r="L42" i="6"/>
  <c r="K21" i="6"/>
  <c r="BC21" i="6"/>
  <c r="AY21" i="6"/>
  <c r="AU21" i="6"/>
  <c r="AQ21" i="6"/>
  <c r="AM21" i="6"/>
  <c r="AI21" i="6"/>
  <c r="AE21" i="6"/>
  <c r="AA21" i="6"/>
  <c r="W21" i="6"/>
  <c r="O21" i="6"/>
  <c r="BD21" i="6"/>
  <c r="AV21" i="6"/>
  <c r="AJ21" i="6"/>
  <c r="X21" i="6"/>
  <c r="L21" i="6"/>
  <c r="AZ21" i="6"/>
  <c r="AN21" i="6"/>
  <c r="AB21" i="6"/>
  <c r="BF21" i="6"/>
  <c r="BB21" i="6"/>
  <c r="AX21" i="6"/>
  <c r="AT21" i="6"/>
  <c r="AP21" i="6"/>
  <c r="AL21" i="6"/>
  <c r="AH21" i="6"/>
  <c r="AD21" i="6"/>
  <c r="Z21" i="6"/>
  <c r="V21" i="6"/>
  <c r="P21" i="6"/>
  <c r="M21" i="6"/>
  <c r="BE21" i="6"/>
  <c r="BA21" i="6"/>
  <c r="AW21" i="6"/>
  <c r="AS21" i="6"/>
  <c r="AO21" i="6"/>
  <c r="AK21" i="6"/>
  <c r="AG21" i="6"/>
  <c r="AC21" i="6"/>
  <c r="Y21" i="6"/>
  <c r="BG21" i="6"/>
  <c r="S21" i="6"/>
  <c r="N21" i="6"/>
  <c r="AR21" i="6"/>
  <c r="AF21" i="6"/>
  <c r="BC15" i="6"/>
  <c r="AU15" i="6"/>
  <c r="AM15" i="6"/>
  <c r="AE15" i="6"/>
  <c r="W15" i="6"/>
  <c r="M15" i="6"/>
  <c r="K15" i="6"/>
  <c r="BG15" i="6"/>
  <c r="AZ15" i="6"/>
  <c r="AR15" i="6"/>
  <c r="AJ15" i="6"/>
  <c r="AB15" i="6"/>
  <c r="Y15" i="6"/>
  <c r="P15" i="6"/>
  <c r="BE15" i="6"/>
  <c r="AW15" i="6"/>
  <c r="AO15" i="6"/>
  <c r="AG15" i="6"/>
  <c r="BB15" i="6"/>
  <c r="AT15" i="6"/>
  <c r="AL15" i="6"/>
  <c r="AD15" i="6"/>
  <c r="V15" i="6"/>
  <c r="N15" i="6"/>
  <c r="AY15" i="6"/>
  <c r="AQ15" i="6"/>
  <c r="AI15" i="6"/>
  <c r="AA15" i="6"/>
  <c r="BF15" i="6"/>
  <c r="AP15" i="6"/>
  <c r="AH15" i="6"/>
  <c r="Z15" i="6"/>
  <c r="BD15" i="6"/>
  <c r="AV15" i="6"/>
  <c r="AN15" i="6"/>
  <c r="AF15" i="6"/>
  <c r="X15" i="6"/>
  <c r="L15" i="6"/>
  <c r="BA15" i="6"/>
  <c r="AS15" i="6"/>
  <c r="AK15" i="6"/>
  <c r="AC15" i="6"/>
  <c r="AX15" i="6"/>
  <c r="S15" i="6"/>
  <c r="O15" i="6"/>
  <c r="S50" i="6"/>
  <c r="L50" i="6"/>
  <c r="N50" i="6"/>
  <c r="AG50" i="6"/>
  <c r="P50" i="6"/>
  <c r="AY50" i="6"/>
  <c r="AU50" i="6"/>
  <c r="AS50" i="6"/>
  <c r="AQ50" i="6"/>
  <c r="AC50" i="6"/>
  <c r="Y50" i="6"/>
  <c r="BF50" i="6"/>
  <c r="BD50" i="6"/>
  <c r="BB50" i="6"/>
  <c r="AZ50" i="6"/>
  <c r="AX50" i="6"/>
  <c r="AV50" i="6"/>
  <c r="AT50" i="6"/>
  <c r="AR50" i="6"/>
  <c r="AP50" i="6"/>
  <c r="AN50" i="6"/>
  <c r="AL50" i="6"/>
  <c r="AJ50" i="6"/>
  <c r="AH50" i="6"/>
  <c r="AF50" i="6"/>
  <c r="AD50" i="6"/>
  <c r="AB50" i="6"/>
  <c r="Z50" i="6"/>
  <c r="X50" i="6"/>
  <c r="V50" i="6"/>
  <c r="AM50" i="6"/>
  <c r="AK50" i="6"/>
  <c r="AE50" i="6"/>
  <c r="W50" i="6"/>
  <c r="BG50" i="6"/>
  <c r="K50" i="6"/>
  <c r="M50" i="6"/>
  <c r="BC50" i="6"/>
  <c r="AW50" i="6"/>
  <c r="AI50" i="6"/>
  <c r="O50" i="6"/>
  <c r="BE50" i="6"/>
  <c r="BA50" i="6"/>
  <c r="AO50" i="6"/>
  <c r="AA50" i="6"/>
  <c r="BE65" i="6"/>
  <c r="AW65" i="6"/>
  <c r="AO65" i="6"/>
  <c r="AG65" i="6"/>
  <c r="Y65" i="6"/>
  <c r="X65" i="6"/>
  <c r="AL65" i="6"/>
  <c r="AD65" i="6"/>
  <c r="AZ65" i="6"/>
  <c r="AR65" i="6"/>
  <c r="AJ65" i="6"/>
  <c r="AB65" i="6"/>
  <c r="N65" i="6"/>
  <c r="BC65" i="6"/>
  <c r="AU65" i="6"/>
  <c r="AM65" i="6"/>
  <c r="AE65" i="6"/>
  <c r="W65" i="6"/>
  <c r="K65" i="6"/>
  <c r="BD65" i="6"/>
  <c r="AV65" i="6"/>
  <c r="BB65" i="6"/>
  <c r="BG65" i="6"/>
  <c r="BF65" i="6"/>
  <c r="AX65" i="6"/>
  <c r="AP65" i="6"/>
  <c r="AH65" i="6"/>
  <c r="Z65" i="6"/>
  <c r="AF65" i="6"/>
  <c r="V65" i="6"/>
  <c r="BA65" i="6"/>
  <c r="AS65" i="6"/>
  <c r="AK65" i="6"/>
  <c r="AC65" i="6"/>
  <c r="M65" i="6"/>
  <c r="P65" i="6"/>
  <c r="AN65" i="6"/>
  <c r="S65" i="6"/>
  <c r="AT65" i="6"/>
  <c r="L65" i="6"/>
  <c r="O65" i="6"/>
  <c r="AY65" i="6"/>
  <c r="AQ65" i="6"/>
  <c r="AI65" i="6"/>
  <c r="AA65" i="6"/>
  <c r="BD6" i="6"/>
  <c r="AZ6" i="6"/>
  <c r="AV6" i="6"/>
  <c r="AR6" i="6"/>
  <c r="AN6" i="6"/>
  <c r="AJ6" i="6"/>
  <c r="AF6" i="6"/>
  <c r="AB6" i="6"/>
  <c r="X6" i="6"/>
  <c r="P6" i="6"/>
  <c r="K6" i="6"/>
  <c r="BE6" i="6"/>
  <c r="BA6" i="6"/>
  <c r="AW6" i="6"/>
  <c r="AS6" i="6"/>
  <c r="AO6" i="6"/>
  <c r="AK6" i="6"/>
  <c r="AG6" i="6"/>
  <c r="AC6" i="6"/>
  <c r="Y6" i="6"/>
  <c r="O6" i="6"/>
  <c r="BG6" i="6"/>
  <c r="S6" i="6"/>
  <c r="N6" i="6"/>
  <c r="L6" i="6"/>
  <c r="BF6" i="6"/>
  <c r="BB6" i="6"/>
  <c r="AX6" i="6"/>
  <c r="AT6" i="6"/>
  <c r="AP6" i="6"/>
  <c r="AL6" i="6"/>
  <c r="AH6" i="6"/>
  <c r="AD6" i="6"/>
  <c r="Z6" i="6"/>
  <c r="V6" i="6"/>
  <c r="M6" i="6"/>
  <c r="BC6" i="6"/>
  <c r="AY6" i="6"/>
  <c r="AU6" i="6"/>
  <c r="AQ6" i="6"/>
  <c r="AM6" i="6"/>
  <c r="AI6" i="6"/>
  <c r="AE6" i="6"/>
  <c r="AA6" i="6"/>
  <c r="W6" i="6"/>
  <c r="BA5" i="6"/>
  <c r="AS5" i="6"/>
  <c r="AK5" i="6"/>
  <c r="AC5" i="6"/>
  <c r="K5" i="6"/>
  <c r="BB5" i="6"/>
  <c r="AT5" i="6"/>
  <c r="AL5" i="6"/>
  <c r="AD5" i="6"/>
  <c r="V5" i="6"/>
  <c r="S5" i="6"/>
  <c r="BC5" i="6"/>
  <c r="AU5" i="6"/>
  <c r="AM5" i="6"/>
  <c r="AE5" i="6"/>
  <c r="W5" i="6"/>
  <c r="AR5" i="6"/>
  <c r="BG5" i="6"/>
  <c r="BD5" i="6"/>
  <c r="AV5" i="6"/>
  <c r="AN5" i="6"/>
  <c r="AF5" i="6"/>
  <c r="X5" i="6"/>
  <c r="AJ5" i="6"/>
  <c r="L5" i="6"/>
  <c r="BE5" i="6"/>
  <c r="AW5" i="6"/>
  <c r="AO5" i="6"/>
  <c r="AG5" i="6"/>
  <c r="Y5" i="6"/>
  <c r="P5" i="6"/>
  <c r="AZ5" i="6"/>
  <c r="BF5" i="6"/>
  <c r="AX5" i="6"/>
  <c r="AP5" i="6"/>
  <c r="AH5" i="6"/>
  <c r="Z5" i="6"/>
  <c r="N5" i="6"/>
  <c r="O5" i="6"/>
  <c r="AY5" i="6"/>
  <c r="AQ5" i="6"/>
  <c r="AI5" i="6"/>
  <c r="AA5" i="6"/>
  <c r="M5" i="6"/>
  <c r="AB5" i="6"/>
  <c r="O4" i="6"/>
  <c r="P4" i="6"/>
  <c r="BG4" i="6"/>
  <c r="BF4" i="6"/>
  <c r="BE4" i="6"/>
  <c r="BD4" i="6"/>
  <c r="BC4" i="6"/>
  <c r="BB4" i="6"/>
  <c r="BA4" i="6"/>
  <c r="AZ4" i="6"/>
  <c r="AY4" i="6"/>
  <c r="AX4" i="6"/>
  <c r="AW4" i="6"/>
  <c r="AV4" i="6"/>
  <c r="AU4" i="6"/>
  <c r="AT4" i="6"/>
  <c r="AS4" i="6"/>
  <c r="AR4" i="6"/>
  <c r="AQ4" i="6"/>
  <c r="AP4" i="6"/>
  <c r="AO4" i="6"/>
  <c r="AN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S4" i="6"/>
  <c r="K4" i="6"/>
  <c r="L4" i="6"/>
  <c r="M4" i="6"/>
  <c r="N4" i="6"/>
  <c r="BC10" i="6"/>
  <c r="AU10" i="6"/>
  <c r="AM10" i="6"/>
  <c r="AE10" i="6"/>
  <c r="W10" i="6"/>
  <c r="V10" i="6"/>
  <c r="O10" i="6"/>
  <c r="BG10" i="6"/>
  <c r="BB10" i="6"/>
  <c r="AT10" i="6"/>
  <c r="AL10" i="6"/>
  <c r="AD10" i="6"/>
  <c r="BA10" i="6"/>
  <c r="AS10" i="6"/>
  <c r="AK10" i="6"/>
  <c r="AC10" i="6"/>
  <c r="P10" i="6"/>
  <c r="AZ10" i="6"/>
  <c r="AR10" i="6"/>
  <c r="AJ10" i="6"/>
  <c r="AB10" i="6"/>
  <c r="S10" i="6"/>
  <c r="AY10" i="6"/>
  <c r="AQ10" i="6"/>
  <c r="AI10" i="6"/>
  <c r="AA10" i="6"/>
  <c r="K10" i="6"/>
  <c r="BD10" i="6"/>
  <c r="X10" i="6"/>
  <c r="BF10" i="6"/>
  <c r="AX10" i="6"/>
  <c r="AP10" i="6"/>
  <c r="AH10" i="6"/>
  <c r="Z10" i="6"/>
  <c r="L10" i="6"/>
  <c r="N10" i="6"/>
  <c r="BE10" i="6"/>
  <c r="AW10" i="6"/>
  <c r="AO10" i="6"/>
  <c r="AG10" i="6"/>
  <c r="Y10" i="6"/>
  <c r="M10" i="6"/>
  <c r="AV10" i="6"/>
  <c r="AN10" i="6"/>
  <c r="AF10" i="6"/>
  <c r="BF12" i="6"/>
  <c r="BB12" i="6"/>
  <c r="AX12" i="6"/>
  <c r="AT12" i="6"/>
  <c r="AP12" i="6"/>
  <c r="AL12" i="6"/>
  <c r="AH12" i="6"/>
  <c r="AD12" i="6"/>
  <c r="Z12" i="6"/>
  <c r="V12" i="6"/>
  <c r="P12" i="6"/>
  <c r="M12" i="6"/>
  <c r="BE12" i="6"/>
  <c r="BA12" i="6"/>
  <c r="AW12" i="6"/>
  <c r="AS12" i="6"/>
  <c r="AO12" i="6"/>
  <c r="AK12" i="6"/>
  <c r="AG12" i="6"/>
  <c r="AC12" i="6"/>
  <c r="Y12" i="6"/>
  <c r="BG12" i="6"/>
  <c r="S12" i="6"/>
  <c r="N12" i="6"/>
  <c r="BD12" i="6"/>
  <c r="AZ12" i="6"/>
  <c r="AV12" i="6"/>
  <c r="AR12" i="6"/>
  <c r="AN12" i="6"/>
  <c r="AJ12" i="6"/>
  <c r="AF12" i="6"/>
  <c r="AB12" i="6"/>
  <c r="X12" i="6"/>
  <c r="K12" i="6"/>
  <c r="BC12" i="6"/>
  <c r="AY12" i="6"/>
  <c r="AU12" i="6"/>
  <c r="AQ12" i="6"/>
  <c r="AM12" i="6"/>
  <c r="AI12" i="6"/>
  <c r="AE12" i="6"/>
  <c r="AA12" i="6"/>
  <c r="W12" i="6"/>
  <c r="O12" i="6"/>
  <c r="L12" i="6"/>
  <c r="BE88" i="6"/>
  <c r="AW88" i="6"/>
  <c r="BB88" i="6"/>
  <c r="AT88" i="6"/>
  <c r="AL88" i="6"/>
  <c r="AD88" i="6"/>
  <c r="V88" i="6"/>
  <c r="N88" i="6"/>
  <c r="AY88" i="6"/>
  <c r="AQ88" i="6"/>
  <c r="AI88" i="6"/>
  <c r="AA88" i="6"/>
  <c r="BD88" i="6"/>
  <c r="AV88" i="6"/>
  <c r="AN88" i="6"/>
  <c r="AF88" i="6"/>
  <c r="X88" i="6"/>
  <c r="L88" i="6"/>
  <c r="BF88" i="6"/>
  <c r="AX88" i="6"/>
  <c r="AP88" i="6"/>
  <c r="AH88" i="6"/>
  <c r="Z88" i="6"/>
  <c r="S88" i="6"/>
  <c r="O88" i="6"/>
  <c r="BA88" i="6"/>
  <c r="AS88" i="6"/>
  <c r="AK88" i="6"/>
  <c r="AC88" i="6"/>
  <c r="BC88" i="6"/>
  <c r="AU88" i="6"/>
  <c r="AM88" i="6"/>
  <c r="AE88" i="6"/>
  <c r="W88" i="6"/>
  <c r="M88" i="6"/>
  <c r="Y88" i="6"/>
  <c r="K88" i="6"/>
  <c r="P88" i="6"/>
  <c r="BG88" i="6"/>
  <c r="AZ88" i="6"/>
  <c r="AR88" i="6"/>
  <c r="AJ88" i="6"/>
  <c r="AB88" i="6"/>
  <c r="AO88" i="6"/>
  <c r="AG88" i="6"/>
  <c r="BF92" i="6"/>
  <c r="BD92" i="6"/>
  <c r="BB92" i="6"/>
  <c r="AZ92" i="6"/>
  <c r="AX92" i="6"/>
  <c r="AV92" i="6"/>
  <c r="AT92" i="6"/>
  <c r="AR92" i="6"/>
  <c r="AP92" i="6"/>
  <c r="AN92" i="6"/>
  <c r="AL92" i="6"/>
  <c r="AJ92" i="6"/>
  <c r="AH92" i="6"/>
  <c r="AF92" i="6"/>
  <c r="AD92" i="6"/>
  <c r="AB92" i="6"/>
  <c r="Z92" i="6"/>
  <c r="X92" i="6"/>
  <c r="V92" i="6"/>
  <c r="BG92" i="6"/>
  <c r="K92" i="6"/>
  <c r="M92" i="6"/>
  <c r="AU92" i="6"/>
  <c r="AS92" i="6"/>
  <c r="AQ92" i="6"/>
  <c r="AO92" i="6"/>
  <c r="AM92" i="6"/>
  <c r="AG92" i="6"/>
  <c r="AE92" i="6"/>
  <c r="AC92" i="6"/>
  <c r="AA92" i="6"/>
  <c r="Y92" i="6"/>
  <c r="W92" i="6"/>
  <c r="O92" i="6"/>
  <c r="BE92" i="6"/>
  <c r="BC92" i="6"/>
  <c r="BA92" i="6"/>
  <c r="AY92" i="6"/>
  <c r="AK92" i="6"/>
  <c r="AI92" i="6"/>
  <c r="AW92" i="6"/>
  <c r="S92" i="6"/>
  <c r="L92" i="6"/>
  <c r="N92" i="6"/>
  <c r="P92" i="6"/>
  <c r="AZ91" i="6"/>
  <c r="AR91" i="6"/>
  <c r="AJ91" i="6"/>
  <c r="AB91" i="6"/>
  <c r="N91" i="6"/>
  <c r="BC91" i="6"/>
  <c r="AU91" i="6"/>
  <c r="AM91" i="6"/>
  <c r="AE91" i="6"/>
  <c r="W91" i="6"/>
  <c r="K91" i="6"/>
  <c r="BG91" i="6"/>
  <c r="BF91" i="6"/>
  <c r="AX91" i="6"/>
  <c r="AP91" i="6"/>
  <c r="AH91" i="6"/>
  <c r="Z91" i="6"/>
  <c r="BA91" i="6"/>
  <c r="AS91" i="6"/>
  <c r="AK91" i="6"/>
  <c r="AC91" i="6"/>
  <c r="M91" i="6"/>
  <c r="P91" i="6"/>
  <c r="BD91" i="6"/>
  <c r="AV91" i="6"/>
  <c r="AN91" i="6"/>
  <c r="AF91" i="6"/>
  <c r="X91" i="6"/>
  <c r="S91" i="6"/>
  <c r="AY91" i="6"/>
  <c r="AQ91" i="6"/>
  <c r="AI91" i="6"/>
  <c r="AA91" i="6"/>
  <c r="BB91" i="6"/>
  <c r="AT91" i="6"/>
  <c r="AL91" i="6"/>
  <c r="AD91" i="6"/>
  <c r="V91" i="6"/>
  <c r="L91" i="6"/>
  <c r="O91" i="6"/>
  <c r="BE91" i="6"/>
  <c r="AW91" i="6"/>
  <c r="AO91" i="6"/>
  <c r="AG91" i="6"/>
  <c r="Y91" i="6"/>
  <c r="BF95" i="6"/>
  <c r="BB95" i="6"/>
  <c r="AX95" i="6"/>
  <c r="AT95" i="6"/>
  <c r="AP95" i="6"/>
  <c r="AL95" i="6"/>
  <c r="AH95" i="6"/>
  <c r="AD95" i="6"/>
  <c r="Z95" i="6"/>
  <c r="V95" i="6"/>
  <c r="BE95" i="6"/>
  <c r="AW95" i="6"/>
  <c r="AK95" i="6"/>
  <c r="AC95" i="6"/>
  <c r="BG95" i="6"/>
  <c r="T95" i="6"/>
  <c r="M95" i="6"/>
  <c r="BA95" i="6"/>
  <c r="BC95" i="6"/>
  <c r="AY95" i="6"/>
  <c r="AU95" i="6"/>
  <c r="AQ95" i="6"/>
  <c r="AM95" i="6"/>
  <c r="AI95" i="6"/>
  <c r="AE95" i="6"/>
  <c r="AA95" i="6"/>
  <c r="W95" i="6"/>
  <c r="AS95" i="6"/>
  <c r="AO95" i="6"/>
  <c r="AG95" i="6"/>
  <c r="Y95" i="6"/>
  <c r="O95" i="6"/>
  <c r="S95" i="6"/>
  <c r="N95" i="6"/>
  <c r="L95" i="6"/>
  <c r="K95" i="6"/>
  <c r="BD95" i="6"/>
  <c r="AZ95" i="6"/>
  <c r="AV95" i="6"/>
  <c r="AR95" i="6"/>
  <c r="AN95" i="6"/>
  <c r="AJ95" i="6"/>
  <c r="AF95" i="6"/>
  <c r="AB95" i="6"/>
  <c r="X95" i="6"/>
  <c r="P95" i="6"/>
  <c r="U93" i="6"/>
  <c r="Q93" i="6"/>
  <c r="BO61" i="6"/>
  <c r="U61" i="6"/>
  <c r="Q61" i="6"/>
  <c r="U29" i="6"/>
  <c r="Q29" i="6"/>
  <c r="U13" i="6"/>
  <c r="Q13" i="6"/>
  <c r="U92" i="6"/>
  <c r="Q92" i="6"/>
  <c r="U84" i="6"/>
  <c r="Q84" i="6"/>
  <c r="U76" i="6"/>
  <c r="Q76" i="6"/>
  <c r="U68" i="6"/>
  <c r="Q68" i="6"/>
  <c r="U60" i="6"/>
  <c r="Q60" i="6"/>
  <c r="U52" i="6"/>
  <c r="Q52" i="6"/>
  <c r="U44" i="6"/>
  <c r="Q44" i="6"/>
  <c r="U36" i="6"/>
  <c r="Q36" i="6"/>
  <c r="U28" i="6"/>
  <c r="Q28" i="6"/>
  <c r="U20" i="6"/>
  <c r="Q20" i="6"/>
  <c r="U12" i="6"/>
  <c r="Q12" i="6"/>
  <c r="U4" i="6"/>
  <c r="Q4" i="6"/>
  <c r="BP85" i="6"/>
  <c r="U85" i="6"/>
  <c r="Q85" i="6"/>
  <c r="U5" i="6"/>
  <c r="Q5" i="6"/>
  <c r="U91" i="6"/>
  <c r="Q91" i="6"/>
  <c r="U83" i="6"/>
  <c r="Q83" i="6"/>
  <c r="U75" i="6"/>
  <c r="Q75" i="6"/>
  <c r="U67" i="6"/>
  <c r="Q67" i="6"/>
  <c r="U59" i="6"/>
  <c r="Q59" i="6"/>
  <c r="U51" i="6"/>
  <c r="Q51" i="6"/>
  <c r="U43" i="6"/>
  <c r="Q43" i="6"/>
  <c r="U35" i="6"/>
  <c r="Q35" i="6"/>
  <c r="U27" i="6"/>
  <c r="Q27" i="6"/>
  <c r="U19" i="6"/>
  <c r="Q19" i="6"/>
  <c r="U11" i="6"/>
  <c r="Q11" i="6"/>
  <c r="U3" i="6"/>
  <c r="Q3" i="6"/>
  <c r="U69" i="6"/>
  <c r="Q69" i="6"/>
  <c r="BP21" i="6"/>
  <c r="U21" i="6"/>
  <c r="Q21" i="6"/>
  <c r="Q90" i="6"/>
  <c r="U90" i="6"/>
  <c r="U82" i="6"/>
  <c r="Q82" i="6"/>
  <c r="Q74" i="6"/>
  <c r="U74" i="6"/>
  <c r="Q66" i="6"/>
  <c r="U66" i="6"/>
  <c r="BK58" i="6"/>
  <c r="Q58" i="6"/>
  <c r="U58" i="6"/>
  <c r="Q50" i="6"/>
  <c r="U50" i="6"/>
  <c r="Q42" i="6"/>
  <c r="U42" i="6"/>
  <c r="Q34" i="6"/>
  <c r="U34" i="6"/>
  <c r="U26" i="6"/>
  <c r="Q26" i="6"/>
  <c r="Q18" i="6"/>
  <c r="U18" i="6"/>
  <c r="Q10" i="6"/>
  <c r="U10" i="6"/>
  <c r="U77" i="6"/>
  <c r="Q77" i="6"/>
  <c r="Q89" i="6"/>
  <c r="U89" i="6"/>
  <c r="Q81" i="6"/>
  <c r="U81" i="6"/>
  <c r="Q73" i="6"/>
  <c r="U73" i="6"/>
  <c r="Q65" i="6"/>
  <c r="U65" i="6"/>
  <c r="Q57" i="6"/>
  <c r="U57" i="6"/>
  <c r="Q49" i="6"/>
  <c r="U49" i="6"/>
  <c r="Q41" i="6"/>
  <c r="U41" i="6"/>
  <c r="Q33" i="6"/>
  <c r="U33" i="6"/>
  <c r="Q25" i="6"/>
  <c r="U25" i="6"/>
  <c r="Q17" i="6"/>
  <c r="U17" i="6"/>
  <c r="Q9" i="6"/>
  <c r="U9" i="6"/>
  <c r="BO53" i="6"/>
  <c r="U53" i="6"/>
  <c r="Q53" i="6"/>
  <c r="R2" i="6"/>
  <c r="U2" i="6"/>
  <c r="Q2" i="6"/>
  <c r="F88" i="6"/>
  <c r="Q88" i="6"/>
  <c r="U88" i="6"/>
  <c r="U80" i="6"/>
  <c r="Q80" i="6"/>
  <c r="U72" i="6"/>
  <c r="Q72" i="6"/>
  <c r="Q64" i="6"/>
  <c r="U64" i="6"/>
  <c r="U56" i="6"/>
  <c r="Q56" i="6"/>
  <c r="U48" i="6"/>
  <c r="Q48" i="6"/>
  <c r="Q40" i="6"/>
  <c r="U40" i="6"/>
  <c r="Q32" i="6"/>
  <c r="U32" i="6"/>
  <c r="Q24" i="6"/>
  <c r="U24" i="6"/>
  <c r="Q16" i="6"/>
  <c r="U16" i="6"/>
  <c r="Q8" i="6"/>
  <c r="U8" i="6"/>
  <c r="U37" i="6"/>
  <c r="Q37" i="6"/>
  <c r="U95" i="6"/>
  <c r="Q95" i="6"/>
  <c r="U87" i="6"/>
  <c r="Q87" i="6"/>
  <c r="U79" i="6"/>
  <c r="Q79" i="6"/>
  <c r="U71" i="6"/>
  <c r="Q71" i="6"/>
  <c r="U63" i="6"/>
  <c r="Q63" i="6"/>
  <c r="U55" i="6"/>
  <c r="Q55" i="6"/>
  <c r="U47" i="6"/>
  <c r="Q47" i="6"/>
  <c r="U39" i="6"/>
  <c r="Q39" i="6"/>
  <c r="U31" i="6"/>
  <c r="Q31" i="6"/>
  <c r="BN23" i="6"/>
  <c r="U23" i="6"/>
  <c r="Q23" i="6"/>
  <c r="U15" i="6"/>
  <c r="Q15" i="6"/>
  <c r="U7" i="6"/>
  <c r="Q7" i="6"/>
  <c r="U45" i="6"/>
  <c r="Q45" i="6"/>
  <c r="U94" i="6"/>
  <c r="Q94" i="6"/>
  <c r="U86" i="6"/>
  <c r="Q86" i="6"/>
  <c r="U78" i="6"/>
  <c r="Q78" i="6"/>
  <c r="U70" i="6"/>
  <c r="Q70" i="6"/>
  <c r="U62" i="6"/>
  <c r="Q62" i="6"/>
  <c r="U54" i="6"/>
  <c r="Q54" i="6"/>
  <c r="U46" i="6"/>
  <c r="Q46" i="6"/>
  <c r="U38" i="6"/>
  <c r="Q38" i="6"/>
  <c r="U30" i="6"/>
  <c r="Q30" i="6"/>
  <c r="U22" i="6"/>
  <c r="Q22" i="6"/>
  <c r="U14" i="6"/>
  <c r="Q14" i="6"/>
  <c r="U6" i="6"/>
  <c r="Q6" i="6"/>
  <c r="E98" i="6"/>
  <c r="D98" i="6"/>
  <c r="B52" i="1"/>
  <c r="N39" i="1" s="1"/>
  <c r="BR93" i="6"/>
  <c r="T93" i="6"/>
  <c r="R93" i="6"/>
  <c r="J93" i="6"/>
  <c r="BR29" i="6"/>
  <c r="T29" i="6"/>
  <c r="R29" i="6"/>
  <c r="J29" i="6"/>
  <c r="T89" i="6"/>
  <c r="R89" i="6"/>
  <c r="J89" i="6"/>
  <c r="T81" i="6"/>
  <c r="R81" i="6"/>
  <c r="J81" i="6"/>
  <c r="T73" i="6"/>
  <c r="R73" i="6"/>
  <c r="J73" i="6"/>
  <c r="T65" i="6"/>
  <c r="R65" i="6"/>
  <c r="J65" i="6"/>
  <c r="T57" i="6"/>
  <c r="R57" i="6"/>
  <c r="J57" i="6"/>
  <c r="T49" i="6"/>
  <c r="R49" i="6"/>
  <c r="J49" i="6"/>
  <c r="T41" i="6"/>
  <c r="J41" i="6"/>
  <c r="R41" i="6"/>
  <c r="J33" i="6"/>
  <c r="T33" i="6"/>
  <c r="R33" i="6"/>
  <c r="T25" i="6"/>
  <c r="J25" i="6"/>
  <c r="R25" i="6"/>
  <c r="T17" i="6"/>
  <c r="R17" i="6"/>
  <c r="J17" i="6"/>
  <c r="T9" i="6"/>
  <c r="R9" i="6"/>
  <c r="J9" i="6"/>
  <c r="F81" i="6"/>
  <c r="F49" i="6"/>
  <c r="F69" i="6"/>
  <c r="T69" i="6"/>
  <c r="R69" i="6"/>
  <c r="J69" i="6"/>
  <c r="F45" i="6"/>
  <c r="T45" i="6"/>
  <c r="R45" i="6"/>
  <c r="J45" i="6"/>
  <c r="T80" i="6"/>
  <c r="R80" i="6"/>
  <c r="J80" i="6"/>
  <c r="T72" i="6"/>
  <c r="R72" i="6"/>
  <c r="J72" i="6"/>
  <c r="T64" i="6"/>
  <c r="R64" i="6"/>
  <c r="J64" i="6"/>
  <c r="T56" i="6"/>
  <c r="R56" i="6"/>
  <c r="J56" i="6"/>
  <c r="T40" i="6"/>
  <c r="R40" i="6"/>
  <c r="J40" i="6"/>
  <c r="T32" i="6"/>
  <c r="R32" i="6"/>
  <c r="J32" i="6"/>
  <c r="T24" i="6"/>
  <c r="R24" i="6"/>
  <c r="J24" i="6"/>
  <c r="T8" i="6"/>
  <c r="R8" i="6"/>
  <c r="J8" i="6"/>
  <c r="F80" i="6"/>
  <c r="F41" i="6"/>
  <c r="BP61" i="6"/>
  <c r="T61" i="6"/>
  <c r="R61" i="6"/>
  <c r="J61" i="6"/>
  <c r="F95" i="6"/>
  <c r="J95" i="6"/>
  <c r="R95" i="6"/>
  <c r="F87" i="6"/>
  <c r="T87" i="6"/>
  <c r="R87" i="6"/>
  <c r="J87" i="6"/>
  <c r="BN79" i="6"/>
  <c r="T79" i="6"/>
  <c r="R79" i="6"/>
  <c r="J79" i="6"/>
  <c r="BN71" i="6"/>
  <c r="T71" i="6"/>
  <c r="R71" i="6"/>
  <c r="J71" i="6"/>
  <c r="F63" i="6"/>
  <c r="T63" i="6"/>
  <c r="R63" i="6"/>
  <c r="J63" i="6"/>
  <c r="F55" i="6"/>
  <c r="T55" i="6"/>
  <c r="R55" i="6"/>
  <c r="J55" i="6"/>
  <c r="BL47" i="6"/>
  <c r="T47" i="6"/>
  <c r="R47" i="6"/>
  <c r="J47" i="6"/>
  <c r="BL39" i="6"/>
  <c r="T39" i="6"/>
  <c r="R39" i="6"/>
  <c r="J39" i="6"/>
  <c r="F31" i="6"/>
  <c r="T31" i="6"/>
  <c r="R31" i="6"/>
  <c r="J31" i="6"/>
  <c r="F23" i="6"/>
  <c r="T23" i="6"/>
  <c r="R23" i="6"/>
  <c r="J23" i="6"/>
  <c r="BN15" i="6"/>
  <c r="T15" i="6"/>
  <c r="R15" i="6"/>
  <c r="J15" i="6"/>
  <c r="F73" i="6"/>
  <c r="F40" i="6"/>
  <c r="BP93" i="6"/>
  <c r="F94" i="6"/>
  <c r="R94" i="6"/>
  <c r="J94" i="6"/>
  <c r="F86" i="6"/>
  <c r="T86" i="6"/>
  <c r="R86" i="6"/>
  <c r="J86" i="6"/>
  <c r="F78" i="6"/>
  <c r="T78" i="6"/>
  <c r="R78" i="6"/>
  <c r="J78" i="6"/>
  <c r="F70" i="6"/>
  <c r="T70" i="6"/>
  <c r="R70" i="6"/>
  <c r="J70" i="6"/>
  <c r="F62" i="6"/>
  <c r="T62" i="6"/>
  <c r="R62" i="6"/>
  <c r="J62" i="6"/>
  <c r="F54" i="6"/>
  <c r="T54" i="6"/>
  <c r="R54" i="6"/>
  <c r="J54" i="6"/>
  <c r="F38" i="6"/>
  <c r="T38" i="6"/>
  <c r="R38" i="6"/>
  <c r="J38" i="6"/>
  <c r="F30" i="6"/>
  <c r="T30" i="6"/>
  <c r="R30" i="6"/>
  <c r="J30" i="6"/>
  <c r="F22" i="6"/>
  <c r="T22" i="6"/>
  <c r="R22" i="6"/>
  <c r="J22" i="6"/>
  <c r="F14" i="6"/>
  <c r="T14" i="6"/>
  <c r="R14" i="6"/>
  <c r="J14" i="6"/>
  <c r="T6" i="6"/>
  <c r="R6" i="6"/>
  <c r="J6" i="6"/>
  <c r="F72" i="6"/>
  <c r="F33" i="6"/>
  <c r="BL63" i="6"/>
  <c r="F65" i="6"/>
  <c r="F32" i="6"/>
  <c r="BL55" i="6"/>
  <c r="BP29" i="6"/>
  <c r="F13" i="6"/>
  <c r="T13" i="6"/>
  <c r="R13" i="6"/>
  <c r="J13" i="6"/>
  <c r="F92" i="6"/>
  <c r="T92" i="6"/>
  <c r="R92" i="6"/>
  <c r="J92" i="6"/>
  <c r="F84" i="6"/>
  <c r="J84" i="6"/>
  <c r="T84" i="6"/>
  <c r="R84" i="6"/>
  <c r="F76" i="6"/>
  <c r="R76" i="6"/>
  <c r="T76" i="6"/>
  <c r="J76" i="6"/>
  <c r="F68" i="6"/>
  <c r="T68" i="6"/>
  <c r="R68" i="6"/>
  <c r="J68" i="6"/>
  <c r="F60" i="6"/>
  <c r="T60" i="6"/>
  <c r="R60" i="6"/>
  <c r="J60" i="6"/>
  <c r="F52" i="6"/>
  <c r="T52" i="6"/>
  <c r="R52" i="6"/>
  <c r="J52" i="6"/>
  <c r="F44" i="6"/>
  <c r="T44" i="6"/>
  <c r="R44" i="6"/>
  <c r="J44" i="6"/>
  <c r="F36" i="6"/>
  <c r="T36" i="6"/>
  <c r="R36" i="6"/>
  <c r="J36" i="6"/>
  <c r="F28" i="6"/>
  <c r="T28" i="6"/>
  <c r="R28" i="6"/>
  <c r="J28" i="6"/>
  <c r="F20" i="6"/>
  <c r="T20" i="6"/>
  <c r="R20" i="6"/>
  <c r="J20" i="6"/>
  <c r="F64" i="6"/>
  <c r="F25" i="6"/>
  <c r="BN95" i="6"/>
  <c r="BR85" i="6"/>
  <c r="T85" i="6"/>
  <c r="R85" i="6"/>
  <c r="J85" i="6"/>
  <c r="F37" i="6"/>
  <c r="T37" i="6"/>
  <c r="R37" i="6"/>
  <c r="J37" i="6"/>
  <c r="T83" i="6"/>
  <c r="R83" i="6"/>
  <c r="J83" i="6"/>
  <c r="G75" i="6"/>
  <c r="T75" i="6"/>
  <c r="R75" i="6"/>
  <c r="J75" i="6"/>
  <c r="G67" i="6"/>
  <c r="T67" i="6"/>
  <c r="R67" i="6"/>
  <c r="J67" i="6"/>
  <c r="G59" i="6"/>
  <c r="T59" i="6"/>
  <c r="R59" i="6"/>
  <c r="J59" i="6"/>
  <c r="R51" i="6"/>
  <c r="T51" i="6"/>
  <c r="J51" i="6"/>
  <c r="G43" i="6"/>
  <c r="T43" i="6"/>
  <c r="R43" i="6"/>
  <c r="J43" i="6"/>
  <c r="T35" i="6"/>
  <c r="R35" i="6"/>
  <c r="J35" i="6"/>
  <c r="T27" i="6"/>
  <c r="R27" i="6"/>
  <c r="J27" i="6"/>
  <c r="T19" i="6"/>
  <c r="R19" i="6"/>
  <c r="J19" i="6"/>
  <c r="F57" i="6"/>
  <c r="F24" i="6"/>
  <c r="BN87" i="6"/>
  <c r="BR61" i="6"/>
  <c r="F77" i="6"/>
  <c r="T77" i="6"/>
  <c r="R77" i="6"/>
  <c r="J77" i="6"/>
  <c r="BR21" i="6"/>
  <c r="T21" i="6"/>
  <c r="R21" i="6"/>
  <c r="J21" i="6"/>
  <c r="T82" i="6"/>
  <c r="R82" i="6"/>
  <c r="J82" i="6"/>
  <c r="T74" i="6"/>
  <c r="R74" i="6"/>
  <c r="J74" i="6"/>
  <c r="T66" i="6"/>
  <c r="R66" i="6"/>
  <c r="J66" i="6"/>
  <c r="T58" i="6"/>
  <c r="R58" i="6"/>
  <c r="J58" i="6"/>
  <c r="T50" i="6"/>
  <c r="R50" i="6"/>
  <c r="J50" i="6"/>
  <c r="BK42" i="6"/>
  <c r="T42" i="6"/>
  <c r="R42" i="6"/>
  <c r="J42" i="6"/>
  <c r="T34" i="6"/>
  <c r="R34" i="6"/>
  <c r="J34" i="6"/>
  <c r="BK26" i="6"/>
  <c r="T26" i="6"/>
  <c r="R26" i="6"/>
  <c r="J26" i="6"/>
  <c r="T18" i="6"/>
  <c r="R18" i="6"/>
  <c r="J18" i="6"/>
  <c r="T10" i="6"/>
  <c r="R10" i="6"/>
  <c r="J10" i="6"/>
  <c r="F89" i="6"/>
  <c r="F56" i="6"/>
  <c r="F17" i="6"/>
  <c r="BN31" i="6"/>
  <c r="BP53" i="6"/>
  <c r="T53" i="6"/>
  <c r="R53" i="6"/>
  <c r="J53" i="6"/>
  <c r="BR53" i="6"/>
  <c r="T48" i="6"/>
  <c r="R48" i="6"/>
  <c r="J48" i="6"/>
  <c r="F48" i="6"/>
  <c r="F46" i="6"/>
  <c r="R46" i="6"/>
  <c r="T46" i="6"/>
  <c r="J46" i="6"/>
  <c r="F12" i="6"/>
  <c r="R12" i="6"/>
  <c r="T12" i="6"/>
  <c r="J12" i="6"/>
  <c r="G11" i="6"/>
  <c r="R11" i="6"/>
  <c r="J11" i="6"/>
  <c r="T11" i="6"/>
  <c r="J88" i="6"/>
  <c r="R88" i="6"/>
  <c r="T88" i="6"/>
  <c r="J90" i="6"/>
  <c r="R90" i="6"/>
  <c r="T90" i="6"/>
  <c r="T16" i="6"/>
  <c r="R16" i="6"/>
  <c r="J16" i="6"/>
  <c r="F16" i="6"/>
  <c r="BN7" i="6"/>
  <c r="T7" i="6"/>
  <c r="R7" i="6"/>
  <c r="J7" i="6"/>
  <c r="BP5" i="6"/>
  <c r="T5" i="6"/>
  <c r="R5" i="6"/>
  <c r="J5" i="6"/>
  <c r="J4" i="6"/>
  <c r="T4" i="6"/>
  <c r="R4" i="6"/>
  <c r="R3" i="6"/>
  <c r="J3" i="6"/>
  <c r="T3" i="6"/>
  <c r="J2" i="6"/>
  <c r="F91" i="6"/>
  <c r="R91" i="6"/>
  <c r="J91" i="6"/>
  <c r="T91" i="6"/>
  <c r="BN51" i="6"/>
  <c r="BL51" i="6"/>
  <c r="BR51" i="6"/>
  <c r="BP51" i="6"/>
  <c r="BO51" i="6"/>
  <c r="BK51" i="6"/>
  <c r="BN19" i="6"/>
  <c r="BL19" i="6"/>
  <c r="BR19" i="6"/>
  <c r="BP19" i="6"/>
  <c r="BO19" i="6"/>
  <c r="BK19" i="6"/>
  <c r="BR90" i="6"/>
  <c r="BP90" i="6"/>
  <c r="BO90" i="6"/>
  <c r="G90" i="6"/>
  <c r="BN90" i="6"/>
  <c r="BL90" i="6"/>
  <c r="BR34" i="6"/>
  <c r="BP34" i="6"/>
  <c r="BO34" i="6"/>
  <c r="G34" i="6"/>
  <c r="BN34" i="6"/>
  <c r="BL34" i="6"/>
  <c r="BR89" i="6"/>
  <c r="BP89" i="6"/>
  <c r="BO89" i="6"/>
  <c r="G89" i="6"/>
  <c r="BK89" i="6"/>
  <c r="BN89" i="6"/>
  <c r="BL89" i="6"/>
  <c r="BR81" i="6"/>
  <c r="BP81" i="6"/>
  <c r="BO81" i="6"/>
  <c r="G81" i="6"/>
  <c r="BK81" i="6"/>
  <c r="BN81" i="6"/>
  <c r="BL81" i="6"/>
  <c r="BR73" i="6"/>
  <c r="BP73" i="6"/>
  <c r="BO73" i="6"/>
  <c r="G73" i="6"/>
  <c r="BK73" i="6"/>
  <c r="BN73" i="6"/>
  <c r="BL73" i="6"/>
  <c r="BR65" i="6"/>
  <c r="BP65" i="6"/>
  <c r="BO65" i="6"/>
  <c r="G65" i="6"/>
  <c r="BK65" i="6"/>
  <c r="BN65" i="6"/>
  <c r="BL65" i="6"/>
  <c r="BR57" i="6"/>
  <c r="BP57" i="6"/>
  <c r="BO57" i="6"/>
  <c r="G57" i="6"/>
  <c r="BK57" i="6"/>
  <c r="BN57" i="6"/>
  <c r="BL57" i="6"/>
  <c r="BR49" i="6"/>
  <c r="BP49" i="6"/>
  <c r="BO49" i="6"/>
  <c r="G49" i="6"/>
  <c r="BK49" i="6"/>
  <c r="BN49" i="6"/>
  <c r="BL49" i="6"/>
  <c r="BR41" i="6"/>
  <c r="BP41" i="6"/>
  <c r="BO41" i="6"/>
  <c r="G41" i="6"/>
  <c r="BK41" i="6"/>
  <c r="BN41" i="6"/>
  <c r="BL41" i="6"/>
  <c r="BR33" i="6"/>
  <c r="BP33" i="6"/>
  <c r="BO33" i="6"/>
  <c r="G33" i="6"/>
  <c r="BK33" i="6"/>
  <c r="BN33" i="6"/>
  <c r="BL33" i="6"/>
  <c r="BR25" i="6"/>
  <c r="BP25" i="6"/>
  <c r="BO25" i="6"/>
  <c r="G25" i="6"/>
  <c r="BK25" i="6"/>
  <c r="BN25" i="6"/>
  <c r="BL25" i="6"/>
  <c r="BR17" i="6"/>
  <c r="BP17" i="6"/>
  <c r="BO17" i="6"/>
  <c r="G17" i="6"/>
  <c r="BK17" i="6"/>
  <c r="BN17" i="6"/>
  <c r="BL17" i="6"/>
  <c r="BR9" i="6"/>
  <c r="BP9" i="6"/>
  <c r="BO9" i="6"/>
  <c r="F9" i="6"/>
  <c r="G9" i="6"/>
  <c r="BK9" i="6"/>
  <c r="BN9" i="6"/>
  <c r="BL9" i="6"/>
  <c r="F79" i="6"/>
  <c r="F71" i="6"/>
  <c r="F47" i="6"/>
  <c r="F39" i="6"/>
  <c r="F15" i="6"/>
  <c r="BO45" i="6"/>
  <c r="BP77" i="6"/>
  <c r="BP13" i="6"/>
  <c r="BR45" i="6"/>
  <c r="BN75" i="6"/>
  <c r="BL75" i="6"/>
  <c r="BR75" i="6"/>
  <c r="BP75" i="6"/>
  <c r="BO75" i="6"/>
  <c r="BK75" i="6"/>
  <c r="BN3" i="6"/>
  <c r="BL3" i="6"/>
  <c r="BR3" i="6"/>
  <c r="BP3" i="6"/>
  <c r="BO3" i="6"/>
  <c r="F3" i="6"/>
  <c r="BK3" i="6"/>
  <c r="BR58" i="6"/>
  <c r="BP58" i="6"/>
  <c r="BO58" i="6"/>
  <c r="G58" i="6"/>
  <c r="BN58" i="6"/>
  <c r="BL58" i="6"/>
  <c r="BR18" i="6"/>
  <c r="BP18" i="6"/>
  <c r="BO18" i="6"/>
  <c r="G18" i="6"/>
  <c r="BN18" i="6"/>
  <c r="BL18" i="6"/>
  <c r="G19" i="6"/>
  <c r="BO2" i="6"/>
  <c r="F2" i="6"/>
  <c r="G2" i="6"/>
  <c r="BN2" i="6"/>
  <c r="BL2" i="6"/>
  <c r="BR2" i="6"/>
  <c r="BP2" i="6"/>
  <c r="BK2" i="6"/>
  <c r="G88" i="6"/>
  <c r="BK88" i="6"/>
  <c r="BN88" i="6"/>
  <c r="BL88" i="6"/>
  <c r="BR88" i="6"/>
  <c r="BP88" i="6"/>
  <c r="BO88" i="6"/>
  <c r="G80" i="6"/>
  <c r="BK80" i="6"/>
  <c r="BN80" i="6"/>
  <c r="BL80" i="6"/>
  <c r="BR80" i="6"/>
  <c r="BP80" i="6"/>
  <c r="BO80" i="6"/>
  <c r="G72" i="6"/>
  <c r="BK72" i="6"/>
  <c r="BN72" i="6"/>
  <c r="BL72" i="6"/>
  <c r="BR72" i="6"/>
  <c r="BP72" i="6"/>
  <c r="BO72" i="6"/>
  <c r="G64" i="6"/>
  <c r="BK64" i="6"/>
  <c r="BN64" i="6"/>
  <c r="BL64" i="6"/>
  <c r="BR64" i="6"/>
  <c r="BP64" i="6"/>
  <c r="BO64" i="6"/>
  <c r="G56" i="6"/>
  <c r="BK56" i="6"/>
  <c r="BN56" i="6"/>
  <c r="BL56" i="6"/>
  <c r="BR56" i="6"/>
  <c r="BP56" i="6"/>
  <c r="BO56" i="6"/>
  <c r="G48" i="6"/>
  <c r="BK48" i="6"/>
  <c r="BN48" i="6"/>
  <c r="BL48" i="6"/>
  <c r="BR48" i="6"/>
  <c r="BP48" i="6"/>
  <c r="BO48" i="6"/>
  <c r="G40" i="6"/>
  <c r="BK40" i="6"/>
  <c r="BN40" i="6"/>
  <c r="BL40" i="6"/>
  <c r="BR40" i="6"/>
  <c r="BP40" i="6"/>
  <c r="BO40" i="6"/>
  <c r="G32" i="6"/>
  <c r="BK32" i="6"/>
  <c r="BN32" i="6"/>
  <c r="BL32" i="6"/>
  <c r="BR32" i="6"/>
  <c r="BP32" i="6"/>
  <c r="BO32" i="6"/>
  <c r="G24" i="6"/>
  <c r="BK24" i="6"/>
  <c r="BN24" i="6"/>
  <c r="BL24" i="6"/>
  <c r="BR24" i="6"/>
  <c r="BP24" i="6"/>
  <c r="BO24" i="6"/>
  <c r="G16" i="6"/>
  <c r="BK16" i="6"/>
  <c r="BN16" i="6"/>
  <c r="BL16" i="6"/>
  <c r="BR16" i="6"/>
  <c r="BP16" i="6"/>
  <c r="BO16" i="6"/>
  <c r="G8" i="6"/>
  <c r="BK8" i="6"/>
  <c r="BN8" i="6"/>
  <c r="BL8" i="6"/>
  <c r="BR8" i="6"/>
  <c r="BP8" i="6"/>
  <c r="BO8" i="6"/>
  <c r="F8" i="6"/>
  <c r="G3" i="6"/>
  <c r="BK34" i="6"/>
  <c r="BO37" i="6"/>
  <c r="BP69" i="6"/>
  <c r="BR37" i="6"/>
  <c r="BN67" i="6"/>
  <c r="BL67" i="6"/>
  <c r="BR67" i="6"/>
  <c r="BP67" i="6"/>
  <c r="BO67" i="6"/>
  <c r="BK67" i="6"/>
  <c r="BN11" i="6"/>
  <c r="BL11" i="6"/>
  <c r="BR11" i="6"/>
  <c r="BP11" i="6"/>
  <c r="BO11" i="6"/>
  <c r="BK11" i="6"/>
  <c r="BR74" i="6"/>
  <c r="BP74" i="6"/>
  <c r="BO74" i="6"/>
  <c r="G74" i="6"/>
  <c r="BN74" i="6"/>
  <c r="BL74" i="6"/>
  <c r="BR42" i="6"/>
  <c r="BP42" i="6"/>
  <c r="BO42" i="6"/>
  <c r="G42" i="6"/>
  <c r="BN42" i="6"/>
  <c r="BL42" i="6"/>
  <c r="BR10" i="6"/>
  <c r="BP10" i="6"/>
  <c r="BO10" i="6"/>
  <c r="F10" i="6"/>
  <c r="G10" i="6"/>
  <c r="BN10" i="6"/>
  <c r="BL10" i="6"/>
  <c r="G95" i="6"/>
  <c r="BK95" i="6"/>
  <c r="BR95" i="6"/>
  <c r="BP95" i="6"/>
  <c r="BO95" i="6"/>
  <c r="G87" i="6"/>
  <c r="BK87" i="6"/>
  <c r="BR87" i="6"/>
  <c r="BP87" i="6"/>
  <c r="BO87" i="6"/>
  <c r="G79" i="6"/>
  <c r="BK79" i="6"/>
  <c r="BR79" i="6"/>
  <c r="BP79" i="6"/>
  <c r="BO79" i="6"/>
  <c r="G71" i="6"/>
  <c r="BK71" i="6"/>
  <c r="BR71" i="6"/>
  <c r="BP71" i="6"/>
  <c r="BO71" i="6"/>
  <c r="G63" i="6"/>
  <c r="BK63" i="6"/>
  <c r="BR63" i="6"/>
  <c r="BP63" i="6"/>
  <c r="BO63" i="6"/>
  <c r="G55" i="6"/>
  <c r="BK55" i="6"/>
  <c r="BR55" i="6"/>
  <c r="BP55" i="6"/>
  <c r="BO55" i="6"/>
  <c r="G47" i="6"/>
  <c r="BK47" i="6"/>
  <c r="BR47" i="6"/>
  <c r="BP47" i="6"/>
  <c r="BO47" i="6"/>
  <c r="G39" i="6"/>
  <c r="BK39" i="6"/>
  <c r="BR39" i="6"/>
  <c r="BP39" i="6"/>
  <c r="BO39" i="6"/>
  <c r="G31" i="6"/>
  <c r="BK31" i="6"/>
  <c r="BR31" i="6"/>
  <c r="BP31" i="6"/>
  <c r="BO31" i="6"/>
  <c r="G23" i="6"/>
  <c r="BK23" i="6"/>
  <c r="BR23" i="6"/>
  <c r="BP23" i="6"/>
  <c r="BO23" i="6"/>
  <c r="G15" i="6"/>
  <c r="BK15" i="6"/>
  <c r="BR15" i="6"/>
  <c r="BP15" i="6"/>
  <c r="BO15" i="6"/>
  <c r="G7" i="6"/>
  <c r="BK7" i="6"/>
  <c r="BR7" i="6"/>
  <c r="BP7" i="6"/>
  <c r="BO7" i="6"/>
  <c r="F7" i="6"/>
  <c r="F93" i="6"/>
  <c r="F85" i="6"/>
  <c r="F61" i="6"/>
  <c r="F53" i="6"/>
  <c r="F29" i="6"/>
  <c r="F21" i="6"/>
  <c r="BK90" i="6"/>
  <c r="BL95" i="6"/>
  <c r="BL31" i="6"/>
  <c r="BN63" i="6"/>
  <c r="BO93" i="6"/>
  <c r="BO29" i="6"/>
  <c r="BN83" i="6"/>
  <c r="BL83" i="6"/>
  <c r="BR83" i="6"/>
  <c r="BP83" i="6"/>
  <c r="BO83" i="6"/>
  <c r="BK83" i="6"/>
  <c r="BN35" i="6"/>
  <c r="BL35" i="6"/>
  <c r="BR35" i="6"/>
  <c r="BP35" i="6"/>
  <c r="BO35" i="6"/>
  <c r="BK35" i="6"/>
  <c r="G91" i="6"/>
  <c r="BR82" i="6"/>
  <c r="BP82" i="6"/>
  <c r="BO82" i="6"/>
  <c r="G82" i="6"/>
  <c r="BN82" i="6"/>
  <c r="BL82" i="6"/>
  <c r="BK94" i="6"/>
  <c r="BN94" i="6"/>
  <c r="BL94" i="6"/>
  <c r="BR94" i="6"/>
  <c r="BP94" i="6"/>
  <c r="BO94" i="6"/>
  <c r="G94" i="6"/>
  <c r="BK86" i="6"/>
  <c r="BN86" i="6"/>
  <c r="BL86" i="6"/>
  <c r="BR86" i="6"/>
  <c r="BP86" i="6"/>
  <c r="BO86" i="6"/>
  <c r="G86" i="6"/>
  <c r="BK78" i="6"/>
  <c r="BN78" i="6"/>
  <c r="BL78" i="6"/>
  <c r="BR78" i="6"/>
  <c r="BP78" i="6"/>
  <c r="BO78" i="6"/>
  <c r="G78" i="6"/>
  <c r="BK70" i="6"/>
  <c r="BN70" i="6"/>
  <c r="BL70" i="6"/>
  <c r="BR70" i="6"/>
  <c r="BP70" i="6"/>
  <c r="BO70" i="6"/>
  <c r="G70" i="6"/>
  <c r="BK62" i="6"/>
  <c r="BN62" i="6"/>
  <c r="BL62" i="6"/>
  <c r="BR62" i="6"/>
  <c r="BP62" i="6"/>
  <c r="BO62" i="6"/>
  <c r="G62" i="6"/>
  <c r="BK54" i="6"/>
  <c r="BN54" i="6"/>
  <c r="BL54" i="6"/>
  <c r="BR54" i="6"/>
  <c r="BP54" i="6"/>
  <c r="BO54" i="6"/>
  <c r="G54" i="6"/>
  <c r="BK46" i="6"/>
  <c r="BN46" i="6"/>
  <c r="BL46" i="6"/>
  <c r="BR46" i="6"/>
  <c r="BP46" i="6"/>
  <c r="BO46" i="6"/>
  <c r="G46" i="6"/>
  <c r="BK38" i="6"/>
  <c r="BN38" i="6"/>
  <c r="BL38" i="6"/>
  <c r="BR38" i="6"/>
  <c r="BP38" i="6"/>
  <c r="BO38" i="6"/>
  <c r="G38" i="6"/>
  <c r="BK30" i="6"/>
  <c r="BN30" i="6"/>
  <c r="BL30" i="6"/>
  <c r="BR30" i="6"/>
  <c r="BP30" i="6"/>
  <c r="BO30" i="6"/>
  <c r="G30" i="6"/>
  <c r="BK22" i="6"/>
  <c r="BN22" i="6"/>
  <c r="BL22" i="6"/>
  <c r="BR22" i="6"/>
  <c r="BP22" i="6"/>
  <c r="BO22" i="6"/>
  <c r="G22" i="6"/>
  <c r="BK14" i="6"/>
  <c r="BN14" i="6"/>
  <c r="BL14" i="6"/>
  <c r="BR14" i="6"/>
  <c r="BP14" i="6"/>
  <c r="BO14" i="6"/>
  <c r="G14" i="6"/>
  <c r="BK6" i="6"/>
  <c r="BN6" i="6"/>
  <c r="BL6" i="6"/>
  <c r="BR6" i="6"/>
  <c r="BP6" i="6"/>
  <c r="BO6" i="6"/>
  <c r="F6" i="6"/>
  <c r="G6" i="6"/>
  <c r="G51" i="6"/>
  <c r="BK82" i="6"/>
  <c r="BK18" i="6"/>
  <c r="BL87" i="6"/>
  <c r="BL23" i="6"/>
  <c r="BN55" i="6"/>
  <c r="BO85" i="6"/>
  <c r="BO21" i="6"/>
  <c r="BN59" i="6"/>
  <c r="BL59" i="6"/>
  <c r="BR59" i="6"/>
  <c r="BP59" i="6"/>
  <c r="BO59" i="6"/>
  <c r="BK59" i="6"/>
  <c r="BN27" i="6"/>
  <c r="BL27" i="6"/>
  <c r="BR27" i="6"/>
  <c r="BP27" i="6"/>
  <c r="BO27" i="6"/>
  <c r="BK27" i="6"/>
  <c r="G27" i="6"/>
  <c r="BR50" i="6"/>
  <c r="BP50" i="6"/>
  <c r="BO50" i="6"/>
  <c r="G50" i="6"/>
  <c r="BN50" i="6"/>
  <c r="BL50" i="6"/>
  <c r="BN93" i="6"/>
  <c r="BL93" i="6"/>
  <c r="G93" i="6"/>
  <c r="BK93" i="6"/>
  <c r="BN85" i="6"/>
  <c r="BL85" i="6"/>
  <c r="G85" i="6"/>
  <c r="BK85" i="6"/>
  <c r="BN77" i="6"/>
  <c r="BL77" i="6"/>
  <c r="G77" i="6"/>
  <c r="BK77" i="6"/>
  <c r="BN69" i="6"/>
  <c r="BL69" i="6"/>
  <c r="G69" i="6"/>
  <c r="BK69" i="6"/>
  <c r="BN61" i="6"/>
  <c r="BL61" i="6"/>
  <c r="G61" i="6"/>
  <c r="BK61" i="6"/>
  <c r="BN53" i="6"/>
  <c r="BL53" i="6"/>
  <c r="G53" i="6"/>
  <c r="BK53" i="6"/>
  <c r="BN45" i="6"/>
  <c r="BL45" i="6"/>
  <c r="G45" i="6"/>
  <c r="BK45" i="6"/>
  <c r="BN37" i="6"/>
  <c r="BL37" i="6"/>
  <c r="G37" i="6"/>
  <c r="BK37" i="6"/>
  <c r="BN29" i="6"/>
  <c r="BL29" i="6"/>
  <c r="G29" i="6"/>
  <c r="BK29" i="6"/>
  <c r="BN21" i="6"/>
  <c r="BL21" i="6"/>
  <c r="G21" i="6"/>
  <c r="BK21" i="6"/>
  <c r="BN13" i="6"/>
  <c r="BL13" i="6"/>
  <c r="G13" i="6"/>
  <c r="BK13" i="6"/>
  <c r="BN5" i="6"/>
  <c r="BL5" i="6"/>
  <c r="G5" i="6"/>
  <c r="BK5" i="6"/>
  <c r="F83" i="6"/>
  <c r="F75" i="6"/>
  <c r="F67" i="6"/>
  <c r="F59" i="6"/>
  <c r="F51" i="6"/>
  <c r="F43" i="6"/>
  <c r="F35" i="6"/>
  <c r="F27" i="6"/>
  <c r="F19" i="6"/>
  <c r="F11" i="6"/>
  <c r="BK74" i="6"/>
  <c r="BK10" i="6"/>
  <c r="BL79" i="6"/>
  <c r="BL15" i="6"/>
  <c r="BN47" i="6"/>
  <c r="BO77" i="6"/>
  <c r="BO13" i="6"/>
  <c r="BP45" i="6"/>
  <c r="BR77" i="6"/>
  <c r="BR13" i="6"/>
  <c r="BN91" i="6"/>
  <c r="BL91" i="6"/>
  <c r="BR91" i="6"/>
  <c r="BP91" i="6"/>
  <c r="BO91" i="6"/>
  <c r="BK91" i="6"/>
  <c r="BN43" i="6"/>
  <c r="BL43" i="6"/>
  <c r="BR43" i="6"/>
  <c r="BP43" i="6"/>
  <c r="BO43" i="6"/>
  <c r="BK43" i="6"/>
  <c r="BR66" i="6"/>
  <c r="BP66" i="6"/>
  <c r="BO66" i="6"/>
  <c r="G66" i="6"/>
  <c r="BN66" i="6"/>
  <c r="BL66" i="6"/>
  <c r="BR26" i="6"/>
  <c r="BP26" i="6"/>
  <c r="BO26" i="6"/>
  <c r="G26" i="6"/>
  <c r="BN26" i="6"/>
  <c r="BL26" i="6"/>
  <c r="G83" i="6"/>
  <c r="BK50" i="6"/>
  <c r="BN92" i="6"/>
  <c r="BL92" i="6"/>
  <c r="BR92" i="6"/>
  <c r="BP92" i="6"/>
  <c r="BO92" i="6"/>
  <c r="G92" i="6"/>
  <c r="BK92" i="6"/>
  <c r="BN84" i="6"/>
  <c r="BL84" i="6"/>
  <c r="BR84" i="6"/>
  <c r="BP84" i="6"/>
  <c r="BO84" i="6"/>
  <c r="G84" i="6"/>
  <c r="BK84" i="6"/>
  <c r="BN76" i="6"/>
  <c r="BL76" i="6"/>
  <c r="BR76" i="6"/>
  <c r="BP76" i="6"/>
  <c r="BO76" i="6"/>
  <c r="G76" i="6"/>
  <c r="BK76" i="6"/>
  <c r="BN68" i="6"/>
  <c r="BL68" i="6"/>
  <c r="BR68" i="6"/>
  <c r="BP68" i="6"/>
  <c r="BO68" i="6"/>
  <c r="G68" i="6"/>
  <c r="BK68" i="6"/>
  <c r="BN60" i="6"/>
  <c r="BL60" i="6"/>
  <c r="BR60" i="6"/>
  <c r="BP60" i="6"/>
  <c r="BO60" i="6"/>
  <c r="G60" i="6"/>
  <c r="BK60" i="6"/>
  <c r="BN52" i="6"/>
  <c r="BL52" i="6"/>
  <c r="BR52" i="6"/>
  <c r="BP52" i="6"/>
  <c r="BO52" i="6"/>
  <c r="G52" i="6"/>
  <c r="BK52" i="6"/>
  <c r="BN44" i="6"/>
  <c r="BL44" i="6"/>
  <c r="BR44" i="6"/>
  <c r="BP44" i="6"/>
  <c r="BO44" i="6"/>
  <c r="G44" i="6"/>
  <c r="BK44" i="6"/>
  <c r="BN36" i="6"/>
  <c r="BL36" i="6"/>
  <c r="BR36" i="6"/>
  <c r="BP36" i="6"/>
  <c r="BO36" i="6"/>
  <c r="G36" i="6"/>
  <c r="BK36" i="6"/>
  <c r="BN28" i="6"/>
  <c r="BL28" i="6"/>
  <c r="BR28" i="6"/>
  <c r="BP28" i="6"/>
  <c r="BO28" i="6"/>
  <c r="G28" i="6"/>
  <c r="BK28" i="6"/>
  <c r="BN20" i="6"/>
  <c r="BL20" i="6"/>
  <c r="BR20" i="6"/>
  <c r="BP20" i="6"/>
  <c r="BO20" i="6"/>
  <c r="G20" i="6"/>
  <c r="BK20" i="6"/>
  <c r="BN12" i="6"/>
  <c r="BL12" i="6"/>
  <c r="BR12" i="6"/>
  <c r="BP12" i="6"/>
  <c r="BO12" i="6"/>
  <c r="G12" i="6"/>
  <c r="BK12" i="6"/>
  <c r="BN4" i="6"/>
  <c r="BL4" i="6"/>
  <c r="BR4" i="6"/>
  <c r="BP4" i="6"/>
  <c r="BO4" i="6"/>
  <c r="F4" i="6"/>
  <c r="G4" i="6"/>
  <c r="BK4" i="6"/>
  <c r="F90" i="6"/>
  <c r="F82" i="6"/>
  <c r="F74" i="6"/>
  <c r="F66" i="6"/>
  <c r="F58" i="6"/>
  <c r="F50" i="6"/>
  <c r="F42" i="6"/>
  <c r="F34" i="6"/>
  <c r="F26" i="6"/>
  <c r="F18" i="6"/>
  <c r="F5" i="6"/>
  <c r="G35" i="6"/>
  <c r="BK66" i="6"/>
  <c r="BL71" i="6"/>
  <c r="BL7" i="6"/>
  <c r="BN39" i="6"/>
  <c r="BO69" i="6"/>
  <c r="BO5" i="6"/>
  <c r="BP37" i="6"/>
  <c r="BR69" i="6"/>
  <c r="BR5" i="6"/>
  <c r="P98" i="6" l="1"/>
  <c r="AA98" i="6"/>
  <c r="AW98" i="6"/>
  <c r="BE98" i="6"/>
  <c r="BA98" i="6"/>
  <c r="K98" i="6"/>
  <c r="L98" i="6"/>
  <c r="AB98" i="6"/>
  <c r="AS98" i="6"/>
  <c r="AJ98" i="6"/>
  <c r="AN98" i="6"/>
  <c r="AV98" i="6"/>
  <c r="X98" i="6"/>
  <c r="BD98" i="6"/>
  <c r="AU98" i="6"/>
  <c r="W98" i="6"/>
  <c r="BB98" i="6"/>
  <c r="AT98" i="6"/>
  <c r="AG98" i="6"/>
  <c r="AC98" i="6"/>
  <c r="AO98" i="6"/>
  <c r="AK98" i="6"/>
  <c r="AP98" i="6"/>
  <c r="O98" i="6"/>
  <c r="S98" i="6"/>
  <c r="AE98" i="6"/>
  <c r="Z98" i="6"/>
  <c r="BF98" i="6"/>
  <c r="AH98" i="6"/>
  <c r="BG98" i="6"/>
  <c r="AQ98" i="6"/>
  <c r="AL98" i="6"/>
  <c r="AM98" i="6"/>
  <c r="AZ98" i="6"/>
  <c r="N98" i="6"/>
  <c r="AF98" i="6"/>
  <c r="M98" i="6"/>
  <c r="AR98" i="6"/>
  <c r="AI98" i="6"/>
  <c r="AD98" i="6"/>
  <c r="Y98" i="6"/>
  <c r="BC98" i="6"/>
  <c r="AX98" i="6"/>
  <c r="V98" i="6"/>
  <c r="AY98" i="6"/>
  <c r="Q39" i="1"/>
  <c r="O39" i="1"/>
  <c r="P39" i="1"/>
  <c r="R39" i="1"/>
  <c r="U98" i="6"/>
  <c r="B65" i="1" s="1"/>
  <c r="B66" i="1" s="1"/>
  <c r="B67" i="1" s="1"/>
  <c r="Q98" i="6"/>
  <c r="B69" i="1" s="1"/>
  <c r="B70" i="1" s="1"/>
  <c r="B71" i="1" s="1"/>
  <c r="N14" i="1"/>
  <c r="R14" i="1" s="1"/>
  <c r="N29" i="1"/>
  <c r="R29" i="1" s="1"/>
  <c r="N16" i="1"/>
  <c r="R16" i="1" s="1"/>
  <c r="N9" i="1"/>
  <c r="R9" i="1" s="1"/>
  <c r="N31" i="1"/>
  <c r="R31" i="1" s="1"/>
  <c r="N12" i="1"/>
  <c r="R12" i="1" s="1"/>
  <c r="N13" i="1"/>
  <c r="R13" i="1" s="1"/>
  <c r="N15" i="1"/>
  <c r="R15" i="1" s="1"/>
  <c r="N30" i="1"/>
  <c r="R30" i="1" s="1"/>
  <c r="N17" i="1"/>
  <c r="R17" i="1" s="1"/>
  <c r="N10" i="1"/>
  <c r="R10" i="1" s="1"/>
  <c r="N18" i="1"/>
  <c r="R18" i="1" s="1"/>
  <c r="N11" i="1"/>
  <c r="R11" i="1" s="1"/>
  <c r="N19" i="1"/>
  <c r="R19" i="1" s="1"/>
  <c r="N27" i="1"/>
  <c r="R27" i="1" s="1"/>
  <c r="N20" i="1"/>
  <c r="R20" i="1" s="1"/>
  <c r="BO98" i="6"/>
  <c r="B3" i="1" s="1"/>
  <c r="N3" i="1" s="1"/>
  <c r="G98" i="6"/>
  <c r="B8" i="1" s="1"/>
  <c r="BP98" i="6"/>
  <c r="R98" i="6"/>
  <c r="T98" i="6"/>
  <c r="J98" i="6"/>
  <c r="F98" i="6"/>
  <c r="BK98" i="6"/>
  <c r="B6" i="1" s="1"/>
  <c r="N6" i="1" s="1"/>
  <c r="R6" i="1" s="1"/>
  <c r="BN98" i="6"/>
  <c r="BL98" i="6"/>
  <c r="BR98" i="6"/>
  <c r="B2" i="1" s="1"/>
  <c r="B22" i="1"/>
  <c r="N22" i="1" s="1"/>
  <c r="R22" i="1" s="1"/>
  <c r="N4" i="1" l="1"/>
  <c r="R4" i="1" s="1"/>
  <c r="B4" i="1"/>
  <c r="B5" i="1"/>
  <c r="N5" i="1" s="1"/>
  <c r="B7" i="1"/>
  <c r="N7" i="1" s="1"/>
  <c r="B82" i="1"/>
  <c r="Q3" i="1"/>
  <c r="R3" i="1"/>
  <c r="Q4" i="1"/>
  <c r="P4" i="1"/>
  <c r="Q19" i="1"/>
  <c r="O19" i="1"/>
  <c r="P19" i="1"/>
  <c r="Q12" i="1"/>
  <c r="O12" i="1"/>
  <c r="P12" i="1"/>
  <c r="O11" i="1"/>
  <c r="Q11" i="1"/>
  <c r="P11" i="1"/>
  <c r="O31" i="1"/>
  <c r="P31" i="1"/>
  <c r="Q31" i="1"/>
  <c r="O15" i="1"/>
  <c r="P15" i="1"/>
  <c r="Q15" i="1"/>
  <c r="Q13" i="1"/>
  <c r="O13" i="1"/>
  <c r="P13" i="1"/>
  <c r="O6" i="1"/>
  <c r="P6" i="1"/>
  <c r="Q6" i="1"/>
  <c r="O10" i="1"/>
  <c r="Q10" i="1"/>
  <c r="P10" i="1"/>
  <c r="O16" i="1"/>
  <c r="P16" i="1"/>
  <c r="Q16" i="1"/>
  <c r="Q20" i="1"/>
  <c r="P20" i="1"/>
  <c r="O20" i="1"/>
  <c r="Q27" i="1"/>
  <c r="O27" i="1"/>
  <c r="P27" i="1"/>
  <c r="O18" i="1"/>
  <c r="Q18" i="1"/>
  <c r="P18" i="1"/>
  <c r="O17" i="1"/>
  <c r="P17" i="1"/>
  <c r="Q17" i="1"/>
  <c r="P29" i="1"/>
  <c r="Q29" i="1"/>
  <c r="O29" i="1"/>
  <c r="P22" i="1"/>
  <c r="Q22" i="1"/>
  <c r="O22" i="1"/>
  <c r="P9" i="1"/>
  <c r="O9" i="1"/>
  <c r="Q9" i="1"/>
  <c r="O30" i="1"/>
  <c r="P30" i="1"/>
  <c r="Q30" i="1"/>
  <c r="P14" i="1"/>
  <c r="Q14" i="1"/>
  <c r="O14" i="1"/>
  <c r="N2" i="1"/>
  <c r="R2" i="1" s="1"/>
  <c r="O3" i="1"/>
  <c r="P3" i="1"/>
  <c r="B32" i="1" s="1"/>
  <c r="B104" i="6"/>
  <c r="R7" i="1" l="1"/>
  <c r="P7" i="1"/>
  <c r="O7" i="1"/>
  <c r="Q7" i="1"/>
  <c r="R5" i="1"/>
  <c r="O5" i="1"/>
  <c r="P5" i="1"/>
  <c r="Q5" i="1"/>
  <c r="O4" i="1"/>
  <c r="B78" i="1"/>
  <c r="O2" i="1"/>
  <c r="Q2" i="1"/>
  <c r="B61" i="1"/>
  <c r="B106" i="6"/>
  <c r="B107" i="6" s="1"/>
  <c r="B77" i="1" l="1"/>
  <c r="B79" i="1"/>
  <c r="B59" i="1"/>
  <c r="G52" i="1"/>
  <c r="D59" i="1"/>
  <c r="B60" i="1" l="1"/>
  <c r="B62" i="1" l="1"/>
  <c r="B81" i="1" l="1"/>
  <c r="B74" i="1"/>
  <c r="B73" i="1" l="1"/>
  <c r="D73" i="1" s="1"/>
  <c r="D74" i="1" s="1"/>
  <c r="B75" i="1"/>
</calcChain>
</file>

<file path=xl/sharedStrings.xml><?xml version="1.0" encoding="utf-8"?>
<sst xmlns="http://schemas.openxmlformats.org/spreadsheetml/2006/main" count="754" uniqueCount="400">
  <si>
    <t>Signification</t>
  </si>
  <si>
    <t>C</t>
  </si>
  <si>
    <t>Carbohydrates</t>
  </si>
  <si>
    <t>kg</t>
  </si>
  <si>
    <t>L</t>
  </si>
  <si>
    <t>Lipides</t>
  </si>
  <si>
    <t>H</t>
  </si>
  <si>
    <t>Hemicelluloses</t>
  </si>
  <si>
    <t>CE</t>
  </si>
  <si>
    <t>Celluloses</t>
  </si>
  <si>
    <t>Sc</t>
  </si>
  <si>
    <t>Sp</t>
  </si>
  <si>
    <t>Sl</t>
  </si>
  <si>
    <t>Sh</t>
  </si>
  <si>
    <t>LG</t>
  </si>
  <si>
    <t>Lignines</t>
  </si>
  <si>
    <t>Slg</t>
  </si>
  <si>
    <t>Xmb</t>
  </si>
  <si>
    <t>Hydrolysis product of C and CE</t>
  </si>
  <si>
    <t>Hydrolysis product of P</t>
  </si>
  <si>
    <t>Hydrolysis product of L</t>
  </si>
  <si>
    <t>Hydrolysis product of H</t>
  </si>
  <si>
    <t>Hydrolysis product of LG</t>
  </si>
  <si>
    <t>Mesophilic bacterias</t>
  </si>
  <si>
    <t>Xtb</t>
  </si>
  <si>
    <t>Thermophilic bacterias</t>
  </si>
  <si>
    <t>Xma</t>
  </si>
  <si>
    <t>Mesophilic actynomycetes</t>
  </si>
  <si>
    <t xml:space="preserve">Xta </t>
  </si>
  <si>
    <t>Thermophilic actynomycetes</t>
  </si>
  <si>
    <t>Xmf</t>
  </si>
  <si>
    <t>Mesophilic fungi</t>
  </si>
  <si>
    <t>Xtf</t>
  </si>
  <si>
    <t>Thermophilic fungi</t>
  </si>
  <si>
    <t>Category</t>
  </si>
  <si>
    <t>Name</t>
  </si>
  <si>
    <t>Water(%)</t>
  </si>
  <si>
    <t>TS(%)</t>
  </si>
  <si>
    <t>VS (%TS)</t>
  </si>
  <si>
    <t>Ash(%TS)</t>
  </si>
  <si>
    <t>Energy (MJ/kgTS)</t>
  </si>
  <si>
    <t>CH4pot (m3/tonVS)</t>
  </si>
  <si>
    <t>Cbio (%TS)</t>
  </si>
  <si>
    <t>Cbioand (%TS)</t>
  </si>
  <si>
    <t>Cfossil (%TS)</t>
  </si>
  <si>
    <t>Ca (%TS)</t>
  </si>
  <si>
    <t>Cl (%TS)</t>
  </si>
  <si>
    <t>F (%TS)</t>
  </si>
  <si>
    <t>H (%TS)</t>
  </si>
  <si>
    <t>K (%TS)</t>
  </si>
  <si>
    <t>N (%TS)</t>
  </si>
  <si>
    <t>Na (%TS)</t>
  </si>
  <si>
    <t>O (%TS)</t>
  </si>
  <si>
    <t>P (%TS)</t>
  </si>
  <si>
    <t>S (%TS)</t>
  </si>
  <si>
    <t>Ag (%TS)</t>
  </si>
  <si>
    <t>Al (%TS)</t>
  </si>
  <si>
    <t>Ar (%TS)</t>
  </si>
  <si>
    <t>As (%TS)</t>
  </si>
  <si>
    <t>Au (%TS)</t>
  </si>
  <si>
    <t>B (%TS)</t>
  </si>
  <si>
    <t>Ba (%TS)</t>
  </si>
  <si>
    <t>Be (%TS)</t>
  </si>
  <si>
    <t>Bi (%TS)</t>
  </si>
  <si>
    <t>Br (%TS)</t>
  </si>
  <si>
    <t>Cd (%TS)</t>
  </si>
  <si>
    <t>Co (%TS)</t>
  </si>
  <si>
    <t>Cr (%TS)</t>
  </si>
  <si>
    <t>Cu (%TS)</t>
  </si>
  <si>
    <t>Fe (%TS)</t>
  </si>
  <si>
    <t>Ga (%TS)</t>
  </si>
  <si>
    <t>Hg (%TS)</t>
  </si>
  <si>
    <t>In (%TS)</t>
  </si>
  <si>
    <t>Li (%TS)</t>
  </si>
  <si>
    <t>Mg (%TS)</t>
  </si>
  <si>
    <t>Mn (%TS)</t>
  </si>
  <si>
    <t>Mo (%TS)</t>
  </si>
  <si>
    <t>Ni (%TS)</t>
  </si>
  <si>
    <t>Pb (%TS)</t>
  </si>
  <si>
    <t>Pd (%TS)</t>
  </si>
  <si>
    <t>Pt (%TS)</t>
  </si>
  <si>
    <t>Sb (%TS)</t>
  </si>
  <si>
    <t>Se (%TS)</t>
  </si>
  <si>
    <t>Si (%TS)</t>
  </si>
  <si>
    <t>Sn (%TS)</t>
  </si>
  <si>
    <t>Sr (%TS)</t>
  </si>
  <si>
    <t>Ta (%TS)</t>
  </si>
  <si>
    <t>Ti (%TS)</t>
  </si>
  <si>
    <t>V (%TS)</t>
  </si>
  <si>
    <t>Zn (%TS)</t>
  </si>
  <si>
    <t>Zr (%TS)</t>
  </si>
  <si>
    <t>Toluene (%TS)</t>
  </si>
  <si>
    <t>PAH (%TS)</t>
  </si>
  <si>
    <t>Sucrose (%TS)</t>
  </si>
  <si>
    <t>Starch (%TS)</t>
  </si>
  <si>
    <t>Cellulose (%TS)</t>
  </si>
  <si>
    <t>Hemicellulose (%TS)</t>
  </si>
  <si>
    <t>Pectin (%TS)</t>
  </si>
  <si>
    <t>Lignin (%TS)</t>
  </si>
  <si>
    <t>Proteins (%TS)</t>
  </si>
  <si>
    <t>Lipids (%TS)</t>
  </si>
  <si>
    <t>Acetic acid (%TS)</t>
  </si>
  <si>
    <t>Carbohydrates (%TS)</t>
  </si>
  <si>
    <t>Digestible energy (MJ/kgTS)</t>
  </si>
  <si>
    <t>SFU (FU/kgTS)</t>
  </si>
  <si>
    <t>Fructose (%TS)</t>
  </si>
  <si>
    <t>Glucose (%TS)</t>
  </si>
  <si>
    <t>Lactose (%TS)</t>
  </si>
  <si>
    <t>Maltose (%TS)</t>
  </si>
  <si>
    <t>All sugars (%TS)</t>
  </si>
  <si>
    <t>Energy for humans (MJ/kg TS)</t>
  </si>
  <si>
    <t>Alcohol</t>
  </si>
  <si>
    <t>OtherVS</t>
  </si>
  <si>
    <t>Food product</t>
  </si>
  <si>
    <t>Average Biscuits, DSW</t>
  </si>
  <si>
    <t>Average Cake, DSW</t>
  </si>
  <si>
    <t>Average Pasta, DSA</t>
  </si>
  <si>
    <t>Average Rice, DSA</t>
  </si>
  <si>
    <t>Average Wheat, DSA</t>
  </si>
  <si>
    <t>Average Pizza, DSA</t>
  </si>
  <si>
    <t>Average Sandwich, DSA</t>
  </si>
  <si>
    <t>Average Charcuterie, CHA</t>
  </si>
  <si>
    <t>Average Milk, FDP</t>
  </si>
  <si>
    <t>Average Yogurt, FDP</t>
  </si>
  <si>
    <t>Average Egg, FDP</t>
  </si>
  <si>
    <t>Average Cream, FDP</t>
  </si>
  <si>
    <t>Average Butter, FDP</t>
  </si>
  <si>
    <t>Average Potato, F&amp;V</t>
  </si>
  <si>
    <t>Average Apple, F&amp;V</t>
  </si>
  <si>
    <t>Average Tomato, F&amp;V</t>
  </si>
  <si>
    <t>Average Banana, F&amp;V</t>
  </si>
  <si>
    <t>Average Orange, F&amp;V</t>
  </si>
  <si>
    <t>Average Lettuce, F&amp;V</t>
  </si>
  <si>
    <t>Average Carrot, F&amp;V</t>
  </si>
  <si>
    <t>Average Clementine, F&amp;V</t>
  </si>
  <si>
    <t>Average Peach, F&amp;V</t>
  </si>
  <si>
    <t>Average Melon, F&amp;V</t>
  </si>
  <si>
    <t>Average Pear, F&amp;V</t>
  </si>
  <si>
    <t>Average Endive, F&amp;V</t>
  </si>
  <si>
    <t>Average Chicory, F&amp;V</t>
  </si>
  <si>
    <t>Average Zucchini, F&amp;V</t>
  </si>
  <si>
    <t>Average Onion, F&amp;V</t>
  </si>
  <si>
    <t>Average Pepper, F&amp;V</t>
  </si>
  <si>
    <t>Average Grape, F&amp;V</t>
  </si>
  <si>
    <t>Average Cucumber, F&amp;V</t>
  </si>
  <si>
    <t>Average Lemon, F&amp;V</t>
  </si>
  <si>
    <t>Average Watermelon, F&amp;V</t>
  </si>
  <si>
    <t>Average Pomelo, F&amp;V</t>
  </si>
  <si>
    <t>Average Kiwi, F&amp;V</t>
  </si>
  <si>
    <t>Average Strawberry, F&amp;V</t>
  </si>
  <si>
    <t>Average Leek, F&amp;V</t>
  </si>
  <si>
    <t>Average Avocado, F&amp;V</t>
  </si>
  <si>
    <t>Average Apricot, F&amp;V</t>
  </si>
  <si>
    <t>Average Plum, F&amp;V</t>
  </si>
  <si>
    <t>Average Beetroot, F&amp;V</t>
  </si>
  <si>
    <t>Average Champignon, F&amp;V</t>
  </si>
  <si>
    <t>Average Pineapple, F&amp;V</t>
  </si>
  <si>
    <t>Average Cauliflower, F&amp;V</t>
  </si>
  <si>
    <t>Average Artichoke, F&amp;V</t>
  </si>
  <si>
    <t>Average Celeriac, F&amp;V</t>
  </si>
  <si>
    <t>Average Savoy cabbage, F&amp;V</t>
  </si>
  <si>
    <t>Average Radish, F&amp;V</t>
  </si>
  <si>
    <t>Average Walnut, F&amp;V</t>
  </si>
  <si>
    <t>Average Broccoli, F&amp;V</t>
  </si>
  <si>
    <t>Average Pumpkin, F&amp;V</t>
  </si>
  <si>
    <t>Average Shallot, F&amp;V</t>
  </si>
  <si>
    <t>Average Celery, F&amp;V</t>
  </si>
  <si>
    <t>Average Aubergine, F&amp;V</t>
  </si>
  <si>
    <t>Average Valerian, F&amp;V</t>
  </si>
  <si>
    <t>Average Asparagus, F&amp;V</t>
  </si>
  <si>
    <t>Average Chestnut, F&amp;V</t>
  </si>
  <si>
    <t>Average Spinach, F&amp;V</t>
  </si>
  <si>
    <t>Average Cherry, F&amp;V</t>
  </si>
  <si>
    <t>Average Green beans, F&amp;V</t>
  </si>
  <si>
    <t>Average Fennel, F&amp;V</t>
  </si>
  <si>
    <t>Average Turnip, F&amp;V</t>
  </si>
  <si>
    <t>Average Brussels sprouts, F&amp;V</t>
  </si>
  <si>
    <t>Average Peas, F&amp;V</t>
  </si>
  <si>
    <t>Average Chicken, PO</t>
  </si>
  <si>
    <t>Average Turkey, PO</t>
  </si>
  <si>
    <t>Average Duck, PO</t>
  </si>
  <si>
    <t>Average Rabbit, PO</t>
  </si>
  <si>
    <t>Average Elaborated poultry, PO</t>
  </si>
  <si>
    <t>Average Other poultry, PO</t>
  </si>
  <si>
    <t>Average Pork, ME</t>
  </si>
  <si>
    <t>Average Beef, ME</t>
  </si>
  <si>
    <t>Average Veal, ME</t>
  </si>
  <si>
    <t>Average Ovine, ME</t>
  </si>
  <si>
    <t>Average Horse, ME</t>
  </si>
  <si>
    <t>Average Other elaborated, ME</t>
  </si>
  <si>
    <t>Average Fresh minced meat, ME</t>
  </si>
  <si>
    <t>Average Offal of meat, ME</t>
  </si>
  <si>
    <t>Average Cheese, CH</t>
  </si>
  <si>
    <t>Average Pastry and cakes, PA</t>
  </si>
  <si>
    <t>Average Croissant, PA</t>
  </si>
  <si>
    <t>Average Bread, BA</t>
  </si>
  <si>
    <t>Average Fish, FI</t>
  </si>
  <si>
    <t>Average Shellfish and molluscs, FI</t>
  </si>
  <si>
    <t>Average Water, LI</t>
  </si>
  <si>
    <t>Average Non-alcoholic beverages, LI</t>
  </si>
  <si>
    <t>Average Meat, FR</t>
  </si>
  <si>
    <t>Average Poultry, FR</t>
  </si>
  <si>
    <t>Average Bread, FR</t>
  </si>
  <si>
    <t>Average Fruits and Vegetables, FR</t>
  </si>
  <si>
    <t>Average Fish, FR</t>
  </si>
  <si>
    <t>Average Pastry, FR</t>
  </si>
  <si>
    <t>Average Dry savoury, FR</t>
  </si>
  <si>
    <t>Average Gourmet, GO</t>
  </si>
  <si>
    <t>ABBREVIATIONS</t>
  </si>
  <si>
    <t>DSW</t>
  </si>
  <si>
    <t>Dry sweet</t>
  </si>
  <si>
    <t>DSA</t>
  </si>
  <si>
    <t>Dry savoury</t>
  </si>
  <si>
    <t>CHA</t>
  </si>
  <si>
    <t>Charcuterie</t>
  </si>
  <si>
    <t>FDP</t>
  </si>
  <si>
    <t>Fresh dairy products</t>
  </si>
  <si>
    <t>F&amp;V</t>
  </si>
  <si>
    <t>Fruits and vegetables</t>
  </si>
  <si>
    <t>PO</t>
  </si>
  <si>
    <t>Poultry</t>
  </si>
  <si>
    <t>ME</t>
  </si>
  <si>
    <t>Meat</t>
  </si>
  <si>
    <t>CH</t>
  </si>
  <si>
    <t>Cheese</t>
  </si>
  <si>
    <t>PA</t>
  </si>
  <si>
    <t>Pastry</t>
  </si>
  <si>
    <t>BA</t>
  </si>
  <si>
    <t>Bakery</t>
  </si>
  <si>
    <t>FI</t>
  </si>
  <si>
    <t>Fish</t>
  </si>
  <si>
    <t>LI</t>
  </si>
  <si>
    <t>Liquids</t>
  </si>
  <si>
    <t>FR</t>
  </si>
  <si>
    <t>Frozen</t>
  </si>
  <si>
    <t>Go</t>
  </si>
  <si>
    <t>Gourmet</t>
  </si>
  <si>
    <t>Mass (kg)</t>
  </si>
  <si>
    <t>Total</t>
  </si>
  <si>
    <t>Water(kg)</t>
  </si>
  <si>
    <t>TS(kg)</t>
  </si>
  <si>
    <t>Cellulose (kg)</t>
  </si>
  <si>
    <t>Proteins (kg)</t>
  </si>
  <si>
    <t>Proteins</t>
  </si>
  <si>
    <t>VS (kg)</t>
  </si>
  <si>
    <t>Ash(kg)</t>
  </si>
  <si>
    <t>Hemicellulose (kg)</t>
  </si>
  <si>
    <t>Lignin (kg)</t>
  </si>
  <si>
    <t>Lipids (kg)</t>
  </si>
  <si>
    <t>Carbohydrates (kg)</t>
  </si>
  <si>
    <t>Xdb</t>
  </si>
  <si>
    <t>Decayed biomass</t>
  </si>
  <si>
    <t>Xi</t>
  </si>
  <si>
    <t>Inert materials</t>
  </si>
  <si>
    <t>C6H1206</t>
  </si>
  <si>
    <t>O</t>
  </si>
  <si>
    <t>C16H24O5N4</t>
  </si>
  <si>
    <t>N</t>
  </si>
  <si>
    <t>C25H45O3</t>
  </si>
  <si>
    <t>C10H18O9</t>
  </si>
  <si>
    <t>(C6H12O6)n</t>
  </si>
  <si>
    <t>C20H30O6</t>
  </si>
  <si>
    <t>HE</t>
  </si>
  <si>
    <t>C5H7O2N</t>
  </si>
  <si>
    <t>C10H17O6N</t>
  </si>
  <si>
    <t>T</t>
  </si>
  <si>
    <t>W</t>
  </si>
  <si>
    <t>Dissolved carbon dioxide</t>
  </si>
  <si>
    <t>K</t>
  </si>
  <si>
    <t>mass</t>
  </si>
  <si>
    <t>Xa</t>
  </si>
  <si>
    <t>n</t>
  </si>
  <si>
    <t>autotroph microorganisms</t>
  </si>
  <si>
    <t>CO2</t>
  </si>
  <si>
    <t>CH4</t>
  </si>
  <si>
    <t>NH3</t>
  </si>
  <si>
    <t>!!</t>
  </si>
  <si>
    <t>valorgas - waste from Ludlow, UK</t>
  </si>
  <si>
    <t>Cbio (kg)</t>
  </si>
  <si>
    <t>N (kg)</t>
  </si>
  <si>
    <t>O (kg)</t>
  </si>
  <si>
    <t>C/N ratio of bulking agent</t>
  </si>
  <si>
    <t>C/N ratio of waste</t>
  </si>
  <si>
    <t>Quantity of B.A to reach C/N=30</t>
  </si>
  <si>
    <t>Checking of C/N ratio of mixture</t>
  </si>
  <si>
    <t>x</t>
  </si>
  <si>
    <t>Total Mass</t>
  </si>
  <si>
    <t>TM</t>
  </si>
  <si>
    <t>kg.kg-1</t>
  </si>
  <si>
    <t>Nitrate</t>
  </si>
  <si>
    <t>masse C (g)</t>
  </si>
  <si>
    <t>masse C (kg/kgTM)</t>
  </si>
  <si>
    <t>m(Carbone) (g)</t>
  </si>
  <si>
    <t>m(N-org)(g)</t>
  </si>
  <si>
    <t>Wood chips</t>
  </si>
  <si>
    <t>masse N (kg/kg)</t>
  </si>
  <si>
    <t>C/N</t>
  </si>
  <si>
    <t>m(H)</t>
  </si>
  <si>
    <t>m(O)</t>
  </si>
  <si>
    <t>P (kg)</t>
  </si>
  <si>
    <t>K (kg)</t>
  </si>
  <si>
    <t>masse K(kg/kgTM)</t>
  </si>
  <si>
    <t xml:space="preserve">entering the active composting phase </t>
  </si>
  <si>
    <t>entering the system</t>
  </si>
  <si>
    <t>masse (PO4)3- (kg/kgbio_tot)</t>
  </si>
  <si>
    <t>masse K(kg/kgbiowaste)</t>
  </si>
  <si>
    <t>masse K(kg/kgbio_tot)</t>
  </si>
  <si>
    <t>mass of P2O5 substitued (kg/kgbio_tot)</t>
  </si>
  <si>
    <t>masse (PO4)3- (kg/kgbiowaste)</t>
  </si>
  <si>
    <t>masse of P-P2O5 substitued (kg/kgbiowaste)</t>
  </si>
  <si>
    <t>mass of P2O5 substitued (kg/kgbiowaste)</t>
  </si>
  <si>
    <t>mass of Kfertilizer substitued (kg/kgbio_tot)</t>
  </si>
  <si>
    <t>mass of Kfertilizer substitued (kg/kgbiowaste)</t>
  </si>
  <si>
    <t>Structuring material</t>
  </si>
  <si>
    <t>Ratio biowaste/WC</t>
  </si>
  <si>
    <t>wood chips</t>
  </si>
  <si>
    <t>8_1</t>
  </si>
  <si>
    <t>H (kg)</t>
  </si>
  <si>
    <t>F (kg)</t>
  </si>
  <si>
    <t>Cl (kg)</t>
  </si>
  <si>
    <t>Ca (kg)</t>
  </si>
  <si>
    <t>Cfossil (kg)</t>
  </si>
  <si>
    <t>Cbioand (kg)</t>
  </si>
  <si>
    <t>Na (kg)</t>
  </si>
  <si>
    <t>S (kg)</t>
  </si>
  <si>
    <t>Ag (kg)</t>
  </si>
  <si>
    <t>Al (kg)</t>
  </si>
  <si>
    <t>Ar(kg)</t>
  </si>
  <si>
    <t>As(kg)</t>
  </si>
  <si>
    <t>Au (kg)</t>
  </si>
  <si>
    <t>B (kg)</t>
  </si>
  <si>
    <t>Ba (kg)</t>
  </si>
  <si>
    <t>Be (kg)</t>
  </si>
  <si>
    <t>Bi (kg)</t>
  </si>
  <si>
    <t>Br (kg)</t>
  </si>
  <si>
    <t>Cd (kg)</t>
  </si>
  <si>
    <t>Co (kg)</t>
  </si>
  <si>
    <t>Cr(kg)</t>
  </si>
  <si>
    <t>Cu (kg)</t>
  </si>
  <si>
    <t>Fe (kg)</t>
  </si>
  <si>
    <t>Ga(kg)</t>
  </si>
  <si>
    <t>Hg (kg)</t>
  </si>
  <si>
    <t>In (kg)</t>
  </si>
  <si>
    <t>Li (kg)</t>
  </si>
  <si>
    <t>Mg (kg)</t>
  </si>
  <si>
    <t>Mn (kg)</t>
  </si>
  <si>
    <t>Mo (kg)</t>
  </si>
  <si>
    <t>Ni (kg)</t>
  </si>
  <si>
    <t>Pb (kg)</t>
  </si>
  <si>
    <t>Pd (kg)</t>
  </si>
  <si>
    <t>Pt (kg)</t>
  </si>
  <si>
    <t>Sb (kg)</t>
  </si>
  <si>
    <t>Se (kg)</t>
  </si>
  <si>
    <t>Si (kg)</t>
  </si>
  <si>
    <t>Sn (kg)</t>
  </si>
  <si>
    <t>Sr (kg)</t>
  </si>
  <si>
    <t>Ta(kg)</t>
  </si>
  <si>
    <t>Ti (kg)</t>
  </si>
  <si>
    <t>V (kg)</t>
  </si>
  <si>
    <t>Zn (kg)</t>
  </si>
  <si>
    <t>Zr (kg)</t>
  </si>
  <si>
    <t>Toluene (kg)</t>
  </si>
  <si>
    <t>Units</t>
  </si>
  <si>
    <t>Formulas</t>
  </si>
  <si>
    <t>CH4gen</t>
  </si>
  <si>
    <t>CH4oxi</t>
  </si>
  <si>
    <t>NO3</t>
  </si>
  <si>
    <t>N2O</t>
  </si>
  <si>
    <t>N2</t>
  </si>
  <si>
    <t>NH4</t>
  </si>
  <si>
    <t>Wvap</t>
  </si>
  <si>
    <t>O2diss</t>
  </si>
  <si>
    <t>O2gaz</t>
  </si>
  <si>
    <t>O2cons</t>
  </si>
  <si>
    <t>O2out</t>
  </si>
  <si>
    <t>NH3gaz</t>
  </si>
  <si>
    <t>Ambient temperature</t>
  </si>
  <si>
    <t>25°C</t>
  </si>
  <si>
    <t>H2O</t>
  </si>
  <si>
    <t>Water</t>
  </si>
  <si>
    <t>Methane generated in the pile</t>
  </si>
  <si>
    <t xml:space="preserve">Methane oxidized </t>
  </si>
  <si>
    <t>Methane emitted</t>
  </si>
  <si>
    <t>Carbon dioxide emitted</t>
  </si>
  <si>
    <t>Dinitrogen monoxide emitted</t>
  </si>
  <si>
    <t>Ammoniac emitted</t>
  </si>
  <si>
    <t>Ammonium</t>
  </si>
  <si>
    <t>Evaporated water</t>
  </si>
  <si>
    <t>Molecular mass</t>
  </si>
  <si>
    <t>(kg/kgTM)</t>
  </si>
  <si>
    <t>(kg/kgbiowaste)</t>
  </si>
  <si>
    <t>(kg/kgbio_tot)</t>
  </si>
  <si>
    <t>Pretreatement technology</t>
  </si>
  <si>
    <t>mass of P in total waste (biowaste+WC)</t>
  </si>
  <si>
    <t>mass of P per kg of biowaste entering in the active composting</t>
  </si>
  <si>
    <t>mass of P per kg of biowaste entering in the system</t>
  </si>
  <si>
    <t>masse of P-P2O5 substitued (kg/kgbio_tot)</t>
  </si>
  <si>
    <t>P</t>
  </si>
  <si>
    <t>Total with structuring material</t>
  </si>
  <si>
    <t>total without structuring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</si>
</sst>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000"/>
    <numFmt numFmtId="167" formatCode="0.000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1" xfId="0" applyFont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0" fontId="1" fillId="0" borderId="0" xfId="0" applyFont="1" applyFill="1" applyBorder="1"/>
    <xf numFmtId="0" fontId="2" fillId="0" borderId="0" xfId="0" applyFont="1" applyFill="1" applyBorder="1"/>
    <xf numFmtId="167" fontId="1" fillId="0" borderId="1" xfId="0" applyNumberFormat="1" applyFont="1" applyBorder="1" applyAlignment="1">
      <alignment horizontal="center"/>
    </xf>
    <xf numFmtId="167" fontId="5" fillId="0" borderId="1" xfId="0" applyNumberFormat="1" applyFont="1" applyFill="1" applyBorder="1" applyAlignment="1">
      <alignment horizontal="center"/>
    </xf>
    <xf numFmtId="167" fontId="2" fillId="0" borderId="1" xfId="0" applyNumberFormat="1" applyFont="1" applyBorder="1"/>
    <xf numFmtId="167" fontId="2" fillId="0" borderId="1" xfId="0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7" fontId="0" fillId="0" borderId="0" xfId="0" applyNumberFormat="1"/>
    <xf numFmtId="167" fontId="2" fillId="0" borderId="0" xfId="0" applyNumberFormat="1" applyFont="1" applyFill="1" applyBorder="1"/>
    <xf numFmtId="167" fontId="1" fillId="2" borderId="1" xfId="0" applyNumberFormat="1" applyFont="1" applyFill="1" applyBorder="1" applyAlignment="1">
      <alignment horizontal="center"/>
    </xf>
    <xf numFmtId="0" fontId="6" fillId="0" borderId="0" xfId="0" applyFont="1"/>
    <xf numFmtId="167" fontId="1" fillId="0" borderId="2" xfId="0" applyNumberFormat="1" applyFont="1" applyFill="1" applyBorder="1" applyAlignment="1">
      <alignment horizontal="center"/>
    </xf>
    <xf numFmtId="11" fontId="0" fillId="0" borderId="0" xfId="0" applyNumberFormat="1"/>
    <xf numFmtId="0" fontId="2" fillId="0" borderId="3" xfId="0" applyFont="1" applyFill="1" applyBorder="1"/>
    <xf numFmtId="164" fontId="2" fillId="0" borderId="3" xfId="0" applyNumberFormat="1" applyFont="1" applyFill="1" applyBorder="1" applyAlignment="1">
      <alignment horizontal="center"/>
    </xf>
    <xf numFmtId="167" fontId="2" fillId="0" borderId="3" xfId="0" applyNumberFormat="1" applyFont="1" applyFill="1" applyBorder="1"/>
    <xf numFmtId="167" fontId="2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C5443-D5F8-468F-8A89-A9CC6CA5464B}">
  <dimension ref="B2:C4"/>
  <sheetViews>
    <sheetView workbookViewId="0">
      <selection activeCell="J16" sqref="J16"/>
    </sheetView>
  </sheetViews>
  <sheetFormatPr baseColWidth="10" defaultRowHeight="14.5" x14ac:dyDescent="0.35"/>
  <sheetData>
    <row r="2" spans="2:3" x14ac:dyDescent="0.35">
      <c r="B2" t="s">
        <v>376</v>
      </c>
      <c r="C2" t="s">
        <v>377</v>
      </c>
    </row>
    <row r="3" spans="2:3" x14ac:dyDescent="0.35">
      <c r="B3" t="s">
        <v>314</v>
      </c>
      <c r="C3" t="s">
        <v>316</v>
      </c>
    </row>
    <row r="4" spans="2:3" x14ac:dyDescent="0.35">
      <c r="B4" t="s">
        <v>392</v>
      </c>
      <c r="C4">
        <v>1</v>
      </c>
    </row>
  </sheetData>
  <dataValidations count="3">
    <dataValidation type="list" allowBlank="1" showInputMessage="1" showErrorMessage="1" sqref="C2" xr:uid="{B9A125E4-A068-490F-A7C9-D6AC2D611AE6}">
      <formula1>"25°C,5°C"</formula1>
    </dataValidation>
    <dataValidation type="list" allowBlank="1" showInputMessage="1" showErrorMessage="1" sqref="C3" xr:uid="{67E421A9-5640-4F17-BABB-955B03E03E0C}">
      <formula1>"3_1,8_1"</formula1>
    </dataValidation>
    <dataValidation type="list" allowBlank="1" showInputMessage="1" showErrorMessage="1" sqref="C4" xr:uid="{95111504-C1D4-4B6B-AAFA-805F785EB017}">
      <formula1>"0,1,2,3,4"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3F10C-4AB5-4A1F-A346-6667884FAA0F}">
  <sheetPr codeName="Feuil1"/>
  <dimension ref="A1:CE113"/>
  <sheetViews>
    <sheetView workbookViewId="0">
      <pane ySplit="1" topLeftCell="A38" activePane="bottomLeft" state="frozen"/>
      <selection pane="bottomLeft" activeCell="K73" sqref="K73"/>
    </sheetView>
  </sheetViews>
  <sheetFormatPr baseColWidth="10" defaultColWidth="8.7265625" defaultRowHeight="14.5" x14ac:dyDescent="0.35"/>
  <cols>
    <col min="1" max="1" width="13.08984375" bestFit="1" customWidth="1"/>
    <col min="2" max="2" width="29.81640625" bestFit="1" customWidth="1"/>
    <col min="3" max="3" width="10.54296875" hidden="1" customWidth="1"/>
    <col min="4" max="4" width="9.54296875" bestFit="1" customWidth="1"/>
    <col min="5" max="7" width="9" bestFit="1" customWidth="1"/>
    <col min="8" max="8" width="16.1796875" bestFit="1" customWidth="1"/>
    <col min="9" max="9" width="18" bestFit="1" customWidth="1"/>
    <col min="10" max="10" width="10.1796875" bestFit="1" customWidth="1"/>
    <col min="11" max="11" width="13.453125" bestFit="1" customWidth="1"/>
    <col min="12" max="12" width="11.7265625" bestFit="1" customWidth="1"/>
    <col min="13" max="22" width="9" bestFit="1" customWidth="1"/>
    <col min="23" max="58" width="9" hidden="1" customWidth="1"/>
    <col min="59" max="59" width="13.26953125" hidden="1" customWidth="1"/>
    <col min="60" max="60" width="9" hidden="1" customWidth="1"/>
    <col min="61" max="61" width="12.81640625" bestFit="1" customWidth="1"/>
    <col min="62" max="62" width="11.7265625" bestFit="1" customWidth="1"/>
    <col min="63" max="63" width="13.81640625" bestFit="1" customWidth="1"/>
    <col min="64" max="64" width="18.1796875" bestFit="1" customWidth="1"/>
    <col min="65" max="65" width="11.54296875" bestFit="1" customWidth="1"/>
    <col min="66" max="66" width="11.26953125" bestFit="1" customWidth="1"/>
    <col min="67" max="67" width="13.26953125" bestFit="1" customWidth="1"/>
    <col min="68" max="68" width="11.1796875" bestFit="1" customWidth="1"/>
    <col min="69" max="69" width="15.453125" bestFit="1" customWidth="1"/>
    <col min="70" max="70" width="18.81640625" bestFit="1" customWidth="1"/>
    <col min="71" max="71" width="24.81640625" bestFit="1" customWidth="1"/>
    <col min="72" max="72" width="13.26953125" bestFit="1" customWidth="1"/>
    <col min="73" max="73" width="13.54296875" bestFit="1" customWidth="1"/>
    <col min="74" max="74" width="12.81640625" bestFit="1" customWidth="1"/>
    <col min="75" max="75" width="12.7265625" bestFit="1" customWidth="1"/>
    <col min="76" max="76" width="13.26953125" bestFit="1" customWidth="1"/>
    <col min="77" max="77" width="14.26953125" bestFit="1" customWidth="1"/>
    <col min="78" max="78" width="27" bestFit="1" customWidth="1"/>
    <col min="79" max="79" width="9" bestFit="1" customWidth="1"/>
    <col min="80" max="80" width="9.54296875" bestFit="1" customWidth="1"/>
    <col min="82" max="82" width="10.36328125" bestFit="1" customWidth="1"/>
  </cols>
  <sheetData>
    <row r="1" spans="1:83" s="7" customFormat="1" x14ac:dyDescent="0.35">
      <c r="A1" s="3" t="s">
        <v>34</v>
      </c>
      <c r="B1" s="3" t="s">
        <v>35</v>
      </c>
      <c r="C1" s="3" t="s">
        <v>237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  <c r="J1" s="3" t="s">
        <v>42</v>
      </c>
      <c r="K1" s="3" t="s">
        <v>43</v>
      </c>
      <c r="L1" s="3" t="s">
        <v>44</v>
      </c>
      <c r="M1" s="3" t="s">
        <v>45</v>
      </c>
      <c r="N1" s="3" t="s">
        <v>46</v>
      </c>
      <c r="O1" s="3" t="s">
        <v>47</v>
      </c>
      <c r="P1" s="3" t="s">
        <v>48</v>
      </c>
      <c r="Q1" s="3" t="s">
        <v>49</v>
      </c>
      <c r="R1" s="3" t="s">
        <v>50</v>
      </c>
      <c r="S1" s="3" t="s">
        <v>51</v>
      </c>
      <c r="T1" s="3" t="s">
        <v>52</v>
      </c>
      <c r="U1" s="3" t="s">
        <v>53</v>
      </c>
      <c r="V1" s="3" t="s">
        <v>54</v>
      </c>
      <c r="W1" s="3" t="s">
        <v>55</v>
      </c>
      <c r="X1" s="3" t="s">
        <v>56</v>
      </c>
      <c r="Y1" s="3" t="s">
        <v>57</v>
      </c>
      <c r="Z1" s="3" t="s">
        <v>58</v>
      </c>
      <c r="AA1" s="3" t="s">
        <v>59</v>
      </c>
      <c r="AB1" s="3" t="s">
        <v>60</v>
      </c>
      <c r="AC1" s="3" t="s">
        <v>61</v>
      </c>
      <c r="AD1" s="3" t="s">
        <v>62</v>
      </c>
      <c r="AE1" s="3" t="s">
        <v>63</v>
      </c>
      <c r="AF1" s="3" t="s">
        <v>64</v>
      </c>
      <c r="AG1" s="3" t="s">
        <v>65</v>
      </c>
      <c r="AH1" s="3" t="s">
        <v>66</v>
      </c>
      <c r="AI1" s="3" t="s">
        <v>67</v>
      </c>
      <c r="AJ1" s="3" t="s">
        <v>68</v>
      </c>
      <c r="AK1" s="3" t="s">
        <v>69</v>
      </c>
      <c r="AL1" s="3" t="s">
        <v>70</v>
      </c>
      <c r="AM1" s="3" t="s">
        <v>71</v>
      </c>
      <c r="AN1" s="3" t="s">
        <v>72</v>
      </c>
      <c r="AO1" s="3" t="s">
        <v>73</v>
      </c>
      <c r="AP1" s="3" t="s">
        <v>74</v>
      </c>
      <c r="AQ1" s="3" t="s">
        <v>75</v>
      </c>
      <c r="AR1" s="3" t="s">
        <v>76</v>
      </c>
      <c r="AS1" s="3" t="s">
        <v>77</v>
      </c>
      <c r="AT1" s="3" t="s">
        <v>78</v>
      </c>
      <c r="AU1" s="3" t="s">
        <v>79</v>
      </c>
      <c r="AV1" s="3" t="s">
        <v>80</v>
      </c>
      <c r="AW1" s="3" t="s">
        <v>81</v>
      </c>
      <c r="AX1" s="3" t="s">
        <v>82</v>
      </c>
      <c r="AY1" s="3" t="s">
        <v>83</v>
      </c>
      <c r="AZ1" s="3" t="s">
        <v>84</v>
      </c>
      <c r="BA1" s="3" t="s">
        <v>85</v>
      </c>
      <c r="BB1" s="3" t="s">
        <v>86</v>
      </c>
      <c r="BC1" s="3" t="s">
        <v>87</v>
      </c>
      <c r="BD1" s="3" t="s">
        <v>88</v>
      </c>
      <c r="BE1" s="3" t="s">
        <v>89</v>
      </c>
      <c r="BF1" s="3" t="s">
        <v>90</v>
      </c>
      <c r="BG1" s="3" t="s">
        <v>91</v>
      </c>
      <c r="BH1" s="3" t="s">
        <v>92</v>
      </c>
      <c r="BI1" s="3" t="s">
        <v>93</v>
      </c>
      <c r="BJ1" s="3" t="s">
        <v>94</v>
      </c>
      <c r="BK1" s="3" t="s">
        <v>95</v>
      </c>
      <c r="BL1" s="3" t="s">
        <v>96</v>
      </c>
      <c r="BM1" s="3" t="s">
        <v>97</v>
      </c>
      <c r="BN1" s="3" t="s">
        <v>98</v>
      </c>
      <c r="BO1" s="3" t="s">
        <v>99</v>
      </c>
      <c r="BP1" s="3" t="s">
        <v>100</v>
      </c>
      <c r="BQ1" s="3" t="s">
        <v>101</v>
      </c>
      <c r="BR1" s="3" t="s">
        <v>102</v>
      </c>
      <c r="BS1" s="3" t="s">
        <v>103</v>
      </c>
      <c r="BT1" s="3" t="s">
        <v>104</v>
      </c>
      <c r="BU1" s="3" t="s">
        <v>105</v>
      </c>
      <c r="BV1" s="3" t="s">
        <v>106</v>
      </c>
      <c r="BW1" s="3" t="s">
        <v>107</v>
      </c>
      <c r="BX1" s="3" t="s">
        <v>108</v>
      </c>
      <c r="BY1" s="3" t="s">
        <v>109</v>
      </c>
      <c r="BZ1" s="3" t="s">
        <v>110</v>
      </c>
      <c r="CA1" s="3" t="s">
        <v>111</v>
      </c>
      <c r="CB1" s="4" t="s">
        <v>112</v>
      </c>
      <c r="CC1" s="5"/>
      <c r="CD1" s="6"/>
      <c r="CE1" s="6"/>
    </row>
    <row r="2" spans="1:83" x14ac:dyDescent="0.35">
      <c r="A2" s="8" t="s">
        <v>113</v>
      </c>
      <c r="B2" s="8" t="s">
        <v>114</v>
      </c>
      <c r="C2" s="8"/>
      <c r="D2" s="9">
        <v>3.5649999999999999</v>
      </c>
      <c r="E2" s="9">
        <v>96.44</v>
      </c>
      <c r="F2" s="9">
        <v>98.694938267534596</v>
      </c>
      <c r="G2" s="9">
        <v>1.3050617324653921</v>
      </c>
      <c r="H2" s="9">
        <v>20.70736708968014</v>
      </c>
      <c r="I2" s="9">
        <v>558.22694799590352</v>
      </c>
      <c r="J2" s="9">
        <v>50.939981655674906</v>
      </c>
      <c r="K2" s="9">
        <v>50.939981655674906</v>
      </c>
      <c r="L2" s="9">
        <v>0</v>
      </c>
      <c r="M2" s="9">
        <v>9.3482694229751716E-3</v>
      </c>
      <c r="N2" s="9">
        <v>0.3095120373868302</v>
      </c>
      <c r="O2" s="9">
        <v>0</v>
      </c>
      <c r="P2" s="9">
        <v>7.3773427288198388</v>
      </c>
      <c r="Q2" s="9">
        <v>5.1960458147020348E-2</v>
      </c>
      <c r="R2" s="9">
        <v>1.032191831668902</v>
      </c>
      <c r="S2" s="9">
        <v>0.27776539586854471</v>
      </c>
      <c r="T2" s="9">
        <v>39.344664095260008</v>
      </c>
      <c r="U2" s="9">
        <v>2.6625620643841635E-2</v>
      </c>
      <c r="V2" s="9">
        <v>0.20868592977643372</v>
      </c>
      <c r="W2" s="10">
        <v>0</v>
      </c>
      <c r="X2" s="10">
        <v>0</v>
      </c>
      <c r="Y2" s="10">
        <v>0</v>
      </c>
      <c r="Z2" s="10">
        <v>9.2668024439918526E-8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5.1863630266014738E-7</v>
      </c>
      <c r="AH2" s="10">
        <v>0</v>
      </c>
      <c r="AI2" s="10">
        <v>8.4504465635858754E-7</v>
      </c>
      <c r="AJ2" s="10">
        <v>3.3948982155971773E-5</v>
      </c>
      <c r="AK2" s="10">
        <v>4.1709091634016727E-4</v>
      </c>
      <c r="AL2" s="10">
        <v>0</v>
      </c>
      <c r="AM2" s="10">
        <v>2.2403258655804481E-8</v>
      </c>
      <c r="AN2" s="10">
        <v>0</v>
      </c>
      <c r="AO2" s="10">
        <v>0</v>
      </c>
      <c r="AP2" s="10">
        <v>7.5552512223702531E-3</v>
      </c>
      <c r="AQ2" s="10">
        <v>1.4870773905452476E-4</v>
      </c>
      <c r="AR2" s="10">
        <v>0</v>
      </c>
      <c r="AS2" s="10">
        <v>3.3647383434603213E-6</v>
      </c>
      <c r="AT2" s="10">
        <v>7.6374745417515267E-8</v>
      </c>
      <c r="AU2" s="10">
        <v>0</v>
      </c>
      <c r="AV2" s="10">
        <v>0</v>
      </c>
      <c r="AW2" s="10">
        <v>0</v>
      </c>
      <c r="AX2" s="10">
        <v>6.9704862398466229E-7</v>
      </c>
      <c r="AY2" s="10">
        <v>0</v>
      </c>
      <c r="AZ2" s="10">
        <v>0</v>
      </c>
      <c r="BA2" s="10">
        <v>0</v>
      </c>
      <c r="BB2" s="10">
        <v>0</v>
      </c>
      <c r="BC2" s="10">
        <v>0</v>
      </c>
      <c r="BD2" s="10">
        <v>0</v>
      </c>
      <c r="BE2" s="10">
        <v>1.4820016481000134E-4</v>
      </c>
      <c r="BF2" s="10">
        <v>0</v>
      </c>
      <c r="BG2" s="9">
        <v>0</v>
      </c>
      <c r="BH2" s="9">
        <v>0</v>
      </c>
      <c r="BI2" s="9">
        <v>21.786320992525873</v>
      </c>
      <c r="BJ2" s="9">
        <v>30.974586694982474</v>
      </c>
      <c r="BK2" s="9">
        <v>2.3421588594704685E-2</v>
      </c>
      <c r="BL2" s="9">
        <v>0</v>
      </c>
      <c r="BM2" s="9">
        <v>0</v>
      </c>
      <c r="BN2" s="9">
        <v>0</v>
      </c>
      <c r="BO2" s="9">
        <v>5.8769672425914781</v>
      </c>
      <c r="BP2" s="9">
        <v>22.821560462825236</v>
      </c>
      <c r="BQ2" s="9">
        <v>0</v>
      </c>
      <c r="BR2" s="9">
        <v>69.986137610634998</v>
      </c>
      <c r="BS2" s="9">
        <v>20.761268235800305</v>
      </c>
      <c r="BT2" s="9">
        <v>1.6842894285206502</v>
      </c>
      <c r="BU2" s="9">
        <v>0.65699032366239918</v>
      </c>
      <c r="BV2" s="9">
        <v>1.3474234283559927</v>
      </c>
      <c r="BW2" s="9">
        <v>0.78243837633048074</v>
      </c>
      <c r="BX2" s="9">
        <v>0.52431827900145411</v>
      </c>
      <c r="BY2" s="9">
        <v>25.097917427567907</v>
      </c>
      <c r="BZ2" s="9">
        <v>21.015834387354527</v>
      </c>
      <c r="CA2" s="9">
        <v>0</v>
      </c>
      <c r="CB2" s="11">
        <v>13.900910878664508</v>
      </c>
      <c r="CC2" s="12"/>
      <c r="CD2" s="12"/>
      <c r="CE2" s="12"/>
    </row>
    <row r="3" spans="1:83" x14ac:dyDescent="0.35">
      <c r="A3" s="8" t="s">
        <v>113</v>
      </c>
      <c r="B3" s="8" t="s">
        <v>115</v>
      </c>
      <c r="C3" s="8"/>
      <c r="D3" s="9">
        <v>20.2</v>
      </c>
      <c r="E3" s="9">
        <v>79.8</v>
      </c>
      <c r="F3" s="9">
        <v>98.830712299132557</v>
      </c>
      <c r="G3" s="9">
        <v>1.1692877008674345</v>
      </c>
      <c r="H3" s="9">
        <v>20.496506679221739</v>
      </c>
      <c r="I3" s="9">
        <v>557.00194395160145</v>
      </c>
      <c r="J3" s="9">
        <v>50.344227901626567</v>
      </c>
      <c r="K3" s="9">
        <v>50.321489710094667</v>
      </c>
      <c r="L3" s="9">
        <v>0</v>
      </c>
      <c r="M3" s="9">
        <v>2.6744161387450387E-2</v>
      </c>
      <c r="N3" s="9">
        <v>7.8472887451122034E-2</v>
      </c>
      <c r="O3" s="9">
        <v>0</v>
      </c>
      <c r="P3" s="9">
        <v>7.4438744010545923</v>
      </c>
      <c r="Q3" s="9">
        <v>0.15348666242239459</v>
      </c>
      <c r="R3" s="9">
        <v>0.97386995304556345</v>
      </c>
      <c r="S3" s="9">
        <v>0.28487271892803306</v>
      </c>
      <c r="T3" s="9">
        <v>40.045503703862678</v>
      </c>
      <c r="U3" s="9">
        <v>3.5541544308170664E-2</v>
      </c>
      <c r="V3" s="9">
        <v>0.20144450022304369</v>
      </c>
      <c r="W3" s="10">
        <v>0</v>
      </c>
      <c r="X3" s="10">
        <v>0</v>
      </c>
      <c r="Y3" s="10">
        <v>0</v>
      </c>
      <c r="Z3" s="10">
        <v>3.2467532467532465E-7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3.1348639268832737E-7</v>
      </c>
      <c r="AH3" s="10">
        <v>1.6233766233766232E-7</v>
      </c>
      <c r="AI3" s="10">
        <v>2.4776613954364861E-6</v>
      </c>
      <c r="AJ3" s="10">
        <v>3.7047142700105211E-5</v>
      </c>
      <c r="AK3" s="10">
        <v>1.106757471270264E-3</v>
      </c>
      <c r="AL3" s="10">
        <v>0</v>
      </c>
      <c r="AM3" s="10">
        <v>3.2467532467532468E-8</v>
      </c>
      <c r="AN3" s="10">
        <v>0</v>
      </c>
      <c r="AO3" s="10">
        <v>0</v>
      </c>
      <c r="AP3" s="10">
        <v>5.7887983976254833E-3</v>
      </c>
      <c r="AQ3" s="10">
        <v>6.9190785031171965E-5</v>
      </c>
      <c r="AR3" s="10">
        <v>1.6233766233766235E-6</v>
      </c>
      <c r="AS3" s="10">
        <v>5.2116867413118924E-6</v>
      </c>
      <c r="AT3" s="10">
        <v>1.1363636363636362E-6</v>
      </c>
      <c r="AU3" s="10">
        <v>0</v>
      </c>
      <c r="AV3" s="10">
        <v>0</v>
      </c>
      <c r="AW3" s="10">
        <v>0</v>
      </c>
      <c r="AX3" s="10">
        <v>8.9904050000785183E-7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1.7183451373294176E-4</v>
      </c>
      <c r="BF3" s="10">
        <v>0</v>
      </c>
      <c r="BG3" s="9">
        <v>0</v>
      </c>
      <c r="BH3" s="9">
        <v>0</v>
      </c>
      <c r="BI3" s="9">
        <v>9.443242670268063</v>
      </c>
      <c r="BJ3" s="9">
        <v>5.1971607594340359</v>
      </c>
      <c r="BK3" s="9">
        <v>1.6233766233766232E-2</v>
      </c>
      <c r="BL3" s="9">
        <v>0</v>
      </c>
      <c r="BM3" s="9">
        <v>0</v>
      </c>
      <c r="BN3" s="9">
        <v>3.2467532467532464E-2</v>
      </c>
      <c r="BO3" s="9">
        <v>5.6730356966535247</v>
      </c>
      <c r="BP3" s="9">
        <v>22.67377705299424</v>
      </c>
      <c r="BQ3" s="9">
        <v>0</v>
      </c>
      <c r="BR3" s="9">
        <v>70.467665783251036</v>
      </c>
      <c r="BS3" s="9">
        <v>20.739432435737857</v>
      </c>
      <c r="BT3" s="9">
        <v>1.682101702310058</v>
      </c>
      <c r="BU3" s="9">
        <v>0.39084313509948343</v>
      </c>
      <c r="BV3" s="9">
        <v>1.3182642629438277</v>
      </c>
      <c r="BW3" s="9">
        <v>0.43693957191538807</v>
      </c>
      <c r="BX3" s="9">
        <v>0.98645746635468534</v>
      </c>
      <c r="BY3" s="9">
        <v>12.569096562446017</v>
      </c>
      <c r="BZ3" s="9">
        <v>21.204440130018963</v>
      </c>
      <c r="CA3" s="9">
        <v>0</v>
      </c>
      <c r="CB3" s="11">
        <v>52.662290384768028</v>
      </c>
      <c r="CC3" s="12"/>
      <c r="CD3" s="12"/>
      <c r="CE3" s="12"/>
    </row>
    <row r="4" spans="1:83" x14ac:dyDescent="0.35">
      <c r="A4" s="8" t="s">
        <v>113</v>
      </c>
      <c r="B4" s="8" t="s">
        <v>116</v>
      </c>
      <c r="C4" s="8"/>
      <c r="D4" s="9">
        <v>28.733333333333334</v>
      </c>
      <c r="E4" s="9">
        <v>71.266666666666666</v>
      </c>
      <c r="F4" s="9">
        <v>98.912822611689649</v>
      </c>
      <c r="G4" s="9">
        <v>1.0871773883103697</v>
      </c>
      <c r="H4" s="9">
        <v>16.627433191921021</v>
      </c>
      <c r="I4" s="9">
        <v>439.60033976579871</v>
      </c>
      <c r="J4" s="9">
        <v>44.503932012292644</v>
      </c>
      <c r="K4" s="9">
        <v>44.468974146202321</v>
      </c>
      <c r="L4" s="9">
        <v>0</v>
      </c>
      <c r="M4" s="9">
        <v>3.3154322143134636E-2</v>
      </c>
      <c r="N4" s="9">
        <v>0</v>
      </c>
      <c r="O4" s="9">
        <v>0</v>
      </c>
      <c r="P4" s="9">
        <v>6.442320647334868</v>
      </c>
      <c r="Q4" s="9">
        <v>0.33902514077919776</v>
      </c>
      <c r="R4" s="9">
        <v>2.5375872227371641</v>
      </c>
      <c r="S4" s="9">
        <v>4.6191977462024525E-3</v>
      </c>
      <c r="T4" s="9">
        <v>45.425526088696586</v>
      </c>
      <c r="U4" s="9">
        <v>0.23866954123963477</v>
      </c>
      <c r="V4" s="9">
        <v>0.5133648387390477</v>
      </c>
      <c r="W4" s="10">
        <v>0</v>
      </c>
      <c r="X4" s="10">
        <v>0</v>
      </c>
      <c r="Y4" s="10">
        <v>0</v>
      </c>
      <c r="Z4" s="10">
        <v>6.6887173833149559E-7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1.9863512967486362E-6</v>
      </c>
      <c r="AH4" s="10">
        <v>0</v>
      </c>
      <c r="AI4" s="10">
        <v>3.5663108429053294E-6</v>
      </c>
      <c r="AJ4" s="10">
        <v>3.4545909738304168E-4</v>
      </c>
      <c r="AK4" s="10">
        <v>2.7096957219594196E-3</v>
      </c>
      <c r="AL4" s="10">
        <v>0</v>
      </c>
      <c r="AM4" s="10">
        <v>1.6170525542080115E-7</v>
      </c>
      <c r="AN4" s="10">
        <v>0</v>
      </c>
      <c r="AO4" s="10">
        <v>0</v>
      </c>
      <c r="AP4" s="10">
        <v>4.7375973064886057E-2</v>
      </c>
      <c r="AQ4" s="10">
        <v>6.0555806164910408E-4</v>
      </c>
      <c r="AR4" s="10">
        <v>1.4523946717282988E-5</v>
      </c>
      <c r="AS4" s="10">
        <v>4.8587921648890059E-6</v>
      </c>
      <c r="AT4" s="10">
        <v>1.3247485791907022E-6</v>
      </c>
      <c r="AU4" s="10">
        <v>0</v>
      </c>
      <c r="AV4" s="10">
        <v>0</v>
      </c>
      <c r="AW4" s="10">
        <v>0</v>
      </c>
      <c r="AX4" s="10">
        <v>4.3434704869273536E-6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1.4363094252008808E-3</v>
      </c>
      <c r="BF4" s="10">
        <v>0</v>
      </c>
      <c r="BG4" s="9">
        <v>0</v>
      </c>
      <c r="BH4" s="9">
        <v>0</v>
      </c>
      <c r="BI4" s="9">
        <v>0</v>
      </c>
      <c r="BJ4" s="9">
        <v>54.724265328949599</v>
      </c>
      <c r="BK4" s="9">
        <v>0</v>
      </c>
      <c r="BL4" s="9">
        <v>0</v>
      </c>
      <c r="BM4" s="9">
        <v>0</v>
      </c>
      <c r="BN4" s="9">
        <v>4.9915827768927452E-2</v>
      </c>
      <c r="BO4" s="9">
        <v>14.45726764616952</v>
      </c>
      <c r="BP4" s="9">
        <v>2.1377660184253249</v>
      </c>
      <c r="BQ4" s="9">
        <v>0</v>
      </c>
      <c r="BR4" s="9">
        <v>82.317788947094769</v>
      </c>
      <c r="BS4" s="9">
        <v>18.000148747364999</v>
      </c>
      <c r="BT4" s="9">
        <v>1.411171409133809</v>
      </c>
      <c r="BU4" s="9">
        <v>0</v>
      </c>
      <c r="BV4" s="9">
        <v>0</v>
      </c>
      <c r="BW4" s="9">
        <v>0</v>
      </c>
      <c r="BX4" s="9">
        <v>0</v>
      </c>
      <c r="BY4" s="9">
        <v>0</v>
      </c>
      <c r="BZ4" s="9">
        <v>16.635650429933417</v>
      </c>
      <c r="CA4" s="9">
        <v>0</v>
      </c>
      <c r="CB4" s="11">
        <v>27.543607790376271</v>
      </c>
      <c r="CC4" s="12"/>
      <c r="CD4" s="12"/>
      <c r="CE4" s="12"/>
    </row>
    <row r="5" spans="1:83" x14ac:dyDescent="0.35">
      <c r="A5" s="8" t="s">
        <v>113</v>
      </c>
      <c r="B5" s="8" t="s">
        <v>117</v>
      </c>
      <c r="C5" s="8"/>
      <c r="D5" s="9">
        <v>10.642857142857142</v>
      </c>
      <c r="E5" s="9">
        <v>89.357142857142861</v>
      </c>
      <c r="F5" s="9">
        <v>97.837283682838248</v>
      </c>
      <c r="G5" s="9">
        <v>2.1627163171617485</v>
      </c>
      <c r="H5" s="9">
        <v>16.561772537662883</v>
      </c>
      <c r="I5" s="9">
        <v>451.67256662757444</v>
      </c>
      <c r="J5" s="9">
        <v>43.970329049555858</v>
      </c>
      <c r="K5" s="9">
        <v>43.852376849455027</v>
      </c>
      <c r="L5" s="9">
        <v>0</v>
      </c>
      <c r="M5" s="9">
        <v>3.5115715154495637E-2</v>
      </c>
      <c r="N5" s="9">
        <v>0</v>
      </c>
      <c r="O5" s="9">
        <v>0</v>
      </c>
      <c r="P5" s="9">
        <v>6.518780005956712</v>
      </c>
      <c r="Q5" s="9">
        <v>0.33303300148718451</v>
      </c>
      <c r="R5" s="9">
        <v>1.3621364405997656</v>
      </c>
      <c r="S5" s="9">
        <v>2.0752432907077283E-3</v>
      </c>
      <c r="T5" s="9">
        <v>45.913159821041475</v>
      </c>
      <c r="U5" s="9">
        <v>0.42288797975580056</v>
      </c>
      <c r="V5" s="9">
        <v>0.28991476898022317</v>
      </c>
      <c r="W5" s="10">
        <v>0</v>
      </c>
      <c r="X5" s="10">
        <v>0</v>
      </c>
      <c r="Y5" s="10">
        <v>0</v>
      </c>
      <c r="Z5" s="10">
        <v>8.3391251556045564E-6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1.2352887435603546E-6</v>
      </c>
      <c r="AH5" s="10">
        <v>0</v>
      </c>
      <c r="AI5" s="10">
        <v>6.734907483971154E-7</v>
      </c>
      <c r="AJ5" s="10">
        <v>1.2506020584487521E-4</v>
      </c>
      <c r="AK5" s="10">
        <v>3.5841635770068581E-3</v>
      </c>
      <c r="AL5" s="10">
        <v>0</v>
      </c>
      <c r="AM5" s="10">
        <v>1.4276706786070081E-7</v>
      </c>
      <c r="AN5" s="10">
        <v>0</v>
      </c>
      <c r="AO5" s="10">
        <v>0</v>
      </c>
      <c r="AP5" s="10">
        <v>3.6074870466298224E-2</v>
      </c>
      <c r="AQ5" s="10">
        <v>1.2506555379533664E-3</v>
      </c>
      <c r="AR5" s="10">
        <v>1.283028249320384E-5</v>
      </c>
      <c r="AS5" s="10">
        <v>1.5780963548636246E-5</v>
      </c>
      <c r="AT5" s="10">
        <v>6.5686407543279279E-7</v>
      </c>
      <c r="AU5" s="10">
        <v>0</v>
      </c>
      <c r="AV5" s="10">
        <v>0</v>
      </c>
      <c r="AW5" s="10">
        <v>0</v>
      </c>
      <c r="AX5" s="10">
        <v>1.9556735449145723E-6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1.0742350942381173E-3</v>
      </c>
      <c r="BF5" s="10">
        <v>0</v>
      </c>
      <c r="BG5" s="9">
        <v>0</v>
      </c>
      <c r="BH5" s="9">
        <v>0</v>
      </c>
      <c r="BI5" s="9">
        <v>0</v>
      </c>
      <c r="BJ5" s="9">
        <v>23.583093283467822</v>
      </c>
      <c r="BK5" s="9">
        <v>0.27428376866579118</v>
      </c>
      <c r="BL5" s="9">
        <v>0</v>
      </c>
      <c r="BM5" s="9">
        <v>0</v>
      </c>
      <c r="BN5" s="9">
        <v>0.16842222834732198</v>
      </c>
      <c r="BO5" s="9">
        <v>8.1645159415661528</v>
      </c>
      <c r="BP5" s="9">
        <v>4.7013366514143087</v>
      </c>
      <c r="BQ5" s="9">
        <v>0</v>
      </c>
      <c r="BR5" s="9">
        <v>85.003294859740734</v>
      </c>
      <c r="BS5" s="9">
        <v>17.79058369825308</v>
      </c>
      <c r="BT5" s="9">
        <v>1.3903426214741381</v>
      </c>
      <c r="BU5" s="9">
        <v>0</v>
      </c>
      <c r="BV5" s="9">
        <v>0</v>
      </c>
      <c r="BW5" s="9">
        <v>0</v>
      </c>
      <c r="BX5" s="9">
        <v>0</v>
      </c>
      <c r="BY5" s="9">
        <v>0</v>
      </c>
      <c r="BZ5" s="9">
        <v>17.159496569534323</v>
      </c>
      <c r="CA5" s="9">
        <v>0</v>
      </c>
      <c r="CB5" s="11">
        <v>60.94563180937687</v>
      </c>
      <c r="CC5" s="12"/>
      <c r="CD5" s="12"/>
      <c r="CE5" s="12"/>
    </row>
    <row r="6" spans="1:83" x14ac:dyDescent="0.35">
      <c r="A6" s="8" t="s">
        <v>113</v>
      </c>
      <c r="B6" s="8" t="s">
        <v>118</v>
      </c>
      <c r="C6" s="8"/>
      <c r="D6" s="9">
        <v>8.7888888888888896</v>
      </c>
      <c r="E6" s="9">
        <v>91.211111111111109</v>
      </c>
      <c r="F6" s="9">
        <v>98.452373993330554</v>
      </c>
      <c r="G6" s="9">
        <v>1.5476260066694412</v>
      </c>
      <c r="H6" s="9">
        <v>19.2058264142469</v>
      </c>
      <c r="I6" s="9">
        <v>513.99809525018293</v>
      </c>
      <c r="J6" s="9">
        <v>48.446610384393487</v>
      </c>
      <c r="K6" s="9">
        <v>48.316321209428857</v>
      </c>
      <c r="L6" s="9">
        <v>0</v>
      </c>
      <c r="M6" s="9">
        <v>2.5281767012530064E-2</v>
      </c>
      <c r="N6" s="9">
        <v>0</v>
      </c>
      <c r="O6" s="9">
        <v>0</v>
      </c>
      <c r="P6" s="9">
        <v>7.0319364988850133</v>
      </c>
      <c r="Q6" s="9">
        <v>0.34678987542418505</v>
      </c>
      <c r="R6" s="9">
        <v>2.0961754231190666</v>
      </c>
      <c r="S6" s="9">
        <v>8.097001197180892E-2</v>
      </c>
      <c r="T6" s="9">
        <v>40.850813015719787</v>
      </c>
      <c r="U6" s="9">
        <v>0.2833108905775848</v>
      </c>
      <c r="V6" s="9">
        <v>0.42891065514079679</v>
      </c>
      <c r="W6" s="10">
        <v>0</v>
      </c>
      <c r="X6" s="10">
        <v>0</v>
      </c>
      <c r="Y6" s="10">
        <v>0</v>
      </c>
      <c r="Z6" s="10">
        <v>1.4731401806040518E-6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4.750001117975765E-6</v>
      </c>
      <c r="AH6" s="10">
        <v>4.9273038521776101E-7</v>
      </c>
      <c r="AI6" s="10">
        <v>8.9534338014496805E-7</v>
      </c>
      <c r="AJ6" s="10">
        <v>2.8574866931810913E-4</v>
      </c>
      <c r="AK6" s="10">
        <v>2.1944275115182797E-3</v>
      </c>
      <c r="AL6" s="10">
        <v>0</v>
      </c>
      <c r="AM6" s="10">
        <v>1.6107903456688871E-7</v>
      </c>
      <c r="AN6" s="10">
        <v>0</v>
      </c>
      <c r="AO6" s="10">
        <v>0</v>
      </c>
      <c r="AP6" s="10">
        <v>8.4927596920605128E-2</v>
      </c>
      <c r="AQ6" s="10">
        <v>3.5022977375752632E-3</v>
      </c>
      <c r="AR6" s="10">
        <v>1.2286975552822217E-5</v>
      </c>
      <c r="AS6" s="10">
        <v>2.2185232256509203E-5</v>
      </c>
      <c r="AT6" s="10">
        <v>1.5234091734247203E-6</v>
      </c>
      <c r="AU6" s="10">
        <v>0</v>
      </c>
      <c r="AV6" s="10">
        <v>0</v>
      </c>
      <c r="AW6" s="10">
        <v>0</v>
      </c>
      <c r="AX6" s="10">
        <v>1.6339976681703728E-6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3.6050703874110157E-3</v>
      </c>
      <c r="BF6" s="10">
        <v>0</v>
      </c>
      <c r="BG6" s="9">
        <v>0</v>
      </c>
      <c r="BH6" s="9">
        <v>0</v>
      </c>
      <c r="BI6" s="9">
        <v>0.26455857693197066</v>
      </c>
      <c r="BJ6" s="9">
        <v>34.328418916917762</v>
      </c>
      <c r="BK6" s="9">
        <v>0.85390643677127642</v>
      </c>
      <c r="BL6" s="9">
        <v>0</v>
      </c>
      <c r="BM6" s="9">
        <v>0</v>
      </c>
      <c r="BN6" s="9">
        <v>0.1860380150460893</v>
      </c>
      <c r="BO6" s="9">
        <v>12.078887507947204</v>
      </c>
      <c r="BP6" s="9">
        <v>14.891207360463101</v>
      </c>
      <c r="BQ6" s="9">
        <v>0</v>
      </c>
      <c r="BR6" s="9">
        <v>71.46987833126947</v>
      </c>
      <c r="BS6" s="9">
        <v>19.789689023585765</v>
      </c>
      <c r="BT6" s="9">
        <v>1.58803885645458</v>
      </c>
      <c r="BU6" s="9">
        <v>0</v>
      </c>
      <c r="BV6" s="9">
        <v>0</v>
      </c>
      <c r="BW6" s="9">
        <v>0</v>
      </c>
      <c r="BX6" s="9">
        <v>0</v>
      </c>
      <c r="BY6" s="9">
        <v>2.1342739514704969</v>
      </c>
      <c r="BZ6" s="9">
        <v>19.095712029395678</v>
      </c>
      <c r="CA6" s="9">
        <v>0</v>
      </c>
      <c r="CB6" s="11">
        <v>35.849357179253154</v>
      </c>
      <c r="CC6" s="12"/>
      <c r="CD6" s="12"/>
      <c r="CE6" s="12"/>
    </row>
    <row r="7" spans="1:83" x14ac:dyDescent="0.35">
      <c r="A7" s="8" t="s">
        <v>113</v>
      </c>
      <c r="B7" s="8" t="s">
        <v>119</v>
      </c>
      <c r="C7" s="8"/>
      <c r="D7" s="9">
        <v>49.945454545454545</v>
      </c>
      <c r="E7" s="9">
        <v>50.054545454545455</v>
      </c>
      <c r="F7" s="9">
        <v>95.690520457986167</v>
      </c>
      <c r="G7" s="9">
        <v>4.3094795420138441</v>
      </c>
      <c r="H7" s="9">
        <v>19.347023266837258</v>
      </c>
      <c r="I7" s="9">
        <v>539.46658293396172</v>
      </c>
      <c r="J7" s="9">
        <v>47.667609874252065</v>
      </c>
      <c r="K7" s="9">
        <v>47.667609874252065</v>
      </c>
      <c r="L7" s="9">
        <v>0</v>
      </c>
      <c r="M7" s="9">
        <v>0.33650323822423894</v>
      </c>
      <c r="N7" s="9">
        <v>1.6652305483741814</v>
      </c>
      <c r="O7" s="9">
        <v>0</v>
      </c>
      <c r="P7" s="9">
        <v>7.1201827719839317</v>
      </c>
      <c r="Q7" s="9">
        <v>0.38378206845772361</v>
      </c>
      <c r="R7" s="9">
        <v>3.3944884500797285</v>
      </c>
      <c r="S7" s="9">
        <v>1.0079474551418557</v>
      </c>
      <c r="T7" s="9">
        <v>37.170544861993896</v>
      </c>
      <c r="U7" s="9">
        <v>0.16864015099806251</v>
      </c>
      <c r="V7" s="9">
        <v>0.75400961225777152</v>
      </c>
      <c r="W7" s="10">
        <v>0</v>
      </c>
      <c r="X7" s="10">
        <v>0</v>
      </c>
      <c r="Y7" s="10">
        <v>0</v>
      </c>
      <c r="Z7" s="10">
        <v>5.7461406518010298E-7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1.1835390967884565E-6</v>
      </c>
      <c r="AH7" s="10">
        <v>0</v>
      </c>
      <c r="AI7" s="10">
        <v>0</v>
      </c>
      <c r="AJ7" s="10">
        <v>1.786914294622323E-4</v>
      </c>
      <c r="AK7" s="10">
        <v>2.624566886425388E-3</v>
      </c>
      <c r="AL7" s="10">
        <v>0</v>
      </c>
      <c r="AM7" s="10">
        <v>0</v>
      </c>
      <c r="AN7" s="10">
        <v>0</v>
      </c>
      <c r="AO7" s="10">
        <v>0</v>
      </c>
      <c r="AP7" s="10">
        <v>4.2894879756085295E-2</v>
      </c>
      <c r="AQ7" s="10">
        <v>2.9724404371886208E-4</v>
      </c>
      <c r="AR7" s="10">
        <v>0</v>
      </c>
      <c r="AS7" s="10">
        <v>1.9151814475304112E-5</v>
      </c>
      <c r="AT7" s="10">
        <v>5.4873176305646607E-6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1.1512607577851349E-4</v>
      </c>
      <c r="BA7" s="10">
        <v>0</v>
      </c>
      <c r="BB7" s="10">
        <v>0</v>
      </c>
      <c r="BC7" s="10">
        <v>0</v>
      </c>
      <c r="BD7" s="10">
        <v>0</v>
      </c>
      <c r="BE7" s="10">
        <v>2.5763090480195841E-3</v>
      </c>
      <c r="BF7" s="10">
        <v>0</v>
      </c>
      <c r="BG7" s="9">
        <v>0</v>
      </c>
      <c r="BH7" s="9">
        <v>0</v>
      </c>
      <c r="BI7" s="9">
        <v>0</v>
      </c>
      <c r="BJ7" s="9">
        <v>0</v>
      </c>
      <c r="BK7" s="9">
        <v>0</v>
      </c>
      <c r="BL7" s="9">
        <v>0</v>
      </c>
      <c r="BM7" s="9">
        <v>0</v>
      </c>
      <c r="BN7" s="9">
        <v>0</v>
      </c>
      <c r="BO7" s="9">
        <v>21.234252815152836</v>
      </c>
      <c r="BP7" s="9">
        <v>17.003305774879038</v>
      </c>
      <c r="BQ7" s="9">
        <v>0</v>
      </c>
      <c r="BR7" s="9">
        <v>57.53267880165361</v>
      </c>
      <c r="BS7" s="9">
        <v>20.293003611913171</v>
      </c>
      <c r="BT7" s="9">
        <v>1.6379780572182121</v>
      </c>
      <c r="BU7" s="9">
        <v>0</v>
      </c>
      <c r="BV7" s="9">
        <v>0</v>
      </c>
      <c r="BW7" s="9">
        <v>0</v>
      </c>
      <c r="BX7" s="9">
        <v>0</v>
      </c>
      <c r="BY7" s="9">
        <v>0</v>
      </c>
      <c r="BZ7" s="9">
        <v>19.279271838967023</v>
      </c>
      <c r="CA7" s="9">
        <v>0</v>
      </c>
      <c r="CB7" s="11">
        <v>57.452961867954286</v>
      </c>
      <c r="CC7" s="12"/>
      <c r="CD7" s="12"/>
      <c r="CE7" s="12"/>
    </row>
    <row r="8" spans="1:83" x14ac:dyDescent="0.35">
      <c r="A8" s="8" t="s">
        <v>113</v>
      </c>
      <c r="B8" s="8" t="s">
        <v>120</v>
      </c>
      <c r="C8" s="8"/>
      <c r="D8" s="9">
        <v>54.807142857142864</v>
      </c>
      <c r="E8" s="9">
        <v>45.214285714285715</v>
      </c>
      <c r="F8" s="9">
        <v>95.955611151413748</v>
      </c>
      <c r="G8" s="9">
        <v>4.0443888485862711</v>
      </c>
      <c r="H8" s="9">
        <v>20.474824810998559</v>
      </c>
      <c r="I8" s="9">
        <v>569.08710458364942</v>
      </c>
      <c r="J8" s="9">
        <v>49.544284506962207</v>
      </c>
      <c r="K8" s="9">
        <v>49.544284506962207</v>
      </c>
      <c r="L8" s="9">
        <v>0</v>
      </c>
      <c r="M8" s="9">
        <v>9.4605715475363922E-2</v>
      </c>
      <c r="N8" s="9">
        <v>1.599298853708202</v>
      </c>
      <c r="O8" s="9">
        <v>0</v>
      </c>
      <c r="P8" s="9">
        <v>7.359527914325847</v>
      </c>
      <c r="Q8" s="9">
        <v>0.4394226291479511</v>
      </c>
      <c r="R8" s="9">
        <v>3.4280751253242721</v>
      </c>
      <c r="S8" s="9">
        <v>1.0497922947116964</v>
      </c>
      <c r="T8" s="9">
        <v>35.279745355239733</v>
      </c>
      <c r="U8" s="9">
        <v>0.24094318843167975</v>
      </c>
      <c r="V8" s="9">
        <v>0.76206459889623357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1.8661007664213237E-4</v>
      </c>
      <c r="AK8" s="10">
        <v>1.796172056146738E-3</v>
      </c>
      <c r="AL8" s="10">
        <v>0</v>
      </c>
      <c r="AM8" s="10">
        <v>0</v>
      </c>
      <c r="AN8" s="10">
        <v>0</v>
      </c>
      <c r="AO8" s="10">
        <v>0</v>
      </c>
      <c r="AP8" s="10">
        <v>4.2365234827295171E-2</v>
      </c>
      <c r="AQ8" s="10">
        <v>5.5569660498581248E-4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2.5041090197761508E-3</v>
      </c>
      <c r="BF8" s="10">
        <v>0</v>
      </c>
      <c r="BG8" s="9">
        <v>0</v>
      </c>
      <c r="BH8" s="9">
        <v>0</v>
      </c>
      <c r="BI8" s="9">
        <v>0</v>
      </c>
      <c r="BJ8" s="9">
        <v>0</v>
      </c>
      <c r="BK8" s="9">
        <v>0</v>
      </c>
      <c r="BL8" s="9">
        <v>0</v>
      </c>
      <c r="BM8" s="9">
        <v>0</v>
      </c>
      <c r="BN8" s="9">
        <v>0</v>
      </c>
      <c r="BO8" s="9">
        <v>21.461095576734635</v>
      </c>
      <c r="BP8" s="9">
        <v>21.778964408075943</v>
      </c>
      <c r="BQ8" s="9">
        <v>0</v>
      </c>
      <c r="BR8" s="9">
        <v>52.711006773373121</v>
      </c>
      <c r="BS8" s="9">
        <v>21.12445062400916</v>
      </c>
      <c r="BT8" s="9">
        <v>1.7202081667145059</v>
      </c>
      <c r="BU8" s="9">
        <v>0</v>
      </c>
      <c r="BV8" s="9">
        <v>0</v>
      </c>
      <c r="BW8" s="9">
        <v>0</v>
      </c>
      <c r="BX8" s="9">
        <v>0</v>
      </c>
      <c r="BY8" s="9">
        <v>0</v>
      </c>
      <c r="BZ8" s="9">
        <v>20.315077775235579</v>
      </c>
      <c r="CA8" s="9">
        <v>0</v>
      </c>
      <c r="CB8" s="11">
        <v>52.715551166603156</v>
      </c>
      <c r="CC8" s="12"/>
      <c r="CD8" s="12"/>
      <c r="CE8" s="12"/>
    </row>
    <row r="9" spans="1:83" x14ac:dyDescent="0.35">
      <c r="A9" s="8" t="s">
        <v>113</v>
      </c>
      <c r="B9" s="8" t="s">
        <v>121</v>
      </c>
      <c r="C9" s="8"/>
      <c r="D9" s="9">
        <v>58.366666666666667</v>
      </c>
      <c r="E9" s="9">
        <v>41.633333333333326</v>
      </c>
      <c r="F9" s="9">
        <v>91.350920223742065</v>
      </c>
      <c r="G9" s="9">
        <v>8.6490797762579454</v>
      </c>
      <c r="H9" s="9">
        <v>25.77184229790425</v>
      </c>
      <c r="I9" s="9">
        <v>743.09677815443729</v>
      </c>
      <c r="J9" s="9">
        <v>57.147639038488009</v>
      </c>
      <c r="K9" s="9">
        <v>57.147639038488009</v>
      </c>
      <c r="L9" s="9">
        <v>0</v>
      </c>
      <c r="M9" s="9">
        <v>3.7887323880203563E-2</v>
      </c>
      <c r="N9" s="9">
        <v>2.7017804417282059</v>
      </c>
      <c r="O9" s="9">
        <v>0</v>
      </c>
      <c r="P9" s="9">
        <v>8.2849967159131381</v>
      </c>
      <c r="Q9" s="9">
        <v>0.59134707314240698</v>
      </c>
      <c r="R9" s="9">
        <v>6.0061370270227696</v>
      </c>
      <c r="S9" s="9">
        <v>3.1353013820033664</v>
      </c>
      <c r="T9" s="9">
        <v>19.326851081313553</v>
      </c>
      <c r="U9" s="9">
        <v>0.46758787683042363</v>
      </c>
      <c r="V9" s="9">
        <v>1.331661443192113</v>
      </c>
      <c r="W9" s="10">
        <v>0</v>
      </c>
      <c r="X9" s="10">
        <v>0</v>
      </c>
      <c r="Y9" s="10">
        <v>0</v>
      </c>
      <c r="Z9" s="10">
        <v>1.2911784179388394E-6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1.7312227935384902E-6</v>
      </c>
      <c r="AH9" s="10">
        <v>0</v>
      </c>
      <c r="AI9" s="10">
        <v>1.6161598093847513E-5</v>
      </c>
      <c r="AJ9" s="10">
        <v>2.7628314209186122E-4</v>
      </c>
      <c r="AK9" s="10">
        <v>4.5496976685827101E-3</v>
      </c>
      <c r="AL9" s="10">
        <v>0</v>
      </c>
      <c r="AM9" s="10">
        <v>2.2003784366246872E-7</v>
      </c>
      <c r="AN9" s="10">
        <v>0</v>
      </c>
      <c r="AO9" s="10">
        <v>0</v>
      </c>
      <c r="AP9" s="10">
        <v>4.043927930657832E-2</v>
      </c>
      <c r="AQ9" s="10">
        <v>5.1176911996971843E-4</v>
      </c>
      <c r="AR9" s="10">
        <v>3.4882669851317739E-6</v>
      </c>
      <c r="AS9" s="10">
        <v>1.2310401102448743E-5</v>
      </c>
      <c r="AT9" s="10">
        <v>4.8489018535797112E-6</v>
      </c>
      <c r="AU9" s="10">
        <v>0</v>
      </c>
      <c r="AV9" s="10">
        <v>0</v>
      </c>
      <c r="AW9" s="10">
        <v>0</v>
      </c>
      <c r="AX9" s="10">
        <v>1.9825930934081898E-5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4.6431237735740632E-3</v>
      </c>
      <c r="BF9" s="10">
        <v>0</v>
      </c>
      <c r="BG9" s="9">
        <v>0</v>
      </c>
      <c r="BH9" s="9">
        <v>0</v>
      </c>
      <c r="BI9" s="9">
        <v>9.2709207460736923E-2</v>
      </c>
      <c r="BJ9" s="9">
        <v>1.0351329594016632</v>
      </c>
      <c r="BK9" s="9">
        <v>1.8784789064731064E-2</v>
      </c>
      <c r="BL9" s="9">
        <v>0</v>
      </c>
      <c r="BM9" s="9">
        <v>0</v>
      </c>
      <c r="BN9" s="9">
        <v>0</v>
      </c>
      <c r="BO9" s="9">
        <v>37.501956592120578</v>
      </c>
      <c r="BP9" s="9">
        <v>45.399244070446507</v>
      </c>
      <c r="BQ9" s="9">
        <v>0</v>
      </c>
      <c r="BR9" s="9">
        <v>7.8627278298842596</v>
      </c>
      <c r="BS9" s="9">
        <v>25.175807584057925</v>
      </c>
      <c r="BT9" s="9">
        <v>2.1208873700633299</v>
      </c>
      <c r="BU9" s="9">
        <v>3.5180299032541774E-3</v>
      </c>
      <c r="BV9" s="9">
        <v>5.2770448548812663E-3</v>
      </c>
      <c r="BW9" s="9">
        <v>1.3755239499713026</v>
      </c>
      <c r="BX9" s="9">
        <v>0</v>
      </c>
      <c r="BY9" s="9">
        <v>1.4770282321901749</v>
      </c>
      <c r="BZ9" s="9">
        <v>24.483705487726525</v>
      </c>
      <c r="CA9" s="9">
        <v>0</v>
      </c>
      <c r="CB9" s="11">
        <v>5.9187735805184003</v>
      </c>
      <c r="CC9" s="12"/>
      <c r="CD9" s="12"/>
      <c r="CE9" s="12"/>
    </row>
    <row r="10" spans="1:83" x14ac:dyDescent="0.35">
      <c r="A10" s="8" t="s">
        <v>113</v>
      </c>
      <c r="B10" s="8" t="s">
        <v>122</v>
      </c>
      <c r="C10" s="8"/>
      <c r="D10" s="9">
        <v>80.565217391304344</v>
      </c>
      <c r="E10" s="9">
        <v>19.443478260869561</v>
      </c>
      <c r="F10" s="9">
        <v>93.220497175510587</v>
      </c>
      <c r="G10" s="9">
        <v>6.779502824489418</v>
      </c>
      <c r="H10" s="9">
        <v>18.958190859816952</v>
      </c>
      <c r="I10" s="9">
        <v>539.36806460390744</v>
      </c>
      <c r="J10" s="9">
        <v>46.486673215319222</v>
      </c>
      <c r="K10" s="9">
        <v>46.486673215319222</v>
      </c>
      <c r="L10" s="9">
        <v>0</v>
      </c>
      <c r="M10" s="9">
        <v>1.0263210030019982</v>
      </c>
      <c r="N10" s="9">
        <v>0.52653570687178752</v>
      </c>
      <c r="O10" s="9">
        <v>0</v>
      </c>
      <c r="P10" s="9">
        <v>6.9570372600503019</v>
      </c>
      <c r="Q10" s="9">
        <v>1.3815970011621443</v>
      </c>
      <c r="R10" s="9">
        <v>4.7143871840193796</v>
      </c>
      <c r="S10" s="9">
        <v>0.35185081082960012</v>
      </c>
      <c r="T10" s="9">
        <v>34.490860810368133</v>
      </c>
      <c r="U10" s="9">
        <v>0.81121296613794136</v>
      </c>
      <c r="V10" s="9">
        <v>1.0679109208275277</v>
      </c>
      <c r="W10" s="10">
        <v>0</v>
      </c>
      <c r="X10" s="10">
        <v>0</v>
      </c>
      <c r="Y10" s="10">
        <v>0</v>
      </c>
      <c r="Z10" s="10">
        <v>1.5579564558556209E-6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1.2279417622330309E-7</v>
      </c>
      <c r="AH10" s="10">
        <v>0</v>
      </c>
      <c r="AI10" s="10">
        <v>3.888636501458701E-6</v>
      </c>
      <c r="AJ10" s="10">
        <v>1.792749171111241E-4</v>
      </c>
      <c r="AK10" s="10">
        <v>5.6195451465860602E-4</v>
      </c>
      <c r="AL10" s="10">
        <v>0</v>
      </c>
      <c r="AM10" s="10">
        <v>2.5318609639308934E-7</v>
      </c>
      <c r="AN10" s="10">
        <v>0</v>
      </c>
      <c r="AO10" s="10">
        <v>0</v>
      </c>
      <c r="AP10" s="10">
        <v>0.10978937090245969</v>
      </c>
      <c r="AQ10" s="10">
        <v>7.2309380238748909E-5</v>
      </c>
      <c r="AR10" s="10">
        <v>3.6269288933699037E-5</v>
      </c>
      <c r="AS10" s="10">
        <v>2.3991249671609435E-5</v>
      </c>
      <c r="AT10" s="10">
        <v>6.1834327997030668E-7</v>
      </c>
      <c r="AU10" s="10">
        <v>0</v>
      </c>
      <c r="AV10" s="10">
        <v>0</v>
      </c>
      <c r="AW10" s="10">
        <v>0</v>
      </c>
      <c r="AX10" s="10">
        <v>1.4515023980387299E-5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3.6867778267398259E-3</v>
      </c>
      <c r="BF10" s="10">
        <v>0</v>
      </c>
      <c r="BG10" s="9">
        <v>0</v>
      </c>
      <c r="BH10" s="9">
        <v>0</v>
      </c>
      <c r="BI10" s="9">
        <v>6.7008672208075639</v>
      </c>
      <c r="BJ10" s="9">
        <v>0</v>
      </c>
      <c r="BK10" s="9">
        <v>0.36717942198491399</v>
      </c>
      <c r="BL10" s="9">
        <v>0</v>
      </c>
      <c r="BM10" s="9">
        <v>0</v>
      </c>
      <c r="BN10" s="9">
        <v>0</v>
      </c>
      <c r="BO10" s="9">
        <v>30.074272407500946</v>
      </c>
      <c r="BP10" s="9">
        <v>15.325597158751577</v>
      </c>
      <c r="BQ10" s="9">
        <v>0</v>
      </c>
      <c r="BR10" s="9">
        <v>47.929970344260994</v>
      </c>
      <c r="BS10" s="9">
        <v>20.165156950375128</v>
      </c>
      <c r="BT10" s="9">
        <v>1.6253340223921</v>
      </c>
      <c r="BU10" s="9">
        <v>1.2978585334198574E-2</v>
      </c>
      <c r="BV10" s="9">
        <v>1.5345975436825534E-2</v>
      </c>
      <c r="BW10" s="9">
        <v>35.488767391256935</v>
      </c>
      <c r="BX10" s="9">
        <v>0</v>
      </c>
      <c r="BY10" s="9">
        <v>43.901764611465516</v>
      </c>
      <c r="BZ10" s="9">
        <v>18.743301379255026</v>
      </c>
      <c r="CA10" s="9">
        <v>0</v>
      </c>
      <c r="CB10" s="11">
        <v>5.2354890144376318</v>
      </c>
      <c r="CC10" s="12"/>
      <c r="CD10" s="12"/>
      <c r="CE10" s="12"/>
    </row>
    <row r="11" spans="1:83" x14ac:dyDescent="0.35">
      <c r="A11" s="8" t="s">
        <v>113</v>
      </c>
      <c r="B11" s="8" t="s">
        <v>123</v>
      </c>
      <c r="C11" s="8"/>
      <c r="D11" s="9">
        <v>82.714285714285708</v>
      </c>
      <c r="E11" s="9">
        <v>17.307142857142857</v>
      </c>
      <c r="F11" s="9">
        <v>94.551525380901325</v>
      </c>
      <c r="G11" s="9">
        <v>5.4484746190986737</v>
      </c>
      <c r="H11" s="9">
        <v>18.695702123106482</v>
      </c>
      <c r="I11" s="9">
        <v>528.34761605651363</v>
      </c>
      <c r="J11" s="9">
        <v>46.314213067535228</v>
      </c>
      <c r="K11" s="9">
        <v>46.314213067535228</v>
      </c>
      <c r="L11" s="9">
        <v>0</v>
      </c>
      <c r="M11" s="9">
        <v>0.77588848343591332</v>
      </c>
      <c r="N11" s="9">
        <v>0.18138609235058628</v>
      </c>
      <c r="O11" s="9">
        <v>0</v>
      </c>
      <c r="P11" s="9">
        <v>6.9778275740648121</v>
      </c>
      <c r="Q11" s="9">
        <v>0.93642366963435431</v>
      </c>
      <c r="R11" s="9">
        <v>3.5695732642309848</v>
      </c>
      <c r="S11" s="9">
        <v>0.24323036519821375</v>
      </c>
      <c r="T11" s="9">
        <v>37.257030109029039</v>
      </c>
      <c r="U11" s="9">
        <v>0.58585568642197239</v>
      </c>
      <c r="V11" s="9">
        <v>0.8086123602402705</v>
      </c>
      <c r="W11" s="10">
        <v>0</v>
      </c>
      <c r="X11" s="10">
        <v>0</v>
      </c>
      <c r="Y11" s="10">
        <v>0</v>
      </c>
      <c r="Z11" s="10">
        <v>8.9581098708843088E-7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7.7509361701721473E-9</v>
      </c>
      <c r="AH11" s="10">
        <v>0</v>
      </c>
      <c r="AI11" s="10">
        <v>8.5468234082165186E-7</v>
      </c>
      <c r="AJ11" s="10">
        <v>7.5072156795016805E-5</v>
      </c>
      <c r="AK11" s="10">
        <v>3.298280543590561E-4</v>
      </c>
      <c r="AL11" s="10">
        <v>0</v>
      </c>
      <c r="AM11" s="10">
        <v>8.958109870884308E-8</v>
      </c>
      <c r="AN11" s="10">
        <v>0</v>
      </c>
      <c r="AO11" s="10">
        <v>0</v>
      </c>
      <c r="AP11" s="10">
        <v>7.426473003663224E-2</v>
      </c>
      <c r="AQ11" s="10">
        <v>1.0493202952008286E-4</v>
      </c>
      <c r="AR11" s="10">
        <v>7.4918300861619799E-6</v>
      </c>
      <c r="AS11" s="10">
        <v>1.0140789933433448E-5</v>
      </c>
      <c r="AT11" s="10">
        <v>3.4491665957266044E-7</v>
      </c>
      <c r="AU11" s="10">
        <v>0</v>
      </c>
      <c r="AV11" s="10">
        <v>0</v>
      </c>
      <c r="AW11" s="10">
        <v>0</v>
      </c>
      <c r="AX11" s="10">
        <v>1.1057633791178179E-5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2.8770697894988525E-3</v>
      </c>
      <c r="BF11" s="10">
        <v>0</v>
      </c>
      <c r="BG11" s="9">
        <v>0</v>
      </c>
      <c r="BH11" s="9">
        <v>0</v>
      </c>
      <c r="BI11" s="9">
        <v>19.664521787765349</v>
      </c>
      <c r="BJ11" s="9">
        <v>0</v>
      </c>
      <c r="BK11" s="9">
        <v>0</v>
      </c>
      <c r="BL11" s="9">
        <v>0</v>
      </c>
      <c r="BM11" s="9">
        <v>0</v>
      </c>
      <c r="BN11" s="9">
        <v>0</v>
      </c>
      <c r="BO11" s="9">
        <v>22.771963391004327</v>
      </c>
      <c r="BP11" s="9">
        <v>14.839952942395415</v>
      </c>
      <c r="BQ11" s="9">
        <v>0</v>
      </c>
      <c r="BR11" s="9">
        <v>57.702941594534082</v>
      </c>
      <c r="BS11" s="9">
        <v>19.845923641621006</v>
      </c>
      <c r="BT11" s="9">
        <v>1.5937618481563178</v>
      </c>
      <c r="BU11" s="9">
        <v>3.9894135941583833</v>
      </c>
      <c r="BV11" s="9">
        <v>3.6492334009882224</v>
      </c>
      <c r="BW11" s="9">
        <v>16.612300406744001</v>
      </c>
      <c r="BX11" s="9">
        <v>0</v>
      </c>
      <c r="BY11" s="9">
        <v>49.227328327250646</v>
      </c>
      <c r="BZ11" s="9">
        <v>18.737553167281245</v>
      </c>
      <c r="CA11" s="9">
        <v>0</v>
      </c>
      <c r="CB11" s="11">
        <v>13.024139857845634</v>
      </c>
      <c r="CC11" s="12"/>
      <c r="CD11" s="12"/>
      <c r="CE11" s="12"/>
    </row>
    <row r="12" spans="1:83" x14ac:dyDescent="0.35">
      <c r="A12" s="8" t="s">
        <v>113</v>
      </c>
      <c r="B12" s="8" t="s">
        <v>124</v>
      </c>
      <c r="C12" s="8"/>
      <c r="D12" s="9">
        <v>61.595000000000006</v>
      </c>
      <c r="E12" s="9">
        <v>38.43</v>
      </c>
      <c r="F12" s="9">
        <v>94.234878201045888</v>
      </c>
      <c r="G12" s="9">
        <v>5.7651217989541159</v>
      </c>
      <c r="H12" s="9">
        <v>24.758164783012067</v>
      </c>
      <c r="I12" s="9">
        <v>691.08826360273588</v>
      </c>
      <c r="J12" s="9">
        <v>55.799930050288502</v>
      </c>
      <c r="K12" s="9">
        <v>55.799930050288502</v>
      </c>
      <c r="L12" s="9">
        <v>0</v>
      </c>
      <c r="M12" s="9">
        <v>0.20068131416951168</v>
      </c>
      <c r="N12" s="9">
        <v>1.254461166590308</v>
      </c>
      <c r="O12" s="9">
        <v>0</v>
      </c>
      <c r="P12" s="9">
        <v>8.176775430575228</v>
      </c>
      <c r="Q12" s="9">
        <v>0.59446318125990838</v>
      </c>
      <c r="R12" s="9">
        <v>8.0446396720439211</v>
      </c>
      <c r="S12" s="9">
        <v>1.3516872115621565</v>
      </c>
      <c r="T12" s="9">
        <v>21.417605563915753</v>
      </c>
      <c r="U12" s="9">
        <v>0.69863005079095308</v>
      </c>
      <c r="V12" s="9">
        <v>1.7860519442302654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3.1847133757961781E-8</v>
      </c>
      <c r="AH12" s="10">
        <v>0</v>
      </c>
      <c r="AI12" s="10">
        <v>2.2209150275875975E-6</v>
      </c>
      <c r="AJ12" s="10">
        <v>1.8822722667428677E-4</v>
      </c>
      <c r="AK12" s="10">
        <v>7.1756216423437989E-3</v>
      </c>
      <c r="AL12" s="10">
        <v>0</v>
      </c>
      <c r="AM12" s="10">
        <v>0</v>
      </c>
      <c r="AN12" s="10">
        <v>0</v>
      </c>
      <c r="AO12" s="10">
        <v>0</v>
      </c>
      <c r="AP12" s="10">
        <v>4.6230486456180019E-2</v>
      </c>
      <c r="AQ12" s="10">
        <v>1.0139695430275623E-4</v>
      </c>
      <c r="AR12" s="10">
        <v>1.8046709129511676E-6</v>
      </c>
      <c r="AS12" s="10">
        <v>6.8103870651641347E-7</v>
      </c>
      <c r="AT12" s="10">
        <v>2.1231422505307853E-7</v>
      </c>
      <c r="AU12" s="10">
        <v>0</v>
      </c>
      <c r="AV12" s="10">
        <v>0</v>
      </c>
      <c r="AW12" s="10">
        <v>0</v>
      </c>
      <c r="AX12" s="10">
        <v>7.4643817023177395E-5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4.5121113997438796E-3</v>
      </c>
      <c r="BF12" s="10">
        <v>0</v>
      </c>
      <c r="BG12" s="9">
        <v>0</v>
      </c>
      <c r="BH12" s="9">
        <v>0</v>
      </c>
      <c r="BI12" s="9">
        <v>0.99009900990099009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50.298401914557047</v>
      </c>
      <c r="BP12" s="9">
        <v>36.646161899812526</v>
      </c>
      <c r="BQ12" s="9">
        <v>0</v>
      </c>
      <c r="BR12" s="9">
        <v>7.2925073190276892</v>
      </c>
      <c r="BS12" s="9">
        <v>25.087241901406436</v>
      </c>
      <c r="BT12" s="9">
        <v>2.1121282240490968</v>
      </c>
      <c r="BU12" s="9">
        <v>0</v>
      </c>
      <c r="BV12" s="9">
        <v>6.0190775175078481E-2</v>
      </c>
      <c r="BW12" s="9">
        <v>0</v>
      </c>
      <c r="BX12" s="9">
        <v>0</v>
      </c>
      <c r="BY12" s="9">
        <v>1.4988716349318039</v>
      </c>
      <c r="BZ12" s="9">
        <v>23.344005762381283</v>
      </c>
      <c r="CA12" s="9">
        <v>0</v>
      </c>
      <c r="CB12" s="11">
        <v>6.2400246016002443</v>
      </c>
      <c r="CC12" s="12"/>
      <c r="CD12" s="12"/>
      <c r="CE12" s="12"/>
    </row>
    <row r="13" spans="1:83" x14ac:dyDescent="0.35">
      <c r="A13" s="8" t="s">
        <v>113</v>
      </c>
      <c r="B13" s="8" t="s">
        <v>125</v>
      </c>
      <c r="C13" s="8"/>
      <c r="D13" s="9">
        <v>68.763636363636365</v>
      </c>
      <c r="E13" s="9">
        <v>31.236363636363638</v>
      </c>
      <c r="F13" s="9">
        <v>97.638891512820678</v>
      </c>
      <c r="G13" s="9">
        <v>2.3611084871793393</v>
      </c>
      <c r="H13" s="9">
        <v>31.362676241021028</v>
      </c>
      <c r="I13" s="9">
        <v>856.92445713384006</v>
      </c>
      <c r="J13" s="9">
        <v>67.66933491421338</v>
      </c>
      <c r="K13" s="9">
        <v>67.66933491421338</v>
      </c>
      <c r="L13" s="9">
        <v>0</v>
      </c>
      <c r="M13" s="9">
        <v>0.36903180068440783</v>
      </c>
      <c r="N13" s="9">
        <v>0.19381620747986483</v>
      </c>
      <c r="O13" s="9">
        <v>0</v>
      </c>
      <c r="P13" s="9">
        <v>9.642163261588534</v>
      </c>
      <c r="Q13" s="9">
        <v>0.47011397026430513</v>
      </c>
      <c r="R13" s="9">
        <v>1.9802933410185033</v>
      </c>
      <c r="S13" s="9">
        <v>0.13925516207160307</v>
      </c>
      <c r="T13" s="9">
        <v>18.117059474568489</v>
      </c>
      <c r="U13" s="9">
        <v>0.31488409614991564</v>
      </c>
      <c r="V13" s="9">
        <v>0.44655179047296739</v>
      </c>
      <c r="W13" s="10">
        <v>0</v>
      </c>
      <c r="X13" s="10">
        <v>0</v>
      </c>
      <c r="Y13" s="10">
        <v>0</v>
      </c>
      <c r="Z13" s="10">
        <v>1.4280469345402725E-6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7.6850795463481518E-9</v>
      </c>
      <c r="AH13" s="10">
        <v>0</v>
      </c>
      <c r="AI13" s="10">
        <v>4.2271129478931262E-7</v>
      </c>
      <c r="AJ13" s="10">
        <v>7.0325489526782867E-5</v>
      </c>
      <c r="AK13" s="10">
        <v>1.8205812222552045E-4</v>
      </c>
      <c r="AL13" s="10">
        <v>0</v>
      </c>
      <c r="AM13" s="10">
        <v>1.8498988645128521E-7</v>
      </c>
      <c r="AN13" s="10">
        <v>0</v>
      </c>
      <c r="AO13" s="10">
        <v>0</v>
      </c>
      <c r="AP13" s="10">
        <v>3.6728948376642777E-2</v>
      </c>
      <c r="AQ13" s="10">
        <v>1.8092110563304323E-5</v>
      </c>
      <c r="AR13" s="10">
        <v>2.0391941442443729E-5</v>
      </c>
      <c r="AS13" s="10">
        <v>1.3455166503364278E-6</v>
      </c>
      <c r="AT13" s="10">
        <v>3.4198603981249278E-7</v>
      </c>
      <c r="AU13" s="10">
        <v>0</v>
      </c>
      <c r="AV13" s="10">
        <v>0</v>
      </c>
      <c r="AW13" s="10">
        <v>0</v>
      </c>
      <c r="AX13" s="10">
        <v>6.9140552399702317E-6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1.3065206396096415E-3</v>
      </c>
      <c r="BF13" s="10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12.575693280048652</v>
      </c>
      <c r="BP13" s="9">
        <v>70.506908697725493</v>
      </c>
      <c r="BQ13" s="9">
        <v>0</v>
      </c>
      <c r="BR13" s="9">
        <v>14.503126323988566</v>
      </c>
      <c r="BS13" s="9">
        <v>28.708751861501501</v>
      </c>
      <c r="BT13" s="9">
        <v>2.4702955591024982</v>
      </c>
      <c r="BU13" s="9">
        <v>0</v>
      </c>
      <c r="BV13" s="9">
        <v>5.4226475279106852E-2</v>
      </c>
      <c r="BW13" s="9">
        <v>12.446308443917543</v>
      </c>
      <c r="BX13" s="9">
        <v>0</v>
      </c>
      <c r="BY13" s="9">
        <v>13.158771839337993</v>
      </c>
      <c r="BZ13" s="9">
        <v>30.653308836286385</v>
      </c>
      <c r="CA13" s="9">
        <v>0</v>
      </c>
      <c r="CB13" s="11">
        <v>2.0557546158498599</v>
      </c>
      <c r="CC13" s="12"/>
      <c r="CD13" s="12"/>
      <c r="CE13" s="12"/>
    </row>
    <row r="14" spans="1:83" x14ac:dyDescent="0.35">
      <c r="A14" s="8" t="s">
        <v>113</v>
      </c>
      <c r="B14" s="8" t="s">
        <v>276</v>
      </c>
      <c r="C14" s="8"/>
      <c r="D14" s="9">
        <v>15.25</v>
      </c>
      <c r="E14" s="9">
        <v>84.75</v>
      </c>
      <c r="F14" s="9">
        <v>98.937060386164035</v>
      </c>
      <c r="G14" s="9">
        <v>1.0629396138359666</v>
      </c>
      <c r="H14" s="9">
        <v>36.957975113905924</v>
      </c>
      <c r="I14" s="9">
        <v>1000.3495900729962</v>
      </c>
      <c r="J14" s="9">
        <v>77.163204955869134</v>
      </c>
      <c r="K14" s="9">
        <v>77.163204955869134</v>
      </c>
      <c r="L14" s="9">
        <v>0</v>
      </c>
      <c r="M14" s="9">
        <v>2.052839981955993E-2</v>
      </c>
      <c r="N14" s="9">
        <v>0.37788411737515382</v>
      </c>
      <c r="O14" s="9">
        <v>0</v>
      </c>
      <c r="P14" s="9">
        <v>10.829703909393363</v>
      </c>
      <c r="Q14" s="9">
        <v>3.3103026269624247E-2</v>
      </c>
      <c r="R14" s="9">
        <v>0.11918094686485373</v>
      </c>
      <c r="S14" s="9">
        <v>0.22507949944587077</v>
      </c>
      <c r="T14" s="9">
        <v>10.8093033870281</v>
      </c>
      <c r="U14" s="9">
        <v>2.636896375048034E-2</v>
      </c>
      <c r="V14" s="9">
        <v>2.7243248925466517E-2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5.8998056370815488E-7</v>
      </c>
      <c r="AH14" s="10">
        <v>0</v>
      </c>
      <c r="AI14" s="10">
        <v>3.7290558640239253E-6</v>
      </c>
      <c r="AJ14" s="10">
        <v>1.8908616013499589E-5</v>
      </c>
      <c r="AK14" s="10">
        <v>7.1090047393364927E-6</v>
      </c>
      <c r="AL14" s="10">
        <v>0</v>
      </c>
      <c r="AM14" s="10">
        <v>2.3599222548326195E-7</v>
      </c>
      <c r="AN14" s="10">
        <v>0</v>
      </c>
      <c r="AO14" s="10">
        <v>0</v>
      </c>
      <c r="AP14" s="10">
        <v>2.1229554301880702E-3</v>
      </c>
      <c r="AQ14" s="10">
        <v>0</v>
      </c>
      <c r="AR14" s="10">
        <v>0</v>
      </c>
      <c r="AS14" s="10">
        <v>6.5251850346121938E-7</v>
      </c>
      <c r="AT14" s="10">
        <v>4.719844509665239E-6</v>
      </c>
      <c r="AU14" s="10">
        <v>0</v>
      </c>
      <c r="AV14" s="10">
        <v>0</v>
      </c>
      <c r="AW14" s="10">
        <v>0</v>
      </c>
      <c r="AX14" s="10">
        <v>9.2417061611374404E-7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8.4820757291394027E-5</v>
      </c>
      <c r="BF14" s="10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0.76721838261092334</v>
      </c>
      <c r="BP14" s="9">
        <v>96.578112730492705</v>
      </c>
      <c r="BQ14" s="9">
        <v>0</v>
      </c>
      <c r="BR14" s="9">
        <v>0.7109004739336493</v>
      </c>
      <c r="BS14" s="9">
        <v>32.380290269553242</v>
      </c>
      <c r="BT14" s="9">
        <v>2.8334107076588162</v>
      </c>
      <c r="BU14" s="9">
        <v>0</v>
      </c>
      <c r="BV14" s="9">
        <v>0</v>
      </c>
      <c r="BW14" s="9">
        <v>0.69316624990950149</v>
      </c>
      <c r="BX14" s="9">
        <v>0</v>
      </c>
      <c r="BY14" s="9">
        <v>0.67553992793535333</v>
      </c>
      <c r="BZ14" s="9">
        <v>36.023920840271558</v>
      </c>
      <c r="CA14" s="9">
        <v>0</v>
      </c>
      <c r="CB14" s="11">
        <v>0.8985630231509063</v>
      </c>
      <c r="CC14" s="12"/>
      <c r="CD14" s="12"/>
      <c r="CE14" s="12"/>
    </row>
    <row r="15" spans="1:83" x14ac:dyDescent="0.35">
      <c r="A15" s="8" t="s">
        <v>113</v>
      </c>
      <c r="B15" s="8" t="s">
        <v>127</v>
      </c>
      <c r="C15" s="8"/>
      <c r="D15" s="9">
        <v>78.433333333333337</v>
      </c>
      <c r="E15" s="9">
        <v>21.566666666666666</v>
      </c>
      <c r="F15" s="9">
        <v>95.515760300583906</v>
      </c>
      <c r="G15" s="9">
        <v>4.4842396994161069</v>
      </c>
      <c r="H15" s="9">
        <v>15.282541504397559</v>
      </c>
      <c r="I15" s="9">
        <v>430.95009533617895</v>
      </c>
      <c r="J15" s="9">
        <v>41.194428414093039</v>
      </c>
      <c r="K15" s="9">
        <v>41.194428414093039</v>
      </c>
      <c r="L15" s="9">
        <v>0</v>
      </c>
      <c r="M15" s="9">
        <v>0</v>
      </c>
      <c r="N15" s="9">
        <v>0</v>
      </c>
      <c r="O15" s="9">
        <v>0</v>
      </c>
      <c r="P15" s="9">
        <v>6.2841250849933408</v>
      </c>
      <c r="Q15" s="9">
        <v>0</v>
      </c>
      <c r="R15" s="9">
        <v>1.5306911801646186</v>
      </c>
      <c r="S15" s="9">
        <v>0</v>
      </c>
      <c r="T15" s="9">
        <v>46.355719709132067</v>
      </c>
      <c r="U15" s="9">
        <v>0</v>
      </c>
      <c r="V15" s="9">
        <v>0.33970934640643008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9.5668198760288679</v>
      </c>
      <c r="BP15" s="9">
        <v>1.2494627460367853</v>
      </c>
      <c r="BQ15" s="9">
        <v>0</v>
      </c>
      <c r="BR15" s="9">
        <v>84.699477678518249</v>
      </c>
      <c r="BS15" s="9">
        <v>16.966856575323735</v>
      </c>
      <c r="BT15" s="9">
        <v>1.3090221152995172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15.906765049843854</v>
      </c>
      <c r="CA15" s="9">
        <v>0</v>
      </c>
      <c r="CB15" s="11">
        <v>84.699477678518249</v>
      </c>
      <c r="CC15" s="12"/>
      <c r="CD15" s="12"/>
      <c r="CE15" s="12"/>
    </row>
    <row r="16" spans="1:83" x14ac:dyDescent="0.35">
      <c r="A16" s="8" t="s">
        <v>113</v>
      </c>
      <c r="B16" s="8" t="s">
        <v>128</v>
      </c>
      <c r="C16" s="8"/>
      <c r="D16" s="9">
        <v>85.7</v>
      </c>
      <c r="E16" s="9">
        <v>14.299999999999999</v>
      </c>
      <c r="F16" s="9">
        <v>97.739847263469755</v>
      </c>
      <c r="G16" s="9">
        <v>2.2601527365302378</v>
      </c>
      <c r="H16" s="9">
        <v>15.46892363404111</v>
      </c>
      <c r="I16" s="9">
        <v>432.42941204593296</v>
      </c>
      <c r="J16" s="9">
        <v>41.78183469394066</v>
      </c>
      <c r="K16" s="9">
        <v>41.78183469394066</v>
      </c>
      <c r="L16" s="9">
        <v>0</v>
      </c>
      <c r="M16" s="9">
        <v>2.4084177688806441E-2</v>
      </c>
      <c r="N16" s="9">
        <v>0</v>
      </c>
      <c r="O16" s="9">
        <v>0</v>
      </c>
      <c r="P16" s="9">
        <v>6.473609946329046</v>
      </c>
      <c r="Q16" s="9">
        <v>0.50217264788471772</v>
      </c>
      <c r="R16" s="9">
        <v>0.33927778732022146</v>
      </c>
      <c r="S16" s="9">
        <v>9.9476811260278946E-3</v>
      </c>
      <c r="T16" s="9">
        <v>49.108431523717066</v>
      </c>
      <c r="U16" s="9">
        <v>6.3925392778761386E-2</v>
      </c>
      <c r="V16" s="9">
        <v>7.5957107879667779E-2</v>
      </c>
      <c r="W16" s="10">
        <v>0</v>
      </c>
      <c r="X16" s="10">
        <v>0</v>
      </c>
      <c r="Y16" s="10">
        <v>0</v>
      </c>
      <c r="Z16" s="10">
        <v>7.5165393366632409E-7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3.5082298247220264E-7</v>
      </c>
      <c r="AH16" s="10">
        <v>0</v>
      </c>
      <c r="AI16" s="10">
        <v>1.9861403580160254E-6</v>
      </c>
      <c r="AJ16" s="10">
        <v>1.3188812923674333E-4</v>
      </c>
      <c r="AK16" s="10">
        <v>6.2692347164742884E-4</v>
      </c>
      <c r="AL16" s="10">
        <v>0</v>
      </c>
      <c r="AM16" s="10">
        <v>3.8608669630353036E-7</v>
      </c>
      <c r="AN16" s="10">
        <v>0</v>
      </c>
      <c r="AO16" s="10">
        <v>0</v>
      </c>
      <c r="AP16" s="10">
        <v>1.8336264974459511E-2</v>
      </c>
      <c r="AQ16" s="10">
        <v>2.2310044596879499E-4</v>
      </c>
      <c r="AR16" s="10">
        <v>0</v>
      </c>
      <c r="AS16" s="10">
        <v>2.61948950163274E-6</v>
      </c>
      <c r="AT16" s="10">
        <v>2.1490227295076686E-6</v>
      </c>
      <c r="AU16" s="10">
        <v>0</v>
      </c>
      <c r="AV16" s="10">
        <v>0</v>
      </c>
      <c r="AW16" s="10">
        <v>0</v>
      </c>
      <c r="AX16" s="10">
        <v>8.3087659332051554E-7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9.8886752593225561E-5</v>
      </c>
      <c r="BF16" s="10">
        <v>0</v>
      </c>
      <c r="BG16" s="9">
        <v>0</v>
      </c>
      <c r="BH16" s="9">
        <v>0</v>
      </c>
      <c r="BI16" s="9">
        <v>1.7614202805668302</v>
      </c>
      <c r="BJ16" s="9">
        <v>0</v>
      </c>
      <c r="BK16" s="9">
        <v>2.3485603740891072</v>
      </c>
      <c r="BL16" s="9">
        <v>0</v>
      </c>
      <c r="BM16" s="9">
        <v>0</v>
      </c>
      <c r="BN16" s="9">
        <v>0</v>
      </c>
      <c r="BO16" s="9">
        <v>2.1390873612275745</v>
      </c>
      <c r="BP16" s="9">
        <v>2.5540873584456785</v>
      </c>
      <c r="BQ16" s="9">
        <v>0</v>
      </c>
      <c r="BR16" s="9">
        <v>92.879761387548868</v>
      </c>
      <c r="BS16" s="9">
        <v>17.083040389499615</v>
      </c>
      <c r="BT16" s="9">
        <v>1.3205126945215124</v>
      </c>
      <c r="BU16" s="9">
        <v>18.108636568634431</v>
      </c>
      <c r="BV16" s="9">
        <v>5.191554511144342</v>
      </c>
      <c r="BW16" s="9">
        <v>0</v>
      </c>
      <c r="BX16" s="9">
        <v>0</v>
      </c>
      <c r="BY16" s="9">
        <v>25.061611360345605</v>
      </c>
      <c r="BZ16" s="9">
        <v>15.768966302912006</v>
      </c>
      <c r="CA16" s="9">
        <v>0</v>
      </c>
      <c r="CB16" s="11">
        <v>65.636500809361792</v>
      </c>
      <c r="CC16" s="12"/>
      <c r="CD16" s="12"/>
      <c r="CE16" s="12"/>
    </row>
    <row r="17" spans="1:83" x14ac:dyDescent="0.35">
      <c r="A17" s="8" t="s">
        <v>113</v>
      </c>
      <c r="B17" s="8" t="s">
        <v>129</v>
      </c>
      <c r="C17" s="8"/>
      <c r="D17" s="9">
        <v>92.866666666666674</v>
      </c>
      <c r="E17" s="9">
        <v>7.1333333333333329</v>
      </c>
      <c r="F17" s="9">
        <v>91.406619385342808</v>
      </c>
      <c r="G17" s="9">
        <v>8.5933806146572103</v>
      </c>
      <c r="H17" s="9">
        <v>15.791316748543814</v>
      </c>
      <c r="I17" s="9">
        <v>441.28309532102634</v>
      </c>
      <c r="J17" s="9">
        <v>41.288283208339259</v>
      </c>
      <c r="K17" s="9">
        <v>38.953828877731006</v>
      </c>
      <c r="L17" s="9">
        <v>0</v>
      </c>
      <c r="M17" s="9">
        <v>0.13000945626477539</v>
      </c>
      <c r="N17" s="9">
        <v>0</v>
      </c>
      <c r="O17" s="9">
        <v>0</v>
      </c>
      <c r="P17" s="9">
        <v>6.2505290672506932</v>
      </c>
      <c r="Q17" s="9">
        <v>3.4380614657210398</v>
      </c>
      <c r="R17" s="9">
        <v>1.8907801418439716</v>
      </c>
      <c r="S17" s="9">
        <v>0.14362884160756503</v>
      </c>
      <c r="T17" s="9">
        <v>41.815168364657758</v>
      </c>
      <c r="U17" s="9">
        <v>0.4265248226950355</v>
      </c>
      <c r="V17" s="9">
        <v>0.41469278573160456</v>
      </c>
      <c r="W17" s="10">
        <v>0</v>
      </c>
      <c r="X17" s="10">
        <v>0</v>
      </c>
      <c r="Y17" s="10">
        <v>0</v>
      </c>
      <c r="Z17" s="10">
        <v>2.3664302600472814E-6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5.0555555555555547E-6</v>
      </c>
      <c r="AH17" s="10">
        <v>0</v>
      </c>
      <c r="AI17" s="10">
        <v>1.4763593380614658E-5</v>
      </c>
      <c r="AJ17" s="10">
        <v>5.7163120567375891E-4</v>
      </c>
      <c r="AK17" s="10">
        <v>3.3711583924349886E-3</v>
      </c>
      <c r="AL17" s="10">
        <v>0</v>
      </c>
      <c r="AM17" s="10">
        <v>6.3711583924349886E-6</v>
      </c>
      <c r="AN17" s="10">
        <v>0</v>
      </c>
      <c r="AO17" s="10">
        <v>0</v>
      </c>
      <c r="AP17" s="10">
        <v>0.12476359338061467</v>
      </c>
      <c r="AQ17" s="10">
        <v>1.6122931442080378E-3</v>
      </c>
      <c r="AR17" s="10">
        <v>0</v>
      </c>
      <c r="AS17" s="10">
        <v>2.6069739952718673E-5</v>
      </c>
      <c r="AT17" s="10">
        <v>4.3971631205673758E-6</v>
      </c>
      <c r="AU17" s="10">
        <v>0</v>
      </c>
      <c r="AV17" s="10">
        <v>0</v>
      </c>
      <c r="AW17" s="10">
        <v>0</v>
      </c>
      <c r="AX17" s="10">
        <v>4.0425531914893616E-6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1.2312056737588653E-3</v>
      </c>
      <c r="BF17" s="10">
        <v>0</v>
      </c>
      <c r="BG17" s="9">
        <v>0</v>
      </c>
      <c r="BH17" s="9">
        <v>0</v>
      </c>
      <c r="BI17" s="9">
        <v>0</v>
      </c>
      <c r="BJ17" s="9">
        <v>1.3191489361702127</v>
      </c>
      <c r="BK17" s="9">
        <v>7.7777777777777777</v>
      </c>
      <c r="BL17" s="9">
        <v>0</v>
      </c>
      <c r="BM17" s="9">
        <v>0</v>
      </c>
      <c r="BN17" s="9">
        <v>3.3333333333333335</v>
      </c>
      <c r="BO17" s="9">
        <v>11.678486997635934</v>
      </c>
      <c r="BP17" s="9">
        <v>4.75177304964539</v>
      </c>
      <c r="BQ17" s="9">
        <v>0</v>
      </c>
      <c r="BR17" s="9">
        <v>74.976359338061471</v>
      </c>
      <c r="BS17" s="9">
        <v>16.075768296417966</v>
      </c>
      <c r="BT17" s="9">
        <v>1.2180018178490697</v>
      </c>
      <c r="BU17" s="9">
        <v>20.813238770685583</v>
      </c>
      <c r="BV17" s="9">
        <v>13.191489361702127</v>
      </c>
      <c r="BW17" s="9">
        <v>0</v>
      </c>
      <c r="BX17" s="9">
        <v>0</v>
      </c>
      <c r="BY17" s="9">
        <v>34.004728132387704</v>
      </c>
      <c r="BZ17" s="9">
        <v>14.080378250591016</v>
      </c>
      <c r="CA17" s="9">
        <v>0</v>
      </c>
      <c r="CB17" s="11">
        <v>28.54137115839244</v>
      </c>
      <c r="CC17" s="12"/>
      <c r="CD17" s="12"/>
      <c r="CE17" s="12"/>
    </row>
    <row r="18" spans="1:83" x14ac:dyDescent="0.35">
      <c r="A18" s="8" t="s">
        <v>113</v>
      </c>
      <c r="B18" s="8" t="s">
        <v>130</v>
      </c>
      <c r="C18" s="8"/>
      <c r="D18" s="9">
        <v>75.2</v>
      </c>
      <c r="E18" s="9">
        <v>24.8</v>
      </c>
      <c r="F18" s="9">
        <v>96.774193548387103</v>
      </c>
      <c r="G18" s="9">
        <v>3.225806451612903</v>
      </c>
      <c r="H18" s="9">
        <v>15.34606198084473</v>
      </c>
      <c r="I18" s="9">
        <v>424.70208333333335</v>
      </c>
      <c r="J18" s="9">
        <v>41.407752623234302</v>
      </c>
      <c r="K18" s="9">
        <v>40.645289716866287</v>
      </c>
      <c r="L18" s="9">
        <v>0</v>
      </c>
      <c r="M18" s="9">
        <v>1.7741935483870968E-2</v>
      </c>
      <c r="N18" s="9">
        <v>0</v>
      </c>
      <c r="O18" s="9">
        <v>0</v>
      </c>
      <c r="P18" s="9">
        <v>6.4025816182799113</v>
      </c>
      <c r="Q18" s="9">
        <v>1.4233870967741935</v>
      </c>
      <c r="R18" s="9">
        <v>0.83870967741935476</v>
      </c>
      <c r="S18" s="9">
        <v>8.0645161290322578E-3</v>
      </c>
      <c r="T18" s="9">
        <v>48.042524216491728</v>
      </c>
      <c r="U18" s="9">
        <v>0.11008064516129033</v>
      </c>
      <c r="V18" s="9">
        <v>0.18613651142239893</v>
      </c>
      <c r="W18" s="10">
        <v>0</v>
      </c>
      <c r="X18" s="10">
        <v>0</v>
      </c>
      <c r="Y18" s="10">
        <v>0</v>
      </c>
      <c r="Z18" s="10">
        <v>9.2741935483870959E-7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1.4112903225806453E-7</v>
      </c>
      <c r="AH18" s="10">
        <v>0</v>
      </c>
      <c r="AI18" s="10">
        <v>6.85483870967742E-7</v>
      </c>
      <c r="AJ18" s="10">
        <v>4.4354838709677422E-4</v>
      </c>
      <c r="AK18" s="10">
        <v>9.6774193548387108E-4</v>
      </c>
      <c r="AL18" s="10">
        <v>0</v>
      </c>
      <c r="AM18" s="10">
        <v>8.0645161290322569E-7</v>
      </c>
      <c r="AN18" s="10">
        <v>0</v>
      </c>
      <c r="AO18" s="10">
        <v>0</v>
      </c>
      <c r="AP18" s="10">
        <v>0.11169354838709677</v>
      </c>
      <c r="AQ18" s="10">
        <v>9.6774193548387108E-4</v>
      </c>
      <c r="AR18" s="10">
        <v>0</v>
      </c>
      <c r="AS18" s="10">
        <v>1.6169354838709675E-5</v>
      </c>
      <c r="AT18" s="10">
        <v>1.4153225806451611E-6</v>
      </c>
      <c r="AU18" s="10">
        <v>0</v>
      </c>
      <c r="AV18" s="10">
        <v>0</v>
      </c>
      <c r="AW18" s="10">
        <v>0</v>
      </c>
      <c r="AX18" s="10">
        <v>4.1935483870967736E-6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7.0967741935483864E-4</v>
      </c>
      <c r="BF18" s="10">
        <v>0</v>
      </c>
      <c r="BG18" s="9">
        <v>0</v>
      </c>
      <c r="BH18" s="9">
        <v>0</v>
      </c>
      <c r="BI18" s="9">
        <v>25.403225806451612</v>
      </c>
      <c r="BJ18" s="9">
        <v>10.887096774193548</v>
      </c>
      <c r="BK18" s="9">
        <v>1.4919354838709677</v>
      </c>
      <c r="BL18" s="9">
        <v>0</v>
      </c>
      <c r="BM18" s="9">
        <v>0</v>
      </c>
      <c r="BN18" s="9">
        <v>1.0887096774193548</v>
      </c>
      <c r="BO18" s="9">
        <v>5.241935483870968</v>
      </c>
      <c r="BP18" s="9">
        <v>1.6129032258064515</v>
      </c>
      <c r="BQ18" s="9">
        <v>0</v>
      </c>
      <c r="BR18" s="9">
        <v>89.91935483870968</v>
      </c>
      <c r="BS18" s="9">
        <v>16.655942872242786</v>
      </c>
      <c r="BT18" s="9">
        <v>1.2773282944196505</v>
      </c>
      <c r="BU18" s="9">
        <v>15.322580645161288</v>
      </c>
      <c r="BV18" s="9">
        <v>23.387096774193548</v>
      </c>
      <c r="BW18" s="9">
        <v>0</v>
      </c>
      <c r="BX18" s="9">
        <v>0</v>
      </c>
      <c r="BY18" s="9">
        <v>64.112903225806448</v>
      </c>
      <c r="BZ18" s="9">
        <v>16.129032258064516</v>
      </c>
      <c r="CA18" s="9">
        <v>0</v>
      </c>
      <c r="CB18" s="11">
        <v>12.338709677419374</v>
      </c>
      <c r="CC18" s="12"/>
      <c r="CD18" s="12"/>
      <c r="CE18" s="12"/>
    </row>
    <row r="19" spans="1:83" x14ac:dyDescent="0.35">
      <c r="A19" s="8" t="s">
        <v>113</v>
      </c>
      <c r="B19" s="8" t="s">
        <v>131</v>
      </c>
      <c r="C19" s="8"/>
      <c r="D19" s="9">
        <v>86.5</v>
      </c>
      <c r="E19" s="9">
        <v>13.5</v>
      </c>
      <c r="F19" s="9">
        <v>97.037037037037038</v>
      </c>
      <c r="G19" s="9">
        <v>2.9629629629629632</v>
      </c>
      <c r="H19" s="9">
        <v>15.878457597027261</v>
      </c>
      <c r="I19" s="9">
        <v>448.00000000000006</v>
      </c>
      <c r="J19" s="9">
        <v>42.12166298404194</v>
      </c>
      <c r="K19" s="9">
        <v>42.12166298404194</v>
      </c>
      <c r="L19" s="9">
        <v>0</v>
      </c>
      <c r="M19" s="9">
        <v>0.26222222222222225</v>
      </c>
      <c r="N19" s="9">
        <v>0</v>
      </c>
      <c r="O19" s="9">
        <v>0</v>
      </c>
      <c r="P19" s="9">
        <v>6.5866365536903233</v>
      </c>
      <c r="Q19" s="9">
        <v>1.1333333333333333</v>
      </c>
      <c r="R19" s="9">
        <v>1.1185185185185185</v>
      </c>
      <c r="S19" s="9">
        <v>1.4814814814814815E-2</v>
      </c>
      <c r="T19" s="9">
        <v>47.156988256153348</v>
      </c>
      <c r="U19" s="9">
        <v>0.16370370370370371</v>
      </c>
      <c r="V19" s="9">
        <v>0.23672746068079456</v>
      </c>
      <c r="W19" s="10">
        <v>0</v>
      </c>
      <c r="X19" s="10">
        <v>0</v>
      </c>
      <c r="Y19" s="10">
        <v>0</v>
      </c>
      <c r="Z19" s="10">
        <v>2.9629629629629629E-7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1.4814814814814815E-7</v>
      </c>
      <c r="AH19" s="10">
        <v>0</v>
      </c>
      <c r="AI19" s="10">
        <v>1.4814814814814815E-6</v>
      </c>
      <c r="AJ19" s="10">
        <v>5.1851851851851863E-4</v>
      </c>
      <c r="AK19" s="10">
        <v>1.0222222222222223E-3</v>
      </c>
      <c r="AL19" s="10">
        <v>0</v>
      </c>
      <c r="AM19" s="10">
        <v>2.2222222222222222E-7</v>
      </c>
      <c r="AN19" s="10">
        <v>0</v>
      </c>
      <c r="AO19" s="10">
        <v>0</v>
      </c>
      <c r="AP19" s="10">
        <v>7.7037037037037043E-2</v>
      </c>
      <c r="AQ19" s="10">
        <v>3.1111111111111118E-4</v>
      </c>
      <c r="AR19" s="10">
        <v>0</v>
      </c>
      <c r="AS19" s="10">
        <v>2.3555555555555556E-5</v>
      </c>
      <c r="AT19" s="10">
        <v>3.2962962962962962E-6</v>
      </c>
      <c r="AU19" s="10">
        <v>0</v>
      </c>
      <c r="AV19" s="10">
        <v>0</v>
      </c>
      <c r="AW19" s="10">
        <v>0</v>
      </c>
      <c r="AX19" s="10">
        <v>3.7037037037037036E-7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5.037037037037038E-4</v>
      </c>
      <c r="BF19" s="10">
        <v>0</v>
      </c>
      <c r="BG19" s="9">
        <v>0</v>
      </c>
      <c r="BH19" s="9">
        <v>0</v>
      </c>
      <c r="BI19" s="9">
        <v>25.925925925925924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6.666666666666667</v>
      </c>
      <c r="BP19" s="9">
        <v>4.4444444444444446</v>
      </c>
      <c r="BQ19" s="9">
        <v>0</v>
      </c>
      <c r="BR19" s="9">
        <v>85.18518518518519</v>
      </c>
      <c r="BS19" s="9">
        <v>17.558714074074075</v>
      </c>
      <c r="BT19" s="9">
        <v>1.367556821925926</v>
      </c>
      <c r="BU19" s="9">
        <v>16.296296296296298</v>
      </c>
      <c r="BV19" s="9">
        <v>18.518518518518519</v>
      </c>
      <c r="BW19" s="9">
        <v>0</v>
      </c>
      <c r="BX19" s="9">
        <v>0</v>
      </c>
      <c r="BY19" s="9">
        <v>60.74074074074074</v>
      </c>
      <c r="BZ19" s="9">
        <v>16</v>
      </c>
      <c r="CA19" s="9">
        <v>0</v>
      </c>
      <c r="CB19" s="11">
        <v>25.18518518518519</v>
      </c>
      <c r="CC19" s="12"/>
      <c r="CD19" s="12"/>
      <c r="CE19" s="12"/>
    </row>
    <row r="20" spans="1:83" x14ac:dyDescent="0.35">
      <c r="A20" s="8" t="s">
        <v>113</v>
      </c>
      <c r="B20" s="8" t="s">
        <v>132</v>
      </c>
      <c r="C20" s="8"/>
      <c r="D20" s="9">
        <v>95</v>
      </c>
      <c r="E20" s="9">
        <v>5.0000000000000009</v>
      </c>
      <c r="F20" s="9">
        <v>89.377784210610955</v>
      </c>
      <c r="G20" s="9">
        <v>10.62221578938904</v>
      </c>
      <c r="H20" s="9">
        <v>15.543519724145114</v>
      </c>
      <c r="I20" s="9">
        <v>463.22916666666657</v>
      </c>
      <c r="J20" s="9">
        <v>40.354210049868691</v>
      </c>
      <c r="K20" s="9">
        <v>40.354210049868691</v>
      </c>
      <c r="L20" s="9">
        <v>0</v>
      </c>
      <c r="M20" s="9">
        <v>0.56349527990865378</v>
      </c>
      <c r="N20" s="9">
        <v>0</v>
      </c>
      <c r="O20" s="9">
        <v>0</v>
      </c>
      <c r="P20" s="9">
        <v>6.1336624009149219</v>
      </c>
      <c r="Q20" s="9">
        <v>4.1706603839329262</v>
      </c>
      <c r="R20" s="9">
        <v>3.8337943530446061</v>
      </c>
      <c r="S20" s="9">
        <v>0.32354684978798454</v>
      </c>
      <c r="T20" s="9">
        <v>38.667498918075957</v>
      </c>
      <c r="U20" s="9">
        <v>0.54203856483491741</v>
      </c>
      <c r="V20" s="9">
        <v>0.85305032268290359</v>
      </c>
      <c r="W20" s="10">
        <v>0</v>
      </c>
      <c r="X20" s="10">
        <v>0</v>
      </c>
      <c r="Y20" s="10">
        <v>0</v>
      </c>
      <c r="Z20" s="10">
        <v>5.6737588652482272E-7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1.1773049645390069E-5</v>
      </c>
      <c r="AH20" s="10">
        <v>0</v>
      </c>
      <c r="AI20" s="10">
        <v>2.8368794326241132E-6</v>
      </c>
      <c r="AJ20" s="10">
        <v>6.7088017239992929E-4</v>
      </c>
      <c r="AK20" s="10">
        <v>1.3752888074063351E-2</v>
      </c>
      <c r="AL20" s="10">
        <v>0</v>
      </c>
      <c r="AM20" s="10">
        <v>1.4184397163120568E-7</v>
      </c>
      <c r="AN20" s="10">
        <v>0</v>
      </c>
      <c r="AO20" s="10">
        <v>0</v>
      </c>
      <c r="AP20" s="10">
        <v>0.22733739673962572</v>
      </c>
      <c r="AQ20" s="10">
        <v>3.543995218260669E-3</v>
      </c>
      <c r="AR20" s="10">
        <v>0</v>
      </c>
      <c r="AS20" s="10">
        <v>2.9078014184397158E-5</v>
      </c>
      <c r="AT20" s="10">
        <v>1.4184397163120566E-6</v>
      </c>
      <c r="AU20" s="10">
        <v>0</v>
      </c>
      <c r="AV20" s="10">
        <v>0</v>
      </c>
      <c r="AW20" s="10">
        <v>0</v>
      </c>
      <c r="AX20" s="10">
        <v>1.4184397163120566E-6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3.7789946553877657E-3</v>
      </c>
      <c r="BF20" s="10">
        <v>0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24.023415512777216</v>
      </c>
      <c r="BP20" s="9">
        <v>3.9216159276949547</v>
      </c>
      <c r="BQ20" s="9">
        <v>0</v>
      </c>
      <c r="BR20" s="9">
        <v>62.113024878982323</v>
      </c>
      <c r="BS20" s="9">
        <v>17.269016276193693</v>
      </c>
      <c r="BT20" s="9">
        <v>1.3389057097155561</v>
      </c>
      <c r="BU20" s="9">
        <v>0</v>
      </c>
      <c r="BV20" s="9">
        <v>0</v>
      </c>
      <c r="BW20" s="9">
        <v>0</v>
      </c>
      <c r="BX20" s="9">
        <v>0</v>
      </c>
      <c r="BY20" s="9">
        <v>0</v>
      </c>
      <c r="BZ20" s="9">
        <v>13.093174227925999</v>
      </c>
      <c r="CA20" s="9">
        <v>0</v>
      </c>
      <c r="CB20" s="11">
        <v>61.432752770138791</v>
      </c>
      <c r="CC20" s="12"/>
      <c r="CD20" s="12"/>
      <c r="CE20" s="12"/>
    </row>
    <row r="21" spans="1:83" x14ac:dyDescent="0.35">
      <c r="A21" s="8" t="s">
        <v>113</v>
      </c>
      <c r="B21" s="8" t="s">
        <v>133</v>
      </c>
      <c r="C21" s="8"/>
      <c r="D21" s="9">
        <v>89.033333333333346</v>
      </c>
      <c r="E21" s="9">
        <v>10.966666666666667</v>
      </c>
      <c r="F21" s="9">
        <v>93.318264415193013</v>
      </c>
      <c r="G21" s="9">
        <v>6.6817355848069839</v>
      </c>
      <c r="H21" s="9">
        <v>15.262831968450998</v>
      </c>
      <c r="I21" s="9">
        <v>442.57711745134185</v>
      </c>
      <c r="J21" s="9">
        <v>40.543684729879381</v>
      </c>
      <c r="K21" s="9">
        <v>40.159987649065293</v>
      </c>
      <c r="L21" s="9">
        <v>0</v>
      </c>
      <c r="M21" s="9">
        <v>0.2925348073014607</v>
      </c>
      <c r="N21" s="9">
        <v>0</v>
      </c>
      <c r="O21" s="9">
        <v>0</v>
      </c>
      <c r="P21" s="9">
        <v>6.3088880876869302</v>
      </c>
      <c r="Q21" s="9">
        <v>2.5721300992142635</v>
      </c>
      <c r="R21" s="9">
        <v>1.2197022938945556</v>
      </c>
      <c r="S21" s="9">
        <v>0.60266301973521763</v>
      </c>
      <c r="T21" s="9">
        <v>45.135652601644267</v>
      </c>
      <c r="U21" s="9">
        <v>0.27782235138437777</v>
      </c>
      <c r="V21" s="9">
        <v>0.26870659910011208</v>
      </c>
      <c r="W21" s="10">
        <v>0</v>
      </c>
      <c r="X21" s="10">
        <v>0</v>
      </c>
      <c r="Y21" s="10">
        <v>0</v>
      </c>
      <c r="Z21" s="10">
        <v>1.6436264174596844E-6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1.6518384713279008E-5</v>
      </c>
      <c r="AH21" s="10">
        <v>0</v>
      </c>
      <c r="AI21" s="10">
        <v>7.3050062998208186E-6</v>
      </c>
      <c r="AJ21" s="10">
        <v>3.2872528349193688E-4</v>
      </c>
      <c r="AK21" s="10">
        <v>2.9855452352460731E-3</v>
      </c>
      <c r="AL21" s="10">
        <v>0</v>
      </c>
      <c r="AM21" s="10">
        <v>1.4610012599641637E-6</v>
      </c>
      <c r="AN21" s="10">
        <v>0</v>
      </c>
      <c r="AO21" s="10">
        <v>0</v>
      </c>
      <c r="AP21" s="10">
        <v>9.7063080517408404E-2</v>
      </c>
      <c r="AQ21" s="10">
        <v>3.2872528349193685E-3</v>
      </c>
      <c r="AR21" s="10">
        <v>0</v>
      </c>
      <c r="AS21" s="10">
        <v>4.3658378761689487E-5</v>
      </c>
      <c r="AT21" s="10">
        <v>1.1590834552142889E-5</v>
      </c>
      <c r="AU21" s="10">
        <v>0</v>
      </c>
      <c r="AV21" s="10">
        <v>0</v>
      </c>
      <c r="AW21" s="10">
        <v>0</v>
      </c>
      <c r="AX21" s="10">
        <v>1.4928359324051384E-6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1.8750799349124042E-3</v>
      </c>
      <c r="BF21" s="10">
        <v>0</v>
      </c>
      <c r="BG21" s="9">
        <v>0</v>
      </c>
      <c r="BH21" s="9">
        <v>0</v>
      </c>
      <c r="BI21" s="9">
        <v>14.97526291463268</v>
      </c>
      <c r="BJ21" s="9">
        <v>0</v>
      </c>
      <c r="BK21" s="9">
        <v>8.6746949810372218</v>
      </c>
      <c r="BL21" s="9">
        <v>0</v>
      </c>
      <c r="BM21" s="9">
        <v>0</v>
      </c>
      <c r="BN21" s="9">
        <v>0.54787547248656143</v>
      </c>
      <c r="BO21" s="9">
        <v>7.5672561272880392</v>
      </c>
      <c r="BP21" s="9">
        <v>3.6525031499104101</v>
      </c>
      <c r="BQ21" s="9">
        <v>0</v>
      </c>
      <c r="BR21" s="9">
        <v>82.098505137994565</v>
      </c>
      <c r="BS21" s="9">
        <v>16.692835143833587</v>
      </c>
      <c r="BT21" s="9">
        <v>1.28144611375276</v>
      </c>
      <c r="BU21" s="9">
        <v>17.349389962074444</v>
      </c>
      <c r="BV21" s="9">
        <v>23.37602015942662</v>
      </c>
      <c r="BW21" s="9">
        <v>0</v>
      </c>
      <c r="BX21" s="9">
        <v>0</v>
      </c>
      <c r="BY21" s="9">
        <v>55.700673036133743</v>
      </c>
      <c r="BZ21" s="9">
        <v>14.286600692663717</v>
      </c>
      <c r="CA21" s="9">
        <v>0</v>
      </c>
      <c r="CB21" s="11">
        <v>17.175261648337038</v>
      </c>
      <c r="CC21" s="12"/>
      <c r="CD21" s="12"/>
      <c r="CE21" s="12"/>
    </row>
    <row r="22" spans="1:83" x14ac:dyDescent="0.35">
      <c r="A22" s="8" t="s">
        <v>113</v>
      </c>
      <c r="B22" s="8" t="s">
        <v>134</v>
      </c>
      <c r="C22" s="8"/>
      <c r="D22" s="9">
        <v>87.5</v>
      </c>
      <c r="E22" s="9">
        <v>12.5</v>
      </c>
      <c r="F22" s="9">
        <v>97.6</v>
      </c>
      <c r="G22" s="9">
        <v>2.4</v>
      </c>
      <c r="H22" s="9">
        <v>15.697317524935062</v>
      </c>
      <c r="I22" s="9">
        <v>434.37704918032784</v>
      </c>
      <c r="J22" s="9">
        <v>42.284944062782223</v>
      </c>
      <c r="K22" s="9">
        <v>42.284944062782223</v>
      </c>
      <c r="L22" s="9">
        <v>0</v>
      </c>
      <c r="M22" s="9">
        <v>0.22799999999999998</v>
      </c>
      <c r="N22" s="9">
        <v>0</v>
      </c>
      <c r="O22" s="9">
        <v>0</v>
      </c>
      <c r="P22" s="9">
        <v>6.4380823833403875</v>
      </c>
      <c r="Q22" s="9">
        <v>0.86399999999999999</v>
      </c>
      <c r="R22" s="9">
        <v>0.86399999999999999</v>
      </c>
      <c r="S22" s="9">
        <v>4.8000000000000001E-2</v>
      </c>
      <c r="T22" s="9">
        <v>47.892704189630173</v>
      </c>
      <c r="U22" s="9">
        <v>0.15359999999999999</v>
      </c>
      <c r="V22" s="9">
        <v>0.19885106697186739</v>
      </c>
      <c r="W22" s="10">
        <v>0</v>
      </c>
      <c r="X22" s="10">
        <v>0</v>
      </c>
      <c r="Y22" s="10">
        <v>0</v>
      </c>
      <c r="Z22" s="10">
        <v>2.2400000000000002E-6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2.2400000000000002E-7</v>
      </c>
      <c r="AH22" s="10">
        <v>0</v>
      </c>
      <c r="AI22" s="10">
        <v>7.9999999999999986E-7</v>
      </c>
      <c r="AJ22" s="10">
        <v>4.4000000000000002E-4</v>
      </c>
      <c r="AK22" s="10">
        <v>1.2800000000000001E-3</v>
      </c>
      <c r="AL22" s="10">
        <v>0</v>
      </c>
      <c r="AM22" s="10">
        <v>3.9999999999999993E-7</v>
      </c>
      <c r="AN22" s="10">
        <v>0</v>
      </c>
      <c r="AO22" s="10">
        <v>0</v>
      </c>
      <c r="AP22" s="10">
        <v>7.2000000000000008E-2</v>
      </c>
      <c r="AQ22" s="10">
        <v>4.4000000000000002E-4</v>
      </c>
      <c r="AR22" s="10">
        <v>0</v>
      </c>
      <c r="AS22" s="10">
        <v>2.2079999999999999E-5</v>
      </c>
      <c r="AT22" s="10">
        <v>1.7360000000000002E-6</v>
      </c>
      <c r="AU22" s="10">
        <v>0</v>
      </c>
      <c r="AV22" s="10">
        <v>0</v>
      </c>
      <c r="AW22" s="10">
        <v>0</v>
      </c>
      <c r="AX22" s="10">
        <v>3.1999999999999994E-6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7.6000000000000004E-4</v>
      </c>
      <c r="BF22" s="10">
        <v>0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>
        <v>0</v>
      </c>
      <c r="BO22" s="9">
        <v>5.6</v>
      </c>
      <c r="BP22" s="9">
        <v>2.4</v>
      </c>
      <c r="BQ22" s="9">
        <v>0</v>
      </c>
      <c r="BR22" s="9">
        <v>89.6</v>
      </c>
      <c r="BS22" s="9">
        <v>17.257249600000002</v>
      </c>
      <c r="BT22" s="9">
        <v>1.3377419854400001</v>
      </c>
      <c r="BU22" s="9">
        <v>0</v>
      </c>
      <c r="BV22" s="9">
        <v>0</v>
      </c>
      <c r="BW22" s="9">
        <v>0</v>
      </c>
      <c r="BX22" s="9">
        <v>0</v>
      </c>
      <c r="BY22" s="9">
        <v>64</v>
      </c>
      <c r="BZ22" s="9">
        <v>16.239999999999998</v>
      </c>
      <c r="CA22" s="9">
        <v>0</v>
      </c>
      <c r="CB22" s="11">
        <v>89.6</v>
      </c>
      <c r="CC22" s="12"/>
      <c r="CD22" s="12"/>
      <c r="CE22" s="12"/>
    </row>
    <row r="23" spans="1:83" x14ac:dyDescent="0.35">
      <c r="A23" s="8" t="s">
        <v>113</v>
      </c>
      <c r="B23" s="8" t="s">
        <v>135</v>
      </c>
      <c r="C23" s="8"/>
      <c r="D23" s="9">
        <v>87.55</v>
      </c>
      <c r="E23" s="9">
        <v>12.45</v>
      </c>
      <c r="F23" s="9">
        <v>96.383870967741927</v>
      </c>
      <c r="G23" s="9">
        <v>3.6161290322580646</v>
      </c>
      <c r="H23" s="9">
        <v>15.92741209232452</v>
      </c>
      <c r="I23" s="9">
        <v>428.0771754982984</v>
      </c>
      <c r="J23" s="9">
        <v>42.525046131537856</v>
      </c>
      <c r="K23" s="9">
        <v>40.816225561532619</v>
      </c>
      <c r="L23" s="9">
        <v>0</v>
      </c>
      <c r="M23" s="9">
        <v>5.2936451612903224E-2</v>
      </c>
      <c r="N23" s="9">
        <v>0</v>
      </c>
      <c r="O23" s="9">
        <v>0</v>
      </c>
      <c r="P23" s="9">
        <v>6.4076044126141181</v>
      </c>
      <c r="Q23" s="9">
        <v>1.5144838709677417</v>
      </c>
      <c r="R23" s="9">
        <v>1.141483870967742</v>
      </c>
      <c r="S23" s="9">
        <v>1.2E-2</v>
      </c>
      <c r="T23" s="9">
        <v>46.17949451114383</v>
      </c>
      <c r="U23" s="9">
        <v>0.19808387096774194</v>
      </c>
      <c r="V23" s="9">
        <v>0.25692565853565585</v>
      </c>
      <c r="W23" s="10">
        <v>0</v>
      </c>
      <c r="X23" s="10">
        <v>0</v>
      </c>
      <c r="Y23" s="10">
        <v>0</v>
      </c>
      <c r="Z23" s="10">
        <v>1.1599999999999999E-6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6.8400000000000004E-7</v>
      </c>
      <c r="AH23" s="10">
        <v>0</v>
      </c>
      <c r="AI23" s="10">
        <v>1.1999999999999999E-6</v>
      </c>
      <c r="AJ23" s="10">
        <v>8.6677419354838712E-4</v>
      </c>
      <c r="AK23" s="10">
        <v>2.0090322580645164E-3</v>
      </c>
      <c r="AL23" s="10">
        <v>0</v>
      </c>
      <c r="AM23" s="10">
        <v>5.2E-7</v>
      </c>
      <c r="AN23" s="10">
        <v>0</v>
      </c>
      <c r="AO23" s="10">
        <v>0</v>
      </c>
      <c r="AP23" s="10">
        <v>6.0290322580645164E-2</v>
      </c>
      <c r="AQ23" s="10">
        <v>4.9774193548387104E-4</v>
      </c>
      <c r="AR23" s="10">
        <v>0</v>
      </c>
      <c r="AS23" s="10">
        <v>6.0399999999999998E-5</v>
      </c>
      <c r="AT23" s="10">
        <v>3.3159999999999993E-6</v>
      </c>
      <c r="AU23" s="10">
        <v>0</v>
      </c>
      <c r="AV23" s="10">
        <v>0</v>
      </c>
      <c r="AW23" s="10">
        <v>0</v>
      </c>
      <c r="AX23" s="10">
        <v>1.253032258064516E-6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1.2454838709677419E-3</v>
      </c>
      <c r="BF23" s="10">
        <v>0</v>
      </c>
      <c r="BG23" s="9">
        <v>0</v>
      </c>
      <c r="BH23" s="9">
        <v>0</v>
      </c>
      <c r="BI23" s="9">
        <v>26.400000000000002</v>
      </c>
      <c r="BJ23" s="9">
        <v>0</v>
      </c>
      <c r="BK23" s="9">
        <v>0.84</v>
      </c>
      <c r="BL23" s="9">
        <v>0</v>
      </c>
      <c r="BM23" s="9">
        <v>0</v>
      </c>
      <c r="BN23" s="9">
        <v>2.44</v>
      </c>
      <c r="BO23" s="9">
        <v>7.2354838709677418</v>
      </c>
      <c r="BP23" s="9">
        <v>2.8096774193548386</v>
      </c>
      <c r="BQ23" s="9">
        <v>0</v>
      </c>
      <c r="BR23" s="9">
        <v>86.338709677419359</v>
      </c>
      <c r="BS23" s="9">
        <v>16.557197534918906</v>
      </c>
      <c r="BT23" s="9">
        <v>1.26639013620348</v>
      </c>
      <c r="BU23" s="9">
        <v>4.8</v>
      </c>
      <c r="BV23" s="9">
        <v>4</v>
      </c>
      <c r="BW23" s="9">
        <v>0</v>
      </c>
      <c r="BX23" s="9">
        <v>0</v>
      </c>
      <c r="BY23" s="9">
        <v>35.200000000000003</v>
      </c>
      <c r="BZ23" s="9">
        <v>15.74258064516129</v>
      </c>
      <c r="CA23" s="9">
        <v>0</v>
      </c>
      <c r="CB23" s="11">
        <v>47.858709677419348</v>
      </c>
      <c r="CC23" s="12"/>
      <c r="CD23" s="12"/>
      <c r="CE23" s="12"/>
    </row>
    <row r="24" spans="1:83" x14ac:dyDescent="0.35">
      <c r="A24" s="8" t="s">
        <v>113</v>
      </c>
      <c r="B24" s="8" t="s">
        <v>136</v>
      </c>
      <c r="C24" s="8"/>
      <c r="D24" s="9">
        <v>91.933333333333337</v>
      </c>
      <c r="E24" s="9">
        <v>8.1</v>
      </c>
      <c r="F24" s="9">
        <v>93.00989300989302</v>
      </c>
      <c r="G24" s="9">
        <v>6.9901069901069901</v>
      </c>
      <c r="H24" s="9">
        <v>15.019950414632746</v>
      </c>
      <c r="I24" s="9">
        <v>439.29033816425118</v>
      </c>
      <c r="J24" s="9">
        <v>40.119821516586342</v>
      </c>
      <c r="K24" s="9">
        <v>40.119821516586342</v>
      </c>
      <c r="L24" s="9">
        <v>0</v>
      </c>
      <c r="M24" s="9">
        <v>0.13730730730730731</v>
      </c>
      <c r="N24" s="9">
        <v>0</v>
      </c>
      <c r="O24" s="9">
        <v>0</v>
      </c>
      <c r="P24" s="9">
        <v>6.2309228837050137</v>
      </c>
      <c r="Q24" s="9">
        <v>2.7403026403026405</v>
      </c>
      <c r="R24" s="9">
        <v>1.4713843713843715</v>
      </c>
      <c r="S24" s="9">
        <v>0.25944476944476941</v>
      </c>
      <c r="T24" s="9">
        <v>45.041110098924889</v>
      </c>
      <c r="U24" s="9">
        <v>0.34427115427115423</v>
      </c>
      <c r="V24" s="9">
        <v>0.32689088570355646</v>
      </c>
      <c r="W24" s="10">
        <v>0</v>
      </c>
      <c r="X24" s="10">
        <v>0</v>
      </c>
      <c r="Y24" s="10">
        <v>0</v>
      </c>
      <c r="Z24" s="10">
        <v>3.79002379002379E-5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1.2633412633412632E-5</v>
      </c>
      <c r="AH24" s="10">
        <v>0</v>
      </c>
      <c r="AI24" s="10">
        <v>0</v>
      </c>
      <c r="AJ24" s="10">
        <v>5.1320801320801327E-4</v>
      </c>
      <c r="AK24" s="10">
        <v>4.3261183261183262E-3</v>
      </c>
      <c r="AL24" s="10">
        <v>0</v>
      </c>
      <c r="AM24" s="10">
        <v>2.5266825266825267E-6</v>
      </c>
      <c r="AN24" s="10">
        <v>0</v>
      </c>
      <c r="AO24" s="10">
        <v>0</v>
      </c>
      <c r="AP24" s="10">
        <v>0.12295230295230296</v>
      </c>
      <c r="AQ24" s="10">
        <v>3.2273182273182276E-4</v>
      </c>
      <c r="AR24" s="10">
        <v>7.6190476190476184E-5</v>
      </c>
      <c r="AS24" s="10">
        <v>8.8433888433888427E-5</v>
      </c>
      <c r="AT24" s="10">
        <v>3.79002379002379E-5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1.447115947115947E-3</v>
      </c>
      <c r="BF24" s="10">
        <v>0</v>
      </c>
      <c r="BG24" s="9">
        <v>0</v>
      </c>
      <c r="BH24" s="9">
        <v>0</v>
      </c>
      <c r="BI24" s="9">
        <v>20.817245817245816</v>
      </c>
      <c r="BJ24" s="9">
        <v>0</v>
      </c>
      <c r="BK24" s="9">
        <v>0</v>
      </c>
      <c r="BL24" s="9">
        <v>0</v>
      </c>
      <c r="BM24" s="9">
        <v>0</v>
      </c>
      <c r="BN24" s="9">
        <v>0</v>
      </c>
      <c r="BO24" s="9">
        <v>9.2058292058292057</v>
      </c>
      <c r="BP24" s="9">
        <v>2.5266825266825266</v>
      </c>
      <c r="BQ24" s="9">
        <v>0</v>
      </c>
      <c r="BR24" s="9">
        <v>81.277381277381267</v>
      </c>
      <c r="BS24" s="9">
        <v>16.716238733018734</v>
      </c>
      <c r="BT24" s="9">
        <v>1.2842360106955528</v>
      </c>
      <c r="BU24" s="9">
        <v>10.476190476190476</v>
      </c>
      <c r="BV24" s="9">
        <v>11.795366795366794</v>
      </c>
      <c r="BW24" s="9">
        <v>0</v>
      </c>
      <c r="BX24" s="9">
        <v>0</v>
      </c>
      <c r="BY24" s="9">
        <v>43.088803088803083</v>
      </c>
      <c r="BZ24" s="9">
        <v>15.343070343070343</v>
      </c>
      <c r="CA24" s="9">
        <v>0</v>
      </c>
      <c r="CB24" s="11">
        <v>38.188578188578191</v>
      </c>
      <c r="CC24" s="12"/>
      <c r="CD24" s="12"/>
      <c r="CE24" s="12"/>
    </row>
    <row r="25" spans="1:83" x14ac:dyDescent="0.35">
      <c r="A25" s="8" t="s">
        <v>113</v>
      </c>
      <c r="B25" s="8" t="s">
        <v>137</v>
      </c>
      <c r="C25" s="8"/>
      <c r="D25" s="9">
        <v>85.3</v>
      </c>
      <c r="E25" s="9">
        <v>14.7</v>
      </c>
      <c r="F25" s="9">
        <v>97.959183673469383</v>
      </c>
      <c r="G25" s="9">
        <v>2.0408163265306123</v>
      </c>
      <c r="H25" s="9">
        <v>15.520815968709035</v>
      </c>
      <c r="I25" s="9">
        <v>417.63888888888886</v>
      </c>
      <c r="J25" s="9">
        <v>41.80161432898344</v>
      </c>
      <c r="K25" s="9">
        <v>39.895937324405274</v>
      </c>
      <c r="L25" s="9">
        <v>0</v>
      </c>
      <c r="M25" s="9">
        <v>6.6190476190476202E-2</v>
      </c>
      <c r="N25" s="9">
        <v>0</v>
      </c>
      <c r="O25" s="9">
        <v>0</v>
      </c>
      <c r="P25" s="9">
        <v>6.5305804399209766</v>
      </c>
      <c r="Q25" s="9">
        <v>0.78911564625850339</v>
      </c>
      <c r="R25" s="9">
        <v>0.35374149659863946</v>
      </c>
      <c r="S25" s="9">
        <v>1.3605442176870748E-2</v>
      </c>
      <c r="T25" s="9">
        <v>49.268290156661458</v>
      </c>
      <c r="U25" s="9">
        <v>0.12789115646258503</v>
      </c>
      <c r="V25" s="9">
        <v>7.2467590004324858E-2</v>
      </c>
      <c r="W25" s="10">
        <v>0</v>
      </c>
      <c r="X25" s="10">
        <v>0</v>
      </c>
      <c r="Y25" s="10">
        <v>0</v>
      </c>
      <c r="Z25" s="10">
        <v>2.3809523809523812E-6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3.6734693877551024E-6</v>
      </c>
      <c r="AH25" s="10">
        <v>0</v>
      </c>
      <c r="AI25" s="10">
        <v>1.2244897959183674E-5</v>
      </c>
      <c r="AJ25" s="10">
        <v>4.829931972789115E-4</v>
      </c>
      <c r="AK25" s="10">
        <v>6.8027210884353748E-4</v>
      </c>
      <c r="AL25" s="10">
        <v>0</v>
      </c>
      <c r="AM25" s="10">
        <v>6.8027210884353747E-7</v>
      </c>
      <c r="AN25" s="10">
        <v>0</v>
      </c>
      <c r="AO25" s="10">
        <v>0</v>
      </c>
      <c r="AP25" s="10">
        <v>4.2993197278911571E-2</v>
      </c>
      <c r="AQ25" s="10">
        <v>3.4013605442176874E-4</v>
      </c>
      <c r="AR25" s="10">
        <v>0</v>
      </c>
      <c r="AS25" s="10">
        <v>6.1156462585034021E-5</v>
      </c>
      <c r="AT25" s="10">
        <v>3.9863945578231298E-6</v>
      </c>
      <c r="AU25" s="10">
        <v>0</v>
      </c>
      <c r="AV25" s="10">
        <v>0</v>
      </c>
      <c r="AW25" s="10">
        <v>0</v>
      </c>
      <c r="AX25" s="10">
        <v>1.4421768707482995E-6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8.4353741496598638E-4</v>
      </c>
      <c r="BF25" s="10">
        <v>0</v>
      </c>
      <c r="BG25" s="9">
        <v>0</v>
      </c>
      <c r="BH25" s="9">
        <v>0</v>
      </c>
      <c r="BI25" s="9">
        <v>9.0476190476190492</v>
      </c>
      <c r="BJ25" s="9">
        <v>0</v>
      </c>
      <c r="BK25" s="9">
        <v>4.2857142857142856</v>
      </c>
      <c r="BL25" s="9">
        <v>0</v>
      </c>
      <c r="BM25" s="9">
        <v>0</v>
      </c>
      <c r="BN25" s="9">
        <v>2.72108843537415</v>
      </c>
      <c r="BO25" s="9">
        <v>2.0408163265306123</v>
      </c>
      <c r="BP25" s="9">
        <v>2.0408163265306123</v>
      </c>
      <c r="BQ25" s="9">
        <v>0</v>
      </c>
      <c r="BR25" s="9">
        <v>93.877551020408163</v>
      </c>
      <c r="BS25" s="9">
        <v>16.259199346100289</v>
      </c>
      <c r="BT25" s="9">
        <v>1.2366742711116314</v>
      </c>
      <c r="BU25" s="9">
        <v>44.421768707482997</v>
      </c>
      <c r="BV25" s="9">
        <v>11.360544217687076</v>
      </c>
      <c r="BW25" s="9">
        <v>0</v>
      </c>
      <c r="BX25" s="9">
        <v>0</v>
      </c>
      <c r="BY25" s="9">
        <v>64.829931972789112</v>
      </c>
      <c r="BZ25" s="9">
        <v>15.034013605442178</v>
      </c>
      <c r="CA25" s="9">
        <v>0</v>
      </c>
      <c r="CB25" s="11">
        <v>22.040816326530589</v>
      </c>
      <c r="CC25" s="12"/>
      <c r="CD25" s="12"/>
      <c r="CE25" s="12"/>
    </row>
    <row r="26" spans="1:83" x14ac:dyDescent="0.35">
      <c r="A26" s="8" t="s">
        <v>113</v>
      </c>
      <c r="B26" s="8" t="s">
        <v>138</v>
      </c>
      <c r="C26" s="8"/>
      <c r="D26" s="9">
        <v>93.8</v>
      </c>
      <c r="E26" s="9">
        <v>6.2</v>
      </c>
      <c r="F26" s="9">
        <v>77.41935483870968</v>
      </c>
      <c r="G26" s="9">
        <v>22.58064516129032</v>
      </c>
      <c r="H26" s="9">
        <v>13.429778720302771</v>
      </c>
      <c r="I26" s="9">
        <v>461.89583333333326</v>
      </c>
      <c r="J26" s="9">
        <v>34.900531337736396</v>
      </c>
      <c r="K26" s="9">
        <v>34.900531337736396</v>
      </c>
      <c r="L26" s="9">
        <v>0</v>
      </c>
      <c r="M26" s="9">
        <v>0.83870967741935498</v>
      </c>
      <c r="N26" s="9">
        <v>0</v>
      </c>
      <c r="O26" s="9">
        <v>0</v>
      </c>
      <c r="P26" s="9">
        <v>5.3064331695901732</v>
      </c>
      <c r="Q26" s="9">
        <v>5.064516129032258</v>
      </c>
      <c r="R26" s="9">
        <v>3.290322580645161</v>
      </c>
      <c r="S26" s="9">
        <v>0.35483870967741932</v>
      </c>
      <c r="T26" s="9">
        <v>33.527049969858417</v>
      </c>
      <c r="U26" s="9">
        <v>0.45161290322580638</v>
      </c>
      <c r="V26" s="9">
        <v>0.7445460456895957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1.5967741935483874E-3</v>
      </c>
      <c r="AK26" s="10">
        <v>1.3145161290322581E-2</v>
      </c>
      <c r="AL26" s="10">
        <v>0</v>
      </c>
      <c r="AM26" s="10">
        <v>0</v>
      </c>
      <c r="AN26" s="10">
        <v>0</v>
      </c>
      <c r="AO26" s="10">
        <v>0</v>
      </c>
      <c r="AP26" s="10">
        <v>0.24193548387096772</v>
      </c>
      <c r="AQ26" s="10">
        <v>6.7741935483870966E-3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1.2741935483870967E-2</v>
      </c>
      <c r="BF26" s="10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20.967741935483872</v>
      </c>
      <c r="BP26" s="9">
        <v>3.225806451612903</v>
      </c>
      <c r="BQ26" s="9">
        <v>0</v>
      </c>
      <c r="BR26" s="9">
        <v>54.032258064516128</v>
      </c>
      <c r="BS26" s="9">
        <v>14.89074693548387</v>
      </c>
      <c r="BT26" s="9">
        <v>1.1036948719193547</v>
      </c>
      <c r="BU26" s="9">
        <v>0</v>
      </c>
      <c r="BV26" s="9">
        <v>0</v>
      </c>
      <c r="BW26" s="9">
        <v>0</v>
      </c>
      <c r="BX26" s="9">
        <v>0</v>
      </c>
      <c r="BY26" s="9">
        <v>0</v>
      </c>
      <c r="BZ26" s="9">
        <v>10.64516129032258</v>
      </c>
      <c r="CA26" s="9">
        <v>0</v>
      </c>
      <c r="CB26" s="11">
        <v>53.225806451612904</v>
      </c>
      <c r="CC26" s="12"/>
      <c r="CD26" s="12"/>
      <c r="CE26" s="12"/>
    </row>
    <row r="27" spans="1:83" x14ac:dyDescent="0.35">
      <c r="A27" s="8" t="s">
        <v>113</v>
      </c>
      <c r="B27" s="8" t="s">
        <v>139</v>
      </c>
      <c r="C27" s="8"/>
      <c r="D27" s="9">
        <v>93.8</v>
      </c>
      <c r="E27" s="9">
        <v>6.2</v>
      </c>
      <c r="F27" s="9">
        <v>91.291172595520422</v>
      </c>
      <c r="G27" s="9">
        <v>8.7088274044795781</v>
      </c>
      <c r="H27" s="9">
        <v>15.692028614901158</v>
      </c>
      <c r="I27" s="9">
        <v>459.1174889310563</v>
      </c>
      <c r="J27" s="9">
        <v>40.980970320924513</v>
      </c>
      <c r="K27" s="9">
        <v>40.980970320924513</v>
      </c>
      <c r="L27" s="9">
        <v>0</v>
      </c>
      <c r="M27" s="9">
        <v>0.31859025032938071</v>
      </c>
      <c r="N27" s="9">
        <v>0</v>
      </c>
      <c r="O27" s="9">
        <v>0</v>
      </c>
      <c r="P27" s="9">
        <v>6.2275240790148088</v>
      </c>
      <c r="Q27" s="9">
        <v>4.115678524374176</v>
      </c>
      <c r="R27" s="9">
        <v>3.3230566534914363</v>
      </c>
      <c r="S27" s="9">
        <v>0.21396574440052701</v>
      </c>
      <c r="T27" s="9">
        <v>40.54195765649304</v>
      </c>
      <c r="U27" s="9">
        <v>0.57530961791831348</v>
      </c>
      <c r="V27" s="9">
        <v>0.71532863118761825</v>
      </c>
      <c r="W27" s="10">
        <v>0</v>
      </c>
      <c r="X27" s="10">
        <v>0</v>
      </c>
      <c r="Y27" s="10">
        <v>0</v>
      </c>
      <c r="Z27" s="10">
        <v>9.0909090909090893E-6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1.9090909090909087E-5</v>
      </c>
      <c r="AH27" s="10">
        <v>0</v>
      </c>
      <c r="AI27" s="10">
        <v>9.0909090909090893E-6</v>
      </c>
      <c r="AJ27" s="10">
        <v>3.7437417654808966E-3</v>
      </c>
      <c r="AK27" s="10">
        <v>7.7667984189723318E-3</v>
      </c>
      <c r="AL27" s="10">
        <v>0</v>
      </c>
      <c r="AM27" s="10">
        <v>1.8181818181818181E-6</v>
      </c>
      <c r="AN27" s="10">
        <v>0</v>
      </c>
      <c r="AO27" s="10">
        <v>0</v>
      </c>
      <c r="AP27" s="10">
        <v>0.18511198945981555</v>
      </c>
      <c r="AQ27" s="10">
        <v>3.7272727272727271E-3</v>
      </c>
      <c r="AR27" s="10">
        <v>0</v>
      </c>
      <c r="AS27" s="10">
        <v>7.3636363636363626E-5</v>
      </c>
      <c r="AT27" s="10">
        <v>1.7272727272727271E-5</v>
      </c>
      <c r="AU27" s="10">
        <v>0</v>
      </c>
      <c r="AV27" s="10">
        <v>0</v>
      </c>
      <c r="AW27" s="10">
        <v>0</v>
      </c>
      <c r="AX27" s="10">
        <v>9.0909090909090893E-6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6.3109354413702235E-3</v>
      </c>
      <c r="BF27" s="10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20.144927536231883</v>
      </c>
      <c r="BP27" s="9">
        <v>3.9920948616600791</v>
      </c>
      <c r="BQ27" s="9">
        <v>0</v>
      </c>
      <c r="BR27" s="9">
        <v>66.245059288537547</v>
      </c>
      <c r="BS27" s="9">
        <v>17.361192973649537</v>
      </c>
      <c r="BT27" s="9">
        <v>1.3480219850939394</v>
      </c>
      <c r="BU27" s="9">
        <v>0</v>
      </c>
      <c r="BV27" s="9">
        <v>0</v>
      </c>
      <c r="BW27" s="9">
        <v>0</v>
      </c>
      <c r="BX27" s="9">
        <v>0</v>
      </c>
      <c r="BY27" s="9">
        <v>13.636363636363635</v>
      </c>
      <c r="BZ27" s="9">
        <v>14.500658761528328</v>
      </c>
      <c r="CA27" s="9">
        <v>0</v>
      </c>
      <c r="CB27" s="11">
        <v>67.154150197628468</v>
      </c>
      <c r="CC27" s="12"/>
      <c r="CD27" s="12"/>
      <c r="CE27" s="12"/>
    </row>
    <row r="28" spans="1:83" x14ac:dyDescent="0.35">
      <c r="A28" s="8" t="s">
        <v>113</v>
      </c>
      <c r="B28" s="8" t="s">
        <v>140</v>
      </c>
      <c r="C28" s="8"/>
      <c r="D28" s="9">
        <v>94.4</v>
      </c>
      <c r="E28" s="9">
        <v>5.6</v>
      </c>
      <c r="F28" s="9">
        <v>87.5</v>
      </c>
      <c r="G28" s="9">
        <v>12.5</v>
      </c>
      <c r="H28" s="9">
        <v>15.014607026236371</v>
      </c>
      <c r="I28" s="9">
        <v>462.59183673469386</v>
      </c>
      <c r="J28" s="9">
        <v>38.862261873828373</v>
      </c>
      <c r="K28" s="9">
        <v>38.862261873828373</v>
      </c>
      <c r="L28" s="9">
        <v>0</v>
      </c>
      <c r="M28" s="9">
        <v>0.5178571428571429</v>
      </c>
      <c r="N28" s="9">
        <v>0</v>
      </c>
      <c r="O28" s="9">
        <v>0</v>
      </c>
      <c r="P28" s="9">
        <v>6.074242357300343</v>
      </c>
      <c r="Q28" s="9">
        <v>4.8928571428571432</v>
      </c>
      <c r="R28" s="9">
        <v>3.9285714285714293</v>
      </c>
      <c r="S28" s="9">
        <v>8.6250000000000007E-2</v>
      </c>
      <c r="T28" s="9">
        <v>38.169436107053372</v>
      </c>
      <c r="U28" s="9">
        <v>0.91785714285714304</v>
      </c>
      <c r="V28" s="9">
        <v>0.88772797755297939</v>
      </c>
      <c r="W28" s="10">
        <v>0</v>
      </c>
      <c r="X28" s="10">
        <v>0</v>
      </c>
      <c r="Y28" s="10">
        <v>0</v>
      </c>
      <c r="Z28" s="10">
        <v>1.7857142857142857E-6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6.4285714285714288E-5</v>
      </c>
      <c r="AH28" s="10">
        <v>0</v>
      </c>
      <c r="AI28" s="10">
        <v>3.0357142857142854E-5</v>
      </c>
      <c r="AJ28" s="10">
        <v>9.1071428571428575E-4</v>
      </c>
      <c r="AK28" s="10">
        <v>1.0857142857142859E-2</v>
      </c>
      <c r="AL28" s="10">
        <v>0</v>
      </c>
      <c r="AM28" s="10">
        <v>8.9285714285714284E-7</v>
      </c>
      <c r="AN28" s="10">
        <v>0</v>
      </c>
      <c r="AO28" s="10">
        <v>0</v>
      </c>
      <c r="AP28" s="10">
        <v>0.31428571428571433</v>
      </c>
      <c r="AQ28" s="10">
        <v>3.1250000000000002E-3</v>
      </c>
      <c r="AR28" s="10">
        <v>0</v>
      </c>
      <c r="AS28" s="10">
        <v>7.857142857142858E-5</v>
      </c>
      <c r="AT28" s="10">
        <v>1.9642857142857145E-5</v>
      </c>
      <c r="AU28" s="10">
        <v>0</v>
      </c>
      <c r="AV28" s="10">
        <v>0</v>
      </c>
      <c r="AW28" s="10">
        <v>0</v>
      </c>
      <c r="AX28" s="10">
        <v>1.0357142857142857E-5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5.2678571428571436E-3</v>
      </c>
      <c r="BF28" s="10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25</v>
      </c>
      <c r="BP28" s="9">
        <v>3.5714285714285721</v>
      </c>
      <c r="BQ28" s="9">
        <v>0</v>
      </c>
      <c r="BR28" s="9">
        <v>58.928571428571431</v>
      </c>
      <c r="BS28" s="9">
        <v>16.950631071428571</v>
      </c>
      <c r="BT28" s="9">
        <v>1.3074174129642857</v>
      </c>
      <c r="BU28" s="9">
        <v>16.696428571428573</v>
      </c>
      <c r="BV28" s="9">
        <v>12.946428571428573</v>
      </c>
      <c r="BW28" s="9">
        <v>0</v>
      </c>
      <c r="BX28" s="9">
        <v>0</v>
      </c>
      <c r="BY28" s="9">
        <v>29.642857142857142</v>
      </c>
      <c r="BZ28" s="9">
        <v>14.285714285714286</v>
      </c>
      <c r="CA28" s="9">
        <v>0</v>
      </c>
      <c r="CB28" s="11">
        <v>29.285714285714278</v>
      </c>
      <c r="CC28" s="12"/>
      <c r="CD28" s="12"/>
      <c r="CE28" s="12"/>
    </row>
    <row r="29" spans="1:83" x14ac:dyDescent="0.35">
      <c r="A29" s="8" t="s">
        <v>113</v>
      </c>
      <c r="B29" s="8" t="s">
        <v>141</v>
      </c>
      <c r="C29" s="8"/>
      <c r="D29" s="9">
        <v>87.8</v>
      </c>
      <c r="E29" s="9">
        <v>12.2</v>
      </c>
      <c r="F29" s="9">
        <v>95.901639344262293</v>
      </c>
      <c r="G29" s="9">
        <v>4.0983606557377055</v>
      </c>
      <c r="H29" s="9">
        <v>15.659455081333208</v>
      </c>
      <c r="I29" s="9">
        <v>438.95299145299145</v>
      </c>
      <c r="J29" s="9">
        <v>41.611162662850596</v>
      </c>
      <c r="K29" s="9">
        <v>41.20933036004098</v>
      </c>
      <c r="L29" s="9">
        <v>0</v>
      </c>
      <c r="M29" s="9">
        <v>0.18770491803278688</v>
      </c>
      <c r="N29" s="9">
        <v>0</v>
      </c>
      <c r="O29" s="9">
        <v>0</v>
      </c>
      <c r="P29" s="9">
        <v>6.453506524358553</v>
      </c>
      <c r="Q29" s="9">
        <v>1.581967213114754</v>
      </c>
      <c r="R29" s="9">
        <v>2.0655737704918034</v>
      </c>
      <c r="S29" s="9">
        <v>2.3770491803278688E-2</v>
      </c>
      <c r="T29" s="9">
        <v>45.531889678722443</v>
      </c>
      <c r="U29" s="9">
        <v>0.32868852459016401</v>
      </c>
      <c r="V29" s="9">
        <v>0.46569336527369415</v>
      </c>
      <c r="W29" s="10">
        <v>0</v>
      </c>
      <c r="X29" s="10">
        <v>0</v>
      </c>
      <c r="Y29" s="10">
        <v>0</v>
      </c>
      <c r="Z29" s="10">
        <v>2.7868852459016396E-6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1.1803278688524591E-5</v>
      </c>
      <c r="AH29" s="10">
        <v>0</v>
      </c>
      <c r="AI29" s="10">
        <v>5.7377049180327874E-6</v>
      </c>
      <c r="AJ29" s="10">
        <v>5.0000000000000001E-4</v>
      </c>
      <c r="AK29" s="10">
        <v>2.7049180327868854E-3</v>
      </c>
      <c r="AL29" s="10">
        <v>0</v>
      </c>
      <c r="AM29" s="10">
        <v>7.3770491803278695E-7</v>
      </c>
      <c r="AN29" s="10">
        <v>0</v>
      </c>
      <c r="AO29" s="10">
        <v>0</v>
      </c>
      <c r="AP29" s="10">
        <v>7.8688524590163927E-2</v>
      </c>
      <c r="AQ29" s="10">
        <v>1.8852459016393446E-3</v>
      </c>
      <c r="AR29" s="10">
        <v>0</v>
      </c>
      <c r="AS29" s="10">
        <v>2.9098360655737705E-5</v>
      </c>
      <c r="AT29" s="10">
        <v>2.4590163934426232E-6</v>
      </c>
      <c r="AU29" s="10">
        <v>0</v>
      </c>
      <c r="AV29" s="10">
        <v>0</v>
      </c>
      <c r="AW29" s="10">
        <v>0</v>
      </c>
      <c r="AX29" s="10">
        <v>4.0983606557377053E-6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1.3114754098360656E-3</v>
      </c>
      <c r="BF29" s="10">
        <v>0</v>
      </c>
      <c r="BG29" s="9">
        <v>0</v>
      </c>
      <c r="BH29" s="9">
        <v>0</v>
      </c>
      <c r="BI29" s="9">
        <v>15.655737704918032</v>
      </c>
      <c r="BJ29" s="9">
        <v>0</v>
      </c>
      <c r="BK29" s="9">
        <v>7.0491803278688518</v>
      </c>
      <c r="BL29" s="9">
        <v>0</v>
      </c>
      <c r="BM29" s="9">
        <v>0</v>
      </c>
      <c r="BN29" s="9">
        <v>0.57377049180327877</v>
      </c>
      <c r="BO29" s="9">
        <v>13.114754098360656</v>
      </c>
      <c r="BP29" s="9">
        <v>2.459016393442623</v>
      </c>
      <c r="BQ29" s="9">
        <v>0</v>
      </c>
      <c r="BR29" s="9">
        <v>81.147540983606575</v>
      </c>
      <c r="BS29" s="9">
        <v>17.297551573503675</v>
      </c>
      <c r="BT29" s="9">
        <v>1.3412301047178743</v>
      </c>
      <c r="BU29" s="9">
        <v>15.000000000000002</v>
      </c>
      <c r="BV29" s="9">
        <v>18.360655737704921</v>
      </c>
      <c r="BW29" s="9">
        <v>0</v>
      </c>
      <c r="BX29" s="9">
        <v>0</v>
      </c>
      <c r="BY29" s="9">
        <v>49.016393442622956</v>
      </c>
      <c r="BZ29" s="9">
        <v>15.409836065573771</v>
      </c>
      <c r="CA29" s="9">
        <v>0</v>
      </c>
      <c r="CB29" s="11">
        <v>23.688524590163922</v>
      </c>
      <c r="CC29" s="12"/>
      <c r="CD29" s="12"/>
      <c r="CE29" s="12"/>
    </row>
    <row r="30" spans="1:83" x14ac:dyDescent="0.35">
      <c r="A30" s="8" t="s">
        <v>113</v>
      </c>
      <c r="B30" s="8" t="s">
        <v>142</v>
      </c>
      <c r="C30" s="8"/>
      <c r="D30" s="9">
        <v>92.550000000000011</v>
      </c>
      <c r="E30" s="9">
        <v>7.4499999999999993</v>
      </c>
      <c r="F30" s="9">
        <v>93.337024732373564</v>
      </c>
      <c r="G30" s="9">
        <v>6.6629752676264307</v>
      </c>
      <c r="H30" s="9">
        <v>16.229120157019175</v>
      </c>
      <c r="I30" s="9">
        <v>441.29708686440677</v>
      </c>
      <c r="J30" s="9">
        <v>42.28298904960738</v>
      </c>
      <c r="K30" s="9">
        <v>39.657051080265923</v>
      </c>
      <c r="L30" s="9">
        <v>0</v>
      </c>
      <c r="M30" s="9">
        <v>0.10146179401993358</v>
      </c>
      <c r="N30" s="9">
        <v>0</v>
      </c>
      <c r="O30" s="9">
        <v>0</v>
      </c>
      <c r="P30" s="9">
        <v>6.4060805888814372</v>
      </c>
      <c r="Q30" s="9">
        <v>2.9201734957548915</v>
      </c>
      <c r="R30" s="9">
        <v>2.3521594684385381</v>
      </c>
      <c r="S30" s="9">
        <v>7.6688815060908078E-2</v>
      </c>
      <c r="T30" s="9">
        <v>42.064072834277553</v>
      </c>
      <c r="U30" s="9">
        <v>0.39478589885566628</v>
      </c>
      <c r="V30" s="9">
        <v>0.5220194419497588</v>
      </c>
      <c r="W30" s="10">
        <v>0</v>
      </c>
      <c r="X30" s="10">
        <v>0</v>
      </c>
      <c r="Y30" s="10">
        <v>0</v>
      </c>
      <c r="Z30" s="10">
        <v>5.5555555555555562E-7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4.769841269841269E-6</v>
      </c>
      <c r="AH30" s="10">
        <v>0</v>
      </c>
      <c r="AI30" s="10">
        <v>1.7718715393133996E-5</v>
      </c>
      <c r="AJ30" s="10">
        <v>1.1238464377999265E-3</v>
      </c>
      <c r="AK30" s="10">
        <v>5.6060354374307866E-3</v>
      </c>
      <c r="AL30" s="10">
        <v>0</v>
      </c>
      <c r="AM30" s="10">
        <v>5.5555555555555562E-7</v>
      </c>
      <c r="AN30" s="10">
        <v>0</v>
      </c>
      <c r="AO30" s="10">
        <v>0</v>
      </c>
      <c r="AP30" s="10">
        <v>0.16193244739756368</v>
      </c>
      <c r="AQ30" s="10">
        <v>1.3750461424880032E-3</v>
      </c>
      <c r="AR30" s="10">
        <v>4.0697674418604647E-4</v>
      </c>
      <c r="AS30" s="10">
        <v>1.2321889996308601E-4</v>
      </c>
      <c r="AT30" s="10">
        <v>3.9682539682539681E-6</v>
      </c>
      <c r="AU30" s="10">
        <v>0</v>
      </c>
      <c r="AV30" s="10">
        <v>0</v>
      </c>
      <c r="AW30" s="10">
        <v>0</v>
      </c>
      <c r="AX30" s="10">
        <v>1.3750461424880031E-6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2.1520856404577335E-3</v>
      </c>
      <c r="BF30" s="10">
        <v>0</v>
      </c>
      <c r="BG30" s="9">
        <v>0</v>
      </c>
      <c r="BH30" s="9">
        <v>0</v>
      </c>
      <c r="BI30" s="9">
        <v>0.8462532299741603</v>
      </c>
      <c r="BJ30" s="9">
        <v>0.79365079365079383</v>
      </c>
      <c r="BK30" s="9">
        <v>8.7366186784791449</v>
      </c>
      <c r="BL30" s="9">
        <v>0</v>
      </c>
      <c r="BM30" s="9">
        <v>0</v>
      </c>
      <c r="BN30" s="9">
        <v>3.7495385751199706</v>
      </c>
      <c r="BO30" s="9">
        <v>14.700996677740866</v>
      </c>
      <c r="BP30" s="9">
        <v>4.7065337763012183</v>
      </c>
      <c r="BQ30" s="9">
        <v>0</v>
      </c>
      <c r="BR30" s="9">
        <v>73.929494278331489</v>
      </c>
      <c r="BS30" s="9">
        <v>16.477100563055661</v>
      </c>
      <c r="BT30" s="9">
        <v>1.2573325209722883</v>
      </c>
      <c r="BU30" s="9">
        <v>22.381875230712442</v>
      </c>
      <c r="BV30" s="9">
        <v>15.794573643410853</v>
      </c>
      <c r="BW30" s="9">
        <v>0</v>
      </c>
      <c r="BX30" s="9">
        <v>0</v>
      </c>
      <c r="BY30" s="9">
        <v>39.022702104097455</v>
      </c>
      <c r="BZ30" s="9">
        <v>14.563492063492063</v>
      </c>
      <c r="CA30" s="9">
        <v>0</v>
      </c>
      <c r="CB30" s="11">
        <v>21.626984126984119</v>
      </c>
      <c r="CC30" s="12"/>
      <c r="CD30" s="12"/>
      <c r="CE30" s="12"/>
    </row>
    <row r="31" spans="1:83" x14ac:dyDescent="0.35">
      <c r="A31" s="8" t="s">
        <v>113</v>
      </c>
      <c r="B31" s="8" t="s">
        <v>143</v>
      </c>
      <c r="C31" s="8"/>
      <c r="D31" s="9">
        <v>81.37</v>
      </c>
      <c r="E31" s="9">
        <v>18.629999999999995</v>
      </c>
      <c r="F31" s="9">
        <v>97.643105419356331</v>
      </c>
      <c r="G31" s="9">
        <v>2.3568945806436714</v>
      </c>
      <c r="H31" s="9">
        <v>15.142208078179197</v>
      </c>
      <c r="I31" s="9">
        <v>427.10996753993919</v>
      </c>
      <c r="J31" s="9">
        <v>41.032172535140113</v>
      </c>
      <c r="K31" s="9">
        <v>41.032172535140113</v>
      </c>
      <c r="L31" s="9">
        <v>0</v>
      </c>
      <c r="M31" s="9">
        <v>6.3615079044308714E-2</v>
      </c>
      <c r="N31" s="9">
        <v>0</v>
      </c>
      <c r="O31" s="9">
        <v>0</v>
      </c>
      <c r="P31" s="9">
        <v>6.4734584737882512</v>
      </c>
      <c r="Q31" s="9">
        <v>1.0946828412069705</v>
      </c>
      <c r="R31" s="9">
        <v>0.52071087912976199</v>
      </c>
      <c r="S31" s="9">
        <v>5.1387461459403922E-3</v>
      </c>
      <c r="T31" s="9">
        <v>49.565465743064514</v>
      </c>
      <c r="U31" s="9">
        <v>0.11262341651558369</v>
      </c>
      <c r="V31" s="9">
        <v>0.11556240390492442</v>
      </c>
      <c r="W31" s="10">
        <v>0</v>
      </c>
      <c r="X31" s="10">
        <v>0</v>
      </c>
      <c r="Y31" s="10">
        <v>0</v>
      </c>
      <c r="Z31" s="10">
        <v>1.3103802672148E-6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1.2846865364850981E-7</v>
      </c>
      <c r="AH31" s="10">
        <v>0</v>
      </c>
      <c r="AI31" s="10">
        <v>4.3679342240493337E-7</v>
      </c>
      <c r="AJ31" s="10">
        <v>3.2631038026721486E-4</v>
      </c>
      <c r="AK31" s="10">
        <v>1.9362102613254501E-3</v>
      </c>
      <c r="AL31" s="10">
        <v>0</v>
      </c>
      <c r="AM31" s="10">
        <v>5.9095580678314509E-7</v>
      </c>
      <c r="AN31" s="10">
        <v>0</v>
      </c>
      <c r="AO31" s="10">
        <v>0</v>
      </c>
      <c r="AP31" s="10">
        <v>3.5401341847870027E-2</v>
      </c>
      <c r="AQ31" s="10">
        <v>1.824254881808839E-4</v>
      </c>
      <c r="AR31" s="10">
        <v>0</v>
      </c>
      <c r="AS31" s="10">
        <v>2.2995889003083259E-6</v>
      </c>
      <c r="AT31" s="10">
        <v>1.2846865364850979E-6</v>
      </c>
      <c r="AU31" s="10">
        <v>0</v>
      </c>
      <c r="AV31" s="10">
        <v>0</v>
      </c>
      <c r="AW31" s="10">
        <v>0</v>
      </c>
      <c r="AX31" s="10">
        <v>1.1726676443756713E-6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2.9221566566971148E-4</v>
      </c>
      <c r="BF31" s="10">
        <v>0</v>
      </c>
      <c r="BG31" s="9">
        <v>0</v>
      </c>
      <c r="BH31" s="9">
        <v>0</v>
      </c>
      <c r="BI31" s="9">
        <v>0.38540596094552937</v>
      </c>
      <c r="BJ31" s="9">
        <v>0</v>
      </c>
      <c r="BK31" s="9">
        <v>0</v>
      </c>
      <c r="BL31" s="9">
        <v>0</v>
      </c>
      <c r="BM31" s="9">
        <v>0</v>
      </c>
      <c r="BN31" s="9">
        <v>0</v>
      </c>
      <c r="BO31" s="9">
        <v>3.2544429945610132</v>
      </c>
      <c r="BP31" s="9">
        <v>1.534695197293209</v>
      </c>
      <c r="BQ31" s="9">
        <v>0</v>
      </c>
      <c r="BR31" s="9">
        <v>84.118098779403454</v>
      </c>
      <c r="BS31" s="9">
        <v>16.973696068945806</v>
      </c>
      <c r="BT31" s="9">
        <v>1.3096985412187405</v>
      </c>
      <c r="BU31" s="9">
        <v>20.889003083247694</v>
      </c>
      <c r="BV31" s="9">
        <v>18.49948612538541</v>
      </c>
      <c r="BW31" s="9">
        <v>0</v>
      </c>
      <c r="BX31" s="9">
        <v>0</v>
      </c>
      <c r="BY31" s="9">
        <v>38.540596094552946</v>
      </c>
      <c r="BZ31" s="9">
        <v>15.6020416411654</v>
      </c>
      <c r="CA31" s="9">
        <v>0</v>
      </c>
      <c r="CB31" s="11">
        <v>53.080072057923473</v>
      </c>
      <c r="CC31" s="12"/>
      <c r="CD31" s="12"/>
      <c r="CE31" s="12"/>
    </row>
    <row r="32" spans="1:83" x14ac:dyDescent="0.35">
      <c r="A32" s="8" t="s">
        <v>113</v>
      </c>
      <c r="B32" s="8" t="s">
        <v>144</v>
      </c>
      <c r="C32" s="8"/>
      <c r="D32" s="9">
        <v>96.4</v>
      </c>
      <c r="E32" s="9">
        <v>3.6</v>
      </c>
      <c r="F32" s="9">
        <v>88.888888888888886</v>
      </c>
      <c r="G32" s="9">
        <v>11.111111111111112</v>
      </c>
      <c r="H32" s="9">
        <v>15.015690665990453</v>
      </c>
      <c r="I32" s="9">
        <v>447.54687500000006</v>
      </c>
      <c r="J32" s="9">
        <v>39.375887367134716</v>
      </c>
      <c r="K32" s="9">
        <v>38.792273784482653</v>
      </c>
      <c r="L32" s="9">
        <v>0</v>
      </c>
      <c r="M32" s="9">
        <v>0.57499999999999996</v>
      </c>
      <c r="N32" s="9">
        <v>0</v>
      </c>
      <c r="O32" s="9">
        <v>0</v>
      </c>
      <c r="P32" s="9">
        <v>6.0480663795622442</v>
      </c>
      <c r="Q32" s="9">
        <v>3.7777777777777777</v>
      </c>
      <c r="R32" s="9">
        <v>3.166666666666667</v>
      </c>
      <c r="S32" s="9">
        <v>0.27777777777777779</v>
      </c>
      <c r="T32" s="9">
        <v>40.047333183000227</v>
      </c>
      <c r="U32" s="9">
        <v>0.70277777777777772</v>
      </c>
      <c r="V32" s="9">
        <v>0.69045509365231739</v>
      </c>
      <c r="W32" s="10">
        <v>0</v>
      </c>
      <c r="X32" s="10">
        <v>0</v>
      </c>
      <c r="Y32" s="10">
        <v>0</v>
      </c>
      <c r="Z32" s="10">
        <v>4.7222222222222214E-5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2.7777777777777779E-6</v>
      </c>
      <c r="AH32" s="10">
        <v>0</v>
      </c>
      <c r="AI32" s="10">
        <v>4.7222222222222214E-5</v>
      </c>
      <c r="AJ32" s="10">
        <v>7.7777777777777773E-4</v>
      </c>
      <c r="AK32" s="10">
        <v>6.1111111111111106E-3</v>
      </c>
      <c r="AL32" s="10">
        <v>0</v>
      </c>
      <c r="AM32" s="10">
        <v>1.0277777777777777E-5</v>
      </c>
      <c r="AN32" s="10">
        <v>0</v>
      </c>
      <c r="AO32" s="10">
        <v>0</v>
      </c>
      <c r="AP32" s="10">
        <v>0.25638888888888889</v>
      </c>
      <c r="AQ32" s="10">
        <v>2.7777777777777779E-3</v>
      </c>
      <c r="AR32" s="10">
        <v>0</v>
      </c>
      <c r="AS32" s="10">
        <v>1.6666666666666664E-5</v>
      </c>
      <c r="AT32" s="10">
        <v>8.333333333333332E-6</v>
      </c>
      <c r="AU32" s="10">
        <v>0</v>
      </c>
      <c r="AV32" s="10">
        <v>0</v>
      </c>
      <c r="AW32" s="10">
        <v>0</v>
      </c>
      <c r="AX32" s="10">
        <v>8.333333333333332E-6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3.5833333333333333E-3</v>
      </c>
      <c r="BF32" s="10">
        <v>0</v>
      </c>
      <c r="BG32" s="9">
        <v>0</v>
      </c>
      <c r="BH32" s="9">
        <v>0</v>
      </c>
      <c r="BI32" s="9">
        <v>0</v>
      </c>
      <c r="BJ32" s="9">
        <v>0</v>
      </c>
      <c r="BK32" s="9">
        <v>10.833333333333334</v>
      </c>
      <c r="BL32" s="9">
        <v>0</v>
      </c>
      <c r="BM32" s="9">
        <v>0</v>
      </c>
      <c r="BN32" s="9">
        <v>0.83333333333333337</v>
      </c>
      <c r="BO32" s="9">
        <v>19.444444444444443</v>
      </c>
      <c r="BP32" s="9">
        <v>2.7777777777777781</v>
      </c>
      <c r="BQ32" s="9">
        <v>0</v>
      </c>
      <c r="BR32" s="9">
        <v>66.666666666666657</v>
      </c>
      <c r="BS32" s="9">
        <v>16.476452033828053</v>
      </c>
      <c r="BT32" s="9">
        <v>1.2597981894789279</v>
      </c>
      <c r="BU32" s="9">
        <v>19.722222222222221</v>
      </c>
      <c r="BV32" s="9">
        <v>8.6111111111111107</v>
      </c>
      <c r="BW32" s="9">
        <v>0</v>
      </c>
      <c r="BX32" s="9">
        <v>0</v>
      </c>
      <c r="BY32" s="9">
        <v>28.333333333333332</v>
      </c>
      <c r="BZ32" s="9">
        <v>13.888888888888889</v>
      </c>
      <c r="CA32" s="9">
        <v>0</v>
      </c>
      <c r="CB32" s="11">
        <v>26.666666666666671</v>
      </c>
      <c r="CC32" s="12"/>
      <c r="CD32" s="12"/>
      <c r="CE32" s="12"/>
    </row>
    <row r="33" spans="1:83" x14ac:dyDescent="0.35">
      <c r="A33" s="8" t="s">
        <v>113</v>
      </c>
      <c r="B33" s="8" t="s">
        <v>145</v>
      </c>
      <c r="C33" s="8"/>
      <c r="D33" s="9">
        <v>92.6</v>
      </c>
      <c r="E33" s="9">
        <v>7.4</v>
      </c>
      <c r="F33" s="9">
        <v>95.945945945945951</v>
      </c>
      <c r="G33" s="9">
        <v>4.0540540540540535</v>
      </c>
      <c r="H33" s="9">
        <v>18.046345354609848</v>
      </c>
      <c r="I33" s="9">
        <v>513.50704225352115</v>
      </c>
      <c r="J33" s="9">
        <v>45.428311096477785</v>
      </c>
      <c r="K33" s="9">
        <v>45.428311096477785</v>
      </c>
      <c r="L33" s="9">
        <v>0</v>
      </c>
      <c r="M33" s="9">
        <v>0.47432432432432425</v>
      </c>
      <c r="N33" s="9">
        <v>0</v>
      </c>
      <c r="O33" s="9">
        <v>0</v>
      </c>
      <c r="P33" s="9">
        <v>7.0051359327301999</v>
      </c>
      <c r="Q33" s="9">
        <v>2.3648648648648649</v>
      </c>
      <c r="R33" s="9">
        <v>1.0810810810810809</v>
      </c>
      <c r="S33" s="9">
        <v>4.0540540540540536E-2</v>
      </c>
      <c r="T33" s="9">
        <v>42.324915224354754</v>
      </c>
      <c r="U33" s="9">
        <v>0.2797297297297297</v>
      </c>
      <c r="V33" s="9">
        <v>0.23992648041972417</v>
      </c>
      <c r="W33" s="10">
        <v>0</v>
      </c>
      <c r="X33" s="10">
        <v>0</v>
      </c>
      <c r="Y33" s="10">
        <v>0</v>
      </c>
      <c r="Z33" s="10">
        <v>5.4054054054054048E-7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4.7297297297297294E-7</v>
      </c>
      <c r="AH33" s="10">
        <v>0</v>
      </c>
      <c r="AI33" s="10">
        <v>2.7027027027027026E-6</v>
      </c>
      <c r="AJ33" s="10">
        <v>7.1621621621621625E-4</v>
      </c>
      <c r="AK33" s="10">
        <v>1.0810810810810811E-3</v>
      </c>
      <c r="AL33" s="10">
        <v>0</v>
      </c>
      <c r="AM33" s="10">
        <v>1.7567567567567565E-6</v>
      </c>
      <c r="AN33" s="10">
        <v>0</v>
      </c>
      <c r="AO33" s="10">
        <v>0</v>
      </c>
      <c r="AP33" s="10">
        <v>0.12162162162162164</v>
      </c>
      <c r="AQ33" s="10">
        <v>5.4054054054054055E-4</v>
      </c>
      <c r="AR33" s="10">
        <v>0</v>
      </c>
      <c r="AS33" s="10">
        <v>8.9864864864864857E-5</v>
      </c>
      <c r="AT33" s="10">
        <v>5.4054054054054052E-6</v>
      </c>
      <c r="AU33" s="10">
        <v>0</v>
      </c>
      <c r="AV33" s="10">
        <v>0</v>
      </c>
      <c r="AW33" s="10">
        <v>0</v>
      </c>
      <c r="AX33" s="10">
        <v>1.6216216216216214E-6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1.756756756756757E-3</v>
      </c>
      <c r="BF33" s="10">
        <v>0</v>
      </c>
      <c r="BG33" s="9">
        <v>0</v>
      </c>
      <c r="BH33" s="9">
        <v>0</v>
      </c>
      <c r="BI33" s="9">
        <v>5.4054054054054053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  <c r="BO33" s="9">
        <v>6.7567567567567561</v>
      </c>
      <c r="BP33" s="9">
        <v>14.864864864864865</v>
      </c>
      <c r="BQ33" s="9">
        <v>0</v>
      </c>
      <c r="BR33" s="9">
        <v>74.324324324324323</v>
      </c>
      <c r="BS33" s="9">
        <v>19.057973378378378</v>
      </c>
      <c r="BT33" s="9">
        <v>1.5158335671216217</v>
      </c>
      <c r="BU33" s="9">
        <v>18.918918918918916</v>
      </c>
      <c r="BV33" s="9">
        <v>18.918918918918916</v>
      </c>
      <c r="BW33" s="9">
        <v>0</v>
      </c>
      <c r="BX33" s="9">
        <v>0</v>
      </c>
      <c r="BY33" s="9">
        <v>43.243243243243242</v>
      </c>
      <c r="BZ33" s="9">
        <v>17.837837837837839</v>
      </c>
      <c r="CA33" s="9">
        <v>0</v>
      </c>
      <c r="CB33" s="11">
        <v>31.081081081081095</v>
      </c>
      <c r="CC33" s="12"/>
      <c r="CD33" s="12"/>
      <c r="CE33" s="12"/>
    </row>
    <row r="34" spans="1:83" x14ac:dyDescent="0.35">
      <c r="A34" s="8" t="s">
        <v>113</v>
      </c>
      <c r="B34" s="8" t="s">
        <v>146</v>
      </c>
      <c r="C34" s="8"/>
      <c r="D34" s="9">
        <v>90.2</v>
      </c>
      <c r="E34" s="9">
        <v>9.8000000000000007</v>
      </c>
      <c r="F34" s="9">
        <v>96.938775510204081</v>
      </c>
      <c r="G34" s="9">
        <v>3.0612244897959178</v>
      </c>
      <c r="H34" s="9">
        <v>15.020649601817412</v>
      </c>
      <c r="I34" s="9">
        <v>428.12631578947355</v>
      </c>
      <c r="J34" s="9">
        <v>40.496842714333901</v>
      </c>
      <c r="K34" s="9">
        <v>40.496842714333901</v>
      </c>
      <c r="L34" s="9">
        <v>0</v>
      </c>
      <c r="M34" s="9">
        <v>4.469387755102041E-2</v>
      </c>
      <c r="N34" s="9">
        <v>0</v>
      </c>
      <c r="O34" s="9">
        <v>0</v>
      </c>
      <c r="P34" s="9">
        <v>6.4799466760870033</v>
      </c>
      <c r="Q34" s="9">
        <v>1.4897959183673468</v>
      </c>
      <c r="R34" s="9">
        <v>1.3061224489795917</v>
      </c>
      <c r="S34" s="9">
        <v>6.8367346938775511E-2</v>
      </c>
      <c r="T34" s="9">
        <v>48.52719112816915</v>
      </c>
      <c r="U34" s="9">
        <v>0.20204081632653062</v>
      </c>
      <c r="V34" s="9">
        <v>0.28987036001729943</v>
      </c>
      <c r="W34" s="10">
        <v>0</v>
      </c>
      <c r="X34" s="10">
        <v>0</v>
      </c>
      <c r="Y34" s="10">
        <v>0</v>
      </c>
      <c r="Z34" s="10">
        <v>3.0612244897959182E-5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1.0204081632653061E-5</v>
      </c>
      <c r="AH34" s="10">
        <v>0</v>
      </c>
      <c r="AI34" s="10">
        <v>0</v>
      </c>
      <c r="AJ34" s="10">
        <v>3.0612244897959182E-4</v>
      </c>
      <c r="AK34" s="10">
        <v>3.0612244897959182E-3</v>
      </c>
      <c r="AL34" s="10">
        <v>0</v>
      </c>
      <c r="AM34" s="10">
        <v>2.0408163265306121E-6</v>
      </c>
      <c r="AN34" s="10">
        <v>0</v>
      </c>
      <c r="AO34" s="10">
        <v>0</v>
      </c>
      <c r="AP34" s="10">
        <v>8.5714285714285715E-2</v>
      </c>
      <c r="AQ34" s="10">
        <v>3.7755102040816323E-4</v>
      </c>
      <c r="AR34" s="10">
        <v>0</v>
      </c>
      <c r="AS34" s="10">
        <v>7.142857142857142E-5</v>
      </c>
      <c r="AT34" s="10">
        <v>3.0612244897959182E-5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1.0204081632653062E-3</v>
      </c>
      <c r="BF34" s="10">
        <v>0</v>
      </c>
      <c r="BG34" s="9">
        <v>0</v>
      </c>
      <c r="BH34" s="9">
        <v>0</v>
      </c>
      <c r="BI34" s="9">
        <v>23.469387755102037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8.1632653061224492</v>
      </c>
      <c r="BP34" s="9">
        <v>1.0204081632653061</v>
      </c>
      <c r="BQ34" s="9">
        <v>0</v>
      </c>
      <c r="BR34" s="9">
        <v>87.755102040816311</v>
      </c>
      <c r="BS34" s="9">
        <v>17.085512040816326</v>
      </c>
      <c r="BT34" s="9">
        <v>1.3207571408367347</v>
      </c>
      <c r="BU34" s="9">
        <v>35.714285714285708</v>
      </c>
      <c r="BV34" s="9">
        <v>18.367346938775508</v>
      </c>
      <c r="BW34" s="9">
        <v>0</v>
      </c>
      <c r="BX34" s="9">
        <v>0</v>
      </c>
      <c r="BY34" s="9">
        <v>77.551020408163254</v>
      </c>
      <c r="BZ34" s="9">
        <v>16.224489795918366</v>
      </c>
      <c r="CA34" s="9">
        <v>0</v>
      </c>
      <c r="CB34" s="11">
        <v>10.204081632653057</v>
      </c>
      <c r="CC34" s="12"/>
      <c r="CD34" s="12"/>
      <c r="CE34" s="12"/>
    </row>
    <row r="35" spans="1:83" x14ac:dyDescent="0.35">
      <c r="A35" s="8" t="s">
        <v>113</v>
      </c>
      <c r="B35" s="8" t="s">
        <v>147</v>
      </c>
      <c r="C35" s="8"/>
      <c r="D35" s="9">
        <v>88.7</v>
      </c>
      <c r="E35" s="9">
        <v>11.3</v>
      </c>
      <c r="F35" s="9">
        <v>97.345132743362825</v>
      </c>
      <c r="G35" s="9">
        <v>2.6548672566371678</v>
      </c>
      <c r="H35" s="9">
        <v>15.725219116980378</v>
      </c>
      <c r="I35" s="9">
        <v>434.94545454545448</v>
      </c>
      <c r="J35" s="9">
        <v>42.045142966290356</v>
      </c>
      <c r="K35" s="9">
        <v>41.549329657134621</v>
      </c>
      <c r="L35" s="9">
        <v>0</v>
      </c>
      <c r="M35" s="9">
        <v>0.25044247787610618</v>
      </c>
      <c r="N35" s="9">
        <v>0</v>
      </c>
      <c r="O35" s="9">
        <v>0</v>
      </c>
      <c r="P35" s="9">
        <v>6.513314904814882</v>
      </c>
      <c r="Q35" s="9">
        <v>1.2831858407079644</v>
      </c>
      <c r="R35" s="9">
        <v>1.2743362831858405</v>
      </c>
      <c r="S35" s="9">
        <v>1.7699115044247787E-2</v>
      </c>
      <c r="T35" s="9">
        <v>47.386797457873108</v>
      </c>
      <c r="U35" s="9">
        <v>0.17256637168141592</v>
      </c>
      <c r="V35" s="9">
        <v>0.28281599284873682</v>
      </c>
      <c r="W35" s="10">
        <v>0</v>
      </c>
      <c r="X35" s="10">
        <v>0</v>
      </c>
      <c r="Y35" s="10">
        <v>0</v>
      </c>
      <c r="Z35" s="10">
        <v>1.061946902654867E-6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2.6548672566371676E-7</v>
      </c>
      <c r="AH35" s="10">
        <v>0</v>
      </c>
      <c r="AI35" s="10">
        <v>8.8495575221238928E-7</v>
      </c>
      <c r="AJ35" s="10">
        <v>3.7168141592920358E-4</v>
      </c>
      <c r="AK35" s="10">
        <v>1.1504424778761061E-3</v>
      </c>
      <c r="AL35" s="10">
        <v>0</v>
      </c>
      <c r="AM35" s="10">
        <v>3.5398230088495575E-7</v>
      </c>
      <c r="AN35" s="10">
        <v>0</v>
      </c>
      <c r="AO35" s="10">
        <v>0</v>
      </c>
      <c r="AP35" s="10">
        <v>8.8495575221238937E-2</v>
      </c>
      <c r="AQ35" s="10">
        <v>3.1858407079646018E-4</v>
      </c>
      <c r="AR35" s="10">
        <v>0</v>
      </c>
      <c r="AS35" s="10">
        <v>2.7079646017699112E-5</v>
      </c>
      <c r="AT35" s="10">
        <v>0</v>
      </c>
      <c r="AU35" s="10">
        <v>0</v>
      </c>
      <c r="AV35" s="10">
        <v>0</v>
      </c>
      <c r="AW35" s="10">
        <v>0</v>
      </c>
      <c r="AX35" s="10">
        <v>1.9469026548672563E-6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6.1946902654867264E-4</v>
      </c>
      <c r="BF35" s="10">
        <v>0</v>
      </c>
      <c r="BG35" s="9">
        <v>0</v>
      </c>
      <c r="BH35" s="9">
        <v>0</v>
      </c>
      <c r="BI35" s="9">
        <v>17.699115044247787</v>
      </c>
      <c r="BJ35" s="9">
        <v>0</v>
      </c>
      <c r="BK35" s="9">
        <v>0.44247787610619471</v>
      </c>
      <c r="BL35" s="9">
        <v>0</v>
      </c>
      <c r="BM35" s="9">
        <v>0</v>
      </c>
      <c r="BN35" s="9">
        <v>0.70796460176991149</v>
      </c>
      <c r="BO35" s="9">
        <v>7.9646017699115044</v>
      </c>
      <c r="BP35" s="9">
        <v>2.6548672566371678</v>
      </c>
      <c r="BQ35" s="9">
        <v>0</v>
      </c>
      <c r="BR35" s="9">
        <v>86.725663716814154</v>
      </c>
      <c r="BS35" s="9">
        <v>17.208259427620266</v>
      </c>
      <c r="BT35" s="9">
        <v>1.332282698099609</v>
      </c>
      <c r="BU35" s="9">
        <v>8.8495575221238933</v>
      </c>
      <c r="BV35" s="9">
        <v>17.699115044247787</v>
      </c>
      <c r="BW35" s="9">
        <v>0</v>
      </c>
      <c r="BX35" s="9">
        <v>0</v>
      </c>
      <c r="BY35" s="9">
        <v>44.247787610619469</v>
      </c>
      <c r="BZ35" s="9">
        <v>15.929203539823007</v>
      </c>
      <c r="CA35" s="9">
        <v>0</v>
      </c>
      <c r="CB35" s="11">
        <v>41.327433628318573</v>
      </c>
      <c r="CC35" s="12"/>
      <c r="CD35" s="12"/>
      <c r="CE35" s="12"/>
    </row>
    <row r="36" spans="1:83" x14ac:dyDescent="0.35">
      <c r="A36" s="8" t="s">
        <v>113</v>
      </c>
      <c r="B36" s="8" t="s">
        <v>148</v>
      </c>
      <c r="C36" s="8"/>
      <c r="D36" s="9">
        <v>83.7</v>
      </c>
      <c r="E36" s="9">
        <v>16.3</v>
      </c>
      <c r="F36" s="9">
        <v>95.705521472392633</v>
      </c>
      <c r="G36" s="9">
        <v>4.2944785276073612</v>
      </c>
      <c r="H36" s="9">
        <v>15.725596012985743</v>
      </c>
      <c r="I36" s="9">
        <v>450.91025641025641</v>
      </c>
      <c r="J36" s="9">
        <v>41.60534419255341</v>
      </c>
      <c r="K36" s="9">
        <v>41.60534419255341</v>
      </c>
      <c r="L36" s="9">
        <v>0</v>
      </c>
      <c r="M36" s="9">
        <v>0.19447852760736195</v>
      </c>
      <c r="N36" s="9">
        <v>0</v>
      </c>
      <c r="O36" s="9">
        <v>0</v>
      </c>
      <c r="P36" s="9">
        <v>6.5287341470715088</v>
      </c>
      <c r="Q36" s="9">
        <v>1.6564417177914113</v>
      </c>
      <c r="R36" s="9">
        <v>0.94478527607361962</v>
      </c>
      <c r="S36" s="9">
        <v>1.6871165644171779E-2</v>
      </c>
      <c r="T36" s="9">
        <v>46.493146283241849</v>
      </c>
      <c r="U36" s="9">
        <v>0.20122699386503065</v>
      </c>
      <c r="V36" s="9">
        <v>0.21784735645471889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4.1717791411042947E-7</v>
      </c>
      <c r="AH36" s="10">
        <v>0</v>
      </c>
      <c r="AI36" s="10">
        <v>0</v>
      </c>
      <c r="AJ36" s="10">
        <v>0</v>
      </c>
      <c r="AK36" s="10">
        <v>1.656441717791411E-3</v>
      </c>
      <c r="AL36" s="10">
        <v>0</v>
      </c>
      <c r="AM36" s="10">
        <v>0</v>
      </c>
      <c r="AN36" s="10">
        <v>0</v>
      </c>
      <c r="AO36" s="10">
        <v>0</v>
      </c>
      <c r="AP36" s="10">
        <v>8.0981595092024544E-2</v>
      </c>
      <c r="AQ36" s="10">
        <v>0</v>
      </c>
      <c r="AR36" s="10">
        <v>0</v>
      </c>
      <c r="AS36" s="10">
        <v>1.9631901840490797E-5</v>
      </c>
      <c r="AT36" s="10">
        <v>1.2269938650306748E-6</v>
      </c>
      <c r="AU36" s="10">
        <v>0</v>
      </c>
      <c r="AV36" s="10">
        <v>0</v>
      </c>
      <c r="AW36" s="10">
        <v>0</v>
      </c>
      <c r="AX36" s="10">
        <v>1.840490797546012E-6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1.8098159509202455E-3</v>
      </c>
      <c r="BF36" s="10">
        <v>0</v>
      </c>
      <c r="BG36" s="9">
        <v>0</v>
      </c>
      <c r="BH36" s="9">
        <v>0</v>
      </c>
      <c r="BI36" s="9">
        <v>1.7975460122699385</v>
      </c>
      <c r="BJ36" s="9">
        <v>0</v>
      </c>
      <c r="BK36" s="9">
        <v>0</v>
      </c>
      <c r="BL36" s="9">
        <v>0</v>
      </c>
      <c r="BM36" s="9">
        <v>0</v>
      </c>
      <c r="BN36" s="9">
        <v>0</v>
      </c>
      <c r="BO36" s="9">
        <v>6.1349693251533743</v>
      </c>
      <c r="BP36" s="9">
        <v>4.9079754601226995</v>
      </c>
      <c r="BQ36" s="9">
        <v>0</v>
      </c>
      <c r="BR36" s="9">
        <v>85.276073619631902</v>
      </c>
      <c r="BS36" s="9">
        <v>17.368889386503067</v>
      </c>
      <c r="BT36" s="9">
        <v>1.3487831603251534</v>
      </c>
      <c r="BU36" s="9">
        <v>20.736196319018404</v>
      </c>
      <c r="BV36" s="9">
        <v>18.711656441717789</v>
      </c>
      <c r="BW36" s="9">
        <v>0</v>
      </c>
      <c r="BX36" s="9">
        <v>0</v>
      </c>
      <c r="BY36" s="9">
        <v>41.226993865030671</v>
      </c>
      <c r="BZ36" s="9">
        <v>15.889570552147239</v>
      </c>
      <c r="CA36" s="9">
        <v>0</v>
      </c>
      <c r="CB36" s="11">
        <v>43.417177914110425</v>
      </c>
      <c r="CC36" s="12"/>
      <c r="CD36" s="12"/>
      <c r="CE36" s="12"/>
    </row>
    <row r="37" spans="1:83" x14ac:dyDescent="0.35">
      <c r="A37" s="8" t="s">
        <v>113</v>
      </c>
      <c r="B37" s="8" t="s">
        <v>149</v>
      </c>
      <c r="C37" s="8"/>
      <c r="D37" s="9">
        <v>90.1</v>
      </c>
      <c r="E37" s="9">
        <v>9.9</v>
      </c>
      <c r="F37" s="9">
        <v>95.959595959595958</v>
      </c>
      <c r="G37" s="9">
        <v>4.0404040404040407</v>
      </c>
      <c r="H37" s="9">
        <v>16.568721997546856</v>
      </c>
      <c r="I37" s="9">
        <v>441.76315789473676</v>
      </c>
      <c r="J37" s="9">
        <v>43.299669906156751</v>
      </c>
      <c r="K37" s="9">
        <v>40.540769333619728</v>
      </c>
      <c r="L37" s="9">
        <v>0</v>
      </c>
      <c r="M37" s="9">
        <v>0.20606060606060606</v>
      </c>
      <c r="N37" s="9">
        <v>0</v>
      </c>
      <c r="O37" s="9">
        <v>0</v>
      </c>
      <c r="P37" s="9">
        <v>6.5991927267936559</v>
      </c>
      <c r="Q37" s="9">
        <v>1.8888888888888888</v>
      </c>
      <c r="R37" s="9">
        <v>1.0909090909090908</v>
      </c>
      <c r="S37" s="9">
        <v>4.0404040404040401E-2</v>
      </c>
      <c r="T37" s="9">
        <v>44.817968977848558</v>
      </c>
      <c r="U37" s="9">
        <v>0.22929292929292927</v>
      </c>
      <c r="V37" s="9">
        <v>0.25107457950993356</v>
      </c>
      <c r="W37" s="10">
        <v>0</v>
      </c>
      <c r="X37" s="10">
        <v>0</v>
      </c>
      <c r="Y37" s="10">
        <v>0</v>
      </c>
      <c r="Z37" s="10">
        <v>3.2323232323232324E-6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6.575757575757575E-6</v>
      </c>
      <c r="AH37" s="10">
        <v>0</v>
      </c>
      <c r="AI37" s="10">
        <v>3.0303030303030296E-6</v>
      </c>
      <c r="AJ37" s="10">
        <v>3.9393939393939391E-4</v>
      </c>
      <c r="AK37" s="10">
        <v>2.7272727272727275E-3</v>
      </c>
      <c r="AL37" s="10">
        <v>0</v>
      </c>
      <c r="AM37" s="10">
        <v>4.0404040404040405E-7</v>
      </c>
      <c r="AN37" s="10">
        <v>0</v>
      </c>
      <c r="AO37" s="10">
        <v>0</v>
      </c>
      <c r="AP37" s="10">
        <v>0.12525252525252525</v>
      </c>
      <c r="AQ37" s="10">
        <v>4.3434343434343436E-3</v>
      </c>
      <c r="AR37" s="10">
        <v>0</v>
      </c>
      <c r="AS37" s="10">
        <v>3.7979797979797979E-5</v>
      </c>
      <c r="AT37" s="10">
        <v>3.0303030303030296E-6</v>
      </c>
      <c r="AU37" s="10">
        <v>0</v>
      </c>
      <c r="AV37" s="10">
        <v>0</v>
      </c>
      <c r="AW37" s="10">
        <v>0</v>
      </c>
      <c r="AX37" s="10">
        <v>2.0202020202020202E-6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1.0101010101010101E-3</v>
      </c>
      <c r="BF37" s="10">
        <v>0</v>
      </c>
      <c r="BG37" s="9">
        <v>0</v>
      </c>
      <c r="BH37" s="9">
        <v>0</v>
      </c>
      <c r="BI37" s="9">
        <v>0.80808080808080807</v>
      </c>
      <c r="BJ37" s="9">
        <v>0</v>
      </c>
      <c r="BK37" s="9">
        <v>5.9595959595959593</v>
      </c>
      <c r="BL37" s="9">
        <v>0</v>
      </c>
      <c r="BM37" s="9">
        <v>0</v>
      </c>
      <c r="BN37" s="9">
        <v>3.939393939393939</v>
      </c>
      <c r="BO37" s="9">
        <v>7.0707070707070701</v>
      </c>
      <c r="BP37" s="9">
        <v>6.0606060606060597</v>
      </c>
      <c r="BQ37" s="9">
        <v>0</v>
      </c>
      <c r="BR37" s="9">
        <v>82.828282828282823</v>
      </c>
      <c r="BS37" s="9">
        <v>16.601528689267177</v>
      </c>
      <c r="BT37" s="9">
        <v>1.2694737631260995</v>
      </c>
      <c r="BU37" s="9">
        <v>24.141414141414142</v>
      </c>
      <c r="BV37" s="9">
        <v>21.212121212121211</v>
      </c>
      <c r="BW37" s="9">
        <v>0</v>
      </c>
      <c r="BX37" s="9">
        <v>0</v>
      </c>
      <c r="BY37" s="9">
        <v>46.161616161616166</v>
      </c>
      <c r="BZ37" s="9">
        <v>16.060606060606059</v>
      </c>
      <c r="CA37" s="9">
        <v>0</v>
      </c>
      <c r="CB37" s="11">
        <v>26.767676767676761</v>
      </c>
      <c r="CC37" s="12"/>
      <c r="CD37" s="12"/>
      <c r="CE37" s="12"/>
    </row>
    <row r="38" spans="1:83" x14ac:dyDescent="0.35">
      <c r="A38" s="8" t="s">
        <v>113</v>
      </c>
      <c r="B38" s="8" t="s">
        <v>150</v>
      </c>
      <c r="C38" s="8"/>
      <c r="D38" s="9">
        <v>89.3</v>
      </c>
      <c r="E38" s="9">
        <v>10.7</v>
      </c>
      <c r="F38" s="9">
        <v>92.523364485981304</v>
      </c>
      <c r="G38" s="9">
        <v>7.4766355140186924</v>
      </c>
      <c r="H38" s="9">
        <v>15.927235177514511</v>
      </c>
      <c r="I38" s="9">
        <v>448.4595959595959</v>
      </c>
      <c r="J38" s="9">
        <v>41.747113251748978</v>
      </c>
      <c r="K38" s="9">
        <v>40.765333393081953</v>
      </c>
      <c r="L38" s="9">
        <v>0</v>
      </c>
      <c r="M38" s="9">
        <v>0.39532710280373834</v>
      </c>
      <c r="N38" s="9">
        <v>0</v>
      </c>
      <c r="O38" s="9">
        <v>0</v>
      </c>
      <c r="P38" s="9">
        <v>6.2648548881586521</v>
      </c>
      <c r="Q38" s="9">
        <v>2.2056074766355143</v>
      </c>
      <c r="R38" s="9">
        <v>2.9065420560747666</v>
      </c>
      <c r="S38" s="9">
        <v>8.411214953271029E-2</v>
      </c>
      <c r="T38" s="9">
        <v>41.390382006838529</v>
      </c>
      <c r="U38" s="9">
        <v>0.42616822429906548</v>
      </c>
      <c r="V38" s="9">
        <v>0.6305357597572564</v>
      </c>
      <c r="W38" s="10">
        <v>0</v>
      </c>
      <c r="X38" s="10">
        <v>0</v>
      </c>
      <c r="Y38" s="10">
        <v>0</v>
      </c>
      <c r="Z38" s="10">
        <v>1.4018691588785047E-6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2.3457943925233643E-5</v>
      </c>
      <c r="AH38" s="10">
        <v>0</v>
      </c>
      <c r="AI38" s="10">
        <v>7.4766355140186919E-6</v>
      </c>
      <c r="AJ38" s="10">
        <v>4.9532710280373834E-4</v>
      </c>
      <c r="AK38" s="10">
        <v>8.41121495327103E-3</v>
      </c>
      <c r="AL38" s="10">
        <v>0</v>
      </c>
      <c r="AM38" s="10">
        <v>1.5887850467289721E-6</v>
      </c>
      <c r="AN38" s="10">
        <v>0</v>
      </c>
      <c r="AO38" s="10">
        <v>0</v>
      </c>
      <c r="AP38" s="10">
        <v>9.3457943925233655E-2</v>
      </c>
      <c r="AQ38" s="10">
        <v>1.7757009345794395E-3</v>
      </c>
      <c r="AR38" s="10">
        <v>9.3457943925233641E-5</v>
      </c>
      <c r="AS38" s="10">
        <v>2.9906542056074768E-5</v>
      </c>
      <c r="AT38" s="10">
        <v>7.6355140186915878E-6</v>
      </c>
      <c r="AU38" s="10">
        <v>0</v>
      </c>
      <c r="AV38" s="10">
        <v>0</v>
      </c>
      <c r="AW38" s="10">
        <v>0</v>
      </c>
      <c r="AX38" s="10">
        <v>5.2149532710280373E-6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2.7102803738317757E-3</v>
      </c>
      <c r="BF38" s="10">
        <v>0</v>
      </c>
      <c r="BG38" s="9">
        <v>0</v>
      </c>
      <c r="BH38" s="9">
        <v>0</v>
      </c>
      <c r="BI38" s="9">
        <v>2.429906542056075</v>
      </c>
      <c r="BJ38" s="9">
        <v>0.93457943925233655</v>
      </c>
      <c r="BK38" s="9">
        <v>11.028037383177571</v>
      </c>
      <c r="BL38" s="9">
        <v>0</v>
      </c>
      <c r="BM38" s="9">
        <v>0</v>
      </c>
      <c r="BN38" s="9">
        <v>1.4018691588785046</v>
      </c>
      <c r="BO38" s="9">
        <v>17.75700934579439</v>
      </c>
      <c r="BP38" s="9">
        <v>3.7383177570093462</v>
      </c>
      <c r="BQ38" s="9">
        <v>0</v>
      </c>
      <c r="BR38" s="9">
        <v>71.028037383177562</v>
      </c>
      <c r="BS38" s="9">
        <v>17.002908793626709</v>
      </c>
      <c r="BT38" s="9">
        <v>1.3113715581943546</v>
      </c>
      <c r="BU38" s="9">
        <v>5.9813084112149539</v>
      </c>
      <c r="BV38" s="9">
        <v>3.7383177570093462</v>
      </c>
      <c r="BW38" s="9">
        <v>0</v>
      </c>
      <c r="BX38" s="9">
        <v>0</v>
      </c>
      <c r="BY38" s="9">
        <v>12.149532710280376</v>
      </c>
      <c r="BZ38" s="9">
        <v>14.672897196261683</v>
      </c>
      <c r="CA38" s="9">
        <v>0</v>
      </c>
      <c r="CB38" s="11">
        <v>45.514018691588774</v>
      </c>
      <c r="CC38" s="12"/>
      <c r="CD38" s="12"/>
      <c r="CE38" s="12"/>
    </row>
    <row r="39" spans="1:83" x14ac:dyDescent="0.35">
      <c r="A39" s="8" t="s">
        <v>113</v>
      </c>
      <c r="B39" s="8" t="s">
        <v>151</v>
      </c>
      <c r="C39" s="8"/>
      <c r="D39" s="9">
        <v>68</v>
      </c>
      <c r="E39" s="9">
        <v>32</v>
      </c>
      <c r="F39" s="9">
        <v>91.25</v>
      </c>
      <c r="G39" s="9">
        <v>8.75</v>
      </c>
      <c r="H39" s="9">
        <v>23.431862897586626</v>
      </c>
      <c r="I39" s="9">
        <v>689</v>
      </c>
      <c r="J39" s="9">
        <v>53.758359495640526</v>
      </c>
      <c r="K39" s="9">
        <v>53.758359495640526</v>
      </c>
      <c r="L39" s="9">
        <v>0</v>
      </c>
      <c r="M39" s="9">
        <v>3.7812499999999999E-2</v>
      </c>
      <c r="N39" s="9">
        <v>0</v>
      </c>
      <c r="O39" s="9">
        <v>0</v>
      </c>
      <c r="P39" s="9">
        <v>7.8125035665328202</v>
      </c>
      <c r="Q39" s="9">
        <v>1.40625</v>
      </c>
      <c r="R39" s="9">
        <v>0.95</v>
      </c>
      <c r="S39" s="9">
        <v>1.8749999999999999E-2</v>
      </c>
      <c r="T39" s="9">
        <v>28.63554776814491</v>
      </c>
      <c r="U39" s="9">
        <v>0.14531250000000001</v>
      </c>
      <c r="V39" s="9">
        <v>0.21083539466883264</v>
      </c>
      <c r="W39" s="10">
        <v>0</v>
      </c>
      <c r="X39" s="10">
        <v>0</v>
      </c>
      <c r="Y39" s="10">
        <v>0</v>
      </c>
      <c r="Z39" s="10">
        <v>4.9999999999999998E-7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1.21875E-6</v>
      </c>
      <c r="AH39" s="10">
        <v>0</v>
      </c>
      <c r="AI39" s="10">
        <v>2.1874999999999998E-6</v>
      </c>
      <c r="AJ39" s="10">
        <v>5.9374999999999999E-4</v>
      </c>
      <c r="AK39" s="10">
        <v>1.25E-3</v>
      </c>
      <c r="AL39" s="10">
        <v>0</v>
      </c>
      <c r="AM39" s="10">
        <v>3.1249999999999997E-6</v>
      </c>
      <c r="AN39" s="10">
        <v>0</v>
      </c>
      <c r="AO39" s="10">
        <v>0</v>
      </c>
      <c r="AP39" s="10">
        <v>7.8125E-2</v>
      </c>
      <c r="AQ39" s="10">
        <v>4.4374999999999992E-4</v>
      </c>
      <c r="AR39" s="10">
        <v>0</v>
      </c>
      <c r="AS39" s="10">
        <v>1.8656250000000001E-4</v>
      </c>
      <c r="AT39" s="10">
        <v>3.0218750000000002E-6</v>
      </c>
      <c r="AU39" s="10">
        <v>0</v>
      </c>
      <c r="AV39" s="10">
        <v>0</v>
      </c>
      <c r="AW39" s="10">
        <v>0</v>
      </c>
      <c r="AX39" s="10">
        <v>2.4999999999999998E-6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2E-3</v>
      </c>
      <c r="BF39" s="10">
        <v>0</v>
      </c>
      <c r="BG39" s="9">
        <v>0</v>
      </c>
      <c r="BH39" s="9">
        <v>0</v>
      </c>
      <c r="BI39" s="9">
        <v>0.3125</v>
      </c>
      <c r="BJ39" s="9">
        <v>0.15625</v>
      </c>
      <c r="BK39" s="9">
        <v>0</v>
      </c>
      <c r="BL39" s="9">
        <v>0</v>
      </c>
      <c r="BM39" s="9">
        <v>0</v>
      </c>
      <c r="BN39" s="9">
        <v>0</v>
      </c>
      <c r="BO39" s="9">
        <v>5.9375</v>
      </c>
      <c r="BP39" s="9">
        <v>40.9375</v>
      </c>
      <c r="BQ39" s="9">
        <v>0</v>
      </c>
      <c r="BR39" s="9">
        <v>44.375</v>
      </c>
      <c r="BS39" s="9">
        <v>22.40172046875</v>
      </c>
      <c r="BT39" s="9">
        <v>1.8465301543593748</v>
      </c>
      <c r="BU39" s="9">
        <v>0.625</v>
      </c>
      <c r="BV39" s="9">
        <v>0.3125</v>
      </c>
      <c r="BW39" s="9">
        <v>0</v>
      </c>
      <c r="BX39" s="9">
        <v>0</v>
      </c>
      <c r="BY39" s="9">
        <v>1.25</v>
      </c>
      <c r="BZ39" s="9">
        <v>22.21875</v>
      </c>
      <c r="CA39" s="9">
        <v>0</v>
      </c>
      <c r="CB39" s="11">
        <v>42.96875</v>
      </c>
      <c r="CC39" s="12"/>
      <c r="CD39" s="12"/>
      <c r="CE39" s="12"/>
    </row>
    <row r="40" spans="1:83" x14ac:dyDescent="0.35">
      <c r="A40" s="8" t="s">
        <v>113</v>
      </c>
      <c r="B40" s="8" t="s">
        <v>152</v>
      </c>
      <c r="C40" s="8"/>
      <c r="D40" s="9">
        <v>88.8</v>
      </c>
      <c r="E40" s="9">
        <v>11.2</v>
      </c>
      <c r="F40" s="9">
        <v>93.75</v>
      </c>
      <c r="G40" s="9">
        <v>6.25</v>
      </c>
      <c r="H40" s="9">
        <v>15.419122358146494</v>
      </c>
      <c r="I40" s="9">
        <v>442.14285714285711</v>
      </c>
      <c r="J40" s="9">
        <v>41.083149589309741</v>
      </c>
      <c r="K40" s="9">
        <v>41.083149589309741</v>
      </c>
      <c r="L40" s="9">
        <v>0</v>
      </c>
      <c r="M40" s="9">
        <v>0.12678571428571428</v>
      </c>
      <c r="N40" s="9">
        <v>0</v>
      </c>
      <c r="O40" s="9">
        <v>0</v>
      </c>
      <c r="P40" s="9">
        <v>6.2535558850207869</v>
      </c>
      <c r="Q40" s="9">
        <v>2.3125000000000004</v>
      </c>
      <c r="R40" s="9">
        <v>1.8660714285714288</v>
      </c>
      <c r="S40" s="9">
        <v>8.9285714285714298E-3</v>
      </c>
      <c r="T40" s="9">
        <v>44.373195396968306</v>
      </c>
      <c r="U40" s="9">
        <v>0.19553571428571428</v>
      </c>
      <c r="V40" s="9">
        <v>0.41215941814959772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6.9642857142857147E-4</v>
      </c>
      <c r="AK40" s="10">
        <v>3.4821428571428581E-3</v>
      </c>
      <c r="AL40" s="10">
        <v>0</v>
      </c>
      <c r="AM40" s="10">
        <v>0</v>
      </c>
      <c r="AN40" s="10">
        <v>0</v>
      </c>
      <c r="AO40" s="10">
        <v>0</v>
      </c>
      <c r="AP40" s="10">
        <v>8.9285714285714288E-2</v>
      </c>
      <c r="AQ40" s="10">
        <v>6.8750000000000007E-4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1.7857142857142859E-3</v>
      </c>
      <c r="BF40" s="10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</v>
      </c>
      <c r="BM40" s="9">
        <v>0</v>
      </c>
      <c r="BN40" s="9">
        <v>0</v>
      </c>
      <c r="BO40" s="9">
        <v>11.607142857142859</v>
      </c>
      <c r="BP40" s="9">
        <v>2.6785714285714288</v>
      </c>
      <c r="BQ40" s="9">
        <v>0</v>
      </c>
      <c r="BR40" s="9">
        <v>79.464285714285722</v>
      </c>
      <c r="BS40" s="9">
        <v>17.023715803571431</v>
      </c>
      <c r="BT40" s="9">
        <v>1.3146454929732145</v>
      </c>
      <c r="BU40" s="9">
        <v>0</v>
      </c>
      <c r="BV40" s="9">
        <v>0</v>
      </c>
      <c r="BW40" s="9">
        <v>0</v>
      </c>
      <c r="BX40" s="9">
        <v>0</v>
      </c>
      <c r="BY40" s="9">
        <v>0</v>
      </c>
      <c r="BZ40" s="9">
        <v>15.178571428571429</v>
      </c>
      <c r="CA40" s="9">
        <v>0</v>
      </c>
      <c r="CB40" s="11">
        <v>79.464285714285708</v>
      </c>
      <c r="CC40" s="12"/>
      <c r="CD40" s="12"/>
      <c r="CE40" s="12"/>
    </row>
    <row r="41" spans="1:83" x14ac:dyDescent="0.35">
      <c r="A41" s="8" t="s">
        <v>113</v>
      </c>
      <c r="B41" s="8" t="s">
        <v>153</v>
      </c>
      <c r="C41" s="8"/>
      <c r="D41" s="9">
        <v>86.7</v>
      </c>
      <c r="E41" s="9">
        <v>13.3</v>
      </c>
      <c r="F41" s="9">
        <v>95.488721804511272</v>
      </c>
      <c r="G41" s="9">
        <v>4.5112781954887211</v>
      </c>
      <c r="H41" s="9">
        <v>15.267222615199028</v>
      </c>
      <c r="I41" s="9">
        <v>420.57480314960628</v>
      </c>
      <c r="J41" s="9">
        <v>40.947916951823899</v>
      </c>
      <c r="K41" s="9">
        <v>39.052269826217199</v>
      </c>
      <c r="L41" s="9">
        <v>0</v>
      </c>
      <c r="M41" s="9">
        <v>6.4436090225563916E-2</v>
      </c>
      <c r="N41" s="9">
        <v>0</v>
      </c>
      <c r="O41" s="9">
        <v>0</v>
      </c>
      <c r="P41" s="9">
        <v>6.3936009974889565</v>
      </c>
      <c r="Q41" s="9">
        <v>1.0526315789473684</v>
      </c>
      <c r="R41" s="9">
        <v>0.64661654135338331</v>
      </c>
      <c r="S41" s="9">
        <v>2.2556390977443608E-2</v>
      </c>
      <c r="T41" s="9">
        <v>47.48644300379722</v>
      </c>
      <c r="U41" s="9">
        <v>0.14736842105263159</v>
      </c>
      <c r="V41" s="9">
        <v>0.13349292895533527</v>
      </c>
      <c r="W41" s="10">
        <v>0</v>
      </c>
      <c r="X41" s="10">
        <v>0</v>
      </c>
      <c r="Y41" s="10">
        <v>0</v>
      </c>
      <c r="Z41" s="10">
        <v>1.5037593984962406E-7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5.2631578947368416E-7</v>
      </c>
      <c r="AH41" s="10">
        <v>0</v>
      </c>
      <c r="AI41" s="10">
        <v>2.2556390977443606E-6</v>
      </c>
      <c r="AJ41" s="10">
        <v>4.7368421052631577E-4</v>
      </c>
      <c r="AK41" s="10">
        <v>1.0526315789473684E-3</v>
      </c>
      <c r="AL41" s="10">
        <v>0</v>
      </c>
      <c r="AM41" s="10">
        <v>3.0075187969924812E-7</v>
      </c>
      <c r="AN41" s="10">
        <v>0</v>
      </c>
      <c r="AO41" s="10">
        <v>0</v>
      </c>
      <c r="AP41" s="10">
        <v>3.7593984962406013E-2</v>
      </c>
      <c r="AQ41" s="10">
        <v>7.5187969924812024E-4</v>
      </c>
      <c r="AR41" s="10">
        <v>0</v>
      </c>
      <c r="AS41" s="10">
        <v>5.0150375939849617E-5</v>
      </c>
      <c r="AT41" s="10">
        <v>3.759398496240601E-6</v>
      </c>
      <c r="AU41" s="10">
        <v>0</v>
      </c>
      <c r="AV41" s="10">
        <v>0</v>
      </c>
      <c r="AW41" s="10">
        <v>0</v>
      </c>
      <c r="AX41" s="10">
        <v>8.5714285714285713E-7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6.8421052631578944E-4</v>
      </c>
      <c r="BF41" s="10">
        <v>0</v>
      </c>
      <c r="BG41" s="9">
        <v>0</v>
      </c>
      <c r="BH41" s="9">
        <v>0</v>
      </c>
      <c r="BI41" s="9">
        <v>0</v>
      </c>
      <c r="BJ41" s="9">
        <v>0</v>
      </c>
      <c r="BK41" s="9">
        <v>3.233082706766917</v>
      </c>
      <c r="BL41" s="9">
        <v>0</v>
      </c>
      <c r="BM41" s="9">
        <v>0</v>
      </c>
      <c r="BN41" s="9">
        <v>2.7067669172932329</v>
      </c>
      <c r="BO41" s="9">
        <v>3.7593984962406015</v>
      </c>
      <c r="BP41" s="9">
        <v>2.2556390977443606</v>
      </c>
      <c r="BQ41" s="9">
        <v>0</v>
      </c>
      <c r="BR41" s="9">
        <v>89.473684210526315</v>
      </c>
      <c r="BS41" s="9">
        <v>15.985191309173526</v>
      </c>
      <c r="BT41" s="9">
        <v>1.2095873001765101</v>
      </c>
      <c r="BU41" s="9">
        <v>21.127819548872179</v>
      </c>
      <c r="BV41" s="9">
        <v>32.481203007518801</v>
      </c>
      <c r="BW41" s="9">
        <v>0</v>
      </c>
      <c r="BX41" s="9">
        <v>0</v>
      </c>
      <c r="BY41" s="9">
        <v>53.609022556390975</v>
      </c>
      <c r="BZ41" s="9">
        <v>15.563909774436091</v>
      </c>
      <c r="CA41" s="9">
        <v>0</v>
      </c>
      <c r="CB41" s="11">
        <v>29.924812030075174</v>
      </c>
      <c r="CC41" s="12"/>
      <c r="CD41" s="12"/>
      <c r="CE41" s="12"/>
    </row>
    <row r="42" spans="1:83" x14ac:dyDescent="0.35">
      <c r="A42" s="8" t="s">
        <v>113</v>
      </c>
      <c r="B42" s="8" t="s">
        <v>154</v>
      </c>
      <c r="C42" s="8"/>
      <c r="D42" s="9">
        <v>85.9</v>
      </c>
      <c r="E42" s="9">
        <v>14.1</v>
      </c>
      <c r="F42" s="9">
        <v>94.326241134751768</v>
      </c>
      <c r="G42" s="9">
        <v>5.6737588652482271</v>
      </c>
      <c r="H42" s="9">
        <v>15.438517388497985</v>
      </c>
      <c r="I42" s="9">
        <v>437.92857142857133</v>
      </c>
      <c r="J42" s="9">
        <v>41.23731190422285</v>
      </c>
      <c r="K42" s="9">
        <v>41.088304180992537</v>
      </c>
      <c r="L42" s="9">
        <v>0</v>
      </c>
      <c r="M42" s="9">
        <v>0.19929078014184401</v>
      </c>
      <c r="N42" s="9">
        <v>0</v>
      </c>
      <c r="O42" s="9">
        <v>0</v>
      </c>
      <c r="P42" s="9">
        <v>6.2653045036397064</v>
      </c>
      <c r="Q42" s="9">
        <v>2.3404255319148937</v>
      </c>
      <c r="R42" s="9">
        <v>1.9148936170212769</v>
      </c>
      <c r="S42" s="9">
        <v>0.30496453900709225</v>
      </c>
      <c r="T42" s="9">
        <v>44.704503755232366</v>
      </c>
      <c r="U42" s="9">
        <v>0.25673758865248231</v>
      </c>
      <c r="V42" s="9">
        <v>0.4281241310184582</v>
      </c>
      <c r="W42" s="10">
        <v>0</v>
      </c>
      <c r="X42" s="10">
        <v>0</v>
      </c>
      <c r="Y42" s="10">
        <v>0</v>
      </c>
      <c r="Z42" s="10">
        <v>1.6312056737588652E-6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2.7872340425531914E-5</v>
      </c>
      <c r="AH42" s="10">
        <v>0</v>
      </c>
      <c r="AI42" s="10">
        <v>1.9148936170212769E-5</v>
      </c>
      <c r="AJ42" s="10">
        <v>8.5106382978723414E-4</v>
      </c>
      <c r="AK42" s="10">
        <v>4.2553191489361694E-3</v>
      </c>
      <c r="AL42" s="10">
        <v>0</v>
      </c>
      <c r="AM42" s="10">
        <v>4.9645390070921993E-7</v>
      </c>
      <c r="AN42" s="10">
        <v>0</v>
      </c>
      <c r="AO42" s="10">
        <v>0</v>
      </c>
      <c r="AP42" s="10">
        <v>0.10638297872340426</v>
      </c>
      <c r="AQ42" s="10">
        <v>4.2553191489361694E-3</v>
      </c>
      <c r="AR42" s="10">
        <v>0</v>
      </c>
      <c r="AS42" s="10">
        <v>2.4113475177304962E-5</v>
      </c>
      <c r="AT42" s="10">
        <v>1.078014184397163E-5</v>
      </c>
      <c r="AU42" s="10">
        <v>0</v>
      </c>
      <c r="AV42" s="10">
        <v>0</v>
      </c>
      <c r="AW42" s="10">
        <v>0</v>
      </c>
      <c r="AX42" s="10">
        <v>1.4184397163120566E-6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5.1773049645390066E-3</v>
      </c>
      <c r="BF42" s="10">
        <v>0</v>
      </c>
      <c r="BG42" s="9">
        <v>0</v>
      </c>
      <c r="BH42" s="9">
        <v>0</v>
      </c>
      <c r="BI42" s="9">
        <v>59.078014184397162</v>
      </c>
      <c r="BJ42" s="9">
        <v>0</v>
      </c>
      <c r="BK42" s="9">
        <v>5.3900709219858154</v>
      </c>
      <c r="BL42" s="9">
        <v>0</v>
      </c>
      <c r="BM42" s="9">
        <v>0</v>
      </c>
      <c r="BN42" s="9">
        <v>0.21276595744680851</v>
      </c>
      <c r="BO42" s="9">
        <v>12.056737588652481</v>
      </c>
      <c r="BP42" s="9">
        <v>2.1276595744680851</v>
      </c>
      <c r="BQ42" s="9">
        <v>0</v>
      </c>
      <c r="BR42" s="9">
        <v>80.141843971631204</v>
      </c>
      <c r="BS42" s="9">
        <v>17.004509660742912</v>
      </c>
      <c r="BT42" s="9">
        <v>1.3125614309793889</v>
      </c>
      <c r="BU42" s="9">
        <v>2.0567375886524819</v>
      </c>
      <c r="BV42" s="9">
        <v>2.4822695035460991</v>
      </c>
      <c r="BW42" s="9">
        <v>0</v>
      </c>
      <c r="BX42" s="9">
        <v>0</v>
      </c>
      <c r="BY42" s="9">
        <v>63.61702127659575</v>
      </c>
      <c r="BZ42" s="9">
        <v>14.822695035460994</v>
      </c>
      <c r="CA42" s="9">
        <v>0</v>
      </c>
      <c r="CB42" s="11">
        <v>10.921985815602852</v>
      </c>
      <c r="CC42" s="12"/>
      <c r="CD42" s="12"/>
      <c r="CE42" s="12"/>
    </row>
    <row r="43" spans="1:83" x14ac:dyDescent="0.35">
      <c r="A43" s="8" t="s">
        <v>113</v>
      </c>
      <c r="B43" s="8" t="s">
        <v>155</v>
      </c>
      <c r="C43" s="8"/>
      <c r="D43" s="9">
        <v>89.95</v>
      </c>
      <c r="E43" s="9">
        <v>10.050000000000001</v>
      </c>
      <c r="F43" s="9">
        <v>89.39473684210526</v>
      </c>
      <c r="G43" s="9">
        <v>10.605263157894736</v>
      </c>
      <c r="H43" s="9">
        <v>16.487287992350492</v>
      </c>
      <c r="I43" s="9">
        <v>488.23820816864298</v>
      </c>
      <c r="J43" s="9">
        <v>41.898851438049689</v>
      </c>
      <c r="K43" s="9">
        <v>41.852776681524524</v>
      </c>
      <c r="L43" s="9">
        <v>0</v>
      </c>
      <c r="M43" s="9">
        <v>6.7539473684210538E-2</v>
      </c>
      <c r="N43" s="9">
        <v>0</v>
      </c>
      <c r="O43" s="9">
        <v>0</v>
      </c>
      <c r="P43" s="9">
        <v>6.3035453034443023</v>
      </c>
      <c r="Q43" s="9">
        <v>3.9561578947368421</v>
      </c>
      <c r="R43" s="9">
        <v>4.4606315789473685</v>
      </c>
      <c r="S43" s="9">
        <v>6.8631578947368418E-2</v>
      </c>
      <c r="T43" s="9">
        <v>36.292269778790327</v>
      </c>
      <c r="U43" s="9">
        <v>0.75986842105263164</v>
      </c>
      <c r="V43" s="9">
        <v>0.98995686254697546</v>
      </c>
      <c r="W43" s="10">
        <v>0</v>
      </c>
      <c r="X43" s="10">
        <v>0</v>
      </c>
      <c r="Y43" s="10">
        <v>0</v>
      </c>
      <c r="Z43" s="10">
        <v>1.6447368421052631E-5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1.4528947368421054E-5</v>
      </c>
      <c r="AH43" s="10">
        <v>0</v>
      </c>
      <c r="AI43" s="10">
        <v>2.9815789473684212E-5</v>
      </c>
      <c r="AJ43" s="10">
        <v>4.4431578947368424E-3</v>
      </c>
      <c r="AK43" s="10">
        <v>4.4394736842105261E-3</v>
      </c>
      <c r="AL43" s="10">
        <v>0</v>
      </c>
      <c r="AM43" s="10">
        <v>1.2610526315789473E-5</v>
      </c>
      <c r="AN43" s="10">
        <v>0</v>
      </c>
      <c r="AO43" s="10">
        <v>0</v>
      </c>
      <c r="AP43" s="10">
        <v>9.707894736842107E-2</v>
      </c>
      <c r="AQ43" s="10">
        <v>1.6660526315789475E-3</v>
      </c>
      <c r="AR43" s="10">
        <v>0</v>
      </c>
      <c r="AS43" s="10">
        <v>1.9736842105263157E-6</v>
      </c>
      <c r="AT43" s="10">
        <v>1.4235526315789474E-4</v>
      </c>
      <c r="AU43" s="10">
        <v>0</v>
      </c>
      <c r="AV43" s="10">
        <v>0</v>
      </c>
      <c r="AW43" s="10">
        <v>0</v>
      </c>
      <c r="AX43" s="10">
        <v>4.6165789473684203E-5</v>
      </c>
      <c r="AY43" s="10">
        <v>0</v>
      </c>
      <c r="AZ43" s="10">
        <v>5.9999999999999995E-4</v>
      </c>
      <c r="BA43" s="10">
        <v>0</v>
      </c>
      <c r="BB43" s="10">
        <v>0</v>
      </c>
      <c r="BC43" s="10">
        <v>0</v>
      </c>
      <c r="BD43" s="10">
        <v>0</v>
      </c>
      <c r="BE43" s="10">
        <v>7.0181578947368416E-3</v>
      </c>
      <c r="BF43" s="10">
        <v>0</v>
      </c>
      <c r="BG43" s="9">
        <v>0</v>
      </c>
      <c r="BH43" s="9">
        <v>0</v>
      </c>
      <c r="BI43" s="9">
        <v>0</v>
      </c>
      <c r="BJ43" s="9">
        <v>0</v>
      </c>
      <c r="BK43" s="9">
        <v>5.1973684210526319</v>
      </c>
      <c r="BL43" s="9">
        <v>0</v>
      </c>
      <c r="BM43" s="9">
        <v>0</v>
      </c>
      <c r="BN43" s="9">
        <v>6.5789473684210537E-2</v>
      </c>
      <c r="BO43" s="9">
        <v>27.878947368421056</v>
      </c>
      <c r="BP43" s="9">
        <v>7.1736842105263161</v>
      </c>
      <c r="BQ43" s="9">
        <v>0</v>
      </c>
      <c r="BR43" s="9">
        <v>54.342105263157897</v>
      </c>
      <c r="BS43" s="9">
        <v>18.028441891752497</v>
      </c>
      <c r="BT43" s="9">
        <v>1.413955830725901</v>
      </c>
      <c r="BU43" s="9">
        <v>0</v>
      </c>
      <c r="BV43" s="9">
        <v>0</v>
      </c>
      <c r="BW43" s="9">
        <v>0</v>
      </c>
      <c r="BX43" s="9">
        <v>0</v>
      </c>
      <c r="BY43" s="9">
        <v>6.4</v>
      </c>
      <c r="BZ43" s="9">
        <v>13.916842105263157</v>
      </c>
      <c r="CA43" s="9">
        <v>0</v>
      </c>
      <c r="CB43" s="11">
        <v>49.078947368421048</v>
      </c>
      <c r="CC43" s="12"/>
      <c r="CD43" s="12"/>
      <c r="CE43" s="12"/>
    </row>
    <row r="44" spans="1:83" x14ac:dyDescent="0.35">
      <c r="A44" s="8" t="s">
        <v>113</v>
      </c>
      <c r="B44" s="8" t="s">
        <v>156</v>
      </c>
      <c r="C44" s="8"/>
      <c r="D44" s="9">
        <v>85.7</v>
      </c>
      <c r="E44" s="9">
        <v>14.3</v>
      </c>
      <c r="F44" s="9">
        <v>97.2027972027972</v>
      </c>
      <c r="G44" s="9">
        <v>2.7972027972027971</v>
      </c>
      <c r="H44" s="9">
        <v>15.462219946097981</v>
      </c>
      <c r="I44" s="9">
        <v>435.15107913669067</v>
      </c>
      <c r="J44" s="9">
        <v>41.607492513890953</v>
      </c>
      <c r="K44" s="9">
        <v>41.607492513890953</v>
      </c>
      <c r="L44" s="9">
        <v>0</v>
      </c>
      <c r="M44" s="9">
        <v>0.13216783216783215</v>
      </c>
      <c r="N44" s="9">
        <v>0</v>
      </c>
      <c r="O44" s="9">
        <v>0</v>
      </c>
      <c r="P44" s="9">
        <v>6.4737831506382451</v>
      </c>
      <c r="Q44" s="9">
        <v>1.2167832167832169</v>
      </c>
      <c r="R44" s="9">
        <v>0.55944055944055948</v>
      </c>
      <c r="S44" s="9">
        <v>2.7972027972027972E-2</v>
      </c>
      <c r="T44" s="9">
        <v>48.506967739412339</v>
      </c>
      <c r="U44" s="9">
        <v>9.7202797202797203E-2</v>
      </c>
      <c r="V44" s="9">
        <v>0.1241577590983188</v>
      </c>
      <c r="W44" s="10">
        <v>0</v>
      </c>
      <c r="X44" s="10">
        <v>0</v>
      </c>
      <c r="Y44" s="10">
        <v>0</v>
      </c>
      <c r="Z44" s="10">
        <v>1.3986013986013985E-5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2.0979020979020979E-6</v>
      </c>
      <c r="AH44" s="10">
        <v>0</v>
      </c>
      <c r="AI44" s="10">
        <v>7.6923076923076912E-5</v>
      </c>
      <c r="AJ44" s="10">
        <v>6.2937062937062926E-4</v>
      </c>
      <c r="AK44" s="10">
        <v>1.3986013986013986E-3</v>
      </c>
      <c r="AL44" s="10">
        <v>0</v>
      </c>
      <c r="AM44" s="10">
        <v>3.4965034965034963E-7</v>
      </c>
      <c r="AN44" s="10">
        <v>0</v>
      </c>
      <c r="AO44" s="10">
        <v>0</v>
      </c>
      <c r="AP44" s="10">
        <v>9.7902097902097904E-2</v>
      </c>
      <c r="AQ44" s="10">
        <v>1.048951048951049E-2</v>
      </c>
      <c r="AR44" s="10">
        <v>2.097902097902098E-5</v>
      </c>
      <c r="AS44" s="10">
        <v>3.496503496503496E-4</v>
      </c>
      <c r="AT44" s="10">
        <v>1.5384615384615382E-4</v>
      </c>
      <c r="AU44" s="10">
        <v>0</v>
      </c>
      <c r="AV44" s="10">
        <v>0</v>
      </c>
      <c r="AW44" s="10">
        <v>0</v>
      </c>
      <c r="AX44" s="10">
        <v>4.1958041958041957E-6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5.734265734265734E-4</v>
      </c>
      <c r="BF44" s="10">
        <v>0</v>
      </c>
      <c r="BG44" s="9">
        <v>0</v>
      </c>
      <c r="BH44" s="9">
        <v>0</v>
      </c>
      <c r="BI44" s="9">
        <v>52.447552447552447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3.4965034965034962</v>
      </c>
      <c r="BP44" s="9">
        <v>2.7972027972027971</v>
      </c>
      <c r="BQ44" s="9">
        <v>0</v>
      </c>
      <c r="BR44" s="9">
        <v>90.909090909090907</v>
      </c>
      <c r="BS44" s="9">
        <v>17.116950209790208</v>
      </c>
      <c r="BT44" s="9">
        <v>1.3238663757482516</v>
      </c>
      <c r="BU44" s="9">
        <v>9.7902097902097882</v>
      </c>
      <c r="BV44" s="9">
        <v>16.08391608391608</v>
      </c>
      <c r="BW44" s="9">
        <v>0</v>
      </c>
      <c r="BX44" s="9">
        <v>0</v>
      </c>
      <c r="BY44" s="9">
        <v>78.321678321678306</v>
      </c>
      <c r="BZ44" s="9">
        <v>16.223776223776223</v>
      </c>
      <c r="CA44" s="9">
        <v>0</v>
      </c>
      <c r="CB44" s="11">
        <v>12.587412587412587</v>
      </c>
      <c r="CC44" s="12"/>
      <c r="CD44" s="12"/>
      <c r="CE44" s="12"/>
    </row>
    <row r="45" spans="1:83" x14ac:dyDescent="0.35">
      <c r="A45" s="8" t="s">
        <v>113</v>
      </c>
      <c r="B45" s="8" t="s">
        <v>157</v>
      </c>
      <c r="C45" s="8"/>
      <c r="D45" s="9">
        <v>91.600000000000009</v>
      </c>
      <c r="E45" s="9">
        <v>8.4</v>
      </c>
      <c r="F45" s="9">
        <v>91.228584323067523</v>
      </c>
      <c r="G45" s="9">
        <v>8.7714156769324791</v>
      </c>
      <c r="H45" s="9">
        <v>16.223872997092172</v>
      </c>
      <c r="I45" s="9">
        <v>472.26846446834185</v>
      </c>
      <c r="J45" s="9">
        <v>41.641886912213465</v>
      </c>
      <c r="K45" s="9">
        <v>41.557641072799562</v>
      </c>
      <c r="L45" s="9">
        <v>0</v>
      </c>
      <c r="M45" s="9">
        <v>0.29471884693825084</v>
      </c>
      <c r="N45" s="9">
        <v>0</v>
      </c>
      <c r="O45" s="9">
        <v>0</v>
      </c>
      <c r="P45" s="9">
        <v>6.3556871157684638</v>
      </c>
      <c r="Q45" s="9">
        <v>3.4403914377281528</v>
      </c>
      <c r="R45" s="9">
        <v>4.7440413146183582</v>
      </c>
      <c r="S45" s="9">
        <v>0.20449879175307203</v>
      </c>
      <c r="T45" s="9">
        <v>38.041668683883906</v>
      </c>
      <c r="U45" s="9">
        <v>0.57861128725428024</v>
      </c>
      <c r="V45" s="9">
        <v>1.0483980846627157</v>
      </c>
      <c r="W45" s="10">
        <v>0</v>
      </c>
      <c r="X45" s="10">
        <v>0</v>
      </c>
      <c r="Y45" s="10">
        <v>0</v>
      </c>
      <c r="Z45" s="10">
        <v>2.7172016658383178E-6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7.6352825241220923E-6</v>
      </c>
      <c r="AH45" s="10">
        <v>0</v>
      </c>
      <c r="AI45" s="10">
        <v>1.1928339246031066E-5</v>
      </c>
      <c r="AJ45" s="10">
        <v>5.052323090370016E-4</v>
      </c>
      <c r="AK45" s="10">
        <v>4.8357949579255861E-3</v>
      </c>
      <c r="AL45" s="10">
        <v>0</v>
      </c>
      <c r="AM45" s="10">
        <v>9.4210126423189208E-7</v>
      </c>
      <c r="AN45" s="10">
        <v>0</v>
      </c>
      <c r="AO45" s="10">
        <v>0</v>
      </c>
      <c r="AP45" s="10">
        <v>0.15878729712591474</v>
      </c>
      <c r="AQ45" s="10">
        <v>2.766748359012151E-3</v>
      </c>
      <c r="AR45" s="10">
        <v>0</v>
      </c>
      <c r="AS45" s="10">
        <v>7.4928133586979503E-5</v>
      </c>
      <c r="AT45" s="10">
        <v>8.9497106491399443E-6</v>
      </c>
      <c r="AU45" s="10">
        <v>0</v>
      </c>
      <c r="AV45" s="10">
        <v>0</v>
      </c>
      <c r="AW45" s="10">
        <v>0</v>
      </c>
      <c r="AX45" s="10">
        <v>6.4881174770204571E-6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3.1396579204442236E-3</v>
      </c>
      <c r="BF45" s="10">
        <v>0</v>
      </c>
      <c r="BG45" s="9">
        <v>0</v>
      </c>
      <c r="BH45" s="9">
        <v>0</v>
      </c>
      <c r="BI45" s="9">
        <v>0.7217604414814307</v>
      </c>
      <c r="BJ45" s="9">
        <v>0.12029340691357177</v>
      </c>
      <c r="BK45" s="9">
        <v>13.47286157432004</v>
      </c>
      <c r="BL45" s="9">
        <v>0</v>
      </c>
      <c r="BM45" s="9">
        <v>0</v>
      </c>
      <c r="BN45" s="9">
        <v>0.12029340691357177</v>
      </c>
      <c r="BO45" s="9">
        <v>29.524756208332619</v>
      </c>
      <c r="BP45" s="9">
        <v>4.8117362765428711</v>
      </c>
      <c r="BQ45" s="9">
        <v>0</v>
      </c>
      <c r="BR45" s="9">
        <v>56.490485412489214</v>
      </c>
      <c r="BS45" s="9">
        <v>18.05588935107523</v>
      </c>
      <c r="BT45" s="9">
        <v>1.4166231022908427</v>
      </c>
      <c r="BU45" s="9">
        <v>15.758436305677904</v>
      </c>
      <c r="BV45" s="9">
        <v>6.134963752592161</v>
      </c>
      <c r="BW45" s="9">
        <v>0</v>
      </c>
      <c r="BX45" s="9">
        <v>0</v>
      </c>
      <c r="BY45" s="9">
        <v>22.615160499751493</v>
      </c>
      <c r="BZ45" s="9">
        <v>13.749672944980491</v>
      </c>
      <c r="CA45" s="9">
        <v>0</v>
      </c>
      <c r="CB45" s="11">
        <v>20.563482950293352</v>
      </c>
      <c r="CC45" s="12"/>
      <c r="CD45" s="12"/>
      <c r="CE45" s="12"/>
    </row>
    <row r="46" spans="1:83" x14ac:dyDescent="0.35">
      <c r="A46" s="8" t="s">
        <v>113</v>
      </c>
      <c r="B46" s="8" t="s">
        <v>158</v>
      </c>
      <c r="C46" s="8">
        <v>3</v>
      </c>
      <c r="D46" s="9">
        <v>84.9</v>
      </c>
      <c r="E46" s="9">
        <v>15.1</v>
      </c>
      <c r="F46" s="9">
        <v>92.715231788079464</v>
      </c>
      <c r="G46" s="9">
        <v>7.2847682119205306</v>
      </c>
      <c r="H46" s="9">
        <v>15.378573818871752</v>
      </c>
      <c r="I46" s="9">
        <v>442.65</v>
      </c>
      <c r="J46" s="9">
        <v>40.691910848608607</v>
      </c>
      <c r="K46" s="9">
        <v>40.691910848608607</v>
      </c>
      <c r="L46" s="9">
        <v>0</v>
      </c>
      <c r="M46" s="9">
        <v>0.39735099337748342</v>
      </c>
      <c r="N46" s="9">
        <v>0</v>
      </c>
      <c r="O46" s="9">
        <v>0</v>
      </c>
      <c r="P46" s="9">
        <v>6.2103865476809093</v>
      </c>
      <c r="Q46" s="9">
        <v>2.6754966887417222</v>
      </c>
      <c r="R46" s="9">
        <v>3.4635761589403979</v>
      </c>
      <c r="S46" s="9">
        <v>0.17880794701986755</v>
      </c>
      <c r="T46" s="9">
        <v>41.971769654306748</v>
      </c>
      <c r="U46" s="9">
        <v>0.47880794701986756</v>
      </c>
      <c r="V46" s="9">
        <v>0.77602710620525361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7.2847682119205302E-3</v>
      </c>
      <c r="AL46" s="10">
        <v>0</v>
      </c>
      <c r="AM46" s="10">
        <v>0</v>
      </c>
      <c r="AN46" s="10">
        <v>0</v>
      </c>
      <c r="AO46" s="10">
        <v>0</v>
      </c>
      <c r="AP46" s="10">
        <v>0.23576158940397351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9">
        <v>0</v>
      </c>
      <c r="BH46" s="9">
        <v>0</v>
      </c>
      <c r="BI46" s="9">
        <v>0</v>
      </c>
      <c r="BJ46" s="9">
        <v>0</v>
      </c>
      <c r="BK46" s="9">
        <v>0</v>
      </c>
      <c r="BL46" s="9">
        <v>0</v>
      </c>
      <c r="BM46" s="9">
        <v>0</v>
      </c>
      <c r="BN46" s="9">
        <v>0</v>
      </c>
      <c r="BO46" s="9">
        <v>21.85430463576159</v>
      </c>
      <c r="BP46" s="9">
        <v>1.3245033112582782</v>
      </c>
      <c r="BQ46" s="9">
        <v>0</v>
      </c>
      <c r="BR46" s="9">
        <v>69.536423841059602</v>
      </c>
      <c r="BS46" s="9">
        <v>17.287195231788079</v>
      </c>
      <c r="BT46" s="9">
        <v>1.3407036084238411</v>
      </c>
      <c r="BU46" s="9">
        <v>0</v>
      </c>
      <c r="BV46" s="9">
        <v>0</v>
      </c>
      <c r="BW46" s="9">
        <v>0</v>
      </c>
      <c r="BX46" s="9">
        <v>0</v>
      </c>
      <c r="BY46" s="9">
        <v>0</v>
      </c>
      <c r="BZ46" s="9">
        <v>14.437086092715232</v>
      </c>
      <c r="CA46" s="9">
        <v>0</v>
      </c>
      <c r="CB46" s="11">
        <v>69.536423841059587</v>
      </c>
      <c r="CC46" s="12"/>
      <c r="CD46" s="12"/>
      <c r="CE46" s="12"/>
    </row>
    <row r="47" spans="1:83" x14ac:dyDescent="0.35">
      <c r="A47" s="8" t="s">
        <v>113</v>
      </c>
      <c r="B47" s="8" t="s">
        <v>159</v>
      </c>
      <c r="C47" s="8"/>
      <c r="D47" s="9">
        <v>78.150000000000006</v>
      </c>
      <c r="E47" s="9">
        <v>21.85</v>
      </c>
      <c r="F47" s="9">
        <v>88.785097782147929</v>
      </c>
      <c r="G47" s="9">
        <v>11.214902217852071</v>
      </c>
      <c r="H47" s="9">
        <v>15.692780651375276</v>
      </c>
      <c r="I47" s="9">
        <v>469.98330443828013</v>
      </c>
      <c r="J47" s="9">
        <v>40.716248841983813</v>
      </c>
      <c r="K47" s="9">
        <v>40.53031885105041</v>
      </c>
      <c r="L47" s="9">
        <v>0</v>
      </c>
      <c r="M47" s="9">
        <v>0.37498634327542885</v>
      </c>
      <c r="N47" s="9">
        <v>0</v>
      </c>
      <c r="O47" s="9">
        <v>0</v>
      </c>
      <c r="P47" s="9">
        <v>6.1068596352504798</v>
      </c>
      <c r="Q47" s="9">
        <v>2.1563694963399982</v>
      </c>
      <c r="R47" s="9">
        <v>2.482355511854037</v>
      </c>
      <c r="S47" s="9">
        <v>2.1054708838632141</v>
      </c>
      <c r="T47" s="9">
        <v>39.205920636881672</v>
      </c>
      <c r="U47" s="9">
        <v>0.53422375177537418</v>
      </c>
      <c r="V47" s="9">
        <v>0.55680610937743424</v>
      </c>
      <c r="W47" s="10">
        <v>0</v>
      </c>
      <c r="X47" s="10">
        <v>0</v>
      </c>
      <c r="Y47" s="10">
        <v>0</v>
      </c>
      <c r="Z47" s="10">
        <v>2.212389380530973E-6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3.7422702938927127E-5</v>
      </c>
      <c r="AH47" s="10">
        <v>3.08641975308642E-6</v>
      </c>
      <c r="AI47" s="10">
        <v>3.6854036927783236E-5</v>
      </c>
      <c r="AJ47" s="10">
        <v>4.9287118977384462E-4</v>
      </c>
      <c r="AK47" s="10">
        <v>6.3176007866273358E-3</v>
      </c>
      <c r="AL47" s="10">
        <v>0</v>
      </c>
      <c r="AM47" s="10">
        <v>2.5210313558396151E-6</v>
      </c>
      <c r="AN47" s="10">
        <v>0</v>
      </c>
      <c r="AO47" s="10">
        <v>0</v>
      </c>
      <c r="AP47" s="10">
        <v>0.13602097672894134</v>
      </c>
      <c r="AQ47" s="10">
        <v>1.2192723697148473E-3</v>
      </c>
      <c r="AR47" s="10">
        <v>0</v>
      </c>
      <c r="AS47" s="10">
        <v>5.3873047088386322E-5</v>
      </c>
      <c r="AT47" s="10">
        <v>1.4701737135365455E-5</v>
      </c>
      <c r="AU47" s="10">
        <v>0</v>
      </c>
      <c r="AV47" s="10">
        <v>0</v>
      </c>
      <c r="AW47" s="10">
        <v>0</v>
      </c>
      <c r="AX47" s="10">
        <v>1.014421501147165E-5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2.7174150551731672E-3</v>
      </c>
      <c r="BF47" s="10">
        <v>0</v>
      </c>
      <c r="BG47" s="9">
        <v>0</v>
      </c>
      <c r="BH47" s="9">
        <v>0</v>
      </c>
      <c r="BI47" s="9">
        <v>7.5663716814159283</v>
      </c>
      <c r="BJ47" s="9">
        <v>1.6371681415929202</v>
      </c>
      <c r="BK47" s="9">
        <v>6.1504424778761049</v>
      </c>
      <c r="BL47" s="9">
        <v>0</v>
      </c>
      <c r="BM47" s="9">
        <v>0</v>
      </c>
      <c r="BN47" s="9">
        <v>0.26548672566371678</v>
      </c>
      <c r="BO47" s="9">
        <v>15.680651152627554</v>
      </c>
      <c r="BP47" s="9">
        <v>6.1113842456025349</v>
      </c>
      <c r="BQ47" s="9">
        <v>0</v>
      </c>
      <c r="BR47" s="9">
        <v>66.993062383917831</v>
      </c>
      <c r="BS47" s="9">
        <v>16.909730098590071</v>
      </c>
      <c r="BT47" s="9">
        <v>1.3031419970160447</v>
      </c>
      <c r="BU47" s="9">
        <v>0.35398230088495575</v>
      </c>
      <c r="BV47" s="9">
        <v>0</v>
      </c>
      <c r="BW47" s="9">
        <v>0</v>
      </c>
      <c r="BX47" s="9">
        <v>0</v>
      </c>
      <c r="BY47" s="9">
        <v>7.9203539823008846</v>
      </c>
      <c r="BZ47" s="9">
        <v>14.315115262755381</v>
      </c>
      <c r="CA47" s="9">
        <v>0</v>
      </c>
      <c r="CB47" s="11">
        <v>51.019611056484216</v>
      </c>
      <c r="CC47" s="12"/>
      <c r="CD47" s="12"/>
      <c r="CE47" s="12"/>
    </row>
    <row r="48" spans="1:83" x14ac:dyDescent="0.35">
      <c r="A48" s="8" t="s">
        <v>113</v>
      </c>
      <c r="B48" s="8" t="s">
        <v>160</v>
      </c>
      <c r="C48" s="8"/>
      <c r="D48" s="9">
        <v>91</v>
      </c>
      <c r="E48" s="9">
        <v>9</v>
      </c>
      <c r="F48" s="9">
        <v>91.111111111111114</v>
      </c>
      <c r="G48" s="9">
        <v>8.8888888888888893</v>
      </c>
      <c r="H48" s="9">
        <v>15.100079286748491</v>
      </c>
      <c r="I48" s="9">
        <v>442.0609756097561</v>
      </c>
      <c r="J48" s="9">
        <v>39.957390296013081</v>
      </c>
      <c r="K48" s="9">
        <v>39.957390296013081</v>
      </c>
      <c r="L48" s="9">
        <v>0</v>
      </c>
      <c r="M48" s="9">
        <v>0.3888888888888889</v>
      </c>
      <c r="N48" s="9">
        <v>0</v>
      </c>
      <c r="O48" s="9">
        <v>0</v>
      </c>
      <c r="P48" s="9">
        <v>6.1004010477238149</v>
      </c>
      <c r="Q48" s="9">
        <v>2.5555555555555558</v>
      </c>
      <c r="R48" s="9">
        <v>3.5555555555555554</v>
      </c>
      <c r="S48" s="9">
        <v>0.31111111111111112</v>
      </c>
      <c r="T48" s="9">
        <v>41.14748895686941</v>
      </c>
      <c r="U48" s="9">
        <v>0.46666666666666673</v>
      </c>
      <c r="V48" s="9">
        <v>0.78909153560264844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6.8888888888888884E-4</v>
      </c>
      <c r="AK48" s="10">
        <v>4.4444444444444444E-3</v>
      </c>
      <c r="AL48" s="10">
        <v>0</v>
      </c>
      <c r="AM48" s="10">
        <v>0</v>
      </c>
      <c r="AN48" s="10">
        <v>0</v>
      </c>
      <c r="AO48" s="10">
        <v>0</v>
      </c>
      <c r="AP48" s="10">
        <v>0.31111111111111112</v>
      </c>
      <c r="AQ48" s="10">
        <v>2E-3</v>
      </c>
      <c r="AR48" s="10">
        <v>0</v>
      </c>
      <c r="AS48" s="10">
        <v>2.3333333333333329E-5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3.0000000000000001E-3</v>
      </c>
      <c r="BF48" s="10">
        <v>0</v>
      </c>
      <c r="BG48" s="9">
        <v>0</v>
      </c>
      <c r="BH48" s="9">
        <v>0</v>
      </c>
      <c r="BI48" s="9">
        <v>0</v>
      </c>
      <c r="BJ48" s="9">
        <v>0</v>
      </c>
      <c r="BK48" s="9">
        <v>0</v>
      </c>
      <c r="BL48" s="9">
        <v>0</v>
      </c>
      <c r="BM48" s="9">
        <v>0</v>
      </c>
      <c r="BN48" s="9">
        <v>0</v>
      </c>
      <c r="BO48" s="9">
        <v>22.222222222222221</v>
      </c>
      <c r="BP48" s="9">
        <v>1.1111111111111112</v>
      </c>
      <c r="BQ48" s="9">
        <v>0</v>
      </c>
      <c r="BR48" s="9">
        <v>67.777777777777771</v>
      </c>
      <c r="BS48" s="9">
        <v>16.998969555555554</v>
      </c>
      <c r="BT48" s="9">
        <v>1.3121980890444442</v>
      </c>
      <c r="BU48" s="9">
        <v>0</v>
      </c>
      <c r="BV48" s="9">
        <v>0</v>
      </c>
      <c r="BW48" s="9">
        <v>0</v>
      </c>
      <c r="BX48" s="9">
        <v>0</v>
      </c>
      <c r="BY48" s="9">
        <v>0</v>
      </c>
      <c r="BZ48" s="9">
        <v>12.555555555555555</v>
      </c>
      <c r="CA48" s="9">
        <v>0</v>
      </c>
      <c r="CB48" s="11">
        <v>67.777777777777786</v>
      </c>
      <c r="CC48" s="12"/>
      <c r="CD48" s="12"/>
      <c r="CE48" s="12"/>
    </row>
    <row r="49" spans="1:83" x14ac:dyDescent="0.35">
      <c r="A49" s="8" t="s">
        <v>113</v>
      </c>
      <c r="B49" s="8" t="s">
        <v>161</v>
      </c>
      <c r="C49" s="8"/>
      <c r="D49" s="9">
        <v>94.633333333333326</v>
      </c>
      <c r="E49" s="9">
        <v>5.3666666666666671</v>
      </c>
      <c r="F49" s="9">
        <v>86.570015350503169</v>
      </c>
      <c r="G49" s="9">
        <v>13.429984649496845</v>
      </c>
      <c r="H49" s="9">
        <v>14.317388146669311</v>
      </c>
      <c r="I49" s="9">
        <v>441.21875767850997</v>
      </c>
      <c r="J49" s="9">
        <v>37.986704950146816</v>
      </c>
      <c r="K49" s="9">
        <v>37.758953308136249</v>
      </c>
      <c r="L49" s="9">
        <v>0</v>
      </c>
      <c r="M49" s="9">
        <v>0.70459946557507536</v>
      </c>
      <c r="N49" s="9">
        <v>0</v>
      </c>
      <c r="O49" s="9">
        <v>0</v>
      </c>
      <c r="P49" s="9">
        <v>5.7965177291417946</v>
      </c>
      <c r="Q49" s="9">
        <v>5.1950196145318097</v>
      </c>
      <c r="R49" s="9">
        <v>2.4429814088350681</v>
      </c>
      <c r="S49" s="9">
        <v>0.37667860594689867</v>
      </c>
      <c r="T49" s="9">
        <v>40.103141155431246</v>
      </c>
      <c r="U49" s="9">
        <v>0.48485985559156292</v>
      </c>
      <c r="V49" s="9">
        <v>0.54217573631617066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2.6516572858036274E-5</v>
      </c>
      <c r="AH49" s="10">
        <v>0</v>
      </c>
      <c r="AI49" s="10">
        <v>1.3258286429018137E-5</v>
      </c>
      <c r="AJ49" s="10">
        <v>1.2273011541304227E-3</v>
      </c>
      <c r="AK49" s="10">
        <v>1.0379214281653304E-2</v>
      </c>
      <c r="AL49" s="10">
        <v>0</v>
      </c>
      <c r="AM49" s="10">
        <v>1.3258286429018137E-6</v>
      </c>
      <c r="AN49" s="10">
        <v>0</v>
      </c>
      <c r="AO49" s="10">
        <v>0</v>
      </c>
      <c r="AP49" s="10">
        <v>0.21629427483086019</v>
      </c>
      <c r="AQ49" s="10">
        <v>1.2909659446244813E-3</v>
      </c>
      <c r="AR49" s="10">
        <v>0</v>
      </c>
      <c r="AS49" s="10">
        <v>5.3033145716072548E-5</v>
      </c>
      <c r="AT49" s="10">
        <v>1.3258286429018137E-5</v>
      </c>
      <c r="AU49" s="10">
        <v>0</v>
      </c>
      <c r="AV49" s="10">
        <v>0</v>
      </c>
      <c r="AW49" s="10">
        <v>0</v>
      </c>
      <c r="AX49" s="10">
        <v>1.3258286429018137E-6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5.1517425663767128E-3</v>
      </c>
      <c r="BF49" s="10">
        <v>0</v>
      </c>
      <c r="BG49" s="9">
        <v>0</v>
      </c>
      <c r="BH49" s="9">
        <v>0</v>
      </c>
      <c r="BI49" s="9">
        <v>0</v>
      </c>
      <c r="BJ49" s="9">
        <v>0</v>
      </c>
      <c r="BK49" s="9">
        <v>5.691056910569106</v>
      </c>
      <c r="BL49" s="9">
        <v>0</v>
      </c>
      <c r="BM49" s="9">
        <v>0</v>
      </c>
      <c r="BN49" s="9">
        <v>0.32520325203252037</v>
      </c>
      <c r="BO49" s="9">
        <v>15.268633805219173</v>
      </c>
      <c r="BP49" s="9">
        <v>1.9318892489624198</v>
      </c>
      <c r="BQ49" s="9">
        <v>0</v>
      </c>
      <c r="BR49" s="9">
        <v>69.369492296321567</v>
      </c>
      <c r="BS49" s="9">
        <v>15.808659127301651</v>
      </c>
      <c r="BT49" s="9">
        <v>1.1941942738689948</v>
      </c>
      <c r="BU49" s="9">
        <v>3.0894308943089435</v>
      </c>
      <c r="BV49" s="9">
        <v>7.1544715447154479</v>
      </c>
      <c r="BW49" s="9">
        <v>0</v>
      </c>
      <c r="BX49" s="9">
        <v>0</v>
      </c>
      <c r="BY49" s="9">
        <v>10.243902439024392</v>
      </c>
      <c r="BZ49" s="9">
        <v>12.853487975439196</v>
      </c>
      <c r="CA49" s="9">
        <v>0</v>
      </c>
      <c r="CB49" s="11">
        <v>53.109329694695553</v>
      </c>
      <c r="CC49" s="12"/>
      <c r="CD49" s="12"/>
      <c r="CE49" s="12"/>
    </row>
    <row r="50" spans="1:83" x14ac:dyDescent="0.35">
      <c r="A50" s="8" t="s">
        <v>113</v>
      </c>
      <c r="B50" s="8" t="s">
        <v>162</v>
      </c>
      <c r="C50" s="8"/>
      <c r="D50" s="9">
        <v>2.8</v>
      </c>
      <c r="E50" s="9">
        <v>97.2</v>
      </c>
      <c r="F50" s="9">
        <v>98.251028806584358</v>
      </c>
      <c r="G50" s="9">
        <v>1.7489711934156378</v>
      </c>
      <c r="H50" s="9">
        <v>30.56688399441564</v>
      </c>
      <c r="I50" s="9">
        <v>830.43455497382206</v>
      </c>
      <c r="J50" s="9">
        <v>66.457171251091424</v>
      </c>
      <c r="K50" s="9">
        <v>66.457171251091424</v>
      </c>
      <c r="L50" s="9">
        <v>0</v>
      </c>
      <c r="M50" s="9">
        <v>8.5493827160493821E-2</v>
      </c>
      <c r="N50" s="9">
        <v>0</v>
      </c>
      <c r="O50" s="9">
        <v>0</v>
      </c>
      <c r="P50" s="9">
        <v>9.4967726095892253</v>
      </c>
      <c r="Q50" s="9">
        <v>0.48456790123456794</v>
      </c>
      <c r="R50" s="9">
        <v>2.7757201646090532</v>
      </c>
      <c r="S50" s="9">
        <v>4.1152263374485592E-3</v>
      </c>
      <c r="T50" s="9">
        <v>19.71128028894913</v>
      </c>
      <c r="U50" s="9">
        <v>0.38991769547325106</v>
      </c>
      <c r="V50" s="9">
        <v>0.52240782218138304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7.2016460905349791E-7</v>
      </c>
      <c r="AH50" s="10">
        <v>0</v>
      </c>
      <c r="AI50" s="10">
        <v>1.2345679012345677E-6</v>
      </c>
      <c r="AJ50" s="10">
        <v>1.3786008230452674E-3</v>
      </c>
      <c r="AK50" s="10">
        <v>2.1604938271604941E-3</v>
      </c>
      <c r="AL50" s="10">
        <v>0</v>
      </c>
      <c r="AM50" s="10">
        <v>8.2304526748971187E-7</v>
      </c>
      <c r="AN50" s="10">
        <v>0</v>
      </c>
      <c r="AO50" s="10">
        <v>0</v>
      </c>
      <c r="AP50" s="10">
        <v>0.14814814814814817</v>
      </c>
      <c r="AQ50" s="10">
        <v>2.1604938271604941E-3</v>
      </c>
      <c r="AR50" s="10">
        <v>0</v>
      </c>
      <c r="AS50" s="10">
        <v>3.2921810699588475E-4</v>
      </c>
      <c r="AT50" s="10">
        <v>7.0987654320987654E-6</v>
      </c>
      <c r="AU50" s="10">
        <v>0</v>
      </c>
      <c r="AV50" s="10">
        <v>0</v>
      </c>
      <c r="AW50" s="10">
        <v>0</v>
      </c>
      <c r="AX50" s="10">
        <v>1.7489711934156377E-6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2.7777777777777779E-3</v>
      </c>
      <c r="BF50" s="10">
        <v>0</v>
      </c>
      <c r="BG50" s="9">
        <v>0</v>
      </c>
      <c r="BH50" s="9">
        <v>0</v>
      </c>
      <c r="BI50" s="9">
        <v>0</v>
      </c>
      <c r="BJ50" s="9">
        <v>0.61728395061728392</v>
      </c>
      <c r="BK50" s="9">
        <v>0</v>
      </c>
      <c r="BL50" s="9">
        <v>0</v>
      </c>
      <c r="BM50" s="9">
        <v>0</v>
      </c>
      <c r="BN50" s="9">
        <v>0</v>
      </c>
      <c r="BO50" s="9">
        <v>14.7119341563786</v>
      </c>
      <c r="BP50" s="9">
        <v>66.152263374485585</v>
      </c>
      <c r="BQ50" s="9">
        <v>0</v>
      </c>
      <c r="BR50" s="9">
        <v>17.386831275720162</v>
      </c>
      <c r="BS50" s="9">
        <v>28.249483199588472</v>
      </c>
      <c r="BT50" s="9">
        <v>2.4248738884392997</v>
      </c>
      <c r="BU50" s="9">
        <v>0</v>
      </c>
      <c r="BV50" s="9">
        <v>0</v>
      </c>
      <c r="BW50" s="9">
        <v>0</v>
      </c>
      <c r="BX50" s="9">
        <v>0</v>
      </c>
      <c r="BY50" s="9">
        <v>2.57201646090535</v>
      </c>
      <c r="BZ50" s="9">
        <v>29.413580246913579</v>
      </c>
      <c r="CA50" s="9">
        <v>0</v>
      </c>
      <c r="CB50" s="11">
        <v>16.769547325102891</v>
      </c>
      <c r="CC50" s="12"/>
      <c r="CD50" s="12"/>
      <c r="CE50" s="12"/>
    </row>
    <row r="51" spans="1:83" x14ac:dyDescent="0.35">
      <c r="A51" s="8" t="s">
        <v>113</v>
      </c>
      <c r="B51" s="8" t="s">
        <v>163</v>
      </c>
      <c r="C51" s="8"/>
      <c r="D51" s="9">
        <v>88.3</v>
      </c>
      <c r="E51" s="9">
        <v>11.7</v>
      </c>
      <c r="F51" s="9">
        <v>90.598290598290589</v>
      </c>
      <c r="G51" s="9">
        <v>9.4017094017094038</v>
      </c>
      <c r="H51" s="9">
        <v>16.845553168119483</v>
      </c>
      <c r="I51" s="9">
        <v>488.23113207547169</v>
      </c>
      <c r="J51" s="9">
        <v>42.295391175021152</v>
      </c>
      <c r="K51" s="9">
        <v>42.115817764974366</v>
      </c>
      <c r="L51" s="9">
        <v>0</v>
      </c>
      <c r="M51" s="9">
        <v>0.37777777777777782</v>
      </c>
      <c r="N51" s="9">
        <v>0</v>
      </c>
      <c r="O51" s="9">
        <v>0</v>
      </c>
      <c r="P51" s="9">
        <v>6.4694594263403795</v>
      </c>
      <c r="Q51" s="9">
        <v>3.3589743589743595</v>
      </c>
      <c r="R51" s="9">
        <v>7.2478632478632479</v>
      </c>
      <c r="S51" s="9">
        <v>6.8376068376068383E-2</v>
      </c>
      <c r="T51" s="9">
        <v>33.871554113976948</v>
      </c>
      <c r="U51" s="9">
        <v>0.74273504273504287</v>
      </c>
      <c r="V51" s="9">
        <v>1.6085327456515526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8.5470085470085477E-6</v>
      </c>
      <c r="AJ51" s="10">
        <v>5.982905982905984E-4</v>
      </c>
      <c r="AK51" s="10">
        <v>6.068376068376069E-3</v>
      </c>
      <c r="AL51" s="10">
        <v>0</v>
      </c>
      <c r="AM51" s="10">
        <v>0</v>
      </c>
      <c r="AN51" s="10">
        <v>0</v>
      </c>
      <c r="AO51" s="10">
        <v>0</v>
      </c>
      <c r="AP51" s="10">
        <v>0.17692307692307693</v>
      </c>
      <c r="AQ51" s="10">
        <v>4.9572649572649577E-3</v>
      </c>
      <c r="AR51" s="10">
        <v>0</v>
      </c>
      <c r="AS51" s="10">
        <v>7.3504273504273503E-5</v>
      </c>
      <c r="AT51" s="10">
        <v>0</v>
      </c>
      <c r="AU51" s="10">
        <v>0</v>
      </c>
      <c r="AV51" s="10">
        <v>0</v>
      </c>
      <c r="AW51" s="10">
        <v>0</v>
      </c>
      <c r="AX51" s="10">
        <v>5.1282051282051279E-6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3.333333333333334E-3</v>
      </c>
      <c r="BF51" s="10">
        <v>0</v>
      </c>
      <c r="BG51" s="9">
        <v>0</v>
      </c>
      <c r="BH51" s="9">
        <v>0</v>
      </c>
      <c r="BI51" s="9">
        <v>3.4188034188034191</v>
      </c>
      <c r="BJ51" s="9">
        <v>0</v>
      </c>
      <c r="BK51" s="9">
        <v>7.0940170940170937</v>
      </c>
      <c r="BL51" s="9">
        <v>0</v>
      </c>
      <c r="BM51" s="9">
        <v>0</v>
      </c>
      <c r="BN51" s="9">
        <v>0.25641025641025639</v>
      </c>
      <c r="BO51" s="9">
        <v>45.299145299145302</v>
      </c>
      <c r="BP51" s="9">
        <v>5.1282051282051277</v>
      </c>
      <c r="BQ51" s="9">
        <v>0</v>
      </c>
      <c r="BR51" s="9">
        <v>40.17094017094017</v>
      </c>
      <c r="BS51" s="9">
        <v>18.980987530552216</v>
      </c>
      <c r="BT51" s="9">
        <v>1.5079972308741783</v>
      </c>
      <c r="BU51" s="9">
        <v>11.111111111111112</v>
      </c>
      <c r="BV51" s="9">
        <v>6.8376068376068382</v>
      </c>
      <c r="BW51" s="9">
        <v>0</v>
      </c>
      <c r="BX51" s="9">
        <v>0</v>
      </c>
      <c r="BY51" s="9">
        <v>21.36752136752137</v>
      </c>
      <c r="BZ51" s="9">
        <v>13.931623931623932</v>
      </c>
      <c r="CA51" s="9">
        <v>0</v>
      </c>
      <c r="CB51" s="11">
        <v>11.452991452991441</v>
      </c>
      <c r="CC51" s="12"/>
      <c r="CD51" s="12"/>
      <c r="CE51" s="12"/>
    </row>
    <row r="52" spans="1:83" x14ac:dyDescent="0.35">
      <c r="A52" s="8" t="s">
        <v>113</v>
      </c>
      <c r="B52" s="8" t="s">
        <v>164</v>
      </c>
      <c r="C52" s="8"/>
      <c r="D52" s="9">
        <v>94.6</v>
      </c>
      <c r="E52" s="9">
        <v>5.4</v>
      </c>
      <c r="F52" s="9">
        <v>90.740740740740733</v>
      </c>
      <c r="G52" s="9">
        <v>9.2592592592592595</v>
      </c>
      <c r="H52" s="9">
        <v>14.582488554615516</v>
      </c>
      <c r="I52" s="9">
        <v>437.14285714285705</v>
      </c>
      <c r="J52" s="9">
        <v>38.966121054918602</v>
      </c>
      <c r="K52" s="9">
        <v>38.966121054918602</v>
      </c>
      <c r="L52" s="9">
        <v>0</v>
      </c>
      <c r="M52" s="9">
        <v>0.37222222222222229</v>
      </c>
      <c r="N52" s="9">
        <v>0</v>
      </c>
      <c r="O52" s="9">
        <v>0</v>
      </c>
      <c r="P52" s="9">
        <v>6.075402194111823</v>
      </c>
      <c r="Q52" s="9">
        <v>4.5</v>
      </c>
      <c r="R52" s="9">
        <v>1.7777777777777777</v>
      </c>
      <c r="S52" s="9">
        <v>3.7037037037037035E-2</v>
      </c>
      <c r="T52" s="9">
        <v>43.746302086457909</v>
      </c>
      <c r="U52" s="9">
        <v>0.61111111111111105</v>
      </c>
      <c r="V52" s="9">
        <v>0.39454576780132422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3.703703703703703E-5</v>
      </c>
      <c r="AJ52" s="10">
        <v>1.4814814814814814E-3</v>
      </c>
      <c r="AK52" s="10">
        <v>4.9999999999999992E-3</v>
      </c>
      <c r="AL52" s="10">
        <v>0</v>
      </c>
      <c r="AM52" s="10">
        <v>0</v>
      </c>
      <c r="AN52" s="10">
        <v>0</v>
      </c>
      <c r="AO52" s="10">
        <v>0</v>
      </c>
      <c r="AP52" s="10">
        <v>0.2074074074074074</v>
      </c>
      <c r="AQ52" s="10">
        <v>7.407407407407407E-4</v>
      </c>
      <c r="AR52" s="10">
        <v>3.703703703703703E-5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0</v>
      </c>
      <c r="BE52" s="10">
        <v>3.7037037037037038E-3</v>
      </c>
      <c r="BF52" s="10">
        <v>0</v>
      </c>
      <c r="BG52" s="9">
        <v>0</v>
      </c>
      <c r="BH52" s="9">
        <v>0</v>
      </c>
      <c r="BI52" s="9">
        <v>12.962962962962962</v>
      </c>
      <c r="BJ52" s="9">
        <v>11.111111111111111</v>
      </c>
      <c r="BK52" s="9">
        <v>0</v>
      </c>
      <c r="BL52" s="9">
        <v>0</v>
      </c>
      <c r="BM52" s="9">
        <v>0</v>
      </c>
      <c r="BN52" s="9">
        <v>0</v>
      </c>
      <c r="BO52" s="9">
        <v>11.111111111111111</v>
      </c>
      <c r="BP52" s="9">
        <v>1.8518518518518516</v>
      </c>
      <c r="BQ52" s="9">
        <v>0</v>
      </c>
      <c r="BR52" s="9">
        <v>77.777777777777786</v>
      </c>
      <c r="BS52" s="9">
        <v>16.33765259259259</v>
      </c>
      <c r="BT52" s="9">
        <v>1.2467938414074071</v>
      </c>
      <c r="BU52" s="9">
        <v>16.666666666666664</v>
      </c>
      <c r="BV52" s="9">
        <v>20.370370370370374</v>
      </c>
      <c r="BW52" s="9">
        <v>0</v>
      </c>
      <c r="BX52" s="9">
        <v>0</v>
      </c>
      <c r="BY52" s="9">
        <v>50</v>
      </c>
      <c r="BZ52" s="9">
        <v>13.888888888888888</v>
      </c>
      <c r="CA52" s="9">
        <v>0</v>
      </c>
      <c r="CB52" s="11">
        <v>16.666666666666657</v>
      </c>
      <c r="CC52" s="12"/>
      <c r="CD52" s="12"/>
      <c r="CE52" s="12"/>
    </row>
    <row r="53" spans="1:83" x14ac:dyDescent="0.35">
      <c r="A53" s="8" t="s">
        <v>113</v>
      </c>
      <c r="B53" s="8" t="s">
        <v>165</v>
      </c>
      <c r="C53" s="8"/>
      <c r="D53" s="9">
        <v>87.8</v>
      </c>
      <c r="E53" s="9">
        <v>12.2</v>
      </c>
      <c r="F53" s="9">
        <v>95.901639344262293</v>
      </c>
      <c r="G53" s="9">
        <v>4.0983606557377055</v>
      </c>
      <c r="H53" s="9">
        <v>15.659455081333208</v>
      </c>
      <c r="I53" s="9">
        <v>438.95299145299145</v>
      </c>
      <c r="J53" s="9">
        <v>41.611162662850596</v>
      </c>
      <c r="K53" s="9">
        <v>41.20933036004098</v>
      </c>
      <c r="L53" s="9">
        <v>0</v>
      </c>
      <c r="M53" s="9">
        <v>0.18770491803278688</v>
      </c>
      <c r="N53" s="9">
        <v>0</v>
      </c>
      <c r="O53" s="9">
        <v>0</v>
      </c>
      <c r="P53" s="9">
        <v>6.453506524358553</v>
      </c>
      <c r="Q53" s="9">
        <v>1.581967213114754</v>
      </c>
      <c r="R53" s="9">
        <v>2.0655737704918034</v>
      </c>
      <c r="S53" s="9">
        <v>2.3770491803278688E-2</v>
      </c>
      <c r="T53" s="9">
        <v>45.531889678722443</v>
      </c>
      <c r="U53" s="9">
        <v>0.32868852459016401</v>
      </c>
      <c r="V53" s="9">
        <v>0.46569336527369415</v>
      </c>
      <c r="W53" s="10">
        <v>0</v>
      </c>
      <c r="X53" s="10">
        <v>0</v>
      </c>
      <c r="Y53" s="10">
        <v>0</v>
      </c>
      <c r="Z53" s="10">
        <v>2.7868852459016396E-6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1.1803278688524591E-5</v>
      </c>
      <c r="AH53" s="10">
        <v>0</v>
      </c>
      <c r="AI53" s="10">
        <v>5.7377049180327874E-6</v>
      </c>
      <c r="AJ53" s="10">
        <v>5.0000000000000001E-4</v>
      </c>
      <c r="AK53" s="10">
        <v>2.7049180327868854E-3</v>
      </c>
      <c r="AL53" s="10">
        <v>0</v>
      </c>
      <c r="AM53" s="10">
        <v>7.3770491803278695E-7</v>
      </c>
      <c r="AN53" s="10">
        <v>0</v>
      </c>
      <c r="AO53" s="10">
        <v>0</v>
      </c>
      <c r="AP53" s="10">
        <v>7.8688524590163927E-2</v>
      </c>
      <c r="AQ53" s="10">
        <v>1.8852459016393446E-3</v>
      </c>
      <c r="AR53" s="10">
        <v>0</v>
      </c>
      <c r="AS53" s="10">
        <v>2.9098360655737705E-5</v>
      </c>
      <c r="AT53" s="10">
        <v>2.4590163934426232E-6</v>
      </c>
      <c r="AU53" s="10">
        <v>0</v>
      </c>
      <c r="AV53" s="10">
        <v>0</v>
      </c>
      <c r="AW53" s="10">
        <v>0</v>
      </c>
      <c r="AX53" s="10">
        <v>4.0983606557377053E-6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0</v>
      </c>
      <c r="BE53" s="10">
        <v>1.3114754098360656E-3</v>
      </c>
      <c r="BF53" s="10">
        <v>0</v>
      </c>
      <c r="BG53" s="9">
        <v>0</v>
      </c>
      <c r="BH53" s="9">
        <v>0</v>
      </c>
      <c r="BI53" s="9">
        <v>15.655737704918032</v>
      </c>
      <c r="BJ53" s="9">
        <v>0</v>
      </c>
      <c r="BK53" s="9">
        <v>7.0491803278688518</v>
      </c>
      <c r="BL53" s="9">
        <v>0</v>
      </c>
      <c r="BM53" s="9">
        <v>0</v>
      </c>
      <c r="BN53" s="9">
        <v>0.57377049180327877</v>
      </c>
      <c r="BO53" s="9">
        <v>13.114754098360656</v>
      </c>
      <c r="BP53" s="9">
        <v>2.459016393442623</v>
      </c>
      <c r="BQ53" s="9">
        <v>0</v>
      </c>
      <c r="BR53" s="9">
        <v>81.147540983606575</v>
      </c>
      <c r="BS53" s="9">
        <v>17.297551573503675</v>
      </c>
      <c r="BT53" s="9">
        <v>1.3412301047178743</v>
      </c>
      <c r="BU53" s="9">
        <v>15.000000000000002</v>
      </c>
      <c r="BV53" s="9">
        <v>18.360655737704921</v>
      </c>
      <c r="BW53" s="9">
        <v>0</v>
      </c>
      <c r="BX53" s="9">
        <v>0</v>
      </c>
      <c r="BY53" s="9">
        <v>49.016393442622956</v>
      </c>
      <c r="BZ53" s="9">
        <v>15.409836065573771</v>
      </c>
      <c r="CA53" s="9">
        <v>0</v>
      </c>
      <c r="CB53" s="11">
        <v>23.688524590163922</v>
      </c>
      <c r="CC53" s="12"/>
      <c r="CD53" s="12"/>
      <c r="CE53" s="12"/>
    </row>
    <row r="54" spans="1:83" x14ac:dyDescent="0.35">
      <c r="A54" s="8" t="s">
        <v>113</v>
      </c>
      <c r="B54" s="8" t="s">
        <v>166</v>
      </c>
      <c r="C54" s="8"/>
      <c r="D54" s="9">
        <v>92.9</v>
      </c>
      <c r="E54" s="9">
        <v>7.1</v>
      </c>
      <c r="F54" s="9">
        <v>84.507042253521121</v>
      </c>
      <c r="G54" s="9">
        <v>15.492957746478876</v>
      </c>
      <c r="H54" s="9">
        <v>13.887309108410207</v>
      </c>
      <c r="I54" s="9">
        <v>444.41666666666663</v>
      </c>
      <c r="J54" s="9">
        <v>36.914566911894752</v>
      </c>
      <c r="K54" s="9">
        <v>36.914566911894752</v>
      </c>
      <c r="L54" s="9">
        <v>0</v>
      </c>
      <c r="M54" s="9">
        <v>0.79859154929577469</v>
      </c>
      <c r="N54" s="9">
        <v>0</v>
      </c>
      <c r="O54" s="9">
        <v>0</v>
      </c>
      <c r="P54" s="9">
        <v>5.6765263947137532</v>
      </c>
      <c r="Q54" s="9">
        <v>4.47887323943662</v>
      </c>
      <c r="R54" s="9">
        <v>1.676056338028169</v>
      </c>
      <c r="S54" s="9">
        <v>0.87323943661971826</v>
      </c>
      <c r="T54" s="9">
        <v>40.183080347885834</v>
      </c>
      <c r="U54" s="9">
        <v>0.42394366197183109</v>
      </c>
      <c r="V54" s="9">
        <v>0.35008990664061157</v>
      </c>
      <c r="W54" s="10">
        <v>0</v>
      </c>
      <c r="X54" s="10">
        <v>0</v>
      </c>
      <c r="Y54" s="10">
        <v>0</v>
      </c>
      <c r="Z54" s="10">
        <v>9.8591549295774646E-6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2.2253521126760565E-5</v>
      </c>
      <c r="AH54" s="10">
        <v>0</v>
      </c>
      <c r="AI54" s="10">
        <v>2.2535211267605634E-5</v>
      </c>
      <c r="AJ54" s="10">
        <v>1.5492957746478875E-3</v>
      </c>
      <c r="AK54" s="10">
        <v>5.6338028169014096E-3</v>
      </c>
      <c r="AL54" s="10">
        <v>0</v>
      </c>
      <c r="AM54" s="10">
        <v>9.8591549295774654E-7</v>
      </c>
      <c r="AN54" s="10">
        <v>0</v>
      </c>
      <c r="AO54" s="10">
        <v>0</v>
      </c>
      <c r="AP54" s="10">
        <v>0.11267605633802817</v>
      </c>
      <c r="AQ54" s="10">
        <v>0</v>
      </c>
      <c r="AR54" s="10">
        <v>0</v>
      </c>
      <c r="AS54" s="10">
        <v>2.4647887323943664E-5</v>
      </c>
      <c r="AT54" s="10">
        <v>1.2676056338028169E-5</v>
      </c>
      <c r="AU54" s="10">
        <v>0</v>
      </c>
      <c r="AV54" s="10">
        <v>0</v>
      </c>
      <c r="AW54" s="10">
        <v>0</v>
      </c>
      <c r="AX54" s="10">
        <v>6.4788732394366198E-7</v>
      </c>
      <c r="AY54" s="10">
        <v>0</v>
      </c>
      <c r="AZ54" s="10">
        <v>0</v>
      </c>
      <c r="BA54" s="10">
        <v>0</v>
      </c>
      <c r="BB54" s="10">
        <v>0</v>
      </c>
      <c r="BC54" s="10">
        <v>0</v>
      </c>
      <c r="BD54" s="10">
        <v>0</v>
      </c>
      <c r="BE54" s="10">
        <v>1.4084507042253524E-3</v>
      </c>
      <c r="BF54" s="10">
        <v>0</v>
      </c>
      <c r="BG54" s="9">
        <v>0</v>
      </c>
      <c r="BH54" s="9">
        <v>0</v>
      </c>
      <c r="BI54" s="9">
        <v>4.225352112676056</v>
      </c>
      <c r="BJ54" s="9">
        <v>1.4084507042253522</v>
      </c>
      <c r="BK54" s="9">
        <v>0</v>
      </c>
      <c r="BL54" s="9">
        <v>0</v>
      </c>
      <c r="BM54" s="9">
        <v>0</v>
      </c>
      <c r="BN54" s="9">
        <v>0</v>
      </c>
      <c r="BO54" s="9">
        <v>9.8591549295774641</v>
      </c>
      <c r="BP54" s="9">
        <v>2.8169014084507045</v>
      </c>
      <c r="BQ54" s="9">
        <v>0</v>
      </c>
      <c r="BR54" s="9">
        <v>71.830985915492946</v>
      </c>
      <c r="BS54" s="9">
        <v>15.334245352112678</v>
      </c>
      <c r="BT54" s="9">
        <v>1.1475568653239439</v>
      </c>
      <c r="BU54" s="9">
        <v>5.6338028169014089</v>
      </c>
      <c r="BV54" s="9">
        <v>7.042253521126761</v>
      </c>
      <c r="BW54" s="9">
        <v>0</v>
      </c>
      <c r="BX54" s="9">
        <v>0</v>
      </c>
      <c r="BY54" s="9">
        <v>16.901408450704224</v>
      </c>
      <c r="BZ54" s="9">
        <v>12.816901408450704</v>
      </c>
      <c r="CA54" s="9">
        <v>0</v>
      </c>
      <c r="CB54" s="11">
        <v>53.521126760563376</v>
      </c>
      <c r="CC54" s="12"/>
      <c r="CD54" s="12"/>
      <c r="CE54" s="12"/>
    </row>
    <row r="55" spans="1:83" x14ac:dyDescent="0.35">
      <c r="A55" s="8" t="s">
        <v>113</v>
      </c>
      <c r="B55" s="8" t="s">
        <v>167</v>
      </c>
      <c r="C55" s="8"/>
      <c r="D55" s="9">
        <v>93.5</v>
      </c>
      <c r="E55" s="9">
        <v>6.5</v>
      </c>
      <c r="F55" s="9">
        <v>92.307692307692307</v>
      </c>
      <c r="G55" s="9">
        <v>7.6923076923076925</v>
      </c>
      <c r="H55" s="9">
        <v>14.762229032238551</v>
      </c>
      <c r="I55" s="9">
        <v>437.13333333333333</v>
      </c>
      <c r="J55" s="9">
        <v>39.340515463085445</v>
      </c>
      <c r="K55" s="9">
        <v>39.340515463085445</v>
      </c>
      <c r="L55" s="9">
        <v>0</v>
      </c>
      <c r="M55" s="9">
        <v>0.12923076923076923</v>
      </c>
      <c r="N55" s="9">
        <v>0</v>
      </c>
      <c r="O55" s="9">
        <v>0</v>
      </c>
      <c r="P55" s="9">
        <v>6.21973103554443</v>
      </c>
      <c r="Q55" s="9">
        <v>3.6923076923076921</v>
      </c>
      <c r="R55" s="9">
        <v>2.3230769230769228</v>
      </c>
      <c r="S55" s="9">
        <v>4.6153846153846149E-2</v>
      </c>
      <c r="T55" s="9">
        <v>44.313812765594037</v>
      </c>
      <c r="U55" s="9">
        <v>0.4661538461538462</v>
      </c>
      <c r="V55" s="9">
        <v>0.49166472602934247</v>
      </c>
      <c r="W55" s="10">
        <v>0</v>
      </c>
      <c r="X55" s="10">
        <v>0</v>
      </c>
      <c r="Y55" s="10">
        <v>0</v>
      </c>
      <c r="Z55" s="10">
        <v>2.4615384615384615E-6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1.0615384615384615E-5</v>
      </c>
      <c r="AH55" s="10">
        <v>0</v>
      </c>
      <c r="AI55" s="10">
        <v>1.0769230769230769E-5</v>
      </c>
      <c r="AJ55" s="10">
        <v>1.2307692307692308E-3</v>
      </c>
      <c r="AK55" s="10">
        <v>6.1538461538461538E-3</v>
      </c>
      <c r="AL55" s="10">
        <v>0</v>
      </c>
      <c r="AM55" s="10">
        <v>1.5384615384615384E-5</v>
      </c>
      <c r="AN55" s="10">
        <v>0</v>
      </c>
      <c r="AO55" s="10">
        <v>0</v>
      </c>
      <c r="AP55" s="10">
        <v>0.15384615384615385</v>
      </c>
      <c r="AQ55" s="10">
        <v>3.8461538461538464E-3</v>
      </c>
      <c r="AR55" s="10">
        <v>0</v>
      </c>
      <c r="AS55" s="10">
        <v>6.0769230769230767E-6</v>
      </c>
      <c r="AT55" s="10">
        <v>5.3846153846153847E-6</v>
      </c>
      <c r="AU55" s="10">
        <v>0</v>
      </c>
      <c r="AV55" s="10">
        <v>0</v>
      </c>
      <c r="AW55" s="10">
        <v>0</v>
      </c>
      <c r="AX55" s="10">
        <v>3.076923076923077E-6</v>
      </c>
      <c r="AY55" s="10">
        <v>0</v>
      </c>
      <c r="AZ55" s="10">
        <v>0</v>
      </c>
      <c r="BA55" s="10">
        <v>0</v>
      </c>
      <c r="BB55" s="10">
        <v>0</v>
      </c>
      <c r="BC55" s="10">
        <v>0</v>
      </c>
      <c r="BD55" s="10">
        <v>0</v>
      </c>
      <c r="BE55" s="10">
        <v>2.4615384615384616E-3</v>
      </c>
      <c r="BF55" s="10">
        <v>0</v>
      </c>
      <c r="BG55" s="9">
        <v>0</v>
      </c>
      <c r="BH55" s="9">
        <v>0</v>
      </c>
      <c r="BI55" s="9">
        <v>1.5384615384615385</v>
      </c>
      <c r="BJ55" s="9">
        <v>3.0769230769230771</v>
      </c>
      <c r="BK55" s="9">
        <v>0</v>
      </c>
      <c r="BL55" s="9">
        <v>0</v>
      </c>
      <c r="BM55" s="9">
        <v>0</v>
      </c>
      <c r="BN55" s="9">
        <v>0</v>
      </c>
      <c r="BO55" s="9">
        <v>13.846153846153847</v>
      </c>
      <c r="BP55" s="9">
        <v>1.5384615384615385</v>
      </c>
      <c r="BQ55" s="9">
        <v>0</v>
      </c>
      <c r="BR55" s="9">
        <v>76.923076923076934</v>
      </c>
      <c r="BS55" s="9">
        <v>16.734592307692306</v>
      </c>
      <c r="BT55" s="9">
        <v>1.2860511792307692</v>
      </c>
      <c r="BU55" s="9">
        <v>21.538461538461537</v>
      </c>
      <c r="BV55" s="9">
        <v>21.538461538461537</v>
      </c>
      <c r="BW55" s="9">
        <v>0</v>
      </c>
      <c r="BX55" s="9">
        <v>0</v>
      </c>
      <c r="BY55" s="9">
        <v>44.615384615384613</v>
      </c>
      <c r="BZ55" s="9">
        <v>12.76923076923077</v>
      </c>
      <c r="CA55" s="9">
        <v>0</v>
      </c>
      <c r="CB55" s="11">
        <v>29.230769230769226</v>
      </c>
      <c r="CC55" s="12"/>
      <c r="CD55" s="12"/>
      <c r="CE55" s="12"/>
    </row>
    <row r="56" spans="1:83" x14ac:dyDescent="0.35">
      <c r="A56" s="8" t="s">
        <v>113</v>
      </c>
      <c r="B56" s="8" t="s">
        <v>168</v>
      </c>
      <c r="C56" s="8"/>
      <c r="D56" s="9">
        <v>95</v>
      </c>
      <c r="E56" s="9">
        <v>5.0000000000000009</v>
      </c>
      <c r="F56" s="9">
        <v>89.377784210610955</v>
      </c>
      <c r="G56" s="9">
        <v>10.62221578938904</v>
      </c>
      <c r="H56" s="9">
        <v>15.543519724145114</v>
      </c>
      <c r="I56" s="9">
        <v>463.22916666666657</v>
      </c>
      <c r="J56" s="9">
        <v>40.354210049868691</v>
      </c>
      <c r="K56" s="9">
        <v>40.354210049868691</v>
      </c>
      <c r="L56" s="9">
        <v>0</v>
      </c>
      <c r="M56" s="9">
        <v>0.56349527990865378</v>
      </c>
      <c r="N56" s="9">
        <v>0</v>
      </c>
      <c r="O56" s="9">
        <v>0</v>
      </c>
      <c r="P56" s="9">
        <v>6.1336624009149219</v>
      </c>
      <c r="Q56" s="9">
        <v>4.1706603839329262</v>
      </c>
      <c r="R56" s="9">
        <v>3.8337943530446061</v>
      </c>
      <c r="S56" s="9">
        <v>0.32354684978798454</v>
      </c>
      <c r="T56" s="9">
        <v>38.667498918075957</v>
      </c>
      <c r="U56" s="9">
        <v>0.54203856483491741</v>
      </c>
      <c r="V56" s="9">
        <v>0.85305032268290359</v>
      </c>
      <c r="W56" s="10">
        <v>0</v>
      </c>
      <c r="X56" s="10">
        <v>0</v>
      </c>
      <c r="Y56" s="10">
        <v>0</v>
      </c>
      <c r="Z56" s="10">
        <v>5.6737588652482272E-7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1.1773049645390069E-5</v>
      </c>
      <c r="AH56" s="10">
        <v>0</v>
      </c>
      <c r="AI56" s="10">
        <v>2.8368794326241132E-6</v>
      </c>
      <c r="AJ56" s="10">
        <v>6.7088017239992929E-4</v>
      </c>
      <c r="AK56" s="10">
        <v>1.3752888074063351E-2</v>
      </c>
      <c r="AL56" s="10">
        <v>0</v>
      </c>
      <c r="AM56" s="10">
        <v>1.4184397163120568E-7</v>
      </c>
      <c r="AN56" s="10">
        <v>0</v>
      </c>
      <c r="AO56" s="10">
        <v>0</v>
      </c>
      <c r="AP56" s="10">
        <v>0.22733739673962572</v>
      </c>
      <c r="AQ56" s="10">
        <v>3.543995218260669E-3</v>
      </c>
      <c r="AR56" s="10">
        <v>0</v>
      </c>
      <c r="AS56" s="10">
        <v>2.9078014184397158E-5</v>
      </c>
      <c r="AT56" s="10">
        <v>1.4184397163120566E-6</v>
      </c>
      <c r="AU56" s="10">
        <v>0</v>
      </c>
      <c r="AV56" s="10">
        <v>0</v>
      </c>
      <c r="AW56" s="10">
        <v>0</v>
      </c>
      <c r="AX56" s="10">
        <v>1.4184397163120566E-6</v>
      </c>
      <c r="AY56" s="10">
        <v>0</v>
      </c>
      <c r="AZ56" s="10">
        <v>0</v>
      </c>
      <c r="BA56" s="10">
        <v>0</v>
      </c>
      <c r="BB56" s="10">
        <v>0</v>
      </c>
      <c r="BC56" s="10">
        <v>0</v>
      </c>
      <c r="BD56" s="10">
        <v>0</v>
      </c>
      <c r="BE56" s="10">
        <v>3.7789946553877657E-3</v>
      </c>
      <c r="BF56" s="10">
        <v>0</v>
      </c>
      <c r="BG56" s="9">
        <v>0</v>
      </c>
      <c r="BH56" s="9">
        <v>0</v>
      </c>
      <c r="BI56" s="9">
        <v>0</v>
      </c>
      <c r="BJ56" s="9">
        <v>0</v>
      </c>
      <c r="BK56" s="9">
        <v>0</v>
      </c>
      <c r="BL56" s="9">
        <v>0</v>
      </c>
      <c r="BM56" s="9">
        <v>0</v>
      </c>
      <c r="BN56" s="9">
        <v>0</v>
      </c>
      <c r="BO56" s="9">
        <v>24.023415512777216</v>
      </c>
      <c r="BP56" s="9">
        <v>3.9216159276949547</v>
      </c>
      <c r="BQ56" s="9">
        <v>0</v>
      </c>
      <c r="BR56" s="9">
        <v>62.113024878982323</v>
      </c>
      <c r="BS56" s="9">
        <v>17.269016276193693</v>
      </c>
      <c r="BT56" s="9">
        <v>1.3389057097155561</v>
      </c>
      <c r="BU56" s="9">
        <v>0</v>
      </c>
      <c r="BV56" s="9">
        <v>0</v>
      </c>
      <c r="BW56" s="9">
        <v>0</v>
      </c>
      <c r="BX56" s="9">
        <v>0</v>
      </c>
      <c r="BY56" s="9">
        <v>0</v>
      </c>
      <c r="BZ56" s="9">
        <v>13.093174227925999</v>
      </c>
      <c r="CA56" s="9">
        <v>0</v>
      </c>
      <c r="CB56" s="11">
        <v>61.432752770138791</v>
      </c>
      <c r="CC56" s="12"/>
      <c r="CD56" s="12"/>
      <c r="CE56" s="12"/>
    </row>
    <row r="57" spans="1:83" x14ac:dyDescent="0.35">
      <c r="A57" s="8" t="s">
        <v>113</v>
      </c>
      <c r="B57" s="8" t="s">
        <v>169</v>
      </c>
      <c r="C57" s="8"/>
      <c r="D57" s="9">
        <v>92.733333333333348</v>
      </c>
      <c r="E57" s="9">
        <v>7.2666666666666657</v>
      </c>
      <c r="F57" s="9">
        <v>92.658636641354633</v>
      </c>
      <c r="G57" s="9">
        <v>7.3413633586453697</v>
      </c>
      <c r="H57" s="9">
        <v>16.31670898140338</v>
      </c>
      <c r="I57" s="9">
        <v>464.01858678955449</v>
      </c>
      <c r="J57" s="9">
        <v>42.148390986204681</v>
      </c>
      <c r="K57" s="9">
        <v>41.799964966710917</v>
      </c>
      <c r="L57" s="9">
        <v>0</v>
      </c>
      <c r="M57" s="9">
        <v>0.27364283843938203</v>
      </c>
      <c r="N57" s="9">
        <v>0</v>
      </c>
      <c r="O57" s="9">
        <v>0</v>
      </c>
      <c r="P57" s="9">
        <v>6.389255968774866</v>
      </c>
      <c r="Q57" s="9">
        <v>2.9328698612202153</v>
      </c>
      <c r="R57" s="9">
        <v>4.4965488347735016</v>
      </c>
      <c r="S57" s="9">
        <v>8.2057170288906342E-2</v>
      </c>
      <c r="T57" s="9">
        <v>39.203324716649313</v>
      </c>
      <c r="U57" s="9">
        <v>0.82510997643362138</v>
      </c>
      <c r="V57" s="9">
        <v>0.99351149366316793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2.7363184079601987E-4</v>
      </c>
      <c r="AK57" s="10">
        <v>2.4875621890547263E-3</v>
      </c>
      <c r="AL57" s="10">
        <v>0</v>
      </c>
      <c r="AM57" s="10">
        <v>0</v>
      </c>
      <c r="AN57" s="10">
        <v>0</v>
      </c>
      <c r="AO57" s="10">
        <v>0</v>
      </c>
      <c r="AP57" s="10">
        <v>0.13051837304704547</v>
      </c>
      <c r="AQ57" s="10">
        <v>0</v>
      </c>
      <c r="AR57" s="10">
        <v>0</v>
      </c>
      <c r="AS57" s="10">
        <v>8.9552238805970142E-5</v>
      </c>
      <c r="AT57" s="10">
        <v>0</v>
      </c>
      <c r="AU57" s="10">
        <v>0</v>
      </c>
      <c r="AV57" s="10">
        <v>0</v>
      </c>
      <c r="AW57" s="10">
        <v>0</v>
      </c>
      <c r="AX57" s="10">
        <v>4.9751243781094521E-6</v>
      </c>
      <c r="AY57" s="10">
        <v>0</v>
      </c>
      <c r="AZ57" s="10">
        <v>0</v>
      </c>
      <c r="BA57" s="10">
        <v>0</v>
      </c>
      <c r="BB57" s="10">
        <v>0</v>
      </c>
      <c r="BC57" s="10">
        <v>0</v>
      </c>
      <c r="BD57" s="10">
        <v>0</v>
      </c>
      <c r="BE57" s="10">
        <v>2.1890547263681589E-3</v>
      </c>
      <c r="BF57" s="10">
        <v>0</v>
      </c>
      <c r="BG57" s="9">
        <v>0</v>
      </c>
      <c r="BH57" s="9">
        <v>0</v>
      </c>
      <c r="BI57" s="9">
        <v>0.89552238805970141</v>
      </c>
      <c r="BJ57" s="9">
        <v>0</v>
      </c>
      <c r="BK57" s="9">
        <v>3.7313432835820897</v>
      </c>
      <c r="BL57" s="9">
        <v>0</v>
      </c>
      <c r="BM57" s="9">
        <v>0</v>
      </c>
      <c r="BN57" s="9">
        <v>0.49751243781094523</v>
      </c>
      <c r="BO57" s="9">
        <v>27.979052107881646</v>
      </c>
      <c r="BP57" s="9">
        <v>4.1416601204503793</v>
      </c>
      <c r="BQ57" s="9">
        <v>0</v>
      </c>
      <c r="BR57" s="9">
        <v>60.537924413022608</v>
      </c>
      <c r="BS57" s="9">
        <v>17.996030514006353</v>
      </c>
      <c r="BT57" s="9">
        <v>1.4103758257954275</v>
      </c>
      <c r="BU57" s="9">
        <v>3.3333333333333335</v>
      </c>
      <c r="BV57" s="9">
        <v>1.592039800995025</v>
      </c>
      <c r="BW57" s="9">
        <v>0</v>
      </c>
      <c r="BX57" s="9">
        <v>0</v>
      </c>
      <c r="BY57" s="9">
        <v>5.8208955223880592</v>
      </c>
      <c r="BZ57" s="9">
        <v>14.351514358034391</v>
      </c>
      <c r="CA57" s="9">
        <v>0</v>
      </c>
      <c r="CB57" s="11">
        <v>50.488173169241499</v>
      </c>
      <c r="CC57" s="12"/>
      <c r="CD57" s="12"/>
      <c r="CE57" s="12"/>
    </row>
    <row r="58" spans="1:83" x14ac:dyDescent="0.35">
      <c r="A58" s="8" t="s">
        <v>113</v>
      </c>
      <c r="B58" s="8" t="s">
        <v>170</v>
      </c>
      <c r="C58" s="8"/>
      <c r="D58" s="9">
        <v>51.7</v>
      </c>
      <c r="E58" s="9">
        <v>48.3</v>
      </c>
      <c r="F58" s="9">
        <v>97.929606625258799</v>
      </c>
      <c r="G58" s="9">
        <v>2.0703933747412009</v>
      </c>
      <c r="H58" s="9">
        <v>16.830822472014166</v>
      </c>
      <c r="I58" s="9">
        <v>452.61733615221988</v>
      </c>
      <c r="J58" s="9">
        <v>44.820507453499388</v>
      </c>
      <c r="K58" s="9">
        <v>44.820507453499388</v>
      </c>
      <c r="L58" s="9">
        <v>0</v>
      </c>
      <c r="M58" s="9">
        <v>6.4182194616977231E-2</v>
      </c>
      <c r="N58" s="9">
        <v>0</v>
      </c>
      <c r="O58" s="9">
        <v>0</v>
      </c>
      <c r="P58" s="9">
        <v>6.4494291331154212</v>
      </c>
      <c r="Q58" s="9">
        <v>1.2401656314699794</v>
      </c>
      <c r="R58" s="9">
        <v>0.66252587991718437</v>
      </c>
      <c r="S58" s="9">
        <v>8.2815734989648039E-3</v>
      </c>
      <c r="T58" s="9">
        <v>45.931875477680371</v>
      </c>
      <c r="U58" s="9">
        <v>0.15320910973084886</v>
      </c>
      <c r="V58" s="9">
        <v>0.14703568986384755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4.7619047619047624E-4</v>
      </c>
      <c r="AK58" s="10">
        <v>1.8633540372670809E-3</v>
      </c>
      <c r="AL58" s="10">
        <v>0</v>
      </c>
      <c r="AM58" s="10">
        <v>0</v>
      </c>
      <c r="AN58" s="10">
        <v>0</v>
      </c>
      <c r="AO58" s="10">
        <v>0</v>
      </c>
      <c r="AP58" s="10">
        <v>7.8674948240165632E-2</v>
      </c>
      <c r="AQ58" s="10">
        <v>7.5983436853002077E-3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9">
        <v>0</v>
      </c>
      <c r="BH58" s="9">
        <v>0</v>
      </c>
      <c r="BI58" s="9">
        <v>0</v>
      </c>
      <c r="BJ58" s="9">
        <v>55.693581780538302</v>
      </c>
      <c r="BK58" s="9">
        <v>0</v>
      </c>
      <c r="BL58" s="9">
        <v>0</v>
      </c>
      <c r="BM58" s="9">
        <v>0</v>
      </c>
      <c r="BN58" s="9">
        <v>0</v>
      </c>
      <c r="BO58" s="9">
        <v>4.1407867494824018</v>
      </c>
      <c r="BP58" s="9">
        <v>5.5900621118012435</v>
      </c>
      <c r="BQ58" s="9">
        <v>0</v>
      </c>
      <c r="BR58" s="9">
        <v>88.198757763975166</v>
      </c>
      <c r="BS58" s="9">
        <v>17.735114927536234</v>
      </c>
      <c r="BT58" s="9">
        <v>1.3850028663333336</v>
      </c>
      <c r="BU58" s="9">
        <v>0</v>
      </c>
      <c r="BV58" s="9">
        <v>0</v>
      </c>
      <c r="BW58" s="9">
        <v>0</v>
      </c>
      <c r="BX58" s="9">
        <v>0</v>
      </c>
      <c r="BY58" s="9">
        <v>14.492753623188406</v>
      </c>
      <c r="BZ58" s="9">
        <v>16.501035196687372</v>
      </c>
      <c r="CA58" s="9">
        <v>0</v>
      </c>
      <c r="CB58" s="11">
        <v>32.505175983436857</v>
      </c>
      <c r="CC58" s="12"/>
      <c r="CD58" s="12"/>
      <c r="CE58" s="12"/>
    </row>
    <row r="59" spans="1:83" x14ac:dyDescent="0.35">
      <c r="A59" s="8" t="s">
        <v>113</v>
      </c>
      <c r="B59" s="8" t="s">
        <v>171</v>
      </c>
      <c r="C59" s="8"/>
      <c r="D59" s="9">
        <v>91.7</v>
      </c>
      <c r="E59" s="9">
        <v>8.3000000000000007</v>
      </c>
      <c r="F59" s="9">
        <v>77.108433734939766</v>
      </c>
      <c r="G59" s="9">
        <v>22.891566265060238</v>
      </c>
      <c r="H59" s="9">
        <v>14.972221502046677</v>
      </c>
      <c r="I59" s="9">
        <v>495.6328125</v>
      </c>
      <c r="J59" s="9">
        <v>37.406918101922003</v>
      </c>
      <c r="K59" s="9">
        <v>36.310005826094027</v>
      </c>
      <c r="L59" s="9">
        <v>0</v>
      </c>
      <c r="M59" s="9">
        <v>1.5542168674698793</v>
      </c>
      <c r="N59" s="9">
        <v>0</v>
      </c>
      <c r="O59" s="9">
        <v>0</v>
      </c>
      <c r="P59" s="9">
        <v>5.5355341102832663</v>
      </c>
      <c r="Q59" s="9">
        <v>5.4096385542168672</v>
      </c>
      <c r="R59" s="9">
        <v>5.0602409638554207</v>
      </c>
      <c r="S59" s="9">
        <v>0.49397590361445781</v>
      </c>
      <c r="T59" s="9">
        <v>28.660171825998802</v>
      </c>
      <c r="U59" s="9">
        <v>0.49759036144578306</v>
      </c>
      <c r="V59" s="9">
        <v>1.1123338513916852</v>
      </c>
      <c r="W59" s="10">
        <v>0</v>
      </c>
      <c r="X59" s="10">
        <v>0</v>
      </c>
      <c r="Y59" s="10">
        <v>0</v>
      </c>
      <c r="Z59" s="10">
        <v>1.3493975903614458E-5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8.2048192771084317E-5</v>
      </c>
      <c r="AH59" s="10">
        <v>0</v>
      </c>
      <c r="AI59" s="10">
        <v>1.1204819277108433E-4</v>
      </c>
      <c r="AJ59" s="10">
        <v>8.7951807228915646E-4</v>
      </c>
      <c r="AK59" s="10">
        <v>5.4216867469879519E-2</v>
      </c>
      <c r="AL59" s="10">
        <v>0</v>
      </c>
      <c r="AM59" s="10">
        <v>5.9036144578313247E-6</v>
      </c>
      <c r="AN59" s="10">
        <v>0</v>
      </c>
      <c r="AO59" s="10">
        <v>0</v>
      </c>
      <c r="AP59" s="10">
        <v>0.31325301204819272</v>
      </c>
      <c r="AQ59" s="10">
        <v>2.0481927710843371E-2</v>
      </c>
      <c r="AR59" s="10">
        <v>0</v>
      </c>
      <c r="AS59" s="10">
        <v>5.0602409638554205E-5</v>
      </c>
      <c r="AT59" s="10">
        <v>3.6385542168674693E-5</v>
      </c>
      <c r="AU59" s="10">
        <v>0</v>
      </c>
      <c r="AV59" s="10">
        <v>0</v>
      </c>
      <c r="AW59" s="10">
        <v>0</v>
      </c>
      <c r="AX59" s="10">
        <v>1.2048192771084336E-6</v>
      </c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0</v>
      </c>
      <c r="BE59" s="10">
        <v>1.3253012048192772E-2</v>
      </c>
      <c r="BF59" s="10">
        <v>0</v>
      </c>
      <c r="BG59" s="9">
        <v>0</v>
      </c>
      <c r="BH59" s="9">
        <v>0</v>
      </c>
      <c r="BI59" s="9">
        <v>1.9277108433734937</v>
      </c>
      <c r="BJ59" s="9">
        <v>1.0843373493975901</v>
      </c>
      <c r="BK59" s="9">
        <v>8.9156626506024086</v>
      </c>
      <c r="BL59" s="9">
        <v>0</v>
      </c>
      <c r="BM59" s="9">
        <v>0</v>
      </c>
      <c r="BN59" s="9">
        <v>1.5662650602409636</v>
      </c>
      <c r="BO59" s="9">
        <v>31.325301204819279</v>
      </c>
      <c r="BP59" s="9">
        <v>7.2289156626506017</v>
      </c>
      <c r="BQ59" s="9">
        <v>0</v>
      </c>
      <c r="BR59" s="9">
        <v>38.554216867469876</v>
      </c>
      <c r="BS59" s="9">
        <v>15.760230357008947</v>
      </c>
      <c r="BT59" s="9">
        <v>1.1883280473684259</v>
      </c>
      <c r="BU59" s="9">
        <v>1.0843373493975901</v>
      </c>
      <c r="BV59" s="9">
        <v>1.3253012048192772</v>
      </c>
      <c r="BW59" s="9">
        <v>0</v>
      </c>
      <c r="BX59" s="9">
        <v>0</v>
      </c>
      <c r="BY59" s="9">
        <v>4.3373493975903603</v>
      </c>
      <c r="BZ59" s="9">
        <v>12.53012048192771</v>
      </c>
      <c r="CA59" s="9">
        <v>0</v>
      </c>
      <c r="CB59" s="11">
        <v>22.650602409638559</v>
      </c>
      <c r="CC59" s="12"/>
      <c r="CD59" s="12"/>
      <c r="CE59" s="12"/>
    </row>
    <row r="60" spans="1:83" x14ac:dyDescent="0.35">
      <c r="A60" s="8" t="s">
        <v>113</v>
      </c>
      <c r="B60" s="8" t="s">
        <v>172</v>
      </c>
      <c r="C60" s="8"/>
      <c r="D60" s="9">
        <v>85.3</v>
      </c>
      <c r="E60" s="9">
        <v>14.7</v>
      </c>
      <c r="F60" s="9">
        <v>95.91836734693878</v>
      </c>
      <c r="G60" s="9">
        <v>4.0816326530612246</v>
      </c>
      <c r="H60" s="9">
        <v>14.985760453332183</v>
      </c>
      <c r="I60" s="9">
        <v>435.78723404255317</v>
      </c>
      <c r="J60" s="9">
        <v>40.005077213411504</v>
      </c>
      <c r="K60" s="9">
        <v>40.005077213411504</v>
      </c>
      <c r="L60" s="9">
        <v>0</v>
      </c>
      <c r="M60" s="9">
        <v>0.1414965986394558</v>
      </c>
      <c r="N60" s="9">
        <v>0</v>
      </c>
      <c r="O60" s="9">
        <v>0</v>
      </c>
      <c r="P60" s="9">
        <v>6.5293077501876402</v>
      </c>
      <c r="Q60" s="9">
        <v>1.1972789115646258</v>
      </c>
      <c r="R60" s="9">
        <v>1.4965986394557824</v>
      </c>
      <c r="S60" s="9">
        <v>1.3605442176870748E-2</v>
      </c>
      <c r="T60" s="9">
        <v>47.710054893123285</v>
      </c>
      <c r="U60" s="9">
        <v>0.18979591836734694</v>
      </c>
      <c r="V60" s="9">
        <v>0.33818208668684929</v>
      </c>
      <c r="W60" s="10">
        <v>0</v>
      </c>
      <c r="X60" s="10">
        <v>0</v>
      </c>
      <c r="Y60" s="10">
        <v>0</v>
      </c>
      <c r="Z60" s="10">
        <v>6.8027210884353747E-7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3.1292517006802721E-7</v>
      </c>
      <c r="AH60" s="10">
        <v>0</v>
      </c>
      <c r="AI60" s="10">
        <v>2.0408163265306125E-6</v>
      </c>
      <c r="AJ60" s="10">
        <v>4.7619047619047624E-4</v>
      </c>
      <c r="AK60" s="10">
        <v>2.0408163265306124E-3</v>
      </c>
      <c r="AL60" s="10">
        <v>0</v>
      </c>
      <c r="AM60" s="10">
        <v>6.8027210884353747E-8</v>
      </c>
      <c r="AN60" s="10">
        <v>0</v>
      </c>
      <c r="AO60" s="10">
        <v>0</v>
      </c>
      <c r="AP60" s="10">
        <v>5.4421768707482991E-2</v>
      </c>
      <c r="AQ60" s="10">
        <v>5.4421768707483002E-4</v>
      </c>
      <c r="AR60" s="10">
        <v>0</v>
      </c>
      <c r="AS60" s="10">
        <v>1.0204081632653061E-5</v>
      </c>
      <c r="AT60" s="10">
        <v>3.3129251700680266E-6</v>
      </c>
      <c r="AU60" s="10">
        <v>0</v>
      </c>
      <c r="AV60" s="10">
        <v>0</v>
      </c>
      <c r="AW60" s="10">
        <v>0</v>
      </c>
      <c r="AX60" s="10">
        <v>6.8027210884353747E-7</v>
      </c>
      <c r="AY60" s="10">
        <v>0</v>
      </c>
      <c r="AZ60" s="10">
        <v>0</v>
      </c>
      <c r="BA60" s="10">
        <v>0</v>
      </c>
      <c r="BB60" s="10">
        <v>0</v>
      </c>
      <c r="BC60" s="10">
        <v>0</v>
      </c>
      <c r="BD60" s="10">
        <v>0</v>
      </c>
      <c r="BE60" s="10">
        <v>6.8027210884353748E-4</v>
      </c>
      <c r="BF60" s="10">
        <v>0</v>
      </c>
      <c r="BG60" s="9">
        <v>0</v>
      </c>
      <c r="BH60" s="9">
        <v>0</v>
      </c>
      <c r="BI60" s="9">
        <v>1.360544217687075</v>
      </c>
      <c r="BJ60" s="9">
        <v>0</v>
      </c>
      <c r="BK60" s="9">
        <v>0</v>
      </c>
      <c r="BL60" s="9">
        <v>0</v>
      </c>
      <c r="BM60" s="9">
        <v>0</v>
      </c>
      <c r="BN60" s="9">
        <v>0</v>
      </c>
      <c r="BO60" s="9">
        <v>9.5238095238095237</v>
      </c>
      <c r="BP60" s="9">
        <v>2.0408163265306123</v>
      </c>
      <c r="BQ60" s="9">
        <v>0</v>
      </c>
      <c r="BR60" s="9">
        <v>83.673469387755105</v>
      </c>
      <c r="BS60" s="9">
        <v>17.161483877551021</v>
      </c>
      <c r="BT60" s="9">
        <v>1.3282707554897959</v>
      </c>
      <c r="BU60" s="9">
        <v>36.734693877551024</v>
      </c>
      <c r="BV60" s="9">
        <v>41.496598639455783</v>
      </c>
      <c r="BW60" s="9">
        <v>0</v>
      </c>
      <c r="BX60" s="9">
        <v>0</v>
      </c>
      <c r="BY60" s="9">
        <v>79.591836734693871</v>
      </c>
      <c r="BZ60" s="9">
        <v>15.918367346938776</v>
      </c>
      <c r="CA60" s="9">
        <v>0</v>
      </c>
      <c r="CB60" s="11">
        <v>4.7619047619047592</v>
      </c>
      <c r="CC60" s="12"/>
      <c r="CD60" s="12"/>
      <c r="CE60" s="12"/>
    </row>
    <row r="61" spans="1:83" x14ac:dyDescent="0.35">
      <c r="A61" s="8" t="s">
        <v>113</v>
      </c>
      <c r="B61" s="8" t="s">
        <v>173</v>
      </c>
      <c r="C61" s="8"/>
      <c r="D61" s="9">
        <v>90.4</v>
      </c>
      <c r="E61" s="9">
        <v>9.6</v>
      </c>
      <c r="F61" s="9">
        <v>92.708333333333329</v>
      </c>
      <c r="G61" s="9">
        <v>7.291666666666667</v>
      </c>
      <c r="H61" s="9">
        <v>15.847759511828567</v>
      </c>
      <c r="I61" s="9">
        <v>442.02247191011236</v>
      </c>
      <c r="J61" s="9">
        <v>41.947690594779971</v>
      </c>
      <c r="K61" s="9">
        <v>41.364077012127908</v>
      </c>
      <c r="L61" s="9">
        <v>0</v>
      </c>
      <c r="M61" s="9">
        <v>0.625</v>
      </c>
      <c r="N61" s="9">
        <v>0</v>
      </c>
      <c r="O61" s="9">
        <v>0</v>
      </c>
      <c r="P61" s="9">
        <v>6.131334925075266</v>
      </c>
      <c r="Q61" s="9">
        <v>2.46875</v>
      </c>
      <c r="R61" s="9">
        <v>3.166666666666667</v>
      </c>
      <c r="S61" s="9">
        <v>1.7708333333333333E-2</v>
      </c>
      <c r="T61" s="9">
        <v>41.150677247872252</v>
      </c>
      <c r="U61" s="9">
        <v>0.40625</v>
      </c>
      <c r="V61" s="9">
        <v>0.7027846488961087</v>
      </c>
      <c r="W61" s="10">
        <v>0</v>
      </c>
      <c r="X61" s="10">
        <v>0</v>
      </c>
      <c r="Y61" s="10">
        <v>0</v>
      </c>
      <c r="Z61" s="10">
        <v>9.3749999999999992E-7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1.7708333333333335E-6</v>
      </c>
      <c r="AH61" s="10">
        <v>0</v>
      </c>
      <c r="AI61" s="10">
        <v>1.2499999999999999E-5</v>
      </c>
      <c r="AJ61" s="10">
        <v>5.9374999999999999E-4</v>
      </c>
      <c r="AK61" s="10">
        <v>1.0416666666666668E-2</v>
      </c>
      <c r="AL61" s="10">
        <v>0</v>
      </c>
      <c r="AM61" s="10">
        <v>2.0833333333333333E-7</v>
      </c>
      <c r="AN61" s="10">
        <v>0</v>
      </c>
      <c r="AO61" s="10">
        <v>0</v>
      </c>
      <c r="AP61" s="10">
        <v>0.17708333333333334</v>
      </c>
      <c r="AQ61" s="10">
        <v>2.604166666666667E-3</v>
      </c>
      <c r="AR61" s="10">
        <v>2.0833333333333335E-4</v>
      </c>
      <c r="AS61" s="10">
        <v>1.4062500000000002E-4</v>
      </c>
      <c r="AT61" s="10">
        <v>1.2499999999999999E-5</v>
      </c>
      <c r="AU61" s="10">
        <v>0</v>
      </c>
      <c r="AV61" s="10">
        <v>0</v>
      </c>
      <c r="AW61" s="10">
        <v>0</v>
      </c>
      <c r="AX61" s="10">
        <v>3.1249999999999997E-6</v>
      </c>
      <c r="AY61" s="10">
        <v>0</v>
      </c>
      <c r="AZ61" s="10">
        <v>0</v>
      </c>
      <c r="BA61" s="10">
        <v>0</v>
      </c>
      <c r="BB61" s="10">
        <v>0</v>
      </c>
      <c r="BC61" s="10">
        <v>0</v>
      </c>
      <c r="BD61" s="10">
        <v>0</v>
      </c>
      <c r="BE61" s="10">
        <v>4.0625000000000001E-3</v>
      </c>
      <c r="BF61" s="10">
        <v>0</v>
      </c>
      <c r="BG61" s="9">
        <v>0</v>
      </c>
      <c r="BH61" s="9">
        <v>0</v>
      </c>
      <c r="BI61" s="9">
        <v>5.5208333333333339</v>
      </c>
      <c r="BJ61" s="9">
        <v>32.291666666666671</v>
      </c>
      <c r="BK61" s="9">
        <v>15.104166666666666</v>
      </c>
      <c r="BL61" s="9">
        <v>0</v>
      </c>
      <c r="BM61" s="9">
        <v>0</v>
      </c>
      <c r="BN61" s="9">
        <v>0.83333333333333337</v>
      </c>
      <c r="BO61" s="9">
        <v>19.791666666666664</v>
      </c>
      <c r="BP61" s="9">
        <v>2.0833333333333335</v>
      </c>
      <c r="BQ61" s="9">
        <v>0</v>
      </c>
      <c r="BR61" s="9">
        <v>70.833333333333343</v>
      </c>
      <c r="BS61" s="9">
        <v>17.052290771742264</v>
      </c>
      <c r="BT61" s="9">
        <v>1.3167486406586433</v>
      </c>
      <c r="BU61" s="9">
        <v>7.1874999999999991</v>
      </c>
      <c r="BV61" s="9">
        <v>4.791666666666667</v>
      </c>
      <c r="BW61" s="9">
        <v>0</v>
      </c>
      <c r="BX61" s="9">
        <v>0</v>
      </c>
      <c r="BY61" s="9">
        <v>17.5</v>
      </c>
      <c r="BZ61" s="9">
        <v>13.4375</v>
      </c>
      <c r="CA61" s="9">
        <v>0</v>
      </c>
      <c r="CB61" s="11">
        <v>5.1041666666666572</v>
      </c>
      <c r="CC61" s="12"/>
      <c r="CD61" s="12"/>
      <c r="CE61" s="12"/>
    </row>
    <row r="62" spans="1:83" x14ac:dyDescent="0.35">
      <c r="A62" s="8" t="s">
        <v>113</v>
      </c>
      <c r="B62" s="8" t="s">
        <v>174</v>
      </c>
      <c r="C62" s="8"/>
      <c r="D62" s="9">
        <v>92.6</v>
      </c>
      <c r="E62" s="9">
        <v>7.4</v>
      </c>
      <c r="F62" s="9">
        <v>86.486486486486484</v>
      </c>
      <c r="G62" s="9">
        <v>13.513513513513512</v>
      </c>
      <c r="H62" s="9">
        <v>14.41799015328958</v>
      </c>
      <c r="I62" s="9">
        <v>451.4375</v>
      </c>
      <c r="J62" s="9">
        <v>37.813149959136865</v>
      </c>
      <c r="K62" s="9">
        <v>37.813149959136865</v>
      </c>
      <c r="L62" s="9">
        <v>0</v>
      </c>
      <c r="M62" s="9">
        <v>0.40675675675675677</v>
      </c>
      <c r="N62" s="9">
        <v>0</v>
      </c>
      <c r="O62" s="9">
        <v>0</v>
      </c>
      <c r="P62" s="9">
        <v>5.9159456878109289</v>
      </c>
      <c r="Q62" s="9">
        <v>5.3378378378378377</v>
      </c>
      <c r="R62" s="9">
        <v>2.9324324324324325</v>
      </c>
      <c r="S62" s="9">
        <v>0.3648648648648648</v>
      </c>
      <c r="T62" s="9">
        <v>39.432156500865673</v>
      </c>
      <c r="U62" s="9">
        <v>0.5243243243243243</v>
      </c>
      <c r="V62" s="9">
        <v>0.67179414517522762</v>
      </c>
      <c r="W62" s="10">
        <v>0</v>
      </c>
      <c r="X62" s="10">
        <v>0</v>
      </c>
      <c r="Y62" s="10">
        <v>0</v>
      </c>
      <c r="Z62" s="10">
        <v>2.2972972972972969E-5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1.4864864864864863E-5</v>
      </c>
      <c r="AH62" s="10">
        <v>0</v>
      </c>
      <c r="AI62" s="10">
        <v>1.3513513513513512E-5</v>
      </c>
      <c r="AJ62" s="10">
        <v>0</v>
      </c>
      <c r="AK62" s="10">
        <v>4.2972972972972982E-3</v>
      </c>
      <c r="AL62" s="10">
        <v>0</v>
      </c>
      <c r="AM62" s="10">
        <v>6.7567567567567558E-6</v>
      </c>
      <c r="AN62" s="10">
        <v>0</v>
      </c>
      <c r="AO62" s="10">
        <v>0</v>
      </c>
      <c r="AP62" s="10">
        <v>0.15135135135135133</v>
      </c>
      <c r="AQ62" s="10">
        <v>0</v>
      </c>
      <c r="AR62" s="10">
        <v>0</v>
      </c>
      <c r="AS62" s="10">
        <v>4.5945945945945942E-4</v>
      </c>
      <c r="AT62" s="10">
        <v>2.7027027027027023E-5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</v>
      </c>
      <c r="BB62" s="10">
        <v>0</v>
      </c>
      <c r="BC62" s="10">
        <v>0</v>
      </c>
      <c r="BD62" s="10">
        <v>0</v>
      </c>
      <c r="BE62" s="10">
        <v>3.0135135135135132E-3</v>
      </c>
      <c r="BF62" s="10">
        <v>0</v>
      </c>
      <c r="BG62" s="9">
        <v>0</v>
      </c>
      <c r="BH62" s="9">
        <v>0</v>
      </c>
      <c r="BI62" s="9">
        <v>0</v>
      </c>
      <c r="BJ62" s="9">
        <v>0</v>
      </c>
      <c r="BK62" s="9">
        <v>0</v>
      </c>
      <c r="BL62" s="9">
        <v>0</v>
      </c>
      <c r="BM62" s="9">
        <v>0</v>
      </c>
      <c r="BN62" s="9">
        <v>0</v>
      </c>
      <c r="BO62" s="9">
        <v>18.918918918918916</v>
      </c>
      <c r="BP62" s="9">
        <v>2.7027027027027026</v>
      </c>
      <c r="BQ62" s="9">
        <v>0</v>
      </c>
      <c r="BR62" s="9">
        <v>66.21621621621621</v>
      </c>
      <c r="BS62" s="9">
        <v>16.242736216216215</v>
      </c>
      <c r="BT62" s="9">
        <v>1.2374066117837836</v>
      </c>
      <c r="BU62" s="9">
        <v>13.918918918918918</v>
      </c>
      <c r="BV62" s="9">
        <v>14.864864864864865</v>
      </c>
      <c r="BW62" s="9">
        <v>0</v>
      </c>
      <c r="BX62" s="9">
        <v>0</v>
      </c>
      <c r="BY62" s="9">
        <v>28.783783783783779</v>
      </c>
      <c r="BZ62" s="9">
        <v>12.837837837837839</v>
      </c>
      <c r="CA62" s="9">
        <v>0</v>
      </c>
      <c r="CB62" s="11">
        <v>36.081081081081088</v>
      </c>
      <c r="CC62" s="12"/>
      <c r="CD62" s="12"/>
      <c r="CE62" s="12"/>
    </row>
    <row r="63" spans="1:83" x14ac:dyDescent="0.35">
      <c r="A63" s="8" t="s">
        <v>113</v>
      </c>
      <c r="B63" s="8" t="s">
        <v>175</v>
      </c>
      <c r="C63" s="8"/>
      <c r="D63" s="9">
        <v>92</v>
      </c>
      <c r="E63" s="9">
        <v>8</v>
      </c>
      <c r="F63" s="9">
        <v>92.5</v>
      </c>
      <c r="G63" s="9">
        <v>7.5</v>
      </c>
      <c r="H63" s="9">
        <v>14.735644496129909</v>
      </c>
      <c r="I63" s="9">
        <v>429.66216216216213</v>
      </c>
      <c r="J63" s="9">
        <v>39.815176276260061</v>
      </c>
      <c r="K63" s="9">
        <v>39.815176276260061</v>
      </c>
      <c r="L63" s="9">
        <v>0</v>
      </c>
      <c r="M63" s="9">
        <v>0.625</v>
      </c>
      <c r="N63" s="9">
        <v>0</v>
      </c>
      <c r="O63" s="9">
        <v>0</v>
      </c>
      <c r="P63" s="9">
        <v>6.0727647896202566</v>
      </c>
      <c r="Q63" s="9">
        <v>3.5375000000000005</v>
      </c>
      <c r="R63" s="9">
        <v>1.2</v>
      </c>
      <c r="S63" s="9">
        <v>0.21250000000000002</v>
      </c>
      <c r="T63" s="9">
        <v>45.293841035574317</v>
      </c>
      <c r="U63" s="9">
        <v>0.625</v>
      </c>
      <c r="V63" s="9">
        <v>0.26631839326589385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6.2499999999999995E-6</v>
      </c>
      <c r="AJ63" s="10">
        <v>5.0000000000000001E-4</v>
      </c>
      <c r="AK63" s="10">
        <v>6.2500000000000003E-3</v>
      </c>
      <c r="AL63" s="10">
        <v>0</v>
      </c>
      <c r="AM63" s="10">
        <v>0</v>
      </c>
      <c r="AN63" s="10">
        <v>0</v>
      </c>
      <c r="AO63" s="10">
        <v>0</v>
      </c>
      <c r="AP63" s="10">
        <v>0.1</v>
      </c>
      <c r="AQ63" s="10">
        <v>8.5000000000000017E-4</v>
      </c>
      <c r="AR63" s="10">
        <v>1.25E-4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0</v>
      </c>
      <c r="BB63" s="10">
        <v>0</v>
      </c>
      <c r="BC63" s="10">
        <v>0</v>
      </c>
      <c r="BD63" s="10">
        <v>0</v>
      </c>
      <c r="BE63" s="10">
        <v>2.875E-3</v>
      </c>
      <c r="BF63" s="10">
        <v>0</v>
      </c>
      <c r="BG63" s="9">
        <v>0</v>
      </c>
      <c r="BH63" s="9">
        <v>0</v>
      </c>
      <c r="BI63" s="9">
        <v>0</v>
      </c>
      <c r="BJ63" s="9">
        <v>0</v>
      </c>
      <c r="BK63" s="9">
        <v>0</v>
      </c>
      <c r="BL63" s="9">
        <v>0</v>
      </c>
      <c r="BM63" s="9">
        <v>0</v>
      </c>
      <c r="BN63" s="9">
        <v>0</v>
      </c>
      <c r="BO63" s="9">
        <v>7.5</v>
      </c>
      <c r="BP63" s="9">
        <v>1.25</v>
      </c>
      <c r="BQ63" s="9">
        <v>0</v>
      </c>
      <c r="BR63" s="9">
        <v>83.75</v>
      </c>
      <c r="BS63" s="9">
        <v>16.311877750000001</v>
      </c>
      <c r="BT63" s="9">
        <v>1.2442447094750002</v>
      </c>
      <c r="BU63" s="9">
        <v>0</v>
      </c>
      <c r="BV63" s="9">
        <v>0</v>
      </c>
      <c r="BW63" s="9">
        <v>0</v>
      </c>
      <c r="BX63" s="9">
        <v>0</v>
      </c>
      <c r="BY63" s="9">
        <v>47.5</v>
      </c>
      <c r="BZ63" s="9">
        <v>13.75</v>
      </c>
      <c r="CA63" s="9">
        <v>0</v>
      </c>
      <c r="CB63" s="11">
        <v>83.75</v>
      </c>
      <c r="CC63" s="12"/>
      <c r="CD63" s="12"/>
      <c r="CE63" s="12"/>
    </row>
    <row r="64" spans="1:83" x14ac:dyDescent="0.35">
      <c r="A64" s="8" t="s">
        <v>113</v>
      </c>
      <c r="B64" s="8" t="s">
        <v>176</v>
      </c>
      <c r="C64" s="8"/>
      <c r="D64" s="9">
        <v>84</v>
      </c>
      <c r="E64" s="9">
        <v>16</v>
      </c>
      <c r="F64" s="9">
        <v>92.698081904222008</v>
      </c>
      <c r="G64" s="9">
        <v>7.3019180957779959</v>
      </c>
      <c r="H64" s="9">
        <v>16.100836974359321</v>
      </c>
      <c r="I64" s="9">
        <v>459.4233531511714</v>
      </c>
      <c r="J64" s="9">
        <v>41.807832745842305</v>
      </c>
      <c r="K64" s="9">
        <v>41.689632526571003</v>
      </c>
      <c r="L64" s="9">
        <v>0</v>
      </c>
      <c r="M64" s="9">
        <v>4.7468354430379743E-2</v>
      </c>
      <c r="N64" s="9">
        <v>0</v>
      </c>
      <c r="O64" s="9">
        <v>0</v>
      </c>
      <c r="P64" s="9">
        <v>6.3419012220152693</v>
      </c>
      <c r="Q64" s="9">
        <v>1.0189873417721518</v>
      </c>
      <c r="R64" s="9">
        <v>4.5802075322093652</v>
      </c>
      <c r="S64" s="9">
        <v>1.687763713080169E-2</v>
      </c>
      <c r="T64" s="9">
        <v>39.53082689844986</v>
      </c>
      <c r="U64" s="9">
        <v>0.17658227848101268</v>
      </c>
      <c r="V64" s="9">
        <v>1.0136853265835357</v>
      </c>
      <c r="W64" s="10">
        <v>0</v>
      </c>
      <c r="X64" s="10">
        <v>0</v>
      </c>
      <c r="Y64" s="10">
        <v>0</v>
      </c>
      <c r="Z64" s="10">
        <v>2.1097046413502107E-8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2.2995780590717298E-6</v>
      </c>
      <c r="AH64" s="10">
        <v>0</v>
      </c>
      <c r="AI64" s="10">
        <v>8.4388185654008432E-7</v>
      </c>
      <c r="AJ64" s="10">
        <v>1.1181434599156119E-4</v>
      </c>
      <c r="AK64" s="10">
        <v>1.8987341772151898E-3</v>
      </c>
      <c r="AL64" s="10">
        <v>0</v>
      </c>
      <c r="AM64" s="10">
        <v>1.0548523206751054E-7</v>
      </c>
      <c r="AN64" s="10">
        <v>0</v>
      </c>
      <c r="AO64" s="10">
        <v>0</v>
      </c>
      <c r="AP64" s="10">
        <v>5.0632911392405063E-2</v>
      </c>
      <c r="AQ64" s="10">
        <v>5.6962025316455698E-4</v>
      </c>
      <c r="AR64" s="10">
        <v>1.4767932489451475E-5</v>
      </c>
      <c r="AS64" s="10">
        <v>1.1814345991561179E-5</v>
      </c>
      <c r="AT64" s="10">
        <v>2.1940928270042189E-6</v>
      </c>
      <c r="AU64" s="10">
        <v>0</v>
      </c>
      <c r="AV64" s="10">
        <v>0</v>
      </c>
      <c r="AW64" s="10">
        <v>0</v>
      </c>
      <c r="AX64" s="10">
        <v>2.320675105485232E-6</v>
      </c>
      <c r="AY64" s="10">
        <v>0</v>
      </c>
      <c r="AZ64" s="10">
        <v>0</v>
      </c>
      <c r="BA64" s="10">
        <v>0</v>
      </c>
      <c r="BB64" s="10">
        <v>0</v>
      </c>
      <c r="BC64" s="10">
        <v>0</v>
      </c>
      <c r="BD64" s="10">
        <v>0</v>
      </c>
      <c r="BE64" s="10">
        <v>9.0717299578059061E-4</v>
      </c>
      <c r="BF64" s="10">
        <v>0</v>
      </c>
      <c r="BG64" s="9">
        <v>0</v>
      </c>
      <c r="BH64" s="9">
        <v>0</v>
      </c>
      <c r="BI64" s="9">
        <v>3.1434599156118139</v>
      </c>
      <c r="BJ64" s="9">
        <v>1.0337552742616032</v>
      </c>
      <c r="BK64" s="9">
        <v>2.7004219409282704</v>
      </c>
      <c r="BL64" s="9">
        <v>0</v>
      </c>
      <c r="BM64" s="9">
        <v>0</v>
      </c>
      <c r="BN64" s="9">
        <v>0.1687763713080169</v>
      </c>
      <c r="BO64" s="9">
        <v>28.547183152257901</v>
      </c>
      <c r="BP64" s="9">
        <v>3.1303702332970906</v>
      </c>
      <c r="BQ64" s="9">
        <v>0</v>
      </c>
      <c r="BR64" s="9">
        <v>60.809558054531998</v>
      </c>
      <c r="BS64" s="9">
        <v>17.962429150484141</v>
      </c>
      <c r="BT64" s="9">
        <v>1.4073378294807715</v>
      </c>
      <c r="BU64" s="9">
        <v>0.84388185654008441</v>
      </c>
      <c r="BV64" s="9">
        <v>0.48523206751054854</v>
      </c>
      <c r="BW64" s="9">
        <v>0</v>
      </c>
      <c r="BX64" s="9">
        <v>0</v>
      </c>
      <c r="BY64" s="9">
        <v>4.4725738396624468</v>
      </c>
      <c r="BZ64" s="9">
        <v>14.078892036678852</v>
      </c>
      <c r="CA64" s="9">
        <v>0</v>
      </c>
      <c r="CB64" s="11">
        <v>52.645001092506675</v>
      </c>
      <c r="CC64" s="12"/>
      <c r="CD64" s="12"/>
      <c r="CE64" s="12"/>
    </row>
    <row r="65" spans="1:83" x14ac:dyDescent="0.35">
      <c r="A65" s="8" t="s">
        <v>113</v>
      </c>
      <c r="B65" s="8" t="s">
        <v>177</v>
      </c>
      <c r="C65" s="8"/>
      <c r="D65" s="9">
        <v>79.599999999999994</v>
      </c>
      <c r="E65" s="9">
        <v>20.399999999999999</v>
      </c>
      <c r="F65" s="9">
        <v>96.078431372549019</v>
      </c>
      <c r="G65" s="9">
        <v>3.9215686274509811</v>
      </c>
      <c r="H65" s="9">
        <v>16.790002275892693</v>
      </c>
      <c r="I65" s="9">
        <v>460.77551020408163</v>
      </c>
      <c r="J65" s="9">
        <v>43.652621395554689</v>
      </c>
      <c r="K65" s="9">
        <v>43.652621395554689</v>
      </c>
      <c r="L65" s="9">
        <v>0</v>
      </c>
      <c r="M65" s="9">
        <v>0.14705882352941177</v>
      </c>
      <c r="N65" s="9">
        <v>0</v>
      </c>
      <c r="O65" s="9">
        <v>0</v>
      </c>
      <c r="P65" s="9">
        <v>6.5391137788957003</v>
      </c>
      <c r="Q65" s="9">
        <v>1.4705882352941175</v>
      </c>
      <c r="R65" s="9">
        <v>4.6617647058823524</v>
      </c>
      <c r="S65" s="9">
        <v>9.8039215686274526E-3</v>
      </c>
      <c r="T65" s="9">
        <v>40.803372275603408</v>
      </c>
      <c r="U65" s="9">
        <v>0.63725490196078438</v>
      </c>
      <c r="V65" s="9">
        <v>1.0269794250122706</v>
      </c>
      <c r="W65" s="10">
        <v>0</v>
      </c>
      <c r="X65" s="10">
        <v>0</v>
      </c>
      <c r="Y65" s="10">
        <v>0</v>
      </c>
      <c r="Z65" s="10">
        <v>4.9019607843137254E-7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1.0735294117647058E-6</v>
      </c>
      <c r="AH65" s="10">
        <v>0</v>
      </c>
      <c r="AI65" s="10">
        <v>6.8627450980392162E-6</v>
      </c>
      <c r="AJ65" s="10">
        <v>5.3921568627450988E-4</v>
      </c>
      <c r="AK65" s="10">
        <v>8.8235294117647075E-3</v>
      </c>
      <c r="AL65" s="10">
        <v>0</v>
      </c>
      <c r="AM65" s="10">
        <v>9.8039215686274508E-7</v>
      </c>
      <c r="AN65" s="10">
        <v>0</v>
      </c>
      <c r="AO65" s="10">
        <v>0</v>
      </c>
      <c r="AP65" s="10">
        <v>0.13725490196078433</v>
      </c>
      <c r="AQ65" s="10">
        <v>1.8627450980392159E-3</v>
      </c>
      <c r="AR65" s="10">
        <v>9.8039215686274506E-5</v>
      </c>
      <c r="AS65" s="10">
        <v>1.2549019607843137E-4</v>
      </c>
      <c r="AT65" s="10">
        <v>1.647058823529412E-6</v>
      </c>
      <c r="AU65" s="10">
        <v>0</v>
      </c>
      <c r="AV65" s="10">
        <v>0</v>
      </c>
      <c r="AW65" s="10">
        <v>0</v>
      </c>
      <c r="AX65" s="10">
        <v>5.0000000000000004E-6</v>
      </c>
      <c r="AY65" s="10">
        <v>0</v>
      </c>
      <c r="AZ65" s="10">
        <v>0</v>
      </c>
      <c r="BA65" s="10">
        <v>0</v>
      </c>
      <c r="BB65" s="10">
        <v>0</v>
      </c>
      <c r="BC65" s="10">
        <v>0</v>
      </c>
      <c r="BD65" s="10">
        <v>0</v>
      </c>
      <c r="BE65" s="10">
        <v>3.6764705882352945E-3</v>
      </c>
      <c r="BF65" s="10">
        <v>0</v>
      </c>
      <c r="BG65" s="9">
        <v>0</v>
      </c>
      <c r="BH65" s="9">
        <v>0</v>
      </c>
      <c r="BI65" s="9">
        <v>21.372549019607845</v>
      </c>
      <c r="BJ65" s="9">
        <v>8.8235294117647065</v>
      </c>
      <c r="BK65" s="9">
        <v>9.6568627450980404</v>
      </c>
      <c r="BL65" s="9">
        <v>0</v>
      </c>
      <c r="BM65" s="9">
        <v>0</v>
      </c>
      <c r="BN65" s="9">
        <v>0</v>
      </c>
      <c r="BO65" s="9">
        <v>28.921568627450984</v>
      </c>
      <c r="BP65" s="9">
        <v>3.4313725490196081</v>
      </c>
      <c r="BQ65" s="9">
        <v>0</v>
      </c>
      <c r="BR65" s="9">
        <v>63.235294117647065</v>
      </c>
      <c r="BS65" s="9">
        <v>18.665086421568631</v>
      </c>
      <c r="BT65" s="9">
        <v>1.4769770470931376</v>
      </c>
      <c r="BU65" s="9">
        <v>0.78431372549019607</v>
      </c>
      <c r="BV65" s="9">
        <v>0.88235294117647056</v>
      </c>
      <c r="BW65" s="9">
        <v>0</v>
      </c>
      <c r="BX65" s="9">
        <v>0</v>
      </c>
      <c r="BY65" s="9">
        <v>23.03921568627451</v>
      </c>
      <c r="BZ65" s="9">
        <v>14.411764705882353</v>
      </c>
      <c r="CA65" s="9">
        <v>0</v>
      </c>
      <c r="CB65" s="11">
        <v>22.205882352941174</v>
      </c>
      <c r="CC65" s="12"/>
      <c r="CD65" s="12"/>
      <c r="CE65" s="12"/>
    </row>
    <row r="66" spans="1:83" x14ac:dyDescent="0.35">
      <c r="A66" s="8" t="s">
        <v>113</v>
      </c>
      <c r="B66" s="8" t="s">
        <v>178</v>
      </c>
      <c r="C66" s="8"/>
      <c r="D66" s="9">
        <v>66.336842105263145</v>
      </c>
      <c r="E66" s="9">
        <v>33.663157894736841</v>
      </c>
      <c r="F66" s="9">
        <v>95.125745610170227</v>
      </c>
      <c r="G66" s="9">
        <v>4.8742543898297415</v>
      </c>
      <c r="H66" s="9">
        <v>23.607503025261042</v>
      </c>
      <c r="I66" s="9">
        <v>649.09785346584226</v>
      </c>
      <c r="J66" s="9">
        <v>53.934080073271893</v>
      </c>
      <c r="K66" s="9">
        <v>53.934080073271893</v>
      </c>
      <c r="L66" s="9">
        <v>0</v>
      </c>
      <c r="M66" s="9">
        <v>4.7874741222504243E-2</v>
      </c>
      <c r="N66" s="9">
        <v>0.67398007124361681</v>
      </c>
      <c r="O66" s="9">
        <v>0</v>
      </c>
      <c r="P66" s="9">
        <v>7.9685559739159304</v>
      </c>
      <c r="Q66" s="9">
        <v>0.71952263505951763</v>
      </c>
      <c r="R66" s="9">
        <v>9.8457958171108686</v>
      </c>
      <c r="S66" s="9">
        <v>0.84756323398500055</v>
      </c>
      <c r="T66" s="9">
        <v>22.517032503787657</v>
      </c>
      <c r="U66" s="9">
        <v>0.58218677640144212</v>
      </c>
      <c r="V66" s="9">
        <v>2.1629392558937841</v>
      </c>
      <c r="W66" s="10">
        <v>0</v>
      </c>
      <c r="X66" s="10">
        <v>0</v>
      </c>
      <c r="Y66" s="10">
        <v>0</v>
      </c>
      <c r="Z66" s="10">
        <v>2.1954443404046129E-6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5.8907240261042036E-6</v>
      </c>
      <c r="AH66" s="10">
        <v>0</v>
      </c>
      <c r="AI66" s="10">
        <v>4.6984856909096206E-6</v>
      </c>
      <c r="AJ66" s="10">
        <v>2.9459888325196536E-4</v>
      </c>
      <c r="AK66" s="10">
        <v>5.6014199220872137E-3</v>
      </c>
      <c r="AL66" s="10">
        <v>0</v>
      </c>
      <c r="AM66" s="10">
        <v>1.3076388171526118E-7</v>
      </c>
      <c r="AN66" s="10">
        <v>0</v>
      </c>
      <c r="AO66" s="10">
        <v>0</v>
      </c>
      <c r="AP66" s="10">
        <v>6.3999436360537149E-2</v>
      </c>
      <c r="AQ66" s="10">
        <v>1.1439971377436324E-4</v>
      </c>
      <c r="AR66" s="10">
        <v>1.8845615510545162E-6</v>
      </c>
      <c r="AS66" s="10">
        <v>3.6977286942701792E-6</v>
      </c>
      <c r="AT66" s="10">
        <v>1.4446409496986354E-6</v>
      </c>
      <c r="AU66" s="10">
        <v>0</v>
      </c>
      <c r="AV66" s="10">
        <v>0</v>
      </c>
      <c r="AW66" s="10">
        <v>0</v>
      </c>
      <c r="AX66" s="10">
        <v>2.3186321306675769E-5</v>
      </c>
      <c r="AY66" s="10">
        <v>0</v>
      </c>
      <c r="AZ66" s="10">
        <v>0</v>
      </c>
      <c r="BA66" s="10">
        <v>0</v>
      </c>
      <c r="BB66" s="10">
        <v>0</v>
      </c>
      <c r="BC66" s="10">
        <v>0</v>
      </c>
      <c r="BD66" s="10">
        <v>0</v>
      </c>
      <c r="BE66" s="10">
        <v>5.6826470692919765E-3</v>
      </c>
      <c r="BF66" s="10">
        <v>0</v>
      </c>
      <c r="BG66" s="9">
        <v>0</v>
      </c>
      <c r="BH66" s="9">
        <v>0</v>
      </c>
      <c r="BI66" s="9">
        <v>0</v>
      </c>
      <c r="BJ66" s="9">
        <v>0.3522062732589048</v>
      </c>
      <c r="BK66" s="9">
        <v>0</v>
      </c>
      <c r="BL66" s="9">
        <v>0</v>
      </c>
      <c r="BM66" s="9">
        <v>0</v>
      </c>
      <c r="BN66" s="9">
        <v>0</v>
      </c>
      <c r="BO66" s="9">
        <v>60.912219468849067</v>
      </c>
      <c r="BP66" s="9">
        <v>28.986720638578774</v>
      </c>
      <c r="BQ66" s="9">
        <v>0</v>
      </c>
      <c r="BR66" s="9">
        <v>4.6907106483176877</v>
      </c>
      <c r="BS66" s="9">
        <v>24.689611673474797</v>
      </c>
      <c r="BT66" s="9">
        <v>2.0728025945066579</v>
      </c>
      <c r="BU66" s="9">
        <v>0</v>
      </c>
      <c r="BV66" s="9">
        <v>0</v>
      </c>
      <c r="BW66" s="9">
        <v>0</v>
      </c>
      <c r="BX66" s="9">
        <v>0</v>
      </c>
      <c r="BY66" s="9">
        <v>0</v>
      </c>
      <c r="BZ66" s="9">
        <v>21.965470497358194</v>
      </c>
      <c r="CA66" s="9">
        <v>0</v>
      </c>
      <c r="CB66" s="11">
        <v>4.8745992294834961</v>
      </c>
      <c r="CC66" s="12"/>
      <c r="CD66" s="12"/>
      <c r="CE66" s="12"/>
    </row>
    <row r="67" spans="1:83" x14ac:dyDescent="0.35">
      <c r="A67" s="8" t="s">
        <v>113</v>
      </c>
      <c r="B67" s="8" t="s">
        <v>179</v>
      </c>
      <c r="C67" s="8"/>
      <c r="D67" s="9">
        <v>72.7</v>
      </c>
      <c r="E67" s="9">
        <v>27.3</v>
      </c>
      <c r="F67" s="9">
        <v>94.325311353606281</v>
      </c>
      <c r="G67" s="9">
        <v>5.6746886463937161</v>
      </c>
      <c r="H67" s="9">
        <v>21.226610993076797</v>
      </c>
      <c r="I67" s="9">
        <v>582.00312985190806</v>
      </c>
      <c r="J67" s="9">
        <v>49.688149559376278</v>
      </c>
      <c r="K67" s="9">
        <v>49.688149559376278</v>
      </c>
      <c r="L67" s="9">
        <v>0</v>
      </c>
      <c r="M67" s="9">
        <v>3.3430026621270863E-2</v>
      </c>
      <c r="N67" s="9">
        <v>1.0071428571428571</v>
      </c>
      <c r="O67" s="9">
        <v>0</v>
      </c>
      <c r="P67" s="9">
        <v>7.4556801990660846</v>
      </c>
      <c r="Q67" s="9">
        <v>1.1493095869823979</v>
      </c>
      <c r="R67" s="9">
        <v>12.642530461516637</v>
      </c>
      <c r="S67" s="9">
        <v>0.94498499367162947</v>
      </c>
      <c r="T67" s="9">
        <v>23.635749916221659</v>
      </c>
      <c r="U67" s="9">
        <v>0.71220537612242685</v>
      </c>
      <c r="V67" s="9">
        <v>2.7366321609861304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1.4226963512677798E-5</v>
      </c>
      <c r="AJ67" s="10">
        <v>2.5301057536080584E-4</v>
      </c>
      <c r="AK67" s="10">
        <v>2.5551715309779827E-3</v>
      </c>
      <c r="AL67" s="10">
        <v>0</v>
      </c>
      <c r="AM67" s="10">
        <v>8.163265306122448E-8</v>
      </c>
      <c r="AN67" s="10">
        <v>0</v>
      </c>
      <c r="AO67" s="10">
        <v>0</v>
      </c>
      <c r="AP67" s="10">
        <v>8.6213556455491946E-2</v>
      </c>
      <c r="AQ67" s="10">
        <v>3.323559270563879E-5</v>
      </c>
      <c r="AR67" s="10">
        <v>0</v>
      </c>
      <c r="AS67" s="10">
        <v>4.1236858379715512E-6</v>
      </c>
      <c r="AT67" s="10">
        <v>1.6326530612244896E-7</v>
      </c>
      <c r="AU67" s="10">
        <v>0</v>
      </c>
      <c r="AV67" s="10">
        <v>0</v>
      </c>
      <c r="AW67" s="10">
        <v>0</v>
      </c>
      <c r="AX67" s="10">
        <v>3.1906307977736557E-5</v>
      </c>
      <c r="AY67" s="10">
        <v>0</v>
      </c>
      <c r="AZ67" s="10">
        <v>0</v>
      </c>
      <c r="BA67" s="10">
        <v>0</v>
      </c>
      <c r="BB67" s="10">
        <v>0</v>
      </c>
      <c r="BC67" s="10">
        <v>0</v>
      </c>
      <c r="BD67" s="10">
        <v>0</v>
      </c>
      <c r="BE67" s="10">
        <v>6.2133867753683429E-3</v>
      </c>
      <c r="BF67" s="10">
        <v>0</v>
      </c>
      <c r="BG67" s="9">
        <v>0</v>
      </c>
      <c r="BH67" s="9">
        <v>0</v>
      </c>
      <c r="BI67" s="9">
        <v>0</v>
      </c>
      <c r="BJ67" s="9">
        <v>0</v>
      </c>
      <c r="BK67" s="9">
        <v>0</v>
      </c>
      <c r="BL67" s="9">
        <v>0</v>
      </c>
      <c r="BM67" s="9">
        <v>0</v>
      </c>
      <c r="BN67" s="9">
        <v>0</v>
      </c>
      <c r="BO67" s="9">
        <v>77.068432847234689</v>
      </c>
      <c r="BP67" s="9">
        <v>16.0342773798995</v>
      </c>
      <c r="BQ67" s="9">
        <v>0</v>
      </c>
      <c r="BR67" s="9">
        <v>1.2142857142857142</v>
      </c>
      <c r="BS67" s="9">
        <v>23.502480568559413</v>
      </c>
      <c r="BT67" s="9">
        <v>1.9553953282305261</v>
      </c>
      <c r="BU67" s="9">
        <v>0</v>
      </c>
      <c r="BV67" s="9">
        <v>0</v>
      </c>
      <c r="BW67" s="9">
        <v>0</v>
      </c>
      <c r="BX67" s="9">
        <v>0</v>
      </c>
      <c r="BY67" s="9">
        <v>0</v>
      </c>
      <c r="BZ67" s="9">
        <v>19.242430559711668</v>
      </c>
      <c r="CA67" s="9">
        <v>0</v>
      </c>
      <c r="CB67" s="11">
        <v>1.2226011264720937</v>
      </c>
      <c r="CC67" s="12"/>
      <c r="CD67" s="12"/>
      <c r="CE67" s="12"/>
    </row>
    <row r="68" spans="1:83" x14ac:dyDescent="0.35">
      <c r="A68" s="8" t="s">
        <v>113</v>
      </c>
      <c r="B68" s="8" t="s">
        <v>180</v>
      </c>
      <c r="C68" s="8"/>
      <c r="D68" s="9">
        <v>67.275000000000006</v>
      </c>
      <c r="E68" s="9">
        <v>32.725000000000001</v>
      </c>
      <c r="F68" s="9">
        <v>96.158093584643041</v>
      </c>
      <c r="G68" s="9">
        <v>3.8419064153569518</v>
      </c>
      <c r="H68" s="9">
        <v>24.437531744303982</v>
      </c>
      <c r="I68" s="9">
        <v>664.05601500650664</v>
      </c>
      <c r="J68" s="9">
        <v>55.48509810194836</v>
      </c>
      <c r="K68" s="9">
        <v>55.48509810194836</v>
      </c>
      <c r="L68" s="9">
        <v>0</v>
      </c>
      <c r="M68" s="9">
        <v>2.8587762080994977E-2</v>
      </c>
      <c r="N68" s="9">
        <v>0</v>
      </c>
      <c r="O68" s="9">
        <v>0</v>
      </c>
      <c r="P68" s="9">
        <v>8.1739785800317506</v>
      </c>
      <c r="Q68" s="9">
        <v>0.91033766129324734</v>
      </c>
      <c r="R68" s="9">
        <v>9.5250649624995987</v>
      </c>
      <c r="S68" s="9">
        <v>0.24907105286534179</v>
      </c>
      <c r="T68" s="9">
        <v>22.125104205263529</v>
      </c>
      <c r="U68" s="9">
        <v>0.68565319553664028</v>
      </c>
      <c r="V68" s="9">
        <v>2.0958323843885869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1.2145390070921984E-5</v>
      </c>
      <c r="AH68" s="10">
        <v>0</v>
      </c>
      <c r="AI68" s="10">
        <v>7.4911347517730498E-7</v>
      </c>
      <c r="AJ68" s="10">
        <v>5.4852368945704968E-3</v>
      </c>
      <c r="AK68" s="10">
        <v>3.3266569531982169E-2</v>
      </c>
      <c r="AL68" s="10">
        <v>0</v>
      </c>
      <c r="AM68" s="10">
        <v>1.7730496453900707E-7</v>
      </c>
      <c r="AN68" s="10">
        <v>0</v>
      </c>
      <c r="AO68" s="10">
        <v>0</v>
      </c>
      <c r="AP68" s="10">
        <v>7.1402474516599881E-2</v>
      </c>
      <c r="AQ68" s="10">
        <v>2.5510560243215163E-4</v>
      </c>
      <c r="AR68" s="10">
        <v>0</v>
      </c>
      <c r="AS68" s="10">
        <v>1.2411347517730497E-6</v>
      </c>
      <c r="AT68" s="10">
        <v>7.2517730496453897E-7</v>
      </c>
      <c r="AU68" s="10">
        <v>0</v>
      </c>
      <c r="AV68" s="10">
        <v>0</v>
      </c>
      <c r="AW68" s="10">
        <v>0</v>
      </c>
      <c r="AX68" s="10">
        <v>1.4448032680985622E-4</v>
      </c>
      <c r="AY68" s="10">
        <v>0</v>
      </c>
      <c r="AZ68" s="10">
        <v>0</v>
      </c>
      <c r="BA68" s="10">
        <v>0</v>
      </c>
      <c r="BB68" s="10">
        <v>0</v>
      </c>
      <c r="BC68" s="10">
        <v>0</v>
      </c>
      <c r="BD68" s="10">
        <v>0</v>
      </c>
      <c r="BE68" s="10">
        <v>5.405138950430299E-3</v>
      </c>
      <c r="BF68" s="10">
        <v>0</v>
      </c>
      <c r="BG68" s="9">
        <v>0</v>
      </c>
      <c r="BH68" s="9">
        <v>0</v>
      </c>
      <c r="BI68" s="9">
        <v>0</v>
      </c>
      <c r="BJ68" s="9">
        <v>0</v>
      </c>
      <c r="BK68" s="9">
        <v>0</v>
      </c>
      <c r="BL68" s="9">
        <v>0</v>
      </c>
      <c r="BM68" s="9">
        <v>0</v>
      </c>
      <c r="BN68" s="9">
        <v>0</v>
      </c>
      <c r="BO68" s="9">
        <v>59.02237051731052</v>
      </c>
      <c r="BP68" s="9">
        <v>32.322096301050237</v>
      </c>
      <c r="BQ68" s="9">
        <v>0</v>
      </c>
      <c r="BR68" s="9">
        <v>4.820394131341021</v>
      </c>
      <c r="BS68" s="9">
        <v>25.284727669359292</v>
      </c>
      <c r="BT68" s="9">
        <v>2.1316595664996338</v>
      </c>
      <c r="BU68" s="9">
        <v>0</v>
      </c>
      <c r="BV68" s="9">
        <v>0</v>
      </c>
      <c r="BW68" s="9">
        <v>0</v>
      </c>
      <c r="BX68" s="9">
        <v>0</v>
      </c>
      <c r="BY68" s="9">
        <v>0</v>
      </c>
      <c r="BZ68" s="9">
        <v>22.837701540015757</v>
      </c>
      <c r="CA68" s="9">
        <v>0</v>
      </c>
      <c r="CB68" s="11">
        <v>4.8136267662822831</v>
      </c>
      <c r="CC68" s="12"/>
      <c r="CD68" s="12"/>
      <c r="CE68" s="12"/>
    </row>
    <row r="69" spans="1:83" x14ac:dyDescent="0.35">
      <c r="A69" s="8" t="s">
        <v>113</v>
      </c>
      <c r="B69" s="8" t="s">
        <v>181</v>
      </c>
      <c r="C69" s="8"/>
      <c r="D69" s="9">
        <v>74.599999999999994</v>
      </c>
      <c r="E69" s="9">
        <v>25.4</v>
      </c>
      <c r="F69" s="9">
        <v>96.062992125984252</v>
      </c>
      <c r="G69" s="9">
        <v>3.9370078740157481</v>
      </c>
      <c r="H69" s="9">
        <v>21.562143647643992</v>
      </c>
      <c r="I69" s="9">
        <v>580.91803278688531</v>
      </c>
      <c r="J69" s="9">
        <v>50.486569379527729</v>
      </c>
      <c r="K69" s="9">
        <v>50.486569379527729</v>
      </c>
      <c r="L69" s="9">
        <v>0</v>
      </c>
      <c r="M69" s="9">
        <v>5.1181102362204731E-2</v>
      </c>
      <c r="N69" s="9">
        <v>0</v>
      </c>
      <c r="O69" s="9">
        <v>0</v>
      </c>
      <c r="P69" s="9">
        <v>7.5815032511106981</v>
      </c>
      <c r="Q69" s="9">
        <v>1.5078740157480315</v>
      </c>
      <c r="R69" s="9">
        <v>13.984251968503939</v>
      </c>
      <c r="S69" s="9">
        <v>0.2283464566929134</v>
      </c>
      <c r="T69" s="9">
        <v>23.878570345568598</v>
      </c>
      <c r="U69" s="9">
        <v>0.82677165354330706</v>
      </c>
      <c r="V69" s="9">
        <v>2.8519135026898867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7.8740157480314964E-6</v>
      </c>
      <c r="AJ69" s="10">
        <v>5.905511811023622E-4</v>
      </c>
      <c r="AK69" s="10">
        <v>3.1496062992125984E-3</v>
      </c>
      <c r="AL69" s="10">
        <v>0</v>
      </c>
      <c r="AM69" s="10">
        <v>0</v>
      </c>
      <c r="AN69" s="10">
        <v>0</v>
      </c>
      <c r="AO69" s="10">
        <v>0</v>
      </c>
      <c r="AP69" s="10">
        <v>0.11023622047244094</v>
      </c>
      <c r="AQ69" s="10">
        <v>1.4960629921259845E-4</v>
      </c>
      <c r="AR69" s="10">
        <v>3.9370078740157478E-5</v>
      </c>
      <c r="AS69" s="10">
        <v>1.9685039370078741E-6</v>
      </c>
      <c r="AT69" s="10">
        <v>0</v>
      </c>
      <c r="AU69" s="10">
        <v>0</v>
      </c>
      <c r="AV69" s="10">
        <v>0</v>
      </c>
      <c r="AW69" s="10">
        <v>0</v>
      </c>
      <c r="AX69" s="10">
        <v>3.9370078740157478E-5</v>
      </c>
      <c r="AY69" s="10">
        <v>0</v>
      </c>
      <c r="AZ69" s="10">
        <v>0</v>
      </c>
      <c r="BA69" s="10">
        <v>0</v>
      </c>
      <c r="BB69" s="10">
        <v>0</v>
      </c>
      <c r="BC69" s="10">
        <v>0</v>
      </c>
      <c r="BD69" s="10">
        <v>0</v>
      </c>
      <c r="BE69" s="10">
        <v>6.6929133858267716E-3</v>
      </c>
      <c r="BF69" s="10">
        <v>0</v>
      </c>
      <c r="BG69" s="9">
        <v>0</v>
      </c>
      <c r="BH69" s="9">
        <v>0</v>
      </c>
      <c r="BI69" s="9">
        <v>0</v>
      </c>
      <c r="BJ69" s="9">
        <v>0</v>
      </c>
      <c r="BK69" s="9">
        <v>0</v>
      </c>
      <c r="BL69" s="9">
        <v>0</v>
      </c>
      <c r="BM69" s="9">
        <v>0</v>
      </c>
      <c r="BN69" s="9">
        <v>0</v>
      </c>
      <c r="BO69" s="9">
        <v>80.314960629921259</v>
      </c>
      <c r="BP69" s="9">
        <v>15.748031496062993</v>
      </c>
      <c r="BQ69" s="9">
        <v>0</v>
      </c>
      <c r="BR69" s="9">
        <v>0</v>
      </c>
      <c r="BS69" s="9">
        <v>23.966336456692915</v>
      </c>
      <c r="BT69" s="9">
        <v>2.0012706755669294</v>
      </c>
      <c r="BU69" s="9">
        <v>0</v>
      </c>
      <c r="BV69" s="9">
        <v>0</v>
      </c>
      <c r="BW69" s="9">
        <v>0</v>
      </c>
      <c r="BX69" s="9">
        <v>0</v>
      </c>
      <c r="BY69" s="9">
        <v>0</v>
      </c>
      <c r="BZ69" s="9">
        <v>19.488188976377955</v>
      </c>
      <c r="CA69" s="9">
        <v>0</v>
      </c>
      <c r="CB69" s="11">
        <v>0</v>
      </c>
      <c r="CC69" s="12"/>
      <c r="CD69" s="12"/>
      <c r="CE69" s="12"/>
    </row>
    <row r="70" spans="1:83" x14ac:dyDescent="0.35">
      <c r="A70" s="8" t="s">
        <v>113</v>
      </c>
      <c r="B70" s="8" t="s">
        <v>182</v>
      </c>
      <c r="C70" s="8"/>
      <c r="D70" s="9">
        <v>70.227960526315783</v>
      </c>
      <c r="E70" s="9">
        <v>29.77203947368421</v>
      </c>
      <c r="F70" s="9">
        <v>95.41803566860095</v>
      </c>
      <c r="G70" s="9">
        <v>4.581964331399039</v>
      </c>
      <c r="H70" s="9">
        <v>22.708447352571451</v>
      </c>
      <c r="I70" s="9">
        <v>619.01875777778559</v>
      </c>
      <c r="J70" s="9">
        <v>52.398474278531069</v>
      </c>
      <c r="K70" s="9">
        <v>52.398474278531069</v>
      </c>
      <c r="L70" s="9">
        <v>0</v>
      </c>
      <c r="M70" s="9">
        <v>4.02684080717437E-2</v>
      </c>
      <c r="N70" s="9">
        <v>0.42028073209661848</v>
      </c>
      <c r="O70" s="9">
        <v>0</v>
      </c>
      <c r="P70" s="9">
        <v>7.7949295010311159</v>
      </c>
      <c r="Q70" s="9">
        <v>1.0717609747707986</v>
      </c>
      <c r="R70" s="9">
        <v>11.499410802407761</v>
      </c>
      <c r="S70" s="9">
        <v>0.56749143430372129</v>
      </c>
      <c r="T70" s="9">
        <v>23.039114242710362</v>
      </c>
      <c r="U70" s="9">
        <v>0.70170425040095408</v>
      </c>
      <c r="V70" s="9">
        <v>2.4618293259895969</v>
      </c>
      <c r="W70" s="10">
        <v>0</v>
      </c>
      <c r="X70" s="10">
        <v>0</v>
      </c>
      <c r="Y70" s="10">
        <v>0</v>
      </c>
      <c r="Z70" s="10">
        <v>5.4886108510115323E-7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4.5090285242565469E-6</v>
      </c>
      <c r="AH70" s="10">
        <v>0</v>
      </c>
      <c r="AI70" s="10">
        <v>6.8871446066990545E-6</v>
      </c>
      <c r="AJ70" s="10">
        <v>1.6558493835714075E-3</v>
      </c>
      <c r="AK70" s="10">
        <v>1.1143191821064992E-2</v>
      </c>
      <c r="AL70" s="10">
        <v>0</v>
      </c>
      <c r="AM70" s="10">
        <v>9.7425374828873177E-8</v>
      </c>
      <c r="AN70" s="10">
        <v>0</v>
      </c>
      <c r="AO70" s="10">
        <v>0</v>
      </c>
      <c r="AP70" s="10">
        <v>8.2962921951267476E-2</v>
      </c>
      <c r="AQ70" s="10">
        <v>1.3808680203118804E-4</v>
      </c>
      <c r="AR70" s="10">
        <v>1.0313660072802998E-5</v>
      </c>
      <c r="AS70" s="10">
        <v>2.7577633052556636E-6</v>
      </c>
      <c r="AT70" s="10">
        <v>5.8327089019640582E-7</v>
      </c>
      <c r="AU70" s="10">
        <v>0</v>
      </c>
      <c r="AV70" s="10">
        <v>0</v>
      </c>
      <c r="AW70" s="10">
        <v>0</v>
      </c>
      <c r="AX70" s="10">
        <v>5.9735758708606503E-5</v>
      </c>
      <c r="AY70" s="10">
        <v>0</v>
      </c>
      <c r="AZ70" s="10">
        <v>0</v>
      </c>
      <c r="BA70" s="10">
        <v>0</v>
      </c>
      <c r="BB70" s="10">
        <v>0</v>
      </c>
      <c r="BC70" s="10">
        <v>0</v>
      </c>
      <c r="BD70" s="10">
        <v>0</v>
      </c>
      <c r="BE70" s="10">
        <v>5.9985215452293475E-3</v>
      </c>
      <c r="BF70" s="10">
        <v>0</v>
      </c>
      <c r="BG70" s="9">
        <v>0</v>
      </c>
      <c r="BH70" s="9">
        <v>0</v>
      </c>
      <c r="BI70" s="9">
        <v>0</v>
      </c>
      <c r="BJ70" s="9">
        <v>8.80515683147262E-2</v>
      </c>
      <c r="BK70" s="9">
        <v>0</v>
      </c>
      <c r="BL70" s="9">
        <v>0</v>
      </c>
      <c r="BM70" s="9">
        <v>0</v>
      </c>
      <c r="BN70" s="9">
        <v>0</v>
      </c>
      <c r="BO70" s="9">
        <v>69.329495865828889</v>
      </c>
      <c r="BP70" s="9">
        <v>23.272781453897874</v>
      </c>
      <c r="BQ70" s="9">
        <v>0</v>
      </c>
      <c r="BR70" s="9">
        <v>2.681347623486106</v>
      </c>
      <c r="BS70" s="9">
        <v>24.360789092021605</v>
      </c>
      <c r="BT70" s="9">
        <v>2.0402820412009368</v>
      </c>
      <c r="BU70" s="9">
        <v>0</v>
      </c>
      <c r="BV70" s="9">
        <v>0</v>
      </c>
      <c r="BW70" s="9">
        <v>0</v>
      </c>
      <c r="BX70" s="9">
        <v>0</v>
      </c>
      <c r="BY70" s="9">
        <v>0</v>
      </c>
      <c r="BZ70" s="9">
        <v>20.883447893365894</v>
      </c>
      <c r="CA70" s="9">
        <v>0</v>
      </c>
      <c r="CB70" s="11">
        <v>2.7277067805594681</v>
      </c>
      <c r="CC70" s="12"/>
      <c r="CD70" s="12"/>
      <c r="CE70" s="12"/>
    </row>
    <row r="71" spans="1:83" x14ac:dyDescent="0.35">
      <c r="A71" s="8" t="s">
        <v>113</v>
      </c>
      <c r="B71" s="8" t="s">
        <v>183</v>
      </c>
      <c r="C71" s="8"/>
      <c r="D71" s="9">
        <v>70.227960526315783</v>
      </c>
      <c r="E71" s="9">
        <v>29.77203947368421</v>
      </c>
      <c r="F71" s="9">
        <v>95.41803566860095</v>
      </c>
      <c r="G71" s="9">
        <v>4.581964331399039</v>
      </c>
      <c r="H71" s="9">
        <v>22.708447352571454</v>
      </c>
      <c r="I71" s="9">
        <v>619.01875777778559</v>
      </c>
      <c r="J71" s="9">
        <v>52.398474278531069</v>
      </c>
      <c r="K71" s="9">
        <v>52.398474278531069</v>
      </c>
      <c r="L71" s="9">
        <v>0</v>
      </c>
      <c r="M71" s="9">
        <v>4.02684080717437E-2</v>
      </c>
      <c r="N71" s="9">
        <v>0.42028073209661848</v>
      </c>
      <c r="O71" s="9">
        <v>0</v>
      </c>
      <c r="P71" s="9">
        <v>7.794929501031115</v>
      </c>
      <c r="Q71" s="9">
        <v>1.0717609747707986</v>
      </c>
      <c r="R71" s="9">
        <v>11.499410802407761</v>
      </c>
      <c r="S71" s="9">
        <v>0.56749143430372129</v>
      </c>
      <c r="T71" s="9">
        <v>23.039114242710362</v>
      </c>
      <c r="U71" s="9">
        <v>0.70170425040095408</v>
      </c>
      <c r="V71" s="9">
        <v>2.4618293259895969</v>
      </c>
      <c r="W71" s="10">
        <v>0</v>
      </c>
      <c r="X71" s="10">
        <v>0</v>
      </c>
      <c r="Y71" s="10">
        <v>0</v>
      </c>
      <c r="Z71" s="10">
        <v>5.4886108510115323E-7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4.5090285242565469E-6</v>
      </c>
      <c r="AH71" s="10">
        <v>0</v>
      </c>
      <c r="AI71" s="10">
        <v>6.8871446066990554E-6</v>
      </c>
      <c r="AJ71" s="10">
        <v>1.6558493835714075E-3</v>
      </c>
      <c r="AK71" s="10">
        <v>1.1143191821064991E-2</v>
      </c>
      <c r="AL71" s="10">
        <v>0</v>
      </c>
      <c r="AM71" s="10">
        <v>9.742537482887319E-8</v>
      </c>
      <c r="AN71" s="10">
        <v>0</v>
      </c>
      <c r="AO71" s="10">
        <v>0</v>
      </c>
      <c r="AP71" s="10">
        <v>8.2962921951267476E-2</v>
      </c>
      <c r="AQ71" s="10">
        <v>1.3808680203118804E-4</v>
      </c>
      <c r="AR71" s="10">
        <v>1.0313660072802998E-5</v>
      </c>
      <c r="AS71" s="10">
        <v>2.7577633052556636E-6</v>
      </c>
      <c r="AT71" s="10">
        <v>5.8327089019640582E-7</v>
      </c>
      <c r="AU71" s="10">
        <v>0</v>
      </c>
      <c r="AV71" s="10">
        <v>0</v>
      </c>
      <c r="AW71" s="10">
        <v>0</v>
      </c>
      <c r="AX71" s="10">
        <v>5.973575870860651E-5</v>
      </c>
      <c r="AY71" s="10">
        <v>0</v>
      </c>
      <c r="AZ71" s="10">
        <v>0</v>
      </c>
      <c r="BA71" s="10">
        <v>0</v>
      </c>
      <c r="BB71" s="10">
        <v>0</v>
      </c>
      <c r="BC71" s="10">
        <v>0</v>
      </c>
      <c r="BD71" s="10">
        <v>0</v>
      </c>
      <c r="BE71" s="10">
        <v>5.9985215452293475E-3</v>
      </c>
      <c r="BF71" s="10">
        <v>0</v>
      </c>
      <c r="BG71" s="9">
        <v>0</v>
      </c>
      <c r="BH71" s="9">
        <v>0</v>
      </c>
      <c r="BI71" s="9">
        <v>0</v>
      </c>
      <c r="BJ71" s="9">
        <v>8.80515683147262E-2</v>
      </c>
      <c r="BK71" s="9">
        <v>0</v>
      </c>
      <c r="BL71" s="9">
        <v>0</v>
      </c>
      <c r="BM71" s="9">
        <v>0</v>
      </c>
      <c r="BN71" s="9">
        <v>0</v>
      </c>
      <c r="BO71" s="9">
        <v>69.329495865828889</v>
      </c>
      <c r="BP71" s="9">
        <v>23.272781453897878</v>
      </c>
      <c r="BQ71" s="9">
        <v>0</v>
      </c>
      <c r="BR71" s="9">
        <v>2.681347623486106</v>
      </c>
      <c r="BS71" s="9">
        <v>24.360789092021605</v>
      </c>
      <c r="BT71" s="9">
        <v>2.0402820412009368</v>
      </c>
      <c r="BU71" s="9">
        <v>0</v>
      </c>
      <c r="BV71" s="9">
        <v>0</v>
      </c>
      <c r="BW71" s="9">
        <v>0</v>
      </c>
      <c r="BX71" s="9">
        <v>0</v>
      </c>
      <c r="BY71" s="9">
        <v>0</v>
      </c>
      <c r="BZ71" s="9">
        <v>20.883447893365894</v>
      </c>
      <c r="CA71" s="9">
        <v>0</v>
      </c>
      <c r="CB71" s="11">
        <v>2.7277067805594681</v>
      </c>
      <c r="CC71" s="12"/>
      <c r="CD71" s="12"/>
      <c r="CE71" s="12"/>
    </row>
    <row r="72" spans="1:83" x14ac:dyDescent="0.35">
      <c r="A72" s="8" t="s">
        <v>113</v>
      </c>
      <c r="B72" s="8" t="s">
        <v>184</v>
      </c>
      <c r="C72" s="8"/>
      <c r="D72" s="9">
        <v>63.889130434782608</v>
      </c>
      <c r="E72" s="9">
        <v>36.113043478260877</v>
      </c>
      <c r="F72" s="9">
        <v>95.69963430229744</v>
      </c>
      <c r="G72" s="9">
        <v>4.3003656977025742</v>
      </c>
      <c r="H72" s="9">
        <v>25.544029613669114</v>
      </c>
      <c r="I72" s="9">
        <v>699.87403739843103</v>
      </c>
      <c r="J72" s="9">
        <v>57.277608974863668</v>
      </c>
      <c r="K72" s="9">
        <v>57.277608974863668</v>
      </c>
      <c r="L72" s="9">
        <v>0</v>
      </c>
      <c r="M72" s="9">
        <v>2.0969337264736189E-2</v>
      </c>
      <c r="N72" s="9">
        <v>0.20776651615488911</v>
      </c>
      <c r="O72" s="9">
        <v>0</v>
      </c>
      <c r="P72" s="9">
        <v>8.3849407251132302</v>
      </c>
      <c r="Q72" s="9">
        <v>0.73862014547173405</v>
      </c>
      <c r="R72" s="9">
        <v>8.8060533191527863</v>
      </c>
      <c r="S72" s="9">
        <v>0.99139951887169209</v>
      </c>
      <c r="T72" s="9">
        <v>20.528408685872737</v>
      </c>
      <c r="U72" s="9">
        <v>0.43051886220448027</v>
      </c>
      <c r="V72" s="9">
        <v>1.9210293646815522</v>
      </c>
      <c r="W72" s="10">
        <v>0</v>
      </c>
      <c r="X72" s="10">
        <v>0</v>
      </c>
      <c r="Y72" s="10">
        <v>0</v>
      </c>
      <c r="Z72" s="10">
        <v>3.3434673486433456E-6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5.2331743004853716E-6</v>
      </c>
      <c r="AH72" s="10">
        <v>0</v>
      </c>
      <c r="AI72" s="10">
        <v>1.0241459675528804E-5</v>
      </c>
      <c r="AJ72" s="10">
        <v>3.9582977097201577E-4</v>
      </c>
      <c r="AK72" s="10">
        <v>4.9916152170622332E-3</v>
      </c>
      <c r="AL72" s="10">
        <v>0</v>
      </c>
      <c r="AM72" s="10">
        <v>2.9359268657097911E-7</v>
      </c>
      <c r="AN72" s="10">
        <v>0</v>
      </c>
      <c r="AO72" s="10">
        <v>0</v>
      </c>
      <c r="AP72" s="10">
        <v>4.4370169586779473E-2</v>
      </c>
      <c r="AQ72" s="10">
        <v>6.5644395126243489E-5</v>
      </c>
      <c r="AR72" s="10">
        <v>2.3628428781841069E-5</v>
      </c>
      <c r="AS72" s="10">
        <v>5.6164348237637213E-6</v>
      </c>
      <c r="AT72" s="10">
        <v>7.3082338111270394E-6</v>
      </c>
      <c r="AU72" s="10">
        <v>0</v>
      </c>
      <c r="AV72" s="10">
        <v>0</v>
      </c>
      <c r="AW72" s="10">
        <v>0</v>
      </c>
      <c r="AX72" s="10">
        <v>3.6446016195328861E-5</v>
      </c>
      <c r="AY72" s="10">
        <v>0</v>
      </c>
      <c r="AZ72" s="10">
        <v>0</v>
      </c>
      <c r="BA72" s="10">
        <v>0</v>
      </c>
      <c r="BB72" s="10">
        <v>0</v>
      </c>
      <c r="BC72" s="10">
        <v>0</v>
      </c>
      <c r="BD72" s="10">
        <v>0</v>
      </c>
      <c r="BE72" s="10">
        <v>7.0943977696713628E-3</v>
      </c>
      <c r="BF72" s="10">
        <v>0</v>
      </c>
      <c r="BG72" s="9">
        <v>0</v>
      </c>
      <c r="BH72" s="9">
        <v>0</v>
      </c>
      <c r="BI72" s="9">
        <v>0</v>
      </c>
      <c r="BJ72" s="9">
        <v>0.10919197935278938</v>
      </c>
      <c r="BK72" s="9">
        <v>0</v>
      </c>
      <c r="BL72" s="9">
        <v>0</v>
      </c>
      <c r="BM72" s="9">
        <v>0</v>
      </c>
      <c r="BN72" s="9">
        <v>0</v>
      </c>
      <c r="BO72" s="9">
        <v>54.099606333712323</v>
      </c>
      <c r="BP72" s="9">
        <v>38.433248296280787</v>
      </c>
      <c r="BQ72" s="9">
        <v>0</v>
      </c>
      <c r="BR72" s="9">
        <v>3.0359020543400335</v>
      </c>
      <c r="BS72" s="9">
        <v>25.874371779433663</v>
      </c>
      <c r="BT72" s="9">
        <v>2.1899753689859902</v>
      </c>
      <c r="BU72" s="9">
        <v>0</v>
      </c>
      <c r="BV72" s="9">
        <v>0</v>
      </c>
      <c r="BW72" s="9">
        <v>0</v>
      </c>
      <c r="BX72" s="9">
        <v>0</v>
      </c>
      <c r="BY72" s="9">
        <v>0</v>
      </c>
      <c r="BZ72" s="9">
        <v>23.905049201846296</v>
      </c>
      <c r="CA72" s="9">
        <v>0</v>
      </c>
      <c r="CB72" s="11">
        <v>3.0575876929515395</v>
      </c>
      <c r="CC72" s="12"/>
      <c r="CD72" s="12"/>
      <c r="CE72" s="12"/>
    </row>
    <row r="73" spans="1:83" x14ac:dyDescent="0.35">
      <c r="A73" s="8" t="s">
        <v>113</v>
      </c>
      <c r="B73" s="8" t="s">
        <v>185</v>
      </c>
      <c r="C73" s="8"/>
      <c r="D73" s="9">
        <v>66.13636363636364</v>
      </c>
      <c r="E73" s="9">
        <v>33.863636363636367</v>
      </c>
      <c r="F73" s="9">
        <v>96.807070903671161</v>
      </c>
      <c r="G73" s="9">
        <v>3.1929290963288275</v>
      </c>
      <c r="H73" s="9">
        <v>25.50111578309069</v>
      </c>
      <c r="I73" s="9">
        <v>690.29915464837609</v>
      </c>
      <c r="J73" s="9">
        <v>57.320929149394338</v>
      </c>
      <c r="K73" s="9">
        <v>57.320929149394338</v>
      </c>
      <c r="L73" s="9">
        <v>0</v>
      </c>
      <c r="M73" s="9">
        <v>1.5249081633873359E-2</v>
      </c>
      <c r="N73" s="9">
        <v>0</v>
      </c>
      <c r="O73" s="9">
        <v>0</v>
      </c>
      <c r="P73" s="9">
        <v>8.4124800436975313</v>
      </c>
      <c r="Q73" s="9">
        <v>0.93913042379596989</v>
      </c>
      <c r="R73" s="9">
        <v>9.787546614115044</v>
      </c>
      <c r="S73" s="9">
        <v>0.22835387756553691</v>
      </c>
      <c r="T73" s="9">
        <v>20.61650424895133</v>
      </c>
      <c r="U73" s="9">
        <v>0.53905569239960271</v>
      </c>
      <c r="V73" s="9">
        <v>2.1126502502980218</v>
      </c>
      <c r="W73" s="10">
        <v>0</v>
      </c>
      <c r="X73" s="10">
        <v>0</v>
      </c>
      <c r="Y73" s="10">
        <v>0</v>
      </c>
      <c r="Z73" s="10">
        <v>1.400034725069753E-6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2.2105540180749056E-6</v>
      </c>
      <c r="AH73" s="10">
        <v>0</v>
      </c>
      <c r="AI73" s="10">
        <v>1.2484494867501665E-5</v>
      </c>
      <c r="AJ73" s="10">
        <v>2.6045455059062683E-4</v>
      </c>
      <c r="AK73" s="10">
        <v>6.481893995499693E-3</v>
      </c>
      <c r="AL73" s="10">
        <v>0</v>
      </c>
      <c r="AM73" s="10">
        <v>1.6983435028538614E-7</v>
      </c>
      <c r="AN73" s="10">
        <v>0</v>
      </c>
      <c r="AO73" s="10">
        <v>0</v>
      </c>
      <c r="AP73" s="10">
        <v>6.2616496745743516E-2</v>
      </c>
      <c r="AQ73" s="10">
        <v>3.5894484825930744E-5</v>
      </c>
      <c r="AR73" s="10">
        <v>0</v>
      </c>
      <c r="AS73" s="10">
        <v>2.1415115610512083E-6</v>
      </c>
      <c r="AT73" s="10">
        <v>6.233260591366556E-6</v>
      </c>
      <c r="AU73" s="10">
        <v>0</v>
      </c>
      <c r="AV73" s="10">
        <v>0</v>
      </c>
      <c r="AW73" s="10">
        <v>0</v>
      </c>
      <c r="AX73" s="10">
        <v>2.1100803723912193E-5</v>
      </c>
      <c r="AY73" s="10">
        <v>0</v>
      </c>
      <c r="AZ73" s="10">
        <v>0</v>
      </c>
      <c r="BA73" s="10">
        <v>0</v>
      </c>
      <c r="BB73" s="10">
        <v>0</v>
      </c>
      <c r="BC73" s="10">
        <v>0</v>
      </c>
      <c r="BD73" s="10">
        <v>0</v>
      </c>
      <c r="BE73" s="10">
        <v>1.257920652090138E-2</v>
      </c>
      <c r="BF73" s="10">
        <v>0</v>
      </c>
      <c r="BG73" s="9">
        <v>0</v>
      </c>
      <c r="BH73" s="9">
        <v>0</v>
      </c>
      <c r="BI73" s="9">
        <v>0</v>
      </c>
      <c r="BJ73" s="9">
        <v>9.2629350271271671E-2</v>
      </c>
      <c r="BK73" s="9">
        <v>0</v>
      </c>
      <c r="BL73" s="9">
        <v>0</v>
      </c>
      <c r="BM73" s="9">
        <v>0</v>
      </c>
      <c r="BN73" s="9">
        <v>0</v>
      </c>
      <c r="BO73" s="9">
        <v>59.495991557051561</v>
      </c>
      <c r="BP73" s="9">
        <v>36.504572895768213</v>
      </c>
      <c r="BQ73" s="9">
        <v>0</v>
      </c>
      <c r="BR73" s="9">
        <v>0.79327368652692942</v>
      </c>
      <c r="BS73" s="9">
        <v>26.102748234272184</v>
      </c>
      <c r="BT73" s="9">
        <v>2.2125618003695187</v>
      </c>
      <c r="BU73" s="9">
        <v>0</v>
      </c>
      <c r="BV73" s="9">
        <v>0</v>
      </c>
      <c r="BW73" s="9">
        <v>0</v>
      </c>
      <c r="BX73" s="9">
        <v>0</v>
      </c>
      <c r="BY73" s="9">
        <v>0</v>
      </c>
      <c r="BZ73" s="9">
        <v>23.759690054710401</v>
      </c>
      <c r="CA73" s="9">
        <v>0</v>
      </c>
      <c r="CB73" s="11">
        <v>0.71387710058012588</v>
      </c>
      <c r="CC73" s="12"/>
      <c r="CD73" s="12"/>
      <c r="CE73" s="12"/>
    </row>
    <row r="74" spans="1:83" x14ac:dyDescent="0.35">
      <c r="A74" s="8" t="s">
        <v>113</v>
      </c>
      <c r="B74" s="8" t="s">
        <v>186</v>
      </c>
      <c r="C74" s="8"/>
      <c r="D74" s="9">
        <v>72</v>
      </c>
      <c r="E74" s="9">
        <v>28</v>
      </c>
      <c r="F74" s="9">
        <v>93.65822219356393</v>
      </c>
      <c r="G74" s="9">
        <v>6.3417778064360641</v>
      </c>
      <c r="H74" s="9">
        <v>22.073570572126808</v>
      </c>
      <c r="I74" s="9">
        <v>611.72651254577625</v>
      </c>
      <c r="J74" s="9">
        <v>51.111544752808761</v>
      </c>
      <c r="K74" s="9">
        <v>51.111544752808761</v>
      </c>
      <c r="L74" s="9">
        <v>0</v>
      </c>
      <c r="M74" s="9">
        <v>2.3598396951442783E-2</v>
      </c>
      <c r="N74" s="9">
        <v>1.1152416356877324</v>
      </c>
      <c r="O74" s="9">
        <v>0</v>
      </c>
      <c r="P74" s="9">
        <v>7.602846891190068</v>
      </c>
      <c r="Q74" s="9">
        <v>1.1620256985376245</v>
      </c>
      <c r="R74" s="9">
        <v>11.396373305986957</v>
      </c>
      <c r="S74" s="9">
        <v>1.1839259512245257</v>
      </c>
      <c r="T74" s="9">
        <v>23.216246562070697</v>
      </c>
      <c r="U74" s="9">
        <v>0.87871190767816387</v>
      </c>
      <c r="V74" s="9">
        <v>2.369313394915062</v>
      </c>
      <c r="W74" s="10">
        <v>0</v>
      </c>
      <c r="X74" s="10">
        <v>0</v>
      </c>
      <c r="Y74" s="10">
        <v>0</v>
      </c>
      <c r="Z74" s="10">
        <v>1.5022903848780636E-6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2.3141901603363039E-6</v>
      </c>
      <c r="AH74" s="10">
        <v>2.747252747252747E-7</v>
      </c>
      <c r="AI74" s="10">
        <v>1.5221290045544694E-5</v>
      </c>
      <c r="AJ74" s="10">
        <v>3.7853962700146171E-4</v>
      </c>
      <c r="AK74" s="10">
        <v>6.714935802678991E-3</v>
      </c>
      <c r="AL74" s="10">
        <v>0</v>
      </c>
      <c r="AM74" s="10">
        <v>2.8402366052817111E-7</v>
      </c>
      <c r="AN74" s="10">
        <v>0</v>
      </c>
      <c r="AO74" s="10">
        <v>0</v>
      </c>
      <c r="AP74" s="10">
        <v>6.7082343616476706E-2</v>
      </c>
      <c r="AQ74" s="10">
        <v>5.9863804452594734E-5</v>
      </c>
      <c r="AR74" s="10">
        <v>2.7472527472527467E-6</v>
      </c>
      <c r="AS74" s="10">
        <v>4.5144093249793987E-6</v>
      </c>
      <c r="AT74" s="10">
        <v>6.2908994998189091E-6</v>
      </c>
      <c r="AU74" s="10">
        <v>0</v>
      </c>
      <c r="AV74" s="10">
        <v>0</v>
      </c>
      <c r="AW74" s="10">
        <v>0</v>
      </c>
      <c r="AX74" s="10">
        <v>2.5686509844605951E-5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0</v>
      </c>
      <c r="BE74" s="10">
        <v>1.0862282409391869E-2</v>
      </c>
      <c r="BF74" s="10">
        <v>0</v>
      </c>
      <c r="BG74" s="9">
        <v>0</v>
      </c>
      <c r="BH74" s="9">
        <v>0</v>
      </c>
      <c r="BI74" s="9">
        <v>0</v>
      </c>
      <c r="BJ74" s="9">
        <v>1.1180124223602486</v>
      </c>
      <c r="BK74" s="9">
        <v>0</v>
      </c>
      <c r="BL74" s="9">
        <v>0</v>
      </c>
      <c r="BM74" s="9">
        <v>0</v>
      </c>
      <c r="BN74" s="9">
        <v>0</v>
      </c>
      <c r="BO74" s="9">
        <v>66.724082568797428</v>
      </c>
      <c r="BP74" s="9">
        <v>22.095653614488356</v>
      </c>
      <c r="BQ74" s="9">
        <v>0</v>
      </c>
      <c r="BR74" s="9">
        <v>4.8384860102781619</v>
      </c>
      <c r="BS74" s="9">
        <v>23.698227482078085</v>
      </c>
      <c r="BT74" s="9">
        <v>1.9747546979775219</v>
      </c>
      <c r="BU74" s="9">
        <v>0</v>
      </c>
      <c r="BV74" s="9">
        <v>0</v>
      </c>
      <c r="BW74" s="9">
        <v>0</v>
      </c>
      <c r="BX74" s="9">
        <v>0</v>
      </c>
      <c r="BY74" s="9">
        <v>0</v>
      </c>
      <c r="BZ74" s="9">
        <v>20.343754325724461</v>
      </c>
      <c r="CA74" s="9">
        <v>0</v>
      </c>
      <c r="CB74" s="11">
        <v>3.7204735879179123</v>
      </c>
      <c r="CC74" s="12"/>
      <c r="CD74" s="12"/>
      <c r="CE74" s="12"/>
    </row>
    <row r="75" spans="1:83" x14ac:dyDescent="0.35">
      <c r="A75" s="8" t="s">
        <v>113</v>
      </c>
      <c r="B75" s="8" t="s">
        <v>187</v>
      </c>
      <c r="C75" s="8"/>
      <c r="D75" s="9">
        <v>61.766666666666673</v>
      </c>
      <c r="E75" s="9">
        <v>38.233333333333341</v>
      </c>
      <c r="F75" s="9">
        <v>96.593482026451397</v>
      </c>
      <c r="G75" s="9">
        <v>3.406517973548604</v>
      </c>
      <c r="H75" s="9">
        <v>27.421806484684691</v>
      </c>
      <c r="I75" s="9">
        <v>746.74627087633769</v>
      </c>
      <c r="J75" s="9">
        <v>60.551045868072514</v>
      </c>
      <c r="K75" s="9">
        <v>60.551045868072514</v>
      </c>
      <c r="L75" s="9">
        <v>0</v>
      </c>
      <c r="M75" s="9">
        <v>2.8991388347858957E-2</v>
      </c>
      <c r="N75" s="9">
        <v>0</v>
      </c>
      <c r="O75" s="9">
        <v>0</v>
      </c>
      <c r="P75" s="9">
        <v>8.79918853691197</v>
      </c>
      <c r="Q75" s="9">
        <v>0.78357067222872379</v>
      </c>
      <c r="R75" s="9">
        <v>7.9674729223265395</v>
      </c>
      <c r="S75" s="9">
        <v>0.27800544994569781</v>
      </c>
      <c r="T75" s="9">
        <v>18.550767793361906</v>
      </c>
      <c r="U75" s="9">
        <v>0.55731431929949171</v>
      </c>
      <c r="V75" s="9">
        <v>1.7561339926211259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3.1502884246755241E-6</v>
      </c>
      <c r="AH75" s="10">
        <v>0</v>
      </c>
      <c r="AI75" s="10">
        <v>1.5275764381348319E-5</v>
      </c>
      <c r="AJ75" s="10">
        <v>3.6376317042892468E-4</v>
      </c>
      <c r="AK75" s="10">
        <v>4.5737840267526027E-3</v>
      </c>
      <c r="AL75" s="10">
        <v>0</v>
      </c>
      <c r="AM75" s="10">
        <v>3.784425069065344E-7</v>
      </c>
      <c r="AN75" s="10">
        <v>0</v>
      </c>
      <c r="AO75" s="10">
        <v>0</v>
      </c>
      <c r="AP75" s="10">
        <v>5.0615641637822097E-2</v>
      </c>
      <c r="AQ75" s="10">
        <v>5.3995230457649702E-5</v>
      </c>
      <c r="AR75" s="10">
        <v>0</v>
      </c>
      <c r="AS75" s="10">
        <v>1.0947439262042227E-5</v>
      </c>
      <c r="AT75" s="10">
        <v>9.6688612188555867E-6</v>
      </c>
      <c r="AU75" s="10">
        <v>0</v>
      </c>
      <c r="AV75" s="10">
        <v>0</v>
      </c>
      <c r="AW75" s="10">
        <v>0</v>
      </c>
      <c r="AX75" s="10">
        <v>1.1765356277498238E-5</v>
      </c>
      <c r="AY75" s="10">
        <v>0</v>
      </c>
      <c r="AZ75" s="10">
        <v>0</v>
      </c>
      <c r="BA75" s="10">
        <v>0</v>
      </c>
      <c r="BB75" s="10">
        <v>0</v>
      </c>
      <c r="BC75" s="10">
        <v>0</v>
      </c>
      <c r="BD75" s="10">
        <v>0</v>
      </c>
      <c r="BE75" s="10">
        <v>8.5225316574608374E-3</v>
      </c>
      <c r="BF75" s="10">
        <v>0</v>
      </c>
      <c r="BG75" s="9">
        <v>0</v>
      </c>
      <c r="BH75" s="9">
        <v>0</v>
      </c>
      <c r="BI75" s="9">
        <v>0</v>
      </c>
      <c r="BJ75" s="9">
        <v>0</v>
      </c>
      <c r="BK75" s="9">
        <v>0</v>
      </c>
      <c r="BL75" s="9">
        <v>0</v>
      </c>
      <c r="BM75" s="9">
        <v>0</v>
      </c>
      <c r="BN75" s="9">
        <v>0</v>
      </c>
      <c r="BO75" s="9">
        <v>49.455859143414244</v>
      </c>
      <c r="BP75" s="9">
        <v>47.000867673820977</v>
      </c>
      <c r="BQ75" s="9">
        <v>0</v>
      </c>
      <c r="BR75" s="9">
        <v>0.13675520921618622</v>
      </c>
      <c r="BS75" s="9">
        <v>27.112521904648776</v>
      </c>
      <c r="BT75" s="9">
        <v>2.3124284163697642</v>
      </c>
      <c r="BU75" s="9">
        <v>0</v>
      </c>
      <c r="BV75" s="9">
        <v>0</v>
      </c>
      <c r="BW75" s="9">
        <v>0</v>
      </c>
      <c r="BX75" s="9">
        <v>0</v>
      </c>
      <c r="BY75" s="9">
        <v>0</v>
      </c>
      <c r="BZ75" s="9">
        <v>25.827084816647446</v>
      </c>
      <c r="CA75" s="9">
        <v>0</v>
      </c>
      <c r="CB75" s="11">
        <v>0.13675520921618656</v>
      </c>
      <c r="CC75" s="12"/>
      <c r="CD75" s="12"/>
      <c r="CE75" s="12"/>
    </row>
    <row r="76" spans="1:83" x14ac:dyDescent="0.35">
      <c r="A76" s="8" t="s">
        <v>113</v>
      </c>
      <c r="B76" s="8" t="s">
        <v>188</v>
      </c>
      <c r="C76" s="8"/>
      <c r="D76" s="9">
        <v>70</v>
      </c>
      <c r="E76" s="9">
        <v>30</v>
      </c>
      <c r="F76" s="9">
        <v>96.666666666666671</v>
      </c>
      <c r="G76" s="9">
        <v>3.3333333333333335</v>
      </c>
      <c r="H76" s="9">
        <v>24.921753887402364</v>
      </c>
      <c r="I76" s="9">
        <v>674.62068965517233</v>
      </c>
      <c r="J76" s="9">
        <v>56.298371060796342</v>
      </c>
      <c r="K76" s="9">
        <v>56.298371060796342</v>
      </c>
      <c r="L76" s="9">
        <v>0</v>
      </c>
      <c r="M76" s="9">
        <v>3.3333333333333333E-2</v>
      </c>
      <c r="N76" s="9">
        <v>0</v>
      </c>
      <c r="O76" s="9">
        <v>0</v>
      </c>
      <c r="P76" s="9">
        <v>8.2895098492254373</v>
      </c>
      <c r="Q76" s="9">
        <v>0.96999999999999986</v>
      </c>
      <c r="R76" s="9">
        <v>10.133333333333333</v>
      </c>
      <c r="S76" s="9">
        <v>0.20666666666666667</v>
      </c>
      <c r="T76" s="9">
        <v>20.947167946706166</v>
      </c>
      <c r="U76" s="9">
        <v>0.6166666666666667</v>
      </c>
      <c r="V76" s="9">
        <v>2.2489108764675478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6.6666666666666666E-6</v>
      </c>
      <c r="AJ76" s="10">
        <v>4.7999999999999996E-4</v>
      </c>
      <c r="AK76" s="10">
        <v>1.1666666666666667E-2</v>
      </c>
      <c r="AL76" s="10">
        <v>0</v>
      </c>
      <c r="AM76" s="10">
        <v>0</v>
      </c>
      <c r="AN76" s="10">
        <v>0</v>
      </c>
      <c r="AO76" s="10">
        <v>0</v>
      </c>
      <c r="AP76" s="10">
        <v>6.6666666666666666E-2</v>
      </c>
      <c r="AQ76" s="10">
        <v>6.666666666666667E-5</v>
      </c>
      <c r="AR76" s="10">
        <v>0</v>
      </c>
      <c r="AS76" s="10">
        <v>6.6666666666666666E-6</v>
      </c>
      <c r="AT76" s="10">
        <v>0</v>
      </c>
      <c r="AU76" s="10">
        <v>0</v>
      </c>
      <c r="AV76" s="10">
        <v>0</v>
      </c>
      <c r="AW76" s="10">
        <v>0</v>
      </c>
      <c r="AX76" s="10">
        <v>2.0000000000000002E-5</v>
      </c>
      <c r="AY76" s="10">
        <v>0</v>
      </c>
      <c r="AZ76" s="10">
        <v>0</v>
      </c>
      <c r="BA76" s="10">
        <v>0</v>
      </c>
      <c r="BB76" s="10">
        <v>0</v>
      </c>
      <c r="BC76" s="10">
        <v>0</v>
      </c>
      <c r="BD76" s="10">
        <v>0</v>
      </c>
      <c r="BE76" s="10">
        <v>1.5366666666666667E-2</v>
      </c>
      <c r="BF76" s="10">
        <v>0</v>
      </c>
      <c r="BG76" s="9">
        <v>0</v>
      </c>
      <c r="BH76" s="9">
        <v>0</v>
      </c>
      <c r="BI76" s="9">
        <v>0</v>
      </c>
      <c r="BJ76" s="9">
        <v>0</v>
      </c>
      <c r="BK76" s="9">
        <v>0</v>
      </c>
      <c r="BL76" s="9">
        <v>0</v>
      </c>
      <c r="BM76" s="9">
        <v>0</v>
      </c>
      <c r="BN76" s="9">
        <v>0</v>
      </c>
      <c r="BO76" s="9">
        <v>63.333333333333329</v>
      </c>
      <c r="BP76" s="9">
        <v>33.333333333333329</v>
      </c>
      <c r="BQ76" s="9">
        <v>0</v>
      </c>
      <c r="BR76" s="9">
        <v>0</v>
      </c>
      <c r="BS76" s="9">
        <v>25.814076333333333</v>
      </c>
      <c r="BT76" s="9">
        <v>2.1840121493666667</v>
      </c>
      <c r="BU76" s="9">
        <v>0</v>
      </c>
      <c r="BV76" s="9">
        <v>0</v>
      </c>
      <c r="BW76" s="9">
        <v>0</v>
      </c>
      <c r="BX76" s="9">
        <v>0</v>
      </c>
      <c r="BY76" s="9">
        <v>0</v>
      </c>
      <c r="BZ76" s="9">
        <v>23.1</v>
      </c>
      <c r="CA76" s="9">
        <v>0</v>
      </c>
      <c r="CB76" s="11">
        <v>0</v>
      </c>
      <c r="CC76" s="12"/>
      <c r="CD76" s="12"/>
      <c r="CE76" s="12"/>
    </row>
    <row r="77" spans="1:83" x14ac:dyDescent="0.35">
      <c r="A77" s="8" t="s">
        <v>113</v>
      </c>
      <c r="B77" s="8" t="s">
        <v>189</v>
      </c>
      <c r="C77" s="8"/>
      <c r="D77" s="9">
        <v>66.478656126482207</v>
      </c>
      <c r="E77" s="9">
        <v>33.522430830039532</v>
      </c>
      <c r="F77" s="9">
        <v>95.466140425457496</v>
      </c>
      <c r="G77" s="9">
        <v>4.5338595745425101</v>
      </c>
      <c r="H77" s="9">
        <v>24.665686395638932</v>
      </c>
      <c r="I77" s="9">
        <v>675.44343549775363</v>
      </c>
      <c r="J77" s="9">
        <v>55.746922962982609</v>
      </c>
      <c r="K77" s="9">
        <v>55.746922962982609</v>
      </c>
      <c r="L77" s="9">
        <v>0</v>
      </c>
      <c r="M77" s="9">
        <v>2.0196538278697131E-2</v>
      </c>
      <c r="N77" s="9">
        <v>0.38269366699937768</v>
      </c>
      <c r="O77" s="9">
        <v>0</v>
      </c>
      <c r="P77" s="9">
        <v>8.1963020962785151</v>
      </c>
      <c r="Q77" s="9">
        <v>0.89459910331926562</v>
      </c>
      <c r="R77" s="9">
        <v>9.6990066396018939</v>
      </c>
      <c r="S77" s="9">
        <v>0.84876971663336165</v>
      </c>
      <c r="T77" s="9">
        <v>21.222392045691876</v>
      </c>
      <c r="U77" s="9">
        <v>0.56970133112168175</v>
      </c>
      <c r="V77" s="9">
        <v>2.081005593644047</v>
      </c>
      <c r="W77" s="10">
        <v>0</v>
      </c>
      <c r="X77" s="10">
        <v>0</v>
      </c>
      <c r="Y77" s="10">
        <v>0</v>
      </c>
      <c r="Z77" s="10">
        <v>2.3973149518086268E-6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3.7477731948454878E-6</v>
      </c>
      <c r="AH77" s="10">
        <v>6.8681318681318674E-8</v>
      </c>
      <c r="AI77" s="10">
        <v>1.2047176066025991E-5</v>
      </c>
      <c r="AJ77" s="10">
        <v>3.5766342988402999E-4</v>
      </c>
      <c r="AK77" s="10">
        <v>5.7950150580757878E-3</v>
      </c>
      <c r="AL77" s="10">
        <v>0</v>
      </c>
      <c r="AM77" s="10">
        <v>2.6026084598887891E-7</v>
      </c>
      <c r="AN77" s="10">
        <v>0</v>
      </c>
      <c r="AO77" s="10">
        <v>0</v>
      </c>
      <c r="AP77" s="10">
        <v>5.4609794883944796E-2</v>
      </c>
      <c r="AQ77" s="10">
        <v>5.6761769882753117E-5</v>
      </c>
      <c r="AR77" s="10">
        <v>1.2501027577733721E-5</v>
      </c>
      <c r="AS77" s="10">
        <v>4.4721976333895127E-6</v>
      </c>
      <c r="AT77" s="10">
        <v>6.785156928359886E-6</v>
      </c>
      <c r="AU77" s="10">
        <v>0</v>
      </c>
      <c r="AV77" s="10">
        <v>0</v>
      </c>
      <c r="AW77" s="10">
        <v>0</v>
      </c>
      <c r="AX77" s="10">
        <v>2.9919836489793965E-5</v>
      </c>
      <c r="AY77" s="10">
        <v>0</v>
      </c>
      <c r="AZ77" s="10">
        <v>0</v>
      </c>
      <c r="BA77" s="10">
        <v>0</v>
      </c>
      <c r="BB77" s="10">
        <v>0</v>
      </c>
      <c r="BC77" s="10">
        <v>0</v>
      </c>
      <c r="BD77" s="10">
        <v>0</v>
      </c>
      <c r="BE77" s="10">
        <v>9.407571117408994E-3</v>
      </c>
      <c r="BF77" s="10">
        <v>0</v>
      </c>
      <c r="BG77" s="9">
        <v>0</v>
      </c>
      <c r="BH77" s="9">
        <v>0</v>
      </c>
      <c r="BI77" s="9">
        <v>0</v>
      </c>
      <c r="BJ77" s="9">
        <v>0.35725643283427477</v>
      </c>
      <c r="BK77" s="9">
        <v>0</v>
      </c>
      <c r="BL77" s="9">
        <v>0</v>
      </c>
      <c r="BM77" s="9">
        <v>0</v>
      </c>
      <c r="BN77" s="9">
        <v>0</v>
      </c>
      <c r="BO77" s="9">
        <v>58.60482169831841</v>
      </c>
      <c r="BP77" s="9">
        <v>33.866680775704538</v>
      </c>
      <c r="BQ77" s="9">
        <v>0</v>
      </c>
      <c r="BR77" s="9">
        <v>2.9258909513712896</v>
      </c>
      <c r="BS77" s="9">
        <v>25.387429818804396</v>
      </c>
      <c r="BT77" s="9">
        <v>2.1418168090797551</v>
      </c>
      <c r="BU77" s="9">
        <v>0</v>
      </c>
      <c r="BV77" s="9">
        <v>0</v>
      </c>
      <c r="BW77" s="9">
        <v>0</v>
      </c>
      <c r="BX77" s="9">
        <v>0</v>
      </c>
      <c r="BY77" s="9">
        <v>0</v>
      </c>
      <c r="BZ77" s="9">
        <v>22.978385696031864</v>
      </c>
      <c r="CA77" s="9">
        <v>0</v>
      </c>
      <c r="CB77" s="11">
        <v>2.6373815186002791</v>
      </c>
      <c r="CC77" s="12"/>
      <c r="CD77" s="12"/>
      <c r="CE77" s="12"/>
    </row>
    <row r="78" spans="1:83" x14ac:dyDescent="0.35">
      <c r="A78" s="8" t="s">
        <v>113</v>
      </c>
      <c r="B78" s="8" t="s">
        <v>190</v>
      </c>
      <c r="C78" s="8"/>
      <c r="D78" s="9">
        <v>66.478656126482207</v>
      </c>
      <c r="E78" s="9">
        <v>33.522430830039532</v>
      </c>
      <c r="F78" s="9">
        <v>95.466140425457496</v>
      </c>
      <c r="G78" s="9">
        <v>4.5338595745425101</v>
      </c>
      <c r="H78" s="9">
        <v>24.665686395638932</v>
      </c>
      <c r="I78" s="9">
        <v>675.44343549775363</v>
      </c>
      <c r="J78" s="9">
        <v>55.746922962982609</v>
      </c>
      <c r="K78" s="9">
        <v>55.746922962982609</v>
      </c>
      <c r="L78" s="9">
        <v>0</v>
      </c>
      <c r="M78" s="9">
        <v>2.0196538278697131E-2</v>
      </c>
      <c r="N78" s="9">
        <v>0.38269366699937768</v>
      </c>
      <c r="O78" s="9">
        <v>0</v>
      </c>
      <c r="P78" s="9">
        <v>8.1963020962785151</v>
      </c>
      <c r="Q78" s="9">
        <v>0.89459910331926562</v>
      </c>
      <c r="R78" s="9">
        <v>9.6990066396018939</v>
      </c>
      <c r="S78" s="9">
        <v>0.84876971663336165</v>
      </c>
      <c r="T78" s="9">
        <v>21.222392045691876</v>
      </c>
      <c r="U78" s="9">
        <v>0.56970133112168175</v>
      </c>
      <c r="V78" s="9">
        <v>2.081005593644047</v>
      </c>
      <c r="W78" s="10">
        <v>0</v>
      </c>
      <c r="X78" s="10">
        <v>0</v>
      </c>
      <c r="Y78" s="10">
        <v>0</v>
      </c>
      <c r="Z78" s="10">
        <v>2.3973149518086268E-6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3.7477731948454878E-6</v>
      </c>
      <c r="AH78" s="10">
        <v>6.8681318681318674E-8</v>
      </c>
      <c r="AI78" s="10">
        <v>1.2047176066025991E-5</v>
      </c>
      <c r="AJ78" s="10">
        <v>3.5766342988402999E-4</v>
      </c>
      <c r="AK78" s="10">
        <v>5.7950150580757878E-3</v>
      </c>
      <c r="AL78" s="10">
        <v>0</v>
      </c>
      <c r="AM78" s="10">
        <v>2.6026084598887891E-7</v>
      </c>
      <c r="AN78" s="10">
        <v>0</v>
      </c>
      <c r="AO78" s="10">
        <v>0</v>
      </c>
      <c r="AP78" s="10">
        <v>5.4609794883944796E-2</v>
      </c>
      <c r="AQ78" s="10">
        <v>5.6761769882753117E-5</v>
      </c>
      <c r="AR78" s="10">
        <v>1.2501027577733721E-5</v>
      </c>
      <c r="AS78" s="10">
        <v>4.4721976333895127E-6</v>
      </c>
      <c r="AT78" s="10">
        <v>6.785156928359886E-6</v>
      </c>
      <c r="AU78" s="10">
        <v>0</v>
      </c>
      <c r="AV78" s="10">
        <v>0</v>
      </c>
      <c r="AW78" s="10">
        <v>0</v>
      </c>
      <c r="AX78" s="10">
        <v>2.9919836489793965E-5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9.407571117408994E-3</v>
      </c>
      <c r="BF78" s="10">
        <v>0</v>
      </c>
      <c r="BG78" s="9">
        <v>0</v>
      </c>
      <c r="BH78" s="9">
        <v>0</v>
      </c>
      <c r="BI78" s="9">
        <v>0</v>
      </c>
      <c r="BJ78" s="9">
        <v>0.35725643283427477</v>
      </c>
      <c r="BK78" s="9">
        <v>0</v>
      </c>
      <c r="BL78" s="9">
        <v>0</v>
      </c>
      <c r="BM78" s="9">
        <v>0</v>
      </c>
      <c r="BN78" s="9">
        <v>0</v>
      </c>
      <c r="BO78" s="9">
        <v>58.60482169831841</v>
      </c>
      <c r="BP78" s="9">
        <v>33.866680775704538</v>
      </c>
      <c r="BQ78" s="9">
        <v>0</v>
      </c>
      <c r="BR78" s="9">
        <v>2.9258909513712896</v>
      </c>
      <c r="BS78" s="9">
        <v>25.387429818804396</v>
      </c>
      <c r="BT78" s="9">
        <v>2.1418168090797551</v>
      </c>
      <c r="BU78" s="9">
        <v>0</v>
      </c>
      <c r="BV78" s="9">
        <v>0</v>
      </c>
      <c r="BW78" s="9">
        <v>0</v>
      </c>
      <c r="BX78" s="9">
        <v>0</v>
      </c>
      <c r="BY78" s="9">
        <v>0</v>
      </c>
      <c r="BZ78" s="9">
        <v>22.978385696031864</v>
      </c>
      <c r="CA78" s="9">
        <v>0</v>
      </c>
      <c r="CB78" s="11">
        <v>2.6373815186002791</v>
      </c>
      <c r="CC78" s="12"/>
      <c r="CD78" s="12"/>
      <c r="CE78" s="12"/>
    </row>
    <row r="79" spans="1:83" x14ac:dyDescent="0.35">
      <c r="A79" s="8" t="s">
        <v>113</v>
      </c>
      <c r="B79" s="8" t="s">
        <v>191</v>
      </c>
      <c r="C79" s="8"/>
      <c r="D79" s="9">
        <v>66.478656126482207</v>
      </c>
      <c r="E79" s="9">
        <v>33.522430830039532</v>
      </c>
      <c r="F79" s="9">
        <v>95.466140425457496</v>
      </c>
      <c r="G79" s="9">
        <v>4.5338595745425101</v>
      </c>
      <c r="H79" s="9">
        <v>24.665686395638932</v>
      </c>
      <c r="I79" s="9">
        <v>675.44343549775363</v>
      </c>
      <c r="J79" s="9">
        <v>55.746922962982609</v>
      </c>
      <c r="K79" s="9">
        <v>55.746922962982609</v>
      </c>
      <c r="L79" s="9">
        <v>0</v>
      </c>
      <c r="M79" s="9">
        <v>2.0196538278697131E-2</v>
      </c>
      <c r="N79" s="9">
        <v>0.38269366699937768</v>
      </c>
      <c r="O79" s="9">
        <v>0</v>
      </c>
      <c r="P79" s="9">
        <v>8.1963020962785151</v>
      </c>
      <c r="Q79" s="9">
        <v>0.89459910331926562</v>
      </c>
      <c r="R79" s="9">
        <v>9.6990066396018939</v>
      </c>
      <c r="S79" s="9">
        <v>0.84876971663336165</v>
      </c>
      <c r="T79" s="9">
        <v>21.222392045691876</v>
      </c>
      <c r="U79" s="9">
        <v>0.56970133112168175</v>
      </c>
      <c r="V79" s="9">
        <v>2.081005593644047</v>
      </c>
      <c r="W79" s="10">
        <v>0</v>
      </c>
      <c r="X79" s="10">
        <v>0</v>
      </c>
      <c r="Y79" s="10">
        <v>0</v>
      </c>
      <c r="Z79" s="10">
        <v>2.3973149518086268E-6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3.7477731948454878E-6</v>
      </c>
      <c r="AH79" s="10">
        <v>6.8681318681318674E-8</v>
      </c>
      <c r="AI79" s="10">
        <v>1.2047176066025991E-5</v>
      </c>
      <c r="AJ79" s="10">
        <v>3.5766342988402999E-4</v>
      </c>
      <c r="AK79" s="10">
        <v>5.7950150580757878E-3</v>
      </c>
      <c r="AL79" s="10">
        <v>0</v>
      </c>
      <c r="AM79" s="10">
        <v>2.6026084598887891E-7</v>
      </c>
      <c r="AN79" s="10">
        <v>0</v>
      </c>
      <c r="AO79" s="10">
        <v>0</v>
      </c>
      <c r="AP79" s="10">
        <v>5.4609794883944796E-2</v>
      </c>
      <c r="AQ79" s="10">
        <v>5.6761769882753117E-5</v>
      </c>
      <c r="AR79" s="10">
        <v>1.2501027577733721E-5</v>
      </c>
      <c r="AS79" s="10">
        <v>4.4721976333895127E-6</v>
      </c>
      <c r="AT79" s="10">
        <v>6.785156928359886E-6</v>
      </c>
      <c r="AU79" s="10">
        <v>0</v>
      </c>
      <c r="AV79" s="10">
        <v>0</v>
      </c>
      <c r="AW79" s="10">
        <v>0</v>
      </c>
      <c r="AX79" s="10">
        <v>2.9919836489793965E-5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9.407571117408994E-3</v>
      </c>
      <c r="BF79" s="10">
        <v>0</v>
      </c>
      <c r="BG79" s="9">
        <v>0</v>
      </c>
      <c r="BH79" s="9">
        <v>0</v>
      </c>
      <c r="BI79" s="9">
        <v>0</v>
      </c>
      <c r="BJ79" s="9">
        <v>0.35725643283427477</v>
      </c>
      <c r="BK79" s="9">
        <v>0</v>
      </c>
      <c r="BL79" s="9">
        <v>0</v>
      </c>
      <c r="BM79" s="9">
        <v>0</v>
      </c>
      <c r="BN79" s="9">
        <v>0</v>
      </c>
      <c r="BO79" s="9">
        <v>58.60482169831841</v>
      </c>
      <c r="BP79" s="9">
        <v>33.866680775704538</v>
      </c>
      <c r="BQ79" s="9">
        <v>0</v>
      </c>
      <c r="BR79" s="9">
        <v>2.9258909513712896</v>
      </c>
      <c r="BS79" s="9">
        <v>25.387429818804396</v>
      </c>
      <c r="BT79" s="9">
        <v>2.1418168090797551</v>
      </c>
      <c r="BU79" s="9">
        <v>0</v>
      </c>
      <c r="BV79" s="9">
        <v>0</v>
      </c>
      <c r="BW79" s="9">
        <v>0</v>
      </c>
      <c r="BX79" s="9">
        <v>0</v>
      </c>
      <c r="BY79" s="9">
        <v>0</v>
      </c>
      <c r="BZ79" s="9">
        <v>22.978385696031864</v>
      </c>
      <c r="CA79" s="9">
        <v>0</v>
      </c>
      <c r="CB79" s="11">
        <v>2.6373815186002791</v>
      </c>
      <c r="CC79" s="12"/>
      <c r="CD79" s="12"/>
      <c r="CE79" s="12"/>
    </row>
    <row r="80" spans="1:83" x14ac:dyDescent="0.35">
      <c r="A80" s="8" t="s">
        <v>113</v>
      </c>
      <c r="B80" s="8" t="s">
        <v>192</v>
      </c>
      <c r="C80" s="8"/>
      <c r="D80" s="9">
        <v>49.207547169811328</v>
      </c>
      <c r="E80" s="9">
        <v>50.792452830188672</v>
      </c>
      <c r="F80" s="9">
        <v>93.503027148447146</v>
      </c>
      <c r="G80" s="9">
        <v>6.4969728515528171</v>
      </c>
      <c r="H80" s="9">
        <v>25.741406205919322</v>
      </c>
      <c r="I80" s="9">
        <v>725.27674013134424</v>
      </c>
      <c r="J80" s="9">
        <v>57.324277933664973</v>
      </c>
      <c r="K80" s="9">
        <v>57.324277933664973</v>
      </c>
      <c r="L80" s="9">
        <v>0</v>
      </c>
      <c r="M80" s="9">
        <v>1.2726356538989756</v>
      </c>
      <c r="N80" s="9">
        <v>1.0426482158773729</v>
      </c>
      <c r="O80" s="9">
        <v>0</v>
      </c>
      <c r="P80" s="9">
        <v>8.3536728227674892</v>
      </c>
      <c r="Q80" s="9">
        <v>0.25312536795696089</v>
      </c>
      <c r="R80" s="9">
        <v>7.3504558833189453</v>
      </c>
      <c r="S80" s="9">
        <v>1.4162073948421494</v>
      </c>
      <c r="T80" s="9">
        <v>19.605969284358245</v>
      </c>
      <c r="U80" s="9">
        <v>0.92700446754637966</v>
      </c>
      <c r="V80" s="9">
        <v>1.6604989216174157</v>
      </c>
      <c r="W80" s="10">
        <v>0</v>
      </c>
      <c r="X80" s="10">
        <v>0</v>
      </c>
      <c r="Y80" s="10">
        <v>0</v>
      </c>
      <c r="Z80" s="10">
        <v>1.3417200100256075E-6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1.8866302820165329E-8</v>
      </c>
      <c r="AH80" s="10">
        <v>5.5955180919761385E-7</v>
      </c>
      <c r="AI80" s="10">
        <v>7.5236859586096324E-7</v>
      </c>
      <c r="AJ80" s="10">
        <v>1.5360700953048872E-4</v>
      </c>
      <c r="AK80" s="10">
        <v>3.8848619685302271E-4</v>
      </c>
      <c r="AL80" s="10">
        <v>0</v>
      </c>
      <c r="AM80" s="10">
        <v>9.1891945013576455E-8</v>
      </c>
      <c r="AN80" s="10">
        <v>0</v>
      </c>
      <c r="AO80" s="10">
        <v>0</v>
      </c>
      <c r="AP80" s="10">
        <v>4.6220040207435815E-2</v>
      </c>
      <c r="AQ80" s="10">
        <v>8.1327706581402589E-5</v>
      </c>
      <c r="AR80" s="10">
        <v>1.101864301444415E-5</v>
      </c>
      <c r="AS80" s="10">
        <v>4.143177381157939E-6</v>
      </c>
      <c r="AT80" s="10">
        <v>8.3437068378518818E-7</v>
      </c>
      <c r="AU80" s="10">
        <v>0</v>
      </c>
      <c r="AV80" s="10">
        <v>0</v>
      </c>
      <c r="AW80" s="10">
        <v>0</v>
      </c>
      <c r="AX80" s="10">
        <v>1.7123060258873038E-5</v>
      </c>
      <c r="AY80" s="10">
        <v>0</v>
      </c>
      <c r="AZ80" s="10">
        <v>0</v>
      </c>
      <c r="BA80" s="10">
        <v>0</v>
      </c>
      <c r="BB80" s="10">
        <v>0</v>
      </c>
      <c r="BC80" s="10">
        <v>0</v>
      </c>
      <c r="BD80" s="10">
        <v>0</v>
      </c>
      <c r="BE80" s="10">
        <v>5.2435105474068445E-3</v>
      </c>
      <c r="BF80" s="10">
        <v>0</v>
      </c>
      <c r="BG80" s="9">
        <v>0</v>
      </c>
      <c r="BH80" s="9">
        <v>0</v>
      </c>
      <c r="BI80" s="9">
        <v>0</v>
      </c>
      <c r="BJ80" s="9">
        <v>0</v>
      </c>
      <c r="BK80" s="9">
        <v>0</v>
      </c>
      <c r="BL80" s="9">
        <v>0</v>
      </c>
      <c r="BM80" s="9">
        <v>0</v>
      </c>
      <c r="BN80" s="9">
        <v>0</v>
      </c>
      <c r="BO80" s="9">
        <v>46.762605313921092</v>
      </c>
      <c r="BP80" s="9">
        <v>42.144814622400034</v>
      </c>
      <c r="BQ80" s="9">
        <v>0</v>
      </c>
      <c r="BR80" s="9">
        <v>4.6185518636585714</v>
      </c>
      <c r="BS80" s="9">
        <v>25.620190237990872</v>
      </c>
      <c r="BT80" s="9">
        <v>2.1648368145372978</v>
      </c>
      <c r="BU80" s="9">
        <v>9.7003205662155104E-3</v>
      </c>
      <c r="BV80" s="9">
        <v>0</v>
      </c>
      <c r="BW80" s="9">
        <v>2.801498972260966</v>
      </c>
      <c r="BX80" s="9">
        <v>0</v>
      </c>
      <c r="BY80" s="9">
        <v>2.8611959211792324</v>
      </c>
      <c r="BZ80" s="9">
        <v>24.322848575618917</v>
      </c>
      <c r="CA80" s="9">
        <v>0</v>
      </c>
      <c r="CB80" s="11">
        <v>1.7844079192988458</v>
      </c>
      <c r="CC80" s="12"/>
      <c r="CD80" s="12"/>
      <c r="CE80" s="12"/>
    </row>
    <row r="81" spans="1:83" x14ac:dyDescent="0.35">
      <c r="A81" s="8" t="s">
        <v>113</v>
      </c>
      <c r="B81" s="8" t="s">
        <v>193</v>
      </c>
      <c r="C81" s="8"/>
      <c r="D81" s="9">
        <v>27.06190476190476</v>
      </c>
      <c r="E81" s="9">
        <v>72.938095238095244</v>
      </c>
      <c r="F81" s="9">
        <v>98.506459670462192</v>
      </c>
      <c r="G81" s="9">
        <v>1.4935403295377976</v>
      </c>
      <c r="H81" s="9">
        <v>22.340272036075664</v>
      </c>
      <c r="I81" s="9">
        <v>609.14803347727593</v>
      </c>
      <c r="J81" s="9">
        <v>53.237879001486327</v>
      </c>
      <c r="K81" s="9">
        <v>53.237879001486327</v>
      </c>
      <c r="L81" s="9">
        <v>0</v>
      </c>
      <c r="M81" s="9">
        <v>2.3511466374778776E-2</v>
      </c>
      <c r="N81" s="9">
        <v>1.0606060606060607E-2</v>
      </c>
      <c r="O81" s="9">
        <v>0</v>
      </c>
      <c r="P81" s="9">
        <v>7.8243204512864679</v>
      </c>
      <c r="Q81" s="9">
        <v>6.8303661276095148E-2</v>
      </c>
      <c r="R81" s="9">
        <v>1.1087369279086459</v>
      </c>
      <c r="S81" s="9">
        <v>0.18468537563492263</v>
      </c>
      <c r="T81" s="9">
        <v>36.306818449430295</v>
      </c>
      <c r="U81" s="9">
        <v>4.2628787050976016E-2</v>
      </c>
      <c r="V81" s="9">
        <v>0.22979635194648088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7.4863371643426463E-4</v>
      </c>
      <c r="AL81" s="10">
        <v>0</v>
      </c>
      <c r="AM81" s="10">
        <v>0</v>
      </c>
      <c r="AN81" s="10">
        <v>0</v>
      </c>
      <c r="AO81" s="10">
        <v>0</v>
      </c>
      <c r="AP81" s="10">
        <v>8.8281567767763656E-3</v>
      </c>
      <c r="AQ81" s="10">
        <v>0</v>
      </c>
      <c r="AR81" s="10">
        <v>0</v>
      </c>
      <c r="AS81" s="10">
        <v>0</v>
      </c>
      <c r="AT81" s="10">
        <v>0</v>
      </c>
      <c r="AU81" s="10">
        <v>0</v>
      </c>
      <c r="AV81" s="10">
        <v>0</v>
      </c>
      <c r="AW81" s="10">
        <v>0</v>
      </c>
      <c r="AX81" s="10">
        <v>1.8324852783522645E-7</v>
      </c>
      <c r="AY81" s="10">
        <v>0</v>
      </c>
      <c r="AZ81" s="10">
        <v>0</v>
      </c>
      <c r="BA81" s="10">
        <v>0</v>
      </c>
      <c r="BB81" s="10">
        <v>0</v>
      </c>
      <c r="BC81" s="10">
        <v>0</v>
      </c>
      <c r="BD81" s="10">
        <v>0</v>
      </c>
      <c r="BE81" s="10">
        <v>3.1670674521982399E-4</v>
      </c>
      <c r="BF81" s="10">
        <v>0</v>
      </c>
      <c r="BG81" s="9">
        <v>0</v>
      </c>
      <c r="BH81" s="9">
        <v>0</v>
      </c>
      <c r="BI81" s="9">
        <v>1.8344155844155841</v>
      </c>
      <c r="BJ81" s="9">
        <v>0.69805194805194815</v>
      </c>
      <c r="BK81" s="9">
        <v>0</v>
      </c>
      <c r="BL81" s="9">
        <v>0</v>
      </c>
      <c r="BM81" s="9">
        <v>0</v>
      </c>
      <c r="BN81" s="9">
        <v>0</v>
      </c>
      <c r="BO81" s="9">
        <v>6.4714743073636729</v>
      </c>
      <c r="BP81" s="9">
        <v>31.0431119445444</v>
      </c>
      <c r="BQ81" s="9">
        <v>0</v>
      </c>
      <c r="BR81" s="9">
        <v>60.74580604008564</v>
      </c>
      <c r="BS81" s="9">
        <v>22.094250180013457</v>
      </c>
      <c r="BT81" s="9">
        <v>1.8161213428033305</v>
      </c>
      <c r="BU81" s="9">
        <v>0.10443722943722943</v>
      </c>
      <c r="BV81" s="9">
        <v>0.15476190476190477</v>
      </c>
      <c r="BW81" s="9">
        <v>8.2792207792207792E-2</v>
      </c>
      <c r="BX81" s="9">
        <v>2.9707792207792211E-2</v>
      </c>
      <c r="BY81" s="9">
        <v>2.2023809523809526</v>
      </c>
      <c r="BZ81" s="9">
        <v>22.693371461452838</v>
      </c>
      <c r="CA81" s="9">
        <v>0</v>
      </c>
      <c r="CB81" s="11">
        <v>58.087706751887467</v>
      </c>
      <c r="CC81" s="12"/>
      <c r="CD81" s="12"/>
      <c r="CE81" s="12"/>
    </row>
    <row r="82" spans="1:83" x14ac:dyDescent="0.35">
      <c r="A82" s="8" t="s">
        <v>113</v>
      </c>
      <c r="B82" s="8" t="s">
        <v>194</v>
      </c>
      <c r="C82" s="8"/>
      <c r="D82" s="9">
        <v>27.06190476190476</v>
      </c>
      <c r="E82" s="9">
        <v>72.938095238095244</v>
      </c>
      <c r="F82" s="9">
        <v>98.506459670462192</v>
      </c>
      <c r="G82" s="9">
        <v>1.4935403295377976</v>
      </c>
      <c r="H82" s="9">
        <v>22.340272036075664</v>
      </c>
      <c r="I82" s="9">
        <v>609.14803347727593</v>
      </c>
      <c r="J82" s="9">
        <v>53.237879001486327</v>
      </c>
      <c r="K82" s="9">
        <v>53.237879001486327</v>
      </c>
      <c r="L82" s="9">
        <v>0</v>
      </c>
      <c r="M82" s="9">
        <v>2.3511466374778776E-2</v>
      </c>
      <c r="N82" s="9">
        <v>1.0606060606060607E-2</v>
      </c>
      <c r="O82" s="9">
        <v>0</v>
      </c>
      <c r="P82" s="9">
        <v>7.8243204512864679</v>
      </c>
      <c r="Q82" s="9">
        <v>6.8303661276095148E-2</v>
      </c>
      <c r="R82" s="9">
        <v>1.1087369279086459</v>
      </c>
      <c r="S82" s="9">
        <v>0.18468537563492263</v>
      </c>
      <c r="T82" s="9">
        <v>36.306818449430295</v>
      </c>
      <c r="U82" s="9">
        <v>4.2628787050976016E-2</v>
      </c>
      <c r="V82" s="9">
        <v>0.22979635194648088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7.4863371643426463E-4</v>
      </c>
      <c r="AL82" s="10">
        <v>0</v>
      </c>
      <c r="AM82" s="10">
        <v>0</v>
      </c>
      <c r="AN82" s="10">
        <v>0</v>
      </c>
      <c r="AO82" s="10">
        <v>0</v>
      </c>
      <c r="AP82" s="10">
        <v>8.8281567767763656E-3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1.8324852783522645E-7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3.1670674521982399E-4</v>
      </c>
      <c r="BF82" s="10">
        <v>0</v>
      </c>
      <c r="BG82" s="9">
        <v>0</v>
      </c>
      <c r="BH82" s="9">
        <v>0</v>
      </c>
      <c r="BI82" s="9">
        <v>1.8344155844155841</v>
      </c>
      <c r="BJ82" s="9">
        <v>0.69805194805194815</v>
      </c>
      <c r="BK82" s="9">
        <v>0</v>
      </c>
      <c r="BL82" s="9">
        <v>0</v>
      </c>
      <c r="BM82" s="9">
        <v>0</v>
      </c>
      <c r="BN82" s="9">
        <v>0</v>
      </c>
      <c r="BO82" s="9">
        <v>6.4714743073636729</v>
      </c>
      <c r="BP82" s="9">
        <v>31.0431119445444</v>
      </c>
      <c r="BQ82" s="9">
        <v>0</v>
      </c>
      <c r="BR82" s="9">
        <v>60.74580604008564</v>
      </c>
      <c r="BS82" s="9">
        <v>22.094250180013457</v>
      </c>
      <c r="BT82" s="9">
        <v>1.8161213428033305</v>
      </c>
      <c r="BU82" s="9">
        <v>0.10443722943722943</v>
      </c>
      <c r="BV82" s="9">
        <v>0.15476190476190477</v>
      </c>
      <c r="BW82" s="9">
        <v>8.2792207792207792E-2</v>
      </c>
      <c r="BX82" s="9">
        <v>2.9707792207792211E-2</v>
      </c>
      <c r="BY82" s="9">
        <v>2.2023809523809526</v>
      </c>
      <c r="BZ82" s="9">
        <v>22.693371461452838</v>
      </c>
      <c r="CA82" s="9">
        <v>0</v>
      </c>
      <c r="CB82" s="11">
        <v>58.087706751887467</v>
      </c>
      <c r="CC82" s="12"/>
      <c r="CD82" s="12"/>
      <c r="CE82" s="12"/>
    </row>
    <row r="83" spans="1:83" x14ac:dyDescent="0.35">
      <c r="A83" s="8" t="s">
        <v>113</v>
      </c>
      <c r="B83" s="8" t="s">
        <v>195</v>
      </c>
      <c r="C83" s="8"/>
      <c r="D83" s="9">
        <v>32.968965517241365</v>
      </c>
      <c r="E83" s="9">
        <v>67.036206896551732</v>
      </c>
      <c r="F83" s="9">
        <v>96.988107433099415</v>
      </c>
      <c r="G83" s="9">
        <v>3.0118925669005536</v>
      </c>
      <c r="H83" s="9">
        <v>16.725718261439166</v>
      </c>
      <c r="I83" s="9">
        <v>455.23846524921248</v>
      </c>
      <c r="J83" s="9">
        <v>44.184945119019609</v>
      </c>
      <c r="K83" s="9">
        <v>44.180161139709391</v>
      </c>
      <c r="L83" s="9">
        <v>0</v>
      </c>
      <c r="M83" s="9">
        <v>7.3493469124525646E-2</v>
      </c>
      <c r="N83" s="9">
        <v>0.37019566022037054</v>
      </c>
      <c r="O83" s="9">
        <v>0</v>
      </c>
      <c r="P83" s="9">
        <v>6.4675673426434512</v>
      </c>
      <c r="Q83" s="9">
        <v>0.32265143857352002</v>
      </c>
      <c r="R83" s="9">
        <v>2.0823949544142404</v>
      </c>
      <c r="S83" s="9">
        <v>0.69363701990855653</v>
      </c>
      <c r="T83" s="9">
        <v>44.220651207553558</v>
      </c>
      <c r="U83" s="9">
        <v>0.2138501403471661</v>
      </c>
      <c r="V83" s="9">
        <v>0.42728021343552869</v>
      </c>
      <c r="W83" s="10">
        <v>0</v>
      </c>
      <c r="X83" s="10">
        <v>0</v>
      </c>
      <c r="Y83" s="10">
        <v>0</v>
      </c>
      <c r="Z83" s="10">
        <v>3.1463692659955606E-7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3.599843191888662E-6</v>
      </c>
      <c r="AH83" s="10">
        <v>9.6809217155755221E-7</v>
      </c>
      <c r="AI83" s="10">
        <v>6.3290081578101622E-6</v>
      </c>
      <c r="AJ83" s="10">
        <v>2.15391403276687E-4</v>
      </c>
      <c r="AK83" s="10">
        <v>2.5666212717985878E-3</v>
      </c>
      <c r="AL83" s="10">
        <v>0</v>
      </c>
      <c r="AM83" s="10">
        <v>2.1705884729804277E-7</v>
      </c>
      <c r="AN83" s="10">
        <v>0</v>
      </c>
      <c r="AO83" s="10">
        <v>0</v>
      </c>
      <c r="AP83" s="10">
        <v>6.4676330188771544E-2</v>
      </c>
      <c r="AQ83" s="10">
        <v>1.2080549843672605E-3</v>
      </c>
      <c r="AR83" s="10">
        <v>2.329489543058888E-6</v>
      </c>
      <c r="AS83" s="10">
        <v>1.6948590030614297E-5</v>
      </c>
      <c r="AT83" s="10">
        <v>1.592555586949305E-6</v>
      </c>
      <c r="AU83" s="10">
        <v>0</v>
      </c>
      <c r="AV83" s="10">
        <v>0</v>
      </c>
      <c r="AW83" s="10">
        <v>0</v>
      </c>
      <c r="AX83" s="10">
        <v>4.4548888794132042E-6</v>
      </c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0</v>
      </c>
      <c r="BE83" s="10">
        <v>1.7044467273238536E-3</v>
      </c>
      <c r="BF83" s="10">
        <v>0</v>
      </c>
      <c r="BG83" s="9">
        <v>0</v>
      </c>
      <c r="BH83" s="9">
        <v>0</v>
      </c>
      <c r="BI83" s="9">
        <v>0.9279427658495818</v>
      </c>
      <c r="BJ83" s="9">
        <v>38.667919688180987</v>
      </c>
      <c r="BK83" s="9">
        <v>6.2041690897308543E-2</v>
      </c>
      <c r="BL83" s="9">
        <v>0</v>
      </c>
      <c r="BM83" s="9">
        <v>0</v>
      </c>
      <c r="BN83" s="9">
        <v>6.8309743701841629E-3</v>
      </c>
      <c r="BO83" s="9">
        <v>12.032971367347393</v>
      </c>
      <c r="BP83" s="9">
        <v>4.8932666696320277</v>
      </c>
      <c r="BQ83" s="9">
        <v>0</v>
      </c>
      <c r="BR83" s="9">
        <v>80.070292656469107</v>
      </c>
      <c r="BS83" s="9">
        <v>17.967090086102974</v>
      </c>
      <c r="BT83" s="9">
        <v>1.4079392836453175</v>
      </c>
      <c r="BU83" s="9">
        <v>0.11576013952745297</v>
      </c>
      <c r="BV83" s="9">
        <v>0.14383705822171938</v>
      </c>
      <c r="BW83" s="9">
        <v>0</v>
      </c>
      <c r="BX83" s="9">
        <v>0.35418316311424114</v>
      </c>
      <c r="BY83" s="9">
        <v>1.5411645507094203</v>
      </c>
      <c r="BZ83" s="9">
        <v>16.619467481197741</v>
      </c>
      <c r="CA83" s="9">
        <v>0</v>
      </c>
      <c r="CB83" s="11">
        <v>39.783353915958543</v>
      </c>
      <c r="CC83" s="12"/>
      <c r="CD83" s="12"/>
      <c r="CE83" s="12"/>
    </row>
    <row r="84" spans="1:83" x14ac:dyDescent="0.35">
      <c r="A84" s="8" t="s">
        <v>113</v>
      </c>
      <c r="B84" s="8" t="s">
        <v>196</v>
      </c>
      <c r="C84" s="8"/>
      <c r="D84" s="9">
        <v>66.202912621359218</v>
      </c>
      <c r="E84" s="9">
        <v>33.798058252427197</v>
      </c>
      <c r="F84" s="9">
        <v>92.968983887923017</v>
      </c>
      <c r="G84" s="9">
        <v>7.0310161120770003</v>
      </c>
      <c r="H84" s="9">
        <v>22.615822116722924</v>
      </c>
      <c r="I84" s="9">
        <v>637.22466532266355</v>
      </c>
      <c r="J84" s="9">
        <v>51.994318583900387</v>
      </c>
      <c r="K84" s="9">
        <v>51.994318583900387</v>
      </c>
      <c r="L84" s="9">
        <v>0</v>
      </c>
      <c r="M84" s="9">
        <v>0.16468926774053583</v>
      </c>
      <c r="N84" s="9">
        <v>0.65576274503828513</v>
      </c>
      <c r="O84" s="9">
        <v>0</v>
      </c>
      <c r="P84" s="9">
        <v>7.6957419113351051</v>
      </c>
      <c r="Q84" s="9">
        <v>0.88560018197049428</v>
      </c>
      <c r="R84" s="9">
        <v>9.5722511230576295</v>
      </c>
      <c r="S84" s="9">
        <v>1.4729050706105946</v>
      </c>
      <c r="T84" s="9">
        <v>23.152164347187469</v>
      </c>
      <c r="U84" s="9">
        <v>0.58869337100455965</v>
      </c>
      <c r="V84" s="9">
        <v>2.0459001512302719</v>
      </c>
      <c r="W84" s="10">
        <v>0</v>
      </c>
      <c r="X84" s="10">
        <v>0</v>
      </c>
      <c r="Y84" s="10">
        <v>0</v>
      </c>
      <c r="Z84" s="10">
        <v>5.3879146335094631E-4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7.3862208370817171E-7</v>
      </c>
      <c r="AH84" s="10">
        <v>5.4310475275788635E-7</v>
      </c>
      <c r="AI84" s="10">
        <v>8.5358555455596532E-6</v>
      </c>
      <c r="AJ84" s="10">
        <v>1.8622347556451142E-4</v>
      </c>
      <c r="AK84" s="10">
        <v>2.5066900550972599E-3</v>
      </c>
      <c r="AL84" s="10">
        <v>0</v>
      </c>
      <c r="AM84" s="10">
        <v>1.7825965946621266E-5</v>
      </c>
      <c r="AN84" s="10">
        <v>0</v>
      </c>
      <c r="AO84" s="10">
        <v>0</v>
      </c>
      <c r="AP84" s="10">
        <v>6.2427402725230743E-2</v>
      </c>
      <c r="AQ84" s="10">
        <v>9.547776800003761E-5</v>
      </c>
      <c r="AR84" s="10">
        <v>6.4533983472468245E-6</v>
      </c>
      <c r="AS84" s="10">
        <v>5.8547830720421601E-6</v>
      </c>
      <c r="AT84" s="10">
        <v>4.6117495534586013E-6</v>
      </c>
      <c r="AU84" s="10">
        <v>0</v>
      </c>
      <c r="AV84" s="10">
        <v>0</v>
      </c>
      <c r="AW84" s="10">
        <v>0</v>
      </c>
      <c r="AX84" s="10">
        <v>8.3301475482940084E-5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2.1284950781373262E-3</v>
      </c>
      <c r="BF84" s="10">
        <v>0</v>
      </c>
      <c r="BG84" s="9">
        <v>0</v>
      </c>
      <c r="BH84" s="9">
        <v>0</v>
      </c>
      <c r="BI84" s="9">
        <v>0.54483072028941393</v>
      </c>
      <c r="BJ84" s="9">
        <v>0.1930470694892476</v>
      </c>
      <c r="BK84" s="9">
        <v>0</v>
      </c>
      <c r="BL84" s="9">
        <v>0</v>
      </c>
      <c r="BM84" s="9">
        <v>0</v>
      </c>
      <c r="BN84" s="9">
        <v>0</v>
      </c>
      <c r="BO84" s="9">
        <v>57.616189952405001</v>
      </c>
      <c r="BP84" s="9">
        <v>26.667287214472054</v>
      </c>
      <c r="BQ84" s="9">
        <v>0</v>
      </c>
      <c r="BR84" s="9">
        <v>7.8909457856301941</v>
      </c>
      <c r="BS84" s="9">
        <v>23.729417030085326</v>
      </c>
      <c r="BT84" s="9">
        <v>1.9778393442754385</v>
      </c>
      <c r="BU84" s="9">
        <v>4.5631509678553846E-2</v>
      </c>
      <c r="BV84" s="9">
        <v>4.9678482326361427E-2</v>
      </c>
      <c r="BW84" s="9">
        <v>7.1294471945044638E-2</v>
      </c>
      <c r="BX84" s="9">
        <v>0</v>
      </c>
      <c r="BY84" s="9">
        <v>1.2652197058916759</v>
      </c>
      <c r="BZ84" s="9">
        <v>21.106569589944296</v>
      </c>
      <c r="CA84" s="9">
        <v>0</v>
      </c>
      <c r="CB84" s="11">
        <v>7.7810244673173328</v>
      </c>
      <c r="CC84" s="12"/>
      <c r="CD84" s="12"/>
      <c r="CE84" s="12"/>
    </row>
    <row r="85" spans="1:83" x14ac:dyDescent="0.35">
      <c r="A85" s="8" t="s">
        <v>113</v>
      </c>
      <c r="B85" s="8" t="s">
        <v>197</v>
      </c>
      <c r="C85" s="8"/>
      <c r="D85" s="9">
        <v>77.204545454545467</v>
      </c>
      <c r="E85" s="9">
        <v>22.804545454545451</v>
      </c>
      <c r="F85" s="9">
        <v>90.496781101232528</v>
      </c>
      <c r="G85" s="9">
        <v>9.5032188987674786</v>
      </c>
      <c r="H85" s="9">
        <v>18.579798263872231</v>
      </c>
      <c r="I85" s="9">
        <v>528.82270224991487</v>
      </c>
      <c r="J85" s="9">
        <v>44.751045263773022</v>
      </c>
      <c r="K85" s="9">
        <v>44.751045263773022</v>
      </c>
      <c r="L85" s="9">
        <v>0</v>
      </c>
      <c r="M85" s="9">
        <v>0.27578131885295043</v>
      </c>
      <c r="N85" s="9">
        <v>1.3147819191839967</v>
      </c>
      <c r="O85" s="9">
        <v>0</v>
      </c>
      <c r="P85" s="9">
        <v>6.775433544398032</v>
      </c>
      <c r="Q85" s="9">
        <v>0.64099551662492316</v>
      </c>
      <c r="R85" s="9">
        <v>12.422530511506316</v>
      </c>
      <c r="S85" s="9">
        <v>2.5794562827103764</v>
      </c>
      <c r="T85" s="9">
        <v>25.350633303555334</v>
      </c>
      <c r="U85" s="9">
        <v>0.68945284124185779</v>
      </c>
      <c r="V85" s="9">
        <v>2.7515696502839959</v>
      </c>
      <c r="W85" s="10">
        <v>0</v>
      </c>
      <c r="X85" s="10">
        <v>0</v>
      </c>
      <c r="Y85" s="10">
        <v>0</v>
      </c>
      <c r="Z85" s="10">
        <v>1.9625013959935875E-3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5.1342237652976512E-5</v>
      </c>
      <c r="AH85" s="10">
        <v>3.7180512795649401E-6</v>
      </c>
      <c r="AI85" s="10">
        <v>2.7093663038196568E-5</v>
      </c>
      <c r="AJ85" s="10">
        <v>4.6566357081346864E-3</v>
      </c>
      <c r="AK85" s="10">
        <v>1.0751868835486185E-2</v>
      </c>
      <c r="AL85" s="10">
        <v>0</v>
      </c>
      <c r="AM85" s="10">
        <v>1.1483195867662394E-5</v>
      </c>
      <c r="AN85" s="10">
        <v>0</v>
      </c>
      <c r="AO85" s="10">
        <v>0</v>
      </c>
      <c r="AP85" s="10">
        <v>0.19120496955171581</v>
      </c>
      <c r="AQ85" s="10">
        <v>4.517348742623554E-4</v>
      </c>
      <c r="AR85" s="10">
        <v>3.5151758438998782E-5</v>
      </c>
      <c r="AS85" s="10">
        <v>6.0497500609664257E-5</v>
      </c>
      <c r="AT85" s="10">
        <v>4.4014335607874671E-5</v>
      </c>
      <c r="AU85" s="10">
        <v>0</v>
      </c>
      <c r="AV85" s="10">
        <v>0</v>
      </c>
      <c r="AW85" s="10">
        <v>0</v>
      </c>
      <c r="AX85" s="10">
        <v>1.4379302251716524E-4</v>
      </c>
      <c r="AY85" s="10">
        <v>0</v>
      </c>
      <c r="AZ85" s="10">
        <v>0</v>
      </c>
      <c r="BA85" s="10">
        <v>0</v>
      </c>
      <c r="BB85" s="10">
        <v>0</v>
      </c>
      <c r="BC85" s="10">
        <v>0</v>
      </c>
      <c r="BD85" s="10">
        <v>0</v>
      </c>
      <c r="BE85" s="10">
        <v>3.6544183436525851E-2</v>
      </c>
      <c r="BF85" s="10">
        <v>0</v>
      </c>
      <c r="BG85" s="9">
        <v>0</v>
      </c>
      <c r="BH85" s="9">
        <v>0</v>
      </c>
      <c r="BI85" s="9">
        <v>0</v>
      </c>
      <c r="BJ85" s="9">
        <v>3.0070836144491477</v>
      </c>
      <c r="BK85" s="9">
        <v>0</v>
      </c>
      <c r="BL85" s="9">
        <v>0</v>
      </c>
      <c r="BM85" s="9">
        <v>0</v>
      </c>
      <c r="BN85" s="9">
        <v>0</v>
      </c>
      <c r="BO85" s="9">
        <v>77.489099134531401</v>
      </c>
      <c r="BP85" s="9">
        <v>6.725165322073531</v>
      </c>
      <c r="BQ85" s="9">
        <v>0</v>
      </c>
      <c r="BR85" s="9">
        <v>6.2825166446275782</v>
      </c>
      <c r="BS85" s="9">
        <v>21.364480269525789</v>
      </c>
      <c r="BT85" s="9">
        <v>1.7439470986561008</v>
      </c>
      <c r="BU85" s="9">
        <v>0</v>
      </c>
      <c r="BV85" s="9">
        <v>0</v>
      </c>
      <c r="BW85" s="9">
        <v>0</v>
      </c>
      <c r="BX85" s="9">
        <v>0</v>
      </c>
      <c r="BY85" s="9">
        <v>0.31168831168831174</v>
      </c>
      <c r="BZ85" s="9">
        <v>16.726891307542161</v>
      </c>
      <c r="CA85" s="9">
        <v>0</v>
      </c>
      <c r="CB85" s="11">
        <v>3.2754330301784309</v>
      </c>
      <c r="CC85" s="12"/>
      <c r="CD85" s="12"/>
      <c r="CE85" s="12"/>
    </row>
    <row r="86" spans="1:83" x14ac:dyDescent="0.35">
      <c r="A86" s="8" t="s">
        <v>113</v>
      </c>
      <c r="B86" s="8" t="s">
        <v>198</v>
      </c>
      <c r="C86" s="8"/>
      <c r="D86" s="9">
        <v>99.5</v>
      </c>
      <c r="E86" s="9">
        <v>0.5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0">
        <v>0</v>
      </c>
      <c r="AT86" s="10">
        <v>0</v>
      </c>
      <c r="AU86" s="10">
        <v>0</v>
      </c>
      <c r="AV86" s="10">
        <v>0</v>
      </c>
      <c r="AW86" s="10">
        <v>0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0</v>
      </c>
      <c r="BE86" s="10">
        <v>0</v>
      </c>
      <c r="BF86" s="10">
        <v>0</v>
      </c>
      <c r="BG86" s="9">
        <v>0</v>
      </c>
      <c r="BH86" s="9">
        <v>0</v>
      </c>
      <c r="BI86" s="9">
        <v>0</v>
      </c>
      <c r="BJ86" s="9">
        <v>0</v>
      </c>
      <c r="BK86" s="9">
        <v>0</v>
      </c>
      <c r="BL86" s="9">
        <v>0</v>
      </c>
      <c r="BM86" s="9">
        <v>0</v>
      </c>
      <c r="BN86" s="9">
        <v>0</v>
      </c>
      <c r="BO86" s="9">
        <v>0</v>
      </c>
      <c r="BP86" s="9">
        <v>0</v>
      </c>
      <c r="BQ86" s="9">
        <v>0</v>
      </c>
      <c r="BR86" s="9">
        <v>0</v>
      </c>
      <c r="BS86" s="9">
        <v>0</v>
      </c>
      <c r="BT86" s="9">
        <v>0</v>
      </c>
      <c r="BU86" s="9">
        <v>0</v>
      </c>
      <c r="BV86" s="9">
        <v>0</v>
      </c>
      <c r="BW86" s="9">
        <v>0</v>
      </c>
      <c r="BX86" s="9">
        <v>0</v>
      </c>
      <c r="BY86" s="9">
        <v>0</v>
      </c>
      <c r="BZ86" s="9">
        <v>0</v>
      </c>
      <c r="CA86" s="9">
        <v>0</v>
      </c>
      <c r="CB86" s="9">
        <v>0</v>
      </c>
      <c r="CC86" s="12"/>
      <c r="CD86" s="12"/>
      <c r="CE86" s="12"/>
    </row>
    <row r="87" spans="1:83" x14ac:dyDescent="0.35">
      <c r="A87" s="8" t="s">
        <v>113</v>
      </c>
      <c r="B87" s="8" t="s">
        <v>199</v>
      </c>
      <c r="C87" s="8"/>
      <c r="D87" s="9">
        <v>74.688000000000002</v>
      </c>
      <c r="E87" s="9">
        <v>25.312000000000001</v>
      </c>
      <c r="F87" s="9">
        <v>96.102185247294187</v>
      </c>
      <c r="G87" s="9">
        <v>3.8978147527058025</v>
      </c>
      <c r="H87" s="9">
        <v>15.859009791161208</v>
      </c>
      <c r="I87" s="9">
        <v>446.15109026955054</v>
      </c>
      <c r="J87" s="9">
        <v>42.273287215213848</v>
      </c>
      <c r="K87" s="9">
        <v>42.273287215213848</v>
      </c>
      <c r="L87" s="9">
        <v>0</v>
      </c>
      <c r="M87" s="9">
        <v>0.39405575859087688</v>
      </c>
      <c r="N87" s="9">
        <v>7.9934943180861223E-2</v>
      </c>
      <c r="O87" s="9">
        <v>0</v>
      </c>
      <c r="P87" s="9">
        <v>6.4324357543827144</v>
      </c>
      <c r="Q87" s="9">
        <v>0.5557473903316964</v>
      </c>
      <c r="R87" s="9">
        <v>0.78639193412608255</v>
      </c>
      <c r="S87" s="9">
        <v>0.3833529645406128</v>
      </c>
      <c r="T87" s="9">
        <v>46.557504889981793</v>
      </c>
      <c r="U87" s="9">
        <v>0.14365654345712561</v>
      </c>
      <c r="V87" s="9">
        <v>0.16949381719182086</v>
      </c>
      <c r="W87" s="10">
        <v>0</v>
      </c>
      <c r="X87" s="10">
        <v>0</v>
      </c>
      <c r="Y87" s="10">
        <v>0</v>
      </c>
      <c r="Z87" s="10">
        <v>2.5748448466564744E-6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1.0269712399583687E-6</v>
      </c>
      <c r="AH87" s="10">
        <v>8.7623220153340631E-8</v>
      </c>
      <c r="AI87" s="10">
        <v>7.8778762228426935E-6</v>
      </c>
      <c r="AJ87" s="10">
        <v>2.7699150802317136E-4</v>
      </c>
      <c r="AK87" s="10">
        <v>2.0802152806872645E-3</v>
      </c>
      <c r="AL87" s="10">
        <v>0</v>
      </c>
      <c r="AM87" s="10">
        <v>4.9688031501224134E-7</v>
      </c>
      <c r="AN87" s="10">
        <v>0</v>
      </c>
      <c r="AO87" s="10">
        <v>0</v>
      </c>
      <c r="AP87" s="10">
        <v>4.5887912730262236E-2</v>
      </c>
      <c r="AQ87" s="10">
        <v>4.946452288768471E-4</v>
      </c>
      <c r="AR87" s="10">
        <v>4.3811610076670314E-7</v>
      </c>
      <c r="AS87" s="10">
        <v>1.9458942354959435E-5</v>
      </c>
      <c r="AT87" s="10">
        <v>2.7464569431869614E-6</v>
      </c>
      <c r="AU87" s="10">
        <v>0</v>
      </c>
      <c r="AV87" s="10">
        <v>0</v>
      </c>
      <c r="AW87" s="10">
        <v>0</v>
      </c>
      <c r="AX87" s="10">
        <v>1.0294790389467366E-6</v>
      </c>
      <c r="AY87" s="10">
        <v>0</v>
      </c>
      <c r="AZ87" s="10">
        <v>0</v>
      </c>
      <c r="BA87" s="10">
        <v>0</v>
      </c>
      <c r="BB87" s="10">
        <v>0</v>
      </c>
      <c r="BC87" s="10">
        <v>0</v>
      </c>
      <c r="BD87" s="10">
        <v>0</v>
      </c>
      <c r="BE87" s="10">
        <v>9.404340312230622E-4</v>
      </c>
      <c r="BF87" s="10">
        <v>0</v>
      </c>
      <c r="BG87" s="9">
        <v>0</v>
      </c>
      <c r="BH87" s="9">
        <v>0</v>
      </c>
      <c r="BI87" s="9">
        <v>2.2367748268237344</v>
      </c>
      <c r="BJ87" s="9">
        <v>1.6559937057435088</v>
      </c>
      <c r="BK87" s="9">
        <v>0</v>
      </c>
      <c r="BL87" s="9">
        <v>0</v>
      </c>
      <c r="BM87" s="9">
        <v>0</v>
      </c>
      <c r="BN87" s="9">
        <v>0</v>
      </c>
      <c r="BO87" s="9">
        <v>4.7732475904113745</v>
      </c>
      <c r="BP87" s="9">
        <v>4.3706715432418415</v>
      </c>
      <c r="BQ87" s="9">
        <v>0</v>
      </c>
      <c r="BR87" s="9">
        <v>85.103282229878403</v>
      </c>
      <c r="BS87" s="9">
        <v>17.26292306179754</v>
      </c>
      <c r="BT87" s="9">
        <v>1.3383030908117768</v>
      </c>
      <c r="BU87" s="9">
        <v>2.3225179853742093</v>
      </c>
      <c r="BV87" s="9">
        <v>2.3900334044433826</v>
      </c>
      <c r="BW87" s="9">
        <v>0.51173983739837392</v>
      </c>
      <c r="BX87" s="9">
        <v>1.7514546440593142</v>
      </c>
      <c r="BY87" s="9">
        <v>43.123702163334919</v>
      </c>
      <c r="BZ87" s="9">
        <v>16.632714843820477</v>
      </c>
      <c r="CA87" s="9">
        <v>0</v>
      </c>
      <c r="CB87" s="11">
        <v>76.089751709798463</v>
      </c>
      <c r="CC87" s="12"/>
      <c r="CD87" s="12"/>
      <c r="CE87" s="12"/>
    </row>
    <row r="88" spans="1:83" x14ac:dyDescent="0.35">
      <c r="A88" s="8" t="s">
        <v>113</v>
      </c>
      <c r="B88" s="8" t="s">
        <v>200</v>
      </c>
      <c r="C88" s="8"/>
      <c r="D88" s="9">
        <v>66.653516139657441</v>
      </c>
      <c r="E88" s="9">
        <v>33.347163208168645</v>
      </c>
      <c r="F88" s="9">
        <v>95.727937171127891</v>
      </c>
      <c r="G88" s="9">
        <v>4.2720628288721167</v>
      </c>
      <c r="H88" s="9">
        <v>24.932416940986311</v>
      </c>
      <c r="I88" s="9">
        <v>681.19962145216937</v>
      </c>
      <c r="J88" s="9">
        <v>56.22503358686042</v>
      </c>
      <c r="K88" s="9">
        <v>56.22503358686042</v>
      </c>
      <c r="L88" s="9">
        <v>0</v>
      </c>
      <c r="M88" s="9">
        <v>2.2841394045917004E-2</v>
      </c>
      <c r="N88" s="9">
        <v>0.30888614410509435</v>
      </c>
      <c r="O88" s="9">
        <v>0</v>
      </c>
      <c r="P88" s="9">
        <v>8.2597340418717238</v>
      </c>
      <c r="Q88" s="9">
        <v>0.90964303124898116</v>
      </c>
      <c r="R88" s="9">
        <v>9.6484749267150427</v>
      </c>
      <c r="S88" s="9">
        <v>0.6793325767717755</v>
      </c>
      <c r="T88" s="9">
        <v>20.940783921754807</v>
      </c>
      <c r="U88" s="9">
        <v>0.59142143020168125</v>
      </c>
      <c r="V88" s="9">
        <v>2.0813818324894315</v>
      </c>
      <c r="W88" s="10">
        <v>0</v>
      </c>
      <c r="X88" s="10">
        <v>0</v>
      </c>
      <c r="Y88" s="10">
        <v>0</v>
      </c>
      <c r="Z88" s="10">
        <v>1.6797171642521304E-6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3.0189408110135711E-6</v>
      </c>
      <c r="AH88" s="10">
        <v>6.009615384615383E-8</v>
      </c>
      <c r="AI88" s="10">
        <v>1.2003900479333514E-5</v>
      </c>
      <c r="AJ88" s="10">
        <v>3.6894717608063987E-4</v>
      </c>
      <c r="AK88" s="10">
        <v>6.4767426103609438E-3</v>
      </c>
      <c r="AL88" s="10">
        <v>0</v>
      </c>
      <c r="AM88" s="10">
        <v>2.3833446778221343E-7</v>
      </c>
      <c r="AN88" s="10">
        <v>0</v>
      </c>
      <c r="AO88" s="10">
        <v>0</v>
      </c>
      <c r="AP88" s="10">
        <v>5.6897587863165358E-2</v>
      </c>
      <c r="AQ88" s="10">
        <v>5.6543736397168081E-5</v>
      </c>
      <c r="AR88" s="10">
        <v>7.984845532786873E-6</v>
      </c>
      <c r="AS88" s="10">
        <v>5.4128818173339706E-6</v>
      </c>
      <c r="AT88" s="10">
        <v>6.2320907382809677E-6</v>
      </c>
      <c r="AU88" s="10">
        <v>0</v>
      </c>
      <c r="AV88" s="10">
        <v>0</v>
      </c>
      <c r="AW88" s="10">
        <v>0</v>
      </c>
      <c r="AX88" s="10">
        <v>2.5594774438840889E-5</v>
      </c>
      <c r="AY88" s="10">
        <v>0</v>
      </c>
      <c r="AZ88" s="10">
        <v>0</v>
      </c>
      <c r="BA88" s="10">
        <v>0</v>
      </c>
      <c r="BB88" s="10">
        <v>0</v>
      </c>
      <c r="BC88" s="10">
        <v>0</v>
      </c>
      <c r="BD88" s="10">
        <v>0</v>
      </c>
      <c r="BE88" s="10">
        <v>1.0330974797039885E-2</v>
      </c>
      <c r="BF88" s="10">
        <v>0</v>
      </c>
      <c r="BG88" s="9">
        <v>0</v>
      </c>
      <c r="BH88" s="9">
        <v>0</v>
      </c>
      <c r="BI88" s="9">
        <v>0</v>
      </c>
      <c r="BJ88" s="9">
        <v>0.29895038131089169</v>
      </c>
      <c r="BK88" s="9">
        <v>0</v>
      </c>
      <c r="BL88" s="9">
        <v>0</v>
      </c>
      <c r="BM88" s="9">
        <v>0</v>
      </c>
      <c r="BN88" s="9">
        <v>0</v>
      </c>
      <c r="BO88" s="9">
        <v>58.615417253908014</v>
      </c>
      <c r="BP88" s="9">
        <v>34.870964767600661</v>
      </c>
      <c r="BQ88" s="9">
        <v>0</v>
      </c>
      <c r="BR88" s="9">
        <v>2.1977612268093978</v>
      </c>
      <c r="BS88" s="9">
        <v>25.595529398772406</v>
      </c>
      <c r="BT88" s="9">
        <v>2.1623978575385907</v>
      </c>
      <c r="BU88" s="9">
        <v>0</v>
      </c>
      <c r="BV88" s="9">
        <v>0</v>
      </c>
      <c r="BW88" s="9">
        <v>0</v>
      </c>
      <c r="BX88" s="9">
        <v>0</v>
      </c>
      <c r="BY88" s="9">
        <v>0</v>
      </c>
      <c r="BZ88" s="9">
        <v>23.233841935878026</v>
      </c>
      <c r="CA88" s="9">
        <v>0</v>
      </c>
      <c r="CB88" s="11">
        <v>1.942604768308325</v>
      </c>
      <c r="CC88" s="12"/>
      <c r="CD88" s="12"/>
      <c r="CE88" s="12"/>
    </row>
    <row r="89" spans="1:83" x14ac:dyDescent="0.35">
      <c r="A89" s="8" t="s">
        <v>113</v>
      </c>
      <c r="B89" s="8" t="s">
        <v>201</v>
      </c>
      <c r="C89" s="8"/>
      <c r="D89" s="9">
        <v>70.227960526315783</v>
      </c>
      <c r="E89" s="9">
        <v>29.772039473684206</v>
      </c>
      <c r="F89" s="9">
        <v>95.41803566860095</v>
      </c>
      <c r="G89" s="9">
        <v>4.581964331399039</v>
      </c>
      <c r="H89" s="9">
        <v>22.708447352571454</v>
      </c>
      <c r="I89" s="9">
        <v>619.01875777778559</v>
      </c>
      <c r="J89" s="9">
        <v>52.398474278531069</v>
      </c>
      <c r="K89" s="9">
        <v>52.398474278531069</v>
      </c>
      <c r="L89" s="9">
        <v>0</v>
      </c>
      <c r="M89" s="9">
        <v>4.02684080717437E-2</v>
      </c>
      <c r="N89" s="9">
        <v>0.42028073209661848</v>
      </c>
      <c r="O89" s="9">
        <v>0</v>
      </c>
      <c r="P89" s="9">
        <v>7.7949295010311141</v>
      </c>
      <c r="Q89" s="9">
        <v>1.0717609747707986</v>
      </c>
      <c r="R89" s="9">
        <v>11.499410802407761</v>
      </c>
      <c r="S89" s="9">
        <v>0.56749143430372129</v>
      </c>
      <c r="T89" s="9">
        <v>23.039114242710358</v>
      </c>
      <c r="U89" s="9">
        <v>0.70170425040095408</v>
      </c>
      <c r="V89" s="9">
        <v>2.4618293259895974</v>
      </c>
      <c r="W89" s="10">
        <v>0</v>
      </c>
      <c r="X89" s="10">
        <v>0</v>
      </c>
      <c r="Y89" s="10">
        <v>0</v>
      </c>
      <c r="Z89" s="10">
        <v>5.4886108510115323E-7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4.509028524256546E-6</v>
      </c>
      <c r="AH89" s="10">
        <v>0</v>
      </c>
      <c r="AI89" s="10">
        <v>6.8871446066990554E-6</v>
      </c>
      <c r="AJ89" s="10">
        <v>1.6558493835714075E-3</v>
      </c>
      <c r="AK89" s="10">
        <v>1.1143191821064991E-2</v>
      </c>
      <c r="AL89" s="10">
        <v>0</v>
      </c>
      <c r="AM89" s="10">
        <v>9.7425374828873177E-8</v>
      </c>
      <c r="AN89" s="10">
        <v>0</v>
      </c>
      <c r="AO89" s="10">
        <v>0</v>
      </c>
      <c r="AP89" s="10">
        <v>8.2962921951267476E-2</v>
      </c>
      <c r="AQ89" s="10">
        <v>1.3808680203118804E-4</v>
      </c>
      <c r="AR89" s="10">
        <v>1.0313660072802998E-5</v>
      </c>
      <c r="AS89" s="10">
        <v>2.7577633052556632E-6</v>
      </c>
      <c r="AT89" s="10">
        <v>5.8327089019640582E-7</v>
      </c>
      <c r="AU89" s="10">
        <v>0</v>
      </c>
      <c r="AV89" s="10">
        <v>0</v>
      </c>
      <c r="AW89" s="10">
        <v>0</v>
      </c>
      <c r="AX89" s="10">
        <v>5.973575870860651E-5</v>
      </c>
      <c r="AY89" s="10">
        <v>0</v>
      </c>
      <c r="AZ89" s="10">
        <v>0</v>
      </c>
      <c r="BA89" s="10">
        <v>0</v>
      </c>
      <c r="BB89" s="10">
        <v>0</v>
      </c>
      <c r="BC89" s="10">
        <v>0</v>
      </c>
      <c r="BD89" s="10">
        <v>0</v>
      </c>
      <c r="BE89" s="10">
        <v>5.9985215452293475E-3</v>
      </c>
      <c r="BF89" s="10">
        <v>0</v>
      </c>
      <c r="BG89" s="9">
        <v>0</v>
      </c>
      <c r="BH89" s="9">
        <v>0</v>
      </c>
      <c r="BI89" s="9">
        <v>0</v>
      </c>
      <c r="BJ89" s="9">
        <v>8.80515683147262E-2</v>
      </c>
      <c r="BK89" s="9">
        <v>0</v>
      </c>
      <c r="BL89" s="9">
        <v>0</v>
      </c>
      <c r="BM89" s="9">
        <v>0</v>
      </c>
      <c r="BN89" s="9">
        <v>0</v>
      </c>
      <c r="BO89" s="9">
        <v>69.329495865828889</v>
      </c>
      <c r="BP89" s="9">
        <v>23.272781453897878</v>
      </c>
      <c r="BQ89" s="9">
        <v>0</v>
      </c>
      <c r="BR89" s="9">
        <v>2.681347623486106</v>
      </c>
      <c r="BS89" s="9">
        <v>24.360789092021605</v>
      </c>
      <c r="BT89" s="9">
        <v>2.0402820412009368</v>
      </c>
      <c r="BU89" s="9">
        <v>0</v>
      </c>
      <c r="BV89" s="9">
        <v>0</v>
      </c>
      <c r="BW89" s="9">
        <v>0</v>
      </c>
      <c r="BX89" s="9">
        <v>0</v>
      </c>
      <c r="BY89" s="9">
        <v>0</v>
      </c>
      <c r="BZ89" s="9">
        <v>20.883447893365894</v>
      </c>
      <c r="CA89" s="9">
        <v>0</v>
      </c>
      <c r="CB89" s="11">
        <v>2.7277067805594686</v>
      </c>
      <c r="CC89" s="12"/>
      <c r="CD89" s="12"/>
      <c r="CE89" s="12"/>
    </row>
    <row r="90" spans="1:83" x14ac:dyDescent="0.35">
      <c r="A90" s="8" t="s">
        <v>113</v>
      </c>
      <c r="B90" s="8" t="s">
        <v>202</v>
      </c>
      <c r="C90" s="8"/>
      <c r="D90" s="9">
        <v>32.968965517241365</v>
      </c>
      <c r="E90" s="9">
        <v>67.036206896551732</v>
      </c>
      <c r="F90" s="9">
        <v>96.988107433099415</v>
      </c>
      <c r="G90" s="9">
        <v>3.0118925669005536</v>
      </c>
      <c r="H90" s="9">
        <v>16.725718261439166</v>
      </c>
      <c r="I90" s="9">
        <v>455.23846524921248</v>
      </c>
      <c r="J90" s="9">
        <v>44.184945119019609</v>
      </c>
      <c r="K90" s="9">
        <v>44.180161139709391</v>
      </c>
      <c r="L90" s="9">
        <v>0</v>
      </c>
      <c r="M90" s="9">
        <v>7.3493469124525646E-2</v>
      </c>
      <c r="N90" s="9">
        <v>0.37019566022037054</v>
      </c>
      <c r="O90" s="9">
        <v>0</v>
      </c>
      <c r="P90" s="9">
        <v>6.4675673426434512</v>
      </c>
      <c r="Q90" s="9">
        <v>0.32265143857352002</v>
      </c>
      <c r="R90" s="9">
        <v>2.0823949544142404</v>
      </c>
      <c r="S90" s="9">
        <v>0.69363701990855653</v>
      </c>
      <c r="T90" s="9">
        <v>44.220651207553558</v>
      </c>
      <c r="U90" s="9">
        <v>0.2138501403471661</v>
      </c>
      <c r="V90" s="9">
        <v>0.42728021343552869</v>
      </c>
      <c r="W90" s="10">
        <v>0</v>
      </c>
      <c r="X90" s="10">
        <v>0</v>
      </c>
      <c r="Y90" s="10">
        <v>0</v>
      </c>
      <c r="Z90" s="10">
        <v>3.1463692659955606E-7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3.599843191888662E-6</v>
      </c>
      <c r="AH90" s="10">
        <v>9.6809217155755221E-7</v>
      </c>
      <c r="AI90" s="10">
        <v>6.3290081578101622E-6</v>
      </c>
      <c r="AJ90" s="10">
        <v>2.15391403276687E-4</v>
      </c>
      <c r="AK90" s="10">
        <v>2.5666212717985878E-3</v>
      </c>
      <c r="AL90" s="10">
        <v>0</v>
      </c>
      <c r="AM90" s="10">
        <v>2.1705884729804277E-7</v>
      </c>
      <c r="AN90" s="10">
        <v>0</v>
      </c>
      <c r="AO90" s="10">
        <v>0</v>
      </c>
      <c r="AP90" s="10">
        <v>6.4676330188771544E-2</v>
      </c>
      <c r="AQ90" s="10">
        <v>1.2080549843672605E-3</v>
      </c>
      <c r="AR90" s="10">
        <v>2.329489543058888E-6</v>
      </c>
      <c r="AS90" s="10">
        <v>1.6948590030614297E-5</v>
      </c>
      <c r="AT90" s="10">
        <v>1.592555586949305E-6</v>
      </c>
      <c r="AU90" s="10">
        <v>0</v>
      </c>
      <c r="AV90" s="10">
        <v>0</v>
      </c>
      <c r="AW90" s="10">
        <v>0</v>
      </c>
      <c r="AX90" s="10">
        <v>4.4548888794132042E-6</v>
      </c>
      <c r="AY90" s="10">
        <v>0</v>
      </c>
      <c r="AZ90" s="10">
        <v>0</v>
      </c>
      <c r="BA90" s="10">
        <v>0</v>
      </c>
      <c r="BB90" s="10">
        <v>0</v>
      </c>
      <c r="BC90" s="10">
        <v>0</v>
      </c>
      <c r="BD90" s="10">
        <v>0</v>
      </c>
      <c r="BE90" s="10">
        <v>1.7044467273238536E-3</v>
      </c>
      <c r="BF90" s="10">
        <v>0</v>
      </c>
      <c r="BG90" s="9">
        <v>0</v>
      </c>
      <c r="BH90" s="9">
        <v>0</v>
      </c>
      <c r="BI90" s="9">
        <v>0.9279427658495818</v>
      </c>
      <c r="BJ90" s="9">
        <v>38.667919688180987</v>
      </c>
      <c r="BK90" s="9">
        <v>6.2041690897308543E-2</v>
      </c>
      <c r="BL90" s="9">
        <v>0</v>
      </c>
      <c r="BM90" s="9">
        <v>0</v>
      </c>
      <c r="BN90" s="9">
        <v>6.8309743701841629E-3</v>
      </c>
      <c r="BO90" s="9">
        <v>12.032971367347393</v>
      </c>
      <c r="BP90" s="9">
        <v>4.8932666696320277</v>
      </c>
      <c r="BQ90" s="9">
        <v>0</v>
      </c>
      <c r="BR90" s="9">
        <v>80.070292656469107</v>
      </c>
      <c r="BS90" s="9">
        <v>17.967090086102974</v>
      </c>
      <c r="BT90" s="9">
        <v>1.4079392836453175</v>
      </c>
      <c r="BU90" s="9">
        <v>0.11576013952745297</v>
      </c>
      <c r="BV90" s="9">
        <v>0.14383705822171938</v>
      </c>
      <c r="BW90" s="9">
        <v>0</v>
      </c>
      <c r="BX90" s="9">
        <v>0.35418316311424114</v>
      </c>
      <c r="BY90" s="9">
        <v>1.5411645507094203</v>
      </c>
      <c r="BZ90" s="9">
        <v>16.619467481197741</v>
      </c>
      <c r="CA90" s="9">
        <v>0</v>
      </c>
      <c r="CB90" s="11">
        <v>39.783353915958543</v>
      </c>
      <c r="CC90" s="12"/>
      <c r="CD90" s="12"/>
      <c r="CE90" s="12"/>
    </row>
    <row r="91" spans="1:83" x14ac:dyDescent="0.35">
      <c r="A91" s="8" t="s">
        <v>113</v>
      </c>
      <c r="B91" s="8" t="s">
        <v>203</v>
      </c>
      <c r="C91" s="8"/>
      <c r="D91" s="9">
        <v>86.078496732026153</v>
      </c>
      <c r="E91" s="9">
        <v>13.9221568627451</v>
      </c>
      <c r="F91" s="9">
        <v>92.747355074395756</v>
      </c>
      <c r="G91" s="9">
        <v>7.2526449256042591</v>
      </c>
      <c r="H91" s="9">
        <v>15.980390555797626</v>
      </c>
      <c r="I91" s="9">
        <v>460.21398068707117</v>
      </c>
      <c r="J91" s="9">
        <v>41.685792334417961</v>
      </c>
      <c r="K91" s="9">
        <v>41.288533425097206</v>
      </c>
      <c r="L91" s="9">
        <v>0</v>
      </c>
      <c r="M91" s="9">
        <v>0.29668046270544229</v>
      </c>
      <c r="N91" s="9">
        <v>0</v>
      </c>
      <c r="O91" s="9">
        <v>0</v>
      </c>
      <c r="P91" s="9">
        <v>6.3711668070697911</v>
      </c>
      <c r="Q91" s="9">
        <v>2.5229928077141097</v>
      </c>
      <c r="R91" s="9">
        <v>2.3312928094140619</v>
      </c>
      <c r="S91" s="9">
        <v>0.17581225153748034</v>
      </c>
      <c r="T91" s="9">
        <v>42.142388713690714</v>
      </c>
      <c r="U91" s="9">
        <v>0.37426514269338479</v>
      </c>
      <c r="V91" s="9">
        <v>0.51477163934782377</v>
      </c>
      <c r="W91" s="10">
        <v>0</v>
      </c>
      <c r="X91" s="10">
        <v>0</v>
      </c>
      <c r="Y91" s="10">
        <v>0</v>
      </c>
      <c r="Z91" s="10">
        <v>4.7401981868776447E-6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9.2706964491920056E-6</v>
      </c>
      <c r="AH91" s="10">
        <v>6.0518034374243525E-8</v>
      </c>
      <c r="AI91" s="10">
        <v>1.1825293360623983E-5</v>
      </c>
      <c r="AJ91" s="10">
        <v>7.4690188578345007E-4</v>
      </c>
      <c r="AK91" s="10">
        <v>5.4930607995985143E-3</v>
      </c>
      <c r="AL91" s="10">
        <v>0</v>
      </c>
      <c r="AM91" s="10">
        <v>1.7313766771843096E-6</v>
      </c>
      <c r="AN91" s="10">
        <v>0</v>
      </c>
      <c r="AO91" s="10">
        <v>0</v>
      </c>
      <c r="AP91" s="10">
        <v>0.13110384348102402</v>
      </c>
      <c r="AQ91" s="10">
        <v>2.2738194359417292E-3</v>
      </c>
      <c r="AR91" s="10">
        <v>2.1191798114252422E-5</v>
      </c>
      <c r="AS91" s="10">
        <v>6.2148879577358961E-5</v>
      </c>
      <c r="AT91" s="10">
        <v>1.24481010422864E-5</v>
      </c>
      <c r="AU91" s="10">
        <v>0</v>
      </c>
      <c r="AV91" s="10">
        <v>0</v>
      </c>
      <c r="AW91" s="10">
        <v>0</v>
      </c>
      <c r="AX91" s="10">
        <v>3.3693231126956826E-6</v>
      </c>
      <c r="AY91" s="10">
        <v>0</v>
      </c>
      <c r="AZ91" s="10">
        <v>1.176470588235294E-5</v>
      </c>
      <c r="BA91" s="10">
        <v>0</v>
      </c>
      <c r="BB91" s="10">
        <v>0</v>
      </c>
      <c r="BC91" s="10">
        <v>0</v>
      </c>
      <c r="BD91" s="10">
        <v>0</v>
      </c>
      <c r="BE91" s="10">
        <v>2.6227500899027906E-3</v>
      </c>
      <c r="BF91" s="10">
        <v>0</v>
      </c>
      <c r="BG91" s="9">
        <v>0</v>
      </c>
      <c r="BH91" s="9">
        <v>0</v>
      </c>
      <c r="BI91" s="9">
        <v>7.5485426365839965</v>
      </c>
      <c r="BJ91" s="9">
        <v>2.568408368966256</v>
      </c>
      <c r="BK91" s="9">
        <v>3.1932247878898905</v>
      </c>
      <c r="BL91" s="9">
        <v>0</v>
      </c>
      <c r="BM91" s="9">
        <v>0</v>
      </c>
      <c r="BN91" s="9">
        <v>0.56724020985986634</v>
      </c>
      <c r="BO91" s="9">
        <v>14.496885655411887</v>
      </c>
      <c r="BP91" s="9">
        <v>5.4158193868812168</v>
      </c>
      <c r="BQ91" s="9">
        <v>0</v>
      </c>
      <c r="BR91" s="9">
        <v>72.705934974170503</v>
      </c>
      <c r="BS91" s="9">
        <v>17.324633005964138</v>
      </c>
      <c r="BT91" s="9">
        <v>1.3439141234078</v>
      </c>
      <c r="BU91" s="9">
        <v>10.652116650668445</v>
      </c>
      <c r="BV91" s="9">
        <v>9.5670009788807455</v>
      </c>
      <c r="BW91" s="9">
        <v>0</v>
      </c>
      <c r="BX91" s="9">
        <v>0</v>
      </c>
      <c r="BY91" s="9">
        <v>30.656864770789191</v>
      </c>
      <c r="BZ91" s="9">
        <v>15.06099429914712</v>
      </c>
      <c r="CA91" s="9">
        <v>0</v>
      </c>
      <c r="CB91" s="11">
        <v>38.738116399253443</v>
      </c>
      <c r="CC91" s="12"/>
      <c r="CD91" s="12"/>
      <c r="CE91" s="12"/>
    </row>
    <row r="92" spans="1:83" x14ac:dyDescent="0.35">
      <c r="A92" s="8" t="s">
        <v>113</v>
      </c>
      <c r="B92" s="8" t="s">
        <v>204</v>
      </c>
      <c r="C92" s="8"/>
      <c r="D92" s="9">
        <v>71.703729037952343</v>
      </c>
      <c r="E92" s="9">
        <v>28.301301853486322</v>
      </c>
      <c r="F92" s="9">
        <v>91.73288249457778</v>
      </c>
      <c r="G92" s="9">
        <v>8.2671175054222399</v>
      </c>
      <c r="H92" s="9">
        <v>20.597810190297579</v>
      </c>
      <c r="I92" s="9">
        <v>583.02368378628921</v>
      </c>
      <c r="J92" s="9">
        <v>48.372681923836709</v>
      </c>
      <c r="K92" s="9">
        <v>48.372681923836709</v>
      </c>
      <c r="L92" s="9">
        <v>0</v>
      </c>
      <c r="M92" s="9">
        <v>0.22023529329674313</v>
      </c>
      <c r="N92" s="9">
        <v>0.98527233211114096</v>
      </c>
      <c r="O92" s="9">
        <v>0</v>
      </c>
      <c r="P92" s="9">
        <v>7.2355877278665686</v>
      </c>
      <c r="Q92" s="9">
        <v>0.76329784929770872</v>
      </c>
      <c r="R92" s="9">
        <v>10.997390817281973</v>
      </c>
      <c r="S92" s="9">
        <v>2.0261806766604855</v>
      </c>
      <c r="T92" s="9">
        <v>24.251398825371403</v>
      </c>
      <c r="U92" s="9">
        <v>0.63907310612320867</v>
      </c>
      <c r="V92" s="9">
        <v>2.3987349007571339</v>
      </c>
      <c r="W92" s="10">
        <v>0</v>
      </c>
      <c r="X92" s="10">
        <v>0</v>
      </c>
      <c r="Y92" s="10">
        <v>0</v>
      </c>
      <c r="Z92" s="10">
        <v>1.250646429672267E-3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2.6040429868342343E-5</v>
      </c>
      <c r="AH92" s="10">
        <v>2.1305780161614134E-6</v>
      </c>
      <c r="AI92" s="10">
        <v>1.781475929187811E-5</v>
      </c>
      <c r="AJ92" s="10">
        <v>2.421429591849599E-3</v>
      </c>
      <c r="AK92" s="10">
        <v>6.629279445291722E-3</v>
      </c>
      <c r="AL92" s="10">
        <v>0</v>
      </c>
      <c r="AM92" s="10">
        <v>1.4654580907141829E-5</v>
      </c>
      <c r="AN92" s="10">
        <v>0</v>
      </c>
      <c r="AO92" s="10">
        <v>0</v>
      </c>
      <c r="AP92" s="10">
        <v>0.12681618613847329</v>
      </c>
      <c r="AQ92" s="10">
        <v>2.7360632113119653E-4</v>
      </c>
      <c r="AR92" s="10">
        <v>2.0802578393122803E-5</v>
      </c>
      <c r="AS92" s="10">
        <v>3.3176141840853206E-5</v>
      </c>
      <c r="AT92" s="10">
        <v>2.4313042580666636E-5</v>
      </c>
      <c r="AU92" s="10">
        <v>0</v>
      </c>
      <c r="AV92" s="10">
        <v>0</v>
      </c>
      <c r="AW92" s="10">
        <v>0</v>
      </c>
      <c r="AX92" s="10">
        <v>1.1354724900005266E-4</v>
      </c>
      <c r="AY92" s="10">
        <v>0</v>
      </c>
      <c r="AZ92" s="10">
        <v>0</v>
      </c>
      <c r="BA92" s="10">
        <v>0</v>
      </c>
      <c r="BB92" s="10">
        <v>0</v>
      </c>
      <c r="BC92" s="10">
        <v>0</v>
      </c>
      <c r="BD92" s="10">
        <v>0</v>
      </c>
      <c r="BE92" s="10">
        <v>1.9336339257331588E-2</v>
      </c>
      <c r="BF92" s="10">
        <v>0</v>
      </c>
      <c r="BG92" s="9">
        <v>0</v>
      </c>
      <c r="BH92" s="9">
        <v>0</v>
      </c>
      <c r="BI92" s="9">
        <v>0.27241536014470696</v>
      </c>
      <c r="BJ92" s="9">
        <v>1.6000653419691977</v>
      </c>
      <c r="BK92" s="9">
        <v>0</v>
      </c>
      <c r="BL92" s="9">
        <v>0</v>
      </c>
      <c r="BM92" s="9">
        <v>0</v>
      </c>
      <c r="BN92" s="9">
        <v>0</v>
      </c>
      <c r="BO92" s="9">
        <v>67.552644543468205</v>
      </c>
      <c r="BP92" s="9">
        <v>16.696226268272792</v>
      </c>
      <c r="BQ92" s="9">
        <v>0</v>
      </c>
      <c r="BR92" s="9">
        <v>7.0867312151288857</v>
      </c>
      <c r="BS92" s="9">
        <v>22.546948649805557</v>
      </c>
      <c r="BT92" s="9">
        <v>1.8608932214657696</v>
      </c>
      <c r="BU92" s="9">
        <v>2.2815754839276923E-2</v>
      </c>
      <c r="BV92" s="9">
        <v>2.4839241163180713E-2</v>
      </c>
      <c r="BW92" s="9">
        <v>3.5647235972522319E-2</v>
      </c>
      <c r="BX92" s="9">
        <v>0</v>
      </c>
      <c r="BY92" s="9">
        <v>0.78845400878999383</v>
      </c>
      <c r="BZ92" s="9">
        <v>18.91673044874323</v>
      </c>
      <c r="CA92" s="9">
        <v>0</v>
      </c>
      <c r="CB92" s="11">
        <v>5.5282287487478818</v>
      </c>
      <c r="CC92" s="12"/>
      <c r="CD92" s="12"/>
      <c r="CE92" s="12"/>
    </row>
    <row r="93" spans="1:83" x14ac:dyDescent="0.35">
      <c r="A93" s="8" t="s">
        <v>113</v>
      </c>
      <c r="B93" s="8" t="s">
        <v>205</v>
      </c>
      <c r="C93" s="8"/>
      <c r="D93" s="9">
        <v>27.06190476190476</v>
      </c>
      <c r="E93" s="9">
        <v>72.938095238095244</v>
      </c>
      <c r="F93" s="9">
        <v>98.506459670462192</v>
      </c>
      <c r="G93" s="9">
        <v>1.4935403295377976</v>
      </c>
      <c r="H93" s="9">
        <v>22.340272036075664</v>
      </c>
      <c r="I93" s="9">
        <v>609.14803347727593</v>
      </c>
      <c r="J93" s="9">
        <v>53.237879001486327</v>
      </c>
      <c r="K93" s="9">
        <v>53.237879001486327</v>
      </c>
      <c r="L93" s="9">
        <v>0</v>
      </c>
      <c r="M93" s="9">
        <v>2.3511466374778776E-2</v>
      </c>
      <c r="N93" s="9">
        <v>1.0606060606060607E-2</v>
      </c>
      <c r="O93" s="9">
        <v>0</v>
      </c>
      <c r="P93" s="9">
        <v>7.8243204512864679</v>
      </c>
      <c r="Q93" s="9">
        <v>6.8303661276095148E-2</v>
      </c>
      <c r="R93" s="9">
        <v>1.1087369279086459</v>
      </c>
      <c r="S93" s="9">
        <v>0.18468537563492263</v>
      </c>
      <c r="T93" s="9">
        <v>36.306818449430295</v>
      </c>
      <c r="U93" s="9">
        <v>4.2628787050976016E-2</v>
      </c>
      <c r="V93" s="9">
        <v>0.22979635194648088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7.4863371643426463E-4</v>
      </c>
      <c r="AL93" s="10">
        <v>0</v>
      </c>
      <c r="AM93" s="10">
        <v>0</v>
      </c>
      <c r="AN93" s="10">
        <v>0</v>
      </c>
      <c r="AO93" s="10">
        <v>0</v>
      </c>
      <c r="AP93" s="10">
        <v>8.8281567767763656E-3</v>
      </c>
      <c r="AQ93" s="10">
        <v>0</v>
      </c>
      <c r="AR93" s="10">
        <v>0</v>
      </c>
      <c r="AS93" s="10">
        <v>0</v>
      </c>
      <c r="AT93" s="10">
        <v>0</v>
      </c>
      <c r="AU93" s="10">
        <v>0</v>
      </c>
      <c r="AV93" s="10">
        <v>0</v>
      </c>
      <c r="AW93" s="10">
        <v>0</v>
      </c>
      <c r="AX93" s="10">
        <v>1.8324852783522645E-7</v>
      </c>
      <c r="AY93" s="10">
        <v>0</v>
      </c>
      <c r="AZ93" s="10">
        <v>0</v>
      </c>
      <c r="BA93" s="10">
        <v>0</v>
      </c>
      <c r="BB93" s="10">
        <v>0</v>
      </c>
      <c r="BC93" s="10">
        <v>0</v>
      </c>
      <c r="BD93" s="10">
        <v>0</v>
      </c>
      <c r="BE93" s="10">
        <v>3.1670674521982399E-4</v>
      </c>
      <c r="BF93" s="10">
        <v>0</v>
      </c>
      <c r="BG93" s="9">
        <v>0</v>
      </c>
      <c r="BH93" s="9">
        <v>0</v>
      </c>
      <c r="BI93" s="9">
        <v>1.8344155844155841</v>
      </c>
      <c r="BJ93" s="9">
        <v>0.69805194805194815</v>
      </c>
      <c r="BK93" s="9">
        <v>0</v>
      </c>
      <c r="BL93" s="9">
        <v>0</v>
      </c>
      <c r="BM93" s="9">
        <v>0</v>
      </c>
      <c r="BN93" s="9">
        <v>0</v>
      </c>
      <c r="BO93" s="9">
        <v>6.4714743073636729</v>
      </c>
      <c r="BP93" s="9">
        <v>31.0431119445444</v>
      </c>
      <c r="BQ93" s="9">
        <v>0</v>
      </c>
      <c r="BR93" s="9">
        <v>60.74580604008564</v>
      </c>
      <c r="BS93" s="9">
        <v>22.094250180013457</v>
      </c>
      <c r="BT93" s="9">
        <v>1.8161213428033305</v>
      </c>
      <c r="BU93" s="9">
        <v>0.10443722943722943</v>
      </c>
      <c r="BV93" s="9">
        <v>0.15476190476190477</v>
      </c>
      <c r="BW93" s="9">
        <v>8.2792207792207792E-2</v>
      </c>
      <c r="BX93" s="9">
        <v>2.9707792207792211E-2</v>
      </c>
      <c r="BY93" s="9">
        <v>2.2023809523809526</v>
      </c>
      <c r="BZ93" s="9">
        <v>22.693371461452838</v>
      </c>
      <c r="CA93" s="9">
        <v>0</v>
      </c>
      <c r="CB93" s="11">
        <v>58.087706751887467</v>
      </c>
      <c r="CC93" s="12"/>
      <c r="CD93" s="12"/>
      <c r="CE93" s="12"/>
    </row>
    <row r="94" spans="1:83" x14ac:dyDescent="0.35">
      <c r="A94" s="8" t="s">
        <v>113</v>
      </c>
      <c r="B94" s="8" t="s">
        <v>206</v>
      </c>
      <c r="C94" s="8"/>
      <c r="D94" s="9">
        <v>30.583535353535353</v>
      </c>
      <c r="E94" s="9">
        <v>69.420750360750361</v>
      </c>
      <c r="F94" s="9">
        <v>97.369722379451659</v>
      </c>
      <c r="G94" s="9">
        <v>2.6302776205483349</v>
      </c>
      <c r="H94" s="9">
        <v>18.443376044333323</v>
      </c>
      <c r="I94" s="9">
        <v>502.7649378322335</v>
      </c>
      <c r="J94" s="9">
        <v>46.826553165491255</v>
      </c>
      <c r="K94" s="9">
        <v>46.769913317260098</v>
      </c>
      <c r="L94" s="9">
        <v>0</v>
      </c>
      <c r="M94" s="9">
        <v>0.10493215160195264</v>
      </c>
      <c r="N94" s="9">
        <v>0.65290588041647668</v>
      </c>
      <c r="O94" s="9">
        <v>0</v>
      </c>
      <c r="P94" s="9">
        <v>6.8945495676972737</v>
      </c>
      <c r="Q94" s="9">
        <v>0.36841054305924842</v>
      </c>
      <c r="R94" s="9">
        <v>2.5636925323719995</v>
      </c>
      <c r="S94" s="9">
        <v>0.42908084057245421</v>
      </c>
      <c r="T94" s="9">
        <v>40.927957828538297</v>
      </c>
      <c r="U94" s="9">
        <v>0.27089035020055247</v>
      </c>
      <c r="V94" s="9">
        <v>0.54965289480281454</v>
      </c>
      <c r="W94" s="10">
        <v>0</v>
      </c>
      <c r="X94" s="10">
        <v>0</v>
      </c>
      <c r="Y94" s="10">
        <v>0</v>
      </c>
      <c r="Z94" s="10">
        <v>2.2111502279440412E-6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1.8310360510146426E-6</v>
      </c>
      <c r="AH94" s="10">
        <v>9.85460770435522E-8</v>
      </c>
      <c r="AI94" s="10">
        <v>1.0270289942894826E-6</v>
      </c>
      <c r="AJ94" s="10">
        <v>2.2431389573007815E-4</v>
      </c>
      <c r="AK94" s="10">
        <v>2.5818051506113367E-3</v>
      </c>
      <c r="AL94" s="10">
        <v>0</v>
      </c>
      <c r="AM94" s="10">
        <v>9.3110271569678131E-8</v>
      </c>
      <c r="AN94" s="10">
        <v>0</v>
      </c>
      <c r="AO94" s="10">
        <v>0</v>
      </c>
      <c r="AP94" s="10">
        <v>5.0727711007033972E-2</v>
      </c>
      <c r="AQ94" s="10">
        <v>1.2422903971764817E-3</v>
      </c>
      <c r="AR94" s="10">
        <v>7.9282409526618089E-6</v>
      </c>
      <c r="AS94" s="10">
        <v>1.2395360489067715E-5</v>
      </c>
      <c r="AT94" s="10">
        <v>1.7984678917225751E-6</v>
      </c>
      <c r="AU94" s="10">
        <v>0</v>
      </c>
      <c r="AV94" s="10">
        <v>0</v>
      </c>
      <c r="AW94" s="10">
        <v>0</v>
      </c>
      <c r="AX94" s="10">
        <v>1.5866283400024599E-6</v>
      </c>
      <c r="AY94" s="10">
        <v>0</v>
      </c>
      <c r="AZ94" s="10">
        <v>2.30252151557027E-5</v>
      </c>
      <c r="BA94" s="10">
        <v>0</v>
      </c>
      <c r="BB94" s="10">
        <v>0</v>
      </c>
      <c r="BC94" s="10">
        <v>0</v>
      </c>
      <c r="BD94" s="10">
        <v>0</v>
      </c>
      <c r="BE94" s="10">
        <v>2.2392065949291494E-3</v>
      </c>
      <c r="BF94" s="10">
        <v>0</v>
      </c>
      <c r="BG94" s="9">
        <v>0</v>
      </c>
      <c r="BH94" s="9">
        <v>0</v>
      </c>
      <c r="BI94" s="9">
        <v>5.291171538639413E-2</v>
      </c>
      <c r="BJ94" s="9">
        <v>22.527155505867036</v>
      </c>
      <c r="BK94" s="9">
        <v>0.22563804108741353</v>
      </c>
      <c r="BL94" s="9">
        <v>0</v>
      </c>
      <c r="BM94" s="9">
        <v>0</v>
      </c>
      <c r="BN94" s="9">
        <v>8.0875214232467754E-2</v>
      </c>
      <c r="BO94" s="9">
        <v>15.479203897514072</v>
      </c>
      <c r="BP94" s="9">
        <v>12.102516042651542</v>
      </c>
      <c r="BQ94" s="9">
        <v>0</v>
      </c>
      <c r="BR94" s="9">
        <v>69.806929542626349</v>
      </c>
      <c r="BS94" s="9">
        <v>19.399575141025231</v>
      </c>
      <c r="BT94" s="9">
        <v>1.5495478221990491</v>
      </c>
      <c r="BU94" s="9">
        <v>0</v>
      </c>
      <c r="BV94" s="9">
        <v>0</v>
      </c>
      <c r="BW94" s="9">
        <v>0</v>
      </c>
      <c r="BX94" s="9">
        <v>0</v>
      </c>
      <c r="BY94" s="9">
        <v>0.4268547902940994</v>
      </c>
      <c r="BZ94" s="9">
        <v>18.497041728613205</v>
      </c>
      <c r="CA94" s="9">
        <v>0</v>
      </c>
      <c r="CB94" s="11">
        <v>46.901421962712746</v>
      </c>
      <c r="CC94" s="12"/>
      <c r="CD94" s="12"/>
      <c r="CE94" s="12"/>
    </row>
    <row r="95" spans="1:83" x14ac:dyDescent="0.35">
      <c r="A95" s="8" t="s">
        <v>113</v>
      </c>
      <c r="B95" s="8" t="s">
        <v>207</v>
      </c>
      <c r="C95" s="8"/>
      <c r="D95" s="9">
        <v>19.472202380952378</v>
      </c>
      <c r="E95" s="9">
        <v>80.529047619047617</v>
      </c>
      <c r="F95" s="9">
        <v>98.634642476897881</v>
      </c>
      <c r="G95" s="9">
        <v>1.3653575231021053</v>
      </c>
      <c r="H95" s="9">
        <v>21.471104460263302</v>
      </c>
      <c r="I95" s="9">
        <v>583.38123972551421</v>
      </c>
      <c r="J95" s="9">
        <v>51.939991890068534</v>
      </c>
      <c r="K95" s="9">
        <v>51.934307342185562</v>
      </c>
      <c r="L95" s="9">
        <v>0</v>
      </c>
      <c r="M95" s="9">
        <v>2.0778840889995775E-2</v>
      </c>
      <c r="N95" s="9">
        <v>0.10229926151251836</v>
      </c>
      <c r="O95" s="9">
        <v>0</v>
      </c>
      <c r="P95" s="9">
        <v>7.6174645081118415</v>
      </c>
      <c r="Q95" s="9">
        <v>8.5513610780401317E-2</v>
      </c>
      <c r="R95" s="9">
        <v>1.0558839101329394</v>
      </c>
      <c r="S95" s="9">
        <v>0.23300221651660574</v>
      </c>
      <c r="T95" s="9">
        <v>38.000951174495817</v>
      </c>
      <c r="U95" s="9">
        <v>3.6856184763491083E-2</v>
      </c>
      <c r="V95" s="9">
        <v>0.21743078347310979</v>
      </c>
      <c r="W95" s="10">
        <v>0</v>
      </c>
      <c r="X95" s="10">
        <v>0</v>
      </c>
      <c r="Y95" s="10">
        <v>0</v>
      </c>
      <c r="Z95" s="10">
        <v>1.043358372788108E-7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2.0803067383711869E-7</v>
      </c>
      <c r="AH95" s="10">
        <v>4.0584415584415581E-8</v>
      </c>
      <c r="AI95" s="10">
        <v>8.3067651294876846E-7</v>
      </c>
      <c r="AJ95" s="10">
        <v>1.7749031214019246E-5</v>
      </c>
      <c r="AK95" s="10">
        <v>7.5527895511974009E-4</v>
      </c>
      <c r="AL95" s="10">
        <v>0</v>
      </c>
      <c r="AM95" s="10">
        <v>1.3717697780834237E-8</v>
      </c>
      <c r="AN95" s="10">
        <v>0</v>
      </c>
      <c r="AO95" s="10">
        <v>0</v>
      </c>
      <c r="AP95" s="10">
        <v>7.7500907933871167E-3</v>
      </c>
      <c r="AQ95" s="10">
        <v>5.447463102142418E-5</v>
      </c>
      <c r="AR95" s="10">
        <v>4.0584415584415586E-7</v>
      </c>
      <c r="AS95" s="10">
        <v>2.1441062711930536E-6</v>
      </c>
      <c r="AT95" s="10">
        <v>3.0318459544528785E-7</v>
      </c>
      <c r="AU95" s="10">
        <v>0</v>
      </c>
      <c r="AV95" s="10">
        <v>0</v>
      </c>
      <c r="AW95" s="10">
        <v>0</v>
      </c>
      <c r="AX95" s="10">
        <v>4.906465449157418E-7</v>
      </c>
      <c r="AY95" s="10">
        <v>0</v>
      </c>
      <c r="AZ95" s="10">
        <v>0</v>
      </c>
      <c r="BA95" s="10">
        <v>0</v>
      </c>
      <c r="BB95" s="10">
        <v>0</v>
      </c>
      <c r="BC95" s="10">
        <v>0</v>
      </c>
      <c r="BD95" s="10">
        <v>0</v>
      </c>
      <c r="BE95" s="10">
        <v>2.3836204224564778E-4</v>
      </c>
      <c r="BF95" s="10">
        <v>0</v>
      </c>
      <c r="BG95" s="9">
        <v>0</v>
      </c>
      <c r="BH95" s="9">
        <v>0</v>
      </c>
      <c r="BI95" s="9">
        <v>8.7245987079062743</v>
      </c>
      <c r="BJ95" s="9">
        <v>9.3919628376301016</v>
      </c>
      <c r="BK95" s="9">
        <v>9.9138387071177302E-3</v>
      </c>
      <c r="BL95" s="9">
        <v>0</v>
      </c>
      <c r="BM95" s="9">
        <v>0</v>
      </c>
      <c r="BN95" s="9">
        <v>8.1168831168831161E-3</v>
      </c>
      <c r="BO95" s="9">
        <v>6.1232378884930867</v>
      </c>
      <c r="BP95" s="9">
        <v>26.895390351227064</v>
      </c>
      <c r="BQ95" s="9">
        <v>0</v>
      </c>
      <c r="BR95" s="9">
        <v>65.486353868514328</v>
      </c>
      <c r="BS95" s="9">
        <v>21.422300257891269</v>
      </c>
      <c r="BT95" s="9">
        <v>1.7496584541093423</v>
      </c>
      <c r="BU95" s="9">
        <v>0.31417697940908529</v>
      </c>
      <c r="BV95" s="9">
        <v>0.74380287520590738</v>
      </c>
      <c r="BW95" s="9">
        <v>0.34624059095757115</v>
      </c>
      <c r="BX95" s="9">
        <v>0.39254783244293096</v>
      </c>
      <c r="BY95" s="9">
        <v>10.517943973693956</v>
      </c>
      <c r="BZ95" s="9">
        <v>21.901754360069791</v>
      </c>
      <c r="CA95" s="9">
        <v>0</v>
      </c>
      <c r="CB95" s="11">
        <v>45.68465369180187</v>
      </c>
      <c r="CC95" s="12"/>
      <c r="CD95" s="12"/>
      <c r="CE95" s="12"/>
    </row>
    <row r="96" spans="1:83" x14ac:dyDescent="0.35">
      <c r="A96" s="26" t="s">
        <v>313</v>
      </c>
      <c r="B96" s="26" t="s">
        <v>294</v>
      </c>
      <c r="D96" s="27">
        <v>10</v>
      </c>
      <c r="E96" s="27">
        <v>90</v>
      </c>
      <c r="G96" s="27">
        <v>2.39</v>
      </c>
      <c r="BK96" s="27">
        <v>32.9</v>
      </c>
      <c r="BL96" s="27">
        <v>14.22</v>
      </c>
      <c r="BN96" s="27">
        <v>31.15</v>
      </c>
    </row>
    <row r="97" spans="1:18" x14ac:dyDescent="0.35">
      <c r="A97" s="26"/>
      <c r="E97" s="27">
        <v>58.85</v>
      </c>
      <c r="F97">
        <f>(47.13/58.85)*100</f>
        <v>80.08496176720476</v>
      </c>
      <c r="R97">
        <f>(2.13/58.85)*100</f>
        <v>3.6193712829226845</v>
      </c>
    </row>
    <row r="98" spans="1:18" x14ac:dyDescent="0.35">
      <c r="B98" s="14" t="s">
        <v>238</v>
      </c>
    </row>
    <row r="99" spans="1:18" x14ac:dyDescent="0.35">
      <c r="A99" s="13" t="s">
        <v>208</v>
      </c>
    </row>
    <row r="100" spans="1:18" x14ac:dyDescent="0.35">
      <c r="A100" s="14" t="s">
        <v>209</v>
      </c>
      <c r="B100" s="14" t="s">
        <v>210</v>
      </c>
      <c r="C100" s="14"/>
    </row>
    <row r="101" spans="1:18" x14ac:dyDescent="0.35">
      <c r="A101" s="14" t="s">
        <v>211</v>
      </c>
      <c r="B101" s="14" t="s">
        <v>212</v>
      </c>
      <c r="C101" s="14"/>
    </row>
    <row r="102" spans="1:18" x14ac:dyDescent="0.35">
      <c r="A102" s="14" t="s">
        <v>213</v>
      </c>
      <c r="B102" s="14" t="s">
        <v>214</v>
      </c>
      <c r="C102" s="14"/>
    </row>
    <row r="103" spans="1:18" x14ac:dyDescent="0.35">
      <c r="A103" s="14" t="s">
        <v>215</v>
      </c>
      <c r="B103" s="14" t="s">
        <v>216</v>
      </c>
      <c r="C103" s="14"/>
    </row>
    <row r="104" spans="1:18" x14ac:dyDescent="0.35">
      <c r="A104" s="14" t="s">
        <v>217</v>
      </c>
      <c r="B104" s="14" t="s">
        <v>218</v>
      </c>
      <c r="C104" s="14"/>
    </row>
    <row r="105" spans="1:18" x14ac:dyDescent="0.35">
      <c r="A105" s="14" t="s">
        <v>219</v>
      </c>
      <c r="B105" s="14" t="s">
        <v>220</v>
      </c>
      <c r="C105" s="14"/>
    </row>
    <row r="106" spans="1:18" x14ac:dyDescent="0.35">
      <c r="A106" s="14" t="s">
        <v>221</v>
      </c>
      <c r="B106" s="14" t="s">
        <v>222</v>
      </c>
      <c r="C106" s="14"/>
    </row>
    <row r="107" spans="1:18" x14ac:dyDescent="0.35">
      <c r="A107" s="14" t="s">
        <v>223</v>
      </c>
      <c r="B107" s="14" t="s">
        <v>224</v>
      </c>
      <c r="C107" s="14"/>
    </row>
    <row r="108" spans="1:18" x14ac:dyDescent="0.35">
      <c r="A108" s="14" t="s">
        <v>225</v>
      </c>
      <c r="B108" s="14" t="s">
        <v>226</v>
      </c>
      <c r="C108" s="14"/>
    </row>
    <row r="109" spans="1:18" x14ac:dyDescent="0.35">
      <c r="A109" s="14" t="s">
        <v>227</v>
      </c>
      <c r="B109" s="14" t="s">
        <v>228</v>
      </c>
      <c r="C109" s="14"/>
    </row>
    <row r="110" spans="1:18" x14ac:dyDescent="0.35">
      <c r="A110" s="14" t="s">
        <v>229</v>
      </c>
      <c r="B110" s="14" t="s">
        <v>230</v>
      </c>
      <c r="C110" s="14"/>
    </row>
    <row r="111" spans="1:18" x14ac:dyDescent="0.35">
      <c r="A111" s="14" t="s">
        <v>231</v>
      </c>
      <c r="B111" s="14" t="s">
        <v>232</v>
      </c>
      <c r="C111" s="14"/>
    </row>
    <row r="112" spans="1:18" x14ac:dyDescent="0.35">
      <c r="A112" s="14" t="s">
        <v>233</v>
      </c>
      <c r="B112" s="14" t="s">
        <v>234</v>
      </c>
      <c r="C112" s="14"/>
    </row>
    <row r="113" spans="1:3" x14ac:dyDescent="0.35">
      <c r="A113" s="14" t="s">
        <v>235</v>
      </c>
      <c r="B113" s="14" t="s">
        <v>236</v>
      </c>
      <c r="C113" s="14"/>
    </row>
  </sheetData>
  <autoFilter ref="B1:B113" xr:uid="{5C1C00B8-EB56-4545-B532-00F765CC31D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F1B96-6F36-403A-A03F-B41BA123E54D}">
  <sheetPr codeName="Feuil2"/>
  <dimension ref="A1:CD107"/>
  <sheetViews>
    <sheetView tabSelected="1" topLeftCell="A92" zoomScale="85" zoomScaleNormal="106" workbookViewId="0">
      <selection activeCell="F106" sqref="F106"/>
    </sheetView>
  </sheetViews>
  <sheetFormatPr baseColWidth="10" defaultRowHeight="14.5" x14ac:dyDescent="0.35"/>
  <cols>
    <col min="1" max="1" width="19.7265625" customWidth="1"/>
    <col min="2" max="2" width="28.26953125" bestFit="1" customWidth="1"/>
    <col min="7" max="7" width="6.453125" bestFit="1" customWidth="1"/>
    <col min="8" max="8" width="13.90625" hidden="1" customWidth="1"/>
    <col min="9" max="9" width="15.90625" bestFit="1" customWidth="1"/>
    <col min="10" max="10" width="10.1796875" customWidth="1"/>
    <col min="11" max="11" width="11.81640625" customWidth="1"/>
    <col min="12" max="12" width="9" bestFit="1" customWidth="1"/>
    <col min="13" max="13" width="7.36328125" hidden="1" customWidth="1"/>
    <col min="14" max="14" width="6.90625" hidden="1" customWidth="1"/>
    <col min="15" max="15" width="6.26953125" hidden="1" customWidth="1"/>
    <col min="16" max="16" width="11.81640625" bestFit="1" customWidth="1"/>
    <col min="17" max="17" width="7.453125" bestFit="1" customWidth="1"/>
    <col min="18" max="18" width="7.26953125" bestFit="1" customWidth="1"/>
    <col min="19" max="19" width="7.54296875" hidden="1" customWidth="1"/>
    <col min="20" max="20" width="12" customWidth="1"/>
    <col min="21" max="21" width="6.81640625" bestFit="1" customWidth="1"/>
    <col min="22" max="22" width="6.81640625" hidden="1" customWidth="1"/>
    <col min="23" max="23" width="7.36328125" hidden="1" customWidth="1"/>
    <col min="24" max="24" width="7" hidden="1" customWidth="1"/>
    <col min="25" max="25" width="7.1796875" hidden="1" customWidth="1"/>
    <col min="26" max="26" width="7.26953125" hidden="1" customWidth="1"/>
    <col min="27" max="27" width="7.54296875" hidden="1" customWidth="1"/>
    <col min="28" max="28" width="6.54296875" hidden="1" customWidth="1"/>
    <col min="29" max="29" width="7.36328125" hidden="1" customWidth="1"/>
    <col min="30" max="30" width="7.453125" hidden="1" customWidth="1"/>
    <col min="31" max="31" width="6.90625" hidden="1" customWidth="1"/>
    <col min="32" max="32" width="7.1796875" hidden="1" customWidth="1"/>
    <col min="33" max="34" width="7.453125" hidden="1" customWidth="1"/>
    <col min="35" max="35" width="7.08984375" hidden="1" customWidth="1"/>
    <col min="36" max="36" width="7.453125" hidden="1" customWidth="1"/>
    <col min="37" max="37" width="7.26953125" hidden="1" customWidth="1"/>
    <col min="38" max="38" width="7.54296875" hidden="1" customWidth="1"/>
    <col min="39" max="39" width="7.453125" hidden="1" customWidth="1"/>
    <col min="40" max="40" width="6.90625" hidden="1" customWidth="1"/>
    <col min="41" max="41" width="6.6328125" hidden="1" customWidth="1"/>
    <col min="42" max="42" width="7.90625" hidden="1" customWidth="1"/>
    <col min="43" max="44" width="8" hidden="1" customWidth="1"/>
    <col min="45" max="45" width="7.08984375" hidden="1" customWidth="1"/>
    <col min="46" max="47" width="7.453125" hidden="1" customWidth="1"/>
    <col min="48" max="48" width="7.08984375" hidden="1" customWidth="1"/>
    <col min="49" max="50" width="7.26953125" hidden="1" customWidth="1"/>
    <col min="51" max="51" width="6.7265625" hidden="1" customWidth="1"/>
    <col min="52" max="52" width="7.26953125" hidden="1" customWidth="1"/>
    <col min="53" max="53" width="6.90625" hidden="1" customWidth="1"/>
    <col min="54" max="54" width="7.26953125" hidden="1" customWidth="1"/>
    <col min="55" max="55" width="6.81640625" hidden="1" customWidth="1"/>
    <col min="56" max="56" width="6.54296875" hidden="1" customWidth="1"/>
    <col min="57" max="57" width="7.36328125" hidden="1" customWidth="1"/>
    <col min="58" max="58" width="7" hidden="1" customWidth="1"/>
    <col min="59" max="59" width="11.6328125" hidden="1" customWidth="1"/>
    <col min="60" max="60" width="8.7265625" hidden="1" customWidth="1"/>
    <col min="61" max="61" width="11.26953125" hidden="1" customWidth="1"/>
    <col min="62" max="62" width="10.1796875" hidden="1" customWidth="1"/>
    <col min="64" max="64" width="14.7265625" bestFit="1" customWidth="1"/>
    <col min="65" max="65" width="10.1796875" hidden="1" customWidth="1"/>
    <col min="69" max="69" width="13.54296875" hidden="1" customWidth="1"/>
    <col min="70" max="70" width="14.7265625" customWidth="1"/>
    <col min="71" max="77" width="0" hidden="1" customWidth="1"/>
    <col min="78" max="78" width="23.7265625" hidden="1" customWidth="1"/>
    <col min="79" max="79" width="6.54296875" hidden="1" customWidth="1"/>
    <col min="80" max="80" width="7.36328125" hidden="1" customWidth="1"/>
  </cols>
  <sheetData>
    <row r="1" spans="1:82" x14ac:dyDescent="0.35">
      <c r="A1" s="15" t="s">
        <v>34</v>
      </c>
      <c r="B1" s="15" t="s">
        <v>35</v>
      </c>
      <c r="C1" s="22" t="s">
        <v>237</v>
      </c>
      <c r="D1" s="22" t="s">
        <v>239</v>
      </c>
      <c r="E1" s="22" t="s">
        <v>240</v>
      </c>
      <c r="F1" s="22" t="s">
        <v>244</v>
      </c>
      <c r="G1" s="22" t="s">
        <v>245</v>
      </c>
      <c r="H1" s="15" t="s">
        <v>40</v>
      </c>
      <c r="I1" s="15" t="s">
        <v>41</v>
      </c>
      <c r="J1" s="15" t="s">
        <v>278</v>
      </c>
      <c r="K1" s="15" t="s">
        <v>322</v>
      </c>
      <c r="L1" s="15" t="s">
        <v>321</v>
      </c>
      <c r="M1" s="15" t="s">
        <v>320</v>
      </c>
      <c r="N1" s="15" t="s">
        <v>319</v>
      </c>
      <c r="O1" s="15" t="s">
        <v>318</v>
      </c>
      <c r="P1" s="15" t="s">
        <v>317</v>
      </c>
      <c r="Q1" s="15" t="s">
        <v>300</v>
      </c>
      <c r="R1" s="15" t="s">
        <v>279</v>
      </c>
      <c r="S1" s="15" t="s">
        <v>323</v>
      </c>
      <c r="T1" s="15" t="s">
        <v>280</v>
      </c>
      <c r="U1" s="15" t="s">
        <v>299</v>
      </c>
      <c r="V1" s="15" t="s">
        <v>324</v>
      </c>
      <c r="W1" s="15" t="s">
        <v>325</v>
      </c>
      <c r="X1" s="15" t="s">
        <v>326</v>
      </c>
      <c r="Y1" s="15" t="s">
        <v>327</v>
      </c>
      <c r="Z1" s="15" t="s">
        <v>328</v>
      </c>
      <c r="AA1" s="15" t="s">
        <v>329</v>
      </c>
      <c r="AB1" s="15" t="s">
        <v>330</v>
      </c>
      <c r="AC1" s="15" t="s">
        <v>331</v>
      </c>
      <c r="AD1" s="15" t="s">
        <v>332</v>
      </c>
      <c r="AE1" s="15" t="s">
        <v>333</v>
      </c>
      <c r="AF1" s="15" t="s">
        <v>334</v>
      </c>
      <c r="AG1" s="15" t="s">
        <v>335</v>
      </c>
      <c r="AH1" s="15" t="s">
        <v>336</v>
      </c>
      <c r="AI1" s="15" t="s">
        <v>337</v>
      </c>
      <c r="AJ1" s="15" t="s">
        <v>338</v>
      </c>
      <c r="AK1" s="15" t="s">
        <v>339</v>
      </c>
      <c r="AL1" s="15" t="s">
        <v>340</v>
      </c>
      <c r="AM1" s="15" t="s">
        <v>341</v>
      </c>
      <c r="AN1" s="15" t="s">
        <v>342</v>
      </c>
      <c r="AO1" s="15" t="s">
        <v>343</v>
      </c>
      <c r="AP1" s="15" t="s">
        <v>344</v>
      </c>
      <c r="AQ1" s="15" t="s">
        <v>345</v>
      </c>
      <c r="AR1" s="15" t="s">
        <v>346</v>
      </c>
      <c r="AS1" s="15" t="s">
        <v>347</v>
      </c>
      <c r="AT1" s="15" t="s">
        <v>348</v>
      </c>
      <c r="AU1" s="15" t="s">
        <v>349</v>
      </c>
      <c r="AV1" s="15" t="s">
        <v>350</v>
      </c>
      <c r="AW1" s="15" t="s">
        <v>351</v>
      </c>
      <c r="AX1" s="15" t="s">
        <v>352</v>
      </c>
      <c r="AY1" s="15" t="s">
        <v>353</v>
      </c>
      <c r="AZ1" s="15" t="s">
        <v>354</v>
      </c>
      <c r="BA1" s="15" t="s">
        <v>355</v>
      </c>
      <c r="BB1" s="15" t="s">
        <v>356</v>
      </c>
      <c r="BC1" s="15" t="s">
        <v>357</v>
      </c>
      <c r="BD1" s="15" t="s">
        <v>358</v>
      </c>
      <c r="BE1" s="15" t="s">
        <v>359</v>
      </c>
      <c r="BF1" s="15" t="s">
        <v>360</v>
      </c>
      <c r="BG1" s="15" t="s">
        <v>361</v>
      </c>
      <c r="BH1" s="15" t="s">
        <v>92</v>
      </c>
      <c r="BI1" s="15" t="s">
        <v>93</v>
      </c>
      <c r="BJ1" s="15" t="s">
        <v>94</v>
      </c>
      <c r="BK1" s="22" t="s">
        <v>241</v>
      </c>
      <c r="BL1" s="22" t="s">
        <v>246</v>
      </c>
      <c r="BM1" s="15" t="s">
        <v>97</v>
      </c>
      <c r="BN1" s="22" t="s">
        <v>247</v>
      </c>
      <c r="BO1" s="22" t="s">
        <v>242</v>
      </c>
      <c r="BP1" s="22" t="s">
        <v>248</v>
      </c>
      <c r="BQ1" s="15" t="s">
        <v>101</v>
      </c>
      <c r="BR1" s="22" t="s">
        <v>249</v>
      </c>
      <c r="BS1" s="15" t="s">
        <v>103</v>
      </c>
      <c r="BT1" s="15" t="s">
        <v>104</v>
      </c>
      <c r="BU1" s="15" t="s">
        <v>105</v>
      </c>
      <c r="BV1" s="15" t="s">
        <v>106</v>
      </c>
      <c r="BW1" s="15" t="s">
        <v>107</v>
      </c>
      <c r="BX1" s="15" t="s">
        <v>108</v>
      </c>
      <c r="BY1" s="15" t="s">
        <v>109</v>
      </c>
      <c r="BZ1" s="15" t="s">
        <v>110</v>
      </c>
      <c r="CA1" s="15" t="s">
        <v>111</v>
      </c>
      <c r="CB1" s="16" t="s">
        <v>112</v>
      </c>
      <c r="CD1" s="24" t="s">
        <v>277</v>
      </c>
    </row>
    <row r="2" spans="1:82" x14ac:dyDescent="0.35">
      <c r="A2" s="17" t="s">
        <v>113</v>
      </c>
      <c r="B2" s="17" t="s">
        <v>114</v>
      </c>
      <c r="C2" s="17"/>
      <c r="D2" s="18">
        <f>raw_data!$D2*$C2/100</f>
        <v>0</v>
      </c>
      <c r="E2" s="18">
        <f>raw_data!$E2*$C2/100</f>
        <v>0</v>
      </c>
      <c r="F2" s="18">
        <f>raw_data!$F2*$E2/100</f>
        <v>0</v>
      </c>
      <c r="G2" s="18">
        <f>raw_data!$G2*$E2/100</f>
        <v>0</v>
      </c>
      <c r="H2" s="18">
        <v>20.70736708968014</v>
      </c>
      <c r="I2" s="18">
        <v>558.22694799590352</v>
      </c>
      <c r="J2" s="18">
        <f>raw_data!$J2*mass_composition!$E2/100</f>
        <v>0</v>
      </c>
      <c r="K2" s="18">
        <f>raw_data!$K2*mass_composition!$E2/100</f>
        <v>0</v>
      </c>
      <c r="L2" s="18">
        <f>raw_data!$L2*mass_composition!$E2/100</f>
        <v>0</v>
      </c>
      <c r="M2" s="18">
        <f>raw_data!$M2*mass_composition!$E2/100</f>
        <v>0</v>
      </c>
      <c r="N2" s="18">
        <f>raw_data!$N2*mass_composition!$E2/100</f>
        <v>0</v>
      </c>
      <c r="O2" s="18">
        <f>raw_data!$O2*mass_composition!$E2/100</f>
        <v>0</v>
      </c>
      <c r="P2" s="18">
        <f>raw_data!$P2*mass_composition!$E2/100</f>
        <v>0</v>
      </c>
      <c r="Q2" s="18">
        <f>raw_data!$Q2*mass_composition!$E2/100</f>
        <v>0</v>
      </c>
      <c r="R2" s="18">
        <f>raw_data!$R2*mass_composition!$E2/100</f>
        <v>0</v>
      </c>
      <c r="S2" s="18">
        <f>raw_data!$S2*mass_composition!$E2/100</f>
        <v>0</v>
      </c>
      <c r="T2" s="18">
        <f>raw_data!$T2*mass_composition!$E2/100</f>
        <v>0</v>
      </c>
      <c r="U2" s="18">
        <f>raw_data!$U2*mass_composition!$E2/100</f>
        <v>0</v>
      </c>
      <c r="V2" s="18">
        <f>raw_data!$V2*mass_composition!$E2/100</f>
        <v>0</v>
      </c>
      <c r="W2" s="18">
        <f>raw_data!$W2*mass_composition!$E2/100</f>
        <v>0</v>
      </c>
      <c r="X2" s="18">
        <f>raw_data!$X2*mass_composition!$E2/100</f>
        <v>0</v>
      </c>
      <c r="Y2" s="18">
        <f>raw_data!$Y2*mass_composition!$E2/100</f>
        <v>0</v>
      </c>
      <c r="Z2" s="18">
        <f>raw_data!$Z2*mass_composition!$E2/100</f>
        <v>0</v>
      </c>
      <c r="AA2" s="18">
        <f>raw_data!$AA2*mass_composition!$E2/100</f>
        <v>0</v>
      </c>
      <c r="AB2" s="18">
        <f>raw_data!$AB2*mass_composition!$E2/100</f>
        <v>0</v>
      </c>
      <c r="AC2" s="18">
        <f>raw_data!$AC2*mass_composition!$E2/100</f>
        <v>0</v>
      </c>
      <c r="AD2" s="18">
        <f>raw_data!$AD2*mass_composition!$E2/100</f>
        <v>0</v>
      </c>
      <c r="AE2" s="18">
        <f>raw_data!$AE2*mass_composition!$E2/100</f>
        <v>0</v>
      </c>
      <c r="AF2" s="18">
        <f>raw_data!$AF2*mass_composition!$E2/100</f>
        <v>0</v>
      </c>
      <c r="AG2" s="18">
        <f>raw_data!$AG2*mass_composition!$E2/100</f>
        <v>0</v>
      </c>
      <c r="AH2" s="18">
        <f>raw_data!$AH2*mass_composition!$E2/100</f>
        <v>0</v>
      </c>
      <c r="AI2" s="18">
        <f>raw_data!$AI2*mass_composition!$E2/100</f>
        <v>0</v>
      </c>
      <c r="AJ2" s="18">
        <f>raw_data!$AJ2*mass_composition!$E2/100</f>
        <v>0</v>
      </c>
      <c r="AK2" s="18">
        <f>raw_data!$AK2*mass_composition!$E2/100</f>
        <v>0</v>
      </c>
      <c r="AL2" s="18">
        <f>raw_data!$AL2*mass_composition!$E2/100</f>
        <v>0</v>
      </c>
      <c r="AM2" s="18">
        <f>raw_data!$AM2*mass_composition!$E2/100</f>
        <v>0</v>
      </c>
      <c r="AN2" s="18">
        <f>raw_data!$AN2*mass_composition!$E2/100</f>
        <v>0</v>
      </c>
      <c r="AO2" s="18">
        <f>raw_data!$AO2*mass_composition!$E2/100</f>
        <v>0</v>
      </c>
      <c r="AP2" s="18">
        <f>raw_data!$AP2*mass_composition!$E2/100</f>
        <v>0</v>
      </c>
      <c r="AQ2" s="18">
        <f>raw_data!$AQ2*mass_composition!$E2/100</f>
        <v>0</v>
      </c>
      <c r="AR2" s="18">
        <f>raw_data!$AR2*mass_composition!$E2/100</f>
        <v>0</v>
      </c>
      <c r="AS2" s="18">
        <f>raw_data!$AS2*mass_composition!$E2/100</f>
        <v>0</v>
      </c>
      <c r="AT2" s="18">
        <f>raw_data!$AT2*mass_composition!$E2/100</f>
        <v>0</v>
      </c>
      <c r="AU2" s="18">
        <f>raw_data!$AU2*mass_composition!$E2/100</f>
        <v>0</v>
      </c>
      <c r="AV2" s="18">
        <f>raw_data!$AV2*mass_composition!$E2/100</f>
        <v>0</v>
      </c>
      <c r="AW2" s="18">
        <f>raw_data!$AW2*mass_composition!$E2/100</f>
        <v>0</v>
      </c>
      <c r="AX2" s="18">
        <f>raw_data!$AX2*mass_composition!$E2/100</f>
        <v>0</v>
      </c>
      <c r="AY2" s="18">
        <f>raw_data!$AY2*mass_composition!$E2/100</f>
        <v>0</v>
      </c>
      <c r="AZ2" s="18">
        <f>raw_data!$AZ2*mass_composition!$E2/100</f>
        <v>0</v>
      </c>
      <c r="BA2" s="18">
        <f>raw_data!$BA2*mass_composition!$E2/100</f>
        <v>0</v>
      </c>
      <c r="BB2" s="18">
        <f>raw_data!$BB2*mass_composition!$E2/100</f>
        <v>0</v>
      </c>
      <c r="BC2" s="18">
        <f>raw_data!$BC2*mass_composition!$E2/100</f>
        <v>0</v>
      </c>
      <c r="BD2" s="18">
        <f>raw_data!$BD2*mass_composition!$E2/100</f>
        <v>0</v>
      </c>
      <c r="BE2" s="18">
        <f>raw_data!$BE2*mass_composition!$E2/100</f>
        <v>0</v>
      </c>
      <c r="BF2" s="18">
        <f>raw_data!$BF2*mass_composition!$E2/100</f>
        <v>0</v>
      </c>
      <c r="BG2" s="18">
        <f>raw_data!$BG2*mass_composition!$E2/100</f>
        <v>0</v>
      </c>
      <c r="BH2" s="18">
        <f>raw_data!$BF2*mass_composition!$E2/100</f>
        <v>0</v>
      </c>
      <c r="BI2" s="18">
        <f>raw_data!$BF2*mass_composition!$E2/100</f>
        <v>0</v>
      </c>
      <c r="BJ2" s="18">
        <f>raw_data!$BF2*mass_composition!$E2/100</f>
        <v>0</v>
      </c>
      <c r="BK2" s="18">
        <f>raw_data!$BK2*$E2/100</f>
        <v>0</v>
      </c>
      <c r="BL2" s="18">
        <f>raw_data!$BL2*$E2/100</f>
        <v>0</v>
      </c>
      <c r="BM2" s="18">
        <v>0</v>
      </c>
      <c r="BN2" s="18">
        <f>raw_data!$BN2*$E2/100</f>
        <v>0</v>
      </c>
      <c r="BO2" s="18">
        <f>raw_data!$BO2*$E2/100</f>
        <v>0</v>
      </c>
      <c r="BP2" s="18">
        <f>raw_data!$BP2*$E2/100</f>
        <v>0</v>
      </c>
      <c r="BQ2" s="18">
        <v>0</v>
      </c>
      <c r="BR2" s="18">
        <f>raw_data!$BR2*$E2/100</f>
        <v>0</v>
      </c>
      <c r="BS2" s="18">
        <v>20.761268235800305</v>
      </c>
      <c r="BT2" s="18">
        <v>1.6842894285206502</v>
      </c>
      <c r="BU2" s="18">
        <v>0.65699032366239918</v>
      </c>
      <c r="BV2" s="18">
        <v>1.3474234283559927</v>
      </c>
      <c r="BW2" s="18">
        <v>0.78243837633048074</v>
      </c>
      <c r="BX2" s="18">
        <v>0.52431827900145411</v>
      </c>
      <c r="BY2" s="18">
        <v>25.097917427567907</v>
      </c>
      <c r="BZ2" s="18">
        <v>21.015834387354527</v>
      </c>
      <c r="CA2" s="18">
        <v>0</v>
      </c>
      <c r="CB2" s="19">
        <v>13.900910878664508</v>
      </c>
    </row>
    <row r="3" spans="1:82" x14ac:dyDescent="0.35">
      <c r="A3" s="17" t="s">
        <v>113</v>
      </c>
      <c r="B3" s="17" t="s">
        <v>115</v>
      </c>
      <c r="C3" s="17"/>
      <c r="D3" s="18">
        <f>raw_data!$D3*$C3/100</f>
        <v>0</v>
      </c>
      <c r="E3" s="18">
        <f>raw_data!$E3*$C3/100</f>
        <v>0</v>
      </c>
      <c r="F3" s="18">
        <f>raw_data!$F3*$E3/100</f>
        <v>0</v>
      </c>
      <c r="G3" s="18">
        <f>raw_data!$G3*$E3/100</f>
        <v>0</v>
      </c>
      <c r="H3" s="18">
        <v>20.496506679221739</v>
      </c>
      <c r="I3" s="18">
        <v>557.00194395160145</v>
      </c>
      <c r="J3" s="18">
        <f>raw_data!$J3*mass_composition!$E3/100</f>
        <v>0</v>
      </c>
      <c r="K3" s="18">
        <f>raw_data!$K3*mass_composition!$E3/100</f>
        <v>0</v>
      </c>
      <c r="L3" s="18">
        <f>raw_data!$L3*mass_composition!$E3/100</f>
        <v>0</v>
      </c>
      <c r="M3" s="18">
        <f>raw_data!$M3*mass_composition!$E3/100</f>
        <v>0</v>
      </c>
      <c r="N3" s="18">
        <f>raw_data!$N3*mass_composition!$E3/100</f>
        <v>0</v>
      </c>
      <c r="O3" s="18">
        <f>raw_data!$O3*mass_composition!$E3/100</f>
        <v>0</v>
      </c>
      <c r="P3" s="18">
        <f>raw_data!$P3*mass_composition!$E3/100</f>
        <v>0</v>
      </c>
      <c r="Q3" s="18">
        <f>raw_data!$Q3*mass_composition!$E3/100</f>
        <v>0</v>
      </c>
      <c r="R3" s="18">
        <f>raw_data!$R3*mass_composition!$E3/100</f>
        <v>0</v>
      </c>
      <c r="S3" s="18">
        <f>raw_data!$S3*mass_composition!$E3/100</f>
        <v>0</v>
      </c>
      <c r="T3" s="18">
        <f>raw_data!$T3*mass_composition!$E3/100</f>
        <v>0</v>
      </c>
      <c r="U3" s="18">
        <f>raw_data!$U3*mass_composition!$E3/100</f>
        <v>0</v>
      </c>
      <c r="V3" s="18">
        <f>raw_data!$V3*mass_composition!$E3/100</f>
        <v>0</v>
      </c>
      <c r="W3" s="18">
        <f>raw_data!$W3*mass_composition!$E3/100</f>
        <v>0</v>
      </c>
      <c r="X3" s="18">
        <f>raw_data!$X3*mass_composition!$E3/100</f>
        <v>0</v>
      </c>
      <c r="Y3" s="18">
        <f>raw_data!$Y3*mass_composition!$E3/100</f>
        <v>0</v>
      </c>
      <c r="Z3" s="18">
        <f>raw_data!$Z3*mass_composition!$E3/100</f>
        <v>0</v>
      </c>
      <c r="AA3" s="18">
        <f>raw_data!$AA3*mass_composition!$E3/100</f>
        <v>0</v>
      </c>
      <c r="AB3" s="18">
        <f>raw_data!$AB3*mass_composition!$E3/100</f>
        <v>0</v>
      </c>
      <c r="AC3" s="18">
        <f>raw_data!$AC3*mass_composition!$E3/100</f>
        <v>0</v>
      </c>
      <c r="AD3" s="18">
        <f>raw_data!$AD3*mass_composition!$E3/100</f>
        <v>0</v>
      </c>
      <c r="AE3" s="18">
        <f>raw_data!$AE3*mass_composition!$E3/100</f>
        <v>0</v>
      </c>
      <c r="AF3" s="18">
        <f>raw_data!$AF3*mass_composition!$E3/100</f>
        <v>0</v>
      </c>
      <c r="AG3" s="18">
        <f>raw_data!$AG3*mass_composition!$E3/100</f>
        <v>0</v>
      </c>
      <c r="AH3" s="18">
        <f>raw_data!$AH3*mass_composition!$E3/100</f>
        <v>0</v>
      </c>
      <c r="AI3" s="18">
        <f>raw_data!$AI3*mass_composition!$E3/100</f>
        <v>0</v>
      </c>
      <c r="AJ3" s="18">
        <f>raw_data!$AJ3*mass_composition!$E3/100</f>
        <v>0</v>
      </c>
      <c r="AK3" s="18">
        <f>raw_data!$AK3*mass_composition!$E3/100</f>
        <v>0</v>
      </c>
      <c r="AL3" s="18">
        <f>raw_data!$AL3*mass_composition!$E3/100</f>
        <v>0</v>
      </c>
      <c r="AM3" s="18">
        <f>raw_data!$AM3*mass_composition!$E3/100</f>
        <v>0</v>
      </c>
      <c r="AN3" s="18">
        <f>raw_data!$AN3*mass_composition!$E3/100</f>
        <v>0</v>
      </c>
      <c r="AO3" s="18">
        <f>raw_data!$AO3*mass_composition!$E3/100</f>
        <v>0</v>
      </c>
      <c r="AP3" s="18">
        <f>raw_data!$AP3*mass_composition!$E3/100</f>
        <v>0</v>
      </c>
      <c r="AQ3" s="18">
        <f>raw_data!$AQ3*mass_composition!$E3/100</f>
        <v>0</v>
      </c>
      <c r="AR3" s="18">
        <f>raw_data!$AR3*mass_composition!$E3/100</f>
        <v>0</v>
      </c>
      <c r="AS3" s="18">
        <f>raw_data!$AS3*mass_composition!$E3/100</f>
        <v>0</v>
      </c>
      <c r="AT3" s="18">
        <f>raw_data!$AT3*mass_composition!$E3/100</f>
        <v>0</v>
      </c>
      <c r="AU3" s="18">
        <f>raw_data!$AU3*mass_composition!$E3/100</f>
        <v>0</v>
      </c>
      <c r="AV3" s="18">
        <f>raw_data!$AV3*mass_composition!$E3/100</f>
        <v>0</v>
      </c>
      <c r="AW3" s="18">
        <f>raw_data!$AW3*mass_composition!$E3/100</f>
        <v>0</v>
      </c>
      <c r="AX3" s="18">
        <f>raw_data!$AX3*mass_composition!$E3/100</f>
        <v>0</v>
      </c>
      <c r="AY3" s="18">
        <f>raw_data!$AY3*mass_composition!$E3/100</f>
        <v>0</v>
      </c>
      <c r="AZ3" s="18">
        <f>raw_data!$AZ3*mass_composition!$E3/100</f>
        <v>0</v>
      </c>
      <c r="BA3" s="18">
        <f>raw_data!$BA3*mass_composition!$E3/100</f>
        <v>0</v>
      </c>
      <c r="BB3" s="18">
        <f>raw_data!$BB3*mass_composition!$E3/100</f>
        <v>0</v>
      </c>
      <c r="BC3" s="18">
        <f>raw_data!$BC3*mass_composition!$E3/100</f>
        <v>0</v>
      </c>
      <c r="BD3" s="18">
        <f>raw_data!$BD3*mass_composition!$E3/100</f>
        <v>0</v>
      </c>
      <c r="BE3" s="18">
        <f>raw_data!$BE3*mass_composition!$E3/100</f>
        <v>0</v>
      </c>
      <c r="BF3" s="18">
        <f>raw_data!$BF3*mass_composition!$E3/100</f>
        <v>0</v>
      </c>
      <c r="BG3" s="18">
        <f>raw_data!$BG3*mass_composition!$E3/100</f>
        <v>0</v>
      </c>
      <c r="BH3" s="18">
        <v>0</v>
      </c>
      <c r="BI3" s="18">
        <v>9.443242670268063</v>
      </c>
      <c r="BJ3" s="18">
        <v>5.1971607594340359</v>
      </c>
      <c r="BK3" s="18">
        <f>raw_data!$BK3*$E3/100</f>
        <v>0</v>
      </c>
      <c r="BL3" s="18">
        <f>raw_data!$BL3*$E3/100</f>
        <v>0</v>
      </c>
      <c r="BM3" s="18">
        <v>0</v>
      </c>
      <c r="BN3" s="18">
        <f>raw_data!$BN3*$E3/100</f>
        <v>0</v>
      </c>
      <c r="BO3" s="18">
        <f>raw_data!$BO3*$E3/100</f>
        <v>0</v>
      </c>
      <c r="BP3" s="18">
        <f>raw_data!$BP3*$E3/100</f>
        <v>0</v>
      </c>
      <c r="BQ3" s="18">
        <v>0</v>
      </c>
      <c r="BR3" s="18">
        <f>raw_data!$BR3*$E3/100</f>
        <v>0</v>
      </c>
      <c r="BS3" s="18">
        <v>20.739432435737857</v>
      </c>
      <c r="BT3" s="18">
        <v>1.682101702310058</v>
      </c>
      <c r="BU3" s="18">
        <v>0.39084313509948343</v>
      </c>
      <c r="BV3" s="18">
        <v>1.3182642629438277</v>
      </c>
      <c r="BW3" s="18">
        <v>0.43693957191538807</v>
      </c>
      <c r="BX3" s="18">
        <v>0.98645746635468534</v>
      </c>
      <c r="BY3" s="18">
        <v>12.569096562446017</v>
      </c>
      <c r="BZ3" s="18">
        <v>21.204440130018963</v>
      </c>
      <c r="CA3" s="18">
        <v>0</v>
      </c>
      <c r="CB3" s="19">
        <v>52.662290384768028</v>
      </c>
    </row>
    <row r="4" spans="1:82" x14ac:dyDescent="0.35">
      <c r="A4" s="17" t="s">
        <v>113</v>
      </c>
      <c r="B4" s="17" t="s">
        <v>116</v>
      </c>
      <c r="C4" s="17">
        <f>26.0249554367201/3</f>
        <v>8.6749851455733662</v>
      </c>
      <c r="D4" s="18">
        <f>raw_data!$D4*$C4/100</f>
        <v>2.4926123984947473</v>
      </c>
      <c r="E4" s="18">
        <f>raw_data!$E4*$C4/100</f>
        <v>6.1823727470786185</v>
      </c>
      <c r="F4" s="18">
        <f>raw_data!$F4*$E4/100</f>
        <v>6.1151593885113185</v>
      </c>
      <c r="G4" s="18">
        <f>raw_data!$G4*$E4/100</f>
        <v>6.7213358567301387E-2</v>
      </c>
      <c r="H4" s="18">
        <v>16.627433191921021</v>
      </c>
      <c r="I4" s="18">
        <v>439.60033976579871</v>
      </c>
      <c r="J4" s="18">
        <f>raw_data!$J4*mass_composition!$E4/100</f>
        <v>2.7513989641063774</v>
      </c>
      <c r="K4" s="18">
        <f>raw_data!$K4*mass_composition!$E4/100</f>
        <v>2.7492377385202489</v>
      </c>
      <c r="L4" s="18">
        <f>raw_data!$L4*mass_composition!$E4/100</f>
        <v>0</v>
      </c>
      <c r="M4" s="18">
        <f>raw_data!$M4*mass_composition!$E4/100</f>
        <v>2.0497237766558072E-3</v>
      </c>
      <c r="N4" s="18">
        <f>raw_data!$N4*mass_composition!$E4/100</f>
        <v>0</v>
      </c>
      <c r="O4" s="18">
        <f>raw_data!$O4*mass_composition!$E4/100</f>
        <v>0</v>
      </c>
      <c r="P4" s="18">
        <f>raw_data!$P4*mass_composition!$E4/100</f>
        <v>0.39828827598024974</v>
      </c>
      <c r="Q4" s="18">
        <f>raw_data!$Q4*mass_composition!$E4/100</f>
        <v>2.0959797909278044E-2</v>
      </c>
      <c r="R4" s="18">
        <f>raw_data!$R4*mass_composition!$E4/100</f>
        <v>0.15688310089185165</v>
      </c>
      <c r="S4" s="18">
        <f>raw_data!$S4*mass_composition!$E4/100</f>
        <v>2.8557602259489021E-4</v>
      </c>
      <c r="T4" s="18">
        <f>raw_data!$T4*mass_composition!$E4/100</f>
        <v>2.8083753451246656</v>
      </c>
      <c r="U4" s="18">
        <f>raw_data!$U4*mass_composition!$E4/100</f>
        <v>1.4755440673176745E-2</v>
      </c>
      <c r="V4" s="18">
        <f>raw_data!$V4*mass_composition!$E4/100</f>
        <v>3.1738127883286983E-2</v>
      </c>
      <c r="W4" s="18">
        <f>raw_data!$W4*mass_composition!$E4/100</f>
        <v>0</v>
      </c>
      <c r="X4" s="18">
        <f>raw_data!$X4*mass_composition!$E4/100</f>
        <v>0</v>
      </c>
      <c r="Y4" s="18">
        <f>raw_data!$Y4*mass_composition!$E4/100</f>
        <v>0</v>
      </c>
      <c r="Z4" s="18">
        <f>raw_data!$Z4*mass_composition!$E4/100</f>
        <v>4.1352144063517398E-8</v>
      </c>
      <c r="AA4" s="18">
        <f>raw_data!$AA4*mass_composition!$E4/100</f>
        <v>0</v>
      </c>
      <c r="AB4" s="18">
        <f>raw_data!$AB4*mass_composition!$E4/100</f>
        <v>0</v>
      </c>
      <c r="AC4" s="18">
        <f>raw_data!$AC4*mass_composition!$E4/100</f>
        <v>0</v>
      </c>
      <c r="AD4" s="18">
        <f>raw_data!$AD4*mass_composition!$E4/100</f>
        <v>0</v>
      </c>
      <c r="AE4" s="18">
        <f>raw_data!$AE4*mass_composition!$E4/100</f>
        <v>0</v>
      </c>
      <c r="AF4" s="18">
        <f>raw_data!$AF4*mass_composition!$E4/100</f>
        <v>0</v>
      </c>
      <c r="AG4" s="18">
        <f>raw_data!$AG4*mass_composition!$E4/100</f>
        <v>1.2280364123143043E-7</v>
      </c>
      <c r="AH4" s="18">
        <f>raw_data!$AH4*mass_composition!$E4/100</f>
        <v>0</v>
      </c>
      <c r="AI4" s="18">
        <f>raw_data!$AI4*mass_composition!$E4/100</f>
        <v>2.2048262962788883E-7</v>
      </c>
      <c r="AJ4" s="18">
        <f>raw_data!$AJ4*mass_composition!$E4/100</f>
        <v>2.1357569088912956E-5</v>
      </c>
      <c r="AK4" s="18">
        <f>raw_data!$AK4*mass_composition!$E4/100</f>
        <v>1.6752348984317437E-4</v>
      </c>
      <c r="AL4" s="18">
        <f>raw_data!$AL4*mass_composition!$E4/100</f>
        <v>0</v>
      </c>
      <c r="AM4" s="18">
        <f>raw_data!$AM4*mass_composition!$E4/100</f>
        <v>9.9972216417294814E-9</v>
      </c>
      <c r="AN4" s="18">
        <f>raw_data!$AN4*mass_composition!$E4/100</f>
        <v>0</v>
      </c>
      <c r="AO4" s="18">
        <f>raw_data!$AO4*mass_composition!$E4/100</f>
        <v>0</v>
      </c>
      <c r="AP4" s="18">
        <f>raw_data!$AP4*mass_composition!$E4/100</f>
        <v>2.9289592474268222E-3</v>
      </c>
      <c r="AQ4" s="18">
        <f>raw_data!$AQ4*mass_composition!$E4/100</f>
        <v>3.7437856571131747E-5</v>
      </c>
      <c r="AR4" s="18">
        <f>raw_data!$AR4*mass_composition!$E4/100</f>
        <v>8.9792452364952311E-7</v>
      </c>
      <c r="AS4" s="18">
        <f>raw_data!$AS4*mass_composition!$E4/100</f>
        <v>3.0038864263928912E-7</v>
      </c>
      <c r="AT4" s="18">
        <f>raw_data!$AT4*mass_composition!$E4/100</f>
        <v>8.190089512719718E-8</v>
      </c>
      <c r="AU4" s="18">
        <f>raw_data!$AU4*mass_composition!$E4/100</f>
        <v>0</v>
      </c>
      <c r="AV4" s="18">
        <f>raw_data!$AV4*mass_composition!$E4/100</f>
        <v>0</v>
      </c>
      <c r="AW4" s="18">
        <f>raw_data!$AW4*mass_composition!$E4/100</f>
        <v>0</v>
      </c>
      <c r="AX4" s="18">
        <f>raw_data!$AX4*mass_composition!$E4/100</f>
        <v>2.6852953566119968E-7</v>
      </c>
      <c r="AY4" s="18">
        <f>raw_data!$AY4*mass_composition!$E4/100</f>
        <v>0</v>
      </c>
      <c r="AZ4" s="18">
        <f>raw_data!$AZ4*mass_composition!$E4/100</f>
        <v>0</v>
      </c>
      <c r="BA4" s="18">
        <f>raw_data!$BA4*mass_composition!$E4/100</f>
        <v>0</v>
      </c>
      <c r="BB4" s="18">
        <f>raw_data!$BB4*mass_composition!$E4/100</f>
        <v>0</v>
      </c>
      <c r="BC4" s="18">
        <f>raw_data!$BC4*mass_composition!$E4/100</f>
        <v>0</v>
      </c>
      <c r="BD4" s="18">
        <f>raw_data!$BD4*mass_composition!$E4/100</f>
        <v>0</v>
      </c>
      <c r="BE4" s="18">
        <f>raw_data!$BE4*mass_composition!$E4/100</f>
        <v>8.8798002467340811E-5</v>
      </c>
      <c r="BF4" s="18">
        <f>raw_data!$BF4*mass_composition!$E4/100</f>
        <v>0</v>
      </c>
      <c r="BG4" s="18">
        <f>raw_data!$BG4*mass_composition!$E4/100</f>
        <v>0</v>
      </c>
      <c r="BH4" s="18">
        <v>0</v>
      </c>
      <c r="BI4" s="18">
        <v>0</v>
      </c>
      <c r="BJ4" s="18">
        <v>54.724265328949599</v>
      </c>
      <c r="BK4" s="18">
        <f>raw_data!$BK4*$E4/100</f>
        <v>0</v>
      </c>
      <c r="BL4" s="18">
        <f>raw_data!$BL4*$E4/100</f>
        <v>0</v>
      </c>
      <c r="BM4" s="18">
        <v>0</v>
      </c>
      <c r="BN4" s="18">
        <f>raw_data!$BN4*$E4/100</f>
        <v>3.0859825324648722E-3</v>
      </c>
      <c r="BO4" s="18">
        <f>raw_data!$BO4*$E4/100</f>
        <v>0.89380217492899883</v>
      </c>
      <c r="BP4" s="18">
        <f>raw_data!$BP4*$E4/100</f>
        <v>0.13216466371943497</v>
      </c>
      <c r="BQ4" s="18">
        <v>0</v>
      </c>
      <c r="BR4" s="18">
        <f>raw_data!$BR4*$E4/100</f>
        <v>5.0891925498628829</v>
      </c>
      <c r="BS4" s="18">
        <v>18.000148747364999</v>
      </c>
      <c r="BT4" s="18">
        <v>1.411171409133809</v>
      </c>
      <c r="BU4" s="18">
        <v>0</v>
      </c>
      <c r="BV4" s="18">
        <v>0</v>
      </c>
      <c r="BW4" s="18">
        <v>0</v>
      </c>
      <c r="BX4" s="18">
        <v>0</v>
      </c>
      <c r="BY4" s="18">
        <v>0</v>
      </c>
      <c r="BZ4" s="18">
        <v>16.635650429933417</v>
      </c>
      <c r="CA4" s="18">
        <v>0</v>
      </c>
      <c r="CB4" s="19">
        <v>27.543607790376271</v>
      </c>
    </row>
    <row r="5" spans="1:82" x14ac:dyDescent="0.35">
      <c r="A5" s="17" t="s">
        <v>113</v>
      </c>
      <c r="B5" s="17" t="s">
        <v>117</v>
      </c>
      <c r="C5" s="17">
        <f>26.0249554367201/3</f>
        <v>8.6749851455733662</v>
      </c>
      <c r="D5" s="18">
        <f>raw_data!$D5*$C5/100</f>
        <v>0.92326627620745116</v>
      </c>
      <c r="E5" s="18">
        <f>raw_data!$E5*$C5/100</f>
        <v>7.7517188693659156</v>
      </c>
      <c r="F5" s="18">
        <f>raw_data!$F5*$E5/100</f>
        <v>7.5840711805176326</v>
      </c>
      <c r="G5" s="18">
        <f>raw_data!$G5*$E5/100</f>
        <v>0.16764768884828285</v>
      </c>
      <c r="H5" s="18">
        <v>16.561772537662883</v>
      </c>
      <c r="I5" s="18">
        <v>451.67256662757444</v>
      </c>
      <c r="J5" s="18">
        <f>raw_data!$J5*mass_composition!$E5/100</f>
        <v>3.408456293856704</v>
      </c>
      <c r="K5" s="18">
        <f>raw_data!$K5*mass_composition!$E5/100</f>
        <v>3.3993129709046559</v>
      </c>
      <c r="L5" s="18">
        <f>raw_data!$L5*mass_composition!$E5/100</f>
        <v>0</v>
      </c>
      <c r="M5" s="18">
        <f>raw_data!$M5*mass_composition!$E5/100</f>
        <v>2.7220715177438248E-3</v>
      </c>
      <c r="N5" s="18">
        <f>raw_data!$N5*mass_composition!$E5/100</f>
        <v>0</v>
      </c>
      <c r="O5" s="18">
        <f>raw_data!$O5*mass_composition!$E5/100</f>
        <v>0</v>
      </c>
      <c r="P5" s="18">
        <f>raw_data!$P5*mass_composition!$E5/100</f>
        <v>0.50531749977419904</v>
      </c>
      <c r="Q5" s="18">
        <f>raw_data!$Q5*mass_composition!$E5/100</f>
        <v>2.5815782017497749E-2</v>
      </c>
      <c r="R5" s="18">
        <f>raw_data!$R5*mass_composition!$E5/100</f>
        <v>0.10558898749248127</v>
      </c>
      <c r="S5" s="18">
        <f>raw_data!$S5*mass_composition!$E5/100</f>
        <v>1.6086702575104114E-4</v>
      </c>
      <c r="T5" s="18">
        <f>raw_data!$T5*mass_composition!$E5/100</f>
        <v>3.5590590733698018</v>
      </c>
      <c r="U5" s="18">
        <f>raw_data!$U5*mass_composition!$E5/100</f>
        <v>3.2781087323010702E-2</v>
      </c>
      <c r="V5" s="18">
        <f>raw_data!$V5*mass_composition!$E5/100</f>
        <v>2.2473377852118562E-2</v>
      </c>
      <c r="W5" s="18">
        <f>raw_data!$W5*mass_composition!$E5/100</f>
        <v>0</v>
      </c>
      <c r="X5" s="18">
        <f>raw_data!$X5*mass_composition!$E5/100</f>
        <v>0</v>
      </c>
      <c r="Y5" s="18">
        <f>raw_data!$Y5*mass_composition!$E5/100</f>
        <v>0</v>
      </c>
      <c r="Z5" s="18">
        <f>raw_data!$Z5*mass_composition!$E5/100</f>
        <v>6.4642553822703814E-7</v>
      </c>
      <c r="AA5" s="18">
        <f>raw_data!$AA5*mass_composition!$E5/100</f>
        <v>0</v>
      </c>
      <c r="AB5" s="18">
        <f>raw_data!$AB5*mass_composition!$E5/100</f>
        <v>0</v>
      </c>
      <c r="AC5" s="18">
        <f>raw_data!$AC5*mass_composition!$E5/100</f>
        <v>0</v>
      </c>
      <c r="AD5" s="18">
        <f>raw_data!$AD5*mass_composition!$E5/100</f>
        <v>0</v>
      </c>
      <c r="AE5" s="18">
        <f>raw_data!$AE5*mass_composition!$E5/100</f>
        <v>0</v>
      </c>
      <c r="AF5" s="18">
        <f>raw_data!$AF5*mass_composition!$E5/100</f>
        <v>0</v>
      </c>
      <c r="AG5" s="18">
        <f>raw_data!$AG5*mass_composition!$E5/100</f>
        <v>9.5756110625721148E-8</v>
      </c>
      <c r="AH5" s="18">
        <f>raw_data!$AH5*mass_composition!$E5/100</f>
        <v>0</v>
      </c>
      <c r="AI5" s="18">
        <f>raw_data!$AI5*mass_composition!$E5/100</f>
        <v>5.2207109426932912E-8</v>
      </c>
      <c r="AJ5" s="18">
        <f>raw_data!$AJ5*mass_composition!$E5/100</f>
        <v>9.6943155745450475E-6</v>
      </c>
      <c r="AK5" s="18">
        <f>raw_data!$AK5*mass_composition!$E5/100</f>
        <v>2.7783428430778101E-4</v>
      </c>
      <c r="AL5" s="18">
        <f>raw_data!$AL5*mass_composition!$E5/100</f>
        <v>0</v>
      </c>
      <c r="AM5" s="18">
        <f>raw_data!$AM5*mass_composition!$E5/100</f>
        <v>1.1066901738598386E-8</v>
      </c>
      <c r="AN5" s="18">
        <f>raw_data!$AN5*mass_composition!$E5/100</f>
        <v>0</v>
      </c>
      <c r="AO5" s="18">
        <f>raw_data!$AO5*mass_composition!$E5/100</f>
        <v>0</v>
      </c>
      <c r="AP5" s="18">
        <f>raw_data!$AP5*mass_composition!$E5/100</f>
        <v>2.7964225410353509E-3</v>
      </c>
      <c r="AQ5" s="18">
        <f>raw_data!$AQ5*mass_composition!$E5/100</f>
        <v>9.6947301326300898E-5</v>
      </c>
      <c r="AR5" s="18">
        <f>raw_data!$AR5*mass_composition!$E5/100</f>
        <v>9.9456742901863375E-7</v>
      </c>
      <c r="AS5" s="18">
        <f>raw_data!$AS5*mass_composition!$E5/100</f>
        <v>1.2232959291673929E-6</v>
      </c>
      <c r="AT5" s="18">
        <f>raw_data!$AT5*mass_composition!$E5/100</f>
        <v>5.0918256481409761E-8</v>
      </c>
      <c r="AU5" s="18">
        <f>raw_data!$AU5*mass_composition!$E5/100</f>
        <v>0</v>
      </c>
      <c r="AV5" s="18">
        <f>raw_data!$AV5*mass_composition!$E5/100</f>
        <v>0</v>
      </c>
      <c r="AW5" s="18">
        <f>raw_data!$AW5*mass_composition!$E5/100</f>
        <v>0</v>
      </c>
      <c r="AX5" s="18">
        <f>raw_data!$AX5*mass_composition!$E5/100</f>
        <v>1.515983152043402E-7</v>
      </c>
      <c r="AY5" s="18">
        <f>raw_data!$AY5*mass_composition!$E5/100</f>
        <v>0</v>
      </c>
      <c r="AZ5" s="18">
        <f>raw_data!$AZ5*mass_composition!$E5/100</f>
        <v>0</v>
      </c>
      <c r="BA5" s="18">
        <f>raw_data!$BA5*mass_composition!$E5/100</f>
        <v>0</v>
      </c>
      <c r="BB5" s="18">
        <f>raw_data!$BB5*mass_composition!$E5/100</f>
        <v>0</v>
      </c>
      <c r="BC5" s="18">
        <f>raw_data!$BC5*mass_composition!$E5/100</f>
        <v>0</v>
      </c>
      <c r="BD5" s="18">
        <f>raw_data!$BD5*mass_composition!$E5/100</f>
        <v>0</v>
      </c>
      <c r="BE5" s="18">
        <f>raw_data!$BE5*mass_composition!$E5/100</f>
        <v>8.3271684501406859E-5</v>
      </c>
      <c r="BF5" s="18">
        <f>raw_data!$BF5*mass_composition!$E5/100</f>
        <v>0</v>
      </c>
      <c r="BG5" s="18">
        <f>raw_data!$BG5*mass_composition!$E5/100</f>
        <v>0</v>
      </c>
      <c r="BH5" s="18">
        <v>0</v>
      </c>
      <c r="BI5" s="18">
        <v>0</v>
      </c>
      <c r="BJ5" s="18">
        <v>23.583093283467822</v>
      </c>
      <c r="BK5" s="18">
        <f>raw_data!$BK5*$E5/100</f>
        <v>2.1261706651274092E-2</v>
      </c>
      <c r="BL5" s="18">
        <f>raw_data!$BL5*$E5/100</f>
        <v>0</v>
      </c>
      <c r="BM5" s="18">
        <v>0</v>
      </c>
      <c r="BN5" s="18">
        <f>raw_data!$BN5*$E5/100</f>
        <v>1.3055617655005909E-2</v>
      </c>
      <c r="BO5" s="18">
        <f>raw_data!$BO5*$E5/100</f>
        <v>0.63289032283477165</v>
      </c>
      <c r="BP5" s="18">
        <f>raw_data!$BP5*$E5/100</f>
        <v>0.36443440032009866</v>
      </c>
      <c r="BQ5" s="18">
        <v>0</v>
      </c>
      <c r="BR5" s="18">
        <f>raw_data!$BR5*$E5/100</f>
        <v>6.5892164472252697</v>
      </c>
      <c r="BS5" s="18">
        <v>17.79058369825308</v>
      </c>
      <c r="BT5" s="18">
        <v>1.3903426214741381</v>
      </c>
      <c r="BU5" s="18">
        <v>0</v>
      </c>
      <c r="BV5" s="18">
        <v>0</v>
      </c>
      <c r="BW5" s="18">
        <v>0</v>
      </c>
      <c r="BX5" s="18">
        <v>0</v>
      </c>
      <c r="BY5" s="18">
        <v>0</v>
      </c>
      <c r="BZ5" s="18">
        <v>17.159496569534323</v>
      </c>
      <c r="CA5" s="18">
        <v>0</v>
      </c>
      <c r="CB5" s="19">
        <v>60.94563180937687</v>
      </c>
      <c r="CD5" s="20"/>
    </row>
    <row r="6" spans="1:82" x14ac:dyDescent="0.35">
      <c r="A6" s="17" t="s">
        <v>113</v>
      </c>
      <c r="B6" s="17" t="s">
        <v>118</v>
      </c>
      <c r="C6" s="17">
        <f>26.0249554367201/3</f>
        <v>8.6749851455733662</v>
      </c>
      <c r="D6" s="18">
        <f>raw_data!$D6*$C6/100</f>
        <v>0.76243480557205923</v>
      </c>
      <c r="E6" s="18">
        <f>raw_data!$E6*$C6/100</f>
        <v>7.9125503400013066</v>
      </c>
      <c r="F6" s="18">
        <f>raw_data!$F6*$E6/100</f>
        <v>7.7900936531486344</v>
      </c>
      <c r="G6" s="18">
        <f>raw_data!$G6*$E6/100</f>
        <v>0.12245668685267151</v>
      </c>
      <c r="H6" s="18">
        <v>19.2058264142469</v>
      </c>
      <c r="I6" s="18">
        <v>513.99809525018293</v>
      </c>
      <c r="J6" s="18">
        <f>raw_data!$J6*mass_composition!$E6/100</f>
        <v>3.8333624346894353</v>
      </c>
      <c r="K6" s="18">
        <f>raw_data!$K6*mass_composition!$E6/100</f>
        <v>3.8230532381327862</v>
      </c>
      <c r="L6" s="18">
        <f>raw_data!$L6*mass_composition!$E6/100</f>
        <v>0</v>
      </c>
      <c r="M6" s="18">
        <f>raw_data!$M6*mass_composition!$E6/100</f>
        <v>2.0004325417082858E-3</v>
      </c>
      <c r="N6" s="18">
        <f>raw_data!$N6*mass_composition!$E6/100</f>
        <v>0</v>
      </c>
      <c r="O6" s="18">
        <f>raw_data!$O6*mass_composition!$E6/100</f>
        <v>0</v>
      </c>
      <c r="P6" s="18">
        <f>raw_data!$P6*mass_composition!$E6/100</f>
        <v>0.55640551535120208</v>
      </c>
      <c r="Q6" s="18">
        <f>raw_data!$Q6*mass_composition!$E6/100</f>
        <v>2.743992346696646E-2</v>
      </c>
      <c r="R6" s="18">
        <f>raw_data!$R6*mass_composition!$E6/100</f>
        <v>0.16586093556903156</v>
      </c>
      <c r="S6" s="18">
        <f>raw_data!$S6*mass_composition!$E6/100</f>
        <v>6.4067929575744656E-3</v>
      </c>
      <c r="T6" s="18">
        <f>raw_data!$T6*mass_composition!$E6/100</f>
        <v>3.2323411441686343</v>
      </c>
      <c r="U6" s="18">
        <f>raw_data!$U6*mass_composition!$E6/100</f>
        <v>2.2417116835657412E-2</v>
      </c>
      <c r="V6" s="18">
        <f>raw_data!$V6*mass_composition!$E6/100</f>
        <v>3.3937771501644946E-2</v>
      </c>
      <c r="W6" s="18">
        <f>raw_data!$W6*mass_composition!$E6/100</f>
        <v>0</v>
      </c>
      <c r="X6" s="18">
        <f>raw_data!$X6*mass_composition!$E6/100</f>
        <v>0</v>
      </c>
      <c r="Y6" s="18">
        <f>raw_data!$Y6*mass_composition!$E6/100</f>
        <v>0</v>
      </c>
      <c r="Z6" s="18">
        <f>raw_data!$Z6*mass_composition!$E6/100</f>
        <v>1.1656295836908176E-7</v>
      </c>
      <c r="AA6" s="18">
        <f>raw_data!$AA6*mass_composition!$E6/100</f>
        <v>0</v>
      </c>
      <c r="AB6" s="18">
        <f>raw_data!$AB6*mass_composition!$E6/100</f>
        <v>0</v>
      </c>
      <c r="AC6" s="18">
        <f>raw_data!$AC6*mass_composition!$E6/100</f>
        <v>0</v>
      </c>
      <c r="AD6" s="18">
        <f>raw_data!$AD6*mass_composition!$E6/100</f>
        <v>0</v>
      </c>
      <c r="AE6" s="18">
        <f>raw_data!$AE6*mass_composition!$E6/100</f>
        <v>0</v>
      </c>
      <c r="AF6" s="18">
        <f>raw_data!$AF6*mass_composition!$E6/100</f>
        <v>0</v>
      </c>
      <c r="AG6" s="18">
        <f>raw_data!$AG6*mass_composition!$E6/100</f>
        <v>3.7584622961045723E-7</v>
      </c>
      <c r="AH6" s="18">
        <f>raw_data!$AH6*mass_composition!$E6/100</f>
        <v>3.8987539770837702E-8</v>
      </c>
      <c r="AI6" s="18">
        <f>raw_data!$AI6*mass_composition!$E6/100</f>
        <v>7.0844495669839866E-8</v>
      </c>
      <c r="AJ6" s="18">
        <f>raw_data!$AJ6*mass_composition!$E6/100</f>
        <v>2.261000730567925E-5</v>
      </c>
      <c r="AK6" s="18">
        <f>raw_data!$AK6*mass_composition!$E6/100</f>
        <v>1.7363518152372186E-4</v>
      </c>
      <c r="AL6" s="18">
        <f>raw_data!$AL6*mass_composition!$E6/100</f>
        <v>0</v>
      </c>
      <c r="AM6" s="18">
        <f>raw_data!$AM6*mass_composition!$E6/100</f>
        <v>1.2745459697293174E-8</v>
      </c>
      <c r="AN6" s="18">
        <f>raw_data!$AN6*mass_composition!$E6/100</f>
        <v>0</v>
      </c>
      <c r="AO6" s="18">
        <f>raw_data!$AO6*mass_composition!$E6/100</f>
        <v>0</v>
      </c>
      <c r="AP6" s="18">
        <f>raw_data!$AP6*mass_composition!$E6/100</f>
        <v>6.7199388588962804E-3</v>
      </c>
      <c r="AQ6" s="18">
        <f>raw_data!$AQ6*mass_composition!$E6/100</f>
        <v>2.7712107154236954E-4</v>
      </c>
      <c r="AR6" s="18">
        <f>raw_data!$AR6*mass_composition!$E6/100</f>
        <v>9.7221312588071167E-7</v>
      </c>
      <c r="AS6" s="18">
        <f>raw_data!$AS6*mass_composition!$E6/100</f>
        <v>1.7554176703424985E-6</v>
      </c>
      <c r="AT6" s="18">
        <f>raw_data!$AT6*mass_composition!$E6/100</f>
        <v>1.2054051773142879E-7</v>
      </c>
      <c r="AU6" s="18">
        <f>raw_data!$AU6*mass_composition!$E6/100</f>
        <v>0</v>
      </c>
      <c r="AV6" s="18">
        <f>raw_data!$AV6*mass_composition!$E6/100</f>
        <v>0</v>
      </c>
      <c r="AW6" s="18">
        <f>raw_data!$AW6*mass_composition!$E6/100</f>
        <v>0</v>
      </c>
      <c r="AX6" s="18">
        <f>raw_data!$AX6*mass_composition!$E6/100</f>
        <v>1.2929088804842827E-7</v>
      </c>
      <c r="AY6" s="18">
        <f>raw_data!$AY6*mass_composition!$E6/100</f>
        <v>0</v>
      </c>
      <c r="AZ6" s="18">
        <f>raw_data!$AZ6*mass_composition!$E6/100</f>
        <v>0</v>
      </c>
      <c r="BA6" s="18">
        <f>raw_data!$BA6*mass_composition!$E6/100</f>
        <v>0</v>
      </c>
      <c r="BB6" s="18">
        <f>raw_data!$BB6*mass_composition!$E6/100</f>
        <v>0</v>
      </c>
      <c r="BC6" s="18">
        <f>raw_data!$BC6*mass_composition!$E6/100</f>
        <v>0</v>
      </c>
      <c r="BD6" s="18">
        <f>raw_data!$BD6*mass_composition!$E6/100</f>
        <v>0</v>
      </c>
      <c r="BE6" s="18">
        <f>raw_data!$BE6*mass_composition!$E6/100</f>
        <v>2.8525300919637675E-4</v>
      </c>
      <c r="BF6" s="18">
        <f>raw_data!$BF6*mass_composition!$E6/100</f>
        <v>0</v>
      </c>
      <c r="BG6" s="18">
        <f>raw_data!$BG6*mass_composition!$E6/100</f>
        <v>0</v>
      </c>
      <c r="BH6" s="18">
        <v>0</v>
      </c>
      <c r="BI6" s="18">
        <v>0.26455857693197066</v>
      </c>
      <c r="BJ6" s="18">
        <v>34.328418916917762</v>
      </c>
      <c r="BK6" s="18">
        <f>raw_data!$BK6*$E6/100</f>
        <v>6.7565776666038677E-2</v>
      </c>
      <c r="BL6" s="18">
        <f>raw_data!$BL6*$E6/100</f>
        <v>0</v>
      </c>
      <c r="BM6" s="18">
        <v>0</v>
      </c>
      <c r="BN6" s="18">
        <f>raw_data!$BN6*$E6/100</f>
        <v>1.4720351592061021E-2</v>
      </c>
      <c r="BO6" s="18">
        <f>raw_data!$BO6*$E6/100</f>
        <v>0.95574805457845191</v>
      </c>
      <c r="BP6" s="18">
        <f>raw_data!$BP6*$E6/100</f>
        <v>1.1782742786306226</v>
      </c>
      <c r="BQ6" s="18">
        <v>0</v>
      </c>
      <c r="BR6" s="18">
        <f>raw_data!$BR6*$E6/100</f>
        <v>5.6550901008993826</v>
      </c>
      <c r="BS6" s="18">
        <v>19.789689023585765</v>
      </c>
      <c r="BT6" s="18">
        <v>1.58803885645458</v>
      </c>
      <c r="BU6" s="18">
        <v>0</v>
      </c>
      <c r="BV6" s="18">
        <v>0</v>
      </c>
      <c r="BW6" s="18">
        <v>0</v>
      </c>
      <c r="BX6" s="18">
        <v>0</v>
      </c>
      <c r="BY6" s="18">
        <v>2.1342739514704969</v>
      </c>
      <c r="BZ6" s="18">
        <v>19.095712029395678</v>
      </c>
      <c r="CA6" s="18">
        <v>0</v>
      </c>
      <c r="CB6" s="19">
        <v>35.849357179253154</v>
      </c>
    </row>
    <row r="7" spans="1:82" x14ac:dyDescent="0.35">
      <c r="A7" s="17" t="s">
        <v>113</v>
      </c>
      <c r="B7" s="17" t="s">
        <v>119</v>
      </c>
      <c r="C7" s="17"/>
      <c r="D7" s="18">
        <f>raw_data!$D7*$C7/100</f>
        <v>0</v>
      </c>
      <c r="E7" s="18">
        <f>raw_data!$E7*$C7/100</f>
        <v>0</v>
      </c>
      <c r="F7" s="18">
        <f>raw_data!$F7*$E7/100</f>
        <v>0</v>
      </c>
      <c r="G7" s="18">
        <f>raw_data!$G7*$E7/100</f>
        <v>0</v>
      </c>
      <c r="H7" s="18">
        <v>19.347023266837258</v>
      </c>
      <c r="I7" s="18">
        <v>539.46658293396172</v>
      </c>
      <c r="J7" s="18">
        <f>raw_data!$J7*mass_composition!$E7/100</f>
        <v>0</v>
      </c>
      <c r="K7" s="18">
        <f>raw_data!$K7*mass_composition!$E7/100</f>
        <v>0</v>
      </c>
      <c r="L7" s="18">
        <f>raw_data!$L7*mass_composition!$E7/100</f>
        <v>0</v>
      </c>
      <c r="M7" s="18">
        <f>raw_data!$M7*mass_composition!$E7/100</f>
        <v>0</v>
      </c>
      <c r="N7" s="18">
        <f>raw_data!$N7*mass_composition!$E7/100</f>
        <v>0</v>
      </c>
      <c r="O7" s="18">
        <f>raw_data!$O7*mass_composition!$E7/100</f>
        <v>0</v>
      </c>
      <c r="P7" s="18">
        <f>raw_data!$P7*mass_composition!$E7/100</f>
        <v>0</v>
      </c>
      <c r="Q7" s="18">
        <f>raw_data!$Q7*mass_composition!$E7/100</f>
        <v>0</v>
      </c>
      <c r="R7" s="18">
        <f>raw_data!$R7*mass_composition!$E7/100</f>
        <v>0</v>
      </c>
      <c r="S7" s="18">
        <f>raw_data!$S7*mass_composition!$E7/100</f>
        <v>0</v>
      </c>
      <c r="T7" s="18">
        <f>raw_data!$T7*mass_composition!$E7/100</f>
        <v>0</v>
      </c>
      <c r="U7" s="18">
        <f>raw_data!$U7*mass_composition!$E7/100</f>
        <v>0</v>
      </c>
      <c r="V7" s="18">
        <f>raw_data!$V7*mass_composition!$E7/100</f>
        <v>0</v>
      </c>
      <c r="W7" s="18">
        <f>raw_data!$W7*mass_composition!$E7/100</f>
        <v>0</v>
      </c>
      <c r="X7" s="18">
        <f>raw_data!$X7*mass_composition!$E7/100</f>
        <v>0</v>
      </c>
      <c r="Y7" s="18">
        <f>raw_data!$Y7*mass_composition!$E7/100</f>
        <v>0</v>
      </c>
      <c r="Z7" s="18">
        <f>raw_data!$Z7*mass_composition!$E7/100</f>
        <v>0</v>
      </c>
      <c r="AA7" s="18">
        <f>raw_data!$AA7*mass_composition!$E7/100</f>
        <v>0</v>
      </c>
      <c r="AB7" s="18">
        <f>raw_data!$AB7*mass_composition!$E7/100</f>
        <v>0</v>
      </c>
      <c r="AC7" s="18">
        <f>raw_data!$AC7*mass_composition!$E7/100</f>
        <v>0</v>
      </c>
      <c r="AD7" s="18">
        <f>raw_data!$AD7*mass_composition!$E7/100</f>
        <v>0</v>
      </c>
      <c r="AE7" s="18">
        <f>raw_data!$AE7*mass_composition!$E7/100</f>
        <v>0</v>
      </c>
      <c r="AF7" s="18">
        <f>raw_data!$AF7*mass_composition!$E7/100</f>
        <v>0</v>
      </c>
      <c r="AG7" s="18">
        <f>raw_data!$AG7*mass_composition!$E7/100</f>
        <v>0</v>
      </c>
      <c r="AH7" s="18">
        <f>raw_data!$AH7*mass_composition!$E7/100</f>
        <v>0</v>
      </c>
      <c r="AI7" s="18">
        <f>raw_data!$AI7*mass_composition!$E7/100</f>
        <v>0</v>
      </c>
      <c r="AJ7" s="18">
        <f>raw_data!$AJ7*mass_composition!$E7/100</f>
        <v>0</v>
      </c>
      <c r="AK7" s="18">
        <f>raw_data!$AK7*mass_composition!$E7/100</f>
        <v>0</v>
      </c>
      <c r="AL7" s="18">
        <f>raw_data!$AL7*mass_composition!$E7/100</f>
        <v>0</v>
      </c>
      <c r="AM7" s="18">
        <f>raw_data!$AM7*mass_composition!$E7/100</f>
        <v>0</v>
      </c>
      <c r="AN7" s="18">
        <f>raw_data!$AN7*mass_composition!$E7/100</f>
        <v>0</v>
      </c>
      <c r="AO7" s="18">
        <f>raw_data!$AO7*mass_composition!$E7/100</f>
        <v>0</v>
      </c>
      <c r="AP7" s="18">
        <f>raw_data!$AP7*mass_composition!$E7/100</f>
        <v>0</v>
      </c>
      <c r="AQ7" s="18">
        <f>raw_data!$AQ7*mass_composition!$E7/100</f>
        <v>0</v>
      </c>
      <c r="AR7" s="18">
        <f>raw_data!$AR7*mass_composition!$E7/100</f>
        <v>0</v>
      </c>
      <c r="AS7" s="18">
        <f>raw_data!$AS7*mass_composition!$E7/100</f>
        <v>0</v>
      </c>
      <c r="AT7" s="18">
        <f>raw_data!$AT7*mass_composition!$E7/100</f>
        <v>0</v>
      </c>
      <c r="AU7" s="18">
        <f>raw_data!$AU7*mass_composition!$E7/100</f>
        <v>0</v>
      </c>
      <c r="AV7" s="18">
        <f>raw_data!$AV7*mass_composition!$E7/100</f>
        <v>0</v>
      </c>
      <c r="AW7" s="18">
        <f>raw_data!$AW7*mass_composition!$E7/100</f>
        <v>0</v>
      </c>
      <c r="AX7" s="18">
        <f>raw_data!$AX7*mass_composition!$E7/100</f>
        <v>0</v>
      </c>
      <c r="AY7" s="18">
        <f>raw_data!$AY7*mass_composition!$E7/100</f>
        <v>0</v>
      </c>
      <c r="AZ7" s="18">
        <f>raw_data!$AZ7*mass_composition!$E7/100</f>
        <v>0</v>
      </c>
      <c r="BA7" s="18">
        <f>raw_data!$BA7*mass_composition!$E7/100</f>
        <v>0</v>
      </c>
      <c r="BB7" s="18">
        <f>raw_data!$BB7*mass_composition!$E7/100</f>
        <v>0</v>
      </c>
      <c r="BC7" s="18">
        <f>raw_data!$BC7*mass_composition!$E7/100</f>
        <v>0</v>
      </c>
      <c r="BD7" s="18">
        <f>raw_data!$BD7*mass_composition!$E7/100</f>
        <v>0</v>
      </c>
      <c r="BE7" s="18">
        <f>raw_data!$BE7*mass_composition!$E7/100</f>
        <v>0</v>
      </c>
      <c r="BF7" s="18">
        <f>raw_data!$BF7*mass_composition!$E7/100</f>
        <v>0</v>
      </c>
      <c r="BG7" s="18">
        <f>raw_data!$BG7*mass_composition!$E7/100</f>
        <v>0</v>
      </c>
      <c r="BH7" s="18">
        <v>0</v>
      </c>
      <c r="BI7" s="18">
        <v>0</v>
      </c>
      <c r="BJ7" s="18">
        <v>0</v>
      </c>
      <c r="BK7" s="18">
        <f>raw_data!$BK7*$E7/100</f>
        <v>0</v>
      </c>
      <c r="BL7" s="18">
        <f>raw_data!$BL7*$E7/100</f>
        <v>0</v>
      </c>
      <c r="BM7" s="18">
        <v>0</v>
      </c>
      <c r="BN7" s="18">
        <f>raw_data!$BN7*$E7/100</f>
        <v>0</v>
      </c>
      <c r="BO7" s="18">
        <f>raw_data!$BO7*$E7/100</f>
        <v>0</v>
      </c>
      <c r="BP7" s="18">
        <f>raw_data!$BP7*$E7/100</f>
        <v>0</v>
      </c>
      <c r="BQ7" s="18">
        <v>0</v>
      </c>
      <c r="BR7" s="18">
        <f>raw_data!$BR7*$E7/100</f>
        <v>0</v>
      </c>
      <c r="BS7" s="18">
        <v>20.293003611913171</v>
      </c>
      <c r="BT7" s="18">
        <v>1.6379780572182121</v>
      </c>
      <c r="BU7" s="18">
        <v>0</v>
      </c>
      <c r="BV7" s="18">
        <v>0</v>
      </c>
      <c r="BW7" s="18">
        <v>0</v>
      </c>
      <c r="BX7" s="18">
        <v>0</v>
      </c>
      <c r="BY7" s="18">
        <v>0</v>
      </c>
      <c r="BZ7" s="18">
        <v>19.279271838967023</v>
      </c>
      <c r="CA7" s="18">
        <v>0</v>
      </c>
      <c r="CB7" s="19">
        <v>57.452961867954286</v>
      </c>
    </row>
    <row r="8" spans="1:82" x14ac:dyDescent="0.35">
      <c r="A8" s="17" t="s">
        <v>113</v>
      </c>
      <c r="B8" s="17" t="s">
        <v>120</v>
      </c>
      <c r="C8" s="17"/>
      <c r="D8" s="18">
        <f>raw_data!$D8*$C8/100</f>
        <v>0</v>
      </c>
      <c r="E8" s="18">
        <f>raw_data!$E8*$C8/100</f>
        <v>0</v>
      </c>
      <c r="F8" s="18">
        <f>raw_data!$F8*$E8/100</f>
        <v>0</v>
      </c>
      <c r="G8" s="18">
        <f>raw_data!$G8*$E8/100</f>
        <v>0</v>
      </c>
      <c r="H8" s="18">
        <v>20.474824810998559</v>
      </c>
      <c r="I8" s="18">
        <v>569.08710458364942</v>
      </c>
      <c r="J8" s="18">
        <f>raw_data!$J8*mass_composition!$E8/100</f>
        <v>0</v>
      </c>
      <c r="K8" s="18">
        <f>raw_data!$K8*mass_composition!$E8/100</f>
        <v>0</v>
      </c>
      <c r="L8" s="18">
        <f>raw_data!$L8*mass_composition!$E8/100</f>
        <v>0</v>
      </c>
      <c r="M8" s="18">
        <f>raw_data!$M8*mass_composition!$E8/100</f>
        <v>0</v>
      </c>
      <c r="N8" s="18">
        <f>raw_data!$N8*mass_composition!$E8/100</f>
        <v>0</v>
      </c>
      <c r="O8" s="18">
        <f>raw_data!$O8*mass_composition!$E8/100</f>
        <v>0</v>
      </c>
      <c r="P8" s="18">
        <f>raw_data!$P8*mass_composition!$E8/100</f>
        <v>0</v>
      </c>
      <c r="Q8" s="18">
        <f>raw_data!$Q8*mass_composition!$E8/100</f>
        <v>0</v>
      </c>
      <c r="R8" s="18">
        <f>raw_data!$R8*mass_composition!$E8/100</f>
        <v>0</v>
      </c>
      <c r="S8" s="18">
        <f>raw_data!$S8*mass_composition!$E8/100</f>
        <v>0</v>
      </c>
      <c r="T8" s="18">
        <f>raw_data!$T8*mass_composition!$E8/100</f>
        <v>0</v>
      </c>
      <c r="U8" s="18">
        <f>raw_data!$U8*mass_composition!$E8/100</f>
        <v>0</v>
      </c>
      <c r="V8" s="18">
        <f>raw_data!$V8*mass_composition!$E8/100</f>
        <v>0</v>
      </c>
      <c r="W8" s="18">
        <f>raw_data!$W8*mass_composition!$E8/100</f>
        <v>0</v>
      </c>
      <c r="X8" s="18">
        <f>raw_data!$X8*mass_composition!$E8/100</f>
        <v>0</v>
      </c>
      <c r="Y8" s="18">
        <f>raw_data!$Y8*mass_composition!$E8/100</f>
        <v>0</v>
      </c>
      <c r="Z8" s="18">
        <f>raw_data!$Z8*mass_composition!$E8/100</f>
        <v>0</v>
      </c>
      <c r="AA8" s="18">
        <f>raw_data!$AA8*mass_composition!$E8/100</f>
        <v>0</v>
      </c>
      <c r="AB8" s="18">
        <f>raw_data!$AB8*mass_composition!$E8/100</f>
        <v>0</v>
      </c>
      <c r="AC8" s="18">
        <f>raw_data!$AC8*mass_composition!$E8/100</f>
        <v>0</v>
      </c>
      <c r="AD8" s="18">
        <f>raw_data!$AD8*mass_composition!$E8/100</f>
        <v>0</v>
      </c>
      <c r="AE8" s="18">
        <f>raw_data!$AE8*mass_composition!$E8/100</f>
        <v>0</v>
      </c>
      <c r="AF8" s="18">
        <f>raw_data!$AF8*mass_composition!$E8/100</f>
        <v>0</v>
      </c>
      <c r="AG8" s="18">
        <f>raw_data!$AG8*mass_composition!$E8/100</f>
        <v>0</v>
      </c>
      <c r="AH8" s="18">
        <f>raw_data!$AH8*mass_composition!$E8/100</f>
        <v>0</v>
      </c>
      <c r="AI8" s="18">
        <f>raw_data!$AI8*mass_composition!$E8/100</f>
        <v>0</v>
      </c>
      <c r="AJ8" s="18">
        <f>raw_data!$AJ8*mass_composition!$E8/100</f>
        <v>0</v>
      </c>
      <c r="AK8" s="18">
        <f>raw_data!$AK8*mass_composition!$E8/100</f>
        <v>0</v>
      </c>
      <c r="AL8" s="18">
        <f>raw_data!$AL8*mass_composition!$E8/100</f>
        <v>0</v>
      </c>
      <c r="AM8" s="18">
        <f>raw_data!$AM8*mass_composition!$E8/100</f>
        <v>0</v>
      </c>
      <c r="AN8" s="18">
        <f>raw_data!$AN8*mass_composition!$E8/100</f>
        <v>0</v>
      </c>
      <c r="AO8" s="18">
        <f>raw_data!$AO8*mass_composition!$E8/100</f>
        <v>0</v>
      </c>
      <c r="AP8" s="18">
        <f>raw_data!$AP8*mass_composition!$E8/100</f>
        <v>0</v>
      </c>
      <c r="AQ8" s="18">
        <f>raw_data!$AQ8*mass_composition!$E8/100</f>
        <v>0</v>
      </c>
      <c r="AR8" s="18">
        <f>raw_data!$AR8*mass_composition!$E8/100</f>
        <v>0</v>
      </c>
      <c r="AS8" s="18">
        <f>raw_data!$AS8*mass_composition!$E8/100</f>
        <v>0</v>
      </c>
      <c r="AT8" s="18">
        <f>raw_data!$AT8*mass_composition!$E8/100</f>
        <v>0</v>
      </c>
      <c r="AU8" s="18">
        <f>raw_data!$AU8*mass_composition!$E8/100</f>
        <v>0</v>
      </c>
      <c r="AV8" s="18">
        <f>raw_data!$AV8*mass_composition!$E8/100</f>
        <v>0</v>
      </c>
      <c r="AW8" s="18">
        <f>raw_data!$AW8*mass_composition!$E8/100</f>
        <v>0</v>
      </c>
      <c r="AX8" s="18">
        <f>raw_data!$AX8*mass_composition!$E8/100</f>
        <v>0</v>
      </c>
      <c r="AY8" s="18">
        <f>raw_data!$AY8*mass_composition!$E8/100</f>
        <v>0</v>
      </c>
      <c r="AZ8" s="18">
        <f>raw_data!$AZ8*mass_composition!$E8/100</f>
        <v>0</v>
      </c>
      <c r="BA8" s="18">
        <f>raw_data!$BA8*mass_composition!$E8/100</f>
        <v>0</v>
      </c>
      <c r="BB8" s="18">
        <f>raw_data!$BB8*mass_composition!$E8/100</f>
        <v>0</v>
      </c>
      <c r="BC8" s="18">
        <f>raw_data!$BC8*mass_composition!$E8/100</f>
        <v>0</v>
      </c>
      <c r="BD8" s="18">
        <f>raw_data!$BD8*mass_composition!$E8/100</f>
        <v>0</v>
      </c>
      <c r="BE8" s="18">
        <f>raw_data!$BE8*mass_composition!$E8/100</f>
        <v>0</v>
      </c>
      <c r="BF8" s="18">
        <f>raw_data!$BF8*mass_composition!$E8/100</f>
        <v>0</v>
      </c>
      <c r="BG8" s="18">
        <f>raw_data!$BG8*mass_composition!$E8/100</f>
        <v>0</v>
      </c>
      <c r="BH8" s="18">
        <v>0</v>
      </c>
      <c r="BI8" s="18">
        <v>0</v>
      </c>
      <c r="BJ8" s="18">
        <v>0</v>
      </c>
      <c r="BK8" s="18">
        <f>raw_data!$BK8*$E8/100</f>
        <v>0</v>
      </c>
      <c r="BL8" s="18">
        <f>raw_data!$BL8*$E8/100</f>
        <v>0</v>
      </c>
      <c r="BM8" s="18">
        <v>0</v>
      </c>
      <c r="BN8" s="18">
        <f>raw_data!$BN8*$E8/100</f>
        <v>0</v>
      </c>
      <c r="BO8" s="18">
        <f>raw_data!$BO8*$E8/100</f>
        <v>0</v>
      </c>
      <c r="BP8" s="18">
        <f>raw_data!$BP8*$E8/100</f>
        <v>0</v>
      </c>
      <c r="BQ8" s="18">
        <v>0</v>
      </c>
      <c r="BR8" s="18">
        <f>raw_data!$BR8*$E8/100</f>
        <v>0</v>
      </c>
      <c r="BS8" s="18">
        <v>21.12445062400916</v>
      </c>
      <c r="BT8" s="18">
        <v>1.7202081667145059</v>
      </c>
      <c r="BU8" s="18">
        <v>0</v>
      </c>
      <c r="BV8" s="18">
        <v>0</v>
      </c>
      <c r="BW8" s="18">
        <v>0</v>
      </c>
      <c r="BX8" s="18">
        <v>0</v>
      </c>
      <c r="BY8" s="18">
        <v>0</v>
      </c>
      <c r="BZ8" s="18">
        <v>20.315077775235579</v>
      </c>
      <c r="CA8" s="18">
        <v>0</v>
      </c>
      <c r="CB8" s="19">
        <v>52.715551166603156</v>
      </c>
    </row>
    <row r="9" spans="1:82" x14ac:dyDescent="0.35">
      <c r="A9" s="17" t="s">
        <v>113</v>
      </c>
      <c r="B9" s="17" t="s">
        <v>121</v>
      </c>
      <c r="C9" s="17"/>
      <c r="D9" s="18">
        <f>raw_data!$D9*$C9/100</f>
        <v>0</v>
      </c>
      <c r="E9" s="18">
        <f>raw_data!$E9*$C9/100</f>
        <v>0</v>
      </c>
      <c r="F9" s="18">
        <f>raw_data!$F9*$E9/100</f>
        <v>0</v>
      </c>
      <c r="G9" s="18">
        <f>raw_data!$G9*$E9/100</f>
        <v>0</v>
      </c>
      <c r="H9" s="18">
        <v>25.77184229790425</v>
      </c>
      <c r="I9" s="18">
        <v>743.09677815443729</v>
      </c>
      <c r="J9" s="18">
        <f>raw_data!$J9*mass_composition!$E9/100</f>
        <v>0</v>
      </c>
      <c r="K9" s="18">
        <f>raw_data!$K9*mass_composition!$E9/100</f>
        <v>0</v>
      </c>
      <c r="L9" s="18">
        <f>raw_data!$L9*mass_composition!$E9/100</f>
        <v>0</v>
      </c>
      <c r="M9" s="18">
        <f>raw_data!$M9*mass_composition!$E9/100</f>
        <v>0</v>
      </c>
      <c r="N9" s="18">
        <f>raw_data!$N9*mass_composition!$E9/100</f>
        <v>0</v>
      </c>
      <c r="O9" s="18">
        <f>raw_data!$O9*mass_composition!$E9/100</f>
        <v>0</v>
      </c>
      <c r="P9" s="18">
        <f>raw_data!$P9*mass_composition!$E9/100</f>
        <v>0</v>
      </c>
      <c r="Q9" s="18">
        <f>raw_data!$Q9*mass_composition!$E9/100</f>
        <v>0</v>
      </c>
      <c r="R9" s="18">
        <f>raw_data!$R9*mass_composition!$E9/100</f>
        <v>0</v>
      </c>
      <c r="S9" s="18">
        <f>raw_data!$S9*mass_composition!$E9/100</f>
        <v>0</v>
      </c>
      <c r="T9" s="18">
        <f>raw_data!$T9*mass_composition!$E9/100</f>
        <v>0</v>
      </c>
      <c r="U9" s="18">
        <f>raw_data!$U9*mass_composition!$E9/100</f>
        <v>0</v>
      </c>
      <c r="V9" s="18">
        <f>raw_data!$V9*mass_composition!$E9/100</f>
        <v>0</v>
      </c>
      <c r="W9" s="18">
        <f>raw_data!$W9*mass_composition!$E9/100</f>
        <v>0</v>
      </c>
      <c r="X9" s="18">
        <f>raw_data!$X9*mass_composition!$E9/100</f>
        <v>0</v>
      </c>
      <c r="Y9" s="18">
        <f>raw_data!$Y9*mass_composition!$E9/100</f>
        <v>0</v>
      </c>
      <c r="Z9" s="18">
        <f>raw_data!$Z9*mass_composition!$E9/100</f>
        <v>0</v>
      </c>
      <c r="AA9" s="18">
        <f>raw_data!$AA9*mass_composition!$E9/100</f>
        <v>0</v>
      </c>
      <c r="AB9" s="18">
        <f>raw_data!$AB9*mass_composition!$E9/100</f>
        <v>0</v>
      </c>
      <c r="AC9" s="18">
        <f>raw_data!$AC9*mass_composition!$E9/100</f>
        <v>0</v>
      </c>
      <c r="AD9" s="18">
        <f>raw_data!$AD9*mass_composition!$E9/100</f>
        <v>0</v>
      </c>
      <c r="AE9" s="18">
        <f>raw_data!$AE9*mass_composition!$E9/100</f>
        <v>0</v>
      </c>
      <c r="AF9" s="18">
        <f>raw_data!$AF9*mass_composition!$E9/100</f>
        <v>0</v>
      </c>
      <c r="AG9" s="18">
        <f>raw_data!$AG9*mass_composition!$E9/100</f>
        <v>0</v>
      </c>
      <c r="AH9" s="18">
        <f>raw_data!$AH9*mass_composition!$E9/100</f>
        <v>0</v>
      </c>
      <c r="AI9" s="18">
        <f>raw_data!$AI9*mass_composition!$E9/100</f>
        <v>0</v>
      </c>
      <c r="AJ9" s="18">
        <f>raw_data!$AJ9*mass_composition!$E9/100</f>
        <v>0</v>
      </c>
      <c r="AK9" s="18">
        <f>raw_data!$AK9*mass_composition!$E9/100</f>
        <v>0</v>
      </c>
      <c r="AL9" s="18">
        <f>raw_data!$AL9*mass_composition!$E9/100</f>
        <v>0</v>
      </c>
      <c r="AM9" s="18">
        <f>raw_data!$AM9*mass_composition!$E9/100</f>
        <v>0</v>
      </c>
      <c r="AN9" s="18">
        <f>raw_data!$AN9*mass_composition!$E9/100</f>
        <v>0</v>
      </c>
      <c r="AO9" s="18">
        <f>raw_data!$AO9*mass_composition!$E9/100</f>
        <v>0</v>
      </c>
      <c r="AP9" s="18">
        <f>raw_data!$AP9*mass_composition!$E9/100</f>
        <v>0</v>
      </c>
      <c r="AQ9" s="18">
        <f>raw_data!$AQ9*mass_composition!$E9/100</f>
        <v>0</v>
      </c>
      <c r="AR9" s="18">
        <f>raw_data!$AR9*mass_composition!$E9/100</f>
        <v>0</v>
      </c>
      <c r="AS9" s="18">
        <f>raw_data!$AS9*mass_composition!$E9/100</f>
        <v>0</v>
      </c>
      <c r="AT9" s="18">
        <f>raw_data!$AT9*mass_composition!$E9/100</f>
        <v>0</v>
      </c>
      <c r="AU9" s="18">
        <f>raw_data!$AU9*mass_composition!$E9/100</f>
        <v>0</v>
      </c>
      <c r="AV9" s="18">
        <f>raw_data!$AV9*mass_composition!$E9/100</f>
        <v>0</v>
      </c>
      <c r="AW9" s="18">
        <f>raw_data!$AW9*mass_composition!$E9/100</f>
        <v>0</v>
      </c>
      <c r="AX9" s="18">
        <f>raw_data!$AX9*mass_composition!$E9/100</f>
        <v>0</v>
      </c>
      <c r="AY9" s="18">
        <f>raw_data!$AY9*mass_composition!$E9/100</f>
        <v>0</v>
      </c>
      <c r="AZ9" s="18">
        <f>raw_data!$AZ9*mass_composition!$E9/100</f>
        <v>0</v>
      </c>
      <c r="BA9" s="18">
        <f>raw_data!$BA9*mass_composition!$E9/100</f>
        <v>0</v>
      </c>
      <c r="BB9" s="18">
        <f>raw_data!$BB9*mass_composition!$E9/100</f>
        <v>0</v>
      </c>
      <c r="BC9" s="18">
        <f>raw_data!$BC9*mass_composition!$E9/100</f>
        <v>0</v>
      </c>
      <c r="BD9" s="18">
        <f>raw_data!$BD9*mass_composition!$E9/100</f>
        <v>0</v>
      </c>
      <c r="BE9" s="18">
        <f>raw_data!$BE9*mass_composition!$E9/100</f>
        <v>0</v>
      </c>
      <c r="BF9" s="18">
        <f>raw_data!$BF9*mass_composition!$E9/100</f>
        <v>0</v>
      </c>
      <c r="BG9" s="18">
        <f>raw_data!$BG9*mass_composition!$E9/100</f>
        <v>0</v>
      </c>
      <c r="BH9" s="18">
        <v>0</v>
      </c>
      <c r="BI9" s="18">
        <v>9.2709207460736923E-2</v>
      </c>
      <c r="BJ9" s="18">
        <v>1.0351329594016632</v>
      </c>
      <c r="BK9" s="18">
        <f>raw_data!$BK9*$E9/100</f>
        <v>0</v>
      </c>
      <c r="BL9" s="18">
        <f>raw_data!$BL9*$E9/100</f>
        <v>0</v>
      </c>
      <c r="BM9" s="18">
        <v>0</v>
      </c>
      <c r="BN9" s="18">
        <f>raw_data!$BN9*$E9/100</f>
        <v>0</v>
      </c>
      <c r="BO9" s="18">
        <f>raw_data!$BO9*$E9/100</f>
        <v>0</v>
      </c>
      <c r="BP9" s="18">
        <f>raw_data!$BP9*$E9/100</f>
        <v>0</v>
      </c>
      <c r="BQ9" s="18">
        <v>0</v>
      </c>
      <c r="BR9" s="18">
        <f>raw_data!$BR9*$E9/100</f>
        <v>0</v>
      </c>
      <c r="BS9" s="18">
        <v>25.175807584057925</v>
      </c>
      <c r="BT9" s="18">
        <v>2.1208873700633299</v>
      </c>
      <c r="BU9" s="18">
        <v>3.5180299032541774E-3</v>
      </c>
      <c r="BV9" s="18">
        <v>5.2770448548812663E-3</v>
      </c>
      <c r="BW9" s="18">
        <v>1.3755239499713026</v>
      </c>
      <c r="BX9" s="18">
        <v>0</v>
      </c>
      <c r="BY9" s="18">
        <v>1.4770282321901749</v>
      </c>
      <c r="BZ9" s="18">
        <v>24.483705487726525</v>
      </c>
      <c r="CA9" s="18">
        <v>0</v>
      </c>
      <c r="CB9" s="19">
        <v>5.9187735805184003</v>
      </c>
    </row>
    <row r="10" spans="1:82" x14ac:dyDescent="0.35">
      <c r="A10" s="17" t="s">
        <v>113</v>
      </c>
      <c r="B10" s="17" t="s">
        <v>122</v>
      </c>
      <c r="C10" s="17">
        <f>15.2406417112299/2</f>
        <v>7.62032085561495</v>
      </c>
      <c r="D10" s="18">
        <f>raw_data!$D10*$C10/100</f>
        <v>6.1393280632410878</v>
      </c>
      <c r="E10" s="18">
        <f>raw_data!$E10*$C10/100</f>
        <v>1.4816554289700021</v>
      </c>
      <c r="F10" s="18">
        <f>raw_data!$F10*$E10/100</f>
        <v>1.3812065573137802</v>
      </c>
      <c r="G10" s="18">
        <f>raw_data!$G10*$E10/100</f>
        <v>0.1004488716562221</v>
      </c>
      <c r="H10" s="18">
        <v>18.958190859816952</v>
      </c>
      <c r="I10" s="18">
        <v>539.36806460390744</v>
      </c>
      <c r="J10" s="18">
        <f>raw_data!$J10*mass_composition!$E10/100</f>
        <v>0.68877231744232104</v>
      </c>
      <c r="K10" s="18">
        <f>raw_data!$K10*mass_composition!$E10/100</f>
        <v>0.68877231744232104</v>
      </c>
      <c r="L10" s="18">
        <f>raw_data!$L10*mass_composition!$E10/100</f>
        <v>0</v>
      </c>
      <c r="M10" s="18">
        <f>raw_data!$M10*mass_composition!$E10/100</f>
        <v>1.5206540859638486E-2</v>
      </c>
      <c r="N10" s="18">
        <f>raw_data!$N10*mass_composition!$E10/100</f>
        <v>7.8014448863314165E-3</v>
      </c>
      <c r="O10" s="18">
        <f>raw_data!$O10*mass_composition!$E10/100</f>
        <v>0</v>
      </c>
      <c r="P10" s="18">
        <f>raw_data!$P10*mass_composition!$E10/100</f>
        <v>0.10307932025900118</v>
      </c>
      <c r="Q10" s="18">
        <f>raw_data!$Q10*mass_composition!$E10/100</f>
        <v>2.0470506974205653E-2</v>
      </c>
      <c r="R10" s="18">
        <f>raw_data!$R10*mass_composition!$E10/100</f>
        <v>6.9850973654689147E-2</v>
      </c>
      <c r="S10" s="18">
        <f>raw_data!$S10*mass_composition!$E10/100</f>
        <v>5.2132166405317428E-3</v>
      </c>
      <c r="T10" s="18">
        <f>raw_data!$T10*mass_composition!$E10/100</f>
        <v>0.51103571169530637</v>
      </c>
      <c r="U10" s="18">
        <f>raw_data!$U10*mass_composition!$E10/100</f>
        <v>1.2019380953291393E-2</v>
      </c>
      <c r="V10" s="18">
        <f>raw_data!$V10*mass_composition!$E10/100</f>
        <v>1.5822760135004606E-2</v>
      </c>
      <c r="W10" s="18">
        <f>raw_data!$W10*mass_composition!$E10/100</f>
        <v>0</v>
      </c>
      <c r="X10" s="18">
        <f>raw_data!$X10*mass_composition!$E10/100</f>
        <v>0</v>
      </c>
      <c r="Y10" s="18">
        <f>raw_data!$Y10*mass_composition!$E10/100</f>
        <v>0</v>
      </c>
      <c r="Z10" s="18">
        <f>raw_data!$Z10*mass_composition!$E10/100</f>
        <v>2.3083546409173444E-8</v>
      </c>
      <c r="AA10" s="18">
        <f>raw_data!$AA10*mass_composition!$E10/100</f>
        <v>0</v>
      </c>
      <c r="AB10" s="18">
        <f>raw_data!$AB10*mass_composition!$E10/100</f>
        <v>0</v>
      </c>
      <c r="AC10" s="18">
        <f>raw_data!$AC10*mass_composition!$E10/100</f>
        <v>0</v>
      </c>
      <c r="AD10" s="18">
        <f>raw_data!$AD10*mass_composition!$E10/100</f>
        <v>0</v>
      </c>
      <c r="AE10" s="18">
        <f>raw_data!$AE10*mass_composition!$E10/100</f>
        <v>0</v>
      </c>
      <c r="AF10" s="18">
        <f>raw_data!$AF10*mass_composition!$E10/100</f>
        <v>0</v>
      </c>
      <c r="AG10" s="18">
        <f>raw_data!$AG10*mass_composition!$E10/100</f>
        <v>1.8193865784715619E-9</v>
      </c>
      <c r="AH10" s="18">
        <f>raw_data!$AH10*mass_composition!$E10/100</f>
        <v>0</v>
      </c>
      <c r="AI10" s="18">
        <f>raw_data!$AI10*mass_composition!$E10/100</f>
        <v>5.7616193836772E-8</v>
      </c>
      <c r="AJ10" s="18">
        <f>raw_data!$AJ10*mass_composition!$E10/100</f>
        <v>2.6562365421584412E-6</v>
      </c>
      <c r="AK10" s="18">
        <f>raw_data!$AK10*mass_composition!$E10/100</f>
        <v>8.3262295747812633E-6</v>
      </c>
      <c r="AL10" s="18">
        <f>raw_data!$AL10*mass_composition!$E10/100</f>
        <v>0</v>
      </c>
      <c r="AM10" s="18">
        <f>raw_data!$AM10*mass_composition!$E10/100</f>
        <v>3.7513455426054306E-9</v>
      </c>
      <c r="AN10" s="18">
        <f>raw_data!$AN10*mass_composition!$E10/100</f>
        <v>0</v>
      </c>
      <c r="AO10" s="18">
        <f>raw_data!$AO10*mass_composition!$E10/100</f>
        <v>0</v>
      </c>
      <c r="AP10" s="18">
        <f>raw_data!$AP10*mass_composition!$E10/100</f>
        <v>1.6267001744083057E-3</v>
      </c>
      <c r="AQ10" s="18">
        <f>raw_data!$AQ10*mass_composition!$E10/100</f>
        <v>1.0713758579619851E-6</v>
      </c>
      <c r="AR10" s="18">
        <f>raw_data!$AR10*mass_composition!$E10/100</f>
        <v>5.3738588853496799E-7</v>
      </c>
      <c r="AS10" s="18">
        <f>raw_data!$AS10*mass_composition!$E10/100</f>
        <v>3.55467653237149E-7</v>
      </c>
      <c r="AT10" s="18">
        <f>raw_data!$AT10*mass_composition!$E10/100</f>
        <v>9.1617167773512277E-9</v>
      </c>
      <c r="AU10" s="18">
        <f>raw_data!$AU10*mass_composition!$E10/100</f>
        <v>0</v>
      </c>
      <c r="AV10" s="18">
        <f>raw_data!$AV10*mass_composition!$E10/100</f>
        <v>0</v>
      </c>
      <c r="AW10" s="18">
        <f>raw_data!$AW10*mass_composition!$E10/100</f>
        <v>0</v>
      </c>
      <c r="AX10" s="18">
        <f>raw_data!$AX10*mass_composition!$E10/100</f>
        <v>2.1506264082170612E-7</v>
      </c>
      <c r="AY10" s="18">
        <f>raw_data!$AY10*mass_composition!$E10/100</f>
        <v>0</v>
      </c>
      <c r="AZ10" s="18">
        <f>raw_data!$AZ10*mass_composition!$E10/100</f>
        <v>0</v>
      </c>
      <c r="BA10" s="18">
        <f>raw_data!$BA10*mass_composition!$E10/100</f>
        <v>0</v>
      </c>
      <c r="BB10" s="18">
        <f>raw_data!$BB10*mass_composition!$E10/100</f>
        <v>0</v>
      </c>
      <c r="BC10" s="18">
        <f>raw_data!$BC10*mass_composition!$E10/100</f>
        <v>0</v>
      </c>
      <c r="BD10" s="18">
        <f>raw_data!$BD10*mass_composition!$E10/100</f>
        <v>0</v>
      </c>
      <c r="BE10" s="18">
        <f>raw_data!$BE10*mass_composition!$E10/100</f>
        <v>5.462534382395289E-5</v>
      </c>
      <c r="BF10" s="18">
        <f>raw_data!$BF10*mass_composition!$E10/100</f>
        <v>0</v>
      </c>
      <c r="BG10" s="18">
        <f>raw_data!$BG10*mass_composition!$E10/100</f>
        <v>0</v>
      </c>
      <c r="BH10" s="18">
        <v>0</v>
      </c>
      <c r="BI10" s="18">
        <v>6.7008672208075639</v>
      </c>
      <c r="BJ10" s="18">
        <v>0</v>
      </c>
      <c r="BK10" s="18">
        <f>raw_data!$BK10*$E10/100</f>
        <v>5.4403338399001524E-3</v>
      </c>
      <c r="BL10" s="18">
        <f>raw_data!$BL10*$E10/100</f>
        <v>0</v>
      </c>
      <c r="BM10" s="18">
        <v>0</v>
      </c>
      <c r="BN10" s="18">
        <f>raw_data!$BN10*$E10/100</f>
        <v>0</v>
      </c>
      <c r="BO10" s="18">
        <f>raw_data!$BO10*$E10/100</f>
        <v>0.44559708984896512</v>
      </c>
      <c r="BP10" s="18">
        <f>raw_data!$BP10*$E10/100</f>
        <v>0.22707254232471513</v>
      </c>
      <c r="BQ10" s="18">
        <v>0</v>
      </c>
      <c r="BR10" s="18">
        <f>raw_data!$BR10*$E10/100</f>
        <v>0.710157007709455</v>
      </c>
      <c r="BS10" s="18">
        <v>20.165156950375128</v>
      </c>
      <c r="BT10" s="18">
        <v>1.6253340223921</v>
      </c>
      <c r="BU10" s="18">
        <v>1.2978585334198574E-2</v>
      </c>
      <c r="BV10" s="18">
        <v>1.5345975436825534E-2</v>
      </c>
      <c r="BW10" s="18">
        <v>35.488767391256935</v>
      </c>
      <c r="BX10" s="18">
        <v>0</v>
      </c>
      <c r="BY10" s="18">
        <v>43.901764611465516</v>
      </c>
      <c r="BZ10" s="18">
        <v>18.743301379255026</v>
      </c>
      <c r="CA10" s="18">
        <v>0</v>
      </c>
      <c r="CB10" s="19">
        <v>5.2354890144376318</v>
      </c>
    </row>
    <row r="11" spans="1:82" x14ac:dyDescent="0.35">
      <c r="A11" s="17" t="s">
        <v>113</v>
      </c>
      <c r="B11" s="17" t="s">
        <v>123</v>
      </c>
      <c r="C11" s="17"/>
      <c r="D11" s="18">
        <f>raw_data!$D11*$C11/100</f>
        <v>0</v>
      </c>
      <c r="E11" s="18">
        <f>raw_data!$E11*$C11/100</f>
        <v>0</v>
      </c>
      <c r="F11" s="18">
        <f>raw_data!$F11*$E11/100</f>
        <v>0</v>
      </c>
      <c r="G11" s="18">
        <f>raw_data!$G11*$E11/100</f>
        <v>0</v>
      </c>
      <c r="H11" s="18">
        <v>18.695702123106482</v>
      </c>
      <c r="I11" s="18">
        <v>528.34761605651363</v>
      </c>
      <c r="J11" s="18">
        <f>raw_data!$J11*mass_composition!$E11/100</f>
        <v>0</v>
      </c>
      <c r="K11" s="18">
        <f>raw_data!$K11*mass_composition!$E11/100</f>
        <v>0</v>
      </c>
      <c r="L11" s="18">
        <f>raw_data!$L11*mass_composition!$E11/100</f>
        <v>0</v>
      </c>
      <c r="M11" s="18">
        <f>raw_data!$M11*mass_composition!$E11/100</f>
        <v>0</v>
      </c>
      <c r="N11" s="18">
        <f>raw_data!$N11*mass_composition!$E11/100</f>
        <v>0</v>
      </c>
      <c r="O11" s="18">
        <f>raw_data!$O11*mass_composition!$E11/100</f>
        <v>0</v>
      </c>
      <c r="P11" s="18">
        <f>raw_data!$P11*mass_composition!$E11/100</f>
        <v>0</v>
      </c>
      <c r="Q11" s="18">
        <f>raw_data!$Q11*mass_composition!$E11/100</f>
        <v>0</v>
      </c>
      <c r="R11" s="18">
        <f>raw_data!$R11*mass_composition!$E11/100</f>
        <v>0</v>
      </c>
      <c r="S11" s="18">
        <f>raw_data!$S11*mass_composition!$E11/100</f>
        <v>0</v>
      </c>
      <c r="T11" s="18">
        <f>raw_data!$T11*mass_composition!$E11/100</f>
        <v>0</v>
      </c>
      <c r="U11" s="18">
        <f>raw_data!$U11*mass_composition!$E11/100</f>
        <v>0</v>
      </c>
      <c r="V11" s="18">
        <f>raw_data!$V11*mass_composition!$E11/100</f>
        <v>0</v>
      </c>
      <c r="W11" s="18">
        <f>raw_data!$W11*mass_composition!$E11/100</f>
        <v>0</v>
      </c>
      <c r="X11" s="18">
        <f>raw_data!$X11*mass_composition!$E11/100</f>
        <v>0</v>
      </c>
      <c r="Y11" s="18">
        <f>raw_data!$Y11*mass_composition!$E11/100</f>
        <v>0</v>
      </c>
      <c r="Z11" s="18">
        <f>raw_data!$Z11*mass_composition!$E11/100</f>
        <v>0</v>
      </c>
      <c r="AA11" s="18">
        <f>raw_data!$AA11*mass_composition!$E11/100</f>
        <v>0</v>
      </c>
      <c r="AB11" s="18">
        <f>raw_data!$AB11*mass_composition!$E11/100</f>
        <v>0</v>
      </c>
      <c r="AC11" s="18">
        <f>raw_data!$AC11*mass_composition!$E11/100</f>
        <v>0</v>
      </c>
      <c r="AD11" s="18">
        <f>raw_data!$AD11*mass_composition!$E11/100</f>
        <v>0</v>
      </c>
      <c r="AE11" s="18">
        <f>raw_data!$AE11*mass_composition!$E11/100</f>
        <v>0</v>
      </c>
      <c r="AF11" s="18">
        <f>raw_data!$AF11*mass_composition!$E11/100</f>
        <v>0</v>
      </c>
      <c r="AG11" s="18">
        <f>raw_data!$AG11*mass_composition!$E11/100</f>
        <v>0</v>
      </c>
      <c r="AH11" s="18">
        <f>raw_data!$AH11*mass_composition!$E11/100</f>
        <v>0</v>
      </c>
      <c r="AI11" s="18">
        <f>raw_data!$AI11*mass_composition!$E11/100</f>
        <v>0</v>
      </c>
      <c r="AJ11" s="18">
        <f>raw_data!$AJ11*mass_composition!$E11/100</f>
        <v>0</v>
      </c>
      <c r="AK11" s="18">
        <f>raw_data!$AK11*mass_composition!$E11/100</f>
        <v>0</v>
      </c>
      <c r="AL11" s="18">
        <f>raw_data!$AL11*mass_composition!$E11/100</f>
        <v>0</v>
      </c>
      <c r="AM11" s="18">
        <f>raw_data!$AM11*mass_composition!$E11/100</f>
        <v>0</v>
      </c>
      <c r="AN11" s="18">
        <f>raw_data!$AN11*mass_composition!$E11/100</f>
        <v>0</v>
      </c>
      <c r="AO11" s="18">
        <f>raw_data!$AO11*mass_composition!$E11/100</f>
        <v>0</v>
      </c>
      <c r="AP11" s="18">
        <f>raw_data!$AP11*mass_composition!$E11/100</f>
        <v>0</v>
      </c>
      <c r="AQ11" s="18">
        <f>raw_data!$AQ11*mass_composition!$E11/100</f>
        <v>0</v>
      </c>
      <c r="AR11" s="18">
        <f>raw_data!$AR11*mass_composition!$E11/100</f>
        <v>0</v>
      </c>
      <c r="AS11" s="18">
        <f>raw_data!$AS11*mass_composition!$E11/100</f>
        <v>0</v>
      </c>
      <c r="AT11" s="18">
        <f>raw_data!$AT11*mass_composition!$E11/100</f>
        <v>0</v>
      </c>
      <c r="AU11" s="18">
        <f>raw_data!$AU11*mass_composition!$E11/100</f>
        <v>0</v>
      </c>
      <c r="AV11" s="18">
        <f>raw_data!$AV11*mass_composition!$E11/100</f>
        <v>0</v>
      </c>
      <c r="AW11" s="18">
        <f>raw_data!$AW11*mass_composition!$E11/100</f>
        <v>0</v>
      </c>
      <c r="AX11" s="18">
        <f>raw_data!$AX11*mass_composition!$E11/100</f>
        <v>0</v>
      </c>
      <c r="AY11" s="18">
        <f>raw_data!$AY11*mass_composition!$E11/100</f>
        <v>0</v>
      </c>
      <c r="AZ11" s="18">
        <f>raw_data!$AZ11*mass_composition!$E11/100</f>
        <v>0</v>
      </c>
      <c r="BA11" s="18">
        <f>raw_data!$BA11*mass_composition!$E11/100</f>
        <v>0</v>
      </c>
      <c r="BB11" s="18">
        <f>raw_data!$BB11*mass_composition!$E11/100</f>
        <v>0</v>
      </c>
      <c r="BC11" s="18">
        <f>raw_data!$BC11*mass_composition!$E11/100</f>
        <v>0</v>
      </c>
      <c r="BD11" s="18">
        <f>raw_data!$BD11*mass_composition!$E11/100</f>
        <v>0</v>
      </c>
      <c r="BE11" s="18">
        <f>raw_data!$BE11*mass_composition!$E11/100</f>
        <v>0</v>
      </c>
      <c r="BF11" s="18">
        <f>raw_data!$BF11*mass_composition!$E11/100</f>
        <v>0</v>
      </c>
      <c r="BG11" s="18">
        <f>raw_data!$BG11*mass_composition!$E11/100</f>
        <v>0</v>
      </c>
      <c r="BH11" s="18">
        <v>0</v>
      </c>
      <c r="BI11" s="18">
        <v>19.664521787765349</v>
      </c>
      <c r="BJ11" s="18">
        <v>0</v>
      </c>
      <c r="BK11" s="18">
        <f>raw_data!$BK11*$E11/100</f>
        <v>0</v>
      </c>
      <c r="BL11" s="18">
        <f>raw_data!$BL11*$E11/100</f>
        <v>0</v>
      </c>
      <c r="BM11" s="18">
        <v>0</v>
      </c>
      <c r="BN11" s="18">
        <f>raw_data!$BN11*$E11/100</f>
        <v>0</v>
      </c>
      <c r="BO11" s="18">
        <f>raw_data!$BO11*$E11/100</f>
        <v>0</v>
      </c>
      <c r="BP11" s="18">
        <f>raw_data!$BP11*$E11/100</f>
        <v>0</v>
      </c>
      <c r="BQ11" s="18">
        <v>0</v>
      </c>
      <c r="BR11" s="18">
        <f>raw_data!$BR11*$E11/100</f>
        <v>0</v>
      </c>
      <c r="BS11" s="18">
        <v>19.845923641621006</v>
      </c>
      <c r="BT11" s="18">
        <v>1.5937618481563178</v>
      </c>
      <c r="BU11" s="18">
        <v>3.9894135941583833</v>
      </c>
      <c r="BV11" s="18">
        <v>3.6492334009882224</v>
      </c>
      <c r="BW11" s="18">
        <v>16.612300406744001</v>
      </c>
      <c r="BX11" s="18">
        <v>0</v>
      </c>
      <c r="BY11" s="18">
        <v>49.227328327250646</v>
      </c>
      <c r="BZ11" s="18">
        <v>18.737553167281245</v>
      </c>
      <c r="CA11" s="18">
        <v>0</v>
      </c>
      <c r="CB11" s="19">
        <v>13.024139857845634</v>
      </c>
    </row>
    <row r="12" spans="1:82" x14ac:dyDescent="0.35">
      <c r="A12" s="17" t="s">
        <v>113</v>
      </c>
      <c r="B12" s="17" t="s">
        <v>124</v>
      </c>
      <c r="C12" s="17">
        <f>15.2406417112299/2</f>
        <v>7.62032085561495</v>
      </c>
      <c r="D12" s="18">
        <f>raw_data!$D12*$C12/100</f>
        <v>4.6937366310160291</v>
      </c>
      <c r="E12" s="18">
        <f>raw_data!$E12*$C12/100</f>
        <v>2.9284893048128255</v>
      </c>
      <c r="F12" s="18">
        <f>raw_data!$F12*$E12/100</f>
        <v>2.759658329521022</v>
      </c>
      <c r="G12" s="18">
        <f>raw_data!$G12*$E12/100</f>
        <v>0.16883097529180405</v>
      </c>
      <c r="H12" s="18">
        <v>24.758164783012067</v>
      </c>
      <c r="I12" s="18">
        <v>691.08826360273588</v>
      </c>
      <c r="J12" s="18">
        <f>raw_data!$J12*mass_composition!$E12/100</f>
        <v>1.6340949836157366</v>
      </c>
      <c r="K12" s="18">
        <f>raw_data!$K12*mass_composition!$E12/100</f>
        <v>1.6340949836157366</v>
      </c>
      <c r="L12" s="18">
        <f>raw_data!$L12*mass_composition!$E12/100</f>
        <v>0</v>
      </c>
      <c r="M12" s="18">
        <f>raw_data!$M12*mass_composition!$E12/100</f>
        <v>5.8769308222119754E-3</v>
      </c>
      <c r="N12" s="18">
        <f>raw_data!$N12*mass_composition!$E12/100</f>
        <v>3.6736761096627372E-2</v>
      </c>
      <c r="O12" s="18">
        <f>raw_data!$O12*mass_composition!$E12/100</f>
        <v>0</v>
      </c>
      <c r="P12" s="18">
        <f>raw_data!$P12*mass_composition!$E12/100</f>
        <v>0.23945599396295841</v>
      </c>
      <c r="Q12" s="18">
        <f>raw_data!$Q12*mass_composition!$E12/100</f>
        <v>1.7408790684246497E-2</v>
      </c>
      <c r="R12" s="18">
        <f>raw_data!$R12*mass_composition!$E12/100</f>
        <v>0.23558641240653577</v>
      </c>
      <c r="S12" s="18">
        <f>raw_data!$S12*mass_composition!$E12/100</f>
        <v>3.9584015425120467E-2</v>
      </c>
      <c r="T12" s="18">
        <f>raw_data!$T12*mass_composition!$E12/100</f>
        <v>0.62721228828626951</v>
      </c>
      <c r="U12" s="18">
        <f>raw_data!$U12*mass_composition!$E12/100</f>
        <v>2.0459306317621474E-2</v>
      </c>
      <c r="V12" s="18">
        <f>raw_data!$V12*mass_composition!$E12/100</f>
        <v>5.230434016518485E-2</v>
      </c>
      <c r="W12" s="18">
        <f>raw_data!$W12*mass_composition!$E12/100</f>
        <v>0</v>
      </c>
      <c r="X12" s="18">
        <f>raw_data!$X12*mass_composition!$E12/100</f>
        <v>0</v>
      </c>
      <c r="Y12" s="18">
        <f>raw_data!$Y12*mass_composition!$E12/100</f>
        <v>0</v>
      </c>
      <c r="Z12" s="18">
        <f>raw_data!$Z12*mass_composition!$E12/100</f>
        <v>0</v>
      </c>
      <c r="AA12" s="18">
        <f>raw_data!$AA12*mass_composition!$E12/100</f>
        <v>0</v>
      </c>
      <c r="AB12" s="18">
        <f>raw_data!$AB12*mass_composition!$E12/100</f>
        <v>0</v>
      </c>
      <c r="AC12" s="18">
        <f>raw_data!$AC12*mass_composition!$E12/100</f>
        <v>0</v>
      </c>
      <c r="AD12" s="18">
        <f>raw_data!$AD12*mass_composition!$E12/100</f>
        <v>0</v>
      </c>
      <c r="AE12" s="18">
        <f>raw_data!$AE12*mass_composition!$E12/100</f>
        <v>0</v>
      </c>
      <c r="AF12" s="18">
        <f>raw_data!$AF12*mass_composition!$E12/100</f>
        <v>0</v>
      </c>
      <c r="AG12" s="18">
        <f>raw_data!$AG12*mass_composition!$E12/100</f>
        <v>9.3263990599134566E-10</v>
      </c>
      <c r="AH12" s="18">
        <f>raw_data!$AH12*mass_composition!$E12/100</f>
        <v>0</v>
      </c>
      <c r="AI12" s="18">
        <f>raw_data!$AI12*mass_composition!$E12/100</f>
        <v>6.5039259051883604E-8</v>
      </c>
      <c r="AJ12" s="18">
        <f>raw_data!$AJ12*mass_composition!$E12/100</f>
        <v>5.512214201902282E-6</v>
      </c>
      <c r="AK12" s="18">
        <f>raw_data!$AK12*mass_composition!$E12/100</f>
        <v>2.1013731234987255E-4</v>
      </c>
      <c r="AL12" s="18">
        <f>raw_data!$AL12*mass_composition!$E12/100</f>
        <v>0</v>
      </c>
      <c r="AM12" s="18">
        <f>raw_data!$AM12*mass_composition!$E12/100</f>
        <v>0</v>
      </c>
      <c r="AN12" s="18">
        <f>raw_data!$AN12*mass_composition!$E12/100</f>
        <v>0</v>
      </c>
      <c r="AO12" s="18">
        <f>raw_data!$AO12*mass_composition!$E12/100</f>
        <v>0</v>
      </c>
      <c r="AP12" s="18">
        <f>raw_data!$AP12*mass_composition!$E12/100</f>
        <v>1.3538548514321737E-3</v>
      </c>
      <c r="AQ12" s="18">
        <f>raw_data!$AQ12*mass_composition!$E12/100</f>
        <v>2.9693989621621646E-6</v>
      </c>
      <c r="AR12" s="18">
        <f>raw_data!$AR12*mass_composition!$E12/100</f>
        <v>5.2849594672842921E-8</v>
      </c>
      <c r="AS12" s="18">
        <f>raw_data!$AS12*mass_composition!$E12/100</f>
        <v>1.9944145681968778E-8</v>
      </c>
      <c r="AT12" s="18">
        <f>raw_data!$AT12*mass_composition!$E12/100</f>
        <v>6.2175993732756369E-9</v>
      </c>
      <c r="AU12" s="18">
        <f>raw_data!$AU12*mass_composition!$E12/100</f>
        <v>0</v>
      </c>
      <c r="AV12" s="18">
        <f>raw_data!$AV12*mass_composition!$E12/100</f>
        <v>0</v>
      </c>
      <c r="AW12" s="18">
        <f>raw_data!$AW12*mass_composition!$E12/100</f>
        <v>0</v>
      </c>
      <c r="AX12" s="18">
        <f>raw_data!$AX12*mass_composition!$E12/100</f>
        <v>2.1859361982278052E-6</v>
      </c>
      <c r="AY12" s="18">
        <f>raw_data!$AY12*mass_composition!$E12/100</f>
        <v>0</v>
      </c>
      <c r="AZ12" s="18">
        <f>raw_data!$AZ12*mass_composition!$E12/100</f>
        <v>0</v>
      </c>
      <c r="BA12" s="18">
        <f>raw_data!$BA12*mass_composition!$E12/100</f>
        <v>0</v>
      </c>
      <c r="BB12" s="18">
        <f>raw_data!$BB12*mass_composition!$E12/100</f>
        <v>0</v>
      </c>
      <c r="BC12" s="18">
        <f>raw_data!$BC12*mass_composition!$E12/100</f>
        <v>0</v>
      </c>
      <c r="BD12" s="18">
        <f>raw_data!$BD12*mass_composition!$E12/100</f>
        <v>0</v>
      </c>
      <c r="BE12" s="18">
        <f>raw_data!$BE12*mass_composition!$E12/100</f>
        <v>1.3213669976273979E-4</v>
      </c>
      <c r="BF12" s="18">
        <f>raw_data!$BF12*mass_composition!$E12/100</f>
        <v>0</v>
      </c>
      <c r="BG12" s="18">
        <f>raw_data!$BG12*mass_composition!$E12/100</f>
        <v>0</v>
      </c>
      <c r="BH12" s="18">
        <v>0</v>
      </c>
      <c r="BI12" s="18">
        <v>0.99009900990099009</v>
      </c>
      <c r="BJ12" s="18">
        <v>0</v>
      </c>
      <c r="BK12" s="18">
        <f>raw_data!$BK12*$E12/100</f>
        <v>0</v>
      </c>
      <c r="BL12" s="18">
        <f>raw_data!$BL12*$E12/100</f>
        <v>0</v>
      </c>
      <c r="BM12" s="18">
        <v>0</v>
      </c>
      <c r="BN12" s="18">
        <f>raw_data!$BN12*$E12/100</f>
        <v>0</v>
      </c>
      <c r="BO12" s="18">
        <f>raw_data!$BO12*$E12/100</f>
        <v>1.4729833205595724</v>
      </c>
      <c r="BP12" s="18">
        <f>raw_data!$BP12*$E12/100</f>
        <v>1.0731789318604024</v>
      </c>
      <c r="BQ12" s="18">
        <v>0</v>
      </c>
      <c r="BR12" s="18">
        <f>raw_data!$BR12*$E12/100</f>
        <v>0.21356029689041839</v>
      </c>
      <c r="BS12" s="18">
        <v>25.087241901406436</v>
      </c>
      <c r="BT12" s="18">
        <v>2.1121282240490968</v>
      </c>
      <c r="BU12" s="18">
        <v>0</v>
      </c>
      <c r="BV12" s="18">
        <v>6.0190775175078481E-2</v>
      </c>
      <c r="BW12" s="18">
        <v>0</v>
      </c>
      <c r="BX12" s="18">
        <v>0</v>
      </c>
      <c r="BY12" s="18">
        <v>1.4988716349318039</v>
      </c>
      <c r="BZ12" s="18">
        <v>23.344005762381283</v>
      </c>
      <c r="CA12" s="18">
        <v>0</v>
      </c>
      <c r="CB12" s="19">
        <v>6.2400246016002443</v>
      </c>
    </row>
    <row r="13" spans="1:82" x14ac:dyDescent="0.35">
      <c r="A13" s="17" t="s">
        <v>113</v>
      </c>
      <c r="B13" s="17" t="s">
        <v>125</v>
      </c>
      <c r="C13" s="17"/>
      <c r="D13" s="18">
        <f>raw_data!$D13*$C13/100</f>
        <v>0</v>
      </c>
      <c r="E13" s="18">
        <f>raw_data!$E13*$C13/100</f>
        <v>0</v>
      </c>
      <c r="F13" s="18">
        <f>raw_data!$F13*$E13/100</f>
        <v>0</v>
      </c>
      <c r="G13" s="18">
        <f>raw_data!$G13*$E13/100</f>
        <v>0</v>
      </c>
      <c r="H13" s="18">
        <v>31.362676241021028</v>
      </c>
      <c r="I13" s="18">
        <v>856.92445713384006</v>
      </c>
      <c r="J13" s="18">
        <f>raw_data!$J13*mass_composition!$E13/100</f>
        <v>0</v>
      </c>
      <c r="K13" s="18">
        <f>raw_data!$K13*mass_composition!$E13/100</f>
        <v>0</v>
      </c>
      <c r="L13" s="18">
        <f>raw_data!$L13*mass_composition!$E13/100</f>
        <v>0</v>
      </c>
      <c r="M13" s="18">
        <f>raw_data!$M13*mass_composition!$E13/100</f>
        <v>0</v>
      </c>
      <c r="N13" s="18">
        <f>raw_data!$N13*mass_composition!$E13/100</f>
        <v>0</v>
      </c>
      <c r="O13" s="18">
        <f>raw_data!$O13*mass_composition!$E13/100</f>
        <v>0</v>
      </c>
      <c r="P13" s="18">
        <f>raw_data!$P13*mass_composition!$E13/100</f>
        <v>0</v>
      </c>
      <c r="Q13" s="18">
        <f>raw_data!$Q13*mass_composition!$E13/100</f>
        <v>0</v>
      </c>
      <c r="R13" s="18">
        <f>raw_data!$R13*mass_composition!$E13/100</f>
        <v>0</v>
      </c>
      <c r="S13" s="18">
        <f>raw_data!$S13*mass_composition!$E13/100</f>
        <v>0</v>
      </c>
      <c r="T13" s="18">
        <f>raw_data!$T13*mass_composition!$E13/100</f>
        <v>0</v>
      </c>
      <c r="U13" s="18">
        <f>raw_data!$U13*mass_composition!$E13/100</f>
        <v>0</v>
      </c>
      <c r="V13" s="18">
        <f>raw_data!$V13*mass_composition!$E13/100</f>
        <v>0</v>
      </c>
      <c r="W13" s="18">
        <f>raw_data!$W13*mass_composition!$E13/100</f>
        <v>0</v>
      </c>
      <c r="X13" s="18">
        <f>raw_data!$X13*mass_composition!$E13/100</f>
        <v>0</v>
      </c>
      <c r="Y13" s="18">
        <f>raw_data!$Y13*mass_composition!$E13/100</f>
        <v>0</v>
      </c>
      <c r="Z13" s="18">
        <f>raw_data!$Z13*mass_composition!$E13/100</f>
        <v>0</v>
      </c>
      <c r="AA13" s="18">
        <f>raw_data!$AA13*mass_composition!$E13/100</f>
        <v>0</v>
      </c>
      <c r="AB13" s="18">
        <f>raw_data!$AB13*mass_composition!$E13/100</f>
        <v>0</v>
      </c>
      <c r="AC13" s="18">
        <f>raw_data!$AC13*mass_composition!$E13/100</f>
        <v>0</v>
      </c>
      <c r="AD13" s="18">
        <f>raw_data!$AD13*mass_composition!$E13/100</f>
        <v>0</v>
      </c>
      <c r="AE13" s="18">
        <f>raw_data!$AE13*mass_composition!$E13/100</f>
        <v>0</v>
      </c>
      <c r="AF13" s="18">
        <f>raw_data!$AF13*mass_composition!$E13/100</f>
        <v>0</v>
      </c>
      <c r="AG13" s="18">
        <f>raw_data!$AG13*mass_composition!$E13/100</f>
        <v>0</v>
      </c>
      <c r="AH13" s="18">
        <f>raw_data!$AH13*mass_composition!$E13/100</f>
        <v>0</v>
      </c>
      <c r="AI13" s="18">
        <f>raw_data!$AI13*mass_composition!$E13/100</f>
        <v>0</v>
      </c>
      <c r="AJ13" s="18">
        <f>raw_data!$AJ13*mass_composition!$E13/100</f>
        <v>0</v>
      </c>
      <c r="AK13" s="18">
        <f>raw_data!$AK13*mass_composition!$E13/100</f>
        <v>0</v>
      </c>
      <c r="AL13" s="18">
        <f>raw_data!$AL13*mass_composition!$E13/100</f>
        <v>0</v>
      </c>
      <c r="AM13" s="18">
        <f>raw_data!$AM13*mass_composition!$E13/100</f>
        <v>0</v>
      </c>
      <c r="AN13" s="18">
        <f>raw_data!$AN13*mass_composition!$E13/100</f>
        <v>0</v>
      </c>
      <c r="AO13" s="18">
        <f>raw_data!$AO13*mass_composition!$E13/100</f>
        <v>0</v>
      </c>
      <c r="AP13" s="18">
        <f>raw_data!$AP13*mass_composition!$E13/100</f>
        <v>0</v>
      </c>
      <c r="AQ13" s="18">
        <f>raw_data!$AQ13*mass_composition!$E13/100</f>
        <v>0</v>
      </c>
      <c r="AR13" s="18">
        <f>raw_data!$AR13*mass_composition!$E13/100</f>
        <v>0</v>
      </c>
      <c r="AS13" s="18">
        <f>raw_data!$AS13*mass_composition!$E13/100</f>
        <v>0</v>
      </c>
      <c r="AT13" s="18">
        <f>raw_data!$AT13*mass_composition!$E13/100</f>
        <v>0</v>
      </c>
      <c r="AU13" s="18">
        <f>raw_data!$AU13*mass_composition!$E13/100</f>
        <v>0</v>
      </c>
      <c r="AV13" s="18">
        <f>raw_data!$AV13*mass_composition!$E13/100</f>
        <v>0</v>
      </c>
      <c r="AW13" s="18">
        <f>raw_data!$AW13*mass_composition!$E13/100</f>
        <v>0</v>
      </c>
      <c r="AX13" s="18">
        <f>raw_data!$AX13*mass_composition!$E13/100</f>
        <v>0</v>
      </c>
      <c r="AY13" s="18">
        <f>raw_data!$AY13*mass_composition!$E13/100</f>
        <v>0</v>
      </c>
      <c r="AZ13" s="18">
        <f>raw_data!$AZ13*mass_composition!$E13/100</f>
        <v>0</v>
      </c>
      <c r="BA13" s="18">
        <f>raw_data!$BA13*mass_composition!$E13/100</f>
        <v>0</v>
      </c>
      <c r="BB13" s="18">
        <f>raw_data!$BB13*mass_composition!$E13/100</f>
        <v>0</v>
      </c>
      <c r="BC13" s="18">
        <f>raw_data!$BC13*mass_composition!$E13/100</f>
        <v>0</v>
      </c>
      <c r="BD13" s="18">
        <f>raw_data!$BD13*mass_composition!$E13/100</f>
        <v>0</v>
      </c>
      <c r="BE13" s="18">
        <f>raw_data!$BE13*mass_composition!$E13/100</f>
        <v>0</v>
      </c>
      <c r="BF13" s="18">
        <f>raw_data!$BF13*mass_composition!$E13/100</f>
        <v>0</v>
      </c>
      <c r="BG13" s="18">
        <f>raw_data!$BG13*mass_composition!$E13/100</f>
        <v>0</v>
      </c>
      <c r="BH13" s="18">
        <v>0</v>
      </c>
      <c r="BI13" s="18">
        <v>0</v>
      </c>
      <c r="BJ13" s="18">
        <v>0</v>
      </c>
      <c r="BK13" s="18">
        <f>raw_data!$BK13*$E13/100</f>
        <v>0</v>
      </c>
      <c r="BL13" s="18">
        <f>raw_data!$BL13*$E13/100</f>
        <v>0</v>
      </c>
      <c r="BM13" s="18">
        <v>0</v>
      </c>
      <c r="BN13" s="18">
        <f>raw_data!$BN13*$E13/100</f>
        <v>0</v>
      </c>
      <c r="BO13" s="18">
        <f>raw_data!$BO13*$E13/100</f>
        <v>0</v>
      </c>
      <c r="BP13" s="18">
        <f>raw_data!$BP13*$E13/100</f>
        <v>0</v>
      </c>
      <c r="BQ13" s="18">
        <v>0</v>
      </c>
      <c r="BR13" s="18">
        <f>raw_data!$BR13*$E13/100</f>
        <v>0</v>
      </c>
      <c r="BS13" s="18">
        <v>28.708751861501501</v>
      </c>
      <c r="BT13" s="18">
        <v>2.4702955591024982</v>
      </c>
      <c r="BU13" s="18">
        <v>0</v>
      </c>
      <c r="BV13" s="18">
        <v>5.4226475279106852E-2</v>
      </c>
      <c r="BW13" s="18">
        <v>12.446308443917543</v>
      </c>
      <c r="BX13" s="18">
        <v>0</v>
      </c>
      <c r="BY13" s="18">
        <v>13.158771839337993</v>
      </c>
      <c r="BZ13" s="18">
        <v>30.653308836286385</v>
      </c>
      <c r="CA13" s="18">
        <v>0</v>
      </c>
      <c r="CB13" s="19">
        <v>2.0557546158498599</v>
      </c>
    </row>
    <row r="14" spans="1:82" x14ac:dyDescent="0.35">
      <c r="A14" s="17" t="s">
        <v>113</v>
      </c>
      <c r="B14" s="17" t="s">
        <v>126</v>
      </c>
      <c r="C14" s="17"/>
      <c r="D14" s="18">
        <f>raw_data!$D14*$C14/100</f>
        <v>0</v>
      </c>
      <c r="E14" s="18">
        <f>raw_data!$E14*$C14/100</f>
        <v>0</v>
      </c>
      <c r="F14" s="18">
        <f>raw_data!$F14*$E14/100</f>
        <v>0</v>
      </c>
      <c r="G14" s="18">
        <f>raw_data!$G14*$E14/100</f>
        <v>0</v>
      </c>
      <c r="H14" s="18">
        <v>36.957975113905924</v>
      </c>
      <c r="I14" s="18">
        <v>1000.3495900729962</v>
      </c>
      <c r="J14" s="18">
        <f>raw_data!$J14*mass_composition!$E14/100</f>
        <v>0</v>
      </c>
      <c r="K14" s="18">
        <f>raw_data!$K14*mass_composition!$E14/100</f>
        <v>0</v>
      </c>
      <c r="L14" s="18">
        <f>raw_data!$L14*mass_composition!$E14/100</f>
        <v>0</v>
      </c>
      <c r="M14" s="18">
        <f>raw_data!$M14*mass_composition!$E14/100</f>
        <v>0</v>
      </c>
      <c r="N14" s="18">
        <f>raw_data!$N14*mass_composition!$E14/100</f>
        <v>0</v>
      </c>
      <c r="O14" s="18">
        <f>raw_data!$O14*mass_composition!$E14/100</f>
        <v>0</v>
      </c>
      <c r="P14" s="18">
        <f>raw_data!$P14*mass_composition!$E14/100</f>
        <v>0</v>
      </c>
      <c r="Q14" s="18">
        <f>raw_data!$Q14*mass_composition!$E14/100</f>
        <v>0</v>
      </c>
      <c r="R14" s="18">
        <f>raw_data!$R14*mass_composition!$E14/100</f>
        <v>0</v>
      </c>
      <c r="S14" s="18">
        <f>raw_data!$S14*mass_composition!$E14/100</f>
        <v>0</v>
      </c>
      <c r="T14" s="18">
        <f>raw_data!$T14*mass_composition!$E14/100</f>
        <v>0</v>
      </c>
      <c r="U14" s="18">
        <f>raw_data!$U14*mass_composition!$E14/100</f>
        <v>0</v>
      </c>
      <c r="V14" s="18">
        <f>raw_data!$V14*mass_composition!$E14/100</f>
        <v>0</v>
      </c>
      <c r="W14" s="18">
        <f>raw_data!$W14*mass_composition!$E14/100</f>
        <v>0</v>
      </c>
      <c r="X14" s="18">
        <f>raw_data!$X14*mass_composition!$E14/100</f>
        <v>0</v>
      </c>
      <c r="Y14" s="18">
        <f>raw_data!$Y14*mass_composition!$E14/100</f>
        <v>0</v>
      </c>
      <c r="Z14" s="18">
        <f>raw_data!$Z14*mass_composition!$E14/100</f>
        <v>0</v>
      </c>
      <c r="AA14" s="18">
        <f>raw_data!$AA14*mass_composition!$E14/100</f>
        <v>0</v>
      </c>
      <c r="AB14" s="18">
        <f>raw_data!$AB14*mass_composition!$E14/100</f>
        <v>0</v>
      </c>
      <c r="AC14" s="18">
        <f>raw_data!$AC14*mass_composition!$E14/100</f>
        <v>0</v>
      </c>
      <c r="AD14" s="18">
        <f>raw_data!$AD14*mass_composition!$E14/100</f>
        <v>0</v>
      </c>
      <c r="AE14" s="18">
        <f>raw_data!$AE14*mass_composition!$E14/100</f>
        <v>0</v>
      </c>
      <c r="AF14" s="18">
        <f>raw_data!$AF14*mass_composition!$E14/100</f>
        <v>0</v>
      </c>
      <c r="AG14" s="18">
        <f>raw_data!$AG14*mass_composition!$E14/100</f>
        <v>0</v>
      </c>
      <c r="AH14" s="18">
        <f>raw_data!$AH14*mass_composition!$E14/100</f>
        <v>0</v>
      </c>
      <c r="AI14" s="18">
        <f>raw_data!$AI14*mass_composition!$E14/100</f>
        <v>0</v>
      </c>
      <c r="AJ14" s="18">
        <f>raw_data!$AJ14*mass_composition!$E14/100</f>
        <v>0</v>
      </c>
      <c r="AK14" s="18">
        <f>raw_data!$AK14*mass_composition!$E14/100</f>
        <v>0</v>
      </c>
      <c r="AL14" s="18">
        <f>raw_data!$AL14*mass_composition!$E14/100</f>
        <v>0</v>
      </c>
      <c r="AM14" s="18">
        <f>raw_data!$AM14*mass_composition!$E14/100</f>
        <v>0</v>
      </c>
      <c r="AN14" s="18">
        <f>raw_data!$AN14*mass_composition!$E14/100</f>
        <v>0</v>
      </c>
      <c r="AO14" s="18">
        <f>raw_data!$AO14*mass_composition!$E14/100</f>
        <v>0</v>
      </c>
      <c r="AP14" s="18">
        <f>raw_data!$AP14*mass_composition!$E14/100</f>
        <v>0</v>
      </c>
      <c r="AQ14" s="18">
        <f>raw_data!$AQ14*mass_composition!$E14/100</f>
        <v>0</v>
      </c>
      <c r="AR14" s="18">
        <f>raw_data!$AR14*mass_composition!$E14/100</f>
        <v>0</v>
      </c>
      <c r="AS14" s="18">
        <f>raw_data!$AS14*mass_composition!$E14/100</f>
        <v>0</v>
      </c>
      <c r="AT14" s="18">
        <f>raw_data!$AT14*mass_composition!$E14/100</f>
        <v>0</v>
      </c>
      <c r="AU14" s="18">
        <f>raw_data!$AU14*mass_composition!$E14/100</f>
        <v>0</v>
      </c>
      <c r="AV14" s="18">
        <f>raw_data!$AV14*mass_composition!$E14/100</f>
        <v>0</v>
      </c>
      <c r="AW14" s="18">
        <f>raw_data!$AW14*mass_composition!$E14/100</f>
        <v>0</v>
      </c>
      <c r="AX14" s="18">
        <f>raw_data!$AX14*mass_composition!$E14/100</f>
        <v>0</v>
      </c>
      <c r="AY14" s="18">
        <f>raw_data!$AY14*mass_composition!$E14/100</f>
        <v>0</v>
      </c>
      <c r="AZ14" s="18">
        <f>raw_data!$AZ14*mass_composition!$E14/100</f>
        <v>0</v>
      </c>
      <c r="BA14" s="18">
        <f>raw_data!$BA14*mass_composition!$E14/100</f>
        <v>0</v>
      </c>
      <c r="BB14" s="18">
        <f>raw_data!$BB14*mass_composition!$E14/100</f>
        <v>0</v>
      </c>
      <c r="BC14" s="18">
        <f>raw_data!$BC14*mass_composition!$E14/100</f>
        <v>0</v>
      </c>
      <c r="BD14" s="18">
        <f>raw_data!$BD14*mass_composition!$E14/100</f>
        <v>0</v>
      </c>
      <c r="BE14" s="18">
        <f>raw_data!$BE14*mass_composition!$E14/100</f>
        <v>0</v>
      </c>
      <c r="BF14" s="18">
        <f>raw_data!$BF14*mass_composition!$E14/100</f>
        <v>0</v>
      </c>
      <c r="BG14" s="18">
        <f>raw_data!$BG14*mass_composition!$E14/100</f>
        <v>0</v>
      </c>
      <c r="BH14" s="18">
        <v>0</v>
      </c>
      <c r="BI14" s="18">
        <v>0</v>
      </c>
      <c r="BJ14" s="18">
        <v>0</v>
      </c>
      <c r="BK14" s="18">
        <f>raw_data!$BK14*$E14/100</f>
        <v>0</v>
      </c>
      <c r="BL14" s="18">
        <f>raw_data!$BL14*$E14/100</f>
        <v>0</v>
      </c>
      <c r="BM14" s="18">
        <v>0</v>
      </c>
      <c r="BN14" s="18">
        <f>raw_data!$BN14*$E14/100</f>
        <v>0</v>
      </c>
      <c r="BO14" s="18">
        <f>raw_data!$BO14*$E14/100</f>
        <v>0</v>
      </c>
      <c r="BP14" s="18">
        <f>raw_data!$BP14*$E14/100</f>
        <v>0</v>
      </c>
      <c r="BQ14" s="18">
        <v>0</v>
      </c>
      <c r="BR14" s="18">
        <f>raw_data!$BR14*$E14/100</f>
        <v>0</v>
      </c>
      <c r="BS14" s="18">
        <v>32.380290269553242</v>
      </c>
      <c r="BT14" s="18">
        <v>2.8334107076588162</v>
      </c>
      <c r="BU14" s="18">
        <v>0</v>
      </c>
      <c r="BV14" s="18">
        <v>0</v>
      </c>
      <c r="BW14" s="18">
        <v>0.69316624990950149</v>
      </c>
      <c r="BX14" s="18">
        <v>0</v>
      </c>
      <c r="BY14" s="18">
        <v>0.67553992793535333</v>
      </c>
      <c r="BZ14" s="18">
        <v>36.023920840271558</v>
      </c>
      <c r="CA14" s="18">
        <v>0</v>
      </c>
      <c r="CB14" s="19">
        <v>0.8985630231509063</v>
      </c>
    </row>
    <row r="15" spans="1:82" x14ac:dyDescent="0.35">
      <c r="A15" s="17" t="s">
        <v>113</v>
      </c>
      <c r="B15" s="17" t="s">
        <v>127</v>
      </c>
      <c r="C15" s="17">
        <f>13.7254901960785/6</f>
        <v>2.2875816993464166</v>
      </c>
      <c r="D15" s="18">
        <f>raw_data!$D15*$C15/100</f>
        <v>1.7942265795207062</v>
      </c>
      <c r="E15" s="18">
        <f>raw_data!$E15*$C15/100</f>
        <v>0.49335511982571051</v>
      </c>
      <c r="F15" s="18">
        <f>raw_data!$F15*$E15/100</f>
        <v>0.47123189368338414</v>
      </c>
      <c r="G15" s="18">
        <f>raw_data!$G15*$E15/100</f>
        <v>2.2123226142326414E-2</v>
      </c>
      <c r="H15" s="18">
        <v>15.282541504397559</v>
      </c>
      <c r="I15" s="18">
        <v>430.95009533617895</v>
      </c>
      <c r="J15" s="18">
        <f>raw_data!$J15*mass_composition!$E15/100</f>
        <v>0.20323482166386525</v>
      </c>
      <c r="K15" s="18">
        <f>raw_data!$K15*mass_composition!$E15/100</f>
        <v>0.20323482166386525</v>
      </c>
      <c r="L15" s="18">
        <f>raw_data!$L15*mass_composition!$E15/100</f>
        <v>0</v>
      </c>
      <c r="M15" s="18">
        <f>raw_data!$M15*mass_composition!$E15/100</f>
        <v>0</v>
      </c>
      <c r="N15" s="18">
        <f>raw_data!$N15*mass_composition!$E15/100</f>
        <v>0</v>
      </c>
      <c r="O15" s="18">
        <f>raw_data!$O15*mass_composition!$E15/100</f>
        <v>0</v>
      </c>
      <c r="P15" s="18">
        <f>raw_data!$P15*mass_composition!$E15/100</f>
        <v>3.1003052843066429E-2</v>
      </c>
      <c r="Q15" s="18">
        <f>raw_data!$Q15*mass_composition!$E15/100</f>
        <v>0</v>
      </c>
      <c r="R15" s="18">
        <f>raw_data!$R15*mass_composition!$E15/100</f>
        <v>7.5517433060627356E-3</v>
      </c>
      <c r="S15" s="18">
        <f>raw_data!$S15*mass_composition!$E15/100</f>
        <v>0</v>
      </c>
      <c r="T15" s="18">
        <f>raw_data!$T15*mass_composition!$E15/100</f>
        <v>0.22869831651705902</v>
      </c>
      <c r="U15" s="18">
        <f>raw_data!$U15*mass_composition!$E15/100</f>
        <v>0</v>
      </c>
      <c r="V15" s="18">
        <f>raw_data!$V15*mass_composition!$E15/100</f>
        <v>1.6759734530225811E-3</v>
      </c>
      <c r="W15" s="18">
        <f>raw_data!$W15*mass_composition!$E15/100</f>
        <v>0</v>
      </c>
      <c r="X15" s="18">
        <f>raw_data!$X15*mass_composition!$E15/100</f>
        <v>0</v>
      </c>
      <c r="Y15" s="18">
        <f>raw_data!$Y15*mass_composition!$E15/100</f>
        <v>0</v>
      </c>
      <c r="Z15" s="18">
        <f>raw_data!$Z15*mass_composition!$E15/100</f>
        <v>0</v>
      </c>
      <c r="AA15" s="18">
        <f>raw_data!$AA15*mass_composition!$E15/100</f>
        <v>0</v>
      </c>
      <c r="AB15" s="18">
        <f>raw_data!$AB15*mass_composition!$E15/100</f>
        <v>0</v>
      </c>
      <c r="AC15" s="18">
        <f>raw_data!$AC15*mass_composition!$E15/100</f>
        <v>0</v>
      </c>
      <c r="AD15" s="18">
        <f>raw_data!$AD15*mass_composition!$E15/100</f>
        <v>0</v>
      </c>
      <c r="AE15" s="18">
        <f>raw_data!$AE15*mass_composition!$E15/100</f>
        <v>0</v>
      </c>
      <c r="AF15" s="18">
        <f>raw_data!$AF15*mass_composition!$E15/100</f>
        <v>0</v>
      </c>
      <c r="AG15" s="18">
        <f>raw_data!$AG15*mass_composition!$E15/100</f>
        <v>0</v>
      </c>
      <c r="AH15" s="18">
        <f>raw_data!$AH15*mass_composition!$E15/100</f>
        <v>0</v>
      </c>
      <c r="AI15" s="18">
        <f>raw_data!$AI15*mass_composition!$E15/100</f>
        <v>0</v>
      </c>
      <c r="AJ15" s="18">
        <f>raw_data!$AJ15*mass_composition!$E15/100</f>
        <v>0</v>
      </c>
      <c r="AK15" s="18">
        <f>raw_data!$AK15*mass_composition!$E15/100</f>
        <v>0</v>
      </c>
      <c r="AL15" s="18">
        <f>raw_data!$AL15*mass_composition!$E15/100</f>
        <v>0</v>
      </c>
      <c r="AM15" s="18">
        <f>raw_data!$AM15*mass_composition!$E15/100</f>
        <v>0</v>
      </c>
      <c r="AN15" s="18">
        <f>raw_data!$AN15*mass_composition!$E15/100</f>
        <v>0</v>
      </c>
      <c r="AO15" s="18">
        <f>raw_data!$AO15*mass_composition!$E15/100</f>
        <v>0</v>
      </c>
      <c r="AP15" s="18">
        <f>raw_data!$AP15*mass_composition!$E15/100</f>
        <v>0</v>
      </c>
      <c r="AQ15" s="18">
        <f>raw_data!$AQ15*mass_composition!$E15/100</f>
        <v>0</v>
      </c>
      <c r="AR15" s="18">
        <f>raw_data!$AR15*mass_composition!$E15/100</f>
        <v>0</v>
      </c>
      <c r="AS15" s="18">
        <f>raw_data!$AS15*mass_composition!$E15/100</f>
        <v>0</v>
      </c>
      <c r="AT15" s="18">
        <f>raw_data!$AT15*mass_composition!$E15/100</f>
        <v>0</v>
      </c>
      <c r="AU15" s="18">
        <f>raw_data!$AU15*mass_composition!$E15/100</f>
        <v>0</v>
      </c>
      <c r="AV15" s="18">
        <f>raw_data!$AV15*mass_composition!$E15/100</f>
        <v>0</v>
      </c>
      <c r="AW15" s="18">
        <f>raw_data!$AW15*mass_composition!$E15/100</f>
        <v>0</v>
      </c>
      <c r="AX15" s="18">
        <f>raw_data!$AX15*mass_composition!$E15/100</f>
        <v>0</v>
      </c>
      <c r="AY15" s="18">
        <f>raw_data!$AY15*mass_composition!$E15/100</f>
        <v>0</v>
      </c>
      <c r="AZ15" s="18">
        <f>raw_data!$AZ15*mass_composition!$E15/100</f>
        <v>0</v>
      </c>
      <c r="BA15" s="18">
        <f>raw_data!$BA15*mass_composition!$E15/100</f>
        <v>0</v>
      </c>
      <c r="BB15" s="18">
        <f>raw_data!$BB15*mass_composition!$E15/100</f>
        <v>0</v>
      </c>
      <c r="BC15" s="18">
        <f>raw_data!$BC15*mass_composition!$E15/100</f>
        <v>0</v>
      </c>
      <c r="BD15" s="18">
        <f>raw_data!$BD15*mass_composition!$E15/100</f>
        <v>0</v>
      </c>
      <c r="BE15" s="18">
        <f>raw_data!$BE15*mass_composition!$E15/100</f>
        <v>0</v>
      </c>
      <c r="BF15" s="18">
        <f>raw_data!$BF15*mass_composition!$E15/100</f>
        <v>0</v>
      </c>
      <c r="BG15" s="18">
        <f>raw_data!$BG15*mass_composition!$E15/100</f>
        <v>0</v>
      </c>
      <c r="BH15" s="18">
        <v>0</v>
      </c>
      <c r="BI15" s="18">
        <v>0</v>
      </c>
      <c r="BJ15" s="18">
        <v>0</v>
      </c>
      <c r="BK15" s="18">
        <f>raw_data!$BK15*$E15/100</f>
        <v>0</v>
      </c>
      <c r="BL15" s="18">
        <f>raw_data!$BL15*$E15/100</f>
        <v>0</v>
      </c>
      <c r="BM15" s="18">
        <v>0</v>
      </c>
      <c r="BN15" s="18">
        <f>raw_data!$BN15*$E15/100</f>
        <v>0</v>
      </c>
      <c r="BO15" s="18">
        <f>raw_data!$BO15*$E15/100</f>
        <v>4.7198395662892113E-2</v>
      </c>
      <c r="BP15" s="18">
        <f>raw_data!$BP15*$E15/100</f>
        <v>6.1642884278873952E-3</v>
      </c>
      <c r="BQ15" s="18">
        <v>0</v>
      </c>
      <c r="BR15" s="18">
        <f>raw_data!$BR15*$E15/100</f>
        <v>0.41786920959260465</v>
      </c>
      <c r="BS15" s="18">
        <v>16.966856575323735</v>
      </c>
      <c r="BT15" s="18">
        <v>1.3090221152995172</v>
      </c>
      <c r="BU15" s="18">
        <v>0</v>
      </c>
      <c r="BV15" s="18">
        <v>0</v>
      </c>
      <c r="BW15" s="18">
        <v>0</v>
      </c>
      <c r="BX15" s="18">
        <v>0</v>
      </c>
      <c r="BY15" s="18">
        <v>0</v>
      </c>
      <c r="BZ15" s="18">
        <v>15.906765049843854</v>
      </c>
      <c r="CA15" s="18">
        <v>0</v>
      </c>
      <c r="CB15" s="19">
        <v>84.699477678518249</v>
      </c>
    </row>
    <row r="16" spans="1:82" x14ac:dyDescent="0.35">
      <c r="A16" s="17" t="s">
        <v>113</v>
      </c>
      <c r="B16" s="17" t="s">
        <v>128</v>
      </c>
      <c r="C16" s="17"/>
      <c r="D16" s="18">
        <f>raw_data!$D16*$C16/100</f>
        <v>0</v>
      </c>
      <c r="E16" s="18">
        <f>raw_data!$E16*$C16/100</f>
        <v>0</v>
      </c>
      <c r="F16" s="18">
        <f>raw_data!$F16*$E16/100</f>
        <v>0</v>
      </c>
      <c r="G16" s="18">
        <f>raw_data!$G16*$E16/100</f>
        <v>0</v>
      </c>
      <c r="H16" s="18">
        <v>15.46892363404111</v>
      </c>
      <c r="I16" s="18">
        <v>432.42941204593296</v>
      </c>
      <c r="J16" s="18">
        <f>raw_data!$J16*mass_composition!$E16/100</f>
        <v>0</v>
      </c>
      <c r="K16" s="18">
        <f>raw_data!$K16*mass_composition!$E16/100</f>
        <v>0</v>
      </c>
      <c r="L16" s="18">
        <f>raw_data!$L16*mass_composition!$E16/100</f>
        <v>0</v>
      </c>
      <c r="M16" s="18">
        <f>raw_data!$M16*mass_composition!$E16/100</f>
        <v>0</v>
      </c>
      <c r="N16" s="18">
        <f>raw_data!$N16*mass_composition!$E16/100</f>
        <v>0</v>
      </c>
      <c r="O16" s="18">
        <f>raw_data!$O16*mass_composition!$E16/100</f>
        <v>0</v>
      </c>
      <c r="P16" s="18">
        <f>raw_data!$P16*mass_composition!$E16/100</f>
        <v>0</v>
      </c>
      <c r="Q16" s="18">
        <f>raw_data!$Q16*mass_composition!$E16/100</f>
        <v>0</v>
      </c>
      <c r="R16" s="18">
        <f>raw_data!$R16*mass_composition!$E16/100</f>
        <v>0</v>
      </c>
      <c r="S16" s="18">
        <f>raw_data!$S16*mass_composition!$E16/100</f>
        <v>0</v>
      </c>
      <c r="T16" s="18">
        <f>raw_data!$T16*mass_composition!$E16/100</f>
        <v>0</v>
      </c>
      <c r="U16" s="18">
        <f>raw_data!$U16*mass_composition!$E16/100</f>
        <v>0</v>
      </c>
      <c r="V16" s="18">
        <f>raw_data!$V16*mass_composition!$E16/100</f>
        <v>0</v>
      </c>
      <c r="W16" s="18">
        <f>raw_data!$W16*mass_composition!$E16/100</f>
        <v>0</v>
      </c>
      <c r="X16" s="18">
        <f>raw_data!$X16*mass_composition!$E16/100</f>
        <v>0</v>
      </c>
      <c r="Y16" s="18">
        <f>raw_data!$Y16*mass_composition!$E16/100</f>
        <v>0</v>
      </c>
      <c r="Z16" s="18">
        <f>raw_data!$Z16*mass_composition!$E16/100</f>
        <v>0</v>
      </c>
      <c r="AA16" s="18">
        <f>raw_data!$AA16*mass_composition!$E16/100</f>
        <v>0</v>
      </c>
      <c r="AB16" s="18">
        <f>raw_data!$AB16*mass_composition!$E16/100</f>
        <v>0</v>
      </c>
      <c r="AC16" s="18">
        <f>raw_data!$AC16*mass_composition!$E16/100</f>
        <v>0</v>
      </c>
      <c r="AD16" s="18">
        <f>raw_data!$AD16*mass_composition!$E16/100</f>
        <v>0</v>
      </c>
      <c r="AE16" s="18">
        <f>raw_data!$AE16*mass_composition!$E16/100</f>
        <v>0</v>
      </c>
      <c r="AF16" s="18">
        <f>raw_data!$AF16*mass_composition!$E16/100</f>
        <v>0</v>
      </c>
      <c r="AG16" s="18">
        <f>raw_data!$AG16*mass_composition!$E16/100</f>
        <v>0</v>
      </c>
      <c r="AH16" s="18">
        <f>raw_data!$AH16*mass_composition!$E16/100</f>
        <v>0</v>
      </c>
      <c r="AI16" s="18">
        <f>raw_data!$AI16*mass_composition!$E16/100</f>
        <v>0</v>
      </c>
      <c r="AJ16" s="18">
        <f>raw_data!$AJ16*mass_composition!$E16/100</f>
        <v>0</v>
      </c>
      <c r="AK16" s="18">
        <f>raw_data!$AK16*mass_composition!$E16/100</f>
        <v>0</v>
      </c>
      <c r="AL16" s="18">
        <f>raw_data!$AL16*mass_composition!$E16/100</f>
        <v>0</v>
      </c>
      <c r="AM16" s="18">
        <f>raw_data!$AM16*mass_composition!$E16/100</f>
        <v>0</v>
      </c>
      <c r="AN16" s="18">
        <f>raw_data!$AN16*mass_composition!$E16/100</f>
        <v>0</v>
      </c>
      <c r="AO16" s="18">
        <f>raw_data!$AO16*mass_composition!$E16/100</f>
        <v>0</v>
      </c>
      <c r="AP16" s="18">
        <f>raw_data!$AP16*mass_composition!$E16/100</f>
        <v>0</v>
      </c>
      <c r="AQ16" s="18">
        <f>raw_data!$AQ16*mass_composition!$E16/100</f>
        <v>0</v>
      </c>
      <c r="AR16" s="18">
        <f>raw_data!$AR16*mass_composition!$E16/100</f>
        <v>0</v>
      </c>
      <c r="AS16" s="18">
        <f>raw_data!$AS16*mass_composition!$E16/100</f>
        <v>0</v>
      </c>
      <c r="AT16" s="18">
        <f>raw_data!$AT16*mass_composition!$E16/100</f>
        <v>0</v>
      </c>
      <c r="AU16" s="18">
        <f>raw_data!$AU16*mass_composition!$E16/100</f>
        <v>0</v>
      </c>
      <c r="AV16" s="18">
        <f>raw_data!$AV16*mass_composition!$E16/100</f>
        <v>0</v>
      </c>
      <c r="AW16" s="18">
        <f>raw_data!$AW16*mass_composition!$E16/100</f>
        <v>0</v>
      </c>
      <c r="AX16" s="18">
        <f>raw_data!$AX16*mass_composition!$E16/100</f>
        <v>0</v>
      </c>
      <c r="AY16" s="18">
        <f>raw_data!$AY16*mass_composition!$E16/100</f>
        <v>0</v>
      </c>
      <c r="AZ16" s="18">
        <f>raw_data!$AZ16*mass_composition!$E16/100</f>
        <v>0</v>
      </c>
      <c r="BA16" s="18">
        <f>raw_data!$BA16*mass_composition!$E16/100</f>
        <v>0</v>
      </c>
      <c r="BB16" s="18">
        <f>raw_data!$BB16*mass_composition!$E16/100</f>
        <v>0</v>
      </c>
      <c r="BC16" s="18">
        <f>raw_data!$BC16*mass_composition!$E16/100</f>
        <v>0</v>
      </c>
      <c r="BD16" s="18">
        <f>raw_data!$BD16*mass_composition!$E16/100</f>
        <v>0</v>
      </c>
      <c r="BE16" s="18">
        <f>raw_data!$BE16*mass_composition!$E16/100</f>
        <v>0</v>
      </c>
      <c r="BF16" s="18">
        <f>raw_data!$BF16*mass_composition!$E16/100</f>
        <v>0</v>
      </c>
      <c r="BG16" s="18">
        <f>raw_data!$BG16*mass_composition!$E16/100</f>
        <v>0</v>
      </c>
      <c r="BH16" s="18">
        <v>0</v>
      </c>
      <c r="BI16" s="18">
        <v>1.7614202805668302</v>
      </c>
      <c r="BJ16" s="18">
        <v>0</v>
      </c>
      <c r="BK16" s="18">
        <f>raw_data!$BK16*$E16/100</f>
        <v>0</v>
      </c>
      <c r="BL16" s="18">
        <f>raw_data!$BL16*$E16/100</f>
        <v>0</v>
      </c>
      <c r="BM16" s="18">
        <v>0</v>
      </c>
      <c r="BN16" s="18">
        <f>raw_data!$BN16*$E16/100</f>
        <v>0</v>
      </c>
      <c r="BO16" s="18">
        <f>raw_data!$BO16*$E16/100</f>
        <v>0</v>
      </c>
      <c r="BP16" s="18">
        <f>raw_data!$BP16*$E16/100</f>
        <v>0</v>
      </c>
      <c r="BQ16" s="18">
        <v>0</v>
      </c>
      <c r="BR16" s="18">
        <f>raw_data!$BR16*$E16/100</f>
        <v>0</v>
      </c>
      <c r="BS16" s="18">
        <v>17.083040389499615</v>
      </c>
      <c r="BT16" s="18">
        <v>1.3205126945215124</v>
      </c>
      <c r="BU16" s="18">
        <v>18.108636568634431</v>
      </c>
      <c r="BV16" s="18">
        <v>5.191554511144342</v>
      </c>
      <c r="BW16" s="18">
        <v>0</v>
      </c>
      <c r="BX16" s="18">
        <v>0</v>
      </c>
      <c r="BY16" s="18">
        <v>25.061611360345605</v>
      </c>
      <c r="BZ16" s="18">
        <v>15.768966302912006</v>
      </c>
      <c r="CA16" s="18">
        <v>0</v>
      </c>
      <c r="CB16" s="19">
        <v>65.636500809361792</v>
      </c>
    </row>
    <row r="17" spans="1:80" x14ac:dyDescent="0.35">
      <c r="A17" s="17" t="s">
        <v>113</v>
      </c>
      <c r="B17" s="17" t="s">
        <v>129</v>
      </c>
      <c r="C17" s="17"/>
      <c r="D17" s="18">
        <f>raw_data!$D17*$C17/100</f>
        <v>0</v>
      </c>
      <c r="E17" s="18">
        <f>raw_data!$E17*$C17/100</f>
        <v>0</v>
      </c>
      <c r="F17" s="18">
        <f>raw_data!$F17*$E17/100</f>
        <v>0</v>
      </c>
      <c r="G17" s="18">
        <f>raw_data!$G17*$E17/100</f>
        <v>0</v>
      </c>
      <c r="H17" s="18">
        <v>15.791316748543814</v>
      </c>
      <c r="I17" s="18">
        <v>441.28309532102634</v>
      </c>
      <c r="J17" s="18">
        <f>raw_data!$J17*mass_composition!$E17/100</f>
        <v>0</v>
      </c>
      <c r="K17" s="18">
        <f>raw_data!$K17*mass_composition!$E17/100</f>
        <v>0</v>
      </c>
      <c r="L17" s="18">
        <f>raw_data!$L17*mass_composition!$E17/100</f>
        <v>0</v>
      </c>
      <c r="M17" s="18">
        <f>raw_data!$M17*mass_composition!$E17/100</f>
        <v>0</v>
      </c>
      <c r="N17" s="18">
        <f>raw_data!$N17*mass_composition!$E17/100</f>
        <v>0</v>
      </c>
      <c r="O17" s="18">
        <f>raw_data!$O17*mass_composition!$E17/100</f>
        <v>0</v>
      </c>
      <c r="P17" s="18">
        <f>raw_data!$P17*mass_composition!$E17/100</f>
        <v>0</v>
      </c>
      <c r="Q17" s="18">
        <f>raw_data!$Q17*mass_composition!$E17/100</f>
        <v>0</v>
      </c>
      <c r="R17" s="18">
        <f>raw_data!$R17*mass_composition!$E17/100</f>
        <v>0</v>
      </c>
      <c r="S17" s="18">
        <f>raw_data!$S17*mass_composition!$E17/100</f>
        <v>0</v>
      </c>
      <c r="T17" s="18">
        <f>raw_data!$T17*mass_composition!$E17/100</f>
        <v>0</v>
      </c>
      <c r="U17" s="18">
        <f>raw_data!$U17*mass_composition!$E17/100</f>
        <v>0</v>
      </c>
      <c r="V17" s="18">
        <f>raw_data!$V17*mass_composition!$E17/100</f>
        <v>0</v>
      </c>
      <c r="W17" s="18">
        <f>raw_data!$W17*mass_composition!$E17/100</f>
        <v>0</v>
      </c>
      <c r="X17" s="18">
        <f>raw_data!$X17*mass_composition!$E17/100</f>
        <v>0</v>
      </c>
      <c r="Y17" s="18">
        <f>raw_data!$Y17*mass_composition!$E17/100</f>
        <v>0</v>
      </c>
      <c r="Z17" s="18">
        <f>raw_data!$Z17*mass_composition!$E17/100</f>
        <v>0</v>
      </c>
      <c r="AA17" s="18">
        <f>raw_data!$AA17*mass_composition!$E17/100</f>
        <v>0</v>
      </c>
      <c r="AB17" s="18">
        <f>raw_data!$AB17*mass_composition!$E17/100</f>
        <v>0</v>
      </c>
      <c r="AC17" s="18">
        <f>raw_data!$AC17*mass_composition!$E17/100</f>
        <v>0</v>
      </c>
      <c r="AD17" s="18">
        <f>raw_data!$AD17*mass_composition!$E17/100</f>
        <v>0</v>
      </c>
      <c r="AE17" s="18">
        <f>raw_data!$AE17*mass_composition!$E17/100</f>
        <v>0</v>
      </c>
      <c r="AF17" s="18">
        <f>raw_data!$AF17*mass_composition!$E17/100</f>
        <v>0</v>
      </c>
      <c r="AG17" s="18">
        <f>raw_data!$AG17*mass_composition!$E17/100</f>
        <v>0</v>
      </c>
      <c r="AH17" s="18">
        <f>raw_data!$AH17*mass_composition!$E17/100</f>
        <v>0</v>
      </c>
      <c r="AI17" s="18">
        <f>raw_data!$AI17*mass_composition!$E17/100</f>
        <v>0</v>
      </c>
      <c r="AJ17" s="18">
        <f>raw_data!$AJ17*mass_composition!$E17/100</f>
        <v>0</v>
      </c>
      <c r="AK17" s="18">
        <f>raw_data!$AK17*mass_composition!$E17/100</f>
        <v>0</v>
      </c>
      <c r="AL17" s="18">
        <f>raw_data!$AL17*mass_composition!$E17/100</f>
        <v>0</v>
      </c>
      <c r="AM17" s="18">
        <f>raw_data!$AM17*mass_composition!$E17/100</f>
        <v>0</v>
      </c>
      <c r="AN17" s="18">
        <f>raw_data!$AN17*mass_composition!$E17/100</f>
        <v>0</v>
      </c>
      <c r="AO17" s="18">
        <f>raw_data!$AO17*mass_composition!$E17/100</f>
        <v>0</v>
      </c>
      <c r="AP17" s="18">
        <f>raw_data!$AP17*mass_composition!$E17/100</f>
        <v>0</v>
      </c>
      <c r="AQ17" s="18">
        <f>raw_data!$AQ17*mass_composition!$E17/100</f>
        <v>0</v>
      </c>
      <c r="AR17" s="18">
        <f>raw_data!$AR17*mass_composition!$E17/100</f>
        <v>0</v>
      </c>
      <c r="AS17" s="18">
        <f>raw_data!$AS17*mass_composition!$E17/100</f>
        <v>0</v>
      </c>
      <c r="AT17" s="18">
        <f>raw_data!$AT17*mass_composition!$E17/100</f>
        <v>0</v>
      </c>
      <c r="AU17" s="18">
        <f>raw_data!$AU17*mass_composition!$E17/100</f>
        <v>0</v>
      </c>
      <c r="AV17" s="18">
        <f>raw_data!$AV17*mass_composition!$E17/100</f>
        <v>0</v>
      </c>
      <c r="AW17" s="18">
        <f>raw_data!$AW17*mass_composition!$E17/100</f>
        <v>0</v>
      </c>
      <c r="AX17" s="18">
        <f>raw_data!$AX17*mass_composition!$E17/100</f>
        <v>0</v>
      </c>
      <c r="AY17" s="18">
        <f>raw_data!$AY17*mass_composition!$E17/100</f>
        <v>0</v>
      </c>
      <c r="AZ17" s="18">
        <f>raw_data!$AZ17*mass_composition!$E17/100</f>
        <v>0</v>
      </c>
      <c r="BA17" s="18">
        <f>raw_data!$BA17*mass_composition!$E17/100</f>
        <v>0</v>
      </c>
      <c r="BB17" s="18">
        <f>raw_data!$BB17*mass_composition!$E17/100</f>
        <v>0</v>
      </c>
      <c r="BC17" s="18">
        <f>raw_data!$BC17*mass_composition!$E17/100</f>
        <v>0</v>
      </c>
      <c r="BD17" s="18">
        <f>raw_data!$BD17*mass_composition!$E17/100</f>
        <v>0</v>
      </c>
      <c r="BE17" s="18">
        <f>raw_data!$BE17*mass_composition!$E17/100</f>
        <v>0</v>
      </c>
      <c r="BF17" s="18">
        <f>raw_data!$BF17*mass_composition!$E17/100</f>
        <v>0</v>
      </c>
      <c r="BG17" s="18">
        <f>raw_data!$BG17*mass_composition!$E17/100</f>
        <v>0</v>
      </c>
      <c r="BH17" s="18">
        <v>0</v>
      </c>
      <c r="BI17" s="18">
        <v>0</v>
      </c>
      <c r="BJ17" s="18">
        <v>1.3191489361702127</v>
      </c>
      <c r="BK17" s="18">
        <f>raw_data!$BK17*$E17/100</f>
        <v>0</v>
      </c>
      <c r="BL17" s="18">
        <f>raw_data!$BL17*$E17/100</f>
        <v>0</v>
      </c>
      <c r="BM17" s="18">
        <v>0</v>
      </c>
      <c r="BN17" s="18">
        <f>raw_data!$BN17*$E17/100</f>
        <v>0</v>
      </c>
      <c r="BO17" s="18">
        <f>raw_data!$BO17*$E17/100</f>
        <v>0</v>
      </c>
      <c r="BP17" s="18">
        <f>raw_data!$BP17*$E17/100</f>
        <v>0</v>
      </c>
      <c r="BQ17" s="18">
        <v>0</v>
      </c>
      <c r="BR17" s="18">
        <f>raw_data!$BR17*$E17/100</f>
        <v>0</v>
      </c>
      <c r="BS17" s="18">
        <v>16.075768296417966</v>
      </c>
      <c r="BT17" s="18">
        <v>1.2180018178490697</v>
      </c>
      <c r="BU17" s="18">
        <v>20.813238770685583</v>
      </c>
      <c r="BV17" s="18">
        <v>13.191489361702127</v>
      </c>
      <c r="BW17" s="18">
        <v>0</v>
      </c>
      <c r="BX17" s="18">
        <v>0</v>
      </c>
      <c r="BY17" s="18">
        <v>34.004728132387704</v>
      </c>
      <c r="BZ17" s="18">
        <v>14.080378250591016</v>
      </c>
      <c r="CA17" s="18">
        <v>0</v>
      </c>
      <c r="CB17" s="19">
        <v>28.54137115839244</v>
      </c>
    </row>
    <row r="18" spans="1:80" x14ac:dyDescent="0.35">
      <c r="A18" s="17" t="s">
        <v>113</v>
      </c>
      <c r="B18" s="17" t="s">
        <v>130</v>
      </c>
      <c r="C18" s="17"/>
      <c r="D18" s="18">
        <f>raw_data!$D18*$C18/100</f>
        <v>0</v>
      </c>
      <c r="E18" s="18">
        <f>raw_data!$E18*$C18/100</f>
        <v>0</v>
      </c>
      <c r="F18" s="18">
        <f>raw_data!$F18*$E18/100</f>
        <v>0</v>
      </c>
      <c r="G18" s="18">
        <f>raw_data!$G18*$E18/100</f>
        <v>0</v>
      </c>
      <c r="H18" s="18">
        <v>15.34606198084473</v>
      </c>
      <c r="I18" s="18">
        <v>424.70208333333335</v>
      </c>
      <c r="J18" s="18">
        <f>raw_data!$J18*mass_composition!$E18/100</f>
        <v>0</v>
      </c>
      <c r="K18" s="18">
        <f>raw_data!$K18*mass_composition!$E18/100</f>
        <v>0</v>
      </c>
      <c r="L18" s="18">
        <f>raw_data!$L18*mass_composition!$E18/100</f>
        <v>0</v>
      </c>
      <c r="M18" s="18">
        <f>raw_data!$M18*mass_composition!$E18/100</f>
        <v>0</v>
      </c>
      <c r="N18" s="18">
        <f>raw_data!$N18*mass_composition!$E18/100</f>
        <v>0</v>
      </c>
      <c r="O18" s="18">
        <f>raw_data!$O18*mass_composition!$E18/100</f>
        <v>0</v>
      </c>
      <c r="P18" s="18">
        <f>raw_data!$P18*mass_composition!$E18/100</f>
        <v>0</v>
      </c>
      <c r="Q18" s="18">
        <f>raw_data!$Q18*mass_composition!$E18/100</f>
        <v>0</v>
      </c>
      <c r="R18" s="18">
        <f>raw_data!$R18*mass_composition!$E18/100</f>
        <v>0</v>
      </c>
      <c r="S18" s="18">
        <f>raw_data!$S18*mass_composition!$E18/100</f>
        <v>0</v>
      </c>
      <c r="T18" s="18">
        <f>raw_data!$T18*mass_composition!$E18/100</f>
        <v>0</v>
      </c>
      <c r="U18" s="18">
        <f>raw_data!$U18*mass_composition!$E18/100</f>
        <v>0</v>
      </c>
      <c r="V18" s="18">
        <f>raw_data!$V18*mass_composition!$E18/100</f>
        <v>0</v>
      </c>
      <c r="W18" s="18">
        <f>raw_data!$W18*mass_composition!$E18/100</f>
        <v>0</v>
      </c>
      <c r="X18" s="18">
        <f>raw_data!$X18*mass_composition!$E18/100</f>
        <v>0</v>
      </c>
      <c r="Y18" s="18">
        <f>raw_data!$Y18*mass_composition!$E18/100</f>
        <v>0</v>
      </c>
      <c r="Z18" s="18">
        <f>raw_data!$Z18*mass_composition!$E18/100</f>
        <v>0</v>
      </c>
      <c r="AA18" s="18">
        <f>raw_data!$AA18*mass_composition!$E18/100</f>
        <v>0</v>
      </c>
      <c r="AB18" s="18">
        <f>raw_data!$AB18*mass_composition!$E18/100</f>
        <v>0</v>
      </c>
      <c r="AC18" s="18">
        <f>raw_data!$AC18*mass_composition!$E18/100</f>
        <v>0</v>
      </c>
      <c r="AD18" s="18">
        <f>raw_data!$AD18*mass_composition!$E18/100</f>
        <v>0</v>
      </c>
      <c r="AE18" s="18">
        <f>raw_data!$AE18*mass_composition!$E18/100</f>
        <v>0</v>
      </c>
      <c r="AF18" s="18">
        <f>raw_data!$AF18*mass_composition!$E18/100</f>
        <v>0</v>
      </c>
      <c r="AG18" s="18">
        <f>raw_data!$AG18*mass_composition!$E18/100</f>
        <v>0</v>
      </c>
      <c r="AH18" s="18">
        <f>raw_data!$AH18*mass_composition!$E18/100</f>
        <v>0</v>
      </c>
      <c r="AI18" s="18">
        <f>raw_data!$AI18*mass_composition!$E18/100</f>
        <v>0</v>
      </c>
      <c r="AJ18" s="18">
        <f>raw_data!$AJ18*mass_composition!$E18/100</f>
        <v>0</v>
      </c>
      <c r="AK18" s="18">
        <f>raw_data!$AK18*mass_composition!$E18/100</f>
        <v>0</v>
      </c>
      <c r="AL18" s="18">
        <f>raw_data!$AL18*mass_composition!$E18/100</f>
        <v>0</v>
      </c>
      <c r="AM18" s="18">
        <f>raw_data!$AM18*mass_composition!$E18/100</f>
        <v>0</v>
      </c>
      <c r="AN18" s="18">
        <f>raw_data!$AN18*mass_composition!$E18/100</f>
        <v>0</v>
      </c>
      <c r="AO18" s="18">
        <f>raw_data!$AO18*mass_composition!$E18/100</f>
        <v>0</v>
      </c>
      <c r="AP18" s="18">
        <f>raw_data!$AP18*mass_composition!$E18/100</f>
        <v>0</v>
      </c>
      <c r="AQ18" s="18">
        <f>raw_data!$AQ18*mass_composition!$E18/100</f>
        <v>0</v>
      </c>
      <c r="AR18" s="18">
        <f>raw_data!$AR18*mass_composition!$E18/100</f>
        <v>0</v>
      </c>
      <c r="AS18" s="18">
        <f>raw_data!$AS18*mass_composition!$E18/100</f>
        <v>0</v>
      </c>
      <c r="AT18" s="18">
        <f>raw_data!$AT18*mass_composition!$E18/100</f>
        <v>0</v>
      </c>
      <c r="AU18" s="18">
        <f>raw_data!$AU18*mass_composition!$E18/100</f>
        <v>0</v>
      </c>
      <c r="AV18" s="18">
        <f>raw_data!$AV18*mass_composition!$E18/100</f>
        <v>0</v>
      </c>
      <c r="AW18" s="18">
        <f>raw_data!$AW18*mass_composition!$E18/100</f>
        <v>0</v>
      </c>
      <c r="AX18" s="18">
        <f>raw_data!$AX18*mass_composition!$E18/100</f>
        <v>0</v>
      </c>
      <c r="AY18" s="18">
        <f>raw_data!$AY18*mass_composition!$E18/100</f>
        <v>0</v>
      </c>
      <c r="AZ18" s="18">
        <f>raw_data!$AZ18*mass_composition!$E18/100</f>
        <v>0</v>
      </c>
      <c r="BA18" s="18">
        <f>raw_data!$BA18*mass_composition!$E18/100</f>
        <v>0</v>
      </c>
      <c r="BB18" s="18">
        <f>raw_data!$BB18*mass_composition!$E18/100</f>
        <v>0</v>
      </c>
      <c r="BC18" s="18">
        <f>raw_data!$BC18*mass_composition!$E18/100</f>
        <v>0</v>
      </c>
      <c r="BD18" s="18">
        <f>raw_data!$BD18*mass_composition!$E18/100</f>
        <v>0</v>
      </c>
      <c r="BE18" s="18">
        <f>raw_data!$BE18*mass_composition!$E18/100</f>
        <v>0</v>
      </c>
      <c r="BF18" s="18">
        <f>raw_data!$BF18*mass_composition!$E18/100</f>
        <v>0</v>
      </c>
      <c r="BG18" s="18">
        <f>raw_data!$BG18*mass_composition!$E18/100</f>
        <v>0</v>
      </c>
      <c r="BH18" s="18">
        <v>0</v>
      </c>
      <c r="BI18" s="18">
        <v>25.403225806451612</v>
      </c>
      <c r="BJ18" s="18">
        <v>10.887096774193548</v>
      </c>
      <c r="BK18" s="18">
        <f>raw_data!$BK18*$E18/100</f>
        <v>0</v>
      </c>
      <c r="BL18" s="18">
        <f>raw_data!$BL18*$E18/100</f>
        <v>0</v>
      </c>
      <c r="BM18" s="18">
        <v>0</v>
      </c>
      <c r="BN18" s="18">
        <f>raw_data!$BN18*$E18/100</f>
        <v>0</v>
      </c>
      <c r="BO18" s="18">
        <f>raw_data!$BO18*$E18/100</f>
        <v>0</v>
      </c>
      <c r="BP18" s="18">
        <f>raw_data!$BP18*$E18/100</f>
        <v>0</v>
      </c>
      <c r="BQ18" s="18">
        <v>0</v>
      </c>
      <c r="BR18" s="18">
        <f>raw_data!$BR18*$E18/100</f>
        <v>0</v>
      </c>
      <c r="BS18" s="18">
        <v>16.655942872242786</v>
      </c>
      <c r="BT18" s="18">
        <v>1.2773282944196505</v>
      </c>
      <c r="BU18" s="18">
        <v>15.322580645161288</v>
      </c>
      <c r="BV18" s="18">
        <v>23.387096774193548</v>
      </c>
      <c r="BW18" s="18">
        <v>0</v>
      </c>
      <c r="BX18" s="18">
        <v>0</v>
      </c>
      <c r="BY18" s="18">
        <v>64.112903225806448</v>
      </c>
      <c r="BZ18" s="18">
        <v>16.129032258064516</v>
      </c>
      <c r="CA18" s="18">
        <v>0</v>
      </c>
      <c r="CB18" s="19">
        <v>12.338709677419374</v>
      </c>
    </row>
    <row r="19" spans="1:80" x14ac:dyDescent="0.35">
      <c r="A19" s="17" t="s">
        <v>113</v>
      </c>
      <c r="B19" s="17" t="s">
        <v>131</v>
      </c>
      <c r="C19" s="17"/>
      <c r="D19" s="18">
        <f>raw_data!$D19*$C19/100</f>
        <v>0</v>
      </c>
      <c r="E19" s="18">
        <f>raw_data!$E19*$C19/100</f>
        <v>0</v>
      </c>
      <c r="F19" s="18">
        <f>raw_data!$F19*$E19/100</f>
        <v>0</v>
      </c>
      <c r="G19" s="18">
        <f>raw_data!$G19*$E19/100</f>
        <v>0</v>
      </c>
      <c r="H19" s="18">
        <v>15.878457597027261</v>
      </c>
      <c r="I19" s="18">
        <v>448.00000000000006</v>
      </c>
      <c r="J19" s="18">
        <f>raw_data!$J19*mass_composition!$E19/100</f>
        <v>0</v>
      </c>
      <c r="K19" s="18">
        <f>raw_data!$K19*mass_composition!$E19/100</f>
        <v>0</v>
      </c>
      <c r="L19" s="18">
        <f>raw_data!$L19*mass_composition!$E19/100</f>
        <v>0</v>
      </c>
      <c r="M19" s="18">
        <f>raw_data!$M19*mass_composition!$E19/100</f>
        <v>0</v>
      </c>
      <c r="N19" s="18">
        <f>raw_data!$N19*mass_composition!$E19/100</f>
        <v>0</v>
      </c>
      <c r="O19" s="18">
        <f>raw_data!$O19*mass_composition!$E19/100</f>
        <v>0</v>
      </c>
      <c r="P19" s="18">
        <f>raw_data!$P19*mass_composition!$E19/100</f>
        <v>0</v>
      </c>
      <c r="Q19" s="18">
        <f>raw_data!$Q19*mass_composition!$E19/100</f>
        <v>0</v>
      </c>
      <c r="R19" s="18">
        <f>raw_data!$R19*mass_composition!$E19/100</f>
        <v>0</v>
      </c>
      <c r="S19" s="18">
        <f>raw_data!$S19*mass_composition!$E19/100</f>
        <v>0</v>
      </c>
      <c r="T19" s="18">
        <f>raw_data!$T19*mass_composition!$E19/100</f>
        <v>0</v>
      </c>
      <c r="U19" s="18">
        <f>raw_data!$U19*mass_composition!$E19/100</f>
        <v>0</v>
      </c>
      <c r="V19" s="18">
        <f>raw_data!$V19*mass_composition!$E19/100</f>
        <v>0</v>
      </c>
      <c r="W19" s="18">
        <f>raw_data!$W19*mass_composition!$E19/100</f>
        <v>0</v>
      </c>
      <c r="X19" s="18">
        <f>raw_data!$X19*mass_composition!$E19/100</f>
        <v>0</v>
      </c>
      <c r="Y19" s="18">
        <f>raw_data!$Y19*mass_composition!$E19/100</f>
        <v>0</v>
      </c>
      <c r="Z19" s="18">
        <f>raw_data!$Z19*mass_composition!$E19/100</f>
        <v>0</v>
      </c>
      <c r="AA19" s="18">
        <f>raw_data!$AA19*mass_composition!$E19/100</f>
        <v>0</v>
      </c>
      <c r="AB19" s="18">
        <f>raw_data!$AB19*mass_composition!$E19/100</f>
        <v>0</v>
      </c>
      <c r="AC19" s="18">
        <f>raw_data!$AC19*mass_composition!$E19/100</f>
        <v>0</v>
      </c>
      <c r="AD19" s="18">
        <f>raw_data!$AD19*mass_composition!$E19/100</f>
        <v>0</v>
      </c>
      <c r="AE19" s="18">
        <f>raw_data!$AE19*mass_composition!$E19/100</f>
        <v>0</v>
      </c>
      <c r="AF19" s="18">
        <f>raw_data!$AF19*mass_composition!$E19/100</f>
        <v>0</v>
      </c>
      <c r="AG19" s="18">
        <f>raw_data!$AG19*mass_composition!$E19/100</f>
        <v>0</v>
      </c>
      <c r="AH19" s="18">
        <f>raw_data!$AH19*mass_composition!$E19/100</f>
        <v>0</v>
      </c>
      <c r="AI19" s="18">
        <f>raw_data!$AI19*mass_composition!$E19/100</f>
        <v>0</v>
      </c>
      <c r="AJ19" s="18">
        <f>raw_data!$AJ19*mass_composition!$E19/100</f>
        <v>0</v>
      </c>
      <c r="AK19" s="18">
        <f>raw_data!$AK19*mass_composition!$E19/100</f>
        <v>0</v>
      </c>
      <c r="AL19" s="18">
        <f>raw_data!$AL19*mass_composition!$E19/100</f>
        <v>0</v>
      </c>
      <c r="AM19" s="18">
        <f>raw_data!$AM19*mass_composition!$E19/100</f>
        <v>0</v>
      </c>
      <c r="AN19" s="18">
        <f>raw_data!$AN19*mass_composition!$E19/100</f>
        <v>0</v>
      </c>
      <c r="AO19" s="18">
        <f>raw_data!$AO19*mass_composition!$E19/100</f>
        <v>0</v>
      </c>
      <c r="AP19" s="18">
        <f>raw_data!$AP19*mass_composition!$E19/100</f>
        <v>0</v>
      </c>
      <c r="AQ19" s="18">
        <f>raw_data!$AQ19*mass_composition!$E19/100</f>
        <v>0</v>
      </c>
      <c r="AR19" s="18">
        <f>raw_data!$AR19*mass_composition!$E19/100</f>
        <v>0</v>
      </c>
      <c r="AS19" s="18">
        <f>raw_data!$AS19*mass_composition!$E19/100</f>
        <v>0</v>
      </c>
      <c r="AT19" s="18">
        <f>raw_data!$AT19*mass_composition!$E19/100</f>
        <v>0</v>
      </c>
      <c r="AU19" s="18">
        <f>raw_data!$AU19*mass_composition!$E19/100</f>
        <v>0</v>
      </c>
      <c r="AV19" s="18">
        <f>raw_data!$AV19*mass_composition!$E19/100</f>
        <v>0</v>
      </c>
      <c r="AW19" s="18">
        <f>raw_data!$AW19*mass_composition!$E19/100</f>
        <v>0</v>
      </c>
      <c r="AX19" s="18">
        <f>raw_data!$AX19*mass_composition!$E19/100</f>
        <v>0</v>
      </c>
      <c r="AY19" s="18">
        <f>raw_data!$AY19*mass_composition!$E19/100</f>
        <v>0</v>
      </c>
      <c r="AZ19" s="18">
        <f>raw_data!$AZ19*mass_composition!$E19/100</f>
        <v>0</v>
      </c>
      <c r="BA19" s="18">
        <f>raw_data!$BA19*mass_composition!$E19/100</f>
        <v>0</v>
      </c>
      <c r="BB19" s="18">
        <f>raw_data!$BB19*mass_composition!$E19/100</f>
        <v>0</v>
      </c>
      <c r="BC19" s="18">
        <f>raw_data!$BC19*mass_composition!$E19/100</f>
        <v>0</v>
      </c>
      <c r="BD19" s="18">
        <f>raw_data!$BD19*mass_composition!$E19/100</f>
        <v>0</v>
      </c>
      <c r="BE19" s="18">
        <f>raw_data!$BE19*mass_composition!$E19/100</f>
        <v>0</v>
      </c>
      <c r="BF19" s="18">
        <f>raw_data!$BF19*mass_composition!$E19/100</f>
        <v>0</v>
      </c>
      <c r="BG19" s="18">
        <f>raw_data!$BG19*mass_composition!$E19/100</f>
        <v>0</v>
      </c>
      <c r="BH19" s="18">
        <v>0</v>
      </c>
      <c r="BI19" s="18">
        <v>25.925925925925924</v>
      </c>
      <c r="BJ19" s="18">
        <v>0</v>
      </c>
      <c r="BK19" s="18">
        <f>raw_data!$BK19*$E19/100</f>
        <v>0</v>
      </c>
      <c r="BL19" s="18">
        <f>raw_data!$BL19*$E19/100</f>
        <v>0</v>
      </c>
      <c r="BM19" s="18">
        <v>0</v>
      </c>
      <c r="BN19" s="18">
        <f>raw_data!$BN19*$E19/100</f>
        <v>0</v>
      </c>
      <c r="BO19" s="18">
        <f>raw_data!$BO19*$E19/100</f>
        <v>0</v>
      </c>
      <c r="BP19" s="18">
        <f>raw_data!$BP19*$E19/100</f>
        <v>0</v>
      </c>
      <c r="BQ19" s="18">
        <v>0</v>
      </c>
      <c r="BR19" s="18">
        <f>raw_data!$BR19*$E19/100</f>
        <v>0</v>
      </c>
      <c r="BS19" s="18">
        <v>17.558714074074075</v>
      </c>
      <c r="BT19" s="18">
        <v>1.367556821925926</v>
      </c>
      <c r="BU19" s="18">
        <v>16.296296296296298</v>
      </c>
      <c r="BV19" s="18">
        <v>18.518518518518519</v>
      </c>
      <c r="BW19" s="18">
        <v>0</v>
      </c>
      <c r="BX19" s="18">
        <v>0</v>
      </c>
      <c r="BY19" s="18">
        <v>60.74074074074074</v>
      </c>
      <c r="BZ19" s="18">
        <v>16</v>
      </c>
      <c r="CA19" s="18">
        <v>0</v>
      </c>
      <c r="CB19" s="19">
        <v>25.18518518518519</v>
      </c>
    </row>
    <row r="20" spans="1:80" x14ac:dyDescent="0.35">
      <c r="A20" s="17" t="s">
        <v>113</v>
      </c>
      <c r="B20" s="17" t="s">
        <v>132</v>
      </c>
      <c r="C20" s="17"/>
      <c r="D20" s="18">
        <f>raw_data!$D20*$C20/100</f>
        <v>0</v>
      </c>
      <c r="E20" s="18">
        <f>raw_data!$E20*$C20/100</f>
        <v>0</v>
      </c>
      <c r="F20" s="18">
        <f>raw_data!$F20*$E20/100</f>
        <v>0</v>
      </c>
      <c r="G20" s="18">
        <f>raw_data!$G20*$E20/100</f>
        <v>0</v>
      </c>
      <c r="H20" s="18">
        <v>15.543519724145114</v>
      </c>
      <c r="I20" s="18">
        <v>463.22916666666657</v>
      </c>
      <c r="J20" s="18">
        <f>raw_data!$J20*mass_composition!$E20/100</f>
        <v>0</v>
      </c>
      <c r="K20" s="18">
        <f>raw_data!$K20*mass_composition!$E20/100</f>
        <v>0</v>
      </c>
      <c r="L20" s="18">
        <f>raw_data!$L20*mass_composition!$E20/100</f>
        <v>0</v>
      </c>
      <c r="M20" s="18">
        <f>raw_data!$M20*mass_composition!$E20/100</f>
        <v>0</v>
      </c>
      <c r="N20" s="18">
        <f>raw_data!$N20*mass_composition!$E20/100</f>
        <v>0</v>
      </c>
      <c r="O20" s="18">
        <f>raw_data!$O20*mass_composition!$E20/100</f>
        <v>0</v>
      </c>
      <c r="P20" s="18">
        <f>raw_data!$P20*mass_composition!$E20/100</f>
        <v>0</v>
      </c>
      <c r="Q20" s="18">
        <f>raw_data!$Q20*mass_composition!$E20/100</f>
        <v>0</v>
      </c>
      <c r="R20" s="18">
        <f>raw_data!$R20*mass_composition!$E20/100</f>
        <v>0</v>
      </c>
      <c r="S20" s="18">
        <f>raw_data!$S20*mass_composition!$E20/100</f>
        <v>0</v>
      </c>
      <c r="T20" s="18">
        <f>raw_data!$T20*mass_composition!$E20/100</f>
        <v>0</v>
      </c>
      <c r="U20" s="18">
        <f>raw_data!$U20*mass_composition!$E20/100</f>
        <v>0</v>
      </c>
      <c r="V20" s="18">
        <f>raw_data!$V20*mass_composition!$E20/100</f>
        <v>0</v>
      </c>
      <c r="W20" s="18">
        <f>raw_data!$W20*mass_composition!$E20/100</f>
        <v>0</v>
      </c>
      <c r="X20" s="18">
        <f>raw_data!$X20*mass_composition!$E20/100</f>
        <v>0</v>
      </c>
      <c r="Y20" s="18">
        <f>raw_data!$Y20*mass_composition!$E20/100</f>
        <v>0</v>
      </c>
      <c r="Z20" s="18">
        <f>raw_data!$Z20*mass_composition!$E20/100</f>
        <v>0</v>
      </c>
      <c r="AA20" s="18">
        <f>raw_data!$AA20*mass_composition!$E20/100</f>
        <v>0</v>
      </c>
      <c r="AB20" s="18">
        <f>raw_data!$AB20*mass_composition!$E20/100</f>
        <v>0</v>
      </c>
      <c r="AC20" s="18">
        <f>raw_data!$AC20*mass_composition!$E20/100</f>
        <v>0</v>
      </c>
      <c r="AD20" s="18">
        <f>raw_data!$AD20*mass_composition!$E20/100</f>
        <v>0</v>
      </c>
      <c r="AE20" s="18">
        <f>raw_data!$AE20*mass_composition!$E20/100</f>
        <v>0</v>
      </c>
      <c r="AF20" s="18">
        <f>raw_data!$AF20*mass_composition!$E20/100</f>
        <v>0</v>
      </c>
      <c r="AG20" s="18">
        <f>raw_data!$AG20*mass_composition!$E20/100</f>
        <v>0</v>
      </c>
      <c r="AH20" s="18">
        <f>raw_data!$AH20*mass_composition!$E20/100</f>
        <v>0</v>
      </c>
      <c r="AI20" s="18">
        <f>raw_data!$AI20*mass_composition!$E20/100</f>
        <v>0</v>
      </c>
      <c r="AJ20" s="18">
        <f>raw_data!$AJ20*mass_composition!$E20/100</f>
        <v>0</v>
      </c>
      <c r="AK20" s="18">
        <f>raw_data!$AK20*mass_composition!$E20/100</f>
        <v>0</v>
      </c>
      <c r="AL20" s="18">
        <f>raw_data!$AL20*mass_composition!$E20/100</f>
        <v>0</v>
      </c>
      <c r="AM20" s="18">
        <f>raw_data!$AM20*mass_composition!$E20/100</f>
        <v>0</v>
      </c>
      <c r="AN20" s="18">
        <f>raw_data!$AN20*mass_composition!$E20/100</f>
        <v>0</v>
      </c>
      <c r="AO20" s="18">
        <f>raw_data!$AO20*mass_composition!$E20/100</f>
        <v>0</v>
      </c>
      <c r="AP20" s="18">
        <f>raw_data!$AP20*mass_composition!$E20/100</f>
        <v>0</v>
      </c>
      <c r="AQ20" s="18">
        <f>raw_data!$AQ20*mass_composition!$E20/100</f>
        <v>0</v>
      </c>
      <c r="AR20" s="18">
        <f>raw_data!$AR20*mass_composition!$E20/100</f>
        <v>0</v>
      </c>
      <c r="AS20" s="18">
        <f>raw_data!$AS20*mass_composition!$E20/100</f>
        <v>0</v>
      </c>
      <c r="AT20" s="18">
        <f>raw_data!$AT20*mass_composition!$E20/100</f>
        <v>0</v>
      </c>
      <c r="AU20" s="18">
        <f>raw_data!$AU20*mass_composition!$E20/100</f>
        <v>0</v>
      </c>
      <c r="AV20" s="18">
        <f>raw_data!$AV20*mass_composition!$E20/100</f>
        <v>0</v>
      </c>
      <c r="AW20" s="18">
        <f>raw_data!$AW20*mass_composition!$E20/100</f>
        <v>0</v>
      </c>
      <c r="AX20" s="18">
        <f>raw_data!$AX20*mass_composition!$E20/100</f>
        <v>0</v>
      </c>
      <c r="AY20" s="18">
        <f>raw_data!$AY20*mass_composition!$E20/100</f>
        <v>0</v>
      </c>
      <c r="AZ20" s="18">
        <f>raw_data!$AZ20*mass_composition!$E20/100</f>
        <v>0</v>
      </c>
      <c r="BA20" s="18">
        <f>raw_data!$BA20*mass_composition!$E20/100</f>
        <v>0</v>
      </c>
      <c r="BB20" s="18">
        <f>raw_data!$BB20*mass_composition!$E20/100</f>
        <v>0</v>
      </c>
      <c r="BC20" s="18">
        <f>raw_data!$BC20*mass_composition!$E20/100</f>
        <v>0</v>
      </c>
      <c r="BD20" s="18">
        <f>raw_data!$BD20*mass_composition!$E20/100</f>
        <v>0</v>
      </c>
      <c r="BE20" s="18">
        <f>raw_data!$BE20*mass_composition!$E20/100</f>
        <v>0</v>
      </c>
      <c r="BF20" s="18">
        <f>raw_data!$BF20*mass_composition!$E20/100</f>
        <v>0</v>
      </c>
      <c r="BG20" s="18">
        <f>raw_data!$BG20*mass_composition!$E20/100</f>
        <v>0</v>
      </c>
      <c r="BH20" s="18">
        <v>0</v>
      </c>
      <c r="BI20" s="18">
        <v>0</v>
      </c>
      <c r="BJ20" s="18">
        <v>0</v>
      </c>
      <c r="BK20" s="18">
        <f>raw_data!$BK20*$E20/100</f>
        <v>0</v>
      </c>
      <c r="BL20" s="18">
        <f>raw_data!$BL20*$E20/100</f>
        <v>0</v>
      </c>
      <c r="BM20" s="18">
        <v>0</v>
      </c>
      <c r="BN20" s="18">
        <f>raw_data!$BN20*$E20/100</f>
        <v>0</v>
      </c>
      <c r="BO20" s="18">
        <f>raw_data!$BO20*$E20/100</f>
        <v>0</v>
      </c>
      <c r="BP20" s="18">
        <f>raw_data!$BP20*$E20/100</f>
        <v>0</v>
      </c>
      <c r="BQ20" s="18">
        <v>0</v>
      </c>
      <c r="BR20" s="18">
        <f>raw_data!$BR20*$E20/100</f>
        <v>0</v>
      </c>
      <c r="BS20" s="18">
        <v>17.269016276193693</v>
      </c>
      <c r="BT20" s="18">
        <v>1.3389057097155561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13.093174227925999</v>
      </c>
      <c r="CA20" s="18">
        <v>0</v>
      </c>
      <c r="CB20" s="19">
        <v>61.432752770138791</v>
      </c>
    </row>
    <row r="21" spans="1:80" x14ac:dyDescent="0.35">
      <c r="A21" s="17" t="s">
        <v>113</v>
      </c>
      <c r="B21" s="17" t="s">
        <v>133</v>
      </c>
      <c r="C21" s="17">
        <f>13.7254901960785/6</f>
        <v>2.2875816993464166</v>
      </c>
      <c r="D21" s="18">
        <f>raw_data!$D21*$C21/100</f>
        <v>2.0367102396514265</v>
      </c>
      <c r="E21" s="18">
        <f>raw_data!$E21*$C21/100</f>
        <v>0.25087145969499036</v>
      </c>
      <c r="F21" s="18">
        <f>raw_data!$F21*$E21/100</f>
        <v>0.23410889210042549</v>
      </c>
      <c r="G21" s="18">
        <f>raw_data!$G21*$E21/100</f>
        <v>1.6762567594564882E-2</v>
      </c>
      <c r="H21" s="18">
        <v>15.262831968450998</v>
      </c>
      <c r="I21" s="18">
        <v>442.57711745134185</v>
      </c>
      <c r="J21" s="18">
        <f>raw_data!$J21*mass_composition!$E21/100</f>
        <v>0.10171253369598331</v>
      </c>
      <c r="K21" s="18">
        <f>raw_data!$K21*mass_composition!$E21/100</f>
        <v>0.10074994722853794</v>
      </c>
      <c r="L21" s="18">
        <f>raw_data!$L21*mass_composition!$E21/100</f>
        <v>0</v>
      </c>
      <c r="M21" s="18">
        <f>raw_data!$M21*mass_composition!$E21/100</f>
        <v>7.3388634119310166E-4</v>
      </c>
      <c r="N21" s="18">
        <f>raw_data!$N21*mass_composition!$E21/100</f>
        <v>0</v>
      </c>
      <c r="O21" s="18">
        <f>raw_data!$O21*mass_composition!$E21/100</f>
        <v>0</v>
      </c>
      <c r="P21" s="18">
        <f>raw_data!$P21*mass_composition!$E21/100</f>
        <v>1.5827199636103566E-2</v>
      </c>
      <c r="Q21" s="18">
        <f>raw_data!$Q21*mass_composition!$E21/100</f>
        <v>6.4527403251530271E-3</v>
      </c>
      <c r="R21" s="18">
        <f>raw_data!$R21*mass_composition!$E21/100</f>
        <v>3.0598849486265529E-3</v>
      </c>
      <c r="S21" s="18">
        <f>raw_data!$S21*mass_composition!$E21/100</f>
        <v>1.5119095146516484E-3</v>
      </c>
      <c r="T21" s="18">
        <f>raw_data!$T21*mass_composition!$E21/100</f>
        <v>0.11323247052460486</v>
      </c>
      <c r="U21" s="18">
        <f>raw_data!$U21*mass_composition!$E21/100</f>
        <v>6.9697698827693379E-4</v>
      </c>
      <c r="V21" s="18">
        <f>raw_data!$V21*mass_composition!$E21/100</f>
        <v>6.7410816745921693E-4</v>
      </c>
      <c r="W21" s="18">
        <f>raw_data!$W21*mass_composition!$E21/100</f>
        <v>0</v>
      </c>
      <c r="X21" s="18">
        <f>raw_data!$X21*mass_composition!$E21/100</f>
        <v>0</v>
      </c>
      <c r="Y21" s="18">
        <f>raw_data!$Y21*mass_composition!$E21/100</f>
        <v>0</v>
      </c>
      <c r="Z21" s="18">
        <f>raw_data!$Z21*mass_composition!$E21/100</f>
        <v>4.1233895854135865E-9</v>
      </c>
      <c r="AA21" s="18">
        <f>raw_data!$AA21*mass_composition!$E21/100</f>
        <v>0</v>
      </c>
      <c r="AB21" s="18">
        <f>raw_data!$AB21*mass_composition!$E21/100</f>
        <v>0</v>
      </c>
      <c r="AC21" s="18">
        <f>raw_data!$AC21*mass_composition!$E21/100</f>
        <v>0</v>
      </c>
      <c r="AD21" s="18">
        <f>raw_data!$AD21*mass_composition!$E21/100</f>
        <v>0</v>
      </c>
      <c r="AE21" s="18">
        <f>raw_data!$AE21*mass_composition!$E21/100</f>
        <v>0</v>
      </c>
      <c r="AF21" s="18">
        <f>raw_data!$AF21*mass_composition!$E21/100</f>
        <v>0</v>
      </c>
      <c r="AG21" s="18">
        <f>raw_data!$AG21*mass_composition!$E21/100</f>
        <v>4.1439912848237201E-8</v>
      </c>
      <c r="AH21" s="18">
        <f>raw_data!$AH21*mass_composition!$E21/100</f>
        <v>0</v>
      </c>
      <c r="AI21" s="18">
        <f>raw_data!$AI21*mass_composition!$E21/100</f>
        <v>1.8326175935171491E-8</v>
      </c>
      <c r="AJ21" s="18">
        <f>raw_data!$AJ21*mass_composition!$E21/100</f>
        <v>8.2467791708271728E-7</v>
      </c>
      <c r="AK21" s="18">
        <f>raw_data!$AK21*mass_composition!$E21/100</f>
        <v>7.4898809115160573E-6</v>
      </c>
      <c r="AL21" s="18">
        <f>raw_data!$AL21*mass_composition!$E21/100</f>
        <v>0</v>
      </c>
      <c r="AM21" s="18">
        <f>raw_data!$AM21*mass_composition!$E21/100</f>
        <v>3.6652351870342981E-9</v>
      </c>
      <c r="AN21" s="18">
        <f>raw_data!$AN21*mass_composition!$E21/100</f>
        <v>0</v>
      </c>
      <c r="AO21" s="18">
        <f>raw_data!$AO21*mass_composition!$E21/100</f>
        <v>0</v>
      </c>
      <c r="AP21" s="18">
        <f>raw_data!$AP21*mass_composition!$E21/100</f>
        <v>2.4350356691894625E-4</v>
      </c>
      <c r="AQ21" s="18">
        <f>raw_data!$AQ21*mass_composition!$E21/100</f>
        <v>8.2467791708271717E-6</v>
      </c>
      <c r="AR21" s="18">
        <f>raw_data!$AR21*mass_composition!$E21/100</f>
        <v>0</v>
      </c>
      <c r="AS21" s="18">
        <f>raw_data!$AS21*mass_composition!$E21/100</f>
        <v>1.0952641207861807E-7</v>
      </c>
      <c r="AT21" s="18">
        <f>raw_data!$AT21*mass_composition!$E21/100</f>
        <v>2.9078095831792166E-8</v>
      </c>
      <c r="AU21" s="18">
        <f>raw_data!$AU21*mass_composition!$E21/100</f>
        <v>0</v>
      </c>
      <c r="AV21" s="18">
        <f>raw_data!$AV21*mass_composition!$E21/100</f>
        <v>0</v>
      </c>
      <c r="AW21" s="18">
        <f>raw_data!$AW21*mass_composition!$E21/100</f>
        <v>0</v>
      </c>
      <c r="AX21" s="18">
        <f>raw_data!$AX21*mass_composition!$E21/100</f>
        <v>3.7450992944760904E-9</v>
      </c>
      <c r="AY21" s="18">
        <f>raw_data!$AY21*mass_composition!$E21/100</f>
        <v>0</v>
      </c>
      <c r="AZ21" s="18">
        <f>raw_data!$AZ21*mass_composition!$E21/100</f>
        <v>0</v>
      </c>
      <c r="BA21" s="18">
        <f>raw_data!$BA21*mass_composition!$E21/100</f>
        <v>0</v>
      </c>
      <c r="BB21" s="18">
        <f>raw_data!$BB21*mass_composition!$E21/100</f>
        <v>0</v>
      </c>
      <c r="BC21" s="18">
        <f>raw_data!$BC21*mass_composition!$E21/100</f>
        <v>0</v>
      </c>
      <c r="BD21" s="18">
        <f>raw_data!$BD21*mass_composition!$E21/100</f>
        <v>0</v>
      </c>
      <c r="BE21" s="18">
        <f>raw_data!$BE21*mass_composition!$E21/100</f>
        <v>4.7040404031626239E-6</v>
      </c>
      <c r="BF21" s="18">
        <f>raw_data!$BF21*mass_composition!$E21/100</f>
        <v>0</v>
      </c>
      <c r="BG21" s="18">
        <f>raw_data!$BG21*mass_composition!$E21/100</f>
        <v>0</v>
      </c>
      <c r="BH21" s="18">
        <v>0</v>
      </c>
      <c r="BI21" s="18">
        <v>14.97526291463268</v>
      </c>
      <c r="BJ21" s="18">
        <v>0</v>
      </c>
      <c r="BK21" s="18">
        <f>raw_data!$BK21*$E21/100</f>
        <v>2.1762333923016144E-2</v>
      </c>
      <c r="BL21" s="18">
        <f>raw_data!$BL21*$E21/100</f>
        <v>0</v>
      </c>
      <c r="BM21" s="18">
        <v>0</v>
      </c>
      <c r="BN21" s="18">
        <f>raw_data!$BN21*$E21/100</f>
        <v>1.3744631951378618E-3</v>
      </c>
      <c r="BO21" s="18">
        <f>raw_data!$BO21*$E21/100</f>
        <v>1.8984085905386101E-2</v>
      </c>
      <c r="BP21" s="18">
        <f>raw_data!$BP21*$E21/100</f>
        <v>9.163087967585748E-3</v>
      </c>
      <c r="BQ21" s="18">
        <v>0</v>
      </c>
      <c r="BR21" s="18">
        <f>raw_data!$BR21*$E21/100</f>
        <v>0.20596171822745363</v>
      </c>
      <c r="BS21" s="18">
        <v>16.692835143833587</v>
      </c>
      <c r="BT21" s="18">
        <v>1.28144611375276</v>
      </c>
      <c r="BU21" s="18">
        <v>17.349389962074444</v>
      </c>
      <c r="BV21" s="18">
        <v>23.37602015942662</v>
      </c>
      <c r="BW21" s="18">
        <v>0</v>
      </c>
      <c r="BX21" s="18">
        <v>0</v>
      </c>
      <c r="BY21" s="18">
        <v>55.700673036133743</v>
      </c>
      <c r="BZ21" s="18">
        <v>14.286600692663717</v>
      </c>
      <c r="CA21" s="18">
        <v>0</v>
      </c>
      <c r="CB21" s="19">
        <v>17.175261648337038</v>
      </c>
    </row>
    <row r="22" spans="1:80" x14ac:dyDescent="0.35">
      <c r="A22" s="17" t="s">
        <v>113</v>
      </c>
      <c r="B22" s="17" t="s">
        <v>134</v>
      </c>
      <c r="C22" s="17"/>
      <c r="D22" s="18">
        <f>raw_data!$D22*$C22/100</f>
        <v>0</v>
      </c>
      <c r="E22" s="18">
        <f>raw_data!$E22*$C22/100</f>
        <v>0</v>
      </c>
      <c r="F22" s="18">
        <f>raw_data!$F22*$E22/100</f>
        <v>0</v>
      </c>
      <c r="G22" s="18">
        <f>raw_data!$G22*$E22/100</f>
        <v>0</v>
      </c>
      <c r="H22" s="18">
        <v>15.697317524935062</v>
      </c>
      <c r="I22" s="18">
        <v>434.37704918032784</v>
      </c>
      <c r="J22" s="18">
        <f>raw_data!$J22*mass_composition!$E22/100</f>
        <v>0</v>
      </c>
      <c r="K22" s="18">
        <f>raw_data!$K22*mass_composition!$E22/100</f>
        <v>0</v>
      </c>
      <c r="L22" s="18">
        <f>raw_data!$L22*mass_composition!$E22/100</f>
        <v>0</v>
      </c>
      <c r="M22" s="18">
        <f>raw_data!$M22*mass_composition!$E22/100</f>
        <v>0</v>
      </c>
      <c r="N22" s="18">
        <f>raw_data!$N22*mass_composition!$E22/100</f>
        <v>0</v>
      </c>
      <c r="O22" s="18">
        <f>raw_data!$O22*mass_composition!$E22/100</f>
        <v>0</v>
      </c>
      <c r="P22" s="18">
        <f>raw_data!$P22*mass_composition!$E22/100</f>
        <v>0</v>
      </c>
      <c r="Q22" s="18">
        <f>raw_data!$Q22*mass_composition!$E22/100</f>
        <v>0</v>
      </c>
      <c r="R22" s="18">
        <f>raw_data!$R22*mass_composition!$E22/100</f>
        <v>0</v>
      </c>
      <c r="S22" s="18">
        <f>raw_data!$S22*mass_composition!$E22/100</f>
        <v>0</v>
      </c>
      <c r="T22" s="18">
        <f>raw_data!$T22*mass_composition!$E22/100</f>
        <v>0</v>
      </c>
      <c r="U22" s="18">
        <f>raw_data!$U22*mass_composition!$E22/100</f>
        <v>0</v>
      </c>
      <c r="V22" s="18">
        <f>raw_data!$V22*mass_composition!$E22/100</f>
        <v>0</v>
      </c>
      <c r="W22" s="18">
        <f>raw_data!$W22*mass_composition!$E22/100</f>
        <v>0</v>
      </c>
      <c r="X22" s="18">
        <f>raw_data!$X22*mass_composition!$E22/100</f>
        <v>0</v>
      </c>
      <c r="Y22" s="18">
        <f>raw_data!$Y22*mass_composition!$E22/100</f>
        <v>0</v>
      </c>
      <c r="Z22" s="18">
        <f>raw_data!$Z22*mass_composition!$E22/100</f>
        <v>0</v>
      </c>
      <c r="AA22" s="18">
        <f>raw_data!$AA22*mass_composition!$E22/100</f>
        <v>0</v>
      </c>
      <c r="AB22" s="18">
        <f>raw_data!$AB22*mass_composition!$E22/100</f>
        <v>0</v>
      </c>
      <c r="AC22" s="18">
        <f>raw_data!$AC22*mass_composition!$E22/100</f>
        <v>0</v>
      </c>
      <c r="AD22" s="18">
        <f>raw_data!$AD22*mass_composition!$E22/100</f>
        <v>0</v>
      </c>
      <c r="AE22" s="18">
        <f>raw_data!$AE22*mass_composition!$E22/100</f>
        <v>0</v>
      </c>
      <c r="AF22" s="18">
        <f>raw_data!$AF22*mass_composition!$E22/100</f>
        <v>0</v>
      </c>
      <c r="AG22" s="18">
        <f>raw_data!$AG22*mass_composition!$E22/100</f>
        <v>0</v>
      </c>
      <c r="AH22" s="18">
        <f>raw_data!$AH22*mass_composition!$E22/100</f>
        <v>0</v>
      </c>
      <c r="AI22" s="18">
        <f>raw_data!$AI22*mass_composition!$E22/100</f>
        <v>0</v>
      </c>
      <c r="AJ22" s="18">
        <f>raw_data!$AJ22*mass_composition!$E22/100</f>
        <v>0</v>
      </c>
      <c r="AK22" s="18">
        <f>raw_data!$AK22*mass_composition!$E22/100</f>
        <v>0</v>
      </c>
      <c r="AL22" s="18">
        <f>raw_data!$AL22*mass_composition!$E22/100</f>
        <v>0</v>
      </c>
      <c r="AM22" s="18">
        <f>raw_data!$AM22*mass_composition!$E22/100</f>
        <v>0</v>
      </c>
      <c r="AN22" s="18">
        <f>raw_data!$AN22*mass_composition!$E22/100</f>
        <v>0</v>
      </c>
      <c r="AO22" s="18">
        <f>raw_data!$AO22*mass_composition!$E22/100</f>
        <v>0</v>
      </c>
      <c r="AP22" s="18">
        <f>raw_data!$AP22*mass_composition!$E22/100</f>
        <v>0</v>
      </c>
      <c r="AQ22" s="18">
        <f>raw_data!$AQ22*mass_composition!$E22/100</f>
        <v>0</v>
      </c>
      <c r="AR22" s="18">
        <f>raw_data!$AR22*mass_composition!$E22/100</f>
        <v>0</v>
      </c>
      <c r="AS22" s="18">
        <f>raw_data!$AS22*mass_composition!$E22/100</f>
        <v>0</v>
      </c>
      <c r="AT22" s="18">
        <f>raw_data!$AT22*mass_composition!$E22/100</f>
        <v>0</v>
      </c>
      <c r="AU22" s="18">
        <f>raw_data!$AU22*mass_composition!$E22/100</f>
        <v>0</v>
      </c>
      <c r="AV22" s="18">
        <f>raw_data!$AV22*mass_composition!$E22/100</f>
        <v>0</v>
      </c>
      <c r="AW22" s="18">
        <f>raw_data!$AW22*mass_composition!$E22/100</f>
        <v>0</v>
      </c>
      <c r="AX22" s="18">
        <f>raw_data!$AX22*mass_composition!$E22/100</f>
        <v>0</v>
      </c>
      <c r="AY22" s="18">
        <f>raw_data!$AY22*mass_composition!$E22/100</f>
        <v>0</v>
      </c>
      <c r="AZ22" s="18">
        <f>raw_data!$AZ22*mass_composition!$E22/100</f>
        <v>0</v>
      </c>
      <c r="BA22" s="18">
        <f>raw_data!$BA22*mass_composition!$E22/100</f>
        <v>0</v>
      </c>
      <c r="BB22" s="18">
        <f>raw_data!$BB22*mass_composition!$E22/100</f>
        <v>0</v>
      </c>
      <c r="BC22" s="18">
        <f>raw_data!$BC22*mass_composition!$E22/100</f>
        <v>0</v>
      </c>
      <c r="BD22" s="18">
        <f>raw_data!$BD22*mass_composition!$E22/100</f>
        <v>0</v>
      </c>
      <c r="BE22" s="18">
        <f>raw_data!$BE22*mass_composition!$E22/100</f>
        <v>0</v>
      </c>
      <c r="BF22" s="18">
        <f>raw_data!$BF22*mass_composition!$E22/100</f>
        <v>0</v>
      </c>
      <c r="BG22" s="18">
        <f>raw_data!$BG22*mass_composition!$E22/100</f>
        <v>0</v>
      </c>
      <c r="BH22" s="18">
        <v>0</v>
      </c>
      <c r="BI22" s="18">
        <v>0</v>
      </c>
      <c r="BJ22" s="18">
        <v>0</v>
      </c>
      <c r="BK22" s="18">
        <f>raw_data!$BK22*$E22/100</f>
        <v>0</v>
      </c>
      <c r="BL22" s="18">
        <f>raw_data!$BL22*$E22/100</f>
        <v>0</v>
      </c>
      <c r="BM22" s="18">
        <v>0</v>
      </c>
      <c r="BN22" s="18">
        <f>raw_data!$BN22*$E22/100</f>
        <v>0</v>
      </c>
      <c r="BO22" s="18">
        <f>raw_data!$BO22*$E22/100</f>
        <v>0</v>
      </c>
      <c r="BP22" s="18">
        <f>raw_data!$BP22*$E22/100</f>
        <v>0</v>
      </c>
      <c r="BQ22" s="18">
        <v>0</v>
      </c>
      <c r="BR22" s="18">
        <f>raw_data!$BR22*$E22/100</f>
        <v>0</v>
      </c>
      <c r="BS22" s="18">
        <v>17.257249600000002</v>
      </c>
      <c r="BT22" s="18">
        <v>1.3377419854400001</v>
      </c>
      <c r="BU22" s="18">
        <v>0</v>
      </c>
      <c r="BV22" s="18">
        <v>0</v>
      </c>
      <c r="BW22" s="18">
        <v>0</v>
      </c>
      <c r="BX22" s="18">
        <v>0</v>
      </c>
      <c r="BY22" s="18">
        <v>64</v>
      </c>
      <c r="BZ22" s="18">
        <v>16.239999999999998</v>
      </c>
      <c r="CA22" s="18">
        <v>0</v>
      </c>
      <c r="CB22" s="19">
        <v>89.6</v>
      </c>
    </row>
    <row r="23" spans="1:80" x14ac:dyDescent="0.35">
      <c r="A23" s="17" t="s">
        <v>113</v>
      </c>
      <c r="B23" s="17" t="s">
        <v>135</v>
      </c>
      <c r="C23" s="17"/>
      <c r="D23" s="18">
        <f>raw_data!$D23*$C23/100</f>
        <v>0</v>
      </c>
      <c r="E23" s="18">
        <f>raw_data!$E23*$C23/100</f>
        <v>0</v>
      </c>
      <c r="F23" s="18">
        <f>raw_data!$F23*$E23/100</f>
        <v>0</v>
      </c>
      <c r="G23" s="18">
        <f>raw_data!$G23*$E23/100</f>
        <v>0</v>
      </c>
      <c r="H23" s="18">
        <v>15.92741209232452</v>
      </c>
      <c r="I23" s="18">
        <v>428.0771754982984</v>
      </c>
      <c r="J23" s="18">
        <f>raw_data!$J23*mass_composition!$E23/100</f>
        <v>0</v>
      </c>
      <c r="K23" s="18">
        <f>raw_data!$K23*mass_composition!$E23/100</f>
        <v>0</v>
      </c>
      <c r="L23" s="18">
        <f>raw_data!$L23*mass_composition!$E23/100</f>
        <v>0</v>
      </c>
      <c r="M23" s="18">
        <f>raw_data!$M23*mass_composition!$E23/100</f>
        <v>0</v>
      </c>
      <c r="N23" s="18">
        <f>raw_data!$N23*mass_composition!$E23/100</f>
        <v>0</v>
      </c>
      <c r="O23" s="18">
        <f>raw_data!$O23*mass_composition!$E23/100</f>
        <v>0</v>
      </c>
      <c r="P23" s="18">
        <f>raw_data!$P23*mass_composition!$E23/100</f>
        <v>0</v>
      </c>
      <c r="Q23" s="18">
        <f>raw_data!$Q23*mass_composition!$E23/100</f>
        <v>0</v>
      </c>
      <c r="R23" s="18">
        <f>raw_data!$R23*mass_composition!$E23/100</f>
        <v>0</v>
      </c>
      <c r="S23" s="18">
        <f>raw_data!$S23*mass_composition!$E23/100</f>
        <v>0</v>
      </c>
      <c r="T23" s="18">
        <f>raw_data!$T23*mass_composition!$E23/100</f>
        <v>0</v>
      </c>
      <c r="U23" s="18">
        <f>raw_data!$U23*mass_composition!$E23/100</f>
        <v>0</v>
      </c>
      <c r="V23" s="18">
        <f>raw_data!$V23*mass_composition!$E23/100</f>
        <v>0</v>
      </c>
      <c r="W23" s="18">
        <f>raw_data!$W23*mass_composition!$E23/100</f>
        <v>0</v>
      </c>
      <c r="X23" s="18">
        <f>raw_data!$X23*mass_composition!$E23/100</f>
        <v>0</v>
      </c>
      <c r="Y23" s="18">
        <f>raw_data!$Y23*mass_composition!$E23/100</f>
        <v>0</v>
      </c>
      <c r="Z23" s="18">
        <f>raw_data!$Z23*mass_composition!$E23/100</f>
        <v>0</v>
      </c>
      <c r="AA23" s="18">
        <f>raw_data!$AA23*mass_composition!$E23/100</f>
        <v>0</v>
      </c>
      <c r="AB23" s="18">
        <f>raw_data!$AB23*mass_composition!$E23/100</f>
        <v>0</v>
      </c>
      <c r="AC23" s="18">
        <f>raw_data!$AC23*mass_composition!$E23/100</f>
        <v>0</v>
      </c>
      <c r="AD23" s="18">
        <f>raw_data!$AD23*mass_composition!$E23/100</f>
        <v>0</v>
      </c>
      <c r="AE23" s="18">
        <f>raw_data!$AE23*mass_composition!$E23/100</f>
        <v>0</v>
      </c>
      <c r="AF23" s="18">
        <f>raw_data!$AF23*mass_composition!$E23/100</f>
        <v>0</v>
      </c>
      <c r="AG23" s="18">
        <f>raw_data!$AG23*mass_composition!$E23/100</f>
        <v>0</v>
      </c>
      <c r="AH23" s="18">
        <f>raw_data!$AH23*mass_composition!$E23/100</f>
        <v>0</v>
      </c>
      <c r="AI23" s="18">
        <f>raw_data!$AI23*mass_composition!$E23/100</f>
        <v>0</v>
      </c>
      <c r="AJ23" s="18">
        <f>raw_data!$AJ23*mass_composition!$E23/100</f>
        <v>0</v>
      </c>
      <c r="AK23" s="18">
        <f>raw_data!$AK23*mass_composition!$E23/100</f>
        <v>0</v>
      </c>
      <c r="AL23" s="18">
        <f>raw_data!$AL23*mass_composition!$E23/100</f>
        <v>0</v>
      </c>
      <c r="AM23" s="18">
        <f>raw_data!$AM23*mass_composition!$E23/100</f>
        <v>0</v>
      </c>
      <c r="AN23" s="18">
        <f>raw_data!$AN23*mass_composition!$E23/100</f>
        <v>0</v>
      </c>
      <c r="AO23" s="18">
        <f>raw_data!$AO23*mass_composition!$E23/100</f>
        <v>0</v>
      </c>
      <c r="AP23" s="18">
        <f>raw_data!$AP23*mass_composition!$E23/100</f>
        <v>0</v>
      </c>
      <c r="AQ23" s="18">
        <f>raw_data!$AQ23*mass_composition!$E23/100</f>
        <v>0</v>
      </c>
      <c r="AR23" s="18">
        <f>raw_data!$AR23*mass_composition!$E23/100</f>
        <v>0</v>
      </c>
      <c r="AS23" s="18">
        <f>raw_data!$AS23*mass_composition!$E23/100</f>
        <v>0</v>
      </c>
      <c r="AT23" s="18">
        <f>raw_data!$AT23*mass_composition!$E23/100</f>
        <v>0</v>
      </c>
      <c r="AU23" s="18">
        <f>raw_data!$AU23*mass_composition!$E23/100</f>
        <v>0</v>
      </c>
      <c r="AV23" s="18">
        <f>raw_data!$AV23*mass_composition!$E23/100</f>
        <v>0</v>
      </c>
      <c r="AW23" s="18">
        <f>raw_data!$AW23*mass_composition!$E23/100</f>
        <v>0</v>
      </c>
      <c r="AX23" s="18">
        <f>raw_data!$AX23*mass_composition!$E23/100</f>
        <v>0</v>
      </c>
      <c r="AY23" s="18">
        <f>raw_data!$AY23*mass_composition!$E23/100</f>
        <v>0</v>
      </c>
      <c r="AZ23" s="18">
        <f>raw_data!$AZ23*mass_composition!$E23/100</f>
        <v>0</v>
      </c>
      <c r="BA23" s="18">
        <f>raw_data!$BA23*mass_composition!$E23/100</f>
        <v>0</v>
      </c>
      <c r="BB23" s="18">
        <f>raw_data!$BB23*mass_composition!$E23/100</f>
        <v>0</v>
      </c>
      <c r="BC23" s="18">
        <f>raw_data!$BC23*mass_composition!$E23/100</f>
        <v>0</v>
      </c>
      <c r="BD23" s="18">
        <f>raw_data!$BD23*mass_composition!$E23/100</f>
        <v>0</v>
      </c>
      <c r="BE23" s="18">
        <f>raw_data!$BE23*mass_composition!$E23/100</f>
        <v>0</v>
      </c>
      <c r="BF23" s="18">
        <f>raw_data!$BF23*mass_composition!$E23/100</f>
        <v>0</v>
      </c>
      <c r="BG23" s="18">
        <f>raw_data!$BG23*mass_composition!$E23/100</f>
        <v>0</v>
      </c>
      <c r="BH23" s="18">
        <v>0</v>
      </c>
      <c r="BI23" s="18">
        <v>26.400000000000002</v>
      </c>
      <c r="BJ23" s="18">
        <v>0</v>
      </c>
      <c r="BK23" s="18">
        <f>raw_data!$BK23*$E23/100</f>
        <v>0</v>
      </c>
      <c r="BL23" s="18">
        <f>raw_data!$BL23*$E23/100</f>
        <v>0</v>
      </c>
      <c r="BM23" s="18">
        <v>0</v>
      </c>
      <c r="BN23" s="18">
        <f>raw_data!$BN23*$E23/100</f>
        <v>0</v>
      </c>
      <c r="BO23" s="18">
        <f>raw_data!$BO23*$E23/100</f>
        <v>0</v>
      </c>
      <c r="BP23" s="18">
        <f>raw_data!$BP23*$E23/100</f>
        <v>0</v>
      </c>
      <c r="BQ23" s="18">
        <v>0</v>
      </c>
      <c r="BR23" s="18">
        <f>raw_data!$BR23*$E23/100</f>
        <v>0</v>
      </c>
      <c r="BS23" s="18">
        <v>16.557197534918906</v>
      </c>
      <c r="BT23" s="18">
        <v>1.26639013620348</v>
      </c>
      <c r="BU23" s="18">
        <v>4.8</v>
      </c>
      <c r="BV23" s="18">
        <v>4</v>
      </c>
      <c r="BW23" s="18">
        <v>0</v>
      </c>
      <c r="BX23" s="18">
        <v>0</v>
      </c>
      <c r="BY23" s="18">
        <v>35.200000000000003</v>
      </c>
      <c r="BZ23" s="18">
        <v>15.74258064516129</v>
      </c>
      <c r="CA23" s="18">
        <v>0</v>
      </c>
      <c r="CB23" s="19">
        <v>47.858709677419348</v>
      </c>
    </row>
    <row r="24" spans="1:80" x14ac:dyDescent="0.35">
      <c r="A24" s="17" t="s">
        <v>113</v>
      </c>
      <c r="B24" s="17" t="s">
        <v>136</v>
      </c>
      <c r="C24" s="17"/>
      <c r="D24" s="18">
        <f>raw_data!$D24*$C24/100</f>
        <v>0</v>
      </c>
      <c r="E24" s="18">
        <f>raw_data!$E24*$C24/100</f>
        <v>0</v>
      </c>
      <c r="F24" s="18">
        <f>raw_data!$F24*$E24/100</f>
        <v>0</v>
      </c>
      <c r="G24" s="18">
        <f>raw_data!$G24*$E24/100</f>
        <v>0</v>
      </c>
      <c r="H24" s="18">
        <v>15.019950414632746</v>
      </c>
      <c r="I24" s="18">
        <v>439.29033816425118</v>
      </c>
      <c r="J24" s="18">
        <f>raw_data!$J24*mass_composition!$E24/100</f>
        <v>0</v>
      </c>
      <c r="K24" s="18">
        <f>raw_data!$K24*mass_composition!$E24/100</f>
        <v>0</v>
      </c>
      <c r="L24" s="18">
        <f>raw_data!$L24*mass_composition!$E24/100</f>
        <v>0</v>
      </c>
      <c r="M24" s="18">
        <f>raw_data!$M24*mass_composition!$E24/100</f>
        <v>0</v>
      </c>
      <c r="N24" s="18">
        <f>raw_data!$N24*mass_composition!$E24/100</f>
        <v>0</v>
      </c>
      <c r="O24" s="18">
        <f>raw_data!$O24*mass_composition!$E24/100</f>
        <v>0</v>
      </c>
      <c r="P24" s="18">
        <f>raw_data!$P24*mass_composition!$E24/100</f>
        <v>0</v>
      </c>
      <c r="Q24" s="18">
        <f>raw_data!$Q24*mass_composition!$E24/100</f>
        <v>0</v>
      </c>
      <c r="R24" s="18">
        <f>raw_data!$R24*mass_composition!$E24/100</f>
        <v>0</v>
      </c>
      <c r="S24" s="18">
        <f>raw_data!$S24*mass_composition!$E24/100</f>
        <v>0</v>
      </c>
      <c r="T24" s="18">
        <f>raw_data!$T24*mass_composition!$E24/100</f>
        <v>0</v>
      </c>
      <c r="U24" s="18">
        <f>raw_data!$U24*mass_composition!$E24/100</f>
        <v>0</v>
      </c>
      <c r="V24" s="18">
        <f>raw_data!$V24*mass_composition!$E24/100</f>
        <v>0</v>
      </c>
      <c r="W24" s="18">
        <f>raw_data!$W24*mass_composition!$E24/100</f>
        <v>0</v>
      </c>
      <c r="X24" s="18">
        <f>raw_data!$X24*mass_composition!$E24/100</f>
        <v>0</v>
      </c>
      <c r="Y24" s="18">
        <f>raw_data!$Y24*mass_composition!$E24/100</f>
        <v>0</v>
      </c>
      <c r="Z24" s="18">
        <f>raw_data!$Z24*mass_composition!$E24/100</f>
        <v>0</v>
      </c>
      <c r="AA24" s="18">
        <f>raw_data!$AA24*mass_composition!$E24/100</f>
        <v>0</v>
      </c>
      <c r="AB24" s="18">
        <f>raw_data!$AB24*mass_composition!$E24/100</f>
        <v>0</v>
      </c>
      <c r="AC24" s="18">
        <f>raw_data!$AC24*mass_composition!$E24/100</f>
        <v>0</v>
      </c>
      <c r="AD24" s="18">
        <f>raw_data!$AD24*mass_composition!$E24/100</f>
        <v>0</v>
      </c>
      <c r="AE24" s="18">
        <f>raw_data!$AE24*mass_composition!$E24/100</f>
        <v>0</v>
      </c>
      <c r="AF24" s="18">
        <f>raw_data!$AF24*mass_composition!$E24/100</f>
        <v>0</v>
      </c>
      <c r="AG24" s="18">
        <f>raw_data!$AG24*mass_composition!$E24/100</f>
        <v>0</v>
      </c>
      <c r="AH24" s="18">
        <f>raw_data!$AH24*mass_composition!$E24/100</f>
        <v>0</v>
      </c>
      <c r="AI24" s="18">
        <f>raw_data!$AI24*mass_composition!$E24/100</f>
        <v>0</v>
      </c>
      <c r="AJ24" s="18">
        <f>raw_data!$AJ24*mass_composition!$E24/100</f>
        <v>0</v>
      </c>
      <c r="AK24" s="18">
        <f>raw_data!$AK24*mass_composition!$E24/100</f>
        <v>0</v>
      </c>
      <c r="AL24" s="18">
        <f>raw_data!$AL24*mass_composition!$E24/100</f>
        <v>0</v>
      </c>
      <c r="AM24" s="18">
        <f>raw_data!$AM24*mass_composition!$E24/100</f>
        <v>0</v>
      </c>
      <c r="AN24" s="18">
        <f>raw_data!$AN24*mass_composition!$E24/100</f>
        <v>0</v>
      </c>
      <c r="AO24" s="18">
        <f>raw_data!$AO24*mass_composition!$E24/100</f>
        <v>0</v>
      </c>
      <c r="AP24" s="18">
        <f>raw_data!$AP24*mass_composition!$E24/100</f>
        <v>0</v>
      </c>
      <c r="AQ24" s="18">
        <f>raw_data!$AQ24*mass_composition!$E24/100</f>
        <v>0</v>
      </c>
      <c r="AR24" s="18">
        <f>raw_data!$AR24*mass_composition!$E24/100</f>
        <v>0</v>
      </c>
      <c r="AS24" s="18">
        <f>raw_data!$AS24*mass_composition!$E24/100</f>
        <v>0</v>
      </c>
      <c r="AT24" s="18">
        <f>raw_data!$AT24*mass_composition!$E24/100</f>
        <v>0</v>
      </c>
      <c r="AU24" s="18">
        <f>raw_data!$AU24*mass_composition!$E24/100</f>
        <v>0</v>
      </c>
      <c r="AV24" s="18">
        <f>raw_data!$AV24*mass_composition!$E24/100</f>
        <v>0</v>
      </c>
      <c r="AW24" s="18">
        <f>raw_data!$AW24*mass_composition!$E24/100</f>
        <v>0</v>
      </c>
      <c r="AX24" s="18">
        <f>raw_data!$AX24*mass_composition!$E24/100</f>
        <v>0</v>
      </c>
      <c r="AY24" s="18">
        <f>raw_data!$AY24*mass_composition!$E24/100</f>
        <v>0</v>
      </c>
      <c r="AZ24" s="18">
        <f>raw_data!$AZ24*mass_composition!$E24/100</f>
        <v>0</v>
      </c>
      <c r="BA24" s="18">
        <f>raw_data!$BA24*mass_composition!$E24/100</f>
        <v>0</v>
      </c>
      <c r="BB24" s="18">
        <f>raw_data!$BB24*mass_composition!$E24/100</f>
        <v>0</v>
      </c>
      <c r="BC24" s="18">
        <f>raw_data!$BC24*mass_composition!$E24/100</f>
        <v>0</v>
      </c>
      <c r="BD24" s="18">
        <f>raw_data!$BD24*mass_composition!$E24/100</f>
        <v>0</v>
      </c>
      <c r="BE24" s="18">
        <f>raw_data!$BE24*mass_composition!$E24/100</f>
        <v>0</v>
      </c>
      <c r="BF24" s="18">
        <f>raw_data!$BF24*mass_composition!$E24/100</f>
        <v>0</v>
      </c>
      <c r="BG24" s="18">
        <f>raw_data!$BG24*mass_composition!$E24/100</f>
        <v>0</v>
      </c>
      <c r="BH24" s="18">
        <v>0</v>
      </c>
      <c r="BI24" s="18">
        <v>20.817245817245816</v>
      </c>
      <c r="BJ24" s="18">
        <v>0</v>
      </c>
      <c r="BK24" s="18">
        <f>raw_data!$BK24*$E24/100</f>
        <v>0</v>
      </c>
      <c r="BL24" s="18">
        <f>raw_data!$BL24*$E24/100</f>
        <v>0</v>
      </c>
      <c r="BM24" s="18">
        <v>0</v>
      </c>
      <c r="BN24" s="18">
        <f>raw_data!$BN24*$E24/100</f>
        <v>0</v>
      </c>
      <c r="BO24" s="18">
        <f>raw_data!$BO24*$E24/100</f>
        <v>0</v>
      </c>
      <c r="BP24" s="18">
        <f>raw_data!$BP24*$E24/100</f>
        <v>0</v>
      </c>
      <c r="BQ24" s="18">
        <v>0</v>
      </c>
      <c r="BR24" s="18">
        <f>raw_data!$BR24*$E24/100</f>
        <v>0</v>
      </c>
      <c r="BS24" s="18">
        <v>16.716238733018734</v>
      </c>
      <c r="BT24" s="18">
        <v>1.2842360106955528</v>
      </c>
      <c r="BU24" s="18">
        <v>10.476190476190476</v>
      </c>
      <c r="BV24" s="18">
        <v>11.795366795366794</v>
      </c>
      <c r="BW24" s="18">
        <v>0</v>
      </c>
      <c r="BX24" s="18">
        <v>0</v>
      </c>
      <c r="BY24" s="18">
        <v>43.088803088803083</v>
      </c>
      <c r="BZ24" s="18">
        <v>15.343070343070343</v>
      </c>
      <c r="CA24" s="18">
        <v>0</v>
      </c>
      <c r="CB24" s="19">
        <v>38.188578188578191</v>
      </c>
    </row>
    <row r="25" spans="1:80" x14ac:dyDescent="0.35">
      <c r="A25" s="17" t="s">
        <v>113</v>
      </c>
      <c r="B25" s="17" t="s">
        <v>137</v>
      </c>
      <c r="C25" s="17"/>
      <c r="D25" s="18">
        <f>raw_data!$D25*$C25/100</f>
        <v>0</v>
      </c>
      <c r="E25" s="18">
        <f>raw_data!$E25*$C25/100</f>
        <v>0</v>
      </c>
      <c r="F25" s="18">
        <f>raw_data!$F25*$E25/100</f>
        <v>0</v>
      </c>
      <c r="G25" s="18">
        <f>raw_data!$G25*$E25/100</f>
        <v>0</v>
      </c>
      <c r="H25" s="18">
        <v>15.520815968709035</v>
      </c>
      <c r="I25" s="18">
        <v>417.63888888888886</v>
      </c>
      <c r="J25" s="18">
        <f>raw_data!$J25*mass_composition!$E25/100</f>
        <v>0</v>
      </c>
      <c r="K25" s="18">
        <f>raw_data!$K25*mass_composition!$E25/100</f>
        <v>0</v>
      </c>
      <c r="L25" s="18">
        <f>raw_data!$L25*mass_composition!$E25/100</f>
        <v>0</v>
      </c>
      <c r="M25" s="18">
        <f>raw_data!$M25*mass_composition!$E25/100</f>
        <v>0</v>
      </c>
      <c r="N25" s="18">
        <f>raw_data!$N25*mass_composition!$E25/100</f>
        <v>0</v>
      </c>
      <c r="O25" s="18">
        <f>raw_data!$O25*mass_composition!$E25/100</f>
        <v>0</v>
      </c>
      <c r="P25" s="18">
        <f>raw_data!$P25*mass_composition!$E25/100</f>
        <v>0</v>
      </c>
      <c r="Q25" s="18">
        <f>raw_data!$Q25*mass_composition!$E25/100</f>
        <v>0</v>
      </c>
      <c r="R25" s="18">
        <f>raw_data!$R25*mass_composition!$E25/100</f>
        <v>0</v>
      </c>
      <c r="S25" s="18">
        <f>raw_data!$S25*mass_composition!$E25/100</f>
        <v>0</v>
      </c>
      <c r="T25" s="18">
        <f>raw_data!$T25*mass_composition!$E25/100</f>
        <v>0</v>
      </c>
      <c r="U25" s="18">
        <f>raw_data!$U25*mass_composition!$E25/100</f>
        <v>0</v>
      </c>
      <c r="V25" s="18">
        <f>raw_data!$V25*mass_composition!$E25/100</f>
        <v>0</v>
      </c>
      <c r="W25" s="18">
        <f>raw_data!$W25*mass_composition!$E25/100</f>
        <v>0</v>
      </c>
      <c r="X25" s="18">
        <f>raw_data!$X25*mass_composition!$E25/100</f>
        <v>0</v>
      </c>
      <c r="Y25" s="18">
        <f>raw_data!$Y25*mass_composition!$E25/100</f>
        <v>0</v>
      </c>
      <c r="Z25" s="18">
        <f>raw_data!$Z25*mass_composition!$E25/100</f>
        <v>0</v>
      </c>
      <c r="AA25" s="18">
        <f>raw_data!$AA25*mass_composition!$E25/100</f>
        <v>0</v>
      </c>
      <c r="AB25" s="18">
        <f>raw_data!$AB25*mass_composition!$E25/100</f>
        <v>0</v>
      </c>
      <c r="AC25" s="18">
        <f>raw_data!$AC25*mass_composition!$E25/100</f>
        <v>0</v>
      </c>
      <c r="AD25" s="18">
        <f>raw_data!$AD25*mass_composition!$E25/100</f>
        <v>0</v>
      </c>
      <c r="AE25" s="18">
        <f>raw_data!$AE25*mass_composition!$E25/100</f>
        <v>0</v>
      </c>
      <c r="AF25" s="18">
        <f>raw_data!$AF25*mass_composition!$E25/100</f>
        <v>0</v>
      </c>
      <c r="AG25" s="18">
        <f>raw_data!$AG25*mass_composition!$E25/100</f>
        <v>0</v>
      </c>
      <c r="AH25" s="18">
        <f>raw_data!$AH25*mass_composition!$E25/100</f>
        <v>0</v>
      </c>
      <c r="AI25" s="18">
        <f>raw_data!$AI25*mass_composition!$E25/100</f>
        <v>0</v>
      </c>
      <c r="AJ25" s="18">
        <f>raw_data!$AJ25*mass_composition!$E25/100</f>
        <v>0</v>
      </c>
      <c r="AK25" s="18">
        <f>raw_data!$AK25*mass_composition!$E25/100</f>
        <v>0</v>
      </c>
      <c r="AL25" s="18">
        <f>raw_data!$AL25*mass_composition!$E25/100</f>
        <v>0</v>
      </c>
      <c r="AM25" s="18">
        <f>raw_data!$AM25*mass_composition!$E25/100</f>
        <v>0</v>
      </c>
      <c r="AN25" s="18">
        <f>raw_data!$AN25*mass_composition!$E25/100</f>
        <v>0</v>
      </c>
      <c r="AO25" s="18">
        <f>raw_data!$AO25*mass_composition!$E25/100</f>
        <v>0</v>
      </c>
      <c r="AP25" s="18">
        <f>raw_data!$AP25*mass_composition!$E25/100</f>
        <v>0</v>
      </c>
      <c r="AQ25" s="18">
        <f>raw_data!$AQ25*mass_composition!$E25/100</f>
        <v>0</v>
      </c>
      <c r="AR25" s="18">
        <f>raw_data!$AR25*mass_composition!$E25/100</f>
        <v>0</v>
      </c>
      <c r="AS25" s="18">
        <f>raw_data!$AS25*mass_composition!$E25/100</f>
        <v>0</v>
      </c>
      <c r="AT25" s="18">
        <f>raw_data!$AT25*mass_composition!$E25/100</f>
        <v>0</v>
      </c>
      <c r="AU25" s="18">
        <f>raw_data!$AU25*mass_composition!$E25/100</f>
        <v>0</v>
      </c>
      <c r="AV25" s="18">
        <f>raw_data!$AV25*mass_composition!$E25/100</f>
        <v>0</v>
      </c>
      <c r="AW25" s="18">
        <f>raw_data!$AW25*mass_composition!$E25/100</f>
        <v>0</v>
      </c>
      <c r="AX25" s="18">
        <f>raw_data!$AX25*mass_composition!$E25/100</f>
        <v>0</v>
      </c>
      <c r="AY25" s="18">
        <f>raw_data!$AY25*mass_composition!$E25/100</f>
        <v>0</v>
      </c>
      <c r="AZ25" s="18">
        <f>raw_data!$AZ25*mass_composition!$E25/100</f>
        <v>0</v>
      </c>
      <c r="BA25" s="18">
        <f>raw_data!$BA25*mass_composition!$E25/100</f>
        <v>0</v>
      </c>
      <c r="BB25" s="18">
        <f>raw_data!$BB25*mass_composition!$E25/100</f>
        <v>0</v>
      </c>
      <c r="BC25" s="18">
        <f>raw_data!$BC25*mass_composition!$E25/100</f>
        <v>0</v>
      </c>
      <c r="BD25" s="18">
        <f>raw_data!$BD25*mass_composition!$E25/100</f>
        <v>0</v>
      </c>
      <c r="BE25" s="18">
        <f>raw_data!$BE25*mass_composition!$E25/100</f>
        <v>0</v>
      </c>
      <c r="BF25" s="18">
        <f>raw_data!$BF25*mass_composition!$E25/100</f>
        <v>0</v>
      </c>
      <c r="BG25" s="18">
        <f>raw_data!$BG25*mass_composition!$E25/100</f>
        <v>0</v>
      </c>
      <c r="BH25" s="18">
        <v>0</v>
      </c>
      <c r="BI25" s="18">
        <v>9.0476190476190492</v>
      </c>
      <c r="BJ25" s="18">
        <v>0</v>
      </c>
      <c r="BK25" s="18">
        <f>raw_data!$BK25*$E25/100</f>
        <v>0</v>
      </c>
      <c r="BL25" s="18">
        <f>raw_data!$BL25*$E25/100</f>
        <v>0</v>
      </c>
      <c r="BM25" s="18">
        <v>0</v>
      </c>
      <c r="BN25" s="18">
        <f>raw_data!$BN25*$E25/100</f>
        <v>0</v>
      </c>
      <c r="BO25" s="18">
        <f>raw_data!$BO25*$E25/100</f>
        <v>0</v>
      </c>
      <c r="BP25" s="18">
        <f>raw_data!$BP25*$E25/100</f>
        <v>0</v>
      </c>
      <c r="BQ25" s="18">
        <v>0</v>
      </c>
      <c r="BR25" s="18">
        <f>raw_data!$BR25*$E25/100</f>
        <v>0</v>
      </c>
      <c r="BS25" s="18">
        <v>16.259199346100289</v>
      </c>
      <c r="BT25" s="18">
        <v>1.2366742711116314</v>
      </c>
      <c r="BU25" s="18">
        <v>44.421768707482997</v>
      </c>
      <c r="BV25" s="18">
        <v>11.360544217687076</v>
      </c>
      <c r="BW25" s="18">
        <v>0</v>
      </c>
      <c r="BX25" s="18">
        <v>0</v>
      </c>
      <c r="BY25" s="18">
        <v>64.829931972789112</v>
      </c>
      <c r="BZ25" s="18">
        <v>15.034013605442178</v>
      </c>
      <c r="CA25" s="18">
        <v>0</v>
      </c>
      <c r="CB25" s="19">
        <v>22.040816326530589</v>
      </c>
    </row>
    <row r="26" spans="1:80" x14ac:dyDescent="0.35">
      <c r="A26" s="17" t="s">
        <v>113</v>
      </c>
      <c r="B26" s="17" t="s">
        <v>138</v>
      </c>
      <c r="C26" s="17"/>
      <c r="D26" s="18">
        <f>raw_data!$D26*$C26/100</f>
        <v>0</v>
      </c>
      <c r="E26" s="18">
        <f>raw_data!$E26*$C26/100</f>
        <v>0</v>
      </c>
      <c r="F26" s="18">
        <f>raw_data!$F26*$E26/100</f>
        <v>0</v>
      </c>
      <c r="G26" s="18">
        <f>raw_data!$G26*$E26/100</f>
        <v>0</v>
      </c>
      <c r="H26" s="18">
        <v>13.429778720302771</v>
      </c>
      <c r="I26" s="18">
        <v>461.89583333333326</v>
      </c>
      <c r="J26" s="18">
        <f>raw_data!$J26*mass_composition!$E26/100</f>
        <v>0</v>
      </c>
      <c r="K26" s="18">
        <f>raw_data!$K26*mass_composition!$E26/100</f>
        <v>0</v>
      </c>
      <c r="L26" s="18">
        <f>raw_data!$L26*mass_composition!$E26/100</f>
        <v>0</v>
      </c>
      <c r="M26" s="18">
        <f>raw_data!$M26*mass_composition!$E26/100</f>
        <v>0</v>
      </c>
      <c r="N26" s="18">
        <f>raw_data!$N26*mass_composition!$E26/100</f>
        <v>0</v>
      </c>
      <c r="O26" s="18">
        <f>raw_data!$O26*mass_composition!$E26/100</f>
        <v>0</v>
      </c>
      <c r="P26" s="18">
        <f>raw_data!$P26*mass_composition!$E26/100</f>
        <v>0</v>
      </c>
      <c r="Q26" s="18">
        <f>raw_data!$Q26*mass_composition!$E26/100</f>
        <v>0</v>
      </c>
      <c r="R26" s="18">
        <f>raw_data!$R26*mass_composition!$E26/100</f>
        <v>0</v>
      </c>
      <c r="S26" s="18">
        <f>raw_data!$S26*mass_composition!$E26/100</f>
        <v>0</v>
      </c>
      <c r="T26" s="18">
        <f>raw_data!$T26*mass_composition!$E26/100</f>
        <v>0</v>
      </c>
      <c r="U26" s="18">
        <f>raw_data!$U26*mass_composition!$E26/100</f>
        <v>0</v>
      </c>
      <c r="V26" s="18">
        <f>raw_data!$V26*mass_composition!$E26/100</f>
        <v>0</v>
      </c>
      <c r="W26" s="18">
        <f>raw_data!$W26*mass_composition!$E26/100</f>
        <v>0</v>
      </c>
      <c r="X26" s="18">
        <f>raw_data!$X26*mass_composition!$E26/100</f>
        <v>0</v>
      </c>
      <c r="Y26" s="18">
        <f>raw_data!$Y26*mass_composition!$E26/100</f>
        <v>0</v>
      </c>
      <c r="Z26" s="18">
        <f>raw_data!$Z26*mass_composition!$E26/100</f>
        <v>0</v>
      </c>
      <c r="AA26" s="18">
        <f>raw_data!$AA26*mass_composition!$E26/100</f>
        <v>0</v>
      </c>
      <c r="AB26" s="18">
        <f>raw_data!$AB26*mass_composition!$E26/100</f>
        <v>0</v>
      </c>
      <c r="AC26" s="18">
        <f>raw_data!$AC26*mass_composition!$E26/100</f>
        <v>0</v>
      </c>
      <c r="AD26" s="18">
        <f>raw_data!$AD26*mass_composition!$E26/100</f>
        <v>0</v>
      </c>
      <c r="AE26" s="18">
        <f>raw_data!$AE26*mass_composition!$E26/100</f>
        <v>0</v>
      </c>
      <c r="AF26" s="18">
        <f>raw_data!$AF26*mass_composition!$E26/100</f>
        <v>0</v>
      </c>
      <c r="AG26" s="18">
        <f>raw_data!$AG26*mass_composition!$E26/100</f>
        <v>0</v>
      </c>
      <c r="AH26" s="18">
        <f>raw_data!$AH26*mass_composition!$E26/100</f>
        <v>0</v>
      </c>
      <c r="AI26" s="18">
        <f>raw_data!$AI26*mass_composition!$E26/100</f>
        <v>0</v>
      </c>
      <c r="AJ26" s="18">
        <f>raw_data!$AJ26*mass_composition!$E26/100</f>
        <v>0</v>
      </c>
      <c r="AK26" s="18">
        <f>raw_data!$AK26*mass_composition!$E26/100</f>
        <v>0</v>
      </c>
      <c r="AL26" s="18">
        <f>raw_data!$AL26*mass_composition!$E26/100</f>
        <v>0</v>
      </c>
      <c r="AM26" s="18">
        <f>raw_data!$AM26*mass_composition!$E26/100</f>
        <v>0</v>
      </c>
      <c r="AN26" s="18">
        <f>raw_data!$AN26*mass_composition!$E26/100</f>
        <v>0</v>
      </c>
      <c r="AO26" s="18">
        <f>raw_data!$AO26*mass_composition!$E26/100</f>
        <v>0</v>
      </c>
      <c r="AP26" s="18">
        <f>raw_data!$AP26*mass_composition!$E26/100</f>
        <v>0</v>
      </c>
      <c r="AQ26" s="18">
        <f>raw_data!$AQ26*mass_composition!$E26/100</f>
        <v>0</v>
      </c>
      <c r="AR26" s="18">
        <f>raw_data!$AR26*mass_composition!$E26/100</f>
        <v>0</v>
      </c>
      <c r="AS26" s="18">
        <f>raw_data!$AS26*mass_composition!$E26/100</f>
        <v>0</v>
      </c>
      <c r="AT26" s="18">
        <f>raw_data!$AT26*mass_composition!$E26/100</f>
        <v>0</v>
      </c>
      <c r="AU26" s="18">
        <f>raw_data!$AU26*mass_composition!$E26/100</f>
        <v>0</v>
      </c>
      <c r="AV26" s="18">
        <f>raw_data!$AV26*mass_composition!$E26/100</f>
        <v>0</v>
      </c>
      <c r="AW26" s="18">
        <f>raw_data!$AW26*mass_composition!$E26/100</f>
        <v>0</v>
      </c>
      <c r="AX26" s="18">
        <f>raw_data!$AX26*mass_composition!$E26/100</f>
        <v>0</v>
      </c>
      <c r="AY26" s="18">
        <f>raw_data!$AY26*mass_composition!$E26/100</f>
        <v>0</v>
      </c>
      <c r="AZ26" s="18">
        <f>raw_data!$AZ26*mass_composition!$E26/100</f>
        <v>0</v>
      </c>
      <c r="BA26" s="18">
        <f>raw_data!$BA26*mass_composition!$E26/100</f>
        <v>0</v>
      </c>
      <c r="BB26" s="18">
        <f>raw_data!$BB26*mass_composition!$E26/100</f>
        <v>0</v>
      </c>
      <c r="BC26" s="18">
        <f>raw_data!$BC26*mass_composition!$E26/100</f>
        <v>0</v>
      </c>
      <c r="BD26" s="18">
        <f>raw_data!$BD26*mass_composition!$E26/100</f>
        <v>0</v>
      </c>
      <c r="BE26" s="18">
        <f>raw_data!$BE26*mass_composition!$E26/100</f>
        <v>0</v>
      </c>
      <c r="BF26" s="18">
        <f>raw_data!$BF26*mass_composition!$E26/100</f>
        <v>0</v>
      </c>
      <c r="BG26" s="18">
        <f>raw_data!$BG26*mass_composition!$E26/100</f>
        <v>0</v>
      </c>
      <c r="BH26" s="18">
        <v>0</v>
      </c>
      <c r="BI26" s="18">
        <v>0</v>
      </c>
      <c r="BJ26" s="18">
        <v>0</v>
      </c>
      <c r="BK26" s="18">
        <f>raw_data!$BK26*$E26/100</f>
        <v>0</v>
      </c>
      <c r="BL26" s="18">
        <f>raw_data!$BL26*$E26/100</f>
        <v>0</v>
      </c>
      <c r="BM26" s="18">
        <v>0</v>
      </c>
      <c r="BN26" s="18">
        <f>raw_data!$BN26*$E26/100</f>
        <v>0</v>
      </c>
      <c r="BO26" s="18">
        <f>raw_data!$BO26*$E26/100</f>
        <v>0</v>
      </c>
      <c r="BP26" s="18">
        <f>raw_data!$BP26*$E26/100</f>
        <v>0</v>
      </c>
      <c r="BQ26" s="18">
        <v>0</v>
      </c>
      <c r="BR26" s="18">
        <f>raw_data!$BR26*$E26/100</f>
        <v>0</v>
      </c>
      <c r="BS26" s="18">
        <v>14.89074693548387</v>
      </c>
      <c r="BT26" s="18">
        <v>1.1036948719193547</v>
      </c>
      <c r="BU26" s="18">
        <v>0</v>
      </c>
      <c r="BV26" s="18">
        <v>0</v>
      </c>
      <c r="BW26" s="18">
        <v>0</v>
      </c>
      <c r="BX26" s="18">
        <v>0</v>
      </c>
      <c r="BY26" s="18">
        <v>0</v>
      </c>
      <c r="BZ26" s="18">
        <v>10.64516129032258</v>
      </c>
      <c r="CA26" s="18">
        <v>0</v>
      </c>
      <c r="CB26" s="19">
        <v>53.225806451612904</v>
      </c>
    </row>
    <row r="27" spans="1:80" x14ac:dyDescent="0.35">
      <c r="A27" s="17" t="s">
        <v>113</v>
      </c>
      <c r="B27" s="17" t="s">
        <v>139</v>
      </c>
      <c r="C27" s="17"/>
      <c r="D27" s="18">
        <f>raw_data!$D27*$C27/100</f>
        <v>0</v>
      </c>
      <c r="E27" s="18">
        <f>raw_data!$E27*$C27/100</f>
        <v>0</v>
      </c>
      <c r="F27" s="18">
        <f>raw_data!$F27*$E27/100</f>
        <v>0</v>
      </c>
      <c r="G27" s="18">
        <f>raw_data!$G27*$E27/100</f>
        <v>0</v>
      </c>
      <c r="H27" s="18">
        <v>15.692028614901158</v>
      </c>
      <c r="I27" s="18">
        <v>459.1174889310563</v>
      </c>
      <c r="J27" s="18">
        <f>raw_data!$J27*mass_composition!$E27/100</f>
        <v>0</v>
      </c>
      <c r="K27" s="18">
        <f>raw_data!$K27*mass_composition!$E27/100</f>
        <v>0</v>
      </c>
      <c r="L27" s="18">
        <f>raw_data!$L27*mass_composition!$E27/100</f>
        <v>0</v>
      </c>
      <c r="M27" s="18">
        <f>raw_data!$M27*mass_composition!$E27/100</f>
        <v>0</v>
      </c>
      <c r="N27" s="18">
        <f>raw_data!$N27*mass_composition!$E27/100</f>
        <v>0</v>
      </c>
      <c r="O27" s="18">
        <f>raw_data!$O27*mass_composition!$E27/100</f>
        <v>0</v>
      </c>
      <c r="P27" s="18">
        <f>raw_data!$P27*mass_composition!$E27/100</f>
        <v>0</v>
      </c>
      <c r="Q27" s="18">
        <f>raw_data!$Q27*mass_composition!$E27/100</f>
        <v>0</v>
      </c>
      <c r="R27" s="18">
        <f>raw_data!$R27*mass_composition!$E27/100</f>
        <v>0</v>
      </c>
      <c r="S27" s="18">
        <f>raw_data!$S27*mass_composition!$E27/100</f>
        <v>0</v>
      </c>
      <c r="T27" s="18">
        <f>raw_data!$T27*mass_composition!$E27/100</f>
        <v>0</v>
      </c>
      <c r="U27" s="18">
        <f>raw_data!$U27*mass_composition!$E27/100</f>
        <v>0</v>
      </c>
      <c r="V27" s="18">
        <f>raw_data!$V27*mass_composition!$E27/100</f>
        <v>0</v>
      </c>
      <c r="W27" s="18">
        <f>raw_data!$W27*mass_composition!$E27/100</f>
        <v>0</v>
      </c>
      <c r="X27" s="18">
        <f>raw_data!$X27*mass_composition!$E27/100</f>
        <v>0</v>
      </c>
      <c r="Y27" s="18">
        <f>raw_data!$Y27*mass_composition!$E27/100</f>
        <v>0</v>
      </c>
      <c r="Z27" s="18">
        <f>raw_data!$Z27*mass_composition!$E27/100</f>
        <v>0</v>
      </c>
      <c r="AA27" s="18">
        <f>raw_data!$AA27*mass_composition!$E27/100</f>
        <v>0</v>
      </c>
      <c r="AB27" s="18">
        <f>raw_data!$AB27*mass_composition!$E27/100</f>
        <v>0</v>
      </c>
      <c r="AC27" s="18">
        <f>raw_data!$AC27*mass_composition!$E27/100</f>
        <v>0</v>
      </c>
      <c r="AD27" s="18">
        <f>raw_data!$AD27*mass_composition!$E27/100</f>
        <v>0</v>
      </c>
      <c r="AE27" s="18">
        <f>raw_data!$AE27*mass_composition!$E27/100</f>
        <v>0</v>
      </c>
      <c r="AF27" s="18">
        <f>raw_data!$AF27*mass_composition!$E27/100</f>
        <v>0</v>
      </c>
      <c r="AG27" s="18">
        <f>raw_data!$AG27*mass_composition!$E27/100</f>
        <v>0</v>
      </c>
      <c r="AH27" s="18">
        <f>raw_data!$AH27*mass_composition!$E27/100</f>
        <v>0</v>
      </c>
      <c r="AI27" s="18">
        <f>raw_data!$AI27*mass_composition!$E27/100</f>
        <v>0</v>
      </c>
      <c r="AJ27" s="18">
        <f>raw_data!$AJ27*mass_composition!$E27/100</f>
        <v>0</v>
      </c>
      <c r="AK27" s="18">
        <f>raw_data!$AK27*mass_composition!$E27/100</f>
        <v>0</v>
      </c>
      <c r="AL27" s="18">
        <f>raw_data!$AL27*mass_composition!$E27/100</f>
        <v>0</v>
      </c>
      <c r="AM27" s="18">
        <f>raw_data!$AM27*mass_composition!$E27/100</f>
        <v>0</v>
      </c>
      <c r="AN27" s="18">
        <f>raw_data!$AN27*mass_composition!$E27/100</f>
        <v>0</v>
      </c>
      <c r="AO27" s="18">
        <f>raw_data!$AO27*mass_composition!$E27/100</f>
        <v>0</v>
      </c>
      <c r="AP27" s="18">
        <f>raw_data!$AP27*mass_composition!$E27/100</f>
        <v>0</v>
      </c>
      <c r="AQ27" s="18">
        <f>raw_data!$AQ27*mass_composition!$E27/100</f>
        <v>0</v>
      </c>
      <c r="AR27" s="18">
        <f>raw_data!$AR27*mass_composition!$E27/100</f>
        <v>0</v>
      </c>
      <c r="AS27" s="18">
        <f>raw_data!$AS27*mass_composition!$E27/100</f>
        <v>0</v>
      </c>
      <c r="AT27" s="18">
        <f>raw_data!$AT27*mass_composition!$E27/100</f>
        <v>0</v>
      </c>
      <c r="AU27" s="18">
        <f>raw_data!$AU27*mass_composition!$E27/100</f>
        <v>0</v>
      </c>
      <c r="AV27" s="18">
        <f>raw_data!$AV27*mass_composition!$E27/100</f>
        <v>0</v>
      </c>
      <c r="AW27" s="18">
        <f>raw_data!$AW27*mass_composition!$E27/100</f>
        <v>0</v>
      </c>
      <c r="AX27" s="18">
        <f>raw_data!$AX27*mass_composition!$E27/100</f>
        <v>0</v>
      </c>
      <c r="AY27" s="18">
        <f>raw_data!$AY27*mass_composition!$E27/100</f>
        <v>0</v>
      </c>
      <c r="AZ27" s="18">
        <f>raw_data!$AZ27*mass_composition!$E27/100</f>
        <v>0</v>
      </c>
      <c r="BA27" s="18">
        <f>raw_data!$BA27*mass_composition!$E27/100</f>
        <v>0</v>
      </c>
      <c r="BB27" s="18">
        <f>raw_data!$BB27*mass_composition!$E27/100</f>
        <v>0</v>
      </c>
      <c r="BC27" s="18">
        <f>raw_data!$BC27*mass_composition!$E27/100</f>
        <v>0</v>
      </c>
      <c r="BD27" s="18">
        <f>raw_data!$BD27*mass_composition!$E27/100</f>
        <v>0</v>
      </c>
      <c r="BE27" s="18">
        <f>raw_data!$BE27*mass_composition!$E27/100</f>
        <v>0</v>
      </c>
      <c r="BF27" s="18">
        <f>raw_data!$BF27*mass_composition!$E27/100</f>
        <v>0</v>
      </c>
      <c r="BG27" s="18">
        <f>raw_data!$BG27*mass_composition!$E27/100</f>
        <v>0</v>
      </c>
      <c r="BH27" s="18">
        <v>0</v>
      </c>
      <c r="BI27" s="18">
        <v>0</v>
      </c>
      <c r="BJ27" s="18">
        <v>0</v>
      </c>
      <c r="BK27" s="18">
        <f>raw_data!$BK27*$E27/100</f>
        <v>0</v>
      </c>
      <c r="BL27" s="18">
        <f>raw_data!$BL27*$E27/100</f>
        <v>0</v>
      </c>
      <c r="BM27" s="18">
        <v>0</v>
      </c>
      <c r="BN27" s="18">
        <f>raw_data!$BN27*$E27/100</f>
        <v>0</v>
      </c>
      <c r="BO27" s="18">
        <f>raw_data!$BO27*$E27/100</f>
        <v>0</v>
      </c>
      <c r="BP27" s="18">
        <f>raw_data!$BP27*$E27/100</f>
        <v>0</v>
      </c>
      <c r="BQ27" s="18">
        <v>0</v>
      </c>
      <c r="BR27" s="18">
        <f>raw_data!$BR27*$E27/100</f>
        <v>0</v>
      </c>
      <c r="BS27" s="18">
        <v>17.361192973649537</v>
      </c>
      <c r="BT27" s="18">
        <v>1.3480219850939394</v>
      </c>
      <c r="BU27" s="18">
        <v>0</v>
      </c>
      <c r="BV27" s="18">
        <v>0</v>
      </c>
      <c r="BW27" s="18">
        <v>0</v>
      </c>
      <c r="BX27" s="18">
        <v>0</v>
      </c>
      <c r="BY27" s="18">
        <v>13.636363636363635</v>
      </c>
      <c r="BZ27" s="18">
        <v>14.500658761528328</v>
      </c>
      <c r="CA27" s="18">
        <v>0</v>
      </c>
      <c r="CB27" s="19">
        <v>67.154150197628468</v>
      </c>
    </row>
    <row r="28" spans="1:80" x14ac:dyDescent="0.35">
      <c r="A28" s="17" t="s">
        <v>113</v>
      </c>
      <c r="B28" s="17" t="s">
        <v>140</v>
      </c>
      <c r="C28" s="17"/>
      <c r="D28" s="18">
        <f>raw_data!$D28*$C28/100</f>
        <v>0</v>
      </c>
      <c r="E28" s="18">
        <f>raw_data!$E28*$C28/100</f>
        <v>0</v>
      </c>
      <c r="F28" s="18">
        <f>raw_data!$F28*$E28/100</f>
        <v>0</v>
      </c>
      <c r="G28" s="18">
        <f>raw_data!$G28*$E28/100</f>
        <v>0</v>
      </c>
      <c r="H28" s="18">
        <v>15.014607026236371</v>
      </c>
      <c r="I28" s="18">
        <v>462.59183673469386</v>
      </c>
      <c r="J28" s="18">
        <f>raw_data!$J28*mass_composition!$E28/100</f>
        <v>0</v>
      </c>
      <c r="K28" s="18">
        <f>raw_data!$K28*mass_composition!$E28/100</f>
        <v>0</v>
      </c>
      <c r="L28" s="18">
        <f>raw_data!$L28*mass_composition!$E28/100</f>
        <v>0</v>
      </c>
      <c r="M28" s="18">
        <f>raw_data!$M28*mass_composition!$E28/100</f>
        <v>0</v>
      </c>
      <c r="N28" s="18">
        <f>raw_data!$N28*mass_composition!$E28/100</f>
        <v>0</v>
      </c>
      <c r="O28" s="18">
        <f>raw_data!$O28*mass_composition!$E28/100</f>
        <v>0</v>
      </c>
      <c r="P28" s="18">
        <f>raw_data!$P28*mass_composition!$E28/100</f>
        <v>0</v>
      </c>
      <c r="Q28" s="18">
        <f>raw_data!$Q28*mass_composition!$E28/100</f>
        <v>0</v>
      </c>
      <c r="R28" s="18">
        <f>raw_data!$R28*mass_composition!$E28/100</f>
        <v>0</v>
      </c>
      <c r="S28" s="18">
        <f>raw_data!$S28*mass_composition!$E28/100</f>
        <v>0</v>
      </c>
      <c r="T28" s="18">
        <f>raw_data!$T28*mass_composition!$E28/100</f>
        <v>0</v>
      </c>
      <c r="U28" s="18">
        <f>raw_data!$U28*mass_composition!$E28/100</f>
        <v>0</v>
      </c>
      <c r="V28" s="18">
        <f>raw_data!$V28*mass_composition!$E28/100</f>
        <v>0</v>
      </c>
      <c r="W28" s="18">
        <f>raw_data!$W28*mass_composition!$E28/100</f>
        <v>0</v>
      </c>
      <c r="X28" s="18">
        <f>raw_data!$X28*mass_composition!$E28/100</f>
        <v>0</v>
      </c>
      <c r="Y28" s="18">
        <f>raw_data!$Y28*mass_composition!$E28/100</f>
        <v>0</v>
      </c>
      <c r="Z28" s="18">
        <f>raw_data!$Z28*mass_composition!$E28/100</f>
        <v>0</v>
      </c>
      <c r="AA28" s="18">
        <f>raw_data!$AA28*mass_composition!$E28/100</f>
        <v>0</v>
      </c>
      <c r="AB28" s="18">
        <f>raw_data!$AB28*mass_composition!$E28/100</f>
        <v>0</v>
      </c>
      <c r="AC28" s="18">
        <f>raw_data!$AC28*mass_composition!$E28/100</f>
        <v>0</v>
      </c>
      <c r="AD28" s="18">
        <f>raw_data!$AD28*mass_composition!$E28/100</f>
        <v>0</v>
      </c>
      <c r="AE28" s="18">
        <f>raw_data!$AE28*mass_composition!$E28/100</f>
        <v>0</v>
      </c>
      <c r="AF28" s="18">
        <f>raw_data!$AF28*mass_composition!$E28/100</f>
        <v>0</v>
      </c>
      <c r="AG28" s="18">
        <f>raw_data!$AG28*mass_composition!$E28/100</f>
        <v>0</v>
      </c>
      <c r="AH28" s="18">
        <f>raw_data!$AH28*mass_composition!$E28/100</f>
        <v>0</v>
      </c>
      <c r="AI28" s="18">
        <f>raw_data!$AI28*mass_composition!$E28/100</f>
        <v>0</v>
      </c>
      <c r="AJ28" s="18">
        <f>raw_data!$AJ28*mass_composition!$E28/100</f>
        <v>0</v>
      </c>
      <c r="AK28" s="18">
        <f>raw_data!$AK28*mass_composition!$E28/100</f>
        <v>0</v>
      </c>
      <c r="AL28" s="18">
        <f>raw_data!$AL28*mass_composition!$E28/100</f>
        <v>0</v>
      </c>
      <c r="AM28" s="18">
        <f>raw_data!$AM28*mass_composition!$E28/100</f>
        <v>0</v>
      </c>
      <c r="AN28" s="18">
        <f>raw_data!$AN28*mass_composition!$E28/100</f>
        <v>0</v>
      </c>
      <c r="AO28" s="18">
        <f>raw_data!$AO28*mass_composition!$E28/100</f>
        <v>0</v>
      </c>
      <c r="AP28" s="18">
        <f>raw_data!$AP28*mass_composition!$E28/100</f>
        <v>0</v>
      </c>
      <c r="AQ28" s="18">
        <f>raw_data!$AQ28*mass_composition!$E28/100</f>
        <v>0</v>
      </c>
      <c r="AR28" s="18">
        <f>raw_data!$AR28*mass_composition!$E28/100</f>
        <v>0</v>
      </c>
      <c r="AS28" s="18">
        <f>raw_data!$AS28*mass_composition!$E28/100</f>
        <v>0</v>
      </c>
      <c r="AT28" s="18">
        <f>raw_data!$AT28*mass_composition!$E28/100</f>
        <v>0</v>
      </c>
      <c r="AU28" s="18">
        <f>raw_data!$AU28*mass_composition!$E28/100</f>
        <v>0</v>
      </c>
      <c r="AV28" s="18">
        <f>raw_data!$AV28*mass_composition!$E28/100</f>
        <v>0</v>
      </c>
      <c r="AW28" s="18">
        <f>raw_data!$AW28*mass_composition!$E28/100</f>
        <v>0</v>
      </c>
      <c r="AX28" s="18">
        <f>raw_data!$AX28*mass_composition!$E28/100</f>
        <v>0</v>
      </c>
      <c r="AY28" s="18">
        <f>raw_data!$AY28*mass_composition!$E28/100</f>
        <v>0</v>
      </c>
      <c r="AZ28" s="18">
        <f>raw_data!$AZ28*mass_composition!$E28/100</f>
        <v>0</v>
      </c>
      <c r="BA28" s="18">
        <f>raw_data!$BA28*mass_composition!$E28/100</f>
        <v>0</v>
      </c>
      <c r="BB28" s="18">
        <f>raw_data!$BB28*mass_composition!$E28/100</f>
        <v>0</v>
      </c>
      <c r="BC28" s="18">
        <f>raw_data!$BC28*mass_composition!$E28/100</f>
        <v>0</v>
      </c>
      <c r="BD28" s="18">
        <f>raw_data!$BD28*mass_composition!$E28/100</f>
        <v>0</v>
      </c>
      <c r="BE28" s="18">
        <f>raw_data!$BE28*mass_composition!$E28/100</f>
        <v>0</v>
      </c>
      <c r="BF28" s="18">
        <f>raw_data!$BF28*mass_composition!$E28/100</f>
        <v>0</v>
      </c>
      <c r="BG28" s="18">
        <f>raw_data!$BG28*mass_composition!$E28/100</f>
        <v>0</v>
      </c>
      <c r="BH28" s="18">
        <v>0</v>
      </c>
      <c r="BI28" s="18">
        <v>0</v>
      </c>
      <c r="BJ28" s="18">
        <v>0</v>
      </c>
      <c r="BK28" s="18">
        <f>raw_data!$BK28*$E28/100</f>
        <v>0</v>
      </c>
      <c r="BL28" s="18">
        <f>raw_data!$BL28*$E28/100</f>
        <v>0</v>
      </c>
      <c r="BM28" s="18">
        <v>0</v>
      </c>
      <c r="BN28" s="18">
        <f>raw_data!$BN28*$E28/100</f>
        <v>0</v>
      </c>
      <c r="BO28" s="18">
        <f>raw_data!$BO28*$E28/100</f>
        <v>0</v>
      </c>
      <c r="BP28" s="18">
        <f>raw_data!$BP28*$E28/100</f>
        <v>0</v>
      </c>
      <c r="BQ28" s="18">
        <v>0</v>
      </c>
      <c r="BR28" s="18">
        <f>raw_data!$BR28*$E28/100</f>
        <v>0</v>
      </c>
      <c r="BS28" s="18">
        <v>16.950631071428571</v>
      </c>
      <c r="BT28" s="18">
        <v>1.3074174129642857</v>
      </c>
      <c r="BU28" s="18">
        <v>16.696428571428573</v>
      </c>
      <c r="BV28" s="18">
        <v>12.946428571428573</v>
      </c>
      <c r="BW28" s="18">
        <v>0</v>
      </c>
      <c r="BX28" s="18">
        <v>0</v>
      </c>
      <c r="BY28" s="18">
        <v>29.642857142857142</v>
      </c>
      <c r="BZ28" s="18">
        <v>14.285714285714286</v>
      </c>
      <c r="CA28" s="18">
        <v>0</v>
      </c>
      <c r="CB28" s="19">
        <v>29.285714285714278</v>
      </c>
    </row>
    <row r="29" spans="1:80" x14ac:dyDescent="0.35">
      <c r="A29" s="17" t="s">
        <v>113</v>
      </c>
      <c r="B29" s="17" t="s">
        <v>141</v>
      </c>
      <c r="C29" s="17"/>
      <c r="D29" s="18">
        <f>raw_data!$D29*$C29/100</f>
        <v>0</v>
      </c>
      <c r="E29" s="18">
        <f>raw_data!$E29*$C29/100</f>
        <v>0</v>
      </c>
      <c r="F29" s="18">
        <f>raw_data!$F29*$E29/100</f>
        <v>0</v>
      </c>
      <c r="G29" s="18">
        <f>raw_data!$G29*$E29/100</f>
        <v>0</v>
      </c>
      <c r="H29" s="18">
        <v>15.659455081333208</v>
      </c>
      <c r="I29" s="18">
        <v>438.95299145299145</v>
      </c>
      <c r="J29" s="18">
        <f>raw_data!$J29*mass_composition!$E29/100</f>
        <v>0</v>
      </c>
      <c r="K29" s="18">
        <f>raw_data!$K29*mass_composition!$E29/100</f>
        <v>0</v>
      </c>
      <c r="L29" s="18">
        <f>raw_data!$L29*mass_composition!$E29/100</f>
        <v>0</v>
      </c>
      <c r="M29" s="18">
        <f>raw_data!$M29*mass_composition!$E29/100</f>
        <v>0</v>
      </c>
      <c r="N29" s="18">
        <f>raw_data!$N29*mass_composition!$E29/100</f>
        <v>0</v>
      </c>
      <c r="O29" s="18">
        <f>raw_data!$O29*mass_composition!$E29/100</f>
        <v>0</v>
      </c>
      <c r="P29" s="18">
        <f>raw_data!$P29*mass_composition!$E29/100</f>
        <v>0</v>
      </c>
      <c r="Q29" s="18">
        <f>raw_data!$Q29*mass_composition!$E29/100</f>
        <v>0</v>
      </c>
      <c r="R29" s="18">
        <f>raw_data!$R29*mass_composition!$E29/100</f>
        <v>0</v>
      </c>
      <c r="S29" s="18">
        <f>raw_data!$S29*mass_composition!$E29/100</f>
        <v>0</v>
      </c>
      <c r="T29" s="18">
        <f>raw_data!$T29*mass_composition!$E29/100</f>
        <v>0</v>
      </c>
      <c r="U29" s="18">
        <f>raw_data!$U29*mass_composition!$E29/100</f>
        <v>0</v>
      </c>
      <c r="V29" s="18">
        <f>raw_data!$V29*mass_composition!$E29/100</f>
        <v>0</v>
      </c>
      <c r="W29" s="18">
        <f>raw_data!$W29*mass_composition!$E29/100</f>
        <v>0</v>
      </c>
      <c r="X29" s="18">
        <f>raw_data!$X29*mass_composition!$E29/100</f>
        <v>0</v>
      </c>
      <c r="Y29" s="18">
        <f>raw_data!$Y29*mass_composition!$E29/100</f>
        <v>0</v>
      </c>
      <c r="Z29" s="18">
        <f>raw_data!$Z29*mass_composition!$E29/100</f>
        <v>0</v>
      </c>
      <c r="AA29" s="18">
        <f>raw_data!$AA29*mass_composition!$E29/100</f>
        <v>0</v>
      </c>
      <c r="AB29" s="18">
        <f>raw_data!$AB29*mass_composition!$E29/100</f>
        <v>0</v>
      </c>
      <c r="AC29" s="18">
        <f>raw_data!$AC29*mass_composition!$E29/100</f>
        <v>0</v>
      </c>
      <c r="AD29" s="18">
        <f>raw_data!$AD29*mass_composition!$E29/100</f>
        <v>0</v>
      </c>
      <c r="AE29" s="18">
        <f>raw_data!$AE29*mass_composition!$E29/100</f>
        <v>0</v>
      </c>
      <c r="AF29" s="18">
        <f>raw_data!$AF29*mass_composition!$E29/100</f>
        <v>0</v>
      </c>
      <c r="AG29" s="18">
        <f>raw_data!$AG29*mass_composition!$E29/100</f>
        <v>0</v>
      </c>
      <c r="AH29" s="18">
        <f>raw_data!$AH29*mass_composition!$E29/100</f>
        <v>0</v>
      </c>
      <c r="AI29" s="18">
        <f>raw_data!$AI29*mass_composition!$E29/100</f>
        <v>0</v>
      </c>
      <c r="AJ29" s="18">
        <f>raw_data!$AJ29*mass_composition!$E29/100</f>
        <v>0</v>
      </c>
      <c r="AK29" s="18">
        <f>raw_data!$AK29*mass_composition!$E29/100</f>
        <v>0</v>
      </c>
      <c r="AL29" s="18">
        <f>raw_data!$AL29*mass_composition!$E29/100</f>
        <v>0</v>
      </c>
      <c r="AM29" s="18">
        <f>raw_data!$AM29*mass_composition!$E29/100</f>
        <v>0</v>
      </c>
      <c r="AN29" s="18">
        <f>raw_data!$AN29*mass_composition!$E29/100</f>
        <v>0</v>
      </c>
      <c r="AO29" s="18">
        <f>raw_data!$AO29*mass_composition!$E29/100</f>
        <v>0</v>
      </c>
      <c r="AP29" s="18">
        <f>raw_data!$AP29*mass_composition!$E29/100</f>
        <v>0</v>
      </c>
      <c r="AQ29" s="18">
        <f>raw_data!$AQ29*mass_composition!$E29/100</f>
        <v>0</v>
      </c>
      <c r="AR29" s="18">
        <f>raw_data!$AR29*mass_composition!$E29/100</f>
        <v>0</v>
      </c>
      <c r="AS29" s="18">
        <f>raw_data!$AS29*mass_composition!$E29/100</f>
        <v>0</v>
      </c>
      <c r="AT29" s="18">
        <f>raw_data!$AT29*mass_composition!$E29/100</f>
        <v>0</v>
      </c>
      <c r="AU29" s="18">
        <f>raw_data!$AU29*mass_composition!$E29/100</f>
        <v>0</v>
      </c>
      <c r="AV29" s="18">
        <f>raw_data!$AV29*mass_composition!$E29/100</f>
        <v>0</v>
      </c>
      <c r="AW29" s="18">
        <f>raw_data!$AW29*mass_composition!$E29/100</f>
        <v>0</v>
      </c>
      <c r="AX29" s="18">
        <f>raw_data!$AX29*mass_composition!$E29/100</f>
        <v>0</v>
      </c>
      <c r="AY29" s="18">
        <f>raw_data!$AY29*mass_composition!$E29/100</f>
        <v>0</v>
      </c>
      <c r="AZ29" s="18">
        <f>raw_data!$AZ29*mass_composition!$E29/100</f>
        <v>0</v>
      </c>
      <c r="BA29" s="18">
        <f>raw_data!$BA29*mass_composition!$E29/100</f>
        <v>0</v>
      </c>
      <c r="BB29" s="18">
        <f>raw_data!$BB29*mass_composition!$E29/100</f>
        <v>0</v>
      </c>
      <c r="BC29" s="18">
        <f>raw_data!$BC29*mass_composition!$E29/100</f>
        <v>0</v>
      </c>
      <c r="BD29" s="18">
        <f>raw_data!$BD29*mass_composition!$E29/100</f>
        <v>0</v>
      </c>
      <c r="BE29" s="18">
        <f>raw_data!$BE29*mass_composition!$E29/100</f>
        <v>0</v>
      </c>
      <c r="BF29" s="18">
        <f>raw_data!$BF29*mass_composition!$E29/100</f>
        <v>0</v>
      </c>
      <c r="BG29" s="18">
        <f>raw_data!$BG29*mass_composition!$E29/100</f>
        <v>0</v>
      </c>
      <c r="BH29" s="18">
        <v>0</v>
      </c>
      <c r="BI29" s="18">
        <v>15.655737704918032</v>
      </c>
      <c r="BJ29" s="18">
        <v>0</v>
      </c>
      <c r="BK29" s="18">
        <f>raw_data!$BK29*$E29/100</f>
        <v>0</v>
      </c>
      <c r="BL29" s="18">
        <f>raw_data!$BL29*$E29/100</f>
        <v>0</v>
      </c>
      <c r="BM29" s="18">
        <v>0</v>
      </c>
      <c r="BN29" s="18">
        <f>raw_data!$BN29*$E29/100</f>
        <v>0</v>
      </c>
      <c r="BO29" s="18">
        <f>raw_data!$BO29*$E29/100</f>
        <v>0</v>
      </c>
      <c r="BP29" s="18">
        <f>raw_data!$BP29*$E29/100</f>
        <v>0</v>
      </c>
      <c r="BQ29" s="18">
        <v>0</v>
      </c>
      <c r="BR29" s="18">
        <f>raw_data!$BR29*$E29/100</f>
        <v>0</v>
      </c>
      <c r="BS29" s="18">
        <v>17.297551573503675</v>
      </c>
      <c r="BT29" s="18">
        <v>1.3412301047178743</v>
      </c>
      <c r="BU29" s="18">
        <v>15.000000000000002</v>
      </c>
      <c r="BV29" s="18">
        <v>18.360655737704921</v>
      </c>
      <c r="BW29" s="18">
        <v>0</v>
      </c>
      <c r="BX29" s="18">
        <v>0</v>
      </c>
      <c r="BY29" s="18">
        <v>49.016393442622956</v>
      </c>
      <c r="BZ29" s="18">
        <v>15.409836065573771</v>
      </c>
      <c r="CA29" s="18">
        <v>0</v>
      </c>
      <c r="CB29" s="19">
        <v>23.688524590163922</v>
      </c>
    </row>
    <row r="30" spans="1:80" x14ac:dyDescent="0.35">
      <c r="A30" s="17" t="s">
        <v>113</v>
      </c>
      <c r="B30" s="17" t="s">
        <v>142</v>
      </c>
      <c r="C30" s="17"/>
      <c r="D30" s="18">
        <f>raw_data!$D30*$C30/100</f>
        <v>0</v>
      </c>
      <c r="E30" s="18">
        <f>raw_data!$E30*$C30/100</f>
        <v>0</v>
      </c>
      <c r="F30" s="18">
        <f>raw_data!$F30*$E30/100</f>
        <v>0</v>
      </c>
      <c r="G30" s="18">
        <f>raw_data!$G30*$E30/100</f>
        <v>0</v>
      </c>
      <c r="H30" s="18">
        <v>16.229120157019175</v>
      </c>
      <c r="I30" s="18">
        <v>441.29708686440677</v>
      </c>
      <c r="J30" s="18">
        <f>raw_data!$J30*mass_composition!$E30/100</f>
        <v>0</v>
      </c>
      <c r="K30" s="18">
        <f>raw_data!$K30*mass_composition!$E30/100</f>
        <v>0</v>
      </c>
      <c r="L30" s="18">
        <f>raw_data!$L30*mass_composition!$E30/100</f>
        <v>0</v>
      </c>
      <c r="M30" s="18">
        <f>raw_data!$M30*mass_composition!$E30/100</f>
        <v>0</v>
      </c>
      <c r="N30" s="18">
        <f>raw_data!$N30*mass_composition!$E30/100</f>
        <v>0</v>
      </c>
      <c r="O30" s="18">
        <f>raw_data!$O30*mass_composition!$E30/100</f>
        <v>0</v>
      </c>
      <c r="P30" s="18">
        <f>raw_data!$P30*mass_composition!$E30/100</f>
        <v>0</v>
      </c>
      <c r="Q30" s="18">
        <f>raw_data!$Q30*mass_composition!$E30/100</f>
        <v>0</v>
      </c>
      <c r="R30" s="18">
        <f>raw_data!$R30*mass_composition!$E30/100</f>
        <v>0</v>
      </c>
      <c r="S30" s="18">
        <f>raw_data!$S30*mass_composition!$E30/100</f>
        <v>0</v>
      </c>
      <c r="T30" s="18">
        <f>raw_data!$T30*mass_composition!$E30/100</f>
        <v>0</v>
      </c>
      <c r="U30" s="18">
        <f>raw_data!$U30*mass_composition!$E30/100</f>
        <v>0</v>
      </c>
      <c r="V30" s="18">
        <f>raw_data!$V30*mass_composition!$E30/100</f>
        <v>0</v>
      </c>
      <c r="W30" s="18">
        <f>raw_data!$W30*mass_composition!$E30/100</f>
        <v>0</v>
      </c>
      <c r="X30" s="18">
        <f>raw_data!$X30*mass_composition!$E30/100</f>
        <v>0</v>
      </c>
      <c r="Y30" s="18">
        <f>raw_data!$Y30*mass_composition!$E30/100</f>
        <v>0</v>
      </c>
      <c r="Z30" s="18">
        <f>raw_data!$Z30*mass_composition!$E30/100</f>
        <v>0</v>
      </c>
      <c r="AA30" s="18">
        <f>raw_data!$AA30*mass_composition!$E30/100</f>
        <v>0</v>
      </c>
      <c r="AB30" s="18">
        <f>raw_data!$AB30*mass_composition!$E30/100</f>
        <v>0</v>
      </c>
      <c r="AC30" s="18">
        <f>raw_data!$AC30*mass_composition!$E30/100</f>
        <v>0</v>
      </c>
      <c r="AD30" s="18">
        <f>raw_data!$AD30*mass_composition!$E30/100</f>
        <v>0</v>
      </c>
      <c r="AE30" s="18">
        <f>raw_data!$AE30*mass_composition!$E30/100</f>
        <v>0</v>
      </c>
      <c r="AF30" s="18">
        <f>raw_data!$AF30*mass_composition!$E30/100</f>
        <v>0</v>
      </c>
      <c r="AG30" s="18">
        <f>raw_data!$AG30*mass_composition!$E30/100</f>
        <v>0</v>
      </c>
      <c r="AH30" s="18">
        <f>raw_data!$AH30*mass_composition!$E30/100</f>
        <v>0</v>
      </c>
      <c r="AI30" s="18">
        <f>raw_data!$AI30*mass_composition!$E30/100</f>
        <v>0</v>
      </c>
      <c r="AJ30" s="18">
        <f>raw_data!$AJ30*mass_composition!$E30/100</f>
        <v>0</v>
      </c>
      <c r="AK30" s="18">
        <f>raw_data!$AK30*mass_composition!$E30/100</f>
        <v>0</v>
      </c>
      <c r="AL30" s="18">
        <f>raw_data!$AL30*mass_composition!$E30/100</f>
        <v>0</v>
      </c>
      <c r="AM30" s="18">
        <f>raw_data!$AM30*mass_composition!$E30/100</f>
        <v>0</v>
      </c>
      <c r="AN30" s="18">
        <f>raw_data!$AN30*mass_composition!$E30/100</f>
        <v>0</v>
      </c>
      <c r="AO30" s="18">
        <f>raw_data!$AO30*mass_composition!$E30/100</f>
        <v>0</v>
      </c>
      <c r="AP30" s="18">
        <f>raw_data!$AP30*mass_composition!$E30/100</f>
        <v>0</v>
      </c>
      <c r="AQ30" s="18">
        <f>raw_data!$AQ30*mass_composition!$E30/100</f>
        <v>0</v>
      </c>
      <c r="AR30" s="18">
        <f>raw_data!$AR30*mass_composition!$E30/100</f>
        <v>0</v>
      </c>
      <c r="AS30" s="18">
        <f>raw_data!$AS30*mass_composition!$E30/100</f>
        <v>0</v>
      </c>
      <c r="AT30" s="18">
        <f>raw_data!$AT30*mass_composition!$E30/100</f>
        <v>0</v>
      </c>
      <c r="AU30" s="18">
        <f>raw_data!$AU30*mass_composition!$E30/100</f>
        <v>0</v>
      </c>
      <c r="AV30" s="18">
        <f>raw_data!$AV30*mass_composition!$E30/100</f>
        <v>0</v>
      </c>
      <c r="AW30" s="18">
        <f>raw_data!$AW30*mass_composition!$E30/100</f>
        <v>0</v>
      </c>
      <c r="AX30" s="18">
        <f>raw_data!$AX30*mass_composition!$E30/100</f>
        <v>0</v>
      </c>
      <c r="AY30" s="18">
        <f>raw_data!$AY30*mass_composition!$E30/100</f>
        <v>0</v>
      </c>
      <c r="AZ30" s="18">
        <f>raw_data!$AZ30*mass_composition!$E30/100</f>
        <v>0</v>
      </c>
      <c r="BA30" s="18">
        <f>raw_data!$BA30*mass_composition!$E30/100</f>
        <v>0</v>
      </c>
      <c r="BB30" s="18">
        <f>raw_data!$BB30*mass_composition!$E30/100</f>
        <v>0</v>
      </c>
      <c r="BC30" s="18">
        <f>raw_data!$BC30*mass_composition!$E30/100</f>
        <v>0</v>
      </c>
      <c r="BD30" s="18">
        <f>raw_data!$BD30*mass_composition!$E30/100</f>
        <v>0</v>
      </c>
      <c r="BE30" s="18">
        <f>raw_data!$BE30*mass_composition!$E30/100</f>
        <v>0</v>
      </c>
      <c r="BF30" s="18">
        <f>raw_data!$BF30*mass_composition!$E30/100</f>
        <v>0</v>
      </c>
      <c r="BG30" s="18">
        <f>raw_data!$BG30*mass_composition!$E30/100</f>
        <v>0</v>
      </c>
      <c r="BH30" s="18">
        <v>0</v>
      </c>
      <c r="BI30" s="18">
        <v>0.8462532299741603</v>
      </c>
      <c r="BJ30" s="18">
        <v>0.79365079365079383</v>
      </c>
      <c r="BK30" s="18">
        <f>raw_data!$BK30*$E30/100</f>
        <v>0</v>
      </c>
      <c r="BL30" s="18">
        <f>raw_data!$BL30*$E30/100</f>
        <v>0</v>
      </c>
      <c r="BM30" s="18">
        <v>0</v>
      </c>
      <c r="BN30" s="18">
        <f>raw_data!$BN30*$E30/100</f>
        <v>0</v>
      </c>
      <c r="BO30" s="18">
        <f>raw_data!$BO30*$E30/100</f>
        <v>0</v>
      </c>
      <c r="BP30" s="18">
        <f>raw_data!$BP30*$E30/100</f>
        <v>0</v>
      </c>
      <c r="BQ30" s="18">
        <v>0</v>
      </c>
      <c r="BR30" s="18">
        <f>raw_data!$BR30*$E30/100</f>
        <v>0</v>
      </c>
      <c r="BS30" s="18">
        <v>16.477100563055661</v>
      </c>
      <c r="BT30" s="18">
        <v>1.2573325209722883</v>
      </c>
      <c r="BU30" s="18">
        <v>22.381875230712442</v>
      </c>
      <c r="BV30" s="18">
        <v>15.794573643410853</v>
      </c>
      <c r="BW30" s="18">
        <v>0</v>
      </c>
      <c r="BX30" s="18">
        <v>0</v>
      </c>
      <c r="BY30" s="18">
        <v>39.022702104097455</v>
      </c>
      <c r="BZ30" s="18">
        <v>14.563492063492063</v>
      </c>
      <c r="CA30" s="18">
        <v>0</v>
      </c>
      <c r="CB30" s="19">
        <v>21.626984126984119</v>
      </c>
    </row>
    <row r="31" spans="1:80" x14ac:dyDescent="0.35">
      <c r="A31" s="17" t="s">
        <v>113</v>
      </c>
      <c r="B31" s="17" t="s">
        <v>143</v>
      </c>
      <c r="C31" s="17"/>
      <c r="D31" s="18">
        <f>raw_data!$D31*$C31/100</f>
        <v>0</v>
      </c>
      <c r="E31" s="18">
        <f>raw_data!$E31*$C31/100</f>
        <v>0</v>
      </c>
      <c r="F31" s="18">
        <f>raw_data!$F31*$E31/100</f>
        <v>0</v>
      </c>
      <c r="G31" s="18">
        <f>raw_data!$G31*$E31/100</f>
        <v>0</v>
      </c>
      <c r="H31" s="18">
        <v>15.142208078179197</v>
      </c>
      <c r="I31" s="18">
        <v>427.10996753993919</v>
      </c>
      <c r="J31" s="18">
        <f>raw_data!$J31*mass_composition!$E31/100</f>
        <v>0</v>
      </c>
      <c r="K31" s="18">
        <f>raw_data!$K31*mass_composition!$E31/100</f>
        <v>0</v>
      </c>
      <c r="L31" s="18">
        <f>raw_data!$L31*mass_composition!$E31/100</f>
        <v>0</v>
      </c>
      <c r="M31" s="18">
        <f>raw_data!$M31*mass_composition!$E31/100</f>
        <v>0</v>
      </c>
      <c r="N31" s="18">
        <f>raw_data!$N31*mass_composition!$E31/100</f>
        <v>0</v>
      </c>
      <c r="O31" s="18">
        <f>raw_data!$O31*mass_composition!$E31/100</f>
        <v>0</v>
      </c>
      <c r="P31" s="18">
        <f>raw_data!$P31*mass_composition!$E31/100</f>
        <v>0</v>
      </c>
      <c r="Q31" s="18">
        <f>raw_data!$Q31*mass_composition!$E31/100</f>
        <v>0</v>
      </c>
      <c r="R31" s="18">
        <f>raw_data!$R31*mass_composition!$E31/100</f>
        <v>0</v>
      </c>
      <c r="S31" s="18">
        <f>raw_data!$S31*mass_composition!$E31/100</f>
        <v>0</v>
      </c>
      <c r="T31" s="18">
        <f>raw_data!$T31*mass_composition!$E31/100</f>
        <v>0</v>
      </c>
      <c r="U31" s="18">
        <f>raw_data!$U31*mass_composition!$E31/100</f>
        <v>0</v>
      </c>
      <c r="V31" s="18">
        <f>raw_data!$V31*mass_composition!$E31/100</f>
        <v>0</v>
      </c>
      <c r="W31" s="18">
        <f>raw_data!$W31*mass_composition!$E31/100</f>
        <v>0</v>
      </c>
      <c r="X31" s="18">
        <f>raw_data!$X31*mass_composition!$E31/100</f>
        <v>0</v>
      </c>
      <c r="Y31" s="18">
        <f>raw_data!$Y31*mass_composition!$E31/100</f>
        <v>0</v>
      </c>
      <c r="Z31" s="18">
        <f>raw_data!$Z31*mass_composition!$E31/100</f>
        <v>0</v>
      </c>
      <c r="AA31" s="18">
        <f>raw_data!$AA31*mass_composition!$E31/100</f>
        <v>0</v>
      </c>
      <c r="AB31" s="18">
        <f>raw_data!$AB31*mass_composition!$E31/100</f>
        <v>0</v>
      </c>
      <c r="AC31" s="18">
        <f>raw_data!$AC31*mass_composition!$E31/100</f>
        <v>0</v>
      </c>
      <c r="AD31" s="18">
        <f>raw_data!$AD31*mass_composition!$E31/100</f>
        <v>0</v>
      </c>
      <c r="AE31" s="18">
        <f>raw_data!$AE31*mass_composition!$E31/100</f>
        <v>0</v>
      </c>
      <c r="AF31" s="18">
        <f>raw_data!$AF31*mass_composition!$E31/100</f>
        <v>0</v>
      </c>
      <c r="AG31" s="18">
        <f>raw_data!$AG31*mass_composition!$E31/100</f>
        <v>0</v>
      </c>
      <c r="AH31" s="18">
        <f>raw_data!$AH31*mass_composition!$E31/100</f>
        <v>0</v>
      </c>
      <c r="AI31" s="18">
        <f>raw_data!$AI31*mass_composition!$E31/100</f>
        <v>0</v>
      </c>
      <c r="AJ31" s="18">
        <f>raw_data!$AJ31*mass_composition!$E31/100</f>
        <v>0</v>
      </c>
      <c r="AK31" s="18">
        <f>raw_data!$AK31*mass_composition!$E31/100</f>
        <v>0</v>
      </c>
      <c r="AL31" s="18">
        <f>raw_data!$AL31*mass_composition!$E31/100</f>
        <v>0</v>
      </c>
      <c r="AM31" s="18">
        <f>raw_data!$AM31*mass_composition!$E31/100</f>
        <v>0</v>
      </c>
      <c r="AN31" s="18">
        <f>raw_data!$AN31*mass_composition!$E31/100</f>
        <v>0</v>
      </c>
      <c r="AO31" s="18">
        <f>raw_data!$AO31*mass_composition!$E31/100</f>
        <v>0</v>
      </c>
      <c r="AP31" s="18">
        <f>raw_data!$AP31*mass_composition!$E31/100</f>
        <v>0</v>
      </c>
      <c r="AQ31" s="18">
        <f>raw_data!$AQ31*mass_composition!$E31/100</f>
        <v>0</v>
      </c>
      <c r="AR31" s="18">
        <f>raw_data!$AR31*mass_composition!$E31/100</f>
        <v>0</v>
      </c>
      <c r="AS31" s="18">
        <f>raw_data!$AS31*mass_composition!$E31/100</f>
        <v>0</v>
      </c>
      <c r="AT31" s="18">
        <f>raw_data!$AT31*mass_composition!$E31/100</f>
        <v>0</v>
      </c>
      <c r="AU31" s="18">
        <f>raw_data!$AU31*mass_composition!$E31/100</f>
        <v>0</v>
      </c>
      <c r="AV31" s="18">
        <f>raw_data!$AV31*mass_composition!$E31/100</f>
        <v>0</v>
      </c>
      <c r="AW31" s="18">
        <f>raw_data!$AW31*mass_composition!$E31/100</f>
        <v>0</v>
      </c>
      <c r="AX31" s="18">
        <f>raw_data!$AX31*mass_composition!$E31/100</f>
        <v>0</v>
      </c>
      <c r="AY31" s="18">
        <f>raw_data!$AY31*mass_composition!$E31/100</f>
        <v>0</v>
      </c>
      <c r="AZ31" s="18">
        <f>raw_data!$AZ31*mass_composition!$E31/100</f>
        <v>0</v>
      </c>
      <c r="BA31" s="18">
        <f>raw_data!$BA31*mass_composition!$E31/100</f>
        <v>0</v>
      </c>
      <c r="BB31" s="18">
        <f>raw_data!$BB31*mass_composition!$E31/100</f>
        <v>0</v>
      </c>
      <c r="BC31" s="18">
        <f>raw_data!$BC31*mass_composition!$E31/100</f>
        <v>0</v>
      </c>
      <c r="BD31" s="18">
        <f>raw_data!$BD31*mass_composition!$E31/100</f>
        <v>0</v>
      </c>
      <c r="BE31" s="18">
        <f>raw_data!$BE31*mass_composition!$E31/100</f>
        <v>0</v>
      </c>
      <c r="BF31" s="18">
        <f>raw_data!$BF31*mass_composition!$E31/100</f>
        <v>0</v>
      </c>
      <c r="BG31" s="18">
        <f>raw_data!$BG31*mass_composition!$E31/100</f>
        <v>0</v>
      </c>
      <c r="BH31" s="18">
        <v>0</v>
      </c>
      <c r="BI31" s="18">
        <v>0.38540596094552937</v>
      </c>
      <c r="BJ31" s="18">
        <v>0</v>
      </c>
      <c r="BK31" s="18">
        <f>raw_data!$BK31*$E31/100</f>
        <v>0</v>
      </c>
      <c r="BL31" s="18">
        <f>raw_data!$BL31*$E31/100</f>
        <v>0</v>
      </c>
      <c r="BM31" s="18">
        <v>0</v>
      </c>
      <c r="BN31" s="18">
        <f>raw_data!$BN31*$E31/100</f>
        <v>0</v>
      </c>
      <c r="BO31" s="18">
        <f>raw_data!$BO31*$E31/100</f>
        <v>0</v>
      </c>
      <c r="BP31" s="18">
        <f>raw_data!$BP31*$E31/100</f>
        <v>0</v>
      </c>
      <c r="BQ31" s="18">
        <v>0</v>
      </c>
      <c r="BR31" s="18">
        <f>raw_data!$BR31*$E31/100</f>
        <v>0</v>
      </c>
      <c r="BS31" s="18">
        <v>16.973696068945806</v>
      </c>
      <c r="BT31" s="18">
        <v>1.3096985412187405</v>
      </c>
      <c r="BU31" s="18">
        <v>20.889003083247694</v>
      </c>
      <c r="BV31" s="18">
        <v>18.49948612538541</v>
      </c>
      <c r="BW31" s="18">
        <v>0</v>
      </c>
      <c r="BX31" s="18">
        <v>0</v>
      </c>
      <c r="BY31" s="18">
        <v>38.540596094552946</v>
      </c>
      <c r="BZ31" s="18">
        <v>15.6020416411654</v>
      </c>
      <c r="CA31" s="18">
        <v>0</v>
      </c>
      <c r="CB31" s="19">
        <v>53.080072057923473</v>
      </c>
    </row>
    <row r="32" spans="1:80" x14ac:dyDescent="0.35">
      <c r="A32" s="17" t="s">
        <v>113</v>
      </c>
      <c r="B32" s="17" t="s">
        <v>144</v>
      </c>
      <c r="C32" s="17"/>
      <c r="D32" s="18">
        <f>raw_data!$D32*$C32/100</f>
        <v>0</v>
      </c>
      <c r="E32" s="18">
        <f>raw_data!$E32*$C32/100</f>
        <v>0</v>
      </c>
      <c r="F32" s="18">
        <f>raw_data!$F32*$E32/100</f>
        <v>0</v>
      </c>
      <c r="G32" s="18">
        <f>raw_data!$G32*$E32/100</f>
        <v>0</v>
      </c>
      <c r="H32" s="18">
        <v>15.015690665990453</v>
      </c>
      <c r="I32" s="18">
        <v>447.54687500000006</v>
      </c>
      <c r="J32" s="18">
        <f>raw_data!$J32*mass_composition!$E32/100</f>
        <v>0</v>
      </c>
      <c r="K32" s="18">
        <f>raw_data!$K32*mass_composition!$E32/100</f>
        <v>0</v>
      </c>
      <c r="L32" s="18">
        <f>raw_data!$L32*mass_composition!$E32/100</f>
        <v>0</v>
      </c>
      <c r="M32" s="18">
        <f>raw_data!$M32*mass_composition!$E32/100</f>
        <v>0</v>
      </c>
      <c r="N32" s="18">
        <f>raw_data!$N32*mass_composition!$E32/100</f>
        <v>0</v>
      </c>
      <c r="O32" s="18">
        <f>raw_data!$O32*mass_composition!$E32/100</f>
        <v>0</v>
      </c>
      <c r="P32" s="18">
        <f>raw_data!$P32*mass_composition!$E32/100</f>
        <v>0</v>
      </c>
      <c r="Q32" s="18">
        <f>raw_data!$Q32*mass_composition!$E32/100</f>
        <v>0</v>
      </c>
      <c r="R32" s="18">
        <f>raw_data!$R32*mass_composition!$E32/100</f>
        <v>0</v>
      </c>
      <c r="S32" s="18">
        <f>raw_data!$S32*mass_composition!$E32/100</f>
        <v>0</v>
      </c>
      <c r="T32" s="18">
        <f>raw_data!$T32*mass_composition!$E32/100</f>
        <v>0</v>
      </c>
      <c r="U32" s="18">
        <f>raw_data!$U32*mass_composition!$E32/100</f>
        <v>0</v>
      </c>
      <c r="V32" s="18">
        <f>raw_data!$V32*mass_composition!$E32/100</f>
        <v>0</v>
      </c>
      <c r="W32" s="18">
        <f>raw_data!$W32*mass_composition!$E32/100</f>
        <v>0</v>
      </c>
      <c r="X32" s="18">
        <f>raw_data!$X32*mass_composition!$E32/100</f>
        <v>0</v>
      </c>
      <c r="Y32" s="18">
        <f>raw_data!$Y32*mass_composition!$E32/100</f>
        <v>0</v>
      </c>
      <c r="Z32" s="18">
        <f>raw_data!$Z32*mass_composition!$E32/100</f>
        <v>0</v>
      </c>
      <c r="AA32" s="18">
        <f>raw_data!$AA32*mass_composition!$E32/100</f>
        <v>0</v>
      </c>
      <c r="AB32" s="18">
        <f>raw_data!$AB32*mass_composition!$E32/100</f>
        <v>0</v>
      </c>
      <c r="AC32" s="18">
        <f>raw_data!$AC32*mass_composition!$E32/100</f>
        <v>0</v>
      </c>
      <c r="AD32" s="18">
        <f>raw_data!$AD32*mass_composition!$E32/100</f>
        <v>0</v>
      </c>
      <c r="AE32" s="18">
        <f>raw_data!$AE32*mass_composition!$E32/100</f>
        <v>0</v>
      </c>
      <c r="AF32" s="18">
        <f>raw_data!$AF32*mass_composition!$E32/100</f>
        <v>0</v>
      </c>
      <c r="AG32" s="18">
        <f>raw_data!$AG32*mass_composition!$E32/100</f>
        <v>0</v>
      </c>
      <c r="AH32" s="18">
        <f>raw_data!$AH32*mass_composition!$E32/100</f>
        <v>0</v>
      </c>
      <c r="AI32" s="18">
        <f>raw_data!$AI32*mass_composition!$E32/100</f>
        <v>0</v>
      </c>
      <c r="AJ32" s="18">
        <f>raw_data!$AJ32*mass_composition!$E32/100</f>
        <v>0</v>
      </c>
      <c r="AK32" s="18">
        <f>raw_data!$AK32*mass_composition!$E32/100</f>
        <v>0</v>
      </c>
      <c r="AL32" s="18">
        <f>raw_data!$AL32*mass_composition!$E32/100</f>
        <v>0</v>
      </c>
      <c r="AM32" s="18">
        <f>raw_data!$AM32*mass_composition!$E32/100</f>
        <v>0</v>
      </c>
      <c r="AN32" s="18">
        <f>raw_data!$AN32*mass_composition!$E32/100</f>
        <v>0</v>
      </c>
      <c r="AO32" s="18">
        <f>raw_data!$AO32*mass_composition!$E32/100</f>
        <v>0</v>
      </c>
      <c r="AP32" s="18">
        <f>raw_data!$AP32*mass_composition!$E32/100</f>
        <v>0</v>
      </c>
      <c r="AQ32" s="18">
        <f>raw_data!$AQ32*mass_composition!$E32/100</f>
        <v>0</v>
      </c>
      <c r="AR32" s="18">
        <f>raw_data!$AR32*mass_composition!$E32/100</f>
        <v>0</v>
      </c>
      <c r="AS32" s="18">
        <f>raw_data!$AS32*mass_composition!$E32/100</f>
        <v>0</v>
      </c>
      <c r="AT32" s="18">
        <f>raw_data!$AT32*mass_composition!$E32/100</f>
        <v>0</v>
      </c>
      <c r="AU32" s="18">
        <f>raw_data!$AU32*mass_composition!$E32/100</f>
        <v>0</v>
      </c>
      <c r="AV32" s="18">
        <f>raw_data!$AV32*mass_composition!$E32/100</f>
        <v>0</v>
      </c>
      <c r="AW32" s="18">
        <f>raw_data!$AW32*mass_composition!$E32/100</f>
        <v>0</v>
      </c>
      <c r="AX32" s="18">
        <f>raw_data!$AX32*mass_composition!$E32/100</f>
        <v>0</v>
      </c>
      <c r="AY32" s="18">
        <f>raw_data!$AY32*mass_composition!$E32/100</f>
        <v>0</v>
      </c>
      <c r="AZ32" s="18">
        <f>raw_data!$AZ32*mass_composition!$E32/100</f>
        <v>0</v>
      </c>
      <c r="BA32" s="18">
        <f>raw_data!$BA32*mass_composition!$E32/100</f>
        <v>0</v>
      </c>
      <c r="BB32" s="18">
        <f>raw_data!$BB32*mass_composition!$E32/100</f>
        <v>0</v>
      </c>
      <c r="BC32" s="18">
        <f>raw_data!$BC32*mass_composition!$E32/100</f>
        <v>0</v>
      </c>
      <c r="BD32" s="18">
        <f>raw_data!$BD32*mass_composition!$E32/100</f>
        <v>0</v>
      </c>
      <c r="BE32" s="18">
        <f>raw_data!$BE32*mass_composition!$E32/100</f>
        <v>0</v>
      </c>
      <c r="BF32" s="18">
        <f>raw_data!$BF32*mass_composition!$E32/100</f>
        <v>0</v>
      </c>
      <c r="BG32" s="18">
        <f>raw_data!$BG32*mass_composition!$E32/100</f>
        <v>0</v>
      </c>
      <c r="BH32" s="18">
        <v>0</v>
      </c>
      <c r="BI32" s="18">
        <v>0</v>
      </c>
      <c r="BJ32" s="18">
        <v>0</v>
      </c>
      <c r="BK32" s="18">
        <f>raw_data!$BK32*$E32/100</f>
        <v>0</v>
      </c>
      <c r="BL32" s="18">
        <f>raw_data!$BL32*$E32/100</f>
        <v>0</v>
      </c>
      <c r="BM32" s="18">
        <v>0</v>
      </c>
      <c r="BN32" s="18">
        <f>raw_data!$BN32*$E32/100</f>
        <v>0</v>
      </c>
      <c r="BO32" s="18">
        <f>raw_data!$BO32*$E32/100</f>
        <v>0</v>
      </c>
      <c r="BP32" s="18">
        <f>raw_data!$BP32*$E32/100</f>
        <v>0</v>
      </c>
      <c r="BQ32" s="18">
        <v>0</v>
      </c>
      <c r="BR32" s="18">
        <f>raw_data!$BR32*$E32/100</f>
        <v>0</v>
      </c>
      <c r="BS32" s="18">
        <v>16.476452033828053</v>
      </c>
      <c r="BT32" s="18">
        <v>1.2597981894789279</v>
      </c>
      <c r="BU32" s="18">
        <v>19.722222222222221</v>
      </c>
      <c r="BV32" s="18">
        <v>8.6111111111111107</v>
      </c>
      <c r="BW32" s="18">
        <v>0</v>
      </c>
      <c r="BX32" s="18">
        <v>0</v>
      </c>
      <c r="BY32" s="18">
        <v>28.333333333333332</v>
      </c>
      <c r="BZ32" s="18">
        <v>13.888888888888889</v>
      </c>
      <c r="CA32" s="18">
        <v>0</v>
      </c>
      <c r="CB32" s="19">
        <v>26.666666666666671</v>
      </c>
    </row>
    <row r="33" spans="1:80" x14ac:dyDescent="0.35">
      <c r="A33" s="17" t="s">
        <v>113</v>
      </c>
      <c r="B33" s="17" t="s">
        <v>145</v>
      </c>
      <c r="C33" s="17"/>
      <c r="D33" s="18">
        <f>raw_data!$D33*$C33/100</f>
        <v>0</v>
      </c>
      <c r="E33" s="18">
        <f>raw_data!$E33*$C33/100</f>
        <v>0</v>
      </c>
      <c r="F33" s="18">
        <f>raw_data!$F33*$E33/100</f>
        <v>0</v>
      </c>
      <c r="G33" s="18">
        <f>raw_data!$G33*$E33/100</f>
        <v>0</v>
      </c>
      <c r="H33" s="18">
        <v>18.046345354609848</v>
      </c>
      <c r="I33" s="18">
        <v>513.50704225352115</v>
      </c>
      <c r="J33" s="18">
        <f>raw_data!$J33*mass_composition!$E33/100</f>
        <v>0</v>
      </c>
      <c r="K33" s="18">
        <f>raw_data!$K33*mass_composition!$E33/100</f>
        <v>0</v>
      </c>
      <c r="L33" s="18">
        <f>raw_data!$L33*mass_composition!$E33/100</f>
        <v>0</v>
      </c>
      <c r="M33" s="18">
        <f>raw_data!$M33*mass_composition!$E33/100</f>
        <v>0</v>
      </c>
      <c r="N33" s="18">
        <f>raw_data!$N33*mass_composition!$E33/100</f>
        <v>0</v>
      </c>
      <c r="O33" s="18">
        <f>raw_data!$O33*mass_composition!$E33/100</f>
        <v>0</v>
      </c>
      <c r="P33" s="18">
        <f>raw_data!$P33*mass_composition!$E33/100</f>
        <v>0</v>
      </c>
      <c r="Q33" s="18">
        <f>raw_data!$Q33*mass_composition!$E33/100</f>
        <v>0</v>
      </c>
      <c r="R33" s="18">
        <f>raw_data!$R33*mass_composition!$E33/100</f>
        <v>0</v>
      </c>
      <c r="S33" s="18">
        <f>raw_data!$S33*mass_composition!$E33/100</f>
        <v>0</v>
      </c>
      <c r="T33" s="18">
        <f>raw_data!$T33*mass_composition!$E33/100</f>
        <v>0</v>
      </c>
      <c r="U33" s="18">
        <f>raw_data!$U33*mass_composition!$E33/100</f>
        <v>0</v>
      </c>
      <c r="V33" s="18">
        <f>raw_data!$V33*mass_composition!$E33/100</f>
        <v>0</v>
      </c>
      <c r="W33" s="18">
        <f>raw_data!$W33*mass_composition!$E33/100</f>
        <v>0</v>
      </c>
      <c r="X33" s="18">
        <f>raw_data!$X33*mass_composition!$E33/100</f>
        <v>0</v>
      </c>
      <c r="Y33" s="18">
        <f>raw_data!$Y33*mass_composition!$E33/100</f>
        <v>0</v>
      </c>
      <c r="Z33" s="18">
        <f>raw_data!$Z33*mass_composition!$E33/100</f>
        <v>0</v>
      </c>
      <c r="AA33" s="18">
        <f>raw_data!$AA33*mass_composition!$E33/100</f>
        <v>0</v>
      </c>
      <c r="AB33" s="18">
        <f>raw_data!$AB33*mass_composition!$E33/100</f>
        <v>0</v>
      </c>
      <c r="AC33" s="18">
        <f>raw_data!$AC33*mass_composition!$E33/100</f>
        <v>0</v>
      </c>
      <c r="AD33" s="18">
        <f>raw_data!$AD33*mass_composition!$E33/100</f>
        <v>0</v>
      </c>
      <c r="AE33" s="18">
        <f>raw_data!$AE33*mass_composition!$E33/100</f>
        <v>0</v>
      </c>
      <c r="AF33" s="18">
        <f>raw_data!$AF33*mass_composition!$E33/100</f>
        <v>0</v>
      </c>
      <c r="AG33" s="18">
        <f>raw_data!$AG33*mass_composition!$E33/100</f>
        <v>0</v>
      </c>
      <c r="AH33" s="18">
        <f>raw_data!$AH33*mass_composition!$E33/100</f>
        <v>0</v>
      </c>
      <c r="AI33" s="18">
        <f>raw_data!$AI33*mass_composition!$E33/100</f>
        <v>0</v>
      </c>
      <c r="AJ33" s="18">
        <f>raw_data!$AJ33*mass_composition!$E33/100</f>
        <v>0</v>
      </c>
      <c r="AK33" s="18">
        <f>raw_data!$AK33*mass_composition!$E33/100</f>
        <v>0</v>
      </c>
      <c r="AL33" s="18">
        <f>raw_data!$AL33*mass_composition!$E33/100</f>
        <v>0</v>
      </c>
      <c r="AM33" s="18">
        <f>raw_data!$AM33*mass_composition!$E33/100</f>
        <v>0</v>
      </c>
      <c r="AN33" s="18">
        <f>raw_data!$AN33*mass_composition!$E33/100</f>
        <v>0</v>
      </c>
      <c r="AO33" s="18">
        <f>raw_data!$AO33*mass_composition!$E33/100</f>
        <v>0</v>
      </c>
      <c r="AP33" s="18">
        <f>raw_data!$AP33*mass_composition!$E33/100</f>
        <v>0</v>
      </c>
      <c r="AQ33" s="18">
        <f>raw_data!$AQ33*mass_composition!$E33/100</f>
        <v>0</v>
      </c>
      <c r="AR33" s="18">
        <f>raw_data!$AR33*mass_composition!$E33/100</f>
        <v>0</v>
      </c>
      <c r="AS33" s="18">
        <f>raw_data!$AS33*mass_composition!$E33/100</f>
        <v>0</v>
      </c>
      <c r="AT33" s="18">
        <f>raw_data!$AT33*mass_composition!$E33/100</f>
        <v>0</v>
      </c>
      <c r="AU33" s="18">
        <f>raw_data!$AU33*mass_composition!$E33/100</f>
        <v>0</v>
      </c>
      <c r="AV33" s="18">
        <f>raw_data!$AV33*mass_composition!$E33/100</f>
        <v>0</v>
      </c>
      <c r="AW33" s="18">
        <f>raw_data!$AW33*mass_composition!$E33/100</f>
        <v>0</v>
      </c>
      <c r="AX33" s="18">
        <f>raw_data!$AX33*mass_composition!$E33/100</f>
        <v>0</v>
      </c>
      <c r="AY33" s="18">
        <f>raw_data!$AY33*mass_composition!$E33/100</f>
        <v>0</v>
      </c>
      <c r="AZ33" s="18">
        <f>raw_data!$AZ33*mass_composition!$E33/100</f>
        <v>0</v>
      </c>
      <c r="BA33" s="18">
        <f>raw_data!$BA33*mass_composition!$E33/100</f>
        <v>0</v>
      </c>
      <c r="BB33" s="18">
        <f>raw_data!$BB33*mass_composition!$E33/100</f>
        <v>0</v>
      </c>
      <c r="BC33" s="18">
        <f>raw_data!$BC33*mass_composition!$E33/100</f>
        <v>0</v>
      </c>
      <c r="BD33" s="18">
        <f>raw_data!$BD33*mass_composition!$E33/100</f>
        <v>0</v>
      </c>
      <c r="BE33" s="18">
        <f>raw_data!$BE33*mass_composition!$E33/100</f>
        <v>0</v>
      </c>
      <c r="BF33" s="18">
        <f>raw_data!$BF33*mass_composition!$E33/100</f>
        <v>0</v>
      </c>
      <c r="BG33" s="18">
        <f>raw_data!$BG33*mass_composition!$E33/100</f>
        <v>0</v>
      </c>
      <c r="BH33" s="18">
        <v>0</v>
      </c>
      <c r="BI33" s="18">
        <v>5.4054054054054053</v>
      </c>
      <c r="BJ33" s="18">
        <v>0</v>
      </c>
      <c r="BK33" s="18">
        <f>raw_data!$BK33*$E33/100</f>
        <v>0</v>
      </c>
      <c r="BL33" s="18">
        <f>raw_data!$BL33*$E33/100</f>
        <v>0</v>
      </c>
      <c r="BM33" s="18">
        <v>0</v>
      </c>
      <c r="BN33" s="18">
        <f>raw_data!$BN33*$E33/100</f>
        <v>0</v>
      </c>
      <c r="BO33" s="18">
        <f>raw_data!$BO33*$E33/100</f>
        <v>0</v>
      </c>
      <c r="BP33" s="18">
        <f>raw_data!$BP33*$E33/100</f>
        <v>0</v>
      </c>
      <c r="BQ33" s="18">
        <v>0</v>
      </c>
      <c r="BR33" s="18">
        <f>raw_data!$BR33*$E33/100</f>
        <v>0</v>
      </c>
      <c r="BS33" s="18">
        <v>19.057973378378378</v>
      </c>
      <c r="BT33" s="18">
        <v>1.5158335671216217</v>
      </c>
      <c r="BU33" s="18">
        <v>18.918918918918916</v>
      </c>
      <c r="BV33" s="18">
        <v>18.918918918918916</v>
      </c>
      <c r="BW33" s="18">
        <v>0</v>
      </c>
      <c r="BX33" s="18">
        <v>0</v>
      </c>
      <c r="BY33" s="18">
        <v>43.243243243243242</v>
      </c>
      <c r="BZ33" s="18">
        <v>17.837837837837839</v>
      </c>
      <c r="CA33" s="18">
        <v>0</v>
      </c>
      <c r="CB33" s="19">
        <v>31.081081081081095</v>
      </c>
    </row>
    <row r="34" spans="1:80" x14ac:dyDescent="0.35">
      <c r="A34" s="17" t="s">
        <v>113</v>
      </c>
      <c r="B34" s="17" t="s">
        <v>146</v>
      </c>
      <c r="C34" s="17"/>
      <c r="D34" s="18">
        <f>raw_data!$D34*$C34/100</f>
        <v>0</v>
      </c>
      <c r="E34" s="18">
        <f>raw_data!$E34*$C34/100</f>
        <v>0</v>
      </c>
      <c r="F34" s="18">
        <f>raw_data!$F34*$E34/100</f>
        <v>0</v>
      </c>
      <c r="G34" s="18">
        <f>raw_data!$G34*$E34/100</f>
        <v>0</v>
      </c>
      <c r="H34" s="18">
        <v>15.020649601817412</v>
      </c>
      <c r="I34" s="18">
        <v>428.12631578947355</v>
      </c>
      <c r="J34" s="18">
        <f>raw_data!$J34*mass_composition!$E34/100</f>
        <v>0</v>
      </c>
      <c r="K34" s="18">
        <f>raw_data!$K34*mass_composition!$E34/100</f>
        <v>0</v>
      </c>
      <c r="L34" s="18">
        <f>raw_data!$L34*mass_composition!$E34/100</f>
        <v>0</v>
      </c>
      <c r="M34" s="18">
        <f>raw_data!$M34*mass_composition!$E34/100</f>
        <v>0</v>
      </c>
      <c r="N34" s="18">
        <f>raw_data!$N34*mass_composition!$E34/100</f>
        <v>0</v>
      </c>
      <c r="O34" s="18">
        <f>raw_data!$O34*mass_composition!$E34/100</f>
        <v>0</v>
      </c>
      <c r="P34" s="18">
        <f>raw_data!$P34*mass_composition!$E34/100</f>
        <v>0</v>
      </c>
      <c r="Q34" s="18">
        <f>raw_data!$Q34*mass_composition!$E34/100</f>
        <v>0</v>
      </c>
      <c r="R34" s="18">
        <f>raw_data!$R34*mass_composition!$E34/100</f>
        <v>0</v>
      </c>
      <c r="S34" s="18">
        <f>raw_data!$S34*mass_composition!$E34/100</f>
        <v>0</v>
      </c>
      <c r="T34" s="18">
        <f>raw_data!$T34*mass_composition!$E34/100</f>
        <v>0</v>
      </c>
      <c r="U34" s="18">
        <f>raw_data!$U34*mass_composition!$E34/100</f>
        <v>0</v>
      </c>
      <c r="V34" s="18">
        <f>raw_data!$V34*mass_composition!$E34/100</f>
        <v>0</v>
      </c>
      <c r="W34" s="18">
        <f>raw_data!$W34*mass_composition!$E34/100</f>
        <v>0</v>
      </c>
      <c r="X34" s="18">
        <f>raw_data!$X34*mass_composition!$E34/100</f>
        <v>0</v>
      </c>
      <c r="Y34" s="18">
        <f>raw_data!$Y34*mass_composition!$E34/100</f>
        <v>0</v>
      </c>
      <c r="Z34" s="18">
        <f>raw_data!$Z34*mass_composition!$E34/100</f>
        <v>0</v>
      </c>
      <c r="AA34" s="18">
        <f>raw_data!$AA34*mass_composition!$E34/100</f>
        <v>0</v>
      </c>
      <c r="AB34" s="18">
        <f>raw_data!$AB34*mass_composition!$E34/100</f>
        <v>0</v>
      </c>
      <c r="AC34" s="18">
        <f>raw_data!$AC34*mass_composition!$E34/100</f>
        <v>0</v>
      </c>
      <c r="AD34" s="18">
        <f>raw_data!$AD34*mass_composition!$E34/100</f>
        <v>0</v>
      </c>
      <c r="AE34" s="18">
        <f>raw_data!$AE34*mass_composition!$E34/100</f>
        <v>0</v>
      </c>
      <c r="AF34" s="18">
        <f>raw_data!$AF34*mass_composition!$E34/100</f>
        <v>0</v>
      </c>
      <c r="AG34" s="18">
        <f>raw_data!$AG34*mass_composition!$E34/100</f>
        <v>0</v>
      </c>
      <c r="AH34" s="18">
        <f>raw_data!$AH34*mass_composition!$E34/100</f>
        <v>0</v>
      </c>
      <c r="AI34" s="18">
        <f>raw_data!$AI34*mass_composition!$E34/100</f>
        <v>0</v>
      </c>
      <c r="AJ34" s="18">
        <f>raw_data!$AJ34*mass_composition!$E34/100</f>
        <v>0</v>
      </c>
      <c r="AK34" s="18">
        <f>raw_data!$AK34*mass_composition!$E34/100</f>
        <v>0</v>
      </c>
      <c r="AL34" s="18">
        <f>raw_data!$AL34*mass_composition!$E34/100</f>
        <v>0</v>
      </c>
      <c r="AM34" s="18">
        <f>raw_data!$AM34*mass_composition!$E34/100</f>
        <v>0</v>
      </c>
      <c r="AN34" s="18">
        <f>raw_data!$AN34*mass_composition!$E34/100</f>
        <v>0</v>
      </c>
      <c r="AO34" s="18">
        <f>raw_data!$AO34*mass_composition!$E34/100</f>
        <v>0</v>
      </c>
      <c r="AP34" s="18">
        <f>raw_data!$AP34*mass_composition!$E34/100</f>
        <v>0</v>
      </c>
      <c r="AQ34" s="18">
        <f>raw_data!$AQ34*mass_composition!$E34/100</f>
        <v>0</v>
      </c>
      <c r="AR34" s="18">
        <f>raw_data!$AR34*mass_composition!$E34/100</f>
        <v>0</v>
      </c>
      <c r="AS34" s="18">
        <f>raw_data!$AS34*mass_composition!$E34/100</f>
        <v>0</v>
      </c>
      <c r="AT34" s="18">
        <f>raw_data!$AT34*mass_composition!$E34/100</f>
        <v>0</v>
      </c>
      <c r="AU34" s="18">
        <f>raw_data!$AU34*mass_composition!$E34/100</f>
        <v>0</v>
      </c>
      <c r="AV34" s="18">
        <f>raw_data!$AV34*mass_composition!$E34/100</f>
        <v>0</v>
      </c>
      <c r="AW34" s="18">
        <f>raw_data!$AW34*mass_composition!$E34/100</f>
        <v>0</v>
      </c>
      <c r="AX34" s="18">
        <f>raw_data!$AX34*mass_composition!$E34/100</f>
        <v>0</v>
      </c>
      <c r="AY34" s="18">
        <f>raw_data!$AY34*mass_composition!$E34/100</f>
        <v>0</v>
      </c>
      <c r="AZ34" s="18">
        <f>raw_data!$AZ34*mass_composition!$E34/100</f>
        <v>0</v>
      </c>
      <c r="BA34" s="18">
        <f>raw_data!$BA34*mass_composition!$E34/100</f>
        <v>0</v>
      </c>
      <c r="BB34" s="18">
        <f>raw_data!$BB34*mass_composition!$E34/100</f>
        <v>0</v>
      </c>
      <c r="BC34" s="18">
        <f>raw_data!$BC34*mass_composition!$E34/100</f>
        <v>0</v>
      </c>
      <c r="BD34" s="18">
        <f>raw_data!$BD34*mass_composition!$E34/100</f>
        <v>0</v>
      </c>
      <c r="BE34" s="18">
        <f>raw_data!$BE34*mass_composition!$E34/100</f>
        <v>0</v>
      </c>
      <c r="BF34" s="18">
        <f>raw_data!$BF34*mass_composition!$E34/100</f>
        <v>0</v>
      </c>
      <c r="BG34" s="18">
        <f>raw_data!$BG34*mass_composition!$E34/100</f>
        <v>0</v>
      </c>
      <c r="BH34" s="18">
        <v>0</v>
      </c>
      <c r="BI34" s="18">
        <v>23.469387755102037</v>
      </c>
      <c r="BJ34" s="18">
        <v>0</v>
      </c>
      <c r="BK34" s="18">
        <f>raw_data!$BK34*$E34/100</f>
        <v>0</v>
      </c>
      <c r="BL34" s="18">
        <f>raw_data!$BL34*$E34/100</f>
        <v>0</v>
      </c>
      <c r="BM34" s="18">
        <v>0</v>
      </c>
      <c r="BN34" s="18">
        <f>raw_data!$BN34*$E34/100</f>
        <v>0</v>
      </c>
      <c r="BO34" s="18">
        <f>raw_data!$BO34*$E34/100</f>
        <v>0</v>
      </c>
      <c r="BP34" s="18">
        <f>raw_data!$BP34*$E34/100</f>
        <v>0</v>
      </c>
      <c r="BQ34" s="18">
        <v>0</v>
      </c>
      <c r="BR34" s="18">
        <f>raw_data!$BR34*$E34/100</f>
        <v>0</v>
      </c>
      <c r="BS34" s="18">
        <v>17.085512040816326</v>
      </c>
      <c r="BT34" s="18">
        <v>1.3207571408367347</v>
      </c>
      <c r="BU34" s="18">
        <v>35.714285714285708</v>
      </c>
      <c r="BV34" s="18">
        <v>18.367346938775508</v>
      </c>
      <c r="BW34" s="18">
        <v>0</v>
      </c>
      <c r="BX34" s="18">
        <v>0</v>
      </c>
      <c r="BY34" s="18">
        <v>77.551020408163254</v>
      </c>
      <c r="BZ34" s="18">
        <v>16.224489795918366</v>
      </c>
      <c r="CA34" s="18">
        <v>0</v>
      </c>
      <c r="CB34" s="19">
        <v>10.204081632653057</v>
      </c>
    </row>
    <row r="35" spans="1:80" x14ac:dyDescent="0.35">
      <c r="A35" s="17" t="s">
        <v>113</v>
      </c>
      <c r="B35" s="17" t="s">
        <v>147</v>
      </c>
      <c r="C35" s="17"/>
      <c r="D35" s="18">
        <f>raw_data!$D35*$C35/100</f>
        <v>0</v>
      </c>
      <c r="E35" s="18">
        <f>raw_data!$E35*$C35/100</f>
        <v>0</v>
      </c>
      <c r="F35" s="18">
        <f>raw_data!$F35*$E35/100</f>
        <v>0</v>
      </c>
      <c r="G35" s="18">
        <f>raw_data!$G35*$E35/100</f>
        <v>0</v>
      </c>
      <c r="H35" s="18">
        <v>15.725219116980378</v>
      </c>
      <c r="I35" s="18">
        <v>434.94545454545448</v>
      </c>
      <c r="J35" s="18">
        <f>raw_data!$J35*mass_composition!$E35/100</f>
        <v>0</v>
      </c>
      <c r="K35" s="18">
        <f>raw_data!$K35*mass_composition!$E35/100</f>
        <v>0</v>
      </c>
      <c r="L35" s="18">
        <f>raw_data!$L35*mass_composition!$E35/100</f>
        <v>0</v>
      </c>
      <c r="M35" s="18">
        <f>raw_data!$M35*mass_composition!$E35/100</f>
        <v>0</v>
      </c>
      <c r="N35" s="18">
        <f>raw_data!$N35*mass_composition!$E35/100</f>
        <v>0</v>
      </c>
      <c r="O35" s="18">
        <f>raw_data!$O35*mass_composition!$E35/100</f>
        <v>0</v>
      </c>
      <c r="P35" s="18">
        <f>raw_data!$P35*mass_composition!$E35/100</f>
        <v>0</v>
      </c>
      <c r="Q35" s="18">
        <f>raw_data!$Q35*mass_composition!$E35/100</f>
        <v>0</v>
      </c>
      <c r="R35" s="18">
        <f>raw_data!$R35*mass_composition!$E35/100</f>
        <v>0</v>
      </c>
      <c r="S35" s="18">
        <f>raw_data!$S35*mass_composition!$E35/100</f>
        <v>0</v>
      </c>
      <c r="T35" s="18">
        <f>raw_data!$T35*mass_composition!$E35/100</f>
        <v>0</v>
      </c>
      <c r="U35" s="18">
        <f>raw_data!$U35*mass_composition!$E35/100</f>
        <v>0</v>
      </c>
      <c r="V35" s="18">
        <f>raw_data!$V35*mass_composition!$E35/100</f>
        <v>0</v>
      </c>
      <c r="W35" s="18">
        <f>raw_data!$W35*mass_composition!$E35/100</f>
        <v>0</v>
      </c>
      <c r="X35" s="18">
        <f>raw_data!$X35*mass_composition!$E35/100</f>
        <v>0</v>
      </c>
      <c r="Y35" s="18">
        <f>raw_data!$Y35*mass_composition!$E35/100</f>
        <v>0</v>
      </c>
      <c r="Z35" s="18">
        <f>raw_data!$Z35*mass_composition!$E35/100</f>
        <v>0</v>
      </c>
      <c r="AA35" s="18">
        <f>raw_data!$AA35*mass_composition!$E35/100</f>
        <v>0</v>
      </c>
      <c r="AB35" s="18">
        <f>raw_data!$AB35*mass_composition!$E35/100</f>
        <v>0</v>
      </c>
      <c r="AC35" s="18">
        <f>raw_data!$AC35*mass_composition!$E35/100</f>
        <v>0</v>
      </c>
      <c r="AD35" s="18">
        <f>raw_data!$AD35*mass_composition!$E35/100</f>
        <v>0</v>
      </c>
      <c r="AE35" s="18">
        <f>raw_data!$AE35*mass_composition!$E35/100</f>
        <v>0</v>
      </c>
      <c r="AF35" s="18">
        <f>raw_data!$AF35*mass_composition!$E35/100</f>
        <v>0</v>
      </c>
      <c r="AG35" s="18">
        <f>raw_data!$AG35*mass_composition!$E35/100</f>
        <v>0</v>
      </c>
      <c r="AH35" s="18">
        <f>raw_data!$AH35*mass_composition!$E35/100</f>
        <v>0</v>
      </c>
      <c r="AI35" s="18">
        <f>raw_data!$AI35*mass_composition!$E35/100</f>
        <v>0</v>
      </c>
      <c r="AJ35" s="18">
        <f>raw_data!$AJ35*mass_composition!$E35/100</f>
        <v>0</v>
      </c>
      <c r="AK35" s="18">
        <f>raw_data!$AK35*mass_composition!$E35/100</f>
        <v>0</v>
      </c>
      <c r="AL35" s="18">
        <f>raw_data!$AL35*mass_composition!$E35/100</f>
        <v>0</v>
      </c>
      <c r="AM35" s="18">
        <f>raw_data!$AM35*mass_composition!$E35/100</f>
        <v>0</v>
      </c>
      <c r="AN35" s="18">
        <f>raw_data!$AN35*mass_composition!$E35/100</f>
        <v>0</v>
      </c>
      <c r="AO35" s="18">
        <f>raw_data!$AO35*mass_composition!$E35/100</f>
        <v>0</v>
      </c>
      <c r="AP35" s="18">
        <f>raw_data!$AP35*mass_composition!$E35/100</f>
        <v>0</v>
      </c>
      <c r="AQ35" s="18">
        <f>raw_data!$AQ35*mass_composition!$E35/100</f>
        <v>0</v>
      </c>
      <c r="AR35" s="18">
        <f>raw_data!$AR35*mass_composition!$E35/100</f>
        <v>0</v>
      </c>
      <c r="AS35" s="18">
        <f>raw_data!$AS35*mass_composition!$E35/100</f>
        <v>0</v>
      </c>
      <c r="AT35" s="18">
        <f>raw_data!$AT35*mass_composition!$E35/100</f>
        <v>0</v>
      </c>
      <c r="AU35" s="18">
        <f>raw_data!$AU35*mass_composition!$E35/100</f>
        <v>0</v>
      </c>
      <c r="AV35" s="18">
        <f>raw_data!$AV35*mass_composition!$E35/100</f>
        <v>0</v>
      </c>
      <c r="AW35" s="18">
        <f>raw_data!$AW35*mass_composition!$E35/100</f>
        <v>0</v>
      </c>
      <c r="AX35" s="18">
        <f>raw_data!$AX35*mass_composition!$E35/100</f>
        <v>0</v>
      </c>
      <c r="AY35" s="18">
        <f>raw_data!$AY35*mass_composition!$E35/100</f>
        <v>0</v>
      </c>
      <c r="AZ35" s="18">
        <f>raw_data!$AZ35*mass_composition!$E35/100</f>
        <v>0</v>
      </c>
      <c r="BA35" s="18">
        <f>raw_data!$BA35*mass_composition!$E35/100</f>
        <v>0</v>
      </c>
      <c r="BB35" s="18">
        <f>raw_data!$BB35*mass_composition!$E35/100</f>
        <v>0</v>
      </c>
      <c r="BC35" s="18">
        <f>raw_data!$BC35*mass_composition!$E35/100</f>
        <v>0</v>
      </c>
      <c r="BD35" s="18">
        <f>raw_data!$BD35*mass_composition!$E35/100</f>
        <v>0</v>
      </c>
      <c r="BE35" s="18">
        <f>raw_data!$BE35*mass_composition!$E35/100</f>
        <v>0</v>
      </c>
      <c r="BF35" s="18">
        <f>raw_data!$BF35*mass_composition!$E35/100</f>
        <v>0</v>
      </c>
      <c r="BG35" s="18">
        <f>raw_data!$BG35*mass_composition!$E35/100</f>
        <v>0</v>
      </c>
      <c r="BH35" s="18">
        <v>0</v>
      </c>
      <c r="BI35" s="18">
        <v>17.699115044247787</v>
      </c>
      <c r="BJ35" s="18">
        <v>0</v>
      </c>
      <c r="BK35" s="18">
        <f>raw_data!$BK35*$E35/100</f>
        <v>0</v>
      </c>
      <c r="BL35" s="18">
        <f>raw_data!$BL35*$E35/100</f>
        <v>0</v>
      </c>
      <c r="BM35" s="18">
        <v>0</v>
      </c>
      <c r="BN35" s="18">
        <f>raw_data!$BN35*$E35/100</f>
        <v>0</v>
      </c>
      <c r="BO35" s="18">
        <f>raw_data!$BO35*$E35/100</f>
        <v>0</v>
      </c>
      <c r="BP35" s="18">
        <f>raw_data!$BP35*$E35/100</f>
        <v>0</v>
      </c>
      <c r="BQ35" s="18">
        <v>0</v>
      </c>
      <c r="BR35" s="18">
        <f>raw_data!$BR35*$E35/100</f>
        <v>0</v>
      </c>
      <c r="BS35" s="18">
        <v>17.208259427620266</v>
      </c>
      <c r="BT35" s="18">
        <v>1.332282698099609</v>
      </c>
      <c r="BU35" s="18">
        <v>8.8495575221238933</v>
      </c>
      <c r="BV35" s="18">
        <v>17.699115044247787</v>
      </c>
      <c r="BW35" s="18">
        <v>0</v>
      </c>
      <c r="BX35" s="18">
        <v>0</v>
      </c>
      <c r="BY35" s="18">
        <v>44.247787610619469</v>
      </c>
      <c r="BZ35" s="18">
        <v>15.929203539823007</v>
      </c>
      <c r="CA35" s="18">
        <v>0</v>
      </c>
      <c r="CB35" s="19">
        <v>41.327433628318573</v>
      </c>
    </row>
    <row r="36" spans="1:80" x14ac:dyDescent="0.35">
      <c r="A36" s="17" t="s">
        <v>113</v>
      </c>
      <c r="B36" s="17" t="s">
        <v>148</v>
      </c>
      <c r="C36" s="17"/>
      <c r="D36" s="18">
        <f>raw_data!$D36*$C36/100</f>
        <v>0</v>
      </c>
      <c r="E36" s="18">
        <f>raw_data!$E36*$C36/100</f>
        <v>0</v>
      </c>
      <c r="F36" s="18">
        <f>raw_data!$F36*$E36/100</f>
        <v>0</v>
      </c>
      <c r="G36" s="18">
        <f>raw_data!$G36*$E36/100</f>
        <v>0</v>
      </c>
      <c r="H36" s="18">
        <v>15.725596012985743</v>
      </c>
      <c r="I36" s="18">
        <v>450.91025641025641</v>
      </c>
      <c r="J36" s="18">
        <f>raw_data!$J36*mass_composition!$E36/100</f>
        <v>0</v>
      </c>
      <c r="K36" s="18">
        <f>raw_data!$K36*mass_composition!$E36/100</f>
        <v>0</v>
      </c>
      <c r="L36" s="18">
        <f>raw_data!$L36*mass_composition!$E36/100</f>
        <v>0</v>
      </c>
      <c r="M36" s="18">
        <f>raw_data!$M36*mass_composition!$E36/100</f>
        <v>0</v>
      </c>
      <c r="N36" s="18">
        <f>raw_data!$N36*mass_composition!$E36/100</f>
        <v>0</v>
      </c>
      <c r="O36" s="18">
        <f>raw_data!$O36*mass_composition!$E36/100</f>
        <v>0</v>
      </c>
      <c r="P36" s="18">
        <f>raw_data!$P36*mass_composition!$E36/100</f>
        <v>0</v>
      </c>
      <c r="Q36" s="18">
        <f>raw_data!$Q36*mass_composition!$E36/100</f>
        <v>0</v>
      </c>
      <c r="R36" s="18">
        <f>raw_data!$R36*mass_composition!$E36/100</f>
        <v>0</v>
      </c>
      <c r="S36" s="18">
        <f>raw_data!$S36*mass_composition!$E36/100</f>
        <v>0</v>
      </c>
      <c r="T36" s="18">
        <f>raw_data!$T36*mass_composition!$E36/100</f>
        <v>0</v>
      </c>
      <c r="U36" s="18">
        <f>raw_data!$U36*mass_composition!$E36/100</f>
        <v>0</v>
      </c>
      <c r="V36" s="18">
        <f>raw_data!$V36*mass_composition!$E36/100</f>
        <v>0</v>
      </c>
      <c r="W36" s="18">
        <f>raw_data!$W36*mass_composition!$E36/100</f>
        <v>0</v>
      </c>
      <c r="X36" s="18">
        <f>raw_data!$X36*mass_composition!$E36/100</f>
        <v>0</v>
      </c>
      <c r="Y36" s="18">
        <f>raw_data!$Y36*mass_composition!$E36/100</f>
        <v>0</v>
      </c>
      <c r="Z36" s="18">
        <f>raw_data!$Z36*mass_composition!$E36/100</f>
        <v>0</v>
      </c>
      <c r="AA36" s="18">
        <f>raw_data!$AA36*mass_composition!$E36/100</f>
        <v>0</v>
      </c>
      <c r="AB36" s="18">
        <f>raw_data!$AB36*mass_composition!$E36/100</f>
        <v>0</v>
      </c>
      <c r="AC36" s="18">
        <f>raw_data!$AC36*mass_composition!$E36/100</f>
        <v>0</v>
      </c>
      <c r="AD36" s="18">
        <f>raw_data!$AD36*mass_composition!$E36/100</f>
        <v>0</v>
      </c>
      <c r="AE36" s="18">
        <f>raw_data!$AE36*mass_composition!$E36/100</f>
        <v>0</v>
      </c>
      <c r="AF36" s="18">
        <f>raw_data!$AF36*mass_composition!$E36/100</f>
        <v>0</v>
      </c>
      <c r="AG36" s="18">
        <f>raw_data!$AG36*mass_composition!$E36/100</f>
        <v>0</v>
      </c>
      <c r="AH36" s="18">
        <f>raw_data!$AH36*mass_composition!$E36/100</f>
        <v>0</v>
      </c>
      <c r="AI36" s="18">
        <f>raw_data!$AI36*mass_composition!$E36/100</f>
        <v>0</v>
      </c>
      <c r="AJ36" s="18">
        <f>raw_data!$AJ36*mass_composition!$E36/100</f>
        <v>0</v>
      </c>
      <c r="AK36" s="18">
        <f>raw_data!$AK36*mass_composition!$E36/100</f>
        <v>0</v>
      </c>
      <c r="AL36" s="18">
        <f>raw_data!$AL36*mass_composition!$E36/100</f>
        <v>0</v>
      </c>
      <c r="AM36" s="18">
        <f>raw_data!$AM36*mass_composition!$E36/100</f>
        <v>0</v>
      </c>
      <c r="AN36" s="18">
        <f>raw_data!$AN36*mass_composition!$E36/100</f>
        <v>0</v>
      </c>
      <c r="AO36" s="18">
        <f>raw_data!$AO36*mass_composition!$E36/100</f>
        <v>0</v>
      </c>
      <c r="AP36" s="18">
        <f>raw_data!$AP36*mass_composition!$E36/100</f>
        <v>0</v>
      </c>
      <c r="AQ36" s="18">
        <f>raw_data!$AQ36*mass_composition!$E36/100</f>
        <v>0</v>
      </c>
      <c r="AR36" s="18">
        <f>raw_data!$AR36*mass_composition!$E36/100</f>
        <v>0</v>
      </c>
      <c r="AS36" s="18">
        <f>raw_data!$AS36*mass_composition!$E36/100</f>
        <v>0</v>
      </c>
      <c r="AT36" s="18">
        <f>raw_data!$AT36*mass_composition!$E36/100</f>
        <v>0</v>
      </c>
      <c r="AU36" s="18">
        <f>raw_data!$AU36*mass_composition!$E36/100</f>
        <v>0</v>
      </c>
      <c r="AV36" s="18">
        <f>raw_data!$AV36*mass_composition!$E36/100</f>
        <v>0</v>
      </c>
      <c r="AW36" s="18">
        <f>raw_data!$AW36*mass_composition!$E36/100</f>
        <v>0</v>
      </c>
      <c r="AX36" s="18">
        <f>raw_data!$AX36*mass_composition!$E36/100</f>
        <v>0</v>
      </c>
      <c r="AY36" s="18">
        <f>raw_data!$AY36*mass_composition!$E36/100</f>
        <v>0</v>
      </c>
      <c r="AZ36" s="18">
        <f>raw_data!$AZ36*mass_composition!$E36/100</f>
        <v>0</v>
      </c>
      <c r="BA36" s="18">
        <f>raw_data!$BA36*mass_composition!$E36/100</f>
        <v>0</v>
      </c>
      <c r="BB36" s="18">
        <f>raw_data!$BB36*mass_composition!$E36/100</f>
        <v>0</v>
      </c>
      <c r="BC36" s="18">
        <f>raw_data!$BC36*mass_composition!$E36/100</f>
        <v>0</v>
      </c>
      <c r="BD36" s="18">
        <f>raw_data!$BD36*mass_composition!$E36/100</f>
        <v>0</v>
      </c>
      <c r="BE36" s="18">
        <f>raw_data!$BE36*mass_composition!$E36/100</f>
        <v>0</v>
      </c>
      <c r="BF36" s="18">
        <f>raw_data!$BF36*mass_composition!$E36/100</f>
        <v>0</v>
      </c>
      <c r="BG36" s="18">
        <f>raw_data!$BG36*mass_composition!$E36/100</f>
        <v>0</v>
      </c>
      <c r="BH36" s="18">
        <v>0</v>
      </c>
      <c r="BI36" s="18">
        <v>1.7975460122699385</v>
      </c>
      <c r="BJ36" s="18">
        <v>0</v>
      </c>
      <c r="BK36" s="18">
        <f>raw_data!$BK36*$E36/100</f>
        <v>0</v>
      </c>
      <c r="BL36" s="18">
        <f>raw_data!$BL36*$E36/100</f>
        <v>0</v>
      </c>
      <c r="BM36" s="18">
        <v>0</v>
      </c>
      <c r="BN36" s="18">
        <f>raw_data!$BN36*$E36/100</f>
        <v>0</v>
      </c>
      <c r="BO36" s="18">
        <f>raw_data!$BO36*$E36/100</f>
        <v>0</v>
      </c>
      <c r="BP36" s="18">
        <f>raw_data!$BP36*$E36/100</f>
        <v>0</v>
      </c>
      <c r="BQ36" s="18">
        <v>0</v>
      </c>
      <c r="BR36" s="18">
        <f>raw_data!$BR36*$E36/100</f>
        <v>0</v>
      </c>
      <c r="BS36" s="18">
        <v>17.368889386503067</v>
      </c>
      <c r="BT36" s="18">
        <v>1.3487831603251534</v>
      </c>
      <c r="BU36" s="18">
        <v>20.736196319018404</v>
      </c>
      <c r="BV36" s="18">
        <v>18.711656441717789</v>
      </c>
      <c r="BW36" s="18">
        <v>0</v>
      </c>
      <c r="BX36" s="18">
        <v>0</v>
      </c>
      <c r="BY36" s="18">
        <v>41.226993865030671</v>
      </c>
      <c r="BZ36" s="18">
        <v>15.889570552147239</v>
      </c>
      <c r="CA36" s="18">
        <v>0</v>
      </c>
      <c r="CB36" s="19">
        <v>43.417177914110425</v>
      </c>
    </row>
    <row r="37" spans="1:80" x14ac:dyDescent="0.35">
      <c r="A37" s="17" t="s">
        <v>113</v>
      </c>
      <c r="B37" s="17" t="s">
        <v>149</v>
      </c>
      <c r="C37" s="17"/>
      <c r="D37" s="18">
        <f>raw_data!$D37*$C37/100</f>
        <v>0</v>
      </c>
      <c r="E37" s="18">
        <f>raw_data!$E37*$C37/100</f>
        <v>0</v>
      </c>
      <c r="F37" s="18">
        <f>raw_data!$F37*$E37/100</f>
        <v>0</v>
      </c>
      <c r="G37" s="18">
        <f>raw_data!$G37*$E37/100</f>
        <v>0</v>
      </c>
      <c r="H37" s="18">
        <v>16.568721997546856</v>
      </c>
      <c r="I37" s="18">
        <v>441.76315789473676</v>
      </c>
      <c r="J37" s="18">
        <f>raw_data!$J37*mass_composition!$E37/100</f>
        <v>0</v>
      </c>
      <c r="K37" s="18">
        <f>raw_data!$K37*mass_composition!$E37/100</f>
        <v>0</v>
      </c>
      <c r="L37" s="18">
        <f>raw_data!$L37*mass_composition!$E37/100</f>
        <v>0</v>
      </c>
      <c r="M37" s="18">
        <f>raw_data!$M37*mass_composition!$E37/100</f>
        <v>0</v>
      </c>
      <c r="N37" s="18">
        <f>raw_data!$N37*mass_composition!$E37/100</f>
        <v>0</v>
      </c>
      <c r="O37" s="18">
        <f>raw_data!$O37*mass_composition!$E37/100</f>
        <v>0</v>
      </c>
      <c r="P37" s="18">
        <f>raw_data!$P37*mass_composition!$E37/100</f>
        <v>0</v>
      </c>
      <c r="Q37" s="18">
        <f>raw_data!$Q37*mass_composition!$E37/100</f>
        <v>0</v>
      </c>
      <c r="R37" s="18">
        <f>raw_data!$R37*mass_composition!$E37/100</f>
        <v>0</v>
      </c>
      <c r="S37" s="18">
        <f>raw_data!$S37*mass_composition!$E37/100</f>
        <v>0</v>
      </c>
      <c r="T37" s="18">
        <f>raw_data!$T37*mass_composition!$E37/100</f>
        <v>0</v>
      </c>
      <c r="U37" s="18">
        <f>raw_data!$U37*mass_composition!$E37/100</f>
        <v>0</v>
      </c>
      <c r="V37" s="18">
        <f>raw_data!$V37*mass_composition!$E37/100</f>
        <v>0</v>
      </c>
      <c r="W37" s="18">
        <f>raw_data!$W37*mass_composition!$E37/100</f>
        <v>0</v>
      </c>
      <c r="X37" s="18">
        <f>raw_data!$X37*mass_composition!$E37/100</f>
        <v>0</v>
      </c>
      <c r="Y37" s="18">
        <f>raw_data!$Y37*mass_composition!$E37/100</f>
        <v>0</v>
      </c>
      <c r="Z37" s="18">
        <f>raw_data!$Z37*mass_composition!$E37/100</f>
        <v>0</v>
      </c>
      <c r="AA37" s="18">
        <f>raw_data!$AA37*mass_composition!$E37/100</f>
        <v>0</v>
      </c>
      <c r="AB37" s="18">
        <f>raw_data!$AB37*mass_composition!$E37/100</f>
        <v>0</v>
      </c>
      <c r="AC37" s="18">
        <f>raw_data!$AC37*mass_composition!$E37/100</f>
        <v>0</v>
      </c>
      <c r="AD37" s="18">
        <f>raw_data!$AD37*mass_composition!$E37/100</f>
        <v>0</v>
      </c>
      <c r="AE37" s="18">
        <f>raw_data!$AE37*mass_composition!$E37/100</f>
        <v>0</v>
      </c>
      <c r="AF37" s="18">
        <f>raw_data!$AF37*mass_composition!$E37/100</f>
        <v>0</v>
      </c>
      <c r="AG37" s="18">
        <f>raw_data!$AG37*mass_composition!$E37/100</f>
        <v>0</v>
      </c>
      <c r="AH37" s="18">
        <f>raw_data!$AH37*mass_composition!$E37/100</f>
        <v>0</v>
      </c>
      <c r="AI37" s="18">
        <f>raw_data!$AI37*mass_composition!$E37/100</f>
        <v>0</v>
      </c>
      <c r="AJ37" s="18">
        <f>raw_data!$AJ37*mass_composition!$E37/100</f>
        <v>0</v>
      </c>
      <c r="AK37" s="18">
        <f>raw_data!$AK37*mass_composition!$E37/100</f>
        <v>0</v>
      </c>
      <c r="AL37" s="18">
        <f>raw_data!$AL37*mass_composition!$E37/100</f>
        <v>0</v>
      </c>
      <c r="AM37" s="18">
        <f>raw_data!$AM37*mass_composition!$E37/100</f>
        <v>0</v>
      </c>
      <c r="AN37" s="18">
        <f>raw_data!$AN37*mass_composition!$E37/100</f>
        <v>0</v>
      </c>
      <c r="AO37" s="18">
        <f>raw_data!$AO37*mass_composition!$E37/100</f>
        <v>0</v>
      </c>
      <c r="AP37" s="18">
        <f>raw_data!$AP37*mass_composition!$E37/100</f>
        <v>0</v>
      </c>
      <c r="AQ37" s="18">
        <f>raw_data!$AQ37*mass_composition!$E37/100</f>
        <v>0</v>
      </c>
      <c r="AR37" s="18">
        <f>raw_data!$AR37*mass_composition!$E37/100</f>
        <v>0</v>
      </c>
      <c r="AS37" s="18">
        <f>raw_data!$AS37*mass_composition!$E37/100</f>
        <v>0</v>
      </c>
      <c r="AT37" s="18">
        <f>raw_data!$AT37*mass_composition!$E37/100</f>
        <v>0</v>
      </c>
      <c r="AU37" s="18">
        <f>raw_data!$AU37*mass_composition!$E37/100</f>
        <v>0</v>
      </c>
      <c r="AV37" s="18">
        <f>raw_data!$AV37*mass_composition!$E37/100</f>
        <v>0</v>
      </c>
      <c r="AW37" s="18">
        <f>raw_data!$AW37*mass_composition!$E37/100</f>
        <v>0</v>
      </c>
      <c r="AX37" s="18">
        <f>raw_data!$AX37*mass_composition!$E37/100</f>
        <v>0</v>
      </c>
      <c r="AY37" s="18">
        <f>raw_data!$AY37*mass_composition!$E37/100</f>
        <v>0</v>
      </c>
      <c r="AZ37" s="18">
        <f>raw_data!$AZ37*mass_composition!$E37/100</f>
        <v>0</v>
      </c>
      <c r="BA37" s="18">
        <f>raw_data!$BA37*mass_composition!$E37/100</f>
        <v>0</v>
      </c>
      <c r="BB37" s="18">
        <f>raw_data!$BB37*mass_composition!$E37/100</f>
        <v>0</v>
      </c>
      <c r="BC37" s="18">
        <f>raw_data!$BC37*mass_composition!$E37/100</f>
        <v>0</v>
      </c>
      <c r="BD37" s="18">
        <f>raw_data!$BD37*mass_composition!$E37/100</f>
        <v>0</v>
      </c>
      <c r="BE37" s="18">
        <f>raw_data!$BE37*mass_composition!$E37/100</f>
        <v>0</v>
      </c>
      <c r="BF37" s="18">
        <f>raw_data!$BF37*mass_composition!$E37/100</f>
        <v>0</v>
      </c>
      <c r="BG37" s="18">
        <f>raw_data!$BG37*mass_composition!$E37/100</f>
        <v>0</v>
      </c>
      <c r="BH37" s="18">
        <v>0</v>
      </c>
      <c r="BI37" s="18">
        <v>0.80808080808080807</v>
      </c>
      <c r="BJ37" s="18">
        <v>0</v>
      </c>
      <c r="BK37" s="18">
        <f>raw_data!$BK37*$E37/100</f>
        <v>0</v>
      </c>
      <c r="BL37" s="18">
        <f>raw_data!$BL37*$E37/100</f>
        <v>0</v>
      </c>
      <c r="BM37" s="18">
        <v>0</v>
      </c>
      <c r="BN37" s="18">
        <f>raw_data!$BN37*$E37/100</f>
        <v>0</v>
      </c>
      <c r="BO37" s="18">
        <f>raw_data!$BO37*$E37/100</f>
        <v>0</v>
      </c>
      <c r="BP37" s="18">
        <f>raw_data!$BP37*$E37/100</f>
        <v>0</v>
      </c>
      <c r="BQ37" s="18">
        <v>0</v>
      </c>
      <c r="BR37" s="18">
        <f>raw_data!$BR37*$E37/100</f>
        <v>0</v>
      </c>
      <c r="BS37" s="18">
        <v>16.601528689267177</v>
      </c>
      <c r="BT37" s="18">
        <v>1.2694737631260995</v>
      </c>
      <c r="BU37" s="18">
        <v>24.141414141414142</v>
      </c>
      <c r="BV37" s="18">
        <v>21.212121212121211</v>
      </c>
      <c r="BW37" s="18">
        <v>0</v>
      </c>
      <c r="BX37" s="18">
        <v>0</v>
      </c>
      <c r="BY37" s="18">
        <v>46.161616161616166</v>
      </c>
      <c r="BZ37" s="18">
        <v>16.060606060606059</v>
      </c>
      <c r="CA37" s="18">
        <v>0</v>
      </c>
      <c r="CB37" s="19">
        <v>26.767676767676761</v>
      </c>
    </row>
    <row r="38" spans="1:80" x14ac:dyDescent="0.35">
      <c r="A38" s="17" t="s">
        <v>113</v>
      </c>
      <c r="B38" s="17" t="s">
        <v>150</v>
      </c>
      <c r="C38" s="17"/>
      <c r="D38" s="18">
        <f>raw_data!$D38*$C38/100</f>
        <v>0</v>
      </c>
      <c r="E38" s="18">
        <f>raw_data!$E38*$C38/100</f>
        <v>0</v>
      </c>
      <c r="F38" s="18">
        <f>raw_data!$F38*$E38/100</f>
        <v>0</v>
      </c>
      <c r="G38" s="18">
        <f>raw_data!$G38*$E38/100</f>
        <v>0</v>
      </c>
      <c r="H38" s="18">
        <v>15.927235177514511</v>
      </c>
      <c r="I38" s="18">
        <v>448.4595959595959</v>
      </c>
      <c r="J38" s="18">
        <f>raw_data!$J38*mass_composition!$E38/100</f>
        <v>0</v>
      </c>
      <c r="K38" s="18">
        <f>raw_data!$K38*mass_composition!$E38/100</f>
        <v>0</v>
      </c>
      <c r="L38" s="18">
        <f>raw_data!$L38*mass_composition!$E38/100</f>
        <v>0</v>
      </c>
      <c r="M38" s="18">
        <f>raw_data!$M38*mass_composition!$E38/100</f>
        <v>0</v>
      </c>
      <c r="N38" s="18">
        <f>raw_data!$N38*mass_composition!$E38/100</f>
        <v>0</v>
      </c>
      <c r="O38" s="18">
        <f>raw_data!$O38*mass_composition!$E38/100</f>
        <v>0</v>
      </c>
      <c r="P38" s="18">
        <f>raw_data!$P38*mass_composition!$E38/100</f>
        <v>0</v>
      </c>
      <c r="Q38" s="18">
        <f>raw_data!$Q38*mass_composition!$E38/100</f>
        <v>0</v>
      </c>
      <c r="R38" s="18">
        <f>raw_data!$R38*mass_composition!$E38/100</f>
        <v>0</v>
      </c>
      <c r="S38" s="18">
        <f>raw_data!$S38*mass_composition!$E38/100</f>
        <v>0</v>
      </c>
      <c r="T38" s="18">
        <f>raw_data!$T38*mass_composition!$E38/100</f>
        <v>0</v>
      </c>
      <c r="U38" s="18">
        <f>raw_data!$U38*mass_composition!$E38/100</f>
        <v>0</v>
      </c>
      <c r="V38" s="18">
        <f>raw_data!$V38*mass_composition!$E38/100</f>
        <v>0</v>
      </c>
      <c r="W38" s="18">
        <f>raw_data!$W38*mass_composition!$E38/100</f>
        <v>0</v>
      </c>
      <c r="X38" s="18">
        <f>raw_data!$X38*mass_composition!$E38/100</f>
        <v>0</v>
      </c>
      <c r="Y38" s="18">
        <f>raw_data!$Y38*mass_composition!$E38/100</f>
        <v>0</v>
      </c>
      <c r="Z38" s="18">
        <f>raw_data!$Z38*mass_composition!$E38/100</f>
        <v>0</v>
      </c>
      <c r="AA38" s="18">
        <f>raw_data!$AA38*mass_composition!$E38/100</f>
        <v>0</v>
      </c>
      <c r="AB38" s="18">
        <f>raw_data!$AB38*mass_composition!$E38/100</f>
        <v>0</v>
      </c>
      <c r="AC38" s="18">
        <f>raw_data!$AC38*mass_composition!$E38/100</f>
        <v>0</v>
      </c>
      <c r="AD38" s="18">
        <f>raw_data!$AD38*mass_composition!$E38/100</f>
        <v>0</v>
      </c>
      <c r="AE38" s="18">
        <f>raw_data!$AE38*mass_composition!$E38/100</f>
        <v>0</v>
      </c>
      <c r="AF38" s="18">
        <f>raw_data!$AF38*mass_composition!$E38/100</f>
        <v>0</v>
      </c>
      <c r="AG38" s="18">
        <f>raw_data!$AG38*mass_composition!$E38/100</f>
        <v>0</v>
      </c>
      <c r="AH38" s="18">
        <f>raw_data!$AH38*mass_composition!$E38/100</f>
        <v>0</v>
      </c>
      <c r="AI38" s="18">
        <f>raw_data!$AI38*mass_composition!$E38/100</f>
        <v>0</v>
      </c>
      <c r="AJ38" s="18">
        <f>raw_data!$AJ38*mass_composition!$E38/100</f>
        <v>0</v>
      </c>
      <c r="AK38" s="18">
        <f>raw_data!$AK38*mass_composition!$E38/100</f>
        <v>0</v>
      </c>
      <c r="AL38" s="18">
        <f>raw_data!$AL38*mass_composition!$E38/100</f>
        <v>0</v>
      </c>
      <c r="AM38" s="18">
        <f>raw_data!$AM38*mass_composition!$E38/100</f>
        <v>0</v>
      </c>
      <c r="AN38" s="18">
        <f>raw_data!$AN38*mass_composition!$E38/100</f>
        <v>0</v>
      </c>
      <c r="AO38" s="18">
        <f>raw_data!$AO38*mass_composition!$E38/100</f>
        <v>0</v>
      </c>
      <c r="AP38" s="18">
        <f>raw_data!$AP38*mass_composition!$E38/100</f>
        <v>0</v>
      </c>
      <c r="AQ38" s="18">
        <f>raw_data!$AQ38*mass_composition!$E38/100</f>
        <v>0</v>
      </c>
      <c r="AR38" s="18">
        <f>raw_data!$AR38*mass_composition!$E38/100</f>
        <v>0</v>
      </c>
      <c r="AS38" s="18">
        <f>raw_data!$AS38*mass_composition!$E38/100</f>
        <v>0</v>
      </c>
      <c r="AT38" s="18">
        <f>raw_data!$AT38*mass_composition!$E38/100</f>
        <v>0</v>
      </c>
      <c r="AU38" s="18">
        <f>raw_data!$AU38*mass_composition!$E38/100</f>
        <v>0</v>
      </c>
      <c r="AV38" s="18">
        <f>raw_data!$AV38*mass_composition!$E38/100</f>
        <v>0</v>
      </c>
      <c r="AW38" s="18">
        <f>raw_data!$AW38*mass_composition!$E38/100</f>
        <v>0</v>
      </c>
      <c r="AX38" s="18">
        <f>raw_data!$AX38*mass_composition!$E38/100</f>
        <v>0</v>
      </c>
      <c r="AY38" s="18">
        <f>raw_data!$AY38*mass_composition!$E38/100</f>
        <v>0</v>
      </c>
      <c r="AZ38" s="18">
        <f>raw_data!$AZ38*mass_composition!$E38/100</f>
        <v>0</v>
      </c>
      <c r="BA38" s="18">
        <f>raw_data!$BA38*mass_composition!$E38/100</f>
        <v>0</v>
      </c>
      <c r="BB38" s="18">
        <f>raw_data!$BB38*mass_composition!$E38/100</f>
        <v>0</v>
      </c>
      <c r="BC38" s="18">
        <f>raw_data!$BC38*mass_composition!$E38/100</f>
        <v>0</v>
      </c>
      <c r="BD38" s="18">
        <f>raw_data!$BD38*mass_composition!$E38/100</f>
        <v>0</v>
      </c>
      <c r="BE38" s="18">
        <f>raw_data!$BE38*mass_composition!$E38/100</f>
        <v>0</v>
      </c>
      <c r="BF38" s="18">
        <f>raw_data!$BF38*mass_composition!$E38/100</f>
        <v>0</v>
      </c>
      <c r="BG38" s="18">
        <f>raw_data!$BG38*mass_composition!$E38/100</f>
        <v>0</v>
      </c>
      <c r="BH38" s="18">
        <v>0</v>
      </c>
      <c r="BI38" s="18">
        <v>2.429906542056075</v>
      </c>
      <c r="BJ38" s="18">
        <v>0.93457943925233655</v>
      </c>
      <c r="BK38" s="18">
        <f>raw_data!$BK38*$E38/100</f>
        <v>0</v>
      </c>
      <c r="BL38" s="18">
        <f>raw_data!$BL38*$E38/100</f>
        <v>0</v>
      </c>
      <c r="BM38" s="18">
        <v>0</v>
      </c>
      <c r="BN38" s="18">
        <f>raw_data!$BN38*$E38/100</f>
        <v>0</v>
      </c>
      <c r="BO38" s="18">
        <f>raw_data!$BO38*$E38/100</f>
        <v>0</v>
      </c>
      <c r="BP38" s="18">
        <f>raw_data!$BP38*$E38/100</f>
        <v>0</v>
      </c>
      <c r="BQ38" s="18">
        <v>0</v>
      </c>
      <c r="BR38" s="18">
        <f>raw_data!$BR38*$E38/100</f>
        <v>0</v>
      </c>
      <c r="BS38" s="18">
        <v>17.002908793626709</v>
      </c>
      <c r="BT38" s="18">
        <v>1.3113715581943546</v>
      </c>
      <c r="BU38" s="18">
        <v>5.9813084112149539</v>
      </c>
      <c r="BV38" s="18">
        <v>3.7383177570093462</v>
      </c>
      <c r="BW38" s="18">
        <v>0</v>
      </c>
      <c r="BX38" s="18">
        <v>0</v>
      </c>
      <c r="BY38" s="18">
        <v>12.149532710280376</v>
      </c>
      <c r="BZ38" s="18">
        <v>14.672897196261683</v>
      </c>
      <c r="CA38" s="18">
        <v>0</v>
      </c>
      <c r="CB38" s="19">
        <v>45.514018691588774</v>
      </c>
    </row>
    <row r="39" spans="1:80" x14ac:dyDescent="0.35">
      <c r="A39" s="17" t="s">
        <v>113</v>
      </c>
      <c r="B39" s="17" t="s">
        <v>151</v>
      </c>
      <c r="C39" s="17"/>
      <c r="D39" s="18">
        <f>raw_data!$D39*$C39/100</f>
        <v>0</v>
      </c>
      <c r="E39" s="18">
        <f>raw_data!$E39*$C39/100</f>
        <v>0</v>
      </c>
      <c r="F39" s="18">
        <f>raw_data!$F39*$E39/100</f>
        <v>0</v>
      </c>
      <c r="G39" s="18">
        <f>raw_data!$G39*$E39/100</f>
        <v>0</v>
      </c>
      <c r="H39" s="18">
        <v>23.431862897586626</v>
      </c>
      <c r="I39" s="18">
        <v>689</v>
      </c>
      <c r="J39" s="18">
        <f>raw_data!$J39*mass_composition!$E39/100</f>
        <v>0</v>
      </c>
      <c r="K39" s="18">
        <f>raw_data!$K39*mass_composition!$E39/100</f>
        <v>0</v>
      </c>
      <c r="L39" s="18">
        <f>raw_data!$L39*mass_composition!$E39/100</f>
        <v>0</v>
      </c>
      <c r="M39" s="18">
        <f>raw_data!$M39*mass_composition!$E39/100</f>
        <v>0</v>
      </c>
      <c r="N39" s="18">
        <f>raw_data!$N39*mass_composition!$E39/100</f>
        <v>0</v>
      </c>
      <c r="O39" s="18">
        <f>raw_data!$O39*mass_composition!$E39/100</f>
        <v>0</v>
      </c>
      <c r="P39" s="18">
        <f>raw_data!$P39*mass_composition!$E39/100</f>
        <v>0</v>
      </c>
      <c r="Q39" s="18">
        <f>raw_data!$Q39*mass_composition!$E39/100</f>
        <v>0</v>
      </c>
      <c r="R39" s="18">
        <f>raw_data!$R39*mass_composition!$E39/100</f>
        <v>0</v>
      </c>
      <c r="S39" s="18">
        <f>raw_data!$S39*mass_composition!$E39/100</f>
        <v>0</v>
      </c>
      <c r="T39" s="18">
        <f>raw_data!$T39*mass_composition!$E39/100</f>
        <v>0</v>
      </c>
      <c r="U39" s="18">
        <f>raw_data!$U39*mass_composition!$E39/100</f>
        <v>0</v>
      </c>
      <c r="V39" s="18">
        <f>raw_data!$V39*mass_composition!$E39/100</f>
        <v>0</v>
      </c>
      <c r="W39" s="18">
        <f>raw_data!$W39*mass_composition!$E39/100</f>
        <v>0</v>
      </c>
      <c r="X39" s="18">
        <f>raw_data!$X39*mass_composition!$E39/100</f>
        <v>0</v>
      </c>
      <c r="Y39" s="18">
        <f>raw_data!$Y39*mass_composition!$E39/100</f>
        <v>0</v>
      </c>
      <c r="Z39" s="18">
        <f>raw_data!$Z39*mass_composition!$E39/100</f>
        <v>0</v>
      </c>
      <c r="AA39" s="18">
        <f>raw_data!$AA39*mass_composition!$E39/100</f>
        <v>0</v>
      </c>
      <c r="AB39" s="18">
        <f>raw_data!$AB39*mass_composition!$E39/100</f>
        <v>0</v>
      </c>
      <c r="AC39" s="18">
        <f>raw_data!$AC39*mass_composition!$E39/100</f>
        <v>0</v>
      </c>
      <c r="AD39" s="18">
        <f>raw_data!$AD39*mass_composition!$E39/100</f>
        <v>0</v>
      </c>
      <c r="AE39" s="18">
        <f>raw_data!$AE39*mass_composition!$E39/100</f>
        <v>0</v>
      </c>
      <c r="AF39" s="18">
        <f>raw_data!$AF39*mass_composition!$E39/100</f>
        <v>0</v>
      </c>
      <c r="AG39" s="18">
        <f>raw_data!$AG39*mass_composition!$E39/100</f>
        <v>0</v>
      </c>
      <c r="AH39" s="18">
        <f>raw_data!$AH39*mass_composition!$E39/100</f>
        <v>0</v>
      </c>
      <c r="AI39" s="18">
        <f>raw_data!$AI39*mass_composition!$E39/100</f>
        <v>0</v>
      </c>
      <c r="AJ39" s="18">
        <f>raw_data!$AJ39*mass_composition!$E39/100</f>
        <v>0</v>
      </c>
      <c r="AK39" s="18">
        <f>raw_data!$AK39*mass_composition!$E39/100</f>
        <v>0</v>
      </c>
      <c r="AL39" s="18">
        <f>raw_data!$AL39*mass_composition!$E39/100</f>
        <v>0</v>
      </c>
      <c r="AM39" s="18">
        <f>raw_data!$AM39*mass_composition!$E39/100</f>
        <v>0</v>
      </c>
      <c r="AN39" s="18">
        <f>raw_data!$AN39*mass_composition!$E39/100</f>
        <v>0</v>
      </c>
      <c r="AO39" s="18">
        <f>raw_data!$AO39*mass_composition!$E39/100</f>
        <v>0</v>
      </c>
      <c r="AP39" s="18">
        <f>raw_data!$AP39*mass_composition!$E39/100</f>
        <v>0</v>
      </c>
      <c r="AQ39" s="18">
        <f>raw_data!$AQ39*mass_composition!$E39/100</f>
        <v>0</v>
      </c>
      <c r="AR39" s="18">
        <f>raw_data!$AR39*mass_composition!$E39/100</f>
        <v>0</v>
      </c>
      <c r="AS39" s="18">
        <f>raw_data!$AS39*mass_composition!$E39/100</f>
        <v>0</v>
      </c>
      <c r="AT39" s="18">
        <f>raw_data!$AT39*mass_composition!$E39/100</f>
        <v>0</v>
      </c>
      <c r="AU39" s="18">
        <f>raw_data!$AU39*mass_composition!$E39/100</f>
        <v>0</v>
      </c>
      <c r="AV39" s="18">
        <f>raw_data!$AV39*mass_composition!$E39/100</f>
        <v>0</v>
      </c>
      <c r="AW39" s="18">
        <f>raw_data!$AW39*mass_composition!$E39/100</f>
        <v>0</v>
      </c>
      <c r="AX39" s="18">
        <f>raw_data!$AX39*mass_composition!$E39/100</f>
        <v>0</v>
      </c>
      <c r="AY39" s="18">
        <f>raw_data!$AY39*mass_composition!$E39/100</f>
        <v>0</v>
      </c>
      <c r="AZ39" s="18">
        <f>raw_data!$AZ39*mass_composition!$E39/100</f>
        <v>0</v>
      </c>
      <c r="BA39" s="18">
        <f>raw_data!$BA39*mass_composition!$E39/100</f>
        <v>0</v>
      </c>
      <c r="BB39" s="18">
        <f>raw_data!$BB39*mass_composition!$E39/100</f>
        <v>0</v>
      </c>
      <c r="BC39" s="18">
        <f>raw_data!$BC39*mass_composition!$E39/100</f>
        <v>0</v>
      </c>
      <c r="BD39" s="18">
        <f>raw_data!$BD39*mass_composition!$E39/100</f>
        <v>0</v>
      </c>
      <c r="BE39" s="18">
        <f>raw_data!$BE39*mass_composition!$E39/100</f>
        <v>0</v>
      </c>
      <c r="BF39" s="18">
        <f>raw_data!$BF39*mass_composition!$E39/100</f>
        <v>0</v>
      </c>
      <c r="BG39" s="18">
        <f>raw_data!$BG39*mass_composition!$E39/100</f>
        <v>0</v>
      </c>
      <c r="BH39" s="18">
        <v>0</v>
      </c>
      <c r="BI39" s="18">
        <v>0.3125</v>
      </c>
      <c r="BJ39" s="18">
        <v>0.15625</v>
      </c>
      <c r="BK39" s="18">
        <f>raw_data!$BK39*$E39/100</f>
        <v>0</v>
      </c>
      <c r="BL39" s="18">
        <f>raw_data!$BL39*$E39/100</f>
        <v>0</v>
      </c>
      <c r="BM39" s="18">
        <v>0</v>
      </c>
      <c r="BN39" s="18">
        <f>raw_data!$BN39*$E39/100</f>
        <v>0</v>
      </c>
      <c r="BO39" s="18">
        <f>raw_data!$BO39*$E39/100</f>
        <v>0</v>
      </c>
      <c r="BP39" s="18">
        <f>raw_data!$BP39*$E39/100</f>
        <v>0</v>
      </c>
      <c r="BQ39" s="18">
        <v>0</v>
      </c>
      <c r="BR39" s="18">
        <f>raw_data!$BR39*$E39/100</f>
        <v>0</v>
      </c>
      <c r="BS39" s="18">
        <v>22.40172046875</v>
      </c>
      <c r="BT39" s="18">
        <v>1.8465301543593748</v>
      </c>
      <c r="BU39" s="18">
        <v>0.625</v>
      </c>
      <c r="BV39" s="18">
        <v>0.3125</v>
      </c>
      <c r="BW39" s="18">
        <v>0</v>
      </c>
      <c r="BX39" s="18">
        <v>0</v>
      </c>
      <c r="BY39" s="18">
        <v>1.25</v>
      </c>
      <c r="BZ39" s="18">
        <v>22.21875</v>
      </c>
      <c r="CA39" s="18">
        <v>0</v>
      </c>
      <c r="CB39" s="19">
        <v>42.96875</v>
      </c>
    </row>
    <row r="40" spans="1:80" x14ac:dyDescent="0.35">
      <c r="A40" s="17" t="s">
        <v>113</v>
      </c>
      <c r="B40" s="17" t="s">
        <v>152</v>
      </c>
      <c r="C40" s="17"/>
      <c r="D40" s="18">
        <f>raw_data!$D40*$C40/100</f>
        <v>0</v>
      </c>
      <c r="E40" s="18">
        <f>raw_data!$E40*$C40/100</f>
        <v>0</v>
      </c>
      <c r="F40" s="18">
        <f>raw_data!$F40*$E40/100</f>
        <v>0</v>
      </c>
      <c r="G40" s="18">
        <f>raw_data!$G40*$E40/100</f>
        <v>0</v>
      </c>
      <c r="H40" s="18">
        <v>15.419122358146494</v>
      </c>
      <c r="I40" s="18">
        <v>442.14285714285711</v>
      </c>
      <c r="J40" s="18">
        <f>raw_data!$J40*mass_composition!$E40/100</f>
        <v>0</v>
      </c>
      <c r="K40" s="18">
        <f>raw_data!$K40*mass_composition!$E40/100</f>
        <v>0</v>
      </c>
      <c r="L40" s="18">
        <f>raw_data!$L40*mass_composition!$E40/100</f>
        <v>0</v>
      </c>
      <c r="M40" s="18">
        <f>raw_data!$M40*mass_composition!$E40/100</f>
        <v>0</v>
      </c>
      <c r="N40" s="18">
        <f>raw_data!$N40*mass_composition!$E40/100</f>
        <v>0</v>
      </c>
      <c r="O40" s="18">
        <f>raw_data!$O40*mass_composition!$E40/100</f>
        <v>0</v>
      </c>
      <c r="P40" s="18">
        <f>raw_data!$P40*mass_composition!$E40/100</f>
        <v>0</v>
      </c>
      <c r="Q40" s="18">
        <f>raw_data!$Q40*mass_composition!$E40/100</f>
        <v>0</v>
      </c>
      <c r="R40" s="18">
        <f>raw_data!$R40*mass_composition!$E40/100</f>
        <v>0</v>
      </c>
      <c r="S40" s="18">
        <f>raw_data!$S40*mass_composition!$E40/100</f>
        <v>0</v>
      </c>
      <c r="T40" s="18">
        <f>raw_data!$T40*mass_composition!$E40/100</f>
        <v>0</v>
      </c>
      <c r="U40" s="18">
        <f>raw_data!$U40*mass_composition!$E40/100</f>
        <v>0</v>
      </c>
      <c r="V40" s="18">
        <f>raw_data!$V40*mass_composition!$E40/100</f>
        <v>0</v>
      </c>
      <c r="W40" s="18">
        <f>raw_data!$W40*mass_composition!$E40/100</f>
        <v>0</v>
      </c>
      <c r="X40" s="18">
        <f>raw_data!$X40*mass_composition!$E40/100</f>
        <v>0</v>
      </c>
      <c r="Y40" s="18">
        <f>raw_data!$Y40*mass_composition!$E40/100</f>
        <v>0</v>
      </c>
      <c r="Z40" s="18">
        <f>raw_data!$Z40*mass_composition!$E40/100</f>
        <v>0</v>
      </c>
      <c r="AA40" s="18">
        <f>raw_data!$AA40*mass_composition!$E40/100</f>
        <v>0</v>
      </c>
      <c r="AB40" s="18">
        <f>raw_data!$AB40*mass_composition!$E40/100</f>
        <v>0</v>
      </c>
      <c r="AC40" s="18">
        <f>raw_data!$AC40*mass_composition!$E40/100</f>
        <v>0</v>
      </c>
      <c r="AD40" s="18">
        <f>raw_data!$AD40*mass_composition!$E40/100</f>
        <v>0</v>
      </c>
      <c r="AE40" s="18">
        <f>raw_data!$AE40*mass_composition!$E40/100</f>
        <v>0</v>
      </c>
      <c r="AF40" s="18">
        <f>raw_data!$AF40*mass_composition!$E40/100</f>
        <v>0</v>
      </c>
      <c r="AG40" s="18">
        <f>raw_data!$AG40*mass_composition!$E40/100</f>
        <v>0</v>
      </c>
      <c r="AH40" s="18">
        <f>raw_data!$AH40*mass_composition!$E40/100</f>
        <v>0</v>
      </c>
      <c r="AI40" s="18">
        <f>raw_data!$AI40*mass_composition!$E40/100</f>
        <v>0</v>
      </c>
      <c r="AJ40" s="18">
        <f>raw_data!$AJ40*mass_composition!$E40/100</f>
        <v>0</v>
      </c>
      <c r="AK40" s="18">
        <f>raw_data!$AK40*mass_composition!$E40/100</f>
        <v>0</v>
      </c>
      <c r="AL40" s="18">
        <f>raw_data!$AL40*mass_composition!$E40/100</f>
        <v>0</v>
      </c>
      <c r="AM40" s="18">
        <f>raw_data!$AM40*mass_composition!$E40/100</f>
        <v>0</v>
      </c>
      <c r="AN40" s="18">
        <f>raw_data!$AN40*mass_composition!$E40/100</f>
        <v>0</v>
      </c>
      <c r="AO40" s="18">
        <f>raw_data!$AO40*mass_composition!$E40/100</f>
        <v>0</v>
      </c>
      <c r="AP40" s="18">
        <f>raw_data!$AP40*mass_composition!$E40/100</f>
        <v>0</v>
      </c>
      <c r="AQ40" s="18">
        <f>raw_data!$AQ40*mass_composition!$E40/100</f>
        <v>0</v>
      </c>
      <c r="AR40" s="18">
        <f>raw_data!$AR40*mass_composition!$E40/100</f>
        <v>0</v>
      </c>
      <c r="AS40" s="18">
        <f>raw_data!$AS40*mass_composition!$E40/100</f>
        <v>0</v>
      </c>
      <c r="AT40" s="18">
        <f>raw_data!$AT40*mass_composition!$E40/100</f>
        <v>0</v>
      </c>
      <c r="AU40" s="18">
        <f>raw_data!$AU40*mass_composition!$E40/100</f>
        <v>0</v>
      </c>
      <c r="AV40" s="18">
        <f>raw_data!$AV40*mass_composition!$E40/100</f>
        <v>0</v>
      </c>
      <c r="AW40" s="18">
        <f>raw_data!$AW40*mass_composition!$E40/100</f>
        <v>0</v>
      </c>
      <c r="AX40" s="18">
        <f>raw_data!$AX40*mass_composition!$E40/100</f>
        <v>0</v>
      </c>
      <c r="AY40" s="18">
        <f>raw_data!$AY40*mass_composition!$E40/100</f>
        <v>0</v>
      </c>
      <c r="AZ40" s="18">
        <f>raw_data!$AZ40*mass_composition!$E40/100</f>
        <v>0</v>
      </c>
      <c r="BA40" s="18">
        <f>raw_data!$BA40*mass_composition!$E40/100</f>
        <v>0</v>
      </c>
      <c r="BB40" s="18">
        <f>raw_data!$BB40*mass_composition!$E40/100</f>
        <v>0</v>
      </c>
      <c r="BC40" s="18">
        <f>raw_data!$BC40*mass_composition!$E40/100</f>
        <v>0</v>
      </c>
      <c r="BD40" s="18">
        <f>raw_data!$BD40*mass_composition!$E40/100</f>
        <v>0</v>
      </c>
      <c r="BE40" s="18">
        <f>raw_data!$BE40*mass_composition!$E40/100</f>
        <v>0</v>
      </c>
      <c r="BF40" s="18">
        <f>raw_data!$BF40*mass_composition!$E40/100</f>
        <v>0</v>
      </c>
      <c r="BG40" s="18">
        <f>raw_data!$BG40*mass_composition!$E40/100</f>
        <v>0</v>
      </c>
      <c r="BH40" s="18">
        <v>0</v>
      </c>
      <c r="BI40" s="18">
        <v>0</v>
      </c>
      <c r="BJ40" s="18">
        <v>0</v>
      </c>
      <c r="BK40" s="18">
        <f>raw_data!$BK40*$E40/100</f>
        <v>0</v>
      </c>
      <c r="BL40" s="18">
        <f>raw_data!$BL40*$E40/100</f>
        <v>0</v>
      </c>
      <c r="BM40" s="18">
        <v>0</v>
      </c>
      <c r="BN40" s="18">
        <f>raw_data!$BN40*$E40/100</f>
        <v>0</v>
      </c>
      <c r="BO40" s="18">
        <f>raw_data!$BO40*$E40/100</f>
        <v>0</v>
      </c>
      <c r="BP40" s="18">
        <f>raw_data!$BP40*$E40/100</f>
        <v>0</v>
      </c>
      <c r="BQ40" s="18">
        <v>0</v>
      </c>
      <c r="BR40" s="18">
        <f>raw_data!$BR40*$E40/100</f>
        <v>0</v>
      </c>
      <c r="BS40" s="18">
        <v>17.023715803571431</v>
      </c>
      <c r="BT40" s="18">
        <v>1.3146454929732145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15.178571428571429</v>
      </c>
      <c r="CA40" s="18">
        <v>0</v>
      </c>
      <c r="CB40" s="19">
        <v>79.464285714285708</v>
      </c>
    </row>
    <row r="41" spans="1:80" x14ac:dyDescent="0.35">
      <c r="A41" s="17" t="s">
        <v>113</v>
      </c>
      <c r="B41" s="17" t="s">
        <v>153</v>
      </c>
      <c r="C41" s="17"/>
      <c r="D41" s="18">
        <f>raw_data!$D41*$C41/100</f>
        <v>0</v>
      </c>
      <c r="E41" s="18">
        <f>raw_data!$E41*$C41/100</f>
        <v>0</v>
      </c>
      <c r="F41" s="18">
        <f>raw_data!$F41*$E41/100</f>
        <v>0</v>
      </c>
      <c r="G41" s="18">
        <f>raw_data!$G41*$E41/100</f>
        <v>0</v>
      </c>
      <c r="H41" s="18">
        <v>15.267222615199028</v>
      </c>
      <c r="I41" s="18">
        <v>420.57480314960628</v>
      </c>
      <c r="J41" s="18">
        <f>raw_data!$J41*mass_composition!$E41/100</f>
        <v>0</v>
      </c>
      <c r="K41" s="18">
        <f>raw_data!$K41*mass_composition!$E41/100</f>
        <v>0</v>
      </c>
      <c r="L41" s="18">
        <f>raw_data!$L41*mass_composition!$E41/100</f>
        <v>0</v>
      </c>
      <c r="M41" s="18">
        <f>raw_data!$M41*mass_composition!$E41/100</f>
        <v>0</v>
      </c>
      <c r="N41" s="18">
        <f>raw_data!$N41*mass_composition!$E41/100</f>
        <v>0</v>
      </c>
      <c r="O41" s="18">
        <f>raw_data!$O41*mass_composition!$E41/100</f>
        <v>0</v>
      </c>
      <c r="P41" s="18">
        <f>raw_data!$P41*mass_composition!$E41/100</f>
        <v>0</v>
      </c>
      <c r="Q41" s="18">
        <f>raw_data!$Q41*mass_composition!$E41/100</f>
        <v>0</v>
      </c>
      <c r="R41" s="18">
        <f>raw_data!$R41*mass_composition!$E41/100</f>
        <v>0</v>
      </c>
      <c r="S41" s="18">
        <f>raw_data!$S41*mass_composition!$E41/100</f>
        <v>0</v>
      </c>
      <c r="T41" s="18">
        <f>raw_data!$T41*mass_composition!$E41/100</f>
        <v>0</v>
      </c>
      <c r="U41" s="18">
        <f>raw_data!$U41*mass_composition!$E41/100</f>
        <v>0</v>
      </c>
      <c r="V41" s="18">
        <f>raw_data!$V41*mass_composition!$E41/100</f>
        <v>0</v>
      </c>
      <c r="W41" s="18">
        <f>raw_data!$W41*mass_composition!$E41/100</f>
        <v>0</v>
      </c>
      <c r="X41" s="18">
        <f>raw_data!$X41*mass_composition!$E41/100</f>
        <v>0</v>
      </c>
      <c r="Y41" s="18">
        <f>raw_data!$Y41*mass_composition!$E41/100</f>
        <v>0</v>
      </c>
      <c r="Z41" s="18">
        <f>raw_data!$Z41*mass_composition!$E41/100</f>
        <v>0</v>
      </c>
      <c r="AA41" s="18">
        <f>raw_data!$AA41*mass_composition!$E41/100</f>
        <v>0</v>
      </c>
      <c r="AB41" s="18">
        <f>raw_data!$AB41*mass_composition!$E41/100</f>
        <v>0</v>
      </c>
      <c r="AC41" s="18">
        <f>raw_data!$AC41*mass_composition!$E41/100</f>
        <v>0</v>
      </c>
      <c r="AD41" s="18">
        <f>raw_data!$AD41*mass_composition!$E41/100</f>
        <v>0</v>
      </c>
      <c r="AE41" s="18">
        <f>raw_data!$AE41*mass_composition!$E41/100</f>
        <v>0</v>
      </c>
      <c r="AF41" s="18">
        <f>raw_data!$AF41*mass_composition!$E41/100</f>
        <v>0</v>
      </c>
      <c r="AG41" s="18">
        <f>raw_data!$AG41*mass_composition!$E41/100</f>
        <v>0</v>
      </c>
      <c r="AH41" s="18">
        <f>raw_data!$AH41*mass_composition!$E41/100</f>
        <v>0</v>
      </c>
      <c r="AI41" s="18">
        <f>raw_data!$AI41*mass_composition!$E41/100</f>
        <v>0</v>
      </c>
      <c r="AJ41" s="18">
        <f>raw_data!$AJ41*mass_composition!$E41/100</f>
        <v>0</v>
      </c>
      <c r="AK41" s="18">
        <f>raw_data!$AK41*mass_composition!$E41/100</f>
        <v>0</v>
      </c>
      <c r="AL41" s="18">
        <f>raw_data!$AL41*mass_composition!$E41/100</f>
        <v>0</v>
      </c>
      <c r="AM41" s="18">
        <f>raw_data!$AM41*mass_composition!$E41/100</f>
        <v>0</v>
      </c>
      <c r="AN41" s="18">
        <f>raw_data!$AN41*mass_composition!$E41/100</f>
        <v>0</v>
      </c>
      <c r="AO41" s="18">
        <f>raw_data!$AO41*mass_composition!$E41/100</f>
        <v>0</v>
      </c>
      <c r="AP41" s="18">
        <f>raw_data!$AP41*mass_composition!$E41/100</f>
        <v>0</v>
      </c>
      <c r="AQ41" s="18">
        <f>raw_data!$AQ41*mass_composition!$E41/100</f>
        <v>0</v>
      </c>
      <c r="AR41" s="18">
        <f>raw_data!$AR41*mass_composition!$E41/100</f>
        <v>0</v>
      </c>
      <c r="AS41" s="18">
        <f>raw_data!$AS41*mass_composition!$E41/100</f>
        <v>0</v>
      </c>
      <c r="AT41" s="18">
        <f>raw_data!$AT41*mass_composition!$E41/100</f>
        <v>0</v>
      </c>
      <c r="AU41" s="18">
        <f>raw_data!$AU41*mass_composition!$E41/100</f>
        <v>0</v>
      </c>
      <c r="AV41" s="18">
        <f>raw_data!$AV41*mass_composition!$E41/100</f>
        <v>0</v>
      </c>
      <c r="AW41" s="18">
        <f>raw_data!$AW41*mass_composition!$E41/100</f>
        <v>0</v>
      </c>
      <c r="AX41" s="18">
        <f>raw_data!$AX41*mass_composition!$E41/100</f>
        <v>0</v>
      </c>
      <c r="AY41" s="18">
        <f>raw_data!$AY41*mass_composition!$E41/100</f>
        <v>0</v>
      </c>
      <c r="AZ41" s="18">
        <f>raw_data!$AZ41*mass_composition!$E41/100</f>
        <v>0</v>
      </c>
      <c r="BA41" s="18">
        <f>raw_data!$BA41*mass_composition!$E41/100</f>
        <v>0</v>
      </c>
      <c r="BB41" s="18">
        <f>raw_data!$BB41*mass_composition!$E41/100</f>
        <v>0</v>
      </c>
      <c r="BC41" s="18">
        <f>raw_data!$BC41*mass_composition!$E41/100</f>
        <v>0</v>
      </c>
      <c r="BD41" s="18">
        <f>raw_data!$BD41*mass_composition!$E41/100</f>
        <v>0</v>
      </c>
      <c r="BE41" s="18">
        <f>raw_data!$BE41*mass_composition!$E41/100</f>
        <v>0</v>
      </c>
      <c r="BF41" s="18">
        <f>raw_data!$BF41*mass_composition!$E41/100</f>
        <v>0</v>
      </c>
      <c r="BG41" s="18">
        <f>raw_data!$BG41*mass_composition!$E41/100</f>
        <v>0</v>
      </c>
      <c r="BH41" s="18">
        <v>0</v>
      </c>
      <c r="BI41" s="18">
        <v>0</v>
      </c>
      <c r="BJ41" s="18">
        <v>0</v>
      </c>
      <c r="BK41" s="18">
        <f>raw_data!$BK41*$E41/100</f>
        <v>0</v>
      </c>
      <c r="BL41" s="18">
        <f>raw_data!$BL41*$E41/100</f>
        <v>0</v>
      </c>
      <c r="BM41" s="18">
        <v>0</v>
      </c>
      <c r="BN41" s="18">
        <f>raw_data!$BN41*$E41/100</f>
        <v>0</v>
      </c>
      <c r="BO41" s="18">
        <f>raw_data!$BO41*$E41/100</f>
        <v>0</v>
      </c>
      <c r="BP41" s="18">
        <f>raw_data!$BP41*$E41/100</f>
        <v>0</v>
      </c>
      <c r="BQ41" s="18">
        <v>0</v>
      </c>
      <c r="BR41" s="18">
        <f>raw_data!$BR41*$E41/100</f>
        <v>0</v>
      </c>
      <c r="BS41" s="18">
        <v>15.985191309173526</v>
      </c>
      <c r="BT41" s="18">
        <v>1.2095873001765101</v>
      </c>
      <c r="BU41" s="18">
        <v>21.127819548872179</v>
      </c>
      <c r="BV41" s="18">
        <v>32.481203007518801</v>
      </c>
      <c r="BW41" s="18">
        <v>0</v>
      </c>
      <c r="BX41" s="18">
        <v>0</v>
      </c>
      <c r="BY41" s="18">
        <v>53.609022556390975</v>
      </c>
      <c r="BZ41" s="18">
        <v>15.563909774436091</v>
      </c>
      <c r="CA41" s="18">
        <v>0</v>
      </c>
      <c r="CB41" s="19">
        <v>29.924812030075174</v>
      </c>
    </row>
    <row r="42" spans="1:80" x14ac:dyDescent="0.35">
      <c r="A42" s="17" t="s">
        <v>113</v>
      </c>
      <c r="B42" s="17" t="s">
        <v>154</v>
      </c>
      <c r="C42" s="17">
        <f>13.7254901960785/6</f>
        <v>2.2875816993464166</v>
      </c>
      <c r="D42" s="18">
        <f>raw_data!$D42*$C42/100</f>
        <v>1.965032679738572</v>
      </c>
      <c r="E42" s="18">
        <f>raw_data!$E42*$C42/100</f>
        <v>0.32254901960784471</v>
      </c>
      <c r="F42" s="18">
        <f>raw_data!$F42*$E42/100</f>
        <v>0.30424836601307337</v>
      </c>
      <c r="G42" s="18">
        <f>raw_data!$G42*$E42/100</f>
        <v>1.8300653594771333E-2</v>
      </c>
      <c r="H42" s="18">
        <v>15.438517388497985</v>
      </c>
      <c r="I42" s="18">
        <v>437.92857142857133</v>
      </c>
      <c r="J42" s="18">
        <f>raw_data!$J42*mass_composition!$E42/100</f>
        <v>0.13301054525969985</v>
      </c>
      <c r="K42" s="18">
        <f>raw_data!$K42*mass_composition!$E42/100</f>
        <v>0.13252992230928048</v>
      </c>
      <c r="L42" s="18">
        <f>raw_data!$L42*mass_composition!$E42/100</f>
        <v>0</v>
      </c>
      <c r="M42" s="18">
        <f>raw_data!$M42*mass_composition!$E42/100</f>
        <v>6.4281045751634323E-4</v>
      </c>
      <c r="N42" s="18">
        <f>raw_data!$N42*mass_composition!$E42/100</f>
        <v>0</v>
      </c>
      <c r="O42" s="18">
        <f>raw_data!$O42*mass_composition!$E42/100</f>
        <v>0</v>
      </c>
      <c r="P42" s="18">
        <f>raw_data!$P42*mass_composition!$E42/100</f>
        <v>2.0208678251936014E-2</v>
      </c>
      <c r="Q42" s="18">
        <f>raw_data!$Q42*mass_composition!$E42/100</f>
        <v>7.5490196078431739E-3</v>
      </c>
      <c r="R42" s="18">
        <f>raw_data!$R42*mass_composition!$E42/100</f>
        <v>6.1764705882353258E-3</v>
      </c>
      <c r="S42" s="18">
        <f>raw_data!$S42*mass_composition!$E42/100</f>
        <v>9.8366013071895923E-4</v>
      </c>
      <c r="T42" s="18">
        <f>raw_data!$T42*mass_composition!$E42/100</f>
        <v>0.14419393858305413</v>
      </c>
      <c r="U42" s="18">
        <f>raw_data!$U42*mass_composition!$E42/100</f>
        <v>8.2810457516340277E-4</v>
      </c>
      <c r="V42" s="18">
        <f>raw_data!$V42*mass_composition!$E42/100</f>
        <v>1.3809101873046414E-3</v>
      </c>
      <c r="W42" s="18">
        <f>raw_data!$W42*mass_composition!$E42/100</f>
        <v>0</v>
      </c>
      <c r="X42" s="18">
        <f>raw_data!$X42*mass_composition!$E42/100</f>
        <v>0</v>
      </c>
      <c r="Y42" s="18">
        <f>raw_data!$Y42*mass_composition!$E42/100</f>
        <v>0</v>
      </c>
      <c r="Z42" s="18">
        <f>raw_data!$Z42*mass_composition!$E42/100</f>
        <v>5.2614379084967576E-9</v>
      </c>
      <c r="AA42" s="18">
        <f>raw_data!$AA42*mass_composition!$E42/100</f>
        <v>0</v>
      </c>
      <c r="AB42" s="18">
        <f>raw_data!$AB42*mass_composition!$E42/100</f>
        <v>0</v>
      </c>
      <c r="AC42" s="18">
        <f>raw_data!$AC42*mass_composition!$E42/100</f>
        <v>0</v>
      </c>
      <c r="AD42" s="18">
        <f>raw_data!$AD42*mass_composition!$E42/100</f>
        <v>0</v>
      </c>
      <c r="AE42" s="18">
        <f>raw_data!$AE42*mass_composition!$E42/100</f>
        <v>0</v>
      </c>
      <c r="AF42" s="18">
        <f>raw_data!$AF42*mass_composition!$E42/100</f>
        <v>0</v>
      </c>
      <c r="AG42" s="18">
        <f>raw_data!$AG42*mass_composition!$E42/100</f>
        <v>8.9901960784314148E-8</v>
      </c>
      <c r="AH42" s="18">
        <f>raw_data!$AH42*mass_composition!$E42/100</f>
        <v>0</v>
      </c>
      <c r="AI42" s="18">
        <f>raw_data!$AI42*mass_composition!$E42/100</f>
        <v>6.1764705882353254E-8</v>
      </c>
      <c r="AJ42" s="18">
        <f>raw_data!$AJ42*mass_composition!$E42/100</f>
        <v>2.7450980392156999E-6</v>
      </c>
      <c r="AK42" s="18">
        <f>raw_data!$AK42*mass_composition!$E42/100</f>
        <v>1.3725490196078497E-5</v>
      </c>
      <c r="AL42" s="18">
        <f>raw_data!$AL42*mass_composition!$E42/100</f>
        <v>0</v>
      </c>
      <c r="AM42" s="18">
        <f>raw_data!$AM42*mass_composition!$E42/100</f>
        <v>1.6013071895424916E-9</v>
      </c>
      <c r="AN42" s="18">
        <f>raw_data!$AN42*mass_composition!$E42/100</f>
        <v>0</v>
      </c>
      <c r="AO42" s="18">
        <f>raw_data!$AO42*mass_composition!$E42/100</f>
        <v>0</v>
      </c>
      <c r="AP42" s="18">
        <f>raw_data!$AP42*mass_composition!$E42/100</f>
        <v>3.4313725490196247E-4</v>
      </c>
      <c r="AQ42" s="18">
        <f>raw_data!$AQ42*mass_composition!$E42/100</f>
        <v>1.3725490196078497E-5</v>
      </c>
      <c r="AR42" s="18">
        <f>raw_data!$AR42*mass_composition!$E42/100</f>
        <v>0</v>
      </c>
      <c r="AS42" s="18">
        <f>raw_data!$AS42*mass_composition!$E42/100</f>
        <v>7.7777777777778152E-8</v>
      </c>
      <c r="AT42" s="18">
        <f>raw_data!$AT42*mass_composition!$E42/100</f>
        <v>3.4771241830065522E-8</v>
      </c>
      <c r="AU42" s="18">
        <f>raw_data!$AU42*mass_composition!$E42/100</f>
        <v>0</v>
      </c>
      <c r="AV42" s="18">
        <f>raw_data!$AV42*mass_composition!$E42/100</f>
        <v>0</v>
      </c>
      <c r="AW42" s="18">
        <f>raw_data!$AW42*mass_composition!$E42/100</f>
        <v>0</v>
      </c>
      <c r="AX42" s="18">
        <f>raw_data!$AX42*mass_composition!$E42/100</f>
        <v>4.5751633986928325E-9</v>
      </c>
      <c r="AY42" s="18">
        <f>raw_data!$AY42*mass_composition!$E42/100</f>
        <v>0</v>
      </c>
      <c r="AZ42" s="18">
        <f>raw_data!$AZ42*mass_composition!$E42/100</f>
        <v>0</v>
      </c>
      <c r="BA42" s="18">
        <f>raw_data!$BA42*mass_composition!$E42/100</f>
        <v>0</v>
      </c>
      <c r="BB42" s="18">
        <f>raw_data!$BB42*mass_composition!$E42/100</f>
        <v>0</v>
      </c>
      <c r="BC42" s="18">
        <f>raw_data!$BC42*mass_composition!$E42/100</f>
        <v>0</v>
      </c>
      <c r="BD42" s="18">
        <f>raw_data!$BD42*mass_composition!$E42/100</f>
        <v>0</v>
      </c>
      <c r="BE42" s="18">
        <f>raw_data!$BE42*mass_composition!$E42/100</f>
        <v>1.6699346405228836E-5</v>
      </c>
      <c r="BF42" s="18">
        <f>raw_data!$BF42*mass_composition!$E42/100</f>
        <v>0</v>
      </c>
      <c r="BG42" s="18">
        <f>raw_data!$BG42*mass_composition!$E42/100</f>
        <v>0</v>
      </c>
      <c r="BH42" s="18">
        <v>0</v>
      </c>
      <c r="BI42" s="18">
        <v>59.078014184397162</v>
      </c>
      <c r="BJ42" s="18">
        <v>0</v>
      </c>
      <c r="BK42" s="18">
        <f>raw_data!$BK42*$E42/100</f>
        <v>1.7385620915032766E-2</v>
      </c>
      <c r="BL42" s="18">
        <f>raw_data!$BL42*$E42/100</f>
        <v>0</v>
      </c>
      <c r="BM42" s="18">
        <v>0</v>
      </c>
      <c r="BN42" s="18">
        <f>raw_data!$BN42*$E42/100</f>
        <v>6.8627450980392494E-4</v>
      </c>
      <c r="BO42" s="18">
        <f>raw_data!$BO42*$E42/100</f>
        <v>3.8888888888889077E-2</v>
      </c>
      <c r="BP42" s="18">
        <f>raw_data!$BP42*$E42/100</f>
        <v>6.8627450980392494E-3</v>
      </c>
      <c r="BQ42" s="18">
        <v>0</v>
      </c>
      <c r="BR42" s="18">
        <f>raw_data!$BR42*$E42/100</f>
        <v>0.25849673202614504</v>
      </c>
      <c r="BS42" s="18">
        <v>17.004509660742912</v>
      </c>
      <c r="BT42" s="18">
        <v>1.3125614309793889</v>
      </c>
      <c r="BU42" s="18">
        <v>2.0567375886524819</v>
      </c>
      <c r="BV42" s="18">
        <v>2.4822695035460991</v>
      </c>
      <c r="BW42" s="18">
        <v>0</v>
      </c>
      <c r="BX42" s="18">
        <v>0</v>
      </c>
      <c r="BY42" s="18">
        <v>63.61702127659575</v>
      </c>
      <c r="BZ42" s="18">
        <v>14.822695035460994</v>
      </c>
      <c r="CA42" s="18">
        <v>0</v>
      </c>
      <c r="CB42" s="19">
        <v>10.921985815602852</v>
      </c>
    </row>
    <row r="43" spans="1:80" x14ac:dyDescent="0.35">
      <c r="A43" s="17" t="s">
        <v>113</v>
      </c>
      <c r="B43" s="17" t="s">
        <v>155</v>
      </c>
      <c r="C43" s="17"/>
      <c r="D43" s="18">
        <f>raw_data!$D43*$C43/100</f>
        <v>0</v>
      </c>
      <c r="E43" s="18">
        <f>raw_data!$E43*$C43/100</f>
        <v>0</v>
      </c>
      <c r="F43" s="18">
        <f>raw_data!$F43*$E43/100</f>
        <v>0</v>
      </c>
      <c r="G43" s="18">
        <f>raw_data!$G43*$E43/100</f>
        <v>0</v>
      </c>
      <c r="H43" s="18">
        <v>16.487287992350492</v>
      </c>
      <c r="I43" s="18">
        <v>488.23820816864298</v>
      </c>
      <c r="J43" s="18">
        <f>raw_data!$J43*mass_composition!$E43/100</f>
        <v>0</v>
      </c>
      <c r="K43" s="18">
        <f>raw_data!$K43*mass_composition!$E43/100</f>
        <v>0</v>
      </c>
      <c r="L43" s="18">
        <f>raw_data!$L43*mass_composition!$E43/100</f>
        <v>0</v>
      </c>
      <c r="M43" s="18">
        <f>raw_data!$M43*mass_composition!$E43/100</f>
        <v>0</v>
      </c>
      <c r="N43" s="18">
        <f>raw_data!$N43*mass_composition!$E43/100</f>
        <v>0</v>
      </c>
      <c r="O43" s="18">
        <f>raw_data!$O43*mass_composition!$E43/100</f>
        <v>0</v>
      </c>
      <c r="P43" s="18">
        <f>raw_data!$P43*mass_composition!$E43/100</f>
        <v>0</v>
      </c>
      <c r="Q43" s="18">
        <f>raw_data!$Q43*mass_composition!$E43/100</f>
        <v>0</v>
      </c>
      <c r="R43" s="18">
        <f>raw_data!$R43*mass_composition!$E43/100</f>
        <v>0</v>
      </c>
      <c r="S43" s="18">
        <f>raw_data!$S43*mass_composition!$E43/100</f>
        <v>0</v>
      </c>
      <c r="T43" s="18">
        <f>raw_data!$T43*mass_composition!$E43/100</f>
        <v>0</v>
      </c>
      <c r="U43" s="18">
        <f>raw_data!$U43*mass_composition!$E43/100</f>
        <v>0</v>
      </c>
      <c r="V43" s="18">
        <f>raw_data!$V43*mass_composition!$E43/100</f>
        <v>0</v>
      </c>
      <c r="W43" s="18">
        <f>raw_data!$W43*mass_composition!$E43/100</f>
        <v>0</v>
      </c>
      <c r="X43" s="18">
        <f>raw_data!$X43*mass_composition!$E43/100</f>
        <v>0</v>
      </c>
      <c r="Y43" s="18">
        <f>raw_data!$Y43*mass_composition!$E43/100</f>
        <v>0</v>
      </c>
      <c r="Z43" s="18">
        <f>raw_data!$Z43*mass_composition!$E43/100</f>
        <v>0</v>
      </c>
      <c r="AA43" s="18">
        <f>raw_data!$AA43*mass_composition!$E43/100</f>
        <v>0</v>
      </c>
      <c r="AB43" s="18">
        <f>raw_data!$AB43*mass_composition!$E43/100</f>
        <v>0</v>
      </c>
      <c r="AC43" s="18">
        <f>raw_data!$AC43*mass_composition!$E43/100</f>
        <v>0</v>
      </c>
      <c r="AD43" s="18">
        <f>raw_data!$AD43*mass_composition!$E43/100</f>
        <v>0</v>
      </c>
      <c r="AE43" s="18">
        <f>raw_data!$AE43*mass_composition!$E43/100</f>
        <v>0</v>
      </c>
      <c r="AF43" s="18">
        <f>raw_data!$AF43*mass_composition!$E43/100</f>
        <v>0</v>
      </c>
      <c r="AG43" s="18">
        <f>raw_data!$AG43*mass_composition!$E43/100</f>
        <v>0</v>
      </c>
      <c r="AH43" s="18">
        <f>raw_data!$AH43*mass_composition!$E43/100</f>
        <v>0</v>
      </c>
      <c r="AI43" s="18">
        <f>raw_data!$AI43*mass_composition!$E43/100</f>
        <v>0</v>
      </c>
      <c r="AJ43" s="18">
        <f>raw_data!$AJ43*mass_composition!$E43/100</f>
        <v>0</v>
      </c>
      <c r="AK43" s="18">
        <f>raw_data!$AK43*mass_composition!$E43/100</f>
        <v>0</v>
      </c>
      <c r="AL43" s="18">
        <f>raw_data!$AL43*mass_composition!$E43/100</f>
        <v>0</v>
      </c>
      <c r="AM43" s="18">
        <f>raw_data!$AM43*mass_composition!$E43/100</f>
        <v>0</v>
      </c>
      <c r="AN43" s="18">
        <f>raw_data!$AN43*mass_composition!$E43/100</f>
        <v>0</v>
      </c>
      <c r="AO43" s="18">
        <f>raw_data!$AO43*mass_composition!$E43/100</f>
        <v>0</v>
      </c>
      <c r="AP43" s="18">
        <f>raw_data!$AP43*mass_composition!$E43/100</f>
        <v>0</v>
      </c>
      <c r="AQ43" s="18">
        <f>raw_data!$AQ43*mass_composition!$E43/100</f>
        <v>0</v>
      </c>
      <c r="AR43" s="18">
        <f>raw_data!$AR43*mass_composition!$E43/100</f>
        <v>0</v>
      </c>
      <c r="AS43" s="18">
        <f>raw_data!$AS43*mass_composition!$E43/100</f>
        <v>0</v>
      </c>
      <c r="AT43" s="18">
        <f>raw_data!$AT43*mass_composition!$E43/100</f>
        <v>0</v>
      </c>
      <c r="AU43" s="18">
        <f>raw_data!$AU43*mass_composition!$E43/100</f>
        <v>0</v>
      </c>
      <c r="AV43" s="18">
        <f>raw_data!$AV43*mass_composition!$E43/100</f>
        <v>0</v>
      </c>
      <c r="AW43" s="18">
        <f>raw_data!$AW43*mass_composition!$E43/100</f>
        <v>0</v>
      </c>
      <c r="AX43" s="18">
        <f>raw_data!$AX43*mass_composition!$E43/100</f>
        <v>0</v>
      </c>
      <c r="AY43" s="18">
        <f>raw_data!$AY43*mass_composition!$E43/100</f>
        <v>0</v>
      </c>
      <c r="AZ43" s="18">
        <f>raw_data!$AZ43*mass_composition!$E43/100</f>
        <v>0</v>
      </c>
      <c r="BA43" s="18">
        <f>raw_data!$BA43*mass_composition!$E43/100</f>
        <v>0</v>
      </c>
      <c r="BB43" s="18">
        <f>raw_data!$BB43*mass_composition!$E43/100</f>
        <v>0</v>
      </c>
      <c r="BC43" s="18">
        <f>raw_data!$BC43*mass_composition!$E43/100</f>
        <v>0</v>
      </c>
      <c r="BD43" s="18">
        <f>raw_data!$BD43*mass_composition!$E43/100</f>
        <v>0</v>
      </c>
      <c r="BE43" s="18">
        <f>raw_data!$BE43*mass_composition!$E43/100</f>
        <v>0</v>
      </c>
      <c r="BF43" s="18">
        <f>raw_data!$BF43*mass_composition!$E43/100</f>
        <v>0</v>
      </c>
      <c r="BG43" s="18">
        <f>raw_data!$BG43*mass_composition!$E43/100</f>
        <v>0</v>
      </c>
      <c r="BH43" s="18">
        <v>0</v>
      </c>
      <c r="BI43" s="18">
        <v>0</v>
      </c>
      <c r="BJ43" s="18">
        <v>0</v>
      </c>
      <c r="BK43" s="18">
        <f>raw_data!$BK43*$E43/100</f>
        <v>0</v>
      </c>
      <c r="BL43" s="18">
        <f>raw_data!$BL43*$E43/100</f>
        <v>0</v>
      </c>
      <c r="BM43" s="18">
        <v>0</v>
      </c>
      <c r="BN43" s="18">
        <f>raw_data!$BN43*$E43/100</f>
        <v>0</v>
      </c>
      <c r="BO43" s="18">
        <f>raw_data!$BO43*$E43/100</f>
        <v>0</v>
      </c>
      <c r="BP43" s="18">
        <f>raw_data!$BP43*$E43/100</f>
        <v>0</v>
      </c>
      <c r="BQ43" s="18">
        <v>0</v>
      </c>
      <c r="BR43" s="18">
        <f>raw_data!$BR43*$E43/100</f>
        <v>0</v>
      </c>
      <c r="BS43" s="18">
        <v>18.028441891752497</v>
      </c>
      <c r="BT43" s="18">
        <v>1.413955830725901</v>
      </c>
      <c r="BU43" s="18">
        <v>0</v>
      </c>
      <c r="BV43" s="18">
        <v>0</v>
      </c>
      <c r="BW43" s="18">
        <v>0</v>
      </c>
      <c r="BX43" s="18">
        <v>0</v>
      </c>
      <c r="BY43" s="18">
        <v>6.4</v>
      </c>
      <c r="BZ43" s="18">
        <v>13.916842105263157</v>
      </c>
      <c r="CA43" s="18">
        <v>0</v>
      </c>
      <c r="CB43" s="19">
        <v>49.078947368421048</v>
      </c>
    </row>
    <row r="44" spans="1:80" x14ac:dyDescent="0.35">
      <c r="A44" s="17" t="s">
        <v>113</v>
      </c>
      <c r="B44" s="17" t="s">
        <v>156</v>
      </c>
      <c r="C44" s="17"/>
      <c r="D44" s="18">
        <f>raw_data!$D44*$C44/100</f>
        <v>0</v>
      </c>
      <c r="E44" s="18">
        <f>raw_data!$E44*$C44/100</f>
        <v>0</v>
      </c>
      <c r="F44" s="18">
        <f>raw_data!$F44*$E44/100</f>
        <v>0</v>
      </c>
      <c r="G44" s="18">
        <f>raw_data!$G44*$E44/100</f>
        <v>0</v>
      </c>
      <c r="H44" s="18">
        <v>15.462219946097981</v>
      </c>
      <c r="I44" s="18">
        <v>435.15107913669067</v>
      </c>
      <c r="J44" s="18">
        <f>raw_data!$J44*mass_composition!$E44/100</f>
        <v>0</v>
      </c>
      <c r="K44" s="18">
        <f>raw_data!$K44*mass_composition!$E44/100</f>
        <v>0</v>
      </c>
      <c r="L44" s="18">
        <f>raw_data!$L44*mass_composition!$E44/100</f>
        <v>0</v>
      </c>
      <c r="M44" s="18">
        <f>raw_data!$M44*mass_composition!$E44/100</f>
        <v>0</v>
      </c>
      <c r="N44" s="18">
        <f>raw_data!$N44*mass_composition!$E44/100</f>
        <v>0</v>
      </c>
      <c r="O44" s="18">
        <f>raw_data!$O44*mass_composition!$E44/100</f>
        <v>0</v>
      </c>
      <c r="P44" s="18">
        <f>raw_data!$P44*mass_composition!$E44/100</f>
        <v>0</v>
      </c>
      <c r="Q44" s="18">
        <f>raw_data!$Q44*mass_composition!$E44/100</f>
        <v>0</v>
      </c>
      <c r="R44" s="18">
        <f>raw_data!$R44*mass_composition!$E44/100</f>
        <v>0</v>
      </c>
      <c r="S44" s="18">
        <f>raw_data!$S44*mass_composition!$E44/100</f>
        <v>0</v>
      </c>
      <c r="T44" s="18">
        <f>raw_data!$T44*mass_composition!$E44/100</f>
        <v>0</v>
      </c>
      <c r="U44" s="18">
        <f>raw_data!$U44*mass_composition!$E44/100</f>
        <v>0</v>
      </c>
      <c r="V44" s="18">
        <f>raw_data!$V44*mass_composition!$E44/100</f>
        <v>0</v>
      </c>
      <c r="W44" s="18">
        <f>raw_data!$W44*mass_composition!$E44/100</f>
        <v>0</v>
      </c>
      <c r="X44" s="18">
        <f>raw_data!$X44*mass_composition!$E44/100</f>
        <v>0</v>
      </c>
      <c r="Y44" s="18">
        <f>raw_data!$Y44*mass_composition!$E44/100</f>
        <v>0</v>
      </c>
      <c r="Z44" s="18">
        <f>raw_data!$Z44*mass_composition!$E44/100</f>
        <v>0</v>
      </c>
      <c r="AA44" s="18">
        <f>raw_data!$AA44*mass_composition!$E44/100</f>
        <v>0</v>
      </c>
      <c r="AB44" s="18">
        <f>raw_data!$AB44*mass_composition!$E44/100</f>
        <v>0</v>
      </c>
      <c r="AC44" s="18">
        <f>raw_data!$AC44*mass_composition!$E44/100</f>
        <v>0</v>
      </c>
      <c r="AD44" s="18">
        <f>raw_data!$AD44*mass_composition!$E44/100</f>
        <v>0</v>
      </c>
      <c r="AE44" s="18">
        <f>raw_data!$AE44*mass_composition!$E44/100</f>
        <v>0</v>
      </c>
      <c r="AF44" s="18">
        <f>raw_data!$AF44*mass_composition!$E44/100</f>
        <v>0</v>
      </c>
      <c r="AG44" s="18">
        <f>raw_data!$AG44*mass_composition!$E44/100</f>
        <v>0</v>
      </c>
      <c r="AH44" s="18">
        <f>raw_data!$AH44*mass_composition!$E44/100</f>
        <v>0</v>
      </c>
      <c r="AI44" s="18">
        <f>raw_data!$AI44*mass_composition!$E44/100</f>
        <v>0</v>
      </c>
      <c r="AJ44" s="18">
        <f>raw_data!$AJ44*mass_composition!$E44/100</f>
        <v>0</v>
      </c>
      <c r="AK44" s="18">
        <f>raw_data!$AK44*mass_composition!$E44/100</f>
        <v>0</v>
      </c>
      <c r="AL44" s="18">
        <f>raw_data!$AL44*mass_composition!$E44/100</f>
        <v>0</v>
      </c>
      <c r="AM44" s="18">
        <f>raw_data!$AM44*mass_composition!$E44/100</f>
        <v>0</v>
      </c>
      <c r="AN44" s="18">
        <f>raw_data!$AN44*mass_composition!$E44/100</f>
        <v>0</v>
      </c>
      <c r="AO44" s="18">
        <f>raw_data!$AO44*mass_composition!$E44/100</f>
        <v>0</v>
      </c>
      <c r="AP44" s="18">
        <f>raw_data!$AP44*mass_composition!$E44/100</f>
        <v>0</v>
      </c>
      <c r="AQ44" s="18">
        <f>raw_data!$AQ44*mass_composition!$E44/100</f>
        <v>0</v>
      </c>
      <c r="AR44" s="18">
        <f>raw_data!$AR44*mass_composition!$E44/100</f>
        <v>0</v>
      </c>
      <c r="AS44" s="18">
        <f>raw_data!$AS44*mass_composition!$E44/100</f>
        <v>0</v>
      </c>
      <c r="AT44" s="18">
        <f>raw_data!$AT44*mass_composition!$E44/100</f>
        <v>0</v>
      </c>
      <c r="AU44" s="18">
        <f>raw_data!$AU44*mass_composition!$E44/100</f>
        <v>0</v>
      </c>
      <c r="AV44" s="18">
        <f>raw_data!$AV44*mass_composition!$E44/100</f>
        <v>0</v>
      </c>
      <c r="AW44" s="18">
        <f>raw_data!$AW44*mass_composition!$E44/100</f>
        <v>0</v>
      </c>
      <c r="AX44" s="18">
        <f>raw_data!$AX44*mass_composition!$E44/100</f>
        <v>0</v>
      </c>
      <c r="AY44" s="18">
        <f>raw_data!$AY44*mass_composition!$E44/100</f>
        <v>0</v>
      </c>
      <c r="AZ44" s="18">
        <f>raw_data!$AZ44*mass_composition!$E44/100</f>
        <v>0</v>
      </c>
      <c r="BA44" s="18">
        <f>raw_data!$BA44*mass_composition!$E44/100</f>
        <v>0</v>
      </c>
      <c r="BB44" s="18">
        <f>raw_data!$BB44*mass_composition!$E44/100</f>
        <v>0</v>
      </c>
      <c r="BC44" s="18">
        <f>raw_data!$BC44*mass_composition!$E44/100</f>
        <v>0</v>
      </c>
      <c r="BD44" s="18">
        <f>raw_data!$BD44*mass_composition!$E44/100</f>
        <v>0</v>
      </c>
      <c r="BE44" s="18">
        <f>raw_data!$BE44*mass_composition!$E44/100</f>
        <v>0</v>
      </c>
      <c r="BF44" s="18">
        <f>raw_data!$BF44*mass_composition!$E44/100</f>
        <v>0</v>
      </c>
      <c r="BG44" s="18">
        <f>raw_data!$BG44*mass_composition!$E44/100</f>
        <v>0</v>
      </c>
      <c r="BH44" s="18">
        <v>0</v>
      </c>
      <c r="BI44" s="18">
        <v>52.447552447552447</v>
      </c>
      <c r="BJ44" s="18">
        <v>0</v>
      </c>
      <c r="BK44" s="18">
        <f>raw_data!$BK44*$E44/100</f>
        <v>0</v>
      </c>
      <c r="BL44" s="18">
        <f>raw_data!$BL44*$E44/100</f>
        <v>0</v>
      </c>
      <c r="BM44" s="18">
        <v>0</v>
      </c>
      <c r="BN44" s="18">
        <f>raw_data!$BN44*$E44/100</f>
        <v>0</v>
      </c>
      <c r="BO44" s="18">
        <f>raw_data!$BO44*$E44/100</f>
        <v>0</v>
      </c>
      <c r="BP44" s="18">
        <f>raw_data!$BP44*$E44/100</f>
        <v>0</v>
      </c>
      <c r="BQ44" s="18">
        <v>0</v>
      </c>
      <c r="BR44" s="18">
        <f>raw_data!$BR44*$E44/100</f>
        <v>0</v>
      </c>
      <c r="BS44" s="18">
        <v>17.116950209790208</v>
      </c>
      <c r="BT44" s="18">
        <v>1.3238663757482516</v>
      </c>
      <c r="BU44" s="18">
        <v>9.7902097902097882</v>
      </c>
      <c r="BV44" s="18">
        <v>16.08391608391608</v>
      </c>
      <c r="BW44" s="18">
        <v>0</v>
      </c>
      <c r="BX44" s="18">
        <v>0</v>
      </c>
      <c r="BY44" s="18">
        <v>78.321678321678306</v>
      </c>
      <c r="BZ44" s="18">
        <v>16.223776223776223</v>
      </c>
      <c r="CA44" s="18">
        <v>0</v>
      </c>
      <c r="CB44" s="19">
        <v>12.587412587412587</v>
      </c>
    </row>
    <row r="45" spans="1:80" x14ac:dyDescent="0.35">
      <c r="A45" s="17" t="s">
        <v>113</v>
      </c>
      <c r="B45" s="17" t="s">
        <v>157</v>
      </c>
      <c r="C45" s="17"/>
      <c r="D45" s="18">
        <f>raw_data!$D45*$C45/100</f>
        <v>0</v>
      </c>
      <c r="E45" s="18">
        <f>raw_data!$E45*$C45/100</f>
        <v>0</v>
      </c>
      <c r="F45" s="18">
        <f>raw_data!$F45*$E45/100</f>
        <v>0</v>
      </c>
      <c r="G45" s="18">
        <f>raw_data!$G45*$E45/100</f>
        <v>0</v>
      </c>
      <c r="H45" s="18">
        <v>16.223872997092172</v>
      </c>
      <c r="I45" s="18">
        <v>472.26846446834185</v>
      </c>
      <c r="J45" s="18">
        <f>raw_data!$J45*mass_composition!$E45/100</f>
        <v>0</v>
      </c>
      <c r="K45" s="18">
        <f>raw_data!$K45*mass_composition!$E45/100</f>
        <v>0</v>
      </c>
      <c r="L45" s="18">
        <f>raw_data!$L45*mass_composition!$E45/100</f>
        <v>0</v>
      </c>
      <c r="M45" s="18">
        <f>raw_data!$M45*mass_composition!$E45/100</f>
        <v>0</v>
      </c>
      <c r="N45" s="18">
        <f>raw_data!$N45*mass_composition!$E45/100</f>
        <v>0</v>
      </c>
      <c r="O45" s="18">
        <f>raw_data!$O45*mass_composition!$E45/100</f>
        <v>0</v>
      </c>
      <c r="P45" s="18">
        <f>raw_data!$P45*mass_composition!$E45/100</f>
        <v>0</v>
      </c>
      <c r="Q45" s="18">
        <f>raw_data!$Q45*mass_composition!$E45/100</f>
        <v>0</v>
      </c>
      <c r="R45" s="18">
        <f>raw_data!$R45*mass_composition!$E45/100</f>
        <v>0</v>
      </c>
      <c r="S45" s="18">
        <f>raw_data!$S45*mass_composition!$E45/100</f>
        <v>0</v>
      </c>
      <c r="T45" s="18">
        <f>raw_data!$T45*mass_composition!$E45/100</f>
        <v>0</v>
      </c>
      <c r="U45" s="18">
        <f>raw_data!$U45*mass_composition!$E45/100</f>
        <v>0</v>
      </c>
      <c r="V45" s="18">
        <f>raw_data!$V45*mass_composition!$E45/100</f>
        <v>0</v>
      </c>
      <c r="W45" s="18">
        <f>raw_data!$W45*mass_composition!$E45/100</f>
        <v>0</v>
      </c>
      <c r="X45" s="18">
        <f>raw_data!$X45*mass_composition!$E45/100</f>
        <v>0</v>
      </c>
      <c r="Y45" s="18">
        <f>raw_data!$Y45*mass_composition!$E45/100</f>
        <v>0</v>
      </c>
      <c r="Z45" s="18">
        <f>raw_data!$Z45*mass_composition!$E45/100</f>
        <v>0</v>
      </c>
      <c r="AA45" s="18">
        <f>raw_data!$AA45*mass_composition!$E45/100</f>
        <v>0</v>
      </c>
      <c r="AB45" s="18">
        <f>raw_data!$AB45*mass_composition!$E45/100</f>
        <v>0</v>
      </c>
      <c r="AC45" s="18">
        <f>raw_data!$AC45*mass_composition!$E45/100</f>
        <v>0</v>
      </c>
      <c r="AD45" s="18">
        <f>raw_data!$AD45*mass_composition!$E45/100</f>
        <v>0</v>
      </c>
      <c r="AE45" s="18">
        <f>raw_data!$AE45*mass_composition!$E45/100</f>
        <v>0</v>
      </c>
      <c r="AF45" s="18">
        <f>raw_data!$AF45*mass_composition!$E45/100</f>
        <v>0</v>
      </c>
      <c r="AG45" s="18">
        <f>raw_data!$AG45*mass_composition!$E45/100</f>
        <v>0</v>
      </c>
      <c r="AH45" s="18">
        <f>raw_data!$AH45*mass_composition!$E45/100</f>
        <v>0</v>
      </c>
      <c r="AI45" s="18">
        <f>raw_data!$AI45*mass_composition!$E45/100</f>
        <v>0</v>
      </c>
      <c r="AJ45" s="18">
        <f>raw_data!$AJ45*mass_composition!$E45/100</f>
        <v>0</v>
      </c>
      <c r="AK45" s="18">
        <f>raw_data!$AK45*mass_composition!$E45/100</f>
        <v>0</v>
      </c>
      <c r="AL45" s="18">
        <f>raw_data!$AL45*mass_composition!$E45/100</f>
        <v>0</v>
      </c>
      <c r="AM45" s="18">
        <f>raw_data!$AM45*mass_composition!$E45/100</f>
        <v>0</v>
      </c>
      <c r="AN45" s="18">
        <f>raw_data!$AN45*mass_composition!$E45/100</f>
        <v>0</v>
      </c>
      <c r="AO45" s="18">
        <f>raw_data!$AO45*mass_composition!$E45/100</f>
        <v>0</v>
      </c>
      <c r="AP45" s="18">
        <f>raw_data!$AP45*mass_composition!$E45/100</f>
        <v>0</v>
      </c>
      <c r="AQ45" s="18">
        <f>raw_data!$AQ45*mass_composition!$E45/100</f>
        <v>0</v>
      </c>
      <c r="AR45" s="18">
        <f>raw_data!$AR45*mass_composition!$E45/100</f>
        <v>0</v>
      </c>
      <c r="AS45" s="18">
        <f>raw_data!$AS45*mass_composition!$E45/100</f>
        <v>0</v>
      </c>
      <c r="AT45" s="18">
        <f>raw_data!$AT45*mass_composition!$E45/100</f>
        <v>0</v>
      </c>
      <c r="AU45" s="18">
        <f>raw_data!$AU45*mass_composition!$E45/100</f>
        <v>0</v>
      </c>
      <c r="AV45" s="18">
        <f>raw_data!$AV45*mass_composition!$E45/100</f>
        <v>0</v>
      </c>
      <c r="AW45" s="18">
        <f>raw_data!$AW45*mass_composition!$E45/100</f>
        <v>0</v>
      </c>
      <c r="AX45" s="18">
        <f>raw_data!$AX45*mass_composition!$E45/100</f>
        <v>0</v>
      </c>
      <c r="AY45" s="18">
        <f>raw_data!$AY45*mass_composition!$E45/100</f>
        <v>0</v>
      </c>
      <c r="AZ45" s="18">
        <f>raw_data!$AZ45*mass_composition!$E45/100</f>
        <v>0</v>
      </c>
      <c r="BA45" s="18">
        <f>raw_data!$BA45*mass_composition!$E45/100</f>
        <v>0</v>
      </c>
      <c r="BB45" s="18">
        <f>raw_data!$BB45*mass_composition!$E45/100</f>
        <v>0</v>
      </c>
      <c r="BC45" s="18">
        <f>raw_data!$BC45*mass_composition!$E45/100</f>
        <v>0</v>
      </c>
      <c r="BD45" s="18">
        <f>raw_data!$BD45*mass_composition!$E45/100</f>
        <v>0</v>
      </c>
      <c r="BE45" s="18">
        <f>raw_data!$BE45*mass_composition!$E45/100</f>
        <v>0</v>
      </c>
      <c r="BF45" s="18">
        <f>raw_data!$BF45*mass_composition!$E45/100</f>
        <v>0</v>
      </c>
      <c r="BG45" s="18">
        <f>raw_data!$BG45*mass_composition!$E45/100</f>
        <v>0</v>
      </c>
      <c r="BH45" s="18">
        <v>0</v>
      </c>
      <c r="BI45" s="18">
        <v>0.7217604414814307</v>
      </c>
      <c r="BJ45" s="18">
        <v>0.12029340691357177</v>
      </c>
      <c r="BK45" s="18">
        <f>raw_data!$BK45*$E45/100</f>
        <v>0</v>
      </c>
      <c r="BL45" s="18">
        <f>raw_data!$BL45*$E45/100</f>
        <v>0</v>
      </c>
      <c r="BM45" s="18">
        <v>0</v>
      </c>
      <c r="BN45" s="18">
        <f>raw_data!$BN45*$E45/100</f>
        <v>0</v>
      </c>
      <c r="BO45" s="18">
        <f>raw_data!$BO45*$E45/100</f>
        <v>0</v>
      </c>
      <c r="BP45" s="18">
        <f>raw_data!$BP45*$E45/100</f>
        <v>0</v>
      </c>
      <c r="BQ45" s="18">
        <v>0</v>
      </c>
      <c r="BR45" s="18">
        <f>raw_data!$BR45*$E45/100</f>
        <v>0</v>
      </c>
      <c r="BS45" s="18">
        <v>18.05588935107523</v>
      </c>
      <c r="BT45" s="18">
        <v>1.4166231022908427</v>
      </c>
      <c r="BU45" s="18">
        <v>15.758436305677904</v>
      </c>
      <c r="BV45" s="18">
        <v>6.134963752592161</v>
      </c>
      <c r="BW45" s="18">
        <v>0</v>
      </c>
      <c r="BX45" s="18">
        <v>0</v>
      </c>
      <c r="BY45" s="18">
        <v>22.615160499751493</v>
      </c>
      <c r="BZ45" s="18">
        <v>13.749672944980491</v>
      </c>
      <c r="CA45" s="18">
        <v>0</v>
      </c>
      <c r="CB45" s="19">
        <v>20.563482950293352</v>
      </c>
    </row>
    <row r="46" spans="1:80" x14ac:dyDescent="0.35">
      <c r="A46" s="17" t="s">
        <v>113</v>
      </c>
      <c r="B46" s="17" t="s">
        <v>158</v>
      </c>
      <c r="C46" s="17"/>
      <c r="D46" s="18">
        <f>raw_data!$D46*$C46/100</f>
        <v>0</v>
      </c>
      <c r="E46" s="18">
        <f>raw_data!$E46*$C46/100</f>
        <v>0</v>
      </c>
      <c r="F46" s="18">
        <f>raw_data!$F46*$E46/100</f>
        <v>0</v>
      </c>
      <c r="G46" s="18">
        <f>raw_data!$G46*$E46/100</f>
        <v>0</v>
      </c>
      <c r="H46" s="18">
        <v>15.378573818871752</v>
      </c>
      <c r="I46" s="18">
        <v>442.65</v>
      </c>
      <c r="J46" s="18">
        <f>raw_data!$J46*mass_composition!$E46/100</f>
        <v>0</v>
      </c>
      <c r="K46" s="18">
        <f>raw_data!$K46*mass_composition!$E46/100</f>
        <v>0</v>
      </c>
      <c r="L46" s="18">
        <f>raw_data!$L46*mass_composition!$E46/100</f>
        <v>0</v>
      </c>
      <c r="M46" s="18">
        <f>raw_data!$M46*mass_composition!$E46/100</f>
        <v>0</v>
      </c>
      <c r="N46" s="18">
        <f>raw_data!$N46*mass_composition!$E46/100</f>
        <v>0</v>
      </c>
      <c r="O46" s="18">
        <f>raw_data!$O46*mass_composition!$E46/100</f>
        <v>0</v>
      </c>
      <c r="P46" s="18">
        <f>raw_data!$P46*mass_composition!$E46/100</f>
        <v>0</v>
      </c>
      <c r="Q46" s="18">
        <f>raw_data!$Q46*mass_composition!$E46/100</f>
        <v>0</v>
      </c>
      <c r="R46" s="18">
        <f>raw_data!$R46*mass_composition!$E46/100</f>
        <v>0</v>
      </c>
      <c r="S46" s="18">
        <f>raw_data!$S46*mass_composition!$E46/100</f>
        <v>0</v>
      </c>
      <c r="T46" s="18">
        <f>raw_data!$T46*mass_composition!$E46/100</f>
        <v>0</v>
      </c>
      <c r="U46" s="18">
        <f>raw_data!$U46*mass_composition!$E46/100</f>
        <v>0</v>
      </c>
      <c r="V46" s="18">
        <f>raw_data!$V46*mass_composition!$E46/100</f>
        <v>0</v>
      </c>
      <c r="W46" s="18">
        <f>raw_data!$W46*mass_composition!$E46/100</f>
        <v>0</v>
      </c>
      <c r="X46" s="18">
        <f>raw_data!$X46*mass_composition!$E46/100</f>
        <v>0</v>
      </c>
      <c r="Y46" s="18">
        <f>raw_data!$Y46*mass_composition!$E46/100</f>
        <v>0</v>
      </c>
      <c r="Z46" s="18">
        <f>raw_data!$Z46*mass_composition!$E46/100</f>
        <v>0</v>
      </c>
      <c r="AA46" s="18">
        <f>raw_data!$AA46*mass_composition!$E46/100</f>
        <v>0</v>
      </c>
      <c r="AB46" s="18">
        <f>raw_data!$AB46*mass_composition!$E46/100</f>
        <v>0</v>
      </c>
      <c r="AC46" s="18">
        <f>raw_data!$AC46*mass_composition!$E46/100</f>
        <v>0</v>
      </c>
      <c r="AD46" s="18">
        <f>raw_data!$AD46*mass_composition!$E46/100</f>
        <v>0</v>
      </c>
      <c r="AE46" s="18">
        <f>raw_data!$AE46*mass_composition!$E46/100</f>
        <v>0</v>
      </c>
      <c r="AF46" s="18">
        <f>raw_data!$AF46*mass_composition!$E46/100</f>
        <v>0</v>
      </c>
      <c r="AG46" s="18">
        <f>raw_data!$AG46*mass_composition!$E46/100</f>
        <v>0</v>
      </c>
      <c r="AH46" s="18">
        <f>raw_data!$AH46*mass_composition!$E46/100</f>
        <v>0</v>
      </c>
      <c r="AI46" s="18">
        <f>raw_data!$AI46*mass_composition!$E46/100</f>
        <v>0</v>
      </c>
      <c r="AJ46" s="18">
        <f>raw_data!$AJ46*mass_composition!$E46/100</f>
        <v>0</v>
      </c>
      <c r="AK46" s="18">
        <f>raw_data!$AK46*mass_composition!$E46/100</f>
        <v>0</v>
      </c>
      <c r="AL46" s="18">
        <f>raw_data!$AL46*mass_composition!$E46/100</f>
        <v>0</v>
      </c>
      <c r="AM46" s="18">
        <f>raw_data!$AM46*mass_composition!$E46/100</f>
        <v>0</v>
      </c>
      <c r="AN46" s="18">
        <f>raw_data!$AN46*mass_composition!$E46/100</f>
        <v>0</v>
      </c>
      <c r="AO46" s="18">
        <f>raw_data!$AO46*mass_composition!$E46/100</f>
        <v>0</v>
      </c>
      <c r="AP46" s="18">
        <f>raw_data!$AP46*mass_composition!$E46/100</f>
        <v>0</v>
      </c>
      <c r="AQ46" s="18">
        <f>raw_data!$AQ46*mass_composition!$E46/100</f>
        <v>0</v>
      </c>
      <c r="AR46" s="18">
        <f>raw_data!$AR46*mass_composition!$E46/100</f>
        <v>0</v>
      </c>
      <c r="AS46" s="18">
        <f>raw_data!$AS46*mass_composition!$E46/100</f>
        <v>0</v>
      </c>
      <c r="AT46" s="18">
        <f>raw_data!$AT46*mass_composition!$E46/100</f>
        <v>0</v>
      </c>
      <c r="AU46" s="18">
        <f>raw_data!$AU46*mass_composition!$E46/100</f>
        <v>0</v>
      </c>
      <c r="AV46" s="18">
        <f>raw_data!$AV46*mass_composition!$E46/100</f>
        <v>0</v>
      </c>
      <c r="AW46" s="18">
        <f>raw_data!$AW46*mass_composition!$E46/100</f>
        <v>0</v>
      </c>
      <c r="AX46" s="18">
        <f>raw_data!$AX46*mass_composition!$E46/100</f>
        <v>0</v>
      </c>
      <c r="AY46" s="18">
        <f>raw_data!$AY46*mass_composition!$E46/100</f>
        <v>0</v>
      </c>
      <c r="AZ46" s="18">
        <f>raw_data!$AZ46*mass_composition!$E46/100</f>
        <v>0</v>
      </c>
      <c r="BA46" s="18">
        <f>raw_data!$BA46*mass_composition!$E46/100</f>
        <v>0</v>
      </c>
      <c r="BB46" s="18">
        <f>raw_data!$BB46*mass_composition!$E46/100</f>
        <v>0</v>
      </c>
      <c r="BC46" s="18">
        <f>raw_data!$BC46*mass_composition!$E46/100</f>
        <v>0</v>
      </c>
      <c r="BD46" s="18">
        <f>raw_data!$BD46*mass_composition!$E46/100</f>
        <v>0</v>
      </c>
      <c r="BE46" s="18">
        <f>raw_data!$BE46*mass_composition!$E46/100</f>
        <v>0</v>
      </c>
      <c r="BF46" s="18">
        <f>raw_data!$BF46*mass_composition!$E46/100</f>
        <v>0</v>
      </c>
      <c r="BG46" s="18">
        <f>raw_data!$BG46*mass_composition!$E46/100</f>
        <v>0</v>
      </c>
      <c r="BH46" s="18">
        <v>0</v>
      </c>
      <c r="BI46" s="18">
        <v>0</v>
      </c>
      <c r="BJ46" s="18">
        <v>0</v>
      </c>
      <c r="BK46" s="18">
        <f>raw_data!$BK46*$E46/100</f>
        <v>0</v>
      </c>
      <c r="BL46" s="18">
        <f>raw_data!$BL46*$E46/100</f>
        <v>0</v>
      </c>
      <c r="BM46" s="18">
        <v>0</v>
      </c>
      <c r="BN46" s="18">
        <f>raw_data!$BN46*$E46/100</f>
        <v>0</v>
      </c>
      <c r="BO46" s="18">
        <f>raw_data!$BO46*$E46/100</f>
        <v>0</v>
      </c>
      <c r="BP46" s="18">
        <f>raw_data!$BP46*$E46/100</f>
        <v>0</v>
      </c>
      <c r="BQ46" s="18">
        <v>0</v>
      </c>
      <c r="BR46" s="18">
        <f>raw_data!$BR46*$E46/100</f>
        <v>0</v>
      </c>
      <c r="BS46" s="18">
        <v>17.287195231788079</v>
      </c>
      <c r="BT46" s="18">
        <v>1.3407036084238411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14.437086092715232</v>
      </c>
      <c r="CA46" s="18">
        <v>0</v>
      </c>
      <c r="CB46" s="19">
        <v>69.536423841059587</v>
      </c>
    </row>
    <row r="47" spans="1:80" x14ac:dyDescent="0.35">
      <c r="A47" s="17" t="s">
        <v>113</v>
      </c>
      <c r="B47" s="17" t="s">
        <v>159</v>
      </c>
      <c r="C47" s="17">
        <f>13.7254901960785/6</f>
        <v>2.2875816993464166</v>
      </c>
      <c r="D47" s="18">
        <f>raw_data!$D47*$C47/100</f>
        <v>1.7877450980392249</v>
      </c>
      <c r="E47" s="18">
        <f>raw_data!$E47*$C47/100</f>
        <v>0.4998366013071921</v>
      </c>
      <c r="F47" s="18">
        <f>raw_data!$F47*$E47/100</f>
        <v>0.44378041522155542</v>
      </c>
      <c r="G47" s="18">
        <f>raw_data!$G47*$E47/100</f>
        <v>5.60561860856367E-2</v>
      </c>
      <c r="H47" s="18">
        <v>15.692780651375276</v>
      </c>
      <c r="I47" s="18">
        <v>469.98330443828013</v>
      </c>
      <c r="J47" s="18">
        <f>raw_data!$J47*mass_composition!$E47/100</f>
        <v>0.20351471439155083</v>
      </c>
      <c r="K47" s="18">
        <f>raw_data!$K47*mass_composition!$E47/100</f>
        <v>0.20258536824405854</v>
      </c>
      <c r="L47" s="18">
        <f>raw_data!$L47*mass_composition!$E47/100</f>
        <v>0</v>
      </c>
      <c r="M47" s="18">
        <f>raw_data!$M47*mass_composition!$E47/100</f>
        <v>1.8743189935940241E-3</v>
      </c>
      <c r="N47" s="18">
        <f>raw_data!$N47*mass_composition!$E47/100</f>
        <v>0</v>
      </c>
      <c r="O47" s="18">
        <f>raw_data!$O47*mass_composition!$E47/100</f>
        <v>0</v>
      </c>
      <c r="P47" s="18">
        <f>raw_data!$P47*mass_composition!$E47/100</f>
        <v>3.0524319647436786E-2</v>
      </c>
      <c r="Q47" s="18">
        <f>raw_data!$Q47*mass_composition!$E47/100</f>
        <v>1.0778324002130864E-2</v>
      </c>
      <c r="R47" s="18">
        <f>raw_data!$R47*mass_composition!$E47/100</f>
        <v>1.2407721422812972E-2</v>
      </c>
      <c r="S47" s="18">
        <f>raw_data!$S47*mass_composition!$E47/100</f>
        <v>1.0523914107414387E-2</v>
      </c>
      <c r="T47" s="18">
        <f>raw_data!$T47*mass_composition!$E47/100</f>
        <v>0.19596554122258439</v>
      </c>
      <c r="U47" s="18">
        <f>raw_data!$U47*mass_composition!$E47/100</f>
        <v>2.6702458442498006E-3</v>
      </c>
      <c r="V47" s="18">
        <f>raw_data!$V47*mass_composition!$E47/100</f>
        <v>2.7831207329829738E-3</v>
      </c>
      <c r="W47" s="18">
        <f>raw_data!$W47*mass_composition!$E47/100</f>
        <v>0</v>
      </c>
      <c r="X47" s="18">
        <f>raw_data!$X47*mass_composition!$E47/100</f>
        <v>0</v>
      </c>
      <c r="Y47" s="18">
        <f>raw_data!$Y47*mass_composition!$E47/100</f>
        <v>0</v>
      </c>
      <c r="Z47" s="18">
        <f>raw_data!$Z47*mass_composition!$E47/100</f>
        <v>1.1058331887327256E-8</v>
      </c>
      <c r="AA47" s="18">
        <f>raw_data!$AA47*mass_composition!$E47/100</f>
        <v>0</v>
      </c>
      <c r="AB47" s="18">
        <f>raw_data!$AB47*mass_composition!$E47/100</f>
        <v>0</v>
      </c>
      <c r="AC47" s="18">
        <f>raw_data!$AC47*mass_composition!$E47/100</f>
        <v>0</v>
      </c>
      <c r="AD47" s="18">
        <f>raw_data!$AD47*mass_composition!$E47/100</f>
        <v>0</v>
      </c>
      <c r="AE47" s="18">
        <f>raw_data!$AE47*mass_composition!$E47/100</f>
        <v>0</v>
      </c>
      <c r="AF47" s="18">
        <f>raw_data!$AF47*mass_composition!$E47/100</f>
        <v>0</v>
      </c>
      <c r="AG47" s="18">
        <f>raw_data!$AG47*mass_composition!$E47/100</f>
        <v>1.8705236648722005E-7</v>
      </c>
      <c r="AH47" s="18">
        <f>raw_data!$AH47*mass_composition!$E47/100</f>
        <v>1.5427055595900993E-8</v>
      </c>
      <c r="AI47" s="18">
        <f>raw_data!$AI47*mass_composition!$E47/100</f>
        <v>1.8420996562432923E-7</v>
      </c>
      <c r="AJ47" s="18">
        <f>raw_data!$AJ47*mass_composition!$E47/100</f>
        <v>2.4635506037879059E-6</v>
      </c>
      <c r="AK47" s="18">
        <f>raw_data!$AK47*mass_composition!$E47/100</f>
        <v>3.1577681056034511E-5</v>
      </c>
      <c r="AL47" s="18">
        <f>raw_data!$AL47*mass_composition!$E47/100</f>
        <v>0</v>
      </c>
      <c r="AM47" s="18">
        <f>raw_data!$AM47*mass_composition!$E47/100</f>
        <v>1.2601037446917357E-8</v>
      </c>
      <c r="AN47" s="18">
        <f>raw_data!$AN47*mass_composition!$E47/100</f>
        <v>0</v>
      </c>
      <c r="AO47" s="18">
        <f>raw_data!$AO47*mass_composition!$E47/100</f>
        <v>0</v>
      </c>
      <c r="AP47" s="18">
        <f>raw_data!$AP47*mass_composition!$E47/100</f>
        <v>6.7988262714678712E-4</v>
      </c>
      <c r="AQ47" s="18">
        <f>raw_data!$AQ47*mass_composition!$E47/100</f>
        <v>6.094369573460354E-6</v>
      </c>
      <c r="AR47" s="18">
        <f>raw_data!$AR47*mass_composition!$E47/100</f>
        <v>0</v>
      </c>
      <c r="AS47" s="18">
        <f>raw_data!$AS47*mass_composition!$E47/100</f>
        <v>2.6927720758721339E-7</v>
      </c>
      <c r="AT47" s="18">
        <f>raw_data!$AT47*mass_composition!$E47/100</f>
        <v>7.3484663230528031E-8</v>
      </c>
      <c r="AU47" s="18">
        <f>raw_data!$AU47*mass_composition!$E47/100</f>
        <v>0</v>
      </c>
      <c r="AV47" s="18">
        <f>raw_data!$AV47*mass_composition!$E47/100</f>
        <v>0</v>
      </c>
      <c r="AW47" s="18">
        <f>raw_data!$AW47*mass_composition!$E47/100</f>
        <v>0</v>
      </c>
      <c r="AX47" s="18">
        <f>raw_data!$AX47*mass_composition!$E47/100</f>
        <v>5.0704499542633875E-8</v>
      </c>
      <c r="AY47" s="18">
        <f>raw_data!$AY47*mass_composition!$E47/100</f>
        <v>0</v>
      </c>
      <c r="AZ47" s="18">
        <f>raw_data!$AZ47*mass_composition!$E47/100</f>
        <v>0</v>
      </c>
      <c r="BA47" s="18">
        <f>raw_data!$BA47*mass_composition!$E47/100</f>
        <v>0</v>
      </c>
      <c r="BB47" s="18">
        <f>raw_data!$BB47*mass_composition!$E47/100</f>
        <v>0</v>
      </c>
      <c r="BC47" s="18">
        <f>raw_data!$BC47*mass_composition!$E47/100</f>
        <v>0</v>
      </c>
      <c r="BD47" s="18">
        <f>raw_data!$BD47*mass_composition!$E47/100</f>
        <v>0</v>
      </c>
      <c r="BE47" s="18">
        <f>raw_data!$BE47*mass_composition!$E47/100</f>
        <v>1.3582635055187519E-5</v>
      </c>
      <c r="BF47" s="18">
        <f>raw_data!$BF47*mass_composition!$E47/100</f>
        <v>0</v>
      </c>
      <c r="BG47" s="18">
        <f>raw_data!$BG47*mass_composition!$E47/100</f>
        <v>0</v>
      </c>
      <c r="BH47" s="18">
        <v>0</v>
      </c>
      <c r="BI47" s="18">
        <v>7.5663716814159283</v>
      </c>
      <c r="BJ47" s="18">
        <v>1.6371681415929202</v>
      </c>
      <c r="BK47" s="18">
        <f>raw_data!$BK47*$E47/100</f>
        <v>3.074216264676977E-2</v>
      </c>
      <c r="BL47" s="18">
        <f>raw_data!$BL47*$E47/100</f>
        <v>0</v>
      </c>
      <c r="BM47" s="18">
        <v>0</v>
      </c>
      <c r="BN47" s="18">
        <f>raw_data!$BN47*$E47/100</f>
        <v>1.326999826479271E-3</v>
      </c>
      <c r="BO47" s="18">
        <f>raw_data!$BO47*$E47/100</f>
        <v>7.837763378413061E-2</v>
      </c>
      <c r="BP47" s="18">
        <f>raw_data!$BP47*$E47/100</f>
        <v>3.0546935306042893E-2</v>
      </c>
      <c r="BQ47" s="18">
        <v>0</v>
      </c>
      <c r="BR47" s="18">
        <f>raw_data!$BR47*$E47/100</f>
        <v>0.33485584613138186</v>
      </c>
      <c r="BS47" s="18">
        <v>16.909730098590071</v>
      </c>
      <c r="BT47" s="18">
        <v>1.3031419970160447</v>
      </c>
      <c r="BU47" s="18">
        <v>0.35398230088495575</v>
      </c>
      <c r="BV47" s="18">
        <v>0</v>
      </c>
      <c r="BW47" s="18">
        <v>0</v>
      </c>
      <c r="BX47" s="18">
        <v>0</v>
      </c>
      <c r="BY47" s="18">
        <v>7.9203539823008846</v>
      </c>
      <c r="BZ47" s="18">
        <v>14.315115262755381</v>
      </c>
      <c r="CA47" s="18">
        <v>0</v>
      </c>
      <c r="CB47" s="19">
        <v>51.019611056484216</v>
      </c>
    </row>
    <row r="48" spans="1:80" x14ac:dyDescent="0.35">
      <c r="A48" s="17" t="s">
        <v>113</v>
      </c>
      <c r="B48" s="17" t="s">
        <v>160</v>
      </c>
      <c r="C48" s="17"/>
      <c r="D48" s="18">
        <f>raw_data!$D48*$C48/100</f>
        <v>0</v>
      </c>
      <c r="E48" s="18">
        <f>raw_data!$E48*$C48/100</f>
        <v>0</v>
      </c>
      <c r="F48" s="18">
        <f>raw_data!$F48*$E48/100</f>
        <v>0</v>
      </c>
      <c r="G48" s="18">
        <f>raw_data!$G48*$E48/100</f>
        <v>0</v>
      </c>
      <c r="H48" s="18">
        <v>15.100079286748491</v>
      </c>
      <c r="I48" s="18">
        <v>442.0609756097561</v>
      </c>
      <c r="J48" s="18">
        <f>raw_data!$J48*mass_composition!$E48/100</f>
        <v>0</v>
      </c>
      <c r="K48" s="18">
        <f>raw_data!$K48*mass_composition!$E48/100</f>
        <v>0</v>
      </c>
      <c r="L48" s="18">
        <f>raw_data!$L48*mass_composition!$E48/100</f>
        <v>0</v>
      </c>
      <c r="M48" s="18">
        <f>raw_data!$M48*mass_composition!$E48/100</f>
        <v>0</v>
      </c>
      <c r="N48" s="18">
        <f>raw_data!$N48*mass_composition!$E48/100</f>
        <v>0</v>
      </c>
      <c r="O48" s="18">
        <f>raw_data!$O48*mass_composition!$E48/100</f>
        <v>0</v>
      </c>
      <c r="P48" s="18">
        <f>raw_data!$P48*mass_composition!$E48/100</f>
        <v>0</v>
      </c>
      <c r="Q48" s="18">
        <f>raw_data!$Q48*mass_composition!$E48/100</f>
        <v>0</v>
      </c>
      <c r="R48" s="18">
        <f>raw_data!$R48*mass_composition!$E48/100</f>
        <v>0</v>
      </c>
      <c r="S48" s="18">
        <f>raw_data!$S48*mass_composition!$E48/100</f>
        <v>0</v>
      </c>
      <c r="T48" s="18">
        <f>raw_data!$T48*mass_composition!$E48/100</f>
        <v>0</v>
      </c>
      <c r="U48" s="18">
        <f>raw_data!$U48*mass_composition!$E48/100</f>
        <v>0</v>
      </c>
      <c r="V48" s="18">
        <f>raw_data!$V48*mass_composition!$E48/100</f>
        <v>0</v>
      </c>
      <c r="W48" s="18">
        <f>raw_data!$W48*mass_composition!$E48/100</f>
        <v>0</v>
      </c>
      <c r="X48" s="18">
        <f>raw_data!$X48*mass_composition!$E48/100</f>
        <v>0</v>
      </c>
      <c r="Y48" s="18">
        <f>raw_data!$Y48*mass_composition!$E48/100</f>
        <v>0</v>
      </c>
      <c r="Z48" s="18">
        <f>raw_data!$Z48*mass_composition!$E48/100</f>
        <v>0</v>
      </c>
      <c r="AA48" s="18">
        <f>raw_data!$AA48*mass_composition!$E48/100</f>
        <v>0</v>
      </c>
      <c r="AB48" s="18">
        <f>raw_data!$AB48*mass_composition!$E48/100</f>
        <v>0</v>
      </c>
      <c r="AC48" s="18">
        <f>raw_data!$AC48*mass_composition!$E48/100</f>
        <v>0</v>
      </c>
      <c r="AD48" s="18">
        <f>raw_data!$AD48*mass_composition!$E48/100</f>
        <v>0</v>
      </c>
      <c r="AE48" s="18">
        <f>raw_data!$AE48*mass_composition!$E48/100</f>
        <v>0</v>
      </c>
      <c r="AF48" s="18">
        <f>raw_data!$AF48*mass_composition!$E48/100</f>
        <v>0</v>
      </c>
      <c r="AG48" s="18">
        <f>raw_data!$AG48*mass_composition!$E48/100</f>
        <v>0</v>
      </c>
      <c r="AH48" s="18">
        <f>raw_data!$AH48*mass_composition!$E48/100</f>
        <v>0</v>
      </c>
      <c r="AI48" s="18">
        <f>raw_data!$AI48*mass_composition!$E48/100</f>
        <v>0</v>
      </c>
      <c r="AJ48" s="18">
        <f>raw_data!$AJ48*mass_composition!$E48/100</f>
        <v>0</v>
      </c>
      <c r="AK48" s="18">
        <f>raw_data!$AK48*mass_composition!$E48/100</f>
        <v>0</v>
      </c>
      <c r="AL48" s="18">
        <f>raw_data!$AL48*mass_composition!$E48/100</f>
        <v>0</v>
      </c>
      <c r="AM48" s="18">
        <f>raw_data!$AM48*mass_composition!$E48/100</f>
        <v>0</v>
      </c>
      <c r="AN48" s="18">
        <f>raw_data!$AN48*mass_composition!$E48/100</f>
        <v>0</v>
      </c>
      <c r="AO48" s="18">
        <f>raw_data!$AO48*mass_composition!$E48/100</f>
        <v>0</v>
      </c>
      <c r="AP48" s="18">
        <f>raw_data!$AP48*mass_composition!$E48/100</f>
        <v>0</v>
      </c>
      <c r="AQ48" s="18">
        <f>raw_data!$AQ48*mass_composition!$E48/100</f>
        <v>0</v>
      </c>
      <c r="AR48" s="18">
        <f>raw_data!$AR48*mass_composition!$E48/100</f>
        <v>0</v>
      </c>
      <c r="AS48" s="18">
        <f>raw_data!$AS48*mass_composition!$E48/100</f>
        <v>0</v>
      </c>
      <c r="AT48" s="18">
        <f>raw_data!$AT48*mass_composition!$E48/100</f>
        <v>0</v>
      </c>
      <c r="AU48" s="18">
        <f>raw_data!$AU48*mass_composition!$E48/100</f>
        <v>0</v>
      </c>
      <c r="AV48" s="18">
        <f>raw_data!$AV48*mass_composition!$E48/100</f>
        <v>0</v>
      </c>
      <c r="AW48" s="18">
        <f>raw_data!$AW48*mass_composition!$E48/100</f>
        <v>0</v>
      </c>
      <c r="AX48" s="18">
        <f>raw_data!$AX48*mass_composition!$E48/100</f>
        <v>0</v>
      </c>
      <c r="AY48" s="18">
        <f>raw_data!$AY48*mass_composition!$E48/100</f>
        <v>0</v>
      </c>
      <c r="AZ48" s="18">
        <f>raw_data!$AZ48*mass_composition!$E48/100</f>
        <v>0</v>
      </c>
      <c r="BA48" s="18">
        <f>raw_data!$BA48*mass_composition!$E48/100</f>
        <v>0</v>
      </c>
      <c r="BB48" s="18">
        <f>raw_data!$BB48*mass_composition!$E48/100</f>
        <v>0</v>
      </c>
      <c r="BC48" s="18">
        <f>raw_data!$BC48*mass_composition!$E48/100</f>
        <v>0</v>
      </c>
      <c r="BD48" s="18">
        <f>raw_data!$BD48*mass_composition!$E48/100</f>
        <v>0</v>
      </c>
      <c r="BE48" s="18">
        <f>raw_data!$BE48*mass_composition!$E48/100</f>
        <v>0</v>
      </c>
      <c r="BF48" s="18">
        <f>raw_data!$BF48*mass_composition!$E48/100</f>
        <v>0</v>
      </c>
      <c r="BG48" s="18">
        <f>raw_data!$BG48*mass_composition!$E48/100</f>
        <v>0</v>
      </c>
      <c r="BH48" s="18">
        <v>0</v>
      </c>
      <c r="BI48" s="18">
        <v>0</v>
      </c>
      <c r="BJ48" s="18">
        <v>0</v>
      </c>
      <c r="BK48" s="18">
        <f>raw_data!$BK48*$E48/100</f>
        <v>0</v>
      </c>
      <c r="BL48" s="18">
        <f>raw_data!$BL48*$E48/100</f>
        <v>0</v>
      </c>
      <c r="BM48" s="18">
        <v>0</v>
      </c>
      <c r="BN48" s="18">
        <f>raw_data!$BN48*$E48/100</f>
        <v>0</v>
      </c>
      <c r="BO48" s="18">
        <f>raw_data!$BO48*$E48/100</f>
        <v>0</v>
      </c>
      <c r="BP48" s="18">
        <f>raw_data!$BP48*$E48/100</f>
        <v>0</v>
      </c>
      <c r="BQ48" s="18">
        <v>0</v>
      </c>
      <c r="BR48" s="18">
        <f>raw_data!$BR48*$E48/100</f>
        <v>0</v>
      </c>
      <c r="BS48" s="18">
        <v>16.998969555555554</v>
      </c>
      <c r="BT48" s="18">
        <v>1.3121980890444442</v>
      </c>
      <c r="BU48" s="18">
        <v>0</v>
      </c>
      <c r="BV48" s="18">
        <v>0</v>
      </c>
      <c r="BW48" s="18">
        <v>0</v>
      </c>
      <c r="BX48" s="18">
        <v>0</v>
      </c>
      <c r="BY48" s="18">
        <v>0</v>
      </c>
      <c r="BZ48" s="18">
        <v>12.555555555555555</v>
      </c>
      <c r="CA48" s="18">
        <v>0</v>
      </c>
      <c r="CB48" s="19">
        <v>67.777777777777786</v>
      </c>
    </row>
    <row r="49" spans="1:80" x14ac:dyDescent="0.35">
      <c r="A49" s="17" t="s">
        <v>113</v>
      </c>
      <c r="B49" s="17" t="s">
        <v>161</v>
      </c>
      <c r="C49" s="17">
        <f>13.7254901960785/6</f>
        <v>2.2875816993464166</v>
      </c>
      <c r="D49" s="18">
        <f>raw_data!$D49*$C49/100</f>
        <v>2.1648148148148256</v>
      </c>
      <c r="E49" s="18">
        <f>raw_data!$E49*$C49/100</f>
        <v>0.12276688453159103</v>
      </c>
      <c r="F49" s="18">
        <f>raw_data!$F49*$E49/100</f>
        <v>0.10627931078433285</v>
      </c>
      <c r="G49" s="18">
        <f>raw_data!$G49*$E49/100</f>
        <v>1.6487573747258191E-2</v>
      </c>
      <c r="H49" s="18">
        <v>14.317388146669311</v>
      </c>
      <c r="I49" s="18">
        <v>441.21875767850997</v>
      </c>
      <c r="J49" s="18">
        <f>raw_data!$J49*mass_composition!$E49/100</f>
        <v>4.6635094203502918E-2</v>
      </c>
      <c r="K49" s="18">
        <f>raw_data!$K49*mass_composition!$E49/100</f>
        <v>4.6355490608136998E-2</v>
      </c>
      <c r="L49" s="18">
        <f>raw_data!$L49*mass_composition!$E49/100</f>
        <v>0</v>
      </c>
      <c r="M49" s="18">
        <f>raw_data!$M49*mass_composition!$E49/100</f>
        <v>8.6501481231276013E-4</v>
      </c>
      <c r="N49" s="18">
        <f>raw_data!$N49*mass_composition!$E49/100</f>
        <v>0</v>
      </c>
      <c r="O49" s="18">
        <f>raw_data!$O49*mass_composition!$E49/100</f>
        <v>0</v>
      </c>
      <c r="P49" s="18">
        <f>raw_data!$P49*mass_composition!$E49/100</f>
        <v>7.1162042273887095E-3</v>
      </c>
      <c r="Q49" s="18">
        <f>raw_data!$Q49*mass_composition!$E49/100</f>
        <v>6.3777637315657722E-3</v>
      </c>
      <c r="R49" s="18">
        <f>raw_data!$R49*mass_composition!$E49/100</f>
        <v>2.9991721653127839E-3</v>
      </c>
      <c r="S49" s="18">
        <f>raw_data!$S49*mass_composition!$E49/100</f>
        <v>4.6243658921803584E-4</v>
      </c>
      <c r="T49" s="18">
        <f>raw_data!$T49*mass_composition!$E49/100</f>
        <v>4.9233376995829241E-2</v>
      </c>
      <c r="U49" s="18">
        <f>raw_data!$U49*mass_composition!$E49/100</f>
        <v>5.95247339054133E-4</v>
      </c>
      <c r="V49" s="18">
        <f>raw_data!$V49*mass_composition!$E49/100</f>
        <v>6.6561226016157674E-4</v>
      </c>
      <c r="W49" s="18">
        <f>raw_data!$W49*mass_composition!$E49/100</f>
        <v>0</v>
      </c>
      <c r="X49" s="18">
        <f>raw_data!$X49*mass_composition!$E49/100</f>
        <v>0</v>
      </c>
      <c r="Y49" s="18">
        <f>raw_data!$Y49*mass_composition!$E49/100</f>
        <v>0</v>
      </c>
      <c r="Z49" s="18">
        <f>raw_data!$Z49*mass_composition!$E49/100</f>
        <v>0</v>
      </c>
      <c r="AA49" s="18">
        <f>raw_data!$AA49*mass_composition!$E49/100</f>
        <v>0</v>
      </c>
      <c r="AB49" s="18">
        <f>raw_data!$AB49*mass_composition!$E49/100</f>
        <v>0</v>
      </c>
      <c r="AC49" s="18">
        <f>raw_data!$AC49*mass_composition!$E49/100</f>
        <v>0</v>
      </c>
      <c r="AD49" s="18">
        <f>raw_data!$AD49*mass_composition!$E49/100</f>
        <v>0</v>
      </c>
      <c r="AE49" s="18">
        <f>raw_data!$AE49*mass_composition!$E49/100</f>
        <v>0</v>
      </c>
      <c r="AF49" s="18">
        <f>raw_data!$AF49*mass_composition!$E49/100</f>
        <v>0</v>
      </c>
      <c r="AG49" s="18">
        <f>raw_data!$AG49*mass_composition!$E49/100</f>
        <v>3.2553570382360602E-8</v>
      </c>
      <c r="AH49" s="18">
        <f>raw_data!$AH49*mass_composition!$E49/100</f>
        <v>0</v>
      </c>
      <c r="AI49" s="18">
        <f>raw_data!$AI49*mass_composition!$E49/100</f>
        <v>1.6276785191180301E-8</v>
      </c>
      <c r="AJ49" s="18">
        <f>raw_data!$AJ49*mass_composition!$E49/100</f>
        <v>1.5067193907461801E-6</v>
      </c>
      <c r="AK49" s="18">
        <f>raw_data!$AK49*mass_composition!$E49/100</f>
        <v>1.2742238012443717E-5</v>
      </c>
      <c r="AL49" s="18">
        <f>raw_data!$AL49*mass_composition!$E49/100</f>
        <v>0</v>
      </c>
      <c r="AM49" s="18">
        <f>raw_data!$AM49*mass_composition!$E49/100</f>
        <v>1.62767851911803E-9</v>
      </c>
      <c r="AN49" s="18">
        <f>raw_data!$AN49*mass_composition!$E49/100</f>
        <v>0</v>
      </c>
      <c r="AO49" s="18">
        <f>raw_data!$AO49*mass_composition!$E49/100</f>
        <v>0</v>
      </c>
      <c r="AP49" s="18">
        <f>raw_data!$AP49*mass_composition!$E49/100</f>
        <v>2.6553774263004431E-4</v>
      </c>
      <c r="AQ49" s="18">
        <f>raw_data!$AQ49*mass_composition!$E49/100</f>
        <v>1.5848786705793002E-6</v>
      </c>
      <c r="AR49" s="18">
        <f>raw_data!$AR49*mass_composition!$E49/100</f>
        <v>0</v>
      </c>
      <c r="AS49" s="18">
        <f>raw_data!$AS49*mass_composition!$E49/100</f>
        <v>6.5107140764721204E-8</v>
      </c>
      <c r="AT49" s="18">
        <f>raw_data!$AT49*mass_composition!$E49/100</f>
        <v>1.6276785191180301E-8</v>
      </c>
      <c r="AU49" s="18">
        <f>raw_data!$AU49*mass_composition!$E49/100</f>
        <v>0</v>
      </c>
      <c r="AV49" s="18">
        <f>raw_data!$AV49*mass_composition!$E49/100</f>
        <v>0</v>
      </c>
      <c r="AW49" s="18">
        <f>raw_data!$AW49*mass_composition!$E49/100</f>
        <v>0</v>
      </c>
      <c r="AX49" s="18">
        <f>raw_data!$AX49*mass_composition!$E49/100</f>
        <v>1.62767851911803E-9</v>
      </c>
      <c r="AY49" s="18">
        <f>raw_data!$AY49*mass_composition!$E49/100</f>
        <v>0</v>
      </c>
      <c r="AZ49" s="18">
        <f>raw_data!$AZ49*mass_composition!$E49/100</f>
        <v>0</v>
      </c>
      <c r="BA49" s="18">
        <f>raw_data!$BA49*mass_composition!$E49/100</f>
        <v>0</v>
      </c>
      <c r="BB49" s="18">
        <f>raw_data!$BB49*mass_composition!$E49/100</f>
        <v>0</v>
      </c>
      <c r="BC49" s="18">
        <f>raw_data!$BC49*mass_composition!$E49/100</f>
        <v>0</v>
      </c>
      <c r="BD49" s="18">
        <f>raw_data!$BD49*mass_composition!$E49/100</f>
        <v>0</v>
      </c>
      <c r="BE49" s="18">
        <f>raw_data!$BE49*mass_composition!$E49/100</f>
        <v>6.3246338478285236E-6</v>
      </c>
      <c r="BF49" s="18">
        <f>raw_data!$BF49*mass_composition!$E49/100</f>
        <v>0</v>
      </c>
      <c r="BG49" s="18">
        <f>raw_data!$BG49*mass_composition!$E49/100</f>
        <v>0</v>
      </c>
      <c r="BH49" s="18">
        <v>0</v>
      </c>
      <c r="BI49" s="18">
        <v>0</v>
      </c>
      <c r="BJ49" s="18">
        <v>0</v>
      </c>
      <c r="BK49" s="18">
        <f>raw_data!$BK49*$E49/100</f>
        <v>6.9867332660255065E-3</v>
      </c>
      <c r="BL49" s="18">
        <f>raw_data!$BL49*$E49/100</f>
        <v>0</v>
      </c>
      <c r="BM49" s="18">
        <v>0</v>
      </c>
      <c r="BN49" s="18">
        <f>raw_data!$BN49*$E49/100</f>
        <v>3.9924190091574321E-4</v>
      </c>
      <c r="BO49" s="18">
        <f>raw_data!$BO49*$E49/100</f>
        <v>1.8744826033204896E-2</v>
      </c>
      <c r="BP49" s="18">
        <f>raw_data!$BP49*$E49/100</f>
        <v>2.3717202435519151E-3</v>
      </c>
      <c r="BQ49" s="18">
        <v>0</v>
      </c>
      <c r="BR49" s="18">
        <f>raw_data!$BR49*$E49/100</f>
        <v>8.5162764507576039E-2</v>
      </c>
      <c r="BS49" s="18">
        <v>15.808659127301651</v>
      </c>
      <c r="BT49" s="18">
        <v>1.1941942738689948</v>
      </c>
      <c r="BU49" s="18">
        <v>3.0894308943089435</v>
      </c>
      <c r="BV49" s="18">
        <v>7.1544715447154479</v>
      </c>
      <c r="BW49" s="18">
        <v>0</v>
      </c>
      <c r="BX49" s="18">
        <v>0</v>
      </c>
      <c r="BY49" s="18">
        <v>10.243902439024392</v>
      </c>
      <c r="BZ49" s="18">
        <v>12.853487975439196</v>
      </c>
      <c r="CA49" s="18">
        <v>0</v>
      </c>
      <c r="CB49" s="19">
        <v>53.109329694695553</v>
      </c>
    </row>
    <row r="50" spans="1:80" x14ac:dyDescent="0.35">
      <c r="A50" s="17" t="s">
        <v>113</v>
      </c>
      <c r="B50" s="17" t="s">
        <v>162</v>
      </c>
      <c r="C50" s="17">
        <f>0.802139037433193/2</f>
        <v>0.40106951871659652</v>
      </c>
      <c r="D50" s="18">
        <f>raw_data!$D50*$C50/100</f>
        <v>1.1229946524064702E-2</v>
      </c>
      <c r="E50" s="18">
        <f>raw_data!$E50*$C50/100</f>
        <v>0.38983957219253185</v>
      </c>
      <c r="F50" s="18">
        <f>raw_data!$F50*$E50/100</f>
        <v>0.38302139037434968</v>
      </c>
      <c r="G50" s="18">
        <f>raw_data!$G50*$E50/100</f>
        <v>6.8181818181821405E-3</v>
      </c>
      <c r="H50" s="18">
        <v>30.56688399441564</v>
      </c>
      <c r="I50" s="18">
        <v>830.43455497382206</v>
      </c>
      <c r="J50" s="18">
        <f>raw_data!$J50*mass_composition!$E50/100</f>
        <v>0.25907635209651309</v>
      </c>
      <c r="K50" s="18">
        <f>raw_data!$K50*mass_composition!$E50/100</f>
        <v>0.25907635209651309</v>
      </c>
      <c r="L50" s="18">
        <f>raw_data!$L50*mass_composition!$E50/100</f>
        <v>0</v>
      </c>
      <c r="M50" s="18">
        <f>raw_data!$M50*mass_composition!$E50/100</f>
        <v>3.3328877005349173E-4</v>
      </c>
      <c r="N50" s="18">
        <f>raw_data!$N50*mass_composition!$E50/100</f>
        <v>0</v>
      </c>
      <c r="O50" s="18">
        <f>raw_data!$O50*mass_composition!$E50/100</f>
        <v>0</v>
      </c>
      <c r="P50" s="18">
        <f>raw_data!$P50*mass_composition!$E50/100</f>
        <v>3.7022177713320177E-2</v>
      </c>
      <c r="Q50" s="18">
        <f>raw_data!$Q50*mass_composition!$E50/100</f>
        <v>1.8890374331551698E-3</v>
      </c>
      <c r="R50" s="18">
        <f>raw_data!$R50*mass_composition!$E50/100</f>
        <v>1.0820855614973774E-2</v>
      </c>
      <c r="S50" s="18">
        <f>raw_data!$S50*mass_composition!$E50/100</f>
        <v>1.604278074866386E-5</v>
      </c>
      <c r="T50" s="18">
        <f>raw_data!$T50*mass_composition!$E50/100</f>
        <v>7.6842370752110145E-2</v>
      </c>
      <c r="U50" s="18">
        <f>raw_data!$U50*mass_composition!$E50/100</f>
        <v>1.5200534759359011E-3</v>
      </c>
      <c r="V50" s="18">
        <f>raw_data!$V50*mass_composition!$E50/100</f>
        <v>2.0365524190922258E-3</v>
      </c>
      <c r="W50" s="18">
        <f>raw_data!$W50*mass_composition!$E50/100</f>
        <v>0</v>
      </c>
      <c r="X50" s="18">
        <f>raw_data!$X50*mass_composition!$E50/100</f>
        <v>0</v>
      </c>
      <c r="Y50" s="18">
        <f>raw_data!$Y50*mass_composition!$E50/100</f>
        <v>0</v>
      </c>
      <c r="Z50" s="18">
        <f>raw_data!$Z50*mass_composition!$E50/100</f>
        <v>0</v>
      </c>
      <c r="AA50" s="18">
        <f>raw_data!$AA50*mass_composition!$E50/100</f>
        <v>0</v>
      </c>
      <c r="AB50" s="18">
        <f>raw_data!$AB50*mass_composition!$E50/100</f>
        <v>0</v>
      </c>
      <c r="AC50" s="18">
        <f>raw_data!$AC50*mass_composition!$E50/100</f>
        <v>0</v>
      </c>
      <c r="AD50" s="18">
        <f>raw_data!$AD50*mass_composition!$E50/100</f>
        <v>0</v>
      </c>
      <c r="AE50" s="18">
        <f>raw_data!$AE50*mass_composition!$E50/100</f>
        <v>0</v>
      </c>
      <c r="AF50" s="18">
        <f>raw_data!$AF50*mass_composition!$E50/100</f>
        <v>0</v>
      </c>
      <c r="AG50" s="18">
        <f>raw_data!$AG50*mass_composition!$E50/100</f>
        <v>2.8074866310161759E-9</v>
      </c>
      <c r="AH50" s="18">
        <f>raw_data!$AH50*mass_composition!$E50/100</f>
        <v>0</v>
      </c>
      <c r="AI50" s="18">
        <f>raw_data!$AI50*mass_composition!$E50/100</f>
        <v>4.8128342245991577E-9</v>
      </c>
      <c r="AJ50" s="18">
        <f>raw_data!$AJ50*mass_composition!$E50/100</f>
        <v>5.3743315508023933E-6</v>
      </c>
      <c r="AK50" s="18">
        <f>raw_data!$AK50*mass_composition!$E50/100</f>
        <v>8.4224598930485277E-6</v>
      </c>
      <c r="AL50" s="18">
        <f>raw_data!$AL50*mass_composition!$E50/100</f>
        <v>0</v>
      </c>
      <c r="AM50" s="18">
        <f>raw_data!$AM50*mass_composition!$E50/100</f>
        <v>3.2085561497327722E-9</v>
      </c>
      <c r="AN50" s="18">
        <f>raw_data!$AN50*mass_composition!$E50/100</f>
        <v>0</v>
      </c>
      <c r="AO50" s="18">
        <f>raw_data!$AO50*mass_composition!$E50/100</f>
        <v>0</v>
      </c>
      <c r="AP50" s="18">
        <f>raw_data!$AP50*mass_composition!$E50/100</f>
        <v>5.7754010695189914E-4</v>
      </c>
      <c r="AQ50" s="18">
        <f>raw_data!$AQ50*mass_composition!$E50/100</f>
        <v>8.4224598930485277E-6</v>
      </c>
      <c r="AR50" s="18">
        <f>raw_data!$AR50*mass_composition!$E50/100</f>
        <v>0</v>
      </c>
      <c r="AS50" s="18">
        <f>raw_data!$AS50*mass_composition!$E50/100</f>
        <v>1.2834224598931089E-6</v>
      </c>
      <c r="AT50" s="18">
        <f>raw_data!$AT50*mass_composition!$E50/100</f>
        <v>2.7673796791445161E-8</v>
      </c>
      <c r="AU50" s="18">
        <f>raw_data!$AU50*mass_composition!$E50/100</f>
        <v>0</v>
      </c>
      <c r="AV50" s="18">
        <f>raw_data!$AV50*mass_composition!$E50/100</f>
        <v>0</v>
      </c>
      <c r="AW50" s="18">
        <f>raw_data!$AW50*mass_composition!$E50/100</f>
        <v>0</v>
      </c>
      <c r="AX50" s="18">
        <f>raw_data!$AX50*mass_composition!$E50/100</f>
        <v>6.8181818181821407E-9</v>
      </c>
      <c r="AY50" s="18">
        <f>raw_data!$AY50*mass_composition!$E50/100</f>
        <v>0</v>
      </c>
      <c r="AZ50" s="18">
        <f>raw_data!$AZ50*mass_composition!$E50/100</f>
        <v>0</v>
      </c>
      <c r="BA50" s="18">
        <f>raw_data!$BA50*mass_composition!$E50/100</f>
        <v>0</v>
      </c>
      <c r="BB50" s="18">
        <f>raw_data!$BB50*mass_composition!$E50/100</f>
        <v>0</v>
      </c>
      <c r="BC50" s="18">
        <f>raw_data!$BC50*mass_composition!$E50/100</f>
        <v>0</v>
      </c>
      <c r="BD50" s="18">
        <f>raw_data!$BD50*mass_composition!$E50/100</f>
        <v>0</v>
      </c>
      <c r="BE50" s="18">
        <f>raw_data!$BE50*mass_composition!$E50/100</f>
        <v>1.0828877005348108E-5</v>
      </c>
      <c r="BF50" s="18">
        <f>raw_data!$BF50*mass_composition!$E50/100</f>
        <v>0</v>
      </c>
      <c r="BG50" s="18">
        <f>raw_data!$BG50*mass_composition!$E50/100</f>
        <v>0</v>
      </c>
      <c r="BH50" s="18">
        <v>0</v>
      </c>
      <c r="BI50" s="18">
        <v>0</v>
      </c>
      <c r="BJ50" s="18">
        <v>0.61728395061728392</v>
      </c>
      <c r="BK50" s="18">
        <f>raw_data!$BK50*$E50/100</f>
        <v>0</v>
      </c>
      <c r="BL50" s="18">
        <f>raw_data!$BL50*$E50/100</f>
        <v>0</v>
      </c>
      <c r="BM50" s="18">
        <v>0</v>
      </c>
      <c r="BN50" s="18">
        <f>raw_data!$BN50*$E50/100</f>
        <v>0</v>
      </c>
      <c r="BO50" s="18">
        <f>raw_data!$BO50*$E50/100</f>
        <v>5.7352941176473306E-2</v>
      </c>
      <c r="BP50" s="18">
        <f>raw_data!$BP50*$E50/100</f>
        <v>0.25788770053477156</v>
      </c>
      <c r="BQ50" s="18">
        <v>0</v>
      </c>
      <c r="BR50" s="18">
        <f>raw_data!$BR50*$E50/100</f>
        <v>6.7780748663104809E-2</v>
      </c>
      <c r="BS50" s="18">
        <v>28.249483199588472</v>
      </c>
      <c r="BT50" s="18">
        <v>2.4248738884392997</v>
      </c>
      <c r="BU50" s="18">
        <v>0</v>
      </c>
      <c r="BV50" s="18">
        <v>0</v>
      </c>
      <c r="BW50" s="18">
        <v>0</v>
      </c>
      <c r="BX50" s="18">
        <v>0</v>
      </c>
      <c r="BY50" s="18">
        <v>2.57201646090535</v>
      </c>
      <c r="BZ50" s="18">
        <v>29.413580246913579</v>
      </c>
      <c r="CA50" s="18">
        <v>0</v>
      </c>
      <c r="CB50" s="19">
        <v>16.769547325102891</v>
      </c>
    </row>
    <row r="51" spans="1:80" x14ac:dyDescent="0.35">
      <c r="A51" s="17" t="s">
        <v>113</v>
      </c>
      <c r="B51" s="17" t="s">
        <v>163</v>
      </c>
      <c r="C51" s="17"/>
      <c r="D51" s="18">
        <f>raw_data!$D51*$C51/100</f>
        <v>0</v>
      </c>
      <c r="E51" s="18">
        <f>raw_data!$E51*$C51/100</f>
        <v>0</v>
      </c>
      <c r="F51" s="18">
        <f>raw_data!$F51*$E51/100</f>
        <v>0</v>
      </c>
      <c r="G51" s="18">
        <f>raw_data!$G51*$E51/100</f>
        <v>0</v>
      </c>
      <c r="H51" s="18">
        <v>16.845553168119483</v>
      </c>
      <c r="I51" s="18">
        <v>488.23113207547169</v>
      </c>
      <c r="J51" s="18">
        <f>raw_data!$J51*mass_composition!$E51/100</f>
        <v>0</v>
      </c>
      <c r="K51" s="18">
        <f>raw_data!$K51*mass_composition!$E51/100</f>
        <v>0</v>
      </c>
      <c r="L51" s="18">
        <f>raw_data!$L51*mass_composition!$E51/100</f>
        <v>0</v>
      </c>
      <c r="M51" s="18">
        <f>raw_data!$M51*mass_composition!$E51/100</f>
        <v>0</v>
      </c>
      <c r="N51" s="18">
        <f>raw_data!$N51*mass_composition!$E51/100</f>
        <v>0</v>
      </c>
      <c r="O51" s="18">
        <f>raw_data!$O51*mass_composition!$E51/100</f>
        <v>0</v>
      </c>
      <c r="P51" s="18">
        <f>raw_data!$P51*mass_composition!$E51/100</f>
        <v>0</v>
      </c>
      <c r="Q51" s="18">
        <f>raw_data!$Q51*mass_composition!$E51/100</f>
        <v>0</v>
      </c>
      <c r="R51" s="18">
        <f>raw_data!$R51*mass_composition!$E51/100</f>
        <v>0</v>
      </c>
      <c r="S51" s="18">
        <f>raw_data!$S51*mass_composition!$E51/100</f>
        <v>0</v>
      </c>
      <c r="T51" s="18">
        <f>raw_data!$T51*mass_composition!$E51/100</f>
        <v>0</v>
      </c>
      <c r="U51" s="18">
        <f>raw_data!$U51*mass_composition!$E51/100</f>
        <v>0</v>
      </c>
      <c r="V51" s="18">
        <f>raw_data!$V51*mass_composition!$E51/100</f>
        <v>0</v>
      </c>
      <c r="W51" s="18">
        <f>raw_data!$W51*mass_composition!$E51/100</f>
        <v>0</v>
      </c>
      <c r="X51" s="18">
        <f>raw_data!$X51*mass_composition!$E51/100</f>
        <v>0</v>
      </c>
      <c r="Y51" s="18">
        <f>raw_data!$Y51*mass_composition!$E51/100</f>
        <v>0</v>
      </c>
      <c r="Z51" s="18">
        <f>raw_data!$Z51*mass_composition!$E51/100</f>
        <v>0</v>
      </c>
      <c r="AA51" s="18">
        <f>raw_data!$AA51*mass_composition!$E51/100</f>
        <v>0</v>
      </c>
      <c r="AB51" s="18">
        <f>raw_data!$AB51*mass_composition!$E51/100</f>
        <v>0</v>
      </c>
      <c r="AC51" s="18">
        <f>raw_data!$AC51*mass_composition!$E51/100</f>
        <v>0</v>
      </c>
      <c r="AD51" s="18">
        <f>raw_data!$AD51*mass_composition!$E51/100</f>
        <v>0</v>
      </c>
      <c r="AE51" s="18">
        <f>raw_data!$AE51*mass_composition!$E51/100</f>
        <v>0</v>
      </c>
      <c r="AF51" s="18">
        <f>raw_data!$AF51*mass_composition!$E51/100</f>
        <v>0</v>
      </c>
      <c r="AG51" s="18">
        <f>raw_data!$AG51*mass_composition!$E51/100</f>
        <v>0</v>
      </c>
      <c r="AH51" s="18">
        <f>raw_data!$AH51*mass_composition!$E51/100</f>
        <v>0</v>
      </c>
      <c r="AI51" s="18">
        <f>raw_data!$AI51*mass_composition!$E51/100</f>
        <v>0</v>
      </c>
      <c r="AJ51" s="18">
        <f>raw_data!$AJ51*mass_composition!$E51/100</f>
        <v>0</v>
      </c>
      <c r="AK51" s="18">
        <f>raw_data!$AK51*mass_composition!$E51/100</f>
        <v>0</v>
      </c>
      <c r="AL51" s="18">
        <f>raw_data!$AL51*mass_composition!$E51/100</f>
        <v>0</v>
      </c>
      <c r="AM51" s="18">
        <f>raw_data!$AM51*mass_composition!$E51/100</f>
        <v>0</v>
      </c>
      <c r="AN51" s="18">
        <f>raw_data!$AN51*mass_composition!$E51/100</f>
        <v>0</v>
      </c>
      <c r="AO51" s="18">
        <f>raw_data!$AO51*mass_composition!$E51/100</f>
        <v>0</v>
      </c>
      <c r="AP51" s="18">
        <f>raw_data!$AP51*mass_composition!$E51/100</f>
        <v>0</v>
      </c>
      <c r="AQ51" s="18">
        <f>raw_data!$AQ51*mass_composition!$E51/100</f>
        <v>0</v>
      </c>
      <c r="AR51" s="18">
        <f>raw_data!$AR51*mass_composition!$E51/100</f>
        <v>0</v>
      </c>
      <c r="AS51" s="18">
        <f>raw_data!$AS51*mass_composition!$E51/100</f>
        <v>0</v>
      </c>
      <c r="AT51" s="18">
        <f>raw_data!$AT51*mass_composition!$E51/100</f>
        <v>0</v>
      </c>
      <c r="AU51" s="18">
        <f>raw_data!$AU51*mass_composition!$E51/100</f>
        <v>0</v>
      </c>
      <c r="AV51" s="18">
        <f>raw_data!$AV51*mass_composition!$E51/100</f>
        <v>0</v>
      </c>
      <c r="AW51" s="18">
        <f>raw_data!$AW51*mass_composition!$E51/100</f>
        <v>0</v>
      </c>
      <c r="AX51" s="18">
        <f>raw_data!$AX51*mass_composition!$E51/100</f>
        <v>0</v>
      </c>
      <c r="AY51" s="18">
        <f>raw_data!$AY51*mass_composition!$E51/100</f>
        <v>0</v>
      </c>
      <c r="AZ51" s="18">
        <f>raw_data!$AZ51*mass_composition!$E51/100</f>
        <v>0</v>
      </c>
      <c r="BA51" s="18">
        <f>raw_data!$BA51*mass_composition!$E51/100</f>
        <v>0</v>
      </c>
      <c r="BB51" s="18">
        <f>raw_data!$BB51*mass_composition!$E51/100</f>
        <v>0</v>
      </c>
      <c r="BC51" s="18">
        <f>raw_data!$BC51*mass_composition!$E51/100</f>
        <v>0</v>
      </c>
      <c r="BD51" s="18">
        <f>raw_data!$BD51*mass_composition!$E51/100</f>
        <v>0</v>
      </c>
      <c r="BE51" s="18">
        <f>raw_data!$BE51*mass_composition!$E51/100</f>
        <v>0</v>
      </c>
      <c r="BF51" s="18">
        <f>raw_data!$BF51*mass_composition!$E51/100</f>
        <v>0</v>
      </c>
      <c r="BG51" s="18">
        <f>raw_data!$BG51*mass_composition!$E51/100</f>
        <v>0</v>
      </c>
      <c r="BH51" s="18">
        <v>0</v>
      </c>
      <c r="BI51" s="18">
        <v>3.4188034188034191</v>
      </c>
      <c r="BJ51" s="18">
        <v>0</v>
      </c>
      <c r="BK51" s="18">
        <f>raw_data!$BK51*$E51/100</f>
        <v>0</v>
      </c>
      <c r="BL51" s="18">
        <f>raw_data!$BL51*$E51/100</f>
        <v>0</v>
      </c>
      <c r="BM51" s="18">
        <v>0</v>
      </c>
      <c r="BN51" s="18">
        <f>raw_data!$BN51*$E51/100</f>
        <v>0</v>
      </c>
      <c r="BO51" s="18">
        <f>raw_data!$BO51*$E51/100</f>
        <v>0</v>
      </c>
      <c r="BP51" s="18">
        <f>raw_data!$BP51*$E51/100</f>
        <v>0</v>
      </c>
      <c r="BQ51" s="18">
        <v>0</v>
      </c>
      <c r="BR51" s="18">
        <f>raw_data!$BR51*$E51/100</f>
        <v>0</v>
      </c>
      <c r="BS51" s="18">
        <v>18.980987530552216</v>
      </c>
      <c r="BT51" s="18">
        <v>1.5079972308741783</v>
      </c>
      <c r="BU51" s="18">
        <v>11.111111111111112</v>
      </c>
      <c r="BV51" s="18">
        <v>6.8376068376068382</v>
      </c>
      <c r="BW51" s="18">
        <v>0</v>
      </c>
      <c r="BX51" s="18">
        <v>0</v>
      </c>
      <c r="BY51" s="18">
        <v>21.36752136752137</v>
      </c>
      <c r="BZ51" s="18">
        <v>13.931623931623932</v>
      </c>
      <c r="CA51" s="18">
        <v>0</v>
      </c>
      <c r="CB51" s="19">
        <v>11.452991452991441</v>
      </c>
    </row>
    <row r="52" spans="1:80" x14ac:dyDescent="0.35">
      <c r="A52" s="17" t="s">
        <v>113</v>
      </c>
      <c r="B52" s="17" t="s">
        <v>164</v>
      </c>
      <c r="C52" s="17"/>
      <c r="D52" s="18">
        <f>raw_data!$D52*$C52/100</f>
        <v>0</v>
      </c>
      <c r="E52" s="18">
        <f>raw_data!$E52*$C52/100</f>
        <v>0</v>
      </c>
      <c r="F52" s="18">
        <f>raw_data!$F52*$E52/100</f>
        <v>0</v>
      </c>
      <c r="G52" s="18">
        <f>raw_data!$G52*$E52/100</f>
        <v>0</v>
      </c>
      <c r="H52" s="18">
        <v>14.582488554615516</v>
      </c>
      <c r="I52" s="18">
        <v>437.14285714285705</v>
      </c>
      <c r="J52" s="18">
        <f>raw_data!$J52*mass_composition!$E52/100</f>
        <v>0</v>
      </c>
      <c r="K52" s="18">
        <f>raw_data!$K52*mass_composition!$E52/100</f>
        <v>0</v>
      </c>
      <c r="L52" s="18">
        <f>raw_data!$L52*mass_composition!$E52/100</f>
        <v>0</v>
      </c>
      <c r="M52" s="18">
        <f>raw_data!$M52*mass_composition!$E52/100</f>
        <v>0</v>
      </c>
      <c r="N52" s="18">
        <f>raw_data!$N52*mass_composition!$E52/100</f>
        <v>0</v>
      </c>
      <c r="O52" s="18">
        <f>raw_data!$O52*mass_composition!$E52/100</f>
        <v>0</v>
      </c>
      <c r="P52" s="18">
        <f>raw_data!$P52*mass_composition!$E52/100</f>
        <v>0</v>
      </c>
      <c r="Q52" s="18">
        <f>raw_data!$Q52*mass_composition!$E52/100</f>
        <v>0</v>
      </c>
      <c r="R52" s="18">
        <f>raw_data!$R52*mass_composition!$E52/100</f>
        <v>0</v>
      </c>
      <c r="S52" s="18">
        <f>raw_data!$S52*mass_composition!$E52/100</f>
        <v>0</v>
      </c>
      <c r="T52" s="18">
        <f>raw_data!$T52*mass_composition!$E52/100</f>
        <v>0</v>
      </c>
      <c r="U52" s="18">
        <f>raw_data!$U52*mass_composition!$E52/100</f>
        <v>0</v>
      </c>
      <c r="V52" s="18">
        <f>raw_data!$V52*mass_composition!$E52/100</f>
        <v>0</v>
      </c>
      <c r="W52" s="18">
        <f>raw_data!$W52*mass_composition!$E52/100</f>
        <v>0</v>
      </c>
      <c r="X52" s="18">
        <f>raw_data!$X52*mass_composition!$E52/100</f>
        <v>0</v>
      </c>
      <c r="Y52" s="18">
        <f>raw_data!$Y52*mass_composition!$E52/100</f>
        <v>0</v>
      </c>
      <c r="Z52" s="18">
        <f>raw_data!$Z52*mass_composition!$E52/100</f>
        <v>0</v>
      </c>
      <c r="AA52" s="18">
        <f>raw_data!$AA52*mass_composition!$E52/100</f>
        <v>0</v>
      </c>
      <c r="AB52" s="18">
        <f>raw_data!$AB52*mass_composition!$E52/100</f>
        <v>0</v>
      </c>
      <c r="AC52" s="18">
        <f>raw_data!$AC52*mass_composition!$E52/100</f>
        <v>0</v>
      </c>
      <c r="AD52" s="18">
        <f>raw_data!$AD52*mass_composition!$E52/100</f>
        <v>0</v>
      </c>
      <c r="AE52" s="18">
        <f>raw_data!$AE52*mass_composition!$E52/100</f>
        <v>0</v>
      </c>
      <c r="AF52" s="18">
        <f>raw_data!$AF52*mass_composition!$E52/100</f>
        <v>0</v>
      </c>
      <c r="AG52" s="18">
        <f>raw_data!$AG52*mass_composition!$E52/100</f>
        <v>0</v>
      </c>
      <c r="AH52" s="18">
        <f>raw_data!$AH52*mass_composition!$E52/100</f>
        <v>0</v>
      </c>
      <c r="AI52" s="18">
        <f>raw_data!$AI52*mass_composition!$E52/100</f>
        <v>0</v>
      </c>
      <c r="AJ52" s="18">
        <f>raw_data!$AJ52*mass_composition!$E52/100</f>
        <v>0</v>
      </c>
      <c r="AK52" s="18">
        <f>raw_data!$AK52*mass_composition!$E52/100</f>
        <v>0</v>
      </c>
      <c r="AL52" s="18">
        <f>raw_data!$AL52*mass_composition!$E52/100</f>
        <v>0</v>
      </c>
      <c r="AM52" s="18">
        <f>raw_data!$AM52*mass_composition!$E52/100</f>
        <v>0</v>
      </c>
      <c r="AN52" s="18">
        <f>raw_data!$AN52*mass_composition!$E52/100</f>
        <v>0</v>
      </c>
      <c r="AO52" s="18">
        <f>raw_data!$AO52*mass_composition!$E52/100</f>
        <v>0</v>
      </c>
      <c r="AP52" s="18">
        <f>raw_data!$AP52*mass_composition!$E52/100</f>
        <v>0</v>
      </c>
      <c r="AQ52" s="18">
        <f>raw_data!$AQ52*mass_composition!$E52/100</f>
        <v>0</v>
      </c>
      <c r="AR52" s="18">
        <f>raw_data!$AR52*mass_composition!$E52/100</f>
        <v>0</v>
      </c>
      <c r="AS52" s="18">
        <f>raw_data!$AS52*mass_composition!$E52/100</f>
        <v>0</v>
      </c>
      <c r="AT52" s="18">
        <f>raw_data!$AT52*mass_composition!$E52/100</f>
        <v>0</v>
      </c>
      <c r="AU52" s="18">
        <f>raw_data!$AU52*mass_composition!$E52/100</f>
        <v>0</v>
      </c>
      <c r="AV52" s="18">
        <f>raw_data!$AV52*mass_composition!$E52/100</f>
        <v>0</v>
      </c>
      <c r="AW52" s="18">
        <f>raw_data!$AW52*mass_composition!$E52/100</f>
        <v>0</v>
      </c>
      <c r="AX52" s="18">
        <f>raw_data!$AX52*mass_composition!$E52/100</f>
        <v>0</v>
      </c>
      <c r="AY52" s="18">
        <f>raw_data!$AY52*mass_composition!$E52/100</f>
        <v>0</v>
      </c>
      <c r="AZ52" s="18">
        <f>raw_data!$AZ52*mass_composition!$E52/100</f>
        <v>0</v>
      </c>
      <c r="BA52" s="18">
        <f>raw_data!$BA52*mass_composition!$E52/100</f>
        <v>0</v>
      </c>
      <c r="BB52" s="18">
        <f>raw_data!$BB52*mass_composition!$E52/100</f>
        <v>0</v>
      </c>
      <c r="BC52" s="18">
        <f>raw_data!$BC52*mass_composition!$E52/100</f>
        <v>0</v>
      </c>
      <c r="BD52" s="18">
        <f>raw_data!$BD52*mass_composition!$E52/100</f>
        <v>0</v>
      </c>
      <c r="BE52" s="18">
        <f>raw_data!$BE52*mass_composition!$E52/100</f>
        <v>0</v>
      </c>
      <c r="BF52" s="18">
        <f>raw_data!$BF52*mass_composition!$E52/100</f>
        <v>0</v>
      </c>
      <c r="BG52" s="18">
        <f>raw_data!$BG52*mass_composition!$E52/100</f>
        <v>0</v>
      </c>
      <c r="BH52" s="18">
        <v>0</v>
      </c>
      <c r="BI52" s="18">
        <v>12.962962962962962</v>
      </c>
      <c r="BJ52" s="18">
        <v>11.111111111111111</v>
      </c>
      <c r="BK52" s="18">
        <f>raw_data!$BK52*$E52/100</f>
        <v>0</v>
      </c>
      <c r="BL52" s="18">
        <f>raw_data!$BL52*$E52/100</f>
        <v>0</v>
      </c>
      <c r="BM52" s="18">
        <v>0</v>
      </c>
      <c r="BN52" s="18">
        <f>raw_data!$BN52*$E52/100</f>
        <v>0</v>
      </c>
      <c r="BO52" s="18">
        <f>raw_data!$BO52*$E52/100</f>
        <v>0</v>
      </c>
      <c r="BP52" s="18">
        <f>raw_data!$BP52*$E52/100</f>
        <v>0</v>
      </c>
      <c r="BQ52" s="18">
        <v>0</v>
      </c>
      <c r="BR52" s="18">
        <f>raw_data!$BR52*$E52/100</f>
        <v>0</v>
      </c>
      <c r="BS52" s="18">
        <v>16.33765259259259</v>
      </c>
      <c r="BT52" s="18">
        <v>1.2467938414074071</v>
      </c>
      <c r="BU52" s="18">
        <v>16.666666666666664</v>
      </c>
      <c r="BV52" s="18">
        <v>20.370370370370374</v>
      </c>
      <c r="BW52" s="18">
        <v>0</v>
      </c>
      <c r="BX52" s="18">
        <v>0</v>
      </c>
      <c r="BY52" s="18">
        <v>50</v>
      </c>
      <c r="BZ52" s="18">
        <v>13.888888888888888</v>
      </c>
      <c r="CA52" s="18">
        <v>0</v>
      </c>
      <c r="CB52" s="19">
        <v>16.666666666666657</v>
      </c>
    </row>
    <row r="53" spans="1:80" x14ac:dyDescent="0.35">
      <c r="A53" s="17" t="s">
        <v>113</v>
      </c>
      <c r="B53" s="17" t="s">
        <v>165</v>
      </c>
      <c r="C53" s="17"/>
      <c r="D53" s="18">
        <f>raw_data!$D53*$C53/100</f>
        <v>0</v>
      </c>
      <c r="E53" s="18">
        <f>raw_data!$E53*$C53/100</f>
        <v>0</v>
      </c>
      <c r="F53" s="18">
        <f>raw_data!$F53*$E53/100</f>
        <v>0</v>
      </c>
      <c r="G53" s="18">
        <f>raw_data!$G53*$E53/100</f>
        <v>0</v>
      </c>
      <c r="H53" s="18">
        <v>15.659455081333208</v>
      </c>
      <c r="I53" s="18">
        <v>438.95299145299145</v>
      </c>
      <c r="J53" s="18">
        <f>raw_data!$J53*mass_composition!$E53/100</f>
        <v>0</v>
      </c>
      <c r="K53" s="18">
        <f>raw_data!$K53*mass_composition!$E53/100</f>
        <v>0</v>
      </c>
      <c r="L53" s="18">
        <f>raw_data!$L53*mass_composition!$E53/100</f>
        <v>0</v>
      </c>
      <c r="M53" s="18">
        <f>raw_data!$M53*mass_composition!$E53/100</f>
        <v>0</v>
      </c>
      <c r="N53" s="18">
        <f>raw_data!$N53*mass_composition!$E53/100</f>
        <v>0</v>
      </c>
      <c r="O53" s="18">
        <f>raw_data!$O53*mass_composition!$E53/100</f>
        <v>0</v>
      </c>
      <c r="P53" s="18">
        <f>raw_data!$P53*mass_composition!$E53/100</f>
        <v>0</v>
      </c>
      <c r="Q53" s="18">
        <f>raw_data!$Q53*mass_composition!$E53/100</f>
        <v>0</v>
      </c>
      <c r="R53" s="18">
        <f>raw_data!$R53*mass_composition!$E53/100</f>
        <v>0</v>
      </c>
      <c r="S53" s="18">
        <f>raw_data!$S53*mass_composition!$E53/100</f>
        <v>0</v>
      </c>
      <c r="T53" s="18">
        <f>raw_data!$T53*mass_composition!$E53/100</f>
        <v>0</v>
      </c>
      <c r="U53" s="18">
        <f>raw_data!$U53*mass_composition!$E53/100</f>
        <v>0</v>
      </c>
      <c r="V53" s="18">
        <f>raw_data!$V53*mass_composition!$E53/100</f>
        <v>0</v>
      </c>
      <c r="W53" s="18">
        <f>raw_data!$W53*mass_composition!$E53/100</f>
        <v>0</v>
      </c>
      <c r="X53" s="18">
        <f>raw_data!$X53*mass_composition!$E53/100</f>
        <v>0</v>
      </c>
      <c r="Y53" s="18">
        <f>raw_data!$Y53*mass_composition!$E53/100</f>
        <v>0</v>
      </c>
      <c r="Z53" s="18">
        <f>raw_data!$Z53*mass_composition!$E53/100</f>
        <v>0</v>
      </c>
      <c r="AA53" s="18">
        <f>raw_data!$AA53*mass_composition!$E53/100</f>
        <v>0</v>
      </c>
      <c r="AB53" s="18">
        <f>raw_data!$AB53*mass_composition!$E53/100</f>
        <v>0</v>
      </c>
      <c r="AC53" s="18">
        <f>raw_data!$AC53*mass_composition!$E53/100</f>
        <v>0</v>
      </c>
      <c r="AD53" s="18">
        <f>raw_data!$AD53*mass_composition!$E53/100</f>
        <v>0</v>
      </c>
      <c r="AE53" s="18">
        <f>raw_data!$AE53*mass_composition!$E53/100</f>
        <v>0</v>
      </c>
      <c r="AF53" s="18">
        <f>raw_data!$AF53*mass_composition!$E53/100</f>
        <v>0</v>
      </c>
      <c r="AG53" s="18">
        <f>raw_data!$AG53*mass_composition!$E53/100</f>
        <v>0</v>
      </c>
      <c r="AH53" s="18">
        <f>raw_data!$AH53*mass_composition!$E53/100</f>
        <v>0</v>
      </c>
      <c r="AI53" s="18">
        <f>raw_data!$AI53*mass_composition!$E53/100</f>
        <v>0</v>
      </c>
      <c r="AJ53" s="18">
        <f>raw_data!$AJ53*mass_composition!$E53/100</f>
        <v>0</v>
      </c>
      <c r="AK53" s="18">
        <f>raw_data!$AK53*mass_composition!$E53/100</f>
        <v>0</v>
      </c>
      <c r="AL53" s="18">
        <f>raw_data!$AL53*mass_composition!$E53/100</f>
        <v>0</v>
      </c>
      <c r="AM53" s="18">
        <f>raw_data!$AM53*mass_composition!$E53/100</f>
        <v>0</v>
      </c>
      <c r="AN53" s="18">
        <f>raw_data!$AN53*mass_composition!$E53/100</f>
        <v>0</v>
      </c>
      <c r="AO53" s="18">
        <f>raw_data!$AO53*mass_composition!$E53/100</f>
        <v>0</v>
      </c>
      <c r="AP53" s="18">
        <f>raw_data!$AP53*mass_composition!$E53/100</f>
        <v>0</v>
      </c>
      <c r="AQ53" s="18">
        <f>raw_data!$AQ53*mass_composition!$E53/100</f>
        <v>0</v>
      </c>
      <c r="AR53" s="18">
        <f>raw_data!$AR53*mass_composition!$E53/100</f>
        <v>0</v>
      </c>
      <c r="AS53" s="18">
        <f>raw_data!$AS53*mass_composition!$E53/100</f>
        <v>0</v>
      </c>
      <c r="AT53" s="18">
        <f>raw_data!$AT53*mass_composition!$E53/100</f>
        <v>0</v>
      </c>
      <c r="AU53" s="18">
        <f>raw_data!$AU53*mass_composition!$E53/100</f>
        <v>0</v>
      </c>
      <c r="AV53" s="18">
        <f>raw_data!$AV53*mass_composition!$E53/100</f>
        <v>0</v>
      </c>
      <c r="AW53" s="18">
        <f>raw_data!$AW53*mass_composition!$E53/100</f>
        <v>0</v>
      </c>
      <c r="AX53" s="18">
        <f>raw_data!$AX53*mass_composition!$E53/100</f>
        <v>0</v>
      </c>
      <c r="AY53" s="18">
        <f>raw_data!$AY53*mass_composition!$E53/100</f>
        <v>0</v>
      </c>
      <c r="AZ53" s="18">
        <f>raw_data!$AZ53*mass_composition!$E53/100</f>
        <v>0</v>
      </c>
      <c r="BA53" s="18">
        <f>raw_data!$BA53*mass_composition!$E53/100</f>
        <v>0</v>
      </c>
      <c r="BB53" s="18">
        <f>raw_data!$BB53*mass_composition!$E53/100</f>
        <v>0</v>
      </c>
      <c r="BC53" s="18">
        <f>raw_data!$BC53*mass_composition!$E53/100</f>
        <v>0</v>
      </c>
      <c r="BD53" s="18">
        <f>raw_data!$BD53*mass_composition!$E53/100</f>
        <v>0</v>
      </c>
      <c r="BE53" s="18">
        <f>raw_data!$BE53*mass_composition!$E53/100</f>
        <v>0</v>
      </c>
      <c r="BF53" s="18">
        <f>raw_data!$BF53*mass_composition!$E53/100</f>
        <v>0</v>
      </c>
      <c r="BG53" s="18">
        <f>raw_data!$BG53*mass_composition!$E53/100</f>
        <v>0</v>
      </c>
      <c r="BH53" s="18">
        <v>0</v>
      </c>
      <c r="BI53" s="18">
        <v>15.655737704918032</v>
      </c>
      <c r="BJ53" s="18">
        <v>0</v>
      </c>
      <c r="BK53" s="18">
        <f>raw_data!$BK53*$E53/100</f>
        <v>0</v>
      </c>
      <c r="BL53" s="18">
        <f>raw_data!$BL53*$E53/100</f>
        <v>0</v>
      </c>
      <c r="BM53" s="18">
        <v>0</v>
      </c>
      <c r="BN53" s="18">
        <f>raw_data!$BN53*$E53/100</f>
        <v>0</v>
      </c>
      <c r="BO53" s="18">
        <f>raw_data!$BO53*$E53/100</f>
        <v>0</v>
      </c>
      <c r="BP53" s="18">
        <f>raw_data!$BP53*$E53/100</f>
        <v>0</v>
      </c>
      <c r="BQ53" s="18">
        <v>0</v>
      </c>
      <c r="BR53" s="18">
        <f>raw_data!$BR53*$E53/100</f>
        <v>0</v>
      </c>
      <c r="BS53" s="18">
        <v>17.297551573503675</v>
      </c>
      <c r="BT53" s="18">
        <v>1.3412301047178743</v>
      </c>
      <c r="BU53" s="18">
        <v>15.000000000000002</v>
      </c>
      <c r="BV53" s="18">
        <v>18.360655737704921</v>
      </c>
      <c r="BW53" s="18">
        <v>0</v>
      </c>
      <c r="BX53" s="18">
        <v>0</v>
      </c>
      <c r="BY53" s="18">
        <v>49.016393442622956</v>
      </c>
      <c r="BZ53" s="18">
        <v>15.409836065573771</v>
      </c>
      <c r="CA53" s="18">
        <v>0</v>
      </c>
      <c r="CB53" s="19">
        <v>23.688524590163922</v>
      </c>
    </row>
    <row r="54" spans="1:80" x14ac:dyDescent="0.35">
      <c r="A54" s="17" t="s">
        <v>113</v>
      </c>
      <c r="B54" s="17" t="s">
        <v>166</v>
      </c>
      <c r="C54" s="17"/>
      <c r="D54" s="18">
        <f>raw_data!$D54*$C54/100</f>
        <v>0</v>
      </c>
      <c r="E54" s="18">
        <f>raw_data!$E54*$C54/100</f>
        <v>0</v>
      </c>
      <c r="F54" s="18">
        <f>raw_data!$F54*$E54/100</f>
        <v>0</v>
      </c>
      <c r="G54" s="18">
        <f>raw_data!$G54*$E54/100</f>
        <v>0</v>
      </c>
      <c r="H54" s="18">
        <v>13.887309108410207</v>
      </c>
      <c r="I54" s="18">
        <v>444.41666666666663</v>
      </c>
      <c r="J54" s="18">
        <f>raw_data!$J54*mass_composition!$E54/100</f>
        <v>0</v>
      </c>
      <c r="K54" s="18">
        <f>raw_data!$K54*mass_composition!$E54/100</f>
        <v>0</v>
      </c>
      <c r="L54" s="18">
        <f>raw_data!$L54*mass_composition!$E54/100</f>
        <v>0</v>
      </c>
      <c r="M54" s="18">
        <f>raw_data!$M54*mass_composition!$E54/100</f>
        <v>0</v>
      </c>
      <c r="N54" s="18">
        <f>raw_data!$N54*mass_composition!$E54/100</f>
        <v>0</v>
      </c>
      <c r="O54" s="18">
        <f>raw_data!$O54*mass_composition!$E54/100</f>
        <v>0</v>
      </c>
      <c r="P54" s="18">
        <f>raw_data!$P54*mass_composition!$E54/100</f>
        <v>0</v>
      </c>
      <c r="Q54" s="18">
        <f>raw_data!$Q54*mass_composition!$E54/100</f>
        <v>0</v>
      </c>
      <c r="R54" s="18">
        <f>raw_data!$R54*mass_composition!$E54/100</f>
        <v>0</v>
      </c>
      <c r="S54" s="18">
        <f>raw_data!$S54*mass_composition!$E54/100</f>
        <v>0</v>
      </c>
      <c r="T54" s="18">
        <f>raw_data!$T54*mass_composition!$E54/100</f>
        <v>0</v>
      </c>
      <c r="U54" s="18">
        <f>raw_data!$U54*mass_composition!$E54/100</f>
        <v>0</v>
      </c>
      <c r="V54" s="18">
        <f>raw_data!$V54*mass_composition!$E54/100</f>
        <v>0</v>
      </c>
      <c r="W54" s="18">
        <f>raw_data!$W54*mass_composition!$E54/100</f>
        <v>0</v>
      </c>
      <c r="X54" s="18">
        <f>raw_data!$X54*mass_composition!$E54/100</f>
        <v>0</v>
      </c>
      <c r="Y54" s="18">
        <f>raw_data!$Y54*mass_composition!$E54/100</f>
        <v>0</v>
      </c>
      <c r="Z54" s="18">
        <f>raw_data!$Z54*mass_composition!$E54/100</f>
        <v>0</v>
      </c>
      <c r="AA54" s="18">
        <f>raw_data!$AA54*mass_composition!$E54/100</f>
        <v>0</v>
      </c>
      <c r="AB54" s="18">
        <f>raw_data!$AB54*mass_composition!$E54/100</f>
        <v>0</v>
      </c>
      <c r="AC54" s="18">
        <f>raw_data!$AC54*mass_composition!$E54/100</f>
        <v>0</v>
      </c>
      <c r="AD54" s="18">
        <f>raw_data!$AD54*mass_composition!$E54/100</f>
        <v>0</v>
      </c>
      <c r="AE54" s="18">
        <f>raw_data!$AE54*mass_composition!$E54/100</f>
        <v>0</v>
      </c>
      <c r="AF54" s="18">
        <f>raw_data!$AF54*mass_composition!$E54/100</f>
        <v>0</v>
      </c>
      <c r="AG54" s="18">
        <f>raw_data!$AG54*mass_composition!$E54/100</f>
        <v>0</v>
      </c>
      <c r="AH54" s="18">
        <f>raw_data!$AH54*mass_composition!$E54/100</f>
        <v>0</v>
      </c>
      <c r="AI54" s="18">
        <f>raw_data!$AI54*mass_composition!$E54/100</f>
        <v>0</v>
      </c>
      <c r="AJ54" s="18">
        <f>raw_data!$AJ54*mass_composition!$E54/100</f>
        <v>0</v>
      </c>
      <c r="AK54" s="18">
        <f>raw_data!$AK54*mass_composition!$E54/100</f>
        <v>0</v>
      </c>
      <c r="AL54" s="18">
        <f>raw_data!$AL54*mass_composition!$E54/100</f>
        <v>0</v>
      </c>
      <c r="AM54" s="18">
        <f>raw_data!$AM54*mass_composition!$E54/100</f>
        <v>0</v>
      </c>
      <c r="AN54" s="18">
        <f>raw_data!$AN54*mass_composition!$E54/100</f>
        <v>0</v>
      </c>
      <c r="AO54" s="18">
        <f>raw_data!$AO54*mass_composition!$E54/100</f>
        <v>0</v>
      </c>
      <c r="AP54" s="18">
        <f>raw_data!$AP54*mass_composition!$E54/100</f>
        <v>0</v>
      </c>
      <c r="AQ54" s="18">
        <f>raw_data!$AQ54*mass_composition!$E54/100</f>
        <v>0</v>
      </c>
      <c r="AR54" s="18">
        <f>raw_data!$AR54*mass_composition!$E54/100</f>
        <v>0</v>
      </c>
      <c r="AS54" s="18">
        <f>raw_data!$AS54*mass_composition!$E54/100</f>
        <v>0</v>
      </c>
      <c r="AT54" s="18">
        <f>raw_data!$AT54*mass_composition!$E54/100</f>
        <v>0</v>
      </c>
      <c r="AU54" s="18">
        <f>raw_data!$AU54*mass_composition!$E54/100</f>
        <v>0</v>
      </c>
      <c r="AV54" s="18">
        <f>raw_data!$AV54*mass_composition!$E54/100</f>
        <v>0</v>
      </c>
      <c r="AW54" s="18">
        <f>raw_data!$AW54*mass_composition!$E54/100</f>
        <v>0</v>
      </c>
      <c r="AX54" s="18">
        <f>raw_data!$AX54*mass_composition!$E54/100</f>
        <v>0</v>
      </c>
      <c r="AY54" s="18">
        <f>raw_data!$AY54*mass_composition!$E54/100</f>
        <v>0</v>
      </c>
      <c r="AZ54" s="18">
        <f>raw_data!$AZ54*mass_composition!$E54/100</f>
        <v>0</v>
      </c>
      <c r="BA54" s="18">
        <f>raw_data!$BA54*mass_composition!$E54/100</f>
        <v>0</v>
      </c>
      <c r="BB54" s="18">
        <f>raw_data!$BB54*mass_composition!$E54/100</f>
        <v>0</v>
      </c>
      <c r="BC54" s="18">
        <f>raw_data!$BC54*mass_composition!$E54/100</f>
        <v>0</v>
      </c>
      <c r="BD54" s="18">
        <f>raw_data!$BD54*mass_composition!$E54/100</f>
        <v>0</v>
      </c>
      <c r="BE54" s="18">
        <f>raw_data!$BE54*mass_composition!$E54/100</f>
        <v>0</v>
      </c>
      <c r="BF54" s="18">
        <f>raw_data!$BF54*mass_composition!$E54/100</f>
        <v>0</v>
      </c>
      <c r="BG54" s="18">
        <f>raw_data!$BG54*mass_composition!$E54/100</f>
        <v>0</v>
      </c>
      <c r="BH54" s="18">
        <v>0</v>
      </c>
      <c r="BI54" s="18">
        <v>4.225352112676056</v>
      </c>
      <c r="BJ54" s="18">
        <v>1.4084507042253522</v>
      </c>
      <c r="BK54" s="18">
        <f>raw_data!$BK54*$E54/100</f>
        <v>0</v>
      </c>
      <c r="BL54" s="18">
        <f>raw_data!$BL54*$E54/100</f>
        <v>0</v>
      </c>
      <c r="BM54" s="18">
        <v>0</v>
      </c>
      <c r="BN54" s="18">
        <f>raw_data!$BN54*$E54/100</f>
        <v>0</v>
      </c>
      <c r="BO54" s="18">
        <f>raw_data!$BO54*$E54/100</f>
        <v>0</v>
      </c>
      <c r="BP54" s="18">
        <f>raw_data!$BP54*$E54/100</f>
        <v>0</v>
      </c>
      <c r="BQ54" s="18">
        <v>0</v>
      </c>
      <c r="BR54" s="18">
        <f>raw_data!$BR54*$E54/100</f>
        <v>0</v>
      </c>
      <c r="BS54" s="18">
        <v>15.334245352112678</v>
      </c>
      <c r="BT54" s="18">
        <v>1.1475568653239439</v>
      </c>
      <c r="BU54" s="18">
        <v>5.6338028169014089</v>
      </c>
      <c r="BV54" s="18">
        <v>7.042253521126761</v>
      </c>
      <c r="BW54" s="18">
        <v>0</v>
      </c>
      <c r="BX54" s="18">
        <v>0</v>
      </c>
      <c r="BY54" s="18">
        <v>16.901408450704224</v>
      </c>
      <c r="BZ54" s="18">
        <v>12.816901408450704</v>
      </c>
      <c r="CA54" s="18">
        <v>0</v>
      </c>
      <c r="CB54" s="19">
        <v>53.521126760563376</v>
      </c>
    </row>
    <row r="55" spans="1:80" x14ac:dyDescent="0.35">
      <c r="A55" s="17" t="s">
        <v>113</v>
      </c>
      <c r="B55" s="17" t="s">
        <v>167</v>
      </c>
      <c r="C55" s="17"/>
      <c r="D55" s="18">
        <f>raw_data!$D55*$C55/100</f>
        <v>0</v>
      </c>
      <c r="E55" s="18">
        <f>raw_data!$E55*$C55/100</f>
        <v>0</v>
      </c>
      <c r="F55" s="18">
        <f>raw_data!$F55*$E55/100</f>
        <v>0</v>
      </c>
      <c r="G55" s="18">
        <f>raw_data!$G55*$E55/100</f>
        <v>0</v>
      </c>
      <c r="H55" s="18">
        <v>14.762229032238551</v>
      </c>
      <c r="I55" s="18">
        <v>437.13333333333333</v>
      </c>
      <c r="J55" s="18">
        <f>raw_data!$J55*mass_composition!$E55/100</f>
        <v>0</v>
      </c>
      <c r="K55" s="18">
        <f>raw_data!$K55*mass_composition!$E55/100</f>
        <v>0</v>
      </c>
      <c r="L55" s="18">
        <f>raw_data!$L55*mass_composition!$E55/100</f>
        <v>0</v>
      </c>
      <c r="M55" s="18">
        <f>raw_data!$M55*mass_composition!$E55/100</f>
        <v>0</v>
      </c>
      <c r="N55" s="18">
        <f>raw_data!$N55*mass_composition!$E55/100</f>
        <v>0</v>
      </c>
      <c r="O55" s="18">
        <f>raw_data!$O55*mass_composition!$E55/100</f>
        <v>0</v>
      </c>
      <c r="P55" s="18">
        <f>raw_data!$P55*mass_composition!$E55/100</f>
        <v>0</v>
      </c>
      <c r="Q55" s="18">
        <f>raw_data!$Q55*mass_composition!$E55/100</f>
        <v>0</v>
      </c>
      <c r="R55" s="18">
        <f>raw_data!$R55*mass_composition!$E55/100</f>
        <v>0</v>
      </c>
      <c r="S55" s="18">
        <f>raw_data!$S55*mass_composition!$E55/100</f>
        <v>0</v>
      </c>
      <c r="T55" s="18">
        <f>raw_data!$T55*mass_composition!$E55/100</f>
        <v>0</v>
      </c>
      <c r="U55" s="18">
        <f>raw_data!$U55*mass_composition!$E55/100</f>
        <v>0</v>
      </c>
      <c r="V55" s="18">
        <f>raw_data!$V55*mass_composition!$E55/100</f>
        <v>0</v>
      </c>
      <c r="W55" s="18">
        <f>raw_data!$W55*mass_composition!$E55/100</f>
        <v>0</v>
      </c>
      <c r="X55" s="18">
        <f>raw_data!$X55*mass_composition!$E55/100</f>
        <v>0</v>
      </c>
      <c r="Y55" s="18">
        <f>raw_data!$Y55*mass_composition!$E55/100</f>
        <v>0</v>
      </c>
      <c r="Z55" s="18">
        <f>raw_data!$Z55*mass_composition!$E55/100</f>
        <v>0</v>
      </c>
      <c r="AA55" s="18">
        <f>raw_data!$AA55*mass_composition!$E55/100</f>
        <v>0</v>
      </c>
      <c r="AB55" s="18">
        <f>raw_data!$AB55*mass_composition!$E55/100</f>
        <v>0</v>
      </c>
      <c r="AC55" s="18">
        <f>raw_data!$AC55*mass_composition!$E55/100</f>
        <v>0</v>
      </c>
      <c r="AD55" s="18">
        <f>raw_data!$AD55*mass_composition!$E55/100</f>
        <v>0</v>
      </c>
      <c r="AE55" s="18">
        <f>raw_data!$AE55*mass_composition!$E55/100</f>
        <v>0</v>
      </c>
      <c r="AF55" s="18">
        <f>raw_data!$AF55*mass_composition!$E55/100</f>
        <v>0</v>
      </c>
      <c r="AG55" s="18">
        <f>raw_data!$AG55*mass_composition!$E55/100</f>
        <v>0</v>
      </c>
      <c r="AH55" s="18">
        <f>raw_data!$AH55*mass_composition!$E55/100</f>
        <v>0</v>
      </c>
      <c r="AI55" s="18">
        <f>raw_data!$AI55*mass_composition!$E55/100</f>
        <v>0</v>
      </c>
      <c r="AJ55" s="18">
        <f>raw_data!$AJ55*mass_composition!$E55/100</f>
        <v>0</v>
      </c>
      <c r="AK55" s="18">
        <f>raw_data!$AK55*mass_composition!$E55/100</f>
        <v>0</v>
      </c>
      <c r="AL55" s="18">
        <f>raw_data!$AL55*mass_composition!$E55/100</f>
        <v>0</v>
      </c>
      <c r="AM55" s="18">
        <f>raw_data!$AM55*mass_composition!$E55/100</f>
        <v>0</v>
      </c>
      <c r="AN55" s="18">
        <f>raw_data!$AN55*mass_composition!$E55/100</f>
        <v>0</v>
      </c>
      <c r="AO55" s="18">
        <f>raw_data!$AO55*mass_composition!$E55/100</f>
        <v>0</v>
      </c>
      <c r="AP55" s="18">
        <f>raw_data!$AP55*mass_composition!$E55/100</f>
        <v>0</v>
      </c>
      <c r="AQ55" s="18">
        <f>raw_data!$AQ55*mass_composition!$E55/100</f>
        <v>0</v>
      </c>
      <c r="AR55" s="18">
        <f>raw_data!$AR55*mass_composition!$E55/100</f>
        <v>0</v>
      </c>
      <c r="AS55" s="18">
        <f>raw_data!$AS55*mass_composition!$E55/100</f>
        <v>0</v>
      </c>
      <c r="AT55" s="18">
        <f>raw_data!$AT55*mass_composition!$E55/100</f>
        <v>0</v>
      </c>
      <c r="AU55" s="18">
        <f>raw_data!$AU55*mass_composition!$E55/100</f>
        <v>0</v>
      </c>
      <c r="AV55" s="18">
        <f>raw_data!$AV55*mass_composition!$E55/100</f>
        <v>0</v>
      </c>
      <c r="AW55" s="18">
        <f>raw_data!$AW55*mass_composition!$E55/100</f>
        <v>0</v>
      </c>
      <c r="AX55" s="18">
        <f>raw_data!$AX55*mass_composition!$E55/100</f>
        <v>0</v>
      </c>
      <c r="AY55" s="18">
        <f>raw_data!$AY55*mass_composition!$E55/100</f>
        <v>0</v>
      </c>
      <c r="AZ55" s="18">
        <f>raw_data!$AZ55*mass_composition!$E55/100</f>
        <v>0</v>
      </c>
      <c r="BA55" s="18">
        <f>raw_data!$BA55*mass_composition!$E55/100</f>
        <v>0</v>
      </c>
      <c r="BB55" s="18">
        <f>raw_data!$BB55*mass_composition!$E55/100</f>
        <v>0</v>
      </c>
      <c r="BC55" s="18">
        <f>raw_data!$BC55*mass_composition!$E55/100</f>
        <v>0</v>
      </c>
      <c r="BD55" s="18">
        <f>raw_data!$BD55*mass_composition!$E55/100</f>
        <v>0</v>
      </c>
      <c r="BE55" s="18">
        <f>raw_data!$BE55*mass_composition!$E55/100</f>
        <v>0</v>
      </c>
      <c r="BF55" s="18">
        <f>raw_data!$BF55*mass_composition!$E55/100</f>
        <v>0</v>
      </c>
      <c r="BG55" s="18">
        <f>raw_data!$BG55*mass_composition!$E55/100</f>
        <v>0</v>
      </c>
      <c r="BH55" s="18">
        <v>0</v>
      </c>
      <c r="BI55" s="18">
        <v>1.5384615384615385</v>
      </c>
      <c r="BJ55" s="18">
        <v>3.0769230769230771</v>
      </c>
      <c r="BK55" s="18">
        <f>raw_data!$BK55*$E55/100</f>
        <v>0</v>
      </c>
      <c r="BL55" s="18">
        <f>raw_data!$BL55*$E55/100</f>
        <v>0</v>
      </c>
      <c r="BM55" s="18">
        <v>0</v>
      </c>
      <c r="BN55" s="18">
        <f>raw_data!$BN55*$E55/100</f>
        <v>0</v>
      </c>
      <c r="BO55" s="18">
        <f>raw_data!$BO55*$E55/100</f>
        <v>0</v>
      </c>
      <c r="BP55" s="18">
        <f>raw_data!$BP55*$E55/100</f>
        <v>0</v>
      </c>
      <c r="BQ55" s="18">
        <v>0</v>
      </c>
      <c r="BR55" s="18">
        <f>raw_data!$BR55*$E55/100</f>
        <v>0</v>
      </c>
      <c r="BS55" s="18">
        <v>16.734592307692306</v>
      </c>
      <c r="BT55" s="18">
        <v>1.2860511792307692</v>
      </c>
      <c r="BU55" s="18">
        <v>21.538461538461537</v>
      </c>
      <c r="BV55" s="18">
        <v>21.538461538461537</v>
      </c>
      <c r="BW55" s="18">
        <v>0</v>
      </c>
      <c r="BX55" s="18">
        <v>0</v>
      </c>
      <c r="BY55" s="18">
        <v>44.615384615384613</v>
      </c>
      <c r="BZ55" s="18">
        <v>12.76923076923077</v>
      </c>
      <c r="CA55" s="18">
        <v>0</v>
      </c>
      <c r="CB55" s="19">
        <v>29.230769230769226</v>
      </c>
    </row>
    <row r="56" spans="1:80" x14ac:dyDescent="0.35">
      <c r="A56" s="17" t="s">
        <v>113</v>
      </c>
      <c r="B56" s="17" t="s">
        <v>168</v>
      </c>
      <c r="C56" s="17"/>
      <c r="D56" s="18">
        <f>raw_data!$D56*$C56/100</f>
        <v>0</v>
      </c>
      <c r="E56" s="18">
        <f>raw_data!$E56*$C56/100</f>
        <v>0</v>
      </c>
      <c r="F56" s="18">
        <f>raw_data!$F56*$E56/100</f>
        <v>0</v>
      </c>
      <c r="G56" s="18">
        <f>raw_data!$G56*$E56/100</f>
        <v>0</v>
      </c>
      <c r="H56" s="18">
        <v>15.543519724145114</v>
      </c>
      <c r="I56" s="18">
        <v>463.22916666666657</v>
      </c>
      <c r="J56" s="18">
        <f>raw_data!$J56*mass_composition!$E56/100</f>
        <v>0</v>
      </c>
      <c r="K56" s="18">
        <f>raw_data!$K56*mass_composition!$E56/100</f>
        <v>0</v>
      </c>
      <c r="L56" s="18">
        <f>raw_data!$L56*mass_composition!$E56/100</f>
        <v>0</v>
      </c>
      <c r="M56" s="18">
        <f>raw_data!$M56*mass_composition!$E56/100</f>
        <v>0</v>
      </c>
      <c r="N56" s="18">
        <f>raw_data!$N56*mass_composition!$E56/100</f>
        <v>0</v>
      </c>
      <c r="O56" s="18">
        <f>raw_data!$O56*mass_composition!$E56/100</f>
        <v>0</v>
      </c>
      <c r="P56" s="18">
        <f>raw_data!$P56*mass_composition!$E56/100</f>
        <v>0</v>
      </c>
      <c r="Q56" s="18">
        <f>raw_data!$Q56*mass_composition!$E56/100</f>
        <v>0</v>
      </c>
      <c r="R56" s="18">
        <f>raw_data!$R56*mass_composition!$E56/100</f>
        <v>0</v>
      </c>
      <c r="S56" s="18">
        <f>raw_data!$S56*mass_composition!$E56/100</f>
        <v>0</v>
      </c>
      <c r="T56" s="18">
        <f>raw_data!$T56*mass_composition!$E56/100</f>
        <v>0</v>
      </c>
      <c r="U56" s="18">
        <f>raw_data!$U56*mass_composition!$E56/100</f>
        <v>0</v>
      </c>
      <c r="V56" s="18">
        <f>raw_data!$V56*mass_composition!$E56/100</f>
        <v>0</v>
      </c>
      <c r="W56" s="18">
        <f>raw_data!$W56*mass_composition!$E56/100</f>
        <v>0</v>
      </c>
      <c r="X56" s="18">
        <f>raw_data!$X56*mass_composition!$E56/100</f>
        <v>0</v>
      </c>
      <c r="Y56" s="18">
        <f>raw_data!$Y56*mass_composition!$E56/100</f>
        <v>0</v>
      </c>
      <c r="Z56" s="18">
        <f>raw_data!$Z56*mass_composition!$E56/100</f>
        <v>0</v>
      </c>
      <c r="AA56" s="18">
        <f>raw_data!$AA56*mass_composition!$E56/100</f>
        <v>0</v>
      </c>
      <c r="AB56" s="18">
        <f>raw_data!$AB56*mass_composition!$E56/100</f>
        <v>0</v>
      </c>
      <c r="AC56" s="18">
        <f>raw_data!$AC56*mass_composition!$E56/100</f>
        <v>0</v>
      </c>
      <c r="AD56" s="18">
        <f>raw_data!$AD56*mass_composition!$E56/100</f>
        <v>0</v>
      </c>
      <c r="AE56" s="18">
        <f>raw_data!$AE56*mass_composition!$E56/100</f>
        <v>0</v>
      </c>
      <c r="AF56" s="18">
        <f>raw_data!$AF56*mass_composition!$E56/100</f>
        <v>0</v>
      </c>
      <c r="AG56" s="18">
        <f>raw_data!$AG56*mass_composition!$E56/100</f>
        <v>0</v>
      </c>
      <c r="AH56" s="18">
        <f>raw_data!$AH56*mass_composition!$E56/100</f>
        <v>0</v>
      </c>
      <c r="AI56" s="18">
        <f>raw_data!$AI56*mass_composition!$E56/100</f>
        <v>0</v>
      </c>
      <c r="AJ56" s="18">
        <f>raw_data!$AJ56*mass_composition!$E56/100</f>
        <v>0</v>
      </c>
      <c r="AK56" s="18">
        <f>raw_data!$AK56*mass_composition!$E56/100</f>
        <v>0</v>
      </c>
      <c r="AL56" s="18">
        <f>raw_data!$AL56*mass_composition!$E56/100</f>
        <v>0</v>
      </c>
      <c r="AM56" s="18">
        <f>raw_data!$AM56*mass_composition!$E56/100</f>
        <v>0</v>
      </c>
      <c r="AN56" s="18">
        <f>raw_data!$AN56*mass_composition!$E56/100</f>
        <v>0</v>
      </c>
      <c r="AO56" s="18">
        <f>raw_data!$AO56*mass_composition!$E56/100</f>
        <v>0</v>
      </c>
      <c r="AP56" s="18">
        <f>raw_data!$AP56*mass_composition!$E56/100</f>
        <v>0</v>
      </c>
      <c r="AQ56" s="18">
        <f>raw_data!$AQ56*mass_composition!$E56/100</f>
        <v>0</v>
      </c>
      <c r="AR56" s="18">
        <f>raw_data!$AR56*mass_composition!$E56/100</f>
        <v>0</v>
      </c>
      <c r="AS56" s="18">
        <f>raw_data!$AS56*mass_composition!$E56/100</f>
        <v>0</v>
      </c>
      <c r="AT56" s="18">
        <f>raw_data!$AT56*mass_composition!$E56/100</f>
        <v>0</v>
      </c>
      <c r="AU56" s="18">
        <f>raw_data!$AU56*mass_composition!$E56/100</f>
        <v>0</v>
      </c>
      <c r="AV56" s="18">
        <f>raw_data!$AV56*mass_composition!$E56/100</f>
        <v>0</v>
      </c>
      <c r="AW56" s="18">
        <f>raw_data!$AW56*mass_composition!$E56/100</f>
        <v>0</v>
      </c>
      <c r="AX56" s="18">
        <f>raw_data!$AX56*mass_composition!$E56/100</f>
        <v>0</v>
      </c>
      <c r="AY56" s="18">
        <f>raw_data!$AY56*mass_composition!$E56/100</f>
        <v>0</v>
      </c>
      <c r="AZ56" s="18">
        <f>raw_data!$AZ56*mass_composition!$E56/100</f>
        <v>0</v>
      </c>
      <c r="BA56" s="18">
        <f>raw_data!$BA56*mass_composition!$E56/100</f>
        <v>0</v>
      </c>
      <c r="BB56" s="18">
        <f>raw_data!$BB56*mass_composition!$E56/100</f>
        <v>0</v>
      </c>
      <c r="BC56" s="18">
        <f>raw_data!$BC56*mass_composition!$E56/100</f>
        <v>0</v>
      </c>
      <c r="BD56" s="18">
        <f>raw_data!$BD56*mass_composition!$E56/100</f>
        <v>0</v>
      </c>
      <c r="BE56" s="18">
        <f>raw_data!$BE56*mass_composition!$E56/100</f>
        <v>0</v>
      </c>
      <c r="BF56" s="18">
        <f>raw_data!$BF56*mass_composition!$E56/100</f>
        <v>0</v>
      </c>
      <c r="BG56" s="18">
        <f>raw_data!$BG56*mass_composition!$E56/100</f>
        <v>0</v>
      </c>
      <c r="BH56" s="18">
        <v>0</v>
      </c>
      <c r="BI56" s="18">
        <v>0</v>
      </c>
      <c r="BJ56" s="18">
        <v>0</v>
      </c>
      <c r="BK56" s="18">
        <f>raw_data!$BK56*$E56/100</f>
        <v>0</v>
      </c>
      <c r="BL56" s="18">
        <f>raw_data!$BL56*$E56/100</f>
        <v>0</v>
      </c>
      <c r="BM56" s="18">
        <v>0</v>
      </c>
      <c r="BN56" s="18">
        <f>raw_data!$BN56*$E56/100</f>
        <v>0</v>
      </c>
      <c r="BO56" s="18">
        <f>raw_data!$BO56*$E56/100</f>
        <v>0</v>
      </c>
      <c r="BP56" s="18">
        <f>raw_data!$BP56*$E56/100</f>
        <v>0</v>
      </c>
      <c r="BQ56" s="18">
        <v>0</v>
      </c>
      <c r="BR56" s="18">
        <f>raw_data!$BR56*$E56/100</f>
        <v>0</v>
      </c>
      <c r="BS56" s="18">
        <v>17.269016276193693</v>
      </c>
      <c r="BT56" s="18">
        <v>1.3389057097155561</v>
      </c>
      <c r="BU56" s="18">
        <v>0</v>
      </c>
      <c r="BV56" s="18">
        <v>0</v>
      </c>
      <c r="BW56" s="18">
        <v>0</v>
      </c>
      <c r="BX56" s="18">
        <v>0</v>
      </c>
      <c r="BY56" s="18">
        <v>0</v>
      </c>
      <c r="BZ56" s="18">
        <v>13.093174227925999</v>
      </c>
      <c r="CA56" s="18">
        <v>0</v>
      </c>
      <c r="CB56" s="19">
        <v>61.432752770138791</v>
      </c>
    </row>
    <row r="57" spans="1:80" x14ac:dyDescent="0.35">
      <c r="A57" s="17" t="s">
        <v>113</v>
      </c>
      <c r="B57" s="17" t="s">
        <v>169</v>
      </c>
      <c r="C57" s="17"/>
      <c r="D57" s="18">
        <f>raw_data!$D57*$C57/100</f>
        <v>0</v>
      </c>
      <c r="E57" s="18">
        <f>raw_data!$E57*$C57/100</f>
        <v>0</v>
      </c>
      <c r="F57" s="18">
        <f>raw_data!$F57*$E57/100</f>
        <v>0</v>
      </c>
      <c r="G57" s="18">
        <f>raw_data!$G57*$E57/100</f>
        <v>0</v>
      </c>
      <c r="H57" s="18">
        <v>16.31670898140338</v>
      </c>
      <c r="I57" s="18">
        <v>464.01858678955449</v>
      </c>
      <c r="J57" s="18">
        <f>raw_data!$J57*mass_composition!$E57/100</f>
        <v>0</v>
      </c>
      <c r="K57" s="18">
        <f>raw_data!$K57*mass_composition!$E57/100</f>
        <v>0</v>
      </c>
      <c r="L57" s="18">
        <f>raw_data!$L57*mass_composition!$E57/100</f>
        <v>0</v>
      </c>
      <c r="M57" s="18">
        <f>raw_data!$M57*mass_composition!$E57/100</f>
        <v>0</v>
      </c>
      <c r="N57" s="18">
        <f>raw_data!$N57*mass_composition!$E57/100</f>
        <v>0</v>
      </c>
      <c r="O57" s="18">
        <f>raw_data!$O57*mass_composition!$E57/100</f>
        <v>0</v>
      </c>
      <c r="P57" s="18">
        <f>raw_data!$P57*mass_composition!$E57/100</f>
        <v>0</v>
      </c>
      <c r="Q57" s="18">
        <f>raw_data!$Q57*mass_composition!$E57/100</f>
        <v>0</v>
      </c>
      <c r="R57" s="18">
        <f>raw_data!$R57*mass_composition!$E57/100</f>
        <v>0</v>
      </c>
      <c r="S57" s="18">
        <f>raw_data!$S57*mass_composition!$E57/100</f>
        <v>0</v>
      </c>
      <c r="T57" s="18">
        <f>raw_data!$T57*mass_composition!$E57/100</f>
        <v>0</v>
      </c>
      <c r="U57" s="18">
        <f>raw_data!$U57*mass_composition!$E57/100</f>
        <v>0</v>
      </c>
      <c r="V57" s="18">
        <f>raw_data!$V57*mass_composition!$E57/100</f>
        <v>0</v>
      </c>
      <c r="W57" s="18">
        <f>raw_data!$W57*mass_composition!$E57/100</f>
        <v>0</v>
      </c>
      <c r="X57" s="18">
        <f>raw_data!$X57*mass_composition!$E57/100</f>
        <v>0</v>
      </c>
      <c r="Y57" s="18">
        <f>raw_data!$Y57*mass_composition!$E57/100</f>
        <v>0</v>
      </c>
      <c r="Z57" s="18">
        <f>raw_data!$Z57*mass_composition!$E57/100</f>
        <v>0</v>
      </c>
      <c r="AA57" s="18">
        <f>raw_data!$AA57*mass_composition!$E57/100</f>
        <v>0</v>
      </c>
      <c r="AB57" s="18">
        <f>raw_data!$AB57*mass_composition!$E57/100</f>
        <v>0</v>
      </c>
      <c r="AC57" s="18">
        <f>raw_data!$AC57*mass_composition!$E57/100</f>
        <v>0</v>
      </c>
      <c r="AD57" s="18">
        <f>raw_data!$AD57*mass_composition!$E57/100</f>
        <v>0</v>
      </c>
      <c r="AE57" s="18">
        <f>raw_data!$AE57*mass_composition!$E57/100</f>
        <v>0</v>
      </c>
      <c r="AF57" s="18">
        <f>raw_data!$AF57*mass_composition!$E57/100</f>
        <v>0</v>
      </c>
      <c r="AG57" s="18">
        <f>raw_data!$AG57*mass_composition!$E57/100</f>
        <v>0</v>
      </c>
      <c r="AH57" s="18">
        <f>raw_data!$AH57*mass_composition!$E57/100</f>
        <v>0</v>
      </c>
      <c r="AI57" s="18">
        <f>raw_data!$AI57*mass_composition!$E57/100</f>
        <v>0</v>
      </c>
      <c r="AJ57" s="18">
        <f>raw_data!$AJ57*mass_composition!$E57/100</f>
        <v>0</v>
      </c>
      <c r="AK57" s="18">
        <f>raw_data!$AK57*mass_composition!$E57/100</f>
        <v>0</v>
      </c>
      <c r="AL57" s="18">
        <f>raw_data!$AL57*mass_composition!$E57/100</f>
        <v>0</v>
      </c>
      <c r="AM57" s="18">
        <f>raw_data!$AM57*mass_composition!$E57/100</f>
        <v>0</v>
      </c>
      <c r="AN57" s="18">
        <f>raw_data!$AN57*mass_composition!$E57/100</f>
        <v>0</v>
      </c>
      <c r="AO57" s="18">
        <f>raw_data!$AO57*mass_composition!$E57/100</f>
        <v>0</v>
      </c>
      <c r="AP57" s="18">
        <f>raw_data!$AP57*mass_composition!$E57/100</f>
        <v>0</v>
      </c>
      <c r="AQ57" s="18">
        <f>raw_data!$AQ57*mass_composition!$E57/100</f>
        <v>0</v>
      </c>
      <c r="AR57" s="18">
        <f>raw_data!$AR57*mass_composition!$E57/100</f>
        <v>0</v>
      </c>
      <c r="AS57" s="18">
        <f>raw_data!$AS57*mass_composition!$E57/100</f>
        <v>0</v>
      </c>
      <c r="AT57" s="18">
        <f>raw_data!$AT57*mass_composition!$E57/100</f>
        <v>0</v>
      </c>
      <c r="AU57" s="18">
        <f>raw_data!$AU57*mass_composition!$E57/100</f>
        <v>0</v>
      </c>
      <c r="AV57" s="18">
        <f>raw_data!$AV57*mass_composition!$E57/100</f>
        <v>0</v>
      </c>
      <c r="AW57" s="18">
        <f>raw_data!$AW57*mass_composition!$E57/100</f>
        <v>0</v>
      </c>
      <c r="AX57" s="18">
        <f>raw_data!$AX57*mass_composition!$E57/100</f>
        <v>0</v>
      </c>
      <c r="AY57" s="18">
        <f>raw_data!$AY57*mass_composition!$E57/100</f>
        <v>0</v>
      </c>
      <c r="AZ57" s="18">
        <f>raw_data!$AZ57*mass_composition!$E57/100</f>
        <v>0</v>
      </c>
      <c r="BA57" s="18">
        <f>raw_data!$BA57*mass_composition!$E57/100</f>
        <v>0</v>
      </c>
      <c r="BB57" s="18">
        <f>raw_data!$BB57*mass_composition!$E57/100</f>
        <v>0</v>
      </c>
      <c r="BC57" s="18">
        <f>raw_data!$BC57*mass_composition!$E57/100</f>
        <v>0</v>
      </c>
      <c r="BD57" s="18">
        <f>raw_data!$BD57*mass_composition!$E57/100</f>
        <v>0</v>
      </c>
      <c r="BE57" s="18">
        <f>raw_data!$BE57*mass_composition!$E57/100</f>
        <v>0</v>
      </c>
      <c r="BF57" s="18">
        <f>raw_data!$BF57*mass_composition!$E57/100</f>
        <v>0</v>
      </c>
      <c r="BG57" s="18">
        <f>raw_data!$BG57*mass_composition!$E57/100</f>
        <v>0</v>
      </c>
      <c r="BH57" s="18">
        <v>0</v>
      </c>
      <c r="BI57" s="18">
        <v>0.89552238805970141</v>
      </c>
      <c r="BJ57" s="18">
        <v>0</v>
      </c>
      <c r="BK57" s="18">
        <f>raw_data!$BK57*$E57/100</f>
        <v>0</v>
      </c>
      <c r="BL57" s="18">
        <f>raw_data!$BL57*$E57/100</f>
        <v>0</v>
      </c>
      <c r="BM57" s="18">
        <v>0</v>
      </c>
      <c r="BN57" s="18">
        <f>raw_data!$BN57*$E57/100</f>
        <v>0</v>
      </c>
      <c r="BO57" s="18">
        <f>raw_data!$BO57*$E57/100</f>
        <v>0</v>
      </c>
      <c r="BP57" s="18">
        <f>raw_data!$BP57*$E57/100</f>
        <v>0</v>
      </c>
      <c r="BQ57" s="18">
        <v>0</v>
      </c>
      <c r="BR57" s="18">
        <f>raw_data!$BR57*$E57/100</f>
        <v>0</v>
      </c>
      <c r="BS57" s="18">
        <v>17.996030514006353</v>
      </c>
      <c r="BT57" s="18">
        <v>1.4103758257954275</v>
      </c>
      <c r="BU57" s="18">
        <v>3.3333333333333335</v>
      </c>
      <c r="BV57" s="18">
        <v>1.592039800995025</v>
      </c>
      <c r="BW57" s="18">
        <v>0</v>
      </c>
      <c r="BX57" s="18">
        <v>0</v>
      </c>
      <c r="BY57" s="18">
        <v>5.8208955223880592</v>
      </c>
      <c r="BZ57" s="18">
        <v>14.351514358034391</v>
      </c>
      <c r="CA57" s="18">
        <v>0</v>
      </c>
      <c r="CB57" s="19">
        <v>50.488173169241499</v>
      </c>
    </row>
    <row r="58" spans="1:80" x14ac:dyDescent="0.35">
      <c r="A58" s="17" t="s">
        <v>113</v>
      </c>
      <c r="B58" s="17" t="s">
        <v>170</v>
      </c>
      <c r="C58" s="17"/>
      <c r="D58" s="18">
        <f>raw_data!$D58*$C58/100</f>
        <v>0</v>
      </c>
      <c r="E58" s="18">
        <f>raw_data!$E58*$C58/100</f>
        <v>0</v>
      </c>
      <c r="F58" s="18">
        <f>raw_data!$F58*$E58/100</f>
        <v>0</v>
      </c>
      <c r="G58" s="18">
        <f>raw_data!$G58*$E58/100</f>
        <v>0</v>
      </c>
      <c r="H58" s="18">
        <v>16.830822472014166</v>
      </c>
      <c r="I58" s="18">
        <v>452.61733615221988</v>
      </c>
      <c r="J58" s="18">
        <f>raw_data!$J58*mass_composition!$E58/100</f>
        <v>0</v>
      </c>
      <c r="K58" s="18">
        <f>raw_data!$K58*mass_composition!$E58/100</f>
        <v>0</v>
      </c>
      <c r="L58" s="18">
        <f>raw_data!$L58*mass_composition!$E58/100</f>
        <v>0</v>
      </c>
      <c r="M58" s="18">
        <f>raw_data!$M58*mass_composition!$E58/100</f>
        <v>0</v>
      </c>
      <c r="N58" s="18">
        <f>raw_data!$N58*mass_composition!$E58/100</f>
        <v>0</v>
      </c>
      <c r="O58" s="18">
        <f>raw_data!$O58*mass_composition!$E58/100</f>
        <v>0</v>
      </c>
      <c r="P58" s="18">
        <f>raw_data!$P58*mass_composition!$E58/100</f>
        <v>0</v>
      </c>
      <c r="Q58" s="18">
        <f>raw_data!$Q58*mass_composition!$E58/100</f>
        <v>0</v>
      </c>
      <c r="R58" s="18">
        <f>raw_data!$R58*mass_composition!$E58/100</f>
        <v>0</v>
      </c>
      <c r="S58" s="18">
        <f>raw_data!$S58*mass_composition!$E58/100</f>
        <v>0</v>
      </c>
      <c r="T58" s="18">
        <f>raw_data!$T58*mass_composition!$E58/100</f>
        <v>0</v>
      </c>
      <c r="U58" s="18">
        <f>raw_data!$U58*mass_composition!$E58/100</f>
        <v>0</v>
      </c>
      <c r="V58" s="18">
        <f>raw_data!$V58*mass_composition!$E58/100</f>
        <v>0</v>
      </c>
      <c r="W58" s="18">
        <f>raw_data!$W58*mass_composition!$E58/100</f>
        <v>0</v>
      </c>
      <c r="X58" s="18">
        <f>raw_data!$X58*mass_composition!$E58/100</f>
        <v>0</v>
      </c>
      <c r="Y58" s="18">
        <f>raw_data!$Y58*mass_composition!$E58/100</f>
        <v>0</v>
      </c>
      <c r="Z58" s="18">
        <f>raw_data!$Z58*mass_composition!$E58/100</f>
        <v>0</v>
      </c>
      <c r="AA58" s="18">
        <f>raw_data!$AA58*mass_composition!$E58/100</f>
        <v>0</v>
      </c>
      <c r="AB58" s="18">
        <f>raw_data!$AB58*mass_composition!$E58/100</f>
        <v>0</v>
      </c>
      <c r="AC58" s="18">
        <f>raw_data!$AC58*mass_composition!$E58/100</f>
        <v>0</v>
      </c>
      <c r="AD58" s="18">
        <f>raw_data!$AD58*mass_composition!$E58/100</f>
        <v>0</v>
      </c>
      <c r="AE58" s="18">
        <f>raw_data!$AE58*mass_composition!$E58/100</f>
        <v>0</v>
      </c>
      <c r="AF58" s="18">
        <f>raw_data!$AF58*mass_composition!$E58/100</f>
        <v>0</v>
      </c>
      <c r="AG58" s="18">
        <f>raw_data!$AG58*mass_composition!$E58/100</f>
        <v>0</v>
      </c>
      <c r="AH58" s="18">
        <f>raw_data!$AH58*mass_composition!$E58/100</f>
        <v>0</v>
      </c>
      <c r="AI58" s="18">
        <f>raw_data!$AI58*mass_composition!$E58/100</f>
        <v>0</v>
      </c>
      <c r="AJ58" s="18">
        <f>raw_data!$AJ58*mass_composition!$E58/100</f>
        <v>0</v>
      </c>
      <c r="AK58" s="18">
        <f>raw_data!$AK58*mass_composition!$E58/100</f>
        <v>0</v>
      </c>
      <c r="AL58" s="18">
        <f>raw_data!$AL58*mass_composition!$E58/100</f>
        <v>0</v>
      </c>
      <c r="AM58" s="18">
        <f>raw_data!$AM58*mass_composition!$E58/100</f>
        <v>0</v>
      </c>
      <c r="AN58" s="18">
        <f>raw_data!$AN58*mass_composition!$E58/100</f>
        <v>0</v>
      </c>
      <c r="AO58" s="18">
        <f>raw_data!$AO58*mass_composition!$E58/100</f>
        <v>0</v>
      </c>
      <c r="AP58" s="18">
        <f>raw_data!$AP58*mass_composition!$E58/100</f>
        <v>0</v>
      </c>
      <c r="AQ58" s="18">
        <f>raw_data!$AQ58*mass_composition!$E58/100</f>
        <v>0</v>
      </c>
      <c r="AR58" s="18">
        <f>raw_data!$AR58*mass_composition!$E58/100</f>
        <v>0</v>
      </c>
      <c r="AS58" s="18">
        <f>raw_data!$AS58*mass_composition!$E58/100</f>
        <v>0</v>
      </c>
      <c r="AT58" s="18">
        <f>raw_data!$AT58*mass_composition!$E58/100</f>
        <v>0</v>
      </c>
      <c r="AU58" s="18">
        <f>raw_data!$AU58*mass_composition!$E58/100</f>
        <v>0</v>
      </c>
      <c r="AV58" s="18">
        <f>raw_data!$AV58*mass_composition!$E58/100</f>
        <v>0</v>
      </c>
      <c r="AW58" s="18">
        <f>raw_data!$AW58*mass_composition!$E58/100</f>
        <v>0</v>
      </c>
      <c r="AX58" s="18">
        <f>raw_data!$AX58*mass_composition!$E58/100</f>
        <v>0</v>
      </c>
      <c r="AY58" s="18">
        <f>raw_data!$AY58*mass_composition!$E58/100</f>
        <v>0</v>
      </c>
      <c r="AZ58" s="18">
        <f>raw_data!$AZ58*mass_composition!$E58/100</f>
        <v>0</v>
      </c>
      <c r="BA58" s="18">
        <f>raw_data!$BA58*mass_composition!$E58/100</f>
        <v>0</v>
      </c>
      <c r="BB58" s="18">
        <f>raw_data!$BB58*mass_composition!$E58/100</f>
        <v>0</v>
      </c>
      <c r="BC58" s="18">
        <f>raw_data!$BC58*mass_composition!$E58/100</f>
        <v>0</v>
      </c>
      <c r="BD58" s="18">
        <f>raw_data!$BD58*mass_composition!$E58/100</f>
        <v>0</v>
      </c>
      <c r="BE58" s="18">
        <f>raw_data!$BE58*mass_composition!$E58/100</f>
        <v>0</v>
      </c>
      <c r="BF58" s="18">
        <f>raw_data!$BF58*mass_composition!$E58/100</f>
        <v>0</v>
      </c>
      <c r="BG58" s="18">
        <f>raw_data!$BG58*mass_composition!$E58/100</f>
        <v>0</v>
      </c>
      <c r="BH58" s="18">
        <v>0</v>
      </c>
      <c r="BI58" s="18">
        <v>0</v>
      </c>
      <c r="BJ58" s="18">
        <v>55.693581780538302</v>
      </c>
      <c r="BK58" s="18">
        <f>raw_data!$BK58*$E58/100</f>
        <v>0</v>
      </c>
      <c r="BL58" s="18">
        <f>raw_data!$BL58*$E58/100</f>
        <v>0</v>
      </c>
      <c r="BM58" s="18">
        <v>0</v>
      </c>
      <c r="BN58" s="18">
        <f>raw_data!$BN58*$E58/100</f>
        <v>0</v>
      </c>
      <c r="BO58" s="18">
        <f>raw_data!$BO58*$E58/100</f>
        <v>0</v>
      </c>
      <c r="BP58" s="18">
        <f>raw_data!$BP58*$E58/100</f>
        <v>0</v>
      </c>
      <c r="BQ58" s="18">
        <v>0</v>
      </c>
      <c r="BR58" s="18">
        <f>raw_data!$BR58*$E58/100</f>
        <v>0</v>
      </c>
      <c r="BS58" s="18">
        <v>17.735114927536234</v>
      </c>
      <c r="BT58" s="18">
        <v>1.3850028663333336</v>
      </c>
      <c r="BU58" s="18">
        <v>0</v>
      </c>
      <c r="BV58" s="18">
        <v>0</v>
      </c>
      <c r="BW58" s="18">
        <v>0</v>
      </c>
      <c r="BX58" s="18">
        <v>0</v>
      </c>
      <c r="BY58" s="18">
        <v>14.492753623188406</v>
      </c>
      <c r="BZ58" s="18">
        <v>16.501035196687372</v>
      </c>
      <c r="CA58" s="18">
        <v>0</v>
      </c>
      <c r="CB58" s="19">
        <v>32.505175983436857</v>
      </c>
    </row>
    <row r="59" spans="1:80" x14ac:dyDescent="0.35">
      <c r="A59" s="17" t="s">
        <v>113</v>
      </c>
      <c r="B59" s="17" t="s">
        <v>171</v>
      </c>
      <c r="C59" s="17"/>
      <c r="D59" s="18">
        <f>raw_data!$D59*$C59/100</f>
        <v>0</v>
      </c>
      <c r="E59" s="18">
        <f>raw_data!$E59*$C59/100</f>
        <v>0</v>
      </c>
      <c r="F59" s="18">
        <f>raw_data!$F59*$E59/100</f>
        <v>0</v>
      </c>
      <c r="G59" s="18">
        <f>raw_data!$G59*$E59/100</f>
        <v>0</v>
      </c>
      <c r="H59" s="18">
        <v>14.972221502046677</v>
      </c>
      <c r="I59" s="18">
        <v>495.6328125</v>
      </c>
      <c r="J59" s="18">
        <f>raw_data!$J59*mass_composition!$E59/100</f>
        <v>0</v>
      </c>
      <c r="K59" s="18">
        <f>raw_data!$K59*mass_composition!$E59/100</f>
        <v>0</v>
      </c>
      <c r="L59" s="18">
        <f>raw_data!$L59*mass_composition!$E59/100</f>
        <v>0</v>
      </c>
      <c r="M59" s="18">
        <f>raw_data!$M59*mass_composition!$E59/100</f>
        <v>0</v>
      </c>
      <c r="N59" s="18">
        <f>raw_data!$N59*mass_composition!$E59/100</f>
        <v>0</v>
      </c>
      <c r="O59" s="18">
        <f>raw_data!$O59*mass_composition!$E59/100</f>
        <v>0</v>
      </c>
      <c r="P59" s="18">
        <f>raw_data!$P59*mass_composition!$E59/100</f>
        <v>0</v>
      </c>
      <c r="Q59" s="18">
        <f>raw_data!$Q59*mass_composition!$E59/100</f>
        <v>0</v>
      </c>
      <c r="R59" s="18">
        <f>raw_data!$R59*mass_composition!$E59/100</f>
        <v>0</v>
      </c>
      <c r="S59" s="18">
        <f>raw_data!$S59*mass_composition!$E59/100</f>
        <v>0</v>
      </c>
      <c r="T59" s="18">
        <f>raw_data!$T59*mass_composition!$E59/100</f>
        <v>0</v>
      </c>
      <c r="U59" s="18">
        <f>raw_data!$U59*mass_composition!$E59/100</f>
        <v>0</v>
      </c>
      <c r="V59" s="18">
        <f>raw_data!$V59*mass_composition!$E59/100</f>
        <v>0</v>
      </c>
      <c r="W59" s="18">
        <f>raw_data!$W59*mass_composition!$E59/100</f>
        <v>0</v>
      </c>
      <c r="X59" s="18">
        <f>raw_data!$X59*mass_composition!$E59/100</f>
        <v>0</v>
      </c>
      <c r="Y59" s="18">
        <f>raw_data!$Y59*mass_composition!$E59/100</f>
        <v>0</v>
      </c>
      <c r="Z59" s="18">
        <f>raw_data!$Z59*mass_composition!$E59/100</f>
        <v>0</v>
      </c>
      <c r="AA59" s="18">
        <f>raw_data!$AA59*mass_composition!$E59/100</f>
        <v>0</v>
      </c>
      <c r="AB59" s="18">
        <f>raw_data!$AB59*mass_composition!$E59/100</f>
        <v>0</v>
      </c>
      <c r="AC59" s="18">
        <f>raw_data!$AC59*mass_composition!$E59/100</f>
        <v>0</v>
      </c>
      <c r="AD59" s="18">
        <f>raw_data!$AD59*mass_composition!$E59/100</f>
        <v>0</v>
      </c>
      <c r="AE59" s="18">
        <f>raw_data!$AE59*mass_composition!$E59/100</f>
        <v>0</v>
      </c>
      <c r="AF59" s="18">
        <f>raw_data!$AF59*mass_composition!$E59/100</f>
        <v>0</v>
      </c>
      <c r="AG59" s="18">
        <f>raw_data!$AG59*mass_composition!$E59/100</f>
        <v>0</v>
      </c>
      <c r="AH59" s="18">
        <f>raw_data!$AH59*mass_composition!$E59/100</f>
        <v>0</v>
      </c>
      <c r="AI59" s="18">
        <f>raw_data!$AI59*mass_composition!$E59/100</f>
        <v>0</v>
      </c>
      <c r="AJ59" s="18">
        <f>raw_data!$AJ59*mass_composition!$E59/100</f>
        <v>0</v>
      </c>
      <c r="AK59" s="18">
        <f>raw_data!$AK59*mass_composition!$E59/100</f>
        <v>0</v>
      </c>
      <c r="AL59" s="18">
        <f>raw_data!$AL59*mass_composition!$E59/100</f>
        <v>0</v>
      </c>
      <c r="AM59" s="18">
        <f>raw_data!$AM59*mass_composition!$E59/100</f>
        <v>0</v>
      </c>
      <c r="AN59" s="18">
        <f>raw_data!$AN59*mass_composition!$E59/100</f>
        <v>0</v>
      </c>
      <c r="AO59" s="18">
        <f>raw_data!$AO59*mass_composition!$E59/100</f>
        <v>0</v>
      </c>
      <c r="AP59" s="18">
        <f>raw_data!$AP59*mass_composition!$E59/100</f>
        <v>0</v>
      </c>
      <c r="AQ59" s="18">
        <f>raw_data!$AQ59*mass_composition!$E59/100</f>
        <v>0</v>
      </c>
      <c r="AR59" s="18">
        <f>raw_data!$AR59*mass_composition!$E59/100</f>
        <v>0</v>
      </c>
      <c r="AS59" s="18">
        <f>raw_data!$AS59*mass_composition!$E59/100</f>
        <v>0</v>
      </c>
      <c r="AT59" s="18">
        <f>raw_data!$AT59*mass_composition!$E59/100</f>
        <v>0</v>
      </c>
      <c r="AU59" s="18">
        <f>raw_data!$AU59*mass_composition!$E59/100</f>
        <v>0</v>
      </c>
      <c r="AV59" s="18">
        <f>raw_data!$AV59*mass_composition!$E59/100</f>
        <v>0</v>
      </c>
      <c r="AW59" s="18">
        <f>raw_data!$AW59*mass_composition!$E59/100</f>
        <v>0</v>
      </c>
      <c r="AX59" s="18">
        <f>raw_data!$AX59*mass_composition!$E59/100</f>
        <v>0</v>
      </c>
      <c r="AY59" s="18">
        <f>raw_data!$AY59*mass_composition!$E59/100</f>
        <v>0</v>
      </c>
      <c r="AZ59" s="18">
        <f>raw_data!$AZ59*mass_composition!$E59/100</f>
        <v>0</v>
      </c>
      <c r="BA59" s="18">
        <f>raw_data!$BA59*mass_composition!$E59/100</f>
        <v>0</v>
      </c>
      <c r="BB59" s="18">
        <f>raw_data!$BB59*mass_composition!$E59/100</f>
        <v>0</v>
      </c>
      <c r="BC59" s="18">
        <f>raw_data!$BC59*mass_composition!$E59/100</f>
        <v>0</v>
      </c>
      <c r="BD59" s="18">
        <f>raw_data!$BD59*mass_composition!$E59/100</f>
        <v>0</v>
      </c>
      <c r="BE59" s="18">
        <f>raw_data!$BE59*mass_composition!$E59/100</f>
        <v>0</v>
      </c>
      <c r="BF59" s="18">
        <f>raw_data!$BF59*mass_composition!$E59/100</f>
        <v>0</v>
      </c>
      <c r="BG59" s="18">
        <f>raw_data!$BG59*mass_composition!$E59/100</f>
        <v>0</v>
      </c>
      <c r="BH59" s="18">
        <v>0</v>
      </c>
      <c r="BI59" s="18">
        <v>1.9277108433734937</v>
      </c>
      <c r="BJ59" s="18">
        <v>1.0843373493975901</v>
      </c>
      <c r="BK59" s="18">
        <f>raw_data!$BK59*$E59/100</f>
        <v>0</v>
      </c>
      <c r="BL59" s="18">
        <f>raw_data!$BL59*$E59/100</f>
        <v>0</v>
      </c>
      <c r="BM59" s="18">
        <v>0</v>
      </c>
      <c r="BN59" s="18">
        <f>raw_data!$BN59*$E59/100</f>
        <v>0</v>
      </c>
      <c r="BO59" s="18">
        <f>raw_data!$BO59*$E59/100</f>
        <v>0</v>
      </c>
      <c r="BP59" s="18">
        <f>raw_data!$BP59*$E59/100</f>
        <v>0</v>
      </c>
      <c r="BQ59" s="18">
        <v>0</v>
      </c>
      <c r="BR59" s="18">
        <f>raw_data!$BR59*$E59/100</f>
        <v>0</v>
      </c>
      <c r="BS59" s="18">
        <v>15.760230357008947</v>
      </c>
      <c r="BT59" s="18">
        <v>1.1883280473684259</v>
      </c>
      <c r="BU59" s="18">
        <v>1.0843373493975901</v>
      </c>
      <c r="BV59" s="18">
        <v>1.3253012048192772</v>
      </c>
      <c r="BW59" s="18">
        <v>0</v>
      </c>
      <c r="BX59" s="18">
        <v>0</v>
      </c>
      <c r="BY59" s="18">
        <v>4.3373493975903603</v>
      </c>
      <c r="BZ59" s="18">
        <v>12.53012048192771</v>
      </c>
      <c r="CA59" s="18">
        <v>0</v>
      </c>
      <c r="CB59" s="19">
        <v>22.650602409638559</v>
      </c>
    </row>
    <row r="60" spans="1:80" x14ac:dyDescent="0.35">
      <c r="A60" s="17" t="s">
        <v>113</v>
      </c>
      <c r="B60" s="17" t="s">
        <v>172</v>
      </c>
      <c r="C60" s="17"/>
      <c r="D60" s="18">
        <f>raw_data!$D60*$C60/100</f>
        <v>0</v>
      </c>
      <c r="E60" s="18">
        <f>raw_data!$E60*$C60/100</f>
        <v>0</v>
      </c>
      <c r="F60" s="18">
        <f>raw_data!$F60*$E60/100</f>
        <v>0</v>
      </c>
      <c r="G60" s="18">
        <f>raw_data!$G60*$E60/100</f>
        <v>0</v>
      </c>
      <c r="H60" s="18">
        <v>14.985760453332183</v>
      </c>
      <c r="I60" s="18">
        <v>435.78723404255317</v>
      </c>
      <c r="J60" s="18">
        <f>raw_data!$J60*mass_composition!$E60/100</f>
        <v>0</v>
      </c>
      <c r="K60" s="18">
        <f>raw_data!$K60*mass_composition!$E60/100</f>
        <v>0</v>
      </c>
      <c r="L60" s="18">
        <f>raw_data!$L60*mass_composition!$E60/100</f>
        <v>0</v>
      </c>
      <c r="M60" s="18">
        <f>raw_data!$M60*mass_composition!$E60/100</f>
        <v>0</v>
      </c>
      <c r="N60" s="18">
        <f>raw_data!$N60*mass_composition!$E60/100</f>
        <v>0</v>
      </c>
      <c r="O60" s="18">
        <f>raw_data!$O60*mass_composition!$E60/100</f>
        <v>0</v>
      </c>
      <c r="P60" s="18">
        <f>raw_data!$P60*mass_composition!$E60/100</f>
        <v>0</v>
      </c>
      <c r="Q60" s="18">
        <f>raw_data!$Q60*mass_composition!$E60/100</f>
        <v>0</v>
      </c>
      <c r="R60" s="18">
        <f>raw_data!$R60*mass_composition!$E60/100</f>
        <v>0</v>
      </c>
      <c r="S60" s="18">
        <f>raw_data!$S60*mass_composition!$E60/100</f>
        <v>0</v>
      </c>
      <c r="T60" s="18">
        <f>raw_data!$T60*mass_composition!$E60/100</f>
        <v>0</v>
      </c>
      <c r="U60" s="18">
        <f>raw_data!$U60*mass_composition!$E60/100</f>
        <v>0</v>
      </c>
      <c r="V60" s="18">
        <f>raw_data!$V60*mass_composition!$E60/100</f>
        <v>0</v>
      </c>
      <c r="W60" s="18">
        <f>raw_data!$W60*mass_composition!$E60/100</f>
        <v>0</v>
      </c>
      <c r="X60" s="18">
        <f>raw_data!$X60*mass_composition!$E60/100</f>
        <v>0</v>
      </c>
      <c r="Y60" s="18">
        <f>raw_data!$Y60*mass_composition!$E60/100</f>
        <v>0</v>
      </c>
      <c r="Z60" s="18">
        <f>raw_data!$Z60*mass_composition!$E60/100</f>
        <v>0</v>
      </c>
      <c r="AA60" s="18">
        <f>raw_data!$AA60*mass_composition!$E60/100</f>
        <v>0</v>
      </c>
      <c r="AB60" s="18">
        <f>raw_data!$AB60*mass_composition!$E60/100</f>
        <v>0</v>
      </c>
      <c r="AC60" s="18">
        <f>raw_data!$AC60*mass_composition!$E60/100</f>
        <v>0</v>
      </c>
      <c r="AD60" s="18">
        <f>raw_data!$AD60*mass_composition!$E60/100</f>
        <v>0</v>
      </c>
      <c r="AE60" s="18">
        <f>raw_data!$AE60*mass_composition!$E60/100</f>
        <v>0</v>
      </c>
      <c r="AF60" s="18">
        <f>raw_data!$AF60*mass_composition!$E60/100</f>
        <v>0</v>
      </c>
      <c r="AG60" s="18">
        <f>raw_data!$AG60*mass_composition!$E60/100</f>
        <v>0</v>
      </c>
      <c r="AH60" s="18">
        <f>raw_data!$AH60*mass_composition!$E60/100</f>
        <v>0</v>
      </c>
      <c r="AI60" s="18">
        <f>raw_data!$AI60*mass_composition!$E60/100</f>
        <v>0</v>
      </c>
      <c r="AJ60" s="18">
        <f>raw_data!$AJ60*mass_composition!$E60/100</f>
        <v>0</v>
      </c>
      <c r="AK60" s="18">
        <f>raw_data!$AK60*mass_composition!$E60/100</f>
        <v>0</v>
      </c>
      <c r="AL60" s="18">
        <f>raw_data!$AL60*mass_composition!$E60/100</f>
        <v>0</v>
      </c>
      <c r="AM60" s="18">
        <f>raw_data!$AM60*mass_composition!$E60/100</f>
        <v>0</v>
      </c>
      <c r="AN60" s="18">
        <f>raw_data!$AN60*mass_composition!$E60/100</f>
        <v>0</v>
      </c>
      <c r="AO60" s="18">
        <f>raw_data!$AO60*mass_composition!$E60/100</f>
        <v>0</v>
      </c>
      <c r="AP60" s="18">
        <f>raw_data!$AP60*mass_composition!$E60/100</f>
        <v>0</v>
      </c>
      <c r="AQ60" s="18">
        <f>raw_data!$AQ60*mass_composition!$E60/100</f>
        <v>0</v>
      </c>
      <c r="AR60" s="18">
        <f>raw_data!$AR60*mass_composition!$E60/100</f>
        <v>0</v>
      </c>
      <c r="AS60" s="18">
        <f>raw_data!$AS60*mass_composition!$E60/100</f>
        <v>0</v>
      </c>
      <c r="AT60" s="18">
        <f>raw_data!$AT60*mass_composition!$E60/100</f>
        <v>0</v>
      </c>
      <c r="AU60" s="18">
        <f>raw_data!$AU60*mass_composition!$E60/100</f>
        <v>0</v>
      </c>
      <c r="AV60" s="18">
        <f>raw_data!$AV60*mass_composition!$E60/100</f>
        <v>0</v>
      </c>
      <c r="AW60" s="18">
        <f>raw_data!$AW60*mass_composition!$E60/100</f>
        <v>0</v>
      </c>
      <c r="AX60" s="18">
        <f>raw_data!$AX60*mass_composition!$E60/100</f>
        <v>0</v>
      </c>
      <c r="AY60" s="18">
        <f>raw_data!$AY60*mass_composition!$E60/100</f>
        <v>0</v>
      </c>
      <c r="AZ60" s="18">
        <f>raw_data!$AZ60*mass_composition!$E60/100</f>
        <v>0</v>
      </c>
      <c r="BA60" s="18">
        <f>raw_data!$BA60*mass_composition!$E60/100</f>
        <v>0</v>
      </c>
      <c r="BB60" s="18">
        <f>raw_data!$BB60*mass_composition!$E60/100</f>
        <v>0</v>
      </c>
      <c r="BC60" s="18">
        <f>raw_data!$BC60*mass_composition!$E60/100</f>
        <v>0</v>
      </c>
      <c r="BD60" s="18">
        <f>raw_data!$BD60*mass_composition!$E60/100</f>
        <v>0</v>
      </c>
      <c r="BE60" s="18">
        <f>raw_data!$BE60*mass_composition!$E60/100</f>
        <v>0</v>
      </c>
      <c r="BF60" s="18">
        <f>raw_data!$BF60*mass_composition!$E60/100</f>
        <v>0</v>
      </c>
      <c r="BG60" s="18">
        <f>raw_data!$BG60*mass_composition!$E60/100</f>
        <v>0</v>
      </c>
      <c r="BH60" s="18">
        <v>0</v>
      </c>
      <c r="BI60" s="18">
        <v>1.360544217687075</v>
      </c>
      <c r="BJ60" s="18">
        <v>0</v>
      </c>
      <c r="BK60" s="18">
        <f>raw_data!$BK60*$E60/100</f>
        <v>0</v>
      </c>
      <c r="BL60" s="18">
        <f>raw_data!$BL60*$E60/100</f>
        <v>0</v>
      </c>
      <c r="BM60" s="18">
        <v>0</v>
      </c>
      <c r="BN60" s="18">
        <f>raw_data!$BN60*$E60/100</f>
        <v>0</v>
      </c>
      <c r="BO60" s="18">
        <f>raw_data!$BO60*$E60/100</f>
        <v>0</v>
      </c>
      <c r="BP60" s="18">
        <f>raw_data!$BP60*$E60/100</f>
        <v>0</v>
      </c>
      <c r="BQ60" s="18">
        <v>0</v>
      </c>
      <c r="BR60" s="18">
        <f>raw_data!$BR60*$E60/100</f>
        <v>0</v>
      </c>
      <c r="BS60" s="18">
        <v>17.161483877551021</v>
      </c>
      <c r="BT60" s="18">
        <v>1.3282707554897959</v>
      </c>
      <c r="BU60" s="18">
        <v>36.734693877551024</v>
      </c>
      <c r="BV60" s="18">
        <v>41.496598639455783</v>
      </c>
      <c r="BW60" s="18">
        <v>0</v>
      </c>
      <c r="BX60" s="18">
        <v>0</v>
      </c>
      <c r="BY60" s="18">
        <v>79.591836734693871</v>
      </c>
      <c r="BZ60" s="18">
        <v>15.918367346938776</v>
      </c>
      <c r="CA60" s="18">
        <v>0</v>
      </c>
      <c r="CB60" s="19">
        <v>4.7619047619047592</v>
      </c>
    </row>
    <row r="61" spans="1:80" x14ac:dyDescent="0.35">
      <c r="A61" s="17" t="s">
        <v>113</v>
      </c>
      <c r="B61" s="17" t="s">
        <v>173</v>
      </c>
      <c r="C61" s="17"/>
      <c r="D61" s="18">
        <f>raw_data!$D61*$C61/100</f>
        <v>0</v>
      </c>
      <c r="E61" s="18">
        <f>raw_data!$E61*$C61/100</f>
        <v>0</v>
      </c>
      <c r="F61" s="18">
        <f>raw_data!$F61*$E61/100</f>
        <v>0</v>
      </c>
      <c r="G61" s="18">
        <f>raw_data!$G61*$E61/100</f>
        <v>0</v>
      </c>
      <c r="H61" s="18">
        <v>15.847759511828567</v>
      </c>
      <c r="I61" s="18">
        <v>442.02247191011236</v>
      </c>
      <c r="J61" s="18">
        <f>raw_data!$J61*mass_composition!$E61/100</f>
        <v>0</v>
      </c>
      <c r="K61" s="18">
        <f>raw_data!$K61*mass_composition!$E61/100</f>
        <v>0</v>
      </c>
      <c r="L61" s="18">
        <f>raw_data!$L61*mass_composition!$E61/100</f>
        <v>0</v>
      </c>
      <c r="M61" s="18">
        <f>raw_data!$M61*mass_composition!$E61/100</f>
        <v>0</v>
      </c>
      <c r="N61" s="18">
        <f>raw_data!$N61*mass_composition!$E61/100</f>
        <v>0</v>
      </c>
      <c r="O61" s="18">
        <f>raw_data!$O61*mass_composition!$E61/100</f>
        <v>0</v>
      </c>
      <c r="P61" s="18">
        <f>raw_data!$P61*mass_composition!$E61/100</f>
        <v>0</v>
      </c>
      <c r="Q61" s="18">
        <f>raw_data!$Q61*mass_composition!$E61/100</f>
        <v>0</v>
      </c>
      <c r="R61" s="18">
        <f>raw_data!$R61*mass_composition!$E61/100</f>
        <v>0</v>
      </c>
      <c r="S61" s="18">
        <f>raw_data!$S61*mass_composition!$E61/100</f>
        <v>0</v>
      </c>
      <c r="T61" s="18">
        <f>raw_data!$T61*mass_composition!$E61/100</f>
        <v>0</v>
      </c>
      <c r="U61" s="18">
        <f>raw_data!$U61*mass_composition!$E61/100</f>
        <v>0</v>
      </c>
      <c r="V61" s="18">
        <f>raw_data!$V61*mass_composition!$E61/100</f>
        <v>0</v>
      </c>
      <c r="W61" s="18">
        <f>raw_data!$W61*mass_composition!$E61/100</f>
        <v>0</v>
      </c>
      <c r="X61" s="18">
        <f>raw_data!$X61*mass_composition!$E61/100</f>
        <v>0</v>
      </c>
      <c r="Y61" s="18">
        <f>raw_data!$Y61*mass_composition!$E61/100</f>
        <v>0</v>
      </c>
      <c r="Z61" s="18">
        <f>raw_data!$Z61*mass_composition!$E61/100</f>
        <v>0</v>
      </c>
      <c r="AA61" s="18">
        <f>raw_data!$AA61*mass_composition!$E61/100</f>
        <v>0</v>
      </c>
      <c r="AB61" s="18">
        <f>raw_data!$AB61*mass_composition!$E61/100</f>
        <v>0</v>
      </c>
      <c r="AC61" s="18">
        <f>raw_data!$AC61*mass_composition!$E61/100</f>
        <v>0</v>
      </c>
      <c r="AD61" s="18">
        <f>raw_data!$AD61*mass_composition!$E61/100</f>
        <v>0</v>
      </c>
      <c r="AE61" s="18">
        <f>raw_data!$AE61*mass_composition!$E61/100</f>
        <v>0</v>
      </c>
      <c r="AF61" s="18">
        <f>raw_data!$AF61*mass_composition!$E61/100</f>
        <v>0</v>
      </c>
      <c r="AG61" s="18">
        <f>raw_data!$AG61*mass_composition!$E61/100</f>
        <v>0</v>
      </c>
      <c r="AH61" s="18">
        <f>raw_data!$AH61*mass_composition!$E61/100</f>
        <v>0</v>
      </c>
      <c r="AI61" s="18">
        <f>raw_data!$AI61*mass_composition!$E61/100</f>
        <v>0</v>
      </c>
      <c r="AJ61" s="18">
        <f>raw_data!$AJ61*mass_composition!$E61/100</f>
        <v>0</v>
      </c>
      <c r="AK61" s="18">
        <f>raw_data!$AK61*mass_composition!$E61/100</f>
        <v>0</v>
      </c>
      <c r="AL61" s="18">
        <f>raw_data!$AL61*mass_composition!$E61/100</f>
        <v>0</v>
      </c>
      <c r="AM61" s="18">
        <f>raw_data!$AM61*mass_composition!$E61/100</f>
        <v>0</v>
      </c>
      <c r="AN61" s="18">
        <f>raw_data!$AN61*mass_composition!$E61/100</f>
        <v>0</v>
      </c>
      <c r="AO61" s="18">
        <f>raw_data!$AO61*mass_composition!$E61/100</f>
        <v>0</v>
      </c>
      <c r="AP61" s="18">
        <f>raw_data!$AP61*mass_composition!$E61/100</f>
        <v>0</v>
      </c>
      <c r="AQ61" s="18">
        <f>raw_data!$AQ61*mass_composition!$E61/100</f>
        <v>0</v>
      </c>
      <c r="AR61" s="18">
        <f>raw_data!$AR61*mass_composition!$E61/100</f>
        <v>0</v>
      </c>
      <c r="AS61" s="18">
        <f>raw_data!$AS61*mass_composition!$E61/100</f>
        <v>0</v>
      </c>
      <c r="AT61" s="18">
        <f>raw_data!$AT61*mass_composition!$E61/100</f>
        <v>0</v>
      </c>
      <c r="AU61" s="18">
        <f>raw_data!$AU61*mass_composition!$E61/100</f>
        <v>0</v>
      </c>
      <c r="AV61" s="18">
        <f>raw_data!$AV61*mass_composition!$E61/100</f>
        <v>0</v>
      </c>
      <c r="AW61" s="18">
        <f>raw_data!$AW61*mass_composition!$E61/100</f>
        <v>0</v>
      </c>
      <c r="AX61" s="18">
        <f>raw_data!$AX61*mass_composition!$E61/100</f>
        <v>0</v>
      </c>
      <c r="AY61" s="18">
        <f>raw_data!$AY61*mass_composition!$E61/100</f>
        <v>0</v>
      </c>
      <c r="AZ61" s="18">
        <f>raw_data!$AZ61*mass_composition!$E61/100</f>
        <v>0</v>
      </c>
      <c r="BA61" s="18">
        <f>raw_data!$BA61*mass_composition!$E61/100</f>
        <v>0</v>
      </c>
      <c r="BB61" s="18">
        <f>raw_data!$BB61*mass_composition!$E61/100</f>
        <v>0</v>
      </c>
      <c r="BC61" s="18">
        <f>raw_data!$BC61*mass_composition!$E61/100</f>
        <v>0</v>
      </c>
      <c r="BD61" s="18">
        <f>raw_data!$BD61*mass_composition!$E61/100</f>
        <v>0</v>
      </c>
      <c r="BE61" s="18">
        <f>raw_data!$BE61*mass_composition!$E61/100</f>
        <v>0</v>
      </c>
      <c r="BF61" s="18">
        <f>raw_data!$BF61*mass_composition!$E61/100</f>
        <v>0</v>
      </c>
      <c r="BG61" s="18">
        <f>raw_data!$BG61*mass_composition!$E61/100</f>
        <v>0</v>
      </c>
      <c r="BH61" s="18">
        <v>0</v>
      </c>
      <c r="BI61" s="18">
        <v>5.5208333333333339</v>
      </c>
      <c r="BJ61" s="18">
        <v>32.291666666666671</v>
      </c>
      <c r="BK61" s="18">
        <f>raw_data!$BK61*$E61/100</f>
        <v>0</v>
      </c>
      <c r="BL61" s="18">
        <f>raw_data!$BL61*$E61/100</f>
        <v>0</v>
      </c>
      <c r="BM61" s="18">
        <v>0</v>
      </c>
      <c r="BN61" s="18">
        <f>raw_data!$BN61*$E61/100</f>
        <v>0</v>
      </c>
      <c r="BO61" s="18">
        <f>raw_data!$BO61*$E61/100</f>
        <v>0</v>
      </c>
      <c r="BP61" s="18">
        <f>raw_data!$BP61*$E61/100</f>
        <v>0</v>
      </c>
      <c r="BQ61" s="18">
        <v>0</v>
      </c>
      <c r="BR61" s="18">
        <f>raw_data!$BR61*$E61/100</f>
        <v>0</v>
      </c>
      <c r="BS61" s="18">
        <v>17.052290771742264</v>
      </c>
      <c r="BT61" s="18">
        <v>1.3167486406586433</v>
      </c>
      <c r="BU61" s="18">
        <v>7.1874999999999991</v>
      </c>
      <c r="BV61" s="18">
        <v>4.791666666666667</v>
      </c>
      <c r="BW61" s="18">
        <v>0</v>
      </c>
      <c r="BX61" s="18">
        <v>0</v>
      </c>
      <c r="BY61" s="18">
        <v>17.5</v>
      </c>
      <c r="BZ61" s="18">
        <v>13.4375</v>
      </c>
      <c r="CA61" s="18">
        <v>0</v>
      </c>
      <c r="CB61" s="19">
        <v>5.1041666666666572</v>
      </c>
    </row>
    <row r="62" spans="1:80" x14ac:dyDescent="0.35">
      <c r="A62" s="17" t="s">
        <v>113</v>
      </c>
      <c r="B62" s="17" t="s">
        <v>174</v>
      </c>
      <c r="C62" s="17"/>
      <c r="D62" s="18">
        <f>raw_data!$D62*$C62/100</f>
        <v>0</v>
      </c>
      <c r="E62" s="18">
        <f>raw_data!$E62*$C62/100</f>
        <v>0</v>
      </c>
      <c r="F62" s="18">
        <f>raw_data!$F62*$E62/100</f>
        <v>0</v>
      </c>
      <c r="G62" s="18">
        <f>raw_data!$G62*$E62/100</f>
        <v>0</v>
      </c>
      <c r="H62" s="18">
        <v>14.41799015328958</v>
      </c>
      <c r="I62" s="18">
        <v>451.4375</v>
      </c>
      <c r="J62" s="18">
        <f>raw_data!$J62*mass_composition!$E62/100</f>
        <v>0</v>
      </c>
      <c r="K62" s="18">
        <f>raw_data!$K62*mass_composition!$E62/100</f>
        <v>0</v>
      </c>
      <c r="L62" s="18">
        <f>raw_data!$L62*mass_composition!$E62/100</f>
        <v>0</v>
      </c>
      <c r="M62" s="18">
        <f>raw_data!$M62*mass_composition!$E62/100</f>
        <v>0</v>
      </c>
      <c r="N62" s="18">
        <f>raw_data!$N62*mass_composition!$E62/100</f>
        <v>0</v>
      </c>
      <c r="O62" s="18">
        <f>raw_data!$O62*mass_composition!$E62/100</f>
        <v>0</v>
      </c>
      <c r="P62" s="18">
        <f>raw_data!$P62*mass_composition!$E62/100</f>
        <v>0</v>
      </c>
      <c r="Q62" s="18">
        <f>raw_data!$Q62*mass_composition!$E62/100</f>
        <v>0</v>
      </c>
      <c r="R62" s="18">
        <f>raw_data!$R62*mass_composition!$E62/100</f>
        <v>0</v>
      </c>
      <c r="S62" s="18">
        <f>raw_data!$S62*mass_composition!$E62/100</f>
        <v>0</v>
      </c>
      <c r="T62" s="18">
        <f>raw_data!$T62*mass_composition!$E62/100</f>
        <v>0</v>
      </c>
      <c r="U62" s="18">
        <f>raw_data!$U62*mass_composition!$E62/100</f>
        <v>0</v>
      </c>
      <c r="V62" s="18">
        <f>raw_data!$V62*mass_composition!$E62/100</f>
        <v>0</v>
      </c>
      <c r="W62" s="18">
        <f>raw_data!$W62*mass_composition!$E62/100</f>
        <v>0</v>
      </c>
      <c r="X62" s="18">
        <f>raw_data!$X62*mass_composition!$E62/100</f>
        <v>0</v>
      </c>
      <c r="Y62" s="18">
        <f>raw_data!$Y62*mass_composition!$E62/100</f>
        <v>0</v>
      </c>
      <c r="Z62" s="18">
        <f>raw_data!$Z62*mass_composition!$E62/100</f>
        <v>0</v>
      </c>
      <c r="AA62" s="18">
        <f>raw_data!$AA62*mass_composition!$E62/100</f>
        <v>0</v>
      </c>
      <c r="AB62" s="18">
        <f>raw_data!$AB62*mass_composition!$E62/100</f>
        <v>0</v>
      </c>
      <c r="AC62" s="18">
        <f>raw_data!$AC62*mass_composition!$E62/100</f>
        <v>0</v>
      </c>
      <c r="AD62" s="18">
        <f>raw_data!$AD62*mass_composition!$E62/100</f>
        <v>0</v>
      </c>
      <c r="AE62" s="18">
        <f>raw_data!$AE62*mass_composition!$E62/100</f>
        <v>0</v>
      </c>
      <c r="AF62" s="18">
        <f>raw_data!$AF62*mass_composition!$E62/100</f>
        <v>0</v>
      </c>
      <c r="AG62" s="18">
        <f>raw_data!$AG62*mass_composition!$E62/100</f>
        <v>0</v>
      </c>
      <c r="AH62" s="18">
        <f>raw_data!$AH62*mass_composition!$E62/100</f>
        <v>0</v>
      </c>
      <c r="AI62" s="18">
        <f>raw_data!$AI62*mass_composition!$E62/100</f>
        <v>0</v>
      </c>
      <c r="AJ62" s="18">
        <f>raw_data!$AJ62*mass_composition!$E62/100</f>
        <v>0</v>
      </c>
      <c r="AK62" s="18">
        <f>raw_data!$AK62*mass_composition!$E62/100</f>
        <v>0</v>
      </c>
      <c r="AL62" s="18">
        <f>raw_data!$AL62*mass_composition!$E62/100</f>
        <v>0</v>
      </c>
      <c r="AM62" s="18">
        <f>raw_data!$AM62*mass_composition!$E62/100</f>
        <v>0</v>
      </c>
      <c r="AN62" s="18">
        <f>raw_data!$AN62*mass_composition!$E62/100</f>
        <v>0</v>
      </c>
      <c r="AO62" s="18">
        <f>raw_data!$AO62*mass_composition!$E62/100</f>
        <v>0</v>
      </c>
      <c r="AP62" s="18">
        <f>raw_data!$AP62*mass_composition!$E62/100</f>
        <v>0</v>
      </c>
      <c r="AQ62" s="18">
        <f>raw_data!$AQ62*mass_composition!$E62/100</f>
        <v>0</v>
      </c>
      <c r="AR62" s="18">
        <f>raw_data!$AR62*mass_composition!$E62/100</f>
        <v>0</v>
      </c>
      <c r="AS62" s="18">
        <f>raw_data!$AS62*mass_composition!$E62/100</f>
        <v>0</v>
      </c>
      <c r="AT62" s="18">
        <f>raw_data!$AT62*mass_composition!$E62/100</f>
        <v>0</v>
      </c>
      <c r="AU62" s="18">
        <f>raw_data!$AU62*mass_composition!$E62/100</f>
        <v>0</v>
      </c>
      <c r="AV62" s="18">
        <f>raw_data!$AV62*mass_composition!$E62/100</f>
        <v>0</v>
      </c>
      <c r="AW62" s="18">
        <f>raw_data!$AW62*mass_composition!$E62/100</f>
        <v>0</v>
      </c>
      <c r="AX62" s="18">
        <f>raw_data!$AX62*mass_composition!$E62/100</f>
        <v>0</v>
      </c>
      <c r="AY62" s="18">
        <f>raw_data!$AY62*mass_composition!$E62/100</f>
        <v>0</v>
      </c>
      <c r="AZ62" s="18">
        <f>raw_data!$AZ62*mass_composition!$E62/100</f>
        <v>0</v>
      </c>
      <c r="BA62" s="18">
        <f>raw_data!$BA62*mass_composition!$E62/100</f>
        <v>0</v>
      </c>
      <c r="BB62" s="18">
        <f>raw_data!$BB62*mass_composition!$E62/100</f>
        <v>0</v>
      </c>
      <c r="BC62" s="18">
        <f>raw_data!$BC62*mass_composition!$E62/100</f>
        <v>0</v>
      </c>
      <c r="BD62" s="18">
        <f>raw_data!$BD62*mass_composition!$E62/100</f>
        <v>0</v>
      </c>
      <c r="BE62" s="18">
        <f>raw_data!$BE62*mass_composition!$E62/100</f>
        <v>0</v>
      </c>
      <c r="BF62" s="18">
        <f>raw_data!$BF62*mass_composition!$E62/100</f>
        <v>0</v>
      </c>
      <c r="BG62" s="18">
        <f>raw_data!$BG62*mass_composition!$E62/100</f>
        <v>0</v>
      </c>
      <c r="BH62" s="18">
        <v>0</v>
      </c>
      <c r="BI62" s="18">
        <v>0</v>
      </c>
      <c r="BJ62" s="18">
        <v>0</v>
      </c>
      <c r="BK62" s="18">
        <f>raw_data!$BK62*$E62/100</f>
        <v>0</v>
      </c>
      <c r="BL62" s="18">
        <f>raw_data!$BL62*$E62/100</f>
        <v>0</v>
      </c>
      <c r="BM62" s="18">
        <v>0</v>
      </c>
      <c r="BN62" s="18">
        <f>raw_data!$BN62*$E62/100</f>
        <v>0</v>
      </c>
      <c r="BO62" s="18">
        <f>raw_data!$BO62*$E62/100</f>
        <v>0</v>
      </c>
      <c r="BP62" s="18">
        <f>raw_data!$BP62*$E62/100</f>
        <v>0</v>
      </c>
      <c r="BQ62" s="18">
        <v>0</v>
      </c>
      <c r="BR62" s="18">
        <f>raw_data!$BR62*$E62/100</f>
        <v>0</v>
      </c>
      <c r="BS62" s="18">
        <v>16.242736216216215</v>
      </c>
      <c r="BT62" s="18">
        <v>1.2374066117837836</v>
      </c>
      <c r="BU62" s="18">
        <v>13.918918918918918</v>
      </c>
      <c r="BV62" s="18">
        <v>14.864864864864865</v>
      </c>
      <c r="BW62" s="18">
        <v>0</v>
      </c>
      <c r="BX62" s="18">
        <v>0</v>
      </c>
      <c r="BY62" s="18">
        <v>28.783783783783779</v>
      </c>
      <c r="BZ62" s="18">
        <v>12.837837837837839</v>
      </c>
      <c r="CA62" s="18">
        <v>0</v>
      </c>
      <c r="CB62" s="19">
        <v>36.081081081081088</v>
      </c>
    </row>
    <row r="63" spans="1:80" x14ac:dyDescent="0.35">
      <c r="A63" s="17" t="s">
        <v>113</v>
      </c>
      <c r="B63" s="17" t="s">
        <v>175</v>
      </c>
      <c r="C63" s="17">
        <f>13.7254901960785/6</f>
        <v>2.2875816993464166</v>
      </c>
      <c r="D63" s="18">
        <f>raw_data!$D63*$C63/100</f>
        <v>2.1045751633987031</v>
      </c>
      <c r="E63" s="18">
        <f>raw_data!$E63*$C63/100</f>
        <v>0.18300653594771332</v>
      </c>
      <c r="F63" s="18">
        <f>raw_data!$F63*$E63/100</f>
        <v>0.1692810457516348</v>
      </c>
      <c r="G63" s="18">
        <f>raw_data!$G63*$E63/100</f>
        <v>1.3725490196078499E-2</v>
      </c>
      <c r="H63" s="18">
        <v>14.735644496129909</v>
      </c>
      <c r="I63" s="18">
        <v>429.66216216216213</v>
      </c>
      <c r="J63" s="18">
        <f>raw_data!$J63*mass_composition!$E63/100</f>
        <v>7.28643748846593E-2</v>
      </c>
      <c r="K63" s="18">
        <f>raw_data!$K63*mass_composition!$E63/100</f>
        <v>7.28643748846593E-2</v>
      </c>
      <c r="L63" s="18">
        <f>raw_data!$L63*mass_composition!$E63/100</f>
        <v>0</v>
      </c>
      <c r="M63" s="18">
        <f>raw_data!$M63*mass_composition!$E63/100</f>
        <v>1.1437908496732083E-3</v>
      </c>
      <c r="N63" s="18">
        <f>raw_data!$N63*mass_composition!$E63/100</f>
        <v>0</v>
      </c>
      <c r="O63" s="18">
        <f>raw_data!$O63*mass_composition!$E63/100</f>
        <v>0</v>
      </c>
      <c r="P63" s="18">
        <f>raw_data!$P63*mass_composition!$E63/100</f>
        <v>1.1113556477736472E-2</v>
      </c>
      <c r="Q63" s="18">
        <f>raw_data!$Q63*mass_composition!$E63/100</f>
        <v>6.4738562091503594E-3</v>
      </c>
      <c r="R63" s="18">
        <f>raw_data!$R63*mass_composition!$E63/100</f>
        <v>2.1960784313725598E-3</v>
      </c>
      <c r="S63" s="18">
        <f>raw_data!$S63*mass_composition!$E63/100</f>
        <v>3.8888888888889082E-4</v>
      </c>
      <c r="T63" s="18">
        <f>raw_data!$T63*mass_composition!$E63/100</f>
        <v>8.2890689476868451E-2</v>
      </c>
      <c r="U63" s="18">
        <f>raw_data!$U63*mass_composition!$E63/100</f>
        <v>1.1437908496732083E-3</v>
      </c>
      <c r="V63" s="18">
        <f>raw_data!$V63*mass_composition!$E63/100</f>
        <v>4.8738006610752054E-4</v>
      </c>
      <c r="W63" s="18">
        <f>raw_data!$W63*mass_composition!$E63/100</f>
        <v>0</v>
      </c>
      <c r="X63" s="18">
        <f>raw_data!$X63*mass_composition!$E63/100</f>
        <v>0</v>
      </c>
      <c r="Y63" s="18">
        <f>raw_data!$Y63*mass_composition!$E63/100</f>
        <v>0</v>
      </c>
      <c r="Z63" s="18">
        <f>raw_data!$Z63*mass_composition!$E63/100</f>
        <v>0</v>
      </c>
      <c r="AA63" s="18">
        <f>raw_data!$AA63*mass_composition!$E63/100</f>
        <v>0</v>
      </c>
      <c r="AB63" s="18">
        <f>raw_data!$AB63*mass_composition!$E63/100</f>
        <v>0</v>
      </c>
      <c r="AC63" s="18">
        <f>raw_data!$AC63*mass_composition!$E63/100</f>
        <v>0</v>
      </c>
      <c r="AD63" s="18">
        <f>raw_data!$AD63*mass_composition!$E63/100</f>
        <v>0</v>
      </c>
      <c r="AE63" s="18">
        <f>raw_data!$AE63*mass_composition!$E63/100</f>
        <v>0</v>
      </c>
      <c r="AF63" s="18">
        <f>raw_data!$AF63*mass_composition!$E63/100</f>
        <v>0</v>
      </c>
      <c r="AG63" s="18">
        <f>raw_data!$AG63*mass_composition!$E63/100</f>
        <v>0</v>
      </c>
      <c r="AH63" s="18">
        <f>raw_data!$AH63*mass_composition!$E63/100</f>
        <v>0</v>
      </c>
      <c r="AI63" s="18">
        <f>raw_data!$AI63*mass_composition!$E63/100</f>
        <v>1.1437908496732081E-8</v>
      </c>
      <c r="AJ63" s="18">
        <f>raw_data!$AJ63*mass_composition!$E63/100</f>
        <v>9.1503267973856666E-7</v>
      </c>
      <c r="AK63" s="18">
        <f>raw_data!$AK63*mass_composition!$E63/100</f>
        <v>1.1437908496732083E-5</v>
      </c>
      <c r="AL63" s="18">
        <f>raw_data!$AL63*mass_composition!$E63/100</f>
        <v>0</v>
      </c>
      <c r="AM63" s="18">
        <f>raw_data!$AM63*mass_composition!$E63/100</f>
        <v>0</v>
      </c>
      <c r="AN63" s="18">
        <f>raw_data!$AN63*mass_composition!$E63/100</f>
        <v>0</v>
      </c>
      <c r="AO63" s="18">
        <f>raw_data!$AO63*mass_composition!$E63/100</f>
        <v>0</v>
      </c>
      <c r="AP63" s="18">
        <f>raw_data!$AP63*mass_composition!$E63/100</f>
        <v>1.8300653594771334E-4</v>
      </c>
      <c r="AQ63" s="18">
        <f>raw_data!$AQ63*mass_composition!$E63/100</f>
        <v>1.5555555555555634E-6</v>
      </c>
      <c r="AR63" s="18">
        <f>raw_data!$AR63*mass_composition!$E63/100</f>
        <v>2.2875816993464166E-7</v>
      </c>
      <c r="AS63" s="18">
        <f>raw_data!$AS63*mass_composition!$E63/100</f>
        <v>0</v>
      </c>
      <c r="AT63" s="18">
        <f>raw_data!$AT63*mass_composition!$E63/100</f>
        <v>0</v>
      </c>
      <c r="AU63" s="18">
        <f>raw_data!$AU63*mass_composition!$E63/100</f>
        <v>0</v>
      </c>
      <c r="AV63" s="18">
        <f>raw_data!$AV63*mass_composition!$E63/100</f>
        <v>0</v>
      </c>
      <c r="AW63" s="18">
        <f>raw_data!$AW63*mass_composition!$E63/100</f>
        <v>0</v>
      </c>
      <c r="AX63" s="18">
        <f>raw_data!$AX63*mass_composition!$E63/100</f>
        <v>0</v>
      </c>
      <c r="AY63" s="18">
        <f>raw_data!$AY63*mass_composition!$E63/100</f>
        <v>0</v>
      </c>
      <c r="AZ63" s="18">
        <f>raw_data!$AZ63*mass_composition!$E63/100</f>
        <v>0</v>
      </c>
      <c r="BA63" s="18">
        <f>raw_data!$BA63*mass_composition!$E63/100</f>
        <v>0</v>
      </c>
      <c r="BB63" s="18">
        <f>raw_data!$BB63*mass_composition!$E63/100</f>
        <v>0</v>
      </c>
      <c r="BC63" s="18">
        <f>raw_data!$BC63*mass_composition!$E63/100</f>
        <v>0</v>
      </c>
      <c r="BD63" s="18">
        <f>raw_data!$BD63*mass_composition!$E63/100</f>
        <v>0</v>
      </c>
      <c r="BE63" s="18">
        <f>raw_data!$BE63*mass_composition!$E63/100</f>
        <v>5.2614379084967577E-6</v>
      </c>
      <c r="BF63" s="18">
        <f>raw_data!$BF63*mass_composition!$E63/100</f>
        <v>0</v>
      </c>
      <c r="BG63" s="18">
        <f>raw_data!$BG63*mass_composition!$E63/100</f>
        <v>0</v>
      </c>
      <c r="BH63" s="18">
        <v>0</v>
      </c>
      <c r="BI63" s="18">
        <v>0</v>
      </c>
      <c r="BJ63" s="18">
        <v>0</v>
      </c>
      <c r="BK63" s="18">
        <f>raw_data!$BK63*$E63/100</f>
        <v>0</v>
      </c>
      <c r="BL63" s="18">
        <f>raw_data!$BL63*$E63/100</f>
        <v>0</v>
      </c>
      <c r="BM63" s="18">
        <v>0</v>
      </c>
      <c r="BN63" s="18">
        <f>raw_data!$BN63*$E63/100</f>
        <v>0</v>
      </c>
      <c r="BO63" s="18">
        <f>raw_data!$BO63*$E63/100</f>
        <v>1.3725490196078499E-2</v>
      </c>
      <c r="BP63" s="18">
        <f>raw_data!$BP63*$E63/100</f>
        <v>2.2875816993464166E-3</v>
      </c>
      <c r="BQ63" s="18">
        <v>0</v>
      </c>
      <c r="BR63" s="18">
        <f>raw_data!$BR63*$E63/100</f>
        <v>0.15326797385620991</v>
      </c>
      <c r="BS63" s="18">
        <v>16.311877750000001</v>
      </c>
      <c r="BT63" s="18">
        <v>1.2442447094750002</v>
      </c>
      <c r="BU63" s="18">
        <v>0</v>
      </c>
      <c r="BV63" s="18">
        <v>0</v>
      </c>
      <c r="BW63" s="18">
        <v>0</v>
      </c>
      <c r="BX63" s="18">
        <v>0</v>
      </c>
      <c r="BY63" s="18">
        <v>47.5</v>
      </c>
      <c r="BZ63" s="18">
        <v>13.75</v>
      </c>
      <c r="CA63" s="18">
        <v>0</v>
      </c>
      <c r="CB63" s="19">
        <v>83.75</v>
      </c>
    </row>
    <row r="64" spans="1:80" x14ac:dyDescent="0.35">
      <c r="A64" s="17" t="s">
        <v>113</v>
      </c>
      <c r="B64" s="17" t="s">
        <v>176</v>
      </c>
      <c r="C64" s="17"/>
      <c r="D64" s="18">
        <f>raw_data!$D64*$C64/100</f>
        <v>0</v>
      </c>
      <c r="E64" s="18">
        <f>raw_data!$E64*$C64/100</f>
        <v>0</v>
      </c>
      <c r="F64" s="18">
        <f>raw_data!$F64*$E64/100</f>
        <v>0</v>
      </c>
      <c r="G64" s="18">
        <f>raw_data!$G64*$E64/100</f>
        <v>0</v>
      </c>
      <c r="H64" s="18">
        <v>16.100836974359321</v>
      </c>
      <c r="I64" s="18">
        <v>459.4233531511714</v>
      </c>
      <c r="J64" s="18">
        <f>raw_data!$J64*mass_composition!$E64/100</f>
        <v>0</v>
      </c>
      <c r="K64" s="18">
        <f>raw_data!$K64*mass_composition!$E64/100</f>
        <v>0</v>
      </c>
      <c r="L64" s="18">
        <f>raw_data!$L64*mass_composition!$E64/100</f>
        <v>0</v>
      </c>
      <c r="M64" s="18">
        <f>raw_data!$M64*mass_composition!$E64/100</f>
        <v>0</v>
      </c>
      <c r="N64" s="18">
        <f>raw_data!$N64*mass_composition!$E64/100</f>
        <v>0</v>
      </c>
      <c r="O64" s="18">
        <f>raw_data!$O64*mass_composition!$E64/100</f>
        <v>0</v>
      </c>
      <c r="P64" s="18">
        <f>raw_data!$P64*mass_composition!$E64/100</f>
        <v>0</v>
      </c>
      <c r="Q64" s="18">
        <f>raw_data!$Q64*mass_composition!$E64/100</f>
        <v>0</v>
      </c>
      <c r="R64" s="18">
        <f>raw_data!$R64*mass_composition!$E64/100</f>
        <v>0</v>
      </c>
      <c r="S64" s="18">
        <f>raw_data!$S64*mass_composition!$E64/100</f>
        <v>0</v>
      </c>
      <c r="T64" s="18">
        <f>raw_data!$T64*mass_composition!$E64/100</f>
        <v>0</v>
      </c>
      <c r="U64" s="18">
        <f>raw_data!$U64*mass_composition!$E64/100</f>
        <v>0</v>
      </c>
      <c r="V64" s="18">
        <f>raw_data!$V64*mass_composition!$E64/100</f>
        <v>0</v>
      </c>
      <c r="W64" s="18">
        <f>raw_data!$W64*mass_composition!$E64/100</f>
        <v>0</v>
      </c>
      <c r="X64" s="18">
        <f>raw_data!$X64*mass_composition!$E64/100</f>
        <v>0</v>
      </c>
      <c r="Y64" s="18">
        <f>raw_data!$Y64*mass_composition!$E64/100</f>
        <v>0</v>
      </c>
      <c r="Z64" s="18">
        <f>raw_data!$Z64*mass_composition!$E64/100</f>
        <v>0</v>
      </c>
      <c r="AA64" s="18">
        <f>raw_data!$AA64*mass_composition!$E64/100</f>
        <v>0</v>
      </c>
      <c r="AB64" s="18">
        <f>raw_data!$AB64*mass_composition!$E64/100</f>
        <v>0</v>
      </c>
      <c r="AC64" s="18">
        <f>raw_data!$AC64*mass_composition!$E64/100</f>
        <v>0</v>
      </c>
      <c r="AD64" s="18">
        <f>raw_data!$AD64*mass_composition!$E64/100</f>
        <v>0</v>
      </c>
      <c r="AE64" s="18">
        <f>raw_data!$AE64*mass_composition!$E64/100</f>
        <v>0</v>
      </c>
      <c r="AF64" s="18">
        <f>raw_data!$AF64*mass_composition!$E64/100</f>
        <v>0</v>
      </c>
      <c r="AG64" s="18">
        <f>raw_data!$AG64*mass_composition!$E64/100</f>
        <v>0</v>
      </c>
      <c r="AH64" s="18">
        <f>raw_data!$AH64*mass_composition!$E64/100</f>
        <v>0</v>
      </c>
      <c r="AI64" s="18">
        <f>raw_data!$AI64*mass_composition!$E64/100</f>
        <v>0</v>
      </c>
      <c r="AJ64" s="18">
        <f>raw_data!$AJ64*mass_composition!$E64/100</f>
        <v>0</v>
      </c>
      <c r="AK64" s="18">
        <f>raw_data!$AK64*mass_composition!$E64/100</f>
        <v>0</v>
      </c>
      <c r="AL64" s="18">
        <f>raw_data!$AL64*mass_composition!$E64/100</f>
        <v>0</v>
      </c>
      <c r="AM64" s="18">
        <f>raw_data!$AM64*mass_composition!$E64/100</f>
        <v>0</v>
      </c>
      <c r="AN64" s="18">
        <f>raw_data!$AN64*mass_composition!$E64/100</f>
        <v>0</v>
      </c>
      <c r="AO64" s="18">
        <f>raw_data!$AO64*mass_composition!$E64/100</f>
        <v>0</v>
      </c>
      <c r="AP64" s="18">
        <f>raw_data!$AP64*mass_composition!$E64/100</f>
        <v>0</v>
      </c>
      <c r="AQ64" s="18">
        <f>raw_data!$AQ64*mass_composition!$E64/100</f>
        <v>0</v>
      </c>
      <c r="AR64" s="18">
        <f>raw_data!$AR64*mass_composition!$E64/100</f>
        <v>0</v>
      </c>
      <c r="AS64" s="18">
        <f>raw_data!$AS64*mass_composition!$E64/100</f>
        <v>0</v>
      </c>
      <c r="AT64" s="18">
        <f>raw_data!$AT64*mass_composition!$E64/100</f>
        <v>0</v>
      </c>
      <c r="AU64" s="18">
        <f>raw_data!$AU64*mass_composition!$E64/100</f>
        <v>0</v>
      </c>
      <c r="AV64" s="18">
        <f>raw_data!$AV64*mass_composition!$E64/100</f>
        <v>0</v>
      </c>
      <c r="AW64" s="18">
        <f>raw_data!$AW64*mass_composition!$E64/100</f>
        <v>0</v>
      </c>
      <c r="AX64" s="18">
        <f>raw_data!$AX64*mass_composition!$E64/100</f>
        <v>0</v>
      </c>
      <c r="AY64" s="18">
        <f>raw_data!$AY64*mass_composition!$E64/100</f>
        <v>0</v>
      </c>
      <c r="AZ64" s="18">
        <f>raw_data!$AZ64*mass_composition!$E64/100</f>
        <v>0</v>
      </c>
      <c r="BA64" s="18">
        <f>raw_data!$BA64*mass_composition!$E64/100</f>
        <v>0</v>
      </c>
      <c r="BB64" s="18">
        <f>raw_data!$BB64*mass_composition!$E64/100</f>
        <v>0</v>
      </c>
      <c r="BC64" s="18">
        <f>raw_data!$BC64*mass_composition!$E64/100</f>
        <v>0</v>
      </c>
      <c r="BD64" s="18">
        <f>raw_data!$BD64*mass_composition!$E64/100</f>
        <v>0</v>
      </c>
      <c r="BE64" s="18">
        <f>raw_data!$BE64*mass_composition!$E64/100</f>
        <v>0</v>
      </c>
      <c r="BF64" s="18">
        <f>raw_data!$BF64*mass_composition!$E64/100</f>
        <v>0</v>
      </c>
      <c r="BG64" s="18">
        <f>raw_data!$BG64*mass_composition!$E64/100</f>
        <v>0</v>
      </c>
      <c r="BH64" s="18">
        <v>0</v>
      </c>
      <c r="BI64" s="18">
        <v>3.1434599156118139</v>
      </c>
      <c r="BJ64" s="18">
        <v>1.0337552742616032</v>
      </c>
      <c r="BK64" s="18">
        <f>raw_data!$BK64*$E64/100</f>
        <v>0</v>
      </c>
      <c r="BL64" s="18">
        <f>raw_data!$BL64*$E64/100</f>
        <v>0</v>
      </c>
      <c r="BM64" s="18">
        <v>0</v>
      </c>
      <c r="BN64" s="18">
        <f>raw_data!$BN64*$E64/100</f>
        <v>0</v>
      </c>
      <c r="BO64" s="18">
        <f>raw_data!$BO64*$E64/100</f>
        <v>0</v>
      </c>
      <c r="BP64" s="18">
        <f>raw_data!$BP64*$E64/100</f>
        <v>0</v>
      </c>
      <c r="BQ64" s="18">
        <v>0</v>
      </c>
      <c r="BR64" s="18">
        <f>raw_data!$BR64*$E64/100</f>
        <v>0</v>
      </c>
      <c r="BS64" s="18">
        <v>17.962429150484141</v>
      </c>
      <c r="BT64" s="18">
        <v>1.4073378294807715</v>
      </c>
      <c r="BU64" s="18">
        <v>0.84388185654008441</v>
      </c>
      <c r="BV64" s="18">
        <v>0.48523206751054854</v>
      </c>
      <c r="BW64" s="18">
        <v>0</v>
      </c>
      <c r="BX64" s="18">
        <v>0</v>
      </c>
      <c r="BY64" s="18">
        <v>4.4725738396624468</v>
      </c>
      <c r="BZ64" s="18">
        <v>14.078892036678852</v>
      </c>
      <c r="CA64" s="18">
        <v>0</v>
      </c>
      <c r="CB64" s="19">
        <v>52.645001092506675</v>
      </c>
    </row>
    <row r="65" spans="1:80" x14ac:dyDescent="0.35">
      <c r="A65" s="17" t="s">
        <v>113</v>
      </c>
      <c r="B65" s="17" t="s">
        <v>177</v>
      </c>
      <c r="C65" s="17">
        <f>0.802139037433193/2</f>
        <v>0.40106951871659652</v>
      </c>
      <c r="D65" s="18">
        <f>raw_data!$D65*$C65/100</f>
        <v>0.31925133689841079</v>
      </c>
      <c r="E65" s="18">
        <f>raw_data!$E65*$C65/100</f>
        <v>8.181818181818569E-2</v>
      </c>
      <c r="F65" s="18">
        <f>raw_data!$F65*$E65/100</f>
        <v>7.860962566845292E-2</v>
      </c>
      <c r="G65" s="18">
        <f>raw_data!$G65*$E65/100</f>
        <v>3.2085561497327726E-3</v>
      </c>
      <c r="H65" s="18">
        <v>16.790002275892693</v>
      </c>
      <c r="I65" s="18">
        <v>460.77551020408163</v>
      </c>
      <c r="J65" s="18">
        <f>raw_data!$J65*mass_composition!$E65/100</f>
        <v>3.5715781141819163E-2</v>
      </c>
      <c r="K65" s="18">
        <f>raw_data!$K65*mass_composition!$E65/100</f>
        <v>3.5715781141819163E-2</v>
      </c>
      <c r="L65" s="18">
        <f>raw_data!$L65*mass_composition!$E65/100</f>
        <v>0</v>
      </c>
      <c r="M65" s="18">
        <f>raw_data!$M65*mass_composition!$E65/100</f>
        <v>1.2032085561497896E-4</v>
      </c>
      <c r="N65" s="18">
        <f>raw_data!$N65*mass_composition!$E65/100</f>
        <v>0</v>
      </c>
      <c r="O65" s="18">
        <f>raw_data!$O65*mass_composition!$E65/100</f>
        <v>0</v>
      </c>
      <c r="P65" s="18">
        <f>raw_data!$P65*mass_composition!$E65/100</f>
        <v>5.3501840009149175E-3</v>
      </c>
      <c r="Q65" s="18">
        <f>raw_data!$Q65*mass_composition!$E65/100</f>
        <v>1.2032085561497895E-3</v>
      </c>
      <c r="R65" s="18">
        <f>raw_data!$R65*mass_composition!$E65/100</f>
        <v>3.8141711229948321E-3</v>
      </c>
      <c r="S65" s="18">
        <f>raw_data!$S65*mass_composition!$E65/100</f>
        <v>8.0213903743319319E-6</v>
      </c>
      <c r="T65" s="18">
        <f>raw_data!$T65*mass_composition!$E65/100</f>
        <v>3.3384577316404367E-2</v>
      </c>
      <c r="U65" s="18">
        <f>raw_data!$U65*mass_composition!$E65/100</f>
        <v>5.2139037433157555E-4</v>
      </c>
      <c r="V65" s="18">
        <f>raw_data!$V65*mass_composition!$E65/100</f>
        <v>8.4025589319189754E-4</v>
      </c>
      <c r="W65" s="18">
        <f>raw_data!$W65*mass_composition!$E65/100</f>
        <v>0</v>
      </c>
      <c r="X65" s="18">
        <f>raw_data!$X65*mass_composition!$E65/100</f>
        <v>0</v>
      </c>
      <c r="Y65" s="18">
        <f>raw_data!$Y65*mass_composition!$E65/100</f>
        <v>0</v>
      </c>
      <c r="Z65" s="18">
        <f>raw_data!$Z65*mass_composition!$E65/100</f>
        <v>4.0106951871659653E-10</v>
      </c>
      <c r="AA65" s="18">
        <f>raw_data!$AA65*mass_composition!$E65/100</f>
        <v>0</v>
      </c>
      <c r="AB65" s="18">
        <f>raw_data!$AB65*mass_composition!$E65/100</f>
        <v>0</v>
      </c>
      <c r="AC65" s="18">
        <f>raw_data!$AC65*mass_composition!$E65/100</f>
        <v>0</v>
      </c>
      <c r="AD65" s="18">
        <f>raw_data!$AD65*mass_composition!$E65/100</f>
        <v>0</v>
      </c>
      <c r="AE65" s="18">
        <f>raw_data!$AE65*mass_composition!$E65/100</f>
        <v>0</v>
      </c>
      <c r="AF65" s="18">
        <f>raw_data!$AF65*mass_composition!$E65/100</f>
        <v>0</v>
      </c>
      <c r="AG65" s="18">
        <f>raw_data!$AG65*mass_composition!$E65/100</f>
        <v>8.7834224598934633E-10</v>
      </c>
      <c r="AH65" s="18">
        <f>raw_data!$AH65*mass_composition!$E65/100</f>
        <v>0</v>
      </c>
      <c r="AI65" s="18">
        <f>raw_data!$AI65*mass_composition!$E65/100</f>
        <v>5.6149732620323519E-9</v>
      </c>
      <c r="AJ65" s="18">
        <f>raw_data!$AJ65*mass_composition!$E65/100</f>
        <v>4.4117647058825627E-7</v>
      </c>
      <c r="AK65" s="18">
        <f>raw_data!$AK65*mass_composition!$E65/100</f>
        <v>7.2192513368987385E-6</v>
      </c>
      <c r="AL65" s="18">
        <f>raw_data!$AL65*mass_composition!$E65/100</f>
        <v>0</v>
      </c>
      <c r="AM65" s="18">
        <f>raw_data!$AM65*mass_composition!$E65/100</f>
        <v>8.0213903743319305E-10</v>
      </c>
      <c r="AN65" s="18">
        <f>raw_data!$AN65*mass_composition!$E65/100</f>
        <v>0</v>
      </c>
      <c r="AO65" s="18">
        <f>raw_data!$AO65*mass_composition!$E65/100</f>
        <v>0</v>
      </c>
      <c r="AP65" s="18">
        <f>raw_data!$AP65*mass_composition!$E65/100</f>
        <v>1.1229946524064704E-4</v>
      </c>
      <c r="AQ65" s="18">
        <f>raw_data!$AQ65*mass_composition!$E65/100</f>
        <v>1.524064171123067E-6</v>
      </c>
      <c r="AR65" s="18">
        <f>raw_data!$AR65*mass_composition!$E65/100</f>
        <v>8.0213903743319307E-8</v>
      </c>
      <c r="AS65" s="18">
        <f>raw_data!$AS65*mass_composition!$E65/100</f>
        <v>1.0267379679144871E-7</v>
      </c>
      <c r="AT65" s="18">
        <f>raw_data!$AT65*mass_composition!$E65/100</f>
        <v>1.3475935828877646E-9</v>
      </c>
      <c r="AU65" s="18">
        <f>raw_data!$AU65*mass_composition!$E65/100</f>
        <v>0</v>
      </c>
      <c r="AV65" s="18">
        <f>raw_data!$AV65*mass_composition!$E65/100</f>
        <v>0</v>
      </c>
      <c r="AW65" s="18">
        <f>raw_data!$AW65*mass_composition!$E65/100</f>
        <v>0</v>
      </c>
      <c r="AX65" s="18">
        <f>raw_data!$AX65*mass_composition!$E65/100</f>
        <v>4.0909090909092851E-9</v>
      </c>
      <c r="AY65" s="18">
        <f>raw_data!$AY65*mass_composition!$E65/100</f>
        <v>0</v>
      </c>
      <c r="AZ65" s="18">
        <f>raw_data!$AZ65*mass_composition!$E65/100</f>
        <v>0</v>
      </c>
      <c r="BA65" s="18">
        <f>raw_data!$BA65*mass_composition!$E65/100</f>
        <v>0</v>
      </c>
      <c r="BB65" s="18">
        <f>raw_data!$BB65*mass_composition!$E65/100</f>
        <v>0</v>
      </c>
      <c r="BC65" s="18">
        <f>raw_data!$BC65*mass_composition!$E65/100</f>
        <v>0</v>
      </c>
      <c r="BD65" s="18">
        <f>raw_data!$BD65*mass_composition!$E65/100</f>
        <v>0</v>
      </c>
      <c r="BE65" s="18">
        <f>raw_data!$BE65*mass_composition!$E65/100</f>
        <v>3.0080213903744742E-6</v>
      </c>
      <c r="BF65" s="18">
        <f>raw_data!$BF65*mass_composition!$E65/100</f>
        <v>0</v>
      </c>
      <c r="BG65" s="18">
        <f>raw_data!$BG65*mass_composition!$E65/100</f>
        <v>0</v>
      </c>
      <c r="BH65" s="18">
        <v>0</v>
      </c>
      <c r="BI65" s="18">
        <v>21.372549019607845</v>
      </c>
      <c r="BJ65" s="18">
        <v>8.8235294117647065</v>
      </c>
      <c r="BK65" s="18">
        <f>raw_data!$BK65*$E65/100</f>
        <v>7.9010695187169515E-3</v>
      </c>
      <c r="BL65" s="18">
        <f>raw_data!$BL65*$E65/100</f>
        <v>0</v>
      </c>
      <c r="BM65" s="18">
        <v>0</v>
      </c>
      <c r="BN65" s="18">
        <f>raw_data!$BN65*$E65/100</f>
        <v>0</v>
      </c>
      <c r="BO65" s="18">
        <f>raw_data!$BO65*$E65/100</f>
        <v>2.3663101604279198E-2</v>
      </c>
      <c r="BP65" s="18">
        <f>raw_data!$BP65*$E65/100</f>
        <v>2.8074866310161756E-3</v>
      </c>
      <c r="BQ65" s="18">
        <v>0</v>
      </c>
      <c r="BR65" s="18">
        <f>raw_data!$BR65*$E65/100</f>
        <v>5.1737967914440956E-2</v>
      </c>
      <c r="BS65" s="18">
        <v>18.665086421568631</v>
      </c>
      <c r="BT65" s="18">
        <v>1.4769770470931376</v>
      </c>
      <c r="BU65" s="18">
        <v>0.78431372549019607</v>
      </c>
      <c r="BV65" s="18">
        <v>0.88235294117647056</v>
      </c>
      <c r="BW65" s="18">
        <v>0</v>
      </c>
      <c r="BX65" s="18">
        <v>0</v>
      </c>
      <c r="BY65" s="18">
        <v>23.03921568627451</v>
      </c>
      <c r="BZ65" s="18">
        <v>14.411764705882353</v>
      </c>
      <c r="CA65" s="18">
        <v>0</v>
      </c>
      <c r="CB65" s="19">
        <v>22.205882352941174</v>
      </c>
    </row>
    <row r="66" spans="1:80" x14ac:dyDescent="0.35">
      <c r="A66" s="17" t="s">
        <v>113</v>
      </c>
      <c r="B66" s="17" t="s">
        <v>178</v>
      </c>
      <c r="C66" s="17"/>
      <c r="D66" s="18">
        <f>raw_data!$D66*$C66/100</f>
        <v>0</v>
      </c>
      <c r="E66" s="18">
        <f>raw_data!$E66*$C66/100</f>
        <v>0</v>
      </c>
      <c r="F66" s="18">
        <f>raw_data!$F66*$E66/100</f>
        <v>0</v>
      </c>
      <c r="G66" s="18">
        <f>raw_data!$G66*$E66/100</f>
        <v>0</v>
      </c>
      <c r="H66" s="18">
        <v>23.607503025261042</v>
      </c>
      <c r="I66" s="18">
        <v>649.09785346584226</v>
      </c>
      <c r="J66" s="18">
        <f>raw_data!$J66*mass_composition!$E66/100</f>
        <v>0</v>
      </c>
      <c r="K66" s="18">
        <f>raw_data!$K66*mass_composition!$E66/100</f>
        <v>0</v>
      </c>
      <c r="L66" s="18">
        <f>raw_data!$L66*mass_composition!$E66/100</f>
        <v>0</v>
      </c>
      <c r="M66" s="18">
        <f>raw_data!$M66*mass_composition!$E66/100</f>
        <v>0</v>
      </c>
      <c r="N66" s="18">
        <f>raw_data!$N66*mass_composition!$E66/100</f>
        <v>0</v>
      </c>
      <c r="O66" s="18">
        <f>raw_data!$O66*mass_composition!$E66/100</f>
        <v>0</v>
      </c>
      <c r="P66" s="18">
        <f>raw_data!$P66*mass_composition!$E66/100</f>
        <v>0</v>
      </c>
      <c r="Q66" s="18">
        <f>raw_data!$Q66*mass_composition!$E66/100</f>
        <v>0</v>
      </c>
      <c r="R66" s="18">
        <f>raw_data!$R66*mass_composition!$E66/100</f>
        <v>0</v>
      </c>
      <c r="S66" s="18">
        <f>raw_data!$S66*mass_composition!$E66/100</f>
        <v>0</v>
      </c>
      <c r="T66" s="18">
        <f>raw_data!$T66*mass_composition!$E66/100</f>
        <v>0</v>
      </c>
      <c r="U66" s="18">
        <f>raw_data!$U66*mass_composition!$E66/100</f>
        <v>0</v>
      </c>
      <c r="V66" s="18">
        <f>raw_data!$V66*mass_composition!$E66/100</f>
        <v>0</v>
      </c>
      <c r="W66" s="18">
        <f>raw_data!$W66*mass_composition!$E66/100</f>
        <v>0</v>
      </c>
      <c r="X66" s="18">
        <f>raw_data!$X66*mass_composition!$E66/100</f>
        <v>0</v>
      </c>
      <c r="Y66" s="18">
        <f>raw_data!$Y66*mass_composition!$E66/100</f>
        <v>0</v>
      </c>
      <c r="Z66" s="18">
        <f>raw_data!$Z66*mass_composition!$E66/100</f>
        <v>0</v>
      </c>
      <c r="AA66" s="18">
        <f>raw_data!$AA66*mass_composition!$E66/100</f>
        <v>0</v>
      </c>
      <c r="AB66" s="18">
        <f>raw_data!$AB66*mass_composition!$E66/100</f>
        <v>0</v>
      </c>
      <c r="AC66" s="18">
        <f>raw_data!$AC66*mass_composition!$E66/100</f>
        <v>0</v>
      </c>
      <c r="AD66" s="18">
        <f>raw_data!$AD66*mass_composition!$E66/100</f>
        <v>0</v>
      </c>
      <c r="AE66" s="18">
        <f>raw_data!$AE66*mass_composition!$E66/100</f>
        <v>0</v>
      </c>
      <c r="AF66" s="18">
        <f>raw_data!$AF66*mass_composition!$E66/100</f>
        <v>0</v>
      </c>
      <c r="AG66" s="18">
        <f>raw_data!$AG66*mass_composition!$E66/100</f>
        <v>0</v>
      </c>
      <c r="AH66" s="18">
        <f>raw_data!$AH66*mass_composition!$E66/100</f>
        <v>0</v>
      </c>
      <c r="AI66" s="18">
        <f>raw_data!$AI66*mass_composition!$E66/100</f>
        <v>0</v>
      </c>
      <c r="AJ66" s="18">
        <f>raw_data!$AJ66*mass_composition!$E66/100</f>
        <v>0</v>
      </c>
      <c r="AK66" s="18">
        <f>raw_data!$AK66*mass_composition!$E66/100</f>
        <v>0</v>
      </c>
      <c r="AL66" s="18">
        <f>raw_data!$AL66*mass_composition!$E66/100</f>
        <v>0</v>
      </c>
      <c r="AM66" s="18">
        <f>raw_data!$AM66*mass_composition!$E66/100</f>
        <v>0</v>
      </c>
      <c r="AN66" s="18">
        <f>raw_data!$AN66*mass_composition!$E66/100</f>
        <v>0</v>
      </c>
      <c r="AO66" s="18">
        <f>raw_data!$AO66*mass_composition!$E66/100</f>
        <v>0</v>
      </c>
      <c r="AP66" s="18">
        <f>raw_data!$AP66*mass_composition!$E66/100</f>
        <v>0</v>
      </c>
      <c r="AQ66" s="18">
        <f>raw_data!$AQ66*mass_composition!$E66/100</f>
        <v>0</v>
      </c>
      <c r="AR66" s="18">
        <f>raw_data!$AR66*mass_composition!$E66/100</f>
        <v>0</v>
      </c>
      <c r="AS66" s="18">
        <f>raw_data!$AS66*mass_composition!$E66/100</f>
        <v>0</v>
      </c>
      <c r="AT66" s="18">
        <f>raw_data!$AT66*mass_composition!$E66/100</f>
        <v>0</v>
      </c>
      <c r="AU66" s="18">
        <f>raw_data!$AU66*mass_composition!$E66/100</f>
        <v>0</v>
      </c>
      <c r="AV66" s="18">
        <f>raw_data!$AV66*mass_composition!$E66/100</f>
        <v>0</v>
      </c>
      <c r="AW66" s="18">
        <f>raw_data!$AW66*mass_composition!$E66/100</f>
        <v>0</v>
      </c>
      <c r="AX66" s="18">
        <f>raw_data!$AX66*mass_composition!$E66/100</f>
        <v>0</v>
      </c>
      <c r="AY66" s="18">
        <f>raw_data!$AY66*mass_composition!$E66/100</f>
        <v>0</v>
      </c>
      <c r="AZ66" s="18">
        <f>raw_data!$AZ66*mass_composition!$E66/100</f>
        <v>0</v>
      </c>
      <c r="BA66" s="18">
        <f>raw_data!$BA66*mass_composition!$E66/100</f>
        <v>0</v>
      </c>
      <c r="BB66" s="18">
        <f>raw_data!$BB66*mass_composition!$E66/100</f>
        <v>0</v>
      </c>
      <c r="BC66" s="18">
        <f>raw_data!$BC66*mass_composition!$E66/100</f>
        <v>0</v>
      </c>
      <c r="BD66" s="18">
        <f>raw_data!$BD66*mass_composition!$E66/100</f>
        <v>0</v>
      </c>
      <c r="BE66" s="18">
        <f>raw_data!$BE66*mass_composition!$E66/100</f>
        <v>0</v>
      </c>
      <c r="BF66" s="18">
        <f>raw_data!$BF66*mass_composition!$E66/100</f>
        <v>0</v>
      </c>
      <c r="BG66" s="18">
        <f>raw_data!$BG66*mass_composition!$E66/100</f>
        <v>0</v>
      </c>
      <c r="BH66" s="18">
        <v>0</v>
      </c>
      <c r="BI66" s="18">
        <v>0</v>
      </c>
      <c r="BJ66" s="18">
        <v>0.3522062732589048</v>
      </c>
      <c r="BK66" s="18">
        <f>raw_data!$BK66*$E66/100</f>
        <v>0</v>
      </c>
      <c r="BL66" s="18">
        <f>raw_data!$BL66*$E66/100</f>
        <v>0</v>
      </c>
      <c r="BM66" s="18">
        <v>0</v>
      </c>
      <c r="BN66" s="18">
        <f>raw_data!$BN66*$E66/100</f>
        <v>0</v>
      </c>
      <c r="BO66" s="18">
        <f>raw_data!$BO66*$E66/100</f>
        <v>0</v>
      </c>
      <c r="BP66" s="18">
        <f>raw_data!$BP66*$E66/100</f>
        <v>0</v>
      </c>
      <c r="BQ66" s="18">
        <v>0</v>
      </c>
      <c r="BR66" s="18">
        <f>raw_data!$BR66*$E66/100</f>
        <v>0</v>
      </c>
      <c r="BS66" s="18">
        <v>24.689611673474797</v>
      </c>
      <c r="BT66" s="18">
        <v>2.0728025945066579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21.965470497358194</v>
      </c>
      <c r="CA66" s="18">
        <v>0</v>
      </c>
      <c r="CB66" s="19">
        <v>4.8745992294834961</v>
      </c>
    </row>
    <row r="67" spans="1:80" x14ac:dyDescent="0.35">
      <c r="A67" s="17" t="s">
        <v>113</v>
      </c>
      <c r="B67" s="17" t="s">
        <v>179</v>
      </c>
      <c r="C67" s="17"/>
      <c r="D67" s="18">
        <f>raw_data!$D67*$C67/100</f>
        <v>0</v>
      </c>
      <c r="E67" s="18">
        <f>raw_data!$E67*$C67/100</f>
        <v>0</v>
      </c>
      <c r="F67" s="18">
        <f>raw_data!$F67*$E67/100</f>
        <v>0</v>
      </c>
      <c r="G67" s="18">
        <f>raw_data!$G67*$E67/100</f>
        <v>0</v>
      </c>
      <c r="H67" s="18">
        <v>21.226610993076797</v>
      </c>
      <c r="I67" s="18">
        <v>582.00312985190806</v>
      </c>
      <c r="J67" s="18">
        <f>raw_data!$J67*mass_composition!$E67/100</f>
        <v>0</v>
      </c>
      <c r="K67" s="18">
        <f>raw_data!$K67*mass_composition!$E67/100</f>
        <v>0</v>
      </c>
      <c r="L67" s="18">
        <f>raw_data!$L67*mass_composition!$E67/100</f>
        <v>0</v>
      </c>
      <c r="M67" s="18">
        <f>raw_data!$M67*mass_composition!$E67/100</f>
        <v>0</v>
      </c>
      <c r="N67" s="18">
        <f>raw_data!$N67*mass_composition!$E67/100</f>
        <v>0</v>
      </c>
      <c r="O67" s="18">
        <f>raw_data!$O67*mass_composition!$E67/100</f>
        <v>0</v>
      </c>
      <c r="P67" s="18">
        <f>raw_data!$P67*mass_composition!$E67/100</f>
        <v>0</v>
      </c>
      <c r="Q67" s="18">
        <f>raw_data!$Q67*mass_composition!$E67/100</f>
        <v>0</v>
      </c>
      <c r="R67" s="18">
        <f>raw_data!$R67*mass_composition!$E67/100</f>
        <v>0</v>
      </c>
      <c r="S67" s="18">
        <f>raw_data!$S67*mass_composition!$E67/100</f>
        <v>0</v>
      </c>
      <c r="T67" s="18">
        <f>raw_data!$T67*mass_composition!$E67/100</f>
        <v>0</v>
      </c>
      <c r="U67" s="18">
        <f>raw_data!$U67*mass_composition!$E67/100</f>
        <v>0</v>
      </c>
      <c r="V67" s="18">
        <f>raw_data!$V67*mass_composition!$E67/100</f>
        <v>0</v>
      </c>
      <c r="W67" s="18">
        <f>raw_data!$W67*mass_composition!$E67/100</f>
        <v>0</v>
      </c>
      <c r="X67" s="18">
        <f>raw_data!$X67*mass_composition!$E67/100</f>
        <v>0</v>
      </c>
      <c r="Y67" s="18">
        <f>raw_data!$Y67*mass_composition!$E67/100</f>
        <v>0</v>
      </c>
      <c r="Z67" s="18">
        <f>raw_data!$Z67*mass_composition!$E67/100</f>
        <v>0</v>
      </c>
      <c r="AA67" s="18">
        <f>raw_data!$AA67*mass_composition!$E67/100</f>
        <v>0</v>
      </c>
      <c r="AB67" s="18">
        <f>raw_data!$AB67*mass_composition!$E67/100</f>
        <v>0</v>
      </c>
      <c r="AC67" s="18">
        <f>raw_data!$AC67*mass_composition!$E67/100</f>
        <v>0</v>
      </c>
      <c r="AD67" s="18">
        <f>raw_data!$AD67*mass_composition!$E67/100</f>
        <v>0</v>
      </c>
      <c r="AE67" s="18">
        <f>raw_data!$AE67*mass_composition!$E67/100</f>
        <v>0</v>
      </c>
      <c r="AF67" s="18">
        <f>raw_data!$AF67*mass_composition!$E67/100</f>
        <v>0</v>
      </c>
      <c r="AG67" s="18">
        <f>raw_data!$AG67*mass_composition!$E67/100</f>
        <v>0</v>
      </c>
      <c r="AH67" s="18">
        <f>raw_data!$AH67*mass_composition!$E67/100</f>
        <v>0</v>
      </c>
      <c r="AI67" s="18">
        <f>raw_data!$AI67*mass_composition!$E67/100</f>
        <v>0</v>
      </c>
      <c r="AJ67" s="18">
        <f>raw_data!$AJ67*mass_composition!$E67/100</f>
        <v>0</v>
      </c>
      <c r="AK67" s="18">
        <f>raw_data!$AK67*mass_composition!$E67/100</f>
        <v>0</v>
      </c>
      <c r="AL67" s="18">
        <f>raw_data!$AL67*mass_composition!$E67/100</f>
        <v>0</v>
      </c>
      <c r="AM67" s="18">
        <f>raw_data!$AM67*mass_composition!$E67/100</f>
        <v>0</v>
      </c>
      <c r="AN67" s="18">
        <f>raw_data!$AN67*mass_composition!$E67/100</f>
        <v>0</v>
      </c>
      <c r="AO67" s="18">
        <f>raw_data!$AO67*mass_composition!$E67/100</f>
        <v>0</v>
      </c>
      <c r="AP67" s="18">
        <f>raw_data!$AP67*mass_composition!$E67/100</f>
        <v>0</v>
      </c>
      <c r="AQ67" s="18">
        <f>raw_data!$AQ67*mass_composition!$E67/100</f>
        <v>0</v>
      </c>
      <c r="AR67" s="18">
        <f>raw_data!$AR67*mass_composition!$E67/100</f>
        <v>0</v>
      </c>
      <c r="AS67" s="18">
        <f>raw_data!$AS67*mass_composition!$E67/100</f>
        <v>0</v>
      </c>
      <c r="AT67" s="18">
        <f>raw_data!$AT67*mass_composition!$E67/100</f>
        <v>0</v>
      </c>
      <c r="AU67" s="18">
        <f>raw_data!$AU67*mass_composition!$E67/100</f>
        <v>0</v>
      </c>
      <c r="AV67" s="18">
        <f>raw_data!$AV67*mass_composition!$E67/100</f>
        <v>0</v>
      </c>
      <c r="AW67" s="18">
        <f>raw_data!$AW67*mass_composition!$E67/100</f>
        <v>0</v>
      </c>
      <c r="AX67" s="18">
        <f>raw_data!$AX67*mass_composition!$E67/100</f>
        <v>0</v>
      </c>
      <c r="AY67" s="18">
        <f>raw_data!$AY67*mass_composition!$E67/100</f>
        <v>0</v>
      </c>
      <c r="AZ67" s="18">
        <f>raw_data!$AZ67*mass_composition!$E67/100</f>
        <v>0</v>
      </c>
      <c r="BA67" s="18">
        <f>raw_data!$BA67*mass_composition!$E67/100</f>
        <v>0</v>
      </c>
      <c r="BB67" s="18">
        <f>raw_data!$BB67*mass_composition!$E67/100</f>
        <v>0</v>
      </c>
      <c r="BC67" s="18">
        <f>raw_data!$BC67*mass_composition!$E67/100</f>
        <v>0</v>
      </c>
      <c r="BD67" s="18">
        <f>raw_data!$BD67*mass_composition!$E67/100</f>
        <v>0</v>
      </c>
      <c r="BE67" s="18">
        <f>raw_data!$BE67*mass_composition!$E67/100</f>
        <v>0</v>
      </c>
      <c r="BF67" s="18">
        <f>raw_data!$BF67*mass_composition!$E67/100</f>
        <v>0</v>
      </c>
      <c r="BG67" s="18">
        <f>raw_data!$BG67*mass_composition!$E67/100</f>
        <v>0</v>
      </c>
      <c r="BH67" s="18">
        <v>0</v>
      </c>
      <c r="BI67" s="18">
        <v>0</v>
      </c>
      <c r="BJ67" s="18">
        <v>0</v>
      </c>
      <c r="BK67" s="18">
        <f>raw_data!$BK67*$E67/100</f>
        <v>0</v>
      </c>
      <c r="BL67" s="18">
        <f>raw_data!$BL67*$E67/100</f>
        <v>0</v>
      </c>
      <c r="BM67" s="18">
        <v>0</v>
      </c>
      <c r="BN67" s="18">
        <f>raw_data!$BN67*$E67/100</f>
        <v>0</v>
      </c>
      <c r="BO67" s="18">
        <f>raw_data!$BO67*$E67/100</f>
        <v>0</v>
      </c>
      <c r="BP67" s="18">
        <f>raw_data!$BP67*$E67/100</f>
        <v>0</v>
      </c>
      <c r="BQ67" s="18">
        <v>0</v>
      </c>
      <c r="BR67" s="18">
        <f>raw_data!$BR67*$E67/100</f>
        <v>0</v>
      </c>
      <c r="BS67" s="18">
        <v>23.502480568559413</v>
      </c>
      <c r="BT67" s="18">
        <v>1.9553953282305261</v>
      </c>
      <c r="BU67" s="18">
        <v>0</v>
      </c>
      <c r="BV67" s="18">
        <v>0</v>
      </c>
      <c r="BW67" s="18">
        <v>0</v>
      </c>
      <c r="BX67" s="18">
        <v>0</v>
      </c>
      <c r="BY67" s="18">
        <v>0</v>
      </c>
      <c r="BZ67" s="18">
        <v>19.242430559711668</v>
      </c>
      <c r="CA67" s="18">
        <v>0</v>
      </c>
      <c r="CB67" s="19">
        <v>1.2226011264720937</v>
      </c>
    </row>
    <row r="68" spans="1:80" x14ac:dyDescent="0.35">
      <c r="A68" s="17" t="s">
        <v>113</v>
      </c>
      <c r="B68" s="17" t="s">
        <v>180</v>
      </c>
      <c r="C68" s="17"/>
      <c r="D68" s="18">
        <f>raw_data!$D68*$C68/100</f>
        <v>0</v>
      </c>
      <c r="E68" s="18">
        <f>raw_data!$E68*$C68/100</f>
        <v>0</v>
      </c>
      <c r="F68" s="18">
        <f>raw_data!$F68*$E68/100</f>
        <v>0</v>
      </c>
      <c r="G68" s="18">
        <f>raw_data!$G68*$E68/100</f>
        <v>0</v>
      </c>
      <c r="H68" s="18">
        <v>24.437531744303982</v>
      </c>
      <c r="I68" s="18">
        <v>664.05601500650664</v>
      </c>
      <c r="J68" s="18">
        <f>raw_data!$J68*mass_composition!$E68/100</f>
        <v>0</v>
      </c>
      <c r="K68" s="18">
        <f>raw_data!$K68*mass_composition!$E68/100</f>
        <v>0</v>
      </c>
      <c r="L68" s="18">
        <f>raw_data!$L68*mass_composition!$E68/100</f>
        <v>0</v>
      </c>
      <c r="M68" s="18">
        <f>raw_data!$M68*mass_composition!$E68/100</f>
        <v>0</v>
      </c>
      <c r="N68" s="18">
        <f>raw_data!$N68*mass_composition!$E68/100</f>
        <v>0</v>
      </c>
      <c r="O68" s="18">
        <f>raw_data!$O68*mass_composition!$E68/100</f>
        <v>0</v>
      </c>
      <c r="P68" s="18">
        <f>raw_data!$P68*mass_composition!$E68/100</f>
        <v>0</v>
      </c>
      <c r="Q68" s="18">
        <f>raw_data!$Q68*mass_composition!$E68/100</f>
        <v>0</v>
      </c>
      <c r="R68" s="18">
        <f>raw_data!$R68*mass_composition!$E68/100</f>
        <v>0</v>
      </c>
      <c r="S68" s="18">
        <f>raw_data!$S68*mass_composition!$E68/100</f>
        <v>0</v>
      </c>
      <c r="T68" s="18">
        <f>raw_data!$T68*mass_composition!$E68/100</f>
        <v>0</v>
      </c>
      <c r="U68" s="18">
        <f>raw_data!$U68*mass_composition!$E68/100</f>
        <v>0</v>
      </c>
      <c r="V68" s="18">
        <f>raw_data!$V68*mass_composition!$E68/100</f>
        <v>0</v>
      </c>
      <c r="W68" s="18">
        <f>raw_data!$W68*mass_composition!$E68/100</f>
        <v>0</v>
      </c>
      <c r="X68" s="18">
        <f>raw_data!$X68*mass_composition!$E68/100</f>
        <v>0</v>
      </c>
      <c r="Y68" s="18">
        <f>raw_data!$Y68*mass_composition!$E68/100</f>
        <v>0</v>
      </c>
      <c r="Z68" s="18">
        <f>raw_data!$Z68*mass_composition!$E68/100</f>
        <v>0</v>
      </c>
      <c r="AA68" s="18">
        <f>raw_data!$AA68*mass_composition!$E68/100</f>
        <v>0</v>
      </c>
      <c r="AB68" s="18">
        <f>raw_data!$AB68*mass_composition!$E68/100</f>
        <v>0</v>
      </c>
      <c r="AC68" s="18">
        <f>raw_data!$AC68*mass_composition!$E68/100</f>
        <v>0</v>
      </c>
      <c r="AD68" s="18">
        <f>raw_data!$AD68*mass_composition!$E68/100</f>
        <v>0</v>
      </c>
      <c r="AE68" s="18">
        <f>raw_data!$AE68*mass_composition!$E68/100</f>
        <v>0</v>
      </c>
      <c r="AF68" s="18">
        <f>raw_data!$AF68*mass_composition!$E68/100</f>
        <v>0</v>
      </c>
      <c r="AG68" s="18">
        <f>raw_data!$AG68*mass_composition!$E68/100</f>
        <v>0</v>
      </c>
      <c r="AH68" s="18">
        <f>raw_data!$AH68*mass_composition!$E68/100</f>
        <v>0</v>
      </c>
      <c r="AI68" s="18">
        <f>raw_data!$AI68*mass_composition!$E68/100</f>
        <v>0</v>
      </c>
      <c r="AJ68" s="18">
        <f>raw_data!$AJ68*mass_composition!$E68/100</f>
        <v>0</v>
      </c>
      <c r="AK68" s="18">
        <f>raw_data!$AK68*mass_composition!$E68/100</f>
        <v>0</v>
      </c>
      <c r="AL68" s="18">
        <f>raw_data!$AL68*mass_composition!$E68/100</f>
        <v>0</v>
      </c>
      <c r="AM68" s="18">
        <f>raw_data!$AM68*mass_composition!$E68/100</f>
        <v>0</v>
      </c>
      <c r="AN68" s="18">
        <f>raw_data!$AN68*mass_composition!$E68/100</f>
        <v>0</v>
      </c>
      <c r="AO68" s="18">
        <f>raw_data!$AO68*mass_composition!$E68/100</f>
        <v>0</v>
      </c>
      <c r="AP68" s="18">
        <f>raw_data!$AP68*mass_composition!$E68/100</f>
        <v>0</v>
      </c>
      <c r="AQ68" s="18">
        <f>raw_data!$AQ68*mass_composition!$E68/100</f>
        <v>0</v>
      </c>
      <c r="AR68" s="18">
        <f>raw_data!$AR68*mass_composition!$E68/100</f>
        <v>0</v>
      </c>
      <c r="AS68" s="18">
        <f>raw_data!$AS68*mass_composition!$E68/100</f>
        <v>0</v>
      </c>
      <c r="AT68" s="18">
        <f>raw_data!$AT68*mass_composition!$E68/100</f>
        <v>0</v>
      </c>
      <c r="AU68" s="18">
        <f>raw_data!$AU68*mass_composition!$E68/100</f>
        <v>0</v>
      </c>
      <c r="AV68" s="18">
        <f>raw_data!$AV68*mass_composition!$E68/100</f>
        <v>0</v>
      </c>
      <c r="AW68" s="18">
        <f>raw_data!$AW68*mass_composition!$E68/100</f>
        <v>0</v>
      </c>
      <c r="AX68" s="18">
        <f>raw_data!$AX68*mass_composition!$E68/100</f>
        <v>0</v>
      </c>
      <c r="AY68" s="18">
        <f>raw_data!$AY68*mass_composition!$E68/100</f>
        <v>0</v>
      </c>
      <c r="AZ68" s="18">
        <f>raw_data!$AZ68*mass_composition!$E68/100</f>
        <v>0</v>
      </c>
      <c r="BA68" s="18">
        <f>raw_data!$BA68*mass_composition!$E68/100</f>
        <v>0</v>
      </c>
      <c r="BB68" s="18">
        <f>raw_data!$BB68*mass_composition!$E68/100</f>
        <v>0</v>
      </c>
      <c r="BC68" s="18">
        <f>raw_data!$BC68*mass_composition!$E68/100</f>
        <v>0</v>
      </c>
      <c r="BD68" s="18">
        <f>raw_data!$BD68*mass_composition!$E68/100</f>
        <v>0</v>
      </c>
      <c r="BE68" s="18">
        <f>raw_data!$BE68*mass_composition!$E68/100</f>
        <v>0</v>
      </c>
      <c r="BF68" s="18">
        <f>raw_data!$BF68*mass_composition!$E68/100</f>
        <v>0</v>
      </c>
      <c r="BG68" s="18">
        <f>raw_data!$BG68*mass_composition!$E68/100</f>
        <v>0</v>
      </c>
      <c r="BH68" s="18">
        <v>0</v>
      </c>
      <c r="BI68" s="18">
        <v>0</v>
      </c>
      <c r="BJ68" s="18">
        <v>0</v>
      </c>
      <c r="BK68" s="18">
        <f>raw_data!$BK68*$E68/100</f>
        <v>0</v>
      </c>
      <c r="BL68" s="18">
        <f>raw_data!$BL68*$E68/100</f>
        <v>0</v>
      </c>
      <c r="BM68" s="18">
        <v>0</v>
      </c>
      <c r="BN68" s="18">
        <f>raw_data!$BN68*$E68/100</f>
        <v>0</v>
      </c>
      <c r="BO68" s="18">
        <f>raw_data!$BO68*$E68/100</f>
        <v>0</v>
      </c>
      <c r="BP68" s="18">
        <f>raw_data!$BP68*$E68/100</f>
        <v>0</v>
      </c>
      <c r="BQ68" s="18">
        <v>0</v>
      </c>
      <c r="BR68" s="18">
        <f>raw_data!$BR68*$E68/100</f>
        <v>0</v>
      </c>
      <c r="BS68" s="18">
        <v>25.284727669359292</v>
      </c>
      <c r="BT68" s="18">
        <v>2.1316595664996338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22.837701540015757</v>
      </c>
      <c r="CA68" s="18">
        <v>0</v>
      </c>
      <c r="CB68" s="19">
        <v>4.8136267662822831</v>
      </c>
    </row>
    <row r="69" spans="1:80" x14ac:dyDescent="0.35">
      <c r="A69" s="17" t="s">
        <v>113</v>
      </c>
      <c r="B69" s="17" t="s">
        <v>181</v>
      </c>
      <c r="C69" s="17"/>
      <c r="D69" s="18">
        <f>raw_data!$D69*$C69/100</f>
        <v>0</v>
      </c>
      <c r="E69" s="18">
        <f>raw_data!$E69*$C69/100</f>
        <v>0</v>
      </c>
      <c r="F69" s="18">
        <f>raw_data!$F69*$E69/100</f>
        <v>0</v>
      </c>
      <c r="G69" s="18">
        <f>raw_data!$G69*$E69/100</f>
        <v>0</v>
      </c>
      <c r="H69" s="18">
        <v>21.562143647643992</v>
      </c>
      <c r="I69" s="18">
        <v>580.91803278688531</v>
      </c>
      <c r="J69" s="18">
        <f>raw_data!$J69*mass_composition!$E69/100</f>
        <v>0</v>
      </c>
      <c r="K69" s="18">
        <f>raw_data!$K69*mass_composition!$E69/100</f>
        <v>0</v>
      </c>
      <c r="L69" s="18">
        <f>raw_data!$L69*mass_composition!$E69/100</f>
        <v>0</v>
      </c>
      <c r="M69" s="18">
        <f>raw_data!$M69*mass_composition!$E69/100</f>
        <v>0</v>
      </c>
      <c r="N69" s="18">
        <f>raw_data!$N69*mass_composition!$E69/100</f>
        <v>0</v>
      </c>
      <c r="O69" s="18">
        <f>raw_data!$O69*mass_composition!$E69/100</f>
        <v>0</v>
      </c>
      <c r="P69" s="18">
        <f>raw_data!$P69*mass_composition!$E69/100</f>
        <v>0</v>
      </c>
      <c r="Q69" s="18">
        <f>raw_data!$Q69*mass_composition!$E69/100</f>
        <v>0</v>
      </c>
      <c r="R69" s="18">
        <f>raw_data!$R69*mass_composition!$E69/100</f>
        <v>0</v>
      </c>
      <c r="S69" s="18">
        <f>raw_data!$S69*mass_composition!$E69/100</f>
        <v>0</v>
      </c>
      <c r="T69" s="18">
        <f>raw_data!$T69*mass_composition!$E69/100</f>
        <v>0</v>
      </c>
      <c r="U69" s="18">
        <f>raw_data!$U69*mass_composition!$E69/100</f>
        <v>0</v>
      </c>
      <c r="V69" s="18">
        <f>raw_data!$V69*mass_composition!$E69/100</f>
        <v>0</v>
      </c>
      <c r="W69" s="18">
        <f>raw_data!$W69*mass_composition!$E69/100</f>
        <v>0</v>
      </c>
      <c r="X69" s="18">
        <f>raw_data!$X69*mass_composition!$E69/100</f>
        <v>0</v>
      </c>
      <c r="Y69" s="18">
        <f>raw_data!$Y69*mass_composition!$E69/100</f>
        <v>0</v>
      </c>
      <c r="Z69" s="18">
        <f>raw_data!$Z69*mass_composition!$E69/100</f>
        <v>0</v>
      </c>
      <c r="AA69" s="18">
        <f>raw_data!$AA69*mass_composition!$E69/100</f>
        <v>0</v>
      </c>
      <c r="AB69" s="18">
        <f>raw_data!$AB69*mass_composition!$E69/100</f>
        <v>0</v>
      </c>
      <c r="AC69" s="18">
        <f>raw_data!$AC69*mass_composition!$E69/100</f>
        <v>0</v>
      </c>
      <c r="AD69" s="18">
        <f>raw_data!$AD69*mass_composition!$E69/100</f>
        <v>0</v>
      </c>
      <c r="AE69" s="18">
        <f>raw_data!$AE69*mass_composition!$E69/100</f>
        <v>0</v>
      </c>
      <c r="AF69" s="18">
        <f>raw_data!$AF69*mass_composition!$E69/100</f>
        <v>0</v>
      </c>
      <c r="AG69" s="18">
        <f>raw_data!$AG69*mass_composition!$E69/100</f>
        <v>0</v>
      </c>
      <c r="AH69" s="18">
        <f>raw_data!$AH69*mass_composition!$E69/100</f>
        <v>0</v>
      </c>
      <c r="AI69" s="18">
        <f>raw_data!$AI69*mass_composition!$E69/100</f>
        <v>0</v>
      </c>
      <c r="AJ69" s="18">
        <f>raw_data!$AJ69*mass_composition!$E69/100</f>
        <v>0</v>
      </c>
      <c r="AK69" s="18">
        <f>raw_data!$AK69*mass_composition!$E69/100</f>
        <v>0</v>
      </c>
      <c r="AL69" s="18">
        <f>raw_data!$AL69*mass_composition!$E69/100</f>
        <v>0</v>
      </c>
      <c r="AM69" s="18">
        <f>raw_data!$AM69*mass_composition!$E69/100</f>
        <v>0</v>
      </c>
      <c r="AN69" s="18">
        <f>raw_data!$AN69*mass_composition!$E69/100</f>
        <v>0</v>
      </c>
      <c r="AO69" s="18">
        <f>raw_data!$AO69*mass_composition!$E69/100</f>
        <v>0</v>
      </c>
      <c r="AP69" s="18">
        <f>raw_data!$AP69*mass_composition!$E69/100</f>
        <v>0</v>
      </c>
      <c r="AQ69" s="18">
        <f>raw_data!$AQ69*mass_composition!$E69/100</f>
        <v>0</v>
      </c>
      <c r="AR69" s="18">
        <f>raw_data!$AR69*mass_composition!$E69/100</f>
        <v>0</v>
      </c>
      <c r="AS69" s="18">
        <f>raw_data!$AS69*mass_composition!$E69/100</f>
        <v>0</v>
      </c>
      <c r="AT69" s="18">
        <f>raw_data!$AT69*mass_composition!$E69/100</f>
        <v>0</v>
      </c>
      <c r="AU69" s="18">
        <f>raw_data!$AU69*mass_composition!$E69/100</f>
        <v>0</v>
      </c>
      <c r="AV69" s="18">
        <f>raw_data!$AV69*mass_composition!$E69/100</f>
        <v>0</v>
      </c>
      <c r="AW69" s="18">
        <f>raw_data!$AW69*mass_composition!$E69/100</f>
        <v>0</v>
      </c>
      <c r="AX69" s="18">
        <f>raw_data!$AX69*mass_composition!$E69/100</f>
        <v>0</v>
      </c>
      <c r="AY69" s="18">
        <f>raw_data!$AY69*mass_composition!$E69/100</f>
        <v>0</v>
      </c>
      <c r="AZ69" s="18">
        <f>raw_data!$AZ69*mass_composition!$E69/100</f>
        <v>0</v>
      </c>
      <c r="BA69" s="18">
        <f>raw_data!$BA69*mass_composition!$E69/100</f>
        <v>0</v>
      </c>
      <c r="BB69" s="18">
        <f>raw_data!$BB69*mass_composition!$E69/100</f>
        <v>0</v>
      </c>
      <c r="BC69" s="18">
        <f>raw_data!$BC69*mass_composition!$E69/100</f>
        <v>0</v>
      </c>
      <c r="BD69" s="18">
        <f>raw_data!$BD69*mass_composition!$E69/100</f>
        <v>0</v>
      </c>
      <c r="BE69" s="18">
        <f>raw_data!$BE69*mass_composition!$E69/100</f>
        <v>0</v>
      </c>
      <c r="BF69" s="18">
        <f>raw_data!$BF69*mass_composition!$E69/100</f>
        <v>0</v>
      </c>
      <c r="BG69" s="18">
        <f>raw_data!$BG69*mass_composition!$E69/100</f>
        <v>0</v>
      </c>
      <c r="BH69" s="18">
        <v>0</v>
      </c>
      <c r="BI69" s="18">
        <v>0</v>
      </c>
      <c r="BJ69" s="18">
        <v>0</v>
      </c>
      <c r="BK69" s="18">
        <f>raw_data!$BK69*$E69/100</f>
        <v>0</v>
      </c>
      <c r="BL69" s="18">
        <f>raw_data!$BL69*$E69/100</f>
        <v>0</v>
      </c>
      <c r="BM69" s="18">
        <v>0</v>
      </c>
      <c r="BN69" s="18">
        <f>raw_data!$BN69*$E69/100</f>
        <v>0</v>
      </c>
      <c r="BO69" s="18">
        <f>raw_data!$BO69*$E69/100</f>
        <v>0</v>
      </c>
      <c r="BP69" s="18">
        <f>raw_data!$BP69*$E69/100</f>
        <v>0</v>
      </c>
      <c r="BQ69" s="18">
        <v>0</v>
      </c>
      <c r="BR69" s="18">
        <f>raw_data!$BR69*$E69/100</f>
        <v>0</v>
      </c>
      <c r="BS69" s="18">
        <v>23.966336456692915</v>
      </c>
      <c r="BT69" s="18">
        <v>2.0012706755669294</v>
      </c>
      <c r="BU69" s="18">
        <v>0</v>
      </c>
      <c r="BV69" s="18">
        <v>0</v>
      </c>
      <c r="BW69" s="18">
        <v>0</v>
      </c>
      <c r="BX69" s="18">
        <v>0</v>
      </c>
      <c r="BY69" s="18">
        <v>0</v>
      </c>
      <c r="BZ69" s="18">
        <v>19.488188976377955</v>
      </c>
      <c r="CA69" s="18">
        <v>0</v>
      </c>
      <c r="CB69" s="19">
        <v>0</v>
      </c>
    </row>
    <row r="70" spans="1:80" x14ac:dyDescent="0.35">
      <c r="A70" s="17" t="s">
        <v>113</v>
      </c>
      <c r="B70" s="17" t="s">
        <v>182</v>
      </c>
      <c r="C70" s="17"/>
      <c r="D70" s="18">
        <f>raw_data!$D70*$C70/100</f>
        <v>0</v>
      </c>
      <c r="E70" s="18">
        <f>raw_data!$E70*$C70/100</f>
        <v>0</v>
      </c>
      <c r="F70" s="18">
        <f>raw_data!$F70*$E70/100</f>
        <v>0</v>
      </c>
      <c r="G70" s="18">
        <f>raw_data!$G70*$E70/100</f>
        <v>0</v>
      </c>
      <c r="H70" s="18">
        <v>22.708447352571451</v>
      </c>
      <c r="I70" s="18">
        <v>619.01875777778559</v>
      </c>
      <c r="J70" s="18">
        <f>raw_data!$J70*mass_composition!$E70/100</f>
        <v>0</v>
      </c>
      <c r="K70" s="18">
        <f>raw_data!$K70*mass_composition!$E70/100</f>
        <v>0</v>
      </c>
      <c r="L70" s="18">
        <f>raw_data!$L70*mass_composition!$E70/100</f>
        <v>0</v>
      </c>
      <c r="M70" s="18">
        <f>raw_data!$M70*mass_composition!$E70/100</f>
        <v>0</v>
      </c>
      <c r="N70" s="18">
        <f>raw_data!$N70*mass_composition!$E70/100</f>
        <v>0</v>
      </c>
      <c r="O70" s="18">
        <f>raw_data!$O70*mass_composition!$E70/100</f>
        <v>0</v>
      </c>
      <c r="P70" s="18">
        <f>raw_data!$P70*mass_composition!$E70/100</f>
        <v>0</v>
      </c>
      <c r="Q70" s="18">
        <f>raw_data!$Q70*mass_composition!$E70/100</f>
        <v>0</v>
      </c>
      <c r="R70" s="18">
        <f>raw_data!$R70*mass_composition!$E70/100</f>
        <v>0</v>
      </c>
      <c r="S70" s="18">
        <f>raw_data!$S70*mass_composition!$E70/100</f>
        <v>0</v>
      </c>
      <c r="T70" s="18">
        <f>raw_data!$T70*mass_composition!$E70/100</f>
        <v>0</v>
      </c>
      <c r="U70" s="18">
        <f>raw_data!$U70*mass_composition!$E70/100</f>
        <v>0</v>
      </c>
      <c r="V70" s="18">
        <f>raw_data!$V70*mass_composition!$E70/100</f>
        <v>0</v>
      </c>
      <c r="W70" s="18">
        <f>raw_data!$W70*mass_composition!$E70/100</f>
        <v>0</v>
      </c>
      <c r="X70" s="18">
        <f>raw_data!$X70*mass_composition!$E70/100</f>
        <v>0</v>
      </c>
      <c r="Y70" s="18">
        <f>raw_data!$Y70*mass_composition!$E70/100</f>
        <v>0</v>
      </c>
      <c r="Z70" s="18">
        <f>raw_data!$Z70*mass_composition!$E70/100</f>
        <v>0</v>
      </c>
      <c r="AA70" s="18">
        <f>raw_data!$AA70*mass_composition!$E70/100</f>
        <v>0</v>
      </c>
      <c r="AB70" s="18">
        <f>raw_data!$AB70*mass_composition!$E70/100</f>
        <v>0</v>
      </c>
      <c r="AC70" s="18">
        <f>raw_data!$AC70*mass_composition!$E70/100</f>
        <v>0</v>
      </c>
      <c r="AD70" s="18">
        <f>raw_data!$AD70*mass_composition!$E70/100</f>
        <v>0</v>
      </c>
      <c r="AE70" s="18">
        <f>raw_data!$AE70*mass_composition!$E70/100</f>
        <v>0</v>
      </c>
      <c r="AF70" s="18">
        <f>raw_data!$AF70*mass_composition!$E70/100</f>
        <v>0</v>
      </c>
      <c r="AG70" s="18">
        <f>raw_data!$AG70*mass_composition!$E70/100</f>
        <v>0</v>
      </c>
      <c r="AH70" s="18">
        <f>raw_data!$AH70*mass_composition!$E70/100</f>
        <v>0</v>
      </c>
      <c r="AI70" s="18">
        <f>raw_data!$AI70*mass_composition!$E70/100</f>
        <v>0</v>
      </c>
      <c r="AJ70" s="18">
        <f>raw_data!$AJ70*mass_composition!$E70/100</f>
        <v>0</v>
      </c>
      <c r="AK70" s="18">
        <f>raw_data!$AK70*mass_composition!$E70/100</f>
        <v>0</v>
      </c>
      <c r="AL70" s="18">
        <f>raw_data!$AL70*mass_composition!$E70/100</f>
        <v>0</v>
      </c>
      <c r="AM70" s="18">
        <f>raw_data!$AM70*mass_composition!$E70/100</f>
        <v>0</v>
      </c>
      <c r="AN70" s="18">
        <f>raw_data!$AN70*mass_composition!$E70/100</f>
        <v>0</v>
      </c>
      <c r="AO70" s="18">
        <f>raw_data!$AO70*mass_composition!$E70/100</f>
        <v>0</v>
      </c>
      <c r="AP70" s="18">
        <f>raw_data!$AP70*mass_composition!$E70/100</f>
        <v>0</v>
      </c>
      <c r="AQ70" s="18">
        <f>raw_data!$AQ70*mass_composition!$E70/100</f>
        <v>0</v>
      </c>
      <c r="AR70" s="18">
        <f>raw_data!$AR70*mass_composition!$E70/100</f>
        <v>0</v>
      </c>
      <c r="AS70" s="18">
        <f>raw_data!$AS70*mass_composition!$E70/100</f>
        <v>0</v>
      </c>
      <c r="AT70" s="18">
        <f>raw_data!$AT70*mass_composition!$E70/100</f>
        <v>0</v>
      </c>
      <c r="AU70" s="18">
        <f>raw_data!$AU70*mass_composition!$E70/100</f>
        <v>0</v>
      </c>
      <c r="AV70" s="18">
        <f>raw_data!$AV70*mass_composition!$E70/100</f>
        <v>0</v>
      </c>
      <c r="AW70" s="18">
        <f>raw_data!$AW70*mass_composition!$E70/100</f>
        <v>0</v>
      </c>
      <c r="AX70" s="18">
        <f>raw_data!$AX70*mass_composition!$E70/100</f>
        <v>0</v>
      </c>
      <c r="AY70" s="18">
        <f>raw_data!$AY70*mass_composition!$E70/100</f>
        <v>0</v>
      </c>
      <c r="AZ70" s="18">
        <f>raw_data!$AZ70*mass_composition!$E70/100</f>
        <v>0</v>
      </c>
      <c r="BA70" s="18">
        <f>raw_data!$BA70*mass_composition!$E70/100</f>
        <v>0</v>
      </c>
      <c r="BB70" s="18">
        <f>raw_data!$BB70*mass_composition!$E70/100</f>
        <v>0</v>
      </c>
      <c r="BC70" s="18">
        <f>raw_data!$BC70*mass_composition!$E70/100</f>
        <v>0</v>
      </c>
      <c r="BD70" s="18">
        <f>raw_data!$BD70*mass_composition!$E70/100</f>
        <v>0</v>
      </c>
      <c r="BE70" s="18">
        <f>raw_data!$BE70*mass_composition!$E70/100</f>
        <v>0</v>
      </c>
      <c r="BF70" s="18">
        <f>raw_data!$BF70*mass_composition!$E70/100</f>
        <v>0</v>
      </c>
      <c r="BG70" s="18">
        <f>raw_data!$BG70*mass_composition!$E70/100</f>
        <v>0</v>
      </c>
      <c r="BH70" s="18">
        <v>0</v>
      </c>
      <c r="BI70" s="18">
        <v>0</v>
      </c>
      <c r="BJ70" s="18">
        <v>8.80515683147262E-2</v>
      </c>
      <c r="BK70" s="18">
        <f>raw_data!$BK70*$E70/100</f>
        <v>0</v>
      </c>
      <c r="BL70" s="18">
        <f>raw_data!$BL70*$E70/100</f>
        <v>0</v>
      </c>
      <c r="BM70" s="18">
        <v>0</v>
      </c>
      <c r="BN70" s="18">
        <f>raw_data!$BN70*$E70/100</f>
        <v>0</v>
      </c>
      <c r="BO70" s="18">
        <f>raw_data!$BO70*$E70/100</f>
        <v>0</v>
      </c>
      <c r="BP70" s="18">
        <f>raw_data!$BP70*$E70/100</f>
        <v>0</v>
      </c>
      <c r="BQ70" s="18">
        <v>0</v>
      </c>
      <c r="BR70" s="18">
        <f>raw_data!$BR70*$E70/100</f>
        <v>0</v>
      </c>
      <c r="BS70" s="18">
        <v>24.360789092021605</v>
      </c>
      <c r="BT70" s="18">
        <v>2.0402820412009368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20.883447893365894</v>
      </c>
      <c r="CA70" s="18">
        <v>0</v>
      </c>
      <c r="CB70" s="19">
        <v>2.7277067805594681</v>
      </c>
    </row>
    <row r="71" spans="1:80" x14ac:dyDescent="0.35">
      <c r="A71" s="17" t="s">
        <v>113</v>
      </c>
      <c r="B71" s="17" t="s">
        <v>183</v>
      </c>
      <c r="C71" s="17"/>
      <c r="D71" s="18">
        <f>raw_data!$D71*$C71/100</f>
        <v>0</v>
      </c>
      <c r="E71" s="18">
        <f>raw_data!$E71*$C71/100</f>
        <v>0</v>
      </c>
      <c r="F71" s="18">
        <f>raw_data!$F71*$E71/100</f>
        <v>0</v>
      </c>
      <c r="G71" s="18">
        <f>raw_data!$G71*$E71/100</f>
        <v>0</v>
      </c>
      <c r="H71" s="18">
        <v>22.708447352571454</v>
      </c>
      <c r="I71" s="18">
        <v>619.01875777778559</v>
      </c>
      <c r="J71" s="18">
        <f>raw_data!$J71*mass_composition!$E71/100</f>
        <v>0</v>
      </c>
      <c r="K71" s="18">
        <f>raw_data!$K71*mass_composition!$E71/100</f>
        <v>0</v>
      </c>
      <c r="L71" s="18">
        <f>raw_data!$L71*mass_composition!$E71/100</f>
        <v>0</v>
      </c>
      <c r="M71" s="18">
        <f>raw_data!$M71*mass_composition!$E71/100</f>
        <v>0</v>
      </c>
      <c r="N71" s="18">
        <f>raw_data!$N71*mass_composition!$E71/100</f>
        <v>0</v>
      </c>
      <c r="O71" s="18">
        <f>raw_data!$O71*mass_composition!$E71/100</f>
        <v>0</v>
      </c>
      <c r="P71" s="18">
        <f>raw_data!$P71*mass_composition!$E71/100</f>
        <v>0</v>
      </c>
      <c r="Q71" s="18">
        <f>raw_data!$Q71*mass_composition!$E71/100</f>
        <v>0</v>
      </c>
      <c r="R71" s="18">
        <f>raw_data!$R71*mass_composition!$E71/100</f>
        <v>0</v>
      </c>
      <c r="S71" s="18">
        <f>raw_data!$S71*mass_composition!$E71/100</f>
        <v>0</v>
      </c>
      <c r="T71" s="18">
        <f>raw_data!$T71*mass_composition!$E71/100</f>
        <v>0</v>
      </c>
      <c r="U71" s="18">
        <f>raw_data!$U71*mass_composition!$E71/100</f>
        <v>0</v>
      </c>
      <c r="V71" s="18">
        <f>raw_data!$V71*mass_composition!$E71/100</f>
        <v>0</v>
      </c>
      <c r="W71" s="18">
        <f>raw_data!$W71*mass_composition!$E71/100</f>
        <v>0</v>
      </c>
      <c r="X71" s="18">
        <f>raw_data!$X71*mass_composition!$E71/100</f>
        <v>0</v>
      </c>
      <c r="Y71" s="18">
        <f>raw_data!$Y71*mass_composition!$E71/100</f>
        <v>0</v>
      </c>
      <c r="Z71" s="18">
        <f>raw_data!$Z71*mass_composition!$E71/100</f>
        <v>0</v>
      </c>
      <c r="AA71" s="18">
        <f>raw_data!$AA71*mass_composition!$E71/100</f>
        <v>0</v>
      </c>
      <c r="AB71" s="18">
        <f>raw_data!$AB71*mass_composition!$E71/100</f>
        <v>0</v>
      </c>
      <c r="AC71" s="18">
        <f>raw_data!$AC71*mass_composition!$E71/100</f>
        <v>0</v>
      </c>
      <c r="AD71" s="18">
        <f>raw_data!$AD71*mass_composition!$E71/100</f>
        <v>0</v>
      </c>
      <c r="AE71" s="18">
        <f>raw_data!$AE71*mass_composition!$E71/100</f>
        <v>0</v>
      </c>
      <c r="AF71" s="18">
        <f>raw_data!$AF71*mass_composition!$E71/100</f>
        <v>0</v>
      </c>
      <c r="AG71" s="18">
        <f>raw_data!$AG71*mass_composition!$E71/100</f>
        <v>0</v>
      </c>
      <c r="AH71" s="18">
        <f>raw_data!$AH71*mass_composition!$E71/100</f>
        <v>0</v>
      </c>
      <c r="AI71" s="18">
        <f>raw_data!$AI71*mass_composition!$E71/100</f>
        <v>0</v>
      </c>
      <c r="AJ71" s="18">
        <f>raw_data!$AJ71*mass_composition!$E71/100</f>
        <v>0</v>
      </c>
      <c r="AK71" s="18">
        <f>raw_data!$AK71*mass_composition!$E71/100</f>
        <v>0</v>
      </c>
      <c r="AL71" s="18">
        <f>raw_data!$AL71*mass_composition!$E71/100</f>
        <v>0</v>
      </c>
      <c r="AM71" s="18">
        <f>raw_data!$AM71*mass_composition!$E71/100</f>
        <v>0</v>
      </c>
      <c r="AN71" s="18">
        <f>raw_data!$AN71*mass_composition!$E71/100</f>
        <v>0</v>
      </c>
      <c r="AO71" s="18">
        <f>raw_data!$AO71*mass_composition!$E71/100</f>
        <v>0</v>
      </c>
      <c r="AP71" s="18">
        <f>raw_data!$AP71*mass_composition!$E71/100</f>
        <v>0</v>
      </c>
      <c r="AQ71" s="18">
        <f>raw_data!$AQ71*mass_composition!$E71/100</f>
        <v>0</v>
      </c>
      <c r="AR71" s="18">
        <f>raw_data!$AR71*mass_composition!$E71/100</f>
        <v>0</v>
      </c>
      <c r="AS71" s="18">
        <f>raw_data!$AS71*mass_composition!$E71/100</f>
        <v>0</v>
      </c>
      <c r="AT71" s="18">
        <f>raw_data!$AT71*mass_composition!$E71/100</f>
        <v>0</v>
      </c>
      <c r="AU71" s="18">
        <f>raw_data!$AU71*mass_composition!$E71/100</f>
        <v>0</v>
      </c>
      <c r="AV71" s="18">
        <f>raw_data!$AV71*mass_composition!$E71/100</f>
        <v>0</v>
      </c>
      <c r="AW71" s="18">
        <f>raw_data!$AW71*mass_composition!$E71/100</f>
        <v>0</v>
      </c>
      <c r="AX71" s="18">
        <f>raw_data!$AX71*mass_composition!$E71/100</f>
        <v>0</v>
      </c>
      <c r="AY71" s="18">
        <f>raw_data!$AY71*mass_composition!$E71/100</f>
        <v>0</v>
      </c>
      <c r="AZ71" s="18">
        <f>raw_data!$AZ71*mass_composition!$E71/100</f>
        <v>0</v>
      </c>
      <c r="BA71" s="18">
        <f>raw_data!$BA71*mass_composition!$E71/100</f>
        <v>0</v>
      </c>
      <c r="BB71" s="18">
        <f>raw_data!$BB71*mass_composition!$E71/100</f>
        <v>0</v>
      </c>
      <c r="BC71" s="18">
        <f>raw_data!$BC71*mass_composition!$E71/100</f>
        <v>0</v>
      </c>
      <c r="BD71" s="18">
        <f>raw_data!$BD71*mass_composition!$E71/100</f>
        <v>0</v>
      </c>
      <c r="BE71" s="18">
        <f>raw_data!$BE71*mass_composition!$E71/100</f>
        <v>0</v>
      </c>
      <c r="BF71" s="18">
        <f>raw_data!$BF71*mass_composition!$E71/100</f>
        <v>0</v>
      </c>
      <c r="BG71" s="18">
        <f>raw_data!$BG71*mass_composition!$E71/100</f>
        <v>0</v>
      </c>
      <c r="BH71" s="18">
        <v>0</v>
      </c>
      <c r="BI71" s="18">
        <v>0</v>
      </c>
      <c r="BJ71" s="18">
        <v>8.80515683147262E-2</v>
      </c>
      <c r="BK71" s="18">
        <f>raw_data!$BK71*$E71/100</f>
        <v>0</v>
      </c>
      <c r="BL71" s="18">
        <f>raw_data!$BL71*$E71/100</f>
        <v>0</v>
      </c>
      <c r="BM71" s="18">
        <v>0</v>
      </c>
      <c r="BN71" s="18">
        <f>raw_data!$BN71*$E71/100</f>
        <v>0</v>
      </c>
      <c r="BO71" s="18">
        <f>raw_data!$BO71*$E71/100</f>
        <v>0</v>
      </c>
      <c r="BP71" s="18">
        <f>raw_data!$BP71*$E71/100</f>
        <v>0</v>
      </c>
      <c r="BQ71" s="18">
        <v>0</v>
      </c>
      <c r="BR71" s="18">
        <f>raw_data!$BR71*$E71/100</f>
        <v>0</v>
      </c>
      <c r="BS71" s="18">
        <v>24.360789092021605</v>
      </c>
      <c r="BT71" s="18">
        <v>2.0402820412009368</v>
      </c>
      <c r="BU71" s="18">
        <v>0</v>
      </c>
      <c r="BV71" s="18">
        <v>0</v>
      </c>
      <c r="BW71" s="18">
        <v>0</v>
      </c>
      <c r="BX71" s="18">
        <v>0</v>
      </c>
      <c r="BY71" s="18">
        <v>0</v>
      </c>
      <c r="BZ71" s="18">
        <v>20.883447893365894</v>
      </c>
      <c r="CA71" s="18">
        <v>0</v>
      </c>
      <c r="CB71" s="19">
        <v>2.7277067805594681</v>
      </c>
    </row>
    <row r="72" spans="1:80" x14ac:dyDescent="0.35">
      <c r="A72" s="17" t="s">
        <v>113</v>
      </c>
      <c r="B72" s="17" t="s">
        <v>184</v>
      </c>
      <c r="C72" s="17"/>
      <c r="D72" s="18">
        <f>raw_data!$D72*$C72/100</f>
        <v>0</v>
      </c>
      <c r="E72" s="18">
        <f>raw_data!$E72*$C72/100</f>
        <v>0</v>
      </c>
      <c r="F72" s="18">
        <f>raw_data!$F72*$E72/100</f>
        <v>0</v>
      </c>
      <c r="G72" s="18">
        <f>raw_data!$G72*$E72/100</f>
        <v>0</v>
      </c>
      <c r="H72" s="18">
        <v>25.544029613669114</v>
      </c>
      <c r="I72" s="18">
        <v>699.87403739843103</v>
      </c>
      <c r="J72" s="18">
        <f>raw_data!$J72*mass_composition!$E72/100</f>
        <v>0</v>
      </c>
      <c r="K72" s="18">
        <f>raw_data!$K72*mass_composition!$E72/100</f>
        <v>0</v>
      </c>
      <c r="L72" s="18">
        <f>raw_data!$L72*mass_composition!$E72/100</f>
        <v>0</v>
      </c>
      <c r="M72" s="18">
        <f>raw_data!$M72*mass_composition!$E72/100</f>
        <v>0</v>
      </c>
      <c r="N72" s="18">
        <f>raw_data!$N72*mass_composition!$E72/100</f>
        <v>0</v>
      </c>
      <c r="O72" s="18">
        <f>raw_data!$O72*mass_composition!$E72/100</f>
        <v>0</v>
      </c>
      <c r="P72" s="18">
        <f>raw_data!$P72*mass_composition!$E72/100</f>
        <v>0</v>
      </c>
      <c r="Q72" s="18">
        <f>raw_data!$Q72*mass_composition!$E72/100</f>
        <v>0</v>
      </c>
      <c r="R72" s="18">
        <f>raw_data!$R72*mass_composition!$E72/100</f>
        <v>0</v>
      </c>
      <c r="S72" s="18">
        <f>raw_data!$S72*mass_composition!$E72/100</f>
        <v>0</v>
      </c>
      <c r="T72" s="18">
        <f>raw_data!$T72*mass_composition!$E72/100</f>
        <v>0</v>
      </c>
      <c r="U72" s="18">
        <f>raw_data!$U72*mass_composition!$E72/100</f>
        <v>0</v>
      </c>
      <c r="V72" s="18">
        <f>raw_data!$V72*mass_composition!$E72/100</f>
        <v>0</v>
      </c>
      <c r="W72" s="18">
        <f>raw_data!$W72*mass_composition!$E72/100</f>
        <v>0</v>
      </c>
      <c r="X72" s="18">
        <f>raw_data!$X72*mass_composition!$E72/100</f>
        <v>0</v>
      </c>
      <c r="Y72" s="18">
        <f>raw_data!$Y72*mass_composition!$E72/100</f>
        <v>0</v>
      </c>
      <c r="Z72" s="18">
        <f>raw_data!$Z72*mass_composition!$E72/100</f>
        <v>0</v>
      </c>
      <c r="AA72" s="18">
        <f>raw_data!$AA72*mass_composition!$E72/100</f>
        <v>0</v>
      </c>
      <c r="AB72" s="18">
        <f>raw_data!$AB72*mass_composition!$E72/100</f>
        <v>0</v>
      </c>
      <c r="AC72" s="18">
        <f>raw_data!$AC72*mass_composition!$E72/100</f>
        <v>0</v>
      </c>
      <c r="AD72" s="18">
        <f>raw_data!$AD72*mass_composition!$E72/100</f>
        <v>0</v>
      </c>
      <c r="AE72" s="18">
        <f>raw_data!$AE72*mass_composition!$E72/100</f>
        <v>0</v>
      </c>
      <c r="AF72" s="18">
        <f>raw_data!$AF72*mass_composition!$E72/100</f>
        <v>0</v>
      </c>
      <c r="AG72" s="18">
        <f>raw_data!$AG72*mass_composition!$E72/100</f>
        <v>0</v>
      </c>
      <c r="AH72" s="18">
        <f>raw_data!$AH72*mass_composition!$E72/100</f>
        <v>0</v>
      </c>
      <c r="AI72" s="18">
        <f>raw_data!$AI72*mass_composition!$E72/100</f>
        <v>0</v>
      </c>
      <c r="AJ72" s="18">
        <f>raw_data!$AJ72*mass_composition!$E72/100</f>
        <v>0</v>
      </c>
      <c r="AK72" s="18">
        <f>raw_data!$AK72*mass_composition!$E72/100</f>
        <v>0</v>
      </c>
      <c r="AL72" s="18">
        <f>raw_data!$AL72*mass_composition!$E72/100</f>
        <v>0</v>
      </c>
      <c r="AM72" s="18">
        <f>raw_data!$AM72*mass_composition!$E72/100</f>
        <v>0</v>
      </c>
      <c r="AN72" s="18">
        <f>raw_data!$AN72*mass_composition!$E72/100</f>
        <v>0</v>
      </c>
      <c r="AO72" s="18">
        <f>raw_data!$AO72*mass_composition!$E72/100</f>
        <v>0</v>
      </c>
      <c r="AP72" s="18">
        <f>raw_data!$AP72*mass_composition!$E72/100</f>
        <v>0</v>
      </c>
      <c r="AQ72" s="18">
        <f>raw_data!$AQ72*mass_composition!$E72/100</f>
        <v>0</v>
      </c>
      <c r="AR72" s="18">
        <f>raw_data!$AR72*mass_composition!$E72/100</f>
        <v>0</v>
      </c>
      <c r="AS72" s="18">
        <f>raw_data!$AS72*mass_composition!$E72/100</f>
        <v>0</v>
      </c>
      <c r="AT72" s="18">
        <f>raw_data!$AT72*mass_composition!$E72/100</f>
        <v>0</v>
      </c>
      <c r="AU72" s="18">
        <f>raw_data!$AU72*mass_composition!$E72/100</f>
        <v>0</v>
      </c>
      <c r="AV72" s="18">
        <f>raw_data!$AV72*mass_composition!$E72/100</f>
        <v>0</v>
      </c>
      <c r="AW72" s="18">
        <f>raw_data!$AW72*mass_composition!$E72/100</f>
        <v>0</v>
      </c>
      <c r="AX72" s="18">
        <f>raw_data!$AX72*mass_composition!$E72/100</f>
        <v>0</v>
      </c>
      <c r="AY72" s="18">
        <f>raw_data!$AY72*mass_composition!$E72/100</f>
        <v>0</v>
      </c>
      <c r="AZ72" s="18">
        <f>raw_data!$AZ72*mass_composition!$E72/100</f>
        <v>0</v>
      </c>
      <c r="BA72" s="18">
        <f>raw_data!$BA72*mass_composition!$E72/100</f>
        <v>0</v>
      </c>
      <c r="BB72" s="18">
        <f>raw_data!$BB72*mass_composition!$E72/100</f>
        <v>0</v>
      </c>
      <c r="BC72" s="18">
        <f>raw_data!$BC72*mass_composition!$E72/100</f>
        <v>0</v>
      </c>
      <c r="BD72" s="18">
        <f>raw_data!$BD72*mass_composition!$E72/100</f>
        <v>0</v>
      </c>
      <c r="BE72" s="18">
        <f>raw_data!$BE72*mass_composition!$E72/100</f>
        <v>0</v>
      </c>
      <c r="BF72" s="18">
        <f>raw_data!$BF72*mass_composition!$E72/100</f>
        <v>0</v>
      </c>
      <c r="BG72" s="18">
        <f>raw_data!$BG72*mass_composition!$E72/100</f>
        <v>0</v>
      </c>
      <c r="BH72" s="18">
        <v>0</v>
      </c>
      <c r="BI72" s="18">
        <v>0</v>
      </c>
      <c r="BJ72" s="18">
        <v>0.10919197935278938</v>
      </c>
      <c r="BK72" s="18">
        <f>raw_data!$BK72*$E72/100</f>
        <v>0</v>
      </c>
      <c r="BL72" s="18">
        <f>raw_data!$BL72*$E72/100</f>
        <v>0</v>
      </c>
      <c r="BM72" s="18">
        <v>0</v>
      </c>
      <c r="BN72" s="18">
        <f>raw_data!$BN72*$E72/100</f>
        <v>0</v>
      </c>
      <c r="BO72" s="18">
        <f>raw_data!$BO72*$E72/100</f>
        <v>0</v>
      </c>
      <c r="BP72" s="18">
        <f>raw_data!$BP72*$E72/100</f>
        <v>0</v>
      </c>
      <c r="BQ72" s="18">
        <v>0</v>
      </c>
      <c r="BR72" s="18">
        <f>raw_data!$BR72*$E72/100</f>
        <v>0</v>
      </c>
      <c r="BS72" s="18">
        <v>25.874371779433663</v>
      </c>
      <c r="BT72" s="18">
        <v>2.1899753689859902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23.905049201846296</v>
      </c>
      <c r="CA72" s="18">
        <v>0</v>
      </c>
      <c r="CB72" s="19">
        <v>3.0575876929515395</v>
      </c>
    </row>
    <row r="73" spans="1:80" x14ac:dyDescent="0.35">
      <c r="A73" s="17" t="s">
        <v>113</v>
      </c>
      <c r="B73" s="17" t="s">
        <v>185</v>
      </c>
      <c r="C73" s="17"/>
      <c r="D73" s="18">
        <f>raw_data!$D73*$C73/100</f>
        <v>0</v>
      </c>
      <c r="E73" s="18">
        <f>raw_data!$E73*$C73/100</f>
        <v>0</v>
      </c>
      <c r="F73" s="18">
        <f>raw_data!$F73*$E73/100</f>
        <v>0</v>
      </c>
      <c r="G73" s="18">
        <f>raw_data!$G73*$E73/100</f>
        <v>0</v>
      </c>
      <c r="H73" s="18">
        <v>25.50111578309069</v>
      </c>
      <c r="I73" s="18">
        <v>690.29915464837609</v>
      </c>
      <c r="J73" s="18">
        <f>raw_data!$J73*mass_composition!$E73/100</f>
        <v>0</v>
      </c>
      <c r="K73" s="18">
        <f>raw_data!$K73*mass_composition!$E73/100</f>
        <v>0</v>
      </c>
      <c r="L73" s="18">
        <f>raw_data!$L73*mass_composition!$E73/100</f>
        <v>0</v>
      </c>
      <c r="M73" s="18">
        <f>raw_data!$M73*mass_composition!$E73/100</f>
        <v>0</v>
      </c>
      <c r="N73" s="18">
        <f>raw_data!$N73*mass_composition!$E73/100</f>
        <v>0</v>
      </c>
      <c r="O73" s="18">
        <f>raw_data!$O73*mass_composition!$E73/100</f>
        <v>0</v>
      </c>
      <c r="P73" s="18">
        <f>raw_data!$P73*mass_composition!$E73/100</f>
        <v>0</v>
      </c>
      <c r="Q73" s="18">
        <f>raw_data!$Q73*mass_composition!$E73/100</f>
        <v>0</v>
      </c>
      <c r="R73" s="18">
        <f>raw_data!$R73*mass_composition!$E73/100</f>
        <v>0</v>
      </c>
      <c r="S73" s="18">
        <f>raw_data!$S73*mass_composition!$E73/100</f>
        <v>0</v>
      </c>
      <c r="T73" s="18">
        <f>raw_data!$T73*mass_composition!$E73/100</f>
        <v>0</v>
      </c>
      <c r="U73" s="18">
        <f>raw_data!$U73*mass_composition!$E73/100</f>
        <v>0</v>
      </c>
      <c r="V73" s="18">
        <f>raw_data!$V73*mass_composition!$E73/100</f>
        <v>0</v>
      </c>
      <c r="W73" s="18">
        <f>raw_data!$W73*mass_composition!$E73/100</f>
        <v>0</v>
      </c>
      <c r="X73" s="18">
        <f>raw_data!$X73*mass_composition!$E73/100</f>
        <v>0</v>
      </c>
      <c r="Y73" s="18">
        <f>raw_data!$Y73*mass_composition!$E73/100</f>
        <v>0</v>
      </c>
      <c r="Z73" s="18">
        <f>raw_data!$Z73*mass_composition!$E73/100</f>
        <v>0</v>
      </c>
      <c r="AA73" s="18">
        <f>raw_data!$AA73*mass_composition!$E73/100</f>
        <v>0</v>
      </c>
      <c r="AB73" s="18">
        <f>raw_data!$AB73*mass_composition!$E73/100</f>
        <v>0</v>
      </c>
      <c r="AC73" s="18">
        <f>raw_data!$AC73*mass_composition!$E73/100</f>
        <v>0</v>
      </c>
      <c r="AD73" s="18">
        <f>raw_data!$AD73*mass_composition!$E73/100</f>
        <v>0</v>
      </c>
      <c r="AE73" s="18">
        <f>raw_data!$AE73*mass_composition!$E73/100</f>
        <v>0</v>
      </c>
      <c r="AF73" s="18">
        <f>raw_data!$AF73*mass_composition!$E73/100</f>
        <v>0</v>
      </c>
      <c r="AG73" s="18">
        <f>raw_data!$AG73*mass_composition!$E73/100</f>
        <v>0</v>
      </c>
      <c r="AH73" s="18">
        <f>raw_data!$AH73*mass_composition!$E73/100</f>
        <v>0</v>
      </c>
      <c r="AI73" s="18">
        <f>raw_data!$AI73*mass_composition!$E73/100</f>
        <v>0</v>
      </c>
      <c r="AJ73" s="18">
        <f>raw_data!$AJ73*mass_composition!$E73/100</f>
        <v>0</v>
      </c>
      <c r="AK73" s="18">
        <f>raw_data!$AK73*mass_composition!$E73/100</f>
        <v>0</v>
      </c>
      <c r="AL73" s="18">
        <f>raw_data!$AL73*mass_composition!$E73/100</f>
        <v>0</v>
      </c>
      <c r="AM73" s="18">
        <f>raw_data!$AM73*mass_composition!$E73/100</f>
        <v>0</v>
      </c>
      <c r="AN73" s="18">
        <f>raw_data!$AN73*mass_composition!$E73/100</f>
        <v>0</v>
      </c>
      <c r="AO73" s="18">
        <f>raw_data!$AO73*mass_composition!$E73/100</f>
        <v>0</v>
      </c>
      <c r="AP73" s="18">
        <f>raw_data!$AP73*mass_composition!$E73/100</f>
        <v>0</v>
      </c>
      <c r="AQ73" s="18">
        <f>raw_data!$AQ73*mass_composition!$E73/100</f>
        <v>0</v>
      </c>
      <c r="AR73" s="18">
        <f>raw_data!$AR73*mass_composition!$E73/100</f>
        <v>0</v>
      </c>
      <c r="AS73" s="18">
        <f>raw_data!$AS73*mass_composition!$E73/100</f>
        <v>0</v>
      </c>
      <c r="AT73" s="18">
        <f>raw_data!$AT73*mass_composition!$E73/100</f>
        <v>0</v>
      </c>
      <c r="AU73" s="18">
        <f>raw_data!$AU73*mass_composition!$E73/100</f>
        <v>0</v>
      </c>
      <c r="AV73" s="18">
        <f>raw_data!$AV73*mass_composition!$E73/100</f>
        <v>0</v>
      </c>
      <c r="AW73" s="18">
        <f>raw_data!$AW73*mass_composition!$E73/100</f>
        <v>0</v>
      </c>
      <c r="AX73" s="18">
        <f>raw_data!$AX73*mass_composition!$E73/100</f>
        <v>0</v>
      </c>
      <c r="AY73" s="18">
        <f>raw_data!$AY73*mass_composition!$E73/100</f>
        <v>0</v>
      </c>
      <c r="AZ73" s="18">
        <f>raw_data!$AZ73*mass_composition!$E73/100</f>
        <v>0</v>
      </c>
      <c r="BA73" s="18">
        <f>raw_data!$BA73*mass_composition!$E73/100</f>
        <v>0</v>
      </c>
      <c r="BB73" s="18">
        <f>raw_data!$BB73*mass_composition!$E73/100</f>
        <v>0</v>
      </c>
      <c r="BC73" s="18">
        <f>raw_data!$BC73*mass_composition!$E73/100</f>
        <v>0</v>
      </c>
      <c r="BD73" s="18">
        <f>raw_data!$BD73*mass_composition!$E73/100</f>
        <v>0</v>
      </c>
      <c r="BE73" s="18">
        <f>raw_data!$BE73*mass_composition!$E73/100</f>
        <v>0</v>
      </c>
      <c r="BF73" s="18">
        <f>raw_data!$BF73*mass_composition!$E73/100</f>
        <v>0</v>
      </c>
      <c r="BG73" s="18">
        <f>raw_data!$BG73*mass_composition!$E73/100</f>
        <v>0</v>
      </c>
      <c r="BH73" s="18">
        <v>0</v>
      </c>
      <c r="BI73" s="18">
        <v>0</v>
      </c>
      <c r="BJ73" s="18">
        <v>9.2629350271271671E-2</v>
      </c>
      <c r="BK73" s="18">
        <f>raw_data!$BK73*$E73/100</f>
        <v>0</v>
      </c>
      <c r="BL73" s="18">
        <f>raw_data!$BL73*$E73/100</f>
        <v>0</v>
      </c>
      <c r="BM73" s="18">
        <v>0</v>
      </c>
      <c r="BN73" s="18">
        <f>raw_data!$BN73*$E73/100</f>
        <v>0</v>
      </c>
      <c r="BO73" s="18">
        <f>raw_data!$BO73*$E73/100</f>
        <v>0</v>
      </c>
      <c r="BP73" s="18">
        <f>raw_data!$BP73*$E73/100</f>
        <v>0</v>
      </c>
      <c r="BQ73" s="18">
        <v>0</v>
      </c>
      <c r="BR73" s="18">
        <f>raw_data!$BR73*$E73/100</f>
        <v>0</v>
      </c>
      <c r="BS73" s="18">
        <v>26.102748234272184</v>
      </c>
      <c r="BT73" s="18">
        <v>2.2125618003695187</v>
      </c>
      <c r="BU73" s="18">
        <v>0</v>
      </c>
      <c r="BV73" s="18">
        <v>0</v>
      </c>
      <c r="BW73" s="18">
        <v>0</v>
      </c>
      <c r="BX73" s="18">
        <v>0</v>
      </c>
      <c r="BY73" s="18">
        <v>0</v>
      </c>
      <c r="BZ73" s="18">
        <v>23.759690054710401</v>
      </c>
      <c r="CA73" s="18">
        <v>0</v>
      </c>
      <c r="CB73" s="19">
        <v>0.71387710058012588</v>
      </c>
    </row>
    <row r="74" spans="1:80" x14ac:dyDescent="0.35">
      <c r="A74" s="17" t="s">
        <v>113</v>
      </c>
      <c r="B74" s="17" t="s">
        <v>186</v>
      </c>
      <c r="C74" s="17"/>
      <c r="D74" s="18">
        <f>raw_data!$D74*$C74/100</f>
        <v>0</v>
      </c>
      <c r="E74" s="18">
        <f>raw_data!$E74*$C74/100</f>
        <v>0</v>
      </c>
      <c r="F74" s="18">
        <f>raw_data!$F74*$E74/100</f>
        <v>0</v>
      </c>
      <c r="G74" s="18">
        <f>raw_data!$G74*$E74/100</f>
        <v>0</v>
      </c>
      <c r="H74" s="18">
        <v>22.073570572126808</v>
      </c>
      <c r="I74" s="18">
        <v>611.72651254577625</v>
      </c>
      <c r="J74" s="18">
        <f>raw_data!$J74*mass_composition!$E74/100</f>
        <v>0</v>
      </c>
      <c r="K74" s="18">
        <f>raw_data!$K74*mass_composition!$E74/100</f>
        <v>0</v>
      </c>
      <c r="L74" s="18">
        <f>raw_data!$L74*mass_composition!$E74/100</f>
        <v>0</v>
      </c>
      <c r="M74" s="18">
        <f>raw_data!$M74*mass_composition!$E74/100</f>
        <v>0</v>
      </c>
      <c r="N74" s="18">
        <f>raw_data!$N74*mass_composition!$E74/100</f>
        <v>0</v>
      </c>
      <c r="O74" s="18">
        <f>raw_data!$O74*mass_composition!$E74/100</f>
        <v>0</v>
      </c>
      <c r="P74" s="18">
        <f>raw_data!$P74*mass_composition!$E74/100</f>
        <v>0</v>
      </c>
      <c r="Q74" s="18">
        <f>raw_data!$Q74*mass_composition!$E74/100</f>
        <v>0</v>
      </c>
      <c r="R74" s="18">
        <f>raw_data!$R74*mass_composition!$E74/100</f>
        <v>0</v>
      </c>
      <c r="S74" s="18">
        <f>raw_data!$S74*mass_composition!$E74/100</f>
        <v>0</v>
      </c>
      <c r="T74" s="18">
        <f>raw_data!$T74*mass_composition!$E74/100</f>
        <v>0</v>
      </c>
      <c r="U74" s="18">
        <f>raw_data!$U74*mass_composition!$E74/100</f>
        <v>0</v>
      </c>
      <c r="V74" s="18">
        <f>raw_data!$V74*mass_composition!$E74/100</f>
        <v>0</v>
      </c>
      <c r="W74" s="18">
        <f>raw_data!$W74*mass_composition!$E74/100</f>
        <v>0</v>
      </c>
      <c r="X74" s="18">
        <f>raw_data!$X74*mass_composition!$E74/100</f>
        <v>0</v>
      </c>
      <c r="Y74" s="18">
        <f>raw_data!$Y74*mass_composition!$E74/100</f>
        <v>0</v>
      </c>
      <c r="Z74" s="18">
        <f>raw_data!$Z74*mass_composition!$E74/100</f>
        <v>0</v>
      </c>
      <c r="AA74" s="18">
        <f>raw_data!$AA74*mass_composition!$E74/100</f>
        <v>0</v>
      </c>
      <c r="AB74" s="18">
        <f>raw_data!$AB74*mass_composition!$E74/100</f>
        <v>0</v>
      </c>
      <c r="AC74" s="18">
        <f>raw_data!$AC74*mass_composition!$E74/100</f>
        <v>0</v>
      </c>
      <c r="AD74" s="18">
        <f>raw_data!$AD74*mass_composition!$E74/100</f>
        <v>0</v>
      </c>
      <c r="AE74" s="18">
        <f>raw_data!$AE74*mass_composition!$E74/100</f>
        <v>0</v>
      </c>
      <c r="AF74" s="18">
        <f>raw_data!$AF74*mass_composition!$E74/100</f>
        <v>0</v>
      </c>
      <c r="AG74" s="18">
        <f>raw_data!$AG74*mass_composition!$E74/100</f>
        <v>0</v>
      </c>
      <c r="AH74" s="18">
        <f>raw_data!$AH74*mass_composition!$E74/100</f>
        <v>0</v>
      </c>
      <c r="AI74" s="18">
        <f>raw_data!$AI74*mass_composition!$E74/100</f>
        <v>0</v>
      </c>
      <c r="AJ74" s="18">
        <f>raw_data!$AJ74*mass_composition!$E74/100</f>
        <v>0</v>
      </c>
      <c r="AK74" s="18">
        <f>raw_data!$AK74*mass_composition!$E74/100</f>
        <v>0</v>
      </c>
      <c r="AL74" s="18">
        <f>raw_data!$AL74*mass_composition!$E74/100</f>
        <v>0</v>
      </c>
      <c r="AM74" s="18">
        <f>raw_data!$AM74*mass_composition!$E74/100</f>
        <v>0</v>
      </c>
      <c r="AN74" s="18">
        <f>raw_data!$AN74*mass_composition!$E74/100</f>
        <v>0</v>
      </c>
      <c r="AO74" s="18">
        <f>raw_data!$AO74*mass_composition!$E74/100</f>
        <v>0</v>
      </c>
      <c r="AP74" s="18">
        <f>raw_data!$AP74*mass_composition!$E74/100</f>
        <v>0</v>
      </c>
      <c r="AQ74" s="18">
        <f>raw_data!$AQ74*mass_composition!$E74/100</f>
        <v>0</v>
      </c>
      <c r="AR74" s="18">
        <f>raw_data!$AR74*mass_composition!$E74/100</f>
        <v>0</v>
      </c>
      <c r="AS74" s="18">
        <f>raw_data!$AS74*mass_composition!$E74/100</f>
        <v>0</v>
      </c>
      <c r="AT74" s="18">
        <f>raw_data!$AT74*mass_composition!$E74/100</f>
        <v>0</v>
      </c>
      <c r="AU74" s="18">
        <f>raw_data!$AU74*mass_composition!$E74/100</f>
        <v>0</v>
      </c>
      <c r="AV74" s="18">
        <f>raw_data!$AV74*mass_composition!$E74/100</f>
        <v>0</v>
      </c>
      <c r="AW74" s="18">
        <f>raw_data!$AW74*mass_composition!$E74/100</f>
        <v>0</v>
      </c>
      <c r="AX74" s="18">
        <f>raw_data!$AX74*mass_composition!$E74/100</f>
        <v>0</v>
      </c>
      <c r="AY74" s="18">
        <f>raw_data!$AY74*mass_composition!$E74/100</f>
        <v>0</v>
      </c>
      <c r="AZ74" s="18">
        <f>raw_data!$AZ74*mass_composition!$E74/100</f>
        <v>0</v>
      </c>
      <c r="BA74" s="18">
        <f>raw_data!$BA74*mass_composition!$E74/100</f>
        <v>0</v>
      </c>
      <c r="BB74" s="18">
        <f>raw_data!$BB74*mass_composition!$E74/100</f>
        <v>0</v>
      </c>
      <c r="BC74" s="18">
        <f>raw_data!$BC74*mass_composition!$E74/100</f>
        <v>0</v>
      </c>
      <c r="BD74" s="18">
        <f>raw_data!$BD74*mass_composition!$E74/100</f>
        <v>0</v>
      </c>
      <c r="BE74" s="18">
        <f>raw_data!$BE74*mass_composition!$E74/100</f>
        <v>0</v>
      </c>
      <c r="BF74" s="18">
        <f>raw_data!$BF74*mass_composition!$E74/100</f>
        <v>0</v>
      </c>
      <c r="BG74" s="18">
        <f>raw_data!$BG74*mass_composition!$E74/100</f>
        <v>0</v>
      </c>
      <c r="BH74" s="18">
        <v>0</v>
      </c>
      <c r="BI74" s="18">
        <v>0</v>
      </c>
      <c r="BJ74" s="18">
        <v>1.1180124223602486</v>
      </c>
      <c r="BK74" s="18">
        <f>raw_data!$BK74*$E74/100</f>
        <v>0</v>
      </c>
      <c r="BL74" s="18">
        <f>raw_data!$BL74*$E74/100</f>
        <v>0</v>
      </c>
      <c r="BM74" s="18">
        <v>0</v>
      </c>
      <c r="BN74" s="18">
        <f>raw_data!$BN74*$E74/100</f>
        <v>0</v>
      </c>
      <c r="BO74" s="18">
        <f>raw_data!$BO74*$E74/100</f>
        <v>0</v>
      </c>
      <c r="BP74" s="18">
        <f>raw_data!$BP74*$E74/100</f>
        <v>0</v>
      </c>
      <c r="BQ74" s="18">
        <v>0</v>
      </c>
      <c r="BR74" s="18">
        <f>raw_data!$BR74*$E74/100</f>
        <v>0</v>
      </c>
      <c r="BS74" s="18">
        <v>23.698227482078085</v>
      </c>
      <c r="BT74" s="18">
        <v>1.9747546979775219</v>
      </c>
      <c r="BU74" s="18">
        <v>0</v>
      </c>
      <c r="BV74" s="18">
        <v>0</v>
      </c>
      <c r="BW74" s="18">
        <v>0</v>
      </c>
      <c r="BX74" s="18">
        <v>0</v>
      </c>
      <c r="BY74" s="18">
        <v>0</v>
      </c>
      <c r="BZ74" s="18">
        <v>20.343754325724461</v>
      </c>
      <c r="CA74" s="18">
        <v>0</v>
      </c>
      <c r="CB74" s="19">
        <v>3.7204735879179123</v>
      </c>
    </row>
    <row r="75" spans="1:80" x14ac:dyDescent="0.35">
      <c r="A75" s="17" t="s">
        <v>113</v>
      </c>
      <c r="B75" s="17" t="s">
        <v>187</v>
      </c>
      <c r="C75" s="17"/>
      <c r="D75" s="18">
        <f>raw_data!$D75*$C75/100</f>
        <v>0</v>
      </c>
      <c r="E75" s="18">
        <f>raw_data!$E75*$C75/100</f>
        <v>0</v>
      </c>
      <c r="F75" s="18">
        <f>raw_data!$F75*$E75/100</f>
        <v>0</v>
      </c>
      <c r="G75" s="18">
        <f>raw_data!$G75*$E75/100</f>
        <v>0</v>
      </c>
      <c r="H75" s="18">
        <v>27.421806484684691</v>
      </c>
      <c r="I75" s="18">
        <v>746.74627087633769</v>
      </c>
      <c r="J75" s="18">
        <f>raw_data!$J75*mass_composition!$E75/100</f>
        <v>0</v>
      </c>
      <c r="K75" s="18">
        <f>raw_data!$K75*mass_composition!$E75/100</f>
        <v>0</v>
      </c>
      <c r="L75" s="18">
        <f>raw_data!$L75*mass_composition!$E75/100</f>
        <v>0</v>
      </c>
      <c r="M75" s="18">
        <f>raw_data!$M75*mass_composition!$E75/100</f>
        <v>0</v>
      </c>
      <c r="N75" s="18">
        <f>raw_data!$N75*mass_composition!$E75/100</f>
        <v>0</v>
      </c>
      <c r="O75" s="18">
        <f>raw_data!$O75*mass_composition!$E75/100</f>
        <v>0</v>
      </c>
      <c r="P75" s="18">
        <f>raw_data!$P75*mass_composition!$E75/100</f>
        <v>0</v>
      </c>
      <c r="Q75" s="18">
        <f>raw_data!$Q75*mass_composition!$E75/100</f>
        <v>0</v>
      </c>
      <c r="R75" s="18">
        <f>raw_data!$R75*mass_composition!$E75/100</f>
        <v>0</v>
      </c>
      <c r="S75" s="18">
        <f>raw_data!$S75*mass_composition!$E75/100</f>
        <v>0</v>
      </c>
      <c r="T75" s="18">
        <f>raw_data!$T75*mass_composition!$E75/100</f>
        <v>0</v>
      </c>
      <c r="U75" s="18">
        <f>raw_data!$U75*mass_composition!$E75/100</f>
        <v>0</v>
      </c>
      <c r="V75" s="18">
        <f>raw_data!$V75*mass_composition!$E75/100</f>
        <v>0</v>
      </c>
      <c r="W75" s="18">
        <f>raw_data!$W75*mass_composition!$E75/100</f>
        <v>0</v>
      </c>
      <c r="X75" s="18">
        <f>raw_data!$X75*mass_composition!$E75/100</f>
        <v>0</v>
      </c>
      <c r="Y75" s="18">
        <f>raw_data!$Y75*mass_composition!$E75/100</f>
        <v>0</v>
      </c>
      <c r="Z75" s="18">
        <f>raw_data!$Z75*mass_composition!$E75/100</f>
        <v>0</v>
      </c>
      <c r="AA75" s="18">
        <f>raw_data!$AA75*mass_composition!$E75/100</f>
        <v>0</v>
      </c>
      <c r="AB75" s="18">
        <f>raw_data!$AB75*mass_composition!$E75/100</f>
        <v>0</v>
      </c>
      <c r="AC75" s="18">
        <f>raw_data!$AC75*mass_composition!$E75/100</f>
        <v>0</v>
      </c>
      <c r="AD75" s="18">
        <f>raw_data!$AD75*mass_composition!$E75/100</f>
        <v>0</v>
      </c>
      <c r="AE75" s="18">
        <f>raw_data!$AE75*mass_composition!$E75/100</f>
        <v>0</v>
      </c>
      <c r="AF75" s="18">
        <f>raw_data!$AF75*mass_composition!$E75/100</f>
        <v>0</v>
      </c>
      <c r="AG75" s="18">
        <f>raw_data!$AG75*mass_composition!$E75/100</f>
        <v>0</v>
      </c>
      <c r="AH75" s="18">
        <f>raw_data!$AH75*mass_composition!$E75/100</f>
        <v>0</v>
      </c>
      <c r="AI75" s="18">
        <f>raw_data!$AI75*mass_composition!$E75/100</f>
        <v>0</v>
      </c>
      <c r="AJ75" s="18">
        <f>raw_data!$AJ75*mass_composition!$E75/100</f>
        <v>0</v>
      </c>
      <c r="AK75" s="18">
        <f>raw_data!$AK75*mass_composition!$E75/100</f>
        <v>0</v>
      </c>
      <c r="AL75" s="18">
        <f>raw_data!$AL75*mass_composition!$E75/100</f>
        <v>0</v>
      </c>
      <c r="AM75" s="18">
        <f>raw_data!$AM75*mass_composition!$E75/100</f>
        <v>0</v>
      </c>
      <c r="AN75" s="18">
        <f>raw_data!$AN75*mass_composition!$E75/100</f>
        <v>0</v>
      </c>
      <c r="AO75" s="18">
        <f>raw_data!$AO75*mass_composition!$E75/100</f>
        <v>0</v>
      </c>
      <c r="AP75" s="18">
        <f>raw_data!$AP75*mass_composition!$E75/100</f>
        <v>0</v>
      </c>
      <c r="AQ75" s="18">
        <f>raw_data!$AQ75*mass_composition!$E75/100</f>
        <v>0</v>
      </c>
      <c r="AR75" s="18">
        <f>raw_data!$AR75*mass_composition!$E75/100</f>
        <v>0</v>
      </c>
      <c r="AS75" s="18">
        <f>raw_data!$AS75*mass_composition!$E75/100</f>
        <v>0</v>
      </c>
      <c r="AT75" s="18">
        <f>raw_data!$AT75*mass_composition!$E75/100</f>
        <v>0</v>
      </c>
      <c r="AU75" s="18">
        <f>raw_data!$AU75*mass_composition!$E75/100</f>
        <v>0</v>
      </c>
      <c r="AV75" s="18">
        <f>raw_data!$AV75*mass_composition!$E75/100</f>
        <v>0</v>
      </c>
      <c r="AW75" s="18">
        <f>raw_data!$AW75*mass_composition!$E75/100</f>
        <v>0</v>
      </c>
      <c r="AX75" s="18">
        <f>raw_data!$AX75*mass_composition!$E75/100</f>
        <v>0</v>
      </c>
      <c r="AY75" s="18">
        <f>raw_data!$AY75*mass_composition!$E75/100</f>
        <v>0</v>
      </c>
      <c r="AZ75" s="18">
        <f>raw_data!$AZ75*mass_composition!$E75/100</f>
        <v>0</v>
      </c>
      <c r="BA75" s="18">
        <f>raw_data!$BA75*mass_composition!$E75/100</f>
        <v>0</v>
      </c>
      <c r="BB75" s="18">
        <f>raw_data!$BB75*mass_composition!$E75/100</f>
        <v>0</v>
      </c>
      <c r="BC75" s="18">
        <f>raw_data!$BC75*mass_composition!$E75/100</f>
        <v>0</v>
      </c>
      <c r="BD75" s="18">
        <f>raw_data!$BD75*mass_composition!$E75/100</f>
        <v>0</v>
      </c>
      <c r="BE75" s="18">
        <f>raw_data!$BE75*mass_composition!$E75/100</f>
        <v>0</v>
      </c>
      <c r="BF75" s="18">
        <f>raw_data!$BF75*mass_composition!$E75/100</f>
        <v>0</v>
      </c>
      <c r="BG75" s="18">
        <f>raw_data!$BG75*mass_composition!$E75/100</f>
        <v>0</v>
      </c>
      <c r="BH75" s="18">
        <v>0</v>
      </c>
      <c r="BI75" s="18">
        <v>0</v>
      </c>
      <c r="BJ75" s="18">
        <v>0</v>
      </c>
      <c r="BK75" s="18">
        <f>raw_data!$BK75*$E75/100</f>
        <v>0</v>
      </c>
      <c r="BL75" s="18">
        <f>raw_data!$BL75*$E75/100</f>
        <v>0</v>
      </c>
      <c r="BM75" s="18">
        <v>0</v>
      </c>
      <c r="BN75" s="18">
        <f>raw_data!$BN75*$E75/100</f>
        <v>0</v>
      </c>
      <c r="BO75" s="18">
        <f>raw_data!$BO75*$E75/100</f>
        <v>0</v>
      </c>
      <c r="BP75" s="18">
        <f>raw_data!$BP75*$E75/100</f>
        <v>0</v>
      </c>
      <c r="BQ75" s="18">
        <v>0</v>
      </c>
      <c r="BR75" s="18">
        <f>raw_data!$BR75*$E75/100</f>
        <v>0</v>
      </c>
      <c r="BS75" s="18">
        <v>27.112521904648776</v>
      </c>
      <c r="BT75" s="18">
        <v>2.3124284163697642</v>
      </c>
      <c r="BU75" s="18">
        <v>0</v>
      </c>
      <c r="BV75" s="18">
        <v>0</v>
      </c>
      <c r="BW75" s="18">
        <v>0</v>
      </c>
      <c r="BX75" s="18">
        <v>0</v>
      </c>
      <c r="BY75" s="18">
        <v>0</v>
      </c>
      <c r="BZ75" s="18">
        <v>25.827084816647446</v>
      </c>
      <c r="CA75" s="18">
        <v>0</v>
      </c>
      <c r="CB75" s="19">
        <v>0.13675520921618656</v>
      </c>
    </row>
    <row r="76" spans="1:80" x14ac:dyDescent="0.35">
      <c r="A76" s="17" t="s">
        <v>113</v>
      </c>
      <c r="B76" s="17" t="s">
        <v>188</v>
      </c>
      <c r="C76" s="17"/>
      <c r="D76" s="18">
        <f>raw_data!$D76*$C76/100</f>
        <v>0</v>
      </c>
      <c r="E76" s="18">
        <f>raw_data!$E76*$C76/100</f>
        <v>0</v>
      </c>
      <c r="F76" s="18">
        <f>raw_data!$F76*$E76/100</f>
        <v>0</v>
      </c>
      <c r="G76" s="18">
        <f>raw_data!$G76*$E76/100</f>
        <v>0</v>
      </c>
      <c r="H76" s="18">
        <v>24.921753887402364</v>
      </c>
      <c r="I76" s="18">
        <v>674.62068965517233</v>
      </c>
      <c r="J76" s="18">
        <f>raw_data!$J76*mass_composition!$E76/100</f>
        <v>0</v>
      </c>
      <c r="K76" s="18">
        <f>raw_data!$K76*mass_composition!$E76/100</f>
        <v>0</v>
      </c>
      <c r="L76" s="18">
        <f>raw_data!$L76*mass_composition!$E76/100</f>
        <v>0</v>
      </c>
      <c r="M76" s="18">
        <f>raw_data!$M76*mass_composition!$E76/100</f>
        <v>0</v>
      </c>
      <c r="N76" s="18">
        <f>raw_data!$N76*mass_composition!$E76/100</f>
        <v>0</v>
      </c>
      <c r="O76" s="18">
        <f>raw_data!$O76*mass_composition!$E76/100</f>
        <v>0</v>
      </c>
      <c r="P76" s="18">
        <f>raw_data!$P76*mass_composition!$E76/100</f>
        <v>0</v>
      </c>
      <c r="Q76" s="18">
        <f>raw_data!$Q76*mass_composition!$E76/100</f>
        <v>0</v>
      </c>
      <c r="R76" s="18">
        <f>raw_data!$R76*mass_composition!$E76/100</f>
        <v>0</v>
      </c>
      <c r="S76" s="18">
        <f>raw_data!$S76*mass_composition!$E76/100</f>
        <v>0</v>
      </c>
      <c r="T76" s="18">
        <f>raw_data!$T76*mass_composition!$E76/100</f>
        <v>0</v>
      </c>
      <c r="U76" s="18">
        <f>raw_data!$U76*mass_composition!$E76/100</f>
        <v>0</v>
      </c>
      <c r="V76" s="18">
        <f>raw_data!$V76*mass_composition!$E76/100</f>
        <v>0</v>
      </c>
      <c r="W76" s="18">
        <f>raw_data!$W76*mass_composition!$E76/100</f>
        <v>0</v>
      </c>
      <c r="X76" s="18">
        <f>raw_data!$X76*mass_composition!$E76/100</f>
        <v>0</v>
      </c>
      <c r="Y76" s="18">
        <f>raw_data!$Y76*mass_composition!$E76/100</f>
        <v>0</v>
      </c>
      <c r="Z76" s="18">
        <f>raw_data!$Z76*mass_composition!$E76/100</f>
        <v>0</v>
      </c>
      <c r="AA76" s="18">
        <f>raw_data!$AA76*mass_composition!$E76/100</f>
        <v>0</v>
      </c>
      <c r="AB76" s="18">
        <f>raw_data!$AB76*mass_composition!$E76/100</f>
        <v>0</v>
      </c>
      <c r="AC76" s="18">
        <f>raw_data!$AC76*mass_composition!$E76/100</f>
        <v>0</v>
      </c>
      <c r="AD76" s="18">
        <f>raw_data!$AD76*mass_composition!$E76/100</f>
        <v>0</v>
      </c>
      <c r="AE76" s="18">
        <f>raw_data!$AE76*mass_composition!$E76/100</f>
        <v>0</v>
      </c>
      <c r="AF76" s="18">
        <f>raw_data!$AF76*mass_composition!$E76/100</f>
        <v>0</v>
      </c>
      <c r="AG76" s="18">
        <f>raw_data!$AG76*mass_composition!$E76/100</f>
        <v>0</v>
      </c>
      <c r="AH76" s="18">
        <f>raw_data!$AH76*mass_composition!$E76/100</f>
        <v>0</v>
      </c>
      <c r="AI76" s="18">
        <f>raw_data!$AI76*mass_composition!$E76/100</f>
        <v>0</v>
      </c>
      <c r="AJ76" s="18">
        <f>raw_data!$AJ76*mass_composition!$E76/100</f>
        <v>0</v>
      </c>
      <c r="AK76" s="18">
        <f>raw_data!$AK76*mass_composition!$E76/100</f>
        <v>0</v>
      </c>
      <c r="AL76" s="18">
        <f>raw_data!$AL76*mass_composition!$E76/100</f>
        <v>0</v>
      </c>
      <c r="AM76" s="18">
        <f>raw_data!$AM76*mass_composition!$E76/100</f>
        <v>0</v>
      </c>
      <c r="AN76" s="18">
        <f>raw_data!$AN76*mass_composition!$E76/100</f>
        <v>0</v>
      </c>
      <c r="AO76" s="18">
        <f>raw_data!$AO76*mass_composition!$E76/100</f>
        <v>0</v>
      </c>
      <c r="AP76" s="18">
        <f>raw_data!$AP76*mass_composition!$E76/100</f>
        <v>0</v>
      </c>
      <c r="AQ76" s="18">
        <f>raw_data!$AQ76*mass_composition!$E76/100</f>
        <v>0</v>
      </c>
      <c r="AR76" s="18">
        <f>raw_data!$AR76*mass_composition!$E76/100</f>
        <v>0</v>
      </c>
      <c r="AS76" s="18">
        <f>raw_data!$AS76*mass_composition!$E76/100</f>
        <v>0</v>
      </c>
      <c r="AT76" s="18">
        <f>raw_data!$AT76*mass_composition!$E76/100</f>
        <v>0</v>
      </c>
      <c r="AU76" s="18">
        <f>raw_data!$AU76*mass_composition!$E76/100</f>
        <v>0</v>
      </c>
      <c r="AV76" s="18">
        <f>raw_data!$AV76*mass_composition!$E76/100</f>
        <v>0</v>
      </c>
      <c r="AW76" s="18">
        <f>raw_data!$AW76*mass_composition!$E76/100</f>
        <v>0</v>
      </c>
      <c r="AX76" s="18">
        <f>raw_data!$AX76*mass_composition!$E76/100</f>
        <v>0</v>
      </c>
      <c r="AY76" s="18">
        <f>raw_data!$AY76*mass_composition!$E76/100</f>
        <v>0</v>
      </c>
      <c r="AZ76" s="18">
        <f>raw_data!$AZ76*mass_composition!$E76/100</f>
        <v>0</v>
      </c>
      <c r="BA76" s="18">
        <f>raw_data!$BA76*mass_composition!$E76/100</f>
        <v>0</v>
      </c>
      <c r="BB76" s="18">
        <f>raw_data!$BB76*mass_composition!$E76/100</f>
        <v>0</v>
      </c>
      <c r="BC76" s="18">
        <f>raw_data!$BC76*mass_composition!$E76/100</f>
        <v>0</v>
      </c>
      <c r="BD76" s="18">
        <f>raw_data!$BD76*mass_composition!$E76/100</f>
        <v>0</v>
      </c>
      <c r="BE76" s="18">
        <f>raw_data!$BE76*mass_composition!$E76/100</f>
        <v>0</v>
      </c>
      <c r="BF76" s="18">
        <f>raw_data!$BF76*mass_composition!$E76/100</f>
        <v>0</v>
      </c>
      <c r="BG76" s="18">
        <f>raw_data!$BG76*mass_composition!$E76/100</f>
        <v>0</v>
      </c>
      <c r="BH76" s="18">
        <v>0</v>
      </c>
      <c r="BI76" s="18">
        <v>0</v>
      </c>
      <c r="BJ76" s="18">
        <v>0</v>
      </c>
      <c r="BK76" s="18">
        <f>raw_data!$BK76*$E76/100</f>
        <v>0</v>
      </c>
      <c r="BL76" s="18">
        <f>raw_data!$BL76*$E76/100</f>
        <v>0</v>
      </c>
      <c r="BM76" s="18">
        <v>0</v>
      </c>
      <c r="BN76" s="18">
        <f>raw_data!$BN76*$E76/100</f>
        <v>0</v>
      </c>
      <c r="BO76" s="18">
        <f>raw_data!$BO76*$E76/100</f>
        <v>0</v>
      </c>
      <c r="BP76" s="18">
        <f>raw_data!$BP76*$E76/100</f>
        <v>0</v>
      </c>
      <c r="BQ76" s="18">
        <v>0</v>
      </c>
      <c r="BR76" s="18">
        <f>raw_data!$BR76*$E76/100</f>
        <v>0</v>
      </c>
      <c r="BS76" s="18">
        <v>25.814076333333333</v>
      </c>
      <c r="BT76" s="18">
        <v>2.1840121493666667</v>
      </c>
      <c r="BU76" s="18">
        <v>0</v>
      </c>
      <c r="BV76" s="18">
        <v>0</v>
      </c>
      <c r="BW76" s="18">
        <v>0</v>
      </c>
      <c r="BX76" s="18">
        <v>0</v>
      </c>
      <c r="BY76" s="18">
        <v>0</v>
      </c>
      <c r="BZ76" s="18">
        <v>23.1</v>
      </c>
      <c r="CA76" s="18">
        <v>0</v>
      </c>
      <c r="CB76" s="19">
        <v>0</v>
      </c>
    </row>
    <row r="77" spans="1:80" x14ac:dyDescent="0.35">
      <c r="A77" s="17" t="s">
        <v>113</v>
      </c>
      <c r="B77" s="17" t="s">
        <v>189</v>
      </c>
      <c r="C77" s="17"/>
      <c r="D77" s="18">
        <f>raw_data!$D77*$C77/100</f>
        <v>0</v>
      </c>
      <c r="E77" s="18">
        <f>raw_data!$E77*$C77/100</f>
        <v>0</v>
      </c>
      <c r="F77" s="18">
        <f>raw_data!$F77*$E77/100</f>
        <v>0</v>
      </c>
      <c r="G77" s="18">
        <f>raw_data!$G77*$E77/100</f>
        <v>0</v>
      </c>
      <c r="H77" s="18">
        <v>24.665686395638932</v>
      </c>
      <c r="I77" s="18">
        <v>675.44343549775363</v>
      </c>
      <c r="J77" s="18">
        <f>raw_data!$J77*mass_composition!$E77/100</f>
        <v>0</v>
      </c>
      <c r="K77" s="18">
        <f>raw_data!$K77*mass_composition!$E77/100</f>
        <v>0</v>
      </c>
      <c r="L77" s="18">
        <f>raw_data!$L77*mass_composition!$E77/100</f>
        <v>0</v>
      </c>
      <c r="M77" s="18">
        <f>raw_data!$M77*mass_composition!$E77/100</f>
        <v>0</v>
      </c>
      <c r="N77" s="18">
        <f>raw_data!$N77*mass_composition!$E77/100</f>
        <v>0</v>
      </c>
      <c r="O77" s="18">
        <f>raw_data!$O77*mass_composition!$E77/100</f>
        <v>0</v>
      </c>
      <c r="P77" s="18">
        <f>raw_data!$P77*mass_composition!$E77/100</f>
        <v>0</v>
      </c>
      <c r="Q77" s="18">
        <f>raw_data!$Q77*mass_composition!$E77/100</f>
        <v>0</v>
      </c>
      <c r="R77" s="18">
        <f>raw_data!$R77*mass_composition!$E77/100</f>
        <v>0</v>
      </c>
      <c r="S77" s="18">
        <f>raw_data!$S77*mass_composition!$E77/100</f>
        <v>0</v>
      </c>
      <c r="T77" s="18">
        <f>raw_data!$T77*mass_composition!$E77/100</f>
        <v>0</v>
      </c>
      <c r="U77" s="18">
        <f>raw_data!$U77*mass_composition!$E77/100</f>
        <v>0</v>
      </c>
      <c r="V77" s="18">
        <f>raw_data!$V77*mass_composition!$E77/100</f>
        <v>0</v>
      </c>
      <c r="W77" s="18">
        <f>raw_data!$W77*mass_composition!$E77/100</f>
        <v>0</v>
      </c>
      <c r="X77" s="18">
        <f>raw_data!$X77*mass_composition!$E77/100</f>
        <v>0</v>
      </c>
      <c r="Y77" s="18">
        <f>raw_data!$Y77*mass_composition!$E77/100</f>
        <v>0</v>
      </c>
      <c r="Z77" s="18">
        <f>raw_data!$Z77*mass_composition!$E77/100</f>
        <v>0</v>
      </c>
      <c r="AA77" s="18">
        <f>raw_data!$AA77*mass_composition!$E77/100</f>
        <v>0</v>
      </c>
      <c r="AB77" s="18">
        <f>raw_data!$AB77*mass_composition!$E77/100</f>
        <v>0</v>
      </c>
      <c r="AC77" s="18">
        <f>raw_data!$AC77*mass_composition!$E77/100</f>
        <v>0</v>
      </c>
      <c r="AD77" s="18">
        <f>raw_data!$AD77*mass_composition!$E77/100</f>
        <v>0</v>
      </c>
      <c r="AE77" s="18">
        <f>raw_data!$AE77*mass_composition!$E77/100</f>
        <v>0</v>
      </c>
      <c r="AF77" s="18">
        <f>raw_data!$AF77*mass_composition!$E77/100</f>
        <v>0</v>
      </c>
      <c r="AG77" s="18">
        <f>raw_data!$AG77*mass_composition!$E77/100</f>
        <v>0</v>
      </c>
      <c r="AH77" s="18">
        <f>raw_data!$AH77*mass_composition!$E77/100</f>
        <v>0</v>
      </c>
      <c r="AI77" s="18">
        <f>raw_data!$AI77*mass_composition!$E77/100</f>
        <v>0</v>
      </c>
      <c r="AJ77" s="18">
        <f>raw_data!$AJ77*mass_composition!$E77/100</f>
        <v>0</v>
      </c>
      <c r="AK77" s="18">
        <f>raw_data!$AK77*mass_composition!$E77/100</f>
        <v>0</v>
      </c>
      <c r="AL77" s="18">
        <f>raw_data!$AL77*mass_composition!$E77/100</f>
        <v>0</v>
      </c>
      <c r="AM77" s="18">
        <f>raw_data!$AM77*mass_composition!$E77/100</f>
        <v>0</v>
      </c>
      <c r="AN77" s="18">
        <f>raw_data!$AN77*mass_composition!$E77/100</f>
        <v>0</v>
      </c>
      <c r="AO77" s="18">
        <f>raw_data!$AO77*mass_composition!$E77/100</f>
        <v>0</v>
      </c>
      <c r="AP77" s="18">
        <f>raw_data!$AP77*mass_composition!$E77/100</f>
        <v>0</v>
      </c>
      <c r="AQ77" s="18">
        <f>raw_data!$AQ77*mass_composition!$E77/100</f>
        <v>0</v>
      </c>
      <c r="AR77" s="18">
        <f>raw_data!$AR77*mass_composition!$E77/100</f>
        <v>0</v>
      </c>
      <c r="AS77" s="18">
        <f>raw_data!$AS77*mass_composition!$E77/100</f>
        <v>0</v>
      </c>
      <c r="AT77" s="18">
        <f>raw_data!$AT77*mass_composition!$E77/100</f>
        <v>0</v>
      </c>
      <c r="AU77" s="18">
        <f>raw_data!$AU77*mass_composition!$E77/100</f>
        <v>0</v>
      </c>
      <c r="AV77" s="18">
        <f>raw_data!$AV77*mass_composition!$E77/100</f>
        <v>0</v>
      </c>
      <c r="AW77" s="18">
        <f>raw_data!$AW77*mass_composition!$E77/100</f>
        <v>0</v>
      </c>
      <c r="AX77" s="18">
        <f>raw_data!$AX77*mass_composition!$E77/100</f>
        <v>0</v>
      </c>
      <c r="AY77" s="18">
        <f>raw_data!$AY77*mass_composition!$E77/100</f>
        <v>0</v>
      </c>
      <c r="AZ77" s="18">
        <f>raw_data!$AZ77*mass_composition!$E77/100</f>
        <v>0</v>
      </c>
      <c r="BA77" s="18">
        <f>raw_data!$BA77*mass_composition!$E77/100</f>
        <v>0</v>
      </c>
      <c r="BB77" s="18">
        <f>raw_data!$BB77*mass_composition!$E77/100</f>
        <v>0</v>
      </c>
      <c r="BC77" s="18">
        <f>raw_data!$BC77*mass_composition!$E77/100</f>
        <v>0</v>
      </c>
      <c r="BD77" s="18">
        <f>raw_data!$BD77*mass_composition!$E77/100</f>
        <v>0</v>
      </c>
      <c r="BE77" s="18">
        <f>raw_data!$BE77*mass_composition!$E77/100</f>
        <v>0</v>
      </c>
      <c r="BF77" s="18">
        <f>raw_data!$BF77*mass_composition!$E77/100</f>
        <v>0</v>
      </c>
      <c r="BG77" s="18">
        <f>raw_data!$BG77*mass_composition!$E77/100</f>
        <v>0</v>
      </c>
      <c r="BH77" s="18">
        <v>0</v>
      </c>
      <c r="BI77" s="18">
        <v>0</v>
      </c>
      <c r="BJ77" s="18">
        <v>0.35725643283427477</v>
      </c>
      <c r="BK77" s="18">
        <f>raw_data!$BK77*$E77/100</f>
        <v>0</v>
      </c>
      <c r="BL77" s="18">
        <f>raw_data!$BL77*$E77/100</f>
        <v>0</v>
      </c>
      <c r="BM77" s="18">
        <v>0</v>
      </c>
      <c r="BN77" s="18">
        <f>raw_data!$BN77*$E77/100</f>
        <v>0</v>
      </c>
      <c r="BO77" s="18">
        <f>raw_data!$BO77*$E77/100</f>
        <v>0</v>
      </c>
      <c r="BP77" s="18">
        <f>raw_data!$BP77*$E77/100</f>
        <v>0</v>
      </c>
      <c r="BQ77" s="18">
        <v>0</v>
      </c>
      <c r="BR77" s="18">
        <f>raw_data!$BR77*$E77/100</f>
        <v>0</v>
      </c>
      <c r="BS77" s="18">
        <v>25.387429818804396</v>
      </c>
      <c r="BT77" s="18">
        <v>2.1418168090797551</v>
      </c>
      <c r="BU77" s="18">
        <v>0</v>
      </c>
      <c r="BV77" s="18">
        <v>0</v>
      </c>
      <c r="BW77" s="18">
        <v>0</v>
      </c>
      <c r="BX77" s="18">
        <v>0</v>
      </c>
      <c r="BY77" s="18">
        <v>0</v>
      </c>
      <c r="BZ77" s="18">
        <v>22.978385696031864</v>
      </c>
      <c r="CA77" s="18">
        <v>0</v>
      </c>
      <c r="CB77" s="19">
        <v>2.6373815186002791</v>
      </c>
    </row>
    <row r="78" spans="1:80" x14ac:dyDescent="0.35">
      <c r="A78" s="17" t="s">
        <v>113</v>
      </c>
      <c r="B78" s="17" t="s">
        <v>190</v>
      </c>
      <c r="C78" s="17"/>
      <c r="D78" s="18">
        <f>raw_data!$D78*$C78/100</f>
        <v>0</v>
      </c>
      <c r="E78" s="18">
        <f>raw_data!$E78*$C78/100</f>
        <v>0</v>
      </c>
      <c r="F78" s="18">
        <f>raw_data!$F78*$E78/100</f>
        <v>0</v>
      </c>
      <c r="G78" s="18">
        <f>raw_data!$G78*$E78/100</f>
        <v>0</v>
      </c>
      <c r="H78" s="18">
        <v>24.665686395638932</v>
      </c>
      <c r="I78" s="18">
        <v>675.44343549775363</v>
      </c>
      <c r="J78" s="18">
        <f>raw_data!$J78*mass_composition!$E78/100</f>
        <v>0</v>
      </c>
      <c r="K78" s="18">
        <f>raw_data!$K78*mass_composition!$E78/100</f>
        <v>0</v>
      </c>
      <c r="L78" s="18">
        <f>raw_data!$L78*mass_composition!$E78/100</f>
        <v>0</v>
      </c>
      <c r="M78" s="18">
        <f>raw_data!$M78*mass_composition!$E78/100</f>
        <v>0</v>
      </c>
      <c r="N78" s="18">
        <f>raw_data!$N78*mass_composition!$E78/100</f>
        <v>0</v>
      </c>
      <c r="O78" s="18">
        <f>raw_data!$O78*mass_composition!$E78/100</f>
        <v>0</v>
      </c>
      <c r="P78" s="18">
        <f>raw_data!$P78*mass_composition!$E78/100</f>
        <v>0</v>
      </c>
      <c r="Q78" s="18">
        <f>raw_data!$Q78*mass_composition!$E78/100</f>
        <v>0</v>
      </c>
      <c r="R78" s="18">
        <f>raw_data!$R78*mass_composition!$E78/100</f>
        <v>0</v>
      </c>
      <c r="S78" s="18">
        <f>raw_data!$S78*mass_composition!$E78/100</f>
        <v>0</v>
      </c>
      <c r="T78" s="18">
        <f>raw_data!$T78*mass_composition!$E78/100</f>
        <v>0</v>
      </c>
      <c r="U78" s="18">
        <f>raw_data!$U78*mass_composition!$E78/100</f>
        <v>0</v>
      </c>
      <c r="V78" s="18">
        <f>raw_data!$V78*mass_composition!$E78/100</f>
        <v>0</v>
      </c>
      <c r="W78" s="18">
        <f>raw_data!$W78*mass_composition!$E78/100</f>
        <v>0</v>
      </c>
      <c r="X78" s="18">
        <f>raw_data!$X78*mass_composition!$E78/100</f>
        <v>0</v>
      </c>
      <c r="Y78" s="18">
        <f>raw_data!$Y78*mass_composition!$E78/100</f>
        <v>0</v>
      </c>
      <c r="Z78" s="18">
        <f>raw_data!$Z78*mass_composition!$E78/100</f>
        <v>0</v>
      </c>
      <c r="AA78" s="18">
        <f>raw_data!$AA78*mass_composition!$E78/100</f>
        <v>0</v>
      </c>
      <c r="AB78" s="18">
        <f>raw_data!$AB78*mass_composition!$E78/100</f>
        <v>0</v>
      </c>
      <c r="AC78" s="18">
        <f>raw_data!$AC78*mass_composition!$E78/100</f>
        <v>0</v>
      </c>
      <c r="AD78" s="18">
        <f>raw_data!$AD78*mass_composition!$E78/100</f>
        <v>0</v>
      </c>
      <c r="AE78" s="18">
        <f>raw_data!$AE78*mass_composition!$E78/100</f>
        <v>0</v>
      </c>
      <c r="AF78" s="18">
        <f>raw_data!$AF78*mass_composition!$E78/100</f>
        <v>0</v>
      </c>
      <c r="AG78" s="18">
        <f>raw_data!$AG78*mass_composition!$E78/100</f>
        <v>0</v>
      </c>
      <c r="AH78" s="18">
        <f>raw_data!$AH78*mass_composition!$E78/100</f>
        <v>0</v>
      </c>
      <c r="AI78" s="18">
        <f>raw_data!$AI78*mass_composition!$E78/100</f>
        <v>0</v>
      </c>
      <c r="AJ78" s="18">
        <f>raw_data!$AJ78*mass_composition!$E78/100</f>
        <v>0</v>
      </c>
      <c r="AK78" s="18">
        <f>raw_data!$AK78*mass_composition!$E78/100</f>
        <v>0</v>
      </c>
      <c r="AL78" s="18">
        <f>raw_data!$AL78*mass_composition!$E78/100</f>
        <v>0</v>
      </c>
      <c r="AM78" s="18">
        <f>raw_data!$AM78*mass_composition!$E78/100</f>
        <v>0</v>
      </c>
      <c r="AN78" s="18">
        <f>raw_data!$AN78*mass_composition!$E78/100</f>
        <v>0</v>
      </c>
      <c r="AO78" s="18">
        <f>raw_data!$AO78*mass_composition!$E78/100</f>
        <v>0</v>
      </c>
      <c r="AP78" s="18">
        <f>raw_data!$AP78*mass_composition!$E78/100</f>
        <v>0</v>
      </c>
      <c r="AQ78" s="18">
        <f>raw_data!$AQ78*mass_composition!$E78/100</f>
        <v>0</v>
      </c>
      <c r="AR78" s="18">
        <f>raw_data!$AR78*mass_composition!$E78/100</f>
        <v>0</v>
      </c>
      <c r="AS78" s="18">
        <f>raw_data!$AS78*mass_composition!$E78/100</f>
        <v>0</v>
      </c>
      <c r="AT78" s="18">
        <f>raw_data!$AT78*mass_composition!$E78/100</f>
        <v>0</v>
      </c>
      <c r="AU78" s="18">
        <f>raw_data!$AU78*mass_composition!$E78/100</f>
        <v>0</v>
      </c>
      <c r="AV78" s="18">
        <f>raw_data!$AV78*mass_composition!$E78/100</f>
        <v>0</v>
      </c>
      <c r="AW78" s="18">
        <f>raw_data!$AW78*mass_composition!$E78/100</f>
        <v>0</v>
      </c>
      <c r="AX78" s="18">
        <f>raw_data!$AX78*mass_composition!$E78/100</f>
        <v>0</v>
      </c>
      <c r="AY78" s="18">
        <f>raw_data!$AY78*mass_composition!$E78/100</f>
        <v>0</v>
      </c>
      <c r="AZ78" s="18">
        <f>raw_data!$AZ78*mass_composition!$E78/100</f>
        <v>0</v>
      </c>
      <c r="BA78" s="18">
        <f>raw_data!$BA78*mass_composition!$E78/100</f>
        <v>0</v>
      </c>
      <c r="BB78" s="18">
        <f>raw_data!$BB78*mass_composition!$E78/100</f>
        <v>0</v>
      </c>
      <c r="BC78" s="18">
        <f>raw_data!$BC78*mass_composition!$E78/100</f>
        <v>0</v>
      </c>
      <c r="BD78" s="18">
        <f>raw_data!$BD78*mass_composition!$E78/100</f>
        <v>0</v>
      </c>
      <c r="BE78" s="18">
        <f>raw_data!$BE78*mass_composition!$E78/100</f>
        <v>0</v>
      </c>
      <c r="BF78" s="18">
        <f>raw_data!$BF78*mass_composition!$E78/100</f>
        <v>0</v>
      </c>
      <c r="BG78" s="18">
        <f>raw_data!$BG78*mass_composition!$E78/100</f>
        <v>0</v>
      </c>
      <c r="BH78" s="18">
        <v>0</v>
      </c>
      <c r="BI78" s="18">
        <v>0</v>
      </c>
      <c r="BJ78" s="18">
        <v>0.35725643283427477</v>
      </c>
      <c r="BK78" s="18">
        <f>raw_data!$BK78*$E78/100</f>
        <v>0</v>
      </c>
      <c r="BL78" s="18">
        <f>raw_data!$BL78*$E78/100</f>
        <v>0</v>
      </c>
      <c r="BM78" s="18">
        <v>0</v>
      </c>
      <c r="BN78" s="18">
        <f>raw_data!$BN78*$E78/100</f>
        <v>0</v>
      </c>
      <c r="BO78" s="18">
        <f>raw_data!$BO78*$E78/100</f>
        <v>0</v>
      </c>
      <c r="BP78" s="18">
        <f>raw_data!$BP78*$E78/100</f>
        <v>0</v>
      </c>
      <c r="BQ78" s="18">
        <v>0</v>
      </c>
      <c r="BR78" s="18">
        <f>raw_data!$BR78*$E78/100</f>
        <v>0</v>
      </c>
      <c r="BS78" s="18">
        <v>25.387429818804396</v>
      </c>
      <c r="BT78" s="18">
        <v>2.1418168090797551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22.978385696031864</v>
      </c>
      <c r="CA78" s="18">
        <v>0</v>
      </c>
      <c r="CB78" s="19">
        <v>2.6373815186002791</v>
      </c>
    </row>
    <row r="79" spans="1:80" x14ac:dyDescent="0.35">
      <c r="A79" s="17" t="s">
        <v>113</v>
      </c>
      <c r="B79" s="17" t="s">
        <v>191</v>
      </c>
      <c r="C79" s="17"/>
      <c r="D79" s="18">
        <f>raw_data!$D79*$C79/100</f>
        <v>0</v>
      </c>
      <c r="E79" s="18">
        <f>raw_data!$E79*$C79/100</f>
        <v>0</v>
      </c>
      <c r="F79" s="18">
        <f>raw_data!$F79*$E79/100</f>
        <v>0</v>
      </c>
      <c r="G79" s="18">
        <f>raw_data!$G79*$E79/100</f>
        <v>0</v>
      </c>
      <c r="H79" s="18">
        <v>24.665686395638932</v>
      </c>
      <c r="I79" s="18">
        <v>675.44343549775363</v>
      </c>
      <c r="J79" s="18">
        <f>raw_data!$J79*mass_composition!$E79/100</f>
        <v>0</v>
      </c>
      <c r="K79" s="18">
        <f>raw_data!$K79*mass_composition!$E79/100</f>
        <v>0</v>
      </c>
      <c r="L79" s="18">
        <f>raw_data!$L79*mass_composition!$E79/100</f>
        <v>0</v>
      </c>
      <c r="M79" s="18">
        <f>raw_data!$M79*mass_composition!$E79/100</f>
        <v>0</v>
      </c>
      <c r="N79" s="18">
        <f>raw_data!$N79*mass_composition!$E79/100</f>
        <v>0</v>
      </c>
      <c r="O79" s="18">
        <f>raw_data!$O79*mass_composition!$E79/100</f>
        <v>0</v>
      </c>
      <c r="P79" s="18">
        <f>raw_data!$P79*mass_composition!$E79/100</f>
        <v>0</v>
      </c>
      <c r="Q79" s="18">
        <f>raw_data!$Q79*mass_composition!$E79/100</f>
        <v>0</v>
      </c>
      <c r="R79" s="18">
        <f>raw_data!$R79*mass_composition!$E79/100</f>
        <v>0</v>
      </c>
      <c r="S79" s="18">
        <f>raw_data!$S79*mass_composition!$E79/100</f>
        <v>0</v>
      </c>
      <c r="T79" s="18">
        <f>raw_data!$T79*mass_composition!$E79/100</f>
        <v>0</v>
      </c>
      <c r="U79" s="18">
        <f>raw_data!$U79*mass_composition!$E79/100</f>
        <v>0</v>
      </c>
      <c r="V79" s="18">
        <f>raw_data!$V79*mass_composition!$E79/100</f>
        <v>0</v>
      </c>
      <c r="W79" s="18">
        <f>raw_data!$W79*mass_composition!$E79/100</f>
        <v>0</v>
      </c>
      <c r="X79" s="18">
        <f>raw_data!$X79*mass_composition!$E79/100</f>
        <v>0</v>
      </c>
      <c r="Y79" s="18">
        <f>raw_data!$Y79*mass_composition!$E79/100</f>
        <v>0</v>
      </c>
      <c r="Z79" s="18">
        <f>raw_data!$Z79*mass_composition!$E79/100</f>
        <v>0</v>
      </c>
      <c r="AA79" s="18">
        <f>raw_data!$AA79*mass_composition!$E79/100</f>
        <v>0</v>
      </c>
      <c r="AB79" s="18">
        <f>raw_data!$AB79*mass_composition!$E79/100</f>
        <v>0</v>
      </c>
      <c r="AC79" s="18">
        <f>raw_data!$AC79*mass_composition!$E79/100</f>
        <v>0</v>
      </c>
      <c r="AD79" s="18">
        <f>raw_data!$AD79*mass_composition!$E79/100</f>
        <v>0</v>
      </c>
      <c r="AE79" s="18">
        <f>raw_data!$AE79*mass_composition!$E79/100</f>
        <v>0</v>
      </c>
      <c r="AF79" s="18">
        <f>raw_data!$AF79*mass_composition!$E79/100</f>
        <v>0</v>
      </c>
      <c r="AG79" s="18">
        <f>raw_data!$AG79*mass_composition!$E79/100</f>
        <v>0</v>
      </c>
      <c r="AH79" s="18">
        <f>raw_data!$AH79*mass_composition!$E79/100</f>
        <v>0</v>
      </c>
      <c r="AI79" s="18">
        <f>raw_data!$AI79*mass_composition!$E79/100</f>
        <v>0</v>
      </c>
      <c r="AJ79" s="18">
        <f>raw_data!$AJ79*mass_composition!$E79/100</f>
        <v>0</v>
      </c>
      <c r="AK79" s="18">
        <f>raw_data!$AK79*mass_composition!$E79/100</f>
        <v>0</v>
      </c>
      <c r="AL79" s="18">
        <f>raw_data!$AL79*mass_composition!$E79/100</f>
        <v>0</v>
      </c>
      <c r="AM79" s="18">
        <f>raw_data!$AM79*mass_composition!$E79/100</f>
        <v>0</v>
      </c>
      <c r="AN79" s="18">
        <f>raw_data!$AN79*mass_composition!$E79/100</f>
        <v>0</v>
      </c>
      <c r="AO79" s="18">
        <f>raw_data!$AO79*mass_composition!$E79/100</f>
        <v>0</v>
      </c>
      <c r="AP79" s="18">
        <f>raw_data!$AP79*mass_composition!$E79/100</f>
        <v>0</v>
      </c>
      <c r="AQ79" s="18">
        <f>raw_data!$AQ79*mass_composition!$E79/100</f>
        <v>0</v>
      </c>
      <c r="AR79" s="18">
        <f>raw_data!$AR79*mass_composition!$E79/100</f>
        <v>0</v>
      </c>
      <c r="AS79" s="18">
        <f>raw_data!$AS79*mass_composition!$E79/100</f>
        <v>0</v>
      </c>
      <c r="AT79" s="18">
        <f>raw_data!$AT79*mass_composition!$E79/100</f>
        <v>0</v>
      </c>
      <c r="AU79" s="18">
        <f>raw_data!$AU79*mass_composition!$E79/100</f>
        <v>0</v>
      </c>
      <c r="AV79" s="18">
        <f>raw_data!$AV79*mass_composition!$E79/100</f>
        <v>0</v>
      </c>
      <c r="AW79" s="18">
        <f>raw_data!$AW79*mass_composition!$E79/100</f>
        <v>0</v>
      </c>
      <c r="AX79" s="18">
        <f>raw_data!$AX79*mass_composition!$E79/100</f>
        <v>0</v>
      </c>
      <c r="AY79" s="18">
        <f>raw_data!$AY79*mass_composition!$E79/100</f>
        <v>0</v>
      </c>
      <c r="AZ79" s="18">
        <f>raw_data!$AZ79*mass_composition!$E79/100</f>
        <v>0</v>
      </c>
      <c r="BA79" s="18">
        <f>raw_data!$BA79*mass_composition!$E79/100</f>
        <v>0</v>
      </c>
      <c r="BB79" s="18">
        <f>raw_data!$BB79*mass_composition!$E79/100</f>
        <v>0</v>
      </c>
      <c r="BC79" s="18">
        <f>raw_data!$BC79*mass_composition!$E79/100</f>
        <v>0</v>
      </c>
      <c r="BD79" s="18">
        <f>raw_data!$BD79*mass_composition!$E79/100</f>
        <v>0</v>
      </c>
      <c r="BE79" s="18">
        <f>raw_data!$BE79*mass_composition!$E79/100</f>
        <v>0</v>
      </c>
      <c r="BF79" s="18">
        <f>raw_data!$BF79*mass_composition!$E79/100</f>
        <v>0</v>
      </c>
      <c r="BG79" s="18">
        <f>raw_data!$BG79*mass_composition!$E79/100</f>
        <v>0</v>
      </c>
      <c r="BH79" s="18">
        <v>0</v>
      </c>
      <c r="BI79" s="18">
        <v>0</v>
      </c>
      <c r="BJ79" s="18">
        <v>0.35725643283427477</v>
      </c>
      <c r="BK79" s="18">
        <f>raw_data!$BK79*$E79/100</f>
        <v>0</v>
      </c>
      <c r="BL79" s="18">
        <f>raw_data!$BL79*$E79/100</f>
        <v>0</v>
      </c>
      <c r="BM79" s="18">
        <v>0</v>
      </c>
      <c r="BN79" s="18">
        <f>raw_data!$BN79*$E79/100</f>
        <v>0</v>
      </c>
      <c r="BO79" s="18">
        <f>raw_data!$BO79*$E79/100</f>
        <v>0</v>
      </c>
      <c r="BP79" s="18">
        <f>raw_data!$BP79*$E79/100</f>
        <v>0</v>
      </c>
      <c r="BQ79" s="18">
        <v>0</v>
      </c>
      <c r="BR79" s="18">
        <f>raw_data!$BR79*$E79/100</f>
        <v>0</v>
      </c>
      <c r="BS79" s="18">
        <v>25.387429818804396</v>
      </c>
      <c r="BT79" s="18">
        <v>2.1418168090797551</v>
      </c>
      <c r="BU79" s="18">
        <v>0</v>
      </c>
      <c r="BV79" s="18">
        <v>0</v>
      </c>
      <c r="BW79" s="18">
        <v>0</v>
      </c>
      <c r="BX79" s="18">
        <v>0</v>
      </c>
      <c r="BY79" s="18">
        <v>0</v>
      </c>
      <c r="BZ79" s="18">
        <v>22.978385696031864</v>
      </c>
      <c r="CA79" s="18">
        <v>0</v>
      </c>
      <c r="CB79" s="19">
        <v>2.6373815186002791</v>
      </c>
    </row>
    <row r="80" spans="1:80" x14ac:dyDescent="0.35">
      <c r="A80" s="17" t="s">
        <v>113</v>
      </c>
      <c r="B80" s="17" t="s">
        <v>192</v>
      </c>
      <c r="C80" s="17"/>
      <c r="D80" s="18">
        <f>raw_data!$D80*$C80/100</f>
        <v>0</v>
      </c>
      <c r="E80" s="18">
        <f>raw_data!$E80*$C80/100</f>
        <v>0</v>
      </c>
      <c r="F80" s="18">
        <f>raw_data!$F80*$E80/100</f>
        <v>0</v>
      </c>
      <c r="G80" s="18">
        <f>raw_data!$G80*$E80/100</f>
        <v>0</v>
      </c>
      <c r="H80" s="18">
        <v>25.741406205919322</v>
      </c>
      <c r="I80" s="18">
        <v>725.27674013134424</v>
      </c>
      <c r="J80" s="18">
        <f>raw_data!$J80*mass_composition!$E80/100</f>
        <v>0</v>
      </c>
      <c r="K80" s="18">
        <f>raw_data!$K80*mass_composition!$E80/100</f>
        <v>0</v>
      </c>
      <c r="L80" s="18">
        <f>raw_data!$L80*mass_composition!$E80/100</f>
        <v>0</v>
      </c>
      <c r="M80" s="18">
        <f>raw_data!$M80*mass_composition!$E80/100</f>
        <v>0</v>
      </c>
      <c r="N80" s="18">
        <f>raw_data!$N80*mass_composition!$E80/100</f>
        <v>0</v>
      </c>
      <c r="O80" s="18">
        <f>raw_data!$O80*mass_composition!$E80/100</f>
        <v>0</v>
      </c>
      <c r="P80" s="18">
        <f>raw_data!$P80*mass_composition!$E80/100</f>
        <v>0</v>
      </c>
      <c r="Q80" s="18">
        <f>raw_data!$Q80*mass_composition!$E80/100</f>
        <v>0</v>
      </c>
      <c r="R80" s="18">
        <f>raw_data!$R80*mass_composition!$E80/100</f>
        <v>0</v>
      </c>
      <c r="S80" s="18">
        <f>raw_data!$S80*mass_composition!$E80/100</f>
        <v>0</v>
      </c>
      <c r="T80" s="18">
        <f>raw_data!$T80*mass_composition!$E80/100</f>
        <v>0</v>
      </c>
      <c r="U80" s="18">
        <f>raw_data!$U80*mass_composition!$E80/100</f>
        <v>0</v>
      </c>
      <c r="V80" s="18">
        <f>raw_data!$V80*mass_composition!$E80/100</f>
        <v>0</v>
      </c>
      <c r="W80" s="18">
        <f>raw_data!$W80*mass_composition!$E80/100</f>
        <v>0</v>
      </c>
      <c r="X80" s="18">
        <f>raw_data!$X80*mass_composition!$E80/100</f>
        <v>0</v>
      </c>
      <c r="Y80" s="18">
        <f>raw_data!$Y80*mass_composition!$E80/100</f>
        <v>0</v>
      </c>
      <c r="Z80" s="18">
        <f>raw_data!$Z80*mass_composition!$E80/100</f>
        <v>0</v>
      </c>
      <c r="AA80" s="18">
        <f>raw_data!$AA80*mass_composition!$E80/100</f>
        <v>0</v>
      </c>
      <c r="AB80" s="18">
        <f>raw_data!$AB80*mass_composition!$E80/100</f>
        <v>0</v>
      </c>
      <c r="AC80" s="18">
        <f>raw_data!$AC80*mass_composition!$E80/100</f>
        <v>0</v>
      </c>
      <c r="AD80" s="18">
        <f>raw_data!$AD80*mass_composition!$E80/100</f>
        <v>0</v>
      </c>
      <c r="AE80" s="18">
        <f>raw_data!$AE80*mass_composition!$E80/100</f>
        <v>0</v>
      </c>
      <c r="AF80" s="18">
        <f>raw_data!$AF80*mass_composition!$E80/100</f>
        <v>0</v>
      </c>
      <c r="AG80" s="18">
        <f>raw_data!$AG80*mass_composition!$E80/100</f>
        <v>0</v>
      </c>
      <c r="AH80" s="18">
        <f>raw_data!$AH80*mass_composition!$E80/100</f>
        <v>0</v>
      </c>
      <c r="AI80" s="18">
        <f>raw_data!$AI80*mass_composition!$E80/100</f>
        <v>0</v>
      </c>
      <c r="AJ80" s="18">
        <f>raw_data!$AJ80*mass_composition!$E80/100</f>
        <v>0</v>
      </c>
      <c r="AK80" s="18">
        <f>raw_data!$AK80*mass_composition!$E80/100</f>
        <v>0</v>
      </c>
      <c r="AL80" s="18">
        <f>raw_data!$AL80*mass_composition!$E80/100</f>
        <v>0</v>
      </c>
      <c r="AM80" s="18">
        <f>raw_data!$AM80*mass_composition!$E80/100</f>
        <v>0</v>
      </c>
      <c r="AN80" s="18">
        <f>raw_data!$AN80*mass_composition!$E80/100</f>
        <v>0</v>
      </c>
      <c r="AO80" s="18">
        <f>raw_data!$AO80*mass_composition!$E80/100</f>
        <v>0</v>
      </c>
      <c r="AP80" s="18">
        <f>raw_data!$AP80*mass_composition!$E80/100</f>
        <v>0</v>
      </c>
      <c r="AQ80" s="18">
        <f>raw_data!$AQ80*mass_composition!$E80/100</f>
        <v>0</v>
      </c>
      <c r="AR80" s="18">
        <f>raw_data!$AR80*mass_composition!$E80/100</f>
        <v>0</v>
      </c>
      <c r="AS80" s="18">
        <f>raw_data!$AS80*mass_composition!$E80/100</f>
        <v>0</v>
      </c>
      <c r="AT80" s="18">
        <f>raw_data!$AT80*mass_composition!$E80/100</f>
        <v>0</v>
      </c>
      <c r="AU80" s="18">
        <f>raw_data!$AU80*mass_composition!$E80/100</f>
        <v>0</v>
      </c>
      <c r="AV80" s="18">
        <f>raw_data!$AV80*mass_composition!$E80/100</f>
        <v>0</v>
      </c>
      <c r="AW80" s="18">
        <f>raw_data!$AW80*mass_composition!$E80/100</f>
        <v>0</v>
      </c>
      <c r="AX80" s="18">
        <f>raw_data!$AX80*mass_composition!$E80/100</f>
        <v>0</v>
      </c>
      <c r="AY80" s="18">
        <f>raw_data!$AY80*mass_composition!$E80/100</f>
        <v>0</v>
      </c>
      <c r="AZ80" s="18">
        <f>raw_data!$AZ80*mass_composition!$E80/100</f>
        <v>0</v>
      </c>
      <c r="BA80" s="18">
        <f>raw_data!$BA80*mass_composition!$E80/100</f>
        <v>0</v>
      </c>
      <c r="BB80" s="18">
        <f>raw_data!$BB80*mass_composition!$E80/100</f>
        <v>0</v>
      </c>
      <c r="BC80" s="18">
        <f>raw_data!$BC80*mass_composition!$E80/100</f>
        <v>0</v>
      </c>
      <c r="BD80" s="18">
        <f>raw_data!$BD80*mass_composition!$E80/100</f>
        <v>0</v>
      </c>
      <c r="BE80" s="18">
        <f>raw_data!$BE80*mass_composition!$E80/100</f>
        <v>0</v>
      </c>
      <c r="BF80" s="18">
        <f>raw_data!$BF80*mass_composition!$E80/100</f>
        <v>0</v>
      </c>
      <c r="BG80" s="18">
        <f>raw_data!$BG80*mass_composition!$E80/100</f>
        <v>0</v>
      </c>
      <c r="BH80" s="18">
        <v>0</v>
      </c>
      <c r="BI80" s="18">
        <v>0</v>
      </c>
      <c r="BJ80" s="18">
        <v>0</v>
      </c>
      <c r="BK80" s="18">
        <f>raw_data!$BK80*$E80/100</f>
        <v>0</v>
      </c>
      <c r="BL80" s="18">
        <f>raw_data!$BL80*$E80/100</f>
        <v>0</v>
      </c>
      <c r="BM80" s="18">
        <v>0</v>
      </c>
      <c r="BN80" s="18">
        <f>raw_data!$BN80*$E80/100</f>
        <v>0</v>
      </c>
      <c r="BO80" s="18">
        <f>raw_data!$BO80*$E80/100</f>
        <v>0</v>
      </c>
      <c r="BP80" s="18">
        <f>raw_data!$BP80*$E80/100</f>
        <v>0</v>
      </c>
      <c r="BQ80" s="18">
        <v>0</v>
      </c>
      <c r="BR80" s="18">
        <f>raw_data!$BR80*$E80/100</f>
        <v>0</v>
      </c>
      <c r="BS80" s="18">
        <v>25.620190237990872</v>
      </c>
      <c r="BT80" s="18">
        <v>2.1648368145372978</v>
      </c>
      <c r="BU80" s="18">
        <v>9.7003205662155104E-3</v>
      </c>
      <c r="BV80" s="18">
        <v>0</v>
      </c>
      <c r="BW80" s="18">
        <v>2.801498972260966</v>
      </c>
      <c r="BX80" s="18">
        <v>0</v>
      </c>
      <c r="BY80" s="18">
        <v>2.8611959211792324</v>
      </c>
      <c r="BZ80" s="18">
        <v>24.322848575618917</v>
      </c>
      <c r="CA80" s="18">
        <v>0</v>
      </c>
      <c r="CB80" s="19">
        <v>1.7844079192988458</v>
      </c>
    </row>
    <row r="81" spans="1:80" x14ac:dyDescent="0.35">
      <c r="A81" s="17" t="s">
        <v>113</v>
      </c>
      <c r="B81" s="17" t="s">
        <v>193</v>
      </c>
      <c r="C81" s="17"/>
      <c r="D81" s="18">
        <f>raw_data!$D81*$C81/100</f>
        <v>0</v>
      </c>
      <c r="E81" s="18">
        <f>raw_data!$E81*$C81/100</f>
        <v>0</v>
      </c>
      <c r="F81" s="18">
        <f>raw_data!$F81*$E81/100</f>
        <v>0</v>
      </c>
      <c r="G81" s="18">
        <f>raw_data!$G81*$E81/100</f>
        <v>0</v>
      </c>
      <c r="H81" s="18">
        <v>22.340272036075664</v>
      </c>
      <c r="I81" s="18">
        <v>609.14803347727593</v>
      </c>
      <c r="J81" s="18">
        <f>raw_data!$J81*mass_composition!$E81/100</f>
        <v>0</v>
      </c>
      <c r="K81" s="18">
        <f>raw_data!$K81*mass_composition!$E81/100</f>
        <v>0</v>
      </c>
      <c r="L81" s="18">
        <f>raw_data!$L81*mass_composition!$E81/100</f>
        <v>0</v>
      </c>
      <c r="M81" s="18">
        <f>raw_data!$M81*mass_composition!$E81/100</f>
        <v>0</v>
      </c>
      <c r="N81" s="18">
        <f>raw_data!$N81*mass_composition!$E81/100</f>
        <v>0</v>
      </c>
      <c r="O81" s="18">
        <f>raw_data!$O81*mass_composition!$E81/100</f>
        <v>0</v>
      </c>
      <c r="P81" s="18">
        <f>raw_data!$P81*mass_composition!$E81/100</f>
        <v>0</v>
      </c>
      <c r="Q81" s="18">
        <f>raw_data!$Q81*mass_composition!$E81/100</f>
        <v>0</v>
      </c>
      <c r="R81" s="18">
        <f>raw_data!$R81*mass_composition!$E81/100</f>
        <v>0</v>
      </c>
      <c r="S81" s="18">
        <f>raw_data!$S81*mass_composition!$E81/100</f>
        <v>0</v>
      </c>
      <c r="T81" s="18">
        <f>raw_data!$T81*mass_composition!$E81/100</f>
        <v>0</v>
      </c>
      <c r="U81" s="18">
        <f>raw_data!$U81*mass_composition!$E81/100</f>
        <v>0</v>
      </c>
      <c r="V81" s="18">
        <f>raw_data!$V81*mass_composition!$E81/100</f>
        <v>0</v>
      </c>
      <c r="W81" s="18">
        <f>raw_data!$W81*mass_composition!$E81/100</f>
        <v>0</v>
      </c>
      <c r="X81" s="18">
        <f>raw_data!$X81*mass_composition!$E81/100</f>
        <v>0</v>
      </c>
      <c r="Y81" s="18">
        <f>raw_data!$Y81*mass_composition!$E81/100</f>
        <v>0</v>
      </c>
      <c r="Z81" s="18">
        <f>raw_data!$Z81*mass_composition!$E81/100</f>
        <v>0</v>
      </c>
      <c r="AA81" s="18">
        <f>raw_data!$AA81*mass_composition!$E81/100</f>
        <v>0</v>
      </c>
      <c r="AB81" s="18">
        <f>raw_data!$AB81*mass_composition!$E81/100</f>
        <v>0</v>
      </c>
      <c r="AC81" s="18">
        <f>raw_data!$AC81*mass_composition!$E81/100</f>
        <v>0</v>
      </c>
      <c r="AD81" s="18">
        <f>raw_data!$AD81*mass_composition!$E81/100</f>
        <v>0</v>
      </c>
      <c r="AE81" s="18">
        <f>raw_data!$AE81*mass_composition!$E81/100</f>
        <v>0</v>
      </c>
      <c r="AF81" s="18">
        <f>raw_data!$AF81*mass_composition!$E81/100</f>
        <v>0</v>
      </c>
      <c r="AG81" s="18">
        <f>raw_data!$AG81*mass_composition!$E81/100</f>
        <v>0</v>
      </c>
      <c r="AH81" s="18">
        <f>raw_data!$AH81*mass_composition!$E81/100</f>
        <v>0</v>
      </c>
      <c r="AI81" s="18">
        <f>raw_data!$AI81*mass_composition!$E81/100</f>
        <v>0</v>
      </c>
      <c r="AJ81" s="18">
        <f>raw_data!$AJ81*mass_composition!$E81/100</f>
        <v>0</v>
      </c>
      <c r="AK81" s="18">
        <f>raw_data!$AK81*mass_composition!$E81/100</f>
        <v>0</v>
      </c>
      <c r="AL81" s="18">
        <f>raw_data!$AL81*mass_composition!$E81/100</f>
        <v>0</v>
      </c>
      <c r="AM81" s="18">
        <f>raw_data!$AM81*mass_composition!$E81/100</f>
        <v>0</v>
      </c>
      <c r="AN81" s="18">
        <f>raw_data!$AN81*mass_composition!$E81/100</f>
        <v>0</v>
      </c>
      <c r="AO81" s="18">
        <f>raw_data!$AO81*mass_composition!$E81/100</f>
        <v>0</v>
      </c>
      <c r="AP81" s="18">
        <f>raw_data!$AP81*mass_composition!$E81/100</f>
        <v>0</v>
      </c>
      <c r="AQ81" s="18">
        <f>raw_data!$AQ81*mass_composition!$E81/100</f>
        <v>0</v>
      </c>
      <c r="AR81" s="18">
        <f>raw_data!$AR81*mass_composition!$E81/100</f>
        <v>0</v>
      </c>
      <c r="AS81" s="18">
        <f>raw_data!$AS81*mass_composition!$E81/100</f>
        <v>0</v>
      </c>
      <c r="AT81" s="18">
        <f>raw_data!$AT81*mass_composition!$E81/100</f>
        <v>0</v>
      </c>
      <c r="AU81" s="18">
        <f>raw_data!$AU81*mass_composition!$E81/100</f>
        <v>0</v>
      </c>
      <c r="AV81" s="18">
        <f>raw_data!$AV81*mass_composition!$E81/100</f>
        <v>0</v>
      </c>
      <c r="AW81" s="18">
        <f>raw_data!$AW81*mass_composition!$E81/100</f>
        <v>0</v>
      </c>
      <c r="AX81" s="18">
        <f>raw_data!$AX81*mass_composition!$E81/100</f>
        <v>0</v>
      </c>
      <c r="AY81" s="18">
        <f>raw_data!$AY81*mass_composition!$E81/100</f>
        <v>0</v>
      </c>
      <c r="AZ81" s="18">
        <f>raw_data!$AZ81*mass_composition!$E81/100</f>
        <v>0</v>
      </c>
      <c r="BA81" s="18">
        <f>raw_data!$BA81*mass_composition!$E81/100</f>
        <v>0</v>
      </c>
      <c r="BB81" s="18">
        <f>raw_data!$BB81*mass_composition!$E81/100</f>
        <v>0</v>
      </c>
      <c r="BC81" s="18">
        <f>raw_data!$BC81*mass_composition!$E81/100</f>
        <v>0</v>
      </c>
      <c r="BD81" s="18">
        <f>raw_data!$BD81*mass_composition!$E81/100</f>
        <v>0</v>
      </c>
      <c r="BE81" s="18">
        <f>raw_data!$BE81*mass_composition!$E81/100</f>
        <v>0</v>
      </c>
      <c r="BF81" s="18">
        <f>raw_data!$BF81*mass_composition!$E81/100</f>
        <v>0</v>
      </c>
      <c r="BG81" s="18">
        <f>raw_data!$BG81*mass_composition!$E81/100</f>
        <v>0</v>
      </c>
      <c r="BH81" s="18">
        <v>0</v>
      </c>
      <c r="BI81" s="18">
        <v>1.8344155844155841</v>
      </c>
      <c r="BJ81" s="18">
        <v>0.69805194805194815</v>
      </c>
      <c r="BK81" s="18">
        <f>raw_data!$BK81*$E81/100</f>
        <v>0</v>
      </c>
      <c r="BL81" s="18">
        <f>raw_data!$BL81*$E81/100</f>
        <v>0</v>
      </c>
      <c r="BM81" s="18">
        <v>0</v>
      </c>
      <c r="BN81" s="18">
        <f>raw_data!$BN81*$E81/100</f>
        <v>0</v>
      </c>
      <c r="BO81" s="18">
        <f>raw_data!$BO81*$E81/100</f>
        <v>0</v>
      </c>
      <c r="BP81" s="18">
        <f>raw_data!$BP81*$E81/100</f>
        <v>0</v>
      </c>
      <c r="BQ81" s="18">
        <v>0</v>
      </c>
      <c r="BR81" s="18">
        <f>raw_data!$BR81*$E81/100</f>
        <v>0</v>
      </c>
      <c r="BS81" s="18">
        <v>22.094250180013457</v>
      </c>
      <c r="BT81" s="18">
        <v>1.8161213428033305</v>
      </c>
      <c r="BU81" s="18">
        <v>0.10443722943722943</v>
      </c>
      <c r="BV81" s="18">
        <v>0.15476190476190477</v>
      </c>
      <c r="BW81" s="18">
        <v>8.2792207792207792E-2</v>
      </c>
      <c r="BX81" s="18">
        <v>2.9707792207792211E-2</v>
      </c>
      <c r="BY81" s="18">
        <v>2.2023809523809526</v>
      </c>
      <c r="BZ81" s="18">
        <v>22.693371461452838</v>
      </c>
      <c r="CA81" s="18">
        <v>0</v>
      </c>
      <c r="CB81" s="19">
        <v>58.087706751887467</v>
      </c>
    </row>
    <row r="82" spans="1:80" x14ac:dyDescent="0.35">
      <c r="A82" s="17" t="s">
        <v>113</v>
      </c>
      <c r="B82" s="17" t="s">
        <v>194</v>
      </c>
      <c r="C82" s="17"/>
      <c r="D82" s="18">
        <f>raw_data!$D82*$C82/100</f>
        <v>0</v>
      </c>
      <c r="E82" s="18">
        <f>raw_data!$E82*$C82/100</f>
        <v>0</v>
      </c>
      <c r="F82" s="18">
        <f>raw_data!$F82*$E82/100</f>
        <v>0</v>
      </c>
      <c r="G82" s="18">
        <f>raw_data!$G82*$E82/100</f>
        <v>0</v>
      </c>
      <c r="H82" s="18">
        <v>22.340272036075664</v>
      </c>
      <c r="I82" s="18">
        <v>609.14803347727593</v>
      </c>
      <c r="J82" s="18">
        <f>raw_data!$J82*mass_composition!$E82/100</f>
        <v>0</v>
      </c>
      <c r="K82" s="18">
        <f>raw_data!$K82*mass_composition!$E82/100</f>
        <v>0</v>
      </c>
      <c r="L82" s="18">
        <f>raw_data!$L82*mass_composition!$E82/100</f>
        <v>0</v>
      </c>
      <c r="M82" s="18">
        <f>raw_data!$M82*mass_composition!$E82/100</f>
        <v>0</v>
      </c>
      <c r="N82" s="18">
        <f>raw_data!$N82*mass_composition!$E82/100</f>
        <v>0</v>
      </c>
      <c r="O82" s="18">
        <f>raw_data!$O82*mass_composition!$E82/100</f>
        <v>0</v>
      </c>
      <c r="P82" s="18">
        <f>raw_data!$P82*mass_composition!$E82/100</f>
        <v>0</v>
      </c>
      <c r="Q82" s="18">
        <f>raw_data!$Q82*mass_composition!$E82/100</f>
        <v>0</v>
      </c>
      <c r="R82" s="18">
        <f>raw_data!$R82*mass_composition!$E82/100</f>
        <v>0</v>
      </c>
      <c r="S82" s="18">
        <f>raw_data!$S82*mass_composition!$E82/100</f>
        <v>0</v>
      </c>
      <c r="T82" s="18">
        <f>raw_data!$T82*mass_composition!$E82/100</f>
        <v>0</v>
      </c>
      <c r="U82" s="18">
        <f>raw_data!$U82*mass_composition!$E82/100</f>
        <v>0</v>
      </c>
      <c r="V82" s="18">
        <f>raw_data!$V82*mass_composition!$E82/100</f>
        <v>0</v>
      </c>
      <c r="W82" s="18">
        <f>raw_data!$W82*mass_composition!$E82/100</f>
        <v>0</v>
      </c>
      <c r="X82" s="18">
        <f>raw_data!$X82*mass_composition!$E82/100</f>
        <v>0</v>
      </c>
      <c r="Y82" s="18">
        <f>raw_data!$Y82*mass_composition!$E82/100</f>
        <v>0</v>
      </c>
      <c r="Z82" s="18">
        <f>raw_data!$Z82*mass_composition!$E82/100</f>
        <v>0</v>
      </c>
      <c r="AA82" s="18">
        <f>raw_data!$AA82*mass_composition!$E82/100</f>
        <v>0</v>
      </c>
      <c r="AB82" s="18">
        <f>raw_data!$AB82*mass_composition!$E82/100</f>
        <v>0</v>
      </c>
      <c r="AC82" s="18">
        <f>raw_data!$AC82*mass_composition!$E82/100</f>
        <v>0</v>
      </c>
      <c r="AD82" s="18">
        <f>raw_data!$AD82*mass_composition!$E82/100</f>
        <v>0</v>
      </c>
      <c r="AE82" s="18">
        <f>raw_data!$AE82*mass_composition!$E82/100</f>
        <v>0</v>
      </c>
      <c r="AF82" s="18">
        <f>raw_data!$AF82*mass_composition!$E82/100</f>
        <v>0</v>
      </c>
      <c r="AG82" s="18">
        <f>raw_data!$AG82*mass_composition!$E82/100</f>
        <v>0</v>
      </c>
      <c r="AH82" s="18">
        <f>raw_data!$AH82*mass_composition!$E82/100</f>
        <v>0</v>
      </c>
      <c r="AI82" s="18">
        <f>raw_data!$AI82*mass_composition!$E82/100</f>
        <v>0</v>
      </c>
      <c r="AJ82" s="18">
        <f>raw_data!$AJ82*mass_composition!$E82/100</f>
        <v>0</v>
      </c>
      <c r="AK82" s="18">
        <f>raw_data!$AK82*mass_composition!$E82/100</f>
        <v>0</v>
      </c>
      <c r="AL82" s="18">
        <f>raw_data!$AL82*mass_composition!$E82/100</f>
        <v>0</v>
      </c>
      <c r="AM82" s="18">
        <f>raw_data!$AM82*mass_composition!$E82/100</f>
        <v>0</v>
      </c>
      <c r="AN82" s="18">
        <f>raw_data!$AN82*mass_composition!$E82/100</f>
        <v>0</v>
      </c>
      <c r="AO82" s="18">
        <f>raw_data!$AO82*mass_composition!$E82/100</f>
        <v>0</v>
      </c>
      <c r="AP82" s="18">
        <f>raw_data!$AP82*mass_composition!$E82/100</f>
        <v>0</v>
      </c>
      <c r="AQ82" s="18">
        <f>raw_data!$AQ82*mass_composition!$E82/100</f>
        <v>0</v>
      </c>
      <c r="AR82" s="18">
        <f>raw_data!$AR82*mass_composition!$E82/100</f>
        <v>0</v>
      </c>
      <c r="AS82" s="18">
        <f>raw_data!$AS82*mass_composition!$E82/100</f>
        <v>0</v>
      </c>
      <c r="AT82" s="18">
        <f>raw_data!$AT82*mass_composition!$E82/100</f>
        <v>0</v>
      </c>
      <c r="AU82" s="18">
        <f>raw_data!$AU82*mass_composition!$E82/100</f>
        <v>0</v>
      </c>
      <c r="AV82" s="18">
        <f>raw_data!$AV82*mass_composition!$E82/100</f>
        <v>0</v>
      </c>
      <c r="AW82" s="18">
        <f>raw_data!$AW82*mass_composition!$E82/100</f>
        <v>0</v>
      </c>
      <c r="AX82" s="18">
        <f>raw_data!$AX82*mass_composition!$E82/100</f>
        <v>0</v>
      </c>
      <c r="AY82" s="18">
        <f>raw_data!$AY82*mass_composition!$E82/100</f>
        <v>0</v>
      </c>
      <c r="AZ82" s="18">
        <f>raw_data!$AZ82*mass_composition!$E82/100</f>
        <v>0</v>
      </c>
      <c r="BA82" s="18">
        <f>raw_data!$BA82*mass_composition!$E82/100</f>
        <v>0</v>
      </c>
      <c r="BB82" s="18">
        <f>raw_data!$BB82*mass_composition!$E82/100</f>
        <v>0</v>
      </c>
      <c r="BC82" s="18">
        <f>raw_data!$BC82*mass_composition!$E82/100</f>
        <v>0</v>
      </c>
      <c r="BD82" s="18">
        <f>raw_data!$BD82*mass_composition!$E82/100</f>
        <v>0</v>
      </c>
      <c r="BE82" s="18">
        <f>raw_data!$BE82*mass_composition!$E82/100</f>
        <v>0</v>
      </c>
      <c r="BF82" s="18">
        <f>raw_data!$BF82*mass_composition!$E82/100</f>
        <v>0</v>
      </c>
      <c r="BG82" s="18">
        <f>raw_data!$BG82*mass_composition!$E82/100</f>
        <v>0</v>
      </c>
      <c r="BH82" s="18">
        <v>0</v>
      </c>
      <c r="BI82" s="18">
        <v>1.8344155844155841</v>
      </c>
      <c r="BJ82" s="18">
        <v>0.69805194805194815</v>
      </c>
      <c r="BK82" s="18">
        <f>raw_data!$BK82*$E82/100</f>
        <v>0</v>
      </c>
      <c r="BL82" s="18">
        <f>raw_data!$BL82*$E82/100</f>
        <v>0</v>
      </c>
      <c r="BM82" s="18">
        <v>0</v>
      </c>
      <c r="BN82" s="18">
        <f>raw_data!$BN82*$E82/100</f>
        <v>0</v>
      </c>
      <c r="BO82" s="18">
        <f>raw_data!$BO82*$E82/100</f>
        <v>0</v>
      </c>
      <c r="BP82" s="18">
        <f>raw_data!$BP82*$E82/100</f>
        <v>0</v>
      </c>
      <c r="BQ82" s="18">
        <v>0</v>
      </c>
      <c r="BR82" s="18">
        <f>raw_data!$BR82*$E82/100</f>
        <v>0</v>
      </c>
      <c r="BS82" s="18">
        <v>22.094250180013457</v>
      </c>
      <c r="BT82" s="18">
        <v>1.8161213428033305</v>
      </c>
      <c r="BU82" s="18">
        <v>0.10443722943722943</v>
      </c>
      <c r="BV82" s="18">
        <v>0.15476190476190477</v>
      </c>
      <c r="BW82" s="18">
        <v>8.2792207792207792E-2</v>
      </c>
      <c r="BX82" s="18">
        <v>2.9707792207792211E-2</v>
      </c>
      <c r="BY82" s="18">
        <v>2.2023809523809526</v>
      </c>
      <c r="BZ82" s="18">
        <v>22.693371461452838</v>
      </c>
      <c r="CA82" s="18">
        <v>0</v>
      </c>
      <c r="CB82" s="19">
        <v>58.087706751887467</v>
      </c>
    </row>
    <row r="83" spans="1:80" x14ac:dyDescent="0.35">
      <c r="A83" s="17" t="s">
        <v>113</v>
      </c>
      <c r="B83" s="17" t="s">
        <v>195</v>
      </c>
      <c r="C83" s="17"/>
      <c r="D83" s="18">
        <f>raw_data!$D83*$C83/100</f>
        <v>0</v>
      </c>
      <c r="E83" s="18">
        <f>raw_data!$E83*$C83/100</f>
        <v>0</v>
      </c>
      <c r="F83" s="18">
        <f>raw_data!$F83*$E83/100</f>
        <v>0</v>
      </c>
      <c r="G83" s="18">
        <f>raw_data!$G83*$E83/100</f>
        <v>0</v>
      </c>
      <c r="H83" s="18">
        <v>16.725718261439166</v>
      </c>
      <c r="I83" s="18">
        <v>455.23846524921248</v>
      </c>
      <c r="J83" s="18">
        <f>raw_data!$J83*mass_composition!$E83/100</f>
        <v>0</v>
      </c>
      <c r="K83" s="18">
        <f>raw_data!$K83*mass_composition!$E83/100</f>
        <v>0</v>
      </c>
      <c r="L83" s="18">
        <f>raw_data!$L83*mass_composition!$E83/100</f>
        <v>0</v>
      </c>
      <c r="M83" s="18">
        <f>raw_data!$M83*mass_composition!$E83/100</f>
        <v>0</v>
      </c>
      <c r="N83" s="18">
        <f>raw_data!$N83*mass_composition!$E83/100</f>
        <v>0</v>
      </c>
      <c r="O83" s="18">
        <f>raw_data!$O83*mass_composition!$E83/100</f>
        <v>0</v>
      </c>
      <c r="P83" s="18">
        <f>raw_data!$P83*mass_composition!$E83/100</f>
        <v>0</v>
      </c>
      <c r="Q83" s="18">
        <f>raw_data!$Q83*mass_composition!$E83/100</f>
        <v>0</v>
      </c>
      <c r="R83" s="18">
        <f>raw_data!$R83*mass_composition!$E83/100</f>
        <v>0</v>
      </c>
      <c r="S83" s="18">
        <f>raw_data!$S83*mass_composition!$E83/100</f>
        <v>0</v>
      </c>
      <c r="T83" s="18">
        <f>raw_data!$T83*mass_composition!$E83/100</f>
        <v>0</v>
      </c>
      <c r="U83" s="18">
        <f>raw_data!$U83*mass_composition!$E83/100</f>
        <v>0</v>
      </c>
      <c r="V83" s="18">
        <f>raw_data!$V83*mass_composition!$E83/100</f>
        <v>0</v>
      </c>
      <c r="W83" s="18">
        <f>raw_data!$W83*mass_composition!$E83/100</f>
        <v>0</v>
      </c>
      <c r="X83" s="18">
        <f>raw_data!$X83*mass_composition!$E83/100</f>
        <v>0</v>
      </c>
      <c r="Y83" s="18">
        <f>raw_data!$Y83*mass_composition!$E83/100</f>
        <v>0</v>
      </c>
      <c r="Z83" s="18">
        <f>raw_data!$Z83*mass_composition!$E83/100</f>
        <v>0</v>
      </c>
      <c r="AA83" s="18">
        <f>raw_data!$AA83*mass_composition!$E83/100</f>
        <v>0</v>
      </c>
      <c r="AB83" s="18">
        <f>raw_data!$AB83*mass_composition!$E83/100</f>
        <v>0</v>
      </c>
      <c r="AC83" s="18">
        <f>raw_data!$AC83*mass_composition!$E83/100</f>
        <v>0</v>
      </c>
      <c r="AD83" s="18">
        <f>raw_data!$AD83*mass_composition!$E83/100</f>
        <v>0</v>
      </c>
      <c r="AE83" s="18">
        <f>raw_data!$AE83*mass_composition!$E83/100</f>
        <v>0</v>
      </c>
      <c r="AF83" s="18">
        <f>raw_data!$AF83*mass_composition!$E83/100</f>
        <v>0</v>
      </c>
      <c r="AG83" s="18">
        <f>raw_data!$AG83*mass_composition!$E83/100</f>
        <v>0</v>
      </c>
      <c r="AH83" s="18">
        <f>raw_data!$AH83*mass_composition!$E83/100</f>
        <v>0</v>
      </c>
      <c r="AI83" s="18">
        <f>raw_data!$AI83*mass_composition!$E83/100</f>
        <v>0</v>
      </c>
      <c r="AJ83" s="18">
        <f>raw_data!$AJ83*mass_composition!$E83/100</f>
        <v>0</v>
      </c>
      <c r="AK83" s="18">
        <f>raw_data!$AK83*mass_composition!$E83/100</f>
        <v>0</v>
      </c>
      <c r="AL83" s="18">
        <f>raw_data!$AL83*mass_composition!$E83/100</f>
        <v>0</v>
      </c>
      <c r="AM83" s="18">
        <f>raw_data!$AM83*mass_composition!$E83/100</f>
        <v>0</v>
      </c>
      <c r="AN83" s="18">
        <f>raw_data!$AN83*mass_composition!$E83/100</f>
        <v>0</v>
      </c>
      <c r="AO83" s="18">
        <f>raw_data!$AO83*mass_composition!$E83/100</f>
        <v>0</v>
      </c>
      <c r="AP83" s="18">
        <f>raw_data!$AP83*mass_composition!$E83/100</f>
        <v>0</v>
      </c>
      <c r="AQ83" s="18">
        <f>raw_data!$AQ83*mass_composition!$E83/100</f>
        <v>0</v>
      </c>
      <c r="AR83" s="18">
        <f>raw_data!$AR83*mass_composition!$E83/100</f>
        <v>0</v>
      </c>
      <c r="AS83" s="18">
        <f>raw_data!$AS83*mass_composition!$E83/100</f>
        <v>0</v>
      </c>
      <c r="AT83" s="18">
        <f>raw_data!$AT83*mass_composition!$E83/100</f>
        <v>0</v>
      </c>
      <c r="AU83" s="18">
        <f>raw_data!$AU83*mass_composition!$E83/100</f>
        <v>0</v>
      </c>
      <c r="AV83" s="18">
        <f>raw_data!$AV83*mass_composition!$E83/100</f>
        <v>0</v>
      </c>
      <c r="AW83" s="18">
        <f>raw_data!$AW83*mass_composition!$E83/100</f>
        <v>0</v>
      </c>
      <c r="AX83" s="18">
        <f>raw_data!$AX83*mass_composition!$E83/100</f>
        <v>0</v>
      </c>
      <c r="AY83" s="18">
        <f>raw_data!$AY83*mass_composition!$E83/100</f>
        <v>0</v>
      </c>
      <c r="AZ83" s="18">
        <f>raw_data!$AZ83*mass_composition!$E83/100</f>
        <v>0</v>
      </c>
      <c r="BA83" s="18">
        <f>raw_data!$BA83*mass_composition!$E83/100</f>
        <v>0</v>
      </c>
      <c r="BB83" s="18">
        <f>raw_data!$BB83*mass_composition!$E83/100</f>
        <v>0</v>
      </c>
      <c r="BC83" s="18">
        <f>raw_data!$BC83*mass_composition!$E83/100</f>
        <v>0</v>
      </c>
      <c r="BD83" s="18">
        <f>raw_data!$BD83*mass_composition!$E83/100</f>
        <v>0</v>
      </c>
      <c r="BE83" s="18">
        <f>raw_data!$BE83*mass_composition!$E83/100</f>
        <v>0</v>
      </c>
      <c r="BF83" s="18">
        <f>raw_data!$BF83*mass_composition!$E83/100</f>
        <v>0</v>
      </c>
      <c r="BG83" s="18">
        <f>raw_data!$BG83*mass_composition!$E83/100</f>
        <v>0</v>
      </c>
      <c r="BH83" s="18">
        <v>0</v>
      </c>
      <c r="BI83" s="18">
        <v>0.9279427658495818</v>
      </c>
      <c r="BJ83" s="18">
        <v>38.667919688180987</v>
      </c>
      <c r="BK83" s="18">
        <f>raw_data!$BK83*$E83/100</f>
        <v>0</v>
      </c>
      <c r="BL83" s="18">
        <f>raw_data!$BL83*$E83/100</f>
        <v>0</v>
      </c>
      <c r="BM83" s="18">
        <v>0</v>
      </c>
      <c r="BN83" s="18">
        <f>raw_data!$BN83*$E83/100</f>
        <v>0</v>
      </c>
      <c r="BO83" s="18">
        <f>raw_data!$BO83*$E83/100</f>
        <v>0</v>
      </c>
      <c r="BP83" s="18">
        <f>raw_data!$BP83*$E83/100</f>
        <v>0</v>
      </c>
      <c r="BQ83" s="18">
        <v>0</v>
      </c>
      <c r="BR83" s="18">
        <f>raw_data!$BR83*$E83/100</f>
        <v>0</v>
      </c>
      <c r="BS83" s="18">
        <v>17.967090086102974</v>
      </c>
      <c r="BT83" s="18">
        <v>1.4079392836453175</v>
      </c>
      <c r="BU83" s="18">
        <v>0.11576013952745297</v>
      </c>
      <c r="BV83" s="18">
        <v>0.14383705822171938</v>
      </c>
      <c r="BW83" s="18">
        <v>0</v>
      </c>
      <c r="BX83" s="18">
        <v>0.35418316311424114</v>
      </c>
      <c r="BY83" s="18">
        <v>1.5411645507094203</v>
      </c>
      <c r="BZ83" s="18">
        <v>16.619467481197741</v>
      </c>
      <c r="CA83" s="18">
        <v>0</v>
      </c>
      <c r="CB83" s="19">
        <v>39.783353915958543</v>
      </c>
    </row>
    <row r="84" spans="1:80" x14ac:dyDescent="0.35">
      <c r="A84" s="17" t="s">
        <v>113</v>
      </c>
      <c r="B84" s="17" t="s">
        <v>196</v>
      </c>
      <c r="C84" s="17"/>
      <c r="D84" s="18">
        <f>raw_data!$D84*$C84/100</f>
        <v>0</v>
      </c>
      <c r="E84" s="18">
        <f>raw_data!$E84*$C84/100</f>
        <v>0</v>
      </c>
      <c r="F84" s="18">
        <f>raw_data!$F84*$E84/100</f>
        <v>0</v>
      </c>
      <c r="G84" s="18">
        <f>raw_data!$G84*$E84/100</f>
        <v>0</v>
      </c>
      <c r="H84" s="18">
        <v>22.615822116722924</v>
      </c>
      <c r="I84" s="18">
        <v>637.22466532266355</v>
      </c>
      <c r="J84" s="18">
        <f>raw_data!$J84*mass_composition!$E84/100</f>
        <v>0</v>
      </c>
      <c r="K84" s="18">
        <f>raw_data!$K84*mass_composition!$E84/100</f>
        <v>0</v>
      </c>
      <c r="L84" s="18">
        <f>raw_data!$L84*mass_composition!$E84/100</f>
        <v>0</v>
      </c>
      <c r="M84" s="18">
        <f>raw_data!$M84*mass_composition!$E84/100</f>
        <v>0</v>
      </c>
      <c r="N84" s="18">
        <f>raw_data!$N84*mass_composition!$E84/100</f>
        <v>0</v>
      </c>
      <c r="O84" s="18">
        <f>raw_data!$O84*mass_composition!$E84/100</f>
        <v>0</v>
      </c>
      <c r="P84" s="18">
        <f>raw_data!$P84*mass_composition!$E84/100</f>
        <v>0</v>
      </c>
      <c r="Q84" s="18">
        <f>raw_data!$Q84*mass_composition!$E84/100</f>
        <v>0</v>
      </c>
      <c r="R84" s="18">
        <f>raw_data!$R84*mass_composition!$E84/100</f>
        <v>0</v>
      </c>
      <c r="S84" s="18">
        <f>raw_data!$S84*mass_composition!$E84/100</f>
        <v>0</v>
      </c>
      <c r="T84" s="18">
        <f>raw_data!$T84*mass_composition!$E84/100</f>
        <v>0</v>
      </c>
      <c r="U84" s="18">
        <f>raw_data!$U84*mass_composition!$E84/100</f>
        <v>0</v>
      </c>
      <c r="V84" s="18">
        <f>raw_data!$V84*mass_composition!$E84/100</f>
        <v>0</v>
      </c>
      <c r="W84" s="18">
        <f>raw_data!$W84*mass_composition!$E84/100</f>
        <v>0</v>
      </c>
      <c r="X84" s="18">
        <f>raw_data!$X84*mass_composition!$E84/100</f>
        <v>0</v>
      </c>
      <c r="Y84" s="18">
        <f>raw_data!$Y84*mass_composition!$E84/100</f>
        <v>0</v>
      </c>
      <c r="Z84" s="18">
        <f>raw_data!$Z84*mass_composition!$E84/100</f>
        <v>0</v>
      </c>
      <c r="AA84" s="18">
        <f>raw_data!$AA84*mass_composition!$E84/100</f>
        <v>0</v>
      </c>
      <c r="AB84" s="18">
        <f>raw_data!$AB84*mass_composition!$E84/100</f>
        <v>0</v>
      </c>
      <c r="AC84" s="18">
        <f>raw_data!$AC84*mass_composition!$E84/100</f>
        <v>0</v>
      </c>
      <c r="AD84" s="18">
        <f>raw_data!$AD84*mass_composition!$E84/100</f>
        <v>0</v>
      </c>
      <c r="AE84" s="18">
        <f>raw_data!$AE84*mass_composition!$E84/100</f>
        <v>0</v>
      </c>
      <c r="AF84" s="18">
        <f>raw_data!$AF84*mass_composition!$E84/100</f>
        <v>0</v>
      </c>
      <c r="AG84" s="18">
        <f>raw_data!$AG84*mass_composition!$E84/100</f>
        <v>0</v>
      </c>
      <c r="AH84" s="18">
        <f>raw_data!$AH84*mass_composition!$E84/100</f>
        <v>0</v>
      </c>
      <c r="AI84" s="18">
        <f>raw_data!$AI84*mass_composition!$E84/100</f>
        <v>0</v>
      </c>
      <c r="AJ84" s="18">
        <f>raw_data!$AJ84*mass_composition!$E84/100</f>
        <v>0</v>
      </c>
      <c r="AK84" s="18">
        <f>raw_data!$AK84*mass_composition!$E84/100</f>
        <v>0</v>
      </c>
      <c r="AL84" s="18">
        <f>raw_data!$AL84*mass_composition!$E84/100</f>
        <v>0</v>
      </c>
      <c r="AM84" s="18">
        <f>raw_data!$AM84*mass_composition!$E84/100</f>
        <v>0</v>
      </c>
      <c r="AN84" s="18">
        <f>raw_data!$AN84*mass_composition!$E84/100</f>
        <v>0</v>
      </c>
      <c r="AO84" s="18">
        <f>raw_data!$AO84*mass_composition!$E84/100</f>
        <v>0</v>
      </c>
      <c r="AP84" s="18">
        <f>raw_data!$AP84*mass_composition!$E84/100</f>
        <v>0</v>
      </c>
      <c r="AQ84" s="18">
        <f>raw_data!$AQ84*mass_composition!$E84/100</f>
        <v>0</v>
      </c>
      <c r="AR84" s="18">
        <f>raw_data!$AR84*mass_composition!$E84/100</f>
        <v>0</v>
      </c>
      <c r="AS84" s="18">
        <f>raw_data!$AS84*mass_composition!$E84/100</f>
        <v>0</v>
      </c>
      <c r="AT84" s="18">
        <f>raw_data!$AT84*mass_composition!$E84/100</f>
        <v>0</v>
      </c>
      <c r="AU84" s="18">
        <f>raw_data!$AU84*mass_composition!$E84/100</f>
        <v>0</v>
      </c>
      <c r="AV84" s="18">
        <f>raw_data!$AV84*mass_composition!$E84/100</f>
        <v>0</v>
      </c>
      <c r="AW84" s="18">
        <f>raw_data!$AW84*mass_composition!$E84/100</f>
        <v>0</v>
      </c>
      <c r="AX84" s="18">
        <f>raw_data!$AX84*mass_composition!$E84/100</f>
        <v>0</v>
      </c>
      <c r="AY84" s="18">
        <f>raw_data!$AY84*mass_composition!$E84/100</f>
        <v>0</v>
      </c>
      <c r="AZ84" s="18">
        <f>raw_data!$AZ84*mass_composition!$E84/100</f>
        <v>0</v>
      </c>
      <c r="BA84" s="18">
        <f>raw_data!$BA84*mass_composition!$E84/100</f>
        <v>0</v>
      </c>
      <c r="BB84" s="18">
        <f>raw_data!$BB84*mass_composition!$E84/100</f>
        <v>0</v>
      </c>
      <c r="BC84" s="18">
        <f>raw_data!$BC84*mass_composition!$E84/100</f>
        <v>0</v>
      </c>
      <c r="BD84" s="18">
        <f>raw_data!$BD84*mass_composition!$E84/100</f>
        <v>0</v>
      </c>
      <c r="BE84" s="18">
        <f>raw_data!$BE84*mass_composition!$E84/100</f>
        <v>0</v>
      </c>
      <c r="BF84" s="18">
        <f>raw_data!$BF84*mass_composition!$E84/100</f>
        <v>0</v>
      </c>
      <c r="BG84" s="18">
        <f>raw_data!$BG84*mass_composition!$E84/100</f>
        <v>0</v>
      </c>
      <c r="BH84" s="18">
        <v>0</v>
      </c>
      <c r="BI84" s="18">
        <v>0.54483072028941393</v>
      </c>
      <c r="BJ84" s="18">
        <v>0.1930470694892476</v>
      </c>
      <c r="BK84" s="18">
        <f>raw_data!$BK84*$E84/100</f>
        <v>0</v>
      </c>
      <c r="BL84" s="18">
        <f>raw_data!$BL84*$E84/100</f>
        <v>0</v>
      </c>
      <c r="BM84" s="18">
        <v>0</v>
      </c>
      <c r="BN84" s="18">
        <f>raw_data!$BN84*$E84/100</f>
        <v>0</v>
      </c>
      <c r="BO84" s="18">
        <f>raw_data!$BO84*$E84/100</f>
        <v>0</v>
      </c>
      <c r="BP84" s="18">
        <f>raw_data!$BP84*$E84/100</f>
        <v>0</v>
      </c>
      <c r="BQ84" s="18">
        <v>0</v>
      </c>
      <c r="BR84" s="18">
        <f>raw_data!$BR84*$E84/100</f>
        <v>0</v>
      </c>
      <c r="BS84" s="18">
        <v>23.729417030085326</v>
      </c>
      <c r="BT84" s="18">
        <v>1.9778393442754385</v>
      </c>
      <c r="BU84" s="18">
        <v>4.5631509678553846E-2</v>
      </c>
      <c r="BV84" s="18">
        <v>4.9678482326361427E-2</v>
      </c>
      <c r="BW84" s="18">
        <v>7.1294471945044638E-2</v>
      </c>
      <c r="BX84" s="18">
        <v>0</v>
      </c>
      <c r="BY84" s="18">
        <v>1.2652197058916759</v>
      </c>
      <c r="BZ84" s="18">
        <v>21.106569589944296</v>
      </c>
      <c r="CA84" s="18">
        <v>0</v>
      </c>
      <c r="CB84" s="19">
        <v>7.7810244673173328</v>
      </c>
    </row>
    <row r="85" spans="1:80" x14ac:dyDescent="0.35">
      <c r="A85" s="17" t="s">
        <v>113</v>
      </c>
      <c r="B85" s="17" t="s">
        <v>197</v>
      </c>
      <c r="C85" s="17"/>
      <c r="D85" s="18">
        <f>raw_data!$D85*$C85/100</f>
        <v>0</v>
      </c>
      <c r="E85" s="18">
        <f>raw_data!$E85*$C85/100</f>
        <v>0</v>
      </c>
      <c r="F85" s="18">
        <f>raw_data!$F85*$E85/100</f>
        <v>0</v>
      </c>
      <c r="G85" s="18">
        <f>raw_data!$G85*$E85/100</f>
        <v>0</v>
      </c>
      <c r="H85" s="18">
        <v>18.579798263872231</v>
      </c>
      <c r="I85" s="18">
        <v>528.82270224991487</v>
      </c>
      <c r="J85" s="18">
        <f>raw_data!$J85*mass_composition!$E85/100</f>
        <v>0</v>
      </c>
      <c r="K85" s="18">
        <f>raw_data!$K85*mass_composition!$E85/100</f>
        <v>0</v>
      </c>
      <c r="L85" s="18">
        <f>raw_data!$L85*mass_composition!$E85/100</f>
        <v>0</v>
      </c>
      <c r="M85" s="18">
        <f>raw_data!$M85*mass_composition!$E85/100</f>
        <v>0</v>
      </c>
      <c r="N85" s="18">
        <f>raw_data!$N85*mass_composition!$E85/100</f>
        <v>0</v>
      </c>
      <c r="O85" s="18">
        <f>raw_data!$O85*mass_composition!$E85/100</f>
        <v>0</v>
      </c>
      <c r="P85" s="18">
        <f>raw_data!$P85*mass_composition!$E85/100</f>
        <v>0</v>
      </c>
      <c r="Q85" s="18">
        <f>raw_data!$Q85*mass_composition!$E85/100</f>
        <v>0</v>
      </c>
      <c r="R85" s="18">
        <f>raw_data!$R85*mass_composition!$E85/100</f>
        <v>0</v>
      </c>
      <c r="S85" s="18">
        <f>raw_data!$S85*mass_composition!$E85/100</f>
        <v>0</v>
      </c>
      <c r="T85" s="18">
        <f>raw_data!$T85*mass_composition!$E85/100</f>
        <v>0</v>
      </c>
      <c r="U85" s="18">
        <f>raw_data!$U85*mass_composition!$E85/100</f>
        <v>0</v>
      </c>
      <c r="V85" s="18">
        <f>raw_data!$V85*mass_composition!$E85/100</f>
        <v>0</v>
      </c>
      <c r="W85" s="18">
        <f>raw_data!$W85*mass_composition!$E85/100</f>
        <v>0</v>
      </c>
      <c r="X85" s="18">
        <f>raw_data!$X85*mass_composition!$E85/100</f>
        <v>0</v>
      </c>
      <c r="Y85" s="18">
        <f>raw_data!$Y85*mass_composition!$E85/100</f>
        <v>0</v>
      </c>
      <c r="Z85" s="18">
        <f>raw_data!$Z85*mass_composition!$E85/100</f>
        <v>0</v>
      </c>
      <c r="AA85" s="18">
        <f>raw_data!$AA85*mass_composition!$E85/100</f>
        <v>0</v>
      </c>
      <c r="AB85" s="18">
        <f>raw_data!$AB85*mass_composition!$E85/100</f>
        <v>0</v>
      </c>
      <c r="AC85" s="18">
        <f>raw_data!$AC85*mass_composition!$E85/100</f>
        <v>0</v>
      </c>
      <c r="AD85" s="18">
        <f>raw_data!$AD85*mass_composition!$E85/100</f>
        <v>0</v>
      </c>
      <c r="AE85" s="18">
        <f>raw_data!$AE85*mass_composition!$E85/100</f>
        <v>0</v>
      </c>
      <c r="AF85" s="18">
        <f>raw_data!$AF85*mass_composition!$E85/100</f>
        <v>0</v>
      </c>
      <c r="AG85" s="18">
        <f>raw_data!$AG85*mass_composition!$E85/100</f>
        <v>0</v>
      </c>
      <c r="AH85" s="18">
        <f>raw_data!$AH85*mass_composition!$E85/100</f>
        <v>0</v>
      </c>
      <c r="AI85" s="18">
        <f>raw_data!$AI85*mass_composition!$E85/100</f>
        <v>0</v>
      </c>
      <c r="AJ85" s="18">
        <f>raw_data!$AJ85*mass_composition!$E85/100</f>
        <v>0</v>
      </c>
      <c r="AK85" s="18">
        <f>raw_data!$AK85*mass_composition!$E85/100</f>
        <v>0</v>
      </c>
      <c r="AL85" s="18">
        <f>raw_data!$AL85*mass_composition!$E85/100</f>
        <v>0</v>
      </c>
      <c r="AM85" s="18">
        <f>raw_data!$AM85*mass_composition!$E85/100</f>
        <v>0</v>
      </c>
      <c r="AN85" s="18">
        <f>raw_data!$AN85*mass_composition!$E85/100</f>
        <v>0</v>
      </c>
      <c r="AO85" s="18">
        <f>raw_data!$AO85*mass_composition!$E85/100</f>
        <v>0</v>
      </c>
      <c r="AP85" s="18">
        <f>raw_data!$AP85*mass_composition!$E85/100</f>
        <v>0</v>
      </c>
      <c r="AQ85" s="18">
        <f>raw_data!$AQ85*mass_composition!$E85/100</f>
        <v>0</v>
      </c>
      <c r="AR85" s="18">
        <f>raw_data!$AR85*mass_composition!$E85/100</f>
        <v>0</v>
      </c>
      <c r="AS85" s="18">
        <f>raw_data!$AS85*mass_composition!$E85/100</f>
        <v>0</v>
      </c>
      <c r="AT85" s="18">
        <f>raw_data!$AT85*mass_composition!$E85/100</f>
        <v>0</v>
      </c>
      <c r="AU85" s="18">
        <f>raw_data!$AU85*mass_composition!$E85/100</f>
        <v>0</v>
      </c>
      <c r="AV85" s="18">
        <f>raw_data!$AV85*mass_composition!$E85/100</f>
        <v>0</v>
      </c>
      <c r="AW85" s="18">
        <f>raw_data!$AW85*mass_composition!$E85/100</f>
        <v>0</v>
      </c>
      <c r="AX85" s="18">
        <f>raw_data!$AX85*mass_composition!$E85/100</f>
        <v>0</v>
      </c>
      <c r="AY85" s="18">
        <f>raw_data!$AY85*mass_composition!$E85/100</f>
        <v>0</v>
      </c>
      <c r="AZ85" s="18">
        <f>raw_data!$AZ85*mass_composition!$E85/100</f>
        <v>0</v>
      </c>
      <c r="BA85" s="18">
        <f>raw_data!$BA85*mass_composition!$E85/100</f>
        <v>0</v>
      </c>
      <c r="BB85" s="18">
        <f>raw_data!$BB85*mass_composition!$E85/100</f>
        <v>0</v>
      </c>
      <c r="BC85" s="18">
        <f>raw_data!$BC85*mass_composition!$E85/100</f>
        <v>0</v>
      </c>
      <c r="BD85" s="18">
        <f>raw_data!$BD85*mass_composition!$E85/100</f>
        <v>0</v>
      </c>
      <c r="BE85" s="18">
        <f>raw_data!$BE85*mass_composition!$E85/100</f>
        <v>0</v>
      </c>
      <c r="BF85" s="18">
        <f>raw_data!$BF85*mass_composition!$E85/100</f>
        <v>0</v>
      </c>
      <c r="BG85" s="18">
        <f>raw_data!$BG85*mass_composition!$E85/100</f>
        <v>0</v>
      </c>
      <c r="BH85" s="18">
        <v>0</v>
      </c>
      <c r="BI85" s="18">
        <v>0</v>
      </c>
      <c r="BJ85" s="18">
        <v>3.0070836144491477</v>
      </c>
      <c r="BK85" s="18">
        <f>raw_data!$BK85*$E85/100</f>
        <v>0</v>
      </c>
      <c r="BL85" s="18">
        <f>raw_data!$BL85*$E85/100</f>
        <v>0</v>
      </c>
      <c r="BM85" s="18">
        <v>0</v>
      </c>
      <c r="BN85" s="18">
        <f>raw_data!$BN85*$E85/100</f>
        <v>0</v>
      </c>
      <c r="BO85" s="18">
        <f>raw_data!$BO85*$E85/100</f>
        <v>0</v>
      </c>
      <c r="BP85" s="18">
        <f>raw_data!$BP85*$E85/100</f>
        <v>0</v>
      </c>
      <c r="BQ85" s="18">
        <v>0</v>
      </c>
      <c r="BR85" s="18">
        <f>raw_data!$BR85*$E85/100</f>
        <v>0</v>
      </c>
      <c r="BS85" s="18">
        <v>21.364480269525789</v>
      </c>
      <c r="BT85" s="18">
        <v>1.7439470986561008</v>
      </c>
      <c r="BU85" s="18">
        <v>0</v>
      </c>
      <c r="BV85" s="18">
        <v>0</v>
      </c>
      <c r="BW85" s="18">
        <v>0</v>
      </c>
      <c r="BX85" s="18">
        <v>0</v>
      </c>
      <c r="BY85" s="18">
        <v>0.31168831168831174</v>
      </c>
      <c r="BZ85" s="18">
        <v>16.726891307542161</v>
      </c>
      <c r="CA85" s="18">
        <v>0</v>
      </c>
      <c r="CB85" s="19">
        <v>3.2754330301784309</v>
      </c>
    </row>
    <row r="86" spans="1:80" x14ac:dyDescent="0.35">
      <c r="A86" s="17" t="s">
        <v>113</v>
      </c>
      <c r="B86" s="17" t="s">
        <v>198</v>
      </c>
      <c r="C86" s="17"/>
      <c r="D86" s="18">
        <f>raw_data!$D86*$C86/100</f>
        <v>0</v>
      </c>
      <c r="E86" s="18">
        <f>raw_data!$E86*$C86/100</f>
        <v>0</v>
      </c>
      <c r="F86" s="18">
        <f>raw_data!$F86*$E86/100</f>
        <v>0</v>
      </c>
      <c r="G86" s="18">
        <f>raw_data!$G86*$E86/100</f>
        <v>0</v>
      </c>
      <c r="H86" s="18">
        <v>0</v>
      </c>
      <c r="I86" s="18">
        <v>0</v>
      </c>
      <c r="J86" s="18">
        <f>raw_data!$J86*mass_composition!$E86/100</f>
        <v>0</v>
      </c>
      <c r="K86" s="18">
        <f>raw_data!$K86*mass_composition!$E86/100</f>
        <v>0</v>
      </c>
      <c r="L86" s="18">
        <f>raw_data!$L86*mass_composition!$E86/100</f>
        <v>0</v>
      </c>
      <c r="M86" s="18">
        <f>raw_data!$M86*mass_composition!$E86/100</f>
        <v>0</v>
      </c>
      <c r="N86" s="18">
        <f>raw_data!$N86*mass_composition!$E86/100</f>
        <v>0</v>
      </c>
      <c r="O86" s="18">
        <f>raw_data!$O86*mass_composition!$E86/100</f>
        <v>0</v>
      </c>
      <c r="P86" s="18">
        <f>raw_data!$P86*mass_composition!$E86/100</f>
        <v>0</v>
      </c>
      <c r="Q86" s="18">
        <f>raw_data!$Q86*mass_composition!$E86/100</f>
        <v>0</v>
      </c>
      <c r="R86" s="18">
        <f>raw_data!$R86*mass_composition!$E86/100</f>
        <v>0</v>
      </c>
      <c r="S86" s="18">
        <f>raw_data!$S86*mass_composition!$E86/100</f>
        <v>0</v>
      </c>
      <c r="T86" s="18">
        <f>raw_data!$T86*mass_composition!$E86/100</f>
        <v>0</v>
      </c>
      <c r="U86" s="18">
        <f>raw_data!$U86*mass_composition!$E86/100</f>
        <v>0</v>
      </c>
      <c r="V86" s="18">
        <f>raw_data!$V86*mass_composition!$E86/100</f>
        <v>0</v>
      </c>
      <c r="W86" s="18">
        <f>raw_data!$W86*mass_composition!$E86/100</f>
        <v>0</v>
      </c>
      <c r="X86" s="18">
        <f>raw_data!$X86*mass_composition!$E86/100</f>
        <v>0</v>
      </c>
      <c r="Y86" s="18">
        <f>raw_data!$Y86*mass_composition!$E86/100</f>
        <v>0</v>
      </c>
      <c r="Z86" s="18">
        <f>raw_data!$Z86*mass_composition!$E86/100</f>
        <v>0</v>
      </c>
      <c r="AA86" s="18">
        <f>raw_data!$AA86*mass_composition!$E86/100</f>
        <v>0</v>
      </c>
      <c r="AB86" s="18">
        <f>raw_data!$AB86*mass_composition!$E86/100</f>
        <v>0</v>
      </c>
      <c r="AC86" s="18">
        <f>raw_data!$AC86*mass_composition!$E86/100</f>
        <v>0</v>
      </c>
      <c r="AD86" s="18">
        <f>raw_data!$AD86*mass_composition!$E86/100</f>
        <v>0</v>
      </c>
      <c r="AE86" s="18">
        <f>raw_data!$AE86*mass_composition!$E86/100</f>
        <v>0</v>
      </c>
      <c r="AF86" s="18">
        <f>raw_data!$AF86*mass_composition!$E86/100</f>
        <v>0</v>
      </c>
      <c r="AG86" s="18">
        <f>raw_data!$AG86*mass_composition!$E86/100</f>
        <v>0</v>
      </c>
      <c r="AH86" s="18">
        <f>raw_data!$AH86*mass_composition!$E86/100</f>
        <v>0</v>
      </c>
      <c r="AI86" s="18">
        <f>raw_data!$AI86*mass_composition!$E86/100</f>
        <v>0</v>
      </c>
      <c r="AJ86" s="18">
        <f>raw_data!$AJ86*mass_composition!$E86/100</f>
        <v>0</v>
      </c>
      <c r="AK86" s="18">
        <f>raw_data!$AK86*mass_composition!$E86/100</f>
        <v>0</v>
      </c>
      <c r="AL86" s="18">
        <f>raw_data!$AL86*mass_composition!$E86/100</f>
        <v>0</v>
      </c>
      <c r="AM86" s="18">
        <f>raw_data!$AM86*mass_composition!$E86/100</f>
        <v>0</v>
      </c>
      <c r="AN86" s="18">
        <f>raw_data!$AN86*mass_composition!$E86/100</f>
        <v>0</v>
      </c>
      <c r="AO86" s="18">
        <f>raw_data!$AO86*mass_composition!$E86/100</f>
        <v>0</v>
      </c>
      <c r="AP86" s="18">
        <f>raw_data!$AP86*mass_composition!$E86/100</f>
        <v>0</v>
      </c>
      <c r="AQ86" s="18">
        <f>raw_data!$AQ86*mass_composition!$E86/100</f>
        <v>0</v>
      </c>
      <c r="AR86" s="18">
        <f>raw_data!$AR86*mass_composition!$E86/100</f>
        <v>0</v>
      </c>
      <c r="AS86" s="18">
        <f>raw_data!$AS86*mass_composition!$E86/100</f>
        <v>0</v>
      </c>
      <c r="AT86" s="18">
        <f>raw_data!$AT86*mass_composition!$E86/100</f>
        <v>0</v>
      </c>
      <c r="AU86" s="18">
        <f>raw_data!$AU86*mass_composition!$E86/100</f>
        <v>0</v>
      </c>
      <c r="AV86" s="18">
        <f>raw_data!$AV86*mass_composition!$E86/100</f>
        <v>0</v>
      </c>
      <c r="AW86" s="18">
        <f>raw_data!$AW86*mass_composition!$E86/100</f>
        <v>0</v>
      </c>
      <c r="AX86" s="18">
        <f>raw_data!$AX86*mass_composition!$E86/100</f>
        <v>0</v>
      </c>
      <c r="AY86" s="18">
        <f>raw_data!$AY86*mass_composition!$E86/100</f>
        <v>0</v>
      </c>
      <c r="AZ86" s="18">
        <f>raw_data!$AZ86*mass_composition!$E86/100</f>
        <v>0</v>
      </c>
      <c r="BA86" s="18">
        <f>raw_data!$BA86*mass_composition!$E86/100</f>
        <v>0</v>
      </c>
      <c r="BB86" s="18">
        <f>raw_data!$BB86*mass_composition!$E86/100</f>
        <v>0</v>
      </c>
      <c r="BC86" s="18">
        <f>raw_data!$BC86*mass_composition!$E86/100</f>
        <v>0</v>
      </c>
      <c r="BD86" s="18">
        <f>raw_data!$BD86*mass_composition!$E86/100</f>
        <v>0</v>
      </c>
      <c r="BE86" s="18">
        <f>raw_data!$BE86*mass_composition!$E86/100</f>
        <v>0</v>
      </c>
      <c r="BF86" s="18">
        <f>raw_data!$BF86*mass_composition!$E86/100</f>
        <v>0</v>
      </c>
      <c r="BG86" s="18">
        <f>raw_data!$BG86*mass_composition!$E86/100</f>
        <v>0</v>
      </c>
      <c r="BH86" s="18">
        <v>0</v>
      </c>
      <c r="BI86" s="18">
        <v>0</v>
      </c>
      <c r="BJ86" s="18">
        <v>0</v>
      </c>
      <c r="BK86" s="18">
        <f>raw_data!$BK86*$E86/100</f>
        <v>0</v>
      </c>
      <c r="BL86" s="18">
        <f>raw_data!$BL86*$E86/100</f>
        <v>0</v>
      </c>
      <c r="BM86" s="18">
        <v>0</v>
      </c>
      <c r="BN86" s="18">
        <f>raw_data!$BN86*$E86/100</f>
        <v>0</v>
      </c>
      <c r="BO86" s="18">
        <f>raw_data!$BO86*$E86/100</f>
        <v>0</v>
      </c>
      <c r="BP86" s="18">
        <f>raw_data!$BP86*$E86/100</f>
        <v>0</v>
      </c>
      <c r="BQ86" s="18">
        <v>0</v>
      </c>
      <c r="BR86" s="18">
        <f>raw_data!$BR86*$E86/100</f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8">
        <v>0</v>
      </c>
      <c r="CB86" s="18">
        <v>0</v>
      </c>
    </row>
    <row r="87" spans="1:80" x14ac:dyDescent="0.35">
      <c r="A87" s="17" t="s">
        <v>113</v>
      </c>
      <c r="B87" s="17" t="s">
        <v>199</v>
      </c>
      <c r="C87" s="17"/>
      <c r="D87" s="18">
        <f>raw_data!$D87*$C87/100</f>
        <v>0</v>
      </c>
      <c r="E87" s="18">
        <f>raw_data!$E87*$C87/100</f>
        <v>0</v>
      </c>
      <c r="F87" s="18">
        <f>raw_data!$F87*$E87/100</f>
        <v>0</v>
      </c>
      <c r="G87" s="18">
        <f>raw_data!$G87*$E87/100</f>
        <v>0</v>
      </c>
      <c r="H87" s="18">
        <v>15.859009791161208</v>
      </c>
      <c r="I87" s="18">
        <v>446.15109026955054</v>
      </c>
      <c r="J87" s="18">
        <f>raw_data!$J87*mass_composition!$E87/100</f>
        <v>0</v>
      </c>
      <c r="K87" s="18">
        <f>raw_data!$K87*mass_composition!$E87/100</f>
        <v>0</v>
      </c>
      <c r="L87" s="18">
        <f>raw_data!$L87*mass_composition!$E87/100</f>
        <v>0</v>
      </c>
      <c r="M87" s="18">
        <f>raw_data!$M87*mass_composition!$E87/100</f>
        <v>0</v>
      </c>
      <c r="N87" s="18">
        <f>raw_data!$N87*mass_composition!$E87/100</f>
        <v>0</v>
      </c>
      <c r="O87" s="18">
        <f>raw_data!$O87*mass_composition!$E87/100</f>
        <v>0</v>
      </c>
      <c r="P87" s="18">
        <f>raw_data!$P87*mass_composition!$E87/100</f>
        <v>0</v>
      </c>
      <c r="Q87" s="18">
        <f>raw_data!$Q87*mass_composition!$E87/100</f>
        <v>0</v>
      </c>
      <c r="R87" s="18">
        <f>raw_data!$R87*mass_composition!$E87/100</f>
        <v>0</v>
      </c>
      <c r="S87" s="18">
        <f>raw_data!$S87*mass_composition!$E87/100</f>
        <v>0</v>
      </c>
      <c r="T87" s="18">
        <f>raw_data!$T87*mass_composition!$E87/100</f>
        <v>0</v>
      </c>
      <c r="U87" s="18">
        <f>raw_data!$U87*mass_composition!$E87/100</f>
        <v>0</v>
      </c>
      <c r="V87" s="18">
        <f>raw_data!$V87*mass_composition!$E87/100</f>
        <v>0</v>
      </c>
      <c r="W87" s="18">
        <f>raw_data!$W87*mass_composition!$E87/100</f>
        <v>0</v>
      </c>
      <c r="X87" s="18">
        <f>raw_data!$X87*mass_composition!$E87/100</f>
        <v>0</v>
      </c>
      <c r="Y87" s="18">
        <f>raw_data!$Y87*mass_composition!$E87/100</f>
        <v>0</v>
      </c>
      <c r="Z87" s="18">
        <f>raw_data!$Z87*mass_composition!$E87/100</f>
        <v>0</v>
      </c>
      <c r="AA87" s="18">
        <f>raw_data!$AA87*mass_composition!$E87/100</f>
        <v>0</v>
      </c>
      <c r="AB87" s="18">
        <f>raw_data!$AB87*mass_composition!$E87/100</f>
        <v>0</v>
      </c>
      <c r="AC87" s="18">
        <f>raw_data!$AC87*mass_composition!$E87/100</f>
        <v>0</v>
      </c>
      <c r="AD87" s="18">
        <f>raw_data!$AD87*mass_composition!$E87/100</f>
        <v>0</v>
      </c>
      <c r="AE87" s="18">
        <f>raw_data!$AE87*mass_composition!$E87/100</f>
        <v>0</v>
      </c>
      <c r="AF87" s="18">
        <f>raw_data!$AF87*mass_composition!$E87/100</f>
        <v>0</v>
      </c>
      <c r="AG87" s="18">
        <f>raw_data!$AG87*mass_composition!$E87/100</f>
        <v>0</v>
      </c>
      <c r="AH87" s="18">
        <f>raw_data!$AH87*mass_composition!$E87/100</f>
        <v>0</v>
      </c>
      <c r="AI87" s="18">
        <f>raw_data!$AI87*mass_composition!$E87/100</f>
        <v>0</v>
      </c>
      <c r="AJ87" s="18">
        <f>raw_data!$AJ87*mass_composition!$E87/100</f>
        <v>0</v>
      </c>
      <c r="AK87" s="18">
        <f>raw_data!$AK87*mass_composition!$E87/100</f>
        <v>0</v>
      </c>
      <c r="AL87" s="18">
        <f>raw_data!$AL87*mass_composition!$E87/100</f>
        <v>0</v>
      </c>
      <c r="AM87" s="18">
        <f>raw_data!$AM87*mass_composition!$E87/100</f>
        <v>0</v>
      </c>
      <c r="AN87" s="18">
        <f>raw_data!$AN87*mass_composition!$E87/100</f>
        <v>0</v>
      </c>
      <c r="AO87" s="18">
        <f>raw_data!$AO87*mass_composition!$E87/100</f>
        <v>0</v>
      </c>
      <c r="AP87" s="18">
        <f>raw_data!$AP87*mass_composition!$E87/100</f>
        <v>0</v>
      </c>
      <c r="AQ87" s="18">
        <f>raw_data!$AQ87*mass_composition!$E87/100</f>
        <v>0</v>
      </c>
      <c r="AR87" s="18">
        <f>raw_data!$AR87*mass_composition!$E87/100</f>
        <v>0</v>
      </c>
      <c r="AS87" s="18">
        <f>raw_data!$AS87*mass_composition!$E87/100</f>
        <v>0</v>
      </c>
      <c r="AT87" s="18">
        <f>raw_data!$AT87*mass_composition!$E87/100</f>
        <v>0</v>
      </c>
      <c r="AU87" s="18">
        <f>raw_data!$AU87*mass_composition!$E87/100</f>
        <v>0</v>
      </c>
      <c r="AV87" s="18">
        <f>raw_data!$AV87*mass_composition!$E87/100</f>
        <v>0</v>
      </c>
      <c r="AW87" s="18">
        <f>raw_data!$AW87*mass_composition!$E87/100</f>
        <v>0</v>
      </c>
      <c r="AX87" s="18">
        <f>raw_data!$AX87*mass_composition!$E87/100</f>
        <v>0</v>
      </c>
      <c r="AY87" s="18">
        <f>raw_data!$AY87*mass_composition!$E87/100</f>
        <v>0</v>
      </c>
      <c r="AZ87" s="18">
        <f>raw_data!$AZ87*mass_composition!$E87/100</f>
        <v>0</v>
      </c>
      <c r="BA87" s="18">
        <f>raw_data!$BA87*mass_composition!$E87/100</f>
        <v>0</v>
      </c>
      <c r="BB87" s="18">
        <f>raw_data!$BB87*mass_composition!$E87/100</f>
        <v>0</v>
      </c>
      <c r="BC87" s="18">
        <f>raw_data!$BC87*mass_composition!$E87/100</f>
        <v>0</v>
      </c>
      <c r="BD87" s="18">
        <f>raw_data!$BD87*mass_composition!$E87/100</f>
        <v>0</v>
      </c>
      <c r="BE87" s="18">
        <f>raw_data!$BE87*mass_composition!$E87/100</f>
        <v>0</v>
      </c>
      <c r="BF87" s="18">
        <f>raw_data!$BF87*mass_composition!$E87/100</f>
        <v>0</v>
      </c>
      <c r="BG87" s="18">
        <f>raw_data!$BG87*mass_composition!$E87/100</f>
        <v>0</v>
      </c>
      <c r="BH87" s="18">
        <v>0</v>
      </c>
      <c r="BI87" s="18">
        <v>2.2367748268237344</v>
      </c>
      <c r="BJ87" s="18">
        <v>1.6559937057435088</v>
      </c>
      <c r="BK87" s="18">
        <f>raw_data!$BK87*$E87/100</f>
        <v>0</v>
      </c>
      <c r="BL87" s="18">
        <f>raw_data!$BL87*$E87/100</f>
        <v>0</v>
      </c>
      <c r="BM87" s="18">
        <v>0</v>
      </c>
      <c r="BN87" s="18">
        <f>raw_data!$BN87*$E87/100</f>
        <v>0</v>
      </c>
      <c r="BO87" s="18">
        <f>raw_data!$BO87*$E87/100</f>
        <v>0</v>
      </c>
      <c r="BP87" s="18">
        <f>raw_data!$BP87*$E87/100</f>
        <v>0</v>
      </c>
      <c r="BQ87" s="18">
        <v>0</v>
      </c>
      <c r="BR87" s="18">
        <f>raw_data!$BR87*$E87/100</f>
        <v>0</v>
      </c>
      <c r="BS87" s="18">
        <v>17.26292306179754</v>
      </c>
      <c r="BT87" s="18">
        <v>1.3383030908117768</v>
      </c>
      <c r="BU87" s="18">
        <v>2.3225179853742093</v>
      </c>
      <c r="BV87" s="18">
        <v>2.3900334044433826</v>
      </c>
      <c r="BW87" s="18">
        <v>0.51173983739837392</v>
      </c>
      <c r="BX87" s="18">
        <v>1.7514546440593142</v>
      </c>
      <c r="BY87" s="18">
        <v>43.123702163334919</v>
      </c>
      <c r="BZ87" s="18">
        <v>16.632714843820477</v>
      </c>
      <c r="CA87" s="18">
        <v>0</v>
      </c>
      <c r="CB87" s="19">
        <v>76.089751709798463</v>
      </c>
    </row>
    <row r="88" spans="1:80" x14ac:dyDescent="0.35">
      <c r="A88" s="17" t="s">
        <v>113</v>
      </c>
      <c r="B88" s="17" t="s">
        <v>200</v>
      </c>
      <c r="C88" s="17">
        <v>6.8627450980391984</v>
      </c>
      <c r="D88" s="18">
        <f>raw_data!$D88*$C88/100</f>
        <v>4.5742609115451067</v>
      </c>
      <c r="E88" s="18">
        <f>raw_data!$E88*$C88/100</f>
        <v>2.288530808403725</v>
      </c>
      <c r="F88" s="18">
        <f>raw_data!$F88*$E88/100</f>
        <v>2.1907633344106232</v>
      </c>
      <c r="G88" s="18">
        <f>raw_data!$G88*$E88/100</f>
        <v>9.7767473993102094E-2</v>
      </c>
      <c r="H88" s="18">
        <v>24.932416940986311</v>
      </c>
      <c r="I88" s="18">
        <v>681.19962145216937</v>
      </c>
      <c r="J88" s="18">
        <f>raw_data!$J88*mass_composition!$E88/100</f>
        <v>1.2867272156706426</v>
      </c>
      <c r="K88" s="18">
        <f>raw_data!$K88*mass_composition!$E88/100</f>
        <v>1.2867272156706426</v>
      </c>
      <c r="L88" s="18">
        <f>raw_data!$L88*mass_composition!$E88/100</f>
        <v>0</v>
      </c>
      <c r="M88" s="18">
        <f>raw_data!$M88*mass_composition!$E88/100</f>
        <v>5.2273233980970472E-4</v>
      </c>
      <c r="N88" s="18">
        <f>raw_data!$N88*mass_composition!$E88/100</f>
        <v>7.0689545707354109E-3</v>
      </c>
      <c r="O88" s="18">
        <f>raw_data!$O88*mass_composition!$E88/100</f>
        <v>0</v>
      </c>
      <c r="P88" s="18">
        <f>raw_data!$P88*mass_composition!$E88/100</f>
        <v>0.18902655824044462</v>
      </c>
      <c r="Q88" s="18">
        <f>raw_data!$Q88*mass_composition!$E88/100</f>
        <v>2.081746101663046E-2</v>
      </c>
      <c r="R88" s="18">
        <f>raw_data!$R88*mass_composition!$E88/100</f>
        <v>0.22080832123898247</v>
      </c>
      <c r="S88" s="18">
        <f>raw_data!$S88*mass_composition!$E88/100</f>
        <v>1.554673531094497E-2</v>
      </c>
      <c r="T88" s="18">
        <f>raw_data!$T88*mass_composition!$E88/100</f>
        <v>0.47923629157061254</v>
      </c>
      <c r="U88" s="18">
        <f>raw_data!$U88*mass_composition!$E88/100</f>
        <v>1.3534861637667407E-2</v>
      </c>
      <c r="V88" s="18">
        <f>raw_data!$V88*mass_composition!$E88/100</f>
        <v>4.7633064477038654E-2</v>
      </c>
      <c r="W88" s="18">
        <f>raw_data!$W88*mass_composition!$E88/100</f>
        <v>0</v>
      </c>
      <c r="X88" s="18">
        <f>raw_data!$X88*mass_composition!$E88/100</f>
        <v>0</v>
      </c>
      <c r="Y88" s="18">
        <f>raw_data!$Y88*mass_composition!$E88/100</f>
        <v>0</v>
      </c>
      <c r="Z88" s="18">
        <f>raw_data!$Z88*mass_composition!$E88/100</f>
        <v>3.8440844797955405E-8</v>
      </c>
      <c r="AA88" s="18">
        <f>raw_data!$AA88*mass_composition!$E88/100</f>
        <v>0</v>
      </c>
      <c r="AB88" s="18">
        <f>raw_data!$AB88*mass_composition!$E88/100</f>
        <v>0</v>
      </c>
      <c r="AC88" s="18">
        <f>raw_data!$AC88*mass_composition!$E88/100</f>
        <v>0</v>
      </c>
      <c r="AD88" s="18">
        <f>raw_data!$AD88*mass_composition!$E88/100</f>
        <v>0</v>
      </c>
      <c r="AE88" s="18">
        <f>raw_data!$AE88*mass_composition!$E88/100</f>
        <v>0</v>
      </c>
      <c r="AF88" s="18">
        <f>raw_data!$AF88*mass_composition!$E88/100</f>
        <v>0</v>
      </c>
      <c r="AG88" s="18">
        <f>raw_data!$AG88*mass_composition!$E88/100</f>
        <v>6.9089390547518857E-8</v>
      </c>
      <c r="AH88" s="18">
        <f>raw_data!$AH88*mass_composition!$E88/100</f>
        <v>1.3753189954349305E-9</v>
      </c>
      <c r="AI88" s="18">
        <f>raw_data!$AI88*mass_composition!$E88/100</f>
        <v>2.7471296067966987E-7</v>
      </c>
      <c r="AJ88" s="18">
        <f>raw_data!$AJ88*mass_composition!$E88/100</f>
        <v>8.4434697913409832E-6</v>
      </c>
      <c r="AK88" s="18">
        <f>raw_data!$AK88*mass_composition!$E88/100</f>
        <v>1.4822225001912183E-4</v>
      </c>
      <c r="AL88" s="18">
        <f>raw_data!$AL88*mass_composition!$E88/100</f>
        <v>0</v>
      </c>
      <c r="AM88" s="18">
        <f>raw_data!$AM88*mass_composition!$E88/100</f>
        <v>5.4543577222410043E-9</v>
      </c>
      <c r="AN88" s="18">
        <f>raw_data!$AN88*mass_composition!$E88/100</f>
        <v>0</v>
      </c>
      <c r="AO88" s="18">
        <f>raw_data!$AO88*mass_composition!$E88/100</f>
        <v>0</v>
      </c>
      <c r="AP88" s="18">
        <f>raw_data!$AP88*mass_composition!$E88/100</f>
        <v>1.3021188274871178E-3</v>
      </c>
      <c r="AQ88" s="18">
        <f>raw_data!$AQ88*mass_composition!$E88/100</f>
        <v>1.2940208276717821E-6</v>
      </c>
      <c r="AR88" s="18">
        <f>raw_data!$AR88*mass_composition!$E88/100</f>
        <v>1.8273565002127617E-7</v>
      </c>
      <c r="AS88" s="18">
        <f>raw_data!$AS88*mass_composition!$E88/100</f>
        <v>1.2387546801217135E-7</v>
      </c>
      <c r="AT88" s="18">
        <f>raw_data!$AT88*mass_composition!$E88/100</f>
        <v>1.426233165532351E-7</v>
      </c>
      <c r="AU88" s="18">
        <f>raw_data!$AU88*mass_composition!$E88/100</f>
        <v>0</v>
      </c>
      <c r="AV88" s="18">
        <f>raw_data!$AV88*mass_composition!$E88/100</f>
        <v>0</v>
      </c>
      <c r="AW88" s="18">
        <f>raw_data!$AW88*mass_composition!$E88/100</f>
        <v>0</v>
      </c>
      <c r="AX88" s="18">
        <f>raw_data!$AX88*mass_composition!$E88/100</f>
        <v>5.8574429837431532E-7</v>
      </c>
      <c r="AY88" s="18">
        <f>raw_data!$AY88*mass_composition!$E88/100</f>
        <v>0</v>
      </c>
      <c r="AZ88" s="18">
        <f>raw_data!$AZ88*mass_composition!$E88/100</f>
        <v>0</v>
      </c>
      <c r="BA88" s="18">
        <f>raw_data!$BA88*mass_composition!$E88/100</f>
        <v>0</v>
      </c>
      <c r="BB88" s="18">
        <f>raw_data!$BB88*mass_composition!$E88/100</f>
        <v>0</v>
      </c>
      <c r="BC88" s="18">
        <f>raw_data!$BC88*mass_composition!$E88/100</f>
        <v>0</v>
      </c>
      <c r="BD88" s="18">
        <f>raw_data!$BD88*mass_composition!$E88/100</f>
        <v>0</v>
      </c>
      <c r="BE88" s="18">
        <f>raw_data!$BE88*mass_composition!$E88/100</f>
        <v>2.3642754103868197E-4</v>
      </c>
      <c r="BF88" s="18">
        <f>raw_data!$BF88*mass_composition!$E88/100</f>
        <v>0</v>
      </c>
      <c r="BG88" s="18">
        <f>raw_data!$BG88*mass_composition!$E88/100</f>
        <v>0</v>
      </c>
      <c r="BH88" s="18">
        <v>0</v>
      </c>
      <c r="BI88" s="18">
        <v>0</v>
      </c>
      <c r="BJ88" s="18">
        <v>0.29895038131089169</v>
      </c>
      <c r="BK88" s="18">
        <f>raw_data!$BK88*$E88/100</f>
        <v>0</v>
      </c>
      <c r="BL88" s="18">
        <f>raw_data!$BL88*$E88/100</f>
        <v>0</v>
      </c>
      <c r="BM88" s="18">
        <v>0</v>
      </c>
      <c r="BN88" s="18">
        <f>raw_data!$BN88*$E88/100</f>
        <v>0</v>
      </c>
      <c r="BO88" s="18">
        <f>raw_data!$BO88*$E88/100</f>
        <v>1.3414318823300775</v>
      </c>
      <c r="BP88" s="18">
        <f>raw_data!$BP88*$E88/100</f>
        <v>0.79803277189414956</v>
      </c>
      <c r="BQ88" s="18">
        <v>0</v>
      </c>
      <c r="BR88" s="18">
        <f>raw_data!$BR88*$E88/100</f>
        <v>5.0296442770684735E-2</v>
      </c>
      <c r="BS88" s="18">
        <v>25.595529398772406</v>
      </c>
      <c r="BT88" s="18">
        <v>2.1623978575385907</v>
      </c>
      <c r="BU88" s="18">
        <v>0</v>
      </c>
      <c r="BV88" s="18">
        <v>0</v>
      </c>
      <c r="BW88" s="18">
        <v>0</v>
      </c>
      <c r="BX88" s="18">
        <v>0</v>
      </c>
      <c r="BY88" s="18">
        <v>0</v>
      </c>
      <c r="BZ88" s="18">
        <v>23.233841935878026</v>
      </c>
      <c r="CA88" s="18">
        <v>0</v>
      </c>
      <c r="CB88" s="19">
        <v>1.942604768308325</v>
      </c>
    </row>
    <row r="89" spans="1:80" x14ac:dyDescent="0.35">
      <c r="A89" s="17" t="s">
        <v>113</v>
      </c>
      <c r="B89" s="17" t="s">
        <v>201</v>
      </c>
      <c r="C89" s="17"/>
      <c r="D89" s="18">
        <f>raw_data!$D89*$C89/100</f>
        <v>0</v>
      </c>
      <c r="E89" s="18">
        <f>raw_data!$E89*$C89/100</f>
        <v>0</v>
      </c>
      <c r="F89" s="18">
        <f>raw_data!$F89*$E89/100</f>
        <v>0</v>
      </c>
      <c r="G89" s="18">
        <f>raw_data!$G89*$E89/100</f>
        <v>0</v>
      </c>
      <c r="H89" s="18">
        <v>22.708447352571454</v>
      </c>
      <c r="I89" s="18">
        <v>619.01875777778559</v>
      </c>
      <c r="J89" s="18">
        <f>raw_data!$J89*mass_composition!$E89/100</f>
        <v>0</v>
      </c>
      <c r="K89" s="18">
        <f>raw_data!$K89*mass_composition!$E89/100</f>
        <v>0</v>
      </c>
      <c r="L89" s="18">
        <f>raw_data!$L89*mass_composition!$E89/100</f>
        <v>0</v>
      </c>
      <c r="M89" s="18">
        <f>raw_data!$M89*mass_composition!$E89/100</f>
        <v>0</v>
      </c>
      <c r="N89" s="18">
        <f>raw_data!$N89*mass_composition!$E89/100</f>
        <v>0</v>
      </c>
      <c r="O89" s="18">
        <f>raw_data!$O89*mass_composition!$E89/100</f>
        <v>0</v>
      </c>
      <c r="P89" s="18">
        <f>raw_data!$P89*mass_composition!$E89/100</f>
        <v>0</v>
      </c>
      <c r="Q89" s="18">
        <f>raw_data!$Q89*mass_composition!$E89/100</f>
        <v>0</v>
      </c>
      <c r="R89" s="18">
        <f>raw_data!$R89*mass_composition!$E89/100</f>
        <v>0</v>
      </c>
      <c r="S89" s="18">
        <f>raw_data!$S89*mass_composition!$E89/100</f>
        <v>0</v>
      </c>
      <c r="T89" s="18">
        <f>raw_data!$T89*mass_composition!$E89/100</f>
        <v>0</v>
      </c>
      <c r="U89" s="18">
        <f>raw_data!$U89*mass_composition!$E89/100</f>
        <v>0</v>
      </c>
      <c r="V89" s="18">
        <f>raw_data!$V89*mass_composition!$E89/100</f>
        <v>0</v>
      </c>
      <c r="W89" s="18">
        <f>raw_data!$W89*mass_composition!$E89/100</f>
        <v>0</v>
      </c>
      <c r="X89" s="18">
        <f>raw_data!$X89*mass_composition!$E89/100</f>
        <v>0</v>
      </c>
      <c r="Y89" s="18">
        <f>raw_data!$Y89*mass_composition!$E89/100</f>
        <v>0</v>
      </c>
      <c r="Z89" s="18">
        <f>raw_data!$Z89*mass_composition!$E89/100</f>
        <v>0</v>
      </c>
      <c r="AA89" s="18">
        <f>raw_data!$AA89*mass_composition!$E89/100</f>
        <v>0</v>
      </c>
      <c r="AB89" s="18">
        <f>raw_data!$AB89*mass_composition!$E89/100</f>
        <v>0</v>
      </c>
      <c r="AC89" s="18">
        <f>raw_data!$AC89*mass_composition!$E89/100</f>
        <v>0</v>
      </c>
      <c r="AD89" s="18">
        <f>raw_data!$AD89*mass_composition!$E89/100</f>
        <v>0</v>
      </c>
      <c r="AE89" s="18">
        <f>raw_data!$AE89*mass_composition!$E89/100</f>
        <v>0</v>
      </c>
      <c r="AF89" s="18">
        <f>raw_data!$AF89*mass_composition!$E89/100</f>
        <v>0</v>
      </c>
      <c r="AG89" s="18">
        <f>raw_data!$AG89*mass_composition!$E89/100</f>
        <v>0</v>
      </c>
      <c r="AH89" s="18">
        <f>raw_data!$AH89*mass_composition!$E89/100</f>
        <v>0</v>
      </c>
      <c r="AI89" s="18">
        <f>raw_data!$AI89*mass_composition!$E89/100</f>
        <v>0</v>
      </c>
      <c r="AJ89" s="18">
        <f>raw_data!$AJ89*mass_composition!$E89/100</f>
        <v>0</v>
      </c>
      <c r="AK89" s="18">
        <f>raw_data!$AK89*mass_composition!$E89/100</f>
        <v>0</v>
      </c>
      <c r="AL89" s="18">
        <f>raw_data!$AL89*mass_composition!$E89/100</f>
        <v>0</v>
      </c>
      <c r="AM89" s="18">
        <f>raw_data!$AM89*mass_composition!$E89/100</f>
        <v>0</v>
      </c>
      <c r="AN89" s="18">
        <f>raw_data!$AN89*mass_composition!$E89/100</f>
        <v>0</v>
      </c>
      <c r="AO89" s="18">
        <f>raw_data!$AO89*mass_composition!$E89/100</f>
        <v>0</v>
      </c>
      <c r="AP89" s="18">
        <f>raw_data!$AP89*mass_composition!$E89/100</f>
        <v>0</v>
      </c>
      <c r="AQ89" s="18">
        <f>raw_data!$AQ89*mass_composition!$E89/100</f>
        <v>0</v>
      </c>
      <c r="AR89" s="18">
        <f>raw_data!$AR89*mass_composition!$E89/100</f>
        <v>0</v>
      </c>
      <c r="AS89" s="18">
        <f>raw_data!$AS89*mass_composition!$E89/100</f>
        <v>0</v>
      </c>
      <c r="AT89" s="18">
        <f>raw_data!$AT89*mass_composition!$E89/100</f>
        <v>0</v>
      </c>
      <c r="AU89" s="18">
        <f>raw_data!$AU89*mass_composition!$E89/100</f>
        <v>0</v>
      </c>
      <c r="AV89" s="18">
        <f>raw_data!$AV89*mass_composition!$E89/100</f>
        <v>0</v>
      </c>
      <c r="AW89" s="18">
        <f>raw_data!$AW89*mass_composition!$E89/100</f>
        <v>0</v>
      </c>
      <c r="AX89" s="18">
        <f>raw_data!$AX89*mass_composition!$E89/100</f>
        <v>0</v>
      </c>
      <c r="AY89" s="18">
        <f>raw_data!$AY89*mass_composition!$E89/100</f>
        <v>0</v>
      </c>
      <c r="AZ89" s="18">
        <f>raw_data!$AZ89*mass_composition!$E89/100</f>
        <v>0</v>
      </c>
      <c r="BA89" s="18">
        <f>raw_data!$BA89*mass_composition!$E89/100</f>
        <v>0</v>
      </c>
      <c r="BB89" s="18">
        <f>raw_data!$BB89*mass_composition!$E89/100</f>
        <v>0</v>
      </c>
      <c r="BC89" s="18">
        <f>raw_data!$BC89*mass_composition!$E89/100</f>
        <v>0</v>
      </c>
      <c r="BD89" s="18">
        <f>raw_data!$BD89*mass_composition!$E89/100</f>
        <v>0</v>
      </c>
      <c r="BE89" s="18">
        <f>raw_data!$BE89*mass_composition!$E89/100</f>
        <v>0</v>
      </c>
      <c r="BF89" s="18">
        <f>raw_data!$BF89*mass_composition!$E89/100</f>
        <v>0</v>
      </c>
      <c r="BG89" s="18">
        <f>raw_data!$BG89*mass_composition!$E89/100</f>
        <v>0</v>
      </c>
      <c r="BH89" s="18">
        <v>0</v>
      </c>
      <c r="BI89" s="18">
        <v>0</v>
      </c>
      <c r="BJ89" s="18">
        <v>8.80515683147262E-2</v>
      </c>
      <c r="BK89" s="18">
        <f>raw_data!$BK89*$E89/100</f>
        <v>0</v>
      </c>
      <c r="BL89" s="18">
        <f>raw_data!$BL89*$E89/100</f>
        <v>0</v>
      </c>
      <c r="BM89" s="18">
        <v>0</v>
      </c>
      <c r="BN89" s="18">
        <f>raw_data!$BN89*$E89/100</f>
        <v>0</v>
      </c>
      <c r="BO89" s="18">
        <f>raw_data!$BO89*$E89/100</f>
        <v>0</v>
      </c>
      <c r="BP89" s="18">
        <f>raw_data!$BP89*$E89/100</f>
        <v>0</v>
      </c>
      <c r="BQ89" s="18">
        <v>0</v>
      </c>
      <c r="BR89" s="18">
        <f>raw_data!$BR89*$E89/100</f>
        <v>0</v>
      </c>
      <c r="BS89" s="18">
        <v>24.360789092021605</v>
      </c>
      <c r="BT89" s="18">
        <v>2.0402820412009368</v>
      </c>
      <c r="BU89" s="18">
        <v>0</v>
      </c>
      <c r="BV89" s="18">
        <v>0</v>
      </c>
      <c r="BW89" s="18">
        <v>0</v>
      </c>
      <c r="BX89" s="18">
        <v>0</v>
      </c>
      <c r="BY89" s="18">
        <v>0</v>
      </c>
      <c r="BZ89" s="18">
        <v>20.883447893365894</v>
      </c>
      <c r="CA89" s="18">
        <v>0</v>
      </c>
      <c r="CB89" s="19">
        <v>2.7277067805594686</v>
      </c>
    </row>
    <row r="90" spans="1:80" x14ac:dyDescent="0.35">
      <c r="A90" s="17" t="s">
        <v>113</v>
      </c>
      <c r="B90" s="17" t="s">
        <v>202</v>
      </c>
      <c r="C90" s="17"/>
      <c r="D90" s="18">
        <f>raw_data!$D90*$C90/100</f>
        <v>0</v>
      </c>
      <c r="E90" s="18">
        <f>raw_data!$E90*$C90/100</f>
        <v>0</v>
      </c>
      <c r="F90" s="18">
        <f>raw_data!$F90*$E90/100</f>
        <v>0</v>
      </c>
      <c r="G90" s="18">
        <f>raw_data!$G90*$E90/100</f>
        <v>0</v>
      </c>
      <c r="H90" s="18">
        <v>16.725718261439166</v>
      </c>
      <c r="I90" s="18">
        <v>455.23846524921248</v>
      </c>
      <c r="J90" s="18">
        <f>raw_data!$J90*mass_composition!$E90/100</f>
        <v>0</v>
      </c>
      <c r="K90" s="18">
        <f>raw_data!$K90*mass_composition!$E90/100</f>
        <v>0</v>
      </c>
      <c r="L90" s="18">
        <f>raw_data!$L90*mass_composition!$E90/100</f>
        <v>0</v>
      </c>
      <c r="M90" s="18">
        <f>raw_data!$M90*mass_composition!$E90/100</f>
        <v>0</v>
      </c>
      <c r="N90" s="18">
        <f>raw_data!$N90*mass_composition!$E90/100</f>
        <v>0</v>
      </c>
      <c r="O90" s="18">
        <f>raw_data!$O90*mass_composition!$E90/100</f>
        <v>0</v>
      </c>
      <c r="P90" s="18">
        <f>raw_data!$P90*mass_composition!$E90/100</f>
        <v>0</v>
      </c>
      <c r="Q90" s="18">
        <f>raw_data!$Q90*mass_composition!$E90/100</f>
        <v>0</v>
      </c>
      <c r="R90" s="18">
        <f>raw_data!$R90*mass_composition!$E90/100</f>
        <v>0</v>
      </c>
      <c r="S90" s="18">
        <f>raw_data!$S90*mass_composition!$E90/100</f>
        <v>0</v>
      </c>
      <c r="T90" s="18">
        <f>raw_data!$T90*mass_composition!$E90/100</f>
        <v>0</v>
      </c>
      <c r="U90" s="18">
        <f>raw_data!$U90*mass_composition!$E90/100</f>
        <v>0</v>
      </c>
      <c r="V90" s="18">
        <f>raw_data!$V90*mass_composition!$E90/100</f>
        <v>0</v>
      </c>
      <c r="W90" s="18">
        <f>raw_data!$W90*mass_composition!$E90/100</f>
        <v>0</v>
      </c>
      <c r="X90" s="18">
        <f>raw_data!$X90*mass_composition!$E90/100</f>
        <v>0</v>
      </c>
      <c r="Y90" s="18">
        <f>raw_data!$Y90*mass_composition!$E90/100</f>
        <v>0</v>
      </c>
      <c r="Z90" s="18">
        <f>raw_data!$Z90*mass_composition!$E90/100</f>
        <v>0</v>
      </c>
      <c r="AA90" s="18">
        <f>raw_data!$AA90*mass_composition!$E90/100</f>
        <v>0</v>
      </c>
      <c r="AB90" s="18">
        <f>raw_data!$AB90*mass_composition!$E90/100</f>
        <v>0</v>
      </c>
      <c r="AC90" s="18">
        <f>raw_data!$AC90*mass_composition!$E90/100</f>
        <v>0</v>
      </c>
      <c r="AD90" s="18">
        <f>raw_data!$AD90*mass_composition!$E90/100</f>
        <v>0</v>
      </c>
      <c r="AE90" s="18">
        <f>raw_data!$AE90*mass_composition!$E90/100</f>
        <v>0</v>
      </c>
      <c r="AF90" s="18">
        <f>raw_data!$AF90*mass_composition!$E90/100</f>
        <v>0</v>
      </c>
      <c r="AG90" s="18">
        <f>raw_data!$AG90*mass_composition!$E90/100</f>
        <v>0</v>
      </c>
      <c r="AH90" s="18">
        <f>raw_data!$AH90*mass_composition!$E90/100</f>
        <v>0</v>
      </c>
      <c r="AI90" s="18">
        <f>raw_data!$AI90*mass_composition!$E90/100</f>
        <v>0</v>
      </c>
      <c r="AJ90" s="18">
        <f>raw_data!$AJ90*mass_composition!$E90/100</f>
        <v>0</v>
      </c>
      <c r="AK90" s="18">
        <f>raw_data!$AK90*mass_composition!$E90/100</f>
        <v>0</v>
      </c>
      <c r="AL90" s="18">
        <f>raw_data!$AL90*mass_composition!$E90/100</f>
        <v>0</v>
      </c>
      <c r="AM90" s="18">
        <f>raw_data!$AM90*mass_composition!$E90/100</f>
        <v>0</v>
      </c>
      <c r="AN90" s="18">
        <f>raw_data!$AN90*mass_composition!$E90/100</f>
        <v>0</v>
      </c>
      <c r="AO90" s="18">
        <f>raw_data!$AO90*mass_composition!$E90/100</f>
        <v>0</v>
      </c>
      <c r="AP90" s="18">
        <f>raw_data!$AP90*mass_composition!$E90/100</f>
        <v>0</v>
      </c>
      <c r="AQ90" s="18">
        <f>raw_data!$AQ90*mass_composition!$E90/100</f>
        <v>0</v>
      </c>
      <c r="AR90" s="18">
        <f>raw_data!$AR90*mass_composition!$E90/100</f>
        <v>0</v>
      </c>
      <c r="AS90" s="18">
        <f>raw_data!$AS90*mass_composition!$E90/100</f>
        <v>0</v>
      </c>
      <c r="AT90" s="18">
        <f>raw_data!$AT90*mass_composition!$E90/100</f>
        <v>0</v>
      </c>
      <c r="AU90" s="18">
        <f>raw_data!$AU90*mass_composition!$E90/100</f>
        <v>0</v>
      </c>
      <c r="AV90" s="18">
        <f>raw_data!$AV90*mass_composition!$E90/100</f>
        <v>0</v>
      </c>
      <c r="AW90" s="18">
        <f>raw_data!$AW90*mass_composition!$E90/100</f>
        <v>0</v>
      </c>
      <c r="AX90" s="18">
        <f>raw_data!$AX90*mass_composition!$E90/100</f>
        <v>0</v>
      </c>
      <c r="AY90" s="18">
        <f>raw_data!$AY90*mass_composition!$E90/100</f>
        <v>0</v>
      </c>
      <c r="AZ90" s="18">
        <f>raw_data!$AZ90*mass_composition!$E90/100</f>
        <v>0</v>
      </c>
      <c r="BA90" s="18">
        <f>raw_data!$BA90*mass_composition!$E90/100</f>
        <v>0</v>
      </c>
      <c r="BB90" s="18">
        <f>raw_data!$BB90*mass_composition!$E90/100</f>
        <v>0</v>
      </c>
      <c r="BC90" s="18">
        <f>raw_data!$BC90*mass_composition!$E90/100</f>
        <v>0</v>
      </c>
      <c r="BD90" s="18">
        <f>raw_data!$BD90*mass_composition!$E90/100</f>
        <v>0</v>
      </c>
      <c r="BE90" s="18">
        <f>raw_data!$BE90*mass_composition!$E90/100</f>
        <v>0</v>
      </c>
      <c r="BF90" s="18">
        <f>raw_data!$BF90*mass_composition!$E90/100</f>
        <v>0</v>
      </c>
      <c r="BG90" s="18">
        <f>raw_data!$BG90*mass_composition!$E90/100</f>
        <v>0</v>
      </c>
      <c r="BH90" s="18">
        <v>0</v>
      </c>
      <c r="BI90" s="18">
        <v>0.9279427658495818</v>
      </c>
      <c r="BJ90" s="18">
        <v>38.667919688180987</v>
      </c>
      <c r="BK90" s="18">
        <f>raw_data!$BK90*$E90/100</f>
        <v>0</v>
      </c>
      <c r="BL90" s="18">
        <f>raw_data!$BL90*$E90/100</f>
        <v>0</v>
      </c>
      <c r="BM90" s="18">
        <v>0</v>
      </c>
      <c r="BN90" s="18">
        <f>raw_data!$BN90*$E90/100</f>
        <v>0</v>
      </c>
      <c r="BO90" s="18">
        <f>raw_data!$BO90*$E90/100</f>
        <v>0</v>
      </c>
      <c r="BP90" s="18">
        <f>raw_data!$BP90*$E90/100</f>
        <v>0</v>
      </c>
      <c r="BQ90" s="18">
        <v>0</v>
      </c>
      <c r="BR90" s="18">
        <f>raw_data!$BR90*$E90/100</f>
        <v>0</v>
      </c>
      <c r="BS90" s="18">
        <v>17.967090086102974</v>
      </c>
      <c r="BT90" s="18">
        <v>1.4079392836453175</v>
      </c>
      <c r="BU90" s="18">
        <v>0.11576013952745297</v>
      </c>
      <c r="BV90" s="18">
        <v>0.14383705822171938</v>
      </c>
      <c r="BW90" s="18">
        <v>0</v>
      </c>
      <c r="BX90" s="18">
        <v>0.35418316311424114</v>
      </c>
      <c r="BY90" s="18">
        <v>1.5411645507094203</v>
      </c>
      <c r="BZ90" s="18">
        <v>16.619467481197741</v>
      </c>
      <c r="CA90" s="18">
        <v>0</v>
      </c>
      <c r="CB90" s="19">
        <v>39.783353915958543</v>
      </c>
    </row>
    <row r="91" spans="1:80" x14ac:dyDescent="0.35">
      <c r="A91" s="17" t="s">
        <v>113</v>
      </c>
      <c r="B91" s="17" t="s">
        <v>203</v>
      </c>
      <c r="C91" s="17">
        <v>34.759358288770002</v>
      </c>
      <c r="D91" s="18">
        <f>raw_data!$D91*$C91/100</f>
        <v>29.920333088672145</v>
      </c>
      <c r="E91" s="18">
        <f>raw_data!$E91*$C91/100</f>
        <v>4.8392523854461507</v>
      </c>
      <c r="F91" s="18">
        <f>raw_data!$F91*$E91/100</f>
        <v>4.4882785928759077</v>
      </c>
      <c r="G91" s="18">
        <f>raw_data!$G91*$E91/100</f>
        <v>0.3509737925702433</v>
      </c>
      <c r="H91" s="18">
        <v>15.980390555797626</v>
      </c>
      <c r="I91" s="18">
        <v>460.21398068707117</v>
      </c>
      <c r="J91" s="18">
        <f>raw_data!$J91*mass_composition!$E91/100</f>
        <v>2.0172806999354496</v>
      </c>
      <c r="K91" s="18">
        <f>raw_data!$K91*mass_composition!$E91/100</f>
        <v>1.9980563386897479</v>
      </c>
      <c r="L91" s="18">
        <f>raw_data!$L91*mass_composition!$E91/100</f>
        <v>0</v>
      </c>
      <c r="M91" s="18">
        <f>raw_data!$M91*mass_composition!$E91/100</f>
        <v>1.4357116368625793E-2</v>
      </c>
      <c r="N91" s="18">
        <f>raw_data!$N91*mass_composition!$E91/100</f>
        <v>0</v>
      </c>
      <c r="O91" s="18">
        <f>raw_data!$O91*mass_composition!$E91/100</f>
        <v>0</v>
      </c>
      <c r="P91" s="18">
        <f>raw_data!$P91*mass_composition!$E91/100</f>
        <v>0.30831684169187823</v>
      </c>
      <c r="Q91" s="18">
        <f>raw_data!$Q91*mass_composition!$E91/100</f>
        <v>0.12209398963193988</v>
      </c>
      <c r="R91" s="18">
        <f>raw_data!$R91*mass_composition!$E91/100</f>
        <v>0.11281714289130457</v>
      </c>
      <c r="S91" s="18">
        <f>raw_data!$S91*mass_composition!$E91/100</f>
        <v>8.5079985764341046E-3</v>
      </c>
      <c r="T91" s="18">
        <f>raw_data!$T91*mass_composition!$E91/100</f>
        <v>2.0393765511112671</v>
      </c>
      <c r="U91" s="18">
        <f>raw_data!$U91*mass_composition!$E91/100</f>
        <v>1.8111634845683063E-2</v>
      </c>
      <c r="V91" s="18">
        <f>raw_data!$V91*mass_composition!$E91/100</f>
        <v>2.4911098836739819E-2</v>
      </c>
      <c r="W91" s="18">
        <f>raw_data!$W91*mass_composition!$E91/100</f>
        <v>0</v>
      </c>
      <c r="X91" s="18">
        <f>raw_data!$X91*mass_composition!$E91/100</f>
        <v>0</v>
      </c>
      <c r="Y91" s="18">
        <f>raw_data!$Y91*mass_composition!$E91/100</f>
        <v>0</v>
      </c>
      <c r="Z91" s="18">
        <f>raw_data!$Z91*mass_composition!$E91/100</f>
        <v>2.2939015383335161E-7</v>
      </c>
      <c r="AA91" s="18">
        <f>raw_data!$AA91*mass_composition!$E91/100</f>
        <v>0</v>
      </c>
      <c r="AB91" s="18">
        <f>raw_data!$AB91*mass_composition!$E91/100</f>
        <v>0</v>
      </c>
      <c r="AC91" s="18">
        <f>raw_data!$AC91*mass_composition!$E91/100</f>
        <v>0</v>
      </c>
      <c r="AD91" s="18">
        <f>raw_data!$AD91*mass_composition!$E91/100</f>
        <v>0</v>
      </c>
      <c r="AE91" s="18">
        <f>raw_data!$AE91*mass_composition!$E91/100</f>
        <v>0</v>
      </c>
      <c r="AF91" s="18">
        <f>raw_data!$AF91*mass_composition!$E91/100</f>
        <v>0</v>
      </c>
      <c r="AG91" s="18">
        <f>raw_data!$AG91*mass_composition!$E91/100</f>
        <v>4.4863239906499573E-7</v>
      </c>
      <c r="AH91" s="18">
        <f>raw_data!$AH91*mass_composition!$E91/100</f>
        <v>2.9286204220807013E-9</v>
      </c>
      <c r="AI91" s="18">
        <f>raw_data!$AI91*mass_composition!$E91/100</f>
        <v>5.7225579104000139E-7</v>
      </c>
      <c r="AJ91" s="18">
        <f>raw_data!$AJ91*mass_composition!$E91/100</f>
        <v>3.6144467324717896E-5</v>
      </c>
      <c r="AK91" s="18">
        <f>raw_data!$AK91*mass_composition!$E91/100</f>
        <v>2.658230757785785E-4</v>
      </c>
      <c r="AL91" s="18">
        <f>raw_data!$AL91*mass_composition!$E91/100</f>
        <v>0</v>
      </c>
      <c r="AM91" s="18">
        <f>raw_data!$AM91*mass_composition!$E91/100</f>
        <v>8.3785687151699997E-8</v>
      </c>
      <c r="AN91" s="18">
        <f>raw_data!$AN91*mass_composition!$E91/100</f>
        <v>0</v>
      </c>
      <c r="AO91" s="18">
        <f>raw_data!$AO91*mass_composition!$E91/100</f>
        <v>0</v>
      </c>
      <c r="AP91" s="18">
        <f>raw_data!$AP91*mass_composition!$E91/100</f>
        <v>6.3444458730670429E-3</v>
      </c>
      <c r="AQ91" s="18">
        <f>raw_data!$AQ91*mass_composition!$E91/100</f>
        <v>1.1003586129454834E-4</v>
      </c>
      <c r="AR91" s="18">
        <f>raw_data!$AR91*mass_composition!$E91/100</f>
        <v>1.0255245957628926E-6</v>
      </c>
      <c r="AS91" s="18">
        <f>raw_data!$AS91*mass_composition!$E91/100</f>
        <v>3.007541137475399E-6</v>
      </c>
      <c r="AT91" s="18">
        <f>raw_data!$AT91*mass_composition!$E91/100</f>
        <v>6.0239502663159171E-7</v>
      </c>
      <c r="AU91" s="18">
        <f>raw_data!$AU91*mass_composition!$E91/100</f>
        <v>0</v>
      </c>
      <c r="AV91" s="18">
        <f>raw_data!$AV91*mass_composition!$E91/100</f>
        <v>0</v>
      </c>
      <c r="AW91" s="18">
        <f>raw_data!$AW91*mass_composition!$E91/100</f>
        <v>0</v>
      </c>
      <c r="AX91" s="18">
        <f>raw_data!$AX91*mass_composition!$E91/100</f>
        <v>1.630500491045143E-7</v>
      </c>
      <c r="AY91" s="18">
        <f>raw_data!$AY91*mass_composition!$E91/100</f>
        <v>0</v>
      </c>
      <c r="AZ91" s="18">
        <f>raw_data!$AZ91*mass_composition!$E91/100</f>
        <v>5.6932381005248827E-7</v>
      </c>
      <c r="BA91" s="18">
        <f>raw_data!$BA91*mass_composition!$E91/100</f>
        <v>0</v>
      </c>
      <c r="BB91" s="18">
        <f>raw_data!$BB91*mass_composition!$E91/100</f>
        <v>0</v>
      </c>
      <c r="BC91" s="18">
        <f>raw_data!$BC91*mass_composition!$E91/100</f>
        <v>0</v>
      </c>
      <c r="BD91" s="18">
        <f>raw_data!$BD91*mass_composition!$E91/100</f>
        <v>0</v>
      </c>
      <c r="BE91" s="18">
        <f>raw_data!$BE91*mass_composition!$E91/100</f>
        <v>1.2692149628991186E-4</v>
      </c>
      <c r="BF91" s="18">
        <f>raw_data!$BF91*mass_composition!$E91/100</f>
        <v>0</v>
      </c>
      <c r="BG91" s="18">
        <f>raw_data!$BG91*mass_composition!$E91/100</f>
        <v>0</v>
      </c>
      <c r="BH91" s="18">
        <v>0</v>
      </c>
      <c r="BI91" s="18">
        <v>7.5485426365839965</v>
      </c>
      <c r="BJ91" s="18">
        <v>2.568408368966256</v>
      </c>
      <c r="BK91" s="18">
        <f>raw_data!$BK91*$E91/100</f>
        <v>0.15452820672061932</v>
      </c>
      <c r="BL91" s="18">
        <f>raw_data!$BL91*$E91/100</f>
        <v>0</v>
      </c>
      <c r="BM91" s="18">
        <v>0</v>
      </c>
      <c r="BN91" s="18">
        <f>raw_data!$BN91*$E91/100</f>
        <v>2.7450185386853333E-2</v>
      </c>
      <c r="BO91" s="18">
        <f>raw_data!$BO91*$E91/100</f>
        <v>0.7015408848949205</v>
      </c>
      <c r="BP91" s="18">
        <f>raw_data!$BP91*$E91/100</f>
        <v>0.26208516887110439</v>
      </c>
      <c r="BQ91" s="18">
        <v>0</v>
      </c>
      <c r="BR91" s="18">
        <f>raw_data!$BR91*$E91/100</f>
        <v>3.5184236925984731</v>
      </c>
      <c r="BS91" s="18">
        <v>17.324633005964138</v>
      </c>
      <c r="BT91" s="18">
        <v>1.3439141234078</v>
      </c>
      <c r="BU91" s="18">
        <v>10.652116650668445</v>
      </c>
      <c r="BV91" s="18">
        <v>9.5670009788807455</v>
      </c>
      <c r="BW91" s="18">
        <v>0</v>
      </c>
      <c r="BX91" s="18">
        <v>0</v>
      </c>
      <c r="BY91" s="18">
        <v>30.656864770789191</v>
      </c>
      <c r="BZ91" s="18">
        <v>15.06099429914712</v>
      </c>
      <c r="CA91" s="18">
        <v>0</v>
      </c>
      <c r="CB91" s="19">
        <v>38.738116399253443</v>
      </c>
    </row>
    <row r="92" spans="1:80" x14ac:dyDescent="0.35">
      <c r="A92" s="17" t="s">
        <v>113</v>
      </c>
      <c r="B92" s="17" t="s">
        <v>204</v>
      </c>
      <c r="C92" s="17">
        <v>2.5846702317291061</v>
      </c>
      <c r="D92" s="18">
        <f>raw_data!$D92*$C92/100</f>
        <v>1.8533049394836534</v>
      </c>
      <c r="E92" s="18">
        <f>raw_data!$E92*$C92/100</f>
        <v>0.73149532419885877</v>
      </c>
      <c r="F92" s="18">
        <f>raw_data!$F92*$E92/100</f>
        <v>0.6710217462006699</v>
      </c>
      <c r="G92" s="18">
        <f>raw_data!$G92*$E92/100</f>
        <v>6.0473577998189018E-2</v>
      </c>
      <c r="H92" s="18">
        <v>20.597810190297579</v>
      </c>
      <c r="I92" s="18">
        <v>583.02368378628921</v>
      </c>
      <c r="J92" s="18">
        <f>raw_data!$J92*mass_composition!$E92/100</f>
        <v>0.35384390646245206</v>
      </c>
      <c r="K92" s="18">
        <f>raw_data!$K92*mass_composition!$E92/100</f>
        <v>0.35384390646245206</v>
      </c>
      <c r="L92" s="18">
        <f>raw_data!$L92*mass_composition!$E92/100</f>
        <v>0</v>
      </c>
      <c r="M92" s="18">
        <f>raw_data!$M92*mass_composition!$E92/100</f>
        <v>1.6110108727013187E-3</v>
      </c>
      <c r="N92" s="18">
        <f>raw_data!$N92*mass_composition!$E92/100</f>
        <v>7.2072210400180468E-3</v>
      </c>
      <c r="O92" s="18">
        <f>raw_data!$O92*mass_composition!$E92/100</f>
        <v>0</v>
      </c>
      <c r="P92" s="18">
        <f>raw_data!$P92*mass_composition!$E92/100</f>
        <v>5.2927985907650389E-2</v>
      </c>
      <c r="Q92" s="18">
        <f>raw_data!$Q92*mass_composition!$E92/100</f>
        <v>5.5834880773231906E-3</v>
      </c>
      <c r="R92" s="18">
        <f>raw_data!$R92*mass_composition!$E92/100</f>
        <v>8.0445399612292301E-2</v>
      </c>
      <c r="S92" s="18">
        <f>raw_data!$S92*mass_composition!$E92/100</f>
        <v>1.4821416909592249E-2</v>
      </c>
      <c r="T92" s="18">
        <f>raw_data!$T92*mass_composition!$E92/100</f>
        <v>0.17739784846040876</v>
      </c>
      <c r="U92" s="18">
        <f>raw_data!$U92*mass_composition!$E92/100</f>
        <v>4.674789889503682E-3</v>
      </c>
      <c r="V92" s="18">
        <f>raw_data!$V92*mass_composition!$E92/100</f>
        <v>1.7546633638964571E-2</v>
      </c>
      <c r="W92" s="18">
        <f>raw_data!$W92*mass_composition!$E92/100</f>
        <v>0</v>
      </c>
      <c r="X92" s="18">
        <f>raw_data!$X92*mass_composition!$E92/100</f>
        <v>0</v>
      </c>
      <c r="Y92" s="18">
        <f>raw_data!$Y92*mass_composition!$E92/100</f>
        <v>0</v>
      </c>
      <c r="Z92" s="18">
        <f>raw_data!$Z92*mass_composition!$E92/100</f>
        <v>9.1484201553126016E-6</v>
      </c>
      <c r="AA92" s="18">
        <f>raw_data!$AA92*mass_composition!$E92/100</f>
        <v>0</v>
      </c>
      <c r="AB92" s="18">
        <f>raw_data!$AB92*mass_composition!$E92/100</f>
        <v>0</v>
      </c>
      <c r="AC92" s="18">
        <f>raw_data!$AC92*mass_composition!$E92/100</f>
        <v>0</v>
      </c>
      <c r="AD92" s="18">
        <f>raw_data!$AD92*mass_composition!$E92/100</f>
        <v>0</v>
      </c>
      <c r="AE92" s="18">
        <f>raw_data!$AE92*mass_composition!$E92/100</f>
        <v>0</v>
      </c>
      <c r="AF92" s="18">
        <f>raw_data!$AF92*mass_composition!$E92/100</f>
        <v>0</v>
      </c>
      <c r="AG92" s="18">
        <f>raw_data!$AG92*mass_composition!$E92/100</f>
        <v>1.9048452688820725E-7</v>
      </c>
      <c r="AH92" s="18">
        <f>raw_data!$AH92*mass_composition!$E92/100</f>
        <v>1.5585078566629544E-8</v>
      </c>
      <c r="AI92" s="18">
        <f>raw_data!$AI92*mass_composition!$E92/100</f>
        <v>1.3031413123737009E-7</v>
      </c>
      <c r="AJ92" s="18">
        <f>raw_data!$AJ92*mass_composition!$E92/100</f>
        <v>1.7712644243147327E-5</v>
      </c>
      <c r="AK92" s="18">
        <f>raw_data!$AK92*mass_composition!$E92/100</f>
        <v>4.8492869170384987E-5</v>
      </c>
      <c r="AL92" s="18">
        <f>raw_data!$AL92*mass_composition!$E92/100</f>
        <v>0</v>
      </c>
      <c r="AM92" s="18">
        <f>raw_data!$AM92*mass_composition!$E92/100</f>
        <v>1.0719757411668118E-7</v>
      </c>
      <c r="AN92" s="18">
        <f>raw_data!$AN92*mass_composition!$E92/100</f>
        <v>0</v>
      </c>
      <c r="AO92" s="18">
        <f>raw_data!$AO92*mass_composition!$E92/100</f>
        <v>0</v>
      </c>
      <c r="AP92" s="18">
        <f>raw_data!$AP92*mass_composition!$E92/100</f>
        <v>9.2765447193025332E-4</v>
      </c>
      <c r="AQ92" s="18">
        <f>raw_data!$AQ92*mass_composition!$E92/100</f>
        <v>2.0014174457872164E-6</v>
      </c>
      <c r="AR92" s="18">
        <f>raw_data!$AR92*mass_composition!$E92/100</f>
        <v>1.5216988825849541E-7</v>
      </c>
      <c r="AS92" s="18">
        <f>raw_data!$AS92*mass_composition!$E92/100</f>
        <v>2.4268192631542242E-7</v>
      </c>
      <c r="AT92" s="18">
        <f>raw_data!$AT92*mass_composition!$E92/100</f>
        <v>1.7784876964805398E-7</v>
      </c>
      <c r="AU92" s="18">
        <f>raw_data!$AU92*mass_composition!$E92/100</f>
        <v>0</v>
      </c>
      <c r="AV92" s="18">
        <f>raw_data!$AV92*mass_composition!$E92/100</f>
        <v>0</v>
      </c>
      <c r="AW92" s="18">
        <f>raw_data!$AW92*mass_composition!$E92/100</f>
        <v>0</v>
      </c>
      <c r="AX92" s="18">
        <f>raw_data!$AX92*mass_composition!$E92/100</f>
        <v>8.3059281719182059E-7</v>
      </c>
      <c r="AY92" s="18">
        <f>raw_data!$AY92*mass_composition!$E92/100</f>
        <v>0</v>
      </c>
      <c r="AZ92" s="18">
        <f>raw_data!$AZ92*mass_composition!$E92/100</f>
        <v>0</v>
      </c>
      <c r="BA92" s="18">
        <f>raw_data!$BA92*mass_composition!$E92/100</f>
        <v>0</v>
      </c>
      <c r="BB92" s="18">
        <f>raw_data!$BB92*mass_composition!$E92/100</f>
        <v>0</v>
      </c>
      <c r="BC92" s="18">
        <f>raw_data!$BC92*mass_composition!$E92/100</f>
        <v>0</v>
      </c>
      <c r="BD92" s="18">
        <f>raw_data!$BD92*mass_composition!$E92/100</f>
        <v>0</v>
      </c>
      <c r="BE92" s="18">
        <f>raw_data!$BE92*mass_composition!$E92/100</f>
        <v>1.414444175386089E-4</v>
      </c>
      <c r="BF92" s="18">
        <f>raw_data!$BF92*mass_composition!$E92/100</f>
        <v>0</v>
      </c>
      <c r="BG92" s="18">
        <f>raw_data!$BG92*mass_composition!$E92/100</f>
        <v>0</v>
      </c>
      <c r="BH92" s="18">
        <v>0</v>
      </c>
      <c r="BI92" s="18">
        <v>0.27241536014470696</v>
      </c>
      <c r="BJ92" s="18">
        <v>1.6000653419691977</v>
      </c>
      <c r="BK92" s="18">
        <f>raw_data!$BK92*$E92/100</f>
        <v>0</v>
      </c>
      <c r="BL92" s="18">
        <f>raw_data!$BL92*$E92/100</f>
        <v>0</v>
      </c>
      <c r="BM92" s="18">
        <v>0</v>
      </c>
      <c r="BN92" s="18">
        <f>raw_data!$BN92*$E92/100</f>
        <v>0</v>
      </c>
      <c r="BO92" s="18">
        <f>raw_data!$BO92*$E92/100</f>
        <v>0.49414443620814547</v>
      </c>
      <c r="BP92" s="18">
        <f>raw_data!$BP92*$E92/100</f>
        <v>0.12213211447007709</v>
      </c>
      <c r="BQ92" s="18">
        <v>0</v>
      </c>
      <c r="BR92" s="18">
        <f>raw_data!$BR92*$E92/100</f>
        <v>5.1839107477208761E-2</v>
      </c>
      <c r="BS92" s="18">
        <v>22.546948649805557</v>
      </c>
      <c r="BT92" s="18">
        <v>1.8608932214657696</v>
      </c>
      <c r="BU92" s="18">
        <v>2.2815754839276923E-2</v>
      </c>
      <c r="BV92" s="18">
        <v>2.4839241163180713E-2</v>
      </c>
      <c r="BW92" s="18">
        <v>3.5647235972522319E-2</v>
      </c>
      <c r="BX92" s="18">
        <v>0</v>
      </c>
      <c r="BY92" s="18">
        <v>0.78845400878999383</v>
      </c>
      <c r="BZ92" s="18">
        <v>18.91673044874323</v>
      </c>
      <c r="CA92" s="18">
        <v>0</v>
      </c>
      <c r="CB92" s="19">
        <v>5.5282287487478818</v>
      </c>
    </row>
    <row r="93" spans="1:80" x14ac:dyDescent="0.35">
      <c r="A93" s="17" t="s">
        <v>113</v>
      </c>
      <c r="B93" s="17" t="s">
        <v>205</v>
      </c>
      <c r="C93" s="17"/>
      <c r="D93" s="18">
        <f>raw_data!$D93*$C93/100</f>
        <v>0</v>
      </c>
      <c r="E93" s="18">
        <f>raw_data!$E93*$C93/100</f>
        <v>0</v>
      </c>
      <c r="F93" s="18">
        <f>raw_data!$F93*$E93/100</f>
        <v>0</v>
      </c>
      <c r="G93" s="18">
        <f>raw_data!$G93*$E93/100</f>
        <v>0</v>
      </c>
      <c r="H93" s="18">
        <v>22.340272036075664</v>
      </c>
      <c r="I93" s="18">
        <v>609.14803347727593</v>
      </c>
      <c r="J93" s="18">
        <f>raw_data!$J93*mass_composition!$E93/100</f>
        <v>0</v>
      </c>
      <c r="K93" s="18">
        <f>raw_data!$K93*mass_composition!$E93/100</f>
        <v>0</v>
      </c>
      <c r="L93" s="18">
        <f>raw_data!$L93*mass_composition!$E93/100</f>
        <v>0</v>
      </c>
      <c r="M93" s="18">
        <f>raw_data!$M93*mass_composition!$E93/100</f>
        <v>0</v>
      </c>
      <c r="N93" s="18">
        <f>raw_data!$N93*mass_composition!$E93/100</f>
        <v>0</v>
      </c>
      <c r="O93" s="18">
        <f>raw_data!$O93*mass_composition!$E93/100</f>
        <v>0</v>
      </c>
      <c r="P93" s="18">
        <f>raw_data!$P93*mass_composition!$E93/100</f>
        <v>0</v>
      </c>
      <c r="Q93" s="18">
        <f>raw_data!$Q93*mass_composition!$E93/100</f>
        <v>0</v>
      </c>
      <c r="R93" s="18">
        <f>raw_data!$R93*mass_composition!$E93/100</f>
        <v>0</v>
      </c>
      <c r="S93" s="18">
        <f>raw_data!$S93*mass_composition!$E93/100</f>
        <v>0</v>
      </c>
      <c r="T93" s="18">
        <f>raw_data!$T93*mass_composition!$E93/100</f>
        <v>0</v>
      </c>
      <c r="U93" s="18">
        <f>raw_data!$U93*mass_composition!$E93/100</f>
        <v>0</v>
      </c>
      <c r="V93" s="18">
        <f>raw_data!$V93*mass_composition!$E93/100</f>
        <v>0</v>
      </c>
      <c r="W93" s="18">
        <f>raw_data!$W93*mass_composition!$E93/100</f>
        <v>0</v>
      </c>
      <c r="X93" s="18">
        <f>raw_data!$X93*mass_composition!$E93/100</f>
        <v>0</v>
      </c>
      <c r="Y93" s="18">
        <f>raw_data!$Y93*mass_composition!$E93/100</f>
        <v>0</v>
      </c>
      <c r="Z93" s="18">
        <f>raw_data!$Z93*mass_composition!$E93/100</f>
        <v>0</v>
      </c>
      <c r="AA93" s="18">
        <f>raw_data!$AA93*mass_composition!$E93/100</f>
        <v>0</v>
      </c>
      <c r="AB93" s="18">
        <f>raw_data!$AB93*mass_composition!$E93/100</f>
        <v>0</v>
      </c>
      <c r="AC93" s="18">
        <f>raw_data!$AC93*mass_composition!$E93/100</f>
        <v>0</v>
      </c>
      <c r="AD93" s="18">
        <f>raw_data!$AD93*mass_composition!$E93/100</f>
        <v>0</v>
      </c>
      <c r="AE93" s="18">
        <f>raw_data!$AE93*mass_composition!$E93/100</f>
        <v>0</v>
      </c>
      <c r="AF93" s="18">
        <f>raw_data!$AF93*mass_composition!$E93/100</f>
        <v>0</v>
      </c>
      <c r="AG93" s="18">
        <f>raw_data!$AG93*mass_composition!$E93/100</f>
        <v>0</v>
      </c>
      <c r="AH93" s="18">
        <f>raw_data!$AH93*mass_composition!$E93/100</f>
        <v>0</v>
      </c>
      <c r="AI93" s="18">
        <f>raw_data!$AI93*mass_composition!$E93/100</f>
        <v>0</v>
      </c>
      <c r="AJ93" s="18">
        <f>raw_data!$AJ93*mass_composition!$E93/100</f>
        <v>0</v>
      </c>
      <c r="AK93" s="18">
        <f>raw_data!$AK93*mass_composition!$E93/100</f>
        <v>0</v>
      </c>
      <c r="AL93" s="18">
        <f>raw_data!$AL93*mass_composition!$E93/100</f>
        <v>0</v>
      </c>
      <c r="AM93" s="18">
        <f>raw_data!$AM93*mass_composition!$E93/100</f>
        <v>0</v>
      </c>
      <c r="AN93" s="18">
        <f>raw_data!$AN93*mass_composition!$E93/100</f>
        <v>0</v>
      </c>
      <c r="AO93" s="18">
        <f>raw_data!$AO93*mass_composition!$E93/100</f>
        <v>0</v>
      </c>
      <c r="AP93" s="18">
        <f>raw_data!$AP93*mass_composition!$E93/100</f>
        <v>0</v>
      </c>
      <c r="AQ93" s="18">
        <f>raw_data!$AQ93*mass_composition!$E93/100</f>
        <v>0</v>
      </c>
      <c r="AR93" s="18">
        <f>raw_data!$AR93*mass_composition!$E93/100</f>
        <v>0</v>
      </c>
      <c r="AS93" s="18">
        <f>raw_data!$AS93*mass_composition!$E93/100</f>
        <v>0</v>
      </c>
      <c r="AT93" s="18">
        <f>raw_data!$AT93*mass_composition!$E93/100</f>
        <v>0</v>
      </c>
      <c r="AU93" s="18">
        <f>raw_data!$AU93*mass_composition!$E93/100</f>
        <v>0</v>
      </c>
      <c r="AV93" s="18">
        <f>raw_data!$AV93*mass_composition!$E93/100</f>
        <v>0</v>
      </c>
      <c r="AW93" s="18">
        <f>raw_data!$AW93*mass_composition!$E93/100</f>
        <v>0</v>
      </c>
      <c r="AX93" s="18">
        <f>raw_data!$AX93*mass_composition!$E93/100</f>
        <v>0</v>
      </c>
      <c r="AY93" s="18">
        <f>raw_data!$AY93*mass_composition!$E93/100</f>
        <v>0</v>
      </c>
      <c r="AZ93" s="18">
        <f>raw_data!$AZ93*mass_composition!$E93/100</f>
        <v>0</v>
      </c>
      <c r="BA93" s="18">
        <f>raw_data!$BA93*mass_composition!$E93/100</f>
        <v>0</v>
      </c>
      <c r="BB93" s="18">
        <f>raw_data!$BB93*mass_composition!$E93/100</f>
        <v>0</v>
      </c>
      <c r="BC93" s="18">
        <f>raw_data!$BC93*mass_composition!$E93/100</f>
        <v>0</v>
      </c>
      <c r="BD93" s="18">
        <f>raw_data!$BD93*mass_composition!$E93/100</f>
        <v>0</v>
      </c>
      <c r="BE93" s="18">
        <f>raw_data!$BE93*mass_composition!$E93/100</f>
        <v>0</v>
      </c>
      <c r="BF93" s="18">
        <f>raw_data!$BF93*mass_composition!$E93/100</f>
        <v>0</v>
      </c>
      <c r="BG93" s="18">
        <f>raw_data!$BG93*mass_composition!$E93/100</f>
        <v>0</v>
      </c>
      <c r="BH93" s="18">
        <v>0</v>
      </c>
      <c r="BI93" s="18">
        <v>1.8344155844155841</v>
      </c>
      <c r="BJ93" s="18">
        <v>0.69805194805194815</v>
      </c>
      <c r="BK93" s="18">
        <f>raw_data!$BK93*$E93/100</f>
        <v>0</v>
      </c>
      <c r="BL93" s="18">
        <f>raw_data!$BL93*$E93/100</f>
        <v>0</v>
      </c>
      <c r="BM93" s="18">
        <v>0</v>
      </c>
      <c r="BN93" s="18">
        <f>raw_data!$BN93*$E93/100</f>
        <v>0</v>
      </c>
      <c r="BO93" s="18">
        <f>raw_data!$BO93*$E93/100</f>
        <v>0</v>
      </c>
      <c r="BP93" s="18">
        <f>raw_data!$BP93*$E93/100</f>
        <v>0</v>
      </c>
      <c r="BQ93" s="18">
        <v>0</v>
      </c>
      <c r="BR93" s="18">
        <f>raw_data!$BR93*$E93/100</f>
        <v>0</v>
      </c>
      <c r="BS93" s="18">
        <v>22.094250180013457</v>
      </c>
      <c r="BT93" s="18">
        <v>1.8161213428033305</v>
      </c>
      <c r="BU93" s="18">
        <v>0.10443722943722943</v>
      </c>
      <c r="BV93" s="18">
        <v>0.15476190476190477</v>
      </c>
      <c r="BW93" s="18">
        <v>8.2792207792207792E-2</v>
      </c>
      <c r="BX93" s="18">
        <v>2.9707792207792211E-2</v>
      </c>
      <c r="BY93" s="18">
        <v>2.2023809523809526</v>
      </c>
      <c r="BZ93" s="18">
        <v>22.693371461452838</v>
      </c>
      <c r="CA93" s="18">
        <v>0</v>
      </c>
      <c r="CB93" s="19">
        <v>58.087706751887467</v>
      </c>
    </row>
    <row r="94" spans="1:80" x14ac:dyDescent="0.35">
      <c r="A94" s="17" t="s">
        <v>113</v>
      </c>
      <c r="B94" s="17" t="s">
        <v>206</v>
      </c>
      <c r="C94" s="17"/>
      <c r="D94" s="18">
        <f>raw_data!$D94*$C94/100</f>
        <v>0</v>
      </c>
      <c r="E94" s="18">
        <f>raw_data!$E94*$C94/100</f>
        <v>0</v>
      </c>
      <c r="F94" s="18">
        <f>raw_data!$F94*$E94/100</f>
        <v>0</v>
      </c>
      <c r="G94" s="18">
        <f>raw_data!$G94*$E94/100</f>
        <v>0</v>
      </c>
      <c r="H94" s="18">
        <v>18.443376044333323</v>
      </c>
      <c r="I94" s="18">
        <v>502.7649378322335</v>
      </c>
      <c r="J94" s="18">
        <f>raw_data!$J94*mass_composition!$E94/100</f>
        <v>0</v>
      </c>
      <c r="K94" s="18">
        <f>raw_data!$K94*mass_composition!$E94/100</f>
        <v>0</v>
      </c>
      <c r="L94" s="18">
        <f>raw_data!$L94*mass_composition!$E94/100</f>
        <v>0</v>
      </c>
      <c r="M94" s="18">
        <f>raw_data!$M94*mass_composition!$E94/100</f>
        <v>0</v>
      </c>
      <c r="N94" s="18">
        <f>raw_data!$N94*mass_composition!$E94/100</f>
        <v>0</v>
      </c>
      <c r="O94" s="18">
        <f>raw_data!$O94*mass_composition!$E94/100</f>
        <v>0</v>
      </c>
      <c r="P94" s="18">
        <f>raw_data!$P94*mass_composition!$E94/100</f>
        <v>0</v>
      </c>
      <c r="Q94" s="18">
        <f>raw_data!$Q94*mass_composition!$E94/100</f>
        <v>0</v>
      </c>
      <c r="R94" s="18">
        <f>raw_data!$R94*mass_composition!$E94/100</f>
        <v>0</v>
      </c>
      <c r="S94" s="18">
        <f>raw_data!$S94*mass_composition!$E94/100</f>
        <v>0</v>
      </c>
      <c r="T94" s="18">
        <f>raw_data!$T94*mass_composition!$E94/100</f>
        <v>0</v>
      </c>
      <c r="U94" s="18">
        <f>raw_data!$U94*mass_composition!$E94/100</f>
        <v>0</v>
      </c>
      <c r="V94" s="18">
        <f>raw_data!$V94*mass_composition!$E94/100</f>
        <v>0</v>
      </c>
      <c r="W94" s="18">
        <f>raw_data!$W94*mass_composition!$E94/100</f>
        <v>0</v>
      </c>
      <c r="X94" s="18">
        <f>raw_data!$X94*mass_composition!$E94/100</f>
        <v>0</v>
      </c>
      <c r="Y94" s="18">
        <f>raw_data!$Y94*mass_composition!$E94/100</f>
        <v>0</v>
      </c>
      <c r="Z94" s="18">
        <f>raw_data!$Z94*mass_composition!$E94/100</f>
        <v>0</v>
      </c>
      <c r="AA94" s="18">
        <f>raw_data!$AA94*mass_composition!$E94/100</f>
        <v>0</v>
      </c>
      <c r="AB94" s="18">
        <f>raw_data!$AB94*mass_composition!$E94/100</f>
        <v>0</v>
      </c>
      <c r="AC94" s="18">
        <f>raw_data!$AC94*mass_composition!$E94/100</f>
        <v>0</v>
      </c>
      <c r="AD94" s="18">
        <f>raw_data!$AD94*mass_composition!$E94/100</f>
        <v>0</v>
      </c>
      <c r="AE94" s="18">
        <f>raw_data!$AE94*mass_composition!$E94/100</f>
        <v>0</v>
      </c>
      <c r="AF94" s="18">
        <f>raw_data!$AF94*mass_composition!$E94/100</f>
        <v>0</v>
      </c>
      <c r="AG94" s="18">
        <f>raw_data!$AG94*mass_composition!$E94/100</f>
        <v>0</v>
      </c>
      <c r="AH94" s="18">
        <f>raw_data!$AH94*mass_composition!$E94/100</f>
        <v>0</v>
      </c>
      <c r="AI94" s="18">
        <f>raw_data!$AI94*mass_composition!$E94/100</f>
        <v>0</v>
      </c>
      <c r="AJ94" s="18">
        <f>raw_data!$AJ94*mass_composition!$E94/100</f>
        <v>0</v>
      </c>
      <c r="AK94" s="18">
        <f>raw_data!$AK94*mass_composition!$E94/100</f>
        <v>0</v>
      </c>
      <c r="AL94" s="18">
        <f>raw_data!$AL94*mass_composition!$E94/100</f>
        <v>0</v>
      </c>
      <c r="AM94" s="18">
        <f>raw_data!$AM94*mass_composition!$E94/100</f>
        <v>0</v>
      </c>
      <c r="AN94" s="18">
        <f>raw_data!$AN94*mass_composition!$E94/100</f>
        <v>0</v>
      </c>
      <c r="AO94" s="18">
        <f>raw_data!$AO94*mass_composition!$E94/100</f>
        <v>0</v>
      </c>
      <c r="AP94" s="18">
        <f>raw_data!$AP94*mass_composition!$E94/100</f>
        <v>0</v>
      </c>
      <c r="AQ94" s="18">
        <f>raw_data!$AQ94*mass_composition!$E94/100</f>
        <v>0</v>
      </c>
      <c r="AR94" s="18">
        <f>raw_data!$AR94*mass_composition!$E94/100</f>
        <v>0</v>
      </c>
      <c r="AS94" s="18">
        <f>raw_data!$AS94*mass_composition!$E94/100</f>
        <v>0</v>
      </c>
      <c r="AT94" s="18">
        <f>raw_data!$AT94*mass_composition!$E94/100</f>
        <v>0</v>
      </c>
      <c r="AU94" s="18">
        <f>raw_data!$AU94*mass_composition!$E94/100</f>
        <v>0</v>
      </c>
      <c r="AV94" s="18">
        <f>raw_data!$AV94*mass_composition!$E94/100</f>
        <v>0</v>
      </c>
      <c r="AW94" s="18">
        <f>raw_data!$AW94*mass_composition!$E94/100</f>
        <v>0</v>
      </c>
      <c r="AX94" s="18">
        <f>raw_data!$AX94*mass_composition!$E94/100</f>
        <v>0</v>
      </c>
      <c r="AY94" s="18">
        <f>raw_data!$AY94*mass_composition!$E94/100</f>
        <v>0</v>
      </c>
      <c r="AZ94" s="18">
        <f>raw_data!$AZ94*mass_composition!$E94/100</f>
        <v>0</v>
      </c>
      <c r="BA94" s="18">
        <f>raw_data!$BA94*mass_composition!$E94/100</f>
        <v>0</v>
      </c>
      <c r="BB94" s="18">
        <f>raw_data!$BB94*mass_composition!$E94/100</f>
        <v>0</v>
      </c>
      <c r="BC94" s="18">
        <f>raw_data!$BC94*mass_composition!$E94/100</f>
        <v>0</v>
      </c>
      <c r="BD94" s="18">
        <f>raw_data!$BD94*mass_composition!$E94/100</f>
        <v>0</v>
      </c>
      <c r="BE94" s="18">
        <f>raw_data!$BE94*mass_composition!$E94/100</f>
        <v>0</v>
      </c>
      <c r="BF94" s="18">
        <f>raw_data!$BF94*mass_composition!$E94/100</f>
        <v>0</v>
      </c>
      <c r="BG94" s="18">
        <f>raw_data!$BG94*mass_composition!$E94/100</f>
        <v>0</v>
      </c>
      <c r="BH94" s="18">
        <v>0</v>
      </c>
      <c r="BI94" s="18">
        <v>5.291171538639413E-2</v>
      </c>
      <c r="BJ94" s="18">
        <v>22.527155505867036</v>
      </c>
      <c r="BK94" s="18">
        <f>raw_data!$BK94*$E94/100</f>
        <v>0</v>
      </c>
      <c r="BL94" s="18">
        <f>raw_data!$BL94*$E94/100</f>
        <v>0</v>
      </c>
      <c r="BM94" s="18">
        <v>0</v>
      </c>
      <c r="BN94" s="18">
        <f>raw_data!$BN94*$E94/100</f>
        <v>0</v>
      </c>
      <c r="BO94" s="18">
        <f>raw_data!$BO94*$E94/100</f>
        <v>0</v>
      </c>
      <c r="BP94" s="18">
        <f>raw_data!$BP94*$E94/100</f>
        <v>0</v>
      </c>
      <c r="BQ94" s="18">
        <v>0</v>
      </c>
      <c r="BR94" s="18">
        <f>raw_data!$BR94*$E94/100</f>
        <v>0</v>
      </c>
      <c r="BS94" s="18">
        <v>19.399575141025231</v>
      </c>
      <c r="BT94" s="18">
        <v>1.5495478221990491</v>
      </c>
      <c r="BU94" s="18">
        <v>0</v>
      </c>
      <c r="BV94" s="18">
        <v>0</v>
      </c>
      <c r="BW94" s="18">
        <v>0</v>
      </c>
      <c r="BX94" s="18">
        <v>0</v>
      </c>
      <c r="BY94" s="18">
        <v>0.4268547902940994</v>
      </c>
      <c r="BZ94" s="18">
        <v>18.497041728613205</v>
      </c>
      <c r="CA94" s="18">
        <v>0</v>
      </c>
      <c r="CB94" s="19">
        <v>46.901421962712746</v>
      </c>
    </row>
    <row r="95" spans="1:80" x14ac:dyDescent="0.35">
      <c r="A95" s="17" t="s">
        <v>113</v>
      </c>
      <c r="B95" s="17" t="s">
        <v>207</v>
      </c>
      <c r="C95" s="17"/>
      <c r="D95" s="18">
        <f>raw_data!$D95*$C95/100</f>
        <v>0</v>
      </c>
      <c r="E95" s="18">
        <f>raw_data!$E95*$C95/100</f>
        <v>0</v>
      </c>
      <c r="F95" s="18">
        <f>raw_data!$F95*$E95/100</f>
        <v>0</v>
      </c>
      <c r="G95" s="18">
        <f>raw_data!$G95*$E95/100</f>
        <v>0</v>
      </c>
      <c r="H95" s="18">
        <v>21.471104460263302</v>
      </c>
      <c r="I95" s="18">
        <v>583.38123972551421</v>
      </c>
      <c r="J95" s="18">
        <f>raw_data!$J95*mass_composition!$E95/100</f>
        <v>0</v>
      </c>
      <c r="K95" s="18">
        <f>raw_data!$K95*mass_composition!$E95/100</f>
        <v>0</v>
      </c>
      <c r="L95" s="18">
        <f>raw_data!$L95*mass_composition!$E95/100</f>
        <v>0</v>
      </c>
      <c r="M95" s="18">
        <f>raw_data!$M95*mass_composition!$E95/100</f>
        <v>0</v>
      </c>
      <c r="N95" s="18">
        <f>raw_data!$N95*mass_composition!$E95/100</f>
        <v>0</v>
      </c>
      <c r="O95" s="18">
        <f>raw_data!$O95*mass_composition!$E95/100</f>
        <v>0</v>
      </c>
      <c r="P95" s="18">
        <f>raw_data!$P95*mass_composition!$E95/100</f>
        <v>0</v>
      </c>
      <c r="Q95" s="18">
        <f>raw_data!$Q95*mass_composition!$E95/100</f>
        <v>0</v>
      </c>
      <c r="R95" s="18">
        <f>raw_data!$R95*mass_composition!$E95/100</f>
        <v>0</v>
      </c>
      <c r="S95" s="18">
        <f>raw_data!$S95*mass_composition!$E95/100</f>
        <v>0</v>
      </c>
      <c r="T95" s="18">
        <f>raw_data!$T95*mass_composition!$E95/100</f>
        <v>0</v>
      </c>
      <c r="U95" s="18">
        <f>raw_data!$U95*mass_composition!$E95/100</f>
        <v>0</v>
      </c>
      <c r="V95" s="18">
        <f>raw_data!$V95*mass_composition!$E95/100</f>
        <v>0</v>
      </c>
      <c r="W95" s="18">
        <f>raw_data!$W95*mass_composition!$E95/100</f>
        <v>0</v>
      </c>
      <c r="X95" s="18">
        <f>raw_data!$X95*mass_composition!$E95/100</f>
        <v>0</v>
      </c>
      <c r="Y95" s="18">
        <f>raw_data!$Y95*mass_composition!$E95/100</f>
        <v>0</v>
      </c>
      <c r="Z95" s="18">
        <f>raw_data!$Z95*mass_composition!$E95/100</f>
        <v>0</v>
      </c>
      <c r="AA95" s="18">
        <f>raw_data!$AA95*mass_composition!$E95/100</f>
        <v>0</v>
      </c>
      <c r="AB95" s="18">
        <f>raw_data!$AB95*mass_composition!$E95/100</f>
        <v>0</v>
      </c>
      <c r="AC95" s="18">
        <f>raw_data!$AC95*mass_composition!$E95/100</f>
        <v>0</v>
      </c>
      <c r="AD95" s="18">
        <f>raw_data!$AD95*mass_composition!$E95/100</f>
        <v>0</v>
      </c>
      <c r="AE95" s="18">
        <f>raw_data!$AE95*mass_composition!$E95/100</f>
        <v>0</v>
      </c>
      <c r="AF95" s="18">
        <f>raw_data!$AF95*mass_composition!$E95/100</f>
        <v>0</v>
      </c>
      <c r="AG95" s="18">
        <f>raw_data!$AG95*mass_composition!$E95/100</f>
        <v>0</v>
      </c>
      <c r="AH95" s="18">
        <f>raw_data!$AH95*mass_composition!$E95/100</f>
        <v>0</v>
      </c>
      <c r="AI95" s="18">
        <f>raw_data!$AI95*mass_composition!$E95/100</f>
        <v>0</v>
      </c>
      <c r="AJ95" s="18">
        <f>raw_data!$AJ95*mass_composition!$E95/100</f>
        <v>0</v>
      </c>
      <c r="AK95" s="18">
        <f>raw_data!$AK95*mass_composition!$E95/100</f>
        <v>0</v>
      </c>
      <c r="AL95" s="18">
        <f>raw_data!$AL95*mass_composition!$E95/100</f>
        <v>0</v>
      </c>
      <c r="AM95" s="18">
        <f>raw_data!$AM95*mass_composition!$E95/100</f>
        <v>0</v>
      </c>
      <c r="AN95" s="18">
        <f>raw_data!$AN95*mass_composition!$E95/100</f>
        <v>0</v>
      </c>
      <c r="AO95" s="18">
        <f>raw_data!$AO95*mass_composition!$E95/100</f>
        <v>0</v>
      </c>
      <c r="AP95" s="18">
        <f>raw_data!$AP95*mass_composition!$E95/100</f>
        <v>0</v>
      </c>
      <c r="AQ95" s="18">
        <f>raw_data!$AQ95*mass_composition!$E95/100</f>
        <v>0</v>
      </c>
      <c r="AR95" s="18">
        <f>raw_data!$AR95*mass_composition!$E95/100</f>
        <v>0</v>
      </c>
      <c r="AS95" s="18">
        <f>raw_data!$AS95*mass_composition!$E95/100</f>
        <v>0</v>
      </c>
      <c r="AT95" s="18">
        <f>raw_data!$AT95*mass_composition!$E95/100</f>
        <v>0</v>
      </c>
      <c r="AU95" s="18">
        <f>raw_data!$AU95*mass_composition!$E95/100</f>
        <v>0</v>
      </c>
      <c r="AV95" s="18">
        <f>raw_data!$AV95*mass_composition!$E95/100</f>
        <v>0</v>
      </c>
      <c r="AW95" s="18">
        <f>raw_data!$AW95*mass_composition!$E95/100</f>
        <v>0</v>
      </c>
      <c r="AX95" s="18">
        <f>raw_data!$AX95*mass_composition!$E95/100</f>
        <v>0</v>
      </c>
      <c r="AY95" s="18">
        <f>raw_data!$AY95*mass_composition!$E95/100</f>
        <v>0</v>
      </c>
      <c r="AZ95" s="18">
        <f>raw_data!$AZ95*mass_composition!$E95/100</f>
        <v>0</v>
      </c>
      <c r="BA95" s="18">
        <f>raw_data!$BA95*mass_composition!$E95/100</f>
        <v>0</v>
      </c>
      <c r="BB95" s="18">
        <f>raw_data!$BB95*mass_composition!$E95/100</f>
        <v>0</v>
      </c>
      <c r="BC95" s="18">
        <f>raw_data!$BC95*mass_composition!$E95/100</f>
        <v>0</v>
      </c>
      <c r="BD95" s="18">
        <f>raw_data!$BD95*mass_composition!$E95/100</f>
        <v>0</v>
      </c>
      <c r="BE95" s="18">
        <f>raw_data!$BE95*mass_composition!$E95/100</f>
        <v>0</v>
      </c>
      <c r="BF95" s="18">
        <f>raw_data!$BF95*mass_composition!$E95/100</f>
        <v>0</v>
      </c>
      <c r="BG95" s="18">
        <f>raw_data!$BG95*mass_composition!$E95/100</f>
        <v>0</v>
      </c>
      <c r="BH95" s="18">
        <v>0</v>
      </c>
      <c r="BI95" s="18">
        <v>8.7245987079062743</v>
      </c>
      <c r="BJ95" s="18">
        <v>9.3919628376301016</v>
      </c>
      <c r="BK95" s="18">
        <f>raw_data!$BK95*$E95/100</f>
        <v>0</v>
      </c>
      <c r="BL95" s="18">
        <f>raw_data!$BL95*$E95/100</f>
        <v>0</v>
      </c>
      <c r="BM95" s="18">
        <v>0</v>
      </c>
      <c r="BN95" s="18">
        <f>raw_data!$BN95*$E95/100</f>
        <v>0</v>
      </c>
      <c r="BO95" s="18">
        <f>raw_data!$BO95*$E95/100</f>
        <v>0</v>
      </c>
      <c r="BP95" s="18">
        <f>raw_data!$BP95*$E95/100</f>
        <v>0</v>
      </c>
      <c r="BQ95" s="18">
        <v>0</v>
      </c>
      <c r="BR95" s="18">
        <f>raw_data!$BR95*$E95/100</f>
        <v>0</v>
      </c>
      <c r="BS95" s="18">
        <v>21.422300257891269</v>
      </c>
      <c r="BT95" s="18">
        <v>1.7496584541093423</v>
      </c>
      <c r="BU95" s="18">
        <v>0.31417697940908529</v>
      </c>
      <c r="BV95" s="18">
        <v>0.74380287520590738</v>
      </c>
      <c r="BW95" s="18">
        <v>0.34624059095757115</v>
      </c>
      <c r="BX95" s="18">
        <v>0.39254783244293096</v>
      </c>
      <c r="BY95" s="18">
        <v>10.517943973693956</v>
      </c>
      <c r="BZ95" s="18">
        <v>21.901754360069791</v>
      </c>
      <c r="CA95" s="18">
        <v>0</v>
      </c>
      <c r="CB95" s="19">
        <v>45.68465369180187</v>
      </c>
    </row>
    <row r="96" spans="1:80" x14ac:dyDescent="0.35">
      <c r="A96" s="28" t="s">
        <v>313</v>
      </c>
      <c r="B96" s="28" t="s">
        <v>315</v>
      </c>
      <c r="C96">
        <f>IF(Parameters!C3="3_1",(SUM(C2:C95))/3,(SUM(C2:C95))/8)</f>
        <v>12.500000000000002</v>
      </c>
      <c r="D96" s="18">
        <f>raw_data!$D96*$C96/100</f>
        <v>1.2500000000000002</v>
      </c>
      <c r="E96" s="18">
        <f>raw_data!$E96*$C96/100</f>
        <v>11.250000000000002</v>
      </c>
      <c r="F96" s="18">
        <f>raw_data!$F96*$E96/100</f>
        <v>0</v>
      </c>
      <c r="G96" s="18">
        <f>raw_data!$G96*$E96/100</f>
        <v>0.26887500000000009</v>
      </c>
      <c r="J96" s="18">
        <f>raw_data!$J96*mass_composition!$E96/100</f>
        <v>0</v>
      </c>
      <c r="R96" s="18">
        <f>raw_data!$R96*mass_composition!$E96/100</f>
        <v>0</v>
      </c>
      <c r="T96" s="18">
        <f>raw_data!$T96*mass_composition!$E96/100</f>
        <v>0</v>
      </c>
      <c r="BK96" s="18">
        <f>raw_data!$BK96*$E96/100</f>
        <v>3.7012500000000004</v>
      </c>
      <c r="BL96" s="18">
        <f>raw_data!$BL96*$E96/100</f>
        <v>1.5997500000000002</v>
      </c>
      <c r="BM96" s="18">
        <v>0</v>
      </c>
      <c r="BN96" s="18">
        <f>raw_data!$BN96*$E96/100</f>
        <v>3.5043750000000005</v>
      </c>
      <c r="BO96" s="18">
        <f>raw_data!$BO96*$E96/100</f>
        <v>0</v>
      </c>
      <c r="BP96" s="18">
        <f>raw_data!$BP96*$E96/100</f>
        <v>0</v>
      </c>
      <c r="BQ96" s="18">
        <v>0</v>
      </c>
      <c r="BR96" s="18">
        <f>raw_data!$BR96*$E96/100</f>
        <v>0</v>
      </c>
    </row>
    <row r="97" spans="1:70" x14ac:dyDescent="0.35">
      <c r="A97" s="21"/>
      <c r="B97" s="28"/>
      <c r="D97" s="29"/>
      <c r="E97" s="29"/>
      <c r="F97" s="29"/>
      <c r="G97" s="29"/>
      <c r="J97" s="29"/>
      <c r="R97" s="29"/>
      <c r="T97" s="29"/>
      <c r="BK97" s="29"/>
      <c r="BL97" s="29"/>
      <c r="BN97" s="29"/>
      <c r="BO97" s="29"/>
      <c r="BP97" s="29"/>
      <c r="BR97" s="29"/>
    </row>
    <row r="98" spans="1:70" x14ac:dyDescent="0.35">
      <c r="A98" s="21" t="s">
        <v>398</v>
      </c>
      <c r="B98" s="28" t="s">
        <v>238</v>
      </c>
      <c r="C98" s="20">
        <f>SUM(C2:C97)</f>
        <v>112.50000000000001</v>
      </c>
      <c r="D98" s="20">
        <f>SUM(D2:D96)</f>
        <v>64.792862972818227</v>
      </c>
      <c r="E98" s="20">
        <f>SUM(E2:E96)</f>
        <v>47.710108583203159</v>
      </c>
      <c r="F98" s="20">
        <f>SUM(F2:F96)</f>
        <v>35.170813722096803</v>
      </c>
      <c r="G98" s="20">
        <f>SUM(G2:G96)</f>
        <v>1.5581698611063675</v>
      </c>
      <c r="H98" s="20">
        <f t="shared" ref="H98:BH98" si="0">SUM(H2:H95)</f>
        <v>1748.0370779513639</v>
      </c>
      <c r="I98" s="20">
        <f t="shared" si="0"/>
        <v>49127.849334222614</v>
      </c>
      <c r="J98" s="20">
        <f>SUM(J2:J96)</f>
        <v>17.029701033116709</v>
      </c>
      <c r="K98" s="20">
        <f t="shared" si="0"/>
        <v>16.986210767615464</v>
      </c>
      <c r="L98" s="20">
        <f t="shared" si="0"/>
        <v>0</v>
      </c>
      <c r="M98" s="20">
        <f t="shared" si="0"/>
        <v>5.0059990179053104E-2</v>
      </c>
      <c r="N98" s="20">
        <f t="shared" si="0"/>
        <v>5.8814381593712245E-2</v>
      </c>
      <c r="O98" s="20">
        <f t="shared" si="0"/>
        <v>0</v>
      </c>
      <c r="P98" s="20">
        <f t="shared" si="0"/>
        <v>2.510983363965487</v>
      </c>
      <c r="Q98" s="20">
        <f t="shared" si="0"/>
        <v>0.30131368964323607</v>
      </c>
      <c r="R98" s="20">
        <f>SUM(R2:R96)</f>
        <v>1.1968673713575604</v>
      </c>
      <c r="S98" s="20">
        <f t="shared" si="0"/>
        <v>0.10442149227055884</v>
      </c>
      <c r="T98" s="20">
        <f>SUM(T2:T96)</f>
        <v>14.358475535175483</v>
      </c>
      <c r="U98" s="20">
        <f t="shared" si="0"/>
        <v>0.14672942792229682</v>
      </c>
      <c r="V98" s="20">
        <f t="shared" si="0"/>
        <v>0.25691108766930559</v>
      </c>
      <c r="W98" s="20">
        <f t="shared" si="0"/>
        <v>0</v>
      </c>
      <c r="X98" s="20">
        <f t="shared" si="0"/>
        <v>0</v>
      </c>
      <c r="Y98" s="20">
        <f t="shared" si="0"/>
        <v>0</v>
      </c>
      <c r="Z98" s="20">
        <f t="shared" si="0"/>
        <v>1.0264519569912673E-5</v>
      </c>
      <c r="AA98" s="20">
        <f t="shared" si="0"/>
        <v>0</v>
      </c>
      <c r="AB98" s="20">
        <f t="shared" si="0"/>
        <v>0</v>
      </c>
      <c r="AC98" s="20">
        <f t="shared" si="0"/>
        <v>0</v>
      </c>
      <c r="AD98" s="20">
        <f t="shared" si="0"/>
        <v>0</v>
      </c>
      <c r="AE98" s="20">
        <f t="shared" si="0"/>
        <v>0</v>
      </c>
      <c r="AF98" s="20">
        <f t="shared" si="0"/>
        <v>0</v>
      </c>
      <c r="AG98" s="20">
        <f t="shared" si="0"/>
        <v>1.6599979638319309E-6</v>
      </c>
      <c r="AH98" s="20">
        <f t="shared" si="0"/>
        <v>7.4303613350883875E-8</v>
      </c>
      <c r="AI98" s="20">
        <f t="shared" si="0"/>
        <v>1.7459159191867565E-6</v>
      </c>
      <c r="AJ98" s="20">
        <f t="shared" si="0"/>
        <v>1.3840151072436592E-4</v>
      </c>
      <c r="AK98" s="20">
        <f t="shared" si="0"/>
        <v>1.3926096024701685E-3</v>
      </c>
      <c r="AL98" s="20">
        <f t="shared" si="0"/>
        <v>0</v>
      </c>
      <c r="AM98" s="20">
        <f t="shared" si="0"/>
        <v>2.5750450114062678E-7</v>
      </c>
      <c r="AN98" s="20">
        <f t="shared" si="0"/>
        <v>0</v>
      </c>
      <c r="AO98" s="20">
        <f t="shared" si="0"/>
        <v>0</v>
      </c>
      <c r="AP98" s="20">
        <f t="shared" si="0"/>
        <v>2.6405002145421342E-2</v>
      </c>
      <c r="AQ98" s="20">
        <f t="shared" si="0"/>
        <v>5.7003190105860612E-4</v>
      </c>
      <c r="AR98" s="20">
        <f t="shared" si="0"/>
        <v>5.1243427694773054E-6</v>
      </c>
      <c r="AS98" s="20">
        <f t="shared" si="0"/>
        <v>8.9363973677641787E-6</v>
      </c>
      <c r="AT98" s="20">
        <f t="shared" si="0"/>
        <v>1.3742382747814424E-6</v>
      </c>
      <c r="AU98" s="20">
        <f t="shared" si="0"/>
        <v>0</v>
      </c>
      <c r="AV98" s="20">
        <f t="shared" si="0"/>
        <v>0</v>
      </c>
      <c r="AW98" s="20">
        <f t="shared" si="0"/>
        <v>0</v>
      </c>
      <c r="AX98" s="20">
        <f t="shared" si="0"/>
        <v>4.601366274298142E-6</v>
      </c>
      <c r="AY98" s="20">
        <f t="shared" si="0"/>
        <v>0</v>
      </c>
      <c r="AZ98" s="20">
        <f t="shared" si="0"/>
        <v>5.6932381005248827E-7</v>
      </c>
      <c r="BA98" s="20">
        <f t="shared" si="0"/>
        <v>0</v>
      </c>
      <c r="BB98" s="20">
        <f t="shared" si="0"/>
        <v>0</v>
      </c>
      <c r="BC98" s="20">
        <f t="shared" si="0"/>
        <v>0</v>
      </c>
      <c r="BD98" s="20">
        <f t="shared" si="0"/>
        <v>0</v>
      </c>
      <c r="BE98" s="20">
        <f t="shared" si="0"/>
        <v>1.2092871866346466E-3</v>
      </c>
      <c r="BF98" s="20">
        <f t="shared" si="0"/>
        <v>0</v>
      </c>
      <c r="BG98" s="20">
        <f t="shared" si="0"/>
        <v>0</v>
      </c>
      <c r="BH98" s="20">
        <f t="shared" si="0"/>
        <v>0</v>
      </c>
      <c r="BI98" s="20"/>
      <c r="BJ98" s="20"/>
      <c r="BK98" s="20">
        <f>SUM(BK2:BK96)</f>
        <v>4.0348239441473934</v>
      </c>
      <c r="BL98" s="20">
        <f>SUM(BL2:BL96)</f>
        <v>1.5997500000000002</v>
      </c>
      <c r="BM98" s="20"/>
      <c r="BN98" s="20">
        <f>SUM(BN2:BN96)</f>
        <v>3.5664741165987226</v>
      </c>
      <c r="BO98" s="20">
        <f>SUM(BO2:BO96)</f>
        <v>7.2350735294352377</v>
      </c>
      <c r="BP98" s="20">
        <f>SUM(BP2:BP96)</f>
        <v>4.4754664179988461</v>
      </c>
      <c r="BQ98" s="20"/>
      <c r="BR98" s="20">
        <f>SUM(BR2:BR96)</f>
        <v>23.45290860635269</v>
      </c>
    </row>
    <row r="99" spans="1:70" x14ac:dyDescent="0.35">
      <c r="A99" s="21" t="s">
        <v>399</v>
      </c>
      <c r="B99" s="21" t="s">
        <v>238</v>
      </c>
      <c r="C99" s="20">
        <f>SUM(C2:C95)</f>
        <v>100.00000000000001</v>
      </c>
      <c r="D99" s="20">
        <f>SUM(D2:D95)</f>
        <v>63.54286297281822</v>
      </c>
      <c r="E99" s="20">
        <f t="shared" ref="E99:K99" si="1">SUM(E2:E95)</f>
        <v>36.460108583203159</v>
      </c>
      <c r="F99" s="20">
        <f t="shared" si="1"/>
        <v>35.170813722096803</v>
      </c>
      <c r="G99" s="20">
        <f t="shared" si="1"/>
        <v>1.2892948611063673</v>
      </c>
      <c r="H99" s="20">
        <f t="shared" si="1"/>
        <v>1748.0370779513639</v>
      </c>
      <c r="I99" s="20">
        <f t="shared" si="1"/>
        <v>49127.849334222614</v>
      </c>
      <c r="J99" s="20">
        <f t="shared" si="1"/>
        <v>17.029701033116709</v>
      </c>
      <c r="K99" s="20">
        <f t="shared" si="1"/>
        <v>16.986210767615464</v>
      </c>
      <c r="L99" s="20">
        <f>SUM(L2:L95)</f>
        <v>0</v>
      </c>
      <c r="M99" s="20">
        <f>SUM(M2:M95)</f>
        <v>5.0059990179053104E-2</v>
      </c>
      <c r="N99" s="20">
        <f t="shared" ref="N99:BR99" si="2">SUM(N2:N95)</f>
        <v>5.8814381593712245E-2</v>
      </c>
      <c r="O99" s="20">
        <f t="shared" si="2"/>
        <v>0</v>
      </c>
      <c r="P99" s="20">
        <f t="shared" si="2"/>
        <v>2.510983363965487</v>
      </c>
      <c r="Q99" s="20">
        <f t="shared" si="2"/>
        <v>0.30131368964323607</v>
      </c>
      <c r="R99" s="20">
        <f t="shared" si="2"/>
        <v>1.1968673713575604</v>
      </c>
      <c r="S99" s="20">
        <f t="shared" si="2"/>
        <v>0.10442149227055884</v>
      </c>
      <c r="T99" s="20">
        <f t="shared" si="2"/>
        <v>14.358475535175483</v>
      </c>
      <c r="U99" s="20">
        <f t="shared" si="2"/>
        <v>0.14672942792229682</v>
      </c>
      <c r="V99" s="20">
        <f t="shared" si="2"/>
        <v>0.25691108766930559</v>
      </c>
      <c r="W99" s="20">
        <f t="shared" si="2"/>
        <v>0</v>
      </c>
      <c r="X99" s="20">
        <f t="shared" si="2"/>
        <v>0</v>
      </c>
      <c r="Y99" s="20">
        <f t="shared" si="2"/>
        <v>0</v>
      </c>
      <c r="Z99" s="20">
        <f t="shared" si="2"/>
        <v>1.0264519569912673E-5</v>
      </c>
      <c r="AA99" s="20">
        <f t="shared" si="2"/>
        <v>0</v>
      </c>
      <c r="AB99" s="20">
        <f t="shared" si="2"/>
        <v>0</v>
      </c>
      <c r="AC99" s="20">
        <f t="shared" si="2"/>
        <v>0</v>
      </c>
      <c r="AD99" s="20">
        <f t="shared" si="2"/>
        <v>0</v>
      </c>
      <c r="AE99" s="20">
        <f t="shared" si="2"/>
        <v>0</v>
      </c>
      <c r="AF99" s="20">
        <f t="shared" si="2"/>
        <v>0</v>
      </c>
      <c r="AG99" s="20">
        <f t="shared" si="2"/>
        <v>1.6599979638319309E-6</v>
      </c>
      <c r="AH99" s="20">
        <f t="shared" si="2"/>
        <v>7.4303613350883875E-8</v>
      </c>
      <c r="AI99" s="20">
        <f t="shared" si="2"/>
        <v>1.7459159191867565E-6</v>
      </c>
      <c r="AJ99" s="20">
        <f t="shared" si="2"/>
        <v>1.3840151072436592E-4</v>
      </c>
      <c r="AK99" s="20">
        <f t="shared" si="2"/>
        <v>1.3926096024701685E-3</v>
      </c>
      <c r="AL99" s="20">
        <f t="shared" si="2"/>
        <v>0</v>
      </c>
      <c r="AM99" s="20">
        <f t="shared" si="2"/>
        <v>2.5750450114062678E-7</v>
      </c>
      <c r="AN99" s="20">
        <f t="shared" si="2"/>
        <v>0</v>
      </c>
      <c r="AO99" s="20">
        <f t="shared" si="2"/>
        <v>0</v>
      </c>
      <c r="AP99" s="20">
        <f t="shared" si="2"/>
        <v>2.6405002145421342E-2</v>
      </c>
      <c r="AQ99" s="20">
        <f t="shared" si="2"/>
        <v>5.7003190105860612E-4</v>
      </c>
      <c r="AR99" s="20">
        <f t="shared" si="2"/>
        <v>5.1243427694773054E-6</v>
      </c>
      <c r="AS99" s="20">
        <f t="shared" si="2"/>
        <v>8.9363973677641787E-6</v>
      </c>
      <c r="AT99" s="20">
        <f t="shared" si="2"/>
        <v>1.3742382747814424E-6</v>
      </c>
      <c r="AU99" s="20">
        <f t="shared" si="2"/>
        <v>0</v>
      </c>
      <c r="AV99" s="20">
        <f t="shared" si="2"/>
        <v>0</v>
      </c>
      <c r="AW99" s="20">
        <f t="shared" si="2"/>
        <v>0</v>
      </c>
      <c r="AX99" s="20">
        <f t="shared" si="2"/>
        <v>4.601366274298142E-6</v>
      </c>
      <c r="AY99" s="20">
        <f t="shared" si="2"/>
        <v>0</v>
      </c>
      <c r="AZ99" s="20">
        <f t="shared" si="2"/>
        <v>5.6932381005248827E-7</v>
      </c>
      <c r="BA99" s="20">
        <f t="shared" si="2"/>
        <v>0</v>
      </c>
      <c r="BB99" s="20">
        <f t="shared" si="2"/>
        <v>0</v>
      </c>
      <c r="BC99" s="20">
        <f t="shared" si="2"/>
        <v>0</v>
      </c>
      <c r="BD99" s="20">
        <f t="shared" si="2"/>
        <v>0</v>
      </c>
      <c r="BE99" s="20">
        <f t="shared" si="2"/>
        <v>1.2092871866346466E-3</v>
      </c>
      <c r="BF99" s="20">
        <f t="shared" si="2"/>
        <v>0</v>
      </c>
      <c r="BG99" s="20">
        <f t="shared" si="2"/>
        <v>0</v>
      </c>
      <c r="BH99" s="20">
        <f t="shared" si="2"/>
        <v>0</v>
      </c>
      <c r="BI99" s="20">
        <f t="shared" si="2"/>
        <v>448.87087919099901</v>
      </c>
      <c r="BJ99" s="20">
        <f t="shared" si="2"/>
        <v>373.53752414008329</v>
      </c>
      <c r="BK99" s="20">
        <f t="shared" si="2"/>
        <v>0.33357394414739339</v>
      </c>
      <c r="BL99" s="20">
        <f t="shared" si="2"/>
        <v>0</v>
      </c>
      <c r="BM99" s="20">
        <f t="shared" si="2"/>
        <v>0</v>
      </c>
      <c r="BN99" s="20">
        <f t="shared" si="2"/>
        <v>6.2099116598721929E-2</v>
      </c>
      <c r="BO99" s="20">
        <f t="shared" si="2"/>
        <v>7.2350735294352377</v>
      </c>
      <c r="BP99" s="20">
        <f t="shared" si="2"/>
        <v>4.4754664179988461</v>
      </c>
      <c r="BQ99" s="20">
        <f t="shared" si="2"/>
        <v>0</v>
      </c>
      <c r="BR99" s="20">
        <f t="shared" si="2"/>
        <v>23.45290860635269</v>
      </c>
    </row>
    <row r="100" spans="1:70" x14ac:dyDescent="0.35">
      <c r="E100" s="20"/>
    </row>
    <row r="101" spans="1:70" x14ac:dyDescent="0.35">
      <c r="J101">
        <f>J99/$F$99</f>
        <v>0.48419980179240041</v>
      </c>
      <c r="K101">
        <f>K99/$F$99</f>
        <v>0.48296325759854458</v>
      </c>
      <c r="L101">
        <f t="shared" ref="L101:BR101" si="3">L99/$F$99</f>
        <v>0</v>
      </c>
      <c r="M101">
        <f t="shared" si="3"/>
        <v>1.4233389814237328E-3</v>
      </c>
      <c r="N101">
        <f t="shared" si="3"/>
        <v>1.6722496686723196E-3</v>
      </c>
      <c r="O101">
        <f t="shared" si="3"/>
        <v>0</v>
      </c>
      <c r="P101">
        <f t="shared" si="3"/>
        <v>7.1393951354270457E-2</v>
      </c>
      <c r="Q101">
        <f t="shared" si="3"/>
        <v>8.5671515030637298E-3</v>
      </c>
      <c r="R101">
        <f t="shared" si="3"/>
        <v>3.4030130232830053E-2</v>
      </c>
      <c r="S101">
        <f t="shared" si="3"/>
        <v>2.9689814144093531E-3</v>
      </c>
      <c r="T101">
        <f t="shared" si="3"/>
        <v>0.40824973936143161</v>
      </c>
      <c r="U101">
        <f t="shared" si="3"/>
        <v>4.1719088185358357E-3</v>
      </c>
      <c r="V101">
        <f t="shared" si="3"/>
        <v>7.3046671509876329E-3</v>
      </c>
      <c r="W101">
        <f t="shared" si="3"/>
        <v>0</v>
      </c>
      <c r="X101">
        <f t="shared" si="3"/>
        <v>0</v>
      </c>
      <c r="Y101">
        <f t="shared" si="3"/>
        <v>0</v>
      </c>
      <c r="Z101">
        <f t="shared" si="3"/>
        <v>2.9184765672520603E-7</v>
      </c>
      <c r="AA101">
        <f t="shared" si="3"/>
        <v>0</v>
      </c>
      <c r="AB101">
        <f t="shared" si="3"/>
        <v>0</v>
      </c>
      <c r="AC101">
        <f t="shared" si="3"/>
        <v>0</v>
      </c>
      <c r="AD101">
        <f t="shared" si="3"/>
        <v>0</v>
      </c>
      <c r="AE101">
        <f t="shared" si="3"/>
        <v>0</v>
      </c>
      <c r="AF101">
        <f t="shared" si="3"/>
        <v>0</v>
      </c>
      <c r="AG101">
        <f t="shared" si="3"/>
        <v>4.7198167689506776E-8</v>
      </c>
      <c r="AH101">
        <f t="shared" si="3"/>
        <v>2.1126498220369883E-9</v>
      </c>
      <c r="AI101">
        <f t="shared" si="3"/>
        <v>4.9641044218713888E-8</v>
      </c>
      <c r="AJ101">
        <f t="shared" si="3"/>
        <v>3.9351239302550526E-6</v>
      </c>
      <c r="AK101">
        <f t="shared" si="3"/>
        <v>3.9595603714884544E-5</v>
      </c>
      <c r="AL101">
        <f t="shared" si="3"/>
        <v>0</v>
      </c>
      <c r="AM101">
        <f t="shared" si="3"/>
        <v>7.3215394780258996E-9</v>
      </c>
      <c r="AN101">
        <f t="shared" si="3"/>
        <v>0</v>
      </c>
      <c r="AO101">
        <f t="shared" si="3"/>
        <v>0</v>
      </c>
      <c r="AP101">
        <f t="shared" si="3"/>
        <v>7.5076460709897776E-4</v>
      </c>
      <c r="AQ101">
        <f t="shared" si="3"/>
        <v>1.620752666010885E-5</v>
      </c>
      <c r="AR101">
        <f t="shared" si="3"/>
        <v>1.4569872650566027E-7</v>
      </c>
      <c r="AS101">
        <f t="shared" si="3"/>
        <v>2.5408560172577695E-7</v>
      </c>
      <c r="AT101">
        <f t="shared" si="3"/>
        <v>3.9073257890477758E-8</v>
      </c>
      <c r="AU101">
        <f t="shared" si="3"/>
        <v>0</v>
      </c>
      <c r="AV101">
        <f t="shared" si="3"/>
        <v>0</v>
      </c>
      <c r="AW101">
        <f t="shared" si="3"/>
        <v>0</v>
      </c>
      <c r="AX101">
        <f t="shared" si="3"/>
        <v>1.308291104850735E-7</v>
      </c>
      <c r="AY101">
        <f t="shared" si="3"/>
        <v>0</v>
      </c>
      <c r="AZ101">
        <f t="shared" si="3"/>
        <v>1.6187393745024403E-8</v>
      </c>
      <c r="BA101">
        <f t="shared" si="3"/>
        <v>0</v>
      </c>
      <c r="BB101">
        <f t="shared" si="3"/>
        <v>0</v>
      </c>
      <c r="BC101">
        <f t="shared" si="3"/>
        <v>0</v>
      </c>
      <c r="BD101">
        <f t="shared" si="3"/>
        <v>0</v>
      </c>
      <c r="BE101">
        <f t="shared" si="3"/>
        <v>3.4383258692558666E-5</v>
      </c>
      <c r="BF101">
        <f t="shared" si="3"/>
        <v>0</v>
      </c>
      <c r="BG101">
        <f t="shared" si="3"/>
        <v>0</v>
      </c>
      <c r="BH101">
        <f t="shared" si="3"/>
        <v>0</v>
      </c>
      <c r="BI101">
        <f t="shared" si="3"/>
        <v>12.762595791435626</v>
      </c>
      <c r="BJ101">
        <f t="shared" si="3"/>
        <v>10.620667667560973</v>
      </c>
      <c r="BK101">
        <f t="shared" si="3"/>
        <v>9.4843965449061696E-3</v>
      </c>
      <c r="BL101">
        <f t="shared" si="3"/>
        <v>0</v>
      </c>
      <c r="BM101">
        <f t="shared" si="3"/>
        <v>0</v>
      </c>
      <c r="BN101">
        <f t="shared" si="3"/>
        <v>1.7656434420141624E-3</v>
      </c>
      <c r="BO101">
        <f t="shared" si="3"/>
        <v>0.20571242924896135</v>
      </c>
      <c r="BP101">
        <f t="shared" si="3"/>
        <v>0.12724944191970858</v>
      </c>
      <c r="BQ101">
        <f t="shared" si="3"/>
        <v>0</v>
      </c>
      <c r="BR101">
        <f t="shared" si="3"/>
        <v>0.66682871746063432</v>
      </c>
    </row>
    <row r="104" spans="1:70" x14ac:dyDescent="0.35">
      <c r="A104" t="s">
        <v>282</v>
      </c>
      <c r="B104">
        <f>J98/R98</f>
        <v>14.228561527080965</v>
      </c>
    </row>
    <row r="105" spans="1:70" x14ac:dyDescent="0.35">
      <c r="A105" t="s">
        <v>281</v>
      </c>
      <c r="B105">
        <v>200</v>
      </c>
    </row>
    <row r="106" spans="1:70" x14ac:dyDescent="0.35">
      <c r="A106" t="s">
        <v>283</v>
      </c>
      <c r="B106">
        <f>((C98*B104)-(30*C98))/(30-B105)</f>
        <v>10.436981342372892</v>
      </c>
    </row>
    <row r="107" spans="1:70" x14ac:dyDescent="0.35">
      <c r="A107" t="s">
        <v>284</v>
      </c>
      <c r="B107">
        <f>((C98*B104)+(B106*B105))/(C98+B106)</f>
        <v>30</v>
      </c>
    </row>
  </sheetData>
  <autoFilter ref="B1:B98" xr:uid="{E7A6784E-BF82-44AE-9148-7D415828910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E0657-BE6C-45BC-B891-D54361BD0D37}">
  <sheetPr codeName="Feuil3"/>
  <dimension ref="A1:R82"/>
  <sheetViews>
    <sheetView topLeftCell="A8" zoomScale="85" zoomScaleNormal="85" workbookViewId="0">
      <selection activeCell="B22" sqref="B22"/>
    </sheetView>
  </sheetViews>
  <sheetFormatPr baseColWidth="10" defaultRowHeight="14.5" x14ac:dyDescent="0.35"/>
  <cols>
    <col min="1" max="1" width="48.7265625" customWidth="1"/>
    <col min="2" max="2" width="17.90625" customWidth="1"/>
    <col min="3" max="3" width="20.90625" customWidth="1"/>
    <col min="4" max="4" width="24.453125" customWidth="1"/>
    <col min="5" max="5" width="11.1796875" bestFit="1" customWidth="1"/>
    <col min="6" max="11" width="10.90625" hidden="1" customWidth="1"/>
    <col min="12" max="12" width="15" bestFit="1" customWidth="1"/>
    <col min="14" max="14" width="0" hidden="1" customWidth="1"/>
    <col min="15" max="15" width="13.90625" bestFit="1" customWidth="1"/>
    <col min="16" max="18" width="11.81640625" bestFit="1" customWidth="1"/>
  </cols>
  <sheetData>
    <row r="1" spans="1:18" x14ac:dyDescent="0.35">
      <c r="A1" s="1" t="s">
        <v>285</v>
      </c>
      <c r="B1" s="1" t="s">
        <v>269</v>
      </c>
      <c r="C1" s="1" t="s">
        <v>362</v>
      </c>
      <c r="D1" s="1" t="s">
        <v>0</v>
      </c>
      <c r="E1" s="1" t="s">
        <v>363</v>
      </c>
      <c r="F1" s="1" t="s">
        <v>1</v>
      </c>
      <c r="G1" s="1" t="s">
        <v>6</v>
      </c>
      <c r="H1" s="1" t="s">
        <v>255</v>
      </c>
      <c r="I1" s="1" t="s">
        <v>257</v>
      </c>
      <c r="L1" s="1" t="s">
        <v>388</v>
      </c>
      <c r="N1" t="s">
        <v>271</v>
      </c>
      <c r="O1" t="s">
        <v>292</v>
      </c>
      <c r="P1" t="s">
        <v>293</v>
      </c>
      <c r="Q1" t="s">
        <v>297</v>
      </c>
      <c r="R1" t="s">
        <v>298</v>
      </c>
    </row>
    <row r="2" spans="1:18" x14ac:dyDescent="0.35">
      <c r="A2" s="2" t="s">
        <v>1</v>
      </c>
      <c r="B2" s="2">
        <f>mass_composition!BR98/B52</f>
        <v>0.20847029872313499</v>
      </c>
      <c r="C2" s="2" t="s">
        <v>288</v>
      </c>
      <c r="D2" s="2" t="s">
        <v>2</v>
      </c>
      <c r="E2" s="2" t="s">
        <v>254</v>
      </c>
      <c r="F2">
        <v>6</v>
      </c>
      <c r="G2">
        <v>12</v>
      </c>
      <c r="H2">
        <v>6</v>
      </c>
      <c r="L2">
        <f>($F2*12)+($G2*1)+($H2*16)+($I2*14)</f>
        <v>180</v>
      </c>
      <c r="N2">
        <f t="shared" ref="N2:N7" si="0">(B2*B$52)/(L2*0.001)</f>
        <v>130.29393670195938</v>
      </c>
      <c r="O2">
        <f>F2*N2*12</f>
        <v>9381.1634425410739</v>
      </c>
      <c r="Q2">
        <f>G2*N2*1</f>
        <v>1563.5272404235125</v>
      </c>
      <c r="R2">
        <f>H2*N2*16</f>
        <v>12508.2179233881</v>
      </c>
    </row>
    <row r="3" spans="1:18" x14ac:dyDescent="0.35">
      <c r="A3" s="2" t="s">
        <v>397</v>
      </c>
      <c r="B3" s="2">
        <f>mass_composition!BO98/B52</f>
        <v>6.4311764706090999E-2</v>
      </c>
      <c r="C3" s="2" t="s">
        <v>288</v>
      </c>
      <c r="D3" s="2" t="s">
        <v>243</v>
      </c>
      <c r="E3" s="2" t="s">
        <v>256</v>
      </c>
      <c r="F3">
        <v>16</v>
      </c>
      <c r="G3">
        <v>24</v>
      </c>
      <c r="H3">
        <v>5</v>
      </c>
      <c r="I3">
        <v>4</v>
      </c>
      <c r="L3">
        <f t="shared" ref="L3:L39" si="1">($F3*12)+($G3*1)+($H3*16)+($I3*14)</f>
        <v>352</v>
      </c>
      <c r="N3">
        <f t="shared" si="0"/>
        <v>20.554186163168293</v>
      </c>
      <c r="O3">
        <f>F3*N3*12</f>
        <v>3946.403743328312</v>
      </c>
      <c r="P3">
        <f>I3*N3*14</f>
        <v>1151.0344251374245</v>
      </c>
      <c r="Q3">
        <f t="shared" ref="Q3:Q39" si="2">G3*N3*1</f>
        <v>493.300467916039</v>
      </c>
      <c r="R3">
        <f t="shared" ref="R3:R39" si="3">H3*N3*16</f>
        <v>1644.3348930534635</v>
      </c>
    </row>
    <row r="4" spans="1:18" x14ac:dyDescent="0.35">
      <c r="A4" s="2" t="s">
        <v>4</v>
      </c>
      <c r="B4" s="2">
        <f>mass_composition!BP98/B52</f>
        <v>3.9781923715545293E-2</v>
      </c>
      <c r="C4" s="2" t="s">
        <v>288</v>
      </c>
      <c r="D4" s="2" t="s">
        <v>5</v>
      </c>
      <c r="E4" s="2" t="s">
        <v>258</v>
      </c>
      <c r="F4">
        <v>25</v>
      </c>
      <c r="G4">
        <v>45</v>
      </c>
      <c r="H4">
        <v>3</v>
      </c>
      <c r="L4">
        <f t="shared" si="1"/>
        <v>393</v>
      </c>
      <c r="N4">
        <f t="shared" si="0"/>
        <v>11.387955262083578</v>
      </c>
      <c r="O4">
        <f>F4*N4*12</f>
        <v>3416.3865786250735</v>
      </c>
      <c r="P4">
        <f t="shared" ref="P4:P39" si="4">I4*N4*14</f>
        <v>0</v>
      </c>
      <c r="Q4">
        <f t="shared" si="2"/>
        <v>512.45798679376105</v>
      </c>
      <c r="R4">
        <f t="shared" si="3"/>
        <v>546.6218525800117</v>
      </c>
    </row>
    <row r="5" spans="1:18" x14ac:dyDescent="0.35">
      <c r="A5" s="2" t="s">
        <v>262</v>
      </c>
      <c r="B5" s="2">
        <f>mass_composition!BL98/B52</f>
        <v>1.422E-2</v>
      </c>
      <c r="C5" s="2" t="s">
        <v>288</v>
      </c>
      <c r="D5" s="2" t="s">
        <v>7</v>
      </c>
      <c r="E5" s="2" t="s">
        <v>259</v>
      </c>
      <c r="F5">
        <v>10</v>
      </c>
      <c r="G5">
        <v>18</v>
      </c>
      <c r="H5">
        <v>9</v>
      </c>
      <c r="L5">
        <f t="shared" si="1"/>
        <v>282</v>
      </c>
      <c r="N5">
        <f t="shared" si="0"/>
        <v>5.6728723404255321</v>
      </c>
      <c r="O5">
        <f t="shared" ref="O5:O39" si="5">F5*N5*12</f>
        <v>680.74468085106378</v>
      </c>
      <c r="P5">
        <f t="shared" si="4"/>
        <v>0</v>
      </c>
      <c r="Q5">
        <f t="shared" si="2"/>
        <v>102.11170212765958</v>
      </c>
      <c r="R5">
        <f t="shared" si="3"/>
        <v>816.89361702127667</v>
      </c>
    </row>
    <row r="6" spans="1:18" x14ac:dyDescent="0.35">
      <c r="A6" s="2" t="s">
        <v>8</v>
      </c>
      <c r="B6" s="2">
        <f>mass_composition!BK98/B52</f>
        <v>3.5865101725754606E-2</v>
      </c>
      <c r="C6" s="2" t="s">
        <v>288</v>
      </c>
      <c r="D6" s="2" t="s">
        <v>9</v>
      </c>
      <c r="E6" s="2" t="s">
        <v>260</v>
      </c>
      <c r="F6">
        <v>6</v>
      </c>
      <c r="G6">
        <v>12</v>
      </c>
      <c r="H6">
        <v>6</v>
      </c>
      <c r="L6">
        <v>180</v>
      </c>
      <c r="N6">
        <f t="shared" si="0"/>
        <v>22.41568857859663</v>
      </c>
      <c r="O6">
        <f t="shared" si="5"/>
        <v>1613.9295776589574</v>
      </c>
      <c r="P6">
        <f t="shared" si="4"/>
        <v>0</v>
      </c>
      <c r="Q6">
        <f t="shared" si="2"/>
        <v>268.98826294315955</v>
      </c>
      <c r="R6">
        <f t="shared" si="3"/>
        <v>2151.9061035452764</v>
      </c>
    </row>
    <row r="7" spans="1:18" x14ac:dyDescent="0.35">
      <c r="A7" s="2" t="s">
        <v>14</v>
      </c>
      <c r="B7" s="2">
        <f>mass_composition!BN98/B52</f>
        <v>3.1701992147544197E-2</v>
      </c>
      <c r="C7" s="2" t="s">
        <v>288</v>
      </c>
      <c r="D7" s="2" t="s">
        <v>15</v>
      </c>
      <c r="E7" s="2" t="s">
        <v>261</v>
      </c>
      <c r="F7">
        <v>20</v>
      </c>
      <c r="G7">
        <v>30</v>
      </c>
      <c r="H7">
        <v>6</v>
      </c>
      <c r="L7">
        <f t="shared" si="1"/>
        <v>366</v>
      </c>
      <c r="N7">
        <f t="shared" si="0"/>
        <v>9.7444647994500624</v>
      </c>
      <c r="O7">
        <f t="shared" si="5"/>
        <v>2338.6715518680148</v>
      </c>
      <c r="P7">
        <f t="shared" si="4"/>
        <v>0</v>
      </c>
      <c r="Q7">
        <f t="shared" si="2"/>
        <v>292.33394398350185</v>
      </c>
      <c r="R7">
        <f t="shared" si="3"/>
        <v>935.46862074720593</v>
      </c>
    </row>
    <row r="8" spans="1:18" x14ac:dyDescent="0.35">
      <c r="A8" s="2" t="s">
        <v>252</v>
      </c>
      <c r="B8" s="2">
        <f>mass_composition!G98/B52</f>
        <v>1.3850398765389932E-2</v>
      </c>
      <c r="C8" s="2" t="s">
        <v>288</v>
      </c>
      <c r="D8" s="2" t="s">
        <v>253</v>
      </c>
      <c r="L8">
        <f t="shared" si="1"/>
        <v>0</v>
      </c>
      <c r="P8">
        <f t="shared" si="4"/>
        <v>0</v>
      </c>
      <c r="Q8">
        <f t="shared" si="2"/>
        <v>0</v>
      </c>
      <c r="R8">
        <f t="shared" si="3"/>
        <v>0</v>
      </c>
    </row>
    <row r="9" spans="1:18" x14ac:dyDescent="0.35">
      <c r="A9" s="2" t="s">
        <v>10</v>
      </c>
      <c r="B9" s="2">
        <v>0</v>
      </c>
      <c r="C9" s="2" t="s">
        <v>288</v>
      </c>
      <c r="D9" s="2" t="s">
        <v>18</v>
      </c>
      <c r="E9" s="2" t="s">
        <v>254</v>
      </c>
      <c r="F9">
        <v>6</v>
      </c>
      <c r="G9">
        <v>12</v>
      </c>
      <c r="H9">
        <v>6</v>
      </c>
      <c r="L9">
        <f t="shared" si="1"/>
        <v>180</v>
      </c>
      <c r="N9">
        <f t="shared" ref="N9:N20" si="6">(B9*B$52)/(L9*0.001)</f>
        <v>0</v>
      </c>
      <c r="O9">
        <f t="shared" si="5"/>
        <v>0</v>
      </c>
      <c r="P9">
        <f t="shared" si="4"/>
        <v>0</v>
      </c>
      <c r="Q9">
        <f t="shared" si="2"/>
        <v>0</v>
      </c>
      <c r="R9">
        <f t="shared" si="3"/>
        <v>0</v>
      </c>
    </row>
    <row r="10" spans="1:18" x14ac:dyDescent="0.35">
      <c r="A10" s="2" t="s">
        <v>11</v>
      </c>
      <c r="B10" s="2">
        <v>0</v>
      </c>
      <c r="C10" s="2" t="s">
        <v>288</v>
      </c>
      <c r="D10" s="2" t="s">
        <v>19</v>
      </c>
      <c r="E10" s="2" t="s">
        <v>256</v>
      </c>
      <c r="F10">
        <v>16</v>
      </c>
      <c r="G10">
        <v>24</v>
      </c>
      <c r="H10">
        <v>5</v>
      </c>
      <c r="I10">
        <v>4</v>
      </c>
      <c r="L10">
        <f t="shared" si="1"/>
        <v>352</v>
      </c>
      <c r="N10">
        <f t="shared" si="6"/>
        <v>0</v>
      </c>
      <c r="O10">
        <f t="shared" si="5"/>
        <v>0</v>
      </c>
      <c r="P10">
        <f t="shared" si="4"/>
        <v>0</v>
      </c>
      <c r="Q10">
        <f t="shared" si="2"/>
        <v>0</v>
      </c>
      <c r="R10">
        <f t="shared" si="3"/>
        <v>0</v>
      </c>
    </row>
    <row r="11" spans="1:18" x14ac:dyDescent="0.35">
      <c r="A11" s="2" t="s">
        <v>12</v>
      </c>
      <c r="B11" s="2">
        <v>0</v>
      </c>
      <c r="C11" s="2" t="s">
        <v>288</v>
      </c>
      <c r="D11" s="2" t="s">
        <v>20</v>
      </c>
      <c r="E11" s="2" t="s">
        <v>258</v>
      </c>
      <c r="F11">
        <v>25</v>
      </c>
      <c r="G11">
        <v>45</v>
      </c>
      <c r="H11">
        <v>3</v>
      </c>
      <c r="L11">
        <f t="shared" si="1"/>
        <v>393</v>
      </c>
      <c r="N11">
        <f t="shared" si="6"/>
        <v>0</v>
      </c>
      <c r="O11">
        <f t="shared" si="5"/>
        <v>0</v>
      </c>
      <c r="P11">
        <f t="shared" si="4"/>
        <v>0</v>
      </c>
      <c r="Q11">
        <f t="shared" si="2"/>
        <v>0</v>
      </c>
      <c r="R11">
        <f t="shared" si="3"/>
        <v>0</v>
      </c>
    </row>
    <row r="12" spans="1:18" x14ac:dyDescent="0.35">
      <c r="A12" s="2" t="s">
        <v>13</v>
      </c>
      <c r="B12" s="2">
        <v>0</v>
      </c>
      <c r="C12" s="2" t="s">
        <v>288</v>
      </c>
      <c r="D12" s="2" t="s">
        <v>21</v>
      </c>
      <c r="E12" s="2" t="s">
        <v>259</v>
      </c>
      <c r="F12">
        <v>10</v>
      </c>
      <c r="G12">
        <v>18</v>
      </c>
      <c r="H12">
        <v>9</v>
      </c>
      <c r="L12">
        <f t="shared" si="1"/>
        <v>282</v>
      </c>
      <c r="N12">
        <f t="shared" si="6"/>
        <v>0</v>
      </c>
      <c r="O12">
        <f t="shared" si="5"/>
        <v>0</v>
      </c>
      <c r="P12">
        <f t="shared" si="4"/>
        <v>0</v>
      </c>
      <c r="Q12">
        <f t="shared" si="2"/>
        <v>0</v>
      </c>
      <c r="R12">
        <f t="shared" si="3"/>
        <v>0</v>
      </c>
    </row>
    <row r="13" spans="1:18" x14ac:dyDescent="0.35">
      <c r="A13" s="2" t="s">
        <v>16</v>
      </c>
      <c r="B13" s="2">
        <v>0</v>
      </c>
      <c r="C13" s="2" t="s">
        <v>288</v>
      </c>
      <c r="D13" s="2" t="s">
        <v>22</v>
      </c>
      <c r="E13" s="2" t="s">
        <v>261</v>
      </c>
      <c r="F13">
        <v>20</v>
      </c>
      <c r="G13">
        <v>30</v>
      </c>
      <c r="H13">
        <v>6</v>
      </c>
      <c r="L13">
        <f t="shared" si="1"/>
        <v>366</v>
      </c>
      <c r="N13">
        <f t="shared" si="6"/>
        <v>0</v>
      </c>
      <c r="O13">
        <f t="shared" si="5"/>
        <v>0</v>
      </c>
      <c r="P13">
        <f t="shared" si="4"/>
        <v>0</v>
      </c>
      <c r="Q13">
        <f t="shared" si="2"/>
        <v>0</v>
      </c>
      <c r="R13">
        <f t="shared" si="3"/>
        <v>0</v>
      </c>
    </row>
    <row r="14" spans="1:18" x14ac:dyDescent="0.35">
      <c r="A14" s="2" t="s">
        <v>17</v>
      </c>
      <c r="B14" s="25">
        <v>5.0000000000000001E-4</v>
      </c>
      <c r="C14" s="2" t="s">
        <v>288</v>
      </c>
      <c r="D14" s="2" t="s">
        <v>23</v>
      </c>
      <c r="E14" s="2" t="s">
        <v>263</v>
      </c>
      <c r="F14">
        <v>5</v>
      </c>
      <c r="G14">
        <v>7</v>
      </c>
      <c r="H14">
        <v>2</v>
      </c>
      <c r="I14">
        <v>1</v>
      </c>
      <c r="L14">
        <f>($F14*12)+($G14*1)+($H14*16)+($I14*14)</f>
        <v>113</v>
      </c>
      <c r="N14">
        <f t="shared" si="6"/>
        <v>0.49778761061946908</v>
      </c>
      <c r="O14">
        <f t="shared" si="5"/>
        <v>29.867256637168143</v>
      </c>
      <c r="P14">
        <f t="shared" si="4"/>
        <v>6.9690265486725673</v>
      </c>
      <c r="Q14">
        <f t="shared" si="2"/>
        <v>3.4845132743362837</v>
      </c>
      <c r="R14">
        <f t="shared" si="3"/>
        <v>15.929203539823011</v>
      </c>
    </row>
    <row r="15" spans="1:18" x14ac:dyDescent="0.35">
      <c r="A15" s="2" t="s">
        <v>24</v>
      </c>
      <c r="B15" s="25">
        <v>5.0000000000000001E-4</v>
      </c>
      <c r="C15" s="2" t="s">
        <v>288</v>
      </c>
      <c r="D15" s="2" t="s">
        <v>25</v>
      </c>
      <c r="E15" s="2" t="s">
        <v>263</v>
      </c>
      <c r="F15">
        <v>5</v>
      </c>
      <c r="G15">
        <v>7</v>
      </c>
      <c r="H15">
        <v>2</v>
      </c>
      <c r="I15">
        <v>1</v>
      </c>
      <c r="L15">
        <f t="shared" si="1"/>
        <v>113</v>
      </c>
      <c r="N15">
        <f t="shared" si="6"/>
        <v>0.49778761061946908</v>
      </c>
      <c r="O15">
        <f t="shared" si="5"/>
        <v>29.867256637168143</v>
      </c>
      <c r="P15">
        <f t="shared" si="4"/>
        <v>6.9690265486725673</v>
      </c>
      <c r="Q15">
        <f t="shared" si="2"/>
        <v>3.4845132743362837</v>
      </c>
      <c r="R15">
        <f t="shared" si="3"/>
        <v>15.929203539823011</v>
      </c>
    </row>
    <row r="16" spans="1:18" x14ac:dyDescent="0.35">
      <c r="A16" s="2" t="s">
        <v>26</v>
      </c>
      <c r="B16" s="25">
        <v>1E-4</v>
      </c>
      <c r="C16" s="2" t="s">
        <v>288</v>
      </c>
      <c r="D16" s="2" t="s">
        <v>27</v>
      </c>
      <c r="E16" s="2" t="s">
        <v>263</v>
      </c>
      <c r="F16">
        <v>5</v>
      </c>
      <c r="G16">
        <v>7</v>
      </c>
      <c r="H16">
        <v>2</v>
      </c>
      <c r="I16">
        <v>1</v>
      </c>
      <c r="L16">
        <f t="shared" si="1"/>
        <v>113</v>
      </c>
      <c r="N16">
        <f t="shared" si="6"/>
        <v>9.9557522123893807E-2</v>
      </c>
      <c r="O16">
        <f t="shared" si="5"/>
        <v>5.9734513274336285</v>
      </c>
      <c r="P16">
        <f t="shared" si="4"/>
        <v>1.3938053097345133</v>
      </c>
      <c r="Q16">
        <f t="shared" si="2"/>
        <v>0.69690265486725667</v>
      </c>
      <c r="R16">
        <f t="shared" si="3"/>
        <v>3.1858407079646018</v>
      </c>
    </row>
    <row r="17" spans="1:18" x14ac:dyDescent="0.35">
      <c r="A17" s="2" t="s">
        <v>28</v>
      </c>
      <c r="B17" s="25">
        <v>1E-4</v>
      </c>
      <c r="C17" s="2" t="s">
        <v>288</v>
      </c>
      <c r="D17" s="2" t="s">
        <v>29</v>
      </c>
      <c r="E17" s="2" t="s">
        <v>263</v>
      </c>
      <c r="F17">
        <v>5</v>
      </c>
      <c r="G17">
        <v>7</v>
      </c>
      <c r="H17">
        <v>2</v>
      </c>
      <c r="I17">
        <v>1</v>
      </c>
      <c r="L17">
        <f t="shared" si="1"/>
        <v>113</v>
      </c>
      <c r="N17">
        <f t="shared" si="6"/>
        <v>9.9557522123893807E-2</v>
      </c>
      <c r="O17">
        <f t="shared" si="5"/>
        <v>5.9734513274336285</v>
      </c>
      <c r="P17">
        <f t="shared" si="4"/>
        <v>1.3938053097345133</v>
      </c>
      <c r="Q17">
        <f t="shared" si="2"/>
        <v>0.69690265486725667</v>
      </c>
      <c r="R17">
        <f t="shared" si="3"/>
        <v>3.1858407079646018</v>
      </c>
    </row>
    <row r="18" spans="1:18" x14ac:dyDescent="0.35">
      <c r="A18" s="2" t="s">
        <v>30</v>
      </c>
      <c r="B18" s="25">
        <v>1.0000000000000001E-5</v>
      </c>
      <c r="C18" s="2" t="s">
        <v>288</v>
      </c>
      <c r="D18" s="2" t="s">
        <v>31</v>
      </c>
      <c r="E18" s="2" t="s">
        <v>264</v>
      </c>
      <c r="F18">
        <v>10</v>
      </c>
      <c r="G18">
        <v>17</v>
      </c>
      <c r="H18">
        <v>6</v>
      </c>
      <c r="I18">
        <v>1</v>
      </c>
      <c r="L18">
        <f>($F18*12)+($G18*1)+($H18*16)+($I18*14)</f>
        <v>247</v>
      </c>
      <c r="N18">
        <f t="shared" si="6"/>
        <v>4.5546558704453446E-3</v>
      </c>
      <c r="O18">
        <f t="shared" si="5"/>
        <v>0.54655870445344135</v>
      </c>
      <c r="P18">
        <f t="shared" si="4"/>
        <v>6.3765182186234823E-2</v>
      </c>
      <c r="Q18">
        <f t="shared" si="2"/>
        <v>7.7429149797570859E-2</v>
      </c>
      <c r="R18">
        <f t="shared" si="3"/>
        <v>0.43724696356275305</v>
      </c>
    </row>
    <row r="19" spans="1:18" x14ac:dyDescent="0.35">
      <c r="A19" s="2" t="s">
        <v>32</v>
      </c>
      <c r="B19" s="25">
        <v>9.9999999999999995E-7</v>
      </c>
      <c r="C19" s="2" t="s">
        <v>288</v>
      </c>
      <c r="D19" s="2" t="s">
        <v>33</v>
      </c>
      <c r="E19" s="2" t="s">
        <v>264</v>
      </c>
      <c r="F19">
        <v>10</v>
      </c>
      <c r="G19">
        <v>17</v>
      </c>
      <c r="H19">
        <v>6</v>
      </c>
      <c r="I19">
        <v>1</v>
      </c>
      <c r="L19">
        <f t="shared" si="1"/>
        <v>247</v>
      </c>
      <c r="N19">
        <f t="shared" si="6"/>
        <v>4.5546558704453446E-4</v>
      </c>
      <c r="O19">
        <f t="shared" si="5"/>
        <v>5.4655870445344132E-2</v>
      </c>
      <c r="P19">
        <f t="shared" si="4"/>
        <v>6.3765182186234825E-3</v>
      </c>
      <c r="Q19">
        <f t="shared" si="2"/>
        <v>7.7429149797570863E-3</v>
      </c>
      <c r="R19">
        <f t="shared" si="3"/>
        <v>4.3724696356275308E-2</v>
      </c>
    </row>
    <row r="20" spans="1:18" x14ac:dyDescent="0.35">
      <c r="A20" s="2" t="s">
        <v>250</v>
      </c>
      <c r="B20" s="25">
        <v>0</v>
      </c>
      <c r="C20" s="2" t="s">
        <v>288</v>
      </c>
      <c r="D20" s="2" t="s">
        <v>251</v>
      </c>
      <c r="E20" s="2" t="s">
        <v>263</v>
      </c>
      <c r="F20">
        <v>5</v>
      </c>
      <c r="G20">
        <v>7</v>
      </c>
      <c r="H20">
        <v>2</v>
      </c>
      <c r="I20">
        <v>1</v>
      </c>
      <c r="L20">
        <f t="shared" si="1"/>
        <v>113</v>
      </c>
      <c r="N20">
        <f t="shared" si="6"/>
        <v>0</v>
      </c>
      <c r="O20">
        <f t="shared" si="5"/>
        <v>0</v>
      </c>
      <c r="P20">
        <f t="shared" si="4"/>
        <v>0</v>
      </c>
      <c r="Q20">
        <f t="shared" si="2"/>
        <v>0</v>
      </c>
      <c r="R20">
        <f t="shared" si="3"/>
        <v>0</v>
      </c>
    </row>
    <row r="21" spans="1:18" x14ac:dyDescent="0.35">
      <c r="A21" s="2" t="s">
        <v>273</v>
      </c>
      <c r="B21" s="25">
        <v>0</v>
      </c>
      <c r="C21" s="2" t="s">
        <v>288</v>
      </c>
      <c r="D21" s="2" t="s">
        <v>383</v>
      </c>
      <c r="E21" s="2"/>
    </row>
    <row r="22" spans="1:18" x14ac:dyDescent="0.35">
      <c r="A22" s="2" t="s">
        <v>266</v>
      </c>
      <c r="B22">
        <f>mass_composition!D98/B52</f>
        <v>0.5759365597583842</v>
      </c>
      <c r="C22" s="2" t="s">
        <v>288</v>
      </c>
      <c r="D22" s="2" t="s">
        <v>379</v>
      </c>
      <c r="E22" s="2" t="s">
        <v>378</v>
      </c>
      <c r="G22">
        <v>2</v>
      </c>
      <c r="H22">
        <v>1</v>
      </c>
      <c r="L22">
        <f t="shared" si="1"/>
        <v>18</v>
      </c>
      <c r="N22">
        <f>(B22*B$52)/(L22*0.001)</f>
        <v>3599.6034984899011</v>
      </c>
      <c r="O22">
        <f t="shared" si="5"/>
        <v>0</v>
      </c>
      <c r="P22">
        <f t="shared" si="4"/>
        <v>0</v>
      </c>
      <c r="Q22">
        <f t="shared" si="2"/>
        <v>7199.2069969798022</v>
      </c>
      <c r="R22">
        <f t="shared" si="3"/>
        <v>57593.655975838417</v>
      </c>
    </row>
    <row r="23" spans="1:18" x14ac:dyDescent="0.35">
      <c r="A23" s="2" t="s">
        <v>265</v>
      </c>
      <c r="B23">
        <f>IF(Parameters!C2="25°C",298,280)</f>
        <v>298</v>
      </c>
      <c r="C23" s="2" t="s">
        <v>268</v>
      </c>
      <c r="D23" s="2" t="s">
        <v>376</v>
      </c>
    </row>
    <row r="24" spans="1:18" x14ac:dyDescent="0.35">
      <c r="A24" s="2" t="s">
        <v>364</v>
      </c>
      <c r="B24" s="25">
        <v>0</v>
      </c>
      <c r="C24" s="2" t="s">
        <v>288</v>
      </c>
      <c r="D24" s="2" t="s">
        <v>380</v>
      </c>
    </row>
    <row r="25" spans="1:18" x14ac:dyDescent="0.35">
      <c r="A25" s="2" t="s">
        <v>365</v>
      </c>
      <c r="B25" s="25">
        <v>0</v>
      </c>
      <c r="C25" s="2" t="s">
        <v>288</v>
      </c>
      <c r="D25" s="2" t="s">
        <v>381</v>
      </c>
    </row>
    <row r="26" spans="1:18" x14ac:dyDescent="0.35">
      <c r="A26" s="2" t="s">
        <v>274</v>
      </c>
      <c r="B26" s="25">
        <v>0</v>
      </c>
      <c r="C26" s="2" t="s">
        <v>288</v>
      </c>
      <c r="D26" s="2" t="s">
        <v>382</v>
      </c>
    </row>
    <row r="27" spans="1:18" x14ac:dyDescent="0.35">
      <c r="A27" s="2" t="s">
        <v>270</v>
      </c>
      <c r="B27" s="25">
        <v>1E-4</v>
      </c>
      <c r="C27" s="2" t="s">
        <v>288</v>
      </c>
      <c r="D27" s="2" t="s">
        <v>272</v>
      </c>
      <c r="E27" s="2" t="s">
        <v>263</v>
      </c>
      <c r="F27">
        <v>5</v>
      </c>
      <c r="G27">
        <v>7</v>
      </c>
      <c r="H27">
        <v>2</v>
      </c>
      <c r="I27">
        <v>1</v>
      </c>
      <c r="L27">
        <f>($F27*12)+($G27*1)+($H27*16)+($I27*14)</f>
        <v>113</v>
      </c>
      <c r="N27">
        <f>(B27*B$52)/(L27*0.001)</f>
        <v>9.9557522123893807E-2</v>
      </c>
      <c r="O27">
        <f>F27*N27*12</f>
        <v>5.9734513274336285</v>
      </c>
      <c r="P27">
        <f>I27*N27*14</f>
        <v>1.3938053097345133</v>
      </c>
      <c r="Q27">
        <f>G27*N27*1</f>
        <v>0.69690265486725667</v>
      </c>
      <c r="R27">
        <f>H27*N27*16</f>
        <v>3.1858407079646018</v>
      </c>
    </row>
    <row r="28" spans="1:18" x14ac:dyDescent="0.35">
      <c r="A28" s="2" t="s">
        <v>366</v>
      </c>
      <c r="B28" s="25">
        <v>0</v>
      </c>
      <c r="C28" s="2" t="s">
        <v>288</v>
      </c>
      <c r="D28" s="2" t="s">
        <v>289</v>
      </c>
      <c r="E28" s="2"/>
    </row>
    <row r="29" spans="1:18" x14ac:dyDescent="0.35">
      <c r="A29" s="2" t="s">
        <v>367</v>
      </c>
      <c r="B29" s="25">
        <v>0</v>
      </c>
      <c r="C29" s="2" t="s">
        <v>288</v>
      </c>
      <c r="D29" s="2" t="s">
        <v>384</v>
      </c>
      <c r="H29">
        <v>2</v>
      </c>
      <c r="L29">
        <f t="shared" si="1"/>
        <v>32</v>
      </c>
      <c r="N29">
        <f>(B29*B$52)/(L29*0.001)</f>
        <v>0</v>
      </c>
      <c r="O29">
        <f t="shared" si="5"/>
        <v>0</v>
      </c>
      <c r="P29">
        <f t="shared" si="4"/>
        <v>0</v>
      </c>
      <c r="Q29">
        <f t="shared" si="2"/>
        <v>0</v>
      </c>
      <c r="R29">
        <f t="shared" si="3"/>
        <v>0</v>
      </c>
    </row>
    <row r="30" spans="1:18" x14ac:dyDescent="0.35">
      <c r="A30" s="2" t="s">
        <v>368</v>
      </c>
      <c r="B30" s="25">
        <v>0</v>
      </c>
      <c r="C30" s="2" t="s">
        <v>288</v>
      </c>
      <c r="D30" s="2" t="s">
        <v>267</v>
      </c>
      <c r="F30">
        <v>1</v>
      </c>
      <c r="H30">
        <v>2</v>
      </c>
      <c r="L30">
        <f t="shared" si="1"/>
        <v>44</v>
      </c>
      <c r="N30">
        <f>(B30*B$52)/(L30*0.001)</f>
        <v>0</v>
      </c>
      <c r="O30">
        <f t="shared" si="5"/>
        <v>0</v>
      </c>
      <c r="P30">
        <f t="shared" si="4"/>
        <v>0</v>
      </c>
      <c r="Q30">
        <f t="shared" si="2"/>
        <v>0</v>
      </c>
      <c r="R30">
        <f t="shared" si="3"/>
        <v>0</v>
      </c>
    </row>
    <row r="31" spans="1:18" x14ac:dyDescent="0.35">
      <c r="A31" s="2" t="s">
        <v>275</v>
      </c>
      <c r="B31" s="25">
        <v>0</v>
      </c>
      <c r="C31" s="2" t="s">
        <v>288</v>
      </c>
      <c r="D31" s="2" t="s">
        <v>385</v>
      </c>
      <c r="H31">
        <v>3</v>
      </c>
      <c r="I31">
        <v>1</v>
      </c>
      <c r="L31">
        <f t="shared" si="1"/>
        <v>62</v>
      </c>
      <c r="N31">
        <f>(B31*B$52)/(L31*0.001)</f>
        <v>0</v>
      </c>
      <c r="O31">
        <f t="shared" si="5"/>
        <v>0</v>
      </c>
      <c r="P31">
        <f t="shared" si="4"/>
        <v>0</v>
      </c>
      <c r="Q31">
        <f t="shared" si="2"/>
        <v>0</v>
      </c>
      <c r="R31">
        <f t="shared" si="3"/>
        <v>0</v>
      </c>
    </row>
    <row r="32" spans="1:18" x14ac:dyDescent="0.35">
      <c r="A32" s="2" t="s">
        <v>369</v>
      </c>
      <c r="B32">
        <f>((mass_composition!R98)-(Variables!P3*0.001))/mass_composition!C98</f>
        <v>4.0740396640120789E-4</v>
      </c>
      <c r="C32" s="2" t="s">
        <v>288</v>
      </c>
      <c r="D32" s="2" t="s">
        <v>386</v>
      </c>
    </row>
    <row r="33" spans="1:18" x14ac:dyDescent="0.35">
      <c r="A33" s="2" t="s">
        <v>370</v>
      </c>
      <c r="B33" s="25">
        <v>0</v>
      </c>
      <c r="C33" s="2" t="s">
        <v>288</v>
      </c>
      <c r="D33" s="2" t="s">
        <v>387</v>
      </c>
    </row>
    <row r="34" spans="1:18" x14ac:dyDescent="0.35">
      <c r="A34" s="2" t="s">
        <v>371</v>
      </c>
      <c r="B34" s="25">
        <v>3.0000000000000001E-3</v>
      </c>
      <c r="C34" s="2" t="s">
        <v>288</v>
      </c>
      <c r="D34" s="2"/>
    </row>
    <row r="35" spans="1:18" x14ac:dyDescent="0.35">
      <c r="A35" s="2" t="s">
        <v>372</v>
      </c>
      <c r="B35" s="25">
        <v>0.05</v>
      </c>
      <c r="C35" s="2" t="s">
        <v>288</v>
      </c>
      <c r="D35" s="2"/>
    </row>
    <row r="36" spans="1:18" x14ac:dyDescent="0.35">
      <c r="A36" s="2" t="s">
        <v>373</v>
      </c>
      <c r="B36" s="25">
        <v>0</v>
      </c>
      <c r="C36" s="2" t="s">
        <v>288</v>
      </c>
      <c r="D36" s="2"/>
    </row>
    <row r="37" spans="1:18" x14ac:dyDescent="0.35">
      <c r="A37" s="2" t="s">
        <v>374</v>
      </c>
      <c r="B37" s="25">
        <v>0</v>
      </c>
      <c r="C37" s="2" t="s">
        <v>288</v>
      </c>
      <c r="D37" s="2"/>
    </row>
    <row r="38" spans="1:18" x14ac:dyDescent="0.35">
      <c r="A38" s="2" t="s">
        <v>375</v>
      </c>
      <c r="B38" s="25">
        <v>0</v>
      </c>
      <c r="C38" s="2" t="s">
        <v>288</v>
      </c>
      <c r="D38" s="2"/>
    </row>
    <row r="39" spans="1:18" x14ac:dyDescent="0.35">
      <c r="A39" s="2"/>
      <c r="C39" s="2"/>
      <c r="D39" s="2"/>
      <c r="G39">
        <v>3</v>
      </c>
      <c r="I39">
        <v>1</v>
      </c>
      <c r="L39">
        <f t="shared" si="1"/>
        <v>17</v>
      </c>
      <c r="N39">
        <f>(B39*B$52)/(L39*0.001)</f>
        <v>0</v>
      </c>
      <c r="O39">
        <f t="shared" si="5"/>
        <v>0</v>
      </c>
      <c r="P39">
        <f t="shared" si="4"/>
        <v>0</v>
      </c>
      <c r="Q39">
        <f t="shared" si="2"/>
        <v>0</v>
      </c>
      <c r="R39">
        <f t="shared" si="3"/>
        <v>0</v>
      </c>
    </row>
    <row r="40" spans="1:18" x14ac:dyDescent="0.35">
      <c r="A40" s="2"/>
      <c r="C40" s="2"/>
      <c r="D40" s="2"/>
    </row>
    <row r="41" spans="1:18" x14ac:dyDescent="0.35">
      <c r="A41" s="2"/>
      <c r="C41" s="2"/>
      <c r="D41" s="2"/>
    </row>
    <row r="42" spans="1:18" x14ac:dyDescent="0.35">
      <c r="A42" s="2"/>
      <c r="C42" s="2"/>
      <c r="D42" s="2"/>
    </row>
    <row r="43" spans="1:18" x14ac:dyDescent="0.35">
      <c r="A43" s="2"/>
      <c r="C43" s="2"/>
      <c r="D43" s="2"/>
    </row>
    <row r="44" spans="1:18" x14ac:dyDescent="0.35">
      <c r="A44" s="2"/>
      <c r="C44" s="2"/>
      <c r="D44" s="2"/>
    </row>
    <row r="45" spans="1:18" x14ac:dyDescent="0.35">
      <c r="A45" s="2"/>
      <c r="C45" s="2"/>
      <c r="D45" s="2"/>
    </row>
    <row r="46" spans="1:18" x14ac:dyDescent="0.35">
      <c r="A46" s="2"/>
      <c r="C46" s="2"/>
      <c r="D46" s="2"/>
    </row>
    <row r="47" spans="1:18" x14ac:dyDescent="0.35">
      <c r="A47" s="2"/>
      <c r="C47" s="2"/>
      <c r="D47" s="2"/>
    </row>
    <row r="48" spans="1:18" x14ac:dyDescent="0.35">
      <c r="A48" s="2"/>
      <c r="C48" s="2"/>
      <c r="D48" s="2"/>
    </row>
    <row r="49" spans="1:7" x14ac:dyDescent="0.35">
      <c r="A49" s="2"/>
      <c r="C49" s="2"/>
      <c r="D49" s="2"/>
    </row>
    <row r="50" spans="1:7" x14ac:dyDescent="0.35">
      <c r="A50" s="2"/>
      <c r="C50" s="2"/>
      <c r="D50" s="2"/>
    </row>
    <row r="51" spans="1:7" x14ac:dyDescent="0.35">
      <c r="A51" s="2"/>
      <c r="C51" s="2"/>
      <c r="D51" s="2"/>
    </row>
    <row r="52" spans="1:7" x14ac:dyDescent="0.35">
      <c r="A52" s="2" t="s">
        <v>287</v>
      </c>
      <c r="B52">
        <f>mass_composition!C98</f>
        <v>112.50000000000001</v>
      </c>
      <c r="C52" s="2" t="s">
        <v>3</v>
      </c>
      <c r="D52" s="2" t="s">
        <v>286</v>
      </c>
      <c r="G52">
        <f>SUM(B2:B51)</f>
        <v>299.03885644350822</v>
      </c>
    </row>
    <row r="53" spans="1:7" x14ac:dyDescent="0.35">
      <c r="A53" s="2"/>
      <c r="C53" s="2"/>
    </row>
    <row r="54" spans="1:7" x14ac:dyDescent="0.35">
      <c r="A54" s="2"/>
      <c r="B54" s="25"/>
      <c r="C54" s="2"/>
      <c r="D54" s="2"/>
    </row>
    <row r="59" spans="1:7" x14ac:dyDescent="0.35">
      <c r="A59" t="s">
        <v>290</v>
      </c>
      <c r="B59">
        <f>SUM(O2:O53)</f>
        <v>21455.555656704029</v>
      </c>
      <c r="D59">
        <f>SUM(B2:B8)+B22+B39</f>
        <v>0.98413803954184431</v>
      </c>
    </row>
    <row r="60" spans="1:7" x14ac:dyDescent="0.35">
      <c r="A60" t="s">
        <v>291</v>
      </c>
      <c r="B60">
        <f>(B59*0.001)/B52</f>
        <v>0.19071605028181357</v>
      </c>
    </row>
    <row r="61" spans="1:7" x14ac:dyDescent="0.35">
      <c r="A61" t="s">
        <v>295</v>
      </c>
      <c r="B61">
        <f>(P3*0.001)/B52</f>
        <v>1.023141711233266E-2</v>
      </c>
    </row>
    <row r="62" spans="1:7" x14ac:dyDescent="0.35">
      <c r="A62" t="s">
        <v>296</v>
      </c>
      <c r="B62">
        <f>B60/B61</f>
        <v>18.640238022544292</v>
      </c>
      <c r="D62">
        <f>0.0002226*(4/3)</f>
        <v>2.9679999999999995E-4</v>
      </c>
    </row>
    <row r="63" spans="1:7" x14ac:dyDescent="0.35">
      <c r="D63">
        <f>0.000263822*(9/8)</f>
        <v>2.9679974999999997E-4</v>
      </c>
    </row>
    <row r="65" spans="1:13" x14ac:dyDescent="0.35">
      <c r="A65" t="s">
        <v>393</v>
      </c>
      <c r="B65">
        <f>mass_composition!U98/mass_composition!C98</f>
        <v>1.3042615815315271E-3</v>
      </c>
      <c r="C65" t="s">
        <v>389</v>
      </c>
    </row>
    <row r="66" spans="1:13" x14ac:dyDescent="0.35">
      <c r="A66" t="s">
        <v>394</v>
      </c>
      <c r="B66">
        <f>IF(Parameters!C3="3_1",B65*(4/3),B65*(9/8))</f>
        <v>1.4672942792229679E-3</v>
      </c>
      <c r="C66" t="s">
        <v>390</v>
      </c>
    </row>
    <row r="67" spans="1:13" x14ac:dyDescent="0.35">
      <c r="A67" t="s">
        <v>395</v>
      </c>
      <c r="B67">
        <f>_xlfn.SWITCH(Parameters!C4,
1,B66*0.77,
2,B66*0.93,
3,B66*0.99,
4,B66*0.8,
B66*1)</f>
        <v>1.1298165950016854E-3</v>
      </c>
      <c r="C67" t="s">
        <v>391</v>
      </c>
      <c r="D67" t="s">
        <v>303</v>
      </c>
    </row>
    <row r="69" spans="1:13" x14ac:dyDescent="0.35">
      <c r="A69" t="s">
        <v>301</v>
      </c>
      <c r="B69">
        <f>mass_composition!Q98/mass_composition!C98</f>
        <v>2.6783439079398758E-3</v>
      </c>
    </row>
    <row r="70" spans="1:13" x14ac:dyDescent="0.35">
      <c r="A70" t="s">
        <v>305</v>
      </c>
      <c r="B70">
        <f>IF(Parameters!C3="3_1",B69*(4/3),B69*(9/8))</f>
        <v>3.0131368964323602E-3</v>
      </c>
      <c r="L70" s="25"/>
      <c r="M70" s="25"/>
    </row>
    <row r="71" spans="1:13" x14ac:dyDescent="0.35">
      <c r="A71" t="s">
        <v>306</v>
      </c>
      <c r="B71">
        <f>_xlfn.SWITCH(Parameters!C4,1,B70*0.77,2,B70*0.93,3,B70*0.99,4,B70*0.8,B70*1)</f>
        <v>2.3201154102529173E-3</v>
      </c>
      <c r="L71" s="25"/>
      <c r="M71" s="25"/>
    </row>
    <row r="72" spans="1:13" x14ac:dyDescent="0.35">
      <c r="L72" s="25"/>
      <c r="M72" s="25"/>
    </row>
    <row r="73" spans="1:13" x14ac:dyDescent="0.35">
      <c r="A73" s="23" t="s">
        <v>304</v>
      </c>
      <c r="B73" s="23">
        <f>B74*54.41/1000</f>
        <v>6.2584498828987389E-5</v>
      </c>
      <c r="D73">
        <f>B73*(31/95)</f>
        <v>2.0422310144195887E-5</v>
      </c>
    </row>
    <row r="74" spans="1:13" x14ac:dyDescent="0.35">
      <c r="A74" s="23" t="s">
        <v>396</v>
      </c>
      <c r="B74" s="23">
        <f>B67/(1-((31/95)*(54.41/1000)))</f>
        <v>1.1502389051458812E-3</v>
      </c>
      <c r="D74">
        <f>D73+B67</f>
        <v>1.1502389051458812E-3</v>
      </c>
    </row>
    <row r="75" spans="1:13" x14ac:dyDescent="0.35">
      <c r="A75" s="23" t="s">
        <v>307</v>
      </c>
      <c r="B75" s="23">
        <f>B74*(142/62)</f>
        <v>2.6344181375921798E-3</v>
      </c>
    </row>
    <row r="77" spans="1:13" x14ac:dyDescent="0.35">
      <c r="A77" t="s">
        <v>308</v>
      </c>
      <c r="B77">
        <f>B78*54.41/1000</f>
        <v>8.1278569907775841E-5</v>
      </c>
      <c r="D77" t="s">
        <v>302</v>
      </c>
    </row>
    <row r="78" spans="1:13" x14ac:dyDescent="0.35">
      <c r="A78" t="s">
        <v>309</v>
      </c>
      <c r="B78">
        <f>B66/(1-((31/95)*(54.41/1000)))</f>
        <v>1.4938167599297157E-3</v>
      </c>
      <c r="D78" t="s">
        <v>302</v>
      </c>
    </row>
    <row r="79" spans="1:13" x14ac:dyDescent="0.35">
      <c r="A79" t="s">
        <v>310</v>
      </c>
      <c r="B79">
        <f>B78*(142/62)</f>
        <v>3.4213222566132203E-3</v>
      </c>
      <c r="D79" t="s">
        <v>302</v>
      </c>
    </row>
    <row r="81" spans="1:4" x14ac:dyDescent="0.35">
      <c r="A81" s="23" t="s">
        <v>311</v>
      </c>
      <c r="B81">
        <f>B71/0.6</f>
        <v>3.8668590170881957E-3</v>
      </c>
    </row>
    <row r="82" spans="1:4" x14ac:dyDescent="0.35">
      <c r="A82" t="s">
        <v>312</v>
      </c>
      <c r="B82">
        <f>B70/0.6</f>
        <v>5.021894827387267E-3</v>
      </c>
      <c r="D82" t="s">
        <v>302</v>
      </c>
    </row>
  </sheetData>
  <pageMargins left="0.7" right="0.7" top="0.75" bottom="0.75" header="0.3" footer="0.3"/>
  <pageSetup paperSize="9" orientation="portrait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Parameters</vt:lpstr>
      <vt:lpstr>raw_data</vt:lpstr>
      <vt:lpstr>mass_composition</vt:lpstr>
      <vt:lpstr>Variables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hravoaha</dc:creator>
  <cp:lastModifiedBy>Nomena Ravoahangy</cp:lastModifiedBy>
  <dcterms:created xsi:type="dcterms:W3CDTF">2022-12-20T18:57:20Z</dcterms:created>
  <dcterms:modified xsi:type="dcterms:W3CDTF">2026-01-29T09:10:55Z</dcterms:modified>
</cp:coreProperties>
</file>