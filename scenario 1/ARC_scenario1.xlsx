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1\"/>
    </mc:Choice>
  </mc:AlternateContent>
  <xr:revisionPtr revIDLastSave="0" documentId="13_ncr:1_{DCF14056-AD0D-49CA-81A1-39E07795316B}" xr6:coauthVersionLast="36" xr6:coauthVersionMax="36" xr10:uidLastSave="{00000000-0000-0000-0000-000000000000}"/>
  <bookViews>
    <workbookView xWindow="0" yWindow="0" windowWidth="15200" windowHeight="6930" activeTab="2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Feuil4" sheetId="12" r:id="rId6"/>
    <sheet name="dist_col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<sst xmlns="http://schemas.openxmlformats.org/spreadsheetml/2006/main" count="217" uniqueCount="60">
  <si>
    <t>A</t>
  </si>
  <si>
    <t>B</t>
  </si>
  <si>
    <t>C</t>
  </si>
  <si>
    <t>Home</t>
  </si>
  <si>
    <t>Total</t>
  </si>
  <si>
    <t>municipalities</t>
  </si>
  <si>
    <t>E</t>
  </si>
  <si>
    <t>F</t>
  </si>
  <si>
    <t>Building</t>
  </si>
  <si>
    <t>X</t>
  </si>
  <si>
    <t>Y</t>
  </si>
  <si>
    <t>Z</t>
  </si>
  <si>
    <t>Comp</t>
  </si>
  <si>
    <t>Dig</t>
  </si>
  <si>
    <t>Heat</t>
  </si>
  <si>
    <t>Elect</t>
  </si>
  <si>
    <t>market</t>
  </si>
  <si>
    <t>tech_place</t>
  </si>
  <si>
    <t>G</t>
  </si>
  <si>
    <t>HC</t>
  </si>
  <si>
    <t>IC</t>
  </si>
  <si>
    <t>AD-a</t>
  </si>
  <si>
    <t>AD-b</t>
  </si>
  <si>
    <t>lb_mark</t>
  </si>
  <si>
    <t xml:space="preserve"> </t>
  </si>
  <si>
    <t>ub_mark</t>
  </si>
  <si>
    <t>Compiègne</t>
  </si>
  <si>
    <t>Venette</t>
  </si>
  <si>
    <t>Jaux</t>
  </si>
  <si>
    <t>Armancourt</t>
  </si>
  <si>
    <t>sites</t>
  </si>
  <si>
    <t>Other markets</t>
  </si>
  <si>
    <t>Hypothèse</t>
  </si>
  <si>
    <t>Chaque logement produit la même quantité de biodéchets</t>
  </si>
  <si>
    <t xml:space="preserve">X </t>
  </si>
  <si>
    <t>monchy-humières</t>
  </si>
  <si>
    <t>AD-c</t>
  </si>
  <si>
    <t>Biomet</t>
  </si>
  <si>
    <t>Site</t>
  </si>
  <si>
    <t>dist_col</t>
  </si>
  <si>
    <t>Comp_dec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</si>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</sst>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J23"/>
  <sheetViews>
    <sheetView workbookViewId="0">
      <selection activeCell="C12" sqref="C12"/>
    </sheetView>
  </sheetViews>
  <sheetFormatPr baseColWidth="10" defaultRowHeight="14.5" x14ac:dyDescent="0.35"/>
  <cols>
    <col min="1" max="1" width="30.453125" customWidth="1"/>
  </cols>
  <sheetData>
    <row r="1" spans="1:10" x14ac:dyDescent="0.35">
      <c r="A1" s="2" t="s">
        <v>5</v>
      </c>
      <c r="B1" s="2" t="s">
        <v>30</v>
      </c>
      <c r="C1" s="2" t="s">
        <v>31</v>
      </c>
    </row>
    <row r="2" spans="1:10" x14ac:dyDescent="0.35">
      <c r="A2" t="s">
        <v>26</v>
      </c>
      <c r="B2" t="s">
        <v>9</v>
      </c>
      <c r="C2" t="s">
        <v>6</v>
      </c>
      <c r="I2" t="s">
        <v>34</v>
      </c>
      <c r="J2" t="s">
        <v>35</v>
      </c>
    </row>
    <row r="3" spans="1:10" x14ac:dyDescent="0.35">
      <c r="A3" t="s">
        <v>27</v>
      </c>
      <c r="B3" t="s">
        <v>10</v>
      </c>
      <c r="I3" t="s">
        <v>10</v>
      </c>
      <c r="J3" t="s">
        <v>41</v>
      </c>
    </row>
    <row r="4" spans="1:10" x14ac:dyDescent="0.35">
      <c r="A4" t="s">
        <v>28</v>
      </c>
    </row>
    <row r="5" spans="1:10" x14ac:dyDescent="0.35">
      <c r="A5" t="s">
        <v>29</v>
      </c>
    </row>
    <row r="6" spans="1:10" x14ac:dyDescent="0.35">
      <c r="A6" t="s">
        <v>42</v>
      </c>
    </row>
    <row r="7" spans="1:10" x14ac:dyDescent="0.35">
      <c r="A7" t="s">
        <v>43</v>
      </c>
    </row>
    <row r="8" spans="1:10" x14ac:dyDescent="0.35">
      <c r="A8" t="s">
        <v>44</v>
      </c>
    </row>
    <row r="9" spans="1:10" x14ac:dyDescent="0.35">
      <c r="A9" t="s">
        <v>45</v>
      </c>
    </row>
    <row r="10" spans="1:10" x14ac:dyDescent="0.35">
      <c r="A10" t="s">
        <v>46</v>
      </c>
    </row>
    <row r="11" spans="1:10" x14ac:dyDescent="0.35">
      <c r="A11" t="s">
        <v>47</v>
      </c>
    </row>
    <row r="12" spans="1:10" x14ac:dyDescent="0.35">
      <c r="A12" t="s">
        <v>48</v>
      </c>
    </row>
    <row r="13" spans="1:10" x14ac:dyDescent="0.35">
      <c r="A13" t="s">
        <v>49</v>
      </c>
    </row>
    <row r="14" spans="1:10" x14ac:dyDescent="0.35">
      <c r="A14" t="s">
        <v>50</v>
      </c>
    </row>
    <row r="15" spans="1:10" x14ac:dyDescent="0.35">
      <c r="A15" t="s">
        <v>51</v>
      </c>
    </row>
    <row r="16" spans="1:10" x14ac:dyDescent="0.35">
      <c r="A16" t="s">
        <v>52</v>
      </c>
    </row>
    <row r="17" spans="1:1" x14ac:dyDescent="0.35">
      <c r="A17" t="s">
        <v>53</v>
      </c>
    </row>
    <row r="18" spans="1:1" x14ac:dyDescent="0.35">
      <c r="A18" t="s">
        <v>54</v>
      </c>
    </row>
    <row r="19" spans="1:1" x14ac:dyDescent="0.35">
      <c r="A19" t="s">
        <v>55</v>
      </c>
    </row>
    <row r="20" spans="1:1" x14ac:dyDescent="0.35">
      <c r="A20" t="s">
        <v>56</v>
      </c>
    </row>
    <row r="21" spans="1:1" x14ac:dyDescent="0.35">
      <c r="A21" t="s">
        <v>57</v>
      </c>
    </row>
    <row r="22" spans="1:1" x14ac:dyDescent="0.35">
      <c r="A22" t="s">
        <v>58</v>
      </c>
    </row>
    <row r="23" spans="1:1" x14ac:dyDescent="0.35">
      <c r="A2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J23"/>
  <sheetViews>
    <sheetView workbookViewId="0">
      <selection activeCell="C23" sqref="A1:C23"/>
    </sheetView>
  </sheetViews>
  <sheetFormatPr baseColWidth="10" defaultRowHeight="14.5" x14ac:dyDescent="0.35"/>
  <cols>
    <col min="1" max="1" width="21.81640625" customWidth="1"/>
  </cols>
  <sheetData>
    <row r="1" spans="1:10" x14ac:dyDescent="0.35">
      <c r="B1" t="s">
        <v>3</v>
      </c>
      <c r="C1" t="s">
        <v>8</v>
      </c>
      <c r="D1" t="s">
        <v>4</v>
      </c>
    </row>
    <row r="2" spans="1:10" x14ac:dyDescent="0.35">
      <c r="A2" t="s">
        <v>26</v>
      </c>
      <c r="B2">
        <v>755.47870232939465</v>
      </c>
      <c r="C2">
        <v>2188.5212976706052</v>
      </c>
      <c r="D2">
        <f>SUM(B2:C2)</f>
        <v>2944</v>
      </c>
    </row>
    <row r="3" spans="1:10" x14ac:dyDescent="0.35">
      <c r="A3" t="s">
        <v>27</v>
      </c>
      <c r="B3">
        <v>134.53622608695653</v>
      </c>
      <c r="C3">
        <v>51.463773913043475</v>
      </c>
      <c r="D3">
        <f t="shared" ref="D3:D23" si="0">SUM(B3:C3)</f>
        <v>186</v>
      </c>
      <c r="I3" t="s">
        <v>32</v>
      </c>
      <c r="J3" t="s">
        <v>33</v>
      </c>
    </row>
    <row r="4" spans="1:10" x14ac:dyDescent="0.35">
      <c r="A4" t="s">
        <v>28</v>
      </c>
      <c r="B4">
        <v>156.99056470588235</v>
      </c>
      <c r="C4">
        <v>29.009435294117651</v>
      </c>
      <c r="D4">
        <f t="shared" si="0"/>
        <v>186</v>
      </c>
    </row>
    <row r="5" spans="1:10" x14ac:dyDescent="0.35">
      <c r="A5" t="s">
        <v>29</v>
      </c>
      <c r="B5">
        <v>43.83239785330948</v>
      </c>
      <c r="C5">
        <v>4.167602146690518</v>
      </c>
      <c r="D5">
        <f t="shared" si="0"/>
        <v>48</v>
      </c>
    </row>
    <row r="6" spans="1:10" x14ac:dyDescent="0.35">
      <c r="A6" t="s">
        <v>42</v>
      </c>
      <c r="B6">
        <v>113.91003428331933</v>
      </c>
      <c r="C6">
        <v>17.089965716680645</v>
      </c>
      <c r="D6">
        <f t="shared" si="0"/>
        <v>130.99999999999997</v>
      </c>
    </row>
    <row r="7" spans="1:10" x14ac:dyDescent="0.35">
      <c r="A7" t="s">
        <v>43</v>
      </c>
      <c r="B7">
        <v>68.797540238887805</v>
      </c>
      <c r="C7">
        <v>21.202459761112202</v>
      </c>
      <c r="D7">
        <f t="shared" si="0"/>
        <v>90</v>
      </c>
    </row>
    <row r="8" spans="1:10" x14ac:dyDescent="0.35">
      <c r="A8" t="s">
        <v>44</v>
      </c>
      <c r="B8">
        <v>145.23549140271493</v>
      </c>
      <c r="C8">
        <v>3.7645085972850727</v>
      </c>
      <c r="D8">
        <f t="shared" si="0"/>
        <v>149</v>
      </c>
    </row>
    <row r="9" spans="1:10" x14ac:dyDescent="0.35">
      <c r="A9" t="s">
        <v>45</v>
      </c>
      <c r="B9">
        <v>126.52593464788731</v>
      </c>
      <c r="C9">
        <v>44.474065352112696</v>
      </c>
      <c r="D9">
        <f t="shared" si="0"/>
        <v>171</v>
      </c>
    </row>
    <row r="10" spans="1:10" x14ac:dyDescent="0.35">
      <c r="A10" t="s">
        <v>46</v>
      </c>
      <c r="B10">
        <v>47.072259332023577</v>
      </c>
      <c r="C10">
        <v>2.9277406679764231</v>
      </c>
      <c r="D10">
        <f t="shared" si="0"/>
        <v>50</v>
      </c>
    </row>
    <row r="11" spans="1:10" x14ac:dyDescent="0.35">
      <c r="A11" t="s">
        <v>47</v>
      </c>
      <c r="B11">
        <v>29.063999999999997</v>
      </c>
      <c r="C11">
        <v>0.93600000000000105</v>
      </c>
      <c r="D11">
        <f t="shared" si="0"/>
        <v>29.999999999999996</v>
      </c>
    </row>
    <row r="12" spans="1:10" x14ac:dyDescent="0.35">
      <c r="A12" t="s">
        <v>48</v>
      </c>
      <c r="B12">
        <v>179.2884425556858</v>
      </c>
      <c r="C12">
        <v>33.711557444314188</v>
      </c>
      <c r="D12">
        <f t="shared" si="0"/>
        <v>213</v>
      </c>
    </row>
    <row r="13" spans="1:10" x14ac:dyDescent="0.35">
      <c r="A13" t="s">
        <v>49</v>
      </c>
      <c r="B13">
        <v>95.116624345549738</v>
      </c>
      <c r="C13">
        <v>13.883375654450266</v>
      </c>
      <c r="D13">
        <f t="shared" si="0"/>
        <v>109</v>
      </c>
    </row>
    <row r="14" spans="1:10" x14ac:dyDescent="0.35">
      <c r="A14" t="s">
        <v>50</v>
      </c>
      <c r="B14">
        <v>37.915901369863015</v>
      </c>
      <c r="C14">
        <v>3.0840986301369884</v>
      </c>
      <c r="D14">
        <f t="shared" si="0"/>
        <v>41</v>
      </c>
    </row>
    <row r="15" spans="1:10" x14ac:dyDescent="0.35">
      <c r="A15" t="s">
        <v>51</v>
      </c>
      <c r="B15">
        <v>39.790797101449272</v>
      </c>
      <c r="C15">
        <v>1.2092028985507262</v>
      </c>
      <c r="D15">
        <f t="shared" si="0"/>
        <v>41</v>
      </c>
    </row>
    <row r="16" spans="1:10" x14ac:dyDescent="0.35">
      <c r="A16" t="s">
        <v>52</v>
      </c>
      <c r="B16">
        <v>40.11461895261845</v>
      </c>
      <c r="C16">
        <v>1.8853810473815493</v>
      </c>
      <c r="D16">
        <f t="shared" si="0"/>
        <v>42</v>
      </c>
    </row>
    <row r="17" spans="1:4" x14ac:dyDescent="0.35">
      <c r="A17" t="s">
        <v>53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54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55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56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57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58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59</v>
      </c>
      <c r="B23">
        <v>50.381951188589539</v>
      </c>
      <c r="C23">
        <v>1.6180488114104619</v>
      </c>
      <c r="D23">
        <f t="shared" si="0"/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F25"/>
  <sheetViews>
    <sheetView tabSelected="1" workbookViewId="0">
      <selection activeCell="I7" sqref="I7"/>
    </sheetView>
  </sheetViews>
  <sheetFormatPr baseColWidth="10" defaultRowHeight="14.5" x14ac:dyDescent="0.35"/>
  <cols>
    <col min="1" max="1" width="24.54296875" customWidth="1"/>
  </cols>
  <sheetData>
    <row r="1" spans="1:6" x14ac:dyDescent="0.35">
      <c r="A1" t="s">
        <v>38</v>
      </c>
      <c r="B1" t="s">
        <v>19</v>
      </c>
      <c r="C1" t="s">
        <v>20</v>
      </c>
      <c r="D1" t="s">
        <v>21</v>
      </c>
      <c r="E1" t="s">
        <v>22</v>
      </c>
      <c r="F1" t="s">
        <v>36</v>
      </c>
    </row>
    <row r="2" spans="1:6" x14ac:dyDescent="0.35">
      <c r="A2" t="s">
        <v>26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27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35">
      <c r="A4" t="s">
        <v>28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35">
      <c r="A5" t="s">
        <v>29</v>
      </c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42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35">
      <c r="A7" t="s">
        <v>43</v>
      </c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35">
      <c r="A8" t="s">
        <v>44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35">
      <c r="A9" t="s">
        <v>45</v>
      </c>
      <c r="B9">
        <v>1</v>
      </c>
      <c r="C9">
        <v>0</v>
      </c>
      <c r="D9">
        <v>0</v>
      </c>
      <c r="E9">
        <v>0</v>
      </c>
      <c r="F9">
        <v>0</v>
      </c>
    </row>
    <row r="10" spans="1:6" x14ac:dyDescent="0.35">
      <c r="A10" t="s">
        <v>46</v>
      </c>
      <c r="B10">
        <v>1</v>
      </c>
      <c r="C10">
        <v>0</v>
      </c>
      <c r="D10">
        <v>0</v>
      </c>
      <c r="E10">
        <v>0</v>
      </c>
      <c r="F10">
        <v>0</v>
      </c>
    </row>
    <row r="11" spans="1:6" x14ac:dyDescent="0.35">
      <c r="A11" t="s">
        <v>47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 x14ac:dyDescent="0.35">
      <c r="A12" t="s">
        <v>48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49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 x14ac:dyDescent="0.35">
      <c r="A14" t="s">
        <v>50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 x14ac:dyDescent="0.35">
      <c r="A15" t="s">
        <v>51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 x14ac:dyDescent="0.35">
      <c r="A16" t="s">
        <v>52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35">
      <c r="A17" t="s">
        <v>53</v>
      </c>
      <c r="B17">
        <v>1</v>
      </c>
      <c r="C17">
        <v>0</v>
      </c>
      <c r="D17">
        <v>0</v>
      </c>
      <c r="E17">
        <v>0</v>
      </c>
      <c r="F17">
        <v>0</v>
      </c>
    </row>
    <row r="18" spans="1:6" x14ac:dyDescent="0.35">
      <c r="A18" t="s">
        <v>54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 x14ac:dyDescent="0.35">
      <c r="A19" t="s">
        <v>55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56</v>
      </c>
      <c r="B20">
        <v>1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57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t="s">
        <v>58</v>
      </c>
      <c r="B22">
        <v>1</v>
      </c>
      <c r="C22">
        <v>0</v>
      </c>
      <c r="D22">
        <v>0</v>
      </c>
      <c r="E22">
        <v>0</v>
      </c>
      <c r="F22">
        <v>0</v>
      </c>
    </row>
    <row r="23" spans="1:6" x14ac:dyDescent="0.35">
      <c r="A23" t="s">
        <v>59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35">
      <c r="A24" t="s">
        <v>9</v>
      </c>
      <c r="B24">
        <v>0</v>
      </c>
      <c r="C24">
        <v>1</v>
      </c>
      <c r="D24">
        <v>0</v>
      </c>
      <c r="E24">
        <v>0</v>
      </c>
      <c r="F24">
        <v>1</v>
      </c>
    </row>
    <row r="25" spans="1:6" x14ac:dyDescent="0.35">
      <c r="A25" t="s">
        <v>10</v>
      </c>
      <c r="B25">
        <v>0</v>
      </c>
      <c r="C25">
        <v>0</v>
      </c>
      <c r="D25">
        <v>0</v>
      </c>
      <c r="E25">
        <v>1</v>
      </c>
      <c r="F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Z25"/>
  <sheetViews>
    <sheetView topLeftCell="S1" zoomScaleNormal="100" workbookViewId="0">
      <selection activeCell="A26" sqref="A26"/>
    </sheetView>
  </sheetViews>
  <sheetFormatPr baseColWidth="10" defaultRowHeight="14.5" x14ac:dyDescent="0.35"/>
  <cols>
    <col min="1" max="1" width="33.81640625" customWidth="1"/>
  </cols>
  <sheetData>
    <row r="1" spans="1:26" x14ac:dyDescent="0.35">
      <c r="A1" t="s">
        <v>17</v>
      </c>
      <c r="B1" t="s">
        <v>26</v>
      </c>
      <c r="C1" t="s">
        <v>27</v>
      </c>
      <c r="D1" t="s">
        <v>28</v>
      </c>
      <c r="E1" t="s">
        <v>29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9</v>
      </c>
      <c r="Y1" t="s">
        <v>10</v>
      </c>
      <c r="Z1" t="s">
        <v>6</v>
      </c>
    </row>
    <row r="2" spans="1:26" x14ac:dyDescent="0.35">
      <c r="A2" t="s">
        <v>26</v>
      </c>
    </row>
    <row r="3" spans="1:26" x14ac:dyDescent="0.35">
      <c r="A3" t="s">
        <v>27</v>
      </c>
    </row>
    <row r="4" spans="1:26" x14ac:dyDescent="0.35">
      <c r="A4" t="s">
        <v>28</v>
      </c>
    </row>
    <row r="5" spans="1:26" x14ac:dyDescent="0.35">
      <c r="A5" t="s">
        <v>29</v>
      </c>
    </row>
    <row r="6" spans="1:26" x14ac:dyDescent="0.35">
      <c r="A6" t="s">
        <v>42</v>
      </c>
    </row>
    <row r="7" spans="1:26" x14ac:dyDescent="0.35">
      <c r="A7" t="s">
        <v>43</v>
      </c>
    </row>
    <row r="8" spans="1:26" x14ac:dyDescent="0.35">
      <c r="A8" t="s">
        <v>44</v>
      </c>
    </row>
    <row r="9" spans="1:26" x14ac:dyDescent="0.35">
      <c r="A9" t="s">
        <v>45</v>
      </c>
    </row>
    <row r="10" spans="1:26" x14ac:dyDescent="0.35">
      <c r="A10" t="s">
        <v>46</v>
      </c>
    </row>
    <row r="11" spans="1:26" x14ac:dyDescent="0.35">
      <c r="A11" t="s">
        <v>47</v>
      </c>
    </row>
    <row r="12" spans="1:26" x14ac:dyDescent="0.35">
      <c r="A12" t="s">
        <v>48</v>
      </c>
    </row>
    <row r="13" spans="1:26" x14ac:dyDescent="0.35">
      <c r="A13" t="s">
        <v>49</v>
      </c>
    </row>
    <row r="14" spans="1:26" x14ac:dyDescent="0.35">
      <c r="A14" t="s">
        <v>50</v>
      </c>
    </row>
    <row r="15" spans="1:26" x14ac:dyDescent="0.35">
      <c r="A15" t="s">
        <v>51</v>
      </c>
    </row>
    <row r="16" spans="1:26" x14ac:dyDescent="0.35">
      <c r="A16" t="s">
        <v>52</v>
      </c>
    </row>
    <row r="17" spans="1:26" x14ac:dyDescent="0.35">
      <c r="A17" t="s">
        <v>53</v>
      </c>
    </row>
    <row r="18" spans="1:26" x14ac:dyDescent="0.35">
      <c r="A18" t="s">
        <v>54</v>
      </c>
    </row>
    <row r="19" spans="1:26" x14ac:dyDescent="0.35">
      <c r="A19" t="s">
        <v>55</v>
      </c>
    </row>
    <row r="20" spans="1:26" x14ac:dyDescent="0.35">
      <c r="A20" t="s">
        <v>56</v>
      </c>
    </row>
    <row r="21" spans="1:26" x14ac:dyDescent="0.35">
      <c r="A21" t="s">
        <v>57</v>
      </c>
    </row>
    <row r="22" spans="1:26" x14ac:dyDescent="0.35">
      <c r="A22" t="s">
        <v>58</v>
      </c>
    </row>
    <row r="23" spans="1:26" x14ac:dyDescent="0.35">
      <c r="A23" t="s">
        <v>59</v>
      </c>
    </row>
    <row r="24" spans="1:26" x14ac:dyDescent="0.35">
      <c r="A24" t="s">
        <v>9</v>
      </c>
      <c r="B24">
        <v>10</v>
      </c>
      <c r="C24">
        <v>10</v>
      </c>
      <c r="D24">
        <v>15</v>
      </c>
      <c r="E24">
        <v>17</v>
      </c>
      <c r="F24">
        <v>14</v>
      </c>
      <c r="G24">
        <v>18</v>
      </c>
      <c r="H24">
        <v>22</v>
      </c>
      <c r="I24">
        <v>26</v>
      </c>
      <c r="J24">
        <v>27</v>
      </c>
      <c r="K24">
        <v>9</v>
      </c>
      <c r="L24">
        <v>15</v>
      </c>
      <c r="M24">
        <v>13</v>
      </c>
      <c r="N24">
        <v>11</v>
      </c>
      <c r="O24">
        <v>11</v>
      </c>
      <c r="P24">
        <v>5</v>
      </c>
      <c r="Q24">
        <v>8</v>
      </c>
      <c r="R24">
        <v>28</v>
      </c>
      <c r="S24">
        <v>27</v>
      </c>
      <c r="T24">
        <v>24</v>
      </c>
      <c r="U24">
        <v>25</v>
      </c>
      <c r="V24">
        <v>27</v>
      </c>
      <c r="W24">
        <v>23</v>
      </c>
      <c r="X24">
        <v>2</v>
      </c>
      <c r="Y24">
        <v>30</v>
      </c>
      <c r="Z24">
        <v>50</v>
      </c>
    </row>
    <row r="25" spans="1:26" x14ac:dyDescent="0.35">
      <c r="A25" t="s">
        <v>10</v>
      </c>
      <c r="B25">
        <v>24</v>
      </c>
      <c r="C25">
        <v>23</v>
      </c>
      <c r="D25">
        <v>28</v>
      </c>
      <c r="E25">
        <v>30</v>
      </c>
      <c r="F25">
        <v>30</v>
      </c>
      <c r="G25">
        <v>31</v>
      </c>
      <c r="H25">
        <v>36</v>
      </c>
      <c r="I25">
        <v>39</v>
      </c>
      <c r="J25">
        <v>40</v>
      </c>
      <c r="K25">
        <v>24</v>
      </c>
      <c r="L25">
        <v>15</v>
      </c>
      <c r="M25">
        <v>22</v>
      </c>
      <c r="N25">
        <v>16</v>
      </c>
      <c r="O25">
        <v>28</v>
      </c>
      <c r="P25">
        <v>29</v>
      </c>
      <c r="Q25">
        <v>23</v>
      </c>
      <c r="R25">
        <v>40</v>
      </c>
      <c r="S25">
        <v>36</v>
      </c>
      <c r="T25">
        <v>37</v>
      </c>
      <c r="U25">
        <v>39</v>
      </c>
      <c r="V25">
        <v>40</v>
      </c>
      <c r="W25">
        <v>32</v>
      </c>
      <c r="X25">
        <v>30</v>
      </c>
      <c r="Y25">
        <v>2</v>
      </c>
      <c r="Z2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K26"/>
  <sheetViews>
    <sheetView workbookViewId="0">
      <selection activeCell="C24" sqref="C24"/>
    </sheetView>
  </sheetViews>
  <sheetFormatPr baseColWidth="10" defaultRowHeight="14.5" x14ac:dyDescent="0.35"/>
  <cols>
    <col min="11" max="11" width="22.36328125" customWidth="1"/>
  </cols>
  <sheetData>
    <row r="1" spans="1:11" x14ac:dyDescent="0.35">
      <c r="A1" t="s">
        <v>16</v>
      </c>
      <c r="B1" t="s">
        <v>40</v>
      </c>
      <c r="C1" t="s">
        <v>12</v>
      </c>
      <c r="D1" t="s">
        <v>13</v>
      </c>
      <c r="E1" t="s">
        <v>14</v>
      </c>
      <c r="F1" t="s">
        <v>15</v>
      </c>
      <c r="G1" t="s">
        <v>37</v>
      </c>
    </row>
    <row r="2" spans="1:11" x14ac:dyDescent="0.35">
      <c r="A2" t="s">
        <v>26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</row>
    <row r="3" spans="1:11" x14ac:dyDescent="0.35">
      <c r="A3" t="s">
        <v>27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11" x14ac:dyDescent="0.35">
      <c r="A4" t="s">
        <v>28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</row>
    <row r="5" spans="1:11" x14ac:dyDescent="0.35">
      <c r="A5" t="s">
        <v>29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11" x14ac:dyDescent="0.35">
      <c r="A6" t="s">
        <v>42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11" x14ac:dyDescent="0.35">
      <c r="A7" t="s">
        <v>43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11" x14ac:dyDescent="0.35">
      <c r="A8" t="s">
        <v>44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K8" s="1"/>
    </row>
    <row r="9" spans="1:11" x14ac:dyDescent="0.35">
      <c r="A9" t="s">
        <v>45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K9" s="1"/>
    </row>
    <row r="10" spans="1:11" x14ac:dyDescent="0.35">
      <c r="A10" t="s">
        <v>46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K10" s="1"/>
    </row>
    <row r="11" spans="1:11" x14ac:dyDescent="0.35">
      <c r="A11" t="s">
        <v>47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11" x14ac:dyDescent="0.35">
      <c r="A12" t="s">
        <v>48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11" x14ac:dyDescent="0.35">
      <c r="A13" t="s">
        <v>49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1:11" x14ac:dyDescent="0.35">
      <c r="A14" t="s">
        <v>50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11" x14ac:dyDescent="0.35">
      <c r="A15" t="s">
        <v>51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11" x14ac:dyDescent="0.35">
      <c r="A16" t="s">
        <v>52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53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54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55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56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57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t="s">
        <v>58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59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9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</row>
    <row r="25" spans="1:7" x14ac:dyDescent="0.35">
      <c r="A25" t="s">
        <v>10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</row>
    <row r="26" spans="1:7" x14ac:dyDescent="0.35">
      <c r="A26" t="s">
        <v>6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2B0E-AECF-41DB-AC20-A757648DB06D}">
  <dimension ref="A1:I15"/>
  <sheetViews>
    <sheetView workbookViewId="0">
      <selection sqref="A1:G12"/>
    </sheetView>
  </sheetViews>
  <sheetFormatPr baseColWidth="10" defaultRowHeight="14.5" x14ac:dyDescent="0.35"/>
  <sheetData>
    <row r="1" spans="1:9" x14ac:dyDescent="0.35">
      <c r="B1" t="s">
        <v>12</v>
      </c>
      <c r="D1" t="s">
        <v>13</v>
      </c>
      <c r="F1" t="s">
        <v>14</v>
      </c>
      <c r="H1" t="s">
        <v>15</v>
      </c>
    </row>
    <row r="2" spans="1:9" x14ac:dyDescent="0.35">
      <c r="A2" t="s">
        <v>16</v>
      </c>
      <c r="B2" t="s">
        <v>23</v>
      </c>
      <c r="C2" t="s">
        <v>25</v>
      </c>
      <c r="D2" t="s">
        <v>23</v>
      </c>
      <c r="E2" t="s">
        <v>25</v>
      </c>
      <c r="F2" t="s">
        <v>23</v>
      </c>
      <c r="G2" t="s">
        <v>25</v>
      </c>
      <c r="H2" t="s">
        <v>23</v>
      </c>
      <c r="I2" t="s">
        <v>25</v>
      </c>
    </row>
    <row r="3" spans="1:9" x14ac:dyDescent="0.35">
      <c r="A3" t="s">
        <v>0</v>
      </c>
      <c r="B3">
        <v>1</v>
      </c>
      <c r="D3">
        <v>0</v>
      </c>
      <c r="F3">
        <v>1</v>
      </c>
      <c r="H3">
        <v>0</v>
      </c>
    </row>
    <row r="4" spans="1:9" x14ac:dyDescent="0.35">
      <c r="A4" t="s">
        <v>1</v>
      </c>
      <c r="B4">
        <v>1</v>
      </c>
      <c r="D4">
        <v>0</v>
      </c>
      <c r="F4">
        <v>0</v>
      </c>
      <c r="H4">
        <v>0</v>
      </c>
    </row>
    <row r="5" spans="1:9" x14ac:dyDescent="0.35">
      <c r="A5" t="s">
        <v>2</v>
      </c>
      <c r="B5">
        <v>1</v>
      </c>
      <c r="D5">
        <v>1</v>
      </c>
      <c r="F5">
        <v>0</v>
      </c>
      <c r="H5">
        <v>1</v>
      </c>
    </row>
    <row r="6" spans="1:9" x14ac:dyDescent="0.35">
      <c r="A6" t="s">
        <v>9</v>
      </c>
      <c r="B6">
        <v>1</v>
      </c>
      <c r="D6">
        <v>0</v>
      </c>
      <c r="F6">
        <v>1</v>
      </c>
      <c r="H6">
        <v>0</v>
      </c>
    </row>
    <row r="7" spans="1:9" x14ac:dyDescent="0.35">
      <c r="A7" t="s">
        <v>10</v>
      </c>
      <c r="B7">
        <v>1</v>
      </c>
      <c r="D7">
        <v>1</v>
      </c>
      <c r="F7">
        <v>0</v>
      </c>
      <c r="H7">
        <v>0</v>
      </c>
    </row>
    <row r="8" spans="1:9" x14ac:dyDescent="0.35">
      <c r="A8" t="s">
        <v>11</v>
      </c>
      <c r="B8">
        <v>1</v>
      </c>
      <c r="D8">
        <v>1</v>
      </c>
      <c r="F8">
        <v>0</v>
      </c>
      <c r="H8">
        <v>1</v>
      </c>
    </row>
    <row r="9" spans="1:9" x14ac:dyDescent="0.35">
      <c r="A9" t="s">
        <v>6</v>
      </c>
      <c r="B9">
        <v>1</v>
      </c>
      <c r="D9">
        <v>1</v>
      </c>
      <c r="F9">
        <v>1</v>
      </c>
      <c r="H9">
        <v>1</v>
      </c>
    </row>
    <row r="10" spans="1:9" x14ac:dyDescent="0.35">
      <c r="A10" t="s">
        <v>7</v>
      </c>
      <c r="B10">
        <v>1</v>
      </c>
      <c r="D10">
        <v>1</v>
      </c>
      <c r="F10">
        <v>0</v>
      </c>
      <c r="H10">
        <v>0</v>
      </c>
    </row>
    <row r="11" spans="1:9" x14ac:dyDescent="0.35">
      <c r="A11" t="s">
        <v>18</v>
      </c>
      <c r="B11">
        <v>0</v>
      </c>
      <c r="D11">
        <v>1</v>
      </c>
      <c r="F11">
        <v>1</v>
      </c>
      <c r="H11">
        <v>1</v>
      </c>
    </row>
    <row r="15" spans="1:9" x14ac:dyDescent="0.35">
      <c r="I15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opLeftCell="A8" workbookViewId="0">
      <selection sqref="A1:B23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39</v>
      </c>
    </row>
    <row r="2" spans="1:2" x14ac:dyDescent="0.35">
      <c r="A2" t="s">
        <v>26</v>
      </c>
      <c r="B2">
        <v>26.086956521739129</v>
      </c>
    </row>
    <row r="3" spans="1:2" x14ac:dyDescent="0.35">
      <c r="A3" t="s">
        <v>27</v>
      </c>
      <c r="B3">
        <v>30</v>
      </c>
    </row>
    <row r="4" spans="1:2" x14ac:dyDescent="0.35">
      <c r="A4" t="s">
        <v>28</v>
      </c>
      <c r="B4">
        <v>24</v>
      </c>
    </row>
    <row r="5" spans="1:2" x14ac:dyDescent="0.35">
      <c r="A5" t="s">
        <v>29</v>
      </c>
      <c r="B5">
        <v>5</v>
      </c>
    </row>
    <row r="6" spans="1:2" x14ac:dyDescent="0.35">
      <c r="A6" t="s">
        <v>42</v>
      </c>
      <c r="B6">
        <v>22</v>
      </c>
    </row>
    <row r="7" spans="1:2" x14ac:dyDescent="0.35">
      <c r="A7" t="s">
        <v>43</v>
      </c>
      <c r="B7">
        <v>46</v>
      </c>
    </row>
    <row r="8" spans="1:2" x14ac:dyDescent="0.35">
      <c r="A8" t="s">
        <v>44</v>
      </c>
      <c r="B8">
        <v>17</v>
      </c>
    </row>
    <row r="9" spans="1:2" x14ac:dyDescent="0.35">
      <c r="A9" t="s">
        <v>45</v>
      </c>
      <c r="B9">
        <v>17</v>
      </c>
    </row>
    <row r="10" spans="1:2" x14ac:dyDescent="0.35">
      <c r="A10" t="s">
        <v>46</v>
      </c>
      <c r="B10">
        <v>12</v>
      </c>
    </row>
    <row r="11" spans="1:2" x14ac:dyDescent="0.35">
      <c r="A11" t="s">
        <v>47</v>
      </c>
      <c r="B11">
        <v>8</v>
      </c>
    </row>
    <row r="12" spans="1:2" x14ac:dyDescent="0.35">
      <c r="A12" t="s">
        <v>48</v>
      </c>
      <c r="B12">
        <v>24</v>
      </c>
    </row>
    <row r="13" spans="1:2" x14ac:dyDescent="0.35">
      <c r="A13" t="s">
        <v>49</v>
      </c>
      <c r="B13">
        <v>18</v>
      </c>
    </row>
    <row r="14" spans="1:2" x14ac:dyDescent="0.35">
      <c r="A14" t="s">
        <v>50</v>
      </c>
      <c r="B14">
        <v>5</v>
      </c>
    </row>
    <row r="15" spans="1:2" x14ac:dyDescent="0.35">
      <c r="A15" t="s">
        <v>51</v>
      </c>
      <c r="B15">
        <v>8</v>
      </c>
    </row>
    <row r="16" spans="1:2" x14ac:dyDescent="0.35">
      <c r="A16" t="s">
        <v>52</v>
      </c>
      <c r="B16">
        <v>8</v>
      </c>
    </row>
    <row r="17" spans="1:2" x14ac:dyDescent="0.35">
      <c r="A17" t="s">
        <v>53</v>
      </c>
      <c r="B17">
        <v>24.981412639405203</v>
      </c>
    </row>
    <row r="18" spans="1:2" x14ac:dyDescent="0.35">
      <c r="A18" t="s">
        <v>54</v>
      </c>
      <c r="B18">
        <v>8</v>
      </c>
    </row>
    <row r="19" spans="1:2" x14ac:dyDescent="0.35">
      <c r="A19" t="s">
        <v>55</v>
      </c>
      <c r="B19">
        <v>14</v>
      </c>
    </row>
    <row r="20" spans="1:2" x14ac:dyDescent="0.35">
      <c r="A20" t="s">
        <v>56</v>
      </c>
      <c r="B20">
        <v>7</v>
      </c>
    </row>
    <row r="21" spans="1:2" x14ac:dyDescent="0.35">
      <c r="A21" t="s">
        <v>57</v>
      </c>
      <c r="B21">
        <v>7</v>
      </c>
    </row>
    <row r="22" spans="1:2" x14ac:dyDescent="0.35">
      <c r="A22" t="s">
        <v>58</v>
      </c>
      <c r="B22">
        <v>31</v>
      </c>
    </row>
    <row r="23" spans="1:2" x14ac:dyDescent="0.35">
      <c r="A23" t="s">
        <v>59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tech_pot</vt:lpstr>
      <vt:lpstr>dist_market</vt:lpstr>
      <vt:lpstr>market</vt:lpstr>
      <vt:lpstr>Feuil4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2026-01-14T13:43:49Z</dcterms:modified>
</cp:coreProperties>
</file>