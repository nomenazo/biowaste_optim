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C88D6427-DDAD-41BA-8E5A-E44BA23B6517}" xr6:coauthVersionLast="36" xr6:coauthVersionMax="36" xr10:uidLastSave="{00000000-0000-0000-0000-000000000000}"/>
  <bookViews>
    <workbookView xWindow="0" yWindow="0" windowWidth="19200" windowHeight="6640" firstSheet="1" activeTab="3" xr2:uid="{D3821372-1969-4DD6-A628-04C5F8F02CF2}"/>
  </bookViews>
  <sheets>
    <sheet name="LCI" sheetId="1" r:id="rId1"/>
    <sheet name="Parameters" sheetId="3" r:id="rId2"/>
    <sheet name="Waste_characteristics" sheetId="6" r:id="rId3"/>
    <sheet name="AD_a_end" sheetId="9" r:id="rId4"/>
    <sheet name="AD_a_mid" sheetId="2" r:id="rId5"/>
    <sheet name="impact_process_mid" sheetId="7" r:id="rId6"/>
    <sheet name="impact_process_end" sheetId="8" r:id="rId7"/>
  </sheets>
  <externalReferences>
    <externalReference r:id="rId8"/>
  </externalReferences>
  <definedNames>
    <definedName name="Food_Type">"Baseline"</definedName>
    <definedName name="Methane_LHV">'[1]Global params'!$E$21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9" l="1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C75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D74" i="9"/>
  <c r="E74" i="9"/>
  <c r="F74" i="9"/>
  <c r="G74" i="9"/>
  <c r="H74" i="9"/>
  <c r="I74" i="9"/>
  <c r="C74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C73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C72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C71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C70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D69" i="9"/>
  <c r="E69" i="9"/>
  <c r="C69" i="9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C75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C74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C73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C72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C71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C70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C69" i="2"/>
  <c r="E89" i="1"/>
  <c r="E88" i="1"/>
  <c r="E86" i="1"/>
  <c r="E85" i="1"/>
  <c r="E84" i="1"/>
  <c r="E83" i="1"/>
  <c r="E87" i="1"/>
  <c r="E6" i="1"/>
  <c r="E82" i="1"/>
  <c r="C69" i="3"/>
  <c r="H66" i="3"/>
  <c r="C68" i="3"/>
  <c r="C72" i="3"/>
  <c r="C66" i="3"/>
  <c r="E69" i="1" l="1"/>
  <c r="E67" i="1"/>
  <c r="E68" i="1"/>
  <c r="C65" i="3"/>
  <c r="C67" i="3" s="1"/>
  <c r="E74" i="1" s="1"/>
  <c r="E72" i="1" l="1"/>
  <c r="E62" i="1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E73" i="1" l="1"/>
  <c r="E75" i="1"/>
  <c r="E78" i="1" s="1"/>
  <c r="D66" i="9" l="1"/>
  <c r="L66" i="9"/>
  <c r="T66" i="9"/>
  <c r="C66" i="9"/>
  <c r="K66" i="2"/>
  <c r="S66" i="2"/>
  <c r="AA66" i="9"/>
  <c r="E66" i="9"/>
  <c r="M66" i="9"/>
  <c r="U66" i="9"/>
  <c r="D66" i="2"/>
  <c r="L66" i="2"/>
  <c r="T66" i="2"/>
  <c r="J66" i="2"/>
  <c r="R66" i="2"/>
  <c r="F66" i="9"/>
  <c r="N66" i="9"/>
  <c r="V66" i="9"/>
  <c r="E66" i="2"/>
  <c r="M66" i="2"/>
  <c r="C66" i="2"/>
  <c r="G66" i="9"/>
  <c r="O66" i="9"/>
  <c r="W66" i="9"/>
  <c r="F66" i="2"/>
  <c r="N66" i="2"/>
  <c r="H66" i="9"/>
  <c r="P66" i="9"/>
  <c r="X66" i="9"/>
  <c r="G66" i="2"/>
  <c r="O66" i="2"/>
  <c r="I66" i="9"/>
  <c r="Q66" i="9"/>
  <c r="Y66" i="9"/>
  <c r="H66" i="2"/>
  <c r="P66" i="2"/>
  <c r="K66" i="9"/>
  <c r="J66" i="9"/>
  <c r="R66" i="9"/>
  <c r="Z66" i="9"/>
  <c r="I66" i="2"/>
  <c r="Q66" i="2"/>
  <c r="S66" i="9"/>
  <c r="H62" i="9"/>
  <c r="P62" i="9"/>
  <c r="X62" i="9"/>
  <c r="G62" i="2"/>
  <c r="O62" i="2"/>
  <c r="W62" i="9"/>
  <c r="I62" i="9"/>
  <c r="Q62" i="9"/>
  <c r="Y62" i="9"/>
  <c r="H62" i="2"/>
  <c r="P62" i="2"/>
  <c r="F62" i="2"/>
  <c r="J62" i="9"/>
  <c r="R62" i="9"/>
  <c r="Z62" i="9"/>
  <c r="I62" i="2"/>
  <c r="Q62" i="2"/>
  <c r="K62" i="9"/>
  <c r="S62" i="9"/>
  <c r="AA62" i="9"/>
  <c r="J62" i="2"/>
  <c r="R62" i="2"/>
  <c r="D62" i="9"/>
  <c r="L62" i="9"/>
  <c r="T62" i="9"/>
  <c r="C62" i="9"/>
  <c r="K62" i="2"/>
  <c r="S62" i="2"/>
  <c r="E62" i="9"/>
  <c r="M62" i="9"/>
  <c r="U62" i="9"/>
  <c r="D62" i="2"/>
  <c r="L62" i="2"/>
  <c r="T62" i="2"/>
  <c r="O62" i="9"/>
  <c r="F62" i="9"/>
  <c r="N62" i="9"/>
  <c r="V62" i="9"/>
  <c r="E62" i="2"/>
  <c r="M62" i="2"/>
  <c r="C62" i="2"/>
  <c r="G62" i="9"/>
  <c r="N62" i="2"/>
  <c r="D10" i="8" l="1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C10" i="8"/>
  <c r="C10" i="7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E10" i="7" l="1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D10" i="7"/>
  <c r="C104" i="3"/>
  <c r="C105" i="3"/>
  <c r="E7" i="1" l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I6" i="2" l="1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6" i="3" l="1"/>
  <c r="E9" i="1"/>
  <c r="E12" i="1" l="1"/>
  <c r="E10" i="1"/>
  <c r="E11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V9" i="9" l="1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C34" i="3"/>
  <c r="L36" i="3"/>
  <c r="C33" i="3" s="1"/>
  <c r="L47" i="3"/>
  <c r="C38" i="3" s="1"/>
  <c r="E4" i="1"/>
  <c r="E27" i="1" l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2" i="3"/>
  <c r="C41" i="3"/>
  <c r="C40" i="3"/>
  <c r="C39" i="3"/>
  <c r="C37" i="3"/>
  <c r="C36" i="3"/>
  <c r="C35" i="3"/>
  <c r="C12" i="3"/>
  <c r="B3" i="6"/>
  <c r="E24" i="1" l="1"/>
  <c r="E21" i="1"/>
  <c r="E20" i="1"/>
  <c r="E22" i="1"/>
  <c r="E17" i="1"/>
  <c r="E16" i="1"/>
  <c r="E15" i="1"/>
  <c r="E23" i="1"/>
  <c r="E19" i="1"/>
  <c r="E18" i="1"/>
  <c r="E50" i="1"/>
  <c r="E48" i="1"/>
  <c r="E47" i="1"/>
  <c r="E45" i="1"/>
  <c r="E49" i="1"/>
  <c r="E46" i="1"/>
  <c r="E44" i="1"/>
  <c r="E43" i="1"/>
  <c r="E54" i="1"/>
  <c r="E53" i="1"/>
  <c r="E59" i="1"/>
  <c r="E58" i="1"/>
  <c r="E57" i="1"/>
  <c r="E56" i="1"/>
  <c r="E55" i="1"/>
  <c r="E38" i="1"/>
  <c r="E37" i="1"/>
  <c r="E28" i="1"/>
  <c r="E31" i="1"/>
  <c r="E39" i="1"/>
  <c r="E30" i="1"/>
  <c r="E32" i="1"/>
  <c r="E33" i="1"/>
  <c r="E36" i="1"/>
  <c r="E34" i="1"/>
  <c r="E35" i="1"/>
  <c r="E29" i="1"/>
  <c r="B6" i="6"/>
  <c r="C73" i="3" s="1"/>
  <c r="O50" i="3"/>
  <c r="O56" i="3"/>
  <c r="C76" i="3" l="1"/>
  <c r="E63" i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7" i="3"/>
  <c r="O58" i="3" s="1"/>
  <c r="H54" i="9" l="1"/>
  <c r="P54" i="9"/>
  <c r="X54" i="9"/>
  <c r="G54" i="2"/>
  <c r="O54" i="2"/>
  <c r="I54" i="9"/>
  <c r="Q54" i="9"/>
  <c r="Y54" i="9"/>
  <c r="H54" i="2"/>
  <c r="P54" i="2"/>
  <c r="J54" i="9"/>
  <c r="R54" i="9"/>
  <c r="Z54" i="9"/>
  <c r="I54" i="2"/>
  <c r="Q54" i="2"/>
  <c r="K54" i="9"/>
  <c r="S54" i="9"/>
  <c r="AA54" i="9"/>
  <c r="J54" i="2"/>
  <c r="R54" i="2"/>
  <c r="E54" i="9"/>
  <c r="U54" i="9"/>
  <c r="L54" i="2"/>
  <c r="D54" i="9"/>
  <c r="L54" i="9"/>
  <c r="T54" i="9"/>
  <c r="C54" i="9"/>
  <c r="K54" i="2"/>
  <c r="S54" i="2"/>
  <c r="M54" i="9"/>
  <c r="D54" i="2"/>
  <c r="T54" i="2"/>
  <c r="F54" i="9"/>
  <c r="N54" i="9"/>
  <c r="V54" i="9"/>
  <c r="E54" i="2"/>
  <c r="M54" i="2"/>
  <c r="C54" i="2"/>
  <c r="G54" i="9"/>
  <c r="O54" i="9"/>
  <c r="W54" i="9"/>
  <c r="F54" i="2"/>
  <c r="N54" i="2"/>
  <c r="E66" i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</calcChain>
</file>

<file path=xl/sharedStrings.xml><?xml version="1.0" encoding="utf-8"?>
<sst xmlns="http://schemas.openxmlformats.org/spreadsheetml/2006/main" count="935" uniqueCount="297">
  <si>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</si>
  <si>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</si>
  <si>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</si>
  <si>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</si>
  <si>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</si>
  <si>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</si>
  <si>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</si>
  <si>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</si>
  <si>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</si>
  <si>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</si>
  <si>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</si>
  <si>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</si>
  <si>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</si>
  <si>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</si>
  <si>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</si>
  <si>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</si>
  <si>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</si>
  <si>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</si>
  <si>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</si>
  <si>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</si>
  <si>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</si>
  <si>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</si>
  <si>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</si>
  <si>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</si>
  <si>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</si>
  <si>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</si>
  <si>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</si>
  <si>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</si>
  <si>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</si>
  <si>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</si>
  <si>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</si>
  <si>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</si>
  <si>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</si>
  <si>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</si>
  <si>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</si>
  <si>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</si>
  <si>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</si>
  <si>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</si>
  <si>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</si>
  <si>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</si>
  <si>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</si>
  <si>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</si>
  <si>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</si>
  <si>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</si>
  <si>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</si>
  <si>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</si>
  <si>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</si>
  <si>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</si>
  <si>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</si>
  <si>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</si>
  <si>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</si>
  <si>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</si>
  <si>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</si>
  <si>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</si>
  <si>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</si>
  <si>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</si>
  <si>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</si>
  <si>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</si>
  <si>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</si>
  <si>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</si>
  <si>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</si>
  <si>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</si>
  <si>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</si>
  <si>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</si>
  <si>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</si>
  <si>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</si>
  <si>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</si>
  <si>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</si>
  <si>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</si>
  <si>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</si>
  <si>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</si>
  <si>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</si>
  <si>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</si>
  <si>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</si>
  <si>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</si>
  <si>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</si>
  <si>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</si>
  <si>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</si>
  <si>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</si>
  <si>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</si>
  <si>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</si>
  <si>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</si>
  <si>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</si>
  <si>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</si>
  <si>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</si>
  <si>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</si>
  <si>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</si>
  <si>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</si>
  <si>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</si>
  <si>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</si>
  <si>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</si>
  <si>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</si>
  <si>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</si>
  <si>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</si>
  <si>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</si>
  <si>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</si>
  <si>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%of total waste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</si>
  <si>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</si>
  <si>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</si>
  <si>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</si>
  <si>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</si>
  <si>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</si>
  <si>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</si>
  <si>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</si>
  <si>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</si>
  <si>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</si>
  <si>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</si>
  <si>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</si>
  <si>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</si>
  <si>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</si>
  <si>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</si>
  <si>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</si>
  <si>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</si>
  <si>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</si>
  <si>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</si>
  <si>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</si>
  <si>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</si>
  <si>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</si>
  <si>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</si>
  <si>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</si>
  <si>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</si>
  <si>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</si>
  <si>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</si>
  <si>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</si>
  <si>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</si>
  <si>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</si>
  <si>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</si>
  <si>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</si>
  <si>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</si>
  <si>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</si>
  <si>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</si>
  <si>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</si>
  <si>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</si>
  <si>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</si>
  <si>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</si>
  <si>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</si>
  <si>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</si>
  <si>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</si>
  <si>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</si>
  <si>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</si>
  <si>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</si>
  <si>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</si>
  <si>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</si>
  <si>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</si>
  <si>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</si>
  <si>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</si>
  <si>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</si>
  <si>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</si>
  <si>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</si>
  <si>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</si>
  <si>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</si>
  <si>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</si>
  <si>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</si>
  <si>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</si>
  <si>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</si>
  <si>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</si>
  <si>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</si>
  <si>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</si>
  <si>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</si>
  <si>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</si>
  <si>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</si>
  <si>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</si>
  <si>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</si>
  <si>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</si>
  <si>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</si>
  <si>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</si>
  <si>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</si>
  <si>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</si>
  <si>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</si>
  <si>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</si>
  <si>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</si>
  <si>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</si>
  <si>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</si>
  <si>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</si>
  <si>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</si>
  <si>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</si>
  <si>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</si>
  <si>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</si>
  <si>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</si>
  <si>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</si>
  <si>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</si>
  <si>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</si>
  <si>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</si>
  <si>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</si>
  <si>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</si>
  <si>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</si>
  <si>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</si>
  <si>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</si>
  <si>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</si>
  <si>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</si>
  <si>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</si>
  <si>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</si>
  <si>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</si>
  <si>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</si>
  <si>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</si>
  <si>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</si>
  <si>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</si>
  <si>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</si>
  <si>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</si>
  <si>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</si>
  <si>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</si>
  <si>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</si>
  <si>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</si>
  <si>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</si>
  <si>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</si>
  <si>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</si>
  <si>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</si>
  <si>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</si>
  <si>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</si>
  <si>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</si>
  <si>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</si>
  <si>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</si>
  <si>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</si>
  <si>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</si>
  <si>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</si>
  <si>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</si>
  <si>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</si>
  <si>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</si>
  <si>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</si>
  <si>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</si>
  <si>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</si>
  <si>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</si>
  <si>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</si>
  <si>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</si>
  <si>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 xml:space="preserve"> 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</si>
  <si>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</si>
  <si>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</si>
  <si>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</si>
  <si>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</si>
  <si>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</si>
  <si>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</si>
  <si>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</si>
  <si>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</si>
  <si>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</si>
  <si>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</si>
  <si>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</si>
  <si>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</si>
  <si>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</si>
  <si>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</si>
  <si>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</si>
  <si>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</si>
  <si>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</si>
  <si>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</si>
  <si>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</si>
  <si>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</si>
  <si>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</si>
  <si>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</si>
  <si>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</si>
  <si>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</si>
  <si>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</si>
  <si>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</si>
  <si>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</si>
  <si>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</si>
  <si>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</si>
  <si>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</si>
  <si>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</si>
  <si>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</si>
  <si>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</si>
  <si>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</si>
  <si>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</si>
  <si>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</si>
  <si>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</si>
  <si>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</si>
  <si>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</si>
  <si>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t VS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</si>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</sst>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00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72</xdr:row>
      <xdr:rowOff>44450</xdr:rowOff>
    </xdr:from>
    <xdr:to>
      <xdr:col>5</xdr:col>
      <xdr:colOff>6289052</xdr:colOff>
      <xdr:row>75</xdr:row>
      <xdr:rowOff>50712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61</xdr:row>
      <xdr:rowOff>118413</xdr:rowOff>
    </xdr:from>
    <xdr:to>
      <xdr:col>9</xdr:col>
      <xdr:colOff>389940</xdr:colOff>
      <xdr:row>64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158750</xdr:colOff>
      <xdr:row>1</xdr:row>
      <xdr:rowOff>177800</xdr:rowOff>
    </xdr:from>
    <xdr:to>
      <xdr:col>18</xdr:col>
      <xdr:colOff>183195</xdr:colOff>
      <xdr:row>33</xdr:row>
      <xdr:rowOff>116759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8675" y="358775"/>
          <a:ext cx="7644445" cy="57301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G89"/>
  <sheetViews>
    <sheetView topLeftCell="A74" workbookViewId="0">
      <selection activeCell="A91" sqref="A91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6" x14ac:dyDescent="0.35">
      <c r="A2" t="s">
        <v>0</v>
      </c>
      <c r="B2" t="s">
        <v>10</v>
      </c>
      <c r="C2" t="s">
        <v>11</v>
      </c>
      <c r="D2" t="s">
        <v>12</v>
      </c>
      <c r="E2" t="s">
        <v>1</v>
      </c>
      <c r="F2" t="s">
        <v>2</v>
      </c>
    </row>
    <row r="3" spans="1:6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6" x14ac:dyDescent="0.35">
      <c r="B4" t="s">
        <v>3</v>
      </c>
      <c r="C4" t="s">
        <v>15</v>
      </c>
      <c r="D4" t="s">
        <v>8</v>
      </c>
      <c r="E4">
        <f>E3*Parameters!C3</f>
        <v>19</v>
      </c>
      <c r="F4" t="s">
        <v>129</v>
      </c>
    </row>
    <row r="5" spans="1:6" x14ac:dyDescent="0.35">
      <c r="B5" t="s">
        <v>3</v>
      </c>
      <c r="C5" t="s">
        <v>15</v>
      </c>
      <c r="D5" t="s">
        <v>9</v>
      </c>
    </row>
    <row r="6" spans="1:6" x14ac:dyDescent="0.35">
      <c r="B6" t="s">
        <v>4</v>
      </c>
      <c r="C6" t="s">
        <v>17</v>
      </c>
      <c r="D6" t="s">
        <v>238</v>
      </c>
      <c r="E6">
        <f>E3*Parameters!C5</f>
        <v>1</v>
      </c>
      <c r="F6" t="s">
        <v>14</v>
      </c>
    </row>
    <row r="7" spans="1:6" x14ac:dyDescent="0.35">
      <c r="A7" t="s">
        <v>237</v>
      </c>
      <c r="B7" t="s">
        <v>3</v>
      </c>
      <c r="C7" t="s">
        <v>17</v>
      </c>
      <c r="D7" t="s">
        <v>239</v>
      </c>
      <c r="E7">
        <f>E3*(1-Parameters!C5)*1000</f>
        <v>0</v>
      </c>
      <c r="F7" t="s">
        <v>88</v>
      </c>
    </row>
    <row r="9" spans="1:6" x14ac:dyDescent="0.35">
      <c r="A9" t="s">
        <v>6</v>
      </c>
      <c r="B9" t="s">
        <v>3</v>
      </c>
      <c r="C9" t="s">
        <v>17</v>
      </c>
      <c r="D9" t="s">
        <v>16</v>
      </c>
      <c r="E9">
        <f>E6</f>
        <v>1</v>
      </c>
      <c r="F9" t="s">
        <v>14</v>
      </c>
    </row>
    <row r="10" spans="1:6" x14ac:dyDescent="0.35">
      <c r="B10" t="s">
        <v>3</v>
      </c>
      <c r="D10" t="s">
        <v>8</v>
      </c>
      <c r="E10">
        <f>Parameters!C13*LCI!E9</f>
        <v>29</v>
      </c>
      <c r="F10" t="s">
        <v>129</v>
      </c>
    </row>
    <row r="11" spans="1:6" x14ac:dyDescent="0.35">
      <c r="D11" t="s">
        <v>18</v>
      </c>
      <c r="E11">
        <f>E9*Parameters!C14</f>
        <v>295</v>
      </c>
      <c r="F11" t="s">
        <v>220</v>
      </c>
    </row>
    <row r="12" spans="1:6" x14ac:dyDescent="0.35">
      <c r="B12" t="s">
        <v>4</v>
      </c>
      <c r="C12" t="s">
        <v>20</v>
      </c>
      <c r="D12" t="s">
        <v>19</v>
      </c>
      <c r="E12">
        <f>Parameters!C8*(Parameters!C6*(1-Waste_characteristics!B4))*LCI!E9*Parameters!C10*0.001</f>
        <v>2.1542399999999997</v>
      </c>
      <c r="F12" t="s">
        <v>88</v>
      </c>
    </row>
    <row r="13" spans="1:6" x14ac:dyDescent="0.35">
      <c r="B13" t="s">
        <v>4</v>
      </c>
      <c r="C13" t="s">
        <v>17</v>
      </c>
      <c r="D13" t="s">
        <v>21</v>
      </c>
      <c r="E13">
        <f>(((Parameters!C6*(1-Waste_characteristics!B4))/Parameters!C9)*0.001)-((E12/Parameters!C10)*(1/Parameters!C9))</f>
        <v>244.34666666666666</v>
      </c>
      <c r="F13" t="s">
        <v>241</v>
      </c>
    </row>
    <row r="14" spans="1:6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244.34666666666666</v>
      </c>
      <c r="F14" t="s">
        <v>241</v>
      </c>
    </row>
    <row r="15" spans="1:6" x14ac:dyDescent="0.35">
      <c r="B15" t="s">
        <v>4</v>
      </c>
      <c r="C15" t="s">
        <v>20</v>
      </c>
      <c r="D15" s="2" t="s">
        <v>50</v>
      </c>
      <c r="E15" s="4">
        <f>E14*Parameters!C23</f>
        <v>4.0098397044444643E-2</v>
      </c>
      <c r="F15" s="4" t="s">
        <v>88</v>
      </c>
    </row>
    <row r="16" spans="1:6" x14ac:dyDescent="0.35">
      <c r="B16" t="s">
        <v>4</v>
      </c>
      <c r="C16" t="s">
        <v>20</v>
      </c>
      <c r="D16" s="2" t="s">
        <v>51</v>
      </c>
      <c r="E16" s="4">
        <f>E14*Parameters!C24</f>
        <v>0.38647216960931297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E14*Parameters!C25</f>
        <v>3.4370054609523799E-3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LCI!E14*Parameters!C26</f>
        <v>8.4015689045502835E-3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E14*Parameters!C27</f>
        <v>0.26102147028455086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E14*Parameters!C28</f>
        <v>1.5657469322116438E-2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E14*Parameters!C29</f>
        <v>1.0515245833193538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LCI!E14*Parameters!C30</f>
        <v>2.5036299602841761E-2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E14*Parameters!C9*Parameters!C19*Parameters!C18/3.6</f>
        <v>555.88866666666661</v>
      </c>
      <c r="F23" s="4" t="s">
        <v>129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E14*Parameters!C9*Parameters!C19*Parameters!C17</f>
        <v>2360.3888000000002</v>
      </c>
      <c r="F24" t="s">
        <v>220</v>
      </c>
    </row>
    <row r="27" spans="1:6" x14ac:dyDescent="0.35">
      <c r="A27" t="s">
        <v>123</v>
      </c>
      <c r="B27" t="s">
        <v>3</v>
      </c>
      <c r="C27" t="s">
        <v>17</v>
      </c>
      <c r="D27" t="s">
        <v>21</v>
      </c>
      <c r="E27">
        <f>E13</f>
        <v>244.34666666666666</v>
      </c>
      <c r="F27" t="s">
        <v>241</v>
      </c>
    </row>
    <row r="28" spans="1:6" x14ac:dyDescent="0.35">
      <c r="B28" t="s">
        <v>4</v>
      </c>
      <c r="C28" t="s">
        <v>20</v>
      </c>
      <c r="D28" t="s">
        <v>98</v>
      </c>
      <c r="E28" s="5">
        <f>$E$27*Parameters!C33</f>
        <v>491.05957886064039</v>
      </c>
      <c r="F28" t="s">
        <v>88</v>
      </c>
    </row>
    <row r="29" spans="1:6" x14ac:dyDescent="0.35">
      <c r="B29" t="s">
        <v>4</v>
      </c>
      <c r="C29" t="s">
        <v>20</v>
      </c>
      <c r="D29" t="s">
        <v>97</v>
      </c>
      <c r="E29" s="5">
        <f>$E$27*Parameters!C34</f>
        <v>6.2605205273069684E-3</v>
      </c>
      <c r="F29" t="s">
        <v>88</v>
      </c>
    </row>
    <row r="30" spans="1:6" x14ac:dyDescent="0.35">
      <c r="B30" t="s">
        <v>4</v>
      </c>
      <c r="C30" t="s">
        <v>20</v>
      </c>
      <c r="D30" t="s">
        <v>112</v>
      </c>
      <c r="E30" s="5">
        <f>$E$27*Parameters!C35</f>
        <v>6.2605205273069684E-3</v>
      </c>
      <c r="F30" t="s">
        <v>88</v>
      </c>
    </row>
    <row r="31" spans="1:6" x14ac:dyDescent="0.35">
      <c r="B31" t="s">
        <v>4</v>
      </c>
      <c r="C31" t="s">
        <v>20</v>
      </c>
      <c r="D31" t="s">
        <v>143</v>
      </c>
      <c r="E31" s="5">
        <f>$E$27*Parameters!C36</f>
        <v>4.3432361158192101E-2</v>
      </c>
      <c r="F31" t="s">
        <v>88</v>
      </c>
    </row>
    <row r="32" spans="1:6" x14ac:dyDescent="0.35">
      <c r="B32" t="s">
        <v>4</v>
      </c>
      <c r="C32" t="s">
        <v>20</v>
      </c>
      <c r="D32" t="s">
        <v>144</v>
      </c>
      <c r="E32" s="5">
        <f>$E$27*Parameters!C37</f>
        <v>3.1850398182674204E-2</v>
      </c>
      <c r="F32" t="s">
        <v>88</v>
      </c>
    </row>
    <row r="33" spans="1:6" x14ac:dyDescent="0.35">
      <c r="B33" t="s">
        <v>4</v>
      </c>
      <c r="C33" t="s">
        <v>20</v>
      </c>
      <c r="D33" t="s">
        <v>145</v>
      </c>
      <c r="E33" s="5">
        <f>$E$27*Parameters!C38</f>
        <v>3.1850398182674204E-2</v>
      </c>
      <c r="F33" t="s">
        <v>88</v>
      </c>
    </row>
    <row r="34" spans="1:6" x14ac:dyDescent="0.35">
      <c r="B34" t="s">
        <v>4</v>
      </c>
      <c r="C34" t="s">
        <v>20</v>
      </c>
      <c r="D34" t="s">
        <v>125</v>
      </c>
      <c r="E34" s="5">
        <f>$E$27*Parameters!C39</f>
        <v>0.41867231026365354</v>
      </c>
      <c r="F34" t="s">
        <v>88</v>
      </c>
    </row>
    <row r="35" spans="1:6" x14ac:dyDescent="0.35">
      <c r="B35" t="s">
        <v>4</v>
      </c>
      <c r="C35" t="s">
        <v>20</v>
      </c>
      <c r="D35" t="s">
        <v>111</v>
      </c>
      <c r="E35" s="5">
        <f>$E$27*Parameters!C40</f>
        <v>1.3225349613935972E-2</v>
      </c>
      <c r="F35" t="s">
        <v>88</v>
      </c>
    </row>
    <row r="36" spans="1:6" x14ac:dyDescent="0.35">
      <c r="B36" t="s">
        <v>4</v>
      </c>
      <c r="C36" t="s">
        <v>20</v>
      </c>
      <c r="D36" t="s">
        <v>124</v>
      </c>
      <c r="E36" s="5">
        <f>$E$27*Parameters!C41</f>
        <v>0.35215427966101698</v>
      </c>
      <c r="F36" t="s">
        <v>88</v>
      </c>
    </row>
    <row r="37" spans="1:6" x14ac:dyDescent="0.35">
      <c r="B37" t="s">
        <v>4</v>
      </c>
      <c r="C37" t="s">
        <v>20</v>
      </c>
      <c r="D37" t="s">
        <v>146</v>
      </c>
      <c r="E37" s="5">
        <f>$E$27*Parameters!C42</f>
        <v>2.1051000273069685E-2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Parameters!C43*LCI!E27</f>
        <v>0.66462293333333333</v>
      </c>
      <c r="F38" t="s">
        <v>129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E27*Parameters!C9*Parameters!C19*Parameters!C32</f>
        <v>4233.3059999999996</v>
      </c>
      <c r="F39" t="s">
        <v>220</v>
      </c>
    </row>
    <row r="42" spans="1:6" x14ac:dyDescent="0.35">
      <c r="A42" t="s">
        <v>127</v>
      </c>
      <c r="B42" t="s">
        <v>3</v>
      </c>
      <c r="C42" t="s">
        <v>15</v>
      </c>
      <c r="D42" t="s">
        <v>21</v>
      </c>
      <c r="E42">
        <f>E13</f>
        <v>244.34666666666666</v>
      </c>
      <c r="F42" t="s">
        <v>241</v>
      </c>
    </row>
    <row r="43" spans="1:6" x14ac:dyDescent="0.35">
      <c r="B43" t="s">
        <v>4</v>
      </c>
      <c r="C43" t="s">
        <v>20</v>
      </c>
      <c r="D43" s="2" t="s">
        <v>98</v>
      </c>
      <c r="E43">
        <f>E42*(1-Parameters!C9)*Parameters!C46*Parameters!C11</f>
        <v>190.61972159999999</v>
      </c>
      <c r="F43" t="s">
        <v>88</v>
      </c>
    </row>
    <row r="44" spans="1:6" x14ac:dyDescent="0.35">
      <c r="B44" t="s">
        <v>4</v>
      </c>
      <c r="C44" t="s">
        <v>20</v>
      </c>
      <c r="D44" s="2" t="s">
        <v>97</v>
      </c>
      <c r="E44">
        <f>E42*Parameters!C9*Parameters!C47*Parameters!C10</f>
        <v>1.9000396799999999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142</v>
      </c>
      <c r="E45" s="5">
        <f>Parameters!C48*LCI!E42</f>
        <v>1.46608E-3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143</v>
      </c>
      <c r="E46" s="5">
        <f>E42*Parameters!C49</f>
        <v>1.6126880000000001E-3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E42*Parameters!C50</f>
        <v>83.077866666666665</v>
      </c>
      <c r="F47" t="s">
        <v>129</v>
      </c>
    </row>
    <row r="48" spans="1:6" x14ac:dyDescent="0.35">
      <c r="B48" t="s">
        <v>3</v>
      </c>
      <c r="C48" t="s">
        <v>15</v>
      </c>
      <c r="D48" s="2" t="s">
        <v>128</v>
      </c>
      <c r="E48" s="5">
        <f>E42*Parameters!C51</f>
        <v>0.21746853333333332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135</v>
      </c>
      <c r="E49" s="5">
        <f>E42*Parameters!C52</f>
        <v>2.9077253333333335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256</v>
      </c>
      <c r="E50">
        <f>(E42*Parameters!C9*(1-Parameters!C47))*Parameters!C19</f>
        <v>5038.9169599999996</v>
      </c>
      <c r="F50" t="s">
        <v>220</v>
      </c>
    </row>
    <row r="52" spans="1:6" x14ac:dyDescent="0.35">
      <c r="A52" t="s">
        <v>130</v>
      </c>
      <c r="B52" t="s">
        <v>3</v>
      </c>
      <c r="C52" t="s">
        <v>15</v>
      </c>
      <c r="D52" t="s">
        <v>21</v>
      </c>
      <c r="E52">
        <f>E13</f>
        <v>244.34666666666666</v>
      </c>
      <c r="F52" t="s">
        <v>241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E52*Parameters!C55</f>
        <v>7.1530333138435083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E52*Parameters!C56</f>
        <v>0.27077728632846088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E52*Parameters!C57</f>
        <v>1.3268087030094582E-3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E52*Parameters!C58</f>
        <v>0.97549773877214074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E52*Parameters!C59</f>
        <v>0.87100027102321587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E52*Parameters!C60</f>
        <v>3.2718922098022349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E52*Parameters!C9*Parameters!C19*Parameters!C54/3.6</f>
        <v>498.87444444444441</v>
      </c>
      <c r="F59" t="s">
        <v>129</v>
      </c>
    </row>
    <row r="61" spans="1:6" x14ac:dyDescent="0.35">
      <c r="A61" t="s">
        <v>101</v>
      </c>
    </row>
    <row r="62" spans="1:6" x14ac:dyDescent="0.35">
      <c r="B62" t="s">
        <v>3</v>
      </c>
      <c r="C62" t="s">
        <v>15</v>
      </c>
      <c r="D62" t="s">
        <v>261</v>
      </c>
      <c r="E62">
        <f>Parameters!C65</f>
        <v>0.69481599999999999</v>
      </c>
      <c r="F62" t="s">
        <v>14</v>
      </c>
    </row>
    <row r="63" spans="1:6" x14ac:dyDescent="0.35">
      <c r="B63" t="s">
        <v>4</v>
      </c>
      <c r="C63" t="s">
        <v>20</v>
      </c>
      <c r="D63" t="s">
        <v>97</v>
      </c>
      <c r="E63">
        <f>Parameters!C73*1000</f>
        <v>1.8974117647058832</v>
      </c>
      <c r="F63" t="s">
        <v>88</v>
      </c>
    </row>
    <row r="65" spans="1:6" x14ac:dyDescent="0.35">
      <c r="A65" t="s">
        <v>272</v>
      </c>
    </row>
    <row r="66" spans="1:6" x14ac:dyDescent="0.35">
      <c r="B66" t="s">
        <v>3</v>
      </c>
      <c r="C66" t="s">
        <v>15</v>
      </c>
      <c r="D66" t="s">
        <v>269</v>
      </c>
      <c r="E66">
        <f>E62-E63*0.001</f>
        <v>0.69291858823529406</v>
      </c>
      <c r="F66" t="s">
        <v>14</v>
      </c>
    </row>
    <row r="67" spans="1:6" x14ac:dyDescent="0.35">
      <c r="B67" t="s">
        <v>4</v>
      </c>
      <c r="C67" t="s">
        <v>20</v>
      </c>
      <c r="D67" t="s">
        <v>112</v>
      </c>
      <c r="E67">
        <f>Waste_characteristics!B3*Parameters!C5*(1-Waste_characteristics!B4)*Waste_characteristics!B8*Parameters!C77*(44/28)*1000</f>
        <v>0.31051428571428569</v>
      </c>
      <c r="F67" t="s">
        <v>88</v>
      </c>
    </row>
    <row r="68" spans="1:6" x14ac:dyDescent="0.35">
      <c r="B68" t="s">
        <v>4</v>
      </c>
      <c r="C68" t="s">
        <v>20</v>
      </c>
      <c r="D68" t="s">
        <v>111</v>
      </c>
      <c r="E68">
        <f>Waste_characteristics!B3*Parameters!C5*(1-Waste_characteristics!B4)*Waste_characteristics!B8*Parameters!C78*(17/14)*1000</f>
        <v>7.3828571428571426</v>
      </c>
      <c r="F68" t="s">
        <v>88</v>
      </c>
    </row>
    <row r="69" spans="1:6" x14ac:dyDescent="0.35">
      <c r="B69" t="s">
        <v>4</v>
      </c>
      <c r="C69" t="s">
        <v>20</v>
      </c>
      <c r="D69" t="s">
        <v>115</v>
      </c>
      <c r="E69">
        <f>Waste_characteristics!B3*Parameters!C5*(1-Waste_characteristics!B4)*Waste_characteristics!B8*Parameters!C79*(62/14)*1000</f>
        <v>10.097142857142856</v>
      </c>
      <c r="F69" t="s">
        <v>88</v>
      </c>
    </row>
    <row r="71" spans="1:6" x14ac:dyDescent="0.35">
      <c r="A71" t="s">
        <v>275</v>
      </c>
    </row>
    <row r="72" spans="1:6" x14ac:dyDescent="0.35">
      <c r="B72" t="s">
        <v>3</v>
      </c>
      <c r="C72" t="s">
        <v>15</v>
      </c>
      <c r="D72" t="s">
        <v>261</v>
      </c>
      <c r="E72">
        <f>Parameters!C65</f>
        <v>0.69481599999999999</v>
      </c>
      <c r="F72" t="s">
        <v>14</v>
      </c>
    </row>
    <row r="73" spans="1:6" x14ac:dyDescent="0.35">
      <c r="B73" t="s">
        <v>3</v>
      </c>
      <c r="C73" t="s">
        <v>15</v>
      </c>
      <c r="D73" t="s">
        <v>276</v>
      </c>
      <c r="E73">
        <f>Parameters!C83*LCI!E72*1000</f>
        <v>2.5232342132885903</v>
      </c>
      <c r="F73" t="s">
        <v>129</v>
      </c>
    </row>
    <row r="74" spans="1:6" x14ac:dyDescent="0.35">
      <c r="B74" t="s">
        <v>4</v>
      </c>
      <c r="C74" t="s">
        <v>15</v>
      </c>
      <c r="D74" t="s">
        <v>278</v>
      </c>
      <c r="E74">
        <f>Parameters!C67*Parameters!C81*(1/Parameters!C82)</f>
        <v>0.42320312195121956</v>
      </c>
      <c r="F74" t="s">
        <v>14</v>
      </c>
    </row>
    <row r="75" spans="1:6" x14ac:dyDescent="0.35">
      <c r="B75" t="s">
        <v>4</v>
      </c>
      <c r="C75" t="s">
        <v>15</v>
      </c>
      <c r="D75" t="s">
        <v>277</v>
      </c>
      <c r="E75">
        <f>((E72-E74)*1000)/Parameters!C69</f>
        <v>0.27192169947980915</v>
      </c>
      <c r="F75" t="s">
        <v>241</v>
      </c>
    </row>
    <row r="77" spans="1:6" x14ac:dyDescent="0.35">
      <c r="A77" t="s">
        <v>285</v>
      </c>
    </row>
    <row r="78" spans="1:6" x14ac:dyDescent="0.35">
      <c r="B78" t="s">
        <v>3</v>
      </c>
      <c r="C78" t="s">
        <v>15</v>
      </c>
      <c r="D78" t="s">
        <v>277</v>
      </c>
      <c r="E78">
        <f>E75</f>
        <v>0.27192169947980915</v>
      </c>
      <c r="F78" t="s">
        <v>241</v>
      </c>
    </row>
    <row r="79" spans="1:6" x14ac:dyDescent="0.35">
      <c r="B79" t="s">
        <v>3</v>
      </c>
      <c r="C79" t="s">
        <v>15</v>
      </c>
      <c r="D79" t="s">
        <v>286</v>
      </c>
      <c r="F79" t="s">
        <v>287</v>
      </c>
    </row>
    <row r="81" spans="1:7" x14ac:dyDescent="0.35">
      <c r="A81" t="s">
        <v>290</v>
      </c>
    </row>
    <row r="82" spans="1:7" x14ac:dyDescent="0.35">
      <c r="B82" t="s">
        <v>3</v>
      </c>
      <c r="C82" t="s">
        <v>15</v>
      </c>
      <c r="D82" t="s">
        <v>278</v>
      </c>
      <c r="E82">
        <f>E74</f>
        <v>0.42320312195121956</v>
      </c>
      <c r="F82" t="s">
        <v>14</v>
      </c>
    </row>
    <row r="83" spans="1:7" x14ac:dyDescent="0.35">
      <c r="B83" t="s">
        <v>4</v>
      </c>
      <c r="C83" t="s">
        <v>20</v>
      </c>
      <c r="D83" t="s">
        <v>97</v>
      </c>
      <c r="E83">
        <f>(16/12)*Parameters!C90*(1-Parameters!C87)*((E6*1000*(1-Waste_characteristics!B4)*Waste_characteristics!B9)-((E13*(1-Parameters!C9)*Parameters!C11*(12/44)))-((E13*(Parameters!C9)*Parameters!C10*(12/16))))</f>
        <v>0.58332319522133325</v>
      </c>
      <c r="F83" t="s">
        <v>88</v>
      </c>
      <c r="G83" t="s">
        <v>293</v>
      </c>
    </row>
    <row r="84" spans="1:7" x14ac:dyDescent="0.35">
      <c r="B84" t="s">
        <v>4</v>
      </c>
      <c r="C84" t="s">
        <v>20</v>
      </c>
      <c r="D84" t="s">
        <v>112</v>
      </c>
      <c r="E84">
        <f>(E6*1000*(1-Waste_characteristics!B4)*Waste_characteristics!B8)*(1-Parameters!C84)*Parameters!C91*(44/28)</f>
        <v>0.10279217142857143</v>
      </c>
      <c r="F84" t="s">
        <v>88</v>
      </c>
    </row>
    <row r="85" spans="1:7" x14ac:dyDescent="0.35">
      <c r="B85" t="s">
        <v>4</v>
      </c>
      <c r="C85" t="s">
        <v>20</v>
      </c>
      <c r="D85" t="s">
        <v>111</v>
      </c>
      <c r="E85">
        <f>(E6*1000*(1-Waste_characteristics!B4)*Waste_characteristics!B8)*(1-Parameters!C84)*Parameters!C92*(17/14)</f>
        <v>0.33444342857142861</v>
      </c>
      <c r="F85" t="s">
        <v>88</v>
      </c>
    </row>
    <row r="86" spans="1:7" x14ac:dyDescent="0.35">
      <c r="B86" t="s">
        <v>4</v>
      </c>
      <c r="C86" t="s">
        <v>20</v>
      </c>
      <c r="D86" t="s">
        <v>291</v>
      </c>
      <c r="E86">
        <f>E82*Parameters!C93</f>
        <v>4.4013124682926834E-2</v>
      </c>
      <c r="F86" t="s">
        <v>88</v>
      </c>
    </row>
    <row r="87" spans="1:7" x14ac:dyDescent="0.35">
      <c r="B87" t="s">
        <v>4</v>
      </c>
      <c r="C87" t="s">
        <v>20</v>
      </c>
      <c r="D87" t="s">
        <v>124</v>
      </c>
      <c r="E87">
        <f>(44/12)*Parameters!C94*(1-Parameters!C87)*((E6*1000*(1-Waste_characteristics!B4)*Waste_characteristics!B9)-((E13*(1-Parameters!C9)*Parameters!C11*(12/44)))-((E13*(Parameters!C9)*Parameters!C10*(12/16))))</f>
        <v>6.5076624213333323E-2</v>
      </c>
      <c r="F87" t="s">
        <v>88</v>
      </c>
    </row>
    <row r="88" spans="1:7" x14ac:dyDescent="0.35">
      <c r="B88" t="s">
        <v>3</v>
      </c>
      <c r="C88" t="s">
        <v>15</v>
      </c>
      <c r="D88" t="s">
        <v>276</v>
      </c>
      <c r="E88">
        <f>Parameters!C96*LCI!E82</f>
        <v>4.4535116041922622</v>
      </c>
      <c r="F88" t="s">
        <v>129</v>
      </c>
    </row>
    <row r="89" spans="1:7" x14ac:dyDescent="0.35">
      <c r="B89" t="s">
        <v>3</v>
      </c>
      <c r="C89" t="s">
        <v>15</v>
      </c>
      <c r="D89" t="s">
        <v>292</v>
      </c>
      <c r="E89">
        <f>Parameters!C97*LCI!E82*Parameters!C98</f>
        <v>0.63954207353681003</v>
      </c>
      <c r="F8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07"/>
  <sheetViews>
    <sheetView topLeftCell="A70" workbookViewId="0">
      <selection activeCell="A99" sqref="A99"/>
    </sheetView>
  </sheetViews>
  <sheetFormatPr baseColWidth="10" defaultRowHeight="14.5" x14ac:dyDescent="0.35"/>
  <cols>
    <col min="1" max="1" width="20.36328125" customWidth="1"/>
    <col min="2" max="2" width="33.54296875" bestFit="1" customWidth="1"/>
    <col min="3" max="3" width="28.6328125" customWidth="1"/>
    <col min="4" max="4" width="22.179687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19</v>
      </c>
      <c r="D3" s="2" t="s">
        <v>80</v>
      </c>
      <c r="E3" s="2"/>
      <c r="F3" s="2"/>
    </row>
    <row r="4" spans="1:6" x14ac:dyDescent="0.35">
      <c r="A4" s="2"/>
      <c r="B4" s="2" t="s">
        <v>234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235</v>
      </c>
      <c r="C5" s="6">
        <v>1</v>
      </c>
      <c r="D5" s="2" t="s">
        <v>236</v>
      </c>
      <c r="E5" s="2"/>
      <c r="F5" s="2"/>
    </row>
    <row r="6" spans="1:6" x14ac:dyDescent="0.35">
      <c r="A6" s="2" t="s">
        <v>6</v>
      </c>
      <c r="B6" s="2" t="s">
        <v>104</v>
      </c>
      <c r="C6" s="4">
        <f>374*1000</f>
        <v>374000</v>
      </c>
      <c r="D6" s="2" t="s">
        <v>240</v>
      </c>
      <c r="E6" s="2"/>
      <c r="F6" s="2" t="s">
        <v>61</v>
      </c>
    </row>
    <row r="7" spans="1:6" x14ac:dyDescent="0.35">
      <c r="A7" s="2"/>
      <c r="B7" s="2" t="s">
        <v>105</v>
      </c>
      <c r="C7" s="1">
        <v>0.86</v>
      </c>
      <c r="D7" s="2" t="s">
        <v>106</v>
      </c>
      <c r="E7" s="2"/>
      <c r="F7" s="2"/>
    </row>
    <row r="8" spans="1:6" x14ac:dyDescent="0.35">
      <c r="A8" s="2"/>
      <c r="B8" s="2" t="s">
        <v>73</v>
      </c>
      <c r="C8" s="4">
        <v>0.02</v>
      </c>
      <c r="D8" s="2"/>
      <c r="E8" s="2"/>
      <c r="F8" s="2" t="s">
        <v>62</v>
      </c>
    </row>
    <row r="9" spans="1:6" x14ac:dyDescent="0.35">
      <c r="A9" s="2"/>
      <c r="B9" s="2" t="s">
        <v>76</v>
      </c>
      <c r="C9" s="4">
        <v>0.6</v>
      </c>
      <c r="D9" s="2"/>
      <c r="E9" s="2"/>
      <c r="F9" s="2" t="s">
        <v>63</v>
      </c>
    </row>
    <row r="10" spans="1:6" x14ac:dyDescent="0.35">
      <c r="A10" s="2"/>
      <c r="B10" s="2" t="s">
        <v>77</v>
      </c>
      <c r="C10" s="4">
        <v>0.72</v>
      </c>
      <c r="D10" s="2" t="s">
        <v>78</v>
      </c>
      <c r="E10" s="2"/>
      <c r="F10" s="2" t="s">
        <v>64</v>
      </c>
    </row>
    <row r="11" spans="1:6" x14ac:dyDescent="0.35">
      <c r="A11" s="2"/>
      <c r="B11" s="2" t="s">
        <v>90</v>
      </c>
      <c r="C11" s="4">
        <v>1.98</v>
      </c>
      <c r="D11" s="2" t="s">
        <v>78</v>
      </c>
      <c r="E11" s="2"/>
      <c r="F11" s="2"/>
    </row>
    <row r="12" spans="1:6" x14ac:dyDescent="0.35">
      <c r="A12" s="2"/>
      <c r="B12" s="2" t="s">
        <v>108</v>
      </c>
      <c r="C12" s="4">
        <f>(C9*C10)+((1-C9)*C11)</f>
        <v>1.224</v>
      </c>
      <c r="D12" s="2" t="s">
        <v>78</v>
      </c>
      <c r="E12" s="2"/>
      <c r="F12" s="2"/>
    </row>
    <row r="13" spans="1:6" x14ac:dyDescent="0.35">
      <c r="A13" s="2"/>
      <c r="B13" s="2" t="s">
        <v>79</v>
      </c>
      <c r="C13" s="4">
        <v>29</v>
      </c>
      <c r="D13" s="2" t="s">
        <v>80</v>
      </c>
      <c r="E13" s="2"/>
      <c r="F13" s="2" t="s">
        <v>65</v>
      </c>
    </row>
    <row r="14" spans="1:6" x14ac:dyDescent="0.35">
      <c r="A14" s="2"/>
      <c r="B14" s="2" t="s">
        <v>81</v>
      </c>
      <c r="C14" s="4">
        <v>295</v>
      </c>
      <c r="D14" s="2" t="s">
        <v>218</v>
      </c>
      <c r="E14" s="2"/>
      <c r="F14" s="2" t="s">
        <v>66</v>
      </c>
    </row>
    <row r="15" spans="1:6" x14ac:dyDescent="0.35">
      <c r="A15" s="2"/>
      <c r="B15" s="2" t="s">
        <v>85</v>
      </c>
      <c r="C15" s="4">
        <v>0</v>
      </c>
      <c r="D15" s="2" t="s">
        <v>96</v>
      </c>
      <c r="E15" s="2"/>
      <c r="F15" s="2"/>
    </row>
    <row r="16" spans="1:6" x14ac:dyDescent="0.35">
      <c r="A16" s="2" t="s">
        <v>7</v>
      </c>
      <c r="B16" s="3" t="s">
        <v>70</v>
      </c>
      <c r="C16" s="4"/>
      <c r="D16" s="2"/>
      <c r="E16" s="2"/>
      <c r="F16" s="2" t="s">
        <v>67</v>
      </c>
    </row>
    <row r="17" spans="1:6" x14ac:dyDescent="0.35">
      <c r="A17" s="2"/>
      <c r="B17" s="2" t="s">
        <v>71</v>
      </c>
      <c r="C17" s="4">
        <v>0.46</v>
      </c>
      <c r="D17" s="2"/>
      <c r="E17" s="2"/>
      <c r="F17" s="2" t="s">
        <v>68</v>
      </c>
    </row>
    <row r="18" spans="1:6" x14ac:dyDescent="0.35">
      <c r="A18" s="2"/>
      <c r="B18" s="2" t="s">
        <v>72</v>
      </c>
      <c r="C18" s="4">
        <v>0.39</v>
      </c>
      <c r="D18" s="2"/>
      <c r="E18" s="2"/>
      <c r="F18" s="2" t="s">
        <v>82</v>
      </c>
    </row>
    <row r="19" spans="1:6" x14ac:dyDescent="0.35">
      <c r="A19" s="2"/>
      <c r="B19" s="2" t="s">
        <v>74</v>
      </c>
      <c r="C19" s="4">
        <v>35</v>
      </c>
      <c r="D19" s="2" t="s">
        <v>75</v>
      </c>
      <c r="E19" s="2"/>
      <c r="F19" s="2" t="s">
        <v>83</v>
      </c>
    </row>
    <row r="20" spans="1:6" x14ac:dyDescent="0.35">
      <c r="A20" s="2"/>
      <c r="B20" s="2" t="s">
        <v>79</v>
      </c>
      <c r="C20" s="4"/>
      <c r="D20" s="2"/>
      <c r="E20" s="2"/>
      <c r="F20" s="18" t="s">
        <v>120</v>
      </c>
    </row>
    <row r="21" spans="1:6" x14ac:dyDescent="0.35">
      <c r="A21" s="2"/>
      <c r="B21" s="2" t="s">
        <v>121</v>
      </c>
      <c r="C21" s="4">
        <v>1.54</v>
      </c>
      <c r="D21" s="2" t="s">
        <v>122</v>
      </c>
      <c r="E21" s="2"/>
      <c r="F21" s="2" t="s">
        <v>120</v>
      </c>
    </row>
    <row r="22" spans="1:6" x14ac:dyDescent="0.35">
      <c r="A22" s="2"/>
      <c r="B22" s="3" t="s">
        <v>69</v>
      </c>
      <c r="C22" s="4"/>
      <c r="D22" s="2"/>
      <c r="E22" s="2"/>
      <c r="F22" s="2"/>
    </row>
    <row r="23" spans="1:6" x14ac:dyDescent="0.35">
      <c r="A23" s="2"/>
      <c r="B23" s="2" t="s">
        <v>50</v>
      </c>
      <c r="C23" s="4">
        <v>1.6410453881552701E-4</v>
      </c>
      <c r="D23" s="2" t="s">
        <v>57</v>
      </c>
      <c r="E23" s="2"/>
      <c r="F23" s="2" t="s">
        <v>61</v>
      </c>
    </row>
    <row r="24" spans="1:6" x14ac:dyDescent="0.35">
      <c r="A24" s="2"/>
      <c r="B24" s="2" t="s">
        <v>51</v>
      </c>
      <c r="C24" s="4">
        <v>1.5816551741077416E-3</v>
      </c>
      <c r="D24" s="2" t="s">
        <v>57</v>
      </c>
      <c r="E24" s="2"/>
      <c r="F24" s="2" t="s">
        <v>62</v>
      </c>
    </row>
    <row r="25" spans="1:6" x14ac:dyDescent="0.35">
      <c r="A25" s="2"/>
      <c r="B25" s="2" t="s">
        <v>52</v>
      </c>
      <c r="C25" s="4">
        <v>1.40661033270451E-5</v>
      </c>
      <c r="D25" s="2" t="s">
        <v>57</v>
      </c>
      <c r="E25" s="2"/>
      <c r="F25" s="2" t="s">
        <v>63</v>
      </c>
    </row>
    <row r="26" spans="1:6" x14ac:dyDescent="0.35">
      <c r="A26" s="2"/>
      <c r="B26" s="2" t="s">
        <v>254</v>
      </c>
      <c r="C26" s="4">
        <v>3.4383808132776998E-5</v>
      </c>
      <c r="D26" s="2" t="s">
        <v>57</v>
      </c>
      <c r="E26" s="2"/>
      <c r="F26" s="2" t="s">
        <v>64</v>
      </c>
    </row>
    <row r="27" spans="1:6" x14ac:dyDescent="0.35">
      <c r="A27" s="2"/>
      <c r="B27" s="2" t="s">
        <v>54</v>
      </c>
      <c r="C27" s="4">
        <v>1.0682424026705944E-3</v>
      </c>
      <c r="D27" s="2" t="s">
        <v>57</v>
      </c>
      <c r="E27" s="2"/>
      <c r="F27" s="2" t="s">
        <v>65</v>
      </c>
    </row>
    <row r="28" spans="1:6" x14ac:dyDescent="0.35">
      <c r="A28" s="2"/>
      <c r="B28" s="2" t="s">
        <v>55</v>
      </c>
      <c r="C28" s="4">
        <v>6.4078915156538948E-5</v>
      </c>
      <c r="D28" s="2" t="s">
        <v>57</v>
      </c>
      <c r="E28" s="2"/>
      <c r="F28" s="2" t="s">
        <v>66</v>
      </c>
    </row>
    <row r="29" spans="1:6" x14ac:dyDescent="0.35">
      <c r="A29" s="2"/>
      <c r="B29" s="2" t="s">
        <v>58</v>
      </c>
      <c r="C29" s="4">
        <v>4.3034128423524798E-3</v>
      </c>
      <c r="D29" s="2" t="s">
        <v>57</v>
      </c>
      <c r="E29" s="2"/>
      <c r="F29" s="2" t="s">
        <v>67</v>
      </c>
    </row>
    <row r="30" spans="1:6" x14ac:dyDescent="0.35">
      <c r="A30" s="2"/>
      <c r="B30" s="2" t="s">
        <v>59</v>
      </c>
      <c r="C30" s="4">
        <v>1.024622105322019E-4</v>
      </c>
      <c r="D30" s="2" t="s">
        <v>57</v>
      </c>
      <c r="E30" s="2"/>
      <c r="F30" s="2" t="s">
        <v>68</v>
      </c>
    </row>
    <row r="31" spans="1:6" x14ac:dyDescent="0.35">
      <c r="A31" s="2" t="s">
        <v>123</v>
      </c>
      <c r="B31" s="2"/>
      <c r="C31" s="4"/>
      <c r="D31" s="2"/>
      <c r="E31" s="2"/>
      <c r="F31" s="2"/>
    </row>
    <row r="32" spans="1:6" x14ac:dyDescent="0.35">
      <c r="A32" s="2"/>
      <c r="B32" s="9" t="s">
        <v>70</v>
      </c>
      <c r="C32" s="15">
        <v>0.82499999999999996</v>
      </c>
      <c r="D32" s="9"/>
      <c r="E32" s="2"/>
      <c r="F32" s="18" t="s">
        <v>149</v>
      </c>
    </row>
    <row r="33" spans="1:13" x14ac:dyDescent="0.35">
      <c r="A33" s="2"/>
      <c r="B33" t="s">
        <v>98</v>
      </c>
      <c r="C33" s="13">
        <f t="shared" ref="C33:C42" si="0">L36*L$47</f>
        <v>2.009683968926554</v>
      </c>
      <c r="D33" s="14" t="s">
        <v>126</v>
      </c>
      <c r="E33" s="2" t="s">
        <v>148</v>
      </c>
      <c r="F33" s="2"/>
    </row>
    <row r="34" spans="1:13" x14ac:dyDescent="0.35">
      <c r="A34" s="2"/>
      <c r="B34" t="s">
        <v>97</v>
      </c>
      <c r="C34" s="13">
        <f t="shared" si="0"/>
        <v>2.5621468926553675E-5</v>
      </c>
      <c r="D34" s="14" t="s">
        <v>126</v>
      </c>
      <c r="E34" s="2" t="s">
        <v>148</v>
      </c>
      <c r="F34" s="2"/>
    </row>
    <row r="35" spans="1:13" x14ac:dyDescent="0.35">
      <c r="A35" s="2"/>
      <c r="B35" t="s">
        <v>112</v>
      </c>
      <c r="C35" s="13">
        <f t="shared" si="0"/>
        <v>2.5621468926553675E-5</v>
      </c>
      <c r="D35" s="14" t="s">
        <v>126</v>
      </c>
      <c r="E35" s="2" t="s">
        <v>148</v>
      </c>
      <c r="F35" s="2"/>
    </row>
    <row r="36" spans="1:13" x14ac:dyDescent="0.35">
      <c r="A36" s="2"/>
      <c r="B36" t="s">
        <v>143</v>
      </c>
      <c r="C36" s="13">
        <f t="shared" si="0"/>
        <v>1.7774894067796614E-4</v>
      </c>
      <c r="D36" s="14" t="s">
        <v>126</v>
      </c>
      <c r="E36" s="2" t="s">
        <v>148</v>
      </c>
      <c r="F36" s="2"/>
      <c r="K36" t="s">
        <v>98</v>
      </c>
      <c r="L36">
        <f>39.1+86.4</f>
        <v>125.5</v>
      </c>
    </row>
    <row r="37" spans="1:13" x14ac:dyDescent="0.35">
      <c r="A37" s="2"/>
      <c r="B37" t="s">
        <v>144</v>
      </c>
      <c r="C37" s="13">
        <f t="shared" si="0"/>
        <v>1.3034922316384183E-4</v>
      </c>
      <c r="D37" s="14" t="s">
        <v>126</v>
      </c>
      <c r="E37" s="2" t="s">
        <v>148</v>
      </c>
      <c r="F37" s="2"/>
      <c r="K37" t="s">
        <v>97</v>
      </c>
      <c r="L37" s="5">
        <v>1.6000000000000001E-3</v>
      </c>
    </row>
    <row r="38" spans="1:13" x14ac:dyDescent="0.35">
      <c r="A38" s="2"/>
      <c r="B38" t="s">
        <v>145</v>
      </c>
      <c r="C38" s="13">
        <f t="shared" si="0"/>
        <v>1.3034922316384183E-4</v>
      </c>
      <c r="D38" s="14" t="s">
        <v>126</v>
      </c>
      <c r="E38" s="2" t="s">
        <v>148</v>
      </c>
      <c r="F38" s="2"/>
      <c r="K38" t="s">
        <v>112</v>
      </c>
      <c r="L38" s="5">
        <v>1.6000000000000001E-3</v>
      </c>
    </row>
    <row r="39" spans="1:13" x14ac:dyDescent="0.35">
      <c r="A39" s="2"/>
      <c r="B39" t="s">
        <v>125</v>
      </c>
      <c r="C39" s="13">
        <f t="shared" si="0"/>
        <v>1.713435734463277E-3</v>
      </c>
      <c r="D39" s="14" t="s">
        <v>126</v>
      </c>
      <c r="E39" s="2" t="s">
        <v>148</v>
      </c>
      <c r="F39" s="2"/>
      <c r="K39" t="s">
        <v>143</v>
      </c>
      <c r="L39" s="5">
        <v>1.11E-2</v>
      </c>
    </row>
    <row r="40" spans="1:13" x14ac:dyDescent="0.35">
      <c r="A40" s="2"/>
      <c r="B40" t="s">
        <v>111</v>
      </c>
      <c r="C40" s="13">
        <f t="shared" si="0"/>
        <v>5.4125353107344641E-5</v>
      </c>
      <c r="D40" s="14" t="s">
        <v>126</v>
      </c>
      <c r="E40" s="2" t="s">
        <v>148</v>
      </c>
      <c r="F40" s="2"/>
      <c r="K40" t="s">
        <v>144</v>
      </c>
      <c r="L40" s="5">
        <v>8.1399999999999997E-3</v>
      </c>
    </row>
    <row r="41" spans="1:13" x14ac:dyDescent="0.35">
      <c r="A41" s="2"/>
      <c r="B41" t="s">
        <v>124</v>
      </c>
      <c r="C41" s="13">
        <f t="shared" si="0"/>
        <v>1.4412076271186442E-3</v>
      </c>
      <c r="D41" s="14" t="s">
        <v>126</v>
      </c>
      <c r="E41" s="2" t="s">
        <v>148</v>
      </c>
      <c r="F41" s="2"/>
      <c r="K41" t="s">
        <v>145</v>
      </c>
      <c r="L41" s="5">
        <v>8.1399999999999997E-3</v>
      </c>
    </row>
    <row r="42" spans="1:13" x14ac:dyDescent="0.35">
      <c r="A42" s="2"/>
      <c r="B42" t="s">
        <v>146</v>
      </c>
      <c r="C42" s="13">
        <f t="shared" si="0"/>
        <v>8.615218926553674E-5</v>
      </c>
      <c r="D42" s="14" t="s">
        <v>126</v>
      </c>
      <c r="E42" s="2" t="s">
        <v>148</v>
      </c>
      <c r="F42" s="2"/>
      <c r="K42" t="s">
        <v>125</v>
      </c>
      <c r="L42" s="5">
        <v>0.107</v>
      </c>
    </row>
    <row r="43" spans="1:13" x14ac:dyDescent="0.35">
      <c r="A43" s="2"/>
      <c r="B43" s="9" t="s">
        <v>150</v>
      </c>
      <c r="C43" s="11">
        <v>2.7200000000000002E-3</v>
      </c>
      <c r="D43" s="9" t="s">
        <v>119</v>
      </c>
      <c r="E43" s="2" t="s">
        <v>151</v>
      </c>
      <c r="F43" s="2" t="s">
        <v>152</v>
      </c>
      <c r="K43" t="s">
        <v>111</v>
      </c>
      <c r="L43" s="5">
        <v>3.3800000000000002E-3</v>
      </c>
    </row>
    <row r="44" spans="1:13" x14ac:dyDescent="0.35">
      <c r="A44" s="2"/>
      <c r="B44" s="9"/>
      <c r="C44" s="11"/>
      <c r="D44" s="9"/>
      <c r="E44" s="2"/>
      <c r="F44" s="2"/>
      <c r="K44" t="s">
        <v>124</v>
      </c>
      <c r="L44" s="5">
        <v>0.09</v>
      </c>
    </row>
    <row r="45" spans="1:13" x14ac:dyDescent="0.35">
      <c r="A45" s="2" t="s">
        <v>127</v>
      </c>
      <c r="B45" s="2" t="s">
        <v>138</v>
      </c>
      <c r="C45" s="5"/>
      <c r="D45" s="2"/>
      <c r="E45" s="2"/>
      <c r="F45" s="2"/>
      <c r="K45" t="s">
        <v>146</v>
      </c>
      <c r="L45" s="5">
        <v>5.3800000000000002E-3</v>
      </c>
    </row>
    <row r="46" spans="1:13" x14ac:dyDescent="0.35">
      <c r="A46" s="2"/>
      <c r="B46" s="2" t="s">
        <v>137</v>
      </c>
      <c r="C46" s="10">
        <v>0.98499999999999999</v>
      </c>
      <c r="D46" s="2" t="s">
        <v>141</v>
      </c>
      <c r="E46" s="2"/>
      <c r="F46" s="2" t="s">
        <v>120</v>
      </c>
    </row>
    <row r="47" spans="1:13" x14ac:dyDescent="0.35">
      <c r="A47" s="2"/>
      <c r="B47" s="2" t="s">
        <v>136</v>
      </c>
      <c r="C47" s="10">
        <v>1.7999999999999999E-2</v>
      </c>
      <c r="D47" s="2" t="s">
        <v>140</v>
      </c>
      <c r="E47" s="2" t="s">
        <v>134</v>
      </c>
      <c r="F47" s="2" t="s">
        <v>120</v>
      </c>
      <c r="K47" t="s">
        <v>147</v>
      </c>
      <c r="L47" s="12">
        <f>0.4535/28.32</f>
        <v>1.6013418079096047E-2</v>
      </c>
      <c r="M47" t="s">
        <v>78</v>
      </c>
    </row>
    <row r="48" spans="1:13" x14ac:dyDescent="0.35">
      <c r="A48" s="2"/>
      <c r="B48" s="2" t="s">
        <v>142</v>
      </c>
      <c r="C48" s="5">
        <v>6.0000000000000002E-6</v>
      </c>
      <c r="D48" s="2" t="s">
        <v>126</v>
      </c>
      <c r="E48" s="2" t="s">
        <v>134</v>
      </c>
      <c r="F48" s="2" t="s">
        <v>120</v>
      </c>
    </row>
    <row r="49" spans="1:16" x14ac:dyDescent="0.35">
      <c r="B49" s="2" t="s">
        <v>143</v>
      </c>
      <c r="C49" s="5">
        <v>6.6000000000000003E-6</v>
      </c>
      <c r="D49" s="2" t="s">
        <v>126</v>
      </c>
      <c r="E49" s="2" t="s">
        <v>134</v>
      </c>
      <c r="F49" s="2" t="s">
        <v>120</v>
      </c>
    </row>
    <row r="50" spans="1:16" x14ac:dyDescent="0.35">
      <c r="B50" s="2" t="s">
        <v>79</v>
      </c>
      <c r="C50">
        <v>0.34</v>
      </c>
      <c r="D50" t="s">
        <v>119</v>
      </c>
      <c r="E50" t="s">
        <v>134</v>
      </c>
      <c r="F50" s="2" t="s">
        <v>133</v>
      </c>
      <c r="G50" t="s">
        <v>139</v>
      </c>
      <c r="O50" t="e">
        <f>#REF!*C10*0.001</f>
        <v>#REF!</v>
      </c>
      <c r="P50" t="s">
        <v>88</v>
      </c>
    </row>
    <row r="51" spans="1:16" x14ac:dyDescent="0.35">
      <c r="B51" s="2" t="s">
        <v>128</v>
      </c>
      <c r="C51" s="5">
        <v>8.8999999999999995E-4</v>
      </c>
      <c r="D51" t="s">
        <v>126</v>
      </c>
      <c r="E51" t="s">
        <v>134</v>
      </c>
      <c r="F51" s="2" t="s">
        <v>133</v>
      </c>
    </row>
    <row r="52" spans="1:16" x14ac:dyDescent="0.35">
      <c r="B52" s="2" t="s">
        <v>135</v>
      </c>
      <c r="C52" s="5">
        <v>1.1900000000000001E-2</v>
      </c>
      <c r="D52" s="2" t="s">
        <v>126</v>
      </c>
      <c r="E52" t="s">
        <v>134</v>
      </c>
      <c r="F52" s="2" t="s">
        <v>133</v>
      </c>
    </row>
    <row r="53" spans="1:16" x14ac:dyDescent="0.35">
      <c r="A53" t="s">
        <v>130</v>
      </c>
      <c r="B53" s="2"/>
    </row>
    <row r="54" spans="1:16" x14ac:dyDescent="0.35">
      <c r="B54" s="2" t="s">
        <v>70</v>
      </c>
      <c r="C54" s="1">
        <v>0.35</v>
      </c>
      <c r="D54" t="s">
        <v>131</v>
      </c>
      <c r="F54" s="2" t="s">
        <v>67</v>
      </c>
    </row>
    <row r="55" spans="1:16" x14ac:dyDescent="0.35">
      <c r="B55" t="s">
        <v>50</v>
      </c>
      <c r="C55">
        <v>2.9274118658641445E-2</v>
      </c>
      <c r="D55" t="s">
        <v>126</v>
      </c>
      <c r="F55" s="2" t="s">
        <v>67</v>
      </c>
    </row>
    <row r="56" spans="1:16" x14ac:dyDescent="0.35">
      <c r="B56" t="s">
        <v>51</v>
      </c>
      <c r="C56">
        <v>1.1081685296646603E-3</v>
      </c>
      <c r="D56" t="s">
        <v>126</v>
      </c>
      <c r="F56" s="2" t="s">
        <v>67</v>
      </c>
      <c r="N56" t="s">
        <v>98</v>
      </c>
      <c r="O56" t="e">
        <f>(#REF!*(0.4/0.6))*C11*0.001</f>
        <v>#REF!</v>
      </c>
      <c r="P56" t="s">
        <v>88</v>
      </c>
    </row>
    <row r="57" spans="1:16" x14ac:dyDescent="0.35">
      <c r="B57" t="s">
        <v>52</v>
      </c>
      <c r="C57">
        <v>5.4300257953568357E-6</v>
      </c>
      <c r="D57" t="s">
        <v>126</v>
      </c>
      <c r="F57" s="2" t="s">
        <v>67</v>
      </c>
      <c r="N57" t="s">
        <v>99</v>
      </c>
      <c r="O57" t="e">
        <f>O56+O50</f>
        <v>#REF!</v>
      </c>
    </row>
    <row r="58" spans="1:16" x14ac:dyDescent="0.35">
      <c r="B58" t="s">
        <v>53</v>
      </c>
      <c r="C58">
        <v>3.99226947549441E-3</v>
      </c>
      <c r="D58" t="s">
        <v>126</v>
      </c>
      <c r="F58" s="2" t="s">
        <v>67</v>
      </c>
      <c r="N58" t="s">
        <v>100</v>
      </c>
      <c r="O58" t="e">
        <f>1000-O57</f>
        <v>#REF!</v>
      </c>
    </row>
    <row r="59" spans="1:16" x14ac:dyDescent="0.35">
      <c r="B59" t="s">
        <v>54</v>
      </c>
      <c r="C59">
        <v>3.5646087704213243E-3</v>
      </c>
      <c r="D59" t="s">
        <v>126</v>
      </c>
      <c r="F59" s="2" t="s">
        <v>67</v>
      </c>
    </row>
    <row r="60" spans="1:16" x14ac:dyDescent="0.35">
      <c r="B60" t="s">
        <v>58</v>
      </c>
      <c r="C60">
        <v>1.3390369733447977E-2</v>
      </c>
      <c r="D60" t="s">
        <v>126</v>
      </c>
      <c r="F60" s="2" t="s">
        <v>67</v>
      </c>
    </row>
    <row r="61" spans="1:16" x14ac:dyDescent="0.35">
      <c r="B61" t="s">
        <v>79</v>
      </c>
    </row>
    <row r="64" spans="1:16" x14ac:dyDescent="0.35">
      <c r="A64" t="s">
        <v>84</v>
      </c>
    </row>
    <row r="65" spans="1:8" x14ac:dyDescent="0.35">
      <c r="B65" s="2" t="s">
        <v>89</v>
      </c>
      <c r="C65">
        <f>(Waste_characteristics!B3*C5)+(C15*Waste_characteristics!B2)-((Waste_characteristics!B3*C5)*(1-Waste_characteristics!B4)*Parameters!C6*Parameters!C10*0.000001)-((Waste_characteristics!B3*C5)*(1-Waste_characteristics!B4)*Parameters!C6*((1-C9)/C9)*C11*0.000001)</f>
        <v>0.69481599999999999</v>
      </c>
      <c r="D65" t="s">
        <v>14</v>
      </c>
      <c r="E65" s="2"/>
      <c r="F65" s="2" t="s">
        <v>262</v>
      </c>
    </row>
    <row r="66" spans="1:8" x14ac:dyDescent="0.35">
      <c r="B66" s="2" t="s">
        <v>279</v>
      </c>
      <c r="C66" s="28">
        <f>(Waste_characteristics!B3*Waste_characteristics!B4)+(((Waste_characteristics!B3*C5)+(Waste_characteristics!B7*(1-Parameters!C4)))*Parameters!C15)</f>
        <v>0.6</v>
      </c>
      <c r="D66" t="s">
        <v>14</v>
      </c>
      <c r="E66" s="2"/>
      <c r="F66" s="2"/>
      <c r="G66" t="s">
        <v>282</v>
      </c>
      <c r="H66">
        <f>(-0.000001877*(298^2))+(0.001097*298)-0.156</f>
        <v>4.2208920000000316E-3</v>
      </c>
    </row>
    <row r="67" spans="1:8" x14ac:dyDescent="0.35">
      <c r="B67" s="2" t="s">
        <v>280</v>
      </c>
      <c r="C67" s="28">
        <f>C65-C66</f>
        <v>9.4816000000000011E-2</v>
      </c>
      <c r="D67" t="s">
        <v>14</v>
      </c>
      <c r="E67" s="2"/>
      <c r="F67" s="2"/>
    </row>
    <row r="68" spans="1:8" x14ac:dyDescent="0.35">
      <c r="B68" s="2" t="s">
        <v>281</v>
      </c>
      <c r="C68" s="27">
        <f>Waste_characteristics!B6*(1-Parameters!C7)</f>
        <v>5.3760000000000009E-2</v>
      </c>
      <c r="D68" t="s">
        <v>14</v>
      </c>
      <c r="E68" s="2"/>
      <c r="F68" s="2"/>
    </row>
    <row r="69" spans="1:8" x14ac:dyDescent="0.35">
      <c r="B69" s="2" t="s">
        <v>283</v>
      </c>
      <c r="C69" s="27">
        <f>998*(1-(H66*C82))^-1</f>
        <v>998.86430015839301</v>
      </c>
      <c r="D69" t="s">
        <v>78</v>
      </c>
      <c r="E69" s="2"/>
      <c r="F69" s="2"/>
    </row>
    <row r="70" spans="1:8" x14ac:dyDescent="0.35">
      <c r="A70" t="s">
        <v>101</v>
      </c>
      <c r="E70" s="28"/>
    </row>
    <row r="71" spans="1:8" x14ac:dyDescent="0.35">
      <c r="B71" s="7" t="s">
        <v>102</v>
      </c>
      <c r="C71" s="1">
        <v>0.1</v>
      </c>
      <c r="D71" s="2" t="s">
        <v>103</v>
      </c>
      <c r="E71" s="2"/>
    </row>
    <row r="72" spans="1:8" x14ac:dyDescent="0.35">
      <c r="B72" s="7" t="s">
        <v>102</v>
      </c>
      <c r="C72" s="29">
        <f>Waste_characteristics!B6*(1-Parameters!C7)*Parameters!C71</f>
        <v>5.3760000000000014E-3</v>
      </c>
      <c r="D72" t="s">
        <v>264</v>
      </c>
      <c r="E72" s="30"/>
      <c r="F72" t="s">
        <v>265</v>
      </c>
    </row>
    <row r="73" spans="1:8" x14ac:dyDescent="0.35">
      <c r="B73" t="s">
        <v>107</v>
      </c>
      <c r="C73">
        <f>(C72/C12)*C9*C10</f>
        <v>1.8974117647058831E-3</v>
      </c>
      <c r="D73" s="2" t="s">
        <v>14</v>
      </c>
      <c r="E73" s="2"/>
    </row>
    <row r="74" spans="1:8" x14ac:dyDescent="0.35">
      <c r="D74" s="2"/>
      <c r="E74" s="2"/>
    </row>
    <row r="75" spans="1:8" x14ac:dyDescent="0.35">
      <c r="A75" t="s">
        <v>109</v>
      </c>
    </row>
    <row r="76" spans="1:8" x14ac:dyDescent="0.35">
      <c r="B76" t="s">
        <v>110</v>
      </c>
      <c r="C76">
        <f>C65-C73</f>
        <v>0.69291858823529406</v>
      </c>
    </row>
    <row r="77" spans="1:8" x14ac:dyDescent="0.35">
      <c r="B77" t="s">
        <v>112</v>
      </c>
      <c r="C77">
        <v>1.2999999999999999E-2</v>
      </c>
      <c r="D77" t="s">
        <v>116</v>
      </c>
      <c r="F77" s="8" t="s">
        <v>113</v>
      </c>
    </row>
    <row r="78" spans="1:8" x14ac:dyDescent="0.35">
      <c r="B78" t="s">
        <v>111</v>
      </c>
      <c r="C78">
        <v>0.4</v>
      </c>
      <c r="D78" t="s">
        <v>117</v>
      </c>
      <c r="F78" s="8" t="s">
        <v>114</v>
      </c>
    </row>
    <row r="79" spans="1:8" x14ac:dyDescent="0.35">
      <c r="B79" t="s">
        <v>115</v>
      </c>
      <c r="C79">
        <v>0.15</v>
      </c>
      <c r="D79" t="s">
        <v>118</v>
      </c>
      <c r="E79" t="s">
        <v>271</v>
      </c>
      <c r="F79" t="s">
        <v>270</v>
      </c>
    </row>
    <row r="80" spans="1:8" x14ac:dyDescent="0.35">
      <c r="A80" t="s">
        <v>132</v>
      </c>
    </row>
    <row r="81" spans="1:4" x14ac:dyDescent="0.35">
      <c r="B81" t="s">
        <v>153</v>
      </c>
      <c r="C81" s="16">
        <v>0.91500000000000004</v>
      </c>
      <c r="D81" t="s">
        <v>160</v>
      </c>
    </row>
    <row r="82" spans="1:4" x14ac:dyDescent="0.35">
      <c r="B82" t="s">
        <v>154</v>
      </c>
      <c r="C82" s="16">
        <v>0.20499999999999999</v>
      </c>
      <c r="D82" t="s">
        <v>161</v>
      </c>
    </row>
    <row r="83" spans="1:4" x14ac:dyDescent="0.35">
      <c r="B83" t="s">
        <v>155</v>
      </c>
      <c r="C83">
        <v>3.6315142617449662E-3</v>
      </c>
      <c r="D83" t="s">
        <v>162</v>
      </c>
    </row>
    <row r="84" spans="1:4" x14ac:dyDescent="0.35">
      <c r="B84" t="s">
        <v>156</v>
      </c>
      <c r="C84" s="16">
        <v>0.54699999999999993</v>
      </c>
      <c r="D84" t="s">
        <v>163</v>
      </c>
    </row>
    <row r="85" spans="1:4" x14ac:dyDescent="0.35">
      <c r="B85" t="s">
        <v>157</v>
      </c>
      <c r="C85" s="16">
        <v>0.36399999999999999</v>
      </c>
      <c r="D85" t="s">
        <v>164</v>
      </c>
    </row>
    <row r="86" spans="1:4" x14ac:dyDescent="0.35">
      <c r="B86" t="s">
        <v>158</v>
      </c>
      <c r="C86" s="16">
        <v>0.84620000000000006</v>
      </c>
      <c r="D86" t="s">
        <v>165</v>
      </c>
    </row>
    <row r="87" spans="1:4" x14ac:dyDescent="0.35">
      <c r="B87" t="s">
        <v>159</v>
      </c>
      <c r="C87" s="16">
        <v>0.34799999999999998</v>
      </c>
      <c r="D87" t="s">
        <v>166</v>
      </c>
    </row>
    <row r="88" spans="1:4" x14ac:dyDescent="0.35">
      <c r="A88" t="s">
        <v>167</v>
      </c>
    </row>
    <row r="89" spans="1:4" x14ac:dyDescent="0.35">
      <c r="B89" t="s">
        <v>168</v>
      </c>
      <c r="C89" s="16">
        <v>0.57999999999999996</v>
      </c>
      <c r="D89" t="s">
        <v>169</v>
      </c>
    </row>
    <row r="90" spans="1:4" x14ac:dyDescent="0.35">
      <c r="B90" t="s">
        <v>170</v>
      </c>
      <c r="C90" s="16">
        <v>9.8600000000000007E-3</v>
      </c>
      <c r="D90" t="s">
        <v>171</v>
      </c>
    </row>
    <row r="91" spans="1:4" x14ac:dyDescent="0.35">
      <c r="B91" t="s">
        <v>172</v>
      </c>
      <c r="C91" s="16">
        <v>9.4999999999999998E-3</v>
      </c>
      <c r="D91" t="s">
        <v>173</v>
      </c>
    </row>
    <row r="92" spans="1:4" x14ac:dyDescent="0.35">
      <c r="B92" t="s">
        <v>174</v>
      </c>
      <c r="C92" s="16">
        <v>0.04</v>
      </c>
      <c r="D92" t="s">
        <v>173</v>
      </c>
    </row>
    <row r="93" spans="1:4" x14ac:dyDescent="0.35">
      <c r="B93" t="s">
        <v>175</v>
      </c>
      <c r="C93" s="16">
        <v>0.104</v>
      </c>
      <c r="D93" t="s">
        <v>176</v>
      </c>
    </row>
    <row r="94" spans="1:4" x14ac:dyDescent="0.35">
      <c r="B94" t="s">
        <v>177</v>
      </c>
      <c r="C94" s="16">
        <v>4.0000000000000002E-4</v>
      </c>
      <c r="D94" t="s">
        <v>171</v>
      </c>
    </row>
    <row r="95" spans="1:4" x14ac:dyDescent="0.35">
      <c r="B95" t="s">
        <v>178</v>
      </c>
      <c r="C95" s="16">
        <v>0.48</v>
      </c>
      <c r="D95" t="s">
        <v>179</v>
      </c>
    </row>
    <row r="96" spans="1:4" x14ac:dyDescent="0.35">
      <c r="B96" t="s">
        <v>180</v>
      </c>
      <c r="C96">
        <v>10.523342983999999</v>
      </c>
      <c r="D96" t="s">
        <v>182</v>
      </c>
    </row>
    <row r="97" spans="1:5" x14ac:dyDescent="0.35">
      <c r="B97" t="s">
        <v>181</v>
      </c>
      <c r="C97">
        <v>1.7990406305204509</v>
      </c>
      <c r="D97" t="s">
        <v>183</v>
      </c>
    </row>
    <row r="98" spans="1:5" x14ac:dyDescent="0.35">
      <c r="B98" t="s">
        <v>294</v>
      </c>
      <c r="C98" s="26">
        <v>0.84</v>
      </c>
      <c r="D98" t="s">
        <v>295</v>
      </c>
    </row>
    <row r="99" spans="1:5" x14ac:dyDescent="0.35">
      <c r="A99" t="s">
        <v>184</v>
      </c>
    </row>
    <row r="100" spans="1:5" x14ac:dyDescent="0.35">
      <c r="C100" t="s">
        <v>224</v>
      </c>
    </row>
    <row r="103" spans="1:5" x14ac:dyDescent="0.35">
      <c r="A103" t="s">
        <v>243</v>
      </c>
      <c r="B103" s="19" t="s">
        <v>244</v>
      </c>
      <c r="C103">
        <v>0.47101295324660464</v>
      </c>
    </row>
    <row r="104" spans="1:5" x14ac:dyDescent="0.35">
      <c r="B104" s="19" t="s">
        <v>247</v>
      </c>
      <c r="C104">
        <f>0.00385440116849596*(2/5)</f>
        <v>1.5417604673983842E-3</v>
      </c>
      <c r="E104" t="s">
        <v>250</v>
      </c>
    </row>
    <row r="105" spans="1:5" x14ac:dyDescent="0.35">
      <c r="B105" t="s">
        <v>248</v>
      </c>
      <c r="C105">
        <f>0.00385440116849596*(3/5)</f>
        <v>2.3126407010975762E-3</v>
      </c>
      <c r="E105" t="s">
        <v>250</v>
      </c>
    </row>
    <row r="106" spans="1:5" x14ac:dyDescent="0.35">
      <c r="B106" s="19" t="s">
        <v>245</v>
      </c>
      <c r="C106">
        <v>0.36064674386390433</v>
      </c>
    </row>
    <row r="107" spans="1:5" x14ac:dyDescent="0.35">
      <c r="B107" s="19" t="s">
        <v>246</v>
      </c>
      <c r="C107">
        <v>0.16448590172099503</v>
      </c>
    </row>
  </sheetData>
  <hyperlinks>
    <hyperlink ref="F77" r:id="rId1" xr:uid="{9BBFB4ED-D8C2-43B9-9DDA-65BB07F7577F}"/>
    <hyperlink ref="F20" r:id="rId2" xr:uid="{D0E4D42D-1CC4-43D1-9B5D-F20FE75F4462}"/>
    <hyperlink ref="F32" r:id="rId3" xr:uid="{F5A2770C-B205-4146-A421-558C59CAB5D8}"/>
    <hyperlink ref="F78" r:id="rId4" location="sec3" xr:uid="{4DA64013-DBDC-4C21-88BA-185CE17CC1AA}"/>
  </hyperlinks>
  <pageMargins left="0.7" right="0.7" top="0.75" bottom="0.75" header="0.3" footer="0.3"/>
  <pageSetup paperSize="9" orientation="portrait" verticalDpi="597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workbookViewId="0">
      <selection activeCell="J35" sqref="J35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v>0.6</v>
      </c>
      <c r="C4" t="s">
        <v>263</v>
      </c>
      <c r="D4" s="25">
        <v>0.72</v>
      </c>
    </row>
    <row r="5" spans="1:4" x14ac:dyDescent="0.35">
      <c r="A5" t="s">
        <v>93</v>
      </c>
      <c r="B5" s="1">
        <v>0.96</v>
      </c>
      <c r="C5" t="s">
        <v>87</v>
      </c>
    </row>
    <row r="6" spans="1:4" x14ac:dyDescent="0.35">
      <c r="A6" t="s">
        <v>93</v>
      </c>
      <c r="B6" s="4">
        <f>B3*(1-B4)*B5</f>
        <v>0.38400000000000001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266</v>
      </c>
      <c r="B8" s="10">
        <v>3.7999999999999999E-2</v>
      </c>
      <c r="C8" t="s">
        <v>268</v>
      </c>
    </row>
    <row r="9" spans="1:4" x14ac:dyDescent="0.35">
      <c r="A9" t="s">
        <v>267</v>
      </c>
      <c r="B9" s="1">
        <v>0.5</v>
      </c>
      <c r="C9" t="s">
        <v>268</v>
      </c>
    </row>
    <row r="10" spans="1:4" x14ac:dyDescent="0.35">
      <c r="A10" t="s">
        <v>273</v>
      </c>
      <c r="B10" s="10">
        <v>5.1000000000000004E-3</v>
      </c>
      <c r="C10" t="s">
        <v>268</v>
      </c>
    </row>
    <row r="11" spans="1:4" x14ac:dyDescent="0.35">
      <c r="A11" t="s">
        <v>274</v>
      </c>
      <c r="B11" s="1">
        <v>0.01</v>
      </c>
      <c r="C11" t="s">
        <v>268</v>
      </c>
    </row>
    <row r="35" spans="10:10" x14ac:dyDescent="0.35">
      <c r="J35" t="s">
        <v>296</v>
      </c>
    </row>
  </sheetData>
  <pageMargins left="0.7" right="0.7" top="0.75" bottom="0.75" header="0.3" footer="0.3"/>
  <pageSetup paperSize="9"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tabSelected="1" topLeftCell="A61" workbookViewId="0">
      <selection activeCell="D85" sqref="D85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187</v>
      </c>
      <c r="D1" s="21" t="s">
        <v>188</v>
      </c>
      <c r="E1" s="21" t="s">
        <v>189</v>
      </c>
      <c r="F1" s="21" t="s">
        <v>190</v>
      </c>
      <c r="G1" s="21" t="s">
        <v>191</v>
      </c>
      <c r="H1" s="21" t="s">
        <v>192</v>
      </c>
      <c r="I1" s="21" t="s">
        <v>193</v>
      </c>
      <c r="J1" s="21" t="s">
        <v>194</v>
      </c>
      <c r="K1" s="21" t="s">
        <v>195</v>
      </c>
      <c r="L1" s="21" t="s">
        <v>196</v>
      </c>
      <c r="M1" s="21" t="s">
        <v>197</v>
      </c>
      <c r="N1" s="21" t="s">
        <v>198</v>
      </c>
      <c r="O1" s="21" t="s">
        <v>199</v>
      </c>
      <c r="P1" s="21" t="s">
        <v>200</v>
      </c>
      <c r="Q1" s="21" t="s">
        <v>201</v>
      </c>
      <c r="R1" s="21" t="s">
        <v>202</v>
      </c>
      <c r="S1" s="21" t="s">
        <v>203</v>
      </c>
      <c r="T1" s="21" t="s">
        <v>204</v>
      </c>
      <c r="U1" s="21" t="s">
        <v>205</v>
      </c>
      <c r="V1" s="21" t="s">
        <v>206</v>
      </c>
      <c r="W1" s="21" t="s">
        <v>207</v>
      </c>
      <c r="X1" s="21" t="s">
        <v>208</v>
      </c>
      <c r="Y1" s="21" t="s">
        <v>209</v>
      </c>
      <c r="Z1" s="21" t="s">
        <v>210</v>
      </c>
      <c r="AA1" s="21" t="s">
        <v>211</v>
      </c>
    </row>
    <row r="2" spans="1:27" x14ac:dyDescent="0.35">
      <c r="A2" t="s">
        <v>5</v>
      </c>
    </row>
    <row r="3" spans="1:27" x14ac:dyDescent="0.35">
      <c r="B3" t="s">
        <v>251</v>
      </c>
      <c r="C3" s="22">
        <f>LCI!$E4*impact_process_end!C2</f>
        <v>3.6450433512697234E-10</v>
      </c>
      <c r="D3" s="22">
        <f>LCI!$E4*impact_process_end!D2</f>
        <v>1.1540400019898013E-13</v>
      </c>
      <c r="E3" s="22">
        <f>LCI!$E4*impact_process_end!E2</f>
        <v>4.2251523994496846E-9</v>
      </c>
      <c r="F3" s="22">
        <f>LCI!$E4*impact_process_end!F2</f>
        <v>8.1552881013543345E-11</v>
      </c>
      <c r="G3" s="22">
        <f>LCI!$E4*impact_process_end!G2</f>
        <v>1.5682593377664167E-11</v>
      </c>
      <c r="H3" s="22">
        <f>LCI!$E4*impact_process_end!H2</f>
        <v>1.2308701717117998E-10</v>
      </c>
      <c r="I3" s="22">
        <f>LCI!$E4*impact_process_end!I2</f>
        <v>1.9524541444405069E-10</v>
      </c>
      <c r="J3" s="22">
        <f>LCI!$E4*impact_process_end!J2</f>
        <v>3.7344039773197123E-13</v>
      </c>
      <c r="K3" s="22">
        <f>LCI!$E4*impact_process_end!K2</f>
        <v>4.8031879774704413E-10</v>
      </c>
      <c r="L3" s="22">
        <f>LCI!$E4*impact_process_end!L2</f>
        <v>2.2106408602788496E-10</v>
      </c>
      <c r="M3" s="22">
        <f>LCI!$E4*impact_process_end!M2</f>
        <v>3.5979962184062607E-14</v>
      </c>
      <c r="N3" s="22">
        <f>LCI!$E4*impact_process_end!N2</f>
        <v>8.0418789649808812E-10</v>
      </c>
      <c r="O3" s="22">
        <f>LCI!$E4*impact_process_end!O2</f>
        <v>1.4001163421750168E-6</v>
      </c>
      <c r="P3" s="22">
        <f>LCI!$E4*impact_process_end!P2</f>
        <v>3.73049567493207E-7</v>
      </c>
      <c r="Q3" s="22">
        <f>LCI!$E4*impact_process_end!Q2</f>
        <v>5.5392079855265507E-7</v>
      </c>
      <c r="R3" s="22">
        <f>LCI!$E4*impact_process_end!R2</f>
        <v>8.8660757839781241E-8</v>
      </c>
      <c r="S3" s="22">
        <f>LCI!$E4*impact_process_end!S2</f>
        <v>8.7210124415868575E-10</v>
      </c>
      <c r="T3" s="22">
        <f>LCI!$E4*impact_process_end!T2</f>
        <v>5.9936861705979715E-7</v>
      </c>
      <c r="U3" s="22">
        <f>LCI!$E4*impact_process_end!U2</f>
        <v>1.4127189639316364E-9</v>
      </c>
      <c r="V3" s="22">
        <f>LCI!$E4*impact_process_end!V2</f>
        <v>1.322442318685745E-7</v>
      </c>
      <c r="W3" s="22">
        <f>LCI!$E4*impact_process_end!W2</f>
        <v>0.15543429199975176</v>
      </c>
      <c r="X3" s="22">
        <f>LCI!$E4*impact_process_end!X2</f>
        <v>7.7910281348812522E-3</v>
      </c>
      <c r="Y3" s="22">
        <f>LCI!$E4*impact_process_end!Y2</f>
        <v>5.7071250910656053E-9</v>
      </c>
      <c r="Z3" s="22">
        <f>LCI!$E4*impact_process_end!Z2</f>
        <v>3.1496408662759715E-6</v>
      </c>
      <c r="AA3" s="22">
        <f>LCI!$E4*impact_process_end!AA2</f>
        <v>0.16322532093882092</v>
      </c>
    </row>
    <row r="4" spans="1:27" x14ac:dyDescent="0.35">
      <c r="B4" t="s">
        <v>252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237</v>
      </c>
    </row>
    <row r="6" spans="1:27" x14ac:dyDescent="0.35">
      <c r="B6" t="s">
        <v>237</v>
      </c>
      <c r="C6" s="22">
        <f>LCI!$E7*impact_process_end!C4</f>
        <v>0</v>
      </c>
      <c r="D6" s="22">
        <f>LCI!$E7*impact_process_end!D4</f>
        <v>0</v>
      </c>
      <c r="E6" s="22">
        <f>LCI!$E7*impact_process_end!E4</f>
        <v>0</v>
      </c>
      <c r="F6" s="22">
        <f>LCI!$E7*impact_process_end!F4</f>
        <v>0</v>
      </c>
      <c r="G6" s="22">
        <f>LCI!$E7*impact_process_end!G4</f>
        <v>0</v>
      </c>
      <c r="H6" s="22">
        <f>LCI!$E7*impact_process_end!H4</f>
        <v>0</v>
      </c>
      <c r="I6" s="22">
        <f>LCI!$E7*impact_process_end!I4</f>
        <v>0</v>
      </c>
      <c r="J6" s="22">
        <f>LCI!$E7*impact_process_end!J4</f>
        <v>0</v>
      </c>
      <c r="K6" s="22">
        <f>LCI!$E7*impact_process_end!K4</f>
        <v>0</v>
      </c>
      <c r="L6" s="22">
        <f>LCI!$E7*impact_process_end!L4</f>
        <v>0</v>
      </c>
      <c r="M6" s="22">
        <f>LCI!$E7*impact_process_end!M4</f>
        <v>0</v>
      </c>
      <c r="N6" s="22">
        <f>LCI!$E7*impact_process_end!N4</f>
        <v>0</v>
      </c>
      <c r="O6" s="22">
        <f>LCI!$E7*impact_process_end!O4</f>
        <v>0</v>
      </c>
      <c r="P6" s="22">
        <f>LCI!$E7*impact_process_end!P4</f>
        <v>0</v>
      </c>
      <c r="Q6" s="22">
        <f>LCI!$E7*impact_process_end!Q4</f>
        <v>0</v>
      </c>
      <c r="R6" s="22">
        <f>LCI!$E7*impact_process_end!R4</f>
        <v>0</v>
      </c>
      <c r="S6" s="22">
        <f>LCI!$E7*impact_process_end!S4</f>
        <v>0</v>
      </c>
      <c r="T6" s="22">
        <f>LCI!$E7*impact_process_end!T4</f>
        <v>0</v>
      </c>
      <c r="U6" s="22">
        <f>LCI!$E7*impact_process_end!U4</f>
        <v>0</v>
      </c>
      <c r="V6" s="22">
        <f>LCI!$E7*impact_process_end!V4</f>
        <v>0</v>
      </c>
      <c r="W6" s="22">
        <f>LCI!$E7*impact_process_end!W4</f>
        <v>0</v>
      </c>
      <c r="X6" s="22">
        <f>LCI!$E7*impact_process_end!X4</f>
        <v>0</v>
      </c>
      <c r="Y6" s="22">
        <f>LCI!$E7*impact_process_end!Y4</f>
        <v>0</v>
      </c>
      <c r="Z6" s="22">
        <f>LCI!$E7*impact_process_end!Z4</f>
        <v>0</v>
      </c>
      <c r="AA6" s="22">
        <f>LCI!$E7*impact_process_end!AA4</f>
        <v>0</v>
      </c>
    </row>
    <row r="7" spans="1:27" x14ac:dyDescent="0.35">
      <c r="A7" t="s">
        <v>6</v>
      </c>
    </row>
    <row r="8" spans="1:27" x14ac:dyDescent="0.35">
      <c r="B8" t="s">
        <v>251</v>
      </c>
      <c r="C8" s="22">
        <f>LCI!$E10*impact_process_end!C2</f>
        <v>5.5634872203590514E-10</v>
      </c>
      <c r="D8" s="22">
        <f>LCI!$E10*impact_process_end!D2</f>
        <v>1.7614294767212754E-13</v>
      </c>
      <c r="E8" s="22">
        <f>LCI!$E10*impact_process_end!E2</f>
        <v>6.4489168202126764E-9</v>
      </c>
      <c r="F8" s="22">
        <f>LCI!$E10*impact_process_end!F2</f>
        <v>1.2447544996803985E-10</v>
      </c>
      <c r="G8" s="22">
        <f>LCI!$E10*impact_process_end!G2</f>
        <v>2.3936589892224256E-11</v>
      </c>
      <c r="H8" s="22">
        <f>LCI!$E10*impact_process_end!H2</f>
        <v>1.878696577875905E-10</v>
      </c>
      <c r="I8" s="22">
        <f>LCI!$E10*impact_process_end!I2</f>
        <v>2.9800615888828786E-10</v>
      </c>
      <c r="J8" s="22">
        <f>LCI!$E10*impact_process_end!J2</f>
        <v>5.6998797548564036E-13</v>
      </c>
      <c r="K8" s="22">
        <f>LCI!$E10*impact_process_end!K2</f>
        <v>7.3311816498233043E-10</v>
      </c>
      <c r="L8" s="22">
        <f>LCI!$E10*impact_process_end!L2</f>
        <v>3.374136049899297E-10</v>
      </c>
      <c r="M8" s="22">
        <f>LCI!$E10*impact_process_end!M2</f>
        <v>5.4916784386200828E-14</v>
      </c>
      <c r="N8" s="22">
        <f>LCI!$E10*impact_process_end!N2</f>
        <v>1.2274446841286609E-9</v>
      </c>
      <c r="O8" s="22">
        <f>LCI!$E10*impact_process_end!O2</f>
        <v>2.1370196801618678E-6</v>
      </c>
      <c r="P8" s="22">
        <f>LCI!$E10*impact_process_end!P2</f>
        <v>5.6939144512121062E-7</v>
      </c>
      <c r="Q8" s="22">
        <f>LCI!$E10*impact_process_end!Q2</f>
        <v>8.4545806094878935E-7</v>
      </c>
      <c r="R8" s="22">
        <f>LCI!$E10*impact_process_end!R2</f>
        <v>1.3532431459756084E-7</v>
      </c>
      <c r="S8" s="22">
        <f>LCI!$E10*impact_process_end!S2</f>
        <v>1.3311018989790466E-9</v>
      </c>
      <c r="T8" s="22">
        <f>LCI!$E10*impact_process_end!T2</f>
        <v>9.1482578393337466E-7</v>
      </c>
      <c r="U8" s="22">
        <f>LCI!$E10*impact_process_end!U2</f>
        <v>2.1562552607377609E-9</v>
      </c>
      <c r="V8" s="22">
        <f>LCI!$E10*impact_process_end!V2</f>
        <v>2.0184645916782424E-7</v>
      </c>
      <c r="W8" s="22">
        <f>LCI!$E10*impact_process_end!W2</f>
        <v>0.23724181410488426</v>
      </c>
      <c r="X8" s="22">
        <f>LCI!$E10*impact_process_end!X2</f>
        <v>1.1891569258502965E-2</v>
      </c>
      <c r="Y8" s="22">
        <f>LCI!$E10*impact_process_end!Y2</f>
        <v>8.7108751389948716E-9</v>
      </c>
      <c r="Z8" s="22">
        <f>LCI!$E10*impact_process_end!Z2</f>
        <v>4.8073465853685885E-6</v>
      </c>
      <c r="AA8" s="22">
        <f>LCI!$E10*impact_process_end!AA2</f>
        <v>0.24913338459083195</v>
      </c>
    </row>
    <row r="9" spans="1:27" x14ac:dyDescent="0.35">
      <c r="B9" t="s">
        <v>253</v>
      </c>
      <c r="C9" s="22">
        <f>LCI!$E11*impact_process_end!C10</f>
        <v>4.4309907791704437E-9</v>
      </c>
      <c r="D9" s="22">
        <f>LCI!$E11*impact_process_end!D10</f>
        <v>9.8281617129173645E-13</v>
      </c>
      <c r="E9" s="22">
        <f>LCI!$E11*impact_process_end!E10</f>
        <v>3.5988137480500369E-8</v>
      </c>
      <c r="F9" s="22">
        <f>LCI!$E11*impact_process_end!F10</f>
        <v>1.1525021066268944E-10</v>
      </c>
      <c r="G9" s="22">
        <f>LCI!$E11*impact_process_end!G10</f>
        <v>2.398239280566205E-11</v>
      </c>
      <c r="H9" s="22">
        <f>LCI!$E11*impact_process_end!H10</f>
        <v>2.6827040940863205E-10</v>
      </c>
      <c r="I9" s="22">
        <f>LCI!$E11*impact_process_end!I10</f>
        <v>7.0989509954388112E-10</v>
      </c>
      <c r="J9" s="22">
        <f>LCI!$E11*impact_process_end!J10</f>
        <v>1.9156216787518542E-13</v>
      </c>
      <c r="K9" s="22">
        <f>LCI!$E11*impact_process_end!K10</f>
        <v>2.6799732486678843E-8</v>
      </c>
      <c r="L9" s="22">
        <f>LCI!$E11*impact_process_end!L10</f>
        <v>5.5519490384451754E-9</v>
      </c>
      <c r="M9" s="22">
        <f>LCI!$E11*impact_process_end!M10</f>
        <v>2.7759197627262982E-14</v>
      </c>
      <c r="N9" s="22">
        <f>LCI!$E11*impact_process_end!N10</f>
        <v>6.2044564233120898E-10</v>
      </c>
      <c r="O9" s="22">
        <f>LCI!$E11*impact_process_end!O10</f>
        <v>1.1924437747747311E-5</v>
      </c>
      <c r="P9" s="22">
        <f>LCI!$E11*impact_process_end!P10</f>
        <v>1.239137088193612E-6</v>
      </c>
      <c r="Q9" s="22">
        <f>LCI!$E11*impact_process_end!Q10</f>
        <v>1.3114784577798926E-6</v>
      </c>
      <c r="R9" s="22">
        <f>LCI!$E11*impact_process_end!R10</f>
        <v>2.2436177994879275E-9</v>
      </c>
      <c r="S9" s="22">
        <f>LCI!$E11*impact_process_end!S10</f>
        <v>3.4849137095702076E-9</v>
      </c>
      <c r="T9" s="22">
        <f>LCI!$E11*impact_process_end!T10</f>
        <v>1.352574961414437E-5</v>
      </c>
      <c r="U9" s="22">
        <f>LCI!$E11*impact_process_end!U10</f>
        <v>3.767815673675537E-8</v>
      </c>
      <c r="V9" s="22">
        <f>LCI!$E11*impact_process_end!V10</f>
        <v>1.0202883896113214E-7</v>
      </c>
      <c r="W9" s="22">
        <f>LCI!$E11*impact_process_end!W10</f>
        <v>1.4135711861892226</v>
      </c>
      <c r="X9" s="22">
        <f>LCI!$E11*impact_process_end!X10</f>
        <v>2.2568626212231067E-2</v>
      </c>
      <c r="Y9" s="22">
        <f>LCI!$E11*impact_process_end!Y10</f>
        <v>7.3889175553361179E-8</v>
      </c>
      <c r="Z9" s="22">
        <f>LCI!$E11*impact_process_end!Z10</f>
        <v>2.8146144116498033E-5</v>
      </c>
      <c r="AA9" s="22">
        <f>LCI!$E11*impact_process_end!AA10</f>
        <v>1.4361398130219001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5.6010239999999986E-12</v>
      </c>
      <c r="E10" s="22">
        <f>LCI!$E12*impact_process_end!E11</f>
        <v>2.0508364799999998E-7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6.8073983999999995E-5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2.0508924902399998E-7</v>
      </c>
      <c r="Z10" s="22">
        <f>LCI!$E12*impact_process_end!Z11</f>
        <v>6.8073983999999995E-5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3.0595076944911264E-9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5.1726932187333587E-9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2.7748090754755693E-6</v>
      </c>
      <c r="U12" s="23">
        <f>LCI!$E15*impact_process_end!U12</f>
        <v>3.6489541310444623E-8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8.2322009132244856E-9</v>
      </c>
      <c r="Z12" s="23">
        <f>LCI!$E15*impact_process_end!Z12</f>
        <v>2.8112986167860141E-6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1.4454059143388304E-8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6.3381435815927336E-8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1.4454059143388304E-8</v>
      </c>
      <c r="Z13" s="22">
        <f>LCI!$E16*impact_process_end!Z13</f>
        <v>6.3381435815927336E-8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7.2864515772190448E-10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6.1866098297142844E-7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7.2864515772190448E-10</v>
      </c>
      <c r="Z14" s="23">
        <f>LCI!$E17*impact_process_end!Z14</f>
        <v>6.1866098297142844E-7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5.2929884098666788E-6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5.2929884098666788E-6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6.5135072380004388E-9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2.3486203983174653E-6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6.5135072380004388E-9</v>
      </c>
      <c r="Z17" s="23">
        <f>LCI!$E20*impact_process_end!Z17</f>
        <v>2.3486203983174653E-6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2.7339639166303196E-12</v>
      </c>
      <c r="E18" s="22">
        <f>LCI!$E21*impact_process_end!E11</f>
        <v>1.0010514033200249E-7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3.3228176832891586E-5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1.0010787429591912E-7</v>
      </c>
      <c r="Z18" s="22">
        <f>LCI!$E21*impact_process_end!Z11</f>
        <v>3.3228176832891586E-5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5.7082763094479221E-13</v>
      </c>
      <c r="E19" s="22">
        <f>LCI!$E22*impact_process_end!E19</f>
        <v>2.0880273868770026E-8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7.0101638887956923E-6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1.4621198968059587E-7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2.0880844696400972E-8</v>
      </c>
      <c r="Z19" s="22">
        <f>LCI!$E22*impact_process_end!Z19</f>
        <v>7.1563758784762889E-6</v>
      </c>
      <c r="AA19" s="22">
        <f>LCI!$E22*impact_process_end!AA19</f>
        <v>0</v>
      </c>
    </row>
    <row r="20" spans="1:29" x14ac:dyDescent="0.35">
      <c r="A20" t="s">
        <v>259</v>
      </c>
    </row>
    <row r="21" spans="1:29" x14ac:dyDescent="0.35">
      <c r="B21" s="20" t="s">
        <v>259</v>
      </c>
      <c r="C21" s="24">
        <f>SUM(C3:C4,C6,C8:C10,C12:C19)</f>
        <v>1.5653503926546792E-8</v>
      </c>
      <c r="D21" s="24">
        <f>SUM(D3:D4,D6,D8:D10,D12:D19)</f>
        <v>1.0180178666737953E-11</v>
      </c>
      <c r="E21" s="24">
        <f t="shared" ref="E21:AA21" si="0">SUM(E3:E4,E6,E8:E10,E12:E19)</f>
        <v>3.7273126890093524E-7</v>
      </c>
      <c r="F21" s="24">
        <f t="shared" si="0"/>
        <v>3.2127854164427263E-10</v>
      </c>
      <c r="G21" s="24">
        <f t="shared" si="0"/>
        <v>6.3601576075550474E-11</v>
      </c>
      <c r="H21" s="24">
        <f t="shared" si="0"/>
        <v>5.7922708436740248E-10</v>
      </c>
      <c r="I21" s="24">
        <f t="shared" si="0"/>
        <v>1.2031466728762197E-9</v>
      </c>
      <c r="J21" s="24">
        <f t="shared" si="0"/>
        <v>1.1349905410927971E-12</v>
      </c>
      <c r="K21" s="24">
        <f t="shared" si="0"/>
        <v>2.8013169449408218E-8</v>
      </c>
      <c r="L21" s="24">
        <f t="shared" si="0"/>
        <v>2.5737179091584652E-8</v>
      </c>
      <c r="M21" s="24">
        <f t="shared" si="0"/>
        <v>1.1865594419752642E-13</v>
      </c>
      <c r="N21" s="24">
        <f t="shared" si="0"/>
        <v>2.6520782229579583E-9</v>
      </c>
      <c r="O21" s="24">
        <f t="shared" si="0"/>
        <v>1.2377389849177147E-4</v>
      </c>
      <c r="P21" s="24">
        <f t="shared" si="0"/>
        <v>2.1815781008080298E-6</v>
      </c>
      <c r="Q21" s="24">
        <f t="shared" si="0"/>
        <v>2.7108573172813371E-6</v>
      </c>
      <c r="R21" s="24">
        <f t="shared" si="0"/>
        <v>2.2622869023682998E-7</v>
      </c>
      <c r="S21" s="24">
        <f t="shared" si="0"/>
        <v>1.5190010653330382E-7</v>
      </c>
      <c r="T21" s="24">
        <f t="shared" si="0"/>
        <v>2.6075022881768681E-5</v>
      </c>
      <c r="U21" s="24">
        <f t="shared" si="0"/>
        <v>1.4111810808779671E-7</v>
      </c>
      <c r="V21" s="24">
        <f t="shared" si="0"/>
        <v>4.3611952999753085E-7</v>
      </c>
      <c r="W21" s="24">
        <f t="shared" si="0"/>
        <v>1.8062472922938586</v>
      </c>
      <c r="X21" s="24">
        <f t="shared" si="0"/>
        <v>4.2251223605615285E-2</v>
      </c>
      <c r="Y21" s="24">
        <f t="shared" si="0"/>
        <v>4.4431355625207681E-7</v>
      </c>
      <c r="Z21" s="24">
        <f t="shared" si="0"/>
        <v>1.5569661812326799E-4</v>
      </c>
      <c r="AA21" s="24">
        <f t="shared" si="0"/>
        <v>1.848498518551553</v>
      </c>
    </row>
    <row r="23" spans="1:29" x14ac:dyDescent="0.35">
      <c r="A23" t="s">
        <v>123</v>
      </c>
    </row>
    <row r="24" spans="1:29" x14ac:dyDescent="0.35">
      <c r="B24" t="s">
        <v>98</v>
      </c>
    </row>
    <row r="25" spans="1:29" x14ac:dyDescent="0.35">
      <c r="B25" t="s">
        <v>97</v>
      </c>
      <c r="C25" s="23">
        <f>LCI!$E29*impact_process_end!C11</f>
        <v>0</v>
      </c>
      <c r="D25" s="23">
        <f>LCI!$E29*impact_process_end!D11</f>
        <v>1.6277353370998117E-14</v>
      </c>
      <c r="E25" s="23">
        <f>LCI!$E29*impact_process_end!E11</f>
        <v>5.9600155419962346E-10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1.9783244866290022E-7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5.960178315529944E-10</v>
      </c>
      <c r="Z25" s="23">
        <f>LCI!$E29*impact_process_end!Z11</f>
        <v>1.9783244866290022E-7</v>
      </c>
      <c r="AA25" s="23">
        <f>LCI!$E29*impact_process_end!AA11</f>
        <v>0</v>
      </c>
    </row>
    <row r="26" spans="1:29" x14ac:dyDescent="0.35">
      <c r="B26" t="s">
        <v>112</v>
      </c>
      <c r="C26" s="23">
        <f>LCI!$E30*impact_process_end!C19</f>
        <v>0</v>
      </c>
      <c r="D26" s="23">
        <f>LCI!$E30*impact_process_end!D19</f>
        <v>1.4273986802259889E-13</v>
      </c>
      <c r="E26" s="23">
        <f>LCI!$E30*impact_process_end!E19</f>
        <v>5.2212741197740112E-9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1.7529457476459509E-6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3.6561439879472698E-8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5.2214168596420339E-9</v>
      </c>
      <c r="Z26" s="23">
        <f>LCI!$E30*impact_process_end!Z19</f>
        <v>1.7895071875254237E-6</v>
      </c>
      <c r="AA26" s="23">
        <f>LCI!$E30*impact_process_end!AA19</f>
        <v>0</v>
      </c>
    </row>
    <row r="27" spans="1:29" x14ac:dyDescent="0.35">
      <c r="B27" t="s">
        <v>143</v>
      </c>
      <c r="C27" s="23">
        <f>LCI!$E31*impact_process_end!C18</f>
        <v>9.2076605655367256E-9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7.8178250084745782E-6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9.2076605655367256E-9</v>
      </c>
      <c r="Z27" s="23">
        <f>LCI!$E31*impact_process_end!Z18</f>
        <v>7.8178250084745782E-6</v>
      </c>
      <c r="AA27" s="23">
        <f>LCI!$E31*impact_process_end!AA18</f>
        <v>0</v>
      </c>
    </row>
    <row r="28" spans="1:29" x14ac:dyDescent="0.35">
      <c r="B28" t="s">
        <v>144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145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2.0065750855084751E-5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2.0065750855084751E-5</v>
      </c>
      <c r="AA29" s="23">
        <f>LCI!$E33*impact_process_end!AA21</f>
        <v>0</v>
      </c>
    </row>
    <row r="30" spans="1:29" x14ac:dyDescent="0.35">
      <c r="B30" t="s">
        <v>125</v>
      </c>
      <c r="C30" s="23">
        <f>LCI!$E34*impact_process_end!C12</f>
        <v>3.1944697273116766E-8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5.400872802401131E-8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2.8972123870244824E-5</v>
      </c>
      <c r="U30" s="23">
        <f>LCI!$E34*impact_process_end!U12</f>
        <v>3.809918023399247E-7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8.5953425297128076E-8</v>
      </c>
      <c r="Z30" s="23">
        <f>LCI!$E34*impact_process_end!Z12</f>
        <v>2.9353115672584753E-5</v>
      </c>
      <c r="AA30" s="23">
        <f>LCI!$E34*impact_process_end!AA12</f>
        <v>0</v>
      </c>
      <c r="AB30" s="5"/>
      <c r="AC30" s="5"/>
    </row>
    <row r="31" spans="1:29" x14ac:dyDescent="0.35">
      <c r="B31" t="s">
        <v>111</v>
      </c>
      <c r="C31" s="23">
        <f>LCI!$E35*impact_process_end!C17</f>
        <v>5.5017454393973645E-9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1.9838024420903955E-6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5.5017454393973645E-9</v>
      </c>
      <c r="Z31" s="23">
        <f>LCI!$E35*impact_process_end!Z17</f>
        <v>1.9838024420903955E-6</v>
      </c>
      <c r="AA31" s="23">
        <f>LCI!$E35*impact_process_end!AA17</f>
        <v>0</v>
      </c>
    </row>
    <row r="32" spans="1:29" x14ac:dyDescent="0.35">
      <c r="B32" t="s">
        <v>124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146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7.8730741021280616E-10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3.4523640447834288E-9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7.8730741021280616E-10</v>
      </c>
      <c r="Z33" s="23">
        <f>LCI!$E37*impact_process_end!Z13</f>
        <v>3.4523640447834288E-9</v>
      </c>
      <c r="AA33" s="23">
        <f>LCI!$E37*impact_process_end!AA13</f>
        <v>0</v>
      </c>
    </row>
    <row r="34" spans="1:29" x14ac:dyDescent="0.35">
      <c r="B34" t="s">
        <v>251</v>
      </c>
      <c r="C34" s="23">
        <f>LCI!$E38*impact_process_end!C2</f>
        <v>1.2750417917094985E-11</v>
      </c>
      <c r="D34" s="23">
        <f>LCI!$E38*impact_process_end!D2</f>
        <v>4.0368497437182503E-15</v>
      </c>
      <c r="E34" s="23">
        <f>LCI!$E38*impact_process_end!E2</f>
        <v>1.4779648323698005E-10</v>
      </c>
      <c r="F34" s="23">
        <f>LCI!$E38*impact_process_end!F2</f>
        <v>2.852732368473973E-12</v>
      </c>
      <c r="G34" s="23">
        <f>LCI!$E38*impact_process_end!G2</f>
        <v>5.4857953752300354E-13</v>
      </c>
      <c r="H34" s="23">
        <f>LCI!$E38*impact_process_end!H2</f>
        <v>4.3056028635557904E-12</v>
      </c>
      <c r="I34" s="23">
        <f>LCI!$E38*impact_process_end!I2</f>
        <v>6.8297147404045966E-12</v>
      </c>
      <c r="J34" s="23">
        <f>LCI!$E38*impact_process_end!J2</f>
        <v>1.3063002766620495E-14</v>
      </c>
      <c r="K34" s="23">
        <f>LCI!$E38*impact_process_end!K2</f>
        <v>1.6801625699672657E-11</v>
      </c>
      <c r="L34" s="23">
        <f>LCI!$E38*impact_process_end!L2</f>
        <v>7.7328558584476445E-12</v>
      </c>
      <c r="M34" s="23">
        <f>LCI!$E38*impact_process_end!M2</f>
        <v>1.2585846319996894E-15</v>
      </c>
      <c r="N34" s="23">
        <f>LCI!$E38*impact_process_end!N2</f>
        <v>2.8130616774827496E-11</v>
      </c>
      <c r="O34" s="23">
        <f>LCI!$E38*impact_process_end!O2</f>
        <v>4.8976285807594567E-8</v>
      </c>
      <c r="P34" s="23">
        <f>LCI!$E38*impact_process_end!P2</f>
        <v>1.3049331464529817E-8</v>
      </c>
      <c r="Q34" s="23">
        <f>LCI!$E38*impact_process_end!Q2</f>
        <v>1.9376235050968844E-8</v>
      </c>
      <c r="R34" s="23">
        <f>LCI!$E38*impact_process_end!R2</f>
        <v>3.1013669972121965E-9</v>
      </c>
      <c r="S34" s="23">
        <f>LCI!$E38*impact_process_end!S2</f>
        <v>3.0506236160862911E-11</v>
      </c>
      <c r="T34" s="23">
        <f>LCI!$E38*impact_process_end!T2</f>
        <v>2.0966006758853988E-8</v>
      </c>
      <c r="U34" s="23">
        <f>LCI!$E38*impact_process_end!U2</f>
        <v>4.9417127462309039E-11</v>
      </c>
      <c r="V34" s="23">
        <f>LCI!$E38*impact_process_end!V2</f>
        <v>4.6259236474160772E-9</v>
      </c>
      <c r="W34" s="23">
        <f>LCI!$E38*impact_process_end!W2</f>
        <v>5.4371155310244676E-3</v>
      </c>
      <c r="X34" s="23">
        <f>LCI!$E38*impact_process_end!X2</f>
        <v>2.7253136698354247E-4</v>
      </c>
      <c r="Y34" s="23">
        <f>LCI!$E38*impact_process_end!Y2</f>
        <v>1.9963611678548893E-10</v>
      </c>
      <c r="Z34" s="23">
        <f>LCI!$E38*impact_process_end!Z2</f>
        <v>1.1017492376267776E-7</v>
      </c>
      <c r="AA34" s="23">
        <f>LCI!$E38*impact_process_end!AA2</f>
        <v>5.7096469261386272E-3</v>
      </c>
    </row>
    <row r="36" spans="1:29" x14ac:dyDescent="0.35">
      <c r="A36" t="s">
        <v>260</v>
      </c>
    </row>
    <row r="37" spans="1:29" x14ac:dyDescent="0.35">
      <c r="B37" s="2" t="s">
        <v>98</v>
      </c>
    </row>
    <row r="38" spans="1:29" x14ac:dyDescent="0.35">
      <c r="B38" s="2" t="s">
        <v>97</v>
      </c>
      <c r="C38" s="22">
        <f>LCI!$E44*impact_process_end!C11</f>
        <v>0</v>
      </c>
      <c r="D38" s="22">
        <f>LCI!$E44*impact_process_end!D11</f>
        <v>4.9401031679999996E-12</v>
      </c>
      <c r="E38" s="22">
        <f>LCI!$E44*impact_process_end!E11</f>
        <v>1.8088377753599999E-7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6.0041253888000003E-5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1.80888717639168E-7</v>
      </c>
      <c r="Z38" s="22">
        <f>LCI!$E44*impact_process_end!Z11</f>
        <v>6.0041253888000003E-5</v>
      </c>
      <c r="AA38" s="22">
        <f>LCI!$E44*impact_process_end!AA11</f>
        <v>0</v>
      </c>
    </row>
    <row r="39" spans="1:29" x14ac:dyDescent="0.35">
      <c r="B39" s="2" t="s">
        <v>142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143</v>
      </c>
      <c r="C40" s="23">
        <f>LCI!$E46*impact_process_end!C18</f>
        <v>3.4188985600000002E-10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2.9028384000000004E-7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3.4188985600000002E-10</v>
      </c>
      <c r="Z40" s="23">
        <f>LCI!$E46*impact_process_end!Z18</f>
        <v>2.9028384000000004E-7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1.5938022396368732E-9</v>
      </c>
      <c r="D41" s="22">
        <f>LCI!$E47*impact_process_end!D2</f>
        <v>5.0460621796478128E-13</v>
      </c>
      <c r="E41" s="22">
        <f>LCI!$E47*impact_process_end!E2</f>
        <v>1.8474560404622507E-8</v>
      </c>
      <c r="F41" s="22">
        <f>LCI!$E47*impact_process_end!F2</f>
        <v>3.5659154605924661E-10</v>
      </c>
      <c r="G41" s="22">
        <f>LCI!$E47*impact_process_end!G2</f>
        <v>6.857244219037544E-11</v>
      </c>
      <c r="H41" s="22">
        <f>LCI!$E47*impact_process_end!H2</f>
        <v>5.3820035794447377E-10</v>
      </c>
      <c r="I41" s="22">
        <f>LCI!$E47*impact_process_end!I2</f>
        <v>8.5371434255057455E-10</v>
      </c>
      <c r="J41" s="22">
        <f>LCI!$E47*impact_process_end!J2</f>
        <v>1.632875345827562E-12</v>
      </c>
      <c r="K41" s="22">
        <f>LCI!$E47*impact_process_end!K2</f>
        <v>2.1002032124590821E-9</v>
      </c>
      <c r="L41" s="22">
        <f>LCI!$E47*impact_process_end!L2</f>
        <v>9.6660698230595561E-10</v>
      </c>
      <c r="M41" s="22">
        <f>LCI!$E47*impact_process_end!M2</f>
        <v>1.5732307899996116E-13</v>
      </c>
      <c r="N41" s="22">
        <f>LCI!$E47*impact_process_end!N2</f>
        <v>3.5163270968534367E-9</v>
      </c>
      <c r="O41" s="22">
        <f>LCI!$E47*impact_process_end!O2</f>
        <v>6.1220357259493205E-6</v>
      </c>
      <c r="P41" s="22">
        <f>LCI!$E47*impact_process_end!P2</f>
        <v>1.6311664330662272E-6</v>
      </c>
      <c r="Q41" s="22">
        <f>LCI!$E47*impact_process_end!Q2</f>
        <v>2.4220293813711055E-6</v>
      </c>
      <c r="R41" s="22">
        <f>LCI!$E47*impact_process_end!R2</f>
        <v>3.8767087465152458E-7</v>
      </c>
      <c r="S41" s="22">
        <f>LCI!$E47*impact_process_end!S2</f>
        <v>3.8132795201078638E-9</v>
      </c>
      <c r="T41" s="22">
        <f>LCI!$E47*impact_process_end!T2</f>
        <v>2.6207508448567484E-6</v>
      </c>
      <c r="U41" s="22">
        <f>LCI!$E47*impact_process_end!U2</f>
        <v>6.1771409327886296E-9</v>
      </c>
      <c r="V41" s="22">
        <f>LCI!$E47*impact_process_end!V2</f>
        <v>5.7824045592700962E-7</v>
      </c>
      <c r="W41" s="22">
        <f>LCI!$E47*impact_process_end!W2</f>
        <v>0.67963944137805843</v>
      </c>
      <c r="X41" s="22">
        <f>LCI!$E47*impact_process_end!X2</f>
        <v>3.4066420872942808E-2</v>
      </c>
      <c r="Y41" s="22">
        <f>LCI!$E47*impact_process_end!Y2</f>
        <v>2.4954514598186117E-8</v>
      </c>
      <c r="Z41" s="22">
        <f>LCI!$E47*impact_process_end!Z2</f>
        <v>1.3771865470334719E-5</v>
      </c>
      <c r="AA41" s="22">
        <f>LCI!$E47*impact_process_end!AA2</f>
        <v>0.71370586576732842</v>
      </c>
    </row>
    <row r="42" spans="1:29" x14ac:dyDescent="0.35">
      <c r="B42" s="2" t="s">
        <v>128</v>
      </c>
      <c r="C42" s="23">
        <f>LCI!$E48*impact_process_end!C29</f>
        <v>7.1949016671373457E-10</v>
      </c>
      <c r="D42" s="23">
        <f>LCI!$E48*impact_process_end!D29</f>
        <v>5.6552935212057017E-14</v>
      </c>
      <c r="E42" s="23">
        <f>LCI!$E48*impact_process_end!E29</f>
        <v>2.0707302067016072E-9</v>
      </c>
      <c r="F42" s="23">
        <f>LCI!$E48*impact_process_end!F29</f>
        <v>8.3298760848764515E-12</v>
      </c>
      <c r="G42" s="23">
        <f>LCI!$E48*impact_process_end!G29</f>
        <v>1.7515105339982732E-12</v>
      </c>
      <c r="H42" s="23">
        <f>LCI!$E48*impact_process_end!H29</f>
        <v>9.4189028144346311E-12</v>
      </c>
      <c r="I42" s="23">
        <f>LCI!$E48*impact_process_end!I29</f>
        <v>1.9682027792134845E-10</v>
      </c>
      <c r="J42" s="23">
        <f>LCI!$E48*impact_process_end!J29</f>
        <v>3.3824240948897952E-14</v>
      </c>
      <c r="K42" s="23">
        <f>LCI!$E48*impact_process_end!K29</f>
        <v>7.6085016305332589E-11</v>
      </c>
      <c r="L42" s="23">
        <f>LCI!$E48*impact_process_end!L29</f>
        <v>2.2236987222012587E-10</v>
      </c>
      <c r="M42" s="23">
        <f>LCI!$E48*impact_process_end!M29</f>
        <v>1.1930145585880052E-15</v>
      </c>
      <c r="N42" s="23">
        <f>LCI!$E48*impact_process_end!N29</f>
        <v>2.6665060498241842E-11</v>
      </c>
      <c r="O42" s="23">
        <f>LCI!$E48*impact_process_end!O29</f>
        <v>6.8612912086768176E-7</v>
      </c>
      <c r="P42" s="23">
        <f>LCI!$E48*impact_process_end!P29</f>
        <v>8.8493384216513904E-8</v>
      </c>
      <c r="Q42" s="23">
        <f>LCI!$E48*impact_process_end!Q29</f>
        <v>1.1827553442327725E-7</v>
      </c>
      <c r="R42" s="23">
        <f>LCI!$E48*impact_process_end!R29</f>
        <v>2.2475030281058986E-10</v>
      </c>
      <c r="S42" s="23">
        <f>LCI!$E48*impact_process_end!S29</f>
        <v>7.3857309760341855E-11</v>
      </c>
      <c r="T42" s="23">
        <f>LCI!$E48*impact_process_end!T29</f>
        <v>8.1623117508107431E-7</v>
      </c>
      <c r="U42" s="23">
        <f>LCI!$E48*impact_process_end!U29</f>
        <v>1.53913036670908E-9</v>
      </c>
      <c r="V42" s="23">
        <f>LCI!$E48*impact_process_end!V29</f>
        <v>4.3849210597108801E-9</v>
      </c>
      <c r="W42" s="23">
        <f>LCI!$E48*impact_process_end!W29</f>
        <v>3.1039022077797705E-2</v>
      </c>
      <c r="X42" s="23">
        <f>LCI!$E48*impact_process_end!X29</f>
        <v>5.1709651742435833E-4</v>
      </c>
      <c r="Y42" s="23">
        <f>LCI!$E48*impact_process_end!Y29</f>
        <v>3.3050661452180019E-9</v>
      </c>
      <c r="Z42" s="23">
        <f>LCI!$E48*impact_process_end!Z29</f>
        <v>1.7153438789214334E-6</v>
      </c>
      <c r="AA42" s="23">
        <f>LCI!$E48*impact_process_end!AA29</f>
        <v>3.1556118621887126E-2</v>
      </c>
      <c r="AB42" s="23"/>
    </row>
    <row r="43" spans="1:29" x14ac:dyDescent="0.35">
      <c r="B43" s="2" t="s">
        <v>135</v>
      </c>
      <c r="C43" s="23">
        <f>LCI!$E49*impact_process_end!C30</f>
        <v>1.3209340616845788E-8</v>
      </c>
      <c r="D43" s="23">
        <f>LCI!$E49*impact_process_end!D30</f>
        <v>1.1793229298479551E-12</v>
      </c>
      <c r="E43" s="23">
        <f>LCI!$E49*impact_process_end!E30</f>
        <v>4.3180563249503498E-8</v>
      </c>
      <c r="F43" s="23">
        <f>LCI!$E49*impact_process_end!F30</f>
        <v>7.9728958116206162E-10</v>
      </c>
      <c r="G43" s="23">
        <f>LCI!$E49*impact_process_end!G30</f>
        <v>1.6343632854009141E-10</v>
      </c>
      <c r="H43" s="23">
        <f>LCI!$E49*impact_process_end!H30</f>
        <v>1.1326326372921376E-9</v>
      </c>
      <c r="I43" s="23">
        <f>LCI!$E49*impact_process_end!I30</f>
        <v>3.8777411462810798E-9</v>
      </c>
      <c r="J43" s="23">
        <f>LCI!$E49*impact_process_end!J30</f>
        <v>1.25811222268707E-12</v>
      </c>
      <c r="K43" s="23">
        <f>LCI!$E49*impact_process_end!K30</f>
        <v>3.1600839274606457E-9</v>
      </c>
      <c r="L43" s="23">
        <f>LCI!$E49*impact_process_end!L30</f>
        <v>5.6058638241431384E-9</v>
      </c>
      <c r="M43" s="23">
        <f>LCI!$E49*impact_process_end!M30</f>
        <v>1.3052353530566718E-13</v>
      </c>
      <c r="N43" s="23">
        <f>LCI!$E49*impact_process_end!N30</f>
        <v>2.9173306732226942E-9</v>
      </c>
      <c r="O43" s="23">
        <f>LCI!$E49*impact_process_end!O30</f>
        <v>1.4308039460497804E-5</v>
      </c>
      <c r="P43" s="23">
        <f>LCI!$E49*impact_process_end!P30</f>
        <v>1.6983696220643111E-5</v>
      </c>
      <c r="Q43" s="23">
        <f>LCI!$E49*impact_process_end!Q30</f>
        <v>5.8329344532669679E-6</v>
      </c>
      <c r="R43" s="23">
        <f>LCI!$E49*impact_process_end!R30</f>
        <v>7.1024350680958268E-9</v>
      </c>
      <c r="S43" s="23">
        <f>LCI!$E49*impact_process_end!S30</f>
        <v>3.7297961860710351E-9</v>
      </c>
      <c r="T43" s="23">
        <f>LCI!$E49*impact_process_end!T30</f>
        <v>1.7027004563668719E-5</v>
      </c>
      <c r="U43" s="23">
        <f>LCI!$E49*impact_process_end!U30</f>
        <v>3.8354423238138753E-8</v>
      </c>
      <c r="V43" s="23">
        <f>LCI!$E49*impact_process_end!V30</f>
        <v>4.7973882181884299E-7</v>
      </c>
      <c r="W43" s="23">
        <f>LCI!$E49*impact_process_end!W30</f>
        <v>1.0632992374248658</v>
      </c>
      <c r="X43" s="23">
        <f>LCI!$E49*impact_process_end!X30</f>
        <v>0.2371633405345332</v>
      </c>
      <c r="Y43" s="23">
        <f>LCI!$E49*impact_process_end!Y30</f>
        <v>7.1128489949312507E-8</v>
      </c>
      <c r="Z43" s="23">
        <f>LCI!$E49*impact_process_end!Z30</f>
        <v>5.468023938045701E-5</v>
      </c>
      <c r="AA43" s="23">
        <f>LCI!$E49*impact_process_end!AA30</f>
        <v>1.3004625808767296</v>
      </c>
    </row>
    <row r="45" spans="1:29" x14ac:dyDescent="0.35">
      <c r="A45" t="s">
        <v>130</v>
      </c>
    </row>
    <row r="46" spans="1:29" x14ac:dyDescent="0.35">
      <c r="B46" t="s">
        <v>50</v>
      </c>
      <c r="C46" s="23">
        <f>LCI!$E53*impact_process_end!C12</f>
        <v>5.4577644184625973E-7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9.2274129748581263E-7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4.949899053179708E-4</v>
      </c>
      <c r="U46" s="23">
        <f>LCI!$E53*impact_process_end!U12</f>
        <v>6.5092603155975926E-6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1.4685177393320724E-6</v>
      </c>
      <c r="Z46" s="23">
        <f>LCI!$E53*impact_process_end!Z12</f>
        <v>5.0149916563356836E-4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1.0127070508684437E-8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4.4407474957867586E-8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1.0127070508684437E-8</v>
      </c>
      <c r="Z47" s="22">
        <f>LCI!$E54*impact_process_end!Z13</f>
        <v>4.4407474957867586E-8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2.8128344503800515E-10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2.3882556654170249E-7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2.8128344503800515E-10</v>
      </c>
      <c r="Z48" s="23">
        <f>LCI!$E55*impact_process_end!Z14</f>
        <v>2.3882556654170249E-7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6.1456357542644872E-4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6.1456357542644872E-4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8.506919745485811E-12</v>
      </c>
      <c r="E51" s="22">
        <f>LCI!$E58*impact_process_end!E11</f>
        <v>3.1148413837317276E-7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1.0339179382975063E-4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3.1149264529291824E-7</v>
      </c>
      <c r="Z51" s="22">
        <f>LCI!$E58*impact_process_end!Z11</f>
        <v>1.0339179382975063E-4</v>
      </c>
      <c r="AA51" s="22">
        <f>LCI!$E58*impact_process_end!AA11</f>
        <v>0</v>
      </c>
    </row>
    <row r="53" spans="1:29" x14ac:dyDescent="0.35">
      <c r="A53" t="s">
        <v>101</v>
      </c>
    </row>
    <row r="54" spans="1:29" x14ac:dyDescent="0.35">
      <c r="B54" t="s">
        <v>97</v>
      </c>
      <c r="C54" s="22">
        <f>LCI!$E63*impact_process_end!C11</f>
        <v>0</v>
      </c>
      <c r="D54" s="22">
        <f>LCI!$E63*impact_process_end!D11</f>
        <v>4.9332705882352965E-12</v>
      </c>
      <c r="E54" s="22">
        <f>LCI!$E63*impact_process_end!E11</f>
        <v>1.8063360000000009E-7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5.9958211764705913E-5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1.8063853327058831E-7</v>
      </c>
      <c r="Z54" s="22">
        <f>LCI!$E63*impact_process_end!Z11</f>
        <v>5.9958211764705913E-5</v>
      </c>
      <c r="AA54" s="22">
        <f>LCI!$E63*impact_process_end!AA11</f>
        <v>0</v>
      </c>
      <c r="AB54" s="22"/>
      <c r="AC54" s="22"/>
    </row>
    <row r="56" spans="1:29" x14ac:dyDescent="0.35">
      <c r="A56" t="s">
        <v>272</v>
      </c>
    </row>
    <row r="57" spans="1:29" x14ac:dyDescent="0.35">
      <c r="B57" t="s">
        <v>112</v>
      </c>
      <c r="C57" s="22">
        <f>LCI!$E67*impact_process_end!C19</f>
        <v>0</v>
      </c>
      <c r="D57" s="22">
        <f>LCI!$E67*impact_process_end!D19</f>
        <v>7.0797257142857142E-12</v>
      </c>
      <c r="E57" s="22">
        <f>LCI!$E67*impact_process_end!E19</f>
        <v>2.5896891428571425E-7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8.6943999999999986E-5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1.8134034285714284E-6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2.5897599401142857E-7</v>
      </c>
      <c r="Z57" s="22">
        <f>LCI!$E67*impact_process_end!Z19</f>
        <v>8.875740342857141E-5</v>
      </c>
      <c r="AA57" s="22">
        <f>LCI!$E67*impact_process_end!AA19</f>
        <v>0</v>
      </c>
    </row>
    <row r="58" spans="1:29" x14ac:dyDescent="0.35">
      <c r="B58" t="s">
        <v>111</v>
      </c>
      <c r="C58" s="23">
        <f>LCI!$E68*impact_process_end!C17</f>
        <v>3.0712685714285713E-6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1.1074285714285713E-3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3.0712685714285713E-6</v>
      </c>
      <c r="Z58" s="23">
        <f>LCI!$E68*impact_process_end!Z17</f>
        <v>1.1074285714285713E-3</v>
      </c>
      <c r="AA58" s="23">
        <f>LCI!$E68*impact_process_end!AA17</f>
        <v>0</v>
      </c>
    </row>
    <row r="59" spans="1:29" x14ac:dyDescent="0.35">
      <c r="B59" t="s">
        <v>115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1.1510742857142856E-9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1.1510742857142856E-9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275</v>
      </c>
    </row>
    <row r="62" spans="1:29" x14ac:dyDescent="0.35">
      <c r="B62" t="s">
        <v>8</v>
      </c>
      <c r="C62" s="22">
        <f>LCI!$E73*impact_process_end!C2</f>
        <v>4.8406832067599297E-11</v>
      </c>
      <c r="D62" s="22">
        <f>LCI!$E73*impact_process_end!D2</f>
        <v>1.5325859034338418E-14</v>
      </c>
      <c r="E62" s="22">
        <f>LCI!$E73*impact_process_end!E2</f>
        <v>5.6110784687630656E-10</v>
      </c>
      <c r="F62" s="22">
        <f>LCI!$E73*impact_process_end!F2</f>
        <v>1.0830369450822424E-11</v>
      </c>
      <c r="G62" s="22">
        <f>LCI!$E73*impact_process_end!G2</f>
        <v>2.0826766401902792E-12</v>
      </c>
      <c r="H62" s="22">
        <f>LCI!$E73*impact_process_end!H2</f>
        <v>1.6346177523050607E-11</v>
      </c>
      <c r="I62" s="22">
        <f>LCI!$E73*impact_process_end!I2</f>
        <v>2.5928942616470473E-11</v>
      </c>
      <c r="J62" s="22">
        <f>LCI!$E73*impact_process_end!J2</f>
        <v>4.9593557272705722E-14</v>
      </c>
      <c r="K62" s="22">
        <f>LCI!$E73*impact_process_end!K2</f>
        <v>6.378720125057812E-11</v>
      </c>
      <c r="L62" s="22">
        <f>LCI!$E73*impact_process_end!L2</f>
        <v>2.9357708694470086E-11</v>
      </c>
      <c r="M62" s="22">
        <f>LCI!$E73*impact_process_end!M2</f>
        <v>4.7782037671398131E-15</v>
      </c>
      <c r="N62" s="22">
        <f>LCI!$E73*impact_process_end!N2</f>
        <v>1.067976007556084E-10</v>
      </c>
      <c r="O62" s="22">
        <f>LCI!$E73*impact_process_end!O2</f>
        <v>1.8593797142949881E-7</v>
      </c>
      <c r="P62" s="22">
        <f>LCI!$E73*impact_process_end!P2</f>
        <v>4.9541654313230054E-8</v>
      </c>
      <c r="Q62" s="22">
        <f>LCI!$E73*impact_process_end!Q2</f>
        <v>7.3561679492641913E-8</v>
      </c>
      <c r="R62" s="22">
        <f>LCI!$E73*impact_process_end!R2</f>
        <v>1.1774308292496349E-8</v>
      </c>
      <c r="S62" s="22">
        <f>LCI!$E73*impact_process_end!S2</f>
        <v>1.1581661561646012E-10</v>
      </c>
      <c r="T62" s="22">
        <f>LCI!$E73*impact_process_end!T2</f>
        <v>7.9597231628249881E-8</v>
      </c>
      <c r="U62" s="22">
        <f>LCI!$E73*impact_process_end!U2</f>
        <v>1.8761162229231131E-10</v>
      </c>
      <c r="V62" s="22">
        <f>LCI!$E73*impact_process_end!V2</f>
        <v>1.7562272124255607E-8</v>
      </c>
      <c r="W62" s="22">
        <f>LCI!$E73*impact_process_end!W2</f>
        <v>2.0641953868003299E-2</v>
      </c>
      <c r="X62" s="22">
        <f>LCI!$E73*impact_process_end!X2</f>
        <v>1.0346625656119143E-3</v>
      </c>
      <c r="Y62" s="22">
        <f>LCI!$E73*impact_process_end!Y2</f>
        <v>7.5791648891023667E-10</v>
      </c>
      <c r="Z62" s="22">
        <f>LCI!$E73*impact_process_end!Z2</f>
        <v>4.1827797859786553E-7</v>
      </c>
      <c r="AA62" s="22">
        <f>LCI!$E73*impact_process_end!AA2</f>
        <v>2.1676616540412814E-2</v>
      </c>
      <c r="AB62" s="22"/>
      <c r="AC62" s="22"/>
    </row>
    <row r="64" spans="1:29" x14ac:dyDescent="0.35">
      <c r="A64" t="s">
        <v>288</v>
      </c>
    </row>
    <row r="65" spans="1:28" x14ac:dyDescent="0.35">
      <c r="B65" t="s">
        <v>289</v>
      </c>
    </row>
    <row r="66" spans="1:28" x14ac:dyDescent="0.35">
      <c r="B66" t="s">
        <v>288</v>
      </c>
      <c r="C66" s="22">
        <f>LCI!$E78*impact_process_end!C31</f>
        <v>8.4241357380839369E-11</v>
      </c>
      <c r="D66" s="22">
        <f>LCI!$E78*impact_process_end!D31</f>
        <v>1.007058314789505E-14</v>
      </c>
      <c r="E66" s="22">
        <f>LCI!$E78*impact_process_end!E31</f>
        <v>3.6870368394283568E-10</v>
      </c>
      <c r="F66" s="22">
        <f>LCI!$E78*impact_process_end!F31</f>
        <v>5.3691251753610391E-12</v>
      </c>
      <c r="G66" s="22">
        <f>LCI!$E78*impact_process_end!G31</f>
        <v>1.0992051293514326E-12</v>
      </c>
      <c r="H66" s="22">
        <f>LCI!$E78*impact_process_end!H31</f>
        <v>5.5471033004396646E-12</v>
      </c>
      <c r="I66" s="22">
        <f>LCI!$E78*impact_process_end!I31</f>
        <v>3.2958266947329566E-10</v>
      </c>
      <c r="J66" s="22">
        <f>LCI!$E78*impact_process_end!J31</f>
        <v>2.5305441753497696E-12</v>
      </c>
      <c r="K66" s="22">
        <f>LCI!$E78*impact_process_end!K31</f>
        <v>2.0598668223537042E-11</v>
      </c>
      <c r="L66" s="22">
        <f>LCI!$E78*impact_process_end!L31</f>
        <v>3.9831572955559356E-11</v>
      </c>
      <c r="M66" s="22">
        <f>LCI!$E78*impact_process_end!M31</f>
        <v>4.9168651311254147E-16</v>
      </c>
      <c r="N66" s="22">
        <f>LCI!$E78*impact_process_end!N31</f>
        <v>1.0989681998376341E-11</v>
      </c>
      <c r="O66" s="22">
        <f>LCI!$E78*impact_process_end!O31</f>
        <v>1.2224004561313991E-7</v>
      </c>
      <c r="P66" s="22">
        <f>LCI!$E78*impact_process_end!P31</f>
        <v>3.0199732011243039E-8</v>
      </c>
      <c r="Q66" s="22">
        <f>LCI!$E78*impact_process_end!Q31</f>
        <v>2.1308309139595973E-7</v>
      </c>
      <c r="R66" s="22">
        <f>LCI!$E78*impact_process_end!R31</f>
        <v>4.465760701092195E-11</v>
      </c>
      <c r="S66" s="22">
        <f>LCI!$E78*impact_process_end!S31</f>
        <v>2.8238184700928944E-10</v>
      </c>
      <c r="T66" s="22">
        <f>LCI!$E78*impact_process_end!T31</f>
        <v>1.1847657403352266E-7</v>
      </c>
      <c r="U66" s="22">
        <f>LCI!$E78*impact_process_end!U31</f>
        <v>2.7419589250165157E-10</v>
      </c>
      <c r="V66" s="22">
        <f>LCI!$E78*impact_process_end!V31</f>
        <v>1.8071921508441094E-9</v>
      </c>
      <c r="W66" s="22">
        <f>LCI!$E78*impact_process_end!W31</f>
        <v>5.822787294847873E-3</v>
      </c>
      <c r="X66" s="22">
        <f>LCI!$E78*impact_process_end!X31</f>
        <v>4.1662889395767194E-4</v>
      </c>
      <c r="Y66" s="22">
        <f>LCI!$E78*impact_process_end!Y31</f>
        <v>8.5750254306456792E-10</v>
      </c>
      <c r="Z66" s="22">
        <f>LCI!$E78*impact_process_end!Z31</f>
        <v>4.8640378826667635E-7</v>
      </c>
      <c r="AA66" s="22">
        <f>LCI!$E78*impact_process_end!AA31</f>
        <v>6.2394161997952266E-3</v>
      </c>
      <c r="AB66" s="22"/>
    </row>
    <row r="68" spans="1:28" x14ac:dyDescent="0.35">
      <c r="A68" t="s">
        <v>290</v>
      </c>
    </row>
    <row r="69" spans="1:28" x14ac:dyDescent="0.35">
      <c r="B69" t="s">
        <v>97</v>
      </c>
      <c r="C69">
        <f>LCI!$E83*impact_process_end!C11</f>
        <v>0</v>
      </c>
      <c r="D69">
        <f>LCI!$E83*impact_process_end!D11</f>
        <v>1.5166403075754663E-12</v>
      </c>
      <c r="E69">
        <f>LCI!$E83*impact_process_end!E11</f>
        <v>5.5532368185070931E-8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1.8433012968994132E-5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5.5533884825378499E-8</v>
      </c>
      <c r="Z69">
        <f>LCI!$E83*impact_process_end!Z11</f>
        <v>1.8433012968994132E-5</v>
      </c>
      <c r="AA69">
        <f>LCI!$E83*impact_process_end!AA11</f>
        <v>0</v>
      </c>
    </row>
    <row r="70" spans="1:28" x14ac:dyDescent="0.35">
      <c r="B70" t="s">
        <v>112</v>
      </c>
      <c r="C70">
        <f>LCI!$E84*impact_process_end!C19</f>
        <v>0</v>
      </c>
      <c r="D70">
        <f>LCI!$E84*impact_process_end!D19</f>
        <v>2.3436615085714287E-12</v>
      </c>
      <c r="E70">
        <f>LCI!$E84*impact_process_end!E19</f>
        <v>8.572867097142857E-8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2.8781807999999998E-5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6.003062811428571E-7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8.5731014632937137E-8</v>
      </c>
      <c r="Z70">
        <f>LCI!$E84*impact_process_end!Z19</f>
        <v>2.9382114281142855E-5</v>
      </c>
      <c r="AA70">
        <f>LCI!$E84*impact_process_end!AA19</f>
        <v>0</v>
      </c>
    </row>
    <row r="71" spans="1:28" x14ac:dyDescent="0.35">
      <c r="B71" t="s">
        <v>111</v>
      </c>
      <c r="C71" s="5">
        <f>LCI!$E85*impact_process_end!C17</f>
        <v>1.3912846628571432E-7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5.0166514285714289E-5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1.3912846628571432E-7</v>
      </c>
      <c r="Z71" s="5">
        <f>LCI!$E85*impact_process_end!Z17</f>
        <v>5.0166514285714289E-5</v>
      </c>
      <c r="AA71" s="5">
        <f>LCI!$E85*impact_process_end!AA17</f>
        <v>0</v>
      </c>
    </row>
    <row r="72" spans="1:28" x14ac:dyDescent="0.35">
      <c r="B72" t="s">
        <v>291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0.16460908631414636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7.2181524480000017E-9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0.16460908631414636</v>
      </c>
      <c r="Z72">
        <f>LCI!$E86*impact_process_end!Z22</f>
        <v>7.2181524480000017E-9</v>
      </c>
      <c r="AA72">
        <f>LCI!$E86*impact_process_end!AA22</f>
        <v>0</v>
      </c>
    </row>
    <row r="73" spans="1:28" x14ac:dyDescent="0.35">
      <c r="B73" t="s">
        <v>124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276</v>
      </c>
      <c r="C74">
        <f>LCI!$E88*impact_process_end!C2</f>
        <v>8.5438120329808237E-11</v>
      </c>
      <c r="D74">
        <f>LCI!$E88*impact_process_end!D2</f>
        <v>2.7050160739808637E-14</v>
      </c>
      <c r="E74">
        <f>LCI!$E88*impact_process_end!E2</f>
        <v>9.9035606528578679E-10</v>
      </c>
      <c r="F74">
        <f>LCI!$E88*impact_process_end!F2</f>
        <v>1.911561589205927E-11</v>
      </c>
      <c r="G74">
        <f>LCI!$E88*impact_process_end!G2</f>
        <v>3.6759269258555842E-12</v>
      </c>
      <c r="H74">
        <f>LCI!$E88*impact_process_end!H2</f>
        <v>2.885102417354012E-11</v>
      </c>
      <c r="I74">
        <f>LCI!$E88*impact_process_end!I2</f>
        <v>4.5764616783784593E-11</v>
      </c>
      <c r="J74">
        <f>LCI!$E88*impact_process_end!J2</f>
        <v>8.7532691830184616E-14</v>
      </c>
      <c r="K74">
        <f>LCI!$E88*impact_process_end!K2</f>
        <v>1.125844915514809E-10</v>
      </c>
      <c r="L74">
        <f>LCI!$E88*impact_process_end!L2</f>
        <v>5.1816393283965379E-11</v>
      </c>
      <c r="M74">
        <f>LCI!$E88*impact_process_end!M2</f>
        <v>8.4335357423748209E-15</v>
      </c>
      <c r="N74">
        <f>LCI!$E88*impact_process_end!N2</f>
        <v>1.8849790152658955E-10</v>
      </c>
      <c r="O74">
        <f>LCI!$E88*impact_process_end!O2</f>
        <v>3.2818075668924533E-7</v>
      </c>
      <c r="P74">
        <f>LCI!$E88*impact_process_end!P2</f>
        <v>8.7441083040521148E-8</v>
      </c>
      <c r="Q74">
        <f>LCI!$E88*impact_process_end!Q2</f>
        <v>1.2983645811356284E-7</v>
      </c>
      <c r="R74">
        <f>LCI!$E88*impact_process_end!R2</f>
        <v>2.0781669151365569E-8</v>
      </c>
      <c r="S74">
        <f>LCI!$E88*impact_process_end!S2</f>
        <v>2.0441647425743243E-10</v>
      </c>
      <c r="T74">
        <f>LCI!$E88*impact_process_end!T2</f>
        <v>1.4048921532970921E-7</v>
      </c>
      <c r="U74">
        <f>LCI!$E88*impact_process_end!U2</f>
        <v>3.311347525964217E-10</v>
      </c>
      <c r="V74">
        <f>LCI!$E88*impact_process_end!V2</f>
        <v>3.0997432695483621E-8</v>
      </c>
      <c r="W74">
        <f>LCI!$E88*impact_process_end!W2</f>
        <v>3.6433074900542262E-2</v>
      </c>
      <c r="X74">
        <f>LCI!$E88*impact_process_end!X2</f>
        <v>1.8261807477516871E-3</v>
      </c>
      <c r="Y74">
        <f>LCI!$E88*impact_process_end!Y2</f>
        <v>1.3377235694546049E-9</v>
      </c>
      <c r="Z74">
        <f>LCI!$E88*impact_process_end!Z2</f>
        <v>7.382611656314847E-7</v>
      </c>
      <c r="AA74">
        <f>LCI!$E88*impact_process_end!AA2</f>
        <v>3.8259255836791857E-2</v>
      </c>
    </row>
    <row r="75" spans="1:28" x14ac:dyDescent="0.35">
      <c r="B75" t="s">
        <v>292</v>
      </c>
      <c r="C75">
        <f>LCI!$E89*impact_process_end!C24</f>
        <v>3.187266536318995E-10</v>
      </c>
      <c r="D75">
        <f>LCI!$E89*impact_process_end!D24</f>
        <v>4.5410217590123989E-14</v>
      </c>
      <c r="E75">
        <f>LCI!$E89*impact_process_end!E24</f>
        <v>1.6646422730621088E-9</v>
      </c>
      <c r="F75">
        <f>LCI!$E89*impact_process_end!F24</f>
        <v>3.5913004166819046E-12</v>
      </c>
      <c r="G75">
        <f>LCI!$E89*impact_process_end!G24</f>
        <v>9.7100475730035895E-13</v>
      </c>
      <c r="H75">
        <f>LCI!$E89*impact_process_end!H24</f>
        <v>1.352448932043131E-11</v>
      </c>
      <c r="I75">
        <f>LCI!$E89*impact_process_end!I24</f>
        <v>2.1666150390077292E-11</v>
      </c>
      <c r="J75">
        <f>LCI!$E89*impact_process_end!J24</f>
        <v>1.0346815601754702E-13</v>
      </c>
      <c r="K75">
        <f>LCI!$E89*impact_process_end!K24</f>
        <v>4.6594182032887313E-11</v>
      </c>
      <c r="L75">
        <f>LCI!$E89*impact_process_end!L24</f>
        <v>2.5539901357723903E-10</v>
      </c>
      <c r="M75">
        <f>LCI!$E89*impact_process_end!M24</f>
        <v>6.1029945952641591E-16</v>
      </c>
      <c r="N75">
        <f>LCI!$E89*impact_process_end!N24</f>
        <v>1.364079917815665E-11</v>
      </c>
      <c r="O75">
        <f>LCI!$E89*impact_process_end!O24</f>
        <v>5.5116391216304026E-7</v>
      </c>
      <c r="P75">
        <f>LCI!$E89*impact_process_end!P24</f>
        <v>7.0484465418888289E-8</v>
      </c>
      <c r="Q75">
        <f>LCI!$E89*impact_process_end!Q24</f>
        <v>3.4559520177666132E-8</v>
      </c>
      <c r="R75">
        <f>LCI!$E89*impact_process_end!R24</f>
        <v>1.008677097621918E-10</v>
      </c>
      <c r="S75">
        <f>LCI!$E89*impact_process_end!S24</f>
        <v>7.6534686997889388E-11</v>
      </c>
      <c r="T75">
        <f>LCI!$E89*impact_process_end!T24</f>
        <v>3.4211425640500527E-7</v>
      </c>
      <c r="U75">
        <f>LCI!$E89*impact_process_end!U24</f>
        <v>1.4219449612733764E-9</v>
      </c>
      <c r="V75">
        <f>LCI!$E89*impact_process_end!V24</f>
        <v>2.2431536426302045E-9</v>
      </c>
      <c r="W75">
        <f>LCI!$E89*impact_process_end!W24</f>
        <v>0.34321254359947617</v>
      </c>
      <c r="X75">
        <f>LCI!$E89*impact_process_end!X24</f>
        <v>2.6068291952840244E-3</v>
      </c>
      <c r="Y75">
        <f>LCI!$E89*impact_process_end!Y24</f>
        <v>2.3252640098672385E-9</v>
      </c>
      <c r="Z75">
        <f>LCI!$E89*impact_process_end!Z24</f>
        <v>1.0021634822767589E-6</v>
      </c>
      <c r="AA75">
        <f>LCI!$E89*impact_process_end!AA24</f>
        <v>0.34581937280840092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topLeftCell="A73" workbookViewId="0">
      <selection activeCell="C70" sqref="C70"/>
    </sheetView>
  </sheetViews>
  <sheetFormatPr baseColWidth="10" defaultRowHeight="14.5" x14ac:dyDescent="0.35"/>
  <cols>
    <col min="1" max="1" width="30" customWidth="1"/>
    <col min="2" max="2" width="24.6328125" bestFit="1" customWidth="1"/>
    <col min="3" max="3" width="19.08984375" customWidth="1"/>
  </cols>
  <sheetData>
    <row r="1" spans="1:20" x14ac:dyDescent="0.35">
      <c r="A1" t="s">
        <v>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</row>
    <row r="2" spans="1:20" x14ac:dyDescent="0.35">
      <c r="A2" t="s">
        <v>5</v>
      </c>
    </row>
    <row r="3" spans="1:20" x14ac:dyDescent="0.35">
      <c r="B3" t="s">
        <v>251</v>
      </c>
      <c r="C3">
        <f>LCI!$E4*impact_process_mid!C2</f>
        <v>1.7193823813812946E-3</v>
      </c>
      <c r="D3">
        <f>LCI!$E4*impact_process_mid!D2</f>
        <v>1.5087175816609761</v>
      </c>
      <c r="E3">
        <f>LCI!$E4*impact_process_mid!E2</f>
        <v>0.11786519120119382</v>
      </c>
      <c r="F3">
        <f>LCI!$E4*impact_process_mid!F2</f>
        <v>0.14915508499841609</v>
      </c>
      <c r="G3">
        <f>LCI!$E4*impact_process_mid!G2</f>
        <v>10.779995475781659</v>
      </c>
      <c r="H3">
        <f>LCI!$E4*impact_process_mid!H2</f>
        <v>0.4631381394034928</v>
      </c>
      <c r="I3">
        <f>LCI!$E4*impact_process_mid!I2</f>
        <v>2.9153875716088319E-4</v>
      </c>
      <c r="J3">
        <f>LCI!$E4*impact_process_mid!J2</f>
        <v>2.1976564223241443E-4</v>
      </c>
      <c r="K3">
        <f>LCI!$E4*impact_process_mid!K2</f>
        <v>0.11238044656651762</v>
      </c>
      <c r="L3">
        <f>LCI!$E4*impact_process_mid!L2</f>
        <v>2.4309357616146774</v>
      </c>
      <c r="M3">
        <f>LCI!$E4*impact_process_mid!M2</f>
        <v>10.451258574378818</v>
      </c>
      <c r="N3">
        <f>LCI!$E4*impact_process_mid!N2</f>
        <v>5.4160918308855506E-2</v>
      </c>
      <c r="O3">
        <f>LCI!$E4*impact_process_mid!O2</f>
        <v>3.3681663616927413E-2</v>
      </c>
      <c r="P3">
        <f>LCI!$E4*impact_process_mid!P2</f>
        <v>1.6427236411256519E-6</v>
      </c>
      <c r="Q3">
        <f>LCI!$E4*impact_process_mid!Q2</f>
        <v>9.5363069121270796E-4</v>
      </c>
      <c r="R3">
        <f>LCI!$E4*impact_process_mid!R2</f>
        <v>1.5521279915780967E-3</v>
      </c>
      <c r="S3">
        <f>LCI!$E4*impact_process_mid!S2</f>
        <v>1.713764641945477E-3</v>
      </c>
      <c r="T3">
        <f>LCI!$E4*impact_process_mid!T2</f>
        <v>5.9569473814673202E-2</v>
      </c>
    </row>
    <row r="4" spans="1:20" x14ac:dyDescent="0.35">
      <c r="B4" t="s">
        <v>252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237</v>
      </c>
    </row>
    <row r="6" spans="1:20" x14ac:dyDescent="0.35">
      <c r="B6" t="s">
        <v>237</v>
      </c>
      <c r="C6">
        <f>LCI!$E7*impact_process_mid!C4</f>
        <v>0</v>
      </c>
      <c r="D6">
        <f>LCI!$E7*impact_process_mid!D4</f>
        <v>0</v>
      </c>
      <c r="E6">
        <f>LCI!$E7*impact_process_mid!E4</f>
        <v>0</v>
      </c>
      <c r="F6">
        <f>LCI!$E7*impact_process_mid!F4</f>
        <v>0</v>
      </c>
      <c r="G6">
        <f>LCI!$E7*impact_process_mid!G4</f>
        <v>0</v>
      </c>
      <c r="H6">
        <f>LCI!$E7*impact_process_mid!H4</f>
        <v>0</v>
      </c>
      <c r="I6">
        <f>LCI!$E7*impact_process_mid!I4</f>
        <v>0</v>
      </c>
      <c r="J6">
        <f>LCI!$E7*impact_process_mid!J4</f>
        <v>0</v>
      </c>
      <c r="K6">
        <f>LCI!$E7*impact_process_mid!K4</f>
        <v>0</v>
      </c>
      <c r="L6">
        <f>LCI!$E7*impact_process_mid!L4</f>
        <v>0</v>
      </c>
      <c r="M6">
        <f>LCI!$E7*impact_process_mid!M4</f>
        <v>0</v>
      </c>
      <c r="N6">
        <f>LCI!$E7*impact_process_mid!N4</f>
        <v>0</v>
      </c>
      <c r="O6">
        <f>LCI!$E7*impact_process_mid!O4</f>
        <v>0</v>
      </c>
      <c r="P6">
        <f>LCI!$E7*impact_process_mid!P4</f>
        <v>0</v>
      </c>
      <c r="Q6">
        <f>LCI!$E7*impact_process_mid!Q4</f>
        <v>0</v>
      </c>
      <c r="R6">
        <f>LCI!$E7*impact_process_mid!R4</f>
        <v>0</v>
      </c>
      <c r="S6">
        <f>LCI!$E7*impact_process_mid!S4</f>
        <v>0</v>
      </c>
      <c r="T6">
        <f>LCI!$E7*impact_process_mid!T4</f>
        <v>0</v>
      </c>
    </row>
    <row r="7" spans="1:20" x14ac:dyDescent="0.35">
      <c r="A7" t="s">
        <v>6</v>
      </c>
    </row>
    <row r="8" spans="1:20" x14ac:dyDescent="0.35">
      <c r="B8" t="s">
        <v>251</v>
      </c>
      <c r="C8">
        <f>LCI!$E10*impact_process_mid!C2</f>
        <v>2.624320476845134E-3</v>
      </c>
      <c r="D8">
        <f>LCI!$E10*impact_process_mid!D2</f>
        <v>2.3027794667457004</v>
      </c>
      <c r="E8">
        <f>LCI!$E10*impact_process_mid!E2</f>
        <v>0.17989950235971688</v>
      </c>
      <c r="F8">
        <f>LCI!$E10*impact_process_mid!F2</f>
        <v>0.22765776131337195</v>
      </c>
      <c r="G8">
        <f>LCI!$E10*impact_process_mid!G2</f>
        <v>16.453677305140427</v>
      </c>
      <c r="H8">
        <f>LCI!$E10*impact_process_mid!H2</f>
        <v>0.70689505487901527</v>
      </c>
      <c r="I8">
        <f>LCI!$E10*impact_process_mid!I2</f>
        <v>4.4498020829819015E-4</v>
      </c>
      <c r="J8">
        <f>LCI!$E10*impact_process_mid!J2</f>
        <v>3.3543176972315888E-4</v>
      </c>
      <c r="K8">
        <f>LCI!$E10*impact_process_mid!K2</f>
        <v>0.17152805002257951</v>
      </c>
      <c r="L8">
        <f>LCI!$E10*impact_process_mid!L2</f>
        <v>3.7103756361487181</v>
      </c>
      <c r="M8">
        <f>LCI!$E10*impact_process_mid!M2</f>
        <v>15.951920981946618</v>
      </c>
      <c r="N8">
        <f>LCI!$E10*impact_process_mid!N2</f>
        <v>8.2666664787200514E-2</v>
      </c>
      <c r="O8">
        <f>LCI!$E10*impact_process_mid!O2</f>
        <v>5.1408854994257631E-2</v>
      </c>
      <c r="P8">
        <f>LCI!$E10*impact_process_mid!P2</f>
        <v>2.5073150311917845E-6</v>
      </c>
      <c r="Q8">
        <f>LCI!$E10*impact_process_mid!Q2</f>
        <v>1.4555415813246595E-3</v>
      </c>
      <c r="R8">
        <f>LCI!$E10*impact_process_mid!R2</f>
        <v>2.3690374608297264E-3</v>
      </c>
      <c r="S8">
        <f>LCI!$E10*impact_process_mid!S2</f>
        <v>2.6157460324430963E-3</v>
      </c>
      <c r="T8">
        <f>LCI!$E10*impact_process_mid!T2</f>
        <v>9.0921828453974896E-2</v>
      </c>
    </row>
    <row r="9" spans="1:20" x14ac:dyDescent="0.35">
      <c r="B9" t="s">
        <v>253</v>
      </c>
      <c r="C9">
        <f>LCI!$E11*impact_process_mid!C10</f>
        <v>2.0903639880666132E-2</v>
      </c>
      <c r="D9">
        <f>LCI!$E11*impact_process_mid!D10</f>
        <v>12.849496259063315</v>
      </c>
      <c r="E9">
        <f>LCI!$E11*impact_process_mid!E10</f>
        <v>0.16649727469654338</v>
      </c>
      <c r="F9">
        <f>LCI!$E11*impact_process_mid!F10</f>
        <v>0.22814841347216336</v>
      </c>
      <c r="G9">
        <f>LCI!$E11*impact_process_mid!G10</f>
        <v>23.518362481840512</v>
      </c>
      <c r="H9">
        <f>LCI!$E11*impact_process_mid!H10</f>
        <v>4.1413317923998552</v>
      </c>
      <c r="I9">
        <f>LCI!$E11*impact_process_mid!I10</f>
        <v>1.0598955095577345E-3</v>
      </c>
      <c r="J9">
        <f>LCI!$E11*impact_process_mid!J10</f>
        <v>1.1268950916835738E-4</v>
      </c>
      <c r="K9">
        <f>LCI!$E11*impact_process_mid!K10</f>
        <v>0.37331284705371354</v>
      </c>
      <c r="L9">
        <f>LCI!$E11*impact_process_mid!L10</f>
        <v>5.7512097403607116</v>
      </c>
      <c r="M9">
        <f>LCI!$E11*impact_process_mid!M10</f>
        <v>0.26445916599890718</v>
      </c>
      <c r="N9">
        <f>LCI!$E11*impact_process_mid!N10</f>
        <v>3.0223264535152148</v>
      </c>
      <c r="O9">
        <f>LCI!$E11*impact_process_mid!O10</f>
        <v>9.7565444313510621E-2</v>
      </c>
      <c r="P9">
        <f>LCI!$E11*impact_process_mid!P10</f>
        <v>6.5647393172579844E-6</v>
      </c>
      <c r="Q9">
        <f>LCI!$E11*impact_process_mid!Q10</f>
        <v>2.1506959134463263E-2</v>
      </c>
      <c r="R9">
        <f>LCI!$E11*impact_process_mid!R10</f>
        <v>4.1401585550854603E-2</v>
      </c>
      <c r="S9">
        <f>LCI!$E11*impact_process_mid!S10</f>
        <v>4.3039232414046558E-2</v>
      </c>
      <c r="T9">
        <f>LCI!$E11*impact_process_mid!T10</f>
        <v>4.5958936468978452E-2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73.244159999999994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1.4435422936000071E-2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4.4108236748889107E-3</v>
      </c>
      <c r="R12">
        <f>LCI!$E15*impact_process_mid!R12</f>
        <v>4.0098397044444643E-2</v>
      </c>
      <c r="S12">
        <f>LCI!$E15*impact_process_mid!S12</f>
        <v>4.0098397044444643E-2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6.9564990529676338E-2</v>
      </c>
      <c r="S13">
        <f>LCI!$E16*impact_process_mid!S13</f>
        <v>0.11207692918670076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3.4370054609523799E-3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9.9673158367619011E-4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8.4015689045502835E-3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3.0688639871348219E-2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3.7577926373079449E-3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35.751835832858028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7.460817281646845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2.7539929563125934E-4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259</v>
      </c>
    </row>
    <row r="21" spans="1:21" x14ac:dyDescent="0.35">
      <c r="B21" s="20" t="s">
        <v>259</v>
      </c>
      <c r="C21" s="20">
        <f>SUM(C3:C4,C6,C8:C10,C12:C19)</f>
        <v>7.3808411007193236E-2</v>
      </c>
      <c r="D21" s="20">
        <f>SUM(D3:D4,D6,D8:D10,D12:D19)</f>
        <v>133.11780642197488</v>
      </c>
      <c r="E21" s="20">
        <f t="shared" ref="E21:T21" si="0">SUM(E3:E4,E6,E8:E10,E12:E19)</f>
        <v>0.46426196825745414</v>
      </c>
      <c r="F21" s="20">
        <f t="shared" si="0"/>
        <v>0.60496125978395132</v>
      </c>
      <c r="G21" s="20">
        <f t="shared" si="0"/>
        <v>50.752035262762597</v>
      </c>
      <c r="H21" s="20">
        <f t="shared" si="0"/>
        <v>5.3113649866823636</v>
      </c>
      <c r="I21" s="20">
        <f t="shared" si="0"/>
        <v>1.7964144750168079E-3</v>
      </c>
      <c r="J21" s="20">
        <f t="shared" si="0"/>
        <v>6.6788692112393063E-4</v>
      </c>
      <c r="K21" s="20">
        <f t="shared" si="0"/>
        <v>0.65722134364281071</v>
      </c>
      <c r="L21" s="20">
        <f t="shared" si="0"/>
        <v>11.892521138124106</v>
      </c>
      <c r="M21" s="20">
        <f t="shared" si="0"/>
        <v>26.667638722324341</v>
      </c>
      <c r="N21" s="20">
        <f t="shared" si="0"/>
        <v>3.1591540366112709</v>
      </c>
      <c r="O21" s="20">
        <f t="shared" si="0"/>
        <v>0.18265596292469566</v>
      </c>
      <c r="P21" s="20">
        <f t="shared" si="0"/>
        <v>2.8611407362083476E-4</v>
      </c>
      <c r="Q21" s="20">
        <f t="shared" si="0"/>
        <v>4.1483048207423961E-2</v>
      </c>
      <c r="R21" s="20">
        <f t="shared" si="0"/>
        <v>0.15498613857738341</v>
      </c>
      <c r="S21" s="20">
        <f t="shared" si="0"/>
        <v>0.19954406931958052</v>
      </c>
      <c r="T21" s="20">
        <f t="shared" si="0"/>
        <v>0.19645023873762654</v>
      </c>
    </row>
    <row r="23" spans="1:21" x14ac:dyDescent="0.35">
      <c r="A23" t="s">
        <v>123</v>
      </c>
    </row>
    <row r="24" spans="1:21" x14ac:dyDescent="0.35">
      <c r="B24" t="s">
        <v>98</v>
      </c>
    </row>
    <row r="25" spans="1:21" x14ac:dyDescent="0.35">
      <c r="B25" t="s">
        <v>97</v>
      </c>
      <c r="C25" s="5">
        <f>LCI!$E29*impact_process_mid!C11</f>
        <v>0</v>
      </c>
      <c r="D25" s="5">
        <f>LCI!$E29*impact_process_mid!D11</f>
        <v>0.21285769792843692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112</v>
      </c>
      <c r="C26" s="5">
        <f>LCI!$E30*impact_process_mid!C19</f>
        <v>0</v>
      </c>
      <c r="D26" s="5">
        <f>LCI!$E30*impact_process_mid!D19</f>
        <v>1.8656351171374765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6.8865725800376653E-5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143</v>
      </c>
      <c r="C27" s="5">
        <f>LCI!$E31*impact_process_mid!C18</f>
        <v>4.3432361158192101E-2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1.2595384735875709E-2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144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145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3.1850398182674204E-2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125</v>
      </c>
      <c r="C30" s="5">
        <f>LCI!$E34*impact_process_mid!C12</f>
        <v>0.15072203169491527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4.6053954129001887E-2</v>
      </c>
      <c r="R30" s="5">
        <f>LCI!$E34*impact_process_mid!R12</f>
        <v>0.41867231026365354</v>
      </c>
      <c r="S30" s="5">
        <f>LCI!$E34*impact_process_mid!S12</f>
        <v>0.41867231026365354</v>
      </c>
      <c r="T30" s="5">
        <f>LCI!$E34*impact_process_mid!T12</f>
        <v>0</v>
      </c>
      <c r="U30" s="5"/>
    </row>
    <row r="31" spans="1:21" x14ac:dyDescent="0.35">
      <c r="B31" t="s">
        <v>111</v>
      </c>
      <c r="C31" s="5">
        <f>LCI!$E35*impact_process_mid!C17</f>
        <v>2.5921685243314504E-2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3.1740839073446333E-3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124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146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3.7891800491525432E-3</v>
      </c>
      <c r="S33" s="5">
        <f>LCI!$E37*impact_process_mid!S13</f>
        <v>6.1047900791902079E-3</v>
      </c>
      <c r="T33" s="5">
        <f>LCI!$E37*impact_process_mid!T13</f>
        <v>0</v>
      </c>
    </row>
    <row r="34" spans="1:21" x14ac:dyDescent="0.35">
      <c r="B34" t="s">
        <v>251</v>
      </c>
      <c r="C34" s="5">
        <f>LCI!$E38*impact_process_mid!C2</f>
        <v>6.0144261149225683E-5</v>
      </c>
      <c r="D34" s="5">
        <f>LCI!$E38*impact_process_mid!D2</f>
        <v>5.2775173931320571E-2</v>
      </c>
      <c r="E34" s="5">
        <f>LCI!$E38*impact_process_mid!E2</f>
        <v>4.1229425849490329E-3</v>
      </c>
      <c r="F34" s="5">
        <f>LCI!$E38*impact_process_mid!F2</f>
        <v>5.2174679006963143E-3</v>
      </c>
      <c r="G34" s="5">
        <f>LCI!$E38*impact_process_mid!G2</f>
        <v>0.3770859060228457</v>
      </c>
      <c r="H34" s="5">
        <f>LCI!$E38*impact_process_mid!H2</f>
        <v>1.6200643618362716E-2</v>
      </c>
      <c r="I34" s="5">
        <f>LCI!$E38*impact_process_mid!I2</f>
        <v>1.0198070734980027E-5</v>
      </c>
      <c r="J34" s="5">
        <f>LCI!$E38*impact_process_mid!J2</f>
        <v>7.6874360940205881E-6</v>
      </c>
      <c r="K34" s="5">
        <f>LCI!$E38*impact_process_mid!K2</f>
        <v>3.9310853708604664E-3</v>
      </c>
      <c r="L34" s="5">
        <f>LCI!$E38*impact_process_mid!L2</f>
        <v>8.5034508243644613E-2</v>
      </c>
      <c r="M34" s="5">
        <f>LCI!$E38*impact_process_mid!M2</f>
        <v>0.36558663845941058</v>
      </c>
      <c r="N34" s="5">
        <f>LCI!$E38*impact_process_mid!N2</f>
        <v>1.8945572841293993E-3</v>
      </c>
      <c r="O34" s="5">
        <f>LCI!$E38*impact_process_mid!O2</f>
        <v>1.1781897932962582E-3</v>
      </c>
      <c r="P34" s="5">
        <f>LCI!$E38*impact_process_mid!P2</f>
        <v>5.7462726580049726E-8</v>
      </c>
      <c r="Q34" s="5">
        <f>LCI!$E38*impact_process_mid!Q2</f>
        <v>3.3358148805814962E-5</v>
      </c>
      <c r="R34" s="5">
        <f>LCI!$E38*impact_process_mid!R2</f>
        <v>5.4293676772179466E-5</v>
      </c>
      <c r="S34" s="5">
        <f>LCI!$E38*impact_process_mid!S2</f>
        <v>5.9947751756460664E-5</v>
      </c>
      <c r="T34" s="5">
        <f>LCI!$E38*impact_process_mid!T2</f>
        <v>2.0837493907279628E-3</v>
      </c>
    </row>
    <row r="36" spans="1:21" x14ac:dyDescent="0.35">
      <c r="A36" t="s">
        <v>260</v>
      </c>
    </row>
    <row r="37" spans="1:21" x14ac:dyDescent="0.35">
      <c r="B37" s="2" t="s">
        <v>98</v>
      </c>
    </row>
    <row r="38" spans="1:21" x14ac:dyDescent="0.35">
      <c r="B38" s="2" t="s">
        <v>97</v>
      </c>
      <c r="C38">
        <f>LCI!$E44*impact_process_mid!C11</f>
        <v>0</v>
      </c>
      <c r="D38">
        <f>LCI!$E44*impact_process_mid!D11</f>
        <v>64.601349119999995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142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143</v>
      </c>
      <c r="C40" s="5">
        <f>LCI!$E46*impact_process_mid!C18</f>
        <v>1.6126880000000001E-3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4.6767952000000002E-4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7.5180326436532106E-3</v>
      </c>
      <c r="D41">
        <f>LCI!$E47*impact_process_mid!D2</f>
        <v>6.5968967414150717</v>
      </c>
      <c r="E41">
        <f>LCI!$E47*impact_process_mid!E2</f>
        <v>0.51536782311862916</v>
      </c>
      <c r="F41">
        <f>LCI!$E47*impact_process_mid!F2</f>
        <v>0.65218348758703926</v>
      </c>
      <c r="G41">
        <f>LCI!$E47*impact_process_mid!G2</f>
        <v>47.13573825285571</v>
      </c>
      <c r="H41">
        <f>LCI!$E47*impact_process_mid!H2</f>
        <v>2.0250804522953394</v>
      </c>
      <c r="I41">
        <f>LCI!$E47*impact_process_mid!I2</f>
        <v>1.2747588418725035E-3</v>
      </c>
      <c r="J41">
        <f>LCI!$E47*impact_process_mid!J2</f>
        <v>9.6092951175257338E-4</v>
      </c>
      <c r="K41">
        <f>LCI!$E47*impact_process_mid!K2</f>
        <v>0.49138567135755828</v>
      </c>
      <c r="L41">
        <f>LCI!$E47*impact_process_mid!L2</f>
        <v>10.629313530455576</v>
      </c>
      <c r="M41">
        <f>LCI!$E47*impact_process_mid!M2</f>
        <v>45.698329807426326</v>
      </c>
      <c r="N41">
        <f>LCI!$E47*impact_process_mid!N2</f>
        <v>0.2368196605161749</v>
      </c>
      <c r="O41">
        <f>LCI!$E47*impact_process_mid!O2</f>
        <v>0.14727372416203227</v>
      </c>
      <c r="P41">
        <f>LCI!$E47*impact_process_mid!P2</f>
        <v>7.182840822506215E-6</v>
      </c>
      <c r="Q41">
        <f>LCI!$E47*impact_process_mid!Q2</f>
        <v>4.1697686007268701E-3</v>
      </c>
      <c r="R41">
        <f>LCI!$E47*impact_process_mid!R2</f>
        <v>6.7867095965224332E-3</v>
      </c>
      <c r="S41">
        <f>LCI!$E47*impact_process_mid!S2</f>
        <v>7.4934689695575832E-3</v>
      </c>
      <c r="T41">
        <f>LCI!$E47*impact_process_mid!T2</f>
        <v>0.26046867384099537</v>
      </c>
    </row>
    <row r="42" spans="1:21" x14ac:dyDescent="0.35">
      <c r="B42" s="2" t="s">
        <v>128</v>
      </c>
      <c r="C42" s="5">
        <f>LCI!$E48*impact_process_mid!C29</f>
        <v>3.3939360655823713E-3</v>
      </c>
      <c r="D42" s="5">
        <f>LCI!$E48*impact_process_mid!D29</f>
        <v>0.73936068315766545</v>
      </c>
      <c r="E42" s="5">
        <f>LCI!$E48*impact_process_mid!E29</f>
        <v>1.2025732594819441E-2</v>
      </c>
      <c r="F42" s="5">
        <f>LCI!$E48*impact_process_mid!F29</f>
        <v>1.667038958473448E-2</v>
      </c>
      <c r="G42" s="5">
        <f>LCI!$E48*impact_process_mid!G29</f>
        <v>0.82597017890511515</v>
      </c>
      <c r="H42" s="5">
        <f>LCI!$E48*impact_process_mid!H29</f>
        <v>0.18811164560123037</v>
      </c>
      <c r="I42" s="5">
        <f>LCI!$E48*impact_process_mid!I29</f>
        <v>2.9389413941591924E-4</v>
      </c>
      <c r="J42" s="5">
        <f>LCI!$E48*impact_process_mid!J29</f>
        <v>1.9906411310939632E-5</v>
      </c>
      <c r="K42" s="5">
        <f>LCI!$E48*impact_process_mid!K29</f>
        <v>2.6658037321570696E-2</v>
      </c>
      <c r="L42" s="5">
        <f>LCI!$E48*impact_process_mid!L29</f>
        <v>0.51883159230292508</v>
      </c>
      <c r="M42" s="5">
        <f>LCI!$E48*impact_process_mid!M29</f>
        <v>2.6491646286636229E-2</v>
      </c>
      <c r="N42" s="5">
        <f>LCI!$E48*impact_process_mid!N29</f>
        <v>8.5750068896380312E-3</v>
      </c>
      <c r="O42" s="5">
        <f>LCI!$E48*impact_process_mid!O29</f>
        <v>2.2354488096231777E-3</v>
      </c>
      <c r="P42" s="5">
        <f>LCI!$E48*impact_process_mid!P29</f>
        <v>1.3912063032266116E-7</v>
      </c>
      <c r="Q42" s="5">
        <f>LCI!$E48*impact_process_mid!Q29</f>
        <v>1.2994429502318418E-3</v>
      </c>
      <c r="R42" s="5">
        <f>LCI!$E48*impact_process_mid!R29</f>
        <v>1.6913016200537474E-3</v>
      </c>
      <c r="S42" s="5">
        <f>LCI!$E48*impact_process_mid!S29</f>
        <v>1.7238205801689739E-3</v>
      </c>
      <c r="T42" s="5">
        <f>LCI!$E48*impact_process_mid!T29</f>
        <v>1.9751896665364328E-3</v>
      </c>
      <c r="U42" s="5"/>
    </row>
    <row r="43" spans="1:21" x14ac:dyDescent="0.35">
      <c r="B43" s="2" t="s">
        <v>135</v>
      </c>
      <c r="C43" s="5">
        <f>LCI!$E49*impact_process_mid!C30</f>
        <v>6.2310596092130098E-2</v>
      </c>
      <c r="D43" s="5">
        <f>LCI!$E49*impact_process_mid!D30</f>
        <v>15.417608284732486</v>
      </c>
      <c r="E43" s="5">
        <f>LCI!$E49*impact_process_mid!E30</f>
        <v>1.1504198108909416</v>
      </c>
      <c r="F43" s="5">
        <f>LCI!$E49*impact_process_mid!F30</f>
        <v>1.554490892409804</v>
      </c>
      <c r="G43" s="5">
        <f>LCI!$E49*impact_process_mid!G30</f>
        <v>99.242110650173672</v>
      </c>
      <c r="H43" s="5">
        <f>LCI!$E49*impact_process_mid!H30</f>
        <v>3.9458857883394858</v>
      </c>
      <c r="I43" s="5">
        <f>LCI!$E49*impact_process_mid!I30</f>
        <v>5.7902171595639118E-3</v>
      </c>
      <c r="J43" s="5">
        <f>LCI!$E49*impact_process_mid!J30</f>
        <v>7.4029371757668876E-4</v>
      </c>
      <c r="K43" s="5">
        <f>LCI!$E49*impact_process_mid!K30</f>
        <v>5.1158837222946429</v>
      </c>
      <c r="L43" s="5">
        <f>LCI!$E49*impact_process_mid!L30</f>
        <v>25.593359467654036</v>
      </c>
      <c r="M43" s="5">
        <f>LCI!$E49*impact_process_mid!M30</f>
        <v>0.83717275520373513</v>
      </c>
      <c r="N43" s="5">
        <f>LCI!$E49*impact_process_mid!N30</f>
        <v>0.35616785538011253</v>
      </c>
      <c r="O43" s="5">
        <f>LCI!$E49*impact_process_mid!O30</f>
        <v>1.0251239389909483</v>
      </c>
      <c r="P43" s="5">
        <f>LCI!$E49*impact_process_mid!P30</f>
        <v>7.0266980077626829E-6</v>
      </c>
      <c r="Q43" s="5">
        <f>LCI!$E49*impact_process_mid!Q30</f>
        <v>2.7099731650977663E-2</v>
      </c>
      <c r="R43" s="5">
        <f>LCI!$E49*impact_process_mid!R30</f>
        <v>4.2145260954377747E-2</v>
      </c>
      <c r="S43" s="5">
        <f>LCI!$E49*impact_process_mid!S30</f>
        <v>4.345708941738665E-2</v>
      </c>
      <c r="T43" s="5">
        <f>LCI!$E49*impact_process_mid!T30</f>
        <v>0.21609856838686617</v>
      </c>
      <c r="U43" s="5"/>
    </row>
    <row r="45" spans="1:21" x14ac:dyDescent="0.35">
      <c r="A45" t="s">
        <v>130</v>
      </c>
    </row>
    <row r="46" spans="1:21" x14ac:dyDescent="0.35">
      <c r="B46" t="s">
        <v>50</v>
      </c>
      <c r="C46">
        <f>LCI!$E53*impact_process_mid!C12</f>
        <v>2.5750919929836629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0.78683366452278591</v>
      </c>
      <c r="R46">
        <f>LCI!$E53*impact_process_mid!R12</f>
        <v>7.1530333138435083</v>
      </c>
      <c r="S46">
        <f>LCI!$E53*impact_process_mid!S12</f>
        <v>7.1530333138435083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4.8739911539122958E-2</v>
      </c>
      <c r="S47">
        <f>LCI!$E54*impact_process_mid!S13</f>
        <v>7.8525413035253649E-2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1.3268087030094582E-3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3.8477452387274287E-4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0.97549773877214074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111.24433513327598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101</v>
      </c>
    </row>
    <row r="54" spans="1:20" x14ac:dyDescent="0.35">
      <c r="B54" t="s">
        <v>97</v>
      </c>
      <c r="C54">
        <f>LCI!$E63*impact_process_mid!C11</f>
        <v>0</v>
      </c>
      <c r="D54">
        <f>LCI!$E63*impact_process_mid!D11</f>
        <v>64.512000000000029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272</v>
      </c>
    </row>
    <row r="57" spans="1:20" x14ac:dyDescent="0.35">
      <c r="B57" t="s">
        <v>112</v>
      </c>
      <c r="C57">
        <f>LCI!$E67*impact_process_mid!C19</f>
        <v>0</v>
      </c>
      <c r="D57">
        <f>LCI!$E67*impact_process_mid!D19</f>
        <v>92.533257142857138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3.4156571428571422E-3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111</v>
      </c>
      <c r="C58">
        <f>LCI!$E68*impact_process_mid!C17</f>
        <v>14.4704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1.7718857142857141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115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0.67751828571428574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275</v>
      </c>
    </row>
    <row r="62" spans="1:20" x14ac:dyDescent="0.35">
      <c r="B62" t="s">
        <v>8</v>
      </c>
      <c r="C62">
        <f>LCI!$E73*impact_process_mid!C2</f>
        <v>2.2833707633825755E-4</v>
      </c>
      <c r="D62">
        <f>LCI!$E73*impact_process_mid!D2</f>
        <v>0.20036041159142093</v>
      </c>
      <c r="E62">
        <f>LCI!$E73*impact_process_mid!E2</f>
        <v>1.5652709631297557E-2</v>
      </c>
      <c r="F62">
        <f>LCI!$E73*impact_process_mid!F2</f>
        <v>1.9808063871261647E-2</v>
      </c>
      <c r="G62">
        <f>LCI!$E73*impact_process_mid!G2</f>
        <v>1.4316028107151839</v>
      </c>
      <c r="H62">
        <f>LCI!$E73*impact_process_mid!H2</f>
        <v>6.1505578885353344E-2</v>
      </c>
      <c r="I62">
        <f>LCI!$E73*impact_process_mid!I2</f>
        <v>3.8716871924630234E-5</v>
      </c>
      <c r="J62">
        <f>LCI!$E73*impact_process_mid!J2</f>
        <v>2.9185273020324633E-5</v>
      </c>
      <c r="K62">
        <f>LCI!$E73*impact_process_mid!K2</f>
        <v>1.4924325667436187E-2</v>
      </c>
      <c r="L62">
        <f>LCI!$E73*impact_process_mid!L2</f>
        <v>0.32283264652699528</v>
      </c>
      <c r="M62">
        <f>LCI!$E73*impact_process_mid!M2</f>
        <v>1.3879459582525457</v>
      </c>
      <c r="N62">
        <f>LCI!$E73*impact_process_mid!N2</f>
        <v>7.1926674789490859E-3</v>
      </c>
      <c r="O62">
        <f>LCI!$E73*impact_process_mid!O2</f>
        <v>4.4729855788794093E-3</v>
      </c>
      <c r="P62">
        <f>LCI!$E73*impact_process_mid!P2</f>
        <v>2.1815665759296066E-7</v>
      </c>
      <c r="Q62">
        <f>LCI!$E73*impact_process_mid!Q2</f>
        <v>1.2664387299526062E-4</v>
      </c>
      <c r="R62">
        <f>LCI!$E73*impact_process_mid!R2</f>
        <v>2.061253921975136E-4</v>
      </c>
      <c r="S62">
        <f>LCI!$E73*impact_process_mid!S2</f>
        <v>2.2759103042532095E-4</v>
      </c>
      <c r="T62">
        <f>LCI!$E73*impact_process_mid!T2</f>
        <v>7.9109333893043286E-3</v>
      </c>
    </row>
    <row r="64" spans="1:20" x14ac:dyDescent="0.35">
      <c r="A64" t="s">
        <v>288</v>
      </c>
    </row>
    <row r="65" spans="1:20" x14ac:dyDescent="0.35">
      <c r="B65" t="s">
        <v>289</v>
      </c>
    </row>
    <row r="66" spans="1:20" x14ac:dyDescent="0.35">
      <c r="B66" t="s">
        <v>288</v>
      </c>
      <c r="C66">
        <f>LCI!$E78*impact_process_mid!C31</f>
        <v>3.9727287549604659E-4</v>
      </c>
      <c r="D66">
        <f>LCI!$E78*impact_process_mid!D31</f>
        <v>0.13165624268577192</v>
      </c>
      <c r="E66">
        <f>LCI!$E78*impact_process_mid!E31</f>
        <v>7.7561140935170393E-3</v>
      </c>
      <c r="F66">
        <f>LCI!$E78*impact_process_mid!F31</f>
        <v>1.0460557913965118E-2</v>
      </c>
      <c r="G66">
        <f>LCI!$E78*impact_process_mid!G31</f>
        <v>0.48627728143990284</v>
      </c>
      <c r="H66">
        <f>LCI!$E78*impact_process_mid!H31</f>
        <v>2.3193996273399877E-2</v>
      </c>
      <c r="I66">
        <f>LCI!$E78*impact_process_mid!I31</f>
        <v>4.9213687679944425E-4</v>
      </c>
      <c r="J66">
        <f>LCI!$E78*impact_process_mid!J31</f>
        <v>1.4894519784240546E-3</v>
      </c>
      <c r="K66">
        <f>LCI!$E78*impact_process_mid!K31</f>
        <v>9.0968126367929683E-3</v>
      </c>
      <c r="L66">
        <f>LCI!$E78*impact_process_mid!L31</f>
        <v>0.9341217869542856</v>
      </c>
      <c r="M66">
        <f>LCI!$E78*impact_process_mid!M31</f>
        <v>5.2637413273967544E-3</v>
      </c>
      <c r="N66">
        <f>LCI!$E78*impact_process_mid!N31</f>
        <v>2.3211820095452216E-3</v>
      </c>
      <c r="O66">
        <f>LCI!$E78*impact_process_mid!O31</f>
        <v>1.8011647008278164E-3</v>
      </c>
      <c r="P66">
        <f>LCI!$E78*impact_process_mid!P31</f>
        <v>5.3188463020277491E-7</v>
      </c>
      <c r="Q66">
        <f>LCI!$E78*impact_process_mid!Q31</f>
        <v>1.8847288330533271E-4</v>
      </c>
      <c r="R66">
        <f>LCI!$E78*impact_process_mid!R31</f>
        <v>3.0129998438775858E-4</v>
      </c>
      <c r="S66">
        <f>LCI!$E78*impact_process_mid!S31</f>
        <v>3.0877598556872717E-4</v>
      </c>
      <c r="T66">
        <f>LCI!$E78*impact_process_mid!T31</f>
        <v>8.1405051839824748E-4</v>
      </c>
    </row>
    <row r="68" spans="1:20" x14ac:dyDescent="0.35">
      <c r="A68" t="s">
        <v>290</v>
      </c>
    </row>
    <row r="69" spans="1:20" x14ac:dyDescent="0.35">
      <c r="B69" t="s">
        <v>97</v>
      </c>
      <c r="C69">
        <f>LCI!$E83*impact_process_mid!C11</f>
        <v>0</v>
      </c>
      <c r="D69">
        <f>LCI!$E83*impact_process_mid!D11</f>
        <v>19.832988637525329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112</v>
      </c>
      <c r="C70">
        <f>LCI!$E84*impact_process_mid!C19</f>
        <v>0</v>
      </c>
      <c r="D70">
        <f>LCI!$E84*impact_process_mid!D19</f>
        <v>30.632067085714286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1.1307138857142858E-3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111</v>
      </c>
      <c r="C71">
        <f>LCI!$E85*impact_process_mid!C17</f>
        <v>0.65550912000000006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8.0266422857142861E-2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291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7.9223624429268294E-3</v>
      </c>
      <c r="S72">
        <f>LCI!$E86*impact_process_mid!S22</f>
        <v>1.2763806158048781E-2</v>
      </c>
      <c r="T72">
        <f>LCI!$E86*impact_process_mid!T22</f>
        <v>0</v>
      </c>
    </row>
    <row r="73" spans="1:20" x14ac:dyDescent="0.35">
      <c r="B73" t="s">
        <v>124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276</v>
      </c>
      <c r="C74">
        <f>LCI!$E88*impact_process_mid!C2</f>
        <v>4.0301523092238533E-4</v>
      </c>
      <c r="D74">
        <f>LCI!$E88*impact_process_mid!D2</f>
        <v>0.35363638196716024</v>
      </c>
      <c r="E74">
        <f>LCI!$E88*impact_process_mid!E2</f>
        <v>2.76270524602556E-2</v>
      </c>
      <c r="F74">
        <f>LCI!$E88*impact_process_mid!F2</f>
        <v>3.4961257992880489E-2</v>
      </c>
      <c r="G74">
        <f>LCI!$E88*impact_process_mid!G2</f>
        <v>2.5267807865544056</v>
      </c>
      <c r="H74">
        <f>LCI!$E88*impact_process_mid!H2</f>
        <v>0.1085574251672352</v>
      </c>
      <c r="I74">
        <f>LCI!$E88*impact_process_mid!I2</f>
        <v>6.8335328320409653E-5</v>
      </c>
      <c r="J74">
        <f>LCI!$E88*impact_process_mid!J2</f>
        <v>5.1512044099201197E-5</v>
      </c>
      <c r="K74">
        <f>LCI!$E88*impact_process_mid!K2</f>
        <v>2.6341453835173403E-2</v>
      </c>
      <c r="L74">
        <f>LCI!$E88*impact_process_mid!L2</f>
        <v>0.56980003281036429</v>
      </c>
      <c r="M74">
        <f>LCI!$E88*impact_process_mid!M2</f>
        <v>2.449726386284734</v>
      </c>
      <c r="N74">
        <f>LCI!$E88*impact_process_mid!N2</f>
        <v>1.2695067272747218E-2</v>
      </c>
      <c r="O74">
        <f>LCI!$E88*impact_process_mid!O2</f>
        <v>7.8948252508677132E-3</v>
      </c>
      <c r="P74">
        <f>LCI!$E88*impact_process_mid!P2</f>
        <v>3.8504677885442398E-7</v>
      </c>
      <c r="Q74">
        <f>LCI!$E88*impact_process_mid!Q2</f>
        <v>2.2352659733840437E-4</v>
      </c>
      <c r="R74">
        <f>LCI!$E88*impact_process_mid!R2</f>
        <v>3.6381158008866755E-4</v>
      </c>
      <c r="S74">
        <f>LCI!$E88*impact_process_mid!S2</f>
        <v>4.0169845893466206E-4</v>
      </c>
      <c r="T74">
        <f>LCI!$E88*impact_process_mid!T2</f>
        <v>1.3962807520488117E-2</v>
      </c>
    </row>
    <row r="75" spans="1:20" x14ac:dyDescent="0.35">
      <c r="B75" t="s">
        <v>292</v>
      </c>
      <c r="C75">
        <f>LCI!$E89*impact_process_mid!C24</f>
        <v>1.5034925580178881E-3</v>
      </c>
      <c r="D75">
        <f>LCI!$E89*impact_process_mid!D24</f>
        <v>0.59398373281968098</v>
      </c>
      <c r="E75">
        <f>LCI!$E89*impact_process_mid!E24</f>
        <v>5.1827429310576266E-3</v>
      </c>
      <c r="F75">
        <f>LCI!$E89*impact_process_mid!F24</f>
        <v>9.2413511900483053E-3</v>
      </c>
      <c r="G75">
        <f>LCI!$E89*impact_process_mid!G24</f>
        <v>1.1866736828717439</v>
      </c>
      <c r="H75">
        <f>LCI!$E89*impact_process_mid!H24</f>
        <v>0.76906195803424915</v>
      </c>
      <c r="I75">
        <f>LCI!$E89*impact_process_mid!I24</f>
        <v>3.2350603536032003E-5</v>
      </c>
      <c r="J75">
        <f>LCI!$E89*impact_process_mid!J24</f>
        <v>6.079446599891433E-5</v>
      </c>
      <c r="K75">
        <f>LCI!$E89*impact_process_mid!K24</f>
        <v>2.1230712655374306E-2</v>
      </c>
      <c r="L75">
        <f>LCI!$E89*impact_process_mid!L24</f>
        <v>0.15155827285862478</v>
      </c>
      <c r="M75">
        <f>LCI!$E89*impact_process_mid!M24</f>
        <v>1.1889552806845506E-2</v>
      </c>
      <c r="N75">
        <f>LCI!$E89*impact_process_mid!N24</f>
        <v>5.2499742410778791E-3</v>
      </c>
      <c r="O75">
        <f>LCI!$E89*impact_process_mid!O24</f>
        <v>1.1268754758132545E-2</v>
      </c>
      <c r="P75">
        <f>LCI!$E89*impact_process_mid!P24</f>
        <v>1.4426247718117908E-7</v>
      </c>
      <c r="Q75">
        <f>LCI!$E89*impact_process_mid!Q24</f>
        <v>5.4465145605946304E-4</v>
      </c>
      <c r="R75">
        <f>LCI!$E89*impact_process_mid!R24</f>
        <v>1.5617636134847119E-3</v>
      </c>
      <c r="S75">
        <f>LCI!$E89*impact_process_mid!S24</f>
        <v>1.980057050376201E-3</v>
      </c>
      <c r="T75">
        <f>LCI!$E89*impact_process_mid!T24</f>
        <v>1.0104295687523445E-3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1"/>
  <sheetViews>
    <sheetView workbookViewId="0">
      <selection activeCell="E20" sqref="E20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</cols>
  <sheetData>
    <row r="1" spans="1:23" x14ac:dyDescent="0.35">
      <c r="A1" t="s">
        <v>0</v>
      </c>
      <c r="B1" t="s">
        <v>185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186</v>
      </c>
      <c r="W1" t="s">
        <v>214</v>
      </c>
    </row>
    <row r="2" spans="1:23" x14ac:dyDescent="0.35">
      <c r="A2" t="s">
        <v>8</v>
      </c>
      <c r="B2" t="s">
        <v>212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213</v>
      </c>
      <c r="W2" t="s">
        <v>215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216</v>
      </c>
      <c r="W3" t="s">
        <v>217</v>
      </c>
    </row>
    <row r="4" spans="1:23" x14ac:dyDescent="0.35">
      <c r="A4" t="s">
        <v>237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219</v>
      </c>
      <c r="B5" t="s">
        <v>220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221</v>
      </c>
      <c r="B6" t="s">
        <v>220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222</v>
      </c>
      <c r="B7" t="s">
        <v>220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223</v>
      </c>
      <c r="B8" t="s">
        <v>220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249</v>
      </c>
      <c r="B9" t="s">
        <v>220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242</v>
      </c>
      <c r="B10" t="s">
        <v>220</v>
      </c>
      <c r="C10">
        <f>(C5*Parameters!$C103)+(impact_process_mid!C6*Parameters!$C105)+(impact_process_mid!C7*Parameters!$C104)+(impact_process_mid!C8*Parameters!$C106)+(impact_process_mid!C9*Parameters!$C107)</f>
        <v>7.0859796205647902E-5</v>
      </c>
      <c r="D10">
        <f>(D5*Parameters!$C103)+(impact_process_mid!D6*Parameters!$C105)+(impact_process_mid!D7*Parameters!$C104)+(impact_process_mid!D8*Parameters!$C106)+(impact_process_mid!D9*Parameters!$C107)</f>
        <v>4.3557614437502765E-2</v>
      </c>
      <c r="E10">
        <f>(E5*Parameters!$C103)+(impact_process_mid!E6*Parameters!$C105)+(impact_process_mid!E7*Parameters!$C104)+(impact_process_mid!E8*Parameters!$C106)+(impact_process_mid!E9*Parameters!$C107)</f>
        <v>5.643975413442148E-4</v>
      </c>
      <c r="F10">
        <f>(F5*Parameters!$C103)+(impact_process_mid!F6*Parameters!$C105)+(impact_process_mid!F7*Parameters!$C104)+(impact_process_mid!F8*Parameters!$C106)+(impact_process_mid!F9*Parameters!$C107)</f>
        <v>7.7338445244801136E-4</v>
      </c>
      <c r="G10">
        <f>(G5*Parameters!$C103)+(impact_process_mid!G6*Parameters!$C105)+(impact_process_mid!G7*Parameters!$C104)+(impact_process_mid!G8*Parameters!$C106)+(impact_process_mid!G9*Parameters!$C107)</f>
        <v>7.9723262650306825E-2</v>
      </c>
      <c r="H10">
        <f>(H5*Parameters!$C103)+(impact_process_mid!H6*Parameters!$C105)+(impact_process_mid!H7*Parameters!$C104)+(impact_process_mid!H8*Parameters!$C106)+(impact_process_mid!H9*Parameters!$C107)</f>
        <v>1.403841285559273E-2</v>
      </c>
      <c r="I10">
        <f>(I5*Parameters!$C103)+(impact_process_mid!I6*Parameters!$C105)+(impact_process_mid!I7*Parameters!$C104)+(impact_process_mid!I8*Parameters!$C106)+(impact_process_mid!I9*Parameters!$C107)</f>
        <v>3.5928661340940148E-6</v>
      </c>
      <c r="J10">
        <f>(J5*Parameters!$C103)+(impact_process_mid!J6*Parameters!$C105)+(impact_process_mid!J7*Parameters!$C104)+(impact_process_mid!J8*Parameters!$C106)+(impact_process_mid!J9*Parameters!$C107)</f>
        <v>3.8199833616392333E-7</v>
      </c>
      <c r="K10">
        <f>(K5*Parameters!$C103)+(impact_process_mid!K6*Parameters!$C105)+(impact_process_mid!K7*Parameters!$C104)+(impact_process_mid!K8*Parameters!$C106)+(impact_process_mid!K9*Parameters!$C107)</f>
        <v>1.2654672781481815E-3</v>
      </c>
      <c r="L10">
        <f>(L5*Parameters!$C103)+(impact_process_mid!L6*Parameters!$C105)+(impact_process_mid!L7*Parameters!$C104)+(impact_process_mid!L8*Parameters!$C106)+(impact_process_mid!L9*Parameters!$C107)</f>
        <v>1.9495626238510887E-2</v>
      </c>
      <c r="M10">
        <f>(M5*Parameters!$C103)+(impact_process_mid!M6*Parameters!$C105)+(impact_process_mid!M7*Parameters!$C104)+(impact_process_mid!M8*Parameters!$C106)+(impact_process_mid!M9*Parameters!$C107)</f>
        <v>8.9647174914883783E-4</v>
      </c>
      <c r="N10">
        <f>(N5*Parameters!$C103)+(impact_process_mid!N6*Parameters!$C105)+(impact_process_mid!N7*Parameters!$C104)+(impact_process_mid!N8*Parameters!$C106)+(impact_process_mid!N9*Parameters!$C107)</f>
        <v>1.0245174418695643E-2</v>
      </c>
      <c r="O10">
        <f>(O5*Parameters!$C103)+(impact_process_mid!O6*Parameters!$C105)+(impact_process_mid!O7*Parameters!$C104)+(impact_process_mid!O8*Parameters!$C106)+(impact_process_mid!O9*Parameters!$C107)</f>
        <v>3.3073031970681565E-4</v>
      </c>
      <c r="P10">
        <f>(P5*Parameters!$C103)+(impact_process_mid!P6*Parameters!$C105)+(impact_process_mid!P7*Parameters!$C104)+(impact_process_mid!P8*Parameters!$C106)+(impact_process_mid!P9*Parameters!$C107)</f>
        <v>2.2253353617823675E-8</v>
      </c>
      <c r="Q10">
        <f>(Q5*Parameters!$C103)+(impact_process_mid!Q6*Parameters!$C105)+(impact_process_mid!Q7*Parameters!$C104)+(impact_process_mid!Q8*Parameters!$C106)+(impact_process_mid!Q9*Parameters!$C107)</f>
        <v>7.2904946218519531E-5</v>
      </c>
      <c r="R10">
        <f>(R5*Parameters!$C103)+(impact_process_mid!R6*Parameters!$C105)+(impact_process_mid!R7*Parameters!$C104)+(impact_process_mid!R8*Parameters!$C106)+(impact_process_mid!R9*Parameters!$C107)</f>
        <v>1.4034435779950713E-4</v>
      </c>
      <c r="S10">
        <f>(S5*Parameters!$C103)+(impact_process_mid!S6*Parameters!$C105)+(impact_process_mid!S7*Parameters!$C104)+(impact_process_mid!S8*Parameters!$C106)+(impact_process_mid!S9*Parameters!$C107)</f>
        <v>1.4589570309846291E-4</v>
      </c>
      <c r="T10">
        <f>(T5*Parameters!$C103)+(impact_process_mid!T6*Parameters!$C105)+(impact_process_mid!T7*Parameters!$C104)+(impact_process_mid!T8*Parameters!$C106)+(impact_process_mid!T9*Parameters!$C107)</f>
        <v>1.5579300497958797E-4</v>
      </c>
    </row>
    <row r="11" spans="1:23" x14ac:dyDescent="0.35">
      <c r="A11" t="s">
        <v>97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225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226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227</v>
      </c>
      <c r="B20" t="s">
        <v>88</v>
      </c>
      <c r="J20">
        <v>6.7100000000000007E-2</v>
      </c>
    </row>
    <row r="21" spans="1:20" x14ac:dyDescent="0.35">
      <c r="A21" t="s">
        <v>145</v>
      </c>
      <c r="B21" t="s">
        <v>88</v>
      </c>
      <c r="Q21">
        <v>1</v>
      </c>
    </row>
    <row r="22" spans="1:20" x14ac:dyDescent="0.35">
      <c r="A22" t="s">
        <v>228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142</v>
      </c>
      <c r="B23" t="s">
        <v>88</v>
      </c>
    </row>
    <row r="24" spans="1:20" x14ac:dyDescent="0.35">
      <c r="A24" t="s">
        <v>229</v>
      </c>
      <c r="B24" t="s">
        <v>88</v>
      </c>
      <c r="C24">
        <v>2.3508892068714723E-3</v>
      </c>
      <c r="D24">
        <v>0.92876412263984243</v>
      </c>
      <c r="E24">
        <v>8.1038342049896805E-3</v>
      </c>
      <c r="F24">
        <v>1.4449950319830526E-2</v>
      </c>
      <c r="G24">
        <v>1.8555052622404875</v>
      </c>
      <c r="H24">
        <v>1.202519724435275</v>
      </c>
      <c r="I24">
        <v>5.0584011396038365E-5</v>
      </c>
      <c r="J24">
        <v>9.5059369061846702E-5</v>
      </c>
      <c r="K24">
        <v>3.3196741127544178E-2</v>
      </c>
      <c r="L24">
        <v>0.23697936246863915</v>
      </c>
      <c r="M24">
        <v>1.8590728114404785E-2</v>
      </c>
      <c r="N24">
        <v>8.2089583442796071E-3</v>
      </c>
      <c r="O24">
        <v>1.7620036623726448E-2</v>
      </c>
      <c r="P24">
        <v>2.255715192956352E-7</v>
      </c>
      <c r="Q24">
        <v>8.5162724798920457E-4</v>
      </c>
      <c r="R24">
        <v>2.4420029238229964E-3</v>
      </c>
      <c r="S24">
        <v>3.0960543994018172E-3</v>
      </c>
      <c r="T24">
        <v>1.5799266546522013E-3</v>
      </c>
    </row>
    <row r="25" spans="1:20" x14ac:dyDescent="0.35">
      <c r="A25" t="s">
        <v>230</v>
      </c>
      <c r="B25" t="s">
        <v>88</v>
      </c>
      <c r="C25">
        <v>6.0823244618061455E-3</v>
      </c>
      <c r="D25">
        <v>1.6170842261451377</v>
      </c>
      <c r="E25">
        <v>7.9410017883265849E-2</v>
      </c>
      <c r="F25">
        <v>0.10377325450567465</v>
      </c>
      <c r="G25">
        <v>7.9107315335596873</v>
      </c>
      <c r="H25">
        <v>0.46888006100055135</v>
      </c>
      <c r="I25">
        <v>2.0204942266636769E-4</v>
      </c>
      <c r="J25">
        <v>1.8735552266588054E-4</v>
      </c>
      <c r="K25">
        <v>7.7351703639702091E-2</v>
      </c>
      <c r="L25">
        <v>1.2662508064089064</v>
      </c>
      <c r="M25">
        <v>5.2863554921052408E-2</v>
      </c>
      <c r="N25">
        <v>1.8683906218635121E-2</v>
      </c>
      <c r="O25">
        <v>1.9675109008478291E-2</v>
      </c>
      <c r="P25">
        <v>5.6884221531923381E-6</v>
      </c>
      <c r="Q25">
        <v>1.3464194122843908E-3</v>
      </c>
      <c r="R25">
        <v>2.1807020987069077E-3</v>
      </c>
      <c r="S25">
        <v>2.3671436456623725E-3</v>
      </c>
      <c r="T25">
        <v>2.479962044194645E-2</v>
      </c>
    </row>
    <row r="26" spans="1:20" x14ac:dyDescent="0.35">
      <c r="A26" t="s">
        <v>231</v>
      </c>
      <c r="B26" t="s">
        <v>88</v>
      </c>
      <c r="C26">
        <v>2.1572232175000976E-3</v>
      </c>
      <c r="D26">
        <v>0.67905931834366795</v>
      </c>
      <c r="E26">
        <v>4.4678445173171183E-2</v>
      </c>
      <c r="F26">
        <v>6.0921908638466353E-2</v>
      </c>
      <c r="G26">
        <v>7.9126646349313097</v>
      </c>
      <c r="H26">
        <v>0.22057814828811212</v>
      </c>
      <c r="I26">
        <v>1.3802493297251204E-4</v>
      </c>
      <c r="J26">
        <v>1.8609398790712144E-5</v>
      </c>
      <c r="K26">
        <v>5.4389197730959592E-2</v>
      </c>
      <c r="L26">
        <v>0.82745426225108987</v>
      </c>
      <c r="M26">
        <v>2.9626145867297938E-2</v>
      </c>
      <c r="N26">
        <v>4.1719554357316516E-2</v>
      </c>
      <c r="O26">
        <v>1.9310072421588376E-2</v>
      </c>
      <c r="P26">
        <v>2.0735442690691392E-7</v>
      </c>
      <c r="Q26">
        <v>8.4941694855708658E-4</v>
      </c>
      <c r="R26">
        <v>2.3638430209697069E-3</v>
      </c>
      <c r="S26">
        <v>2.481403473676984E-3</v>
      </c>
      <c r="T26">
        <v>6.5768709636233914E-3</v>
      </c>
    </row>
    <row r="27" spans="1:20" x14ac:dyDescent="0.35">
      <c r="A27" t="s">
        <v>232</v>
      </c>
      <c r="B27" t="s">
        <v>88</v>
      </c>
      <c r="C27">
        <v>5.1285757611091321E-3</v>
      </c>
      <c r="D27">
        <v>0.39573732593091915</v>
      </c>
      <c r="E27">
        <v>5.2250246699448652E-2</v>
      </c>
      <c r="F27">
        <v>6.9366657609768193E-2</v>
      </c>
      <c r="G27">
        <v>5.9021895266360316</v>
      </c>
      <c r="H27">
        <v>0.1040188076296044</v>
      </c>
      <c r="I27">
        <v>5.537120916737293E-4</v>
      </c>
      <c r="J27">
        <v>3.0054435064994306E-5</v>
      </c>
      <c r="K27">
        <v>4.7233399027213463E-2</v>
      </c>
      <c r="L27">
        <v>1.1333035987683322</v>
      </c>
      <c r="M27">
        <v>0.10689343532911376</v>
      </c>
      <c r="N27">
        <v>3.9263548813592189E-2</v>
      </c>
      <c r="O27">
        <v>2.4403217830740506E-2</v>
      </c>
      <c r="P27">
        <v>1.4437295631830634E-7</v>
      </c>
      <c r="Q27">
        <v>1.7863239961440399E-3</v>
      </c>
      <c r="R27">
        <v>9.494111268172809E-4</v>
      </c>
      <c r="S27">
        <v>9.9035079416732422E-4</v>
      </c>
      <c r="T27">
        <v>1.10402895522075E-2</v>
      </c>
    </row>
    <row r="28" spans="1:20" x14ac:dyDescent="0.35">
      <c r="A28" t="s">
        <v>233</v>
      </c>
      <c r="B28" t="s">
        <v>88</v>
      </c>
      <c r="C28">
        <v>2.9294959627633861E-5</v>
      </c>
      <c r="D28">
        <v>1.5818492162931908E-2</v>
      </c>
      <c r="E28">
        <v>4.4732062263311349E-4</v>
      </c>
      <c r="F28">
        <v>6.1066584768839293E-4</v>
      </c>
      <c r="G28">
        <v>7.6419092167694672E-2</v>
      </c>
      <c r="H28">
        <v>0.22209678919729534</v>
      </c>
      <c r="I28">
        <v>1.7791631049227804E-6</v>
      </c>
      <c r="J28">
        <v>2.9251738482008482E-7</v>
      </c>
      <c r="K28">
        <v>9.426358648924884E-4</v>
      </c>
      <c r="L28">
        <v>8.5991837985012025E-3</v>
      </c>
      <c r="M28">
        <v>4.1513436396986162E-3</v>
      </c>
      <c r="N28">
        <v>1.3068928960859958E-3</v>
      </c>
      <c r="O28">
        <v>2.8716041190404674E-4</v>
      </c>
      <c r="P28">
        <v>4.1892753005653279E-9</v>
      </c>
      <c r="Q28">
        <v>1.334084202915355E-5</v>
      </c>
      <c r="R28">
        <v>4.8063180693169036E-5</v>
      </c>
      <c r="S28">
        <v>4.9551779687955279E-5</v>
      </c>
      <c r="T28">
        <v>8.0994948423210907E-4</v>
      </c>
    </row>
    <row r="29" spans="1:20" x14ac:dyDescent="0.35">
      <c r="A29" t="s">
        <v>128</v>
      </c>
      <c r="B29" t="s">
        <v>88</v>
      </c>
      <c r="C29">
        <v>1.5606561618642014E-2</v>
      </c>
      <c r="D29">
        <v>3.3998513340060179</v>
      </c>
      <c r="E29">
        <v>5.5298724879826788E-2</v>
      </c>
      <c r="F29">
        <v>7.6656559591461879E-2</v>
      </c>
      <c r="G29">
        <v>3.7981135304714515</v>
      </c>
      <c r="H29">
        <v>0.86500627340367886</v>
      </c>
      <c r="I29">
        <v>1.351432940256426E-3</v>
      </c>
      <c r="J29">
        <v>9.1536973215464271E-5</v>
      </c>
      <c r="K29">
        <v>0.12258342350941208</v>
      </c>
      <c r="L29">
        <v>2.3857777690883943</v>
      </c>
      <c r="M29">
        <v>0.1218182965626118</v>
      </c>
      <c r="N29">
        <v>3.943102368973242E-2</v>
      </c>
      <c r="O29">
        <v>1.0279412728630062E-2</v>
      </c>
      <c r="P29">
        <v>6.3972763410979841E-7</v>
      </c>
      <c r="Q29">
        <v>5.9753148205587527E-3</v>
      </c>
      <c r="R29">
        <v>7.7772245672956247E-3</v>
      </c>
      <c r="S29">
        <v>7.9267586613403097E-3</v>
      </c>
      <c r="T29">
        <v>9.0826458258624673E-3</v>
      </c>
    </row>
    <row r="30" spans="1:20" x14ac:dyDescent="0.35">
      <c r="A30" t="s">
        <v>255</v>
      </c>
      <c r="B30" t="s">
        <v>88</v>
      </c>
      <c r="C30">
        <v>2.1429326689773345E-2</v>
      </c>
      <c r="D30">
        <v>5.3022918320342791</v>
      </c>
      <c r="E30">
        <v>0.39564253119194481</v>
      </c>
      <c r="F30">
        <v>0.53460719779463484</v>
      </c>
      <c r="G30">
        <v>34.130496960111891</v>
      </c>
      <c r="H30">
        <v>1.3570352547075122</v>
      </c>
      <c r="I30">
        <v>1.9913219082925457E-3</v>
      </c>
      <c r="J30">
        <v>2.5459547677704383E-4</v>
      </c>
      <c r="K30">
        <v>1.7594109263511282</v>
      </c>
      <c r="L30">
        <v>8.8018490516484018</v>
      </c>
      <c r="M30">
        <v>0.28791328589623838</v>
      </c>
      <c r="N30">
        <v>0.12249019922793458</v>
      </c>
      <c r="O30">
        <v>0.35255184774133241</v>
      </c>
      <c r="P30">
        <v>2.4165618145602069E-6</v>
      </c>
      <c r="Q30">
        <v>9.3199076750180194E-3</v>
      </c>
      <c r="R30">
        <v>1.4494237289621719E-2</v>
      </c>
      <c r="S30">
        <v>1.4945390102430576E-2</v>
      </c>
      <c r="T30">
        <v>7.4318769351965214E-2</v>
      </c>
    </row>
    <row r="31" spans="1:20" x14ac:dyDescent="0.35">
      <c r="A31" t="s">
        <v>284</v>
      </c>
      <c r="B31" t="s">
        <v>241</v>
      </c>
      <c r="C31">
        <v>1.460982614686641E-3</v>
      </c>
      <c r="D31">
        <v>0.48416968170481633</v>
      </c>
      <c r="E31">
        <v>2.8523336344082204E-2</v>
      </c>
      <c r="F31">
        <v>3.8469007563487367E-2</v>
      </c>
      <c r="G31">
        <v>1.7882989197631509</v>
      </c>
      <c r="H31">
        <v>8.529659941729692E-2</v>
      </c>
      <c r="I31">
        <v>1.8098477530146013E-3</v>
      </c>
      <c r="J31">
        <v>5.4775031976977253E-3</v>
      </c>
      <c r="K31">
        <v>3.3453794434924931E-2</v>
      </c>
      <c r="L31">
        <v>3.4352601824027893</v>
      </c>
      <c r="M31">
        <v>1.9357562627279768E-2</v>
      </c>
      <c r="N31">
        <v>8.5362147044008713E-3</v>
      </c>
      <c r="O31">
        <v>6.6238358478689831E-3</v>
      </c>
      <c r="P31">
        <v>1.956021278258702E-6</v>
      </c>
      <c r="Q31">
        <v>6.931145387289229E-4</v>
      </c>
      <c r="R31">
        <v>1.1080395016806329E-3</v>
      </c>
      <c r="S31">
        <v>1.1355327145991692E-3</v>
      </c>
      <c r="T31">
        <v>2.993694581769458E-3</v>
      </c>
    </row>
  </sheetData>
  <pageMargins left="0.7" right="0.7" top="0.75" bottom="0.75" header="0.3" footer="0.3"/>
  <pageSetup paperSize="9" orientation="portrait" verticalDpi="597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1"/>
  <sheetViews>
    <sheetView workbookViewId="0">
      <selection activeCell="F9" sqref="F9"/>
    </sheetView>
  </sheetViews>
  <sheetFormatPr baseColWidth="10" defaultRowHeight="14.5" x14ac:dyDescent="0.35"/>
  <cols>
    <col min="1" max="1" width="17.90625" customWidth="1"/>
    <col min="2" max="2" width="13.453125" customWidth="1"/>
    <col min="3" max="14" width="8.6328125" customWidth="1"/>
  </cols>
  <sheetData>
    <row r="1" spans="1:27" x14ac:dyDescent="0.35">
      <c r="A1" t="s">
        <v>0</v>
      </c>
      <c r="B1" t="s">
        <v>185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</row>
    <row r="2" spans="1:27" x14ac:dyDescent="0.35">
      <c r="A2" t="s">
        <v>22</v>
      </c>
      <c r="B2" t="s">
        <v>129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237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219</v>
      </c>
      <c r="B5" t="s">
        <v>220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221</v>
      </c>
      <c r="B6" t="s">
        <v>220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222</v>
      </c>
      <c r="B7" t="s">
        <v>220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223</v>
      </c>
      <c r="B8" t="s">
        <v>220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257</v>
      </c>
      <c r="B9" t="s">
        <v>220</v>
      </c>
    </row>
    <row r="10" spans="1:27" x14ac:dyDescent="0.35">
      <c r="A10" s="17" t="s">
        <v>258</v>
      </c>
      <c r="B10" t="s">
        <v>220</v>
      </c>
      <c r="C10">
        <f>(C5*Parameters!$C103)+(C6*Parameters!$C105)+(C7*Parameters!$C104)+(C8*Parameters!$C106)+(C9*Parameters!$C107)</f>
        <v>1.5020307726001505E-11</v>
      </c>
      <c r="D10">
        <f>(D5*Parameters!$C103)+(D6*Parameters!$C105)+(D7*Parameters!$C104)+(D8*Parameters!$C106)+(D9*Parameters!$C107)</f>
        <v>3.3315802416669033E-15</v>
      </c>
      <c r="E10">
        <f>(E5*Parameters!$C103)+(E6*Parameters!$C105)+(E7*Parameters!$C104)+(E8*Parameters!$C106)+(E9*Parameters!$C107)</f>
        <v>1.2199368637457753E-10</v>
      </c>
      <c r="F10">
        <f>(F5*Parameters!$C103)+(F6*Parameters!$C105)+(F7*Parameters!$C104)+(F8*Parameters!$C106)+(F9*Parameters!$C107)</f>
        <v>3.9067868021250655E-13</v>
      </c>
      <c r="G10">
        <f>(G5*Parameters!$C103)+(G6*Parameters!$C105)+(G7*Parameters!$C104)+(G8*Parameters!$C106)+(G9*Parameters!$C107)</f>
        <v>8.1296246798854409E-14</v>
      </c>
      <c r="H10">
        <f>(H5*Parameters!$C103)+(H6*Parameters!$C105)+(H7*Parameters!$C104)+(H8*Parameters!$C106)+(H9*Parameters!$C107)</f>
        <v>9.093912183343459E-13</v>
      </c>
      <c r="I10">
        <f>(I5*Parameters!$C103)+(I6*Parameters!$C105)+(I7*Parameters!$C104)+(I8*Parameters!$C106)+(I9*Parameters!$C107)</f>
        <v>2.4064240662504447E-12</v>
      </c>
      <c r="J10">
        <f>(J5*Parameters!$C103)+(J6*Parameters!$C105)+(J7*Parameters!$C104)+(J8*Parameters!$C106)+(J9*Parameters!$C107)</f>
        <v>6.4936328093283193E-16</v>
      </c>
      <c r="K10">
        <f>(K5*Parameters!$C103)+(K6*Parameters!$C105)+(K7*Parameters!$C104)+(K8*Parameters!$C106)+(K9*Parameters!$C107)</f>
        <v>9.0846550802301166E-11</v>
      </c>
      <c r="L10">
        <f>(L5*Parameters!$C103)+(L6*Parameters!$C105)+(L7*Parameters!$C104)+(L8*Parameters!$C106)+(L9*Parameters!$C107)</f>
        <v>1.8820166232017543E-11</v>
      </c>
      <c r="M10">
        <f>(M5*Parameters!$C103)+(M6*Parameters!$C105)+(M7*Parameters!$C104)+(M8*Parameters!$C106)+(M9*Parameters!$C107)</f>
        <v>9.409897500767112E-17</v>
      </c>
      <c r="N10">
        <f>(N5*Parameters!$C103)+(N6*Parameters!$C105)+(N7*Parameters!$C104)+(N8*Parameters!$C106)+(N9*Parameters!$C107)</f>
        <v>2.1032055672244374E-12</v>
      </c>
      <c r="O10">
        <f>(O5*Parameters!$C103)+(O6*Parameters!$C105)+(O7*Parameters!$C104)+(O8*Parameters!$C106)+(O9*Parameters!$C107)</f>
        <v>4.0421822873719699E-8</v>
      </c>
      <c r="P10">
        <f>(P5*Parameters!$C103)+(P6*Parameters!$C105)+(P7*Parameters!$C104)+(P8*Parameters!$C106)+(P9*Parameters!$C107)</f>
        <v>4.2004647057410574E-9</v>
      </c>
      <c r="Q10">
        <f>(Q5*Parameters!$C103)+(Q6*Parameters!$C105)+(Q7*Parameters!$C104)+(Q8*Parameters!$C106)+(Q9*Parameters!$C107)</f>
        <v>4.4456896873894662E-9</v>
      </c>
      <c r="R10">
        <f>(R5*Parameters!$C103)+(R6*Parameters!$C105)+(R7*Parameters!$C104)+(R8*Parameters!$C106)+(R9*Parameters!$C107)</f>
        <v>7.6054840660607705E-12</v>
      </c>
      <c r="S10">
        <f>(S5*Parameters!$C103)+(S6*Parameters!$C105)+(S7*Parameters!$C104)+(S8*Parameters!$C106)+(S9*Parameters!$C107)</f>
        <v>1.1813266812102398E-11</v>
      </c>
      <c r="T10">
        <f>(T5*Parameters!$C103)+(T6*Parameters!$C105)+(T7*Parameters!$C104)+(T8*Parameters!$C106)+(T9*Parameters!$C107)</f>
        <v>4.584999869201481E-8</v>
      </c>
      <c r="U10">
        <f>(U5*Parameters!$C103)+(U6*Parameters!$C105)+(U7*Parameters!$C104)+(U8*Parameters!$C106)+(U9*Parameters!$C107)</f>
        <v>1.2772256520934023E-10</v>
      </c>
      <c r="V10">
        <f>(V5*Parameters!$C103)+(V6*Parameters!$C105)+(V7*Parameters!$C104)+(V8*Parameters!$C106)+(V9*Parameters!$C107)</f>
        <v>3.4586047105468522E-10</v>
      </c>
      <c r="W10">
        <f>(W5*Parameters!$C103)+(W6*Parameters!$C105)+(W7*Parameters!$C104)+(W8*Parameters!$C106)+(W9*Parameters!$C107)</f>
        <v>4.7917667328448224E-3</v>
      </c>
      <c r="X10">
        <f>(X5*Parameters!$C103)+(X6*Parameters!$C105)+(X7*Parameters!$C104)+(X8*Parameters!$C106)+(X9*Parameters!$C107)</f>
        <v>7.6503817668579894E-5</v>
      </c>
      <c r="Y10">
        <f>(Y5*Parameters!$C103)+(Y6*Parameters!$C105)+(Y7*Parameters!$C104)+(Y8*Parameters!$C106)+(Y9*Parameters!$C107)</f>
        <v>2.5047178153681755E-10</v>
      </c>
      <c r="Z10">
        <f>(Z5*Parameters!$C103)+(Z6*Parameters!$C105)+(Z7*Parameters!$C104)+(Z8*Parameters!$C106)+(Z9*Parameters!$C107)</f>
        <v>9.5410658022027234E-8</v>
      </c>
      <c r="AA10">
        <f>(AA5*Parameters!$C103)+(AA6*Parameters!$C105)+(AA7*Parameters!$C104)+(AA8*Parameters!$C106)+(AA9*Parameters!$C107)</f>
        <v>4.8682705526166105E-3</v>
      </c>
    </row>
    <row r="11" spans="1:27" x14ac:dyDescent="0.35">
      <c r="A11" t="s">
        <v>97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225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226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227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145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228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142</v>
      </c>
      <c r="B23" t="s">
        <v>88</v>
      </c>
      <c r="U23" s="5"/>
      <c r="Y23" s="5"/>
    </row>
    <row r="24" spans="1:27" x14ac:dyDescent="0.35">
      <c r="A24" t="s">
        <v>229</v>
      </c>
      <c r="B24" t="s">
        <v>88</v>
      </c>
      <c r="C24">
        <v>4.983669829089901E-10</v>
      </c>
      <c r="D24">
        <v>7.1004269256274852E-14</v>
      </c>
      <c r="E24">
        <v>2.6028659285170504E-9</v>
      </c>
      <c r="F24">
        <v>5.6154247942144196E-12</v>
      </c>
      <c r="G24">
        <v>1.5182812788695612E-12</v>
      </c>
      <c r="H24">
        <v>2.1147145559381063E-11</v>
      </c>
      <c r="I24">
        <v>3.3877599749237226E-11</v>
      </c>
      <c r="J24">
        <v>1.6178475240158179E-13</v>
      </c>
      <c r="K24">
        <v>7.2855538299788649E-11</v>
      </c>
      <c r="L24">
        <v>3.9934669530782491E-10</v>
      </c>
      <c r="M24">
        <v>9.5427569940992946E-16</v>
      </c>
      <c r="N24">
        <v>2.1329009837804719E-11</v>
      </c>
      <c r="O24">
        <v>8.6181024668944941E-7</v>
      </c>
      <c r="P24">
        <v>1.1021083418186001E-7</v>
      </c>
      <c r="Q24">
        <v>5.4037914951465654E-8</v>
      </c>
      <c r="R24">
        <v>1.5771864578724416E-10</v>
      </c>
      <c r="S24">
        <v>1.1967107429638763E-10</v>
      </c>
      <c r="T24">
        <v>5.3493627794186754E-7</v>
      </c>
      <c r="U24">
        <v>2.2233798527275997E-9</v>
      </c>
      <c r="V24">
        <v>3.507437173327887E-9</v>
      </c>
      <c r="W24">
        <v>0.53665358043050149</v>
      </c>
      <c r="X24">
        <v>4.0760870991140251E-3</v>
      </c>
      <c r="Y24">
        <v>3.6358264859855284E-9</v>
      </c>
      <c r="Z24">
        <v>1.5670016465602831E-6</v>
      </c>
      <c r="AA24">
        <v>0.54072966755094443</v>
      </c>
    </row>
    <row r="25" spans="1:27" x14ac:dyDescent="0.35">
      <c r="A25" t="s">
        <v>230</v>
      </c>
      <c r="B25" t="s">
        <v>88</v>
      </c>
      <c r="C25">
        <v>1.2903560550158734E-9</v>
      </c>
      <c r="D25">
        <v>1.236910881897954E-13</v>
      </c>
      <c r="E25">
        <v>4.5285501912416265E-9</v>
      </c>
      <c r="F25">
        <v>5.4939864435666631E-11</v>
      </c>
      <c r="G25">
        <v>1.090960398967503E-11</v>
      </c>
      <c r="H25">
        <v>9.0318774920851277E-11</v>
      </c>
      <c r="I25">
        <v>1.3531373967999025E-10</v>
      </c>
      <c r="J25">
        <v>3.1878816295025403E-13</v>
      </c>
      <c r="K25">
        <v>1.6575235202980951E-10</v>
      </c>
      <c r="L25">
        <v>3.0534653768778237E-10</v>
      </c>
      <c r="M25">
        <v>1.4978970746935654E-14</v>
      </c>
      <c r="N25">
        <v>3.3479487596627707E-10</v>
      </c>
      <c r="O25">
        <v>1.5008620752103469E-6</v>
      </c>
      <c r="P25">
        <v>2.5680399730187202E-7</v>
      </c>
      <c r="Q25">
        <v>2.8870746017828656E-7</v>
      </c>
      <c r="R25">
        <v>4.4847747973617253E-10</v>
      </c>
      <c r="S25">
        <v>3.0200038604066297E-9</v>
      </c>
      <c r="T25">
        <v>8.4635306132914434E-7</v>
      </c>
      <c r="U25">
        <v>1.9847696362535121E-9</v>
      </c>
      <c r="V25">
        <v>5.5055157381121117E-8</v>
      </c>
      <c r="W25">
        <v>0.16256298786445972</v>
      </c>
      <c r="X25">
        <v>4.5505917491983966E-3</v>
      </c>
      <c r="Y25">
        <v>6.5819389812091905E-9</v>
      </c>
      <c r="Z25">
        <v>2.9532312261186565E-6</v>
      </c>
      <c r="AA25">
        <v>0.16711357994845299</v>
      </c>
    </row>
    <row r="26" spans="1:27" x14ac:dyDescent="0.35">
      <c r="A26" t="s">
        <v>231</v>
      </c>
      <c r="B26" t="s">
        <v>88</v>
      </c>
      <c r="C26">
        <v>4.5731349930453924E-10</v>
      </c>
      <c r="D26">
        <v>5.1939993614940431E-14</v>
      </c>
      <c r="E26">
        <v>1.901807155086487E-9</v>
      </c>
      <c r="F26">
        <v>3.0914422636337489E-11</v>
      </c>
      <c r="G26">
        <v>6.4039124253608989E-12</v>
      </c>
      <c r="H26">
        <v>9.0270488752674063E-11</v>
      </c>
      <c r="I26">
        <v>9.2436064204234611E-11</v>
      </c>
      <c r="J26">
        <v>3.1650790071921729E-14</v>
      </c>
      <c r="K26">
        <v>3.7025811887953699E-10</v>
      </c>
      <c r="L26">
        <v>3.200923558887861E-10</v>
      </c>
      <c r="M26">
        <v>3.9724300620285287E-15</v>
      </c>
      <c r="N26">
        <v>8.8787758008915788E-11</v>
      </c>
      <c r="O26">
        <v>6.3016516199824607E-7</v>
      </c>
      <c r="P26">
        <v>1.8056663242885164E-7</v>
      </c>
      <c r="Q26">
        <v>1.8866752534512601E-7</v>
      </c>
      <c r="R26">
        <v>2.5133908544392968E-10</v>
      </c>
      <c r="S26">
        <v>1.1007191877505638E-10</v>
      </c>
      <c r="T26">
        <v>5.3378601298177583E-7</v>
      </c>
      <c r="U26">
        <v>2.1513031673355926E-9</v>
      </c>
      <c r="V26">
        <v>1.4600653539243928E-8</v>
      </c>
      <c r="W26">
        <v>8.230656580151946E-2</v>
      </c>
      <c r="X26">
        <v>4.4666042039065001E-3</v>
      </c>
      <c r="Y26">
        <v>3.2695771673340732E-9</v>
      </c>
      <c r="Z26">
        <v>1.5502957078290348E-6</v>
      </c>
      <c r="AA26">
        <v>8.6773170094213717E-2</v>
      </c>
    </row>
    <row r="27" spans="1:27" x14ac:dyDescent="0.35">
      <c r="A27" t="s">
        <v>232</v>
      </c>
      <c r="B27" t="s">
        <v>88</v>
      </c>
      <c r="C27">
        <v>1.0872882259128413E-9</v>
      </c>
      <c r="D27">
        <v>3.0276303792831464E-14</v>
      </c>
      <c r="E27">
        <v>1.1084688728328024E-9</v>
      </c>
      <c r="F27">
        <v>3.6151530155673818E-11</v>
      </c>
      <c r="G27">
        <v>7.2919004945323216E-12</v>
      </c>
      <c r="H27">
        <v>6.7357210708671318E-11</v>
      </c>
      <c r="I27">
        <v>3.7084478211904609E-10</v>
      </c>
      <c r="J27">
        <v>5.109720493595031E-14</v>
      </c>
      <c r="K27">
        <v>3.4844915796198512E-10</v>
      </c>
      <c r="L27">
        <v>1.2775223802998283E-10</v>
      </c>
      <c r="M27">
        <v>6.6683348895333295E-15</v>
      </c>
      <c r="N27">
        <v>1.4904390895480126E-10</v>
      </c>
      <c r="O27">
        <v>3.6731737833972353E-7</v>
      </c>
      <c r="P27">
        <v>1.5680442823113004E-7</v>
      </c>
      <c r="Q27">
        <v>2.5835835034676093E-7</v>
      </c>
      <c r="R27">
        <v>9.0684647452624341E-10</v>
      </c>
      <c r="S27">
        <v>7.6643703289934319E-11</v>
      </c>
      <c r="T27">
        <v>1.121714368220729E-6</v>
      </c>
      <c r="U27">
        <v>8.6403548311122312E-10</v>
      </c>
      <c r="V27">
        <v>2.450944280590065E-8</v>
      </c>
      <c r="W27">
        <v>2.9816667827586067E-2</v>
      </c>
      <c r="X27">
        <v>5.6418414094700766E-3</v>
      </c>
      <c r="Y27">
        <v>3.1535829950125913E-9</v>
      </c>
      <c r="Z27">
        <v>1.9305148860858658E-6</v>
      </c>
      <c r="AA27">
        <v>3.5458509386100054E-2</v>
      </c>
    </row>
    <row r="28" spans="1:27" x14ac:dyDescent="0.35">
      <c r="A28" t="s">
        <v>233</v>
      </c>
      <c r="B28" t="s">
        <v>88</v>
      </c>
      <c r="C28">
        <v>6.2097949197681294E-12</v>
      </c>
      <c r="D28">
        <v>1.2091191114195552E-15</v>
      </c>
      <c r="E28">
        <v>4.4341963954036651E-11</v>
      </c>
      <c r="F28">
        <v>3.0961020881446543E-13</v>
      </c>
      <c r="G28">
        <v>6.4194149839875764E-14</v>
      </c>
      <c r="H28">
        <v>8.7185554408125073E-13</v>
      </c>
      <c r="I28">
        <v>1.1915217478114802E-12</v>
      </c>
      <c r="J28">
        <v>4.9735637749715845E-16</v>
      </c>
      <c r="K28">
        <v>1.1597873956364744E-11</v>
      </c>
      <c r="L28">
        <v>6.3920644667171888E-12</v>
      </c>
      <c r="M28">
        <v>4.8920948847619388E-16</v>
      </c>
      <c r="N28">
        <v>1.0934318037133472E-11</v>
      </c>
      <c r="O28">
        <v>1.467782178053898E-8</v>
      </c>
      <c r="P28">
        <v>3.1294078280269392E-9</v>
      </c>
      <c r="Q28">
        <v>1.9605176163020427E-9</v>
      </c>
      <c r="R28">
        <v>3.5221544095291014E-11</v>
      </c>
      <c r="S28">
        <v>2.224020707763221E-12</v>
      </c>
      <c r="T28">
        <v>8.3868789448432746E-9</v>
      </c>
      <c r="U28">
        <v>4.3740134084856118E-11</v>
      </c>
      <c r="V28">
        <v>1.798087854995282E-9</v>
      </c>
      <c r="W28">
        <v>7.5517092524453127E-4</v>
      </c>
      <c r="X28">
        <v>6.6423091520455708E-5</v>
      </c>
      <c r="Y28">
        <v>7.0981050916573022E-11</v>
      </c>
      <c r="Z28">
        <v>3.0033863361540094E-8</v>
      </c>
      <c r="AA28">
        <v>8.2159402769930512E-4</v>
      </c>
    </row>
    <row r="29" spans="1:27" x14ac:dyDescent="0.35">
      <c r="A29" t="s">
        <v>128</v>
      </c>
      <c r="B29" t="s">
        <v>88</v>
      </c>
      <c r="C29">
        <v>3.3084794185414775E-9</v>
      </c>
      <c r="D29">
        <v>2.6005111794897385E-13</v>
      </c>
      <c r="E29">
        <v>9.5219762370292677E-9</v>
      </c>
      <c r="F29">
        <v>3.8303822429834074E-11</v>
      </c>
      <c r="G29">
        <v>8.0540872150619489E-12</v>
      </c>
      <c r="H29">
        <v>4.3311566368075161E-11</v>
      </c>
      <c r="I29">
        <v>9.0505175578512102E-10</v>
      </c>
      <c r="J29">
        <v>1.5553625359238771E-13</v>
      </c>
      <c r="K29">
        <v>3.4986678366341091E-10</v>
      </c>
      <c r="L29">
        <v>1.0225381521255759E-9</v>
      </c>
      <c r="M29">
        <v>5.4859180788209292E-15</v>
      </c>
      <c r="N29">
        <v>1.2261571864914331E-10</v>
      </c>
      <c r="O29">
        <v>3.1550731057536067E-6</v>
      </c>
      <c r="P29">
        <v>4.0692500593119021E-7</v>
      </c>
      <c r="Q29">
        <v>5.438742452085509E-7</v>
      </c>
      <c r="R29">
        <v>1.0334842442060117E-9</v>
      </c>
      <c r="S29">
        <v>3.3962297270444272E-10</v>
      </c>
      <c r="T29">
        <v>3.7533300223713947E-6</v>
      </c>
      <c r="U29">
        <v>7.0774853865865652E-9</v>
      </c>
      <c r="V29">
        <v>2.0163473733414676E-8</v>
      </c>
      <c r="W29">
        <v>0.14272879667708727</v>
      </c>
      <c r="X29">
        <v>2.3777992590392773E-3</v>
      </c>
      <c r="Y29">
        <v>1.5197905161534491E-8</v>
      </c>
      <c r="Z29">
        <v>7.8877796830136044E-6</v>
      </c>
      <c r="AA29">
        <v>0.14510659605874227</v>
      </c>
    </row>
    <row r="30" spans="1:27" x14ac:dyDescent="0.35">
      <c r="A30" t="s">
        <v>255</v>
      </c>
      <c r="B30" t="s">
        <v>88</v>
      </c>
      <c r="C30">
        <v>4.5428433234108039E-9</v>
      </c>
      <c r="D30">
        <v>4.0558264438822112E-13</v>
      </c>
      <c r="E30">
        <v>1.4850289590455413E-8</v>
      </c>
      <c r="F30">
        <v>2.7419700616910455E-10</v>
      </c>
      <c r="G30">
        <v>5.6207622730559858E-11</v>
      </c>
      <c r="H30">
        <v>3.8952531874588023E-10</v>
      </c>
      <c r="I30">
        <v>1.3335995328815145E-9</v>
      </c>
      <c r="J30">
        <v>4.3267918336867326E-13</v>
      </c>
      <c r="K30">
        <v>1.0867890069376035E-9</v>
      </c>
      <c r="L30">
        <v>1.9279206876519991E-9</v>
      </c>
      <c r="M30">
        <v>4.4888536688586988E-14</v>
      </c>
      <c r="N30">
        <v>1.0033033862515306E-9</v>
      </c>
      <c r="O30">
        <v>4.9206984223972336E-6</v>
      </c>
      <c r="P30">
        <v>5.8408873857330551E-6</v>
      </c>
      <c r="Q30">
        <v>2.0060128741872115E-6</v>
      </c>
      <c r="R30">
        <v>2.4426086558711506E-9</v>
      </c>
      <c r="S30">
        <v>1.2827195689062224E-9</v>
      </c>
      <c r="T30">
        <v>5.8557816202500278E-6</v>
      </c>
      <c r="U30">
        <v>1.3190524840312319E-8</v>
      </c>
      <c r="V30">
        <v>1.6498766796136279E-7</v>
      </c>
      <c r="W30">
        <v>0.36568076951268635</v>
      </c>
      <c r="X30">
        <v>8.1563185427371815E-2</v>
      </c>
      <c r="Y30">
        <v>2.4461901244218563E-8</v>
      </c>
      <c r="Z30">
        <v>1.8805159742434524E-5</v>
      </c>
      <c r="AA30">
        <v>0.44724395594336153</v>
      </c>
    </row>
    <row r="31" spans="1:27" x14ac:dyDescent="0.35">
      <c r="A31" t="s">
        <v>284</v>
      </c>
      <c r="B31" t="s">
        <v>241</v>
      </c>
      <c r="C31">
        <v>3.0980005472896987E-10</v>
      </c>
      <c r="D31">
        <v>3.7034863959589277E-14</v>
      </c>
      <c r="E31">
        <v>1.3559185774734863E-9</v>
      </c>
      <c r="F31">
        <v>1.9745114809271445E-11</v>
      </c>
      <c r="G31">
        <v>4.04235900060286E-12</v>
      </c>
      <c r="H31">
        <v>2.0399634567786858E-11</v>
      </c>
      <c r="I31">
        <v>1.2120499029823399E-9</v>
      </c>
      <c r="J31">
        <v>9.3061501902597096E-12</v>
      </c>
      <c r="K31">
        <v>7.5752204634432062E-11</v>
      </c>
      <c r="L31">
        <v>1.4648177409805042E-10</v>
      </c>
      <c r="M31">
        <v>1.8081915273887525E-15</v>
      </c>
      <c r="N31">
        <v>4.041487685388768E-11</v>
      </c>
      <c r="O31">
        <v>4.4954134166926432E-7</v>
      </c>
      <c r="P31">
        <v>1.1106039741960881E-7</v>
      </c>
      <c r="Q31">
        <v>7.8361929850979643E-7</v>
      </c>
      <c r="R31">
        <v>1.6422965543519593E-10</v>
      </c>
      <c r="S31">
        <v>1.038467498362546E-9</v>
      </c>
      <c r="T31">
        <v>4.3570106490276566E-7</v>
      </c>
      <c r="U31">
        <v>1.0083634113283089E-9</v>
      </c>
      <c r="V31">
        <v>6.6460019715281962E-9</v>
      </c>
      <c r="W31">
        <v>2.1413470517384101E-2</v>
      </c>
      <c r="X31">
        <v>1.5321649384903453E-3</v>
      </c>
      <c r="Y31">
        <v>3.1534906728848229E-9</v>
      </c>
      <c r="Z31">
        <v>1.7887641523172851E-6</v>
      </c>
      <c r="AA31">
        <v>2.2945635496289321E-2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LCI</vt:lpstr>
      <vt:lpstr>Parameters</vt:lpstr>
      <vt:lpstr>Waste_characteristics</vt:lpstr>
      <vt:lpstr>AD_a_end</vt:lpstr>
      <vt:lpstr>AD_a_mid</vt:lpstr>
      <vt:lpstr>impact_process_mid</vt:lpstr>
      <vt:lpstr>impact_process_end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2025-08-18T09:06:25Z</dcterms:modified>
</cp:coreProperties>
</file>