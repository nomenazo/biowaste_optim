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"/>
    </mc:Choice>
  </mc:AlternateContent>
  <xr:revisionPtr revIDLastSave="0" documentId="13_ncr:1_{1FB79EF9-F270-4A37-BBEB-3E61595FACAD}" xr6:coauthVersionLast="36" xr6:coauthVersionMax="36" xr10:uidLastSave="{00000000-0000-0000-0000-000000000000}"/>
  <bookViews>
    <workbookView xWindow="0" yWindow="0" windowWidth="19200" windowHeight="6640" firstSheet="5" activeTab="11" xr2:uid="{D3821372-1969-4DD6-A628-04C5F8F02CF2}"/>
  </bookViews>
  <sheets>
    <sheet name="Waste_characteristics" sheetId="6" r:id="rId1"/>
    <sheet name="LCI" sheetId="1" r:id="rId2"/>
    <sheet name="SP_mid" sheetId="15" r:id="rId3"/>
    <sheet name="SP_end" sheetId="16" r:id="rId4"/>
    <sheet name="Parameters" sheetId="3" r:id="rId5"/>
    <sheet name="Feuil5" sheetId="14" r:id="rId6"/>
    <sheet name="HC_end" sheetId="10" r:id="rId7"/>
    <sheet name="HC_mid" sheetId="11" r:id="rId8"/>
    <sheet name="IC_mid" sheetId="12" r:id="rId9"/>
    <sheet name="IC_end" sheetId="13" r:id="rId10"/>
    <sheet name="impact_process_end" sheetId="8" r:id="rId11"/>
    <sheet name="impact_process_mid" sheetId="7" r:id="rId12"/>
    <sheet name="AD_a_end" sheetId="9" r:id="rId13"/>
    <sheet name="AD_a_mid" sheetId="2" r:id="rId14"/>
  </sheets>
  <externalReferences>
    <externalReference r:id="rId15"/>
    <externalReference r:id="rId16"/>
    <externalReference r:id="rId17"/>
    <externalReference r:id="rId18"/>
  </externalReferences>
  <definedNames>
    <definedName name="Food_Type">"Baseline"</definedName>
    <definedName name="Methane_LHV">'[1]Global params'!$E$21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1" i="6" l="1"/>
  <c r="B10" i="6"/>
  <c r="B9" i="6"/>
  <c r="B8" i="6"/>
  <c r="B5" i="6"/>
  <c r="B4" i="6"/>
  <c r="D36" i="7" l="1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C36" i="7"/>
  <c r="E36" i="8"/>
  <c r="F36" i="8"/>
  <c r="G36" i="8"/>
  <c r="H36" i="8"/>
  <c r="I36" i="8"/>
  <c r="J36" i="8"/>
  <c r="K36" i="8"/>
  <c r="L36" i="8"/>
  <c r="M36" i="8"/>
  <c r="N36" i="8"/>
  <c r="O36" i="8"/>
  <c r="P36" i="8"/>
  <c r="Q36" i="8"/>
  <c r="R36" i="8"/>
  <c r="S36" i="8"/>
  <c r="T36" i="8"/>
  <c r="U36" i="8"/>
  <c r="V36" i="8"/>
  <c r="W36" i="8"/>
  <c r="X36" i="8"/>
  <c r="Y36" i="8"/>
  <c r="Z36" i="8"/>
  <c r="AA36" i="8"/>
  <c r="D36" i="8"/>
  <c r="C36" i="8"/>
  <c r="D7" i="11" l="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C7" i="11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C7" i="10"/>
  <c r="P11" i="13"/>
  <c r="D4" i="13"/>
  <c r="E4" i="13"/>
  <c r="F4" i="13"/>
  <c r="G4" i="13"/>
  <c r="H4" i="13"/>
  <c r="I4" i="13"/>
  <c r="J4" i="13"/>
  <c r="K4" i="13"/>
  <c r="L4" i="13"/>
  <c r="M4" i="13"/>
  <c r="N4" i="13"/>
  <c r="O4" i="13"/>
  <c r="P4" i="13"/>
  <c r="Q4" i="13"/>
  <c r="R4" i="13"/>
  <c r="S4" i="13"/>
  <c r="T4" i="13"/>
  <c r="U4" i="13"/>
  <c r="V4" i="13"/>
  <c r="W4" i="13"/>
  <c r="X4" i="13"/>
  <c r="Y4" i="13"/>
  <c r="Z4" i="13"/>
  <c r="AA4" i="13"/>
  <c r="C4" i="13"/>
  <c r="E98" i="1"/>
  <c r="I13" i="12"/>
  <c r="Q13" i="12"/>
  <c r="O11" i="12"/>
  <c r="C11" i="12"/>
  <c r="D4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C4" i="12"/>
  <c r="E117" i="1"/>
  <c r="E116" i="1"/>
  <c r="I13" i="13" s="1"/>
  <c r="E115" i="1"/>
  <c r="E114" i="1"/>
  <c r="I12" i="13" s="1"/>
  <c r="E113" i="1"/>
  <c r="I11" i="13" s="1"/>
  <c r="E112" i="1"/>
  <c r="I10" i="13" s="1"/>
  <c r="C66" i="3"/>
  <c r="S11" i="12" l="1"/>
  <c r="K13" i="12"/>
  <c r="N11" i="13"/>
  <c r="M11" i="12"/>
  <c r="F11" i="13"/>
  <c r="K11" i="12"/>
  <c r="N13" i="13"/>
  <c r="G11" i="12"/>
  <c r="C11" i="13"/>
  <c r="E11" i="12"/>
  <c r="X11" i="13"/>
  <c r="H11" i="13"/>
  <c r="S13" i="12"/>
  <c r="V11" i="13"/>
  <c r="X10" i="13"/>
  <c r="P10" i="13"/>
  <c r="H10" i="13"/>
  <c r="X12" i="13"/>
  <c r="P12" i="13"/>
  <c r="H12" i="13"/>
  <c r="X13" i="13"/>
  <c r="P13" i="13"/>
  <c r="H13" i="13"/>
  <c r="T10" i="12"/>
  <c r="L10" i="12"/>
  <c r="D10" i="12"/>
  <c r="N11" i="12"/>
  <c r="F11" i="12"/>
  <c r="P12" i="12"/>
  <c r="H12" i="12"/>
  <c r="R13" i="12"/>
  <c r="J13" i="12"/>
  <c r="C10" i="13"/>
  <c r="W10" i="13"/>
  <c r="O10" i="13"/>
  <c r="G10" i="13"/>
  <c r="W11" i="13"/>
  <c r="O11" i="13"/>
  <c r="G11" i="13"/>
  <c r="W12" i="13"/>
  <c r="O12" i="13"/>
  <c r="G12" i="13"/>
  <c r="W13" i="13"/>
  <c r="O13" i="13"/>
  <c r="G13" i="13"/>
  <c r="M10" i="12"/>
  <c r="Q12" i="12"/>
  <c r="N10" i="13"/>
  <c r="V12" i="13"/>
  <c r="N12" i="13"/>
  <c r="V13" i="13"/>
  <c r="F13" i="13"/>
  <c r="R10" i="12"/>
  <c r="J10" i="12"/>
  <c r="T11" i="12"/>
  <c r="L11" i="12"/>
  <c r="D11" i="12"/>
  <c r="N12" i="12"/>
  <c r="F12" i="12"/>
  <c r="P13" i="12"/>
  <c r="H13" i="12"/>
  <c r="C12" i="13"/>
  <c r="U10" i="13"/>
  <c r="M10" i="13"/>
  <c r="E10" i="13"/>
  <c r="U11" i="13"/>
  <c r="M11" i="13"/>
  <c r="E11" i="13"/>
  <c r="U12" i="13"/>
  <c r="M12" i="13"/>
  <c r="E12" i="13"/>
  <c r="U13" i="13"/>
  <c r="M13" i="13"/>
  <c r="E13" i="13"/>
  <c r="D13" i="13"/>
  <c r="E10" i="12"/>
  <c r="I12" i="12"/>
  <c r="S10" i="12"/>
  <c r="O12" i="12"/>
  <c r="Q10" i="12"/>
  <c r="I10" i="12"/>
  <c r="C12" i="12"/>
  <c r="O13" i="12"/>
  <c r="P10" i="12"/>
  <c r="H10" i="12"/>
  <c r="R11" i="12"/>
  <c r="J11" i="12"/>
  <c r="T12" i="12"/>
  <c r="L12" i="12"/>
  <c r="D12" i="12"/>
  <c r="N13" i="12"/>
  <c r="F13" i="12"/>
  <c r="AA10" i="13"/>
  <c r="S10" i="13"/>
  <c r="K10" i="13"/>
  <c r="AA11" i="13"/>
  <c r="S11" i="13"/>
  <c r="K11" i="13"/>
  <c r="AA12" i="13"/>
  <c r="S12" i="13"/>
  <c r="K12" i="13"/>
  <c r="AA13" i="13"/>
  <c r="S13" i="13"/>
  <c r="K13" i="13"/>
  <c r="C10" i="12"/>
  <c r="G12" i="12"/>
  <c r="V10" i="13"/>
  <c r="F10" i="13"/>
  <c r="F12" i="13"/>
  <c r="G13" i="12"/>
  <c r="C13" i="13"/>
  <c r="T10" i="13"/>
  <c r="L10" i="13"/>
  <c r="T11" i="13"/>
  <c r="L11" i="13"/>
  <c r="T12" i="13"/>
  <c r="L12" i="13"/>
  <c r="T13" i="13"/>
  <c r="O10" i="12"/>
  <c r="G10" i="12"/>
  <c r="Q11" i="12"/>
  <c r="I11" i="12"/>
  <c r="S12" i="12"/>
  <c r="K12" i="12"/>
  <c r="C13" i="12"/>
  <c r="M13" i="12"/>
  <c r="E13" i="12"/>
  <c r="Z10" i="13"/>
  <c r="R10" i="13"/>
  <c r="J10" i="13"/>
  <c r="Z11" i="13"/>
  <c r="R11" i="13"/>
  <c r="J11" i="13"/>
  <c r="Z12" i="13"/>
  <c r="R12" i="13"/>
  <c r="J12" i="13"/>
  <c r="Z13" i="13"/>
  <c r="R13" i="13"/>
  <c r="J13" i="13"/>
  <c r="K10" i="12"/>
  <c r="M12" i="12"/>
  <c r="E12" i="12"/>
  <c r="D10" i="13"/>
  <c r="D11" i="13"/>
  <c r="D12" i="13"/>
  <c r="L13" i="13"/>
  <c r="N10" i="12"/>
  <c r="F10" i="12"/>
  <c r="P11" i="12"/>
  <c r="H11" i="12"/>
  <c r="R12" i="12"/>
  <c r="J12" i="12"/>
  <c r="T13" i="12"/>
  <c r="L13" i="12"/>
  <c r="D13" i="12"/>
  <c r="Y10" i="13"/>
  <c r="Q10" i="13"/>
  <c r="Y11" i="13"/>
  <c r="Q11" i="13"/>
  <c r="Y12" i="13"/>
  <c r="Q12" i="13"/>
  <c r="Y13" i="13"/>
  <c r="Q13" i="13"/>
  <c r="C65" i="3" l="1"/>
  <c r="E105" i="1" l="1"/>
  <c r="E104" i="1"/>
  <c r="E107" i="1" s="1"/>
  <c r="E102" i="1"/>
  <c r="I6" i="13" l="1"/>
  <c r="Q6" i="13"/>
  <c r="Y6" i="13"/>
  <c r="C6" i="13"/>
  <c r="L6" i="13"/>
  <c r="F6" i="13"/>
  <c r="J6" i="13"/>
  <c r="R6" i="13"/>
  <c r="Z6" i="13"/>
  <c r="D6" i="13"/>
  <c r="T6" i="13"/>
  <c r="V6" i="13"/>
  <c r="K6" i="13"/>
  <c r="S6" i="13"/>
  <c r="AA6" i="13"/>
  <c r="N6" i="13"/>
  <c r="E6" i="13"/>
  <c r="M6" i="13"/>
  <c r="U6" i="13"/>
  <c r="G6" i="13"/>
  <c r="O6" i="13"/>
  <c r="W6" i="13"/>
  <c r="H6" i="13"/>
  <c r="P6" i="13"/>
  <c r="X6" i="13"/>
  <c r="E108" i="1"/>
  <c r="E109" i="1" s="1"/>
  <c r="E111" i="1" s="1"/>
  <c r="I3" i="13"/>
  <c r="Q3" i="13"/>
  <c r="Y3" i="13"/>
  <c r="D3" i="13"/>
  <c r="V3" i="13"/>
  <c r="J3" i="13"/>
  <c r="R3" i="13"/>
  <c r="Z3" i="13"/>
  <c r="L3" i="13"/>
  <c r="N3" i="13"/>
  <c r="K3" i="13"/>
  <c r="S3" i="13"/>
  <c r="AA3" i="13"/>
  <c r="C3" i="13"/>
  <c r="T3" i="13"/>
  <c r="E3" i="13"/>
  <c r="M3" i="13"/>
  <c r="U3" i="13"/>
  <c r="F3" i="13"/>
  <c r="G3" i="13"/>
  <c r="O3" i="13"/>
  <c r="W3" i="13"/>
  <c r="H3" i="13"/>
  <c r="P3" i="13"/>
  <c r="X3" i="13"/>
  <c r="D6" i="12"/>
  <c r="L6" i="12"/>
  <c r="T6" i="12"/>
  <c r="E6" i="12"/>
  <c r="M6" i="12"/>
  <c r="C6" i="12"/>
  <c r="F6" i="12"/>
  <c r="N6" i="12"/>
  <c r="S6" i="12"/>
  <c r="G6" i="12"/>
  <c r="O6" i="12"/>
  <c r="H6" i="12"/>
  <c r="P6" i="12"/>
  <c r="I6" i="12"/>
  <c r="Q6" i="12"/>
  <c r="J6" i="12"/>
  <c r="R6" i="12"/>
  <c r="K6" i="12"/>
  <c r="H3" i="12"/>
  <c r="P3" i="12"/>
  <c r="I3" i="12"/>
  <c r="Q3" i="12"/>
  <c r="G3" i="12"/>
  <c r="J3" i="12"/>
  <c r="R3" i="12"/>
  <c r="K3" i="12"/>
  <c r="S3" i="12"/>
  <c r="C3" i="12"/>
  <c r="O3" i="12"/>
  <c r="D3" i="12"/>
  <c r="L3" i="12"/>
  <c r="T3" i="12"/>
  <c r="E3" i="12"/>
  <c r="M3" i="12"/>
  <c r="F3" i="12"/>
  <c r="N3" i="12"/>
  <c r="I8" i="13" l="1"/>
  <c r="Q8" i="13"/>
  <c r="Y8" i="13"/>
  <c r="I8" i="12"/>
  <c r="Q8" i="12"/>
  <c r="L8" i="13"/>
  <c r="D8" i="12"/>
  <c r="T8" i="12"/>
  <c r="C8" i="13"/>
  <c r="J8" i="13"/>
  <c r="R8" i="13"/>
  <c r="Z8" i="13"/>
  <c r="J8" i="12"/>
  <c r="R8" i="12"/>
  <c r="T8" i="13"/>
  <c r="N8" i="13"/>
  <c r="N8" i="12"/>
  <c r="K8" i="13"/>
  <c r="S8" i="13"/>
  <c r="AA8" i="13"/>
  <c r="K8" i="12"/>
  <c r="S8" i="12"/>
  <c r="D8" i="13"/>
  <c r="L8" i="12"/>
  <c r="F8" i="13"/>
  <c r="F8" i="12"/>
  <c r="P8" i="12"/>
  <c r="E8" i="13"/>
  <c r="M8" i="13"/>
  <c r="U8" i="13"/>
  <c r="E8" i="12"/>
  <c r="M8" i="12"/>
  <c r="C8" i="12"/>
  <c r="V8" i="13"/>
  <c r="G8" i="13"/>
  <c r="O8" i="13"/>
  <c r="W8" i="13"/>
  <c r="G8" i="12"/>
  <c r="O8" i="12"/>
  <c r="H8" i="13"/>
  <c r="P8" i="13"/>
  <c r="X8" i="13"/>
  <c r="H8" i="12"/>
  <c r="E97" i="1" l="1"/>
  <c r="I4" i="10" s="1"/>
  <c r="E96" i="1"/>
  <c r="J5" i="10" s="1"/>
  <c r="E95" i="1"/>
  <c r="H3" i="10" s="1"/>
  <c r="T4" i="11" l="1"/>
  <c r="D4" i="11"/>
  <c r="F5" i="11"/>
  <c r="X4" i="10"/>
  <c r="P4" i="10"/>
  <c r="I5" i="10"/>
  <c r="R3" i="11"/>
  <c r="J3" i="11"/>
  <c r="S4" i="11"/>
  <c r="K4" i="11"/>
  <c r="C5" i="11"/>
  <c r="M5" i="11"/>
  <c r="E5" i="11"/>
  <c r="V3" i="10"/>
  <c r="N3" i="10"/>
  <c r="F3" i="10"/>
  <c r="W4" i="10"/>
  <c r="O4" i="10"/>
  <c r="G4" i="10"/>
  <c r="X5" i="10"/>
  <c r="P5" i="10"/>
  <c r="H5" i="10"/>
  <c r="Q3" i="11"/>
  <c r="I3" i="11"/>
  <c r="R4" i="11"/>
  <c r="J4" i="11"/>
  <c r="T5" i="11"/>
  <c r="L5" i="11"/>
  <c r="D5" i="11"/>
  <c r="U3" i="10"/>
  <c r="M3" i="10"/>
  <c r="E3" i="10"/>
  <c r="V4" i="10"/>
  <c r="N4" i="10"/>
  <c r="F4" i="10"/>
  <c r="W5" i="10"/>
  <c r="O5" i="10"/>
  <c r="G5" i="10"/>
  <c r="P3" i="11"/>
  <c r="H3" i="11"/>
  <c r="Q4" i="11"/>
  <c r="I4" i="11"/>
  <c r="S5" i="11"/>
  <c r="K5" i="11"/>
  <c r="C3" i="10"/>
  <c r="T3" i="10"/>
  <c r="L3" i="10"/>
  <c r="D3" i="10"/>
  <c r="U4" i="10"/>
  <c r="M4" i="10"/>
  <c r="E4" i="10"/>
  <c r="V5" i="10"/>
  <c r="N5" i="10"/>
  <c r="F5" i="10"/>
  <c r="O3" i="11"/>
  <c r="G3" i="11"/>
  <c r="P4" i="11"/>
  <c r="H4" i="11"/>
  <c r="R5" i="11"/>
  <c r="J5" i="11"/>
  <c r="AA3" i="10"/>
  <c r="S3" i="10"/>
  <c r="K3" i="10"/>
  <c r="C4" i="10"/>
  <c r="T4" i="10"/>
  <c r="L4" i="10"/>
  <c r="D4" i="10"/>
  <c r="U5" i="10"/>
  <c r="M5" i="10"/>
  <c r="E5" i="10"/>
  <c r="K3" i="11"/>
  <c r="G3" i="10"/>
  <c r="Y5" i="10"/>
  <c r="C3" i="11"/>
  <c r="N3" i="11"/>
  <c r="F3" i="11"/>
  <c r="O4" i="11"/>
  <c r="G4" i="11"/>
  <c r="Q5" i="11"/>
  <c r="I5" i="11"/>
  <c r="Z3" i="10"/>
  <c r="R3" i="10"/>
  <c r="J3" i="10"/>
  <c r="AA4" i="10"/>
  <c r="S4" i="10"/>
  <c r="K4" i="10"/>
  <c r="C5" i="10"/>
  <c r="T5" i="10"/>
  <c r="L5" i="10"/>
  <c r="D5" i="10"/>
  <c r="L4" i="11"/>
  <c r="O3" i="10"/>
  <c r="Q5" i="10"/>
  <c r="D3" i="11"/>
  <c r="M3" i="11"/>
  <c r="E3" i="11"/>
  <c r="N4" i="11"/>
  <c r="F4" i="11"/>
  <c r="P5" i="11"/>
  <c r="H5" i="11"/>
  <c r="Y3" i="10"/>
  <c r="Q3" i="10"/>
  <c r="I3" i="10"/>
  <c r="Z4" i="10"/>
  <c r="R4" i="10"/>
  <c r="J4" i="10"/>
  <c r="AA5" i="10"/>
  <c r="S5" i="10"/>
  <c r="K5" i="10"/>
  <c r="S3" i="11"/>
  <c r="N5" i="11"/>
  <c r="W3" i="10"/>
  <c r="H4" i="10"/>
  <c r="T3" i="11"/>
  <c r="L3" i="11"/>
  <c r="C4" i="11"/>
  <c r="M4" i="11"/>
  <c r="E4" i="11"/>
  <c r="O5" i="11"/>
  <c r="G5" i="11"/>
  <c r="X3" i="10"/>
  <c r="P3" i="10"/>
  <c r="Y4" i="10"/>
  <c r="Q4" i="10"/>
  <c r="Z5" i="10"/>
  <c r="R5" i="10"/>
  <c r="E6" i="1" l="1"/>
  <c r="E85" i="1" s="1"/>
  <c r="K71" i="2" s="1"/>
  <c r="C69" i="3"/>
  <c r="H66" i="3"/>
  <c r="S71" i="2" l="1"/>
  <c r="W71" i="9"/>
  <c r="L71" i="2"/>
  <c r="O71" i="9"/>
  <c r="G71" i="9"/>
  <c r="D71" i="2"/>
  <c r="H71" i="9"/>
  <c r="P71" i="9"/>
  <c r="X71" i="9"/>
  <c r="E71" i="2"/>
  <c r="M71" i="2"/>
  <c r="C71" i="2"/>
  <c r="F71" i="2"/>
  <c r="N71" i="2"/>
  <c r="K71" i="9"/>
  <c r="S71" i="9"/>
  <c r="AA71" i="9"/>
  <c r="P71" i="2"/>
  <c r="I71" i="9"/>
  <c r="Q71" i="9"/>
  <c r="Y71" i="9"/>
  <c r="J71" i="9"/>
  <c r="R71" i="9"/>
  <c r="Z71" i="9"/>
  <c r="G71" i="2"/>
  <c r="O71" i="2"/>
  <c r="H71" i="2"/>
  <c r="D71" i="9"/>
  <c r="T71" i="9"/>
  <c r="C71" i="9"/>
  <c r="I71" i="2"/>
  <c r="Q71" i="2"/>
  <c r="R71" i="2"/>
  <c r="L71" i="9"/>
  <c r="E71" i="9"/>
  <c r="M71" i="9"/>
  <c r="U71" i="9"/>
  <c r="J71" i="2"/>
  <c r="F71" i="9"/>
  <c r="V71" i="9"/>
  <c r="N71" i="9"/>
  <c r="T71" i="2"/>
  <c r="E84" i="1"/>
  <c r="E69" i="1"/>
  <c r="E67" i="1"/>
  <c r="E68" i="1"/>
  <c r="C67" i="3"/>
  <c r="E74" i="1" s="1"/>
  <c r="E82" i="1" s="1"/>
  <c r="E88" i="1" s="1"/>
  <c r="E90" i="1" l="1"/>
  <c r="E89" i="1"/>
  <c r="E86" i="1"/>
  <c r="G70" i="9"/>
  <c r="O70" i="9"/>
  <c r="W70" i="9"/>
  <c r="K70" i="2"/>
  <c r="S70" i="2"/>
  <c r="D70" i="2"/>
  <c r="L70" i="2"/>
  <c r="T70" i="2"/>
  <c r="R70" i="9"/>
  <c r="N70" i="2"/>
  <c r="K70" i="9"/>
  <c r="H70" i="9"/>
  <c r="P70" i="9"/>
  <c r="X70" i="9"/>
  <c r="I70" i="9"/>
  <c r="Q70" i="9"/>
  <c r="Y70" i="9"/>
  <c r="E70" i="2"/>
  <c r="M70" i="2"/>
  <c r="C70" i="2"/>
  <c r="J70" i="9"/>
  <c r="Z70" i="9"/>
  <c r="F70" i="2"/>
  <c r="S70" i="9"/>
  <c r="G70" i="2"/>
  <c r="O70" i="2"/>
  <c r="AA70" i="9"/>
  <c r="D70" i="9"/>
  <c r="L70" i="9"/>
  <c r="T70" i="9"/>
  <c r="C70" i="9"/>
  <c r="H70" i="2"/>
  <c r="U70" i="9"/>
  <c r="P70" i="2"/>
  <c r="E70" i="9"/>
  <c r="F70" i="9"/>
  <c r="I70" i="2"/>
  <c r="V70" i="9"/>
  <c r="M70" i="9"/>
  <c r="J70" i="2"/>
  <c r="Q70" i="2"/>
  <c r="N70" i="9"/>
  <c r="R70" i="2"/>
  <c r="E72" i="1"/>
  <c r="E62" i="1"/>
  <c r="H58" i="9"/>
  <c r="P58" i="9"/>
  <c r="X58" i="9"/>
  <c r="D58" i="2"/>
  <c r="L58" i="2"/>
  <c r="T58" i="2"/>
  <c r="I58" i="9"/>
  <c r="Q58" i="9"/>
  <c r="E58" i="2"/>
  <c r="Z58" i="9"/>
  <c r="K58" i="9"/>
  <c r="S58" i="9"/>
  <c r="AA58" i="9"/>
  <c r="G58" i="2"/>
  <c r="O58" i="2"/>
  <c r="G58" i="9"/>
  <c r="M58" i="2"/>
  <c r="D58" i="9"/>
  <c r="L58" i="9"/>
  <c r="T58" i="9"/>
  <c r="C58" i="9"/>
  <c r="H58" i="2"/>
  <c r="P58" i="2"/>
  <c r="N58" i="2"/>
  <c r="E58" i="9"/>
  <c r="M58" i="9"/>
  <c r="U58" i="9"/>
  <c r="I58" i="2"/>
  <c r="Q58" i="2"/>
  <c r="O58" i="9"/>
  <c r="K58" i="2"/>
  <c r="C58" i="2"/>
  <c r="J58" i="9"/>
  <c r="F58" i="2"/>
  <c r="F58" i="9"/>
  <c r="N58" i="9"/>
  <c r="V58" i="9"/>
  <c r="J58" i="2"/>
  <c r="R58" i="2"/>
  <c r="W58" i="9"/>
  <c r="S58" i="2"/>
  <c r="Y58" i="9"/>
  <c r="R58" i="9"/>
  <c r="G57" i="9"/>
  <c r="O57" i="9"/>
  <c r="W57" i="9"/>
  <c r="K57" i="2"/>
  <c r="S57" i="2"/>
  <c r="P57" i="9"/>
  <c r="J57" i="9"/>
  <c r="R57" i="9"/>
  <c r="Z57" i="9"/>
  <c r="F57" i="2"/>
  <c r="N57" i="2"/>
  <c r="C57" i="2"/>
  <c r="F57" i="9"/>
  <c r="J57" i="2"/>
  <c r="H57" i="9"/>
  <c r="Y57" i="9"/>
  <c r="E57" i="2"/>
  <c r="K57" i="9"/>
  <c r="S57" i="9"/>
  <c r="AA57" i="9"/>
  <c r="G57" i="2"/>
  <c r="O57" i="2"/>
  <c r="N57" i="9"/>
  <c r="R57" i="2"/>
  <c r="L57" i="2"/>
  <c r="I57" i="9"/>
  <c r="D57" i="9"/>
  <c r="L57" i="9"/>
  <c r="T57" i="9"/>
  <c r="C57" i="9"/>
  <c r="H57" i="2"/>
  <c r="P57" i="2"/>
  <c r="V57" i="9"/>
  <c r="X57" i="9"/>
  <c r="Q57" i="9"/>
  <c r="D57" i="2"/>
  <c r="E57" i="9"/>
  <c r="M57" i="9"/>
  <c r="U57" i="9"/>
  <c r="I57" i="2"/>
  <c r="Q57" i="2"/>
  <c r="T57" i="2"/>
  <c r="M57" i="2"/>
  <c r="I59" i="9"/>
  <c r="Q59" i="9"/>
  <c r="Y59" i="9"/>
  <c r="F59" i="2"/>
  <c r="N59" i="2"/>
  <c r="J59" i="9"/>
  <c r="R59" i="9"/>
  <c r="Z59" i="9"/>
  <c r="P59" i="2"/>
  <c r="D59" i="9"/>
  <c r="L59" i="9"/>
  <c r="T59" i="9"/>
  <c r="C59" i="9"/>
  <c r="I59" i="2"/>
  <c r="Q59" i="2"/>
  <c r="E59" i="2"/>
  <c r="K59" i="9"/>
  <c r="E59" i="9"/>
  <c r="M59" i="9"/>
  <c r="U59" i="9"/>
  <c r="J59" i="2"/>
  <c r="R59" i="2"/>
  <c r="X59" i="9"/>
  <c r="C59" i="2"/>
  <c r="G59" i="2"/>
  <c r="F59" i="9"/>
  <c r="N59" i="9"/>
  <c r="V59" i="9"/>
  <c r="K59" i="2"/>
  <c r="S59" i="2"/>
  <c r="P59" i="9"/>
  <c r="S59" i="9"/>
  <c r="G59" i="9"/>
  <c r="O59" i="9"/>
  <c r="W59" i="9"/>
  <c r="D59" i="2"/>
  <c r="L59" i="2"/>
  <c r="T59" i="2"/>
  <c r="H59" i="9"/>
  <c r="M59" i="2"/>
  <c r="O59" i="2"/>
  <c r="AA59" i="9"/>
  <c r="H59" i="2"/>
  <c r="I72" i="9" l="1"/>
  <c r="Q72" i="9"/>
  <c r="Y72" i="9"/>
  <c r="G72" i="2"/>
  <c r="O72" i="2"/>
  <c r="P72" i="2"/>
  <c r="D72" i="9"/>
  <c r="L72" i="9"/>
  <c r="T72" i="9"/>
  <c r="R72" i="2"/>
  <c r="J72" i="9"/>
  <c r="R72" i="9"/>
  <c r="Z72" i="9"/>
  <c r="H72" i="2"/>
  <c r="K72" i="9"/>
  <c r="S72" i="9"/>
  <c r="AA72" i="9"/>
  <c r="I72" i="2"/>
  <c r="Q72" i="2"/>
  <c r="C72" i="9"/>
  <c r="J72" i="2"/>
  <c r="K72" i="2"/>
  <c r="S72" i="2"/>
  <c r="W72" i="9"/>
  <c r="E72" i="9"/>
  <c r="M72" i="9"/>
  <c r="U72" i="9"/>
  <c r="F72" i="9"/>
  <c r="N72" i="9"/>
  <c r="V72" i="9"/>
  <c r="L72" i="2"/>
  <c r="T72" i="2"/>
  <c r="G72" i="9"/>
  <c r="D72" i="2"/>
  <c r="O72" i="9"/>
  <c r="F72" i="2"/>
  <c r="M72" i="2"/>
  <c r="N72" i="2"/>
  <c r="P72" i="9"/>
  <c r="C72" i="2"/>
  <c r="E72" i="2"/>
  <c r="H72" i="9"/>
  <c r="X72" i="9"/>
  <c r="Q74" i="9"/>
  <c r="Y74" i="9"/>
  <c r="I74" i="9"/>
  <c r="K74" i="2"/>
  <c r="S74" i="2"/>
  <c r="L74" i="9"/>
  <c r="T74" i="9"/>
  <c r="D74" i="9"/>
  <c r="J74" i="9"/>
  <c r="R74" i="9"/>
  <c r="Z74" i="9"/>
  <c r="C74" i="9"/>
  <c r="D74" i="2"/>
  <c r="L74" i="2"/>
  <c r="T74" i="2"/>
  <c r="N74" i="2"/>
  <c r="K74" i="9"/>
  <c r="S74" i="9"/>
  <c r="AA74" i="9"/>
  <c r="E74" i="2"/>
  <c r="M74" i="2"/>
  <c r="C74" i="2"/>
  <c r="F74" i="2"/>
  <c r="G74" i="2"/>
  <c r="O74" i="2"/>
  <c r="V74" i="9"/>
  <c r="F74" i="9"/>
  <c r="P74" i="2"/>
  <c r="M74" i="9"/>
  <c r="U74" i="9"/>
  <c r="E74" i="9"/>
  <c r="N74" i="9"/>
  <c r="H74" i="2"/>
  <c r="W74" i="9"/>
  <c r="G74" i="9"/>
  <c r="O74" i="9"/>
  <c r="J74" i="2"/>
  <c r="Q74" i="2"/>
  <c r="H74" i="9"/>
  <c r="R74" i="2"/>
  <c r="P74" i="9"/>
  <c r="X74" i="9"/>
  <c r="I74" i="2"/>
  <c r="D75" i="9"/>
  <c r="L75" i="9"/>
  <c r="T75" i="9"/>
  <c r="C75" i="9"/>
  <c r="E75" i="2"/>
  <c r="M75" i="2"/>
  <c r="C75" i="2"/>
  <c r="G75" i="9"/>
  <c r="P75" i="2"/>
  <c r="E75" i="9"/>
  <c r="M75" i="9"/>
  <c r="U75" i="9"/>
  <c r="F75" i="2"/>
  <c r="N75" i="2"/>
  <c r="O75" i="9"/>
  <c r="F75" i="9"/>
  <c r="N75" i="9"/>
  <c r="V75" i="9"/>
  <c r="G75" i="2"/>
  <c r="O75" i="2"/>
  <c r="W75" i="9"/>
  <c r="H75" i="2"/>
  <c r="I75" i="2"/>
  <c r="Q75" i="2"/>
  <c r="Q75" i="9"/>
  <c r="Y75" i="9"/>
  <c r="Z75" i="9"/>
  <c r="H75" i="9"/>
  <c r="P75" i="9"/>
  <c r="X75" i="9"/>
  <c r="J75" i="2"/>
  <c r="R75" i="2"/>
  <c r="J75" i="9"/>
  <c r="R75" i="9"/>
  <c r="I75" i="9"/>
  <c r="K75" i="2"/>
  <c r="K75" i="9"/>
  <c r="AA75" i="9"/>
  <c r="S75" i="2"/>
  <c r="S75" i="9"/>
  <c r="D75" i="2"/>
  <c r="L75" i="2"/>
  <c r="T75" i="2"/>
  <c r="E73" i="1"/>
  <c r="E75" i="1"/>
  <c r="E78" i="1" s="1"/>
  <c r="D66" i="9" l="1"/>
  <c r="L66" i="9"/>
  <c r="T66" i="9"/>
  <c r="C66" i="9"/>
  <c r="K66" i="2"/>
  <c r="S66" i="2"/>
  <c r="AA66" i="9"/>
  <c r="E66" i="9"/>
  <c r="M66" i="9"/>
  <c r="U66" i="9"/>
  <c r="D66" i="2"/>
  <c r="L66" i="2"/>
  <c r="T66" i="2"/>
  <c r="J66" i="2"/>
  <c r="R66" i="2"/>
  <c r="F66" i="9"/>
  <c r="N66" i="9"/>
  <c r="V66" i="9"/>
  <c r="E66" i="2"/>
  <c r="M66" i="2"/>
  <c r="C66" i="2"/>
  <c r="G66" i="9"/>
  <c r="O66" i="9"/>
  <c r="W66" i="9"/>
  <c r="F66" i="2"/>
  <c r="N66" i="2"/>
  <c r="H66" i="9"/>
  <c r="P66" i="9"/>
  <c r="X66" i="9"/>
  <c r="G66" i="2"/>
  <c r="O66" i="2"/>
  <c r="I66" i="9"/>
  <c r="Q66" i="9"/>
  <c r="Y66" i="9"/>
  <c r="H66" i="2"/>
  <c r="P66" i="2"/>
  <c r="K66" i="9"/>
  <c r="J66" i="9"/>
  <c r="R66" i="9"/>
  <c r="Z66" i="9"/>
  <c r="I66" i="2"/>
  <c r="Q66" i="2"/>
  <c r="S66" i="9"/>
  <c r="H62" i="9"/>
  <c r="P62" i="9"/>
  <c r="X62" i="9"/>
  <c r="G62" i="2"/>
  <c r="O62" i="2"/>
  <c r="W62" i="9"/>
  <c r="I62" i="9"/>
  <c r="Q62" i="9"/>
  <c r="Y62" i="9"/>
  <c r="H62" i="2"/>
  <c r="P62" i="2"/>
  <c r="F62" i="2"/>
  <c r="J62" i="9"/>
  <c r="R62" i="9"/>
  <c r="Z62" i="9"/>
  <c r="I62" i="2"/>
  <c r="Q62" i="2"/>
  <c r="K62" i="9"/>
  <c r="S62" i="9"/>
  <c r="AA62" i="9"/>
  <c r="J62" i="2"/>
  <c r="R62" i="2"/>
  <c r="D62" i="9"/>
  <c r="L62" i="9"/>
  <c r="T62" i="9"/>
  <c r="C62" i="9"/>
  <c r="K62" i="2"/>
  <c r="S62" i="2"/>
  <c r="E62" i="9"/>
  <c r="M62" i="9"/>
  <c r="U62" i="9"/>
  <c r="D62" i="2"/>
  <c r="L62" i="2"/>
  <c r="T62" i="2"/>
  <c r="O62" i="9"/>
  <c r="F62" i="9"/>
  <c r="N62" i="9"/>
  <c r="V62" i="9"/>
  <c r="E62" i="2"/>
  <c r="M62" i="2"/>
  <c r="C62" i="2"/>
  <c r="G62" i="9"/>
  <c r="N62" i="2"/>
  <c r="D10" i="8" l="1"/>
  <c r="E10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C10" i="8"/>
  <c r="C10" i="7"/>
  <c r="D4" i="9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C4" i="9"/>
  <c r="E10" i="7" l="1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D10" i="7"/>
  <c r="C104" i="3"/>
  <c r="C105" i="3"/>
  <c r="E7" i="1" l="1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C4" i="2"/>
  <c r="I6" i="2" l="1"/>
  <c r="D6" i="9"/>
  <c r="L6" i="9"/>
  <c r="T6" i="9"/>
  <c r="C6" i="9"/>
  <c r="E6" i="9"/>
  <c r="M6" i="9"/>
  <c r="U6" i="9"/>
  <c r="F6" i="9"/>
  <c r="N6" i="9"/>
  <c r="V6" i="9"/>
  <c r="G6" i="9"/>
  <c r="O6" i="9"/>
  <c r="W6" i="9"/>
  <c r="H6" i="9"/>
  <c r="P6" i="9"/>
  <c r="X6" i="9"/>
  <c r="I6" i="9"/>
  <c r="Q6" i="9"/>
  <c r="Y6" i="9"/>
  <c r="J6" i="9"/>
  <c r="R6" i="9"/>
  <c r="Z6" i="9"/>
  <c r="K6" i="9"/>
  <c r="S6" i="9"/>
  <c r="AA6" i="9"/>
  <c r="O6" i="2"/>
  <c r="H6" i="2"/>
  <c r="G6" i="2"/>
  <c r="P6" i="2"/>
  <c r="N6" i="2"/>
  <c r="C6" i="2"/>
  <c r="M6" i="2"/>
  <c r="E6" i="2"/>
  <c r="T6" i="2"/>
  <c r="L6" i="2"/>
  <c r="D6" i="2"/>
  <c r="S6" i="2"/>
  <c r="K6" i="2"/>
  <c r="R6" i="2"/>
  <c r="J6" i="2"/>
  <c r="F6" i="2"/>
  <c r="Q6" i="2"/>
  <c r="C6" i="3" l="1"/>
  <c r="E9" i="1"/>
  <c r="E12" i="1" l="1"/>
  <c r="E10" i="1"/>
  <c r="E11" i="1"/>
  <c r="Z22" i="8"/>
  <c r="Y22" i="8"/>
  <c r="Z13" i="8"/>
  <c r="Z14" i="8"/>
  <c r="Z15" i="8"/>
  <c r="Z16" i="8"/>
  <c r="Z17" i="8"/>
  <c r="Z18" i="8"/>
  <c r="Z19" i="8"/>
  <c r="Z20" i="8"/>
  <c r="Z21" i="8"/>
  <c r="Y13" i="8"/>
  <c r="Y14" i="8"/>
  <c r="Y15" i="8"/>
  <c r="Y16" i="8"/>
  <c r="Y17" i="8"/>
  <c r="Y18" i="8"/>
  <c r="Y19" i="8"/>
  <c r="Y20" i="8"/>
  <c r="Y21" i="8"/>
  <c r="Z12" i="8"/>
  <c r="Y12" i="8"/>
  <c r="Y11" i="8"/>
  <c r="V9" i="9" l="1"/>
  <c r="T9" i="9"/>
  <c r="J9" i="9"/>
  <c r="O9" i="9"/>
  <c r="X9" i="9"/>
  <c r="M9" i="9"/>
  <c r="H9" i="9"/>
  <c r="N9" i="9"/>
  <c r="L9" i="9"/>
  <c r="Y9" i="9"/>
  <c r="G9" i="9"/>
  <c r="E9" i="9"/>
  <c r="F9" i="9"/>
  <c r="D9" i="9"/>
  <c r="Q9" i="9"/>
  <c r="Z9" i="9"/>
  <c r="C9" i="2"/>
  <c r="AA9" i="9"/>
  <c r="I9" i="9"/>
  <c r="S9" i="9"/>
  <c r="P9" i="9"/>
  <c r="U9" i="9"/>
  <c r="K9" i="9"/>
  <c r="C9" i="9"/>
  <c r="R9" i="9"/>
  <c r="W9" i="9"/>
  <c r="J9" i="2"/>
  <c r="D9" i="2"/>
  <c r="K9" i="2"/>
  <c r="F9" i="2"/>
  <c r="I9" i="2"/>
  <c r="M9" i="2"/>
  <c r="T9" i="2"/>
  <c r="H9" i="2"/>
  <c r="E9" i="2"/>
  <c r="L9" i="2"/>
  <c r="P9" i="2"/>
  <c r="G9" i="2"/>
  <c r="O9" i="2"/>
  <c r="N9" i="2"/>
  <c r="S9" i="2"/>
  <c r="R9" i="2"/>
  <c r="Q9" i="2"/>
  <c r="E8" i="9"/>
  <c r="M8" i="9"/>
  <c r="U8" i="9"/>
  <c r="F8" i="9"/>
  <c r="N8" i="9"/>
  <c r="V8" i="9"/>
  <c r="G8" i="9"/>
  <c r="O8" i="9"/>
  <c r="W8" i="9"/>
  <c r="H8" i="9"/>
  <c r="P8" i="9"/>
  <c r="X8" i="9"/>
  <c r="I8" i="9"/>
  <c r="Q8" i="9"/>
  <c r="Y8" i="9"/>
  <c r="J8" i="9"/>
  <c r="R8" i="9"/>
  <c r="Z8" i="9"/>
  <c r="K8" i="9"/>
  <c r="S8" i="9"/>
  <c r="AA8" i="9"/>
  <c r="D8" i="9"/>
  <c r="L8" i="9"/>
  <c r="T8" i="9"/>
  <c r="C8" i="9"/>
  <c r="I10" i="9"/>
  <c r="Q10" i="9"/>
  <c r="Z10" i="9"/>
  <c r="J10" i="9"/>
  <c r="R10" i="9"/>
  <c r="AA10" i="9"/>
  <c r="K10" i="9"/>
  <c r="S10" i="9"/>
  <c r="E10" i="9"/>
  <c r="L10" i="9"/>
  <c r="T10" i="9"/>
  <c r="D10" i="9"/>
  <c r="M10" i="9"/>
  <c r="U10" i="9"/>
  <c r="C10" i="9"/>
  <c r="E13" i="1"/>
  <c r="F10" i="9"/>
  <c r="N10" i="9"/>
  <c r="V10" i="9"/>
  <c r="G10" i="9"/>
  <c r="O10" i="9"/>
  <c r="W10" i="9"/>
  <c r="H10" i="9"/>
  <c r="P10" i="9"/>
  <c r="X10" i="9"/>
  <c r="E10" i="2"/>
  <c r="M10" i="2"/>
  <c r="D10" i="2"/>
  <c r="F10" i="2"/>
  <c r="N10" i="2"/>
  <c r="C10" i="2"/>
  <c r="G10" i="2"/>
  <c r="O10" i="2"/>
  <c r="H10" i="2"/>
  <c r="P10" i="2"/>
  <c r="S10" i="2"/>
  <c r="I10" i="2"/>
  <c r="Q10" i="2"/>
  <c r="J10" i="2"/>
  <c r="R10" i="2"/>
  <c r="K10" i="2"/>
  <c r="L10" i="2"/>
  <c r="T10" i="2"/>
  <c r="Y10" i="9"/>
  <c r="K8" i="2"/>
  <c r="S8" i="2"/>
  <c r="Q8" i="2"/>
  <c r="R8" i="2"/>
  <c r="D8" i="2"/>
  <c r="L8" i="2"/>
  <c r="T8" i="2"/>
  <c r="M8" i="2"/>
  <c r="C8" i="2"/>
  <c r="N8" i="2"/>
  <c r="O8" i="2"/>
  <c r="E8" i="2"/>
  <c r="F8" i="2"/>
  <c r="G8" i="2"/>
  <c r="H8" i="2"/>
  <c r="P8" i="2"/>
  <c r="J8" i="2"/>
  <c r="I8" i="2"/>
  <c r="C34" i="3"/>
  <c r="L36" i="3"/>
  <c r="C33" i="3" s="1"/>
  <c r="L47" i="3"/>
  <c r="C38" i="3" s="1"/>
  <c r="E4" i="1"/>
  <c r="E83" i="1" l="1"/>
  <c r="E87" i="1"/>
  <c r="E27" i="1"/>
  <c r="E52" i="1"/>
  <c r="E42" i="1"/>
  <c r="E50" i="1" s="1"/>
  <c r="E14" i="1"/>
  <c r="I3" i="9"/>
  <c r="Q3" i="9"/>
  <c r="Y3" i="9"/>
  <c r="J3" i="9"/>
  <c r="R3" i="9"/>
  <c r="Z3" i="9"/>
  <c r="AA3" i="9"/>
  <c r="K3" i="9"/>
  <c r="S3" i="9"/>
  <c r="C3" i="9"/>
  <c r="D3" i="9"/>
  <c r="L3" i="9"/>
  <c r="T3" i="9"/>
  <c r="E3" i="9"/>
  <c r="M3" i="9"/>
  <c r="U3" i="9"/>
  <c r="F3" i="9"/>
  <c r="N3" i="9"/>
  <c r="V3" i="9"/>
  <c r="G3" i="9"/>
  <c r="O3" i="9"/>
  <c r="W3" i="9"/>
  <c r="H3" i="9"/>
  <c r="P3" i="9"/>
  <c r="X3" i="9"/>
  <c r="E3" i="2"/>
  <c r="M3" i="2"/>
  <c r="D3" i="2"/>
  <c r="I3" i="2"/>
  <c r="K3" i="2"/>
  <c r="F3" i="2"/>
  <c r="N3" i="2"/>
  <c r="C3" i="2"/>
  <c r="G3" i="2"/>
  <c r="O3" i="2"/>
  <c r="H3" i="2"/>
  <c r="P3" i="2"/>
  <c r="Q3" i="2"/>
  <c r="T3" i="2"/>
  <c r="J3" i="2"/>
  <c r="R3" i="2"/>
  <c r="S3" i="2"/>
  <c r="L3" i="2"/>
  <c r="C42" i="3"/>
  <c r="C41" i="3"/>
  <c r="C40" i="3"/>
  <c r="C39" i="3"/>
  <c r="C37" i="3"/>
  <c r="C36" i="3"/>
  <c r="C35" i="3"/>
  <c r="C12" i="3"/>
  <c r="B3" i="6"/>
  <c r="J73" i="9" l="1"/>
  <c r="R73" i="9"/>
  <c r="Z73" i="9"/>
  <c r="I73" i="2"/>
  <c r="Q73" i="2"/>
  <c r="E73" i="9"/>
  <c r="M73" i="9"/>
  <c r="U73" i="9"/>
  <c r="D73" i="2"/>
  <c r="T73" i="2"/>
  <c r="K73" i="9"/>
  <c r="S73" i="9"/>
  <c r="AA73" i="9"/>
  <c r="J73" i="2"/>
  <c r="R73" i="2"/>
  <c r="D73" i="9"/>
  <c r="L73" i="9"/>
  <c r="T73" i="9"/>
  <c r="C73" i="9"/>
  <c r="K73" i="2"/>
  <c r="S73" i="2"/>
  <c r="L73" i="2"/>
  <c r="E73" i="2"/>
  <c r="M73" i="2"/>
  <c r="C73" i="2"/>
  <c r="G73" i="9"/>
  <c r="W73" i="9"/>
  <c r="F73" i="9"/>
  <c r="N73" i="9"/>
  <c r="V73" i="9"/>
  <c r="F73" i="2"/>
  <c r="N73" i="2"/>
  <c r="H73" i="9"/>
  <c r="P73" i="9"/>
  <c r="O73" i="9"/>
  <c r="X73" i="9"/>
  <c r="Q73" i="9"/>
  <c r="Y73" i="9"/>
  <c r="G73" i="2"/>
  <c r="P73" i="2"/>
  <c r="H73" i="2"/>
  <c r="O73" i="2"/>
  <c r="I73" i="9"/>
  <c r="H69" i="9"/>
  <c r="P69" i="9"/>
  <c r="X69" i="9"/>
  <c r="I69" i="2"/>
  <c r="Q69" i="2"/>
  <c r="R69" i="2"/>
  <c r="K69" i="9"/>
  <c r="AA69" i="9"/>
  <c r="L69" i="2"/>
  <c r="D69" i="9"/>
  <c r="I69" i="9"/>
  <c r="Q69" i="9"/>
  <c r="Y69" i="9"/>
  <c r="J69" i="2"/>
  <c r="J69" i="9"/>
  <c r="R69" i="9"/>
  <c r="Z69" i="9"/>
  <c r="K69" i="2"/>
  <c r="S69" i="2"/>
  <c r="S69" i="9"/>
  <c r="D69" i="2"/>
  <c r="T69" i="2"/>
  <c r="L69" i="9"/>
  <c r="T69" i="9"/>
  <c r="E69" i="2"/>
  <c r="M69" i="2"/>
  <c r="C69" i="2"/>
  <c r="M69" i="9"/>
  <c r="U69" i="9"/>
  <c r="E69" i="9"/>
  <c r="F69" i="2"/>
  <c r="N69" i="2"/>
  <c r="F69" i="9"/>
  <c r="W69" i="9"/>
  <c r="P69" i="2"/>
  <c r="C69" i="9"/>
  <c r="V69" i="9"/>
  <c r="O69" i="2"/>
  <c r="O69" i="9"/>
  <c r="H69" i="2"/>
  <c r="G69" i="9"/>
  <c r="N69" i="9"/>
  <c r="G69" i="2"/>
  <c r="E24" i="1"/>
  <c r="E21" i="1"/>
  <c r="E20" i="1"/>
  <c r="E22" i="1"/>
  <c r="E17" i="1"/>
  <c r="E16" i="1"/>
  <c r="E15" i="1"/>
  <c r="E23" i="1"/>
  <c r="E19" i="1"/>
  <c r="E18" i="1"/>
  <c r="E48" i="1"/>
  <c r="E47" i="1"/>
  <c r="E45" i="1"/>
  <c r="E49" i="1"/>
  <c r="E46" i="1"/>
  <c r="E44" i="1"/>
  <c r="E43" i="1"/>
  <c r="E54" i="1"/>
  <c r="E53" i="1"/>
  <c r="E59" i="1"/>
  <c r="E58" i="1"/>
  <c r="E57" i="1"/>
  <c r="E56" i="1"/>
  <c r="E55" i="1"/>
  <c r="E38" i="1"/>
  <c r="E37" i="1"/>
  <c r="E28" i="1"/>
  <c r="E31" i="1"/>
  <c r="E39" i="1"/>
  <c r="E30" i="1"/>
  <c r="E32" i="1"/>
  <c r="E33" i="1"/>
  <c r="E36" i="1"/>
  <c r="E34" i="1"/>
  <c r="E35" i="1"/>
  <c r="E29" i="1"/>
  <c r="B6" i="6"/>
  <c r="O50" i="3"/>
  <c r="O56" i="3"/>
  <c r="C68" i="3" l="1"/>
  <c r="C72" i="3"/>
  <c r="C73" i="3" s="1"/>
  <c r="AA46" i="9"/>
  <c r="K46" i="9"/>
  <c r="S46" i="9"/>
  <c r="C46" i="9"/>
  <c r="K46" i="2"/>
  <c r="S46" i="2"/>
  <c r="P46" i="2"/>
  <c r="D46" i="9"/>
  <c r="L46" i="9"/>
  <c r="T46" i="9"/>
  <c r="D46" i="2"/>
  <c r="L46" i="2"/>
  <c r="T46" i="2"/>
  <c r="X46" i="9"/>
  <c r="E46" i="9"/>
  <c r="M46" i="9"/>
  <c r="U46" i="9"/>
  <c r="E46" i="2"/>
  <c r="M46" i="2"/>
  <c r="F46" i="9"/>
  <c r="N46" i="9"/>
  <c r="V46" i="9"/>
  <c r="F46" i="2"/>
  <c r="N46" i="2"/>
  <c r="P46" i="9"/>
  <c r="G46" i="9"/>
  <c r="O46" i="9"/>
  <c r="W46" i="9"/>
  <c r="G46" i="2"/>
  <c r="O46" i="2"/>
  <c r="I46" i="9"/>
  <c r="Q46" i="9"/>
  <c r="Y46" i="9"/>
  <c r="I46" i="2"/>
  <c r="Q46" i="2"/>
  <c r="H46" i="2"/>
  <c r="J46" i="9"/>
  <c r="R46" i="9"/>
  <c r="Z46" i="9"/>
  <c r="J46" i="2"/>
  <c r="R46" i="2"/>
  <c r="H46" i="9"/>
  <c r="C46" i="2"/>
  <c r="G12" i="9"/>
  <c r="O12" i="9"/>
  <c r="W12" i="9"/>
  <c r="H12" i="9"/>
  <c r="P12" i="9"/>
  <c r="X12" i="9"/>
  <c r="I12" i="9"/>
  <c r="Q12" i="9"/>
  <c r="AA12" i="9"/>
  <c r="J12" i="9"/>
  <c r="R12" i="9"/>
  <c r="D12" i="9"/>
  <c r="K12" i="9"/>
  <c r="S12" i="9"/>
  <c r="C12" i="9"/>
  <c r="L12" i="9"/>
  <c r="T12" i="9"/>
  <c r="E12" i="9"/>
  <c r="M12" i="9"/>
  <c r="U12" i="9"/>
  <c r="F12" i="9"/>
  <c r="N12" i="9"/>
  <c r="V12" i="9"/>
  <c r="M12" i="2"/>
  <c r="K12" i="2"/>
  <c r="I12" i="2"/>
  <c r="S12" i="2"/>
  <c r="Q12" i="2"/>
  <c r="N12" i="2"/>
  <c r="F12" i="2"/>
  <c r="L12" i="2"/>
  <c r="G12" i="2"/>
  <c r="T12" i="2"/>
  <c r="J12" i="2"/>
  <c r="D12" i="2"/>
  <c r="H12" i="2"/>
  <c r="R12" i="2"/>
  <c r="C12" i="2"/>
  <c r="P12" i="2"/>
  <c r="E12" i="2"/>
  <c r="O12" i="2"/>
  <c r="Z12" i="9"/>
  <c r="Y12" i="9"/>
  <c r="K27" i="9"/>
  <c r="S27" i="9"/>
  <c r="AA27" i="9"/>
  <c r="D27" i="2"/>
  <c r="L27" i="2"/>
  <c r="T27" i="2"/>
  <c r="D27" i="9"/>
  <c r="L27" i="9"/>
  <c r="T27" i="9"/>
  <c r="C27" i="9"/>
  <c r="E27" i="2"/>
  <c r="M27" i="2"/>
  <c r="C27" i="2"/>
  <c r="E27" i="9"/>
  <c r="M27" i="9"/>
  <c r="U27" i="9"/>
  <c r="F27" i="2"/>
  <c r="N27" i="2"/>
  <c r="F27" i="9"/>
  <c r="N27" i="9"/>
  <c r="V27" i="9"/>
  <c r="G27" i="2"/>
  <c r="O27" i="2"/>
  <c r="G27" i="9"/>
  <c r="O27" i="9"/>
  <c r="W27" i="9"/>
  <c r="H27" i="2"/>
  <c r="P27" i="2"/>
  <c r="H27" i="9"/>
  <c r="P27" i="9"/>
  <c r="X27" i="9"/>
  <c r="I27" i="2"/>
  <c r="Q27" i="2"/>
  <c r="I27" i="9"/>
  <c r="Q27" i="9"/>
  <c r="Y27" i="9"/>
  <c r="J27" i="2"/>
  <c r="R27" i="2"/>
  <c r="J27" i="9"/>
  <c r="R27" i="9"/>
  <c r="Z27" i="9"/>
  <c r="K27" i="2"/>
  <c r="S27" i="2"/>
  <c r="D38" i="9"/>
  <c r="L38" i="9"/>
  <c r="T38" i="9"/>
  <c r="K38" i="2"/>
  <c r="S38" i="2"/>
  <c r="E38" i="9"/>
  <c r="M38" i="9"/>
  <c r="U38" i="9"/>
  <c r="L38" i="2"/>
  <c r="T38" i="2"/>
  <c r="F38" i="9"/>
  <c r="N38" i="9"/>
  <c r="V38" i="9"/>
  <c r="E38" i="2"/>
  <c r="M38" i="2"/>
  <c r="D38" i="2"/>
  <c r="G38" i="9"/>
  <c r="O38" i="9"/>
  <c r="W38" i="9"/>
  <c r="C38" i="9"/>
  <c r="F38" i="2"/>
  <c r="N38" i="2"/>
  <c r="C38" i="2"/>
  <c r="H38" i="9"/>
  <c r="P38" i="9"/>
  <c r="X38" i="9"/>
  <c r="G38" i="2"/>
  <c r="O38" i="2"/>
  <c r="I38" i="9"/>
  <c r="Q38" i="9"/>
  <c r="Y38" i="9"/>
  <c r="H38" i="2"/>
  <c r="P38" i="2"/>
  <c r="J38" i="9"/>
  <c r="R38" i="9"/>
  <c r="Z38" i="9"/>
  <c r="I38" i="2"/>
  <c r="Q38" i="2"/>
  <c r="K38" i="9"/>
  <c r="S38" i="9"/>
  <c r="AA38" i="9"/>
  <c r="J38" i="2"/>
  <c r="R38" i="2"/>
  <c r="E13" i="9"/>
  <c r="M13" i="9"/>
  <c r="U13" i="9"/>
  <c r="F13" i="9"/>
  <c r="N13" i="9"/>
  <c r="V13" i="9"/>
  <c r="G13" i="9"/>
  <c r="O13" i="9"/>
  <c r="W13" i="9"/>
  <c r="H13" i="9"/>
  <c r="P13" i="9"/>
  <c r="X13" i="9"/>
  <c r="I13" i="9"/>
  <c r="Q13" i="9"/>
  <c r="AA13" i="9"/>
  <c r="J13" i="9"/>
  <c r="R13" i="9"/>
  <c r="C13" i="9"/>
  <c r="K13" i="9"/>
  <c r="S13" i="9"/>
  <c r="D13" i="9"/>
  <c r="L13" i="9"/>
  <c r="T13" i="9"/>
  <c r="I13" i="2"/>
  <c r="S13" i="2"/>
  <c r="C13" i="2"/>
  <c r="Q13" i="2"/>
  <c r="D13" i="2"/>
  <c r="G13" i="2"/>
  <c r="O13" i="2"/>
  <c r="L13" i="2"/>
  <c r="H13" i="2"/>
  <c r="T13" i="2"/>
  <c r="J13" i="2"/>
  <c r="N13" i="2"/>
  <c r="R13" i="2"/>
  <c r="P13" i="2"/>
  <c r="F13" i="2"/>
  <c r="E13" i="2"/>
  <c r="K13" i="2"/>
  <c r="M13" i="2"/>
  <c r="Z13" i="9"/>
  <c r="Y13" i="9"/>
  <c r="I25" i="9"/>
  <c r="Q25" i="9"/>
  <c r="Y25" i="9"/>
  <c r="J25" i="2"/>
  <c r="R25" i="2"/>
  <c r="J25" i="9"/>
  <c r="R25" i="9"/>
  <c r="Z25" i="9"/>
  <c r="K25" i="2"/>
  <c r="S25" i="2"/>
  <c r="K25" i="9"/>
  <c r="S25" i="9"/>
  <c r="AA25" i="9"/>
  <c r="L25" i="2"/>
  <c r="T25" i="2"/>
  <c r="D25" i="9"/>
  <c r="L25" i="9"/>
  <c r="T25" i="9"/>
  <c r="C25" i="9"/>
  <c r="M25" i="2"/>
  <c r="E25" i="2"/>
  <c r="E25" i="9"/>
  <c r="M25" i="9"/>
  <c r="U25" i="9"/>
  <c r="F25" i="2"/>
  <c r="N25" i="2"/>
  <c r="D25" i="2"/>
  <c r="F25" i="9"/>
  <c r="N25" i="9"/>
  <c r="V25" i="9"/>
  <c r="G25" i="2"/>
  <c r="O25" i="2"/>
  <c r="C25" i="2"/>
  <c r="G25" i="9"/>
  <c r="O25" i="9"/>
  <c r="W25" i="9"/>
  <c r="H25" i="2"/>
  <c r="P25" i="2"/>
  <c r="H25" i="9"/>
  <c r="P25" i="9"/>
  <c r="X25" i="9"/>
  <c r="I25" i="2"/>
  <c r="Q25" i="2"/>
  <c r="T40" i="9"/>
  <c r="F40" i="9"/>
  <c r="N40" i="9"/>
  <c r="F40" i="2"/>
  <c r="N40" i="2"/>
  <c r="U40" i="9"/>
  <c r="G40" i="9"/>
  <c r="O40" i="9"/>
  <c r="C40" i="9"/>
  <c r="G40" i="2"/>
  <c r="O40" i="2"/>
  <c r="V40" i="9"/>
  <c r="H40" i="9"/>
  <c r="P40" i="9"/>
  <c r="H40" i="2"/>
  <c r="P40" i="2"/>
  <c r="W40" i="9"/>
  <c r="I40" i="9"/>
  <c r="Q40" i="9"/>
  <c r="I40" i="2"/>
  <c r="Q40" i="2"/>
  <c r="X40" i="9"/>
  <c r="J40" i="9"/>
  <c r="R40" i="9"/>
  <c r="J40" i="2"/>
  <c r="R40" i="2"/>
  <c r="Y40" i="9"/>
  <c r="K40" i="9"/>
  <c r="S40" i="9"/>
  <c r="K40" i="2"/>
  <c r="S40" i="2"/>
  <c r="Z40" i="9"/>
  <c r="D40" i="9"/>
  <c r="L40" i="9"/>
  <c r="D40" i="2"/>
  <c r="L40" i="2"/>
  <c r="T40" i="2"/>
  <c r="AA40" i="9"/>
  <c r="E40" i="9"/>
  <c r="M40" i="9"/>
  <c r="E40" i="2"/>
  <c r="M40" i="2"/>
  <c r="C40" i="2"/>
  <c r="D14" i="9"/>
  <c r="L14" i="9"/>
  <c r="T14" i="9"/>
  <c r="E14" i="9"/>
  <c r="M14" i="9"/>
  <c r="U14" i="9"/>
  <c r="F14" i="9"/>
  <c r="N14" i="9"/>
  <c r="V14" i="9"/>
  <c r="G14" i="9"/>
  <c r="O14" i="9"/>
  <c r="W14" i="9"/>
  <c r="H14" i="9"/>
  <c r="P14" i="9"/>
  <c r="X14" i="9"/>
  <c r="I14" i="9"/>
  <c r="Q14" i="9"/>
  <c r="AA14" i="9"/>
  <c r="J14" i="9"/>
  <c r="R14" i="9"/>
  <c r="C14" i="9"/>
  <c r="K14" i="9"/>
  <c r="S14" i="9"/>
  <c r="K14" i="2"/>
  <c r="M14" i="2"/>
  <c r="O14" i="2"/>
  <c r="S14" i="2"/>
  <c r="C14" i="2"/>
  <c r="R14" i="2"/>
  <c r="H14" i="2"/>
  <c r="P14" i="2"/>
  <c r="I14" i="2"/>
  <c r="J14" i="2"/>
  <c r="D14" i="2"/>
  <c r="F14" i="2"/>
  <c r="L14" i="2"/>
  <c r="N14" i="2"/>
  <c r="T14" i="2"/>
  <c r="Q14" i="2"/>
  <c r="E14" i="2"/>
  <c r="G14" i="2"/>
  <c r="Y14" i="9"/>
  <c r="Z14" i="9"/>
  <c r="I33" i="9"/>
  <c r="Q33" i="9"/>
  <c r="Y33" i="9"/>
  <c r="H33" i="2"/>
  <c r="P33" i="2"/>
  <c r="J33" i="9"/>
  <c r="R33" i="9"/>
  <c r="Z33" i="9"/>
  <c r="I33" i="2"/>
  <c r="Q33" i="2"/>
  <c r="K33" i="9"/>
  <c r="S33" i="9"/>
  <c r="AA33" i="9"/>
  <c r="J33" i="2"/>
  <c r="R33" i="2"/>
  <c r="D33" i="9"/>
  <c r="L33" i="9"/>
  <c r="T33" i="9"/>
  <c r="C33" i="9"/>
  <c r="K33" i="2"/>
  <c r="S33" i="2"/>
  <c r="E33" i="9"/>
  <c r="M33" i="9"/>
  <c r="U33" i="9"/>
  <c r="D33" i="2"/>
  <c r="L33" i="2"/>
  <c r="T33" i="2"/>
  <c r="F33" i="9"/>
  <c r="N33" i="9"/>
  <c r="V33" i="9"/>
  <c r="E33" i="2"/>
  <c r="M33" i="2"/>
  <c r="C33" i="2"/>
  <c r="G33" i="9"/>
  <c r="O33" i="9"/>
  <c r="W33" i="9"/>
  <c r="F33" i="2"/>
  <c r="N33" i="2"/>
  <c r="H33" i="9"/>
  <c r="P33" i="9"/>
  <c r="X33" i="9"/>
  <c r="G33" i="2"/>
  <c r="O33" i="2"/>
  <c r="J48" i="9"/>
  <c r="R48" i="9"/>
  <c r="Z48" i="9"/>
  <c r="I48" i="2"/>
  <c r="Q48" i="2"/>
  <c r="N48" i="2"/>
  <c r="K48" i="9"/>
  <c r="S48" i="9"/>
  <c r="AA48" i="9"/>
  <c r="J48" i="2"/>
  <c r="R48" i="2"/>
  <c r="W48" i="9"/>
  <c r="D48" i="9"/>
  <c r="L48" i="9"/>
  <c r="T48" i="9"/>
  <c r="C48" i="9"/>
  <c r="K48" i="2"/>
  <c r="S48" i="2"/>
  <c r="E48" i="9"/>
  <c r="M48" i="9"/>
  <c r="U48" i="9"/>
  <c r="D48" i="2"/>
  <c r="L48" i="2"/>
  <c r="T48" i="2"/>
  <c r="G48" i="9"/>
  <c r="F48" i="9"/>
  <c r="N48" i="9"/>
  <c r="V48" i="9"/>
  <c r="E48" i="2"/>
  <c r="M48" i="2"/>
  <c r="C48" i="2"/>
  <c r="F48" i="2"/>
  <c r="H48" i="9"/>
  <c r="P48" i="9"/>
  <c r="X48" i="9"/>
  <c r="G48" i="2"/>
  <c r="O48" i="2"/>
  <c r="O48" i="9"/>
  <c r="I48" i="9"/>
  <c r="Q48" i="9"/>
  <c r="Y48" i="9"/>
  <c r="H48" i="2"/>
  <c r="P48" i="2"/>
  <c r="H43" i="9"/>
  <c r="P43" i="9"/>
  <c r="X43" i="9"/>
  <c r="F43" i="2"/>
  <c r="N43" i="2"/>
  <c r="I43" i="9"/>
  <c r="Q43" i="9"/>
  <c r="Y43" i="9"/>
  <c r="G43" i="2"/>
  <c r="O43" i="2"/>
  <c r="J43" i="9"/>
  <c r="R43" i="9"/>
  <c r="Z43" i="9"/>
  <c r="H43" i="2"/>
  <c r="P43" i="2"/>
  <c r="K43" i="9"/>
  <c r="S43" i="9"/>
  <c r="AA43" i="9"/>
  <c r="I43" i="2"/>
  <c r="Q43" i="2"/>
  <c r="D43" i="9"/>
  <c r="L43" i="9"/>
  <c r="T43" i="9"/>
  <c r="C43" i="9"/>
  <c r="J43" i="2"/>
  <c r="R43" i="2"/>
  <c r="E43" i="9"/>
  <c r="M43" i="9"/>
  <c r="U43" i="9"/>
  <c r="K43" i="2"/>
  <c r="S43" i="2"/>
  <c r="F43" i="9"/>
  <c r="N43" i="9"/>
  <c r="V43" i="9"/>
  <c r="D43" i="2"/>
  <c r="L43" i="2"/>
  <c r="T43" i="2"/>
  <c r="G43" i="9"/>
  <c r="O43" i="9"/>
  <c r="W43" i="9"/>
  <c r="E43" i="2"/>
  <c r="M43" i="2"/>
  <c r="C43" i="2"/>
  <c r="D19" i="9"/>
  <c r="L19" i="9"/>
  <c r="T19" i="9"/>
  <c r="C19" i="9"/>
  <c r="K19" i="2"/>
  <c r="S19" i="2"/>
  <c r="E19" i="9"/>
  <c r="M19" i="9"/>
  <c r="U19" i="9"/>
  <c r="D19" i="2"/>
  <c r="L19" i="2"/>
  <c r="T19" i="2"/>
  <c r="F19" i="9"/>
  <c r="N19" i="9"/>
  <c r="V19" i="9"/>
  <c r="E19" i="2"/>
  <c r="M19" i="2"/>
  <c r="C19" i="2"/>
  <c r="G19" i="9"/>
  <c r="O19" i="9"/>
  <c r="W19" i="9"/>
  <c r="F19" i="2"/>
  <c r="N19" i="2"/>
  <c r="H19" i="9"/>
  <c r="P19" i="9"/>
  <c r="X19" i="9"/>
  <c r="G19" i="2"/>
  <c r="O19" i="2"/>
  <c r="I19" i="9"/>
  <c r="Q19" i="9"/>
  <c r="Y19" i="9"/>
  <c r="H19" i="2"/>
  <c r="P19" i="2"/>
  <c r="J19" i="9"/>
  <c r="R19" i="9"/>
  <c r="Z19" i="9"/>
  <c r="I19" i="2"/>
  <c r="Q19" i="2"/>
  <c r="K19" i="9"/>
  <c r="S19" i="9"/>
  <c r="AA19" i="9"/>
  <c r="J19" i="2"/>
  <c r="R19" i="2"/>
  <c r="H32" i="9"/>
  <c r="P32" i="9"/>
  <c r="X32" i="9"/>
  <c r="F32" i="2"/>
  <c r="N32" i="2"/>
  <c r="I32" i="9"/>
  <c r="Q32" i="9"/>
  <c r="Y32" i="9"/>
  <c r="G32" i="2"/>
  <c r="O32" i="2"/>
  <c r="J32" i="9"/>
  <c r="R32" i="9"/>
  <c r="Z32" i="9"/>
  <c r="H32" i="2"/>
  <c r="P32" i="2"/>
  <c r="K32" i="9"/>
  <c r="S32" i="9"/>
  <c r="AA32" i="9"/>
  <c r="I32" i="2"/>
  <c r="Q32" i="2"/>
  <c r="D32" i="9"/>
  <c r="L32" i="9"/>
  <c r="T32" i="9"/>
  <c r="C32" i="9"/>
  <c r="J32" i="2"/>
  <c r="R32" i="2"/>
  <c r="E32" i="9"/>
  <c r="M32" i="9"/>
  <c r="U32" i="9"/>
  <c r="K32" i="2"/>
  <c r="S32" i="2"/>
  <c r="F32" i="9"/>
  <c r="N32" i="9"/>
  <c r="V32" i="9"/>
  <c r="D32" i="2"/>
  <c r="L32" i="2"/>
  <c r="T32" i="2"/>
  <c r="G32" i="9"/>
  <c r="O32" i="9"/>
  <c r="W32" i="9"/>
  <c r="E32" i="2"/>
  <c r="M32" i="2"/>
  <c r="C32" i="2"/>
  <c r="D34" i="2"/>
  <c r="L34" i="2"/>
  <c r="T34" i="2"/>
  <c r="J34" i="9"/>
  <c r="R34" i="9"/>
  <c r="Z34" i="9"/>
  <c r="E34" i="2"/>
  <c r="M34" i="2"/>
  <c r="C34" i="2"/>
  <c r="K34" i="9"/>
  <c r="S34" i="9"/>
  <c r="AA34" i="9"/>
  <c r="F34" i="2"/>
  <c r="N34" i="2"/>
  <c r="D34" i="9"/>
  <c r="L34" i="9"/>
  <c r="T34" i="9"/>
  <c r="C34" i="9"/>
  <c r="G34" i="2"/>
  <c r="O34" i="2"/>
  <c r="E34" i="9"/>
  <c r="M34" i="9"/>
  <c r="U34" i="9"/>
  <c r="H34" i="2"/>
  <c r="P34" i="2"/>
  <c r="F34" i="9"/>
  <c r="N34" i="9"/>
  <c r="V34" i="9"/>
  <c r="I34" i="2"/>
  <c r="Q34" i="2"/>
  <c r="G34" i="9"/>
  <c r="O34" i="9"/>
  <c r="W34" i="9"/>
  <c r="J34" i="2"/>
  <c r="R34" i="2"/>
  <c r="H34" i="9"/>
  <c r="P34" i="9"/>
  <c r="X34" i="9"/>
  <c r="K34" i="2"/>
  <c r="S34" i="2"/>
  <c r="I34" i="9"/>
  <c r="Q34" i="9"/>
  <c r="Y34" i="9"/>
  <c r="E49" i="9"/>
  <c r="M49" i="9"/>
  <c r="U49" i="9"/>
  <c r="D49" i="2"/>
  <c r="L49" i="2"/>
  <c r="T49" i="2"/>
  <c r="I49" i="2"/>
  <c r="F49" i="9"/>
  <c r="N49" i="9"/>
  <c r="V49" i="9"/>
  <c r="E49" i="2"/>
  <c r="M49" i="2"/>
  <c r="C49" i="2"/>
  <c r="J49" i="9"/>
  <c r="G49" i="9"/>
  <c r="O49" i="9"/>
  <c r="W49" i="9"/>
  <c r="F49" i="2"/>
  <c r="N49" i="2"/>
  <c r="Q49" i="2"/>
  <c r="H49" i="9"/>
  <c r="P49" i="9"/>
  <c r="X49" i="9"/>
  <c r="G49" i="2"/>
  <c r="O49" i="2"/>
  <c r="I49" i="9"/>
  <c r="Q49" i="9"/>
  <c r="Y49" i="9"/>
  <c r="H49" i="2"/>
  <c r="P49" i="2"/>
  <c r="K49" i="9"/>
  <c r="S49" i="9"/>
  <c r="AA49" i="9"/>
  <c r="J49" i="2"/>
  <c r="R49" i="2"/>
  <c r="R49" i="9"/>
  <c r="D49" i="9"/>
  <c r="L49" i="9"/>
  <c r="T49" i="9"/>
  <c r="C49" i="9"/>
  <c r="K49" i="2"/>
  <c r="S49" i="2"/>
  <c r="Z49" i="9"/>
  <c r="V39" i="9"/>
  <c r="F39" i="9"/>
  <c r="N39" i="9"/>
  <c r="D39" i="2"/>
  <c r="L39" i="2"/>
  <c r="T39" i="2"/>
  <c r="W39" i="9"/>
  <c r="G39" i="9"/>
  <c r="O39" i="9"/>
  <c r="E39" i="2"/>
  <c r="M39" i="2"/>
  <c r="C39" i="2"/>
  <c r="X39" i="9"/>
  <c r="H39" i="9"/>
  <c r="P39" i="9"/>
  <c r="C39" i="9"/>
  <c r="F39" i="2"/>
  <c r="N39" i="2"/>
  <c r="Y39" i="9"/>
  <c r="I39" i="9"/>
  <c r="Q39" i="9"/>
  <c r="G39" i="2"/>
  <c r="O39" i="2"/>
  <c r="Z39" i="9"/>
  <c r="J39" i="9"/>
  <c r="R39" i="9"/>
  <c r="H39" i="2"/>
  <c r="P39" i="2"/>
  <c r="AA39" i="9"/>
  <c r="K39" i="9"/>
  <c r="S39" i="9"/>
  <c r="I39" i="2"/>
  <c r="Q39" i="2"/>
  <c r="D39" i="9"/>
  <c r="L39" i="9"/>
  <c r="T39" i="9"/>
  <c r="J39" i="2"/>
  <c r="R39" i="2"/>
  <c r="E39" i="9"/>
  <c r="M39" i="9"/>
  <c r="U39" i="9"/>
  <c r="K39" i="2"/>
  <c r="S39" i="2"/>
  <c r="I17" i="9"/>
  <c r="Q17" i="9"/>
  <c r="AA17" i="9"/>
  <c r="J17" i="9"/>
  <c r="R17" i="9"/>
  <c r="C17" i="9"/>
  <c r="K17" i="9"/>
  <c r="S17" i="9"/>
  <c r="D17" i="9"/>
  <c r="L17" i="9"/>
  <c r="T17" i="9"/>
  <c r="E17" i="9"/>
  <c r="M17" i="9"/>
  <c r="U17" i="9"/>
  <c r="F17" i="9"/>
  <c r="N17" i="9"/>
  <c r="V17" i="9"/>
  <c r="G17" i="9"/>
  <c r="O17" i="9"/>
  <c r="W17" i="9"/>
  <c r="H17" i="9"/>
  <c r="P17" i="9"/>
  <c r="X17" i="9"/>
  <c r="K17" i="2"/>
  <c r="M17" i="2"/>
  <c r="S17" i="2"/>
  <c r="C17" i="2"/>
  <c r="I17" i="2"/>
  <c r="F17" i="2"/>
  <c r="O17" i="2"/>
  <c r="Q17" i="2"/>
  <c r="D17" i="2"/>
  <c r="H17" i="2"/>
  <c r="N17" i="2"/>
  <c r="L17" i="2"/>
  <c r="J17" i="2"/>
  <c r="T17" i="2"/>
  <c r="R17" i="2"/>
  <c r="G17" i="2"/>
  <c r="P17" i="2"/>
  <c r="E17" i="2"/>
  <c r="Z17" i="9"/>
  <c r="Y17" i="9"/>
  <c r="F30" i="9"/>
  <c r="N30" i="9"/>
  <c r="V30" i="9"/>
  <c r="M30" i="2"/>
  <c r="D30" i="2"/>
  <c r="G30" i="9"/>
  <c r="O30" i="9"/>
  <c r="W30" i="9"/>
  <c r="N30" i="2"/>
  <c r="E30" i="2"/>
  <c r="H30" i="9"/>
  <c r="P30" i="9"/>
  <c r="X30" i="9"/>
  <c r="G30" i="2"/>
  <c r="O30" i="2"/>
  <c r="F30" i="2"/>
  <c r="I30" i="9"/>
  <c r="Q30" i="9"/>
  <c r="Y30" i="9"/>
  <c r="H30" i="2"/>
  <c r="P30" i="2"/>
  <c r="C30" i="2"/>
  <c r="J30" i="9"/>
  <c r="R30" i="9"/>
  <c r="Z30" i="9"/>
  <c r="I30" i="2"/>
  <c r="Q30" i="2"/>
  <c r="K30" i="9"/>
  <c r="S30" i="9"/>
  <c r="AA30" i="9"/>
  <c r="J30" i="2"/>
  <c r="R30" i="2"/>
  <c r="D30" i="9"/>
  <c r="L30" i="9"/>
  <c r="T30" i="9"/>
  <c r="C30" i="9"/>
  <c r="K30" i="2"/>
  <c r="S30" i="2"/>
  <c r="E30" i="9"/>
  <c r="M30" i="9"/>
  <c r="U30" i="9"/>
  <c r="L30" i="2"/>
  <c r="T30" i="2"/>
  <c r="E29" i="9"/>
  <c r="M29" i="9"/>
  <c r="U29" i="9"/>
  <c r="H29" i="2"/>
  <c r="P29" i="2"/>
  <c r="F29" i="9"/>
  <c r="N29" i="9"/>
  <c r="V29" i="9"/>
  <c r="I29" i="2"/>
  <c r="Q29" i="2"/>
  <c r="G29" i="9"/>
  <c r="O29" i="9"/>
  <c r="W29" i="9"/>
  <c r="J29" i="2"/>
  <c r="R29" i="2"/>
  <c r="H29" i="9"/>
  <c r="P29" i="9"/>
  <c r="X29" i="9"/>
  <c r="K29" i="2"/>
  <c r="S29" i="2"/>
  <c r="I29" i="9"/>
  <c r="Q29" i="9"/>
  <c r="Y29" i="9"/>
  <c r="D29" i="2"/>
  <c r="L29" i="2"/>
  <c r="T29" i="2"/>
  <c r="J29" i="9"/>
  <c r="R29" i="9"/>
  <c r="Z29" i="9"/>
  <c r="E29" i="2"/>
  <c r="M29" i="2"/>
  <c r="C29" i="2"/>
  <c r="K29" i="9"/>
  <c r="S29" i="9"/>
  <c r="AA29" i="9"/>
  <c r="F29" i="2"/>
  <c r="N29" i="2"/>
  <c r="D29" i="9"/>
  <c r="L29" i="9"/>
  <c r="T29" i="9"/>
  <c r="C29" i="9"/>
  <c r="G29" i="2"/>
  <c r="O29" i="2"/>
  <c r="H50" i="9"/>
  <c r="P50" i="9"/>
  <c r="X50" i="9"/>
  <c r="G50" i="2"/>
  <c r="O50" i="2"/>
  <c r="L50" i="2"/>
  <c r="I50" i="9"/>
  <c r="Q50" i="9"/>
  <c r="Y50" i="9"/>
  <c r="H50" i="2"/>
  <c r="P50" i="2"/>
  <c r="M50" i="9"/>
  <c r="J50" i="9"/>
  <c r="R50" i="9"/>
  <c r="Z50" i="9"/>
  <c r="I50" i="2"/>
  <c r="Q50" i="2"/>
  <c r="U50" i="9"/>
  <c r="K50" i="9"/>
  <c r="S50" i="9"/>
  <c r="AA50" i="9"/>
  <c r="J50" i="2"/>
  <c r="R50" i="2"/>
  <c r="D50" i="9"/>
  <c r="L50" i="9"/>
  <c r="T50" i="9"/>
  <c r="C50" i="9"/>
  <c r="K50" i="2"/>
  <c r="S50" i="2"/>
  <c r="T50" i="2"/>
  <c r="F50" i="9"/>
  <c r="N50" i="9"/>
  <c r="V50" i="9"/>
  <c r="E50" i="2"/>
  <c r="M50" i="2"/>
  <c r="C50" i="2"/>
  <c r="E50" i="9"/>
  <c r="G50" i="9"/>
  <c r="O50" i="9"/>
  <c r="W50" i="9"/>
  <c r="F50" i="2"/>
  <c r="N50" i="2"/>
  <c r="D50" i="2"/>
  <c r="Z41" i="9"/>
  <c r="J41" i="9"/>
  <c r="R41" i="9"/>
  <c r="C41" i="9"/>
  <c r="I41" i="2"/>
  <c r="Q41" i="2"/>
  <c r="AA41" i="9"/>
  <c r="K41" i="9"/>
  <c r="S41" i="9"/>
  <c r="J41" i="2"/>
  <c r="R41" i="2"/>
  <c r="D41" i="9"/>
  <c r="L41" i="9"/>
  <c r="T41" i="9"/>
  <c r="K41" i="2"/>
  <c r="S41" i="2"/>
  <c r="E41" i="9"/>
  <c r="M41" i="9"/>
  <c r="U41" i="9"/>
  <c r="L41" i="2"/>
  <c r="T41" i="2"/>
  <c r="F41" i="9"/>
  <c r="N41" i="9"/>
  <c r="V41" i="9"/>
  <c r="E41" i="2"/>
  <c r="M41" i="2"/>
  <c r="D41" i="2"/>
  <c r="G41" i="9"/>
  <c r="O41" i="9"/>
  <c r="W41" i="9"/>
  <c r="F41" i="2"/>
  <c r="N41" i="2"/>
  <c r="C41" i="2"/>
  <c r="X41" i="9"/>
  <c r="H41" i="9"/>
  <c r="P41" i="9"/>
  <c r="G41" i="2"/>
  <c r="O41" i="2"/>
  <c r="Y41" i="9"/>
  <c r="I41" i="9"/>
  <c r="Q41" i="9"/>
  <c r="H41" i="2"/>
  <c r="P41" i="2"/>
  <c r="K15" i="9"/>
  <c r="S15" i="9"/>
  <c r="D15" i="9"/>
  <c r="L15" i="9"/>
  <c r="T15" i="9"/>
  <c r="E15" i="9"/>
  <c r="M15" i="9"/>
  <c r="U15" i="9"/>
  <c r="F15" i="9"/>
  <c r="N15" i="9"/>
  <c r="V15" i="9"/>
  <c r="G15" i="9"/>
  <c r="O15" i="9"/>
  <c r="W15" i="9"/>
  <c r="H15" i="9"/>
  <c r="P15" i="9"/>
  <c r="X15" i="9"/>
  <c r="I15" i="9"/>
  <c r="Q15" i="9"/>
  <c r="AA15" i="9"/>
  <c r="J15" i="9"/>
  <c r="R15" i="9"/>
  <c r="C15" i="9"/>
  <c r="N15" i="2"/>
  <c r="D15" i="2"/>
  <c r="J15" i="2"/>
  <c r="I15" i="2"/>
  <c r="T15" i="2"/>
  <c r="Q15" i="2"/>
  <c r="G15" i="2"/>
  <c r="R15" i="2"/>
  <c r="E15" i="2"/>
  <c r="O15" i="2"/>
  <c r="S15" i="2"/>
  <c r="M15" i="2"/>
  <c r="H15" i="2"/>
  <c r="L15" i="2"/>
  <c r="C15" i="2"/>
  <c r="P15" i="2"/>
  <c r="F15" i="2"/>
  <c r="K15" i="2"/>
  <c r="Y15" i="9"/>
  <c r="Z15" i="9"/>
  <c r="J18" i="9"/>
  <c r="R18" i="9"/>
  <c r="AA18" i="9"/>
  <c r="K18" i="9"/>
  <c r="S18" i="9"/>
  <c r="D18" i="9"/>
  <c r="L18" i="9"/>
  <c r="T18" i="9"/>
  <c r="C18" i="9"/>
  <c r="E18" i="9"/>
  <c r="M18" i="9"/>
  <c r="U18" i="9"/>
  <c r="F18" i="9"/>
  <c r="N18" i="9"/>
  <c r="V18" i="9"/>
  <c r="G18" i="9"/>
  <c r="O18" i="9"/>
  <c r="W18" i="9"/>
  <c r="H18" i="9"/>
  <c r="P18" i="9"/>
  <c r="X18" i="9"/>
  <c r="I18" i="9"/>
  <c r="Q18" i="9"/>
  <c r="Z18" i="9"/>
  <c r="L18" i="2"/>
  <c r="R18" i="2"/>
  <c r="T18" i="2"/>
  <c r="F18" i="2"/>
  <c r="H18" i="2"/>
  <c r="N18" i="2"/>
  <c r="J18" i="2"/>
  <c r="I18" i="2"/>
  <c r="K18" i="2"/>
  <c r="E18" i="2"/>
  <c r="G18" i="2"/>
  <c r="S18" i="2"/>
  <c r="M18" i="2"/>
  <c r="O18" i="2"/>
  <c r="P18" i="2"/>
  <c r="C18" i="2"/>
  <c r="D18" i="2"/>
  <c r="Q18" i="2"/>
  <c r="Y18" i="9"/>
  <c r="G31" i="9"/>
  <c r="O31" i="9"/>
  <c r="W31" i="9"/>
  <c r="D31" i="2"/>
  <c r="L31" i="2"/>
  <c r="T31" i="2"/>
  <c r="H31" i="9"/>
  <c r="P31" i="9"/>
  <c r="X31" i="9"/>
  <c r="E31" i="2"/>
  <c r="M31" i="2"/>
  <c r="C31" i="2"/>
  <c r="I31" i="9"/>
  <c r="Q31" i="9"/>
  <c r="Y31" i="9"/>
  <c r="F31" i="2"/>
  <c r="N31" i="2"/>
  <c r="J31" i="9"/>
  <c r="R31" i="9"/>
  <c r="Z31" i="9"/>
  <c r="G31" i="2"/>
  <c r="O31" i="2"/>
  <c r="K31" i="9"/>
  <c r="S31" i="9"/>
  <c r="AA31" i="9"/>
  <c r="H31" i="2"/>
  <c r="P31" i="2"/>
  <c r="D31" i="9"/>
  <c r="L31" i="9"/>
  <c r="T31" i="9"/>
  <c r="C31" i="9"/>
  <c r="I31" i="2"/>
  <c r="Q31" i="2"/>
  <c r="E31" i="9"/>
  <c r="M31" i="9"/>
  <c r="U31" i="9"/>
  <c r="J31" i="2"/>
  <c r="R31" i="2"/>
  <c r="F31" i="9"/>
  <c r="N31" i="9"/>
  <c r="V31" i="9"/>
  <c r="K31" i="2"/>
  <c r="S31" i="2"/>
  <c r="D28" i="9"/>
  <c r="L28" i="9"/>
  <c r="T28" i="9"/>
  <c r="C28" i="9"/>
  <c r="F28" i="2"/>
  <c r="N28" i="2"/>
  <c r="E28" i="9"/>
  <c r="M28" i="9"/>
  <c r="U28" i="9"/>
  <c r="G28" i="2"/>
  <c r="O28" i="2"/>
  <c r="F28" i="9"/>
  <c r="N28" i="9"/>
  <c r="V28" i="9"/>
  <c r="H28" i="2"/>
  <c r="P28" i="2"/>
  <c r="G28" i="9"/>
  <c r="O28" i="9"/>
  <c r="W28" i="9"/>
  <c r="I28" i="2"/>
  <c r="Q28" i="2"/>
  <c r="H28" i="9"/>
  <c r="P28" i="9"/>
  <c r="X28" i="9"/>
  <c r="J28" i="2"/>
  <c r="R28" i="2"/>
  <c r="I28" i="9"/>
  <c r="Q28" i="9"/>
  <c r="Y28" i="9"/>
  <c r="K28" i="2"/>
  <c r="S28" i="2"/>
  <c r="J28" i="9"/>
  <c r="R28" i="9"/>
  <c r="Z28" i="9"/>
  <c r="D28" i="2"/>
  <c r="L28" i="2"/>
  <c r="T28" i="2"/>
  <c r="K28" i="9"/>
  <c r="S28" i="9"/>
  <c r="AA28" i="9"/>
  <c r="E28" i="2"/>
  <c r="M28" i="2"/>
  <c r="C28" i="2"/>
  <c r="K51" i="9"/>
  <c r="S51" i="9"/>
  <c r="AA51" i="9"/>
  <c r="J51" i="2"/>
  <c r="R51" i="2"/>
  <c r="O51" i="2"/>
  <c r="D51" i="9"/>
  <c r="L51" i="9"/>
  <c r="T51" i="9"/>
  <c r="C51" i="9"/>
  <c r="K51" i="2"/>
  <c r="S51" i="2"/>
  <c r="E51" i="9"/>
  <c r="M51" i="9"/>
  <c r="U51" i="9"/>
  <c r="D51" i="2"/>
  <c r="L51" i="2"/>
  <c r="T51" i="2"/>
  <c r="X51" i="9"/>
  <c r="F51" i="9"/>
  <c r="N51" i="9"/>
  <c r="V51" i="9"/>
  <c r="E51" i="2"/>
  <c r="M51" i="2"/>
  <c r="C51" i="2"/>
  <c r="P51" i="9"/>
  <c r="G51" i="9"/>
  <c r="O51" i="9"/>
  <c r="W51" i="9"/>
  <c r="F51" i="2"/>
  <c r="N51" i="2"/>
  <c r="H51" i="9"/>
  <c r="I51" i="9"/>
  <c r="Q51" i="9"/>
  <c r="Y51" i="9"/>
  <c r="H51" i="2"/>
  <c r="P51" i="2"/>
  <c r="J51" i="9"/>
  <c r="R51" i="9"/>
  <c r="Z51" i="9"/>
  <c r="I51" i="2"/>
  <c r="Q51" i="2"/>
  <c r="G51" i="2"/>
  <c r="G42" i="9"/>
  <c r="O42" i="9"/>
  <c r="W42" i="9"/>
  <c r="E42" i="2"/>
  <c r="M42" i="2"/>
  <c r="D42" i="2"/>
  <c r="H42" i="9"/>
  <c r="P42" i="9"/>
  <c r="X42" i="9"/>
  <c r="F42" i="2"/>
  <c r="N42" i="2"/>
  <c r="C42" i="2"/>
  <c r="I42" i="9"/>
  <c r="Q42" i="9"/>
  <c r="Y42" i="9"/>
  <c r="G42" i="2"/>
  <c r="O42" i="2"/>
  <c r="J42" i="9"/>
  <c r="R42" i="9"/>
  <c r="Z42" i="9"/>
  <c r="H42" i="2"/>
  <c r="P42" i="2"/>
  <c r="K42" i="9"/>
  <c r="S42" i="9"/>
  <c r="AA42" i="9"/>
  <c r="I42" i="2"/>
  <c r="Q42" i="2"/>
  <c r="D42" i="9"/>
  <c r="L42" i="9"/>
  <c r="T42" i="9"/>
  <c r="C42" i="9"/>
  <c r="J42" i="2"/>
  <c r="R42" i="2"/>
  <c r="E42" i="9"/>
  <c r="M42" i="9"/>
  <c r="U42" i="9"/>
  <c r="K42" i="2"/>
  <c r="S42" i="2"/>
  <c r="F42" i="9"/>
  <c r="N42" i="9"/>
  <c r="V42" i="9"/>
  <c r="L42" i="2"/>
  <c r="T42" i="2"/>
  <c r="J16" i="9"/>
  <c r="R16" i="9"/>
  <c r="C16" i="9"/>
  <c r="K16" i="9"/>
  <c r="S16" i="9"/>
  <c r="D16" i="9"/>
  <c r="L16" i="9"/>
  <c r="T16" i="9"/>
  <c r="E16" i="9"/>
  <c r="M16" i="9"/>
  <c r="U16" i="9"/>
  <c r="F16" i="9"/>
  <c r="N16" i="9"/>
  <c r="V16" i="9"/>
  <c r="G16" i="9"/>
  <c r="O16" i="9"/>
  <c r="W16" i="9"/>
  <c r="H16" i="9"/>
  <c r="P16" i="9"/>
  <c r="X16" i="9"/>
  <c r="I16" i="9"/>
  <c r="Q16" i="9"/>
  <c r="AA16" i="9"/>
  <c r="M16" i="2"/>
  <c r="R16" i="2"/>
  <c r="F16" i="2"/>
  <c r="L16" i="2"/>
  <c r="G16" i="2"/>
  <c r="I16" i="2"/>
  <c r="K16" i="2"/>
  <c r="O16" i="2"/>
  <c r="Q16" i="2"/>
  <c r="S16" i="2"/>
  <c r="E16" i="2"/>
  <c r="T16" i="2"/>
  <c r="H16" i="2"/>
  <c r="C16" i="2"/>
  <c r="P16" i="2"/>
  <c r="N16" i="2"/>
  <c r="D16" i="2"/>
  <c r="J16" i="2"/>
  <c r="Y16" i="9"/>
  <c r="Z16" i="9"/>
  <c r="G47" i="9"/>
  <c r="O47" i="9"/>
  <c r="W47" i="9"/>
  <c r="F47" i="2"/>
  <c r="N47" i="2"/>
  <c r="K47" i="2"/>
  <c r="H47" i="9"/>
  <c r="P47" i="9"/>
  <c r="X47" i="9"/>
  <c r="G47" i="2"/>
  <c r="O47" i="2"/>
  <c r="T47" i="9"/>
  <c r="I47" i="9"/>
  <c r="Q47" i="9"/>
  <c r="Y47" i="9"/>
  <c r="H47" i="2"/>
  <c r="P47" i="2"/>
  <c r="S47" i="2"/>
  <c r="J47" i="9"/>
  <c r="R47" i="9"/>
  <c r="Z47" i="9"/>
  <c r="I47" i="2"/>
  <c r="Q47" i="2"/>
  <c r="K47" i="9"/>
  <c r="S47" i="9"/>
  <c r="AA47" i="9"/>
  <c r="J47" i="2"/>
  <c r="R47" i="2"/>
  <c r="C47" i="9"/>
  <c r="E47" i="9"/>
  <c r="M47" i="9"/>
  <c r="U47" i="9"/>
  <c r="D47" i="2"/>
  <c r="L47" i="2"/>
  <c r="T47" i="2"/>
  <c r="L47" i="9"/>
  <c r="F47" i="9"/>
  <c r="N47" i="9"/>
  <c r="V47" i="9"/>
  <c r="E47" i="2"/>
  <c r="M47" i="2"/>
  <c r="C47" i="2"/>
  <c r="D47" i="9"/>
  <c r="J26" i="9"/>
  <c r="R26" i="9"/>
  <c r="Z26" i="9"/>
  <c r="K26" i="2"/>
  <c r="S26" i="2"/>
  <c r="K26" i="9"/>
  <c r="S26" i="9"/>
  <c r="AA26" i="9"/>
  <c r="L26" i="2"/>
  <c r="T26" i="2"/>
  <c r="D26" i="9"/>
  <c r="L26" i="9"/>
  <c r="T26" i="9"/>
  <c r="C26" i="9"/>
  <c r="E26" i="2"/>
  <c r="M26" i="2"/>
  <c r="D26" i="2"/>
  <c r="E26" i="9"/>
  <c r="M26" i="9"/>
  <c r="U26" i="9"/>
  <c r="F26" i="2"/>
  <c r="N26" i="2"/>
  <c r="C26" i="2"/>
  <c r="F26" i="9"/>
  <c r="N26" i="9"/>
  <c r="V26" i="9"/>
  <c r="G26" i="2"/>
  <c r="O26" i="2"/>
  <c r="G26" i="9"/>
  <c r="O26" i="9"/>
  <c r="W26" i="9"/>
  <c r="H26" i="2"/>
  <c r="P26" i="2"/>
  <c r="H26" i="9"/>
  <c r="P26" i="9"/>
  <c r="X26" i="9"/>
  <c r="I26" i="2"/>
  <c r="Q26" i="2"/>
  <c r="I26" i="9"/>
  <c r="Q26" i="9"/>
  <c r="Y26" i="9"/>
  <c r="J26" i="2"/>
  <c r="R26" i="2"/>
  <c r="O57" i="3"/>
  <c r="O58" i="3" s="1"/>
  <c r="C76" i="3" l="1"/>
  <c r="E63" i="1"/>
  <c r="O54" i="2" s="1"/>
  <c r="H54" i="9"/>
  <c r="P54" i="9"/>
  <c r="X54" i="9"/>
  <c r="G54" i="2"/>
  <c r="H54" i="2"/>
  <c r="P54" i="2"/>
  <c r="R54" i="9"/>
  <c r="Z54" i="9"/>
  <c r="I54" i="2"/>
  <c r="Q54" i="2"/>
  <c r="K54" i="9"/>
  <c r="S54" i="9"/>
  <c r="AA54" i="9"/>
  <c r="J54" i="2"/>
  <c r="R54" i="2"/>
  <c r="E54" i="9"/>
  <c r="U54" i="9"/>
  <c r="L54" i="2"/>
  <c r="D54" i="9"/>
  <c r="L54" i="9"/>
  <c r="T54" i="9"/>
  <c r="C54" i="9"/>
  <c r="K54" i="2"/>
  <c r="S54" i="2"/>
  <c r="M54" i="9"/>
  <c r="D54" i="2"/>
  <c r="T54" i="2"/>
  <c r="F54" i="9"/>
  <c r="N54" i="9"/>
  <c r="V54" i="9"/>
  <c r="E54" i="2"/>
  <c r="M54" i="2"/>
  <c r="C54" i="2"/>
  <c r="G54" i="9"/>
  <c r="O54" i="9"/>
  <c r="W54" i="9"/>
  <c r="F54" i="2"/>
  <c r="N54" i="2"/>
  <c r="E66" i="1"/>
  <c r="R21" i="2"/>
  <c r="N21" i="2"/>
  <c r="F21" i="9"/>
  <c r="K21" i="9"/>
  <c r="P21" i="9"/>
  <c r="H21" i="2"/>
  <c r="Q21" i="2"/>
  <c r="U21" i="9"/>
  <c r="D21" i="9"/>
  <c r="H21" i="9"/>
  <c r="Y21" i="9"/>
  <c r="D21" i="2"/>
  <c r="S21" i="2"/>
  <c r="M21" i="9"/>
  <c r="R21" i="9"/>
  <c r="W21" i="9"/>
  <c r="Z21" i="9"/>
  <c r="J21" i="2"/>
  <c r="I21" i="2"/>
  <c r="E21" i="9"/>
  <c r="J21" i="9"/>
  <c r="O21" i="9"/>
  <c r="O21" i="2"/>
  <c r="T21" i="2"/>
  <c r="K21" i="2"/>
  <c r="T21" i="9"/>
  <c r="AA21" i="9"/>
  <c r="G21" i="9"/>
  <c r="E21" i="2"/>
  <c r="G21" i="2"/>
  <c r="M21" i="2"/>
  <c r="L21" i="9"/>
  <c r="Q21" i="9"/>
  <c r="P21" i="2"/>
  <c r="L21" i="2"/>
  <c r="V21" i="9"/>
  <c r="C21" i="9"/>
  <c r="I21" i="9"/>
  <c r="C21" i="2"/>
  <c r="F21" i="2"/>
  <c r="N21" i="9"/>
  <c r="S21" i="9"/>
  <c r="X21" i="9"/>
  <c r="J54" i="9" l="1"/>
  <c r="Y54" i="9"/>
  <c r="Q54" i="9"/>
  <c r="I54" i="9"/>
</calcChain>
</file>

<file path=xl/sharedStrings.xml><?xml version="1.0" encoding="utf-8"?>
<sst xmlns="http://schemas.openxmlformats.org/spreadsheetml/2006/main" count="1226" uniqueCount="350">
  <si>
    <t>Process</t>
  </si>
  <si>
    <t>Value</t>
  </si>
  <si>
    <t>Unit</t>
  </si>
  <si>
    <t>input</t>
  </si>
  <si>
    <t>output</t>
  </si>
  <si>
    <t>Pretreatment</t>
  </si>
  <si>
    <t>AD</t>
  </si>
  <si>
    <t>CHP</t>
  </si>
  <si>
    <t>Electricity</t>
  </si>
  <si>
    <t>Water</t>
  </si>
  <si>
    <t>Flow direction</t>
  </si>
  <si>
    <t>Flow type</t>
  </si>
  <si>
    <t>Flow name</t>
  </si>
  <si>
    <t>Waste</t>
  </si>
  <si>
    <t>t</t>
  </si>
  <si>
    <t>Technosphere flow</t>
  </si>
  <si>
    <t>Pretreated waste</t>
  </si>
  <si>
    <t>Intermediate flow</t>
  </si>
  <si>
    <t>Heat</t>
  </si>
  <si>
    <t>Methane</t>
  </si>
  <si>
    <t>Elementary flow</t>
  </si>
  <si>
    <t>Biogas</t>
  </si>
  <si>
    <t>Electricity production</t>
  </si>
  <si>
    <t>Water production</t>
  </si>
  <si>
    <t>Fugitive methane</t>
  </si>
  <si>
    <t>Nitrogen oxides</t>
  </si>
  <si>
    <t>Volatile organic compounds</t>
  </si>
  <si>
    <t>Sulfur dioxide</t>
  </si>
  <si>
    <t>Particulate matter</t>
  </si>
  <si>
    <t>Carbon monoxide</t>
  </si>
  <si>
    <t>Ammonia</t>
  </si>
  <si>
    <t>Nitrous oxide</t>
  </si>
  <si>
    <t>acidification: terrestrial - terrestrial acidification potential (TAP)</t>
  </si>
  <si>
    <t>climate change - global warming potential (GWP100)</t>
  </si>
  <si>
    <t>ecotoxicity: freshwater - freshwater ecotoxicity potential (FETP)</t>
  </si>
  <si>
    <t>ecotoxicity: marine - marine ecotoxicity potential (METP)</t>
  </si>
  <si>
    <t>ecotoxicity: terrestrial - terrestrial ecotoxicity potential (TETP)</t>
  </si>
  <si>
    <t>energy resources: non-renewable, fossil - fossil fuel potential (FFP)</t>
  </si>
  <si>
    <t>eutrophication: freshwater - freshwater eutrophication potential (FEP)</t>
  </si>
  <si>
    <t>eutrophication: marine - marine eutrophication potential (MEP)</t>
  </si>
  <si>
    <t>human toxicity: carcinogenic - human toxicity potential (HTPc)</t>
  </si>
  <si>
    <t>human toxicity: non-carcinogenic - human toxicity potential (HTPnc)</t>
  </si>
  <si>
    <t>ionising radiation - ionising radiation potential (IRP)</t>
  </si>
  <si>
    <t>land use - agricultural land occupation (LOP)</t>
  </si>
  <si>
    <t>material resources: metals/minerals - surplus ore potential (SOP)</t>
  </si>
  <si>
    <t>ozone depletion - ozone depletion potential (ODPinfinite)</t>
  </si>
  <si>
    <t>particulate matter formation - particulate matter formation potential (PMFP)</t>
  </si>
  <si>
    <t>photochemical oxidant formation: human health - photochemical oxidant formation potential: humans (HOFP)</t>
  </si>
  <si>
    <t>photochemical oxidant formation: terrestrial ecosystems - photochemical oxidant formation potential: ecosystems (EOFP)</t>
  </si>
  <si>
    <t>water use - water consumption potential (WCP)</t>
  </si>
  <si>
    <t>Nitrogen Oxides (NOx)</t>
  </si>
  <si>
    <t>Volatile Organic Compounds (VOCs)</t>
  </si>
  <si>
    <t>Sulfur Dioxide (SO2)</t>
  </si>
  <si>
    <t>Particulate Matter (PM)</t>
  </si>
  <si>
    <t>Carbon Monoxide (CO)</t>
  </si>
  <si>
    <t>Ammonia (NH3)</t>
  </si>
  <si>
    <t>Parameter</t>
  </si>
  <si>
    <t>kg/m3 biogas combusted</t>
  </si>
  <si>
    <t>Methane (CH4)</t>
  </si>
  <si>
    <t>Nitrous Oxide (N2O)</t>
  </si>
  <si>
    <t>Source</t>
  </si>
  <si>
    <t>https://catalog.data.gov/dataset/food-waste-management-life-cycle-inventory-tool-v1-0-0</t>
  </si>
  <si>
    <t>https://catalog.data.gov/dataset/food-waste-management-life-cycle-inventory-tool-v1-0-1</t>
  </si>
  <si>
    <t>https://catalog.data.gov/dataset/food-waste-management-life-cycle-inventory-tool-v1-0-2</t>
  </si>
  <si>
    <t>https://catalog.data.gov/dataset/food-waste-management-life-cycle-inventory-tool-v1-0-3</t>
  </si>
  <si>
    <t>https://catalog.data.gov/dataset/food-waste-management-life-cycle-inventory-tool-v1-0-4</t>
  </si>
  <si>
    <t>https://catalog.data.gov/dataset/food-waste-management-life-cycle-inventory-tool-v1-0-5</t>
  </si>
  <si>
    <t>https://catalog.data.gov/dataset/food-waste-management-life-cycle-inventory-tool-v1-0-6</t>
  </si>
  <si>
    <t>https://catalog.data.gov/dataset/food-waste-management-life-cycle-inventory-tool-v1-0-7</t>
  </si>
  <si>
    <t>Emissions</t>
  </si>
  <si>
    <t>Efficiency</t>
  </si>
  <si>
    <t>Thermal</t>
  </si>
  <si>
    <t>Electric</t>
  </si>
  <si>
    <t>Fugitive methane loss</t>
  </si>
  <si>
    <t>Methane_lhv</t>
  </si>
  <si>
    <t>MJ/m3</t>
  </si>
  <si>
    <t>Methane volume share in biogas</t>
  </si>
  <si>
    <t>Methane density</t>
  </si>
  <si>
    <t>kg/m3</t>
  </si>
  <si>
    <t>Electricity requirement</t>
  </si>
  <si>
    <t>kWh/t</t>
  </si>
  <si>
    <t>Heat requirement</t>
  </si>
  <si>
    <t>https://catalog.data.gov/dataset/food-waste-management-life-cycle-inventory-tool-v1-0-8</t>
  </si>
  <si>
    <t>https://catalog.data.gov/dataset/food-waste-management-life-cycle-inventory-tool-v1-0-9</t>
  </si>
  <si>
    <t>Production of digestate</t>
  </si>
  <si>
    <t>Water requriement</t>
  </si>
  <si>
    <t>Mass</t>
  </si>
  <si>
    <t>%TS</t>
  </si>
  <si>
    <t>kg</t>
  </si>
  <si>
    <t>Mass of digestate</t>
  </si>
  <si>
    <t>CO2 density</t>
  </si>
  <si>
    <t>impurities</t>
  </si>
  <si>
    <t>Moisture content, FW</t>
  </si>
  <si>
    <t>VS, FW</t>
  </si>
  <si>
    <t>% of impurities sorted</t>
  </si>
  <si>
    <t>FW</t>
  </si>
  <si>
    <t>%of total waste</t>
  </si>
  <si>
    <t>CH4</t>
  </si>
  <si>
    <t>CO2</t>
  </si>
  <si>
    <t>biogaz</t>
  </si>
  <si>
    <t>digestat</t>
  </si>
  <si>
    <t>Storage</t>
  </si>
  <si>
    <t>Volatile Solids Destruction, Storage</t>
  </si>
  <si>
    <t>%of VS in digestate</t>
  </si>
  <si>
    <t>Methane production</t>
  </si>
  <si>
    <t>VS conversion</t>
  </si>
  <si>
    <t>%VS initial</t>
  </si>
  <si>
    <t>Methane emitted</t>
  </si>
  <si>
    <t>biogas density</t>
  </si>
  <si>
    <t>Land application of digestate</t>
  </si>
  <si>
    <t>Mass of digestate after storage</t>
  </si>
  <si>
    <t>NH3</t>
  </si>
  <si>
    <t>N2O</t>
  </si>
  <si>
    <t>https://www.sciencedirect.com/science/article/pii/S0964830514002029?casa_token=CuYe3ZTSPycAAAAA:rRl8EoKYwznoEuX0VuPF32xCFrhHD9S8o6J9Rem4dyM93P7UKc0KSdNufZkaSkLN-jqlbWcV0A</t>
  </si>
  <si>
    <t>https://www.sciencedirect.com/science/article/pii/S0269749116318681?casa_token=rEHlW1O-mdgAAAAA:ajVYtblqpRrvAmnneRiCuHYjbAf28QtOFIZvNqxyyT-5bQeD04vvZbKV7yYKKyCFgeWfW8dgUQ#sec3</t>
  </si>
  <si>
    <t>NO3</t>
  </si>
  <si>
    <t>kgN-N2O/kgN applied</t>
  </si>
  <si>
    <t>kgN-NH3/kgN applied</t>
  </si>
  <si>
    <t>kgN-NO3-/kgN applied</t>
  </si>
  <si>
    <t>kWh/m3 of biogas</t>
  </si>
  <si>
    <t>https://www.sciencedirect.com/science/article/pii/S0013935122009598?casa_token=b-5UAciDODcAAAAA:iPTgJGz224xsnoQdrEctjVyXjbgpRksrTp6NPBa96VQZoPJqxyo5SRxUSGA4QFvLo7qp_-bQrQ</t>
  </si>
  <si>
    <t>Lubricating oil</t>
  </si>
  <si>
    <t>g/m3 of biogas</t>
  </si>
  <si>
    <t>Biogas boiler</t>
  </si>
  <si>
    <t>CO</t>
  </si>
  <si>
    <t>Nox</t>
  </si>
  <si>
    <t>kg/m3 of biogas</t>
  </si>
  <si>
    <t>Biogas upgrading</t>
  </si>
  <si>
    <t>Activated carbon</t>
  </si>
  <si>
    <t>kWh</t>
  </si>
  <si>
    <t>Electric engine</t>
  </si>
  <si>
    <t>% of fuel combusted</t>
  </si>
  <si>
    <t>Digestate dewatering</t>
  </si>
  <si>
    <t>https://www.sciencedirect.com/science/article/pii/S1364032120308728?via%3Dihub#sec2</t>
  </si>
  <si>
    <t>Ardolino, 2021</t>
  </si>
  <si>
    <t xml:space="preserve">Zeolite </t>
  </si>
  <si>
    <t>CH4 fugitive</t>
  </si>
  <si>
    <t>CO2 removal rate</t>
  </si>
  <si>
    <t>:Using Pressure Swing Adsorption technology</t>
  </si>
  <si>
    <t>electricty for upgrading + injection</t>
  </si>
  <si>
    <t>% volume of methane</t>
  </si>
  <si>
    <t>% volume of CO2</t>
  </si>
  <si>
    <t>H2S</t>
  </si>
  <si>
    <t>Sox</t>
  </si>
  <si>
    <t>PM10</t>
  </si>
  <si>
    <t>PM2.5</t>
  </si>
  <si>
    <t>VOC</t>
  </si>
  <si>
    <t>1 lb/MCF</t>
  </si>
  <si>
    <t>Labutong, 2012</t>
  </si>
  <si>
    <t>https://pureadmin.qub.ac.uk/ws/files/135497181/Document2.pdf</t>
  </si>
  <si>
    <t>Electricity requirement (low voltage)</t>
  </si>
  <si>
    <t>Ecoinvent</t>
  </si>
  <si>
    <t>heat production, biomethane, at boiler condensing modulating &lt;100kW | heat, central or small-scale, biomethane | Cutoff, U</t>
  </si>
  <si>
    <t>Dewatering, solids capture</t>
  </si>
  <si>
    <t>Dewatering, solids concentration</t>
  </si>
  <si>
    <t>Electricity, Digestate Dewatering</t>
  </si>
  <si>
    <t>Nitrogen, partitioning to water</t>
  </si>
  <si>
    <t>Phosphorus, partitioning to water</t>
  </si>
  <si>
    <t>Potassium, partitioning to water</t>
  </si>
  <si>
    <t>Carbon, partitioning to water</t>
  </si>
  <si>
    <t>% of TS</t>
  </si>
  <si>
    <t>% of wet mass</t>
  </si>
  <si>
    <t>kWh/kg digestate</t>
  </si>
  <si>
    <t>% of N</t>
  </si>
  <si>
    <t>% of P</t>
  </si>
  <si>
    <t>% of K</t>
  </si>
  <si>
    <t>% of C</t>
  </si>
  <si>
    <t>Digestate composting</t>
  </si>
  <si>
    <t>Carbon degraded during composting</t>
  </si>
  <si>
    <t>% of feedstock carbon</t>
  </si>
  <si>
    <t>Compost emission, methane</t>
  </si>
  <si>
    <t>% of incoming C</t>
  </si>
  <si>
    <t>Compost emission, nitrous oxide</t>
  </si>
  <si>
    <t>% of incoming N</t>
  </si>
  <si>
    <t>Compost emission, ammonia</t>
  </si>
  <si>
    <t>Compost emission, NMVOC</t>
  </si>
  <si>
    <t>kg NMVOC/Mg FW</t>
  </si>
  <si>
    <t>Compost emission, carbon monoxide</t>
  </si>
  <si>
    <t>Mass loss</t>
  </si>
  <si>
    <t>% of incoming feedstock mass</t>
  </si>
  <si>
    <t>Electricity, windrow</t>
  </si>
  <si>
    <t>Diesel, windrow</t>
  </si>
  <si>
    <t>kWh/Mg digestate</t>
  </si>
  <si>
    <t>liters/Mg digestate</t>
  </si>
  <si>
    <t>Land application of compost from digestate</t>
  </si>
  <si>
    <t>Reference unit</t>
  </si>
  <si>
    <t>Information</t>
  </si>
  <si>
    <t>ecosystem quality - acidification: terrestrial</t>
  </si>
  <si>
    <t>ecosystem quality - climate change: freshwater ecosystems</t>
  </si>
  <si>
    <t>ecosystem quality - climate change: terrestrial ecosystems</t>
  </si>
  <si>
    <t>ecosystem quality - ecotoxicity: freshwater</t>
  </si>
  <si>
    <t>ecosystem quality - ecotoxicity: marine</t>
  </si>
  <si>
    <t>ecosystem quality - ecotoxicity: terrestrial</t>
  </si>
  <si>
    <t>ecosystem quality - eutrophication: freshwater</t>
  </si>
  <si>
    <t>ecosystem quality - eutrophication: marine</t>
  </si>
  <si>
    <t>ecosystem quality - land use</t>
  </si>
  <si>
    <t>ecosystem quality - photochemical oxidant formation: terrestrial ecosystems</t>
  </si>
  <si>
    <t>ecosystem quality - water use: aquatic ecosystems</t>
  </si>
  <si>
    <t>ecosystem quality - water use: terrestrial ecosystems</t>
  </si>
  <si>
    <t>human health - climate change: human health</t>
  </si>
  <si>
    <t>human health - human toxicity: carcinogenic</t>
  </si>
  <si>
    <t>human health - human toxicity: non-carcinogenic</t>
  </si>
  <si>
    <t>human health - ionising radiation</t>
  </si>
  <si>
    <t>human health - ozone depletion</t>
  </si>
  <si>
    <t>human health - particulate matter formation</t>
  </si>
  <si>
    <t>human health - photochemical oxidant formation: human health</t>
  </si>
  <si>
    <t>human health - water use: human health</t>
  </si>
  <si>
    <t>natural resources - energy resources: non-renewable, fossil</t>
  </si>
  <si>
    <t>natural resources - material resources: metals/minerals</t>
  </si>
  <si>
    <t>total: ecosystem quality - ecosystem quality</t>
  </si>
  <si>
    <t>total: human health - human health</t>
  </si>
  <si>
    <t>total: natural resources - natural resources</t>
  </si>
  <si>
    <t xml:space="preserve"> kWh</t>
  </si>
  <si>
    <t>market for electricity, medium voltage | electricity, medium voltage | Cutoff, U</t>
  </si>
  <si>
    <t>Geography</t>
  </si>
  <si>
    <t>FR</t>
  </si>
  <si>
    <t>market for tap water | tap water | Cutoff, U</t>
  </si>
  <si>
    <t>Europe without Switzerland</t>
  </si>
  <si>
    <t>MJ/t</t>
  </si>
  <si>
    <t>Heat, natural gas</t>
  </si>
  <si>
    <t>MJ</t>
  </si>
  <si>
    <t>Heat, fuel</t>
  </si>
  <si>
    <t>Heat, coal</t>
  </si>
  <si>
    <t>Heat, wood chips</t>
  </si>
  <si>
    <t xml:space="preserve"> </t>
  </si>
  <si>
    <t>sulfure oxides</t>
  </si>
  <si>
    <t>dinitrogen monoxide</t>
  </si>
  <si>
    <t>Nitrate</t>
  </si>
  <si>
    <t>NMOVC</t>
  </si>
  <si>
    <t>Diesel</t>
  </si>
  <si>
    <t>N-fertilizer</t>
  </si>
  <si>
    <t>K-fertilizer</t>
  </si>
  <si>
    <t>P-fertilizer</t>
  </si>
  <si>
    <t>Peat</t>
  </si>
  <si>
    <t>Sorting efficiency for impurities</t>
  </si>
  <si>
    <t>Sorting efficiency for biowaste</t>
  </si>
  <si>
    <t xml:space="preserve">% of biowaste retained </t>
  </si>
  <si>
    <t>Incineration</t>
  </si>
  <si>
    <t>Pretreated biowaste</t>
  </si>
  <si>
    <t xml:space="preserve">discarded biowaste </t>
  </si>
  <si>
    <t>L/dry-t</t>
  </si>
  <si>
    <t>m3</t>
  </si>
  <si>
    <t>Heat mix</t>
  </si>
  <si>
    <t>Mix of heat</t>
  </si>
  <si>
    <t xml:space="preserve">  - Gaz naturel</t>
  </si>
  <si>
    <t xml:space="preserve">  - Biomasse (solide, liquide, gazeuse)</t>
  </si>
  <si>
    <t xml:space="preserve">  - Déchets (industriels et urbains)</t>
  </si>
  <si>
    <t xml:space="preserve">  - Charbon</t>
  </si>
  <si>
    <t>Petrole</t>
  </si>
  <si>
    <t>Heat, waste</t>
  </si>
  <si>
    <t>https://www.statistiques.developpement-durable.gouv.fr/edition-numerique/chiffres-cles-energie/17-reseaux-de-chaleur</t>
  </si>
  <si>
    <t>Electricity consumption</t>
  </si>
  <si>
    <t>Water consumption</t>
  </si>
  <si>
    <t>Heat consumption</t>
  </si>
  <si>
    <t>Particulate Matter (PM2.5)</t>
  </si>
  <si>
    <t>Zeolite</t>
  </si>
  <si>
    <t>Biomethane</t>
  </si>
  <si>
    <t>Heat,waste</t>
  </si>
  <si>
    <t>Heat, mix</t>
  </si>
  <si>
    <t>Total AD-a</t>
  </si>
  <si>
    <t>Upgrading</t>
  </si>
  <si>
    <t>digestate</t>
  </si>
  <si>
    <t>calculated (mass balance)</t>
  </si>
  <si>
    <t>%FW</t>
  </si>
  <si>
    <t>t VS</t>
  </si>
  <si>
    <t>mass of biogas produced during storage</t>
  </si>
  <si>
    <t>Nitrogen content, FW</t>
  </si>
  <si>
    <t>Carbon content, FW</t>
  </si>
  <si>
    <t>% of dry mass of FW</t>
  </si>
  <si>
    <t>digestate after storage</t>
  </si>
  <si>
    <t>https://pure.bangor.ac.uk/ws/portalfiles/portal/18797936/Nicholson_et_al_2017_pre_print.pdf</t>
  </si>
  <si>
    <t>Fiona, 2017</t>
  </si>
  <si>
    <t>Land application of digestate after storage</t>
  </si>
  <si>
    <t>Phosphorus content, FW</t>
  </si>
  <si>
    <t>Potassium content, FW</t>
  </si>
  <si>
    <t>Dewatering</t>
  </si>
  <si>
    <t>electricity</t>
  </si>
  <si>
    <t>wastewater</t>
  </si>
  <si>
    <t>dewatered digestate</t>
  </si>
  <si>
    <t>Moisture content of digestate</t>
  </si>
  <si>
    <t>Total solid of digestate</t>
  </si>
  <si>
    <t>VS in digestate</t>
  </si>
  <si>
    <t>C(T)</t>
  </si>
  <si>
    <t>Density of liquid digestate</t>
  </si>
  <si>
    <t>treatment of wastewater</t>
  </si>
  <si>
    <t>Wastewater treatment</t>
  </si>
  <si>
    <t>transport</t>
  </si>
  <si>
    <t>tkm</t>
  </si>
  <si>
    <t>Treatment of wastewater</t>
  </si>
  <si>
    <t>Transport</t>
  </si>
  <si>
    <t>Composting of digestate</t>
  </si>
  <si>
    <t>NMVOC</t>
  </si>
  <si>
    <t>diesel</t>
  </si>
  <si>
    <t>Cinit - C(CO2,CH4 in biogas) - C lost in water fraction of digestate</t>
  </si>
  <si>
    <t>Density of diesel</t>
  </si>
  <si>
    <t>kg/l</t>
  </si>
  <si>
    <t>https://journals.sagepub.com/doi/full/10.1177/0734242X14545374#bibr26-0734242X14545374</t>
  </si>
  <si>
    <t>Composting</t>
  </si>
  <si>
    <r>
      <t>CH</t>
    </r>
    <r>
      <rPr>
        <vertAlign val="subscript"/>
        <sz val="11"/>
        <color theme="1"/>
        <rFont val="Calibri"/>
        <family val="2"/>
        <scheme val="minor"/>
      </rPr>
      <t>4</t>
    </r>
  </si>
  <si>
    <r>
      <t>NH</t>
    </r>
    <r>
      <rPr>
        <vertAlign val="subscript"/>
        <sz val="11"/>
        <color theme="1"/>
        <rFont val="Calibri"/>
        <family val="2"/>
        <scheme val="minor"/>
      </rPr>
      <t>3</t>
    </r>
  </si>
  <si>
    <r>
      <t>N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</si>
  <si>
    <r>
      <t>CO</t>
    </r>
    <r>
      <rPr>
        <vertAlign val="subscript"/>
        <sz val="11"/>
        <color theme="1"/>
        <rFont val="Calibri"/>
        <family val="2"/>
        <scheme val="minor"/>
      </rPr>
      <t>2</t>
    </r>
  </si>
  <si>
    <t>Home Composting</t>
  </si>
  <si>
    <t>C/N correction</t>
  </si>
  <si>
    <t>Wood chips consumption</t>
  </si>
  <si>
    <t>Active composting</t>
  </si>
  <si>
    <t>CH4direct</t>
  </si>
  <si>
    <t>NH3direct</t>
  </si>
  <si>
    <t>N2Odirect</t>
  </si>
  <si>
    <t>Substitution</t>
  </si>
  <si>
    <t>Market of peat</t>
  </si>
  <si>
    <t>Market of Nfertilizer</t>
  </si>
  <si>
    <t>Market of Pfertilizer</t>
  </si>
  <si>
    <t>Market of Kfertilizer</t>
  </si>
  <si>
    <t>N2Onet from use-on-land</t>
  </si>
  <si>
    <t>NO3net from use-on-land</t>
  </si>
  <si>
    <t>NH3net from use on-land</t>
  </si>
  <si>
    <t>(PO4)3-net from use-on-land</t>
  </si>
  <si>
    <t>CO2net from use-on-land</t>
  </si>
  <si>
    <t>Use-on-land</t>
  </si>
  <si>
    <t>Industrial composting</t>
  </si>
  <si>
    <t>Technology</t>
  </si>
  <si>
    <t>Pretratment technology</t>
  </si>
  <si>
    <t>Pretreatement technology</t>
  </si>
  <si>
    <t>(don't select if home composting)</t>
  </si>
  <si>
    <t>None</t>
  </si>
  <si>
    <t>Ratio Biowaste/WC</t>
  </si>
  <si>
    <t>8_1</t>
  </si>
  <si>
    <t>Drum-screen + Shredder + Piston press</t>
  </si>
  <si>
    <t>Aeration mode for industrial composting</t>
  </si>
  <si>
    <t>Active</t>
  </si>
  <si>
    <t>Shredder + Piston press + Screw press</t>
  </si>
  <si>
    <t>Distance of biowaste collection</t>
  </si>
  <si>
    <t>km</t>
  </si>
  <si>
    <t>Separation-mill</t>
  </si>
  <si>
    <t>Distance of compost transport from composting site to land</t>
  </si>
  <si>
    <t>Pulp + Drum-screen</t>
  </si>
  <si>
    <t>Biowaste+WC</t>
  </si>
  <si>
    <t>UF</t>
  </si>
  <si>
    <t>Treatment of 1t of biowaste</t>
  </si>
  <si>
    <t xml:space="preserve">data from PaCTEA </t>
  </si>
  <si>
    <t>Electricity (aeration)</t>
  </si>
  <si>
    <t>l</t>
  </si>
  <si>
    <t>Wood chips</t>
  </si>
  <si>
    <t>Mix marginal electricity</t>
  </si>
  <si>
    <t>market for electricity, medium voltage | electricity, medium voltage | Consequential, S</t>
  </si>
  <si>
    <t>natural gas</t>
  </si>
  <si>
    <t>market for natural gas, low pressure | natural gas, low pressure | Consequential, S</t>
  </si>
  <si>
    <t>Mix marginal heat</t>
  </si>
  <si>
    <t>compost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</si>
</sst>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\ _€_-;\-* #,##0.00\ _€_-;_-* &quot;-&quot;??\ _€_-;_-@_-"/>
    <numFmt numFmtId="164" formatCode="_-* #,##0.00000\ _€_-;\-* #,##0.00000\ _€_-;_-* &quot;-&quot;??\ _€_-;_-@_-"/>
    <numFmt numFmtId="165" formatCode="0.00000"/>
    <numFmt numFmtId="166" formatCode="0.000000"/>
    <numFmt numFmtId="167" formatCode="0.0000000"/>
    <numFmt numFmtId="168" formatCode="0.00000000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9"/>
      <name val="Arial"/>
      <family val="2"/>
    </font>
    <font>
      <b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43">
    <xf numFmtId="0" fontId="0" fillId="0" borderId="0" xfId="0"/>
    <xf numFmtId="9" fontId="0" fillId="0" borderId="0" xfId="0" applyNumberFormat="1"/>
    <xf numFmtId="2" fontId="0" fillId="0" borderId="0" xfId="0" applyNumberFormat="1"/>
    <xf numFmtId="2" fontId="3" fillId="0" borderId="0" xfId="0" applyNumberFormat="1" applyFont="1"/>
    <xf numFmtId="0" fontId="0" fillId="0" borderId="0" xfId="0" applyNumberFormat="1"/>
    <xf numFmtId="11" fontId="0" fillId="0" borderId="0" xfId="0" applyNumberFormat="1"/>
    <xf numFmtId="9" fontId="0" fillId="0" borderId="0" xfId="2" applyFont="1"/>
    <xf numFmtId="0" fontId="0" fillId="0" borderId="1" xfId="0" applyBorder="1" applyAlignment="1">
      <alignment horizontal="right"/>
    </xf>
    <xf numFmtId="0" fontId="4" fillId="0" borderId="0" xfId="3"/>
    <xf numFmtId="2" fontId="2" fillId="0" borderId="0" xfId="0" applyNumberFormat="1" applyFont="1"/>
    <xf numFmtId="10" fontId="0" fillId="0" borderId="0" xfId="0" applyNumberFormat="1"/>
    <xf numFmtId="11" fontId="2" fillId="0" borderId="0" xfId="0" applyNumberFormat="1" applyFont="1"/>
    <xf numFmtId="164" fontId="0" fillId="0" borderId="0" xfId="1" applyNumberFormat="1" applyFont="1"/>
    <xf numFmtId="11" fontId="5" fillId="0" borderId="0" xfId="0" applyNumberFormat="1" applyFont="1"/>
    <xf numFmtId="2" fontId="5" fillId="0" borderId="0" xfId="0" applyNumberFormat="1" applyFont="1"/>
    <xf numFmtId="10" fontId="2" fillId="0" borderId="0" xfId="0" applyNumberFormat="1" applyFont="1"/>
    <xf numFmtId="10" fontId="0" fillId="0" borderId="0" xfId="2" applyNumberFormat="1" applyFont="1"/>
    <xf numFmtId="0" fontId="2" fillId="0" borderId="0" xfId="0" applyFont="1"/>
    <xf numFmtId="2" fontId="4" fillId="0" borderId="0" xfId="3" applyNumberFormat="1"/>
    <xf numFmtId="49" fontId="6" fillId="0" borderId="0" xfId="0" applyNumberFormat="1" applyFont="1" applyAlignment="1">
      <alignment horizontal="left" vertical="center" wrapText="1"/>
    </xf>
    <xf numFmtId="0" fontId="0" fillId="2" borderId="0" xfId="0" applyFill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11" fontId="0" fillId="2" borderId="0" xfId="0" applyNumberFormat="1" applyFill="1" applyAlignment="1">
      <alignment horizontal="center"/>
    </xf>
    <xf numFmtId="9" fontId="0" fillId="2" borderId="0" xfId="0" applyNumberFormat="1" applyFill="1"/>
    <xf numFmtId="43" fontId="0" fillId="0" borderId="0" xfId="1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1" fontId="0" fillId="0" borderId="0" xfId="0" applyNumberFormat="1" applyAlignment="1">
      <alignment vertical="top"/>
    </xf>
    <xf numFmtId="0" fontId="3" fillId="0" borderId="0" xfId="0" applyFont="1"/>
    <xf numFmtId="0" fontId="0" fillId="0" borderId="0" xfId="0" applyFont="1"/>
    <xf numFmtId="0" fontId="9" fillId="0" borderId="0" xfId="0" applyFont="1"/>
    <xf numFmtId="0" fontId="5" fillId="0" borderId="0" xfId="0" applyFont="1"/>
    <xf numFmtId="0" fontId="7" fillId="0" borderId="0" xfId="0" applyFont="1"/>
    <xf numFmtId="0" fontId="0" fillId="0" borderId="0" xfId="0" applyAlignment="1">
      <alignment horizontal="center"/>
    </xf>
  </cellXfs>
  <cellStyles count="4">
    <cellStyle name="Lien hypertexte" xfId="3" builtinId="8"/>
    <cellStyle name="Milliers" xfId="1" builtinId="3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158750</xdr:colOff>
      <xdr:row>1</xdr:row>
      <xdr:rowOff>177800</xdr:rowOff>
    </xdr:from>
    <xdr:to>
      <xdr:col>18</xdr:col>
      <xdr:colOff>183195</xdr:colOff>
      <xdr:row>33</xdr:row>
      <xdr:rowOff>116759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760F93A-A2D5-444E-B311-EE3BC31CA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8675" y="358775"/>
          <a:ext cx="7644445" cy="57301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2340318</xdr:colOff>
      <xdr:row>72</xdr:row>
      <xdr:rowOff>44450</xdr:rowOff>
    </xdr:from>
    <xdr:to>
      <xdr:col>5</xdr:col>
      <xdr:colOff>6289052</xdr:colOff>
      <xdr:row>75</xdr:row>
      <xdr:rowOff>47537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484F2C8-A260-48F3-87BC-2073C257DC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4918" y="13119100"/>
          <a:ext cx="3948734" cy="558712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61</xdr:row>
      <xdr:rowOff>118413</xdr:rowOff>
    </xdr:from>
    <xdr:to>
      <xdr:col>9</xdr:col>
      <xdr:colOff>393115</xdr:colOff>
      <xdr:row>64</xdr:row>
      <xdr:rowOff>60219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C6329D3-44C4-4CA9-8DBC-4484F3D3C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228050" y="11351563"/>
          <a:ext cx="2726740" cy="49425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hravoaha\AppData\Local\Temp\4945377e-eac1-4fbe-af18-9d2f5fccf853_Food%20Waste%20LCI%20Tool%20v1.0.0%20(1).zip.853\Food%20Waste%20LCI%20Tool%20v1.0.0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PaCTEA_for_study_case/waste_characterization_FR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PaCTEA_for_study_case/Assessment_HC_FR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PaCTEA_for_study_case/IC_FR/Assessment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 Sheet"/>
      <sheetName val="User selections"/>
      <sheetName val="LCI"/>
      <sheetName val="AD"/>
      <sheetName val="Compost - Windrow"/>
      <sheetName val="Compost - ASP"/>
      <sheetName val="Landfill"/>
      <sheetName val="Incineration"/>
      <sheetName val="Global params"/>
      <sheetName val="AD params"/>
      <sheetName val="Food params"/>
      <sheetName val="Compost params"/>
      <sheetName val="Landfill params"/>
      <sheetName val="Incineration params"/>
      <sheetName val="Parameter Definition"/>
      <sheetName val="LCI Key"/>
      <sheetName val="Sourc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E21">
            <v>35.799999999999997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ers"/>
      <sheetName val="raw_data"/>
      <sheetName val="mass_composition"/>
      <sheetName val="Variables"/>
    </sheetNames>
    <sheetDataSet>
      <sheetData sheetId="0"/>
      <sheetData sheetId="1"/>
      <sheetData sheetId="2">
        <row r="99">
          <cell r="C99">
            <v>100.00000000000001</v>
          </cell>
          <cell r="D99">
            <v>63.54286297281822</v>
          </cell>
          <cell r="E99">
            <v>36.460108583203159</v>
          </cell>
          <cell r="F99">
            <v>35.170813722096803</v>
          </cell>
          <cell r="J99">
            <v>17.029701033116709</v>
          </cell>
          <cell r="Q99">
            <v>0.30131368964323607</v>
          </cell>
          <cell r="R99">
            <v>1.1968673713575604</v>
          </cell>
          <cell r="U99">
            <v>0.14672942792229682</v>
          </cell>
        </row>
      </sheetData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ization"/>
      <sheetName val="LCI"/>
    </sheetNames>
    <sheetDataSet>
      <sheetData sheetId="0"/>
      <sheetData sheetId="1">
        <row r="4">
          <cell r="B4">
            <v>3.4804999999999998E-4</v>
          </cell>
        </row>
        <row r="5">
          <cell r="B5">
            <v>6.4732000000000003E-5</v>
          </cell>
        </row>
        <row r="6">
          <cell r="B6">
            <v>7.0148999999999995E-5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ization"/>
      <sheetName val="LCI"/>
    </sheetNames>
    <sheetDataSet>
      <sheetData sheetId="0" refreshError="1"/>
      <sheetData sheetId="1">
        <row r="4">
          <cell r="C4">
            <v>1.4101780000000001E-4</v>
          </cell>
        </row>
        <row r="5">
          <cell r="C5">
            <v>1.932546E-4</v>
          </cell>
        </row>
        <row r="6">
          <cell r="C6">
            <v>6.0094650000000002E-5</v>
          </cell>
        </row>
        <row r="7">
          <cell r="C7">
            <v>0.31400600000000001</v>
          </cell>
        </row>
        <row r="31">
          <cell r="C31">
            <v>6.9299999999999995E-3</v>
          </cell>
        </row>
        <row r="34">
          <cell r="C3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pureadmin.qub.ac.uk/ws/files/135497181/Document2.pdf" TargetMode="External"/><Relationship Id="rId2" Type="http://schemas.openxmlformats.org/officeDocument/2006/relationships/hyperlink" Target="https://www.sciencedirect.com/science/article/pii/S0013935122009598?casa_token=b-5UAciDODcAAAAA:iPTgJGz224xsnoQdrEctjVyXjbgpRksrTp6NPBa96VQZoPJqxyo5SRxUSGA4QFvLo7qp_-bQrQ" TargetMode="External"/><Relationship Id="rId1" Type="http://schemas.openxmlformats.org/officeDocument/2006/relationships/hyperlink" Target="https://www.sciencedirect.com/science/article/pii/S0964830514002029?casa_token=CuYe3ZTSPycAAAAA:rRl8EoKYwznoEuX0VuPF32xCFrhHD9S8o6J9Rem4dyM93P7UKc0KSdNufZkaSkLN-jqlbWcV0A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www.sciencedirect.com/science/article/pii/S0269749116318681?casa_token=rEHlW1O-mdgAAAAA:ajVYtblqpRrvAmnneRiCuHYjbAf28QtOFIZvNqxyyT-5bQeD04vvZbKV7yYKKyCFgeWfW8dgUQ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B0B8B-1FF2-4509-8B5B-683B64610CAB}">
  <dimension ref="A1:J35"/>
  <sheetViews>
    <sheetView workbookViewId="0">
      <selection activeCell="A6" sqref="A6"/>
    </sheetView>
  </sheetViews>
  <sheetFormatPr baseColWidth="10" defaultRowHeight="14.5" x14ac:dyDescent="0.35"/>
  <cols>
    <col min="1" max="1" width="24.08984375" customWidth="1"/>
  </cols>
  <sheetData>
    <row r="1" spans="1:4" x14ac:dyDescent="0.35">
      <c r="C1" t="s">
        <v>2</v>
      </c>
    </row>
    <row r="2" spans="1:4" x14ac:dyDescent="0.35">
      <c r="A2" t="s">
        <v>86</v>
      </c>
      <c r="B2">
        <v>1</v>
      </c>
      <c r="C2" t="s">
        <v>14</v>
      </c>
    </row>
    <row r="3" spans="1:4" x14ac:dyDescent="0.35">
      <c r="A3" t="s">
        <v>95</v>
      </c>
      <c r="B3">
        <f>B2-B7</f>
        <v>1</v>
      </c>
      <c r="C3" t="s">
        <v>14</v>
      </c>
    </row>
    <row r="4" spans="1:4" x14ac:dyDescent="0.35">
      <c r="A4" t="s">
        <v>92</v>
      </c>
      <c r="B4" s="1">
        <f>[2]mass_composition!$D$99/[2]mass_composition!$C$99</f>
        <v>0.63542862972818215</v>
      </c>
      <c r="C4" t="s">
        <v>263</v>
      </c>
      <c r="D4" s="25">
        <v>0.72</v>
      </c>
    </row>
    <row r="5" spans="1:4" x14ac:dyDescent="0.35">
      <c r="A5" t="s">
        <v>93</v>
      </c>
      <c r="B5" s="1">
        <f>[2]mass_composition!$F$99/[2]mass_composition!$E$99</f>
        <v>0.96463820566622438</v>
      </c>
      <c r="C5" t="s">
        <v>87</v>
      </c>
    </row>
    <row r="6" spans="1:4" x14ac:dyDescent="0.35">
      <c r="A6" t="s">
        <v>93</v>
      </c>
      <c r="B6" s="4">
        <f>B3*(1-B4)*B5</f>
        <v>0.35167947245628306</v>
      </c>
      <c r="C6" t="s">
        <v>14</v>
      </c>
    </row>
    <row r="7" spans="1:4" x14ac:dyDescent="0.35">
      <c r="A7" t="s">
        <v>91</v>
      </c>
      <c r="B7">
        <v>0</v>
      </c>
      <c r="C7" t="s">
        <v>14</v>
      </c>
    </row>
    <row r="8" spans="1:4" x14ac:dyDescent="0.35">
      <c r="A8" t="s">
        <v>266</v>
      </c>
      <c r="B8" s="10">
        <f>[2]mass_composition!$R$99/[2]mass_composition!$E$99</f>
        <v>3.2826763766385117E-2</v>
      </c>
      <c r="C8" t="s">
        <v>268</v>
      </c>
    </row>
    <row r="9" spans="1:4" x14ac:dyDescent="0.35">
      <c r="A9" t="s">
        <v>267</v>
      </c>
      <c r="B9" s="1">
        <f>[2]mass_composition!$J$99/[2]mass_composition!$E$99</f>
        <v>0.46707762798496266</v>
      </c>
      <c r="C9" t="s">
        <v>268</v>
      </c>
    </row>
    <row r="10" spans="1:4" x14ac:dyDescent="0.35">
      <c r="A10" t="s">
        <v>273</v>
      </c>
      <c r="B10" s="10">
        <f>[2]mass_composition!$U$99/[2]mass_composition!$E$99</f>
        <v>4.0243826369155064E-3</v>
      </c>
      <c r="C10" t="s">
        <v>268</v>
      </c>
    </row>
    <row r="11" spans="1:4" x14ac:dyDescent="0.35">
      <c r="A11" t="s">
        <v>274</v>
      </c>
      <c r="B11" s="1">
        <f>[2]mass_composition!$Q$99/[2]mass_composition!$E$99</f>
        <v>8.2642016535860938E-3</v>
      </c>
      <c r="C11" t="s">
        <v>268</v>
      </c>
    </row>
    <row r="35" spans="10:10" x14ac:dyDescent="0.35">
      <c r="J35" t="s">
        <v>296</v>
      </c>
    </row>
  </sheetData>
  <pageMargins left="0.7" right="0.7" top="0.75" bottom="0.75" header="0.3" footer="0.3"/>
  <pageSetup paperSize="9" orientation="portrait" verticalDpi="597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3B7D-8FD5-44A6-ABDF-F41A2C90169E}">
  <dimension ref="A2:J117"/>
  <sheetViews>
    <sheetView zoomScaleNormal="100" workbookViewId="0">
      <selection activeCell="G12" sqref="G12"/>
    </sheetView>
  </sheetViews>
  <sheetFormatPr baseColWidth="10" defaultRowHeight="14.5" x14ac:dyDescent="0.35"/>
  <cols>
    <col min="2" max="3" width="24.26953125" customWidth="1"/>
    <col min="4" max="4" width="31.7265625" bestFit="1" customWidth="1"/>
    <col min="5" max="5" width="14.453125" customWidth="1"/>
  </cols>
  <sheetData>
    <row r="2" spans="1:10" x14ac:dyDescent="0.35">
      <c r="A2" s="41" t="s">
        <v>0</v>
      </c>
      <c r="B2" s="41" t="s">
        <v>10</v>
      </c>
      <c r="C2" s="41" t="s">
        <v>11</v>
      </c>
      <c r="D2" s="41" t="s">
        <v>12</v>
      </c>
      <c r="E2" s="41" t="s">
        <v>1</v>
      </c>
      <c r="F2" s="41" t="s">
        <v>2</v>
      </c>
      <c r="I2" s="37" t="s">
        <v>338</v>
      </c>
      <c r="J2" s="37" t="s">
        <v>339</v>
      </c>
    </row>
    <row r="3" spans="1:10" x14ac:dyDescent="0.35">
      <c r="A3" t="s">
        <v>5</v>
      </c>
      <c r="B3" t="s">
        <v>3</v>
      </c>
      <c r="C3" t="s">
        <v>15</v>
      </c>
      <c r="D3" t="s">
        <v>13</v>
      </c>
      <c r="E3">
        <v>1</v>
      </c>
      <c r="F3" t="s">
        <v>14</v>
      </c>
    </row>
    <row r="4" spans="1:10" x14ac:dyDescent="0.35">
      <c r="B4" t="s">
        <v>3</v>
      </c>
      <c r="C4" t="s">
        <v>15</v>
      </c>
      <c r="D4" t="s">
        <v>8</v>
      </c>
      <c r="E4">
        <f>E3*Parameters!C3</f>
        <v>9.98</v>
      </c>
      <c r="F4" t="s">
        <v>129</v>
      </c>
    </row>
    <row r="5" spans="1:10" x14ac:dyDescent="0.35">
      <c r="B5" t="s">
        <v>3</v>
      </c>
      <c r="C5" t="s">
        <v>15</v>
      </c>
      <c r="D5" t="s">
        <v>9</v>
      </c>
    </row>
    <row r="6" spans="1:10" x14ac:dyDescent="0.35">
      <c r="B6" t="s">
        <v>4</v>
      </c>
      <c r="C6" t="s">
        <v>17</v>
      </c>
      <c r="D6" t="s">
        <v>238</v>
      </c>
      <c r="E6">
        <f>E3*Parameters!C5</f>
        <v>0.77</v>
      </c>
      <c r="F6" t="s">
        <v>14</v>
      </c>
    </row>
    <row r="7" spans="1:10" x14ac:dyDescent="0.35">
      <c r="A7" t="s">
        <v>237</v>
      </c>
      <c r="B7" t="s">
        <v>3</v>
      </c>
      <c r="C7" t="s">
        <v>17</v>
      </c>
      <c r="D7" t="s">
        <v>239</v>
      </c>
      <c r="E7">
        <f>E3*(1-Parameters!C5)*1000</f>
        <v>229.99999999999997</v>
      </c>
      <c r="F7" t="s">
        <v>88</v>
      </c>
    </row>
    <row r="9" spans="1:10" x14ac:dyDescent="0.35">
      <c r="A9" t="s">
        <v>6</v>
      </c>
      <c r="B9" t="s">
        <v>3</v>
      </c>
      <c r="C9" t="s">
        <v>17</v>
      </c>
      <c r="D9" t="s">
        <v>16</v>
      </c>
      <c r="E9">
        <f>E6</f>
        <v>0.77</v>
      </c>
      <c r="F9" t="s">
        <v>14</v>
      </c>
    </row>
    <row r="10" spans="1:10" x14ac:dyDescent="0.35">
      <c r="B10" t="s">
        <v>3</v>
      </c>
      <c r="C10" t="s">
        <v>17</v>
      </c>
      <c r="D10" t="s">
        <v>8</v>
      </c>
      <c r="E10">
        <f>Parameters!C13*LCI!E9</f>
        <v>22.330000000000002</v>
      </c>
      <c r="F10" t="s">
        <v>129</v>
      </c>
    </row>
    <row r="11" spans="1:10" x14ac:dyDescent="0.35">
      <c r="B11" t="s">
        <v>3</v>
      </c>
      <c r="C11" t="s">
        <v>17</v>
      </c>
      <c r="D11" t="s">
        <v>18</v>
      </c>
      <c r="E11">
        <f>E9*Parameters!C14</f>
        <v>227.15</v>
      </c>
      <c r="F11" t="s">
        <v>220</v>
      </c>
    </row>
    <row r="12" spans="1:10" x14ac:dyDescent="0.35">
      <c r="B12" t="s">
        <v>4</v>
      </c>
      <c r="C12" t="s">
        <v>20</v>
      </c>
      <c r="D12" t="s">
        <v>19</v>
      </c>
      <c r="E12">
        <f>Parameters!C8*(Parameters!C6*(1-Waste_characteristics!B4))*LCI!E9*Parameters!C10*0.001</f>
        <v>1.5118453902366449</v>
      </c>
      <c r="F12" t="s">
        <v>88</v>
      </c>
    </row>
    <row r="13" spans="1:10" x14ac:dyDescent="0.35">
      <c r="B13" t="s">
        <v>4</v>
      </c>
      <c r="C13" t="s">
        <v>17</v>
      </c>
      <c r="D13" t="s">
        <v>21</v>
      </c>
      <c r="E13">
        <f>(((Parameters!C6*(1-Waste_characteristics!B4))/Parameters!C9)*0.001)-((E12/Parameters!C10)*(1/Parameters!C9))</f>
        <v>223.74984536240387</v>
      </c>
      <c r="F13" t="s">
        <v>241</v>
      </c>
    </row>
    <row r="14" spans="1:10" x14ac:dyDescent="0.35">
      <c r="A14" t="s">
        <v>7</v>
      </c>
      <c r="B14" t="s">
        <v>3</v>
      </c>
      <c r="C14" t="s">
        <v>17</v>
      </c>
      <c r="D14" t="s">
        <v>21</v>
      </c>
      <c r="E14">
        <f>E13</f>
        <v>223.74984536240387</v>
      </c>
      <c r="F14" t="s">
        <v>241</v>
      </c>
    </row>
    <row r="15" spans="1:10" x14ac:dyDescent="0.35">
      <c r="B15" t="s">
        <v>4</v>
      </c>
      <c r="C15" t="s">
        <v>20</v>
      </c>
      <c r="D15" s="2" t="s">
        <v>50</v>
      </c>
      <c r="E15" s="4">
        <f>E14*Parameters!C23</f>
        <v>3.6718365183242771E-2</v>
      </c>
      <c r="F15" s="4" t="s">
        <v>88</v>
      </c>
    </row>
    <row r="16" spans="1:10" x14ac:dyDescent="0.35">
      <c r="B16" t="s">
        <v>4</v>
      </c>
      <c r="C16" t="s">
        <v>20</v>
      </c>
      <c r="D16" s="2" t="s">
        <v>51</v>
      </c>
      <c r="E16" s="4">
        <f>E14*Parameters!C24</f>
        <v>0.35389510062325319</v>
      </c>
      <c r="F16" s="4" t="s">
        <v>88</v>
      </c>
    </row>
    <row r="17" spans="1:6" x14ac:dyDescent="0.35">
      <c r="B17" t="s">
        <v>4</v>
      </c>
      <c r="C17" t="s">
        <v>20</v>
      </c>
      <c r="D17" s="2" t="s">
        <v>52</v>
      </c>
      <c r="E17" s="4">
        <f>E14*Parameters!C25</f>
        <v>3.1472884442779359E-3</v>
      </c>
      <c r="F17" s="4" t="s">
        <v>88</v>
      </c>
    </row>
    <row r="18" spans="1:6" x14ac:dyDescent="0.35">
      <c r="B18" t="s">
        <v>4</v>
      </c>
      <c r="C18" t="s">
        <v>20</v>
      </c>
      <c r="D18" s="2" t="s">
        <v>53</v>
      </c>
      <c r="E18" s="4">
        <f>LCI!E14*Parameters!C26</f>
        <v>7.693371752679418E-3</v>
      </c>
      <c r="F18" s="4" t="s">
        <v>88</v>
      </c>
    </row>
    <row r="19" spans="1:6" x14ac:dyDescent="0.35">
      <c r="B19" t="s">
        <v>4</v>
      </c>
      <c r="C19" t="s">
        <v>20</v>
      </c>
      <c r="D19" s="2" t="s">
        <v>54</v>
      </c>
      <c r="E19" s="4">
        <f>E14*Parameters!C27</f>
        <v>0.23901907240710826</v>
      </c>
      <c r="F19" s="4" t="s">
        <v>88</v>
      </c>
    </row>
    <row r="20" spans="1:6" x14ac:dyDescent="0.35">
      <c r="B20" t="s">
        <v>4</v>
      </c>
      <c r="C20" t="s">
        <v>20</v>
      </c>
      <c r="D20" s="2" t="s">
        <v>55</v>
      </c>
      <c r="E20" s="4">
        <f>E14*Parameters!C28</f>
        <v>1.4337647357266187E-2</v>
      </c>
      <c r="F20" s="4" t="s">
        <v>88</v>
      </c>
    </row>
    <row r="21" spans="1:6" x14ac:dyDescent="0.35">
      <c r="B21" t="s">
        <v>4</v>
      </c>
      <c r="C21" t="s">
        <v>20</v>
      </c>
      <c r="D21" s="2" t="s">
        <v>58</v>
      </c>
      <c r="E21" s="4">
        <f>E14*Parameters!C29</f>
        <v>0.96288795800695026</v>
      </c>
      <c r="F21" s="4" t="s">
        <v>88</v>
      </c>
    </row>
    <row r="22" spans="1:6" x14ac:dyDescent="0.35">
      <c r="B22" t="s">
        <v>4</v>
      </c>
      <c r="C22" t="s">
        <v>20</v>
      </c>
      <c r="D22" s="2" t="s">
        <v>59</v>
      </c>
      <c r="E22" s="4">
        <f>LCI!E14*Parameters!C30</f>
        <v>2.2925903762070245E-2</v>
      </c>
      <c r="F22" s="4" t="s">
        <v>88</v>
      </c>
    </row>
    <row r="23" spans="1:6" x14ac:dyDescent="0.35">
      <c r="B23" t="s">
        <v>4</v>
      </c>
      <c r="C23" t="s">
        <v>15</v>
      </c>
      <c r="D23" s="2" t="s">
        <v>8</v>
      </c>
      <c r="E23">
        <f>E14*Parameters!C9*Parameters!C19*Parameters!C18/3.6</f>
        <v>509.03089819946877</v>
      </c>
      <c r="F23" s="4" t="s">
        <v>129</v>
      </c>
    </row>
    <row r="24" spans="1:6" x14ac:dyDescent="0.35">
      <c r="B24" t="s">
        <v>4</v>
      </c>
      <c r="C24" t="s">
        <v>15</v>
      </c>
      <c r="D24" s="2" t="s">
        <v>18</v>
      </c>
      <c r="E24">
        <f>E14*Parameters!C9*Parameters!C19*Parameters!C17</f>
        <v>2161.4235062008215</v>
      </c>
      <c r="F24" t="s">
        <v>220</v>
      </c>
    </row>
    <row r="27" spans="1:6" x14ac:dyDescent="0.35">
      <c r="A27" t="s">
        <v>123</v>
      </c>
      <c r="B27" t="s">
        <v>3</v>
      </c>
      <c r="C27" t="s">
        <v>17</v>
      </c>
      <c r="D27" t="s">
        <v>21</v>
      </c>
      <c r="E27">
        <f>E13</f>
        <v>223.74984536240387</v>
      </c>
      <c r="F27" t="s">
        <v>241</v>
      </c>
    </row>
    <row r="28" spans="1:6" x14ac:dyDescent="0.35">
      <c r="B28" t="s">
        <v>4</v>
      </c>
      <c r="C28" t="s">
        <v>20</v>
      </c>
      <c r="D28" t="s">
        <v>98</v>
      </c>
      <c r="E28" s="5">
        <f>$E$27*Parameters!C33</f>
        <v>449.6664772746185</v>
      </c>
      <c r="F28" t="s">
        <v>88</v>
      </c>
    </row>
    <row r="29" spans="1:6" x14ac:dyDescent="0.35">
      <c r="B29" t="s">
        <v>4</v>
      </c>
      <c r="C29" t="s">
        <v>20</v>
      </c>
      <c r="D29" t="s">
        <v>97</v>
      </c>
      <c r="E29" s="5">
        <f>$E$27*Parameters!C34</f>
        <v>5.7327997102740213E-3</v>
      </c>
      <c r="F29" t="s">
        <v>88</v>
      </c>
    </row>
    <row r="30" spans="1:6" x14ac:dyDescent="0.35">
      <c r="B30" t="s">
        <v>4</v>
      </c>
      <c r="C30" t="s">
        <v>20</v>
      </c>
      <c r="D30" t="s">
        <v>112</v>
      </c>
      <c r="E30" s="5">
        <f>$E$27*Parameters!C35</f>
        <v>5.7327997102740213E-3</v>
      </c>
      <c r="F30" t="s">
        <v>88</v>
      </c>
    </row>
    <row r="31" spans="1:6" x14ac:dyDescent="0.35">
      <c r="B31" t="s">
        <v>4</v>
      </c>
      <c r="C31" t="s">
        <v>20</v>
      </c>
      <c r="D31" t="s">
        <v>143</v>
      </c>
      <c r="E31" s="5">
        <f>$E$27*Parameters!C36</f>
        <v>3.9771297990026024E-2</v>
      </c>
      <c r="F31" t="s">
        <v>88</v>
      </c>
    </row>
    <row r="32" spans="1:6" x14ac:dyDescent="0.35">
      <c r="B32" t="s">
        <v>4</v>
      </c>
      <c r="C32" t="s">
        <v>20</v>
      </c>
      <c r="D32" t="s">
        <v>144</v>
      </c>
      <c r="E32" s="5">
        <f>$E$27*Parameters!C37</f>
        <v>2.9165618526019083E-2</v>
      </c>
      <c r="F32" t="s">
        <v>88</v>
      </c>
    </row>
    <row r="33" spans="1:6" x14ac:dyDescent="0.35">
      <c r="B33" t="s">
        <v>4</v>
      </c>
      <c r="C33" t="s">
        <v>20</v>
      </c>
      <c r="D33" t="s">
        <v>145</v>
      </c>
      <c r="E33" s="5">
        <f>$E$27*Parameters!C38</f>
        <v>2.9165618526019083E-2</v>
      </c>
      <c r="F33" t="s">
        <v>88</v>
      </c>
    </row>
    <row r="34" spans="1:6" x14ac:dyDescent="0.35">
      <c r="B34" t="s">
        <v>4</v>
      </c>
      <c r="C34" t="s">
        <v>20</v>
      </c>
      <c r="D34" t="s">
        <v>125</v>
      </c>
      <c r="E34" s="5">
        <f>$E$27*Parameters!C39</f>
        <v>0.38338098062457515</v>
      </c>
      <c r="F34" t="s">
        <v>88</v>
      </c>
    </row>
    <row r="35" spans="1:6" x14ac:dyDescent="0.35">
      <c r="B35" t="s">
        <v>4</v>
      </c>
      <c r="C35" t="s">
        <v>20</v>
      </c>
      <c r="D35" t="s">
        <v>111</v>
      </c>
      <c r="E35" s="5">
        <f>$E$27*Parameters!C40</f>
        <v>1.2110539387953869E-2</v>
      </c>
      <c r="F35" t="s">
        <v>88</v>
      </c>
    </row>
    <row r="36" spans="1:6" x14ac:dyDescent="0.35">
      <c r="B36" t="s">
        <v>4</v>
      </c>
      <c r="C36" t="s">
        <v>20</v>
      </c>
      <c r="D36" t="s">
        <v>124</v>
      </c>
      <c r="E36" s="5">
        <f>$E$27*Parameters!C41</f>
        <v>0.32246998370291369</v>
      </c>
      <c r="F36" t="s">
        <v>88</v>
      </c>
    </row>
    <row r="37" spans="1:6" x14ac:dyDescent="0.35">
      <c r="B37" t="s">
        <v>4</v>
      </c>
      <c r="C37" t="s">
        <v>20</v>
      </c>
      <c r="D37" t="s">
        <v>146</v>
      </c>
      <c r="E37" s="5">
        <f>$E$27*Parameters!C42</f>
        <v>1.9276539025796395E-2</v>
      </c>
      <c r="F37" t="s">
        <v>88</v>
      </c>
    </row>
    <row r="38" spans="1:6" x14ac:dyDescent="0.35">
      <c r="B38" t="s">
        <v>3</v>
      </c>
      <c r="C38" t="s">
        <v>15</v>
      </c>
      <c r="D38" t="s">
        <v>8</v>
      </c>
      <c r="E38" s="5">
        <f>Parameters!C43*LCI!E27</f>
        <v>0.60859957938573861</v>
      </c>
      <c r="F38" t="s">
        <v>129</v>
      </c>
    </row>
    <row r="39" spans="1:6" x14ac:dyDescent="0.35">
      <c r="B39" t="s">
        <v>4</v>
      </c>
      <c r="C39" t="s">
        <v>15</v>
      </c>
      <c r="D39" t="s">
        <v>18</v>
      </c>
      <c r="E39">
        <f>E27*Parameters!C9*Parameters!C19*Parameters!C32</f>
        <v>3876.4660709036466</v>
      </c>
      <c r="F39" t="s">
        <v>220</v>
      </c>
    </row>
    <row r="42" spans="1:6" x14ac:dyDescent="0.35">
      <c r="A42" t="s">
        <v>127</v>
      </c>
      <c r="B42" t="s">
        <v>3</v>
      </c>
      <c r="C42" t="s">
        <v>15</v>
      </c>
      <c r="D42" t="s">
        <v>21</v>
      </c>
      <c r="E42">
        <f>E13</f>
        <v>223.74984536240387</v>
      </c>
      <c r="F42" t="s">
        <v>241</v>
      </c>
    </row>
    <row r="43" spans="1:6" x14ac:dyDescent="0.35">
      <c r="B43" t="s">
        <v>4</v>
      </c>
      <c r="C43" t="s">
        <v>20</v>
      </c>
      <c r="D43" s="2" t="s">
        <v>98</v>
      </c>
      <c r="E43">
        <f>E42*(1-Parameters!C9)*Parameters!C46*Parameters!C11</f>
        <v>174.55172936411853</v>
      </c>
      <c r="F43" t="s">
        <v>88</v>
      </c>
    </row>
    <row r="44" spans="1:6" x14ac:dyDescent="0.35">
      <c r="B44" t="s">
        <v>4</v>
      </c>
      <c r="C44" t="s">
        <v>20</v>
      </c>
      <c r="D44" s="2" t="s">
        <v>97</v>
      </c>
      <c r="E44">
        <f>E42*Parameters!C9*Parameters!C47*Parameters!C10</f>
        <v>1.7398787975380521</v>
      </c>
      <c r="F44" t="s">
        <v>88</v>
      </c>
    </row>
    <row r="45" spans="1:6" x14ac:dyDescent="0.35">
      <c r="B45" t="s">
        <v>4</v>
      </c>
      <c r="C45" t="s">
        <v>20</v>
      </c>
      <c r="D45" s="2" t="s">
        <v>142</v>
      </c>
      <c r="E45" s="5">
        <f>Parameters!C48*LCI!E42</f>
        <v>1.3424990721744234E-3</v>
      </c>
      <c r="F45" t="s">
        <v>88</v>
      </c>
    </row>
    <row r="46" spans="1:6" x14ac:dyDescent="0.35">
      <c r="B46" t="s">
        <v>4</v>
      </c>
      <c r="C46" t="s">
        <v>20</v>
      </c>
      <c r="D46" s="2" t="s">
        <v>143</v>
      </c>
      <c r="E46" s="5">
        <f>E42*Parameters!C49</f>
        <v>1.4767489793918657E-3</v>
      </c>
      <c r="F46" t="s">
        <v>88</v>
      </c>
    </row>
    <row r="47" spans="1:6" x14ac:dyDescent="0.35">
      <c r="B47" t="s">
        <v>3</v>
      </c>
      <c r="C47" t="s">
        <v>15</v>
      </c>
      <c r="D47" s="2" t="s">
        <v>79</v>
      </c>
      <c r="E47">
        <f>E42*Parameters!C50</f>
        <v>76.074947423217324</v>
      </c>
      <c r="F47" t="s">
        <v>129</v>
      </c>
    </row>
    <row r="48" spans="1:6" x14ac:dyDescent="0.35">
      <c r="B48" t="s">
        <v>3</v>
      </c>
      <c r="C48" t="s">
        <v>15</v>
      </c>
      <c r="D48" s="2" t="s">
        <v>128</v>
      </c>
      <c r="E48" s="5">
        <f>E42*Parameters!C51</f>
        <v>0.19913736237253943</v>
      </c>
      <c r="F48" t="s">
        <v>88</v>
      </c>
    </row>
    <row r="49" spans="1:6" x14ac:dyDescent="0.35">
      <c r="B49" t="s">
        <v>3</v>
      </c>
      <c r="C49" t="s">
        <v>15</v>
      </c>
      <c r="D49" s="2" t="s">
        <v>135</v>
      </c>
      <c r="E49" s="5">
        <f>E42*Parameters!C52</f>
        <v>2.6626231598126062</v>
      </c>
      <c r="F49" t="s">
        <v>88</v>
      </c>
    </row>
    <row r="50" spans="1:6" x14ac:dyDescent="0.35">
      <c r="B50" t="s">
        <v>4</v>
      </c>
      <c r="C50" t="s">
        <v>15</v>
      </c>
      <c r="D50" s="2" t="s">
        <v>256</v>
      </c>
      <c r="E50">
        <f>(E42*Parameters!C9*(1-Parameters!C47))</f>
        <v>131.83340888752835</v>
      </c>
      <c r="F50" t="s">
        <v>241</v>
      </c>
    </row>
    <row r="52" spans="1:6" x14ac:dyDescent="0.35">
      <c r="A52" t="s">
        <v>130</v>
      </c>
      <c r="B52" t="s">
        <v>3</v>
      </c>
      <c r="C52" t="s">
        <v>15</v>
      </c>
      <c r="D52" t="s">
        <v>21</v>
      </c>
      <c r="E52">
        <f>E13</f>
        <v>223.74984536240387</v>
      </c>
      <c r="F52" t="s">
        <v>241</v>
      </c>
    </row>
    <row r="53" spans="1:6" x14ac:dyDescent="0.35">
      <c r="B53" t="s">
        <v>4</v>
      </c>
      <c r="C53" t="s">
        <v>20</v>
      </c>
      <c r="D53" t="s">
        <v>50</v>
      </c>
      <c r="E53">
        <f>E52*Parameters!C55</f>
        <v>6.5500795229916857</v>
      </c>
      <c r="F53" t="s">
        <v>88</v>
      </c>
    </row>
    <row r="54" spans="1:6" x14ac:dyDescent="0.35">
      <c r="B54" t="s">
        <v>4</v>
      </c>
      <c r="C54" t="s">
        <v>20</v>
      </c>
      <c r="D54" t="s">
        <v>51</v>
      </c>
      <c r="E54">
        <f>E52*Parameters!C56</f>
        <v>0.24795253714795021</v>
      </c>
      <c r="F54" t="s">
        <v>88</v>
      </c>
    </row>
    <row r="55" spans="1:6" x14ac:dyDescent="0.35">
      <c r="B55" t="s">
        <v>4</v>
      </c>
      <c r="C55" t="s">
        <v>20</v>
      </c>
      <c r="D55" t="s">
        <v>52</v>
      </c>
      <c r="E55">
        <f>E52*Parameters!C57</f>
        <v>1.2149674320249561E-3</v>
      </c>
      <c r="F55" t="s">
        <v>88</v>
      </c>
    </row>
    <row r="56" spans="1:6" x14ac:dyDescent="0.35">
      <c r="B56" t="s">
        <v>4</v>
      </c>
      <c r="C56" t="s">
        <v>20</v>
      </c>
      <c r="D56" t="s">
        <v>53</v>
      </c>
      <c r="E56">
        <f>E52*Parameters!C58</f>
        <v>0.89326967778691946</v>
      </c>
      <c r="F56" t="s">
        <v>88</v>
      </c>
    </row>
    <row r="57" spans="1:6" x14ac:dyDescent="0.35">
      <c r="B57" t="s">
        <v>4</v>
      </c>
      <c r="C57" t="s">
        <v>20</v>
      </c>
      <c r="D57" t="s">
        <v>54</v>
      </c>
      <c r="E57">
        <f>E52*Parameters!C59</f>
        <v>0.79758066115923998</v>
      </c>
      <c r="F57" t="s">
        <v>88</v>
      </c>
    </row>
    <row r="58" spans="1:6" x14ac:dyDescent="0.35">
      <c r="B58" t="s">
        <v>4</v>
      </c>
      <c r="C58" t="s">
        <v>20</v>
      </c>
      <c r="D58" t="s">
        <v>58</v>
      </c>
      <c r="E58">
        <f>E52*Parameters!C60</f>
        <v>2.9960931572043981</v>
      </c>
      <c r="F58" t="s">
        <v>88</v>
      </c>
    </row>
    <row r="59" spans="1:6" x14ac:dyDescent="0.35">
      <c r="B59" t="s">
        <v>4</v>
      </c>
      <c r="C59" t="s">
        <v>15</v>
      </c>
      <c r="D59" t="s">
        <v>8</v>
      </c>
      <c r="E59">
        <f>E52*Parameters!C9*Parameters!C19*Parameters!C54/3.6</f>
        <v>456.82260094824119</v>
      </c>
      <c r="F59" t="s">
        <v>129</v>
      </c>
    </row>
    <row r="61" spans="1:6" x14ac:dyDescent="0.35">
      <c r="A61" t="s">
        <v>101</v>
      </c>
    </row>
    <row r="62" spans="1:6" x14ac:dyDescent="0.35">
      <c r="B62" t="s">
        <v>3</v>
      </c>
      <c r="C62" t="s">
        <v>15</v>
      </c>
      <c r="D62" t="s">
        <v>261</v>
      </c>
      <c r="E62">
        <f>Parameters!C65</f>
        <v>0.55582190304980861</v>
      </c>
      <c r="F62" t="s">
        <v>14</v>
      </c>
    </row>
    <row r="63" spans="1:6" x14ac:dyDescent="0.35">
      <c r="B63" t="s">
        <v>4</v>
      </c>
      <c r="C63" t="s">
        <v>20</v>
      </c>
      <c r="D63" t="s">
        <v>97</v>
      </c>
      <c r="E63">
        <f>Parameters!C73*1000</f>
        <v>1.7377103344898694</v>
      </c>
      <c r="F63" t="s">
        <v>88</v>
      </c>
    </row>
    <row r="65" spans="1:6" x14ac:dyDescent="0.35">
      <c r="A65" t="s">
        <v>272</v>
      </c>
    </row>
    <row r="66" spans="1:6" x14ac:dyDescent="0.35">
      <c r="B66" t="s">
        <v>3</v>
      </c>
      <c r="C66" t="s">
        <v>15</v>
      </c>
      <c r="D66" t="s">
        <v>269</v>
      </c>
      <c r="E66">
        <f>E62-E63*0.001</f>
        <v>0.55408419271531872</v>
      </c>
      <c r="F66" t="s">
        <v>14</v>
      </c>
    </row>
    <row r="67" spans="1:6" x14ac:dyDescent="0.35">
      <c r="B67" t="s">
        <v>4</v>
      </c>
      <c r="C67" t="s">
        <v>20</v>
      </c>
      <c r="D67" t="s">
        <v>112</v>
      </c>
      <c r="E67">
        <f>Waste_characteristics!B3*Parameters!C5*(1-Waste_characteristics!B4)*Waste_characteristics!B8*Parameters!C77*(44/28)*1000</f>
        <v>0.18825189343947143</v>
      </c>
      <c r="F67" t="s">
        <v>88</v>
      </c>
    </row>
    <row r="68" spans="1:6" x14ac:dyDescent="0.35">
      <c r="B68" t="s">
        <v>4</v>
      </c>
      <c r="C68" t="s">
        <v>20</v>
      </c>
      <c r="D68" t="s">
        <v>111</v>
      </c>
      <c r="E68">
        <f>Waste_characteristics!B3*Parameters!C5*(1-Waste_characteristics!B4)*Waste_characteristics!B8*Parameters!C78*(17/14)*1000</f>
        <v>4.4759191447147053</v>
      </c>
      <c r="F68" t="s">
        <v>88</v>
      </c>
    </row>
    <row r="69" spans="1:6" x14ac:dyDescent="0.35">
      <c r="B69" t="s">
        <v>4</v>
      </c>
      <c r="C69" t="s">
        <v>20</v>
      </c>
      <c r="D69" t="s">
        <v>115</v>
      </c>
      <c r="E69">
        <f>Waste_characteristics!B3*Parameters!C5*(1-Waste_characteristics!B4)*Waste_characteristics!B8*Parameters!C79*(62/14)*1000</f>
        <v>6.1214776538009943</v>
      </c>
      <c r="F69" t="s">
        <v>88</v>
      </c>
    </row>
    <row r="71" spans="1:6" x14ac:dyDescent="0.35">
      <c r="A71" t="s">
        <v>275</v>
      </c>
    </row>
    <row r="72" spans="1:6" x14ac:dyDescent="0.35">
      <c r="B72" t="s">
        <v>3</v>
      </c>
      <c r="C72" t="s">
        <v>15</v>
      </c>
      <c r="D72" t="s">
        <v>261</v>
      </c>
      <c r="E72">
        <f>Parameters!C65</f>
        <v>0.55582190304980861</v>
      </c>
      <c r="F72" t="s">
        <v>14</v>
      </c>
    </row>
    <row r="73" spans="1:6" x14ac:dyDescent="0.35">
      <c r="B73" t="s">
        <v>3</v>
      </c>
      <c r="C73" t="s">
        <v>15</v>
      </c>
      <c r="D73" t="s">
        <v>276</v>
      </c>
      <c r="E73">
        <f>Parameters!C83*LCI!E72*1000</f>
        <v>2.0184751679156077</v>
      </c>
      <c r="F73" t="s">
        <v>129</v>
      </c>
    </row>
    <row r="74" spans="1:6" x14ac:dyDescent="0.35">
      <c r="B74" t="s">
        <v>4</v>
      </c>
      <c r="C74" t="s">
        <v>15</v>
      </c>
      <c r="D74" t="s">
        <v>278</v>
      </c>
      <c r="E74">
        <f>Parameters!C67*Parameters!C81*(1/Parameters!C82)</f>
        <v>0.29700390349065431</v>
      </c>
      <c r="F74" t="s">
        <v>14</v>
      </c>
    </row>
    <row r="75" spans="1:6" x14ac:dyDescent="0.35">
      <c r="B75" t="s">
        <v>4</v>
      </c>
      <c r="C75" t="s">
        <v>15</v>
      </c>
      <c r="D75" t="s">
        <v>277</v>
      </c>
      <c r="E75">
        <f>((E72-E74)*1000)/Parameters!C69</f>
        <v>0.25911227332693015</v>
      </c>
      <c r="F75" t="s">
        <v>241</v>
      </c>
    </row>
    <row r="77" spans="1:6" x14ac:dyDescent="0.35">
      <c r="A77" t="s">
        <v>285</v>
      </c>
    </row>
    <row r="78" spans="1:6" x14ac:dyDescent="0.35">
      <c r="B78" t="s">
        <v>3</v>
      </c>
      <c r="C78" t="s">
        <v>15</v>
      </c>
      <c r="D78" t="s">
        <v>277</v>
      </c>
      <c r="E78">
        <f>E75</f>
        <v>0.25911227332693015</v>
      </c>
      <c r="F78" t="s">
        <v>241</v>
      </c>
    </row>
    <row r="79" spans="1:6" x14ac:dyDescent="0.35">
      <c r="B79" t="s">
        <v>3</v>
      </c>
      <c r="C79" t="s">
        <v>15</v>
      </c>
      <c r="D79" t="s">
        <v>286</v>
      </c>
      <c r="F79" t="s">
        <v>287</v>
      </c>
    </row>
    <row r="81" spans="1:7" x14ac:dyDescent="0.35">
      <c r="A81" t="s">
        <v>290</v>
      </c>
    </row>
    <row r="82" spans="1:7" x14ac:dyDescent="0.35">
      <c r="B82" t="s">
        <v>3</v>
      </c>
      <c r="C82" t="s">
        <v>15</v>
      </c>
      <c r="D82" t="s">
        <v>278</v>
      </c>
      <c r="E82">
        <f>E74</f>
        <v>0.29700390349065431</v>
      </c>
      <c r="F82" t="s">
        <v>14</v>
      </c>
    </row>
    <row r="83" spans="1:7" x14ac:dyDescent="0.35">
      <c r="B83" t="s">
        <v>4</v>
      </c>
      <c r="C83" t="s">
        <v>20</v>
      </c>
      <c r="D83" t="s">
        <v>97</v>
      </c>
      <c r="E83">
        <f>(16/12)*Parameters!C90*(1-Parameters!C87)*((E6*1000*(1-Waste_characteristics!B4)*Waste_characteristics!B9)-((E13*(1-Parameters!C9)*Parameters!C11*(12/44)))-((E13*(Parameters!C9)*Parameters!C10*(12/16))))</f>
        <v>8.8228561282663459E-2</v>
      </c>
      <c r="F83" t="s">
        <v>88</v>
      </c>
      <c r="G83" t="s">
        <v>293</v>
      </c>
    </row>
    <row r="84" spans="1:7" x14ac:dyDescent="0.35">
      <c r="B84" t="s">
        <v>4</v>
      </c>
      <c r="C84" t="s">
        <v>20</v>
      </c>
      <c r="D84" t="s">
        <v>112</v>
      </c>
      <c r="E84">
        <f>(E6*1000*(1-Waste_characteristics!B4)*Waste_characteristics!B8)*(1-Parameters!C84)*Parameters!C91*(44/28)</f>
        <v>6.2318617185905041E-2</v>
      </c>
      <c r="F84" t="s">
        <v>88</v>
      </c>
    </row>
    <row r="85" spans="1:7" x14ac:dyDescent="0.35">
      <c r="B85" t="s">
        <v>4</v>
      </c>
      <c r="C85" t="s">
        <v>20</v>
      </c>
      <c r="D85" t="s">
        <v>111</v>
      </c>
      <c r="E85">
        <f>(E6*1000*(1-Waste_characteristics!B4)*Waste_characteristics!B8)*(1-Parameters!C84)*Parameters!C92*(17/14)</f>
        <v>0.20275913725557618</v>
      </c>
      <c r="F85" t="s">
        <v>88</v>
      </c>
    </row>
    <row r="86" spans="1:7" x14ac:dyDescent="0.35">
      <c r="B86" t="s">
        <v>4</v>
      </c>
      <c r="C86" t="s">
        <v>20</v>
      </c>
      <c r="D86" t="s">
        <v>291</v>
      </c>
      <c r="E86">
        <f>E82*Parameters!C93</f>
        <v>3.0888405963028047E-2</v>
      </c>
      <c r="F86" t="s">
        <v>88</v>
      </c>
    </row>
    <row r="87" spans="1:7" x14ac:dyDescent="0.35">
      <c r="B87" t="s">
        <v>4</v>
      </c>
      <c r="C87" t="s">
        <v>20</v>
      </c>
      <c r="D87" t="s">
        <v>124</v>
      </c>
      <c r="E87">
        <f>(44/12)*Parameters!C94*(1-Parameters!C87)*((E6*1000*(1-Waste_characteristics!B4)*Waste_characteristics!B9)-((E13*(1-Parameters!C9)*Parameters!C11*(12/44)))-((E13*(Parameters!C9)*Parameters!C10*(12/16))))</f>
        <v>9.8429429422849709E-3</v>
      </c>
      <c r="F87" t="s">
        <v>88</v>
      </c>
    </row>
    <row r="88" spans="1:7" x14ac:dyDescent="0.35">
      <c r="B88" t="s">
        <v>4</v>
      </c>
      <c r="C88" t="s">
        <v>15</v>
      </c>
      <c r="D88" t="s">
        <v>349</v>
      </c>
      <c r="E88">
        <f>E82*(1-Parameters!C95)</f>
        <v>0.15444202981514024</v>
      </c>
      <c r="F88" t="s">
        <v>14</v>
      </c>
    </row>
    <row r="89" spans="1:7" x14ac:dyDescent="0.35">
      <c r="B89" t="s">
        <v>3</v>
      </c>
      <c r="C89" t="s">
        <v>15</v>
      </c>
      <c r="D89" t="s">
        <v>276</v>
      </c>
      <c r="E89">
        <f>Parameters!C96*LCI!E82</f>
        <v>3.12547394401899</v>
      </c>
      <c r="F89" t="s">
        <v>129</v>
      </c>
    </row>
    <row r="90" spans="1:7" x14ac:dyDescent="0.35">
      <c r="B90" t="s">
        <v>3</v>
      </c>
      <c r="C90" t="s">
        <v>15</v>
      </c>
      <c r="D90" t="s">
        <v>292</v>
      </c>
      <c r="E90">
        <f>Parameters!C97*LCI!E82*Parameters!C98</f>
        <v>0.44883055543440398</v>
      </c>
      <c r="F90" t="s">
        <v>88</v>
      </c>
    </row>
    <row r="93" spans="1:7" x14ac:dyDescent="0.35">
      <c r="A93" t="s">
        <v>302</v>
      </c>
    </row>
    <row r="94" spans="1:7" x14ac:dyDescent="0.35">
      <c r="B94" t="s">
        <v>3</v>
      </c>
      <c r="C94" t="s">
        <v>15</v>
      </c>
      <c r="D94" t="s">
        <v>13</v>
      </c>
      <c r="E94">
        <v>1</v>
      </c>
      <c r="F94" t="s">
        <v>14</v>
      </c>
    </row>
    <row r="95" spans="1:7" x14ac:dyDescent="0.35">
      <c r="B95" t="s">
        <v>4</v>
      </c>
      <c r="C95" t="s">
        <v>20</v>
      </c>
      <c r="D95" t="s">
        <v>97</v>
      </c>
      <c r="E95" s="5">
        <f>[3]LCI!$B$4*1000</f>
        <v>0.34804999999999997</v>
      </c>
      <c r="F95" t="s">
        <v>88</v>
      </c>
      <c r="G95" t="s">
        <v>340</v>
      </c>
    </row>
    <row r="96" spans="1:7" x14ac:dyDescent="0.35">
      <c r="B96" t="s">
        <v>4</v>
      </c>
      <c r="C96" t="s">
        <v>20</v>
      </c>
      <c r="D96" t="s">
        <v>112</v>
      </c>
      <c r="E96" s="5">
        <f>[3]LCI!$B$6*1000</f>
        <v>7.0148999999999989E-2</v>
      </c>
      <c r="F96" t="s">
        <v>88</v>
      </c>
      <c r="G96" t="s">
        <v>340</v>
      </c>
    </row>
    <row r="97" spans="1:7" x14ac:dyDescent="0.35">
      <c r="B97" t="s">
        <v>4</v>
      </c>
      <c r="C97" t="s">
        <v>20</v>
      </c>
      <c r="D97" t="s">
        <v>111</v>
      </c>
      <c r="E97" s="5">
        <f>[3]LCI!$B$5*1000</f>
        <v>6.4731999999999998E-2</v>
      </c>
      <c r="F97" t="s">
        <v>88</v>
      </c>
      <c r="G97" t="s">
        <v>340</v>
      </c>
    </row>
    <row r="98" spans="1:7" x14ac:dyDescent="0.35">
      <c r="B98" t="s">
        <v>3</v>
      </c>
      <c r="C98" t="s">
        <v>15</v>
      </c>
      <c r="D98" t="s">
        <v>304</v>
      </c>
      <c r="E98">
        <f>E94*(1/8)*1000</f>
        <v>125</v>
      </c>
      <c r="F98" t="s">
        <v>88</v>
      </c>
      <c r="G98" t="s">
        <v>340</v>
      </c>
    </row>
    <row r="100" spans="1:7" x14ac:dyDescent="0.35">
      <c r="A100" t="s">
        <v>320</v>
      </c>
    </row>
    <row r="101" spans="1:7" x14ac:dyDescent="0.35">
      <c r="A101" t="s">
        <v>5</v>
      </c>
      <c r="B101" t="s">
        <v>3</v>
      </c>
      <c r="C101" t="s">
        <v>15</v>
      </c>
      <c r="D101" t="s">
        <v>13</v>
      </c>
      <c r="E101">
        <v>1</v>
      </c>
      <c r="F101" t="s">
        <v>14</v>
      </c>
    </row>
    <row r="102" spans="1:7" x14ac:dyDescent="0.35">
      <c r="B102" t="s">
        <v>3</v>
      </c>
      <c r="C102" t="s">
        <v>15</v>
      </c>
      <c r="D102" t="s">
        <v>8</v>
      </c>
      <c r="E102">
        <f>E101*Parameters!C3</f>
        <v>9.98</v>
      </c>
      <c r="F102" t="s">
        <v>129</v>
      </c>
    </row>
    <row r="103" spans="1:7" x14ac:dyDescent="0.35">
      <c r="B103" t="s">
        <v>3</v>
      </c>
      <c r="C103" t="s">
        <v>15</v>
      </c>
      <c r="D103" t="s">
        <v>9</v>
      </c>
    </row>
    <row r="104" spans="1:7" x14ac:dyDescent="0.35">
      <c r="B104" t="s">
        <v>4</v>
      </c>
      <c r="C104" t="s">
        <v>17</v>
      </c>
      <c r="D104" t="s">
        <v>238</v>
      </c>
      <c r="E104">
        <f>E101*Parameters!C5</f>
        <v>0.77</v>
      </c>
      <c r="F104" t="s">
        <v>14</v>
      </c>
    </row>
    <row r="105" spans="1:7" x14ac:dyDescent="0.35">
      <c r="A105" t="s">
        <v>237</v>
      </c>
      <c r="B105" t="s">
        <v>3</v>
      </c>
      <c r="C105" t="s">
        <v>17</v>
      </c>
      <c r="D105" t="s">
        <v>239</v>
      </c>
      <c r="E105">
        <f>E101*(1-Parameters!C5)*1000</f>
        <v>229.99999999999997</v>
      </c>
      <c r="F105" t="s">
        <v>88</v>
      </c>
    </row>
    <row r="107" spans="1:7" x14ac:dyDescent="0.35">
      <c r="A107" t="s">
        <v>303</v>
      </c>
      <c r="B107" t="s">
        <v>3</v>
      </c>
      <c r="C107" t="s">
        <v>15</v>
      </c>
      <c r="D107" t="s">
        <v>238</v>
      </c>
      <c r="E107">
        <f>E104</f>
        <v>0.77</v>
      </c>
      <c r="F107" t="s">
        <v>14</v>
      </c>
    </row>
    <row r="108" spans="1:7" x14ac:dyDescent="0.35">
      <c r="B108" t="s">
        <v>3</v>
      </c>
      <c r="C108" t="s">
        <v>15</v>
      </c>
      <c r="D108" t="s">
        <v>304</v>
      </c>
      <c r="E108">
        <f>E107*(1/8)*1000</f>
        <v>96.25</v>
      </c>
      <c r="F108" t="s">
        <v>88</v>
      </c>
    </row>
    <row r="109" spans="1:7" x14ac:dyDescent="0.35">
      <c r="B109" t="s">
        <v>4</v>
      </c>
      <c r="C109" t="s">
        <v>15</v>
      </c>
      <c r="D109" t="s">
        <v>337</v>
      </c>
      <c r="E109">
        <f>E107+(E108/1000)</f>
        <v>0.86624999999999996</v>
      </c>
      <c r="F109" t="s">
        <v>14</v>
      </c>
    </row>
    <row r="111" spans="1:7" x14ac:dyDescent="0.35">
      <c r="A111" t="s">
        <v>305</v>
      </c>
      <c r="B111" t="s">
        <v>3</v>
      </c>
      <c r="C111" t="s">
        <v>15</v>
      </c>
      <c r="D111" t="s">
        <v>337</v>
      </c>
      <c r="E111">
        <f>E109+E110</f>
        <v>0.86624999999999996</v>
      </c>
      <c r="F111" t="s">
        <v>14</v>
      </c>
    </row>
    <row r="112" spans="1:7" ht="16.5" x14ac:dyDescent="0.45">
      <c r="B112" t="s">
        <v>4</v>
      </c>
      <c r="C112" t="s">
        <v>20</v>
      </c>
      <c r="D112" t="s">
        <v>298</v>
      </c>
      <c r="E112" s="5">
        <f>[4]LCI!C4*1000</f>
        <v>0.1410178</v>
      </c>
      <c r="F112" t="s">
        <v>88</v>
      </c>
      <c r="G112" t="s">
        <v>340</v>
      </c>
    </row>
    <row r="113" spans="2:7" ht="16.5" x14ac:dyDescent="0.45">
      <c r="B113" t="s">
        <v>4</v>
      </c>
      <c r="C113" t="s">
        <v>20</v>
      </c>
      <c r="D113" t="s">
        <v>299</v>
      </c>
      <c r="E113" s="5">
        <f>[4]LCI!C5*1000</f>
        <v>0.1932546</v>
      </c>
      <c r="F113" t="s">
        <v>88</v>
      </c>
      <c r="G113" t="s">
        <v>340</v>
      </c>
    </row>
    <row r="114" spans="2:7" ht="16.5" x14ac:dyDescent="0.45">
      <c r="B114" t="s">
        <v>4</v>
      </c>
      <c r="C114" t="s">
        <v>20</v>
      </c>
      <c r="D114" t="s">
        <v>300</v>
      </c>
      <c r="E114" s="5">
        <f>[4]LCI!C6*1000</f>
        <v>6.0094649999999999E-2</v>
      </c>
      <c r="F114" t="s">
        <v>88</v>
      </c>
      <c r="G114" t="s">
        <v>340</v>
      </c>
    </row>
    <row r="115" spans="2:7" ht="16.5" x14ac:dyDescent="0.45">
      <c r="B115" t="s">
        <v>4</v>
      </c>
      <c r="C115" t="s">
        <v>20</v>
      </c>
      <c r="D115" t="s">
        <v>301</v>
      </c>
      <c r="E115" s="5">
        <f>[4]LCI!C7*1000</f>
        <v>314.00600000000003</v>
      </c>
      <c r="F115" t="s">
        <v>88</v>
      </c>
      <c r="G115" t="s">
        <v>340</v>
      </c>
    </row>
    <row r="116" spans="2:7" x14ac:dyDescent="0.35">
      <c r="B116" t="s">
        <v>4</v>
      </c>
      <c r="C116" t="s">
        <v>15</v>
      </c>
      <c r="D116" t="s">
        <v>341</v>
      </c>
      <c r="E116" s="5">
        <f>[4]LCI!$C$31*1000</f>
        <v>6.93</v>
      </c>
      <c r="F116" t="s">
        <v>129</v>
      </c>
      <c r="G116" t="s">
        <v>340</v>
      </c>
    </row>
    <row r="117" spans="2:7" x14ac:dyDescent="0.35">
      <c r="B117" t="s">
        <v>4</v>
      </c>
      <c r="C117" t="s">
        <v>15</v>
      </c>
      <c r="D117" t="s">
        <v>229</v>
      </c>
      <c r="E117" s="5">
        <f>[4]LCI!$C$34*1000</f>
        <v>0</v>
      </c>
      <c r="F117" t="s">
        <v>342</v>
      </c>
      <c r="G117" t="s">
        <v>340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3E4CB-EA57-4670-9F90-E10A428B33AE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DE39-A7F6-46B4-AE1B-FD7EA8FEFB74}">
  <dimension ref="A1"/>
  <sheetViews>
    <sheetView workbookViewId="0">
      <selection activeCell="D36" sqref="D36"/>
    </sheetView>
  </sheetViews>
  <sheetFormatPr baseColWidth="10"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6A2F4-4FB6-49BA-A556-5590FDE0E4A0}">
  <dimension ref="A1:P107"/>
  <sheetViews>
    <sheetView topLeftCell="A64" workbookViewId="0">
      <selection activeCell="C95" sqref="C95"/>
    </sheetView>
  </sheetViews>
  <sheetFormatPr baseColWidth="10" defaultRowHeight="14.5" x14ac:dyDescent="0.35"/>
  <cols>
    <col min="1" max="1" width="20.36328125" customWidth="1"/>
    <col min="2" max="2" width="33.54296875" bestFit="1" customWidth="1"/>
    <col min="3" max="3" width="28.6328125" customWidth="1"/>
    <col min="4" max="4" width="22.1796875" bestFit="1" customWidth="1"/>
    <col min="5" max="5" width="22.1796875" customWidth="1"/>
    <col min="6" max="6" width="176.1796875" bestFit="1" customWidth="1"/>
    <col min="8" max="8" width="12.453125" bestFit="1" customWidth="1"/>
  </cols>
  <sheetData>
    <row r="1" spans="1:6" x14ac:dyDescent="0.35">
      <c r="A1" s="2"/>
      <c r="B1" s="2" t="s">
        <v>5</v>
      </c>
      <c r="C1" s="2"/>
      <c r="D1" s="2"/>
      <c r="E1" s="2"/>
      <c r="F1" s="2"/>
    </row>
    <row r="2" spans="1:6" x14ac:dyDescent="0.35">
      <c r="A2" s="2" t="s">
        <v>0</v>
      </c>
      <c r="B2" s="2" t="s">
        <v>56</v>
      </c>
      <c r="C2" s="2" t="s">
        <v>1</v>
      </c>
      <c r="D2" s="2" t="s">
        <v>2</v>
      </c>
      <c r="E2" s="2"/>
      <c r="F2" s="2" t="s">
        <v>60</v>
      </c>
    </row>
    <row r="3" spans="1:6" x14ac:dyDescent="0.35">
      <c r="A3" s="2" t="s">
        <v>5</v>
      </c>
      <c r="B3" s="2" t="s">
        <v>79</v>
      </c>
      <c r="C3" s="9">
        <v>9.98</v>
      </c>
      <c r="D3" s="2" t="s">
        <v>80</v>
      </c>
      <c r="E3" t="s">
        <v>328</v>
      </c>
      <c r="F3" s="2"/>
    </row>
    <row r="4" spans="1:6" x14ac:dyDescent="0.35">
      <c r="A4" s="2"/>
      <c r="B4" s="2" t="s">
        <v>234</v>
      </c>
      <c r="C4" s="6">
        <v>1</v>
      </c>
      <c r="D4" s="2" t="s">
        <v>94</v>
      </c>
      <c r="E4" s="2"/>
      <c r="F4" s="2"/>
    </row>
    <row r="5" spans="1:6" x14ac:dyDescent="0.35">
      <c r="A5" s="2"/>
      <c r="B5" s="2" t="s">
        <v>235</v>
      </c>
      <c r="C5" s="6">
        <v>0.77</v>
      </c>
      <c r="D5" s="2" t="s">
        <v>236</v>
      </c>
      <c r="E5" s="2"/>
      <c r="F5" s="2"/>
    </row>
    <row r="6" spans="1:6" x14ac:dyDescent="0.35">
      <c r="A6" s="2" t="s">
        <v>6</v>
      </c>
      <c r="B6" s="2" t="s">
        <v>104</v>
      </c>
      <c r="C6" s="4">
        <f>374*1000</f>
        <v>374000</v>
      </c>
      <c r="D6" s="2" t="s">
        <v>240</v>
      </c>
      <c r="E6" s="2"/>
      <c r="F6" s="2" t="s">
        <v>61</v>
      </c>
    </row>
    <row r="7" spans="1:6" x14ac:dyDescent="0.35">
      <c r="A7" s="2"/>
      <c r="B7" s="2" t="s">
        <v>105</v>
      </c>
      <c r="C7" s="1">
        <v>0.86</v>
      </c>
      <c r="D7" s="2" t="s">
        <v>106</v>
      </c>
      <c r="E7" s="2"/>
      <c r="F7" s="2"/>
    </row>
    <row r="8" spans="1:6" x14ac:dyDescent="0.35">
      <c r="A8" s="2"/>
      <c r="B8" s="2" t="s">
        <v>73</v>
      </c>
      <c r="C8" s="4">
        <v>0.02</v>
      </c>
      <c r="D8" s="2"/>
      <c r="E8" s="2"/>
      <c r="F8" s="2" t="s">
        <v>62</v>
      </c>
    </row>
    <row r="9" spans="1:6" x14ac:dyDescent="0.35">
      <c r="A9" s="2"/>
      <c r="B9" s="2" t="s">
        <v>76</v>
      </c>
      <c r="C9" s="4">
        <v>0.6</v>
      </c>
      <c r="D9" s="2"/>
      <c r="E9" s="2"/>
      <c r="F9" s="2" t="s">
        <v>63</v>
      </c>
    </row>
    <row r="10" spans="1:6" x14ac:dyDescent="0.35">
      <c r="A10" s="2"/>
      <c r="B10" s="2" t="s">
        <v>77</v>
      </c>
      <c r="C10" s="4">
        <v>0.72</v>
      </c>
      <c r="D10" s="2" t="s">
        <v>78</v>
      </c>
      <c r="E10" s="2"/>
      <c r="F10" s="2" t="s">
        <v>64</v>
      </c>
    </row>
    <row r="11" spans="1:6" x14ac:dyDescent="0.35">
      <c r="A11" s="2"/>
      <c r="B11" s="2" t="s">
        <v>90</v>
      </c>
      <c r="C11" s="4">
        <v>1.98</v>
      </c>
      <c r="D11" s="2" t="s">
        <v>78</v>
      </c>
      <c r="E11" s="2"/>
      <c r="F11" s="2"/>
    </row>
    <row r="12" spans="1:6" x14ac:dyDescent="0.35">
      <c r="A12" s="2"/>
      <c r="B12" s="2" t="s">
        <v>108</v>
      </c>
      <c r="C12" s="4">
        <f>(C9*C10)+((1-C9)*C11)</f>
        <v>1.224</v>
      </c>
      <c r="D12" s="2" t="s">
        <v>78</v>
      </c>
      <c r="E12" s="2"/>
      <c r="F12" s="2"/>
    </row>
    <row r="13" spans="1:6" x14ac:dyDescent="0.35">
      <c r="A13" s="2"/>
      <c r="B13" s="2" t="s">
        <v>79</v>
      </c>
      <c r="C13" s="4">
        <v>29</v>
      </c>
      <c r="D13" s="2" t="s">
        <v>80</v>
      </c>
      <c r="E13" s="2"/>
      <c r="F13" s="2" t="s">
        <v>65</v>
      </c>
    </row>
    <row r="14" spans="1:6" x14ac:dyDescent="0.35">
      <c r="A14" s="2"/>
      <c r="B14" s="2" t="s">
        <v>81</v>
      </c>
      <c r="C14" s="4">
        <v>295</v>
      </c>
      <c r="D14" s="2" t="s">
        <v>218</v>
      </c>
      <c r="E14" s="2"/>
      <c r="F14" s="2" t="s">
        <v>66</v>
      </c>
    </row>
    <row r="15" spans="1:6" x14ac:dyDescent="0.35">
      <c r="A15" s="2"/>
      <c r="B15" s="2" t="s">
        <v>85</v>
      </c>
      <c r="C15" s="4">
        <v>0</v>
      </c>
      <c r="D15" s="2" t="s">
        <v>96</v>
      </c>
      <c r="E15" s="2"/>
      <c r="F15" s="2"/>
    </row>
    <row r="16" spans="1:6" x14ac:dyDescent="0.35">
      <c r="A16" s="2" t="s">
        <v>7</v>
      </c>
      <c r="B16" s="3" t="s">
        <v>70</v>
      </c>
      <c r="C16" s="4"/>
      <c r="D16" s="2"/>
      <c r="E16" s="2"/>
      <c r="F16" s="2" t="s">
        <v>67</v>
      </c>
    </row>
    <row r="17" spans="1:6" x14ac:dyDescent="0.35">
      <c r="A17" s="2"/>
      <c r="B17" s="2" t="s">
        <v>71</v>
      </c>
      <c r="C17" s="4">
        <v>0.46</v>
      </c>
      <c r="D17" s="2"/>
      <c r="E17" s="2"/>
      <c r="F17" s="2" t="s">
        <v>68</v>
      </c>
    </row>
    <row r="18" spans="1:6" x14ac:dyDescent="0.35">
      <c r="A18" s="2"/>
      <c r="B18" s="2" t="s">
        <v>72</v>
      </c>
      <c r="C18" s="4">
        <v>0.39</v>
      </c>
      <c r="D18" s="2"/>
      <c r="E18" s="2"/>
      <c r="F18" s="2" t="s">
        <v>82</v>
      </c>
    </row>
    <row r="19" spans="1:6" x14ac:dyDescent="0.35">
      <c r="A19" s="2"/>
      <c r="B19" s="2" t="s">
        <v>74</v>
      </c>
      <c r="C19" s="4">
        <v>35</v>
      </c>
      <c r="D19" s="2" t="s">
        <v>75</v>
      </c>
      <c r="E19" s="2"/>
      <c r="F19" s="2" t="s">
        <v>83</v>
      </c>
    </row>
    <row r="20" spans="1:6" x14ac:dyDescent="0.35">
      <c r="A20" s="2"/>
      <c r="B20" s="2" t="s">
        <v>79</v>
      </c>
      <c r="C20" s="4"/>
      <c r="D20" s="2"/>
      <c r="E20" s="2"/>
      <c r="F20" s="18" t="s">
        <v>120</v>
      </c>
    </row>
    <row r="21" spans="1:6" x14ac:dyDescent="0.35">
      <c r="A21" s="2"/>
      <c r="B21" s="2" t="s">
        <v>121</v>
      </c>
      <c r="C21" s="4">
        <v>1.54</v>
      </c>
      <c r="D21" s="2" t="s">
        <v>122</v>
      </c>
      <c r="E21" s="2"/>
      <c r="F21" s="2" t="s">
        <v>120</v>
      </c>
    </row>
    <row r="22" spans="1:6" x14ac:dyDescent="0.35">
      <c r="A22" s="2"/>
      <c r="B22" s="3" t="s">
        <v>69</v>
      </c>
      <c r="C22" s="4"/>
      <c r="D22" s="2"/>
      <c r="E22" s="2"/>
      <c r="F22" s="2"/>
    </row>
    <row r="23" spans="1:6" x14ac:dyDescent="0.35">
      <c r="A23" s="2"/>
      <c r="B23" s="2" t="s">
        <v>50</v>
      </c>
      <c r="C23" s="4">
        <v>1.6410453881552701E-4</v>
      </c>
      <c r="D23" s="2" t="s">
        <v>57</v>
      </c>
      <c r="E23" s="2"/>
      <c r="F23" s="2" t="s">
        <v>61</v>
      </c>
    </row>
    <row r="24" spans="1:6" x14ac:dyDescent="0.35">
      <c r="A24" s="2"/>
      <c r="B24" s="2" t="s">
        <v>51</v>
      </c>
      <c r="C24" s="4">
        <v>1.5816551741077416E-3</v>
      </c>
      <c r="D24" s="2" t="s">
        <v>57</v>
      </c>
      <c r="E24" s="2"/>
      <c r="F24" s="2" t="s">
        <v>62</v>
      </c>
    </row>
    <row r="25" spans="1:6" x14ac:dyDescent="0.35">
      <c r="A25" s="2"/>
      <c r="B25" s="2" t="s">
        <v>52</v>
      </c>
      <c r="C25" s="4">
        <v>1.40661033270451E-5</v>
      </c>
      <c r="D25" s="2" t="s">
        <v>57</v>
      </c>
      <c r="E25" s="2"/>
      <c r="F25" s="2" t="s">
        <v>63</v>
      </c>
    </row>
    <row r="26" spans="1:6" x14ac:dyDescent="0.35">
      <c r="A26" s="2"/>
      <c r="B26" s="2" t="s">
        <v>254</v>
      </c>
      <c r="C26" s="4">
        <v>3.4383808132776998E-5</v>
      </c>
      <c r="D26" s="2" t="s">
        <v>57</v>
      </c>
      <c r="E26" s="2"/>
      <c r="F26" s="2" t="s">
        <v>64</v>
      </c>
    </row>
    <row r="27" spans="1:6" x14ac:dyDescent="0.35">
      <c r="A27" s="2"/>
      <c r="B27" s="2" t="s">
        <v>54</v>
      </c>
      <c r="C27" s="4">
        <v>1.0682424026705944E-3</v>
      </c>
      <c r="D27" s="2" t="s">
        <v>57</v>
      </c>
      <c r="E27" s="2"/>
      <c r="F27" s="2" t="s">
        <v>65</v>
      </c>
    </row>
    <row r="28" spans="1:6" x14ac:dyDescent="0.35">
      <c r="A28" s="2"/>
      <c r="B28" s="2" t="s">
        <v>55</v>
      </c>
      <c r="C28" s="4">
        <v>6.4078915156538948E-5</v>
      </c>
      <c r="D28" s="2" t="s">
        <v>57</v>
      </c>
      <c r="E28" s="2"/>
      <c r="F28" s="2" t="s">
        <v>66</v>
      </c>
    </row>
    <row r="29" spans="1:6" x14ac:dyDescent="0.35">
      <c r="A29" s="2"/>
      <c r="B29" s="2" t="s">
        <v>58</v>
      </c>
      <c r="C29" s="4">
        <v>4.3034128423524798E-3</v>
      </c>
      <c r="D29" s="2" t="s">
        <v>57</v>
      </c>
      <c r="E29" s="2"/>
      <c r="F29" s="2" t="s">
        <v>67</v>
      </c>
    </row>
    <row r="30" spans="1:6" x14ac:dyDescent="0.35">
      <c r="A30" s="2"/>
      <c r="B30" s="2" t="s">
        <v>59</v>
      </c>
      <c r="C30" s="4">
        <v>1.024622105322019E-4</v>
      </c>
      <c r="D30" s="2" t="s">
        <v>57</v>
      </c>
      <c r="E30" s="2"/>
      <c r="F30" s="2" t="s">
        <v>68</v>
      </c>
    </row>
    <row r="31" spans="1:6" x14ac:dyDescent="0.35">
      <c r="A31" s="2" t="s">
        <v>123</v>
      </c>
      <c r="B31" s="2"/>
      <c r="C31" s="4"/>
      <c r="D31" s="2"/>
      <c r="E31" s="2"/>
      <c r="F31" s="2"/>
    </row>
    <row r="32" spans="1:6" x14ac:dyDescent="0.35">
      <c r="A32" s="2"/>
      <c r="B32" s="9" t="s">
        <v>70</v>
      </c>
      <c r="C32" s="15">
        <v>0.82499999999999996</v>
      </c>
      <c r="D32" s="9"/>
      <c r="E32" s="2"/>
      <c r="F32" s="18" t="s">
        <v>149</v>
      </c>
    </row>
    <row r="33" spans="1:13" x14ac:dyDescent="0.35">
      <c r="A33" s="2"/>
      <c r="B33" t="s">
        <v>98</v>
      </c>
      <c r="C33" s="13">
        <f t="shared" ref="C33:C42" si="0">L36*L$47</f>
        <v>2.009683968926554</v>
      </c>
      <c r="D33" s="14" t="s">
        <v>126</v>
      </c>
      <c r="E33" s="2" t="s">
        <v>148</v>
      </c>
      <c r="F33" s="2"/>
    </row>
    <row r="34" spans="1:13" x14ac:dyDescent="0.35">
      <c r="A34" s="2"/>
      <c r="B34" t="s">
        <v>97</v>
      </c>
      <c r="C34" s="13">
        <f t="shared" si="0"/>
        <v>2.5621468926553675E-5</v>
      </c>
      <c r="D34" s="14" t="s">
        <v>126</v>
      </c>
      <c r="E34" s="2" t="s">
        <v>148</v>
      </c>
      <c r="F34" s="2"/>
    </row>
    <row r="35" spans="1:13" x14ac:dyDescent="0.35">
      <c r="A35" s="2"/>
      <c r="B35" t="s">
        <v>112</v>
      </c>
      <c r="C35" s="13">
        <f t="shared" si="0"/>
        <v>2.5621468926553675E-5</v>
      </c>
      <c r="D35" s="14" t="s">
        <v>126</v>
      </c>
      <c r="E35" s="2" t="s">
        <v>148</v>
      </c>
      <c r="F35" s="2"/>
    </row>
    <row r="36" spans="1:13" x14ac:dyDescent="0.35">
      <c r="A36" s="2"/>
      <c r="B36" t="s">
        <v>143</v>
      </c>
      <c r="C36" s="13">
        <f t="shared" si="0"/>
        <v>1.7774894067796614E-4</v>
      </c>
      <c r="D36" s="14" t="s">
        <v>126</v>
      </c>
      <c r="E36" s="2" t="s">
        <v>148</v>
      </c>
      <c r="F36" s="2"/>
      <c r="K36" t="s">
        <v>98</v>
      </c>
      <c r="L36">
        <f>39.1+86.4</f>
        <v>125.5</v>
      </c>
    </row>
    <row r="37" spans="1:13" x14ac:dyDescent="0.35">
      <c r="A37" s="2"/>
      <c r="B37" t="s">
        <v>144</v>
      </c>
      <c r="C37" s="13">
        <f t="shared" si="0"/>
        <v>1.3034922316384183E-4</v>
      </c>
      <c r="D37" s="14" t="s">
        <v>126</v>
      </c>
      <c r="E37" s="2" t="s">
        <v>148</v>
      </c>
      <c r="F37" s="2"/>
      <c r="K37" t="s">
        <v>97</v>
      </c>
      <c r="L37" s="5">
        <v>1.6000000000000001E-3</v>
      </c>
    </row>
    <row r="38" spans="1:13" x14ac:dyDescent="0.35">
      <c r="A38" s="2"/>
      <c r="B38" t="s">
        <v>145</v>
      </c>
      <c r="C38" s="13">
        <f t="shared" si="0"/>
        <v>1.3034922316384183E-4</v>
      </c>
      <c r="D38" s="14" t="s">
        <v>126</v>
      </c>
      <c r="E38" s="2" t="s">
        <v>148</v>
      </c>
      <c r="F38" s="2"/>
      <c r="K38" t="s">
        <v>112</v>
      </c>
      <c r="L38" s="5">
        <v>1.6000000000000001E-3</v>
      </c>
    </row>
    <row r="39" spans="1:13" x14ac:dyDescent="0.35">
      <c r="A39" s="2"/>
      <c r="B39" t="s">
        <v>125</v>
      </c>
      <c r="C39" s="13">
        <f t="shared" si="0"/>
        <v>1.713435734463277E-3</v>
      </c>
      <c r="D39" s="14" t="s">
        <v>126</v>
      </c>
      <c r="E39" s="2" t="s">
        <v>148</v>
      </c>
      <c r="F39" s="2"/>
      <c r="K39" t="s">
        <v>143</v>
      </c>
      <c r="L39" s="5">
        <v>1.11E-2</v>
      </c>
    </row>
    <row r="40" spans="1:13" x14ac:dyDescent="0.35">
      <c r="A40" s="2"/>
      <c r="B40" t="s">
        <v>111</v>
      </c>
      <c r="C40" s="13">
        <f t="shared" si="0"/>
        <v>5.4125353107344641E-5</v>
      </c>
      <c r="D40" s="14" t="s">
        <v>126</v>
      </c>
      <c r="E40" s="2" t="s">
        <v>148</v>
      </c>
      <c r="F40" s="2"/>
      <c r="K40" t="s">
        <v>144</v>
      </c>
      <c r="L40" s="5">
        <v>8.1399999999999997E-3</v>
      </c>
    </row>
    <row r="41" spans="1:13" x14ac:dyDescent="0.35">
      <c r="A41" s="2"/>
      <c r="B41" t="s">
        <v>124</v>
      </c>
      <c r="C41" s="13">
        <f t="shared" si="0"/>
        <v>1.4412076271186442E-3</v>
      </c>
      <c r="D41" s="14" t="s">
        <v>126</v>
      </c>
      <c r="E41" s="2" t="s">
        <v>148</v>
      </c>
      <c r="F41" s="2"/>
      <c r="K41" t="s">
        <v>145</v>
      </c>
      <c r="L41" s="5">
        <v>8.1399999999999997E-3</v>
      </c>
    </row>
    <row r="42" spans="1:13" x14ac:dyDescent="0.35">
      <c r="A42" s="2"/>
      <c r="B42" t="s">
        <v>146</v>
      </c>
      <c r="C42" s="13">
        <f t="shared" si="0"/>
        <v>8.615218926553674E-5</v>
      </c>
      <c r="D42" s="14" t="s">
        <v>126</v>
      </c>
      <c r="E42" s="2" t="s">
        <v>148</v>
      </c>
      <c r="F42" s="2"/>
      <c r="K42" t="s">
        <v>125</v>
      </c>
      <c r="L42" s="5">
        <v>0.107</v>
      </c>
    </row>
    <row r="43" spans="1:13" x14ac:dyDescent="0.35">
      <c r="A43" s="2"/>
      <c r="B43" s="9" t="s">
        <v>150</v>
      </c>
      <c r="C43" s="11">
        <v>2.7200000000000002E-3</v>
      </c>
      <c r="D43" s="9" t="s">
        <v>119</v>
      </c>
      <c r="E43" s="2" t="s">
        <v>151</v>
      </c>
      <c r="F43" s="2" t="s">
        <v>152</v>
      </c>
      <c r="K43" t="s">
        <v>111</v>
      </c>
      <c r="L43" s="5">
        <v>3.3800000000000002E-3</v>
      </c>
    </row>
    <row r="44" spans="1:13" x14ac:dyDescent="0.35">
      <c r="A44" s="2"/>
      <c r="B44" s="9"/>
      <c r="C44" s="11"/>
      <c r="D44" s="9"/>
      <c r="E44" s="2"/>
      <c r="F44" s="2"/>
      <c r="K44" t="s">
        <v>124</v>
      </c>
      <c r="L44" s="5">
        <v>0.09</v>
      </c>
    </row>
    <row r="45" spans="1:13" x14ac:dyDescent="0.35">
      <c r="A45" s="2" t="s">
        <v>127</v>
      </c>
      <c r="B45" s="2" t="s">
        <v>138</v>
      </c>
      <c r="C45" s="5"/>
      <c r="D45" s="2"/>
      <c r="E45" s="2"/>
      <c r="F45" s="2"/>
      <c r="K45" t="s">
        <v>146</v>
      </c>
      <c r="L45" s="5">
        <v>5.3800000000000002E-3</v>
      </c>
    </row>
    <row r="46" spans="1:13" x14ac:dyDescent="0.35">
      <c r="A46" s="2"/>
      <c r="B46" s="2" t="s">
        <v>137</v>
      </c>
      <c r="C46" s="10">
        <v>0.98499999999999999</v>
      </c>
      <c r="D46" s="2" t="s">
        <v>141</v>
      </c>
      <c r="E46" s="2"/>
      <c r="F46" s="2" t="s">
        <v>120</v>
      </c>
    </row>
    <row r="47" spans="1:13" x14ac:dyDescent="0.35">
      <c r="A47" s="2"/>
      <c r="B47" s="2" t="s">
        <v>136</v>
      </c>
      <c r="C47" s="10">
        <v>1.7999999999999999E-2</v>
      </c>
      <c r="D47" s="2" t="s">
        <v>140</v>
      </c>
      <c r="E47" s="2" t="s">
        <v>134</v>
      </c>
      <c r="F47" s="2" t="s">
        <v>120</v>
      </c>
      <c r="K47" t="s">
        <v>147</v>
      </c>
      <c r="L47" s="12">
        <f>0.4535/28.32</f>
        <v>1.6013418079096047E-2</v>
      </c>
      <c r="M47" t="s">
        <v>78</v>
      </c>
    </row>
    <row r="48" spans="1:13" x14ac:dyDescent="0.35">
      <c r="A48" s="2"/>
      <c r="B48" s="2" t="s">
        <v>142</v>
      </c>
      <c r="C48" s="5">
        <v>6.0000000000000002E-6</v>
      </c>
      <c r="D48" s="2" t="s">
        <v>126</v>
      </c>
      <c r="E48" s="2" t="s">
        <v>134</v>
      </c>
      <c r="F48" s="2" t="s">
        <v>120</v>
      </c>
    </row>
    <row r="49" spans="1:16" x14ac:dyDescent="0.35">
      <c r="B49" s="2" t="s">
        <v>143</v>
      </c>
      <c r="C49" s="5">
        <v>6.6000000000000003E-6</v>
      </c>
      <c r="D49" s="2" t="s">
        <v>126</v>
      </c>
      <c r="E49" s="2" t="s">
        <v>134</v>
      </c>
      <c r="F49" s="2" t="s">
        <v>120</v>
      </c>
    </row>
    <row r="50" spans="1:16" x14ac:dyDescent="0.35">
      <c r="B50" s="2" t="s">
        <v>79</v>
      </c>
      <c r="C50">
        <v>0.34</v>
      </c>
      <c r="D50" t="s">
        <v>119</v>
      </c>
      <c r="E50" t="s">
        <v>134</v>
      </c>
      <c r="F50" s="2" t="s">
        <v>133</v>
      </c>
      <c r="G50" t="s">
        <v>139</v>
      </c>
      <c r="O50" t="e">
        <f>#REF!*C10*0.001</f>
        <v>#REF!</v>
      </c>
      <c r="P50" t="s">
        <v>88</v>
      </c>
    </row>
    <row r="51" spans="1:16" x14ac:dyDescent="0.35">
      <c r="B51" s="2" t="s">
        <v>128</v>
      </c>
      <c r="C51" s="5">
        <v>8.8999999999999995E-4</v>
      </c>
      <c r="D51" t="s">
        <v>126</v>
      </c>
      <c r="E51" t="s">
        <v>134</v>
      </c>
      <c r="F51" s="2" t="s">
        <v>133</v>
      </c>
    </row>
    <row r="52" spans="1:16" x14ac:dyDescent="0.35">
      <c r="B52" s="2" t="s">
        <v>135</v>
      </c>
      <c r="C52" s="5">
        <v>1.1900000000000001E-2</v>
      </c>
      <c r="D52" s="2" t="s">
        <v>126</v>
      </c>
      <c r="E52" t="s">
        <v>134</v>
      </c>
      <c r="F52" s="2" t="s">
        <v>133</v>
      </c>
    </row>
    <row r="53" spans="1:16" x14ac:dyDescent="0.35">
      <c r="A53" t="s">
        <v>130</v>
      </c>
      <c r="B53" s="2"/>
    </row>
    <row r="54" spans="1:16" x14ac:dyDescent="0.35">
      <c r="B54" s="2" t="s">
        <v>70</v>
      </c>
      <c r="C54" s="1">
        <v>0.35</v>
      </c>
      <c r="D54" t="s">
        <v>131</v>
      </c>
      <c r="F54" s="2" t="s">
        <v>67</v>
      </c>
    </row>
    <row r="55" spans="1:16" x14ac:dyDescent="0.35">
      <c r="B55" t="s">
        <v>50</v>
      </c>
      <c r="C55">
        <v>2.9274118658641445E-2</v>
      </c>
      <c r="D55" t="s">
        <v>126</v>
      </c>
      <c r="F55" s="2" t="s">
        <v>67</v>
      </c>
    </row>
    <row r="56" spans="1:16" x14ac:dyDescent="0.35">
      <c r="B56" t="s">
        <v>51</v>
      </c>
      <c r="C56">
        <v>1.1081685296646603E-3</v>
      </c>
      <c r="D56" t="s">
        <v>126</v>
      </c>
      <c r="F56" s="2" t="s">
        <v>67</v>
      </c>
      <c r="N56" t="s">
        <v>98</v>
      </c>
      <c r="O56" t="e">
        <f>(#REF!*(0.4/0.6))*C11*0.001</f>
        <v>#REF!</v>
      </c>
      <c r="P56" t="s">
        <v>88</v>
      </c>
    </row>
    <row r="57" spans="1:16" x14ac:dyDescent="0.35">
      <c r="B57" t="s">
        <v>52</v>
      </c>
      <c r="C57">
        <v>5.4300257953568357E-6</v>
      </c>
      <c r="D57" t="s">
        <v>126</v>
      </c>
      <c r="F57" s="2" t="s">
        <v>67</v>
      </c>
      <c r="N57" t="s">
        <v>99</v>
      </c>
      <c r="O57" t="e">
        <f>O56+O50</f>
        <v>#REF!</v>
      </c>
    </row>
    <row r="58" spans="1:16" x14ac:dyDescent="0.35">
      <c r="B58" t="s">
        <v>53</v>
      </c>
      <c r="C58">
        <v>3.99226947549441E-3</v>
      </c>
      <c r="D58" t="s">
        <v>126</v>
      </c>
      <c r="F58" s="2" t="s">
        <v>67</v>
      </c>
      <c r="N58" t="s">
        <v>100</v>
      </c>
      <c r="O58" t="e">
        <f>1000-O57</f>
        <v>#REF!</v>
      </c>
    </row>
    <row r="59" spans="1:16" x14ac:dyDescent="0.35">
      <c r="B59" t="s">
        <v>54</v>
      </c>
      <c r="C59">
        <v>3.5646087704213243E-3</v>
      </c>
      <c r="D59" t="s">
        <v>126</v>
      </c>
      <c r="F59" s="2" t="s">
        <v>67</v>
      </c>
    </row>
    <row r="60" spans="1:16" x14ac:dyDescent="0.35">
      <c r="B60" t="s">
        <v>58</v>
      </c>
      <c r="C60">
        <v>1.3390369733447977E-2</v>
      </c>
      <c r="D60" t="s">
        <v>126</v>
      </c>
      <c r="F60" s="2" t="s">
        <v>67</v>
      </c>
    </row>
    <row r="61" spans="1:16" x14ac:dyDescent="0.35">
      <c r="B61" t="s">
        <v>79</v>
      </c>
    </row>
    <row r="64" spans="1:16" x14ac:dyDescent="0.35">
      <c r="A64" t="s">
        <v>84</v>
      </c>
    </row>
    <row r="65" spans="1:8" x14ac:dyDescent="0.35">
      <c r="B65" s="2" t="s">
        <v>89</v>
      </c>
      <c r="C65">
        <f>(Waste_characteristics!B3*C5)+(C5*C15*Waste_characteristics!B2)-((Waste_characteristics!B3*C5)*(1-Waste_characteristics!B4)*Parameters!C6*Parameters!C10*0.000001)-((Waste_characteristics!B3*C5)*(1-Waste_characteristics!B4)*Parameters!C6*((1-C9)/C9)*C11*0.000001)</f>
        <v>0.55582190304980861</v>
      </c>
      <c r="D65" t="s">
        <v>14</v>
      </c>
      <c r="E65" s="2"/>
      <c r="F65" s="2" t="s">
        <v>262</v>
      </c>
    </row>
    <row r="66" spans="1:8" x14ac:dyDescent="0.35">
      <c r="B66" s="2" t="s">
        <v>279</v>
      </c>
      <c r="C66" s="28">
        <f>(Waste_characteristics!B3*Waste_characteristics!B4*C5)+(((Waste_characteristics!B3*C5)+(Waste_characteristics!B7*(1-Parameters!C4)))*Parameters!C15)</f>
        <v>0.48928004489070026</v>
      </c>
      <c r="D66" t="s">
        <v>14</v>
      </c>
      <c r="E66" s="2"/>
      <c r="F66" s="2"/>
      <c r="G66" t="s">
        <v>282</v>
      </c>
      <c r="H66">
        <f>(-0.000001877*(298^2))+(0.001097*298)-0.156</f>
        <v>4.2208920000000316E-3</v>
      </c>
    </row>
    <row r="67" spans="1:8" x14ac:dyDescent="0.35">
      <c r="B67" s="2" t="s">
        <v>280</v>
      </c>
      <c r="C67" s="28">
        <f>C65-C66</f>
        <v>6.6541858159108347E-2</v>
      </c>
      <c r="D67" t="s">
        <v>14</v>
      </c>
      <c r="E67" s="2"/>
      <c r="F67" s="2"/>
    </row>
    <row r="68" spans="1:8" x14ac:dyDescent="0.35">
      <c r="B68" s="2" t="s">
        <v>281</v>
      </c>
      <c r="C68" s="27">
        <f>Waste_characteristics!B6*(1-Parameters!C7)</f>
        <v>4.9235126143879634E-2</v>
      </c>
      <c r="D68" t="s">
        <v>14</v>
      </c>
      <c r="E68" s="2"/>
      <c r="F68" s="2"/>
    </row>
    <row r="69" spans="1:8" x14ac:dyDescent="0.35">
      <c r="B69" s="2" t="s">
        <v>283</v>
      </c>
      <c r="C69" s="27">
        <f>998*(1-(H66*C82))^-1</f>
        <v>998.86430015839301</v>
      </c>
      <c r="D69" t="s">
        <v>78</v>
      </c>
      <c r="E69" s="2"/>
      <c r="F69" s="2"/>
    </row>
    <row r="70" spans="1:8" x14ac:dyDescent="0.35">
      <c r="A70" t="s">
        <v>101</v>
      </c>
      <c r="E70" s="28"/>
    </row>
    <row r="71" spans="1:8" x14ac:dyDescent="0.35">
      <c r="B71" s="7" t="s">
        <v>102</v>
      </c>
      <c r="C71" s="1">
        <v>0.1</v>
      </c>
      <c r="D71" s="2" t="s">
        <v>103</v>
      </c>
      <c r="E71" s="2"/>
    </row>
    <row r="72" spans="1:8" x14ac:dyDescent="0.35">
      <c r="B72" s="7" t="s">
        <v>102</v>
      </c>
      <c r="C72" s="29">
        <f>Waste_characteristics!B6*(1-Parameters!C7)*Parameters!C71</f>
        <v>4.9235126143879638E-3</v>
      </c>
      <c r="D72" t="s">
        <v>264</v>
      </c>
      <c r="E72" s="30"/>
      <c r="F72" t="s">
        <v>265</v>
      </c>
    </row>
    <row r="73" spans="1:8" x14ac:dyDescent="0.35">
      <c r="B73" t="s">
        <v>107</v>
      </c>
      <c r="C73">
        <f>(C72/C12)*C9*C10</f>
        <v>1.7377103344898693E-3</v>
      </c>
      <c r="D73" s="2" t="s">
        <v>14</v>
      </c>
      <c r="E73" s="2"/>
    </row>
    <row r="74" spans="1:8" x14ac:dyDescent="0.35">
      <c r="D74" s="2"/>
      <c r="E74" s="2"/>
    </row>
    <row r="75" spans="1:8" x14ac:dyDescent="0.35">
      <c r="A75" t="s">
        <v>109</v>
      </c>
    </row>
    <row r="76" spans="1:8" x14ac:dyDescent="0.35">
      <c r="B76" t="s">
        <v>110</v>
      </c>
      <c r="C76">
        <f>C65-C73</f>
        <v>0.55408419271531872</v>
      </c>
    </row>
    <row r="77" spans="1:8" x14ac:dyDescent="0.35">
      <c r="B77" t="s">
        <v>112</v>
      </c>
      <c r="C77">
        <v>1.2999999999999999E-2</v>
      </c>
      <c r="D77" t="s">
        <v>116</v>
      </c>
      <c r="F77" s="8" t="s">
        <v>113</v>
      </c>
    </row>
    <row r="78" spans="1:8" x14ac:dyDescent="0.35">
      <c r="B78" t="s">
        <v>111</v>
      </c>
      <c r="C78">
        <v>0.4</v>
      </c>
      <c r="D78" t="s">
        <v>117</v>
      </c>
      <c r="F78" s="8" t="s">
        <v>114</v>
      </c>
    </row>
    <row r="79" spans="1:8" x14ac:dyDescent="0.35">
      <c r="B79" t="s">
        <v>115</v>
      </c>
      <c r="C79">
        <v>0.15</v>
      </c>
      <c r="D79" t="s">
        <v>118</v>
      </c>
      <c r="E79" t="s">
        <v>271</v>
      </c>
      <c r="F79" t="s">
        <v>270</v>
      </c>
    </row>
    <row r="80" spans="1:8" x14ac:dyDescent="0.35">
      <c r="A80" t="s">
        <v>132</v>
      </c>
    </row>
    <row r="81" spans="1:4" x14ac:dyDescent="0.35">
      <c r="B81" t="s">
        <v>153</v>
      </c>
      <c r="C81" s="16">
        <v>0.91500000000000004</v>
      </c>
      <c r="D81" t="s">
        <v>160</v>
      </c>
    </row>
    <row r="82" spans="1:4" x14ac:dyDescent="0.35">
      <c r="B82" t="s">
        <v>154</v>
      </c>
      <c r="C82" s="16">
        <v>0.20499999999999999</v>
      </c>
      <c r="D82" t="s">
        <v>161</v>
      </c>
    </row>
    <row r="83" spans="1:4" x14ac:dyDescent="0.35">
      <c r="B83" t="s">
        <v>155</v>
      </c>
      <c r="C83">
        <v>3.6315142617449662E-3</v>
      </c>
      <c r="D83" t="s">
        <v>162</v>
      </c>
    </row>
    <row r="84" spans="1:4" x14ac:dyDescent="0.35">
      <c r="B84" t="s">
        <v>156</v>
      </c>
      <c r="C84" s="16">
        <v>0.54699999999999993</v>
      </c>
      <c r="D84" t="s">
        <v>163</v>
      </c>
    </row>
    <row r="85" spans="1:4" x14ac:dyDescent="0.35">
      <c r="B85" t="s">
        <v>157</v>
      </c>
      <c r="C85" s="16">
        <v>0.36399999999999999</v>
      </c>
      <c r="D85" t="s">
        <v>164</v>
      </c>
    </row>
    <row r="86" spans="1:4" x14ac:dyDescent="0.35">
      <c r="B86" t="s">
        <v>158</v>
      </c>
      <c r="C86" s="16">
        <v>0.84620000000000006</v>
      </c>
      <c r="D86" t="s">
        <v>165</v>
      </c>
    </row>
    <row r="87" spans="1:4" x14ac:dyDescent="0.35">
      <c r="B87" t="s">
        <v>159</v>
      </c>
      <c r="C87" s="16">
        <v>0.34799999999999998</v>
      </c>
      <c r="D87" t="s">
        <v>166</v>
      </c>
    </row>
    <row r="88" spans="1:4" x14ac:dyDescent="0.35">
      <c r="A88" t="s">
        <v>167</v>
      </c>
    </row>
    <row r="89" spans="1:4" x14ac:dyDescent="0.35">
      <c r="B89" t="s">
        <v>168</v>
      </c>
      <c r="C89" s="16">
        <v>0.57999999999999996</v>
      </c>
      <c r="D89" t="s">
        <v>169</v>
      </c>
    </row>
    <row r="90" spans="1:4" x14ac:dyDescent="0.35">
      <c r="B90" t="s">
        <v>170</v>
      </c>
      <c r="C90" s="16">
        <v>9.8600000000000007E-3</v>
      </c>
      <c r="D90" t="s">
        <v>171</v>
      </c>
    </row>
    <row r="91" spans="1:4" x14ac:dyDescent="0.35">
      <c r="B91" t="s">
        <v>172</v>
      </c>
      <c r="C91" s="16">
        <v>9.4999999999999998E-3</v>
      </c>
      <c r="D91" t="s">
        <v>173</v>
      </c>
    </row>
    <row r="92" spans="1:4" x14ac:dyDescent="0.35">
      <c r="B92" t="s">
        <v>174</v>
      </c>
      <c r="C92" s="16">
        <v>0.04</v>
      </c>
      <c r="D92" t="s">
        <v>173</v>
      </c>
    </row>
    <row r="93" spans="1:4" x14ac:dyDescent="0.35">
      <c r="B93" t="s">
        <v>175</v>
      </c>
      <c r="C93" s="16">
        <v>0.104</v>
      </c>
      <c r="D93" t="s">
        <v>176</v>
      </c>
    </row>
    <row r="94" spans="1:4" x14ac:dyDescent="0.35">
      <c r="B94" t="s">
        <v>177</v>
      </c>
      <c r="C94" s="16">
        <v>4.0000000000000002E-4</v>
      </c>
      <c r="D94" t="s">
        <v>171</v>
      </c>
    </row>
    <row r="95" spans="1:4" x14ac:dyDescent="0.35">
      <c r="B95" t="s">
        <v>178</v>
      </c>
      <c r="C95" s="16">
        <v>0.48</v>
      </c>
      <c r="D95" t="s">
        <v>179</v>
      </c>
    </row>
    <row r="96" spans="1:4" x14ac:dyDescent="0.35">
      <c r="B96" t="s">
        <v>180</v>
      </c>
      <c r="C96">
        <v>10.523342983999999</v>
      </c>
      <c r="D96" t="s">
        <v>182</v>
      </c>
    </row>
    <row r="97" spans="1:5" x14ac:dyDescent="0.35">
      <c r="B97" t="s">
        <v>181</v>
      </c>
      <c r="C97">
        <v>1.7990406305204509</v>
      </c>
      <c r="D97" t="s">
        <v>183</v>
      </c>
    </row>
    <row r="98" spans="1:5" x14ac:dyDescent="0.35">
      <c r="B98" t="s">
        <v>294</v>
      </c>
      <c r="C98" s="26">
        <v>0.84</v>
      </c>
      <c r="D98" t="s">
        <v>295</v>
      </c>
    </row>
    <row r="99" spans="1:5" x14ac:dyDescent="0.35">
      <c r="A99" t="s">
        <v>184</v>
      </c>
    </row>
    <row r="100" spans="1:5" x14ac:dyDescent="0.35">
      <c r="C100" t="s">
        <v>224</v>
      </c>
    </row>
    <row r="103" spans="1:5" x14ac:dyDescent="0.35">
      <c r="A103" t="s">
        <v>243</v>
      </c>
      <c r="B103" s="19" t="s">
        <v>244</v>
      </c>
      <c r="C103">
        <v>0.47101295324660464</v>
      </c>
    </row>
    <row r="104" spans="1:5" x14ac:dyDescent="0.35">
      <c r="B104" s="19" t="s">
        <v>247</v>
      </c>
      <c r="C104">
        <f>0.00385440116849596*(2/5)</f>
        <v>1.5417604673983842E-3</v>
      </c>
      <c r="E104" t="s">
        <v>250</v>
      </c>
    </row>
    <row r="105" spans="1:5" x14ac:dyDescent="0.35">
      <c r="B105" t="s">
        <v>248</v>
      </c>
      <c r="C105">
        <f>0.00385440116849596*(3/5)</f>
        <v>2.3126407010975762E-3</v>
      </c>
      <c r="E105" t="s">
        <v>250</v>
      </c>
    </row>
    <row r="106" spans="1:5" x14ac:dyDescent="0.35">
      <c r="B106" s="19" t="s">
        <v>245</v>
      </c>
      <c r="C106">
        <v>0.36064674386390433</v>
      </c>
    </row>
    <row r="107" spans="1:5" x14ac:dyDescent="0.35">
      <c r="B107" s="19" t="s">
        <v>246</v>
      </c>
      <c r="C107">
        <v>0.16448590172099503</v>
      </c>
    </row>
  </sheetData>
  <hyperlinks>
    <hyperlink ref="F77" r:id="rId1" xr:uid="{9BBFB4ED-D8C2-43B9-9DDA-65BB07F7577F}"/>
    <hyperlink ref="F20" r:id="rId2" xr:uid="{D0E4D42D-1CC4-43D1-9B5D-F20FE75F4462}"/>
    <hyperlink ref="F32" r:id="rId3" xr:uid="{F5A2770C-B205-4146-A421-558C59CAB5D8}"/>
    <hyperlink ref="F78" r:id="rId4" location="sec3" xr:uid="{4DA64013-DBDC-4C21-88BA-185CE17CC1AA}"/>
  </hyperlinks>
  <pageMargins left="0.7" right="0.7" top="0.75" bottom="0.75" header="0.3" footer="0.3"/>
  <pageSetup paperSize="9" orientation="portrait" verticalDpi="597" r:id="rId5"/>
  <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34E2-FE48-4F6C-947D-3162A9EA30D8}">
  <dimension ref="B2:J7"/>
  <sheetViews>
    <sheetView workbookViewId="0">
      <selection activeCell="M22" sqref="M22"/>
    </sheetView>
  </sheetViews>
  <sheetFormatPr baseColWidth="10" defaultRowHeight="14.5" x14ac:dyDescent="0.35"/>
  <cols>
    <col min="2" max="2" width="32.1796875" customWidth="1"/>
  </cols>
  <sheetData>
    <row r="2" spans="2:10" x14ac:dyDescent="0.35">
      <c r="B2" t="s">
        <v>321</v>
      </c>
      <c r="I2" s="42" t="s">
        <v>322</v>
      </c>
      <c r="J2" s="42"/>
    </row>
    <row r="3" spans="2:10" x14ac:dyDescent="0.35">
      <c r="B3" t="s">
        <v>323</v>
      </c>
      <c r="C3">
        <v>1</v>
      </c>
      <c r="D3" s="39" t="s">
        <v>324</v>
      </c>
      <c r="I3">
        <v>0</v>
      </c>
      <c r="J3" t="s">
        <v>325</v>
      </c>
    </row>
    <row r="4" spans="2:10" x14ac:dyDescent="0.35">
      <c r="B4" t="s">
        <v>326</v>
      </c>
      <c r="C4" t="s">
        <v>327</v>
      </c>
      <c r="I4">
        <v>1</v>
      </c>
      <c r="J4" t="s">
        <v>328</v>
      </c>
    </row>
    <row r="5" spans="2:10" x14ac:dyDescent="0.35">
      <c r="B5" t="s">
        <v>329</v>
      </c>
      <c r="C5" t="s">
        <v>330</v>
      </c>
      <c r="D5" s="39" t="s">
        <v>324</v>
      </c>
      <c r="I5">
        <v>2</v>
      </c>
      <c r="J5" t="s">
        <v>331</v>
      </c>
    </row>
    <row r="6" spans="2:10" x14ac:dyDescent="0.35">
      <c r="B6" t="s">
        <v>332</v>
      </c>
      <c r="C6">
        <v>20</v>
      </c>
      <c r="D6" t="s">
        <v>333</v>
      </c>
      <c r="I6">
        <v>3</v>
      </c>
      <c r="J6" t="s">
        <v>334</v>
      </c>
    </row>
    <row r="7" spans="2:10" x14ac:dyDescent="0.35">
      <c r="B7" t="s">
        <v>335</v>
      </c>
      <c r="C7">
        <v>20</v>
      </c>
      <c r="D7" s="40" t="s">
        <v>333</v>
      </c>
      <c r="I7">
        <v>4</v>
      </c>
      <c r="J7" t="s">
        <v>336</v>
      </c>
    </row>
  </sheetData>
  <mergeCells count="1">
    <mergeCell ref="I2:J2"/>
  </mergeCells>
  <dataValidations count="4">
    <dataValidation type="list" allowBlank="1" showInputMessage="1" showErrorMessage="1" sqref="C2" xr:uid="{50F6AD01-78E7-4602-9743-E3529B4616E7}">
      <formula1>"Home composting, Industrial composting"</formula1>
    </dataValidation>
    <dataValidation type="list" allowBlank="1" showInputMessage="1" showErrorMessage="1" sqref="C5" xr:uid="{83F22F17-793E-47DB-A8B6-C1EE395F35E4}">
      <formula1>"Passive, Active, Turning by machine"</formula1>
    </dataValidation>
    <dataValidation type="list" allowBlank="1" showInputMessage="1" showErrorMessage="1" sqref="C4" xr:uid="{017A5E72-B68E-4D56-81D8-DE3BB16420B3}">
      <formula1>"3_1,8_1"</formula1>
    </dataValidation>
    <dataValidation type="list" allowBlank="1" showInputMessage="1" showErrorMessage="1" sqref="C3" xr:uid="{F279F121-14F9-4015-AFDF-2F9887A703F4}">
      <formula1>"0,1,2,3,4"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BD9FE-41AE-4CB3-93D3-21A7320B03A2}">
  <dimension ref="A1:AA7"/>
  <sheetViews>
    <sheetView workbookViewId="0">
      <selection activeCell="F18" sqref="F18"/>
    </sheetView>
  </sheetViews>
  <sheetFormatPr baseColWidth="10" defaultRowHeight="14.5" x14ac:dyDescent="0.35"/>
  <cols>
    <col min="3" max="3" width="11.81640625" bestFit="1" customWidth="1"/>
  </cols>
  <sheetData>
    <row r="1" spans="1:27" ht="101.5" x14ac:dyDescent="0.35">
      <c r="A1" t="s">
        <v>0</v>
      </c>
      <c r="C1" s="21" t="s">
        <v>187</v>
      </c>
      <c r="D1" s="21" t="s">
        <v>188</v>
      </c>
      <c r="E1" s="21" t="s">
        <v>189</v>
      </c>
      <c r="F1" s="21" t="s">
        <v>190</v>
      </c>
      <c r="G1" s="21" t="s">
        <v>191</v>
      </c>
      <c r="H1" s="21" t="s">
        <v>192</v>
      </c>
      <c r="I1" s="21" t="s">
        <v>193</v>
      </c>
      <c r="J1" s="21" t="s">
        <v>194</v>
      </c>
      <c r="K1" s="21" t="s">
        <v>195</v>
      </c>
      <c r="L1" s="21" t="s">
        <v>196</v>
      </c>
      <c r="M1" s="21" t="s">
        <v>197</v>
      </c>
      <c r="N1" s="21" t="s">
        <v>198</v>
      </c>
      <c r="O1" s="21" t="s">
        <v>199</v>
      </c>
      <c r="P1" s="21" t="s">
        <v>200</v>
      </c>
      <c r="Q1" s="21" t="s">
        <v>201</v>
      </c>
      <c r="R1" s="21" t="s">
        <v>202</v>
      </c>
      <c r="S1" s="21" t="s">
        <v>203</v>
      </c>
      <c r="T1" s="21" t="s">
        <v>204</v>
      </c>
      <c r="U1" s="21" t="s">
        <v>205</v>
      </c>
      <c r="V1" s="21" t="s">
        <v>206</v>
      </c>
      <c r="W1" s="21" t="s">
        <v>207</v>
      </c>
      <c r="X1" s="21" t="s">
        <v>208</v>
      </c>
      <c r="Y1" s="21" t="s">
        <v>209</v>
      </c>
      <c r="Z1" s="21" t="s">
        <v>210</v>
      </c>
      <c r="AA1" s="21" t="s">
        <v>211</v>
      </c>
    </row>
    <row r="2" spans="1:27" x14ac:dyDescent="0.35">
      <c r="A2" t="s">
        <v>297</v>
      </c>
      <c r="C2" s="34"/>
    </row>
    <row r="3" spans="1:27" ht="16.5" x14ac:dyDescent="0.45">
      <c r="B3" t="s">
        <v>298</v>
      </c>
      <c r="C3" s="36">
        <f>LCI!$E95*impact_process_end!C11</f>
        <v>0</v>
      </c>
      <c r="D3" s="36">
        <f>LCI!$E95*impact_process_end!D11</f>
        <v>9.0492999999999986E-13</v>
      </c>
      <c r="E3" s="36">
        <f>LCI!$E95*impact_process_end!E11</f>
        <v>3.313436E-8</v>
      </c>
      <c r="F3" s="36">
        <f>LCI!$E95*impact_process_end!F11</f>
        <v>0</v>
      </c>
      <c r="G3" s="36">
        <f>LCI!$E95*impact_process_end!G11</f>
        <v>0</v>
      </c>
      <c r="H3" s="36">
        <f>LCI!$E95*impact_process_end!H11</f>
        <v>0</v>
      </c>
      <c r="I3" s="36">
        <f>LCI!$E95*impact_process_end!I11</f>
        <v>0</v>
      </c>
      <c r="J3" s="36">
        <f>LCI!$E95*impact_process_end!J11</f>
        <v>0</v>
      </c>
      <c r="K3" s="36">
        <f>LCI!$E95*impact_process_end!K11</f>
        <v>0</v>
      </c>
      <c r="L3" s="36">
        <f>LCI!$E95*impact_process_end!L11</f>
        <v>0</v>
      </c>
      <c r="M3" s="36">
        <f>LCI!$E95*impact_process_end!M11</f>
        <v>0</v>
      </c>
      <c r="N3" s="36">
        <f>LCI!$E95*impact_process_end!N11</f>
        <v>0</v>
      </c>
      <c r="O3" s="36">
        <f>LCI!$E95*impact_process_end!O11</f>
        <v>1.099838E-5</v>
      </c>
      <c r="P3" s="36">
        <f>LCI!$E95*impact_process_end!P11</f>
        <v>0</v>
      </c>
      <c r="Q3" s="36">
        <f>LCI!$E95*impact_process_end!Q11</f>
        <v>0</v>
      </c>
      <c r="R3" s="36">
        <f>LCI!$E95*impact_process_end!R11</f>
        <v>0</v>
      </c>
      <c r="S3" s="36">
        <f>LCI!$E95*impact_process_end!S11</f>
        <v>0</v>
      </c>
      <c r="T3" s="36">
        <f>LCI!$E95*impact_process_end!T11</f>
        <v>0</v>
      </c>
      <c r="U3" s="36">
        <f>LCI!$E95*impact_process_end!U11</f>
        <v>0</v>
      </c>
      <c r="V3" s="36">
        <f>LCI!$E95*impact_process_end!V11</f>
        <v>0</v>
      </c>
      <c r="W3" s="36">
        <f>LCI!$E95*impact_process_end!W11</f>
        <v>0</v>
      </c>
      <c r="X3" s="36">
        <f>LCI!$E95*impact_process_end!X11</f>
        <v>0</v>
      </c>
      <c r="Y3" s="36">
        <f>LCI!$E95*impact_process_end!Y11</f>
        <v>3.313526493E-8</v>
      </c>
      <c r="Z3" s="36">
        <f>LCI!$E95*impact_process_end!Z11</f>
        <v>1.099838E-5</v>
      </c>
      <c r="AA3" s="36">
        <f>LCI!$E95*impact_process_end!AA11</f>
        <v>0</v>
      </c>
    </row>
    <row r="4" spans="1:27" ht="16.5" x14ac:dyDescent="0.45">
      <c r="B4" t="s">
        <v>299</v>
      </c>
      <c r="C4" s="36">
        <f>LCI!$E97*impact_process_end!C17</f>
        <v>2.6928511999999999E-8</v>
      </c>
      <c r="D4" s="36">
        <f>LCI!$E97*impact_process_end!D17</f>
        <v>0</v>
      </c>
      <c r="E4" s="36">
        <f>LCI!$E97*impact_process_end!E17</f>
        <v>0</v>
      </c>
      <c r="F4" s="36">
        <f>LCI!$E97*impact_process_end!F17</f>
        <v>0</v>
      </c>
      <c r="G4" s="36">
        <f>LCI!$E97*impact_process_end!G17</f>
        <v>0</v>
      </c>
      <c r="H4" s="36">
        <f>LCI!$E97*impact_process_end!H17</f>
        <v>0</v>
      </c>
      <c r="I4" s="36">
        <f>LCI!$E97*impact_process_end!I17</f>
        <v>0</v>
      </c>
      <c r="J4" s="36">
        <f>LCI!$E97*impact_process_end!J17</f>
        <v>0</v>
      </c>
      <c r="K4" s="36">
        <f>LCI!$E97*impact_process_end!K17</f>
        <v>0</v>
      </c>
      <c r="L4" s="36">
        <f>LCI!$E97*impact_process_end!L17</f>
        <v>0</v>
      </c>
      <c r="M4" s="36">
        <f>LCI!$E97*impact_process_end!M17</f>
        <v>0</v>
      </c>
      <c r="N4" s="36">
        <f>LCI!$E97*impact_process_end!N17</f>
        <v>0</v>
      </c>
      <c r="O4" s="36">
        <f>LCI!$E97*impact_process_end!O17</f>
        <v>0</v>
      </c>
      <c r="P4" s="36">
        <f>LCI!$E97*impact_process_end!P17</f>
        <v>0</v>
      </c>
      <c r="Q4" s="36">
        <f>LCI!$E97*impact_process_end!Q17</f>
        <v>0</v>
      </c>
      <c r="R4" s="36">
        <f>LCI!$E97*impact_process_end!R17</f>
        <v>0</v>
      </c>
      <c r="S4" s="36">
        <f>LCI!$E97*impact_process_end!S17</f>
        <v>0</v>
      </c>
      <c r="T4" s="36">
        <f>LCI!$E97*impact_process_end!T17</f>
        <v>9.7097999999999981E-6</v>
      </c>
      <c r="U4" s="36">
        <f>LCI!$E97*impact_process_end!U17</f>
        <v>0</v>
      </c>
      <c r="V4" s="36">
        <f>LCI!$E97*impact_process_end!V17</f>
        <v>0</v>
      </c>
      <c r="W4" s="36">
        <f>LCI!$E97*impact_process_end!W17</f>
        <v>0</v>
      </c>
      <c r="X4" s="36">
        <f>LCI!$E97*impact_process_end!X17</f>
        <v>0</v>
      </c>
      <c r="Y4" s="36">
        <f>LCI!$E97*impact_process_end!Y17</f>
        <v>2.6928511999999999E-8</v>
      </c>
      <c r="Z4" s="36">
        <f>LCI!$E97*impact_process_end!Z17</f>
        <v>9.7097999999999981E-6</v>
      </c>
      <c r="AA4" s="36">
        <f>LCI!$E97*impact_process_end!AA17</f>
        <v>0</v>
      </c>
    </row>
    <row r="5" spans="1:27" ht="16.5" x14ac:dyDescent="0.45">
      <c r="B5" t="s">
        <v>300</v>
      </c>
      <c r="C5" s="36">
        <f>LCI!$E96*impact_process_end!C19</f>
        <v>0</v>
      </c>
      <c r="D5" s="36">
        <f>LCI!$E96*impact_process_end!D19</f>
        <v>1.5993971999999998E-12</v>
      </c>
      <c r="E5" s="36">
        <f>LCI!$E96*impact_process_end!E19</f>
        <v>5.8504265999999991E-8</v>
      </c>
      <c r="F5" s="36">
        <f>LCI!$E96*impact_process_end!F19</f>
        <v>0</v>
      </c>
      <c r="G5" s="36">
        <f>LCI!$E96*impact_process_end!G19</f>
        <v>0</v>
      </c>
      <c r="H5" s="36">
        <f>LCI!$E96*impact_process_end!H19</f>
        <v>0</v>
      </c>
      <c r="I5" s="36">
        <f>LCI!$E96*impact_process_end!I19</f>
        <v>0</v>
      </c>
      <c r="J5" s="36">
        <f>LCI!$E96*impact_process_end!J19</f>
        <v>0</v>
      </c>
      <c r="K5" s="36">
        <f>LCI!$E96*impact_process_end!K19</f>
        <v>0</v>
      </c>
      <c r="L5" s="36">
        <f>LCI!$E96*impact_process_end!L19</f>
        <v>0</v>
      </c>
      <c r="M5" s="36">
        <f>LCI!$E96*impact_process_end!M19</f>
        <v>0</v>
      </c>
      <c r="N5" s="36">
        <f>LCI!$E96*impact_process_end!N19</f>
        <v>0</v>
      </c>
      <c r="O5" s="36">
        <f>LCI!$E96*impact_process_end!O19</f>
        <v>1.9641719999999997E-5</v>
      </c>
      <c r="P5" s="36">
        <f>LCI!$E96*impact_process_end!P19</f>
        <v>0</v>
      </c>
      <c r="Q5" s="36">
        <f>LCI!$E96*impact_process_end!Q19</f>
        <v>0</v>
      </c>
      <c r="R5" s="36">
        <f>LCI!$E96*impact_process_end!R19</f>
        <v>0</v>
      </c>
      <c r="S5" s="36">
        <f>LCI!$E96*impact_process_end!S19</f>
        <v>4.0967015999999993E-7</v>
      </c>
      <c r="T5" s="36">
        <f>LCI!$E96*impact_process_end!T19</f>
        <v>0</v>
      </c>
      <c r="U5" s="36">
        <f>LCI!$E96*impact_process_end!U19</f>
        <v>0</v>
      </c>
      <c r="V5" s="36">
        <f>LCI!$E96*impact_process_end!V19</f>
        <v>0</v>
      </c>
      <c r="W5" s="36">
        <f>LCI!$E96*impact_process_end!W19</f>
        <v>0</v>
      </c>
      <c r="X5" s="36">
        <f>LCI!$E96*impact_process_end!X19</f>
        <v>0</v>
      </c>
      <c r="Y5" s="36">
        <f>LCI!$E96*impact_process_end!Y19</f>
        <v>5.8505865397199988E-8</v>
      </c>
      <c r="Z5" s="36">
        <f>LCI!$E96*impact_process_end!Z19</f>
        <v>2.0051390159999996E-5</v>
      </c>
      <c r="AA5" s="36">
        <f>LCI!$E96*impact_process_end!AA19</f>
        <v>0</v>
      </c>
    </row>
    <row r="6" spans="1:27" x14ac:dyDescent="0.35">
      <c r="A6" t="s">
        <v>303</v>
      </c>
    </row>
    <row r="7" spans="1:27" x14ac:dyDescent="0.35">
      <c r="B7" t="s">
        <v>343</v>
      </c>
      <c r="C7">
        <f>LCI!$E98*impact_process_end!C32</f>
        <v>3.0302879762410357E-9</v>
      </c>
      <c r="D7">
        <f>LCI!$E98*impact_process_end!D32</f>
        <v>4.4028426623268897E-13</v>
      </c>
      <c r="E7">
        <f>LCI!$E98*impact_process_end!E32</f>
        <v>1.6121280684692799E-8</v>
      </c>
      <c r="F7">
        <f>LCI!$E98*impact_process_end!F32</f>
        <v>8.9550842310419634E-11</v>
      </c>
      <c r="G7">
        <f>LCI!$E98*impact_process_end!G32</f>
        <v>2.1182825105606582E-11</v>
      </c>
      <c r="H7">
        <f>LCI!$E98*impact_process_end!H32</f>
        <v>6.5822852956409875E-10</v>
      </c>
      <c r="I7">
        <f>LCI!$E98*impact_process_end!I32</f>
        <v>1.3248146722419573E-9</v>
      </c>
      <c r="J7">
        <f>LCI!$E98*impact_process_end!J32</f>
        <v>5.3657236463384755E-13</v>
      </c>
      <c r="K7">
        <f>LCI!$E98*impact_process_end!K32</f>
        <v>5.2024258898378559E-7</v>
      </c>
      <c r="L7">
        <f>LCI!$E98*impact_process_end!L32</f>
        <v>3.6535315050201752E-9</v>
      </c>
      <c r="M7">
        <f>LCI!$E98*impact_process_end!M32</f>
        <v>1.6267137115928494E-14</v>
      </c>
      <c r="N7">
        <f>LCI!$E98*impact_process_end!N32</f>
        <v>3.6358667394873286E-10</v>
      </c>
      <c r="O7">
        <f>LCI!$E98*impact_process_end!O32</f>
        <v>5.3418072641283292E-6</v>
      </c>
      <c r="P7">
        <f>LCI!$E98*impact_process_end!P32</f>
        <v>1.3290955933070178E-6</v>
      </c>
      <c r="Q7">
        <f>LCI!$E98*impact_process_end!Q32</f>
        <v>7.9050034919984862E-7</v>
      </c>
      <c r="R7">
        <f>LCI!$E98*impact_process_end!R32</f>
        <v>4.2177806699609076E-9</v>
      </c>
      <c r="S7">
        <f>LCI!$E98*impact_process_end!S32</f>
        <v>1.1310747876410628E-9</v>
      </c>
      <c r="T7">
        <f>LCI!$E98*impact_process_end!T32</f>
        <v>3.949934860764492E-6</v>
      </c>
      <c r="U7">
        <f>LCI!$E98*impact_process_end!U32</f>
        <v>2.3507587615002564E-8</v>
      </c>
      <c r="V7">
        <f>LCI!$E98*impact_process_end!V32</f>
        <v>5.9789808604902742E-8</v>
      </c>
      <c r="W7">
        <f>LCI!$E98*impact_process_end!W32</f>
        <v>0.69855187502947691</v>
      </c>
      <c r="X7">
        <f>LCI!$E98*impact_process_end!X32</f>
        <v>2.4148827034438176E-2</v>
      </c>
      <c r="Y7">
        <f>LCI!$E98*impact_process_end!Y32</f>
        <v>5.4514157559695496E-7</v>
      </c>
      <c r="Z7">
        <f>LCI!$E98*impact_process_end!Z32</f>
        <v>1.1499684208052905E-5</v>
      </c>
      <c r="AA7">
        <f>LCI!$E98*impact_process_end!AA32</f>
        <v>0.72270070242750173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5703-9DB8-4BFC-9FB3-D354C7661974}">
  <dimension ref="A1:U7"/>
  <sheetViews>
    <sheetView workbookViewId="0">
      <selection activeCell="C3" sqref="C3"/>
    </sheetView>
  </sheetViews>
  <sheetFormatPr baseColWidth="10" defaultRowHeight="14.5" x14ac:dyDescent="0.35"/>
  <cols>
    <col min="2" max="2" width="13.7265625" customWidth="1"/>
    <col min="3" max="20" width="20.6328125" style="34" customWidth="1"/>
  </cols>
  <sheetData>
    <row r="1" spans="1:21" ht="87" x14ac:dyDescent="0.35">
      <c r="A1" s="35" t="s">
        <v>0</v>
      </c>
      <c r="B1" s="31"/>
      <c r="C1" s="33" t="s">
        <v>32</v>
      </c>
      <c r="D1" s="33" t="s">
        <v>33</v>
      </c>
      <c r="E1" s="33" t="s">
        <v>34</v>
      </c>
      <c r="F1" s="33" t="s">
        <v>35</v>
      </c>
      <c r="G1" s="33" t="s">
        <v>36</v>
      </c>
      <c r="H1" s="33" t="s">
        <v>37</v>
      </c>
      <c r="I1" s="33" t="s">
        <v>38</v>
      </c>
      <c r="J1" s="33" t="s">
        <v>39</v>
      </c>
      <c r="K1" s="33" t="s">
        <v>40</v>
      </c>
      <c r="L1" s="33" t="s">
        <v>41</v>
      </c>
      <c r="M1" s="33" t="s">
        <v>42</v>
      </c>
      <c r="N1" s="33" t="s">
        <v>43</v>
      </c>
      <c r="O1" s="33" t="s">
        <v>44</v>
      </c>
      <c r="P1" s="33" t="s">
        <v>45</v>
      </c>
      <c r="Q1" s="33" t="s">
        <v>46</v>
      </c>
      <c r="R1" s="33" t="s">
        <v>47</v>
      </c>
      <c r="S1" s="33" t="s">
        <v>48</v>
      </c>
      <c r="T1" s="33" t="s">
        <v>49</v>
      </c>
    </row>
    <row r="2" spans="1:21" x14ac:dyDescent="0.35">
      <c r="A2" t="s">
        <v>297</v>
      </c>
    </row>
    <row r="3" spans="1:21" ht="16.5" x14ac:dyDescent="0.45">
      <c r="B3" t="s">
        <v>298</v>
      </c>
      <c r="C3" s="36">
        <f>LCI!$E95*impact_process_mid!C11</f>
        <v>0</v>
      </c>
      <c r="D3" s="36">
        <f>LCI!$E95*impact_process_mid!D11</f>
        <v>11.833699999999999</v>
      </c>
      <c r="E3" s="36">
        <f>LCI!$E95*impact_process_mid!E11</f>
        <v>0</v>
      </c>
      <c r="F3" s="36">
        <f>LCI!$E95*impact_process_mid!F11</f>
        <v>0</v>
      </c>
      <c r="G3" s="36">
        <f>LCI!$E95*impact_process_mid!G11</f>
        <v>0</v>
      </c>
      <c r="H3" s="36">
        <f>LCI!$E95*impact_process_mid!H11</f>
        <v>0</v>
      </c>
      <c r="I3" s="36">
        <f>LCI!$E95*impact_process_mid!I11</f>
        <v>0</v>
      </c>
      <c r="J3" s="36">
        <f>LCI!$E95*impact_process_mid!J11</f>
        <v>0</v>
      </c>
      <c r="K3" s="36">
        <f>LCI!$E95*impact_process_mid!K11</f>
        <v>0</v>
      </c>
      <c r="L3" s="36">
        <f>LCI!$E95*impact_process_mid!L11</f>
        <v>0</v>
      </c>
      <c r="M3" s="36">
        <f>LCI!$E95*impact_process_mid!M11</f>
        <v>0</v>
      </c>
      <c r="N3" s="36">
        <f>LCI!$E95*impact_process_mid!N11</f>
        <v>0</v>
      </c>
      <c r="O3" s="36">
        <f>LCI!$E95*impact_process_mid!O11</f>
        <v>0</v>
      </c>
      <c r="P3" s="36">
        <f>LCI!$E95*impact_process_mid!P11</f>
        <v>0</v>
      </c>
      <c r="Q3" s="36">
        <f>LCI!$E95*impact_process_mid!Q11</f>
        <v>0</v>
      </c>
      <c r="R3" s="36">
        <f>LCI!$E95*impact_process_mid!R11</f>
        <v>0</v>
      </c>
      <c r="S3" s="36">
        <f>LCI!$E95*impact_process_mid!S11</f>
        <v>0</v>
      </c>
      <c r="T3" s="36">
        <f>LCI!$E95*impact_process_mid!T11</f>
        <v>0</v>
      </c>
      <c r="U3" s="36"/>
    </row>
    <row r="4" spans="1:21" ht="16.5" x14ac:dyDescent="0.45">
      <c r="B4" t="s">
        <v>299</v>
      </c>
      <c r="C4" s="36">
        <f>LCI!$E97*impact_process_mid!C17</f>
        <v>0.12687472</v>
      </c>
      <c r="D4" s="36">
        <f>LCI!$E97*impact_process_mid!D17</f>
        <v>0</v>
      </c>
      <c r="E4" s="36">
        <f>LCI!$E97*impact_process_mid!E17</f>
        <v>0</v>
      </c>
      <c r="F4" s="36">
        <f>LCI!$E97*impact_process_mid!F17</f>
        <v>0</v>
      </c>
      <c r="G4" s="36">
        <f>LCI!$E97*impact_process_mid!G17</f>
        <v>0</v>
      </c>
      <c r="H4" s="36">
        <f>LCI!$E97*impact_process_mid!H17</f>
        <v>0</v>
      </c>
      <c r="I4" s="36">
        <f>LCI!$E97*impact_process_mid!I17</f>
        <v>0</v>
      </c>
      <c r="J4" s="36">
        <f>LCI!$E97*impact_process_mid!J17</f>
        <v>0</v>
      </c>
      <c r="K4" s="36">
        <f>LCI!$E97*impact_process_mid!K17</f>
        <v>0</v>
      </c>
      <c r="L4" s="36">
        <f>LCI!$E97*impact_process_mid!L17</f>
        <v>0</v>
      </c>
      <c r="M4" s="36">
        <f>LCI!$E97*impact_process_mid!M17</f>
        <v>0</v>
      </c>
      <c r="N4" s="36">
        <f>LCI!$E97*impact_process_mid!N17</f>
        <v>0</v>
      </c>
      <c r="O4" s="36">
        <f>LCI!$E97*impact_process_mid!O17</f>
        <v>0</v>
      </c>
      <c r="P4" s="36">
        <f>LCI!$E97*impact_process_mid!P17</f>
        <v>0</v>
      </c>
      <c r="Q4" s="36">
        <f>LCI!$E97*impact_process_mid!Q17</f>
        <v>1.553568E-2</v>
      </c>
      <c r="R4" s="36">
        <f>LCI!$E97*impact_process_mid!R17</f>
        <v>0</v>
      </c>
      <c r="S4" s="36">
        <f>LCI!$E97*impact_process_mid!S17</f>
        <v>0</v>
      </c>
      <c r="T4" s="36">
        <f>LCI!$E97*impact_process_mid!T17</f>
        <v>0</v>
      </c>
    </row>
    <row r="5" spans="1:21" ht="16.5" x14ac:dyDescent="0.45">
      <c r="B5" t="s">
        <v>300</v>
      </c>
      <c r="C5" s="36">
        <f>LCI!$E96*impact_process_mid!C19</f>
        <v>0</v>
      </c>
      <c r="D5" s="36">
        <f>LCI!$E96*impact_process_mid!D19</f>
        <v>20.904401999999997</v>
      </c>
      <c r="E5" s="36">
        <f>LCI!$E96*impact_process_mid!E19</f>
        <v>0</v>
      </c>
      <c r="F5" s="36">
        <f>LCI!$E96*impact_process_mid!F19</f>
        <v>0</v>
      </c>
      <c r="G5" s="36">
        <f>LCI!$E96*impact_process_mid!G19</f>
        <v>0</v>
      </c>
      <c r="H5" s="36">
        <f>LCI!$E96*impact_process_mid!H19</f>
        <v>0</v>
      </c>
      <c r="I5" s="36">
        <f>LCI!$E96*impact_process_mid!I19</f>
        <v>0</v>
      </c>
      <c r="J5" s="36">
        <f>LCI!$E96*impact_process_mid!J19</f>
        <v>0</v>
      </c>
      <c r="K5" s="36">
        <f>LCI!$E96*impact_process_mid!K19</f>
        <v>0</v>
      </c>
      <c r="L5" s="36">
        <f>LCI!$E96*impact_process_mid!L19</f>
        <v>0</v>
      </c>
      <c r="M5" s="36">
        <f>LCI!$E96*impact_process_mid!M19</f>
        <v>0</v>
      </c>
      <c r="N5" s="36">
        <f>LCI!$E96*impact_process_mid!N19</f>
        <v>0</v>
      </c>
      <c r="O5" s="36">
        <f>LCI!$E96*impact_process_mid!O19</f>
        <v>0</v>
      </c>
      <c r="P5" s="36">
        <f>LCI!$E96*impact_process_mid!P19</f>
        <v>7.7163899999999985E-4</v>
      </c>
      <c r="Q5" s="36">
        <f>LCI!$E96*impact_process_mid!Q19</f>
        <v>0</v>
      </c>
      <c r="R5" s="36">
        <f>LCI!$E96*impact_process_mid!R19</f>
        <v>0</v>
      </c>
      <c r="S5" s="36">
        <f>LCI!$E96*impact_process_mid!S19</f>
        <v>0</v>
      </c>
      <c r="T5" s="36">
        <f>LCI!$E96*impact_process_mid!T19</f>
        <v>0</v>
      </c>
    </row>
    <row r="6" spans="1:21" x14ac:dyDescent="0.35">
      <c r="A6" t="s">
        <v>303</v>
      </c>
      <c r="C6"/>
    </row>
    <row r="7" spans="1:21" x14ac:dyDescent="0.35">
      <c r="B7" t="s">
        <v>343</v>
      </c>
      <c r="C7">
        <f>LCI!$E98*impact_process_mid!C32</f>
        <v>1.4295466509523749E-2</v>
      </c>
      <c r="D7">
        <f>LCI!$E98*impact_process_mid!D32</f>
        <v>5.7556616802676039</v>
      </c>
      <c r="E7">
        <f>LCI!$E98*impact_process_mid!E32</f>
        <v>0.129308865146636</v>
      </c>
      <c r="F7">
        <f>LCI!$E98*impact_process_mid!F32</f>
        <v>0.20158552991181719</v>
      </c>
      <c r="G7">
        <f>LCI!$E98*impact_process_mid!G32</f>
        <v>57.734744806932433</v>
      </c>
      <c r="H7">
        <f>LCI!$E98*impact_process_mid!H32</f>
        <v>1.7373117397259801</v>
      </c>
      <c r="I7">
        <f>LCI!$E98*impact_process_mid!I32</f>
        <v>1.9765582209530343E-3</v>
      </c>
      <c r="J7">
        <f>LCI!$E98*impact_process_mid!J32</f>
        <v>3.1560346846586172E-4</v>
      </c>
      <c r="K7">
        <f>LCI!$E98*impact_process_mid!K32</f>
        <v>0.40035582233896388</v>
      </c>
      <c r="L7">
        <f>LCI!$E98*impact_process_mid!L32</f>
        <v>3.466683664084059</v>
      </c>
      <c r="M7">
        <f>LCI!$E98*impact_process_mid!M32</f>
        <v>0.49716298893330546</v>
      </c>
      <c r="N7">
        <f>LCI!$E98*impact_process_mid!N32</f>
        <v>58.672077655837455</v>
      </c>
      <c r="O7">
        <f>LCI!$E98*impact_process_mid!O32</f>
        <v>0.10439624041088992</v>
      </c>
      <c r="P7">
        <f>LCI!$E98*impact_process_mid!P32</f>
        <v>2.1306487396046929E-6</v>
      </c>
      <c r="Q7">
        <f>LCI!$E98*impact_process_mid!Q32</f>
        <v>6.2833412557336613E-3</v>
      </c>
      <c r="R7">
        <f>LCI!$E98*impact_process_mid!R32</f>
        <v>2.5827598708231092E-2</v>
      </c>
      <c r="S7">
        <f>LCI!$E98*impact_process_mid!S32</f>
        <v>2.8323550693570544E-2</v>
      </c>
      <c r="T7">
        <f>LCI!$E98*impact_process_mid!T32</f>
        <v>2.693234621842466E-2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9C4D1-8AB5-47BD-9863-945ED9514357}">
  <dimension ref="A1:T24"/>
  <sheetViews>
    <sheetView workbookViewId="0">
      <selection activeCell="C4" sqref="C4"/>
    </sheetView>
  </sheetViews>
  <sheetFormatPr baseColWidth="10" defaultRowHeight="14.5" x14ac:dyDescent="0.35"/>
  <cols>
    <col min="2" max="2" width="30.26953125" customWidth="1"/>
  </cols>
  <sheetData>
    <row r="1" spans="1:20" ht="87" x14ac:dyDescent="0.35">
      <c r="A1" s="35" t="s">
        <v>0</v>
      </c>
      <c r="B1" s="31"/>
      <c r="C1" s="33" t="s">
        <v>32</v>
      </c>
      <c r="D1" s="33" t="s">
        <v>33</v>
      </c>
      <c r="E1" s="33" t="s">
        <v>34</v>
      </c>
      <c r="F1" s="33" t="s">
        <v>35</v>
      </c>
      <c r="G1" s="33" t="s">
        <v>36</v>
      </c>
      <c r="H1" s="33" t="s">
        <v>37</v>
      </c>
      <c r="I1" s="33" t="s">
        <v>38</v>
      </c>
      <c r="J1" s="33" t="s">
        <v>39</v>
      </c>
      <c r="K1" s="33" t="s">
        <v>40</v>
      </c>
      <c r="L1" s="33" t="s">
        <v>41</v>
      </c>
      <c r="M1" s="33" t="s">
        <v>42</v>
      </c>
      <c r="N1" s="33" t="s">
        <v>43</v>
      </c>
      <c r="O1" s="33" t="s">
        <v>44</v>
      </c>
      <c r="P1" s="33" t="s">
        <v>45</v>
      </c>
      <c r="Q1" s="33" t="s">
        <v>46</v>
      </c>
      <c r="R1" s="33" t="s">
        <v>47</v>
      </c>
      <c r="S1" s="33" t="s">
        <v>48</v>
      </c>
      <c r="T1" s="33" t="s">
        <v>49</v>
      </c>
    </row>
    <row r="2" spans="1:20" x14ac:dyDescent="0.35">
      <c r="A2" t="s">
        <v>5</v>
      </c>
    </row>
    <row r="3" spans="1:20" x14ac:dyDescent="0.35">
      <c r="B3" t="s">
        <v>251</v>
      </c>
      <c r="C3">
        <f>LCI!$E102*impact_process_mid!C2</f>
        <v>9.0312821927291157E-4</v>
      </c>
      <c r="D3">
        <f>LCI!$E102*impact_process_mid!D2</f>
        <v>0.79247376131455494</v>
      </c>
      <c r="E3">
        <f>LCI!$E102*impact_process_mid!E2</f>
        <v>6.1910242536206021E-2</v>
      </c>
      <c r="F3">
        <f>LCI!$E102*impact_process_mid!F2</f>
        <v>7.8345670962325933E-2</v>
      </c>
      <c r="G3">
        <f>LCI!$E102*impact_process_mid!G2</f>
        <v>5.6623344657000505</v>
      </c>
      <c r="H3">
        <f>LCI!$E102*impact_process_mid!H2</f>
        <v>0.24326940164457148</v>
      </c>
      <c r="I3">
        <f>LCI!$E102*impact_process_mid!I2</f>
        <v>1.5313456823503233E-4</v>
      </c>
      <c r="J3">
        <f>LCI!$E102*impact_process_mid!J2</f>
        <v>1.1543479523576296E-4</v>
      </c>
      <c r="K3">
        <f>LCI!$E102*impact_process_mid!K2</f>
        <v>5.902930824914978E-2</v>
      </c>
      <c r="L3">
        <f>LCI!$E102*impact_process_mid!L2</f>
        <v>1.2768809947849726</v>
      </c>
      <c r="M3">
        <f>LCI!$E102*impact_process_mid!M2</f>
        <v>5.4896610827526633</v>
      </c>
      <c r="N3">
        <f>LCI!$E102*impact_process_mid!N2</f>
        <v>2.8448734985388312E-2</v>
      </c>
      <c r="O3">
        <f>LCI!$E102*impact_process_mid!O2</f>
        <v>1.7691736994575557E-2</v>
      </c>
      <c r="P3">
        <f>LCI!$E102*impact_process_mid!P2</f>
        <v>8.628622072860003E-7</v>
      </c>
      <c r="Q3">
        <f>LCI!$E102*impact_process_mid!Q2</f>
        <v>5.0090706833172773E-4</v>
      </c>
      <c r="R3">
        <f>LCI!$E102*impact_process_mid!R2</f>
        <v>8.1527565031312655E-4</v>
      </c>
      <c r="S3">
        <f>LCI!$E102*impact_process_mid!S2</f>
        <v>9.0017742771662421E-4</v>
      </c>
      <c r="T3">
        <f>LCI!$E102*impact_process_mid!T2</f>
        <v>3.1289649930023082E-2</v>
      </c>
    </row>
    <row r="4" spans="1:20" x14ac:dyDescent="0.35">
      <c r="B4" t="s">
        <v>252</v>
      </c>
      <c r="C4">
        <f>LCI!E$103*impact_process_mid!C3</f>
        <v>0</v>
      </c>
      <c r="D4">
        <f>LCI!F$103*impact_process_mid!D3</f>
        <v>0</v>
      </c>
      <c r="E4">
        <f>LCI!G$103*impact_process_mid!E3</f>
        <v>0</v>
      </c>
      <c r="F4">
        <f>LCI!H$103*impact_process_mid!F3</f>
        <v>0</v>
      </c>
      <c r="G4">
        <f>LCI!I$103*impact_process_mid!G3</f>
        <v>0</v>
      </c>
      <c r="H4">
        <f>LCI!J$103*impact_process_mid!H3</f>
        <v>0</v>
      </c>
      <c r="I4">
        <f>LCI!K$103*impact_process_mid!I3</f>
        <v>0</v>
      </c>
      <c r="J4">
        <f>LCI!L$103*impact_process_mid!J3</f>
        <v>0</v>
      </c>
      <c r="K4">
        <f>LCI!M$103*impact_process_mid!K3</f>
        <v>0</v>
      </c>
      <c r="L4">
        <f>LCI!N$103*impact_process_mid!L3</f>
        <v>0</v>
      </c>
      <c r="M4">
        <f>LCI!O$103*impact_process_mid!M3</f>
        <v>0</v>
      </c>
      <c r="N4">
        <f>LCI!P$103*impact_process_mid!N3</f>
        <v>0</v>
      </c>
      <c r="O4">
        <f>LCI!Q$103*impact_process_mid!O3</f>
        <v>0</v>
      </c>
      <c r="P4">
        <f>LCI!R$103*impact_process_mid!P3</f>
        <v>0</v>
      </c>
      <c r="Q4">
        <f>LCI!S$103*impact_process_mid!Q3</f>
        <v>0</v>
      </c>
      <c r="R4">
        <f>LCI!T$103*impact_process_mid!R3</f>
        <v>0</v>
      </c>
      <c r="S4">
        <f>LCI!U$103*impact_process_mid!S3</f>
        <v>0</v>
      </c>
      <c r="T4">
        <f>LCI!V$103*impact_process_mid!T3</f>
        <v>0</v>
      </c>
    </row>
    <row r="5" spans="1:20" x14ac:dyDescent="0.35">
      <c r="A5" t="s">
        <v>237</v>
      </c>
    </row>
    <row r="6" spans="1:20" x14ac:dyDescent="0.35">
      <c r="B6" t="s">
        <v>237</v>
      </c>
      <c r="C6">
        <f>LCI!$E105*impact_process_mid!C4</f>
        <v>3.136868825731589E-2</v>
      </c>
      <c r="D6">
        <f>LCI!$E105*impact_process_mid!D4</f>
        <v>9.4255904120400142</v>
      </c>
      <c r="E6">
        <f>LCI!$E105*impact_process_mid!E4</f>
        <v>1.5611552242218518</v>
      </c>
      <c r="F6">
        <f>LCI!$E105*impact_process_mid!F4</f>
        <v>2.0858238050040208</v>
      </c>
      <c r="G6">
        <f>LCI!$E105*impact_process_mid!G4</f>
        <v>21.548877259610556</v>
      </c>
      <c r="H6">
        <f>LCI!$E105*impact_process_mid!H4</f>
        <v>1.3294787034626672</v>
      </c>
      <c r="I6">
        <f>LCI!$E105*impact_process_mid!I4</f>
        <v>1.1197025726516924E-2</v>
      </c>
      <c r="J6">
        <f>LCI!$E105*impact_process_mid!J4</f>
        <v>2.7794864281369667E-3</v>
      </c>
      <c r="K6">
        <f>LCI!$E105*impact_process_mid!K4</f>
        <v>2.4266598230865393</v>
      </c>
      <c r="L6">
        <f>LCI!$E105*impact_process_mid!L4</f>
        <v>69.7281472144969</v>
      </c>
      <c r="M6">
        <f>LCI!$E105*impact_process_mid!M4</f>
        <v>8.7992078302411347E-2</v>
      </c>
      <c r="N6">
        <f>LCI!$E105*impact_process_mid!N4</f>
        <v>0.18236019814038193</v>
      </c>
      <c r="O6">
        <f>LCI!$E105*impact_process_mid!O4</f>
        <v>0.26656717341724856</v>
      </c>
      <c r="P6">
        <f>LCI!$E105*impact_process_mid!P4</f>
        <v>1.3290851713605362E-4</v>
      </c>
      <c r="Q6">
        <f>LCI!$E105*impact_process_mid!Q4</f>
        <v>1.2432831017476624E-2</v>
      </c>
      <c r="R6">
        <f>LCI!$E105*impact_process_mid!R4</f>
        <v>5.9315702886485758E-2</v>
      </c>
      <c r="S6">
        <f>LCI!$E105*impact_process_mid!S4</f>
        <v>6.0004988619273968E-2</v>
      </c>
      <c r="T6">
        <f>LCI!$E105*impact_process_mid!T4</f>
        <v>0.41857403055794579</v>
      </c>
    </row>
    <row r="7" spans="1:20" x14ac:dyDescent="0.35">
      <c r="A7" t="s">
        <v>303</v>
      </c>
    </row>
    <row r="8" spans="1:20" x14ac:dyDescent="0.35">
      <c r="B8" t="s">
        <v>304</v>
      </c>
      <c r="C8">
        <f>LCI!$E108*impact_process_mid!C32</f>
        <v>1.1007509212333287E-2</v>
      </c>
      <c r="D8">
        <f>LCI!$E108*impact_process_mid!D32</f>
        <v>4.4318594938060549</v>
      </c>
      <c r="E8">
        <f>LCI!$E108*impact_process_mid!E32</f>
        <v>9.9567826162909726E-2</v>
      </c>
      <c r="F8">
        <f>LCI!$E108*impact_process_mid!F32</f>
        <v>0.15522085803209926</v>
      </c>
      <c r="G8">
        <f>LCI!$E108*impact_process_mid!G32</f>
        <v>44.455753501337973</v>
      </c>
      <c r="H8">
        <f>LCI!$E108*impact_process_mid!H32</f>
        <v>1.3377300395890046</v>
      </c>
      <c r="I8">
        <f>LCI!$E108*impact_process_mid!I32</f>
        <v>1.5219498301338365E-3</v>
      </c>
      <c r="J8">
        <f>LCI!$E108*impact_process_mid!J32</f>
        <v>2.4301467071871353E-4</v>
      </c>
      <c r="K8">
        <f>LCI!$E108*impact_process_mid!K32</f>
        <v>0.30827398320100219</v>
      </c>
      <c r="L8">
        <f>LCI!$E108*impact_process_mid!L32</f>
        <v>2.6693464213447253</v>
      </c>
      <c r="M8">
        <f>LCI!$E108*impact_process_mid!M32</f>
        <v>0.38281550147864518</v>
      </c>
      <c r="N8">
        <f>LCI!$E108*impact_process_mid!N32</f>
        <v>45.177499794994844</v>
      </c>
      <c r="O8">
        <f>LCI!$E108*impact_process_mid!O32</f>
        <v>8.0385105116385233E-2</v>
      </c>
      <c r="P8">
        <f>LCI!$E108*impact_process_mid!P32</f>
        <v>1.6405995294956135E-6</v>
      </c>
      <c r="Q8">
        <f>LCI!$E108*impact_process_mid!Q32</f>
        <v>4.8381727669149187E-3</v>
      </c>
      <c r="R8">
        <f>LCI!$E108*impact_process_mid!R32</f>
        <v>1.988725100533794E-2</v>
      </c>
      <c r="S8">
        <f>LCI!$E108*impact_process_mid!S32</f>
        <v>2.180913403404932E-2</v>
      </c>
      <c r="T8">
        <f>LCI!$E108*impact_process_mid!T32</f>
        <v>2.0737906588186989E-2</v>
      </c>
    </row>
    <row r="9" spans="1:20" x14ac:dyDescent="0.35">
      <c r="A9" t="s">
        <v>305</v>
      </c>
    </row>
    <row r="10" spans="1:20" x14ac:dyDescent="0.35">
      <c r="B10" t="s">
        <v>306</v>
      </c>
      <c r="C10" s="5">
        <f>LCI!$E112*impact_process_mid!C11</f>
        <v>0</v>
      </c>
      <c r="D10" s="5">
        <f>LCI!$E112*impact_process_mid!D11</f>
        <v>4.7946052000000003</v>
      </c>
      <c r="E10" s="5">
        <f>LCI!$E112*impact_process_mid!E11</f>
        <v>0</v>
      </c>
      <c r="F10" s="5">
        <f>LCI!$E112*impact_process_mid!F11</f>
        <v>0</v>
      </c>
      <c r="G10" s="5">
        <f>LCI!$E112*impact_process_mid!G11</f>
        <v>0</v>
      </c>
      <c r="H10" s="5">
        <f>LCI!$E112*impact_process_mid!H11</f>
        <v>0</v>
      </c>
      <c r="I10" s="5">
        <f>LCI!$E112*impact_process_mid!I11</f>
        <v>0</v>
      </c>
      <c r="J10" s="5">
        <f>LCI!$E112*impact_process_mid!J11</f>
        <v>0</v>
      </c>
      <c r="K10" s="5">
        <f>LCI!$E112*impact_process_mid!K11</f>
        <v>0</v>
      </c>
      <c r="L10" s="5">
        <f>LCI!$E112*impact_process_mid!L11</f>
        <v>0</v>
      </c>
      <c r="M10" s="5">
        <f>LCI!$E112*impact_process_mid!M11</f>
        <v>0</v>
      </c>
      <c r="N10" s="5">
        <f>LCI!$E112*impact_process_mid!N11</f>
        <v>0</v>
      </c>
      <c r="O10" s="5">
        <f>LCI!$E112*impact_process_mid!O11</f>
        <v>0</v>
      </c>
      <c r="P10" s="5">
        <f>LCI!$E112*impact_process_mid!P11</f>
        <v>0</v>
      </c>
      <c r="Q10" s="5">
        <f>LCI!$E112*impact_process_mid!Q11</f>
        <v>0</v>
      </c>
      <c r="R10" s="5">
        <f>LCI!$E112*impact_process_mid!R11</f>
        <v>0</v>
      </c>
      <c r="S10" s="5">
        <f>LCI!$E112*impact_process_mid!S11</f>
        <v>0</v>
      </c>
      <c r="T10" s="5">
        <f>LCI!$E112*impact_process_mid!T11</f>
        <v>0</v>
      </c>
    </row>
    <row r="11" spans="1:20" x14ac:dyDescent="0.35">
      <c r="B11" t="s">
        <v>307</v>
      </c>
      <c r="C11" s="5">
        <f>LCI!$E113*impact_process_mid!C17</f>
        <v>0.37877901599999997</v>
      </c>
      <c r="D11" s="5">
        <f>LCI!$E113*impact_process_mid!D17</f>
        <v>0</v>
      </c>
      <c r="E11" s="5">
        <f>LCI!$E113*impact_process_mid!E17</f>
        <v>0</v>
      </c>
      <c r="F11" s="5">
        <f>LCI!$E113*impact_process_mid!F17</f>
        <v>0</v>
      </c>
      <c r="G11" s="5">
        <f>LCI!$E113*impact_process_mid!G17</f>
        <v>0</v>
      </c>
      <c r="H11" s="5">
        <f>LCI!$E113*impact_process_mid!H17</f>
        <v>0</v>
      </c>
      <c r="I11" s="5">
        <f>LCI!$E113*impact_process_mid!I17</f>
        <v>0</v>
      </c>
      <c r="J11" s="5">
        <f>LCI!$E113*impact_process_mid!J17</f>
        <v>0</v>
      </c>
      <c r="K11" s="5">
        <f>LCI!$E113*impact_process_mid!K17</f>
        <v>0</v>
      </c>
      <c r="L11" s="5">
        <f>LCI!$E113*impact_process_mid!L17</f>
        <v>0</v>
      </c>
      <c r="M11" s="5">
        <f>LCI!$E113*impact_process_mid!M17</f>
        <v>0</v>
      </c>
      <c r="N11" s="5">
        <f>LCI!$E113*impact_process_mid!N17</f>
        <v>0</v>
      </c>
      <c r="O11" s="5">
        <f>LCI!$E113*impact_process_mid!O17</f>
        <v>0</v>
      </c>
      <c r="P11" s="5">
        <f>LCI!$E113*impact_process_mid!P17</f>
        <v>0</v>
      </c>
      <c r="Q11" s="5">
        <f>LCI!$E113*impact_process_mid!Q17</f>
        <v>4.6381103999999999E-2</v>
      </c>
      <c r="R11" s="5">
        <f>LCI!$E113*impact_process_mid!R17</f>
        <v>0</v>
      </c>
      <c r="S11" s="5">
        <f>LCI!$E113*impact_process_mid!S17</f>
        <v>0</v>
      </c>
      <c r="T11" s="5">
        <f>LCI!$E113*impact_process_mid!T17</f>
        <v>0</v>
      </c>
    </row>
    <row r="12" spans="1:20" x14ac:dyDescent="0.35">
      <c r="B12" t="s">
        <v>308</v>
      </c>
      <c r="C12" s="5">
        <f>LCI!$E114*impact_process_mid!C19</f>
        <v>0</v>
      </c>
      <c r="D12" s="5">
        <f>LCI!$E114*impact_process_mid!D19</f>
        <v>17.9082057</v>
      </c>
      <c r="E12" s="5">
        <f>LCI!$E114*impact_process_mid!E19</f>
        <v>0</v>
      </c>
      <c r="F12" s="5">
        <f>LCI!$E114*impact_process_mid!F19</f>
        <v>0</v>
      </c>
      <c r="G12" s="5">
        <f>LCI!$E114*impact_process_mid!G19</f>
        <v>0</v>
      </c>
      <c r="H12" s="5">
        <f>LCI!$E114*impact_process_mid!H19</f>
        <v>0</v>
      </c>
      <c r="I12" s="5">
        <f>LCI!$E114*impact_process_mid!I19</f>
        <v>0</v>
      </c>
      <c r="J12" s="5">
        <f>LCI!$E114*impact_process_mid!J19</f>
        <v>0</v>
      </c>
      <c r="K12" s="5">
        <f>LCI!$E114*impact_process_mid!K19</f>
        <v>0</v>
      </c>
      <c r="L12" s="5">
        <f>LCI!$E114*impact_process_mid!L19</f>
        <v>0</v>
      </c>
      <c r="M12" s="5">
        <f>LCI!$E114*impact_process_mid!M19</f>
        <v>0</v>
      </c>
      <c r="N12" s="5">
        <f>LCI!$E114*impact_process_mid!N19</f>
        <v>0</v>
      </c>
      <c r="O12" s="5">
        <f>LCI!$E114*impact_process_mid!O19</f>
        <v>0</v>
      </c>
      <c r="P12" s="5">
        <f>LCI!$E114*impact_process_mid!P19</f>
        <v>6.6104114999999996E-4</v>
      </c>
      <c r="Q12" s="5">
        <f>LCI!$E114*impact_process_mid!Q19</f>
        <v>0</v>
      </c>
      <c r="R12" s="5">
        <f>LCI!$E114*impact_process_mid!R19</f>
        <v>0</v>
      </c>
      <c r="S12" s="5">
        <f>LCI!$E114*impact_process_mid!S19</f>
        <v>0</v>
      </c>
      <c r="T12" s="5">
        <f>LCI!$E114*impact_process_mid!T19</f>
        <v>0</v>
      </c>
    </row>
    <row r="13" spans="1:20" x14ac:dyDescent="0.35">
      <c r="B13" t="s">
        <v>251</v>
      </c>
      <c r="C13" s="5">
        <f>LCI!$E116*impact_process_mid!C2</f>
        <v>6.2712210015644057E-4</v>
      </c>
      <c r="D13" s="5">
        <f>LCI!$E116*impact_process_mid!D2</f>
        <v>0.55028488636371398</v>
      </c>
      <c r="E13" s="5">
        <f>LCI!$E116*impact_process_mid!E2</f>
        <v>4.2989777632856482E-2</v>
      </c>
      <c r="F13" s="5">
        <f>LCI!$E116*impact_process_mid!F2</f>
        <v>5.4402354686264399E-2</v>
      </c>
      <c r="G13" s="5">
        <f>LCI!$E116*impact_process_mid!G2</f>
        <v>3.9318615077456256</v>
      </c>
      <c r="H13" s="5">
        <f>LCI!$E116*impact_process_mid!H2</f>
        <v>0.16892354242453708</v>
      </c>
      <c r="I13" s="5">
        <f>LCI!$E116*impact_process_mid!I2</f>
        <v>1.0633492563815371E-4</v>
      </c>
      <c r="J13" s="5">
        <f>LCI!$E116*impact_process_mid!J2</f>
        <v>8.0156626351085889E-5</v>
      </c>
      <c r="K13" s="5">
        <f>LCI!$E116*impact_process_mid!K2</f>
        <v>4.0989289195050897E-2</v>
      </c>
      <c r="L13" s="5">
        <f>LCI!$E116*impact_process_mid!L2</f>
        <v>0.88665183305209017</v>
      </c>
      <c r="M13" s="5">
        <f>LCI!$E116*impact_process_mid!M2</f>
        <v>3.8119590484444847</v>
      </c>
      <c r="N13" s="5">
        <f>LCI!$E116*impact_process_mid!N2</f>
        <v>1.9754482309493088E-2</v>
      </c>
      <c r="O13" s="5">
        <f>LCI!$E116*impact_process_mid!O2</f>
        <v>1.228494362448984E-2</v>
      </c>
      <c r="P13" s="5">
        <f>LCI!$E116*impact_process_mid!P2</f>
        <v>5.9916183331582984E-7</v>
      </c>
      <c r="Q13" s="5">
        <f>LCI!$E116*impact_process_mid!Q2</f>
        <v>3.4782424684758241E-4</v>
      </c>
      <c r="R13" s="5">
        <f>LCI!$E116*impact_process_mid!R2</f>
        <v>5.661182621913794E-4</v>
      </c>
      <c r="S13" s="5">
        <f>LCI!$E116*impact_process_mid!S2</f>
        <v>6.2507310361485028E-4</v>
      </c>
      <c r="T13" s="5">
        <f>LCI!$E116*impact_process_mid!T2</f>
        <v>2.1727181765036067E-2</v>
      </c>
    </row>
    <row r="14" spans="1:20" x14ac:dyDescent="0.35">
      <c r="A14" s="38" t="s">
        <v>309</v>
      </c>
    </row>
    <row r="15" spans="1:20" x14ac:dyDescent="0.35">
      <c r="B15" t="s">
        <v>310</v>
      </c>
    </row>
    <row r="16" spans="1:20" x14ac:dyDescent="0.35">
      <c r="B16" t="s">
        <v>311</v>
      </c>
    </row>
    <row r="17" spans="1:2" x14ac:dyDescent="0.35">
      <c r="B17" t="s">
        <v>312</v>
      </c>
    </row>
    <row r="18" spans="1:2" x14ac:dyDescent="0.35">
      <c r="B18" t="s">
        <v>313</v>
      </c>
    </row>
    <row r="19" spans="1:2" x14ac:dyDescent="0.35">
      <c r="A19" s="38" t="s">
        <v>319</v>
      </c>
    </row>
    <row r="20" spans="1:2" x14ac:dyDescent="0.35">
      <c r="B20" t="s">
        <v>314</v>
      </c>
    </row>
    <row r="21" spans="1:2" x14ac:dyDescent="0.35">
      <c r="B21" t="s">
        <v>315</v>
      </c>
    </row>
    <row r="22" spans="1:2" x14ac:dyDescent="0.35">
      <c r="B22" t="s">
        <v>316</v>
      </c>
    </row>
    <row r="23" spans="1:2" x14ac:dyDescent="0.35">
      <c r="B23" t="s">
        <v>317</v>
      </c>
    </row>
    <row r="24" spans="1:2" x14ac:dyDescent="0.35">
      <c r="B24" t="s">
        <v>318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D5E66-E6B6-4451-9C50-1A2032390F93}">
  <dimension ref="A1:AA24"/>
  <sheetViews>
    <sheetView workbookViewId="0">
      <selection activeCell="B24" sqref="B24"/>
    </sheetView>
  </sheetViews>
  <sheetFormatPr baseColWidth="10" defaultRowHeight="14.5" x14ac:dyDescent="0.35"/>
  <cols>
    <col min="3" max="27" width="20.6328125" customWidth="1"/>
  </cols>
  <sheetData>
    <row r="1" spans="1:27" ht="58" x14ac:dyDescent="0.35">
      <c r="A1" t="s">
        <v>0</v>
      </c>
      <c r="C1" s="21" t="s">
        <v>187</v>
      </c>
      <c r="D1" s="21" t="s">
        <v>188</v>
      </c>
      <c r="E1" s="21" t="s">
        <v>189</v>
      </c>
      <c r="F1" s="21" t="s">
        <v>190</v>
      </c>
      <c r="G1" s="21" t="s">
        <v>191</v>
      </c>
      <c r="H1" s="21" t="s">
        <v>192</v>
      </c>
      <c r="I1" s="21" t="s">
        <v>193</v>
      </c>
      <c r="J1" s="21" t="s">
        <v>194</v>
      </c>
      <c r="K1" s="21" t="s">
        <v>195</v>
      </c>
      <c r="L1" s="21" t="s">
        <v>196</v>
      </c>
      <c r="M1" s="21" t="s">
        <v>197</v>
      </c>
      <c r="N1" s="21" t="s">
        <v>198</v>
      </c>
      <c r="O1" s="21" t="s">
        <v>199</v>
      </c>
      <c r="P1" s="21" t="s">
        <v>200</v>
      </c>
      <c r="Q1" s="21" t="s">
        <v>201</v>
      </c>
      <c r="R1" s="21" t="s">
        <v>202</v>
      </c>
      <c r="S1" s="21" t="s">
        <v>203</v>
      </c>
      <c r="T1" s="21" t="s">
        <v>204</v>
      </c>
      <c r="U1" s="21" t="s">
        <v>205</v>
      </c>
      <c r="V1" s="21" t="s">
        <v>206</v>
      </c>
      <c r="W1" s="21" t="s">
        <v>207</v>
      </c>
      <c r="X1" s="21" t="s">
        <v>208</v>
      </c>
      <c r="Y1" s="21" t="s">
        <v>209</v>
      </c>
      <c r="Z1" s="21" t="s">
        <v>210</v>
      </c>
      <c r="AA1" s="21" t="s">
        <v>211</v>
      </c>
    </row>
    <row r="2" spans="1:27" x14ac:dyDescent="0.35">
      <c r="A2" t="s">
        <v>5</v>
      </c>
    </row>
    <row r="3" spans="1:27" x14ac:dyDescent="0.35">
      <c r="B3" t="s">
        <v>251</v>
      </c>
      <c r="C3">
        <f>LCI!$E102*impact_process_end!C2</f>
        <v>1.9146069813511494E-10</v>
      </c>
      <c r="D3">
        <f>LCI!$E102*impact_process_end!D2</f>
        <v>6.0617469578201135E-14</v>
      </c>
      <c r="E3">
        <f>LCI!$E102*impact_process_end!E2</f>
        <v>2.2193168919214659E-9</v>
      </c>
      <c r="F3">
        <f>LCI!$E102*impact_process_end!F2</f>
        <v>4.2836723816587511E-11</v>
      </c>
      <c r="G3">
        <f>LCI!$E102*impact_process_end!G2</f>
        <v>8.2374885215309683E-12</v>
      </c>
      <c r="H3">
        <f>LCI!$E102*impact_process_end!H2</f>
        <v>6.4653075335177696E-11</v>
      </c>
      <c r="I3">
        <f>LCI!$E102*impact_process_end!I2</f>
        <v>1.0255522295534873E-10</v>
      </c>
      <c r="J3">
        <f>LCI!$E102*impact_process_end!J2</f>
        <v>1.9615448259816176E-13</v>
      </c>
      <c r="K3">
        <f>LCI!$E102*impact_process_end!K2</f>
        <v>2.522937685008158E-10</v>
      </c>
      <c r="L3">
        <f>LCI!$E102*impact_process_end!L2</f>
        <v>1.1611681992412064E-10</v>
      </c>
      <c r="M3">
        <f>LCI!$E102*impact_process_end!M2</f>
        <v>1.889894855773394E-14</v>
      </c>
      <c r="N3">
        <f>LCI!$E102*impact_process_end!N2</f>
        <v>4.2241027405531159E-10</v>
      </c>
      <c r="O3">
        <f>LCI!$E102*impact_process_end!O2</f>
        <v>7.3542953131087735E-7</v>
      </c>
      <c r="P3">
        <f>LCI!$E102*impact_process_end!P2</f>
        <v>1.9594919387274766E-7</v>
      </c>
      <c r="Q3">
        <f>LCI!$E102*impact_process_end!Q2</f>
        <v>2.9095418787134199E-7</v>
      </c>
      <c r="R3">
        <f>LCI!$E102*impact_process_end!R2</f>
        <v>4.6570229644264042E-8</v>
      </c>
      <c r="S3">
        <f>LCI!$E102*impact_process_end!S2</f>
        <v>4.5808265351072022E-10</v>
      </c>
      <c r="T3">
        <f>LCI!$E102*impact_process_end!T2</f>
        <v>3.1482625253983033E-7</v>
      </c>
      <c r="U3">
        <f>LCI!$E102*impact_process_end!U2</f>
        <v>7.4204922421251216E-10</v>
      </c>
      <c r="V3">
        <f>LCI!$E102*impact_process_end!V2</f>
        <v>6.9463022844651241E-8</v>
      </c>
      <c r="W3">
        <f>LCI!$E102*impact_process_end!W2</f>
        <v>8.1643907060922241E-2</v>
      </c>
      <c r="X3">
        <f>LCI!$E102*impact_process_end!X2</f>
        <v>4.0923400413744688E-3</v>
      </c>
      <c r="Y3">
        <f>LCI!$E102*impact_process_end!Y2</f>
        <v>2.9977425478334076E-9</v>
      </c>
      <c r="Z3">
        <f>LCI!$E102*impact_process_end!Z2</f>
        <v>1.6543903076544315E-6</v>
      </c>
      <c r="AA3">
        <f>LCI!$E102*impact_process_end!AA2</f>
        <v>8.5736247524707002E-2</v>
      </c>
    </row>
    <row r="4" spans="1:27" x14ac:dyDescent="0.35">
      <c r="B4" t="s">
        <v>252</v>
      </c>
      <c r="C4">
        <f>LCI!E$103*impact_process_end!C3</f>
        <v>0</v>
      </c>
      <c r="D4">
        <f>LCI!F$103*impact_process_end!D3</f>
        <v>0</v>
      </c>
      <c r="E4">
        <f>LCI!G$103*impact_process_end!E3</f>
        <v>0</v>
      </c>
      <c r="F4">
        <f>LCI!H$103*impact_process_end!F3</f>
        <v>0</v>
      </c>
      <c r="G4">
        <f>LCI!I$103*impact_process_end!G3</f>
        <v>0</v>
      </c>
      <c r="H4">
        <f>LCI!J$103*impact_process_end!H3</f>
        <v>0</v>
      </c>
      <c r="I4">
        <f>LCI!K$103*impact_process_end!I3</f>
        <v>0</v>
      </c>
      <c r="J4">
        <f>LCI!L$103*impact_process_end!J3</f>
        <v>0</v>
      </c>
      <c r="K4">
        <f>LCI!M$103*impact_process_end!K3</f>
        <v>0</v>
      </c>
      <c r="L4">
        <f>LCI!N$103*impact_process_end!L3</f>
        <v>0</v>
      </c>
      <c r="M4">
        <f>LCI!O$103*impact_process_end!M3</f>
        <v>0</v>
      </c>
      <c r="N4">
        <f>LCI!P$103*impact_process_end!N3</f>
        <v>0</v>
      </c>
      <c r="O4">
        <f>LCI!Q$103*impact_process_end!O3</f>
        <v>0</v>
      </c>
      <c r="P4">
        <f>LCI!R$103*impact_process_end!P3</f>
        <v>0</v>
      </c>
      <c r="Q4">
        <f>LCI!S$103*impact_process_end!Q3</f>
        <v>0</v>
      </c>
      <c r="R4">
        <f>LCI!T$103*impact_process_end!R3</f>
        <v>0</v>
      </c>
      <c r="S4">
        <f>LCI!U$103*impact_process_end!S3</f>
        <v>0</v>
      </c>
      <c r="T4">
        <f>LCI!V$103*impact_process_end!T3</f>
        <v>0</v>
      </c>
      <c r="U4">
        <f>LCI!W$103*impact_process_end!U3</f>
        <v>0</v>
      </c>
      <c r="V4">
        <f>LCI!X$103*impact_process_end!V3</f>
        <v>0</v>
      </c>
      <c r="W4">
        <f>LCI!Y$103*impact_process_end!W3</f>
        <v>0</v>
      </c>
      <c r="X4">
        <f>LCI!Z$103*impact_process_end!X3</f>
        <v>0</v>
      </c>
      <c r="Y4">
        <f>LCI!AA$103*impact_process_end!Y3</f>
        <v>0</v>
      </c>
      <c r="Z4">
        <f>LCI!AB$103*impact_process_end!Z3</f>
        <v>0</v>
      </c>
      <c r="AA4">
        <f>LCI!AC$103*impact_process_end!AA3</f>
        <v>0</v>
      </c>
    </row>
    <row r="5" spans="1:27" x14ac:dyDescent="0.35">
      <c r="A5" t="s">
        <v>237</v>
      </c>
    </row>
    <row r="6" spans="1:27" x14ac:dyDescent="0.35">
      <c r="B6" t="s">
        <v>237</v>
      </c>
      <c r="C6">
        <f>LCI!$E105*impact_process_end!C4</f>
        <v>6.649149277728062E-9</v>
      </c>
      <c r="D6">
        <f>LCI!$E105*impact_process_end!D4</f>
        <v>7.210455075453735E-13</v>
      </c>
      <c r="E6">
        <f>LCI!$E105*impact_process_end!E4</f>
        <v>2.6389924783258899E-8</v>
      </c>
      <c r="F6">
        <f>LCI!$E105*impact_process_end!F4</f>
        <v>1.0807282494783058E-9</v>
      </c>
      <c r="G6">
        <f>LCI!$E105*impact_process_end!G4</f>
        <v>2.1919200690513944E-10</v>
      </c>
      <c r="H6">
        <f>LCI!$E105*impact_process_end!H4</f>
        <v>2.4572038093003312E-10</v>
      </c>
      <c r="I6">
        <f>LCI!$E105*impact_process_end!I4</f>
        <v>7.4986253883336063E-9</v>
      </c>
      <c r="J6">
        <f>LCI!$E105*impact_process_end!J4</f>
        <v>4.7223915393038649E-12</v>
      </c>
      <c r="K6">
        <f>LCI!$E105*impact_process_end!K4</f>
        <v>1.6184656043116963E-9</v>
      </c>
      <c r="L6">
        <f>LCI!$E105*impact_process_end!L4</f>
        <v>7.740590143350547E-9</v>
      </c>
      <c r="M6">
        <f>LCI!$E105*impact_process_end!M4</f>
        <v>2.5281871445699921E-13</v>
      </c>
      <c r="N6">
        <f>LCI!$E105*impact_process_end!N4</f>
        <v>5.6507494125322685E-9</v>
      </c>
      <c r="O6">
        <f>LCI!$E105*impact_process_end!O4</f>
        <v>8.7524532672828231E-6</v>
      </c>
      <c r="P6">
        <f>LCI!$E105*impact_process_end!P4</f>
        <v>8.0541488477868482E-6</v>
      </c>
      <c r="Q6">
        <f>LCI!$E105*impact_process_end!Q4</f>
        <v>1.5891331666583501E-5</v>
      </c>
      <c r="R6">
        <f>LCI!$E105*impact_process_end!R4</f>
        <v>7.465148381406662E-10</v>
      </c>
      <c r="S6">
        <f>LCI!$E105*impact_process_end!S4</f>
        <v>7.0562250453079327E-8</v>
      </c>
      <c r="T6">
        <f>LCI!$E105*impact_process_end!T4</f>
        <v>7.8168253757812199E-6</v>
      </c>
      <c r="U6">
        <f>LCI!$E105*impact_process_end!U4</f>
        <v>5.3978490146889052E-8</v>
      </c>
      <c r="V6">
        <f>LCI!$E105*impact_process_end!V4</f>
        <v>9.2923434783863971E-7</v>
      </c>
      <c r="W6">
        <f>LCI!$E105*impact_process_end!W4</f>
        <v>0.44068378170376005</v>
      </c>
      <c r="X6">
        <f>LCI!$E105*impact_process_end!X4</f>
        <v>6.1662478842940578E-2</v>
      </c>
      <c r="Y6">
        <f>LCI!$E105*impact_process_end!Y4</f>
        <v>5.1447967644781786E-8</v>
      </c>
      <c r="Z6">
        <f>LCI!$E105*impact_process_end!Z4</f>
        <v>4.1569231407021523E-5</v>
      </c>
      <c r="AA6">
        <f>LCI!$E105*impact_process_end!AA4</f>
        <v>0.50234626619745015</v>
      </c>
    </row>
    <row r="7" spans="1:27" x14ac:dyDescent="0.35">
      <c r="A7" t="s">
        <v>303</v>
      </c>
    </row>
    <row r="8" spans="1:27" x14ac:dyDescent="0.35">
      <c r="B8" t="s">
        <v>304</v>
      </c>
      <c r="C8">
        <f>LCI!$E108*impact_process_end!C32</f>
        <v>2.3333217417055975E-9</v>
      </c>
      <c r="D8">
        <f>LCI!$E108*impact_process_end!D32</f>
        <v>3.3901888499917054E-13</v>
      </c>
      <c r="E8">
        <f>LCI!$E108*impact_process_end!E32</f>
        <v>1.2413386127213454E-8</v>
      </c>
      <c r="F8">
        <f>LCI!$E108*impact_process_end!F32</f>
        <v>6.8954148579023115E-11</v>
      </c>
      <c r="G8">
        <f>LCI!$E108*impact_process_end!G32</f>
        <v>1.6310775331317069E-11</v>
      </c>
      <c r="H8">
        <f>LCI!$E108*impact_process_end!H32</f>
        <v>5.0683596776435602E-10</v>
      </c>
      <c r="I8">
        <f>LCI!$E108*impact_process_end!I32</f>
        <v>1.0201072976263071E-9</v>
      </c>
      <c r="J8">
        <f>LCI!$E108*impact_process_end!J32</f>
        <v>4.1316072076806264E-13</v>
      </c>
      <c r="K8">
        <f>LCI!$E108*impact_process_end!K32</f>
        <v>4.0058679351751487E-7</v>
      </c>
      <c r="L8">
        <f>LCI!$E108*impact_process_end!L32</f>
        <v>2.813219258865535E-9</v>
      </c>
      <c r="M8">
        <f>LCI!$E108*impact_process_end!M32</f>
        <v>1.2525695579264941E-14</v>
      </c>
      <c r="N8">
        <f>LCI!$E108*impact_process_end!N32</f>
        <v>2.799617389405243E-10</v>
      </c>
      <c r="O8">
        <f>LCI!$E108*impact_process_end!O32</f>
        <v>4.1131915933788136E-6</v>
      </c>
      <c r="P8">
        <f>LCI!$E108*impact_process_end!P32</f>
        <v>1.0234036068464036E-6</v>
      </c>
      <c r="Q8">
        <f>LCI!$E108*impact_process_end!Q32</f>
        <v>6.0868526888388345E-7</v>
      </c>
      <c r="R8">
        <f>LCI!$E108*impact_process_end!R32</f>
        <v>3.2476911158698992E-9</v>
      </c>
      <c r="S8">
        <f>LCI!$E108*impact_process_end!S32</f>
        <v>8.7092758648361843E-10</v>
      </c>
      <c r="T8">
        <f>LCI!$E108*impact_process_end!T32</f>
        <v>3.0414498427886592E-6</v>
      </c>
      <c r="U8">
        <f>LCI!$E108*impact_process_end!U32</f>
        <v>1.8100842463551973E-8</v>
      </c>
      <c r="V8">
        <f>LCI!$E108*impact_process_end!V32</f>
        <v>4.6038152625775111E-8</v>
      </c>
      <c r="W8">
        <f>LCI!$E108*impact_process_end!W32</f>
        <v>0.53788494377269724</v>
      </c>
      <c r="X8">
        <f>LCI!$E108*impact_process_end!X32</f>
        <v>1.8594596816517397E-2</v>
      </c>
      <c r="Y8">
        <f>LCI!$E108*impact_process_end!Y32</f>
        <v>4.1975901320965533E-7</v>
      </c>
      <c r="Z8">
        <f>LCI!$E108*impact_process_end!Z32</f>
        <v>8.8547568402007371E-6</v>
      </c>
      <c r="AA8">
        <f>LCI!$E108*impact_process_end!AA32</f>
        <v>0.55647954086917639</v>
      </c>
    </row>
    <row r="9" spans="1:27" x14ac:dyDescent="0.35">
      <c r="A9" t="s">
        <v>305</v>
      </c>
    </row>
    <row r="10" spans="1:27" x14ac:dyDescent="0.35">
      <c r="B10" t="s">
        <v>306</v>
      </c>
      <c r="C10" s="5">
        <f>LCI!$E112*impact_process_end!C11</f>
        <v>0</v>
      </c>
      <c r="D10" s="5">
        <f>LCI!$E112*impact_process_end!D11</f>
        <v>3.6664627999999997E-13</v>
      </c>
      <c r="E10" s="5">
        <f>LCI!$E112*impact_process_end!E11</f>
        <v>1.3424894560000001E-8</v>
      </c>
      <c r="F10" s="5">
        <f>LCI!$E112*impact_process_end!F11</f>
        <v>0</v>
      </c>
      <c r="G10" s="5">
        <f>LCI!$E112*impact_process_end!G11</f>
        <v>0</v>
      </c>
      <c r="H10" s="5">
        <f>LCI!$E112*impact_process_end!H11</f>
        <v>0</v>
      </c>
      <c r="I10" s="5">
        <f>LCI!$E112*impact_process_end!I11</f>
        <v>0</v>
      </c>
      <c r="J10" s="5">
        <f>LCI!$E112*impact_process_end!J11</f>
        <v>0</v>
      </c>
      <c r="K10" s="5">
        <f>LCI!$E112*impact_process_end!K11</f>
        <v>0</v>
      </c>
      <c r="L10" s="5">
        <f>LCI!$E112*impact_process_end!L11</f>
        <v>0</v>
      </c>
      <c r="M10" s="5">
        <f>LCI!$E112*impact_process_end!M11</f>
        <v>0</v>
      </c>
      <c r="N10" s="5">
        <f>LCI!$E112*impact_process_end!N11</f>
        <v>0</v>
      </c>
      <c r="O10" s="5">
        <f>LCI!$E112*impact_process_end!O11</f>
        <v>4.4561624800000001E-6</v>
      </c>
      <c r="P10" s="5">
        <f>LCI!$E112*impact_process_end!P11</f>
        <v>0</v>
      </c>
      <c r="Q10" s="5">
        <f>LCI!$E112*impact_process_end!Q11</f>
        <v>0</v>
      </c>
      <c r="R10" s="5">
        <f>LCI!$E112*impact_process_end!R11</f>
        <v>0</v>
      </c>
      <c r="S10" s="5">
        <f>LCI!$E112*impact_process_end!S11</f>
        <v>0</v>
      </c>
      <c r="T10" s="5">
        <f>LCI!$E112*impact_process_end!T11</f>
        <v>0</v>
      </c>
      <c r="U10" s="5">
        <f>LCI!$E112*impact_process_end!U11</f>
        <v>0</v>
      </c>
      <c r="V10" s="5">
        <f>LCI!$E112*impact_process_end!V11</f>
        <v>0</v>
      </c>
      <c r="W10" s="5">
        <f>LCI!$E112*impact_process_end!W11</f>
        <v>0</v>
      </c>
      <c r="X10" s="5">
        <f>LCI!$E112*impact_process_end!X11</f>
        <v>0</v>
      </c>
      <c r="Y10" s="5">
        <f>LCI!$E112*impact_process_end!Y11</f>
        <v>1.342526120628E-8</v>
      </c>
      <c r="Z10" s="5">
        <f>LCI!$E112*impact_process_end!Z11</f>
        <v>4.4561624800000001E-6</v>
      </c>
      <c r="AA10" s="5">
        <f>LCI!$E112*impact_process_end!AA11</f>
        <v>0</v>
      </c>
    </row>
    <row r="11" spans="1:27" x14ac:dyDescent="0.35">
      <c r="B11" t="s">
        <v>307</v>
      </c>
      <c r="C11" s="5">
        <f>LCI!$E113*impact_process_end!C17</f>
        <v>8.0393913599999997E-8</v>
      </c>
      <c r="D11" s="5">
        <f>LCI!$E113*impact_process_end!D17</f>
        <v>0</v>
      </c>
      <c r="E11" s="5">
        <f>LCI!$E113*impact_process_end!E17</f>
        <v>0</v>
      </c>
      <c r="F11" s="5">
        <f>LCI!$E113*impact_process_end!F17</f>
        <v>0</v>
      </c>
      <c r="G11" s="5">
        <f>LCI!$E113*impact_process_end!G17</f>
        <v>0</v>
      </c>
      <c r="H11" s="5">
        <f>LCI!$E113*impact_process_end!H17</f>
        <v>0</v>
      </c>
      <c r="I11" s="5">
        <f>LCI!$E113*impact_process_end!I17</f>
        <v>0</v>
      </c>
      <c r="J11" s="5">
        <f>LCI!$E113*impact_process_end!J17</f>
        <v>0</v>
      </c>
      <c r="K11" s="5">
        <f>LCI!$E113*impact_process_end!K17</f>
        <v>0</v>
      </c>
      <c r="L11" s="5">
        <f>LCI!$E113*impact_process_end!L17</f>
        <v>0</v>
      </c>
      <c r="M11" s="5">
        <f>LCI!$E113*impact_process_end!M17</f>
        <v>0</v>
      </c>
      <c r="N11" s="5">
        <f>LCI!$E113*impact_process_end!N17</f>
        <v>0</v>
      </c>
      <c r="O11" s="5">
        <f>LCI!$E113*impact_process_end!O17</f>
        <v>0</v>
      </c>
      <c r="P11" s="5">
        <f>LCI!$E113*impact_process_end!P17</f>
        <v>0</v>
      </c>
      <c r="Q11" s="5">
        <f>LCI!$E113*impact_process_end!Q17</f>
        <v>0</v>
      </c>
      <c r="R11" s="5">
        <f>LCI!$E113*impact_process_end!R17</f>
        <v>0</v>
      </c>
      <c r="S11" s="5">
        <f>LCI!$E113*impact_process_end!S17</f>
        <v>0</v>
      </c>
      <c r="T11" s="5">
        <f>LCI!$E113*impact_process_end!T17</f>
        <v>2.8988189999999997E-5</v>
      </c>
      <c r="U11" s="5">
        <f>LCI!$E113*impact_process_end!U17</f>
        <v>0</v>
      </c>
      <c r="V11" s="5">
        <f>LCI!$E113*impact_process_end!V17</f>
        <v>0</v>
      </c>
      <c r="W11" s="5">
        <f>LCI!$E113*impact_process_end!W17</f>
        <v>0</v>
      </c>
      <c r="X11" s="5">
        <f>LCI!$E113*impact_process_end!X17</f>
        <v>0</v>
      </c>
      <c r="Y11" s="5">
        <f>LCI!$E113*impact_process_end!Y17</f>
        <v>8.0393913599999997E-8</v>
      </c>
      <c r="Z11" s="5">
        <f>LCI!$E113*impact_process_end!Z17</f>
        <v>2.8988189999999997E-5</v>
      </c>
      <c r="AA11" s="5">
        <f>LCI!$E113*impact_process_end!AA17</f>
        <v>0</v>
      </c>
    </row>
    <row r="12" spans="1:27" x14ac:dyDescent="0.35">
      <c r="B12" t="s">
        <v>308</v>
      </c>
      <c r="C12" s="5">
        <f>LCI!$E114*impact_process_end!C19</f>
        <v>0</v>
      </c>
      <c r="D12" s="5">
        <f>LCI!$E114*impact_process_end!D19</f>
        <v>1.3701580200000001E-12</v>
      </c>
      <c r="E12" s="5">
        <f>LCI!$E114*impact_process_end!E19</f>
        <v>5.0118938099999995E-8</v>
      </c>
      <c r="F12" s="5">
        <f>LCI!$E114*impact_process_end!F19</f>
        <v>0</v>
      </c>
      <c r="G12" s="5">
        <f>LCI!$E114*impact_process_end!G19</f>
        <v>0</v>
      </c>
      <c r="H12" s="5">
        <f>LCI!$E114*impact_process_end!H19</f>
        <v>0</v>
      </c>
      <c r="I12" s="5">
        <f>LCI!$E114*impact_process_end!I19</f>
        <v>0</v>
      </c>
      <c r="J12" s="5">
        <f>LCI!$E114*impact_process_end!J19</f>
        <v>0</v>
      </c>
      <c r="K12" s="5">
        <f>LCI!$E114*impact_process_end!K19</f>
        <v>0</v>
      </c>
      <c r="L12" s="5">
        <f>LCI!$E114*impact_process_end!L19</f>
        <v>0</v>
      </c>
      <c r="M12" s="5">
        <f>LCI!$E114*impact_process_end!M19</f>
        <v>0</v>
      </c>
      <c r="N12" s="5">
        <f>LCI!$E114*impact_process_end!N19</f>
        <v>0</v>
      </c>
      <c r="O12" s="5">
        <f>LCI!$E114*impact_process_end!O19</f>
        <v>1.6826501999999998E-5</v>
      </c>
      <c r="P12" s="5">
        <f>LCI!$E114*impact_process_end!P19</f>
        <v>0</v>
      </c>
      <c r="Q12" s="5">
        <f>LCI!$E114*impact_process_end!Q19</f>
        <v>0</v>
      </c>
      <c r="R12" s="5">
        <f>LCI!$E114*impact_process_end!R19</f>
        <v>0</v>
      </c>
      <c r="S12" s="5">
        <f>LCI!$E114*impact_process_end!S19</f>
        <v>3.5095275599999999E-7</v>
      </c>
      <c r="T12" s="5">
        <f>LCI!$E114*impact_process_end!T19</f>
        <v>0</v>
      </c>
      <c r="U12" s="5">
        <f>LCI!$E114*impact_process_end!U19</f>
        <v>0</v>
      </c>
      <c r="V12" s="5">
        <f>LCI!$E114*impact_process_end!V19</f>
        <v>0</v>
      </c>
      <c r="W12" s="5">
        <f>LCI!$E114*impact_process_end!W19</f>
        <v>0</v>
      </c>
      <c r="X12" s="5">
        <f>LCI!$E114*impact_process_end!X19</f>
        <v>0</v>
      </c>
      <c r="Y12" s="5">
        <f>LCI!$E114*impact_process_end!Y19</f>
        <v>5.012030825802E-8</v>
      </c>
      <c r="Z12" s="5">
        <f>LCI!$E114*impact_process_end!Z19</f>
        <v>1.7177454755999999E-5</v>
      </c>
      <c r="AA12" s="5">
        <f>LCI!$E114*impact_process_end!AA19</f>
        <v>0</v>
      </c>
    </row>
    <row r="13" spans="1:27" x14ac:dyDescent="0.35">
      <c r="B13" t="s">
        <v>251</v>
      </c>
      <c r="C13" s="5">
        <f>LCI!$E116*impact_process_end!C2</f>
        <v>1.3294816012789043E-10</v>
      </c>
      <c r="D13" s="5">
        <f>LCI!$E116*impact_process_end!D2</f>
        <v>4.2092090598891167E-14</v>
      </c>
      <c r="E13" s="5">
        <f>LCI!$E116*impact_process_end!E2</f>
        <v>1.5410687435887532E-9</v>
      </c>
      <c r="F13" s="5">
        <f>LCI!$E116*impact_process_end!F2</f>
        <v>2.9745340285466071E-11</v>
      </c>
      <c r="G13" s="5">
        <f>LCI!$E116*impact_process_end!G2</f>
        <v>5.7200195845901412E-12</v>
      </c>
      <c r="H13" s="5">
        <f>LCI!$E116*impact_process_end!H2</f>
        <v>4.4894369947172487E-11</v>
      </c>
      <c r="I13" s="5">
        <f>LCI!$E116*impact_process_end!I2</f>
        <v>7.1213195899856373E-11</v>
      </c>
      <c r="J13" s="5">
        <f>LCI!$E116*impact_process_end!J2</f>
        <v>1.3620747138329266E-13</v>
      </c>
      <c r="K13" s="5">
        <f>LCI!$E116*impact_process_end!K2</f>
        <v>1.7518996149405344E-10</v>
      </c>
      <c r="L13" s="5">
        <f>LCI!$E116*impact_process_end!L2</f>
        <v>8.0630216640696988E-11</v>
      </c>
      <c r="M13" s="5">
        <f>LCI!$E116*impact_process_end!M2</f>
        <v>1.3123217786081783E-14</v>
      </c>
      <c r="N13" s="5">
        <f>LCI!$E116*impact_process_end!N2</f>
        <v>2.9331695382798687E-10</v>
      </c>
      <c r="O13" s="5">
        <f>LCI!$E116*impact_process_end!O2</f>
        <v>5.1067401322488768E-7</v>
      </c>
      <c r="P13" s="5">
        <f>LCI!$E116*impact_process_end!P2</f>
        <v>1.3606492119620653E-7</v>
      </c>
      <c r="Q13" s="5">
        <f>LCI!$E116*impact_process_end!Q2</f>
        <v>2.0203532284052101E-7</v>
      </c>
      <c r="R13" s="5">
        <f>LCI!$E116*impact_process_end!R2</f>
        <v>3.2337844833141261E-8</v>
      </c>
      <c r="S13" s="5">
        <f>LCI!$E116*impact_process_end!S2</f>
        <v>3.1808745379051013E-10</v>
      </c>
      <c r="T13" s="5">
        <f>LCI!$E116*impact_process_end!T2</f>
        <v>2.1861181664338917E-7</v>
      </c>
      <c r="U13" s="5">
        <f>LCI!$E116*impact_process_end!U2</f>
        <v>5.1527065368664423E-10</v>
      </c>
      <c r="V13" s="5">
        <f>LCI!$E116*impact_process_end!V2</f>
        <v>4.8234343518380068E-8</v>
      </c>
      <c r="W13" s="5">
        <f>LCI!$E116*impact_process_end!W2</f>
        <v>5.6692612818856826E-2</v>
      </c>
      <c r="X13" s="5">
        <f>LCI!$E116*impact_process_end!X2</f>
        <v>2.8416749986698462E-3</v>
      </c>
      <c r="Y13" s="5">
        <f>LCI!$E116*impact_process_end!Y2</f>
        <v>2.0815987832149812E-9</v>
      </c>
      <c r="Z13" s="5">
        <f>LCI!$E116*impact_process_end!Z2</f>
        <v>1.1487900633311833E-6</v>
      </c>
      <c r="AA13" s="5">
        <f>LCI!$E116*impact_process_end!AA2</f>
        <v>5.9534288110843631E-2</v>
      </c>
    </row>
    <row r="14" spans="1:27" x14ac:dyDescent="0.35">
      <c r="A14" s="38" t="s">
        <v>309</v>
      </c>
    </row>
    <row r="15" spans="1:27" x14ac:dyDescent="0.35">
      <c r="B15" t="s">
        <v>310</v>
      </c>
    </row>
    <row r="16" spans="1:27" x14ac:dyDescent="0.35">
      <c r="B16" t="s">
        <v>311</v>
      </c>
    </row>
    <row r="17" spans="1:2" x14ac:dyDescent="0.35">
      <c r="B17" t="s">
        <v>312</v>
      </c>
    </row>
    <row r="18" spans="1:2" x14ac:dyDescent="0.35">
      <c r="B18" t="s">
        <v>313</v>
      </c>
    </row>
    <row r="19" spans="1:2" x14ac:dyDescent="0.35">
      <c r="A19" s="38" t="s">
        <v>319</v>
      </c>
    </row>
    <row r="20" spans="1:2" x14ac:dyDescent="0.35">
      <c r="B20" t="s">
        <v>314</v>
      </c>
    </row>
    <row r="21" spans="1:2" x14ac:dyDescent="0.35">
      <c r="B21" t="s">
        <v>315</v>
      </c>
    </row>
    <row r="22" spans="1:2" x14ac:dyDescent="0.35">
      <c r="B22" t="s">
        <v>316</v>
      </c>
    </row>
    <row r="23" spans="1:2" x14ac:dyDescent="0.35">
      <c r="B23" t="s">
        <v>317</v>
      </c>
    </row>
    <row r="24" spans="1:2" x14ac:dyDescent="0.35">
      <c r="B24" t="s">
        <v>318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6C18-CAF6-4AE2-A26F-53457FB6E759}">
  <dimension ref="A1:AA36"/>
  <sheetViews>
    <sheetView topLeftCell="R1" workbookViewId="0">
      <selection activeCell="C28" sqref="C28"/>
    </sheetView>
  </sheetViews>
  <sheetFormatPr baseColWidth="10" defaultRowHeight="14.5" x14ac:dyDescent="0.35"/>
  <cols>
    <col min="1" max="1" width="17.90625" customWidth="1"/>
    <col min="2" max="2" width="13.453125" customWidth="1"/>
    <col min="3" max="3" width="13.26953125" customWidth="1"/>
    <col min="4" max="14" width="8.6328125" customWidth="1"/>
  </cols>
  <sheetData>
    <row r="1" spans="1:27" x14ac:dyDescent="0.35">
      <c r="A1" t="s">
        <v>0</v>
      </c>
      <c r="B1" t="s">
        <v>185</v>
      </c>
      <c r="C1" t="s">
        <v>187</v>
      </c>
      <c r="D1" t="s">
        <v>188</v>
      </c>
      <c r="E1" t="s">
        <v>189</v>
      </c>
      <c r="F1" t="s">
        <v>190</v>
      </c>
      <c r="G1" t="s">
        <v>191</v>
      </c>
      <c r="H1" t="s">
        <v>192</v>
      </c>
      <c r="I1" t="s">
        <v>193</v>
      </c>
      <c r="J1" t="s">
        <v>194</v>
      </c>
      <c r="K1" t="s">
        <v>195</v>
      </c>
      <c r="L1" t="s">
        <v>196</v>
      </c>
      <c r="M1" t="s">
        <v>197</v>
      </c>
      <c r="N1" t="s">
        <v>198</v>
      </c>
      <c r="O1" t="s">
        <v>199</v>
      </c>
      <c r="P1" t="s">
        <v>200</v>
      </c>
      <c r="Q1" t="s">
        <v>201</v>
      </c>
      <c r="R1" t="s">
        <v>202</v>
      </c>
      <c r="S1" t="s">
        <v>203</v>
      </c>
      <c r="T1" t="s">
        <v>204</v>
      </c>
      <c r="U1" t="s">
        <v>205</v>
      </c>
      <c r="V1" t="s">
        <v>206</v>
      </c>
      <c r="W1" t="s">
        <v>207</v>
      </c>
      <c r="X1" t="s">
        <v>208</v>
      </c>
      <c r="Y1" t="s">
        <v>209</v>
      </c>
      <c r="Z1" t="s">
        <v>210</v>
      </c>
      <c r="AA1" t="s">
        <v>211</v>
      </c>
    </row>
    <row r="2" spans="1:27" x14ac:dyDescent="0.35">
      <c r="A2" t="s">
        <v>22</v>
      </c>
      <c r="B2" t="s">
        <v>129</v>
      </c>
      <c r="C2">
        <v>1.918443869089328E-11</v>
      </c>
      <c r="D2">
        <v>6.0738947473147432E-15</v>
      </c>
      <c r="E2">
        <v>2.2237644207629918E-10</v>
      </c>
      <c r="F2">
        <v>4.2922568954496499E-12</v>
      </c>
      <c r="G2">
        <v>8.2539965145600882E-13</v>
      </c>
      <c r="H2">
        <v>6.4782640616410519E-12</v>
      </c>
      <c r="I2">
        <v>1.027607444442372E-11</v>
      </c>
      <c r="J2">
        <v>1.9654757775366908E-14</v>
      </c>
      <c r="K2">
        <v>2.5279936723528637E-11</v>
      </c>
      <c r="L2">
        <v>1.1634951896204472E-11</v>
      </c>
      <c r="M2">
        <v>1.8936822202138216E-15</v>
      </c>
      <c r="N2">
        <v>4.2325678763057271E-11</v>
      </c>
      <c r="O2">
        <v>7.3690333798685098E-8</v>
      </c>
      <c r="P2">
        <v>1.9634187762800367E-8</v>
      </c>
      <c r="Q2">
        <v>2.9153726239613424E-8</v>
      </c>
      <c r="R2">
        <v>4.6663556757779599E-9</v>
      </c>
      <c r="S2">
        <v>4.5900065482036093E-11</v>
      </c>
      <c r="T2">
        <v>3.1545716687357746E-8</v>
      </c>
      <c r="U2">
        <v>7.4353629680612443E-11</v>
      </c>
      <c r="V2">
        <v>6.960222729924974E-9</v>
      </c>
      <c r="W2">
        <v>8.1807522105132504E-3</v>
      </c>
      <c r="X2">
        <v>4.1005411236217119E-4</v>
      </c>
      <c r="Y2">
        <v>3.0037500479292658E-10</v>
      </c>
      <c r="Z2">
        <v>1.6577057190926167E-7</v>
      </c>
      <c r="AA2">
        <v>8.5908063652011014E-3</v>
      </c>
    </row>
    <row r="3" spans="1:27" x14ac:dyDescent="0.35">
      <c r="A3" t="s">
        <v>23</v>
      </c>
      <c r="B3" t="s">
        <v>88</v>
      </c>
      <c r="C3">
        <v>1.4700901171492109E-13</v>
      </c>
      <c r="D3">
        <v>2.4055506482087138E-17</v>
      </c>
      <c r="E3">
        <v>8.807344062823238E-13</v>
      </c>
      <c r="F3">
        <v>1.1327354096216422E-14</v>
      </c>
      <c r="G3">
        <v>2.3642652958089726E-15</v>
      </c>
      <c r="H3">
        <v>1.317555817611348E-14</v>
      </c>
      <c r="I3">
        <v>1.3639079316096409E-13</v>
      </c>
      <c r="J3">
        <v>3.6072826234006858E-17</v>
      </c>
      <c r="K3">
        <v>7.3405020798223473E-14</v>
      </c>
      <c r="L3">
        <v>7.3964668586197515E-14</v>
      </c>
      <c r="M3">
        <v>2.0853884548003951E-18</v>
      </c>
      <c r="N3">
        <v>4.6610503542724067E-14</v>
      </c>
      <c r="O3">
        <v>2.9184760142128638E-10</v>
      </c>
      <c r="P3">
        <v>8.6309672145252969E-10</v>
      </c>
      <c r="Q3">
        <v>8.5961448143951969E-11</v>
      </c>
      <c r="R3">
        <v>9.1793574882002342E-13</v>
      </c>
      <c r="S3">
        <v>6.4138568080532195E-14</v>
      </c>
      <c r="T3">
        <v>2.4362280465557954E-10</v>
      </c>
      <c r="U3">
        <v>4.9032547035475624E-13</v>
      </c>
      <c r="V3">
        <v>7.6648383603590677E-12</v>
      </c>
      <c r="W3">
        <v>1.8110008148318589E-5</v>
      </c>
      <c r="X3">
        <v>8.0391234223411987E-6</v>
      </c>
      <c r="Y3">
        <v>1.3384275704840618E-12</v>
      </c>
      <c r="Z3">
        <v>1.4936635248384027E-9</v>
      </c>
      <c r="AA3">
        <v>2.6149131617270288E-5</v>
      </c>
    </row>
    <row r="4" spans="1:27" x14ac:dyDescent="0.35">
      <c r="A4" t="s">
        <v>237</v>
      </c>
      <c r="B4" t="s">
        <v>88</v>
      </c>
      <c r="C4">
        <v>2.8909344685774187E-11</v>
      </c>
      <c r="D4">
        <v>3.1349804675885806E-15</v>
      </c>
      <c r="E4">
        <v>1.1473880340547349E-10</v>
      </c>
      <c r="F4">
        <v>4.698818475992634E-12</v>
      </c>
      <c r="G4">
        <v>9.5300872567451941E-13</v>
      </c>
      <c r="H4">
        <v>1.068349482304492E-12</v>
      </c>
      <c r="I4">
        <v>3.2602719079711339E-11</v>
      </c>
      <c r="J4">
        <v>2.053213712740811E-14</v>
      </c>
      <c r="K4">
        <v>7.0368069752682457E-12</v>
      </c>
      <c r="L4">
        <v>3.3654739753698033E-11</v>
      </c>
      <c r="M4">
        <v>1.0992118019869533E-15</v>
      </c>
      <c r="N4">
        <v>2.4568475706662039E-11</v>
      </c>
      <c r="O4">
        <v>3.8054144640360102E-8</v>
      </c>
      <c r="P4">
        <v>3.5018038468638476E-8</v>
      </c>
      <c r="Q4">
        <v>6.9092746376450016E-8</v>
      </c>
      <c r="R4">
        <v>3.2457166875681145E-12</v>
      </c>
      <c r="S4">
        <v>3.06792393274258E-10</v>
      </c>
      <c r="T4">
        <v>3.3986197286005311E-8</v>
      </c>
      <c r="U4">
        <v>2.3468908759516983E-10</v>
      </c>
      <c r="V4">
        <v>4.0401493384288688E-9</v>
      </c>
      <c r="W4">
        <v>1.9160164421902614E-3</v>
      </c>
      <c r="X4">
        <v>2.6809773409974168E-4</v>
      </c>
      <c r="Y4">
        <v>2.2368681584687737E-10</v>
      </c>
      <c r="Z4">
        <v>1.8073578872618057E-7</v>
      </c>
      <c r="AA4">
        <v>2.1841142008584792E-3</v>
      </c>
    </row>
    <row r="5" spans="1:27" x14ac:dyDescent="0.35">
      <c r="A5" t="s">
        <v>219</v>
      </c>
      <c r="B5" t="s">
        <v>220</v>
      </c>
      <c r="C5">
        <v>5.8596787951819557E-12</v>
      </c>
      <c r="D5">
        <v>6.0095664499812214E-15</v>
      </c>
      <c r="E5">
        <v>2.2005784625185532E-10</v>
      </c>
      <c r="F5">
        <v>3.9423615922780825E-13</v>
      </c>
      <c r="G5">
        <v>7.9041745260645618E-14</v>
      </c>
      <c r="H5">
        <v>4.6652180968404511E-13</v>
      </c>
      <c r="I5">
        <v>1.8329100458217691E-12</v>
      </c>
      <c r="J5">
        <v>4.8327958756595726E-16</v>
      </c>
      <c r="K5">
        <v>1.39672886718159E-12</v>
      </c>
      <c r="L5">
        <v>7.5957621185191517E-12</v>
      </c>
      <c r="M5">
        <v>3.7336098195370812E-17</v>
      </c>
      <c r="N5">
        <v>8.3449888350580462E-13</v>
      </c>
      <c r="O5">
        <v>7.2912599178210055E-8</v>
      </c>
      <c r="P5">
        <v>5.2224808104013278E-9</v>
      </c>
      <c r="Q5">
        <v>2.006982954380527E-9</v>
      </c>
      <c r="R5">
        <v>8.8919636899973028E-12</v>
      </c>
      <c r="S5">
        <v>6.5205911668061856E-12</v>
      </c>
      <c r="T5">
        <v>7.4836522056942048E-9</v>
      </c>
      <c r="U5">
        <v>4.5712088006331764E-11</v>
      </c>
      <c r="V5">
        <v>1.3722870528762119E-10</v>
      </c>
      <c r="W5">
        <v>9.2754794783091558E-3</v>
      </c>
      <c r="X5">
        <v>1.2178731815850614E-4</v>
      </c>
      <c r="Y5">
        <v>2.3768933510413291E-10</v>
      </c>
      <c r="Z5">
        <v>8.7823991897074264E-8</v>
      </c>
      <c r="AA5">
        <v>9.3972667973021614E-3</v>
      </c>
    </row>
    <row r="6" spans="1:27" x14ac:dyDescent="0.35">
      <c r="A6" t="s">
        <v>221</v>
      </c>
      <c r="B6" t="s">
        <v>220</v>
      </c>
      <c r="C6">
        <v>2.5557964684850085E-11</v>
      </c>
      <c r="D6">
        <v>7.5116871836677947E-15</v>
      </c>
      <c r="E6">
        <v>2.7503277973328482E-10</v>
      </c>
      <c r="F6">
        <v>6.2377907440142109E-13</v>
      </c>
      <c r="G6">
        <v>1.3175299456678184E-13</v>
      </c>
      <c r="H6">
        <v>1.1552019318800332E-12</v>
      </c>
      <c r="I6">
        <v>2.2289549431062543E-12</v>
      </c>
      <c r="J6">
        <v>4.0447552919368049E-15</v>
      </c>
      <c r="K6">
        <v>2.30983995067826E-12</v>
      </c>
      <c r="L6">
        <v>1.3620409807585548E-11</v>
      </c>
      <c r="M6">
        <v>3.8122116947697777E-17</v>
      </c>
      <c r="N6">
        <v>8.5206718343364243E-13</v>
      </c>
      <c r="O6">
        <v>9.1133854178716805E-8</v>
      </c>
      <c r="P6">
        <v>5.9911272617032174E-9</v>
      </c>
      <c r="Q6">
        <v>3.6663062028965201E-9</v>
      </c>
      <c r="R6">
        <v>1.0444772132394388E-11</v>
      </c>
      <c r="S6">
        <v>7.3726802472939697E-12</v>
      </c>
      <c r="T6">
        <v>2.5830515366122361E-8</v>
      </c>
      <c r="U6">
        <v>8.1956371482850358E-11</v>
      </c>
      <c r="V6">
        <v>1.4011771460908787E-10</v>
      </c>
      <c r="W6">
        <v>1.2632577920545673E-2</v>
      </c>
      <c r="X6">
        <v>1.4576258039277843E-4</v>
      </c>
      <c r="Y6">
        <v>3.2067246330245391E-10</v>
      </c>
      <c r="Z6">
        <v>1.2686163102879661E-7</v>
      </c>
      <c r="AA6">
        <v>1.277834050179052E-2</v>
      </c>
    </row>
    <row r="7" spans="1:27" x14ac:dyDescent="0.35">
      <c r="A7" t="s">
        <v>222</v>
      </c>
      <c r="B7" t="s">
        <v>220</v>
      </c>
      <c r="C7">
        <v>7.5743371239568775E-11</v>
      </c>
      <c r="D7">
        <v>4.7762183719251697E-15</v>
      </c>
      <c r="E7">
        <v>1.7488519488161226E-10</v>
      </c>
      <c r="F7">
        <v>5.7629575027679314E-13</v>
      </c>
      <c r="G7">
        <v>1.2216986329542107E-13</v>
      </c>
      <c r="H7">
        <v>3.8727287168213072E-13</v>
      </c>
      <c r="I7">
        <v>1.5257465083922899E-11</v>
      </c>
      <c r="J7">
        <v>2.4714321617892296E-15</v>
      </c>
      <c r="K7">
        <v>5.6606331335548377E-12</v>
      </c>
      <c r="L7">
        <v>2.1111120221230682E-11</v>
      </c>
      <c r="M7">
        <v>3.2426284296766989E-17</v>
      </c>
      <c r="N7">
        <v>7.2475966557343434E-13</v>
      </c>
      <c r="O7">
        <v>5.7947500135252742E-8</v>
      </c>
      <c r="P7">
        <v>7.7270311459426405E-9</v>
      </c>
      <c r="Q7">
        <v>8.9554148232401932E-9</v>
      </c>
      <c r="R7">
        <v>8.5960470978780108E-13</v>
      </c>
      <c r="S7">
        <v>5.0940977824307757E-12</v>
      </c>
      <c r="T7">
        <v>8.134280713717429E-8</v>
      </c>
      <c r="U7">
        <v>1.4841023450948083E-10</v>
      </c>
      <c r="V7">
        <v>1.1918270056096474E-10</v>
      </c>
      <c r="W7">
        <v>1.2654872090076786E-3</v>
      </c>
      <c r="X7">
        <v>1.9291145027346424E-5</v>
      </c>
      <c r="Y7">
        <v>2.9375095753017929E-10</v>
      </c>
      <c r="Z7">
        <v>1.5624627059862186E-7</v>
      </c>
      <c r="AA7">
        <v>1.2847783547597844E-3</v>
      </c>
    </row>
    <row r="8" spans="1:27" x14ac:dyDescent="0.35">
      <c r="A8" t="s">
        <v>223</v>
      </c>
      <c r="B8" t="s">
        <v>220</v>
      </c>
      <c r="C8">
        <v>3.3507688042109567E-11</v>
      </c>
      <c r="D8">
        <v>1.3205747459206228E-15</v>
      </c>
      <c r="E8">
        <v>4.8351766771074494E-11</v>
      </c>
      <c r="F8">
        <v>5.6192731293099823E-13</v>
      </c>
      <c r="G8">
        <v>1.2082046399135679E-13</v>
      </c>
      <c r="H8">
        <v>1.9032051880962599E-12</v>
      </c>
      <c r="I8">
        <v>4.1991826902022741E-12</v>
      </c>
      <c r="J8">
        <v>1.1328756462716112E-15</v>
      </c>
      <c r="K8">
        <v>2.5003581975342954E-10</v>
      </c>
      <c r="L8">
        <v>4.2086658864932725E-11</v>
      </c>
      <c r="M8">
        <v>2.1177241749973203E-16</v>
      </c>
      <c r="N8">
        <v>4.7333239010701695E-12</v>
      </c>
      <c r="O8">
        <v>1.6023832958189979E-8</v>
      </c>
      <c r="P8">
        <v>4.7549023226597837E-9</v>
      </c>
      <c r="Q8">
        <v>9.6440320746455416E-9</v>
      </c>
      <c r="R8">
        <v>9.404697910837918E-12</v>
      </c>
      <c r="S8">
        <v>2.4170687297281508E-11</v>
      </c>
      <c r="T8">
        <v>1.1684551283769571E-7</v>
      </c>
      <c r="U8">
        <v>2.9328763607358354E-10</v>
      </c>
      <c r="V8">
        <v>7.7836881928709458E-10</v>
      </c>
      <c r="W8">
        <v>1.0861877048480733E-3</v>
      </c>
      <c r="X8">
        <v>5.2055300077671637E-5</v>
      </c>
      <c r="Y8">
        <v>3.807674251513107E-10</v>
      </c>
      <c r="Z8">
        <v>1.4837272607779618E-7</v>
      </c>
      <c r="AA8">
        <v>1.1382430096590691E-3</v>
      </c>
    </row>
    <row r="9" spans="1:27" x14ac:dyDescent="0.35">
      <c r="A9" s="17" t="s">
        <v>257</v>
      </c>
      <c r="B9" t="s">
        <v>220</v>
      </c>
    </row>
    <row r="10" spans="1:27" x14ac:dyDescent="0.35">
      <c r="A10" s="17" t="s">
        <v>258</v>
      </c>
      <c r="B10" t="s">
        <v>220</v>
      </c>
      <c r="C10">
        <f>(C5*Parameters!$C103)+(C6*Parameters!$C105)+(C7*Parameters!$C104)+(C8*Parameters!$C106)+(C9*Parameters!$C107)</f>
        <v>1.5020307726001505E-11</v>
      </c>
      <c r="D10">
        <f>(D5*Parameters!$C103)+(D6*Parameters!$C105)+(D7*Parameters!$C104)+(D8*Parameters!$C106)+(D9*Parameters!$C107)</f>
        <v>3.3315802416669033E-15</v>
      </c>
      <c r="E10">
        <f>(E5*Parameters!$C103)+(E6*Parameters!$C105)+(E7*Parameters!$C104)+(E8*Parameters!$C106)+(E9*Parameters!$C107)</f>
        <v>1.2199368637457753E-10</v>
      </c>
      <c r="F10">
        <f>(F5*Parameters!$C103)+(F6*Parameters!$C105)+(F7*Parameters!$C104)+(F8*Parameters!$C106)+(F9*Parameters!$C107)</f>
        <v>3.9067868021250655E-13</v>
      </c>
      <c r="G10">
        <f>(G5*Parameters!$C103)+(G6*Parameters!$C105)+(G7*Parameters!$C104)+(G8*Parameters!$C106)+(G9*Parameters!$C107)</f>
        <v>8.1296246798854409E-14</v>
      </c>
      <c r="H10">
        <f>(H5*Parameters!$C103)+(H6*Parameters!$C105)+(H7*Parameters!$C104)+(H8*Parameters!$C106)+(H9*Parameters!$C107)</f>
        <v>9.093912183343459E-13</v>
      </c>
      <c r="I10">
        <f>(I5*Parameters!$C103)+(I6*Parameters!$C105)+(I7*Parameters!$C104)+(I8*Parameters!$C106)+(I9*Parameters!$C107)</f>
        <v>2.4064240662504447E-12</v>
      </c>
      <c r="J10">
        <f>(J5*Parameters!$C103)+(J6*Parameters!$C105)+(J7*Parameters!$C104)+(J8*Parameters!$C106)+(J9*Parameters!$C107)</f>
        <v>6.4936328093283193E-16</v>
      </c>
      <c r="K10">
        <f>(K5*Parameters!$C103)+(K6*Parameters!$C105)+(K7*Parameters!$C104)+(K8*Parameters!$C106)+(K9*Parameters!$C107)</f>
        <v>9.0846550802301166E-11</v>
      </c>
      <c r="L10">
        <f>(L5*Parameters!$C103)+(L6*Parameters!$C105)+(L7*Parameters!$C104)+(L8*Parameters!$C106)+(L9*Parameters!$C107)</f>
        <v>1.8820166232017543E-11</v>
      </c>
      <c r="M10">
        <f>(M5*Parameters!$C103)+(M6*Parameters!$C105)+(M7*Parameters!$C104)+(M8*Parameters!$C106)+(M9*Parameters!$C107)</f>
        <v>9.409897500767112E-17</v>
      </c>
      <c r="N10">
        <f>(N5*Parameters!$C103)+(N6*Parameters!$C105)+(N7*Parameters!$C104)+(N8*Parameters!$C106)+(N9*Parameters!$C107)</f>
        <v>2.1032055672244374E-12</v>
      </c>
      <c r="O10">
        <f>(O5*Parameters!$C103)+(O6*Parameters!$C105)+(O7*Parameters!$C104)+(O8*Parameters!$C106)+(O9*Parameters!$C107)</f>
        <v>4.0421822873719699E-8</v>
      </c>
      <c r="P10">
        <f>(P5*Parameters!$C103)+(P6*Parameters!$C105)+(P7*Parameters!$C104)+(P8*Parameters!$C106)+(P9*Parameters!$C107)</f>
        <v>4.2004647057410574E-9</v>
      </c>
      <c r="Q10">
        <f>(Q5*Parameters!$C103)+(Q6*Parameters!$C105)+(Q7*Parameters!$C104)+(Q8*Parameters!$C106)+(Q9*Parameters!$C107)</f>
        <v>4.4456896873894662E-9</v>
      </c>
      <c r="R10">
        <f>(R5*Parameters!$C103)+(R6*Parameters!$C105)+(R7*Parameters!$C104)+(R8*Parameters!$C106)+(R9*Parameters!$C107)</f>
        <v>7.6054840660607705E-12</v>
      </c>
      <c r="S10">
        <f>(S5*Parameters!$C103)+(S6*Parameters!$C105)+(S7*Parameters!$C104)+(S8*Parameters!$C106)+(S9*Parameters!$C107)</f>
        <v>1.1813266812102398E-11</v>
      </c>
      <c r="T10">
        <f>(T5*Parameters!$C103)+(T6*Parameters!$C105)+(T7*Parameters!$C104)+(T8*Parameters!$C106)+(T9*Parameters!$C107)</f>
        <v>4.584999869201481E-8</v>
      </c>
      <c r="U10">
        <f>(U5*Parameters!$C103)+(U6*Parameters!$C105)+(U7*Parameters!$C104)+(U8*Parameters!$C106)+(U9*Parameters!$C107)</f>
        <v>1.2772256520934023E-10</v>
      </c>
      <c r="V10">
        <f>(V5*Parameters!$C103)+(V6*Parameters!$C105)+(V7*Parameters!$C104)+(V8*Parameters!$C106)+(V9*Parameters!$C107)</f>
        <v>3.4586047105468522E-10</v>
      </c>
      <c r="W10">
        <f>(W5*Parameters!$C103)+(W6*Parameters!$C105)+(W7*Parameters!$C104)+(W8*Parameters!$C106)+(W9*Parameters!$C107)</f>
        <v>4.7917667328448224E-3</v>
      </c>
      <c r="X10">
        <f>(X5*Parameters!$C103)+(X6*Parameters!$C105)+(X7*Parameters!$C104)+(X8*Parameters!$C106)+(X9*Parameters!$C107)</f>
        <v>7.6503817668579894E-5</v>
      </c>
      <c r="Y10">
        <f>(Y5*Parameters!$C103)+(Y6*Parameters!$C105)+(Y7*Parameters!$C104)+(Y8*Parameters!$C106)+(Y9*Parameters!$C107)</f>
        <v>2.5047178153681755E-10</v>
      </c>
      <c r="Z10">
        <f>(Z5*Parameters!$C103)+(Z6*Parameters!$C105)+(Z7*Parameters!$C104)+(Z8*Parameters!$C106)+(Z9*Parameters!$C107)</f>
        <v>9.5410658022027234E-8</v>
      </c>
      <c r="AA10">
        <f>(AA5*Parameters!$C103)+(AA6*Parameters!$C105)+(AA7*Parameters!$C104)+(AA8*Parameters!$C106)+(AA9*Parameters!$C107)</f>
        <v>4.8682705526166105E-3</v>
      </c>
    </row>
    <row r="11" spans="1:27" x14ac:dyDescent="0.35">
      <c r="A11" t="s">
        <v>97</v>
      </c>
      <c r="B11" t="s">
        <v>88</v>
      </c>
      <c r="C11">
        <v>0</v>
      </c>
      <c r="D11">
        <v>2.5999999999999998E-12</v>
      </c>
      <c r="E11" s="5">
        <v>9.5200000000000005E-8</v>
      </c>
      <c r="O11">
        <v>3.1600000000000002E-5</v>
      </c>
      <c r="Y11" s="5">
        <f>SUM(D11:E11)</f>
        <v>9.52026E-8</v>
      </c>
      <c r="Z11">
        <v>3.1600000000000002E-5</v>
      </c>
      <c r="AA11">
        <v>0</v>
      </c>
    </row>
    <row r="12" spans="1:27" x14ac:dyDescent="0.35">
      <c r="A12" t="s">
        <v>25</v>
      </c>
      <c r="B12" t="s">
        <v>88</v>
      </c>
      <c r="C12" s="5">
        <v>7.6300000000000002E-8</v>
      </c>
      <c r="L12" s="5">
        <v>1.29E-7</v>
      </c>
      <c r="T12" s="5">
        <v>6.9200000000000002E-5</v>
      </c>
      <c r="U12" s="5">
        <v>9.0999999999999997E-7</v>
      </c>
      <c r="Y12" s="5">
        <f>SUM(C12:N12)</f>
        <v>2.0530000000000002E-7</v>
      </c>
      <c r="Z12">
        <f>SUM(O12:V12)</f>
        <v>7.0110000000000005E-5</v>
      </c>
    </row>
    <row r="13" spans="1:27" x14ac:dyDescent="0.35">
      <c r="A13" t="s">
        <v>26</v>
      </c>
      <c r="B13" t="s">
        <v>88</v>
      </c>
      <c r="L13" s="5">
        <v>3.7399999999999997E-8</v>
      </c>
      <c r="U13" s="5">
        <v>1.6400000000000001E-7</v>
      </c>
      <c r="Y13" s="5">
        <f t="shared" ref="Y13:Y22" si="0">SUM(C13:N13)</f>
        <v>3.7399999999999997E-8</v>
      </c>
      <c r="Z13">
        <f t="shared" ref="Z13:Z22" si="1">SUM(O13:V13)</f>
        <v>1.6400000000000001E-7</v>
      </c>
    </row>
    <row r="14" spans="1:27" x14ac:dyDescent="0.35">
      <c r="A14" t="s">
        <v>27</v>
      </c>
      <c r="B14" t="s">
        <v>88</v>
      </c>
      <c r="C14" s="5">
        <v>2.1199999999999999E-7</v>
      </c>
      <c r="T14">
        <v>1.8000000000000001E-4</v>
      </c>
      <c r="Y14" s="5">
        <f t="shared" si="0"/>
        <v>2.1199999999999999E-7</v>
      </c>
      <c r="Z14">
        <f t="shared" si="1"/>
        <v>1.8000000000000001E-4</v>
      </c>
    </row>
    <row r="15" spans="1:27" x14ac:dyDescent="0.35">
      <c r="A15" t="s">
        <v>28</v>
      </c>
      <c r="B15" t="s">
        <v>88</v>
      </c>
      <c r="Y15" s="5">
        <f t="shared" si="0"/>
        <v>0</v>
      </c>
      <c r="Z15">
        <f t="shared" si="1"/>
        <v>0</v>
      </c>
    </row>
    <row r="16" spans="1:27" x14ac:dyDescent="0.35">
      <c r="A16" t="s">
        <v>29</v>
      </c>
      <c r="B16" t="s">
        <v>88</v>
      </c>
      <c r="Y16" s="5">
        <f t="shared" si="0"/>
        <v>0</v>
      </c>
      <c r="Z16">
        <f t="shared" si="1"/>
        <v>0</v>
      </c>
    </row>
    <row r="17" spans="1:27" x14ac:dyDescent="0.35">
      <c r="A17" t="s">
        <v>30</v>
      </c>
      <c r="B17" t="s">
        <v>88</v>
      </c>
      <c r="C17" s="5">
        <v>4.1600000000000002E-7</v>
      </c>
      <c r="T17">
        <v>1.4999999999999999E-4</v>
      </c>
      <c r="Y17" s="5">
        <f t="shared" si="0"/>
        <v>4.1600000000000002E-7</v>
      </c>
      <c r="Z17">
        <f t="shared" si="1"/>
        <v>1.4999999999999999E-4</v>
      </c>
    </row>
    <row r="18" spans="1:27" x14ac:dyDescent="0.35">
      <c r="A18" t="s">
        <v>225</v>
      </c>
      <c r="B18" t="s">
        <v>88</v>
      </c>
      <c r="C18" s="5">
        <v>2.1199999999999999E-7</v>
      </c>
      <c r="T18">
        <v>1.8000000000000001E-4</v>
      </c>
      <c r="Y18" s="5">
        <f t="shared" si="0"/>
        <v>2.1199999999999999E-7</v>
      </c>
      <c r="Z18">
        <f t="shared" si="1"/>
        <v>1.8000000000000001E-4</v>
      </c>
    </row>
    <row r="19" spans="1:27" x14ac:dyDescent="0.35">
      <c r="A19" t="s">
        <v>226</v>
      </c>
      <c r="B19" t="s">
        <v>88</v>
      </c>
      <c r="D19" s="5">
        <v>2.2800000000000001E-11</v>
      </c>
      <c r="E19" s="5">
        <v>8.3399999999999998E-7</v>
      </c>
      <c r="O19">
        <v>2.7999999999999998E-4</v>
      </c>
      <c r="S19" s="5">
        <v>5.84E-6</v>
      </c>
      <c r="Y19" s="5">
        <f t="shared" si="0"/>
        <v>8.3402279999999999E-7</v>
      </c>
      <c r="Z19">
        <f t="shared" si="1"/>
        <v>2.8583999999999999E-4</v>
      </c>
    </row>
    <row r="20" spans="1:27" x14ac:dyDescent="0.35">
      <c r="A20" t="s">
        <v>227</v>
      </c>
      <c r="B20" t="s">
        <v>88</v>
      </c>
      <c r="J20" s="5">
        <v>1.1399999999999999E-10</v>
      </c>
      <c r="Y20" s="5">
        <f t="shared" si="0"/>
        <v>1.1399999999999999E-10</v>
      </c>
      <c r="Z20">
        <f t="shared" si="1"/>
        <v>0</v>
      </c>
    </row>
    <row r="21" spans="1:27" x14ac:dyDescent="0.35">
      <c r="A21" t="s">
        <v>145</v>
      </c>
      <c r="B21" t="s">
        <v>88</v>
      </c>
      <c r="T21">
        <v>6.3000000000000003E-4</v>
      </c>
      <c r="Y21" s="5">
        <f t="shared" si="0"/>
        <v>0</v>
      </c>
      <c r="Z21">
        <f t="shared" si="1"/>
        <v>6.3000000000000003E-4</v>
      </c>
    </row>
    <row r="22" spans="1:27" x14ac:dyDescent="0.35">
      <c r="A22" t="s">
        <v>228</v>
      </c>
      <c r="B22" t="s">
        <v>88</v>
      </c>
      <c r="L22">
        <v>3.74</v>
      </c>
      <c r="U22" s="5">
        <v>1.6400000000000001E-7</v>
      </c>
      <c r="Y22" s="5">
        <f t="shared" si="0"/>
        <v>3.74</v>
      </c>
      <c r="Z22">
        <f t="shared" si="1"/>
        <v>1.6400000000000001E-7</v>
      </c>
    </row>
    <row r="23" spans="1:27" x14ac:dyDescent="0.35">
      <c r="A23" t="s">
        <v>142</v>
      </c>
      <c r="B23" t="s">
        <v>88</v>
      </c>
      <c r="U23" s="5"/>
      <c r="Y23" s="5"/>
    </row>
    <row r="24" spans="1:27" x14ac:dyDescent="0.35">
      <c r="A24" t="s">
        <v>229</v>
      </c>
      <c r="B24" t="s">
        <v>88</v>
      </c>
      <c r="C24">
        <v>4.983669829089901E-10</v>
      </c>
      <c r="D24">
        <v>7.1004269256274852E-14</v>
      </c>
      <c r="E24">
        <v>2.6028659285170504E-9</v>
      </c>
      <c r="F24">
        <v>5.6154247942144196E-12</v>
      </c>
      <c r="G24">
        <v>1.5182812788695612E-12</v>
      </c>
      <c r="H24">
        <v>2.1147145559381063E-11</v>
      </c>
      <c r="I24">
        <v>3.3877599749237226E-11</v>
      </c>
      <c r="J24">
        <v>1.6178475240158179E-13</v>
      </c>
      <c r="K24">
        <v>7.2855538299788649E-11</v>
      </c>
      <c r="L24">
        <v>3.9934669530782491E-10</v>
      </c>
      <c r="M24">
        <v>9.5427569940992946E-16</v>
      </c>
      <c r="N24">
        <v>2.1329009837804719E-11</v>
      </c>
      <c r="O24">
        <v>8.6181024668944941E-7</v>
      </c>
      <c r="P24">
        <v>1.1021083418186001E-7</v>
      </c>
      <c r="Q24">
        <v>5.4037914951465654E-8</v>
      </c>
      <c r="R24">
        <v>1.5771864578724416E-10</v>
      </c>
      <c r="S24">
        <v>1.1967107429638763E-10</v>
      </c>
      <c r="T24">
        <v>5.3493627794186754E-7</v>
      </c>
      <c r="U24">
        <v>2.2233798527275997E-9</v>
      </c>
      <c r="V24">
        <v>3.507437173327887E-9</v>
      </c>
      <c r="W24">
        <v>0.53665358043050149</v>
      </c>
      <c r="X24">
        <v>4.0760870991140251E-3</v>
      </c>
      <c r="Y24">
        <v>3.6358264859855284E-9</v>
      </c>
      <c r="Z24">
        <v>1.5670016465602831E-6</v>
      </c>
      <c r="AA24">
        <v>0.54072966755094443</v>
      </c>
    </row>
    <row r="25" spans="1:27" x14ac:dyDescent="0.35">
      <c r="A25" t="s">
        <v>230</v>
      </c>
      <c r="B25" t="s">
        <v>88</v>
      </c>
      <c r="C25">
        <v>1.2903560550158734E-9</v>
      </c>
      <c r="D25">
        <v>1.236910881897954E-13</v>
      </c>
      <c r="E25">
        <v>4.5285501912416265E-9</v>
      </c>
      <c r="F25">
        <v>5.4939864435666631E-11</v>
      </c>
      <c r="G25">
        <v>1.090960398967503E-11</v>
      </c>
      <c r="H25">
        <v>9.0318774920851277E-11</v>
      </c>
      <c r="I25">
        <v>1.3531373967999025E-10</v>
      </c>
      <c r="J25">
        <v>3.1878816295025403E-13</v>
      </c>
      <c r="K25">
        <v>1.6575235202980951E-10</v>
      </c>
      <c r="L25">
        <v>3.0534653768778237E-10</v>
      </c>
      <c r="M25">
        <v>1.4978970746935654E-14</v>
      </c>
      <c r="N25">
        <v>3.3479487596627707E-10</v>
      </c>
      <c r="O25">
        <v>1.5008620752103469E-6</v>
      </c>
      <c r="P25">
        <v>2.5680399730187202E-7</v>
      </c>
      <c r="Q25">
        <v>2.8870746017828656E-7</v>
      </c>
      <c r="R25">
        <v>4.4847747973617253E-10</v>
      </c>
      <c r="S25">
        <v>3.0200038604066297E-9</v>
      </c>
      <c r="T25">
        <v>8.4635306132914434E-7</v>
      </c>
      <c r="U25">
        <v>1.9847696362535121E-9</v>
      </c>
      <c r="V25">
        <v>5.5055157381121117E-8</v>
      </c>
      <c r="W25">
        <v>0.16256298786445972</v>
      </c>
      <c r="X25">
        <v>4.5505917491983966E-3</v>
      </c>
      <c r="Y25">
        <v>6.5819389812091905E-9</v>
      </c>
      <c r="Z25">
        <v>2.9532312261186565E-6</v>
      </c>
      <c r="AA25">
        <v>0.16711357994845299</v>
      </c>
    </row>
    <row r="26" spans="1:27" x14ac:dyDescent="0.35">
      <c r="A26" t="s">
        <v>231</v>
      </c>
      <c r="B26" t="s">
        <v>88</v>
      </c>
      <c r="C26">
        <v>4.5731349930453924E-10</v>
      </c>
      <c r="D26">
        <v>5.1939993614940431E-14</v>
      </c>
      <c r="E26">
        <v>1.901807155086487E-9</v>
      </c>
      <c r="F26">
        <v>3.0914422636337489E-11</v>
      </c>
      <c r="G26">
        <v>6.4039124253608989E-12</v>
      </c>
      <c r="H26">
        <v>9.0270488752674063E-11</v>
      </c>
      <c r="I26">
        <v>9.2436064204234611E-11</v>
      </c>
      <c r="J26">
        <v>3.1650790071921729E-14</v>
      </c>
      <c r="K26">
        <v>3.7025811887953699E-10</v>
      </c>
      <c r="L26">
        <v>3.200923558887861E-10</v>
      </c>
      <c r="M26">
        <v>3.9724300620285287E-15</v>
      </c>
      <c r="N26">
        <v>8.8787758008915788E-11</v>
      </c>
      <c r="O26">
        <v>6.3016516199824607E-7</v>
      </c>
      <c r="P26">
        <v>1.8056663242885164E-7</v>
      </c>
      <c r="Q26">
        <v>1.8866752534512601E-7</v>
      </c>
      <c r="R26">
        <v>2.5133908544392968E-10</v>
      </c>
      <c r="S26">
        <v>1.1007191877505638E-10</v>
      </c>
      <c r="T26">
        <v>5.3378601298177583E-7</v>
      </c>
      <c r="U26">
        <v>2.1513031673355926E-9</v>
      </c>
      <c r="V26">
        <v>1.4600653539243928E-8</v>
      </c>
      <c r="W26">
        <v>8.230656580151946E-2</v>
      </c>
      <c r="X26">
        <v>4.4666042039065001E-3</v>
      </c>
      <c r="Y26">
        <v>3.2695771673340732E-9</v>
      </c>
      <c r="Z26">
        <v>1.5502957078290348E-6</v>
      </c>
      <c r="AA26">
        <v>8.6773170094213717E-2</v>
      </c>
    </row>
    <row r="27" spans="1:27" x14ac:dyDescent="0.35">
      <c r="A27" t="s">
        <v>232</v>
      </c>
      <c r="B27" t="s">
        <v>88</v>
      </c>
      <c r="C27">
        <v>1.0872882259128413E-9</v>
      </c>
      <c r="D27">
        <v>3.0276303792831464E-14</v>
      </c>
      <c r="E27">
        <v>1.1084688728328024E-9</v>
      </c>
      <c r="F27">
        <v>3.6151530155673818E-11</v>
      </c>
      <c r="G27">
        <v>7.2919004945323216E-12</v>
      </c>
      <c r="H27">
        <v>6.7357210708671318E-11</v>
      </c>
      <c r="I27">
        <v>3.7084478211904609E-10</v>
      </c>
      <c r="J27">
        <v>5.109720493595031E-14</v>
      </c>
      <c r="K27">
        <v>3.4844915796198512E-10</v>
      </c>
      <c r="L27">
        <v>1.2775223802998283E-10</v>
      </c>
      <c r="M27">
        <v>6.6683348895333295E-15</v>
      </c>
      <c r="N27">
        <v>1.4904390895480126E-10</v>
      </c>
      <c r="O27">
        <v>3.6731737833972353E-7</v>
      </c>
      <c r="P27">
        <v>1.5680442823113004E-7</v>
      </c>
      <c r="Q27">
        <v>2.5835835034676093E-7</v>
      </c>
      <c r="R27">
        <v>9.0684647452624341E-10</v>
      </c>
      <c r="S27">
        <v>7.6643703289934319E-11</v>
      </c>
      <c r="T27">
        <v>1.121714368220729E-6</v>
      </c>
      <c r="U27">
        <v>8.6403548311122312E-10</v>
      </c>
      <c r="V27">
        <v>2.450944280590065E-8</v>
      </c>
      <c r="W27">
        <v>2.9816667827586067E-2</v>
      </c>
      <c r="X27">
        <v>5.6418414094700766E-3</v>
      </c>
      <c r="Y27">
        <v>3.1535829950125913E-9</v>
      </c>
      <c r="Z27">
        <v>1.9305148860858658E-6</v>
      </c>
      <c r="AA27">
        <v>3.5458509386100054E-2</v>
      </c>
    </row>
    <row r="28" spans="1:27" x14ac:dyDescent="0.35">
      <c r="A28" t="s">
        <v>233</v>
      </c>
      <c r="B28" t="s">
        <v>88</v>
      </c>
      <c r="C28">
        <v>6.2097949197681294E-12</v>
      </c>
      <c r="D28">
        <v>1.2091191114195552E-15</v>
      </c>
      <c r="E28">
        <v>4.4341963954036651E-11</v>
      </c>
      <c r="F28">
        <v>3.0961020881446543E-13</v>
      </c>
      <c r="G28">
        <v>6.4194149839875764E-14</v>
      </c>
      <c r="H28">
        <v>8.7185554408125073E-13</v>
      </c>
      <c r="I28">
        <v>1.1915217478114802E-12</v>
      </c>
      <c r="J28">
        <v>4.9735637749715845E-16</v>
      </c>
      <c r="K28">
        <v>1.1597873956364744E-11</v>
      </c>
      <c r="L28">
        <v>6.3920644667171888E-12</v>
      </c>
      <c r="M28">
        <v>4.8920948847619388E-16</v>
      </c>
      <c r="N28">
        <v>1.0934318037133472E-11</v>
      </c>
      <c r="O28">
        <v>1.467782178053898E-8</v>
      </c>
      <c r="P28">
        <v>3.1294078280269392E-9</v>
      </c>
      <c r="Q28">
        <v>1.9605176163020427E-9</v>
      </c>
      <c r="R28">
        <v>3.5221544095291014E-11</v>
      </c>
      <c r="S28">
        <v>2.224020707763221E-12</v>
      </c>
      <c r="T28">
        <v>8.3868789448432746E-9</v>
      </c>
      <c r="U28">
        <v>4.3740134084856118E-11</v>
      </c>
      <c r="V28">
        <v>1.798087854995282E-9</v>
      </c>
      <c r="W28">
        <v>7.5517092524453127E-4</v>
      </c>
      <c r="X28">
        <v>6.6423091520455708E-5</v>
      </c>
      <c r="Y28">
        <v>7.0981050916573022E-11</v>
      </c>
      <c r="Z28">
        <v>3.0033863361540094E-8</v>
      </c>
      <c r="AA28">
        <v>8.2159402769930512E-4</v>
      </c>
    </row>
    <row r="29" spans="1:27" x14ac:dyDescent="0.35">
      <c r="A29" t="s">
        <v>128</v>
      </c>
      <c r="B29" t="s">
        <v>88</v>
      </c>
      <c r="C29">
        <v>3.3084794185414775E-9</v>
      </c>
      <c r="D29">
        <v>2.6005111794897385E-13</v>
      </c>
      <c r="E29">
        <v>9.5219762370292677E-9</v>
      </c>
      <c r="F29">
        <v>3.8303822429834074E-11</v>
      </c>
      <c r="G29">
        <v>8.0540872150619489E-12</v>
      </c>
      <c r="H29">
        <v>4.3311566368075161E-11</v>
      </c>
      <c r="I29">
        <v>9.0505175578512102E-10</v>
      </c>
      <c r="J29">
        <v>1.5553625359238771E-13</v>
      </c>
      <c r="K29">
        <v>3.4986678366341091E-10</v>
      </c>
      <c r="L29">
        <v>1.0225381521255759E-9</v>
      </c>
      <c r="M29">
        <v>5.4859180788209292E-15</v>
      </c>
      <c r="N29">
        <v>1.2261571864914331E-10</v>
      </c>
      <c r="O29">
        <v>3.1550731057536067E-6</v>
      </c>
      <c r="P29">
        <v>4.0692500593119021E-7</v>
      </c>
      <c r="Q29">
        <v>5.438742452085509E-7</v>
      </c>
      <c r="R29">
        <v>1.0334842442060117E-9</v>
      </c>
      <c r="S29">
        <v>3.3962297270444272E-10</v>
      </c>
      <c r="T29">
        <v>3.7533300223713947E-6</v>
      </c>
      <c r="U29">
        <v>7.0774853865865652E-9</v>
      </c>
      <c r="V29">
        <v>2.0163473733414676E-8</v>
      </c>
      <c r="W29">
        <v>0.14272879667708727</v>
      </c>
      <c r="X29">
        <v>2.3777992590392773E-3</v>
      </c>
      <c r="Y29">
        <v>1.5197905161534491E-8</v>
      </c>
      <c r="Z29">
        <v>7.8877796830136044E-6</v>
      </c>
      <c r="AA29">
        <v>0.14510659605874227</v>
      </c>
    </row>
    <row r="30" spans="1:27" x14ac:dyDescent="0.35">
      <c r="A30" t="s">
        <v>255</v>
      </c>
      <c r="B30" t="s">
        <v>88</v>
      </c>
      <c r="C30">
        <v>4.5428433234108039E-9</v>
      </c>
      <c r="D30">
        <v>4.0558264438822112E-13</v>
      </c>
      <c r="E30">
        <v>1.4850289590455413E-8</v>
      </c>
      <c r="F30">
        <v>2.7419700616910455E-10</v>
      </c>
      <c r="G30">
        <v>5.6207622730559858E-11</v>
      </c>
      <c r="H30">
        <v>3.8952531874588023E-10</v>
      </c>
      <c r="I30">
        <v>1.3335995328815145E-9</v>
      </c>
      <c r="J30">
        <v>4.3267918336867326E-13</v>
      </c>
      <c r="K30">
        <v>1.0867890069376035E-9</v>
      </c>
      <c r="L30">
        <v>1.9279206876519991E-9</v>
      </c>
      <c r="M30">
        <v>4.4888536688586988E-14</v>
      </c>
      <c r="N30">
        <v>1.0033033862515306E-9</v>
      </c>
      <c r="O30">
        <v>4.9206984223972336E-6</v>
      </c>
      <c r="P30">
        <v>5.8408873857330551E-6</v>
      </c>
      <c r="Q30">
        <v>2.0060128741872115E-6</v>
      </c>
      <c r="R30">
        <v>2.4426086558711506E-9</v>
      </c>
      <c r="S30">
        <v>1.2827195689062224E-9</v>
      </c>
      <c r="T30">
        <v>5.8557816202500278E-6</v>
      </c>
      <c r="U30">
        <v>1.3190524840312319E-8</v>
      </c>
      <c r="V30">
        <v>1.6498766796136279E-7</v>
      </c>
      <c r="W30">
        <v>0.36568076951268635</v>
      </c>
      <c r="X30">
        <v>8.1563185427371815E-2</v>
      </c>
      <c r="Y30">
        <v>2.4461901244218563E-8</v>
      </c>
      <c r="Z30">
        <v>1.8805159742434524E-5</v>
      </c>
      <c r="AA30">
        <v>0.44724395594336153</v>
      </c>
    </row>
    <row r="31" spans="1:27" x14ac:dyDescent="0.35">
      <c r="A31" t="s">
        <v>284</v>
      </c>
      <c r="B31" t="s">
        <v>241</v>
      </c>
      <c r="C31">
        <v>3.0980005472896987E-10</v>
      </c>
      <c r="D31">
        <v>3.7034863959589277E-14</v>
      </c>
      <c r="E31">
        <v>1.3559185774734863E-9</v>
      </c>
      <c r="F31">
        <v>1.9745114809271445E-11</v>
      </c>
      <c r="G31">
        <v>4.04235900060286E-12</v>
      </c>
      <c r="H31">
        <v>2.0399634567786858E-11</v>
      </c>
      <c r="I31">
        <v>1.2120499029823399E-9</v>
      </c>
      <c r="J31">
        <v>9.3061501902597096E-12</v>
      </c>
      <c r="K31">
        <v>7.5752204634432062E-11</v>
      </c>
      <c r="L31">
        <v>1.4648177409805042E-10</v>
      </c>
      <c r="M31">
        <v>1.8081915273887525E-15</v>
      </c>
      <c r="N31">
        <v>4.041487685388768E-11</v>
      </c>
      <c r="O31">
        <v>4.4954134166926432E-7</v>
      </c>
      <c r="P31">
        <v>1.1106039741960881E-7</v>
      </c>
      <c r="Q31">
        <v>7.8361929850979643E-7</v>
      </c>
      <c r="R31">
        <v>1.6422965543519593E-10</v>
      </c>
      <c r="S31">
        <v>1.038467498362546E-9</v>
      </c>
      <c r="T31">
        <v>4.3570106490276566E-7</v>
      </c>
      <c r="U31">
        <v>1.0083634113283089E-9</v>
      </c>
      <c r="V31">
        <v>6.6460019715281962E-9</v>
      </c>
      <c r="W31">
        <v>2.1413470517384101E-2</v>
      </c>
      <c r="X31">
        <v>1.5321649384903453E-3</v>
      </c>
      <c r="Y31">
        <v>3.1534906728848229E-9</v>
      </c>
      <c r="Z31">
        <v>1.7887641523172851E-6</v>
      </c>
      <c r="AA31">
        <v>2.2945635496289321E-2</v>
      </c>
    </row>
    <row r="32" spans="1:27" x14ac:dyDescent="0.35">
      <c r="A32" t="s">
        <v>343</v>
      </c>
      <c r="B32" t="s">
        <v>88</v>
      </c>
      <c r="C32">
        <v>2.4242303809928284E-11</v>
      </c>
      <c r="D32">
        <v>3.5222741298615119E-15</v>
      </c>
      <c r="E32">
        <v>1.2897024547754238E-10</v>
      </c>
      <c r="F32">
        <v>7.1640673848335711E-13</v>
      </c>
      <c r="G32">
        <v>1.6946260084485267E-13</v>
      </c>
      <c r="H32">
        <v>5.26582823651279E-12</v>
      </c>
      <c r="I32">
        <v>1.0598517377935658E-11</v>
      </c>
      <c r="J32">
        <v>4.2925789170707806E-15</v>
      </c>
      <c r="K32">
        <v>4.1619407118702846E-9</v>
      </c>
      <c r="L32">
        <v>2.92282520401614E-11</v>
      </c>
      <c r="M32">
        <v>1.3013709692742795E-16</v>
      </c>
      <c r="N32">
        <v>2.908693391589863E-12</v>
      </c>
      <c r="O32">
        <v>4.2734458113026632E-8</v>
      </c>
      <c r="P32">
        <v>1.0632764746456142E-8</v>
      </c>
      <c r="Q32">
        <v>6.3240027935987894E-9</v>
      </c>
      <c r="R32">
        <v>3.3742245359687264E-11</v>
      </c>
      <c r="S32">
        <v>9.0485983011285028E-12</v>
      </c>
      <c r="T32">
        <v>3.1599478886115938E-8</v>
      </c>
      <c r="U32">
        <v>1.8806070092002051E-10</v>
      </c>
      <c r="V32">
        <v>4.7831846883922196E-10</v>
      </c>
      <c r="W32">
        <v>5.5884150002358151E-3</v>
      </c>
      <c r="X32">
        <v>1.9319061627550541E-4</v>
      </c>
      <c r="Y32">
        <v>4.3611326047756398E-9</v>
      </c>
      <c r="Z32">
        <v>9.199747366442324E-8</v>
      </c>
      <c r="AA32">
        <v>5.781605619420014E-3</v>
      </c>
    </row>
    <row r="34" spans="1:27" x14ac:dyDescent="0.35">
      <c r="A34" t="s">
        <v>344</v>
      </c>
      <c r="B34" t="s">
        <v>129</v>
      </c>
      <c r="C34">
        <v>4.9846823650014406E-11</v>
      </c>
      <c r="D34">
        <v>2.9182754498058836E-15</v>
      </c>
      <c r="E34">
        <v>1.0683408598999516E-10</v>
      </c>
      <c r="F34">
        <v>2.3968473325271964E-11</v>
      </c>
      <c r="G34">
        <v>4.4399280224569569E-12</v>
      </c>
      <c r="H34">
        <v>1.558904173733789E-11</v>
      </c>
      <c r="I34">
        <v>1.2282375454840559E-11</v>
      </c>
      <c r="J34">
        <v>2.8749046893098723E-15</v>
      </c>
      <c r="K34">
        <v>5.4852618860070514E-10</v>
      </c>
      <c r="L34">
        <v>3.0426959614137384E-11</v>
      </c>
      <c r="M34">
        <v>1.9278028517772286E-16</v>
      </c>
      <c r="N34">
        <v>4.3088308773166538E-12</v>
      </c>
      <c r="O34">
        <v>3.5405775661547321E-8</v>
      </c>
      <c r="P34">
        <v>2.5111371101289823E-8</v>
      </c>
      <c r="Q34">
        <v>3.8380388839090897E-8</v>
      </c>
      <c r="R34">
        <v>2.8978415513032786E-12</v>
      </c>
      <c r="S34">
        <v>5.5499351411054477E-11</v>
      </c>
      <c r="T34">
        <v>6.19698329257581E-8</v>
      </c>
      <c r="U34">
        <v>2.0750681548361083E-10</v>
      </c>
      <c r="V34">
        <v>7.0856329982540533E-10</v>
      </c>
      <c r="W34">
        <v>2.405136865189009E-3</v>
      </c>
      <c r="X34">
        <v>8.6647559681086645E-5</v>
      </c>
      <c r="Y34">
        <v>7.919181602178388E-10</v>
      </c>
      <c r="Z34">
        <v>1.6184122589582546E-7</v>
      </c>
      <c r="AA34">
        <v>2.4917844291789267E-3</v>
      </c>
    </row>
    <row r="35" spans="1:27" x14ac:dyDescent="0.35">
      <c r="A35" t="s">
        <v>346</v>
      </c>
      <c r="B35" t="s">
        <v>241</v>
      </c>
      <c r="C35">
        <v>2.3325245138636861E-10</v>
      </c>
      <c r="D35">
        <v>6.108470009980132E-14</v>
      </c>
      <c r="E35">
        <v>2.2394276774909846E-9</v>
      </c>
      <c r="F35">
        <v>1.0676366081585286E-11</v>
      </c>
      <c r="G35">
        <v>2.1475382427494349E-12</v>
      </c>
      <c r="H35">
        <v>1.1590520667208332E-11</v>
      </c>
      <c r="I35">
        <v>4.2057953090261931E-11</v>
      </c>
      <c r="J35">
        <v>1.0235600166236931E-14</v>
      </c>
      <c r="K35">
        <v>5.5578163641785336E-11</v>
      </c>
      <c r="L35">
        <v>2.7948520381965429E-10</v>
      </c>
      <c r="M35">
        <v>1.0544133451368507E-15</v>
      </c>
      <c r="N35">
        <v>2.356718569428392E-11</v>
      </c>
      <c r="O35">
        <v>7.41438773598142E-7</v>
      </c>
      <c r="P35">
        <v>1.6239847135053153E-8</v>
      </c>
      <c r="Q35">
        <v>5.0782027538926271E-8</v>
      </c>
      <c r="R35">
        <v>4.2279757980301447E-11</v>
      </c>
      <c r="S35">
        <v>1.2320084093421672E-10</v>
      </c>
      <c r="T35">
        <v>2.9724331012419835E-7</v>
      </c>
      <c r="U35">
        <v>1.7003728180463486E-9</v>
      </c>
      <c r="V35">
        <v>3.8754927586155773E-9</v>
      </c>
      <c r="W35">
        <v>0.35587280746620498</v>
      </c>
      <c r="X35">
        <v>7.7208637981963501E-4</v>
      </c>
      <c r="Y35">
        <v>2.8742895711901222E-9</v>
      </c>
      <c r="Z35">
        <v>1.1114443851728538E-6</v>
      </c>
      <c r="AA35">
        <v>0.35664489386959181</v>
      </c>
    </row>
    <row r="36" spans="1:27" x14ac:dyDescent="0.35">
      <c r="A36" t="s">
        <v>348</v>
      </c>
      <c r="B36" t="s">
        <v>220</v>
      </c>
      <c r="C36">
        <f>(C8*0.75)+(C5*0.25)</f>
        <v>2.6595685730377663E-11</v>
      </c>
      <c r="D36">
        <f>(D8*0.75)+(D5*0.25)</f>
        <v>2.4928226719357724E-15</v>
      </c>
      <c r="E36">
        <f t="shared" ref="E36:AA36" si="2">(E8*0.75)+(E5*0.25)</f>
        <v>9.1278286641269702E-11</v>
      </c>
      <c r="F36">
        <f t="shared" si="2"/>
        <v>5.2000452450520079E-13</v>
      </c>
      <c r="G36">
        <f t="shared" si="2"/>
        <v>1.1037578430867898E-13</v>
      </c>
      <c r="H36">
        <f t="shared" si="2"/>
        <v>1.5440343434932062E-12</v>
      </c>
      <c r="I36">
        <f t="shared" si="2"/>
        <v>3.6076145291071476E-12</v>
      </c>
      <c r="J36">
        <f t="shared" si="2"/>
        <v>9.704766315951978E-16</v>
      </c>
      <c r="K36">
        <f t="shared" si="2"/>
        <v>1.8787604703186755E-10</v>
      </c>
      <c r="L36">
        <f t="shared" si="2"/>
        <v>3.3463934678329335E-11</v>
      </c>
      <c r="M36">
        <f t="shared" si="2"/>
        <v>1.6816333767364172E-16</v>
      </c>
      <c r="N36">
        <f t="shared" si="2"/>
        <v>3.7586176466790777E-12</v>
      </c>
      <c r="O36">
        <f t="shared" si="2"/>
        <v>3.0246024513195001E-8</v>
      </c>
      <c r="P36">
        <f t="shared" si="2"/>
        <v>4.87179694459517E-9</v>
      </c>
      <c r="Q36">
        <f t="shared" si="2"/>
        <v>7.7347697945792891E-9</v>
      </c>
      <c r="R36">
        <f t="shared" si="2"/>
        <v>9.2765143556277638E-12</v>
      </c>
      <c r="S36">
        <f t="shared" si="2"/>
        <v>1.9758163264662677E-11</v>
      </c>
      <c r="T36">
        <f t="shared" si="2"/>
        <v>8.9505047679695333E-8</v>
      </c>
      <c r="U36">
        <f t="shared" si="2"/>
        <v>2.3139374905677062E-10</v>
      </c>
      <c r="V36">
        <f t="shared" si="2"/>
        <v>6.1808379078722627E-10</v>
      </c>
      <c r="W36">
        <f t="shared" si="2"/>
        <v>3.1335106482133441E-3</v>
      </c>
      <c r="X36">
        <f t="shared" si="2"/>
        <v>6.9488304597880267E-5</v>
      </c>
      <c r="Y36">
        <f t="shared" si="2"/>
        <v>3.4499790263951627E-10</v>
      </c>
      <c r="Z36">
        <f t="shared" si="2"/>
        <v>1.3323554253261572E-7</v>
      </c>
      <c r="AA36">
        <f t="shared" si="2"/>
        <v>3.2029989565698419E-3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A8637-5014-4DAF-B847-849560F6E5D4}">
  <dimension ref="A1:W36"/>
  <sheetViews>
    <sheetView tabSelected="1" topLeftCell="M1" workbookViewId="0">
      <selection activeCell="V2" sqref="V2"/>
    </sheetView>
  </sheetViews>
  <sheetFormatPr baseColWidth="10" defaultRowHeight="14.5" x14ac:dyDescent="0.35"/>
  <cols>
    <col min="1" max="1" width="17.1796875" customWidth="1"/>
    <col min="2" max="2" width="13.453125" customWidth="1"/>
    <col min="3" max="3" width="23.6328125" customWidth="1"/>
    <col min="4" max="4" width="30.36328125" customWidth="1"/>
    <col min="5" max="16" width="8.6328125" customWidth="1"/>
    <col min="20" max="20" width="19.90625" customWidth="1"/>
    <col min="22" max="22" width="41.08984375" customWidth="1"/>
  </cols>
  <sheetData>
    <row r="1" spans="1:23" x14ac:dyDescent="0.35">
      <c r="A1" t="s">
        <v>0</v>
      </c>
      <c r="B1" t="s">
        <v>185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V1" t="s">
        <v>186</v>
      </c>
      <c r="W1" t="s">
        <v>214</v>
      </c>
    </row>
    <row r="2" spans="1:23" x14ac:dyDescent="0.35">
      <c r="A2" t="s">
        <v>8</v>
      </c>
      <c r="B2" t="s">
        <v>212</v>
      </c>
      <c r="C2">
        <v>9.0493809546383924E-5</v>
      </c>
      <c r="D2">
        <v>7.9406188508472433E-2</v>
      </c>
      <c r="E2">
        <v>6.2034311158523066E-3</v>
      </c>
      <c r="F2">
        <v>7.8502676314955843E-3</v>
      </c>
      <c r="G2">
        <v>0.56736818293587676</v>
      </c>
      <c r="H2">
        <v>2.4375691547552251E-2</v>
      </c>
      <c r="I2">
        <v>1.5344145113730694E-5</v>
      </c>
      <c r="J2">
        <v>1.1566612749074444E-5</v>
      </c>
      <c r="K2">
        <v>5.9147603456061902E-3</v>
      </c>
      <c r="L2">
        <v>0.12794398745340407</v>
      </c>
      <c r="M2">
        <v>0.5500662407567799</v>
      </c>
      <c r="N2">
        <v>2.8505746478345003E-3</v>
      </c>
      <c r="O2">
        <v>1.7727191377330217E-3</v>
      </c>
      <c r="P2">
        <v>8.6459139006613258E-8</v>
      </c>
      <c r="Q2">
        <v>5.0191089011195158E-5</v>
      </c>
      <c r="R2">
        <v>8.1690946925162982E-5</v>
      </c>
      <c r="S2">
        <v>9.0198139049761945E-5</v>
      </c>
      <c r="T2">
        <v>3.1352354639301687E-3</v>
      </c>
      <c r="V2" t="s">
        <v>213</v>
      </c>
      <c r="W2" t="s">
        <v>215</v>
      </c>
    </row>
    <row r="3" spans="1:23" x14ac:dyDescent="0.35">
      <c r="A3" t="s">
        <v>9</v>
      </c>
      <c r="B3" t="s">
        <v>88</v>
      </c>
      <c r="C3">
        <v>6.934532966105945E-7</v>
      </c>
      <c r="D3">
        <v>3.1448717726125647E-4</v>
      </c>
      <c r="E3">
        <v>1.6344981574764687E-5</v>
      </c>
      <c r="F3">
        <v>2.2483537297912615E-5</v>
      </c>
      <c r="G3">
        <v>1.1552650907921142E-3</v>
      </c>
      <c r="H3">
        <v>8.279707064577642E-5</v>
      </c>
      <c r="I3">
        <v>2.0365942588921166E-7</v>
      </c>
      <c r="J3">
        <v>2.1221860435064661E-8</v>
      </c>
      <c r="K3">
        <v>2.59978595165373E-4</v>
      </c>
      <c r="L3">
        <v>3.7706261026543845E-4</v>
      </c>
      <c r="M3">
        <v>1.0820090835391727E-4</v>
      </c>
      <c r="N3">
        <v>8.2753463188986408E-6</v>
      </c>
      <c r="O3">
        <v>3.4750838704280001E-5</v>
      </c>
      <c r="P3">
        <v>1.2081554222521422E-10</v>
      </c>
      <c r="Q3">
        <v>3.8763074291245785E-7</v>
      </c>
      <c r="R3">
        <v>5.3875424494093255E-7</v>
      </c>
      <c r="S3">
        <v>5.7339185661175926E-7</v>
      </c>
      <c r="T3">
        <v>3.4526298920536348E-6</v>
      </c>
      <c r="V3" t="s">
        <v>216</v>
      </c>
      <c r="W3" t="s">
        <v>217</v>
      </c>
    </row>
    <row r="4" spans="1:23" x14ac:dyDescent="0.35">
      <c r="A4" t="s">
        <v>237</v>
      </c>
      <c r="B4" t="s">
        <v>88</v>
      </c>
      <c r="C4">
        <v>1.3638560111876475E-4</v>
      </c>
      <c r="D4">
        <v>4.098082787843485E-2</v>
      </c>
      <c r="E4">
        <v>6.7876314096602264E-3</v>
      </c>
      <c r="F4">
        <v>9.0687991521913956E-3</v>
      </c>
      <c r="G4">
        <v>9.3690770693958952E-2</v>
      </c>
      <c r="H4">
        <v>5.7803421889681189E-3</v>
      </c>
      <c r="I4">
        <v>4.8682720550073593E-5</v>
      </c>
      <c r="J4">
        <v>1.2084723600595509E-5</v>
      </c>
      <c r="K4">
        <v>1.0550694882984955E-2</v>
      </c>
      <c r="L4">
        <v>0.30316585745433439</v>
      </c>
      <c r="M4">
        <v>3.8257425348874502E-4</v>
      </c>
      <c r="N4">
        <v>7.9287042669731289E-4</v>
      </c>
      <c r="O4">
        <v>1.1589877105097764E-3</v>
      </c>
      <c r="P4">
        <v>5.7786311798284191E-7</v>
      </c>
      <c r="Q4">
        <v>5.4055787032507067E-5</v>
      </c>
      <c r="R4">
        <v>2.5789436037602508E-4</v>
      </c>
      <c r="S4">
        <v>2.608912548664086E-4</v>
      </c>
      <c r="T4">
        <v>1.8198870893823733E-3</v>
      </c>
    </row>
    <row r="5" spans="1:23" x14ac:dyDescent="0.35">
      <c r="A5" t="s">
        <v>219</v>
      </c>
      <c r="B5" t="s">
        <v>220</v>
      </c>
      <c r="C5">
        <v>2.7642788689355263E-5</v>
      </c>
      <c r="D5">
        <v>7.8571531753488313E-2</v>
      </c>
      <c r="E5">
        <v>5.694979195030544E-4</v>
      </c>
      <c r="F5">
        <v>7.5180928866173209E-4</v>
      </c>
      <c r="G5">
        <v>4.0860748246129071E-2</v>
      </c>
      <c r="H5">
        <v>2.6216279432500204E-2</v>
      </c>
      <c r="I5">
        <v>2.7368310510750118E-6</v>
      </c>
      <c r="J5">
        <v>2.8430162675997606E-7</v>
      </c>
      <c r="K5">
        <v>1.5731325869756143E-3</v>
      </c>
      <c r="L5">
        <v>8.8030326930821062E-3</v>
      </c>
      <c r="M5">
        <v>1.0481272491291609E-3</v>
      </c>
      <c r="N5">
        <v>1.5742974494650552E-4</v>
      </c>
      <c r="O5">
        <v>5.2648906111910239E-4</v>
      </c>
      <c r="P5">
        <v>1.2286716884760969E-8</v>
      </c>
      <c r="Q5">
        <v>1.1906329914763686E-5</v>
      </c>
      <c r="R5">
        <v>5.0216773077029545E-5</v>
      </c>
      <c r="S5">
        <v>5.8886240464897118E-5</v>
      </c>
      <c r="T5">
        <v>6.1814732111541083E-5</v>
      </c>
    </row>
    <row r="6" spans="1:23" x14ac:dyDescent="0.35">
      <c r="A6" t="s">
        <v>221</v>
      </c>
      <c r="B6" t="s">
        <v>220</v>
      </c>
      <c r="C6">
        <v>1.2056147547827981E-4</v>
      </c>
      <c r="D6">
        <v>9.8206281458091446E-2</v>
      </c>
      <c r="E6">
        <v>9.0128215357574825E-4</v>
      </c>
      <c r="F6">
        <v>1.2533521609756914E-3</v>
      </c>
      <c r="G6">
        <v>0.10124154664186366</v>
      </c>
      <c r="H6">
        <v>2.8615023291175622E-2</v>
      </c>
      <c r="I6">
        <v>3.3282225684058629E-6</v>
      </c>
      <c r="J6">
        <v>2.3768028978709698E-6</v>
      </c>
      <c r="K6">
        <v>1.8046052903946484E-3</v>
      </c>
      <c r="L6">
        <v>1.6080339254278264E-2</v>
      </c>
      <c r="M6">
        <v>1.2311628212593837E-3</v>
      </c>
      <c r="N6">
        <v>2.6029535988842631E-4</v>
      </c>
      <c r="O6">
        <v>6.301423481243323E-4</v>
      </c>
      <c r="P6">
        <v>1.3890747733206185E-8</v>
      </c>
      <c r="Q6">
        <v>4.1127784251817582E-5</v>
      </c>
      <c r="R6">
        <v>9.0031824332683649E-5</v>
      </c>
      <c r="S6">
        <v>1.0559271464040125E-4</v>
      </c>
      <c r="T6">
        <v>6.3116087661751295E-5</v>
      </c>
    </row>
    <row r="7" spans="1:23" x14ac:dyDescent="0.35">
      <c r="A7" t="s">
        <v>222</v>
      </c>
      <c r="B7" t="s">
        <v>220</v>
      </c>
      <c r="C7">
        <v>3.5729226107581591E-4</v>
      </c>
      <c r="D7">
        <v>6.2444665549662048E-2</v>
      </c>
      <c r="E7">
        <v>8.314441144369743E-4</v>
      </c>
      <c r="F7">
        <v>1.1627960506551791E-3</v>
      </c>
      <c r="G7">
        <v>3.3957795824157526E-2</v>
      </c>
      <c r="H7">
        <v>1.2997135166830195E-2</v>
      </c>
      <c r="I7">
        <v>2.2782621313003704E-5</v>
      </c>
      <c r="J7">
        <v>1.4545928958429576E-6</v>
      </c>
      <c r="K7">
        <v>2.3277124251668956E-3</v>
      </c>
      <c r="L7">
        <v>3.9289368319532565E-2</v>
      </c>
      <c r="M7">
        <v>1.0130399511855428E-4</v>
      </c>
      <c r="N7">
        <v>6.379504666351219E-4</v>
      </c>
      <c r="O7">
        <v>8.3398518346849509E-5</v>
      </c>
      <c r="P7">
        <v>9.5950858043837678E-9</v>
      </c>
      <c r="Q7">
        <v>1.295112701003725E-4</v>
      </c>
      <c r="R7">
        <v>1.630870716155334E-4</v>
      </c>
      <c r="S7">
        <v>1.6365244890544705E-4</v>
      </c>
      <c r="T7">
        <v>5.3685901153587731E-5</v>
      </c>
    </row>
    <row r="8" spans="1:23" x14ac:dyDescent="0.35">
      <c r="A8" t="s">
        <v>223</v>
      </c>
      <c r="B8" t="s">
        <v>220</v>
      </c>
      <c r="C8">
        <v>1.5807715217306089E-4</v>
      </c>
      <c r="D8">
        <v>1.7263471168852532E-2</v>
      </c>
      <c r="E8">
        <v>8.1184821417312129E-4</v>
      </c>
      <c r="F8">
        <v>1.149549358113269E-3</v>
      </c>
      <c r="G8">
        <v>0.16689692022057404</v>
      </c>
      <c r="H8">
        <v>4.4475402801423891E-3</v>
      </c>
      <c r="I8">
        <v>6.2691843716888498E-6</v>
      </c>
      <c r="J8">
        <v>6.6643957411832433E-7</v>
      </c>
      <c r="K8">
        <v>1.4328128082663318E-3</v>
      </c>
      <c r="L8">
        <v>4.2289362734577361E-2</v>
      </c>
      <c r="M8">
        <v>1.1085274474685177E-3</v>
      </c>
      <c r="N8">
        <v>2.8197779700414888E-2</v>
      </c>
      <c r="O8">
        <v>2.2504370322921395E-4</v>
      </c>
      <c r="P8">
        <v>4.5527190967437538E-8</v>
      </c>
      <c r="Q8">
        <v>1.8578324246341335E-4</v>
      </c>
      <c r="R8">
        <v>3.2228754793010514E-4</v>
      </c>
      <c r="S8">
        <v>3.2625557332127708E-4</v>
      </c>
      <c r="T8">
        <v>3.5061658526445701E-4</v>
      </c>
    </row>
    <row r="9" spans="1:23" x14ac:dyDescent="0.35">
      <c r="A9" s="17" t="s">
        <v>249</v>
      </c>
      <c r="B9" t="s">
        <v>220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</row>
    <row r="10" spans="1:23" x14ac:dyDescent="0.35">
      <c r="A10" s="17" t="s">
        <v>242</v>
      </c>
      <c r="B10" t="s">
        <v>220</v>
      </c>
      <c r="C10">
        <f>(C5*Parameters!$C103)+(impact_process_mid!C6*Parameters!$C105)+(impact_process_mid!C7*Parameters!$C104)+(impact_process_mid!C8*Parameters!$C106)+(impact_process_mid!C9*Parameters!$C107)</f>
        <v>7.0859796205647902E-5</v>
      </c>
      <c r="D10">
        <f>(D5*Parameters!$C103)+(impact_process_mid!D6*Parameters!$C105)+(impact_process_mid!D7*Parameters!$C104)+(impact_process_mid!D8*Parameters!$C106)+(impact_process_mid!D9*Parameters!$C107)</f>
        <v>4.3557614437502765E-2</v>
      </c>
      <c r="E10">
        <f>(E5*Parameters!$C103)+(impact_process_mid!E6*Parameters!$C105)+(impact_process_mid!E7*Parameters!$C104)+(impact_process_mid!E8*Parameters!$C106)+(impact_process_mid!E9*Parameters!$C107)</f>
        <v>5.643975413442148E-4</v>
      </c>
      <c r="F10">
        <f>(F5*Parameters!$C103)+(impact_process_mid!F6*Parameters!$C105)+(impact_process_mid!F7*Parameters!$C104)+(impact_process_mid!F8*Parameters!$C106)+(impact_process_mid!F9*Parameters!$C107)</f>
        <v>7.7338445244801136E-4</v>
      </c>
      <c r="G10">
        <f>(G5*Parameters!$C103)+(impact_process_mid!G6*Parameters!$C105)+(impact_process_mid!G7*Parameters!$C104)+(impact_process_mid!G8*Parameters!$C106)+(impact_process_mid!G9*Parameters!$C107)</f>
        <v>7.9723262650306825E-2</v>
      </c>
      <c r="H10">
        <f>(H5*Parameters!$C103)+(impact_process_mid!H6*Parameters!$C105)+(impact_process_mid!H7*Parameters!$C104)+(impact_process_mid!H8*Parameters!$C106)+(impact_process_mid!H9*Parameters!$C107)</f>
        <v>1.403841285559273E-2</v>
      </c>
      <c r="I10">
        <f>(I5*Parameters!$C103)+(impact_process_mid!I6*Parameters!$C105)+(impact_process_mid!I7*Parameters!$C104)+(impact_process_mid!I8*Parameters!$C106)+(impact_process_mid!I9*Parameters!$C107)</f>
        <v>3.5928661340940148E-6</v>
      </c>
      <c r="J10">
        <f>(J5*Parameters!$C103)+(impact_process_mid!J6*Parameters!$C105)+(impact_process_mid!J7*Parameters!$C104)+(impact_process_mid!J8*Parameters!$C106)+(impact_process_mid!J9*Parameters!$C107)</f>
        <v>3.8199833616392333E-7</v>
      </c>
      <c r="K10">
        <f>(K5*Parameters!$C103)+(impact_process_mid!K6*Parameters!$C105)+(impact_process_mid!K7*Parameters!$C104)+(impact_process_mid!K8*Parameters!$C106)+(impact_process_mid!K9*Parameters!$C107)</f>
        <v>1.2654672781481815E-3</v>
      </c>
      <c r="L10">
        <f>(L5*Parameters!$C103)+(impact_process_mid!L6*Parameters!$C105)+(impact_process_mid!L7*Parameters!$C104)+(impact_process_mid!L8*Parameters!$C106)+(impact_process_mid!L9*Parameters!$C107)</f>
        <v>1.9495626238510887E-2</v>
      </c>
      <c r="M10">
        <f>(M5*Parameters!$C103)+(impact_process_mid!M6*Parameters!$C105)+(impact_process_mid!M7*Parameters!$C104)+(impact_process_mid!M8*Parameters!$C106)+(impact_process_mid!M9*Parameters!$C107)</f>
        <v>8.9647174914883783E-4</v>
      </c>
      <c r="N10">
        <f>(N5*Parameters!$C103)+(impact_process_mid!N6*Parameters!$C105)+(impact_process_mid!N7*Parameters!$C104)+(impact_process_mid!N8*Parameters!$C106)+(impact_process_mid!N9*Parameters!$C107)</f>
        <v>1.0245174418695643E-2</v>
      </c>
      <c r="O10">
        <f>(O5*Parameters!$C103)+(impact_process_mid!O6*Parameters!$C105)+(impact_process_mid!O7*Parameters!$C104)+(impact_process_mid!O8*Parameters!$C106)+(impact_process_mid!O9*Parameters!$C107)</f>
        <v>3.3073031970681565E-4</v>
      </c>
      <c r="P10">
        <f>(P5*Parameters!$C103)+(impact_process_mid!P6*Parameters!$C105)+(impact_process_mid!P7*Parameters!$C104)+(impact_process_mid!P8*Parameters!$C106)+(impact_process_mid!P9*Parameters!$C107)</f>
        <v>2.2253353617823675E-8</v>
      </c>
      <c r="Q10">
        <f>(Q5*Parameters!$C103)+(impact_process_mid!Q6*Parameters!$C105)+(impact_process_mid!Q7*Parameters!$C104)+(impact_process_mid!Q8*Parameters!$C106)+(impact_process_mid!Q9*Parameters!$C107)</f>
        <v>7.2904946218519531E-5</v>
      </c>
      <c r="R10">
        <f>(R5*Parameters!$C103)+(impact_process_mid!R6*Parameters!$C105)+(impact_process_mid!R7*Parameters!$C104)+(impact_process_mid!R8*Parameters!$C106)+(impact_process_mid!R9*Parameters!$C107)</f>
        <v>1.4034435779950713E-4</v>
      </c>
      <c r="S10">
        <f>(S5*Parameters!$C103)+(impact_process_mid!S6*Parameters!$C105)+(impact_process_mid!S7*Parameters!$C104)+(impact_process_mid!S8*Parameters!$C106)+(impact_process_mid!S9*Parameters!$C107)</f>
        <v>1.4589570309846291E-4</v>
      </c>
      <c r="T10">
        <f>(T5*Parameters!$C103)+(impact_process_mid!T6*Parameters!$C105)+(impact_process_mid!T7*Parameters!$C104)+(impact_process_mid!T8*Parameters!$C106)+(impact_process_mid!T9*Parameters!$C107)</f>
        <v>1.5579300497958797E-4</v>
      </c>
    </row>
    <row r="11" spans="1:23" x14ac:dyDescent="0.35">
      <c r="A11" t="s">
        <v>97</v>
      </c>
      <c r="B11" t="s">
        <v>88</v>
      </c>
      <c r="D11">
        <v>34</v>
      </c>
    </row>
    <row r="12" spans="1:23" x14ac:dyDescent="0.35">
      <c r="A12" t="s">
        <v>25</v>
      </c>
      <c r="B12" t="s">
        <v>88</v>
      </c>
      <c r="C12">
        <v>0.36</v>
      </c>
      <c r="Q12">
        <v>0.11</v>
      </c>
      <c r="R12">
        <v>1</v>
      </c>
      <c r="S12">
        <v>1</v>
      </c>
    </row>
    <row r="13" spans="1:23" x14ac:dyDescent="0.35">
      <c r="A13" t="s">
        <v>26</v>
      </c>
      <c r="B13" t="s">
        <v>88</v>
      </c>
      <c r="R13">
        <v>0.18</v>
      </c>
      <c r="S13">
        <v>0.28999999999999998</v>
      </c>
    </row>
    <row r="14" spans="1:23" x14ac:dyDescent="0.35">
      <c r="A14" t="s">
        <v>27</v>
      </c>
      <c r="B14" t="s">
        <v>88</v>
      </c>
      <c r="C14">
        <v>1</v>
      </c>
      <c r="Q14">
        <v>0.28999999999999998</v>
      </c>
    </row>
    <row r="15" spans="1:23" x14ac:dyDescent="0.35">
      <c r="A15" t="s">
        <v>28</v>
      </c>
      <c r="B15" t="s">
        <v>88</v>
      </c>
    </row>
    <row r="16" spans="1:23" x14ac:dyDescent="0.35">
      <c r="A16" t="s">
        <v>29</v>
      </c>
      <c r="B16" t="s">
        <v>88</v>
      </c>
    </row>
    <row r="17" spans="1:20" x14ac:dyDescent="0.35">
      <c r="A17" t="s">
        <v>30</v>
      </c>
      <c r="B17" t="s">
        <v>88</v>
      </c>
      <c r="C17">
        <v>1.96</v>
      </c>
      <c r="Q17">
        <v>0.24</v>
      </c>
    </row>
    <row r="18" spans="1:20" x14ac:dyDescent="0.35">
      <c r="A18" t="s">
        <v>225</v>
      </c>
      <c r="B18" t="s">
        <v>88</v>
      </c>
      <c r="C18">
        <v>1</v>
      </c>
      <c r="Q18">
        <v>0.28999999999999998</v>
      </c>
    </row>
    <row r="19" spans="1:20" x14ac:dyDescent="0.35">
      <c r="A19" t="s">
        <v>226</v>
      </c>
      <c r="B19" t="s">
        <v>88</v>
      </c>
      <c r="D19">
        <v>298</v>
      </c>
      <c r="P19">
        <v>1.0999999999999999E-2</v>
      </c>
    </row>
    <row r="20" spans="1:20" x14ac:dyDescent="0.35">
      <c r="A20" t="s">
        <v>227</v>
      </c>
      <c r="B20" t="s">
        <v>88</v>
      </c>
      <c r="J20">
        <v>6.7100000000000007E-2</v>
      </c>
    </row>
    <row r="21" spans="1:20" x14ac:dyDescent="0.35">
      <c r="A21" t="s">
        <v>145</v>
      </c>
      <c r="B21" t="s">
        <v>88</v>
      </c>
      <c r="Q21">
        <v>1</v>
      </c>
    </row>
    <row r="22" spans="1:20" x14ac:dyDescent="0.35">
      <c r="A22" t="s">
        <v>228</v>
      </c>
      <c r="B22" t="s">
        <v>88</v>
      </c>
      <c r="R22">
        <v>0.18</v>
      </c>
      <c r="S22">
        <v>0.28999999999999998</v>
      </c>
    </row>
    <row r="23" spans="1:20" x14ac:dyDescent="0.35">
      <c r="A23" t="s">
        <v>142</v>
      </c>
      <c r="B23" t="s">
        <v>88</v>
      </c>
    </row>
    <row r="24" spans="1:20" x14ac:dyDescent="0.35">
      <c r="A24" t="s">
        <v>229</v>
      </c>
      <c r="B24" t="s">
        <v>88</v>
      </c>
      <c r="C24">
        <v>2.3508892068714723E-3</v>
      </c>
      <c r="D24">
        <v>0.92876412263984243</v>
      </c>
      <c r="E24">
        <v>8.1038342049896805E-3</v>
      </c>
      <c r="F24">
        <v>1.4449950319830526E-2</v>
      </c>
      <c r="G24">
        <v>1.8555052622404875</v>
      </c>
      <c r="H24">
        <v>1.202519724435275</v>
      </c>
      <c r="I24">
        <v>5.0584011396038365E-5</v>
      </c>
      <c r="J24">
        <v>9.5059369061846702E-5</v>
      </c>
      <c r="K24">
        <v>3.3196741127544178E-2</v>
      </c>
      <c r="L24">
        <v>0.23697936246863915</v>
      </c>
      <c r="M24">
        <v>1.8590728114404785E-2</v>
      </c>
      <c r="N24">
        <v>8.2089583442796071E-3</v>
      </c>
      <c r="O24">
        <v>1.7620036623726448E-2</v>
      </c>
      <c r="P24">
        <v>2.255715192956352E-7</v>
      </c>
      <c r="Q24">
        <v>8.5162724798920457E-4</v>
      </c>
      <c r="R24">
        <v>2.4420029238229964E-3</v>
      </c>
      <c r="S24">
        <v>3.0960543994018172E-3</v>
      </c>
      <c r="T24">
        <v>1.5799266546522013E-3</v>
      </c>
    </row>
    <row r="25" spans="1:20" x14ac:dyDescent="0.35">
      <c r="A25" t="s">
        <v>230</v>
      </c>
      <c r="B25" t="s">
        <v>88</v>
      </c>
      <c r="C25">
        <v>6.0823244618061455E-3</v>
      </c>
      <c r="D25">
        <v>1.6170842261451377</v>
      </c>
      <c r="E25">
        <v>7.9410017883265849E-2</v>
      </c>
      <c r="F25">
        <v>0.10377325450567465</v>
      </c>
      <c r="G25">
        <v>7.9107315335596873</v>
      </c>
      <c r="H25">
        <v>0.46888006100055135</v>
      </c>
      <c r="I25">
        <v>2.0204942266636769E-4</v>
      </c>
      <c r="J25">
        <v>1.8735552266588054E-4</v>
      </c>
      <c r="K25">
        <v>7.7351703639702091E-2</v>
      </c>
      <c r="L25">
        <v>1.2662508064089064</v>
      </c>
      <c r="M25">
        <v>5.2863554921052408E-2</v>
      </c>
      <c r="N25">
        <v>1.8683906218635121E-2</v>
      </c>
      <c r="O25">
        <v>1.9675109008478291E-2</v>
      </c>
      <c r="P25">
        <v>5.6884221531923381E-6</v>
      </c>
      <c r="Q25">
        <v>1.3464194122843908E-3</v>
      </c>
      <c r="R25">
        <v>2.1807020987069077E-3</v>
      </c>
      <c r="S25">
        <v>2.3671436456623725E-3</v>
      </c>
      <c r="T25">
        <v>2.479962044194645E-2</v>
      </c>
    </row>
    <row r="26" spans="1:20" x14ac:dyDescent="0.35">
      <c r="A26" t="s">
        <v>231</v>
      </c>
      <c r="B26" t="s">
        <v>88</v>
      </c>
      <c r="C26">
        <v>2.1572232175000976E-3</v>
      </c>
      <c r="D26">
        <v>0.67905931834366795</v>
      </c>
      <c r="E26">
        <v>4.4678445173171183E-2</v>
      </c>
      <c r="F26">
        <v>6.0921908638466353E-2</v>
      </c>
      <c r="G26">
        <v>7.9126646349313097</v>
      </c>
      <c r="H26">
        <v>0.22057814828811212</v>
      </c>
      <c r="I26">
        <v>1.3802493297251204E-4</v>
      </c>
      <c r="J26">
        <v>1.8609398790712144E-5</v>
      </c>
      <c r="K26">
        <v>5.4389197730959592E-2</v>
      </c>
      <c r="L26">
        <v>0.82745426225108987</v>
      </c>
      <c r="M26">
        <v>2.9626145867297938E-2</v>
      </c>
      <c r="N26">
        <v>4.1719554357316516E-2</v>
      </c>
      <c r="O26">
        <v>1.9310072421588376E-2</v>
      </c>
      <c r="P26">
        <v>2.0735442690691392E-7</v>
      </c>
      <c r="Q26">
        <v>8.4941694855708658E-4</v>
      </c>
      <c r="R26">
        <v>2.3638430209697069E-3</v>
      </c>
      <c r="S26">
        <v>2.481403473676984E-3</v>
      </c>
      <c r="T26">
        <v>6.5768709636233914E-3</v>
      </c>
    </row>
    <row r="27" spans="1:20" x14ac:dyDescent="0.35">
      <c r="A27" t="s">
        <v>232</v>
      </c>
      <c r="B27" t="s">
        <v>88</v>
      </c>
      <c r="C27">
        <v>5.1285757611091321E-3</v>
      </c>
      <c r="D27">
        <v>0.39573732593091915</v>
      </c>
      <c r="E27">
        <v>5.2250246699448652E-2</v>
      </c>
      <c r="F27">
        <v>6.9366657609768193E-2</v>
      </c>
      <c r="G27">
        <v>5.9021895266360316</v>
      </c>
      <c r="H27">
        <v>0.1040188076296044</v>
      </c>
      <c r="I27">
        <v>5.537120916737293E-4</v>
      </c>
      <c r="J27">
        <v>3.0054435064994306E-5</v>
      </c>
      <c r="K27">
        <v>4.7233399027213463E-2</v>
      </c>
      <c r="L27">
        <v>1.1333035987683322</v>
      </c>
      <c r="M27">
        <v>0.10689343532911376</v>
      </c>
      <c r="N27">
        <v>3.9263548813592189E-2</v>
      </c>
      <c r="O27">
        <v>2.4403217830740506E-2</v>
      </c>
      <c r="P27">
        <v>1.4437295631830634E-7</v>
      </c>
      <c r="Q27">
        <v>1.7863239961440399E-3</v>
      </c>
      <c r="R27">
        <v>9.494111268172809E-4</v>
      </c>
      <c r="S27">
        <v>9.9035079416732422E-4</v>
      </c>
      <c r="T27">
        <v>1.10402895522075E-2</v>
      </c>
    </row>
    <row r="28" spans="1:20" x14ac:dyDescent="0.35">
      <c r="A28" t="s">
        <v>233</v>
      </c>
      <c r="B28" t="s">
        <v>88</v>
      </c>
      <c r="C28">
        <v>2.9294959627633861E-5</v>
      </c>
      <c r="D28">
        <v>1.5818492162931908E-2</v>
      </c>
      <c r="E28">
        <v>4.4732062263311349E-4</v>
      </c>
      <c r="F28">
        <v>6.1066584768839293E-4</v>
      </c>
      <c r="G28">
        <v>7.6419092167694672E-2</v>
      </c>
      <c r="H28">
        <v>0.22209678919729534</v>
      </c>
      <c r="I28">
        <v>1.7791631049227804E-6</v>
      </c>
      <c r="J28">
        <v>2.9251738482008482E-7</v>
      </c>
      <c r="K28">
        <v>9.426358648924884E-4</v>
      </c>
      <c r="L28">
        <v>8.5991837985012025E-3</v>
      </c>
      <c r="M28">
        <v>4.1513436396986162E-3</v>
      </c>
      <c r="N28">
        <v>1.3068928960859958E-3</v>
      </c>
      <c r="O28">
        <v>2.8716041190404674E-4</v>
      </c>
      <c r="P28">
        <v>4.1892753005653279E-9</v>
      </c>
      <c r="Q28">
        <v>1.334084202915355E-5</v>
      </c>
      <c r="R28">
        <v>4.8063180693169036E-5</v>
      </c>
      <c r="S28">
        <v>4.9551779687955279E-5</v>
      </c>
      <c r="T28">
        <v>8.0994948423210907E-4</v>
      </c>
    </row>
    <row r="29" spans="1:20" x14ac:dyDescent="0.35">
      <c r="A29" t="s">
        <v>128</v>
      </c>
      <c r="B29" t="s">
        <v>88</v>
      </c>
      <c r="C29">
        <v>1.5606561618642014E-2</v>
      </c>
      <c r="D29">
        <v>3.3998513340060179</v>
      </c>
      <c r="E29">
        <v>5.5298724879826788E-2</v>
      </c>
      <c r="F29">
        <v>7.6656559591461879E-2</v>
      </c>
      <c r="G29">
        <v>3.7981135304714515</v>
      </c>
      <c r="H29">
        <v>0.86500627340367886</v>
      </c>
      <c r="I29">
        <v>1.351432940256426E-3</v>
      </c>
      <c r="J29">
        <v>9.1536973215464271E-5</v>
      </c>
      <c r="K29">
        <v>0.12258342350941208</v>
      </c>
      <c r="L29">
        <v>2.3857777690883943</v>
      </c>
      <c r="M29">
        <v>0.1218182965626118</v>
      </c>
      <c r="N29">
        <v>3.943102368973242E-2</v>
      </c>
      <c r="O29">
        <v>1.0279412728630062E-2</v>
      </c>
      <c r="P29">
        <v>6.3972763410979841E-7</v>
      </c>
      <c r="Q29">
        <v>5.9753148205587527E-3</v>
      </c>
      <c r="R29">
        <v>7.7772245672956247E-3</v>
      </c>
      <c r="S29">
        <v>7.9267586613403097E-3</v>
      </c>
      <c r="T29">
        <v>9.0826458258624673E-3</v>
      </c>
    </row>
    <row r="30" spans="1:20" x14ac:dyDescent="0.35">
      <c r="A30" t="s">
        <v>255</v>
      </c>
      <c r="B30" t="s">
        <v>88</v>
      </c>
      <c r="C30">
        <v>2.1429326689773345E-2</v>
      </c>
      <c r="D30">
        <v>5.3022918320342791</v>
      </c>
      <c r="E30">
        <v>0.39564253119194481</v>
      </c>
      <c r="F30">
        <v>0.53460719779463484</v>
      </c>
      <c r="G30">
        <v>34.130496960111891</v>
      </c>
      <c r="H30">
        <v>1.3570352547075122</v>
      </c>
      <c r="I30">
        <v>1.9913219082925457E-3</v>
      </c>
      <c r="J30">
        <v>2.5459547677704383E-4</v>
      </c>
      <c r="K30">
        <v>1.7594109263511282</v>
      </c>
      <c r="L30">
        <v>8.8018490516484018</v>
      </c>
      <c r="M30">
        <v>0.28791328589623838</v>
      </c>
      <c r="N30">
        <v>0.12249019922793458</v>
      </c>
      <c r="O30">
        <v>0.35255184774133241</v>
      </c>
      <c r="P30">
        <v>2.4165618145602069E-6</v>
      </c>
      <c r="Q30">
        <v>9.3199076750180194E-3</v>
      </c>
      <c r="R30">
        <v>1.4494237289621719E-2</v>
      </c>
      <c r="S30">
        <v>1.4945390102430576E-2</v>
      </c>
      <c r="T30">
        <v>7.4318769351965214E-2</v>
      </c>
    </row>
    <row r="31" spans="1:20" x14ac:dyDescent="0.35">
      <c r="A31" t="s">
        <v>284</v>
      </c>
      <c r="B31" t="s">
        <v>241</v>
      </c>
      <c r="C31">
        <v>1.460982614686641E-3</v>
      </c>
      <c r="D31">
        <v>0.48416968170481633</v>
      </c>
      <c r="E31">
        <v>2.8523336344082204E-2</v>
      </c>
      <c r="F31">
        <v>3.8469007563487367E-2</v>
      </c>
      <c r="G31">
        <v>1.7882989197631509</v>
      </c>
      <c r="H31">
        <v>8.529659941729692E-2</v>
      </c>
      <c r="I31">
        <v>1.8098477530146013E-3</v>
      </c>
      <c r="J31">
        <v>5.4775031976977253E-3</v>
      </c>
      <c r="K31">
        <v>3.3453794434924931E-2</v>
      </c>
      <c r="L31">
        <v>3.4352601824027893</v>
      </c>
      <c r="M31">
        <v>1.9357562627279768E-2</v>
      </c>
      <c r="N31">
        <v>8.5362147044008713E-3</v>
      </c>
      <c r="O31">
        <v>6.6238358478689831E-3</v>
      </c>
      <c r="P31">
        <v>1.956021278258702E-6</v>
      </c>
      <c r="Q31">
        <v>6.931145387289229E-4</v>
      </c>
      <c r="R31">
        <v>1.1080395016806329E-3</v>
      </c>
      <c r="S31">
        <v>1.1355327145991692E-3</v>
      </c>
      <c r="T31">
        <v>2.993694581769458E-3</v>
      </c>
    </row>
    <row r="32" spans="1:20" x14ac:dyDescent="0.35">
      <c r="A32" t="s">
        <v>343</v>
      </c>
      <c r="B32" t="s">
        <v>88</v>
      </c>
      <c r="C32">
        <v>1.1436373207619E-4</v>
      </c>
      <c r="D32">
        <v>4.6045293442140832E-2</v>
      </c>
      <c r="E32">
        <v>1.0344709211730881E-3</v>
      </c>
      <c r="F32">
        <v>1.6126842392945376E-3</v>
      </c>
      <c r="G32">
        <v>0.46187795845545948</v>
      </c>
      <c r="H32">
        <v>1.389849391780784E-2</v>
      </c>
      <c r="I32">
        <v>1.5812465767624275E-5</v>
      </c>
      <c r="J32">
        <v>2.5248277477268939E-6</v>
      </c>
      <c r="K32">
        <v>3.202846578711711E-3</v>
      </c>
      <c r="L32">
        <v>2.7733469312672471E-2</v>
      </c>
      <c r="M32">
        <v>3.9773039114664437E-3</v>
      </c>
      <c r="N32">
        <v>0.46937662124669965</v>
      </c>
      <c r="O32">
        <v>8.3516992328711937E-4</v>
      </c>
      <c r="P32">
        <v>1.7045189916837543E-8</v>
      </c>
      <c r="Q32">
        <v>5.0266730045869287E-5</v>
      </c>
      <c r="R32">
        <v>2.0662078966584874E-4</v>
      </c>
      <c r="S32">
        <v>2.2658840554856436E-4</v>
      </c>
      <c r="T32">
        <v>2.1545876974739727E-4</v>
      </c>
    </row>
    <row r="34" spans="1:23" x14ac:dyDescent="0.35">
      <c r="A34" t="s">
        <v>344</v>
      </c>
      <c r="B34" t="s">
        <v>129</v>
      </c>
      <c r="C34">
        <v>2.3508351176948199E-4</v>
      </c>
      <c r="D34">
        <v>3.8148844277750546E-2</v>
      </c>
      <c r="E34">
        <v>3.4660986036503687E-2</v>
      </c>
      <c r="F34">
        <v>4.2216682521672301E-2</v>
      </c>
      <c r="G34">
        <v>1.3651434463683783</v>
      </c>
      <c r="H34">
        <v>8.9589279876473998E-3</v>
      </c>
      <c r="I34">
        <v>1.83389517383845E-5</v>
      </c>
      <c r="J34">
        <v>1.691094771957277E-6</v>
      </c>
      <c r="K34">
        <v>7.5637344573896599E-3</v>
      </c>
      <c r="L34">
        <v>0.1683774635647059</v>
      </c>
      <c r="M34">
        <v>3.4158331776592101E-4</v>
      </c>
      <c r="N34">
        <v>6.1861430241219512E-2</v>
      </c>
      <c r="O34">
        <v>3.7516724343257318E-4</v>
      </c>
      <c r="P34">
        <v>1.0453634069903913E-7</v>
      </c>
      <c r="Q34">
        <v>9.8583004283109106E-5</v>
      </c>
      <c r="R34">
        <v>2.2801464966334191E-4</v>
      </c>
      <c r="S34">
        <v>2.3587325315189837E-4</v>
      </c>
      <c r="T34">
        <v>3.1917265757901142E-4</v>
      </c>
      <c r="V34" t="s">
        <v>345</v>
      </c>
      <c r="W34" t="s">
        <v>215</v>
      </c>
    </row>
    <row r="35" spans="1:23" x14ac:dyDescent="0.35">
      <c r="A35" t="s">
        <v>346</v>
      </c>
      <c r="B35" t="s">
        <v>241</v>
      </c>
      <c r="C35">
        <v>1.1003539396039351E-3</v>
      </c>
      <c r="D35">
        <v>0.79904912337184053</v>
      </c>
      <c r="E35">
        <v>1.5418444674587792E-2</v>
      </c>
      <c r="F35">
        <v>2.0428209095952457E-2</v>
      </c>
      <c r="G35">
        <v>1.0152726634394265</v>
      </c>
      <c r="H35">
        <v>1.0009119729680855</v>
      </c>
      <c r="I35">
        <v>6.2801129436945385E-5</v>
      </c>
      <c r="J35">
        <v>6.0197867142480462E-6</v>
      </c>
      <c r="K35">
        <v>4.8915331174941568E-3</v>
      </c>
      <c r="L35">
        <v>0.22271753467472893</v>
      </c>
      <c r="M35">
        <v>4.9837597309471725E-3</v>
      </c>
      <c r="N35">
        <v>6.2650373434139685E-3</v>
      </c>
      <c r="O35">
        <v>3.3415168391828366E-3</v>
      </c>
      <c r="P35">
        <v>2.3226267714459367E-7</v>
      </c>
      <c r="Q35">
        <v>4.7292260388518293E-4</v>
      </c>
      <c r="R35">
        <v>1.8679671165076346E-3</v>
      </c>
      <c r="S35">
        <v>2.1667207738469349E-3</v>
      </c>
      <c r="T35">
        <v>1.7457174588358458E-3</v>
      </c>
      <c r="V35" t="s">
        <v>347</v>
      </c>
      <c r="W35" t="s">
        <v>215</v>
      </c>
    </row>
    <row r="36" spans="1:23" x14ac:dyDescent="0.35">
      <c r="A36" t="s">
        <v>348</v>
      </c>
      <c r="B36" t="s">
        <v>220</v>
      </c>
      <c r="C36">
        <f>(C8*0.75)+(C5*0.25)</f>
        <v>1.2546856130213449E-4</v>
      </c>
      <c r="D36">
        <f t="shared" ref="D36:T36" si="0">(D8*0.75)+(D5*0.25)</f>
        <v>3.2590486315011477E-2</v>
      </c>
      <c r="E36">
        <f t="shared" si="0"/>
        <v>7.5126064050560451E-4</v>
      </c>
      <c r="F36">
        <f t="shared" si="0"/>
        <v>1.0501143407503849E-3</v>
      </c>
      <c r="G36">
        <f t="shared" si="0"/>
        <v>0.1353878772269628</v>
      </c>
      <c r="H36">
        <f t="shared" si="0"/>
        <v>9.8897250682318423E-3</v>
      </c>
      <c r="I36">
        <f t="shared" si="0"/>
        <v>5.3860960415353904E-6</v>
      </c>
      <c r="J36">
        <f t="shared" si="0"/>
        <v>5.709050872787372E-7</v>
      </c>
      <c r="K36">
        <f t="shared" si="0"/>
        <v>1.4678927529436525E-3</v>
      </c>
      <c r="L36">
        <f t="shared" si="0"/>
        <v>3.3917780224203546E-2</v>
      </c>
      <c r="M36">
        <f t="shared" si="0"/>
        <v>1.0934273978836786E-3</v>
      </c>
      <c r="N36">
        <f t="shared" si="0"/>
        <v>2.1187692211547794E-2</v>
      </c>
      <c r="O36">
        <f t="shared" si="0"/>
        <v>3.0040504270168605E-4</v>
      </c>
      <c r="P36">
        <f t="shared" si="0"/>
        <v>3.7217072446768393E-8</v>
      </c>
      <c r="Q36">
        <f t="shared" si="0"/>
        <v>1.4231401432625093E-4</v>
      </c>
      <c r="R36">
        <f t="shared" si="0"/>
        <v>2.5426985421683626E-4</v>
      </c>
      <c r="S36">
        <f t="shared" si="0"/>
        <v>2.5941324010718208E-4</v>
      </c>
      <c r="T36">
        <f t="shared" si="0"/>
        <v>2.7841612197622803E-4</v>
      </c>
    </row>
  </sheetData>
  <pageMargins left="0.7" right="0.7" top="0.75" bottom="0.75" header="0.3" footer="0.3"/>
  <pageSetup paperSize="9" orientation="portrait" verticalDpi="597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F9297-6EEB-40E7-A1DE-3B564F50E2F0}">
  <dimension ref="A1:AC75"/>
  <sheetViews>
    <sheetView workbookViewId="0">
      <selection activeCell="E3" sqref="E3"/>
    </sheetView>
  </sheetViews>
  <sheetFormatPr baseColWidth="10" defaultRowHeight="14.5" x14ac:dyDescent="0.35"/>
  <cols>
    <col min="1" max="1" width="30.36328125" customWidth="1"/>
    <col min="2" max="2" width="36.453125" customWidth="1"/>
    <col min="3" max="27" width="15.6328125" style="22" customWidth="1"/>
  </cols>
  <sheetData>
    <row r="1" spans="1:27" ht="87" x14ac:dyDescent="0.35">
      <c r="A1" t="s">
        <v>0</v>
      </c>
      <c r="C1" s="21" t="s">
        <v>187</v>
      </c>
      <c r="D1" s="21" t="s">
        <v>188</v>
      </c>
      <c r="E1" s="21" t="s">
        <v>189</v>
      </c>
      <c r="F1" s="21" t="s">
        <v>190</v>
      </c>
      <c r="G1" s="21" t="s">
        <v>191</v>
      </c>
      <c r="H1" s="21" t="s">
        <v>192</v>
      </c>
      <c r="I1" s="21" t="s">
        <v>193</v>
      </c>
      <c r="J1" s="21" t="s">
        <v>194</v>
      </c>
      <c r="K1" s="21" t="s">
        <v>195</v>
      </c>
      <c r="L1" s="21" t="s">
        <v>196</v>
      </c>
      <c r="M1" s="21" t="s">
        <v>197</v>
      </c>
      <c r="N1" s="21" t="s">
        <v>198</v>
      </c>
      <c r="O1" s="21" t="s">
        <v>199</v>
      </c>
      <c r="P1" s="21" t="s">
        <v>200</v>
      </c>
      <c r="Q1" s="21" t="s">
        <v>201</v>
      </c>
      <c r="R1" s="21" t="s">
        <v>202</v>
      </c>
      <c r="S1" s="21" t="s">
        <v>203</v>
      </c>
      <c r="T1" s="21" t="s">
        <v>204</v>
      </c>
      <c r="U1" s="21" t="s">
        <v>205</v>
      </c>
      <c r="V1" s="21" t="s">
        <v>206</v>
      </c>
      <c r="W1" s="21" t="s">
        <v>207</v>
      </c>
      <c r="X1" s="21" t="s">
        <v>208</v>
      </c>
      <c r="Y1" s="21" t="s">
        <v>209</v>
      </c>
      <c r="Z1" s="21" t="s">
        <v>210</v>
      </c>
      <c r="AA1" s="21" t="s">
        <v>211</v>
      </c>
    </row>
    <row r="2" spans="1:27" x14ac:dyDescent="0.35">
      <c r="A2" t="s">
        <v>5</v>
      </c>
    </row>
    <row r="3" spans="1:27" x14ac:dyDescent="0.35">
      <c r="B3" t="s">
        <v>251</v>
      </c>
      <c r="C3" s="22">
        <f>LCI!$E4*impact_process_end!C2</f>
        <v>1.9146069813511494E-10</v>
      </c>
      <c r="D3" s="22">
        <f>LCI!$E4*impact_process_end!D2</f>
        <v>6.0617469578201135E-14</v>
      </c>
      <c r="E3" s="22">
        <f>LCI!$E4*impact_process_end!E2</f>
        <v>2.2193168919214659E-9</v>
      </c>
      <c r="F3" s="22">
        <f>LCI!$E4*impact_process_end!F2</f>
        <v>4.2836723816587511E-11</v>
      </c>
      <c r="G3" s="22">
        <f>LCI!$E4*impact_process_end!G2</f>
        <v>8.2374885215309683E-12</v>
      </c>
      <c r="H3" s="22">
        <f>LCI!$E4*impact_process_end!H2</f>
        <v>6.4653075335177696E-11</v>
      </c>
      <c r="I3" s="22">
        <f>LCI!$E4*impact_process_end!I2</f>
        <v>1.0255522295534873E-10</v>
      </c>
      <c r="J3" s="22">
        <f>LCI!$E4*impact_process_end!J2</f>
        <v>1.9615448259816176E-13</v>
      </c>
      <c r="K3" s="22">
        <f>LCI!$E4*impact_process_end!K2</f>
        <v>2.522937685008158E-10</v>
      </c>
      <c r="L3" s="22">
        <f>LCI!$E4*impact_process_end!L2</f>
        <v>1.1611681992412064E-10</v>
      </c>
      <c r="M3" s="22">
        <f>LCI!$E4*impact_process_end!M2</f>
        <v>1.889894855773394E-14</v>
      </c>
      <c r="N3" s="22">
        <f>LCI!$E4*impact_process_end!N2</f>
        <v>4.2241027405531159E-10</v>
      </c>
      <c r="O3" s="22">
        <f>LCI!$E4*impact_process_end!O2</f>
        <v>7.3542953131087735E-7</v>
      </c>
      <c r="P3" s="22">
        <f>LCI!$E4*impact_process_end!P2</f>
        <v>1.9594919387274766E-7</v>
      </c>
      <c r="Q3" s="22">
        <f>LCI!$E4*impact_process_end!Q2</f>
        <v>2.9095418787134199E-7</v>
      </c>
      <c r="R3" s="22">
        <f>LCI!$E4*impact_process_end!R2</f>
        <v>4.6570229644264042E-8</v>
      </c>
      <c r="S3" s="22">
        <f>LCI!$E4*impact_process_end!S2</f>
        <v>4.5808265351072022E-10</v>
      </c>
      <c r="T3" s="22">
        <f>LCI!$E4*impact_process_end!T2</f>
        <v>3.1482625253983033E-7</v>
      </c>
      <c r="U3" s="22">
        <f>LCI!$E4*impact_process_end!U2</f>
        <v>7.4204922421251216E-10</v>
      </c>
      <c r="V3" s="22">
        <f>LCI!$E4*impact_process_end!V2</f>
        <v>6.9463022844651241E-8</v>
      </c>
      <c r="W3" s="22">
        <f>LCI!$E4*impact_process_end!W2</f>
        <v>8.1643907060922241E-2</v>
      </c>
      <c r="X3" s="22">
        <f>LCI!$E4*impact_process_end!X2</f>
        <v>4.0923400413744688E-3</v>
      </c>
      <c r="Y3" s="22">
        <f>LCI!$E4*impact_process_end!Y2</f>
        <v>2.9977425478334076E-9</v>
      </c>
      <c r="Z3" s="22">
        <f>LCI!$E4*impact_process_end!Z2</f>
        <v>1.6543903076544315E-6</v>
      </c>
      <c r="AA3" s="22">
        <f>LCI!$E4*impact_process_end!AA2</f>
        <v>8.5736247524707002E-2</v>
      </c>
    </row>
    <row r="4" spans="1:27" x14ac:dyDescent="0.35">
      <c r="B4" t="s">
        <v>252</v>
      </c>
      <c r="C4" s="22">
        <f>LCI!$E5*impact_process_end!C3</f>
        <v>0</v>
      </c>
      <c r="D4" s="22">
        <f>LCI!$E5*impact_process_end!D3</f>
        <v>0</v>
      </c>
      <c r="E4" s="22">
        <f>LCI!$E5*impact_process_end!E3</f>
        <v>0</v>
      </c>
      <c r="F4" s="22">
        <f>LCI!$E5*impact_process_end!F3</f>
        <v>0</v>
      </c>
      <c r="G4" s="22">
        <f>LCI!$E5*impact_process_end!G3</f>
        <v>0</v>
      </c>
      <c r="H4" s="22">
        <f>LCI!$E5*impact_process_end!H3</f>
        <v>0</v>
      </c>
      <c r="I4" s="22">
        <f>LCI!$E5*impact_process_end!I3</f>
        <v>0</v>
      </c>
      <c r="J4" s="22">
        <f>LCI!$E5*impact_process_end!J3</f>
        <v>0</v>
      </c>
      <c r="K4" s="22">
        <f>LCI!$E5*impact_process_end!K3</f>
        <v>0</v>
      </c>
      <c r="L4" s="22">
        <f>LCI!$E5*impact_process_end!L3</f>
        <v>0</v>
      </c>
      <c r="M4" s="22">
        <f>LCI!$E5*impact_process_end!M3</f>
        <v>0</v>
      </c>
      <c r="N4" s="22">
        <f>LCI!$E5*impact_process_end!N3</f>
        <v>0</v>
      </c>
      <c r="O4" s="22">
        <f>LCI!$E5*impact_process_end!O3</f>
        <v>0</v>
      </c>
      <c r="P4" s="22">
        <f>LCI!$E5*impact_process_end!P3</f>
        <v>0</v>
      </c>
      <c r="Q4" s="22">
        <f>LCI!$E5*impact_process_end!Q3</f>
        <v>0</v>
      </c>
      <c r="R4" s="22">
        <f>LCI!$E5*impact_process_end!R3</f>
        <v>0</v>
      </c>
      <c r="S4" s="22">
        <f>LCI!$E5*impact_process_end!S3</f>
        <v>0</v>
      </c>
      <c r="T4" s="22">
        <f>LCI!$E5*impact_process_end!T3</f>
        <v>0</v>
      </c>
      <c r="U4" s="22">
        <f>LCI!$E5*impact_process_end!U3</f>
        <v>0</v>
      </c>
      <c r="V4" s="22">
        <f>LCI!$E5*impact_process_end!V3</f>
        <v>0</v>
      </c>
      <c r="W4" s="22">
        <f>LCI!$E5*impact_process_end!W3</f>
        <v>0</v>
      </c>
      <c r="X4" s="22">
        <f>LCI!$E5*impact_process_end!X3</f>
        <v>0</v>
      </c>
      <c r="Y4" s="22">
        <f>LCI!$E5*impact_process_end!Y3</f>
        <v>0</v>
      </c>
      <c r="Z4" s="22">
        <f>LCI!$E5*impact_process_end!Z3</f>
        <v>0</v>
      </c>
      <c r="AA4" s="22">
        <f>LCI!$E5*impact_process_end!AA3</f>
        <v>0</v>
      </c>
    </row>
    <row r="5" spans="1:27" x14ac:dyDescent="0.35">
      <c r="A5" t="s">
        <v>237</v>
      </c>
    </row>
    <row r="6" spans="1:27" x14ac:dyDescent="0.35">
      <c r="B6" t="s">
        <v>237</v>
      </c>
      <c r="C6" s="22">
        <f>LCI!$E7*impact_process_end!C4</f>
        <v>6.649149277728062E-9</v>
      </c>
      <c r="D6" s="22">
        <f>LCI!$E7*impact_process_end!D4</f>
        <v>7.210455075453735E-13</v>
      </c>
      <c r="E6" s="22">
        <f>LCI!$E7*impact_process_end!E4</f>
        <v>2.6389924783258899E-8</v>
      </c>
      <c r="F6" s="22">
        <f>LCI!$E7*impact_process_end!F4</f>
        <v>1.0807282494783058E-9</v>
      </c>
      <c r="G6" s="22">
        <f>LCI!$E7*impact_process_end!G4</f>
        <v>2.1919200690513944E-10</v>
      </c>
      <c r="H6" s="22">
        <f>LCI!$E7*impact_process_end!H4</f>
        <v>2.4572038093003312E-10</v>
      </c>
      <c r="I6" s="22">
        <f>LCI!$E7*impact_process_end!I4</f>
        <v>7.4986253883336063E-9</v>
      </c>
      <c r="J6" s="22">
        <f>LCI!$E7*impact_process_end!J4</f>
        <v>4.7223915393038649E-12</v>
      </c>
      <c r="K6" s="22">
        <f>LCI!$E7*impact_process_end!K4</f>
        <v>1.6184656043116963E-9</v>
      </c>
      <c r="L6" s="22">
        <f>LCI!$E7*impact_process_end!L4</f>
        <v>7.740590143350547E-9</v>
      </c>
      <c r="M6" s="22">
        <f>LCI!$E7*impact_process_end!M4</f>
        <v>2.5281871445699921E-13</v>
      </c>
      <c r="N6" s="22">
        <f>LCI!$E7*impact_process_end!N4</f>
        <v>5.6507494125322685E-9</v>
      </c>
      <c r="O6" s="22">
        <f>LCI!$E7*impact_process_end!O4</f>
        <v>8.7524532672828231E-6</v>
      </c>
      <c r="P6" s="22">
        <f>LCI!$E7*impact_process_end!P4</f>
        <v>8.0541488477868482E-6</v>
      </c>
      <c r="Q6" s="22">
        <f>LCI!$E7*impact_process_end!Q4</f>
        <v>1.5891331666583501E-5</v>
      </c>
      <c r="R6" s="22">
        <f>LCI!$E7*impact_process_end!R4</f>
        <v>7.465148381406662E-10</v>
      </c>
      <c r="S6" s="22">
        <f>LCI!$E7*impact_process_end!S4</f>
        <v>7.0562250453079327E-8</v>
      </c>
      <c r="T6" s="22">
        <f>LCI!$E7*impact_process_end!T4</f>
        <v>7.8168253757812199E-6</v>
      </c>
      <c r="U6" s="22">
        <f>LCI!$E7*impact_process_end!U4</f>
        <v>5.3978490146889052E-8</v>
      </c>
      <c r="V6" s="22">
        <f>LCI!$E7*impact_process_end!V4</f>
        <v>9.2923434783863971E-7</v>
      </c>
      <c r="W6" s="22">
        <f>LCI!$E7*impact_process_end!W4</f>
        <v>0.44068378170376005</v>
      </c>
      <c r="X6" s="22">
        <f>LCI!$E7*impact_process_end!X4</f>
        <v>6.1662478842940578E-2</v>
      </c>
      <c r="Y6" s="22">
        <f>LCI!$E7*impact_process_end!Y4</f>
        <v>5.1447967644781786E-8</v>
      </c>
      <c r="Z6" s="22">
        <f>LCI!$E7*impact_process_end!Z4</f>
        <v>4.1569231407021523E-5</v>
      </c>
      <c r="AA6" s="22">
        <f>LCI!$E7*impact_process_end!AA4</f>
        <v>0.50234626619745015</v>
      </c>
    </row>
    <row r="7" spans="1:27" x14ac:dyDescent="0.35">
      <c r="A7" t="s">
        <v>6</v>
      </c>
    </row>
    <row r="8" spans="1:27" x14ac:dyDescent="0.35">
      <c r="B8" t="s">
        <v>251</v>
      </c>
      <c r="C8" s="22">
        <f>LCI!$E10*impact_process_end!C2</f>
        <v>4.2838851596764695E-10</v>
      </c>
      <c r="D8" s="22">
        <f>LCI!$E10*impact_process_end!D2</f>
        <v>1.3563006970753824E-13</v>
      </c>
      <c r="E8" s="22">
        <f>LCI!$E10*impact_process_end!E2</f>
        <v>4.9656659515637608E-9</v>
      </c>
      <c r="F8" s="22">
        <f>LCI!$E10*impact_process_end!F2</f>
        <v>9.5846096475390694E-11</v>
      </c>
      <c r="G8" s="22">
        <f>LCI!$E10*impact_process_end!G2</f>
        <v>1.8431174217012679E-11</v>
      </c>
      <c r="H8" s="22">
        <f>LCI!$E10*impact_process_end!H2</f>
        <v>1.4465963649644469E-10</v>
      </c>
      <c r="I8" s="22">
        <f>LCI!$E10*impact_process_end!I2</f>
        <v>2.2946474234398167E-10</v>
      </c>
      <c r="J8" s="22">
        <f>LCI!$E10*impact_process_end!J2</f>
        <v>4.3889074112394307E-13</v>
      </c>
      <c r="K8" s="22">
        <f>LCI!$E10*impact_process_end!K2</f>
        <v>5.645009870363945E-10</v>
      </c>
      <c r="L8" s="22">
        <f>LCI!$E10*impact_process_end!L2</f>
        <v>2.5980847584224588E-10</v>
      </c>
      <c r="M8" s="22">
        <f>LCI!$E10*impact_process_end!M2</f>
        <v>4.228592397737464E-14</v>
      </c>
      <c r="N8" s="22">
        <f>LCI!$E10*impact_process_end!N2</f>
        <v>9.4513240677906892E-10</v>
      </c>
      <c r="O8" s="22">
        <f>LCI!$E10*impact_process_end!O2</f>
        <v>1.6455051537246383E-6</v>
      </c>
      <c r="P8" s="22">
        <f>LCI!$E10*impact_process_end!P2</f>
        <v>4.3843141274333221E-7</v>
      </c>
      <c r="Q8" s="22">
        <f>LCI!$E10*impact_process_end!Q2</f>
        <v>6.5100270693056783E-7</v>
      </c>
      <c r="R8" s="22">
        <f>LCI!$E10*impact_process_end!R2</f>
        <v>1.0419972224012185E-7</v>
      </c>
      <c r="S8" s="22">
        <f>LCI!$E10*impact_process_end!S2</f>
        <v>1.024948462213866E-9</v>
      </c>
      <c r="T8" s="22">
        <f>LCI!$E10*impact_process_end!T2</f>
        <v>7.0441585362869855E-7</v>
      </c>
      <c r="U8" s="22">
        <f>LCI!$E10*impact_process_end!U2</f>
        <v>1.6603165507680759E-9</v>
      </c>
      <c r="V8" s="22">
        <f>LCI!$E10*impact_process_end!V2</f>
        <v>1.5542177355922468E-7</v>
      </c>
      <c r="W8" s="22">
        <f>LCI!$E10*impact_process_end!W2</f>
        <v>0.18267619686076089</v>
      </c>
      <c r="X8" s="22">
        <f>LCI!$E10*impact_process_end!X2</f>
        <v>9.1565083290472832E-3</v>
      </c>
      <c r="Y8" s="22">
        <f>LCI!$E10*impact_process_end!Y2</f>
        <v>6.7073738570260508E-9</v>
      </c>
      <c r="Z8" s="22">
        <f>LCI!$E10*impact_process_end!Z2</f>
        <v>3.7016568707338131E-6</v>
      </c>
      <c r="AA8" s="22">
        <f>LCI!$E10*impact_process_end!AA2</f>
        <v>0.19183270613494061</v>
      </c>
    </row>
    <row r="9" spans="1:27" x14ac:dyDescent="0.35">
      <c r="B9" t="s">
        <v>253</v>
      </c>
      <c r="C9" s="22">
        <f>LCI!$E11*impact_process_end!C10</f>
        <v>3.411862899961242E-9</v>
      </c>
      <c r="D9" s="22">
        <f>LCI!$E11*impact_process_end!D10</f>
        <v>7.5676845189463713E-13</v>
      </c>
      <c r="E9" s="22">
        <f>LCI!$E11*impact_process_end!E10</f>
        <v>2.7710865859985284E-8</v>
      </c>
      <c r="F9" s="22">
        <f>LCI!$E11*impact_process_end!F10</f>
        <v>8.874266221027087E-11</v>
      </c>
      <c r="G9" s="22">
        <f>LCI!$E11*impact_process_end!G10</f>
        <v>1.846644246035978E-11</v>
      </c>
      <c r="H9" s="22">
        <f>LCI!$E11*impact_process_end!H10</f>
        <v>2.0656821524464668E-10</v>
      </c>
      <c r="I9" s="22">
        <f>LCI!$E11*impact_process_end!I10</f>
        <v>5.4661922664878849E-10</v>
      </c>
      <c r="J9" s="22">
        <f>LCI!$E11*impact_process_end!J10</f>
        <v>1.4750286926389279E-13</v>
      </c>
      <c r="K9" s="22">
        <f>LCI!$E11*impact_process_end!K10</f>
        <v>2.0635794014742712E-8</v>
      </c>
      <c r="L9" s="22">
        <f>LCI!$E11*impact_process_end!L10</f>
        <v>4.2750007596027849E-9</v>
      </c>
      <c r="M9" s="22">
        <f>LCI!$E11*impact_process_end!M10</f>
        <v>2.1374582172992495E-14</v>
      </c>
      <c r="N9" s="22">
        <f>LCI!$E11*impact_process_end!N10</f>
        <v>4.7774314459503098E-10</v>
      </c>
      <c r="O9" s="22">
        <f>LCI!$E11*impact_process_end!O10</f>
        <v>9.1818170657654292E-6</v>
      </c>
      <c r="P9" s="22">
        <f>LCI!$E11*impact_process_end!P10</f>
        <v>9.5413555790908131E-7</v>
      </c>
      <c r="Q9" s="22">
        <f>LCI!$E11*impact_process_end!Q10</f>
        <v>1.0098384124905173E-6</v>
      </c>
      <c r="R9" s="22">
        <f>LCI!$E11*impact_process_end!R10</f>
        <v>1.7275857056057041E-9</v>
      </c>
      <c r="S9" s="22">
        <f>LCI!$E11*impact_process_end!S10</f>
        <v>2.6833835563690597E-9</v>
      </c>
      <c r="T9" s="22">
        <f>LCI!$E11*impact_process_end!T10</f>
        <v>1.0414827202891165E-5</v>
      </c>
      <c r="U9" s="22">
        <f>LCI!$E11*impact_process_end!U10</f>
        <v>2.9012180687301634E-8</v>
      </c>
      <c r="V9" s="22">
        <f>LCI!$E11*impact_process_end!V10</f>
        <v>7.8562206000071751E-8</v>
      </c>
      <c r="W9" s="22">
        <f>LCI!$E11*impact_process_end!W10</f>
        <v>1.0884498133657015</v>
      </c>
      <c r="X9" s="22">
        <f>LCI!$E11*impact_process_end!X10</f>
        <v>1.7377842183417924E-2</v>
      </c>
      <c r="Y9" s="22">
        <f>LCI!$E11*impact_process_end!Y10</f>
        <v>5.6894665176088108E-8</v>
      </c>
      <c r="Z9" s="22">
        <f>LCI!$E11*impact_process_end!Z10</f>
        <v>2.1672530969703486E-5</v>
      </c>
      <c r="AA9" s="22">
        <f>LCI!$E11*impact_process_end!AA10</f>
        <v>1.1058276560268632</v>
      </c>
    </row>
    <row r="10" spans="1:27" x14ac:dyDescent="0.35">
      <c r="B10" t="s">
        <v>24</v>
      </c>
      <c r="C10" s="22">
        <f>LCI!$E12*impact_process_end!C11</f>
        <v>0</v>
      </c>
      <c r="D10" s="22">
        <f>LCI!$E12*impact_process_end!D11</f>
        <v>3.9307980146152764E-12</v>
      </c>
      <c r="E10" s="22">
        <f>LCI!$E12*impact_process_end!E11</f>
        <v>1.4392768115052861E-7</v>
      </c>
      <c r="F10" s="22">
        <f>LCI!$E12*impact_process_end!F11</f>
        <v>0</v>
      </c>
      <c r="G10" s="22">
        <f>LCI!$E12*impact_process_end!G11</f>
        <v>0</v>
      </c>
      <c r="H10" s="22">
        <f>LCI!$E12*impact_process_end!H11</f>
        <v>0</v>
      </c>
      <c r="I10" s="22">
        <f>LCI!$E12*impact_process_end!I11</f>
        <v>0</v>
      </c>
      <c r="J10" s="22">
        <f>LCI!$E12*impact_process_end!J11</f>
        <v>0</v>
      </c>
      <c r="K10" s="22">
        <f>LCI!$E12*impact_process_end!K11</f>
        <v>0</v>
      </c>
      <c r="L10" s="22">
        <f>LCI!$E12*impact_process_end!L11</f>
        <v>0</v>
      </c>
      <c r="M10" s="22">
        <f>LCI!$E12*impact_process_end!M11</f>
        <v>0</v>
      </c>
      <c r="N10" s="22">
        <f>LCI!$E12*impact_process_end!N11</f>
        <v>0</v>
      </c>
      <c r="O10" s="22">
        <f>LCI!$E12*impact_process_end!O11</f>
        <v>4.7774314331477981E-5</v>
      </c>
      <c r="P10" s="22">
        <f>LCI!$E12*impact_process_end!P11</f>
        <v>0</v>
      </c>
      <c r="Q10" s="22">
        <f>LCI!$E12*impact_process_end!Q11</f>
        <v>0</v>
      </c>
      <c r="R10" s="22">
        <f>LCI!$E12*impact_process_end!R11</f>
        <v>0</v>
      </c>
      <c r="S10" s="22">
        <f>LCI!$E12*impact_process_end!S11</f>
        <v>0</v>
      </c>
      <c r="T10" s="22">
        <f>LCI!$E12*impact_process_end!T11</f>
        <v>0</v>
      </c>
      <c r="U10" s="22">
        <f>LCI!$E12*impact_process_end!U11</f>
        <v>0</v>
      </c>
      <c r="V10" s="22">
        <f>LCI!$E12*impact_process_end!V11</f>
        <v>0</v>
      </c>
      <c r="W10" s="22">
        <f>LCI!$E12*impact_process_end!W11</f>
        <v>0</v>
      </c>
      <c r="X10" s="22">
        <f>LCI!$E12*impact_process_end!X11</f>
        <v>0</v>
      </c>
      <c r="Y10" s="22">
        <f>LCI!$E12*impact_process_end!Y11</f>
        <v>1.4393161194854322E-7</v>
      </c>
      <c r="Z10" s="22">
        <f>LCI!$E12*impact_process_end!Z11</f>
        <v>4.7774314331477981E-5</v>
      </c>
      <c r="AA10" s="22">
        <f>LCI!$E12*impact_process_end!AA11</f>
        <v>0</v>
      </c>
    </row>
    <row r="11" spans="1:27" x14ac:dyDescent="0.35">
      <c r="A11" t="s">
        <v>7</v>
      </c>
    </row>
    <row r="12" spans="1:27" x14ac:dyDescent="0.35">
      <c r="B12" t="s">
        <v>25</v>
      </c>
      <c r="C12" s="23">
        <f>LCI!$E15*impact_process_end!C12</f>
        <v>2.8016112634814233E-9</v>
      </c>
      <c r="D12" s="23">
        <f>LCI!$E15*impact_process_end!D12</f>
        <v>0</v>
      </c>
      <c r="E12" s="23">
        <f>LCI!$E15*impact_process_end!E12</f>
        <v>0</v>
      </c>
      <c r="F12" s="23">
        <f>LCI!$E15*impact_process_end!F12</f>
        <v>0</v>
      </c>
      <c r="G12" s="23">
        <f>LCI!$E15*impact_process_end!G12</f>
        <v>0</v>
      </c>
      <c r="H12" s="23">
        <f>LCI!$E15*impact_process_end!H12</f>
        <v>0</v>
      </c>
      <c r="I12" s="23">
        <f>LCI!$E15*impact_process_end!I12</f>
        <v>0</v>
      </c>
      <c r="J12" s="23">
        <f>LCI!$E15*impact_process_end!J12</f>
        <v>0</v>
      </c>
      <c r="K12" s="23">
        <f>LCI!$E15*impact_process_end!K12</f>
        <v>0</v>
      </c>
      <c r="L12" s="23">
        <f>LCI!$E15*impact_process_end!L12</f>
        <v>4.7366691086383175E-9</v>
      </c>
      <c r="M12" s="23">
        <f>LCI!$E15*impact_process_end!M12</f>
        <v>0</v>
      </c>
      <c r="N12" s="23">
        <f>LCI!$E15*impact_process_end!N12</f>
        <v>0</v>
      </c>
      <c r="O12" s="23">
        <f>LCI!$E15*impact_process_end!O12</f>
        <v>0</v>
      </c>
      <c r="P12" s="23">
        <f>LCI!$E15*impact_process_end!P12</f>
        <v>0</v>
      </c>
      <c r="Q12" s="23">
        <f>LCI!$E15*impact_process_end!Q12</f>
        <v>0</v>
      </c>
      <c r="R12" s="23">
        <f>LCI!$E15*impact_process_end!R12</f>
        <v>0</v>
      </c>
      <c r="S12" s="23">
        <f>LCI!$E15*impact_process_end!S12</f>
        <v>0</v>
      </c>
      <c r="T12" s="23">
        <f>LCI!$E15*impact_process_end!T12</f>
        <v>2.5409108706803999E-6</v>
      </c>
      <c r="U12" s="23">
        <f>LCI!$E15*impact_process_end!U12</f>
        <v>3.341371231675092E-8</v>
      </c>
      <c r="V12" s="23">
        <f>LCI!$E15*impact_process_end!V12</f>
        <v>0</v>
      </c>
      <c r="W12" s="23">
        <f>LCI!$E15*impact_process_end!W12</f>
        <v>0</v>
      </c>
      <c r="X12" s="23">
        <f>LCI!$E15*impact_process_end!X12</f>
        <v>0</v>
      </c>
      <c r="Y12" s="23">
        <f>LCI!$E15*impact_process_end!Y12</f>
        <v>7.5382803721197412E-9</v>
      </c>
      <c r="Z12" s="23">
        <f>LCI!$E15*impact_process_end!Z12</f>
        <v>2.574324582997151E-6</v>
      </c>
      <c r="AA12" s="23">
        <f>LCI!$E15*impact_process_end!AA12</f>
        <v>0</v>
      </c>
    </row>
    <row r="13" spans="1:27" x14ac:dyDescent="0.35">
      <c r="B13" t="s">
        <v>26</v>
      </c>
      <c r="C13" s="22">
        <f>LCI!$E16*impact_process_end!C13</f>
        <v>0</v>
      </c>
      <c r="D13" s="22">
        <f>LCI!$E16*impact_process_end!D13</f>
        <v>0</v>
      </c>
      <c r="E13" s="22">
        <f>LCI!$E16*impact_process_end!E13</f>
        <v>0</v>
      </c>
      <c r="F13" s="22">
        <f>LCI!$E16*impact_process_end!F13</f>
        <v>0</v>
      </c>
      <c r="G13" s="22">
        <f>LCI!$E16*impact_process_end!G13</f>
        <v>0</v>
      </c>
      <c r="H13" s="22">
        <f>LCI!$E16*impact_process_end!H13</f>
        <v>0</v>
      </c>
      <c r="I13" s="22">
        <f>LCI!$E16*impact_process_end!I13</f>
        <v>0</v>
      </c>
      <c r="J13" s="22">
        <f>LCI!$E16*impact_process_end!J13</f>
        <v>0</v>
      </c>
      <c r="K13" s="22">
        <f>LCI!$E16*impact_process_end!K13</f>
        <v>0</v>
      </c>
      <c r="L13" s="22">
        <f>LCI!$E16*impact_process_end!L13</f>
        <v>1.3235676763309669E-8</v>
      </c>
      <c r="M13" s="22">
        <f>LCI!$E16*impact_process_end!M13</f>
        <v>0</v>
      </c>
      <c r="N13" s="22">
        <f>LCI!$E16*impact_process_end!N13</f>
        <v>0</v>
      </c>
      <c r="O13" s="22">
        <f>LCI!$E16*impact_process_end!O13</f>
        <v>0</v>
      </c>
      <c r="P13" s="22">
        <f>LCI!$E16*impact_process_end!P13</f>
        <v>0</v>
      </c>
      <c r="Q13" s="22">
        <f>LCI!$E16*impact_process_end!Q13</f>
        <v>0</v>
      </c>
      <c r="R13" s="22">
        <f>LCI!$E16*impact_process_end!R13</f>
        <v>0</v>
      </c>
      <c r="S13" s="22">
        <f>LCI!$E16*impact_process_end!S13</f>
        <v>0</v>
      </c>
      <c r="T13" s="22">
        <f>LCI!$E16*impact_process_end!T13</f>
        <v>0</v>
      </c>
      <c r="U13" s="22">
        <f>LCI!$E16*impact_process_end!U13</f>
        <v>5.8038796502213526E-8</v>
      </c>
      <c r="V13" s="22">
        <f>LCI!$E16*impact_process_end!V13</f>
        <v>0</v>
      </c>
      <c r="W13" s="22">
        <f>LCI!$E16*impact_process_end!W13</f>
        <v>0</v>
      </c>
      <c r="X13" s="22">
        <f>LCI!$E16*impact_process_end!X13</f>
        <v>0</v>
      </c>
      <c r="Y13" s="22">
        <f>LCI!$E16*impact_process_end!Y13</f>
        <v>1.3235676763309669E-8</v>
      </c>
      <c r="Z13" s="22">
        <f>LCI!$E16*impact_process_end!Z13</f>
        <v>5.8038796502213526E-8</v>
      </c>
      <c r="AA13" s="22">
        <f>LCI!$E16*impact_process_end!AA13</f>
        <v>0</v>
      </c>
    </row>
    <row r="14" spans="1:27" x14ac:dyDescent="0.35">
      <c r="B14" t="s">
        <v>27</v>
      </c>
      <c r="C14" s="23">
        <f>LCI!$E17*impact_process_end!C14</f>
        <v>6.6722515018692243E-10</v>
      </c>
      <c r="D14" s="23">
        <f>LCI!$E17*impact_process_end!D14</f>
        <v>0</v>
      </c>
      <c r="E14" s="23">
        <f>LCI!$E17*impact_process_end!E14</f>
        <v>0</v>
      </c>
      <c r="F14" s="23">
        <f>LCI!$E17*impact_process_end!F14</f>
        <v>0</v>
      </c>
      <c r="G14" s="23">
        <f>LCI!$E17*impact_process_end!G14</f>
        <v>0</v>
      </c>
      <c r="H14" s="23">
        <f>LCI!$E17*impact_process_end!H14</f>
        <v>0</v>
      </c>
      <c r="I14" s="23">
        <f>LCI!$E17*impact_process_end!I14</f>
        <v>0</v>
      </c>
      <c r="J14" s="23">
        <f>LCI!$E17*impact_process_end!J14</f>
        <v>0</v>
      </c>
      <c r="K14" s="23">
        <f>LCI!$E17*impact_process_end!K14</f>
        <v>0</v>
      </c>
      <c r="L14" s="23">
        <f>LCI!$E17*impact_process_end!L14</f>
        <v>0</v>
      </c>
      <c r="M14" s="23">
        <f>LCI!$E17*impact_process_end!M14</f>
        <v>0</v>
      </c>
      <c r="N14" s="23">
        <f>LCI!$E17*impact_process_end!N14</f>
        <v>0</v>
      </c>
      <c r="O14" s="23">
        <f>LCI!$E17*impact_process_end!O14</f>
        <v>0</v>
      </c>
      <c r="P14" s="23">
        <f>LCI!$E17*impact_process_end!P14</f>
        <v>0</v>
      </c>
      <c r="Q14" s="23">
        <f>LCI!$E17*impact_process_end!Q14</f>
        <v>0</v>
      </c>
      <c r="R14" s="23">
        <f>LCI!$E17*impact_process_end!R14</f>
        <v>0</v>
      </c>
      <c r="S14" s="23">
        <f>LCI!$E17*impact_process_end!S14</f>
        <v>0</v>
      </c>
      <c r="T14" s="23">
        <f>LCI!$E17*impact_process_end!T14</f>
        <v>5.6651191997002852E-7</v>
      </c>
      <c r="U14" s="23">
        <f>LCI!$E17*impact_process_end!U14</f>
        <v>0</v>
      </c>
      <c r="V14" s="23">
        <f>LCI!$E17*impact_process_end!V14</f>
        <v>0</v>
      </c>
      <c r="W14" s="23">
        <f>LCI!$E17*impact_process_end!W14</f>
        <v>0</v>
      </c>
      <c r="X14" s="23">
        <f>LCI!$E17*impact_process_end!X14</f>
        <v>0</v>
      </c>
      <c r="Y14" s="23">
        <f>LCI!$E17*impact_process_end!Y14</f>
        <v>6.6722515018692243E-10</v>
      </c>
      <c r="Z14" s="23">
        <f>LCI!$E17*impact_process_end!Z14</f>
        <v>5.6651191997002852E-7</v>
      </c>
      <c r="AA14" s="23">
        <f>LCI!$E17*impact_process_end!AA14</f>
        <v>0</v>
      </c>
    </row>
    <row r="15" spans="1:27" x14ac:dyDescent="0.35">
      <c r="B15" t="s">
        <v>28</v>
      </c>
      <c r="C15" s="22">
        <f>LCI!$E18*impact_process_end!C21</f>
        <v>0</v>
      </c>
      <c r="D15" s="22">
        <f>LCI!$E18*impact_process_end!D21</f>
        <v>0</v>
      </c>
      <c r="E15" s="22">
        <f>LCI!$E18*impact_process_end!E21</f>
        <v>0</v>
      </c>
      <c r="F15" s="22">
        <f>LCI!$E18*impact_process_end!F21</f>
        <v>0</v>
      </c>
      <c r="G15" s="22">
        <f>LCI!$E18*impact_process_end!G21</f>
        <v>0</v>
      </c>
      <c r="H15" s="22">
        <f>LCI!$E18*impact_process_end!H21</f>
        <v>0</v>
      </c>
      <c r="I15" s="22">
        <f>LCI!$E18*impact_process_end!I21</f>
        <v>0</v>
      </c>
      <c r="J15" s="22">
        <f>LCI!$E18*impact_process_end!J21</f>
        <v>0</v>
      </c>
      <c r="K15" s="22">
        <f>LCI!$E18*impact_process_end!K21</f>
        <v>0</v>
      </c>
      <c r="L15" s="22">
        <f>LCI!$E18*impact_process_end!L21</f>
        <v>0</v>
      </c>
      <c r="M15" s="22">
        <f>LCI!$E18*impact_process_end!M21</f>
        <v>0</v>
      </c>
      <c r="N15" s="22">
        <f>LCI!$E18*impact_process_end!N21</f>
        <v>0</v>
      </c>
      <c r="O15" s="22">
        <f>LCI!$E18*impact_process_end!O21</f>
        <v>0</v>
      </c>
      <c r="P15" s="22">
        <f>LCI!$E18*impact_process_end!P21</f>
        <v>0</v>
      </c>
      <c r="Q15" s="22">
        <f>LCI!$E18*impact_process_end!Q21</f>
        <v>0</v>
      </c>
      <c r="R15" s="22">
        <f>LCI!$E18*impact_process_end!R21</f>
        <v>0</v>
      </c>
      <c r="S15" s="22">
        <f>LCI!$E18*impact_process_end!S21</f>
        <v>0</v>
      </c>
      <c r="T15" s="22">
        <f>LCI!$E18*impact_process_end!T21</f>
        <v>4.8468242041880337E-6</v>
      </c>
      <c r="U15" s="22">
        <f>LCI!$E18*impact_process_end!U21</f>
        <v>0</v>
      </c>
      <c r="V15" s="22">
        <f>LCI!$E18*impact_process_end!V21</f>
        <v>0</v>
      </c>
      <c r="W15" s="22">
        <f>LCI!$E18*impact_process_end!W21</f>
        <v>0</v>
      </c>
      <c r="X15" s="22">
        <f>LCI!$E18*impact_process_end!X21</f>
        <v>0</v>
      </c>
      <c r="Y15" s="22">
        <f>LCI!$E18*impact_process_end!Y21</f>
        <v>0</v>
      </c>
      <c r="Z15" s="22">
        <f>LCI!$E18*impact_process_end!Z21</f>
        <v>4.8468242041880337E-6</v>
      </c>
      <c r="AA15" s="22">
        <f>LCI!$E18*impact_process_end!AA21</f>
        <v>0</v>
      </c>
    </row>
    <row r="16" spans="1:27" x14ac:dyDescent="0.35">
      <c r="B16" t="s">
        <v>29</v>
      </c>
      <c r="C16" s="22">
        <f>LCI!$E19*impact_process_end!C16</f>
        <v>0</v>
      </c>
      <c r="D16" s="22">
        <f>LCI!$E19*impact_process_end!D16</f>
        <v>0</v>
      </c>
      <c r="E16" s="22">
        <f>LCI!$E19*impact_process_end!E16</f>
        <v>0</v>
      </c>
      <c r="F16" s="22">
        <f>LCI!$E19*impact_process_end!F16</f>
        <v>0</v>
      </c>
      <c r="G16" s="22">
        <f>LCI!$E19*impact_process_end!G16</f>
        <v>0</v>
      </c>
      <c r="H16" s="22">
        <f>LCI!$E19*impact_process_end!H16</f>
        <v>0</v>
      </c>
      <c r="I16" s="22">
        <f>LCI!$E19*impact_process_end!I16</f>
        <v>0</v>
      </c>
      <c r="J16" s="22">
        <f>LCI!$E19*impact_process_end!J16</f>
        <v>0</v>
      </c>
      <c r="K16" s="22">
        <f>LCI!$E19*impact_process_end!K16</f>
        <v>0</v>
      </c>
      <c r="L16" s="22">
        <f>LCI!$E19*impact_process_end!L16</f>
        <v>0</v>
      </c>
      <c r="M16" s="22">
        <f>LCI!$E19*impact_process_end!M16</f>
        <v>0</v>
      </c>
      <c r="N16" s="22">
        <f>LCI!$E19*impact_process_end!N16</f>
        <v>0</v>
      </c>
      <c r="O16" s="22">
        <f>LCI!$E19*impact_process_end!O16</f>
        <v>0</v>
      </c>
      <c r="P16" s="22">
        <f>LCI!$E19*impact_process_end!P16</f>
        <v>0</v>
      </c>
      <c r="Q16" s="22">
        <f>LCI!$E19*impact_process_end!Q16</f>
        <v>0</v>
      </c>
      <c r="R16" s="22">
        <f>LCI!$E19*impact_process_end!R16</f>
        <v>0</v>
      </c>
      <c r="S16" s="22">
        <f>LCI!$E19*impact_process_end!S16</f>
        <v>0</v>
      </c>
      <c r="T16" s="22">
        <f>LCI!$E19*impact_process_end!T16</f>
        <v>0</v>
      </c>
      <c r="U16" s="22">
        <f>LCI!$E19*impact_process_end!U16</f>
        <v>0</v>
      </c>
      <c r="V16" s="22">
        <f>LCI!$E19*impact_process_end!V16</f>
        <v>0</v>
      </c>
      <c r="W16" s="22">
        <f>LCI!$E19*impact_process_end!W16</f>
        <v>0</v>
      </c>
      <c r="X16" s="22">
        <f>LCI!$E19*impact_process_end!X16</f>
        <v>0</v>
      </c>
      <c r="Y16" s="22">
        <f>LCI!$E19*impact_process_end!Y16</f>
        <v>0</v>
      </c>
      <c r="Z16" s="22">
        <f>LCI!$E19*impact_process_end!Z16</f>
        <v>0</v>
      </c>
      <c r="AA16" s="22">
        <f>LCI!$E19*impact_process_end!AA16</f>
        <v>0</v>
      </c>
    </row>
    <row r="17" spans="1:29" x14ac:dyDescent="0.35">
      <c r="B17" t="s">
        <v>30</v>
      </c>
      <c r="C17" s="23">
        <f>LCI!$E20*impact_process_end!C17</f>
        <v>5.9644613006227341E-9</v>
      </c>
      <c r="D17" s="23">
        <f>LCI!$E20*impact_process_end!D17</f>
        <v>0</v>
      </c>
      <c r="E17" s="23">
        <f>LCI!$E20*impact_process_end!E17</f>
        <v>0</v>
      </c>
      <c r="F17" s="23">
        <f>LCI!$E20*impact_process_end!F17</f>
        <v>0</v>
      </c>
      <c r="G17" s="23">
        <f>LCI!$E20*impact_process_end!G17</f>
        <v>0</v>
      </c>
      <c r="H17" s="23">
        <f>LCI!$E20*impact_process_end!H17</f>
        <v>0</v>
      </c>
      <c r="I17" s="23">
        <f>LCI!$E20*impact_process_end!I17</f>
        <v>0</v>
      </c>
      <c r="J17" s="23">
        <f>LCI!$E20*impact_process_end!J17</f>
        <v>0</v>
      </c>
      <c r="K17" s="23">
        <f>LCI!$E20*impact_process_end!K17</f>
        <v>0</v>
      </c>
      <c r="L17" s="23">
        <f>LCI!$E20*impact_process_end!L17</f>
        <v>0</v>
      </c>
      <c r="M17" s="23">
        <f>LCI!$E20*impact_process_end!M17</f>
        <v>0</v>
      </c>
      <c r="N17" s="23">
        <f>LCI!$E20*impact_process_end!N17</f>
        <v>0</v>
      </c>
      <c r="O17" s="23">
        <f>LCI!$E20*impact_process_end!O17</f>
        <v>0</v>
      </c>
      <c r="P17" s="23">
        <f>LCI!$E20*impact_process_end!P17</f>
        <v>0</v>
      </c>
      <c r="Q17" s="23">
        <f>LCI!$E20*impact_process_end!Q17</f>
        <v>0</v>
      </c>
      <c r="R17" s="23">
        <f>LCI!$E20*impact_process_end!R17</f>
        <v>0</v>
      </c>
      <c r="S17" s="23">
        <f>LCI!$E20*impact_process_end!S17</f>
        <v>0</v>
      </c>
      <c r="T17" s="23">
        <f>LCI!$E20*impact_process_end!T17</f>
        <v>2.150647103589928E-6</v>
      </c>
      <c r="U17" s="23">
        <f>LCI!$E20*impact_process_end!U17</f>
        <v>0</v>
      </c>
      <c r="V17" s="23">
        <f>LCI!$E20*impact_process_end!V17</f>
        <v>0</v>
      </c>
      <c r="W17" s="23">
        <f>LCI!$E20*impact_process_end!W17</f>
        <v>0</v>
      </c>
      <c r="X17" s="23">
        <f>LCI!$E20*impact_process_end!X17</f>
        <v>0</v>
      </c>
      <c r="Y17" s="23">
        <f>LCI!$E20*impact_process_end!Y17</f>
        <v>5.9644613006227341E-9</v>
      </c>
      <c r="Z17" s="23">
        <f>LCI!$E20*impact_process_end!Z17</f>
        <v>2.150647103589928E-6</v>
      </c>
      <c r="AA17" s="23">
        <f>LCI!$E20*impact_process_end!AA17</f>
        <v>0</v>
      </c>
    </row>
    <row r="18" spans="1:29" x14ac:dyDescent="0.35">
      <c r="B18" t="s">
        <v>19</v>
      </c>
      <c r="C18" s="22">
        <f>LCI!$E21*impact_process_end!C11</f>
        <v>0</v>
      </c>
      <c r="D18" s="22">
        <f>LCI!$E21*impact_process_end!D11</f>
        <v>2.5035086908180704E-12</v>
      </c>
      <c r="E18" s="22">
        <f>LCI!$E21*impact_process_end!E11</f>
        <v>9.1666933602261672E-8</v>
      </c>
      <c r="F18" s="22">
        <f>LCI!$E21*impact_process_end!F11</f>
        <v>0</v>
      </c>
      <c r="G18" s="22">
        <f>LCI!$E21*impact_process_end!G11</f>
        <v>0</v>
      </c>
      <c r="H18" s="22">
        <f>LCI!$E21*impact_process_end!H11</f>
        <v>0</v>
      </c>
      <c r="I18" s="22">
        <f>LCI!$E21*impact_process_end!I11</f>
        <v>0</v>
      </c>
      <c r="J18" s="22">
        <f>LCI!$E21*impact_process_end!J11</f>
        <v>0</v>
      </c>
      <c r="K18" s="22">
        <f>LCI!$E21*impact_process_end!K11</f>
        <v>0</v>
      </c>
      <c r="L18" s="22">
        <f>LCI!$E21*impact_process_end!L11</f>
        <v>0</v>
      </c>
      <c r="M18" s="22">
        <f>LCI!$E21*impact_process_end!M11</f>
        <v>0</v>
      </c>
      <c r="N18" s="22">
        <f>LCI!$E21*impact_process_end!N11</f>
        <v>0</v>
      </c>
      <c r="O18" s="22">
        <f>LCI!$E21*impact_process_end!O11</f>
        <v>3.0427259473019631E-5</v>
      </c>
      <c r="P18" s="22">
        <f>LCI!$E21*impact_process_end!P11</f>
        <v>0</v>
      </c>
      <c r="Q18" s="22">
        <f>LCI!$E21*impact_process_end!Q11</f>
        <v>0</v>
      </c>
      <c r="R18" s="22">
        <f>LCI!$E21*impact_process_end!R11</f>
        <v>0</v>
      </c>
      <c r="S18" s="22">
        <f>LCI!$E21*impact_process_end!S11</f>
        <v>0</v>
      </c>
      <c r="T18" s="22">
        <f>LCI!$E21*impact_process_end!T11</f>
        <v>0</v>
      </c>
      <c r="U18" s="22">
        <f>LCI!$E21*impact_process_end!U11</f>
        <v>0</v>
      </c>
      <c r="V18" s="22">
        <f>LCI!$E21*impact_process_end!V11</f>
        <v>0</v>
      </c>
      <c r="W18" s="22">
        <f>LCI!$E21*impact_process_end!W11</f>
        <v>0</v>
      </c>
      <c r="X18" s="22">
        <f>LCI!$E21*impact_process_end!X11</f>
        <v>0</v>
      </c>
      <c r="Y18" s="22">
        <f>LCI!$E21*impact_process_end!Y11</f>
        <v>9.1669437110952484E-8</v>
      </c>
      <c r="Z18" s="22">
        <f>LCI!$E21*impact_process_end!Z11</f>
        <v>3.0427259473019631E-5</v>
      </c>
      <c r="AA18" s="22">
        <f>LCI!$E21*impact_process_end!AA11</f>
        <v>0</v>
      </c>
    </row>
    <row r="19" spans="1:29" x14ac:dyDescent="0.35">
      <c r="B19" t="s">
        <v>31</v>
      </c>
      <c r="C19" s="22">
        <f>LCI!$E22*impact_process_end!C19</f>
        <v>0</v>
      </c>
      <c r="D19" s="22">
        <f>LCI!$E22*impact_process_end!D19</f>
        <v>5.2271060577520161E-13</v>
      </c>
      <c r="E19" s="22">
        <f>LCI!$E22*impact_process_end!E19</f>
        <v>1.9120203737566585E-8</v>
      </c>
      <c r="F19" s="22">
        <f>LCI!$E22*impact_process_end!F19</f>
        <v>0</v>
      </c>
      <c r="G19" s="22">
        <f>LCI!$E22*impact_process_end!G19</f>
        <v>0</v>
      </c>
      <c r="H19" s="22">
        <f>LCI!$E22*impact_process_end!H19</f>
        <v>0</v>
      </c>
      <c r="I19" s="22">
        <f>LCI!$E22*impact_process_end!I19</f>
        <v>0</v>
      </c>
      <c r="J19" s="22">
        <f>LCI!$E22*impact_process_end!J19</f>
        <v>0</v>
      </c>
      <c r="K19" s="22">
        <f>LCI!$E22*impact_process_end!K19</f>
        <v>0</v>
      </c>
      <c r="L19" s="22">
        <f>LCI!$E22*impact_process_end!L19</f>
        <v>0</v>
      </c>
      <c r="M19" s="22">
        <f>LCI!$E22*impact_process_end!M19</f>
        <v>0</v>
      </c>
      <c r="N19" s="22">
        <f>LCI!$E22*impact_process_end!N19</f>
        <v>0</v>
      </c>
      <c r="O19" s="22">
        <f>LCI!$E22*impact_process_end!O19</f>
        <v>6.4192530533796676E-6</v>
      </c>
      <c r="P19" s="22">
        <f>LCI!$E22*impact_process_end!P19</f>
        <v>0</v>
      </c>
      <c r="Q19" s="22">
        <f>LCI!$E22*impact_process_end!Q19</f>
        <v>0</v>
      </c>
      <c r="R19" s="22">
        <f>LCI!$E22*impact_process_end!R19</f>
        <v>0</v>
      </c>
      <c r="S19" s="22">
        <f>LCI!$E22*impact_process_end!S19</f>
        <v>1.3388727797049023E-7</v>
      </c>
      <c r="T19" s="22">
        <f>LCI!$E22*impact_process_end!T19</f>
        <v>0</v>
      </c>
      <c r="U19" s="22">
        <f>LCI!$E22*impact_process_end!U19</f>
        <v>0</v>
      </c>
      <c r="V19" s="22">
        <f>LCI!$E22*impact_process_end!V19</f>
        <v>0</v>
      </c>
      <c r="W19" s="22">
        <f>LCI!$E22*impact_process_end!W19</f>
        <v>0</v>
      </c>
      <c r="X19" s="22">
        <f>LCI!$E22*impact_process_end!X19</f>
        <v>0</v>
      </c>
      <c r="Y19" s="22">
        <f>LCI!$E22*impact_process_end!Y19</f>
        <v>1.912072644817236E-8</v>
      </c>
      <c r="Z19" s="22">
        <f>LCI!$E22*impact_process_end!Z19</f>
        <v>6.5531403313501582E-6</v>
      </c>
      <c r="AA19" s="22">
        <f>LCI!$E22*impact_process_end!AA19</f>
        <v>0</v>
      </c>
    </row>
    <row r="20" spans="1:29" x14ac:dyDescent="0.35">
      <c r="A20" t="s">
        <v>259</v>
      </c>
    </row>
    <row r="21" spans="1:29" x14ac:dyDescent="0.35">
      <c r="B21" s="20" t="s">
        <v>259</v>
      </c>
      <c r="C21" s="24">
        <f>SUM(C3:C4,C6,C8:C10,C12:C19)</f>
        <v>2.0114159106083146E-8</v>
      </c>
      <c r="D21" s="24">
        <f>SUM(D3:D4,D6,D8:D10,D12:D19)</f>
        <v>8.6310788099342979E-12</v>
      </c>
      <c r="E21" s="24">
        <f t="shared" ref="E21:AA21" si="0">SUM(E3:E4,E6,E8:E10,E12:E19)</f>
        <v>3.1600059197708628E-7</v>
      </c>
      <c r="F21" s="24">
        <f t="shared" si="0"/>
        <v>1.3081537319805549E-9</v>
      </c>
      <c r="G21" s="24">
        <f t="shared" si="0"/>
        <v>2.6432711210404287E-10</v>
      </c>
      <c r="H21" s="24">
        <f t="shared" si="0"/>
        <v>6.6160130800630221E-10</v>
      </c>
      <c r="I21" s="24">
        <f t="shared" si="0"/>
        <v>8.3772645802817259E-9</v>
      </c>
      <c r="J21" s="24">
        <f t="shared" si="0"/>
        <v>5.5049396322898631E-12</v>
      </c>
      <c r="K21" s="24">
        <f t="shared" si="0"/>
        <v>2.3071054374591618E-8</v>
      </c>
      <c r="L21" s="24">
        <f t="shared" si="0"/>
        <v>3.0363862070667683E-8</v>
      </c>
      <c r="M21" s="24">
        <f t="shared" si="0"/>
        <v>3.3537816916510031E-13</v>
      </c>
      <c r="N21" s="24">
        <f t="shared" si="0"/>
        <v>7.4960352379616801E-9</v>
      </c>
      <c r="O21" s="24">
        <f t="shared" si="0"/>
        <v>1.0493603187596104E-4</v>
      </c>
      <c r="P21" s="24">
        <f t="shared" si="0"/>
        <v>9.6426650123120094E-6</v>
      </c>
      <c r="Q21" s="24">
        <f t="shared" si="0"/>
        <v>1.7843126973875924E-5</v>
      </c>
      <c r="R21" s="24">
        <f t="shared" si="0"/>
        <v>1.5324405242813227E-7</v>
      </c>
      <c r="S21" s="24">
        <f t="shared" si="0"/>
        <v>2.0861594309566321E-7</v>
      </c>
      <c r="T21" s="24">
        <f t="shared" si="0"/>
        <v>2.9355788783269308E-5</v>
      </c>
      <c r="U21" s="24">
        <f t="shared" si="0"/>
        <v>1.7684554542813573E-7</v>
      </c>
      <c r="V21" s="24">
        <f t="shared" si="0"/>
        <v>1.2326813502425872E-6</v>
      </c>
      <c r="W21" s="24">
        <f t="shared" si="0"/>
        <v>1.7934536989911445</v>
      </c>
      <c r="X21" s="24">
        <f t="shared" si="0"/>
        <v>9.2289169396780252E-2</v>
      </c>
      <c r="Y21" s="24">
        <f t="shared" si="0"/>
        <v>4.0017516831963653E-7</v>
      </c>
      <c r="Z21" s="24">
        <f t="shared" si="0"/>
        <v>1.6354887029820838E-4</v>
      </c>
      <c r="AA21" s="24">
        <f t="shared" si="0"/>
        <v>1.8857428758839609</v>
      </c>
    </row>
    <row r="23" spans="1:29" x14ac:dyDescent="0.35">
      <c r="A23" t="s">
        <v>123</v>
      </c>
    </row>
    <row r="24" spans="1:29" x14ac:dyDescent="0.35">
      <c r="B24" t="s">
        <v>98</v>
      </c>
    </row>
    <row r="25" spans="1:29" x14ac:dyDescent="0.35">
      <c r="B25" t="s">
        <v>97</v>
      </c>
      <c r="C25" s="23">
        <f>LCI!$E29*impact_process_end!C11</f>
        <v>0</v>
      </c>
      <c r="D25" s="23">
        <f>LCI!$E29*impact_process_end!D11</f>
        <v>1.4905279246712453E-14</v>
      </c>
      <c r="E25" s="23">
        <f>LCI!$E29*impact_process_end!E11</f>
        <v>5.4576253241808683E-10</v>
      </c>
      <c r="F25" s="23">
        <f>LCI!$E29*impact_process_end!F11</f>
        <v>0</v>
      </c>
      <c r="G25" s="23">
        <f>LCI!$E29*impact_process_end!G11</f>
        <v>0</v>
      </c>
      <c r="H25" s="23">
        <f>LCI!$E29*impact_process_end!H11</f>
        <v>0</v>
      </c>
      <c r="I25" s="23">
        <f>LCI!$E29*impact_process_end!I11</f>
        <v>0</v>
      </c>
      <c r="J25" s="23">
        <f>LCI!$E29*impact_process_end!J11</f>
        <v>0</v>
      </c>
      <c r="K25" s="23">
        <f>LCI!$E29*impact_process_end!K11</f>
        <v>0</v>
      </c>
      <c r="L25" s="23">
        <f>LCI!$E29*impact_process_end!L11</f>
        <v>0</v>
      </c>
      <c r="M25" s="23">
        <f>LCI!$E29*impact_process_end!M11</f>
        <v>0</v>
      </c>
      <c r="N25" s="23">
        <f>LCI!$E29*impact_process_end!N11</f>
        <v>0</v>
      </c>
      <c r="O25" s="23">
        <f>LCI!$E29*impact_process_end!O11</f>
        <v>1.8115647084465908E-7</v>
      </c>
      <c r="P25" s="23">
        <f>LCI!$E29*impact_process_end!P11</f>
        <v>0</v>
      </c>
      <c r="Q25" s="23">
        <f>LCI!$E29*impact_process_end!Q11</f>
        <v>0</v>
      </c>
      <c r="R25" s="23">
        <f>LCI!$E29*impact_process_end!R11</f>
        <v>0</v>
      </c>
      <c r="S25" s="23">
        <f>LCI!$E29*impact_process_end!S11</f>
        <v>0</v>
      </c>
      <c r="T25" s="23">
        <f>LCI!$E29*impact_process_end!T11</f>
        <v>0</v>
      </c>
      <c r="U25" s="23">
        <f>LCI!$E29*impact_process_end!U11</f>
        <v>0</v>
      </c>
      <c r="V25" s="23">
        <f>LCI!$E29*impact_process_end!V11</f>
        <v>0</v>
      </c>
      <c r="W25" s="23">
        <f>LCI!$E29*impact_process_end!W11</f>
        <v>0</v>
      </c>
      <c r="X25" s="23">
        <f>LCI!$E29*impact_process_end!X11</f>
        <v>0</v>
      </c>
      <c r="Y25" s="23">
        <f>LCI!$E29*impact_process_end!Y11</f>
        <v>5.4577743769733351E-10</v>
      </c>
      <c r="Z25" s="23">
        <f>LCI!$E29*impact_process_end!Z11</f>
        <v>1.8115647084465908E-7</v>
      </c>
      <c r="AA25" s="23">
        <f>LCI!$E29*impact_process_end!AA11</f>
        <v>0</v>
      </c>
    </row>
    <row r="26" spans="1:29" x14ac:dyDescent="0.35">
      <c r="B26" t="s">
        <v>112</v>
      </c>
      <c r="C26" s="23">
        <f>LCI!$E30*impact_process_end!C19</f>
        <v>0</v>
      </c>
      <c r="D26" s="23">
        <f>LCI!$E30*impact_process_end!D19</f>
        <v>1.307078333942477E-13</v>
      </c>
      <c r="E26" s="23">
        <f>LCI!$E30*impact_process_end!E19</f>
        <v>4.7811549583685338E-9</v>
      </c>
      <c r="F26" s="23">
        <f>LCI!$E30*impact_process_end!F19</f>
        <v>0</v>
      </c>
      <c r="G26" s="23">
        <f>LCI!$E30*impact_process_end!G19</f>
        <v>0</v>
      </c>
      <c r="H26" s="23">
        <f>LCI!$E30*impact_process_end!H19</f>
        <v>0</v>
      </c>
      <c r="I26" s="23">
        <f>LCI!$E30*impact_process_end!I19</f>
        <v>0</v>
      </c>
      <c r="J26" s="23">
        <f>LCI!$E30*impact_process_end!J19</f>
        <v>0</v>
      </c>
      <c r="K26" s="23">
        <f>LCI!$E30*impact_process_end!K19</f>
        <v>0</v>
      </c>
      <c r="L26" s="23">
        <f>LCI!$E30*impact_process_end!L19</f>
        <v>0</v>
      </c>
      <c r="M26" s="23">
        <f>LCI!$E30*impact_process_end!M19</f>
        <v>0</v>
      </c>
      <c r="N26" s="23">
        <f>LCI!$E30*impact_process_end!N19</f>
        <v>0</v>
      </c>
      <c r="O26" s="23">
        <f>LCI!$E30*impact_process_end!O19</f>
        <v>1.6051839188767259E-6</v>
      </c>
      <c r="P26" s="23">
        <f>LCI!$E30*impact_process_end!P19</f>
        <v>0</v>
      </c>
      <c r="Q26" s="23">
        <f>LCI!$E30*impact_process_end!Q19</f>
        <v>0</v>
      </c>
      <c r="R26" s="23">
        <f>LCI!$E30*impact_process_end!R19</f>
        <v>0</v>
      </c>
      <c r="S26" s="23">
        <f>LCI!$E30*impact_process_end!S19</f>
        <v>3.3479550308000286E-8</v>
      </c>
      <c r="T26" s="23">
        <f>LCI!$E30*impact_process_end!T19</f>
        <v>0</v>
      </c>
      <c r="U26" s="23">
        <f>LCI!$E30*impact_process_end!U19</f>
        <v>0</v>
      </c>
      <c r="V26" s="23">
        <f>LCI!$E30*impact_process_end!V19</f>
        <v>0</v>
      </c>
      <c r="W26" s="23">
        <f>LCI!$E30*impact_process_end!W19</f>
        <v>0</v>
      </c>
      <c r="X26" s="23">
        <f>LCI!$E30*impact_process_end!X19</f>
        <v>0</v>
      </c>
      <c r="Y26" s="23">
        <f>LCI!$E30*impact_process_end!Y19</f>
        <v>4.7812856662019279E-9</v>
      </c>
      <c r="Z26" s="23">
        <f>LCI!$E30*impact_process_end!Z19</f>
        <v>1.6386634691847263E-6</v>
      </c>
      <c r="AA26" s="23">
        <f>LCI!$E30*impact_process_end!AA19</f>
        <v>0</v>
      </c>
    </row>
    <row r="27" spans="1:29" x14ac:dyDescent="0.35">
      <c r="B27" t="s">
        <v>143</v>
      </c>
      <c r="C27" s="23">
        <f>LCI!$E31*impact_process_end!C18</f>
        <v>8.431515173885516E-9</v>
      </c>
      <c r="D27" s="23">
        <f>LCI!$E31*impact_process_end!D18</f>
        <v>0</v>
      </c>
      <c r="E27" s="23">
        <f>LCI!$E31*impact_process_end!E18</f>
        <v>0</v>
      </c>
      <c r="F27" s="23">
        <f>LCI!$E31*impact_process_end!F18</f>
        <v>0</v>
      </c>
      <c r="G27" s="23">
        <f>LCI!$E31*impact_process_end!G18</f>
        <v>0</v>
      </c>
      <c r="H27" s="23">
        <f>LCI!$E31*impact_process_end!H18</f>
        <v>0</v>
      </c>
      <c r="I27" s="23">
        <f>LCI!$E31*impact_process_end!I18</f>
        <v>0</v>
      </c>
      <c r="J27" s="23">
        <f>LCI!$E31*impact_process_end!J18</f>
        <v>0</v>
      </c>
      <c r="K27" s="23">
        <f>LCI!$E31*impact_process_end!K18</f>
        <v>0</v>
      </c>
      <c r="L27" s="23">
        <f>LCI!$E31*impact_process_end!L18</f>
        <v>0</v>
      </c>
      <c r="M27" s="23">
        <f>LCI!$E31*impact_process_end!M18</f>
        <v>0</v>
      </c>
      <c r="N27" s="23">
        <f>LCI!$E31*impact_process_end!N18</f>
        <v>0</v>
      </c>
      <c r="O27" s="23">
        <f>LCI!$E31*impact_process_end!O18</f>
        <v>0</v>
      </c>
      <c r="P27" s="23">
        <f>LCI!$E31*impact_process_end!P18</f>
        <v>0</v>
      </c>
      <c r="Q27" s="23">
        <f>LCI!$E31*impact_process_end!Q18</f>
        <v>0</v>
      </c>
      <c r="R27" s="23">
        <f>LCI!$E31*impact_process_end!R18</f>
        <v>0</v>
      </c>
      <c r="S27" s="23">
        <f>LCI!$E31*impact_process_end!S18</f>
        <v>0</v>
      </c>
      <c r="T27" s="23">
        <f>LCI!$E31*impact_process_end!T18</f>
        <v>7.1588336382046849E-6</v>
      </c>
      <c r="U27" s="23">
        <f>LCI!$E31*impact_process_end!U18</f>
        <v>0</v>
      </c>
      <c r="V27" s="23">
        <f>LCI!$E31*impact_process_end!V18</f>
        <v>0</v>
      </c>
      <c r="W27" s="23">
        <f>LCI!$E31*impact_process_end!W18</f>
        <v>0</v>
      </c>
      <c r="X27" s="23">
        <f>LCI!$E31*impact_process_end!X18</f>
        <v>0</v>
      </c>
      <c r="Y27" s="23">
        <f>LCI!$E31*impact_process_end!Y18</f>
        <v>8.431515173885516E-9</v>
      </c>
      <c r="Z27" s="23">
        <f>LCI!$E31*impact_process_end!Z18</f>
        <v>7.1588336382046849E-6</v>
      </c>
      <c r="AA27" s="23">
        <f>LCI!$E31*impact_process_end!AA18</f>
        <v>0</v>
      </c>
    </row>
    <row r="28" spans="1:29" x14ac:dyDescent="0.35">
      <c r="B28" t="s">
        <v>144</v>
      </c>
      <c r="C28" s="23">
        <f>LCI!$E32*impact_process_end!C15</f>
        <v>0</v>
      </c>
      <c r="D28" s="23">
        <f>LCI!$E32*impact_process_end!D15</f>
        <v>0</v>
      </c>
      <c r="E28" s="23">
        <f>LCI!$E32*impact_process_end!E15</f>
        <v>0</v>
      </c>
      <c r="F28" s="23">
        <f>LCI!$E32*impact_process_end!F15</f>
        <v>0</v>
      </c>
      <c r="G28" s="23">
        <f>LCI!$E32*impact_process_end!G15</f>
        <v>0</v>
      </c>
      <c r="H28" s="23">
        <f>LCI!$E32*impact_process_end!H15</f>
        <v>0</v>
      </c>
      <c r="I28" s="23">
        <f>LCI!$E32*impact_process_end!I15</f>
        <v>0</v>
      </c>
      <c r="J28" s="23">
        <f>LCI!$E32*impact_process_end!J15</f>
        <v>0</v>
      </c>
      <c r="K28" s="23">
        <f>LCI!$E32*impact_process_end!K15</f>
        <v>0</v>
      </c>
      <c r="L28" s="23">
        <f>LCI!$E32*impact_process_end!L15</f>
        <v>0</v>
      </c>
      <c r="M28" s="23">
        <f>LCI!$E32*impact_process_end!M15</f>
        <v>0</v>
      </c>
      <c r="N28" s="23">
        <f>LCI!$E32*impact_process_end!N15</f>
        <v>0</v>
      </c>
      <c r="O28" s="23">
        <f>LCI!$E32*impact_process_end!O15</f>
        <v>0</v>
      </c>
      <c r="P28" s="23">
        <f>LCI!$E32*impact_process_end!P15</f>
        <v>0</v>
      </c>
      <c r="Q28" s="23">
        <f>LCI!$E32*impact_process_end!Q15</f>
        <v>0</v>
      </c>
      <c r="R28" s="23">
        <f>LCI!$E32*impact_process_end!R15</f>
        <v>0</v>
      </c>
      <c r="S28" s="23">
        <f>LCI!$E32*impact_process_end!S15</f>
        <v>0</v>
      </c>
      <c r="T28" s="23">
        <f>LCI!$E32*impact_process_end!T15</f>
        <v>0</v>
      </c>
      <c r="U28" s="23">
        <f>LCI!$E32*impact_process_end!U15</f>
        <v>0</v>
      </c>
      <c r="V28" s="23">
        <f>LCI!$E32*impact_process_end!V15</f>
        <v>0</v>
      </c>
      <c r="W28" s="23">
        <f>LCI!$E32*impact_process_end!W15</f>
        <v>0</v>
      </c>
      <c r="X28" s="23">
        <f>LCI!$E32*impact_process_end!X15</f>
        <v>0</v>
      </c>
      <c r="Y28" s="23">
        <f>LCI!$E32*impact_process_end!Y15</f>
        <v>0</v>
      </c>
      <c r="Z28" s="23">
        <f>LCI!$E32*impact_process_end!Z15</f>
        <v>0</v>
      </c>
      <c r="AA28" s="23">
        <f>LCI!$E32*impact_process_end!AA15</f>
        <v>0</v>
      </c>
    </row>
    <row r="29" spans="1:29" x14ac:dyDescent="0.35">
      <c r="B29" t="s">
        <v>145</v>
      </c>
      <c r="C29" s="23">
        <f>LCI!$E33*impact_process_end!C21</f>
        <v>0</v>
      </c>
      <c r="D29" s="23">
        <f>LCI!$E33*impact_process_end!D21</f>
        <v>0</v>
      </c>
      <c r="E29" s="23">
        <f>LCI!$E33*impact_process_end!E21</f>
        <v>0</v>
      </c>
      <c r="F29" s="23">
        <f>LCI!$E33*impact_process_end!F21</f>
        <v>0</v>
      </c>
      <c r="G29" s="23">
        <f>LCI!$E33*impact_process_end!G21</f>
        <v>0</v>
      </c>
      <c r="H29" s="23">
        <f>LCI!$E33*impact_process_end!H21</f>
        <v>0</v>
      </c>
      <c r="I29" s="23">
        <f>LCI!$E33*impact_process_end!I21</f>
        <v>0</v>
      </c>
      <c r="J29" s="23">
        <f>LCI!$E33*impact_process_end!J21</f>
        <v>0</v>
      </c>
      <c r="K29" s="23">
        <f>LCI!$E33*impact_process_end!K21</f>
        <v>0</v>
      </c>
      <c r="L29" s="23">
        <f>LCI!$E33*impact_process_end!L21</f>
        <v>0</v>
      </c>
      <c r="M29" s="23">
        <f>LCI!$E33*impact_process_end!M21</f>
        <v>0</v>
      </c>
      <c r="N29" s="23">
        <f>LCI!$E33*impact_process_end!N21</f>
        <v>0</v>
      </c>
      <c r="O29" s="23">
        <f>LCI!$E33*impact_process_end!O21</f>
        <v>0</v>
      </c>
      <c r="P29" s="23">
        <f>LCI!$E33*impact_process_end!P21</f>
        <v>0</v>
      </c>
      <c r="Q29" s="23">
        <f>LCI!$E33*impact_process_end!Q21</f>
        <v>0</v>
      </c>
      <c r="R29" s="23">
        <f>LCI!$E33*impact_process_end!R21</f>
        <v>0</v>
      </c>
      <c r="S29" s="23">
        <f>LCI!$E33*impact_process_end!S21</f>
        <v>0</v>
      </c>
      <c r="T29" s="23">
        <f>LCI!$E33*impact_process_end!T21</f>
        <v>1.8374339671392024E-5</v>
      </c>
      <c r="U29" s="23">
        <f>LCI!$E33*impact_process_end!U21</f>
        <v>0</v>
      </c>
      <c r="V29" s="23">
        <f>LCI!$E33*impact_process_end!V21</f>
        <v>0</v>
      </c>
      <c r="W29" s="23">
        <f>LCI!$E33*impact_process_end!W21</f>
        <v>0</v>
      </c>
      <c r="X29" s="23">
        <f>LCI!$E33*impact_process_end!X21</f>
        <v>0</v>
      </c>
      <c r="Y29" s="23">
        <f>LCI!$E33*impact_process_end!Y21</f>
        <v>0</v>
      </c>
      <c r="Z29" s="23">
        <f>LCI!$E33*impact_process_end!Z21</f>
        <v>1.8374339671392024E-5</v>
      </c>
      <c r="AA29" s="23">
        <f>LCI!$E33*impact_process_end!AA21</f>
        <v>0</v>
      </c>
    </row>
    <row r="30" spans="1:29" x14ac:dyDescent="0.35">
      <c r="B30" t="s">
        <v>125</v>
      </c>
      <c r="C30" s="23">
        <f>LCI!$E34*impact_process_end!C12</f>
        <v>2.9251968821655085E-8</v>
      </c>
      <c r="D30" s="23">
        <f>LCI!$E34*impact_process_end!D12</f>
        <v>0</v>
      </c>
      <c r="E30" s="23">
        <f>LCI!$E34*impact_process_end!E12</f>
        <v>0</v>
      </c>
      <c r="F30" s="23">
        <f>LCI!$E34*impact_process_end!F12</f>
        <v>0</v>
      </c>
      <c r="G30" s="23">
        <f>LCI!$E34*impact_process_end!G12</f>
        <v>0</v>
      </c>
      <c r="H30" s="23">
        <f>LCI!$E34*impact_process_end!H12</f>
        <v>0</v>
      </c>
      <c r="I30" s="23">
        <f>LCI!$E34*impact_process_end!I12</f>
        <v>0</v>
      </c>
      <c r="J30" s="23">
        <f>LCI!$E34*impact_process_end!J12</f>
        <v>0</v>
      </c>
      <c r="K30" s="23">
        <f>LCI!$E34*impact_process_end!K12</f>
        <v>0</v>
      </c>
      <c r="L30" s="23">
        <f>LCI!$E34*impact_process_end!L12</f>
        <v>4.9456146500570197E-8</v>
      </c>
      <c r="M30" s="23">
        <f>LCI!$E34*impact_process_end!M12</f>
        <v>0</v>
      </c>
      <c r="N30" s="23">
        <f>LCI!$E34*impact_process_end!N12</f>
        <v>0</v>
      </c>
      <c r="O30" s="23">
        <f>LCI!$E34*impact_process_end!O12</f>
        <v>0</v>
      </c>
      <c r="P30" s="23">
        <f>LCI!$E34*impact_process_end!P12</f>
        <v>0</v>
      </c>
      <c r="Q30" s="23">
        <f>LCI!$E34*impact_process_end!Q12</f>
        <v>0</v>
      </c>
      <c r="R30" s="23">
        <f>LCI!$E34*impact_process_end!R12</f>
        <v>0</v>
      </c>
      <c r="S30" s="23">
        <f>LCI!$E34*impact_process_end!S12</f>
        <v>0</v>
      </c>
      <c r="T30" s="23">
        <f>LCI!$E34*impact_process_end!T12</f>
        <v>2.65299638592206E-5</v>
      </c>
      <c r="U30" s="23">
        <f>LCI!$E34*impact_process_end!U12</f>
        <v>3.4887669236836335E-7</v>
      </c>
      <c r="V30" s="23">
        <f>LCI!$E34*impact_process_end!V12</f>
        <v>0</v>
      </c>
      <c r="W30" s="23">
        <f>LCI!$E34*impact_process_end!W12</f>
        <v>0</v>
      </c>
      <c r="X30" s="23">
        <f>LCI!$E34*impact_process_end!X12</f>
        <v>0</v>
      </c>
      <c r="Y30" s="23">
        <f>LCI!$E34*impact_process_end!Y12</f>
        <v>7.8708115322225282E-8</v>
      </c>
      <c r="Z30" s="23">
        <f>LCI!$E34*impact_process_end!Z12</f>
        <v>2.6878840551588967E-5</v>
      </c>
      <c r="AA30" s="23">
        <f>LCI!$E34*impact_process_end!AA12</f>
        <v>0</v>
      </c>
      <c r="AB30" s="5"/>
      <c r="AC30" s="5"/>
    </row>
    <row r="31" spans="1:29" x14ac:dyDescent="0.35">
      <c r="B31" t="s">
        <v>111</v>
      </c>
      <c r="C31" s="23">
        <f>LCI!$E35*impact_process_end!C17</f>
        <v>5.0379843853888092E-9</v>
      </c>
      <c r="D31" s="23">
        <f>LCI!$E35*impact_process_end!D17</f>
        <v>0</v>
      </c>
      <c r="E31" s="23">
        <f>LCI!$E35*impact_process_end!E17</f>
        <v>0</v>
      </c>
      <c r="F31" s="23">
        <f>LCI!$E35*impact_process_end!F17</f>
        <v>0</v>
      </c>
      <c r="G31" s="23">
        <f>LCI!$E35*impact_process_end!G17</f>
        <v>0</v>
      </c>
      <c r="H31" s="23">
        <f>LCI!$E35*impact_process_end!H17</f>
        <v>0</v>
      </c>
      <c r="I31" s="23">
        <f>LCI!$E35*impact_process_end!I17</f>
        <v>0</v>
      </c>
      <c r="J31" s="23">
        <f>LCI!$E35*impact_process_end!J17</f>
        <v>0</v>
      </c>
      <c r="K31" s="23">
        <f>LCI!$E35*impact_process_end!K17</f>
        <v>0</v>
      </c>
      <c r="L31" s="23">
        <f>LCI!$E35*impact_process_end!L17</f>
        <v>0</v>
      </c>
      <c r="M31" s="23">
        <f>LCI!$E35*impact_process_end!M17</f>
        <v>0</v>
      </c>
      <c r="N31" s="23">
        <f>LCI!$E35*impact_process_end!N17</f>
        <v>0</v>
      </c>
      <c r="O31" s="23">
        <f>LCI!$E35*impact_process_end!O17</f>
        <v>0</v>
      </c>
      <c r="P31" s="23">
        <f>LCI!$E35*impact_process_end!P17</f>
        <v>0</v>
      </c>
      <c r="Q31" s="23">
        <f>LCI!$E35*impact_process_end!Q17</f>
        <v>0</v>
      </c>
      <c r="R31" s="23">
        <f>LCI!$E35*impact_process_end!R17</f>
        <v>0</v>
      </c>
      <c r="S31" s="23">
        <f>LCI!$E35*impact_process_end!S17</f>
        <v>0</v>
      </c>
      <c r="T31" s="23">
        <f>LCI!$E35*impact_process_end!T17</f>
        <v>1.8165809081930802E-6</v>
      </c>
      <c r="U31" s="23">
        <f>LCI!$E35*impact_process_end!U17</f>
        <v>0</v>
      </c>
      <c r="V31" s="23">
        <f>LCI!$E35*impact_process_end!V17</f>
        <v>0</v>
      </c>
      <c r="W31" s="23">
        <f>LCI!$E35*impact_process_end!W17</f>
        <v>0</v>
      </c>
      <c r="X31" s="23">
        <f>LCI!$E35*impact_process_end!X17</f>
        <v>0</v>
      </c>
      <c r="Y31" s="23">
        <f>LCI!$E35*impact_process_end!Y17</f>
        <v>5.0379843853888092E-9</v>
      </c>
      <c r="Z31" s="23">
        <f>LCI!$E35*impact_process_end!Z17</f>
        <v>1.8165809081930802E-6</v>
      </c>
      <c r="AA31" s="23">
        <f>LCI!$E35*impact_process_end!AA17</f>
        <v>0</v>
      </c>
    </row>
    <row r="32" spans="1:29" x14ac:dyDescent="0.35">
      <c r="B32" t="s">
        <v>124</v>
      </c>
      <c r="C32" s="23">
        <f>LCI!$E36*impact_process_end!C16</f>
        <v>0</v>
      </c>
      <c r="D32" s="23">
        <f>LCI!$E36*impact_process_end!D16</f>
        <v>0</v>
      </c>
      <c r="E32" s="23">
        <f>LCI!$E36*impact_process_end!E16</f>
        <v>0</v>
      </c>
      <c r="F32" s="23">
        <f>LCI!$E36*impact_process_end!F16</f>
        <v>0</v>
      </c>
      <c r="G32" s="23">
        <f>LCI!$E36*impact_process_end!G16</f>
        <v>0</v>
      </c>
      <c r="H32" s="23">
        <f>LCI!$E36*impact_process_end!H16</f>
        <v>0</v>
      </c>
      <c r="I32" s="23">
        <f>LCI!$E36*impact_process_end!I16</f>
        <v>0</v>
      </c>
      <c r="J32" s="23">
        <f>LCI!$E36*impact_process_end!J16</f>
        <v>0</v>
      </c>
      <c r="K32" s="23">
        <f>LCI!$E36*impact_process_end!K16</f>
        <v>0</v>
      </c>
      <c r="L32" s="23">
        <f>LCI!$E36*impact_process_end!L16</f>
        <v>0</v>
      </c>
      <c r="M32" s="23">
        <f>LCI!$E36*impact_process_end!M16</f>
        <v>0</v>
      </c>
      <c r="N32" s="23">
        <f>LCI!$E36*impact_process_end!N16</f>
        <v>0</v>
      </c>
      <c r="O32" s="23">
        <f>LCI!$E36*impact_process_end!O16</f>
        <v>0</v>
      </c>
      <c r="P32" s="23">
        <f>LCI!$E36*impact_process_end!P16</f>
        <v>0</v>
      </c>
      <c r="Q32" s="23">
        <f>LCI!$E36*impact_process_end!Q16</f>
        <v>0</v>
      </c>
      <c r="R32" s="23">
        <f>LCI!$E36*impact_process_end!R16</f>
        <v>0</v>
      </c>
      <c r="S32" s="23">
        <f>LCI!$E36*impact_process_end!S16</f>
        <v>0</v>
      </c>
      <c r="T32" s="23">
        <f>LCI!$E36*impact_process_end!T16</f>
        <v>0</v>
      </c>
      <c r="U32" s="23">
        <f>LCI!$E36*impact_process_end!U16</f>
        <v>0</v>
      </c>
      <c r="V32" s="23">
        <f>LCI!$E36*impact_process_end!V16</f>
        <v>0</v>
      </c>
      <c r="W32" s="23">
        <f>LCI!$E36*impact_process_end!W16</f>
        <v>0</v>
      </c>
      <c r="X32" s="23">
        <f>LCI!$E36*impact_process_end!X16</f>
        <v>0</v>
      </c>
      <c r="Y32" s="23">
        <f>LCI!$E36*impact_process_end!Y16</f>
        <v>0</v>
      </c>
      <c r="Z32" s="23">
        <f>LCI!$E36*impact_process_end!Z16</f>
        <v>0</v>
      </c>
      <c r="AA32" s="23">
        <f>LCI!$E36*impact_process_end!AA16</f>
        <v>0</v>
      </c>
    </row>
    <row r="33" spans="1:29" x14ac:dyDescent="0.35">
      <c r="B33" t="s">
        <v>146</v>
      </c>
      <c r="C33" s="23">
        <f>LCI!$E37*impact_process_end!C13</f>
        <v>0</v>
      </c>
      <c r="D33" s="23">
        <f>LCI!$E37*impact_process_end!D13</f>
        <v>0</v>
      </c>
      <c r="E33" s="23">
        <f>LCI!$E37*impact_process_end!E13</f>
        <v>0</v>
      </c>
      <c r="F33" s="23">
        <f>LCI!$E37*impact_process_end!F13</f>
        <v>0</v>
      </c>
      <c r="G33" s="23">
        <f>LCI!$E37*impact_process_end!G13</f>
        <v>0</v>
      </c>
      <c r="H33" s="23">
        <f>LCI!$E37*impact_process_end!H13</f>
        <v>0</v>
      </c>
      <c r="I33" s="23">
        <f>LCI!$E37*impact_process_end!I13</f>
        <v>0</v>
      </c>
      <c r="J33" s="23">
        <f>LCI!$E37*impact_process_end!J13</f>
        <v>0</v>
      </c>
      <c r="K33" s="23">
        <f>LCI!$E37*impact_process_end!K13</f>
        <v>0</v>
      </c>
      <c r="L33" s="23">
        <f>LCI!$E37*impact_process_end!L13</f>
        <v>7.2094255956478515E-10</v>
      </c>
      <c r="M33" s="23">
        <f>LCI!$E37*impact_process_end!M13</f>
        <v>0</v>
      </c>
      <c r="N33" s="23">
        <f>LCI!$E37*impact_process_end!N13</f>
        <v>0</v>
      </c>
      <c r="O33" s="23">
        <f>LCI!$E37*impact_process_end!O13</f>
        <v>0</v>
      </c>
      <c r="P33" s="23">
        <f>LCI!$E37*impact_process_end!P13</f>
        <v>0</v>
      </c>
      <c r="Q33" s="23">
        <f>LCI!$E37*impact_process_end!Q13</f>
        <v>0</v>
      </c>
      <c r="R33" s="23">
        <f>LCI!$E37*impact_process_end!R13</f>
        <v>0</v>
      </c>
      <c r="S33" s="23">
        <f>LCI!$E37*impact_process_end!S13</f>
        <v>0</v>
      </c>
      <c r="T33" s="23">
        <f>LCI!$E37*impact_process_end!T13</f>
        <v>0</v>
      </c>
      <c r="U33" s="23">
        <f>LCI!$E37*impact_process_end!U13</f>
        <v>3.1613524002306088E-9</v>
      </c>
      <c r="V33" s="23">
        <f>LCI!$E37*impact_process_end!V13</f>
        <v>0</v>
      </c>
      <c r="W33" s="23">
        <f>LCI!$E37*impact_process_end!W13</f>
        <v>0</v>
      </c>
      <c r="X33" s="23">
        <f>LCI!$E37*impact_process_end!X13</f>
        <v>0</v>
      </c>
      <c r="Y33" s="23">
        <f>LCI!$E37*impact_process_end!Y13</f>
        <v>7.2094255956478515E-10</v>
      </c>
      <c r="Z33" s="23">
        <f>LCI!$E37*impact_process_end!Z13</f>
        <v>3.1613524002306088E-9</v>
      </c>
      <c r="AA33" s="23">
        <f>LCI!$E37*impact_process_end!AA13</f>
        <v>0</v>
      </c>
    </row>
    <row r="34" spans="1:29" x14ac:dyDescent="0.35">
      <c r="B34" t="s">
        <v>251</v>
      </c>
      <c r="C34" s="23">
        <f>LCI!$E38*impact_process_end!C2</f>
        <v>1.1675641318029139E-11</v>
      </c>
      <c r="D34" s="23">
        <f>LCI!$E38*impact_process_end!D2</f>
        <v>3.6965697884490001E-15</v>
      </c>
      <c r="E34" s="23">
        <f>LCI!$E38*impact_process_end!E2</f>
        <v>1.3533820911293273E-10</v>
      </c>
      <c r="F34" s="23">
        <f>LCI!$E38*impact_process_end!F2</f>
        <v>2.6122657411861932E-12</v>
      </c>
      <c r="G34" s="23">
        <f>LCI!$E38*impact_process_end!G2</f>
        <v>5.0233788070126224E-13</v>
      </c>
      <c r="H34" s="23">
        <f>LCI!$E38*impact_process_end!H2</f>
        <v>3.9426687830644907E-12</v>
      </c>
      <c r="I34" s="23">
        <f>LCI!$E38*impact_process_end!I2</f>
        <v>6.2540145846128131E-12</v>
      </c>
      <c r="J34" s="23">
        <f>LCI!$E38*impact_process_end!J2</f>
        <v>1.1961877315016876E-14</v>
      </c>
      <c r="K34" s="23">
        <f>LCI!$E38*impact_process_end!K2</f>
        <v>1.5385358856837616E-11</v>
      </c>
      <c r="L34" s="23">
        <f>LCI!$E38*impact_process_end!L2</f>
        <v>7.0810268302033437E-12</v>
      </c>
      <c r="M34" s="23">
        <f>LCI!$E38*impact_process_end!M2</f>
        <v>1.1524942027123834E-15</v>
      </c>
      <c r="N34" s="23">
        <f>LCI!$E38*impact_process_end!N2</f>
        <v>2.5759390292412544E-11</v>
      </c>
      <c r="O34" s="23">
        <f>LCI!$E38*impact_process_end!O2</f>
        <v>4.4847906154674425E-8</v>
      </c>
      <c r="P34" s="23">
        <f>LCI!$E38*impact_process_end!P2</f>
        <v>1.194935841402092E-8</v>
      </c>
      <c r="Q34" s="23">
        <f>LCI!$E38*impact_process_end!Q2</f>
        <v>1.7742945526955702E-8</v>
      </c>
      <c r="R34" s="23">
        <f>LCI!$E38*impact_process_end!R2</f>
        <v>2.8399421015427207E-9</v>
      </c>
      <c r="S34" s="23">
        <f>LCI!$E38*impact_process_end!S2</f>
        <v>2.7934760546145026E-11</v>
      </c>
      <c r="T34" s="23">
        <f>LCI!$E38*impact_process_end!T2</f>
        <v>1.9198709907347601E-8</v>
      </c>
      <c r="U34" s="23">
        <f>LCI!$E38*impact_process_end!U2</f>
        <v>4.52515877494237E-11</v>
      </c>
      <c r="V34" s="23">
        <f>LCI!$E38*impact_process_end!V2</f>
        <v>4.2359886258633962E-9</v>
      </c>
      <c r="W34" s="23">
        <f>LCI!$E38*impact_process_end!W2</f>
        <v>4.9788023543773157E-3</v>
      </c>
      <c r="X34" s="23">
        <f>LCI!$E38*impact_process_end!X2</f>
        <v>2.495587603090098E-4</v>
      </c>
      <c r="Y34" s="23">
        <f>LCI!$E38*impact_process_end!Y2</f>
        <v>1.8280810157496435E-10</v>
      </c>
      <c r="Z34" s="23">
        <f>LCI!$E38*impact_process_end!Z2</f>
        <v>1.0088790033850999E-7</v>
      </c>
      <c r="AA34" s="23">
        <f>LCI!$E38*impact_process_end!AA2</f>
        <v>5.2283611404457166E-3</v>
      </c>
    </row>
    <row r="36" spans="1:29" x14ac:dyDescent="0.35">
      <c r="A36" t="s">
        <v>260</v>
      </c>
    </row>
    <row r="37" spans="1:29" x14ac:dyDescent="0.35">
      <c r="B37" s="2" t="s">
        <v>98</v>
      </c>
    </row>
    <row r="38" spans="1:29" x14ac:dyDescent="0.35">
      <c r="B38" s="2" t="s">
        <v>97</v>
      </c>
      <c r="C38" s="22">
        <f>LCI!$E44*impact_process_end!C11</f>
        <v>0</v>
      </c>
      <c r="D38" s="22">
        <f>LCI!$E44*impact_process_end!D11</f>
        <v>4.5236848735989349E-12</v>
      </c>
      <c r="E38" s="22">
        <f>LCI!$E44*impact_process_end!E11</f>
        <v>1.6563646152562256E-7</v>
      </c>
      <c r="F38" s="22">
        <f>LCI!$E44*impact_process_end!F11</f>
        <v>0</v>
      </c>
      <c r="G38" s="22">
        <f>LCI!$E44*impact_process_end!G11</f>
        <v>0</v>
      </c>
      <c r="H38" s="22">
        <f>LCI!$E44*impact_process_end!H11</f>
        <v>0</v>
      </c>
      <c r="I38" s="22">
        <f>LCI!$E44*impact_process_end!I11</f>
        <v>0</v>
      </c>
      <c r="J38" s="22">
        <f>LCI!$E44*impact_process_end!J11</f>
        <v>0</v>
      </c>
      <c r="K38" s="22">
        <f>LCI!$E44*impact_process_end!K11</f>
        <v>0</v>
      </c>
      <c r="L38" s="22">
        <f>LCI!$E44*impact_process_end!L11</f>
        <v>0</v>
      </c>
      <c r="M38" s="22">
        <f>LCI!$E44*impact_process_end!M11</f>
        <v>0</v>
      </c>
      <c r="N38" s="22">
        <f>LCI!$E44*impact_process_end!N11</f>
        <v>0</v>
      </c>
      <c r="O38" s="22">
        <f>LCI!$E44*impact_process_end!O11</f>
        <v>5.4980170002202452E-5</v>
      </c>
      <c r="P38" s="22">
        <f>LCI!$E44*impact_process_end!P11</f>
        <v>0</v>
      </c>
      <c r="Q38" s="22">
        <f>LCI!$E44*impact_process_end!Q11</f>
        <v>0</v>
      </c>
      <c r="R38" s="22">
        <f>LCI!$E44*impact_process_end!R11</f>
        <v>0</v>
      </c>
      <c r="S38" s="22">
        <f>LCI!$E44*impact_process_end!S11</f>
        <v>0</v>
      </c>
      <c r="T38" s="22">
        <f>LCI!$E44*impact_process_end!T11</f>
        <v>0</v>
      </c>
      <c r="U38" s="22">
        <f>LCI!$E44*impact_process_end!U11</f>
        <v>0</v>
      </c>
      <c r="V38" s="22">
        <f>LCI!$E44*impact_process_end!V11</f>
        <v>0</v>
      </c>
      <c r="W38" s="22">
        <f>LCI!$E44*impact_process_end!W11</f>
        <v>0</v>
      </c>
      <c r="X38" s="22">
        <f>LCI!$E44*impact_process_end!X11</f>
        <v>0</v>
      </c>
      <c r="Y38" s="22">
        <f>LCI!$E44*impact_process_end!Y11</f>
        <v>1.6564098521049615E-7</v>
      </c>
      <c r="Z38" s="22">
        <f>LCI!$E44*impact_process_end!Z11</f>
        <v>5.4980170002202452E-5</v>
      </c>
      <c r="AA38" s="22">
        <f>LCI!$E44*impact_process_end!AA11</f>
        <v>0</v>
      </c>
    </row>
    <row r="39" spans="1:29" x14ac:dyDescent="0.35">
      <c r="B39" s="2" t="s">
        <v>142</v>
      </c>
      <c r="C39" s="23">
        <f>LCI!$E45*impact_process_end!C23</f>
        <v>0</v>
      </c>
      <c r="D39" s="23">
        <f>LCI!$E45*impact_process_end!D23</f>
        <v>0</v>
      </c>
      <c r="E39" s="23">
        <f>LCI!$E45*impact_process_end!E23</f>
        <v>0</v>
      </c>
      <c r="F39" s="23">
        <f>LCI!$E45*impact_process_end!F23</f>
        <v>0</v>
      </c>
      <c r="G39" s="23">
        <f>LCI!$E45*impact_process_end!G23</f>
        <v>0</v>
      </c>
      <c r="H39" s="23">
        <f>LCI!$E45*impact_process_end!H23</f>
        <v>0</v>
      </c>
      <c r="I39" s="23">
        <f>LCI!$E45*impact_process_end!I23</f>
        <v>0</v>
      </c>
      <c r="J39" s="23">
        <f>LCI!$E45*impact_process_end!J23</f>
        <v>0</v>
      </c>
      <c r="K39" s="23">
        <f>LCI!$E45*impact_process_end!K23</f>
        <v>0</v>
      </c>
      <c r="L39" s="23">
        <f>LCI!$E45*impact_process_end!L23</f>
        <v>0</v>
      </c>
      <c r="M39" s="23">
        <f>LCI!$E45*impact_process_end!M23</f>
        <v>0</v>
      </c>
      <c r="N39" s="23">
        <f>LCI!$E45*impact_process_end!N23</f>
        <v>0</v>
      </c>
      <c r="O39" s="23">
        <f>LCI!$E45*impact_process_end!O23</f>
        <v>0</v>
      </c>
      <c r="P39" s="23">
        <f>LCI!$E45*impact_process_end!P23</f>
        <v>0</v>
      </c>
      <c r="Q39" s="23">
        <f>LCI!$E45*impact_process_end!Q23</f>
        <v>0</v>
      </c>
      <c r="R39" s="23">
        <f>LCI!$E45*impact_process_end!R23</f>
        <v>0</v>
      </c>
      <c r="S39" s="23">
        <f>LCI!$E45*impact_process_end!S23</f>
        <v>0</v>
      </c>
      <c r="T39" s="23">
        <f>LCI!$E45*impact_process_end!T23</f>
        <v>0</v>
      </c>
      <c r="U39" s="23">
        <f>LCI!$E45*impact_process_end!U23</f>
        <v>0</v>
      </c>
      <c r="V39" s="23">
        <f>LCI!$E45*impact_process_end!V23</f>
        <v>0</v>
      </c>
      <c r="W39" s="23">
        <f>LCI!$E45*impact_process_end!W23</f>
        <v>0</v>
      </c>
      <c r="X39" s="23">
        <f>LCI!$E45*impact_process_end!X23</f>
        <v>0</v>
      </c>
      <c r="Y39" s="23">
        <f>LCI!$E45*impact_process_end!Y23</f>
        <v>0</v>
      </c>
      <c r="Z39" s="23">
        <f>LCI!$E45*impact_process_end!Z23</f>
        <v>0</v>
      </c>
      <c r="AA39" s="23">
        <f>LCI!$E45*impact_process_end!AA23</f>
        <v>0</v>
      </c>
    </row>
    <row r="40" spans="1:29" x14ac:dyDescent="0.35">
      <c r="B40" s="2" t="s">
        <v>143</v>
      </c>
      <c r="C40" s="23">
        <f>LCI!$E46*impact_process_end!C18</f>
        <v>3.1307078363107551E-10</v>
      </c>
      <c r="D40" s="23">
        <f>LCI!$E46*impact_process_end!D18</f>
        <v>0</v>
      </c>
      <c r="E40" s="23">
        <f>LCI!$E46*impact_process_end!E18</f>
        <v>0</v>
      </c>
      <c r="F40" s="23">
        <f>LCI!$E46*impact_process_end!F18</f>
        <v>0</v>
      </c>
      <c r="G40" s="23">
        <f>LCI!$E46*impact_process_end!G18</f>
        <v>0</v>
      </c>
      <c r="H40" s="23">
        <f>LCI!$E46*impact_process_end!H18</f>
        <v>0</v>
      </c>
      <c r="I40" s="23">
        <f>LCI!$E46*impact_process_end!I18</f>
        <v>0</v>
      </c>
      <c r="J40" s="23">
        <f>LCI!$E46*impact_process_end!J18</f>
        <v>0</v>
      </c>
      <c r="K40" s="23">
        <f>LCI!$E46*impact_process_end!K18</f>
        <v>0</v>
      </c>
      <c r="L40" s="23">
        <f>LCI!$E46*impact_process_end!L18</f>
        <v>0</v>
      </c>
      <c r="M40" s="23">
        <f>LCI!$E46*impact_process_end!M18</f>
        <v>0</v>
      </c>
      <c r="N40" s="23">
        <f>LCI!$E46*impact_process_end!N18</f>
        <v>0</v>
      </c>
      <c r="O40" s="23">
        <f>LCI!$E46*impact_process_end!O18</f>
        <v>0</v>
      </c>
      <c r="P40" s="23">
        <f>LCI!$E46*impact_process_end!P18</f>
        <v>0</v>
      </c>
      <c r="Q40" s="23">
        <f>LCI!$E46*impact_process_end!Q18</f>
        <v>0</v>
      </c>
      <c r="R40" s="23">
        <f>LCI!$E46*impact_process_end!R18</f>
        <v>0</v>
      </c>
      <c r="S40" s="23">
        <f>LCI!$E46*impact_process_end!S18</f>
        <v>0</v>
      </c>
      <c r="T40" s="23">
        <f>LCI!$E46*impact_process_end!T18</f>
        <v>2.6581481629053587E-7</v>
      </c>
      <c r="U40" s="23">
        <f>LCI!$E46*impact_process_end!U18</f>
        <v>0</v>
      </c>
      <c r="V40" s="23">
        <f>LCI!$E46*impact_process_end!V18</f>
        <v>0</v>
      </c>
      <c r="W40" s="23">
        <f>LCI!$E46*impact_process_end!W18</f>
        <v>0</v>
      </c>
      <c r="X40" s="23">
        <f>LCI!$E46*impact_process_end!X18</f>
        <v>0</v>
      </c>
      <c r="Y40" s="23">
        <f>LCI!$E46*impact_process_end!Y18</f>
        <v>3.1307078363107551E-10</v>
      </c>
      <c r="Z40" s="23">
        <f>LCI!$E46*impact_process_end!Z18</f>
        <v>2.6581481629053587E-7</v>
      </c>
      <c r="AA40" s="23">
        <f>LCI!$E46*impact_process_end!AA18</f>
        <v>0</v>
      </c>
    </row>
    <row r="41" spans="1:29" x14ac:dyDescent="0.35">
      <c r="B41" s="2" t="s">
        <v>8</v>
      </c>
      <c r="C41" s="22">
        <f>LCI!$E47*impact_process_end!C2</f>
        <v>1.4594551647536424E-9</v>
      </c>
      <c r="D41" s="22">
        <f>LCI!$E47*impact_process_end!D2</f>
        <v>4.6207122355612501E-13</v>
      </c>
      <c r="E41" s="22">
        <f>LCI!$E47*impact_process_end!E2</f>
        <v>1.6917276139116593E-8</v>
      </c>
      <c r="F41" s="22">
        <f>LCI!$E47*impact_process_end!F2</f>
        <v>3.2653321764827416E-10</v>
      </c>
      <c r="G41" s="22">
        <f>LCI!$E47*impact_process_end!G2</f>
        <v>6.2792235087657778E-11</v>
      </c>
      <c r="H41" s="22">
        <f>LCI!$E47*impact_process_end!H2</f>
        <v>4.9283359788306134E-10</v>
      </c>
      <c r="I41" s="22">
        <f>LCI!$E47*impact_process_end!I2</f>
        <v>7.8175182307660167E-10</v>
      </c>
      <c r="J41" s="22">
        <f>LCI!$E47*impact_process_end!J2</f>
        <v>1.4952346643771094E-12</v>
      </c>
      <c r="K41" s="22">
        <f>LCI!$E47*impact_process_end!K2</f>
        <v>1.9231698571047019E-9</v>
      </c>
      <c r="L41" s="22">
        <f>LCI!$E47*impact_process_end!L2</f>
        <v>8.8512835377541797E-10</v>
      </c>
      <c r="M41" s="22">
        <f>LCI!$E47*impact_process_end!M2</f>
        <v>1.4406177533904793E-13</v>
      </c>
      <c r="N41" s="22">
        <f>LCI!$E47*impact_process_end!N2</f>
        <v>3.2199237865515679E-9</v>
      </c>
      <c r="O41" s="22">
        <f>LCI!$E47*impact_process_end!O2</f>
        <v>5.6059882693343035E-6</v>
      </c>
      <c r="P41" s="22">
        <f>LCI!$E47*impact_process_end!P2</f>
        <v>1.4936698017526148E-6</v>
      </c>
      <c r="Q41" s="22">
        <f>LCI!$E47*impact_process_end!Q2</f>
        <v>2.2178681908694624E-6</v>
      </c>
      <c r="R41" s="22">
        <f>LCI!$E47*impact_process_end!R2</f>
        <v>3.5499276269284007E-7</v>
      </c>
      <c r="S41" s="22">
        <f>LCI!$E47*impact_process_end!S2</f>
        <v>3.4918450682681281E-9</v>
      </c>
      <c r="T41" s="22">
        <f>LCI!$E47*impact_process_end!T2</f>
        <v>2.3998387384184499E-6</v>
      </c>
      <c r="U41" s="22">
        <f>LCI!$E47*impact_process_end!U2</f>
        <v>5.6564484686779626E-9</v>
      </c>
      <c r="V41" s="22">
        <f>LCI!$E47*impact_process_end!V2</f>
        <v>5.2949857823292453E-7</v>
      </c>
      <c r="W41" s="22">
        <f>LCI!$E47*impact_process_end!W2</f>
        <v>0.62235029429716437</v>
      </c>
      <c r="X41" s="22">
        <f>LCI!$E47*impact_process_end!X2</f>
        <v>3.1194845038626223E-2</v>
      </c>
      <c r="Y41" s="22">
        <f>LCI!$E47*impact_process_end!Y2</f>
        <v>2.2851012696870541E-8</v>
      </c>
      <c r="Z41" s="22">
        <f>LCI!$E47*impact_process_end!Z2</f>
        <v>1.2610987542313749E-5</v>
      </c>
      <c r="AA41" s="22">
        <f>LCI!$E47*impact_process_end!AA2</f>
        <v>0.6535451425557145</v>
      </c>
    </row>
    <row r="42" spans="1:29" x14ac:dyDescent="0.35">
      <c r="B42" s="2" t="s">
        <v>128</v>
      </c>
      <c r="C42" s="23">
        <f>LCI!$E48*impact_process_end!C29</f>
        <v>6.5884186487218271E-10</v>
      </c>
      <c r="D42" s="23">
        <f>LCI!$E48*impact_process_end!D29</f>
        <v>5.1785893710388797E-14</v>
      </c>
      <c r="E42" s="23">
        <f>LCI!$E48*impact_process_end!E29</f>
        <v>1.8961812324160067E-9</v>
      </c>
      <c r="F42" s="23">
        <f>LCI!$E48*impact_process_end!F29</f>
        <v>7.6277221674632713E-12</v>
      </c>
      <c r="G42" s="23">
        <f>LCI!$E48*impact_process_end!G29</f>
        <v>1.6038696843258282E-12</v>
      </c>
      <c r="H42" s="23">
        <f>LCI!$E48*impact_process_end!H29</f>
        <v>8.624951086761674E-12</v>
      </c>
      <c r="I42" s="23">
        <f>LCI!$E48*impact_process_end!I29</f>
        <v>1.8022961945768469E-10</v>
      </c>
      <c r="J42" s="23">
        <f>LCI!$E48*impact_process_end!J29</f>
        <v>3.09730792936945E-14</v>
      </c>
      <c r="K42" s="23">
        <f>LCI!$E48*impact_process_end!K29</f>
        <v>6.967154848049551E-11</v>
      </c>
      <c r="L42" s="23">
        <f>LCI!$E48*impact_process_end!L29</f>
        <v>2.0362555053957767E-10</v>
      </c>
      <c r="M42" s="23">
        <f>LCI!$E48*impact_process_end!M29</f>
        <v>1.0924512564082287E-15</v>
      </c>
      <c r="N42" s="23">
        <f>LCI!$E48*impact_process_end!N29</f>
        <v>2.4417370797203793E-11</v>
      </c>
      <c r="O42" s="23">
        <f>LCI!$E48*impact_process_end!O29</f>
        <v>6.2829293637230939E-7</v>
      </c>
      <c r="P42" s="23">
        <f>LCI!$E48*impact_process_end!P29</f>
        <v>8.1033972364567177E-8</v>
      </c>
      <c r="Q42" s="23">
        <f>LCI!$E48*impact_process_end!Q29</f>
        <v>1.0830568265318656E-7</v>
      </c>
      <c r="R42" s="23">
        <f>LCI!$E48*impact_process_end!R29</f>
        <v>2.0580532644476257E-10</v>
      </c>
      <c r="S42" s="23">
        <f>LCI!$E48*impact_process_end!S29</f>
        <v>6.7631622985483681E-11</v>
      </c>
      <c r="T42" s="23">
        <f>LCI!$E48*impact_process_end!T29</f>
        <v>7.4742824076870398E-7</v>
      </c>
      <c r="U42" s="23">
        <f>LCI!$E48*impact_process_end!U29</f>
        <v>1.4093917721150411E-9</v>
      </c>
      <c r="V42" s="23">
        <f>LCI!$E48*impact_process_end!V29</f>
        <v>4.015300975540179E-9</v>
      </c>
      <c r="W42" s="23">
        <f>LCI!$E48*impact_process_end!W29</f>
        <v>2.8422636104881629E-2</v>
      </c>
      <c r="X42" s="23">
        <f>LCI!$E48*impact_process_end!X29</f>
        <v>4.7350867269646031E-4</v>
      </c>
      <c r="Y42" s="23">
        <f>LCI!$E48*impact_process_end!Y29</f>
        <v>3.0264707474559812E-9</v>
      </c>
      <c r="Z42" s="23">
        <f>LCI!$E48*impact_process_end!Z29</f>
        <v>1.5707516410510342E-6</v>
      </c>
      <c r="AA42" s="23">
        <f>LCI!$E48*impact_process_end!AA29</f>
        <v>2.8896144801995462E-2</v>
      </c>
      <c r="AB42" s="23"/>
    </row>
    <row r="43" spans="1:29" x14ac:dyDescent="0.35">
      <c r="B43" s="2" t="s">
        <v>135</v>
      </c>
      <c r="C43" s="23">
        <f>LCI!$E49*impact_process_end!C30</f>
        <v>1.2095879844313676E-8</v>
      </c>
      <c r="D43" s="23">
        <f>LCI!$E49*impact_process_end!D30</f>
        <v>1.0799137421661179E-12</v>
      </c>
      <c r="E43" s="23">
        <f>LCI!$E49*impact_process_end!E30</f>
        <v>3.9540724993470645E-8</v>
      </c>
      <c r="F43" s="23">
        <f>LCI!$E49*impact_process_end!F30</f>
        <v>7.3008329897713786E-10</v>
      </c>
      <c r="G43" s="23">
        <f>LCI!$E49*impact_process_end!G30</f>
        <v>1.4965971804039817E-10</v>
      </c>
      <c r="H43" s="23">
        <f>LCI!$E49*impact_process_end!H30</f>
        <v>1.0371591350261682E-9</v>
      </c>
      <c r="I43" s="23">
        <f>LCI!$E49*impact_process_end!I30</f>
        <v>3.5508730021655939E-9</v>
      </c>
      <c r="J43" s="23">
        <f>LCI!$E49*impact_process_end!J30</f>
        <v>1.1520616144062349E-12</v>
      </c>
      <c r="K43" s="23">
        <f>LCI!$E49*impact_process_end!K30</f>
        <v>2.8937095797018065E-9</v>
      </c>
      <c r="L43" s="23">
        <f>LCI!$E49*impact_process_end!L30</f>
        <v>5.1333262732240587E-9</v>
      </c>
      <c r="M43" s="23">
        <f>LCI!$E49*impact_process_end!M30</f>
        <v>1.1952125739712959E-13</v>
      </c>
      <c r="N43" s="23">
        <f>LCI!$E49*impact_process_end!N30</f>
        <v>2.6714188325517383E-9</v>
      </c>
      <c r="O43" s="23">
        <f>LCI!$E49*impact_process_end!O30</f>
        <v>1.3101965581928228E-5</v>
      </c>
      <c r="P43" s="23">
        <f>LCI!$E49*impact_process_end!P30</f>
        <v>1.555208202711014E-5</v>
      </c>
      <c r="Q43" s="23">
        <f>LCI!$E49*impact_process_end!Q30</f>
        <v>5.3412563376931215E-6</v>
      </c>
      <c r="R43" s="23">
        <f>LCI!$E49*impact_process_end!R30</f>
        <v>6.5037463774812661E-9</v>
      </c>
      <c r="S43" s="23">
        <f>LCI!$E49*impact_process_end!S30</f>
        <v>3.4153988317145502E-9</v>
      </c>
      <c r="T43" s="23">
        <f>LCI!$E49*impact_process_end!T30</f>
        <v>1.5591739760882712E-5</v>
      </c>
      <c r="U43" s="23">
        <f>LCI!$E49*impact_process_end!U30</f>
        <v>3.5121396929899062E-8</v>
      </c>
      <c r="V43" s="23">
        <f>LCI!$E49*impact_process_end!V30</f>
        <v>4.3929998579739689E-7</v>
      </c>
      <c r="W43" s="23">
        <f>LCI!$E49*impact_process_end!W30</f>
        <v>0.97367008600257432</v>
      </c>
      <c r="X43" s="23">
        <f>LCI!$E49*impact_process_end!X30</f>
        <v>0.21717202650701026</v>
      </c>
      <c r="Y43" s="23">
        <f>LCI!$E49*impact_process_end!Y30</f>
        <v>6.5132824785905149E-8</v>
      </c>
      <c r="Z43" s="23">
        <f>LCI!$E49*impact_process_end!Z30</f>
        <v>5.0071053854181831E-5</v>
      </c>
      <c r="AA43" s="23">
        <f>LCI!$E49*impact_process_end!AA30</f>
        <v>1.1908421151810034</v>
      </c>
    </row>
    <row r="45" spans="1:29" x14ac:dyDescent="0.35">
      <c r="A45" t="s">
        <v>130</v>
      </c>
    </row>
    <row r="46" spans="1:29" x14ac:dyDescent="0.35">
      <c r="B46" t="s">
        <v>50</v>
      </c>
      <c r="C46" s="23">
        <f>LCI!$E53*impact_process_end!C12</f>
        <v>4.9977106760426562E-7</v>
      </c>
      <c r="D46" s="23">
        <f>LCI!$E53*impact_process_end!D12</f>
        <v>0</v>
      </c>
      <c r="E46" s="23">
        <f>LCI!$E53*impact_process_end!E12</f>
        <v>0</v>
      </c>
      <c r="F46" s="23">
        <f>LCI!$E53*impact_process_end!F12</f>
        <v>0</v>
      </c>
      <c r="G46" s="23">
        <f>LCI!$E53*impact_process_end!G12</f>
        <v>0</v>
      </c>
      <c r="H46" s="23">
        <f>LCI!$E53*impact_process_end!H12</f>
        <v>0</v>
      </c>
      <c r="I46" s="23">
        <f>LCI!$E53*impact_process_end!I12</f>
        <v>0</v>
      </c>
      <c r="J46" s="23">
        <f>LCI!$E53*impact_process_end!J12</f>
        <v>0</v>
      </c>
      <c r="K46" s="23">
        <f>LCI!$E53*impact_process_end!K12</f>
        <v>0</v>
      </c>
      <c r="L46" s="23">
        <f>LCI!$E53*impact_process_end!L12</f>
        <v>8.4496025846592752E-7</v>
      </c>
      <c r="M46" s="23">
        <f>LCI!$E53*impact_process_end!M12</f>
        <v>0</v>
      </c>
      <c r="N46" s="23">
        <f>LCI!$E53*impact_process_end!N12</f>
        <v>0</v>
      </c>
      <c r="O46" s="23">
        <f>LCI!$E53*impact_process_end!O12</f>
        <v>0</v>
      </c>
      <c r="P46" s="23">
        <f>LCI!$E53*impact_process_end!P12</f>
        <v>0</v>
      </c>
      <c r="Q46" s="23">
        <f>LCI!$E53*impact_process_end!Q12</f>
        <v>0</v>
      </c>
      <c r="R46" s="23">
        <f>LCI!$E53*impact_process_end!R12</f>
        <v>0</v>
      </c>
      <c r="S46" s="23">
        <f>LCI!$E53*impact_process_end!S12</f>
        <v>0</v>
      </c>
      <c r="T46" s="23">
        <f>LCI!$E53*impact_process_end!T12</f>
        <v>4.5326550299102465E-4</v>
      </c>
      <c r="U46" s="23">
        <f>LCI!$E53*impact_process_end!U12</f>
        <v>5.9605723659224339E-6</v>
      </c>
      <c r="V46" s="23">
        <f>LCI!$E53*impact_process_end!V12</f>
        <v>0</v>
      </c>
      <c r="W46" s="23">
        <f>LCI!$E53*impact_process_end!W12</f>
        <v>0</v>
      </c>
      <c r="X46" s="23">
        <f>LCI!$E53*impact_process_end!X12</f>
        <v>0</v>
      </c>
      <c r="Y46" s="23">
        <f>LCI!$E53*impact_process_end!Y12</f>
        <v>1.3447313260701931E-6</v>
      </c>
      <c r="Z46" s="23">
        <f>LCI!$E53*impact_process_end!Z12</f>
        <v>4.5922607535694711E-4</v>
      </c>
      <c r="AA46" s="23">
        <f>LCI!$E53*impact_process_end!AA12</f>
        <v>0</v>
      </c>
      <c r="AB46" s="23"/>
      <c r="AC46" s="23"/>
    </row>
    <row r="47" spans="1:29" x14ac:dyDescent="0.35">
      <c r="B47" t="s">
        <v>51</v>
      </c>
      <c r="C47" s="22">
        <f>LCI!$E54*impact_process_end!C13</f>
        <v>0</v>
      </c>
      <c r="D47" s="22">
        <f>LCI!$E54*impact_process_end!D13</f>
        <v>0</v>
      </c>
      <c r="E47" s="22">
        <f>LCI!$E54*impact_process_end!E13</f>
        <v>0</v>
      </c>
      <c r="F47" s="22">
        <f>LCI!$E54*impact_process_end!F13</f>
        <v>0</v>
      </c>
      <c r="G47" s="22">
        <f>LCI!$E54*impact_process_end!G13</f>
        <v>0</v>
      </c>
      <c r="H47" s="22">
        <f>LCI!$E54*impact_process_end!H13</f>
        <v>0</v>
      </c>
      <c r="I47" s="22">
        <f>LCI!$E54*impact_process_end!I13</f>
        <v>0</v>
      </c>
      <c r="J47" s="22">
        <f>LCI!$E54*impact_process_end!J13</f>
        <v>0</v>
      </c>
      <c r="K47" s="22">
        <f>LCI!$E54*impact_process_end!K13</f>
        <v>0</v>
      </c>
      <c r="L47" s="22">
        <f>LCI!$E54*impact_process_end!L13</f>
        <v>9.2734248893333368E-9</v>
      </c>
      <c r="M47" s="22">
        <f>LCI!$E54*impact_process_end!M13</f>
        <v>0</v>
      </c>
      <c r="N47" s="22">
        <f>LCI!$E54*impact_process_end!N13</f>
        <v>0</v>
      </c>
      <c r="O47" s="22">
        <f>LCI!$E54*impact_process_end!O13</f>
        <v>0</v>
      </c>
      <c r="P47" s="22">
        <f>LCI!$E54*impact_process_end!P13</f>
        <v>0</v>
      </c>
      <c r="Q47" s="22">
        <f>LCI!$E54*impact_process_end!Q13</f>
        <v>0</v>
      </c>
      <c r="R47" s="22">
        <f>LCI!$E54*impact_process_end!R13</f>
        <v>0</v>
      </c>
      <c r="S47" s="22">
        <f>LCI!$E54*impact_process_end!S13</f>
        <v>0</v>
      </c>
      <c r="T47" s="22">
        <f>LCI!$E54*impact_process_end!T13</f>
        <v>0</v>
      </c>
      <c r="U47" s="22">
        <f>LCI!$E54*impact_process_end!U13</f>
        <v>4.066421609226384E-8</v>
      </c>
      <c r="V47" s="22">
        <f>LCI!$E54*impact_process_end!V13</f>
        <v>0</v>
      </c>
      <c r="W47" s="22">
        <f>LCI!$E54*impact_process_end!W13</f>
        <v>0</v>
      </c>
      <c r="X47" s="22">
        <f>LCI!$E54*impact_process_end!X13</f>
        <v>0</v>
      </c>
      <c r="Y47" s="22">
        <f>LCI!$E54*impact_process_end!Y13</f>
        <v>9.2734248893333368E-9</v>
      </c>
      <c r="Z47" s="22">
        <f>LCI!$E54*impact_process_end!Z13</f>
        <v>4.066421609226384E-8</v>
      </c>
      <c r="AA47" s="22">
        <f>LCI!$E54*impact_process_end!AA13</f>
        <v>0</v>
      </c>
    </row>
    <row r="48" spans="1:29" x14ac:dyDescent="0.35">
      <c r="B48" t="s">
        <v>52</v>
      </c>
      <c r="C48" s="23">
        <f>LCI!$E55*impact_process_end!C14</f>
        <v>2.5757309558929071E-10</v>
      </c>
      <c r="D48" s="23">
        <f>LCI!$E55*impact_process_end!D14</f>
        <v>0</v>
      </c>
      <c r="E48" s="23">
        <f>LCI!$E55*impact_process_end!E14</f>
        <v>0</v>
      </c>
      <c r="F48" s="23">
        <f>LCI!$E55*impact_process_end!F14</f>
        <v>0</v>
      </c>
      <c r="G48" s="23">
        <f>LCI!$E55*impact_process_end!G14</f>
        <v>0</v>
      </c>
      <c r="H48" s="23">
        <f>LCI!$E55*impact_process_end!H14</f>
        <v>0</v>
      </c>
      <c r="I48" s="23">
        <f>LCI!$E55*impact_process_end!I14</f>
        <v>0</v>
      </c>
      <c r="J48" s="23">
        <f>LCI!$E55*impact_process_end!J14</f>
        <v>0</v>
      </c>
      <c r="K48" s="23">
        <f>LCI!$E55*impact_process_end!K14</f>
        <v>0</v>
      </c>
      <c r="L48" s="23">
        <f>LCI!$E55*impact_process_end!L14</f>
        <v>0</v>
      </c>
      <c r="M48" s="23">
        <f>LCI!$E55*impact_process_end!M14</f>
        <v>0</v>
      </c>
      <c r="N48" s="23">
        <f>LCI!$E55*impact_process_end!N14</f>
        <v>0</v>
      </c>
      <c r="O48" s="23">
        <f>LCI!$E55*impact_process_end!O14</f>
        <v>0</v>
      </c>
      <c r="P48" s="23">
        <f>LCI!$E55*impact_process_end!P14</f>
        <v>0</v>
      </c>
      <c r="Q48" s="23">
        <f>LCI!$E55*impact_process_end!Q14</f>
        <v>0</v>
      </c>
      <c r="R48" s="23">
        <f>LCI!$E55*impact_process_end!R14</f>
        <v>0</v>
      </c>
      <c r="S48" s="23">
        <f>LCI!$E55*impact_process_end!S14</f>
        <v>0</v>
      </c>
      <c r="T48" s="23">
        <f>LCI!$E55*impact_process_end!T14</f>
        <v>2.1869413776449211E-7</v>
      </c>
      <c r="U48" s="23">
        <f>LCI!$E55*impact_process_end!U14</f>
        <v>0</v>
      </c>
      <c r="V48" s="23">
        <f>LCI!$E55*impact_process_end!V14</f>
        <v>0</v>
      </c>
      <c r="W48" s="23">
        <f>LCI!$E55*impact_process_end!W14</f>
        <v>0</v>
      </c>
      <c r="X48" s="23">
        <f>LCI!$E55*impact_process_end!X14</f>
        <v>0</v>
      </c>
      <c r="Y48" s="23">
        <f>LCI!$E55*impact_process_end!Y14</f>
        <v>2.5757309558929071E-10</v>
      </c>
      <c r="Z48" s="23">
        <f>LCI!$E55*impact_process_end!Z14</f>
        <v>2.1869413776449211E-7</v>
      </c>
      <c r="AA48" s="23">
        <f>LCI!$E55*impact_process_end!AA14</f>
        <v>0</v>
      </c>
    </row>
    <row r="49" spans="1:29" x14ac:dyDescent="0.35">
      <c r="B49" t="s">
        <v>53</v>
      </c>
      <c r="C49" s="22">
        <f>LCI!$E56*impact_process_end!C21</f>
        <v>0</v>
      </c>
      <c r="D49" s="22">
        <f>LCI!$E56*impact_process_end!D21</f>
        <v>0</v>
      </c>
      <c r="E49" s="22">
        <f>LCI!$E56*impact_process_end!E21</f>
        <v>0</v>
      </c>
      <c r="F49" s="22">
        <f>LCI!$E56*impact_process_end!F21</f>
        <v>0</v>
      </c>
      <c r="G49" s="22">
        <f>LCI!$E56*impact_process_end!G21</f>
        <v>0</v>
      </c>
      <c r="H49" s="22">
        <f>LCI!$E56*impact_process_end!H21</f>
        <v>0</v>
      </c>
      <c r="I49" s="22">
        <f>LCI!$E56*impact_process_end!I21</f>
        <v>0</v>
      </c>
      <c r="J49" s="22">
        <f>LCI!$E56*impact_process_end!J21</f>
        <v>0</v>
      </c>
      <c r="K49" s="22">
        <f>LCI!$E56*impact_process_end!K21</f>
        <v>0</v>
      </c>
      <c r="L49" s="22">
        <f>LCI!$E56*impact_process_end!L21</f>
        <v>0</v>
      </c>
      <c r="M49" s="22">
        <f>LCI!$E56*impact_process_end!M21</f>
        <v>0</v>
      </c>
      <c r="N49" s="22">
        <f>LCI!$E56*impact_process_end!N21</f>
        <v>0</v>
      </c>
      <c r="O49" s="22">
        <f>LCI!$E56*impact_process_end!O21</f>
        <v>0</v>
      </c>
      <c r="P49" s="22">
        <f>LCI!$E56*impact_process_end!P21</f>
        <v>0</v>
      </c>
      <c r="Q49" s="22">
        <f>LCI!$E56*impact_process_end!Q21</f>
        <v>0</v>
      </c>
      <c r="R49" s="22">
        <f>LCI!$E56*impact_process_end!R21</f>
        <v>0</v>
      </c>
      <c r="S49" s="22">
        <f>LCI!$E56*impact_process_end!S21</f>
        <v>0</v>
      </c>
      <c r="T49" s="22">
        <f>LCI!$E56*impact_process_end!T21</f>
        <v>5.627598970057593E-4</v>
      </c>
      <c r="U49" s="22">
        <f>LCI!$E56*impact_process_end!U21</f>
        <v>0</v>
      </c>
      <c r="V49" s="22">
        <f>LCI!$E56*impact_process_end!V21</f>
        <v>0</v>
      </c>
      <c r="W49" s="22">
        <f>LCI!$E56*impact_process_end!W21</f>
        <v>0</v>
      </c>
      <c r="X49" s="22">
        <f>LCI!$E56*impact_process_end!X21</f>
        <v>0</v>
      </c>
      <c r="Y49" s="22">
        <f>LCI!$E56*impact_process_end!Y21</f>
        <v>0</v>
      </c>
      <c r="Z49" s="22">
        <f>LCI!$E56*impact_process_end!Z21</f>
        <v>5.627598970057593E-4</v>
      </c>
      <c r="AA49" s="22">
        <f>LCI!$E56*impact_process_end!AA21</f>
        <v>0</v>
      </c>
    </row>
    <row r="50" spans="1:29" x14ac:dyDescent="0.35">
      <c r="B50" t="s">
        <v>54</v>
      </c>
      <c r="C50" s="22">
        <f>LCI!$E57*impact_process_end!C16</f>
        <v>0</v>
      </c>
      <c r="D50" s="22">
        <f>LCI!$E57*impact_process_end!D16</f>
        <v>0</v>
      </c>
      <c r="E50" s="22">
        <f>LCI!$E57*impact_process_end!E16</f>
        <v>0</v>
      </c>
      <c r="F50" s="22">
        <f>LCI!$E57*impact_process_end!F16</f>
        <v>0</v>
      </c>
      <c r="G50" s="22">
        <f>LCI!$E57*impact_process_end!G16</f>
        <v>0</v>
      </c>
      <c r="H50" s="22">
        <f>LCI!$E57*impact_process_end!H16</f>
        <v>0</v>
      </c>
      <c r="I50" s="22">
        <f>LCI!$E57*impact_process_end!I16</f>
        <v>0</v>
      </c>
      <c r="J50" s="22">
        <f>LCI!$E57*impact_process_end!J16</f>
        <v>0</v>
      </c>
      <c r="K50" s="22">
        <f>LCI!$E57*impact_process_end!K16</f>
        <v>0</v>
      </c>
      <c r="L50" s="22">
        <f>LCI!$E57*impact_process_end!L16</f>
        <v>0</v>
      </c>
      <c r="M50" s="22">
        <f>LCI!$E57*impact_process_end!M16</f>
        <v>0</v>
      </c>
      <c r="N50" s="22">
        <f>LCI!$E57*impact_process_end!N16</f>
        <v>0</v>
      </c>
      <c r="O50" s="22">
        <f>LCI!$E57*impact_process_end!O16</f>
        <v>0</v>
      </c>
      <c r="P50" s="22">
        <f>LCI!$E57*impact_process_end!P16</f>
        <v>0</v>
      </c>
      <c r="Q50" s="22">
        <f>LCI!$E57*impact_process_end!Q16</f>
        <v>0</v>
      </c>
      <c r="R50" s="22">
        <f>LCI!$E57*impact_process_end!R16</f>
        <v>0</v>
      </c>
      <c r="S50" s="22">
        <f>LCI!$E57*impact_process_end!S16</f>
        <v>0</v>
      </c>
      <c r="T50" s="22">
        <f>LCI!$E57*impact_process_end!T16</f>
        <v>0</v>
      </c>
      <c r="U50" s="22">
        <f>LCI!$E57*impact_process_end!U16</f>
        <v>0</v>
      </c>
      <c r="V50" s="22">
        <f>LCI!$E57*impact_process_end!V16</f>
        <v>0</v>
      </c>
      <c r="W50" s="22">
        <f>LCI!$E57*impact_process_end!W16</f>
        <v>0</v>
      </c>
      <c r="X50" s="22">
        <f>LCI!$E57*impact_process_end!X16</f>
        <v>0</v>
      </c>
      <c r="Y50" s="22">
        <f>LCI!$E57*impact_process_end!Y16</f>
        <v>0</v>
      </c>
      <c r="Z50" s="22">
        <f>LCI!$E57*impact_process_end!Z16</f>
        <v>0</v>
      </c>
      <c r="AA50" s="22">
        <f>LCI!$E57*impact_process_end!AA16</f>
        <v>0</v>
      </c>
    </row>
    <row r="51" spans="1:29" x14ac:dyDescent="0.35">
      <c r="B51" t="s">
        <v>58</v>
      </c>
      <c r="C51" s="22">
        <f>LCI!$E58*impact_process_end!C11</f>
        <v>0</v>
      </c>
      <c r="D51" s="22">
        <f>LCI!$E58*impact_process_end!D11</f>
        <v>7.7898422087314349E-12</v>
      </c>
      <c r="E51" s="22">
        <f>LCI!$E58*impact_process_end!E11</f>
        <v>2.8522806856585872E-7</v>
      </c>
      <c r="F51" s="22">
        <f>LCI!$E58*impact_process_end!F11</f>
        <v>0</v>
      </c>
      <c r="G51" s="22">
        <f>LCI!$E58*impact_process_end!G11</f>
        <v>0</v>
      </c>
      <c r="H51" s="22">
        <f>LCI!$E58*impact_process_end!H11</f>
        <v>0</v>
      </c>
      <c r="I51" s="22">
        <f>LCI!$E58*impact_process_end!I11</f>
        <v>0</v>
      </c>
      <c r="J51" s="22">
        <f>LCI!$E58*impact_process_end!J11</f>
        <v>0</v>
      </c>
      <c r="K51" s="22">
        <f>LCI!$E58*impact_process_end!K11</f>
        <v>0</v>
      </c>
      <c r="L51" s="22">
        <f>LCI!$E58*impact_process_end!L11</f>
        <v>0</v>
      </c>
      <c r="M51" s="22">
        <f>LCI!$E58*impact_process_end!M11</f>
        <v>0</v>
      </c>
      <c r="N51" s="22">
        <f>LCI!$E58*impact_process_end!N11</f>
        <v>0</v>
      </c>
      <c r="O51" s="22">
        <f>LCI!$E58*impact_process_end!O11</f>
        <v>9.4676543767658992E-5</v>
      </c>
      <c r="P51" s="22">
        <f>LCI!$E58*impact_process_end!P11</f>
        <v>0</v>
      </c>
      <c r="Q51" s="22">
        <f>LCI!$E58*impact_process_end!Q11</f>
        <v>0</v>
      </c>
      <c r="R51" s="22">
        <f>LCI!$E58*impact_process_end!R11</f>
        <v>0</v>
      </c>
      <c r="S51" s="22">
        <f>LCI!$E58*impact_process_end!S11</f>
        <v>0</v>
      </c>
      <c r="T51" s="22">
        <f>LCI!$E58*impact_process_end!T11</f>
        <v>0</v>
      </c>
      <c r="U51" s="22">
        <f>LCI!$E58*impact_process_end!U11</f>
        <v>0</v>
      </c>
      <c r="V51" s="22">
        <f>LCI!$E58*impact_process_end!V11</f>
        <v>0</v>
      </c>
      <c r="W51" s="22">
        <f>LCI!$E58*impact_process_end!W11</f>
        <v>0</v>
      </c>
      <c r="X51" s="22">
        <f>LCI!$E58*impact_process_end!X11</f>
        <v>0</v>
      </c>
      <c r="Y51" s="22">
        <f>LCI!$E58*impact_process_end!Y11</f>
        <v>2.8523585840806743E-7</v>
      </c>
      <c r="Z51" s="22">
        <f>LCI!$E58*impact_process_end!Z11</f>
        <v>9.4676543767658992E-5</v>
      </c>
      <c r="AA51" s="22">
        <f>LCI!$E58*impact_process_end!AA11</f>
        <v>0</v>
      </c>
    </row>
    <row r="53" spans="1:29" x14ac:dyDescent="0.35">
      <c r="A53" t="s">
        <v>101</v>
      </c>
    </row>
    <row r="54" spans="1:29" x14ac:dyDescent="0.35">
      <c r="B54" t="s">
        <v>97</v>
      </c>
      <c r="C54" s="22">
        <f>LCI!$E63*impact_process_end!C11</f>
        <v>0</v>
      </c>
      <c r="D54" s="22">
        <f>LCI!$E63*impact_process_end!D11</f>
        <v>4.51804686967366E-12</v>
      </c>
      <c r="E54" s="22">
        <f>LCI!$E63*impact_process_end!E11</f>
        <v>1.6543002384343557E-7</v>
      </c>
      <c r="F54" s="22">
        <f>LCI!$E63*impact_process_end!F11</f>
        <v>0</v>
      </c>
      <c r="G54" s="22">
        <f>LCI!$E63*impact_process_end!G11</f>
        <v>0</v>
      </c>
      <c r="H54" s="22">
        <f>LCI!$E63*impact_process_end!H11</f>
        <v>0</v>
      </c>
      <c r="I54" s="22">
        <f>LCI!$E63*impact_process_end!I11</f>
        <v>0</v>
      </c>
      <c r="J54" s="22">
        <f>LCI!$E63*impact_process_end!J11</f>
        <v>0</v>
      </c>
      <c r="K54" s="22">
        <f>LCI!$E63*impact_process_end!K11</f>
        <v>0</v>
      </c>
      <c r="L54" s="22">
        <f>LCI!$E63*impact_process_end!L11</f>
        <v>0</v>
      </c>
      <c r="M54" s="22">
        <f>LCI!$E63*impact_process_end!M11</f>
        <v>0</v>
      </c>
      <c r="N54" s="22">
        <f>LCI!$E63*impact_process_end!N11</f>
        <v>0</v>
      </c>
      <c r="O54" s="22">
        <f>LCI!$E63*impact_process_end!O11</f>
        <v>5.4911646569879881E-5</v>
      </c>
      <c r="P54" s="22">
        <f>LCI!$E63*impact_process_end!P11</f>
        <v>0</v>
      </c>
      <c r="Q54" s="22">
        <f>LCI!$E63*impact_process_end!Q11</f>
        <v>0</v>
      </c>
      <c r="R54" s="22">
        <f>LCI!$E63*impact_process_end!R11</f>
        <v>0</v>
      </c>
      <c r="S54" s="22">
        <f>LCI!$E63*impact_process_end!S11</f>
        <v>0</v>
      </c>
      <c r="T54" s="22">
        <f>LCI!$E63*impact_process_end!T11</f>
        <v>0</v>
      </c>
      <c r="U54" s="22">
        <f>LCI!$E63*impact_process_end!U11</f>
        <v>0</v>
      </c>
      <c r="V54" s="22">
        <f>LCI!$E63*impact_process_end!V11</f>
        <v>0</v>
      </c>
      <c r="W54" s="22">
        <f>LCI!$E63*impact_process_end!W11</f>
        <v>0</v>
      </c>
      <c r="X54" s="22">
        <f>LCI!$E63*impact_process_end!X11</f>
        <v>0</v>
      </c>
      <c r="Y54" s="22">
        <f>LCI!$E63*impact_process_end!Y11</f>
        <v>1.6543454189030524E-7</v>
      </c>
      <c r="Z54" s="22">
        <f>LCI!$E63*impact_process_end!Z11</f>
        <v>5.4911646569879881E-5</v>
      </c>
      <c r="AA54" s="22">
        <f>LCI!$E63*impact_process_end!AA11</f>
        <v>0</v>
      </c>
      <c r="AB54" s="22"/>
      <c r="AC54" s="22"/>
    </row>
    <row r="56" spans="1:29" x14ac:dyDescent="0.35">
      <c r="A56" t="s">
        <v>272</v>
      </c>
    </row>
    <row r="57" spans="1:29" x14ac:dyDescent="0.35">
      <c r="B57" t="s">
        <v>112</v>
      </c>
      <c r="C57" s="22">
        <f>LCI!$E67*impact_process_end!C19</f>
        <v>0</v>
      </c>
      <c r="D57" s="22">
        <f>LCI!$E67*impact_process_end!D19</f>
        <v>4.2921431704199488E-12</v>
      </c>
      <c r="E57" s="22">
        <f>LCI!$E67*impact_process_end!E19</f>
        <v>1.5700207912851918E-7</v>
      </c>
      <c r="F57" s="22">
        <f>LCI!$E67*impact_process_end!F19</f>
        <v>0</v>
      </c>
      <c r="G57" s="22">
        <f>LCI!$E67*impact_process_end!G19</f>
        <v>0</v>
      </c>
      <c r="H57" s="22">
        <f>LCI!$E67*impact_process_end!H19</f>
        <v>0</v>
      </c>
      <c r="I57" s="22">
        <f>LCI!$E67*impact_process_end!I19</f>
        <v>0</v>
      </c>
      <c r="J57" s="22">
        <f>LCI!$E67*impact_process_end!J19</f>
        <v>0</v>
      </c>
      <c r="K57" s="22">
        <f>LCI!$E67*impact_process_end!K19</f>
        <v>0</v>
      </c>
      <c r="L57" s="22">
        <f>LCI!$E67*impact_process_end!L19</f>
        <v>0</v>
      </c>
      <c r="M57" s="22">
        <f>LCI!$E67*impact_process_end!M19</f>
        <v>0</v>
      </c>
      <c r="N57" s="22">
        <f>LCI!$E67*impact_process_end!N19</f>
        <v>0</v>
      </c>
      <c r="O57" s="22">
        <f>LCI!$E67*impact_process_end!O19</f>
        <v>5.2710530163051997E-5</v>
      </c>
      <c r="P57" s="22">
        <f>LCI!$E67*impact_process_end!P19</f>
        <v>0</v>
      </c>
      <c r="Q57" s="22">
        <f>LCI!$E67*impact_process_end!Q19</f>
        <v>0</v>
      </c>
      <c r="R57" s="22">
        <f>LCI!$E67*impact_process_end!R19</f>
        <v>0</v>
      </c>
      <c r="S57" s="22">
        <f>LCI!$E67*impact_process_end!S19</f>
        <v>1.0993910576865131E-6</v>
      </c>
      <c r="T57" s="22">
        <f>LCI!$E67*impact_process_end!T19</f>
        <v>0</v>
      </c>
      <c r="U57" s="22">
        <f>LCI!$E67*impact_process_end!U19</f>
        <v>0</v>
      </c>
      <c r="V57" s="22">
        <f>LCI!$E67*impact_process_end!V19</f>
        <v>0</v>
      </c>
      <c r="W57" s="22">
        <f>LCI!$E67*impact_process_end!W19</f>
        <v>0</v>
      </c>
      <c r="X57" s="22">
        <f>LCI!$E67*impact_process_end!X19</f>
        <v>0</v>
      </c>
      <c r="Y57" s="22">
        <f>LCI!$E67*impact_process_end!Y19</f>
        <v>1.570063712716896E-7</v>
      </c>
      <c r="Z57" s="22">
        <f>LCI!$E67*impact_process_end!Z19</f>
        <v>5.3809921220738513E-5</v>
      </c>
      <c r="AA57" s="22">
        <f>LCI!$E67*impact_process_end!AA19</f>
        <v>0</v>
      </c>
    </row>
    <row r="58" spans="1:29" x14ac:dyDescent="0.35">
      <c r="B58" t="s">
        <v>111</v>
      </c>
      <c r="C58" s="23">
        <f>LCI!$E68*impact_process_end!C17</f>
        <v>1.8619823642013174E-6</v>
      </c>
      <c r="D58" s="23">
        <f>LCI!$E68*impact_process_end!D17</f>
        <v>0</v>
      </c>
      <c r="E58" s="23">
        <f>LCI!$E68*impact_process_end!E17</f>
        <v>0</v>
      </c>
      <c r="F58" s="23">
        <f>LCI!$E68*impact_process_end!F17</f>
        <v>0</v>
      </c>
      <c r="G58" s="23">
        <f>LCI!$E68*impact_process_end!G17</f>
        <v>0</v>
      </c>
      <c r="H58" s="23">
        <f>LCI!$E68*impact_process_end!H17</f>
        <v>0</v>
      </c>
      <c r="I58" s="23">
        <f>LCI!$E68*impact_process_end!I17</f>
        <v>0</v>
      </c>
      <c r="J58" s="23">
        <f>LCI!$E68*impact_process_end!J17</f>
        <v>0</v>
      </c>
      <c r="K58" s="23">
        <f>LCI!$E68*impact_process_end!K17</f>
        <v>0</v>
      </c>
      <c r="L58" s="23">
        <f>LCI!$E68*impact_process_end!L17</f>
        <v>0</v>
      </c>
      <c r="M58" s="23">
        <f>LCI!$E68*impact_process_end!M17</f>
        <v>0</v>
      </c>
      <c r="N58" s="23">
        <f>LCI!$E68*impact_process_end!N17</f>
        <v>0</v>
      </c>
      <c r="O58" s="23">
        <f>LCI!$E68*impact_process_end!O17</f>
        <v>0</v>
      </c>
      <c r="P58" s="23">
        <f>LCI!$E68*impact_process_end!P17</f>
        <v>0</v>
      </c>
      <c r="Q58" s="23">
        <f>LCI!$E68*impact_process_end!Q17</f>
        <v>0</v>
      </c>
      <c r="R58" s="23">
        <f>LCI!$E68*impact_process_end!R17</f>
        <v>0</v>
      </c>
      <c r="S58" s="23">
        <f>LCI!$E68*impact_process_end!S17</f>
        <v>0</v>
      </c>
      <c r="T58" s="23">
        <f>LCI!$E68*impact_process_end!T17</f>
        <v>6.7138787170720573E-4</v>
      </c>
      <c r="U58" s="23">
        <f>LCI!$E68*impact_process_end!U17</f>
        <v>0</v>
      </c>
      <c r="V58" s="23">
        <f>LCI!$E68*impact_process_end!V17</f>
        <v>0</v>
      </c>
      <c r="W58" s="23">
        <f>LCI!$E68*impact_process_end!W17</f>
        <v>0</v>
      </c>
      <c r="X58" s="23">
        <f>LCI!$E68*impact_process_end!X17</f>
        <v>0</v>
      </c>
      <c r="Y58" s="23">
        <f>LCI!$E68*impact_process_end!Y17</f>
        <v>1.8619823642013174E-6</v>
      </c>
      <c r="Z58" s="23">
        <f>LCI!$E68*impact_process_end!Z17</f>
        <v>6.7138787170720573E-4</v>
      </c>
      <c r="AA58" s="23">
        <f>LCI!$E68*impact_process_end!AA17</f>
        <v>0</v>
      </c>
    </row>
    <row r="59" spans="1:29" x14ac:dyDescent="0.35">
      <c r="B59" t="s">
        <v>115</v>
      </c>
      <c r="C59" s="22">
        <f>LCI!$E69*impact_process_end!C20</f>
        <v>0</v>
      </c>
      <c r="D59" s="22">
        <f>LCI!$E69*impact_process_end!D20</f>
        <v>0</v>
      </c>
      <c r="E59" s="22">
        <f>LCI!$E69*impact_process_end!E20</f>
        <v>0</v>
      </c>
      <c r="F59" s="22">
        <f>LCI!$E69*impact_process_end!F20</f>
        <v>0</v>
      </c>
      <c r="G59" s="22">
        <f>LCI!$E69*impact_process_end!G20</f>
        <v>0</v>
      </c>
      <c r="H59" s="22">
        <f>LCI!$E69*impact_process_end!H20</f>
        <v>0</v>
      </c>
      <c r="I59" s="22">
        <f>LCI!$E69*impact_process_end!I20</f>
        <v>0</v>
      </c>
      <c r="J59" s="22">
        <f>LCI!$E69*impact_process_end!J20</f>
        <v>6.9784845253331336E-10</v>
      </c>
      <c r="K59" s="22">
        <f>LCI!$E69*impact_process_end!K20</f>
        <v>0</v>
      </c>
      <c r="L59" s="22">
        <f>LCI!$E69*impact_process_end!L20</f>
        <v>0</v>
      </c>
      <c r="M59" s="22">
        <f>LCI!$E69*impact_process_end!M20</f>
        <v>0</v>
      </c>
      <c r="N59" s="22">
        <f>LCI!$E69*impact_process_end!N20</f>
        <v>0</v>
      </c>
      <c r="O59" s="22">
        <f>LCI!$E69*impact_process_end!O20</f>
        <v>0</v>
      </c>
      <c r="P59" s="22">
        <f>LCI!$E69*impact_process_end!P20</f>
        <v>0</v>
      </c>
      <c r="Q59" s="22">
        <f>LCI!$E69*impact_process_end!Q20</f>
        <v>0</v>
      </c>
      <c r="R59" s="22">
        <f>LCI!$E69*impact_process_end!R20</f>
        <v>0</v>
      </c>
      <c r="S59" s="22">
        <f>LCI!$E69*impact_process_end!S20</f>
        <v>0</v>
      </c>
      <c r="T59" s="22">
        <f>LCI!$E69*impact_process_end!T20</f>
        <v>0</v>
      </c>
      <c r="U59" s="22">
        <f>LCI!$E69*impact_process_end!U20</f>
        <v>0</v>
      </c>
      <c r="V59" s="22">
        <f>LCI!$E69*impact_process_end!V20</f>
        <v>0</v>
      </c>
      <c r="W59" s="22">
        <f>LCI!$E69*impact_process_end!W20</f>
        <v>0</v>
      </c>
      <c r="X59" s="22">
        <f>LCI!$E69*impact_process_end!X20</f>
        <v>0</v>
      </c>
      <c r="Y59" s="22">
        <f>LCI!$E69*impact_process_end!Y20</f>
        <v>6.9784845253331336E-10</v>
      </c>
      <c r="Z59" s="22">
        <f>LCI!$E69*impact_process_end!Z20</f>
        <v>0</v>
      </c>
      <c r="AA59" s="22">
        <f>LCI!$E69*impact_process_end!AA20</f>
        <v>0</v>
      </c>
    </row>
    <row r="61" spans="1:29" x14ac:dyDescent="0.35">
      <c r="A61" t="s">
        <v>275</v>
      </c>
    </row>
    <row r="62" spans="1:29" x14ac:dyDescent="0.35">
      <c r="B62" t="s">
        <v>8</v>
      </c>
      <c r="C62" s="22">
        <f>LCI!$E73*impact_process_end!C2</f>
        <v>3.8723313107967494E-11</v>
      </c>
      <c r="D62" s="22">
        <f>LCI!$E73*impact_process_end!D2</f>
        <v>1.2260005719987853E-14</v>
      </c>
      <c r="E62" s="22">
        <f>LCI!$E73*impact_process_end!E2</f>
        <v>4.4886132626043336E-10</v>
      </c>
      <c r="F62" s="22">
        <f>LCI!$E73*impact_process_end!F2</f>
        <v>8.6638139577796566E-12</v>
      </c>
      <c r="G62" s="22">
        <f>LCI!$E73*impact_process_end!G2</f>
        <v>1.6660487000701514E-12</v>
      </c>
      <c r="H62" s="22">
        <f>LCI!$E73*impact_process_end!H2</f>
        <v>1.3076215139622569E-11</v>
      </c>
      <c r="I62" s="22">
        <f>LCI!$E73*impact_process_end!I2</f>
        <v>2.0742001089721453E-11</v>
      </c>
      <c r="J62" s="22">
        <f>LCI!$E73*impact_process_end!J2</f>
        <v>3.9672640500974317E-14</v>
      </c>
      <c r="K62" s="22">
        <f>LCI!$E73*impact_process_end!K2</f>
        <v>5.1026924522920402E-11</v>
      </c>
      <c r="L62" s="22">
        <f>LCI!$E73*impact_process_end!L2</f>
        <v>2.3484861482381338E-11</v>
      </c>
      <c r="M62" s="22">
        <f>LCI!$E73*impact_process_end!M2</f>
        <v>3.8223505374248939E-15</v>
      </c>
      <c r="N62" s="22">
        <f>LCI!$E73*impact_process_end!N2</f>
        <v>8.5433331548404099E-11</v>
      </c>
      <c r="O62" s="22">
        <f>LCI!$E73*impact_process_end!O2</f>
        <v>1.4874210888805808E-7</v>
      </c>
      <c r="P62" s="22">
        <f>LCI!$E73*impact_process_end!P2</f>
        <v>3.963112044140504E-8</v>
      </c>
      <c r="Q62" s="22">
        <f>LCI!$E73*impact_process_end!Q2</f>
        <v>5.8846072466869366E-8</v>
      </c>
      <c r="R62" s="22">
        <f>LCI!$E73*impact_process_end!R2</f>
        <v>9.4189230562198665E-9</v>
      </c>
      <c r="S62" s="22">
        <f>LCI!$E73*impact_process_end!S2</f>
        <v>9.2648142381190196E-11</v>
      </c>
      <c r="T62" s="22">
        <f>LCI!$E73*impact_process_end!T2</f>
        <v>6.3674245787532609E-8</v>
      </c>
      <c r="U62" s="22">
        <f>LCI!$E73*impact_process_end!U2</f>
        <v>1.5008095515470912E-10</v>
      </c>
      <c r="V62" s="22">
        <f>LCI!$E73*impact_process_end!V2</f>
        <v>1.4049036743515341E-8</v>
      </c>
      <c r="W62" s="22">
        <f>LCI!$E73*impact_process_end!W2</f>
        <v>1.651264519179171E-2</v>
      </c>
      <c r="X62" s="22">
        <f>LCI!$E73*impact_process_end!X2</f>
        <v>8.2768404330471894E-4</v>
      </c>
      <c r="Y62" s="22">
        <f>LCI!$E73*impact_process_end!Y2</f>
        <v>6.0629948823705392E-10</v>
      </c>
      <c r="Z62" s="22">
        <f>LCI!$E73*impact_process_end!Z2</f>
        <v>3.3460378297001324E-7</v>
      </c>
      <c r="AA62" s="22">
        <f>LCI!$E73*impact_process_end!AA2</f>
        <v>1.7340329320529764E-2</v>
      </c>
      <c r="AB62" s="22"/>
      <c r="AC62" s="22"/>
    </row>
    <row r="64" spans="1:29" x14ac:dyDescent="0.35">
      <c r="A64" t="s">
        <v>288</v>
      </c>
    </row>
    <row r="65" spans="1:28" x14ac:dyDescent="0.35">
      <c r="B65" t="s">
        <v>289</v>
      </c>
    </row>
    <row r="66" spans="1:28" x14ac:dyDescent="0.35">
      <c r="B66" t="s">
        <v>288</v>
      </c>
      <c r="C66" s="22">
        <f>LCI!$E78*impact_process_end!C31</f>
        <v>8.0272996457630768E-11</v>
      </c>
      <c r="D66" s="22">
        <f>LCI!$E78*impact_process_end!D31</f>
        <v>9.5961877929227721E-15</v>
      </c>
      <c r="E66" s="22">
        <f>LCI!$E78*impact_process_end!E31</f>
        <v>3.5133514505537228E-10</v>
      </c>
      <c r="F66" s="22">
        <f>LCI!$E78*impact_process_end!F31</f>
        <v>5.116201585331559E-12</v>
      </c>
      <c r="G66" s="22">
        <f>LCI!$E78*impact_process_end!G31</f>
        <v>1.0474248302497845E-12</v>
      </c>
      <c r="H66" s="22">
        <f>LCI!$E78*impact_process_end!H31</f>
        <v>5.2857956878978806E-12</v>
      </c>
      <c r="I66" s="22">
        <f>LCI!$E78*impact_process_end!I31</f>
        <v>3.1405700574743921E-10</v>
      </c>
      <c r="J66" s="22">
        <f>LCI!$E78*impact_process_end!J31</f>
        <v>2.4113377317200371E-12</v>
      </c>
      <c r="K66" s="22">
        <f>LCI!$E78*impact_process_end!K31</f>
        <v>1.9628325952354504E-11</v>
      </c>
      <c r="L66" s="22">
        <f>LCI!$E78*impact_process_end!L31</f>
        <v>3.7955225487507677E-11</v>
      </c>
      <c r="M66" s="22">
        <f>LCI!$E78*impact_process_end!M31</f>
        <v>4.6852461727219376E-16</v>
      </c>
      <c r="N66" s="22">
        <f>LCI!$E78*impact_process_end!N31</f>
        <v>1.0471990617838768E-11</v>
      </c>
      <c r="O66" s="22">
        <f>LCI!$E78*impact_process_end!O31</f>
        <v>1.1648167899436131E-7</v>
      </c>
      <c r="P66" s="22">
        <f>LCI!$E78*impact_process_end!P31</f>
        <v>2.8777112051987166E-8</v>
      </c>
      <c r="Q66" s="22">
        <f>LCI!$E78*impact_process_end!Q31</f>
        <v>2.0304537785972764E-7</v>
      </c>
      <c r="R66" s="22">
        <f>LCI!$E78*impact_process_end!R31</f>
        <v>4.2553919367512047E-11</v>
      </c>
      <c r="S66" s="22">
        <f>LCI!$E78*impact_process_end!S31</f>
        <v>2.6907967427684941E-10</v>
      </c>
      <c r="T66" s="22">
        <f>LCI!$E78*impact_process_end!T31</f>
        <v>1.1289549341791995E-7</v>
      </c>
      <c r="U66" s="22">
        <f>LCI!$E78*impact_process_end!U31</f>
        <v>2.6127933584897645E-10</v>
      </c>
      <c r="V66" s="22">
        <f>LCI!$E78*impact_process_end!V31</f>
        <v>1.7220606793779307E-9</v>
      </c>
      <c r="W66" s="22">
        <f>LCI!$E78*impact_process_end!W31</f>
        <v>5.5484930255785894E-3</v>
      </c>
      <c r="X66" s="22">
        <f>LCI!$E78*impact_process_end!X31</f>
        <v>3.9700274032404949E-4</v>
      </c>
      <c r="Y66" s="22">
        <f>LCI!$E78*impact_process_end!Y31</f>
        <v>8.1710813716645711E-10</v>
      </c>
      <c r="Z66" s="22">
        <f>LCI!$E78*impact_process_end!Z31</f>
        <v>4.6349074595265089E-7</v>
      </c>
      <c r="AA66" s="22">
        <f>LCI!$E78*impact_process_end!AA31</f>
        <v>5.9454957763746289E-3</v>
      </c>
      <c r="AB66" s="22"/>
    </row>
    <row r="68" spans="1:28" x14ac:dyDescent="0.35">
      <c r="A68" t="s">
        <v>290</v>
      </c>
    </row>
    <row r="69" spans="1:28" x14ac:dyDescent="0.35">
      <c r="B69" t="s">
        <v>97</v>
      </c>
      <c r="C69">
        <f>LCI!$E83*impact_process_end!C11</f>
        <v>0</v>
      </c>
      <c r="D69">
        <f>LCI!$E83*impact_process_end!D11</f>
        <v>2.2939425933492499E-13</v>
      </c>
      <c r="E69">
        <f>LCI!$E83*impact_process_end!E11</f>
        <v>8.3993590341095618E-9</v>
      </c>
      <c r="F69">
        <f>LCI!$E83*impact_process_end!F11</f>
        <v>0</v>
      </c>
      <c r="G69">
        <f>LCI!$E83*impact_process_end!G11</f>
        <v>0</v>
      </c>
      <c r="H69">
        <f>LCI!$E83*impact_process_end!H11</f>
        <v>0</v>
      </c>
      <c r="I69">
        <f>LCI!$E83*impact_process_end!I11</f>
        <v>0</v>
      </c>
      <c r="J69">
        <f>LCI!$E83*impact_process_end!J11</f>
        <v>0</v>
      </c>
      <c r="K69">
        <f>LCI!$E83*impact_process_end!K11</f>
        <v>0</v>
      </c>
      <c r="L69">
        <f>LCI!$E83*impact_process_end!L11</f>
        <v>0</v>
      </c>
      <c r="M69">
        <f>LCI!$E83*impact_process_end!M11</f>
        <v>0</v>
      </c>
      <c r="N69">
        <f>LCI!$E83*impact_process_end!N11</f>
        <v>0</v>
      </c>
      <c r="O69">
        <f>LCI!$E83*impact_process_end!O11</f>
        <v>2.7880225365321656E-6</v>
      </c>
      <c r="P69">
        <f>LCI!$E83*impact_process_end!P11</f>
        <v>0</v>
      </c>
      <c r="Q69">
        <f>LCI!$E83*impact_process_end!Q11</f>
        <v>0</v>
      </c>
      <c r="R69">
        <f>LCI!$E83*impact_process_end!R11</f>
        <v>0</v>
      </c>
      <c r="S69">
        <f>LCI!$E83*impact_process_end!S11</f>
        <v>0</v>
      </c>
      <c r="T69">
        <f>LCI!$E83*impact_process_end!T11</f>
        <v>0</v>
      </c>
      <c r="U69">
        <f>LCI!$E83*impact_process_end!U11</f>
        <v>0</v>
      </c>
      <c r="V69">
        <f>LCI!$E83*impact_process_end!V11</f>
        <v>0</v>
      </c>
      <c r="W69">
        <f>LCI!$E83*impact_process_end!W11</f>
        <v>0</v>
      </c>
      <c r="X69">
        <f>LCI!$E83*impact_process_end!X11</f>
        <v>0</v>
      </c>
      <c r="Y69">
        <f>LCI!$E83*impact_process_end!Y11</f>
        <v>8.3995884283688956E-9</v>
      </c>
      <c r="Z69">
        <f>LCI!$E83*impact_process_end!Z11</f>
        <v>2.7880225365321656E-6</v>
      </c>
      <c r="AA69">
        <f>LCI!$E83*impact_process_end!AA11</f>
        <v>0</v>
      </c>
    </row>
    <row r="70" spans="1:28" x14ac:dyDescent="0.35">
      <c r="B70" t="s">
        <v>112</v>
      </c>
      <c r="C70">
        <f>LCI!$E84*impact_process_end!C19</f>
        <v>0</v>
      </c>
      <c r="D70">
        <f>LCI!$E84*impact_process_end!D19</f>
        <v>1.4208644718386351E-12</v>
      </c>
      <c r="E70">
        <f>LCI!$E84*impact_process_end!E19</f>
        <v>5.1973726733044803E-8</v>
      </c>
      <c r="F70">
        <f>LCI!$E84*impact_process_end!F19</f>
        <v>0</v>
      </c>
      <c r="G70">
        <f>LCI!$E84*impact_process_end!G19</f>
        <v>0</v>
      </c>
      <c r="H70">
        <f>LCI!$E84*impact_process_end!H19</f>
        <v>0</v>
      </c>
      <c r="I70">
        <f>LCI!$E84*impact_process_end!I19</f>
        <v>0</v>
      </c>
      <c r="J70">
        <f>LCI!$E84*impact_process_end!J19</f>
        <v>0</v>
      </c>
      <c r="K70">
        <f>LCI!$E84*impact_process_end!K19</f>
        <v>0</v>
      </c>
      <c r="L70">
        <f>LCI!$E84*impact_process_end!L19</f>
        <v>0</v>
      </c>
      <c r="M70">
        <f>LCI!$E84*impact_process_end!M19</f>
        <v>0</v>
      </c>
      <c r="N70">
        <f>LCI!$E84*impact_process_end!N19</f>
        <v>0</v>
      </c>
      <c r="O70">
        <f>LCI!$E84*impact_process_end!O19</f>
        <v>1.7449212812053409E-5</v>
      </c>
      <c r="P70">
        <f>LCI!$E84*impact_process_end!P19</f>
        <v>0</v>
      </c>
      <c r="Q70">
        <f>LCI!$E84*impact_process_end!Q19</f>
        <v>0</v>
      </c>
      <c r="R70">
        <f>LCI!$E84*impact_process_end!R19</f>
        <v>0</v>
      </c>
      <c r="S70">
        <f>LCI!$E84*impact_process_end!S19</f>
        <v>3.6394072436568545E-7</v>
      </c>
      <c r="T70">
        <f>LCI!$E84*impact_process_end!T19</f>
        <v>0</v>
      </c>
      <c r="U70">
        <f>LCI!$E84*impact_process_end!U19</f>
        <v>0</v>
      </c>
      <c r="V70">
        <f>LCI!$E84*impact_process_end!V19</f>
        <v>0</v>
      </c>
      <c r="W70">
        <f>LCI!$E84*impact_process_end!W19</f>
        <v>0</v>
      </c>
      <c r="X70">
        <f>LCI!$E84*impact_process_end!X19</f>
        <v>0</v>
      </c>
      <c r="Y70">
        <f>LCI!$E84*impact_process_end!Y19</f>
        <v>5.197514759751664E-8</v>
      </c>
      <c r="Z70">
        <f>LCI!$E84*impact_process_end!Z19</f>
        <v>1.7813153536419097E-5</v>
      </c>
      <c r="AA70">
        <f>LCI!$E84*impact_process_end!AA19</f>
        <v>0</v>
      </c>
    </row>
    <row r="71" spans="1:28" x14ac:dyDescent="0.35">
      <c r="B71" t="s">
        <v>111</v>
      </c>
      <c r="C71" s="5">
        <f>LCI!$E85*impact_process_end!C17</f>
        <v>8.4347801098319695E-8</v>
      </c>
      <c r="D71" s="5">
        <f>LCI!$E85*impact_process_end!D17</f>
        <v>0</v>
      </c>
      <c r="E71" s="5">
        <f>LCI!$E85*impact_process_end!E17</f>
        <v>0</v>
      </c>
      <c r="F71" s="5">
        <f>LCI!$E85*impact_process_end!F17</f>
        <v>0</v>
      </c>
      <c r="G71" s="5">
        <f>LCI!$E85*impact_process_end!G17</f>
        <v>0</v>
      </c>
      <c r="H71" s="5">
        <f>LCI!$E85*impact_process_end!H17</f>
        <v>0</v>
      </c>
      <c r="I71" s="5">
        <f>LCI!$E85*impact_process_end!I17</f>
        <v>0</v>
      </c>
      <c r="J71" s="5">
        <f>LCI!$E85*impact_process_end!J17</f>
        <v>0</v>
      </c>
      <c r="K71" s="5">
        <f>LCI!$E85*impact_process_end!K17</f>
        <v>0</v>
      </c>
      <c r="L71" s="5">
        <f>LCI!$E85*impact_process_end!L17</f>
        <v>0</v>
      </c>
      <c r="M71" s="5">
        <f>LCI!$E85*impact_process_end!M17</f>
        <v>0</v>
      </c>
      <c r="N71" s="5">
        <f>LCI!$E85*impact_process_end!N17</f>
        <v>0</v>
      </c>
      <c r="O71" s="5">
        <f>LCI!$E85*impact_process_end!O17</f>
        <v>0</v>
      </c>
      <c r="P71" s="5">
        <f>LCI!$E85*impact_process_end!P17</f>
        <v>0</v>
      </c>
      <c r="Q71" s="5">
        <f>LCI!$E85*impact_process_end!Q17</f>
        <v>0</v>
      </c>
      <c r="R71" s="5">
        <f>LCI!$E85*impact_process_end!R17</f>
        <v>0</v>
      </c>
      <c r="S71" s="5">
        <f>LCI!$E85*impact_process_end!S17</f>
        <v>0</v>
      </c>
      <c r="T71" s="5">
        <f>LCI!$E85*impact_process_end!T17</f>
        <v>3.0413870588336425E-5</v>
      </c>
      <c r="U71" s="5">
        <f>LCI!$E85*impact_process_end!U17</f>
        <v>0</v>
      </c>
      <c r="V71" s="5">
        <f>LCI!$E85*impact_process_end!V17</f>
        <v>0</v>
      </c>
      <c r="W71" s="5">
        <f>LCI!$E85*impact_process_end!W17</f>
        <v>0</v>
      </c>
      <c r="X71" s="5">
        <f>LCI!$E85*impact_process_end!X17</f>
        <v>0</v>
      </c>
      <c r="Y71" s="5">
        <f>LCI!$E85*impact_process_end!Y17</f>
        <v>8.4347801098319695E-8</v>
      </c>
      <c r="Z71" s="5">
        <f>LCI!$E85*impact_process_end!Z17</f>
        <v>3.0413870588336425E-5</v>
      </c>
      <c r="AA71" s="5">
        <f>LCI!$E85*impact_process_end!AA17</f>
        <v>0</v>
      </c>
    </row>
    <row r="72" spans="1:28" x14ac:dyDescent="0.35">
      <c r="B72" t="s">
        <v>291</v>
      </c>
      <c r="C72">
        <f>LCI!$E86*impact_process_end!C22</f>
        <v>0</v>
      </c>
      <c r="D72">
        <f>LCI!$E86*impact_process_end!D22</f>
        <v>0</v>
      </c>
      <c r="E72">
        <f>LCI!$E86*impact_process_end!E22</f>
        <v>0</v>
      </c>
      <c r="F72">
        <f>LCI!$E86*impact_process_end!F22</f>
        <v>0</v>
      </c>
      <c r="G72">
        <f>LCI!$E86*impact_process_end!G22</f>
        <v>0</v>
      </c>
      <c r="H72">
        <f>LCI!$E86*impact_process_end!H22</f>
        <v>0</v>
      </c>
      <c r="I72">
        <f>LCI!$E86*impact_process_end!I22</f>
        <v>0</v>
      </c>
      <c r="J72">
        <f>LCI!$E86*impact_process_end!J22</f>
        <v>0</v>
      </c>
      <c r="K72">
        <f>LCI!$E86*impact_process_end!K22</f>
        <v>0</v>
      </c>
      <c r="L72">
        <f>LCI!$E86*impact_process_end!L22</f>
        <v>0.11552263830172491</v>
      </c>
      <c r="M72">
        <f>LCI!$E86*impact_process_end!M22</f>
        <v>0</v>
      </c>
      <c r="N72">
        <f>LCI!$E86*impact_process_end!N22</f>
        <v>0</v>
      </c>
      <c r="O72">
        <f>LCI!$E86*impact_process_end!O22</f>
        <v>0</v>
      </c>
      <c r="P72">
        <f>LCI!$E86*impact_process_end!P22</f>
        <v>0</v>
      </c>
      <c r="Q72">
        <f>LCI!$E86*impact_process_end!Q22</f>
        <v>0</v>
      </c>
      <c r="R72">
        <f>LCI!$E86*impact_process_end!R22</f>
        <v>0</v>
      </c>
      <c r="S72">
        <f>LCI!$E86*impact_process_end!S22</f>
        <v>0</v>
      </c>
      <c r="T72">
        <f>LCI!$E86*impact_process_end!T22</f>
        <v>0</v>
      </c>
      <c r="U72">
        <f>LCI!$E86*impact_process_end!U22</f>
        <v>5.0656985779366003E-9</v>
      </c>
      <c r="V72">
        <f>LCI!$E86*impact_process_end!V22</f>
        <v>0</v>
      </c>
      <c r="W72">
        <f>LCI!$E86*impact_process_end!W22</f>
        <v>0</v>
      </c>
      <c r="X72">
        <f>LCI!$E86*impact_process_end!X22</f>
        <v>0</v>
      </c>
      <c r="Y72">
        <f>LCI!$E86*impact_process_end!Y22</f>
        <v>0.11552263830172491</v>
      </c>
      <c r="Z72">
        <f>LCI!$E86*impact_process_end!Z22</f>
        <v>5.0656985779366003E-9</v>
      </c>
      <c r="AA72">
        <f>LCI!$E86*impact_process_end!AA22</f>
        <v>0</v>
      </c>
    </row>
    <row r="73" spans="1:28" x14ac:dyDescent="0.35">
      <c r="B73" t="s">
        <v>124</v>
      </c>
      <c r="C73">
        <f>LCI!$E87*impact_process_end!C16</f>
        <v>0</v>
      </c>
      <c r="D73">
        <f>LCI!$E87*impact_process_end!D16</f>
        <v>0</v>
      </c>
      <c r="E73">
        <f>LCI!$E87*impact_process_end!E16</f>
        <v>0</v>
      </c>
      <c r="F73">
        <f>LCI!$E87*impact_process_end!F16</f>
        <v>0</v>
      </c>
      <c r="G73">
        <f>LCI!$E87*impact_process_end!G16</f>
        <v>0</v>
      </c>
      <c r="H73">
        <f>LCI!$E87*impact_process_end!H16</f>
        <v>0</v>
      </c>
      <c r="I73">
        <f>LCI!$E87*impact_process_end!I16</f>
        <v>0</v>
      </c>
      <c r="J73">
        <f>LCI!$E87*impact_process_end!J16</f>
        <v>0</v>
      </c>
      <c r="K73">
        <f>LCI!$E87*impact_process_end!K16</f>
        <v>0</v>
      </c>
      <c r="L73">
        <f>LCI!$E87*impact_process_end!L16</f>
        <v>0</v>
      </c>
      <c r="M73">
        <f>LCI!$E87*impact_process_end!M16</f>
        <v>0</v>
      </c>
      <c r="N73">
        <f>LCI!$E87*impact_process_end!N16</f>
        <v>0</v>
      </c>
      <c r="O73">
        <f>LCI!$E87*impact_process_end!O16</f>
        <v>0</v>
      </c>
      <c r="P73">
        <f>LCI!$E87*impact_process_end!P16</f>
        <v>0</v>
      </c>
      <c r="Q73">
        <f>LCI!$E87*impact_process_end!Q16</f>
        <v>0</v>
      </c>
      <c r="R73">
        <f>LCI!$E87*impact_process_end!R16</f>
        <v>0</v>
      </c>
      <c r="S73">
        <f>LCI!$E87*impact_process_end!S16</f>
        <v>0</v>
      </c>
      <c r="T73">
        <f>LCI!$E87*impact_process_end!T16</f>
        <v>0</v>
      </c>
      <c r="U73">
        <f>LCI!$E87*impact_process_end!U16</f>
        <v>0</v>
      </c>
      <c r="V73">
        <f>LCI!$E87*impact_process_end!V16</f>
        <v>0</v>
      </c>
      <c r="W73">
        <f>LCI!$E87*impact_process_end!W16</f>
        <v>0</v>
      </c>
      <c r="X73">
        <f>LCI!$E87*impact_process_end!X16</f>
        <v>0</v>
      </c>
      <c r="Y73">
        <f>LCI!$E87*impact_process_end!Y16</f>
        <v>0</v>
      </c>
      <c r="Z73">
        <f>LCI!$E87*impact_process_end!Z16</f>
        <v>0</v>
      </c>
      <c r="AA73">
        <f>LCI!$E87*impact_process_end!AA16</f>
        <v>0</v>
      </c>
    </row>
    <row r="74" spans="1:28" x14ac:dyDescent="0.35">
      <c r="B74" t="s">
        <v>276</v>
      </c>
      <c r="C74">
        <f>LCI!$E89*impact_process_end!C2</f>
        <v>5.9960463259016727E-11</v>
      </c>
      <c r="D74">
        <f>LCI!$E89*impact_process_end!D2</f>
        <v>1.8983799771446036E-14</v>
      </c>
      <c r="E74">
        <f>LCI!$E89*impact_process_end!E2</f>
        <v>6.9503177547312123E-10</v>
      </c>
      <c r="F74">
        <f>LCI!$E89*impact_process_end!F2</f>
        <v>1.3415337087763723E-11</v>
      </c>
      <c r="G74">
        <f>LCI!$E89*impact_process_end!G2</f>
        <v>2.5797651040281115E-12</v>
      </c>
      <c r="H74">
        <f>LCI!$E89*impact_process_end!H2</f>
        <v>2.024764552713374E-11</v>
      </c>
      <c r="I74">
        <f>LCI!$E89*impact_process_end!I2</f>
        <v>3.2117602922845756E-11</v>
      </c>
      <c r="J74">
        <f>LCI!$E89*impact_process_end!J2</f>
        <v>6.1430433302913917E-14</v>
      </c>
      <c r="K74">
        <f>LCI!$E89*impact_process_end!K2</f>
        <v>7.9011783535837554E-11</v>
      </c>
      <c r="L74">
        <f>LCI!$E89*impact_process_end!L2</f>
        <v>3.6364738991501417E-11</v>
      </c>
      <c r="M74">
        <f>LCI!$E89*impact_process_end!M2</f>
        <v>5.9186544375303306E-15</v>
      </c>
      <c r="N74">
        <f>LCI!$E89*impact_process_end!N2</f>
        <v>1.3228780613685342E-10</v>
      </c>
      <c r="O74">
        <f>LCI!$E89*impact_process_end!O2</f>
        <v>2.3031721821385219E-7</v>
      </c>
      <c r="P74">
        <f>LCI!$E89*impact_process_end!P2</f>
        <v>6.136614226460905E-8</v>
      </c>
      <c r="Q74">
        <f>LCI!$E89*impact_process_end!Q2</f>
        <v>9.111921173297449E-8</v>
      </c>
      <c r="R74">
        <f>LCI!$E89*impact_process_end!R2</f>
        <v>1.4584573078169139E-8</v>
      </c>
      <c r="S74">
        <f>LCI!$E89*impact_process_end!S2</f>
        <v>1.4345945869286925E-10</v>
      </c>
      <c r="T74">
        <f>LCI!$E89*impact_process_end!T2</f>
        <v>9.8595315551741679E-8</v>
      </c>
      <c r="U74">
        <f>LCI!$E89*impact_process_end!U2</f>
        <v>2.3239033220999122E-10</v>
      </c>
      <c r="V74">
        <f>LCI!$E89*impact_process_end!V2</f>
        <v>2.175399478694923E-8</v>
      </c>
      <c r="W74">
        <f>LCI!$E89*impact_process_end!W2</f>
        <v>2.5568727876434921E-2</v>
      </c>
      <c r="X74">
        <f>LCI!$E89*impact_process_end!X2</f>
        <v>1.2816134438258012E-3</v>
      </c>
      <c r="Y74">
        <f>LCI!$E89*impact_process_end!Y2</f>
        <v>9.3881425091487137E-10</v>
      </c>
      <c r="Z74">
        <f>LCI!$E89*impact_process_end!Z2</f>
        <v>5.1811160318752369E-7</v>
      </c>
      <c r="AA74">
        <f>LCI!$E89*impact_process_end!AA2</f>
        <v>2.685034145254853E-2</v>
      </c>
    </row>
    <row r="75" spans="1:28" x14ac:dyDescent="0.35">
      <c r="B75" t="s">
        <v>292</v>
      </c>
      <c r="C75">
        <f>LCI!$E90*impact_process_end!C24</f>
        <v>2.2368232974921015E-10</v>
      </c>
      <c r="D75">
        <f>LCI!$E90*impact_process_end!D24</f>
        <v>3.1868885608507814E-14</v>
      </c>
      <c r="E75">
        <f>LCI!$E90*impact_process_end!E24</f>
        <v>1.1682457604175933E-9</v>
      </c>
      <c r="F75">
        <f>LCI!$E90*impact_process_end!F24</f>
        <v>2.5203742293873814E-12</v>
      </c>
      <c r="G75">
        <f>LCI!$E90*impact_process_end!G24</f>
        <v>6.8145102970068231E-13</v>
      </c>
      <c r="H75">
        <f>LCI!$E90*impact_process_end!H24</f>
        <v>9.4914850872691915E-12</v>
      </c>
      <c r="I75">
        <f>LCI!$E90*impact_process_end!I24</f>
        <v>1.5205301912234567E-11</v>
      </c>
      <c r="J75">
        <f>LCI!$E90*impact_process_end!J24</f>
        <v>7.2613940281219475E-14</v>
      </c>
      <c r="K75">
        <f>LCI!$E90*impact_process_end!K24</f>
        <v>3.2699791721566634E-11</v>
      </c>
      <c r="L75">
        <f>LCI!$E90*impact_process_end!L24</f>
        <v>1.7923899906590475E-10</v>
      </c>
      <c r="M75">
        <f>LCI!$E90*impact_process_end!M24</f>
        <v>4.2830809220371297E-16</v>
      </c>
      <c r="N75">
        <f>LCI!$E90*impact_process_end!N24</f>
        <v>9.5731113323677584E-12</v>
      </c>
      <c r="O75">
        <f>LCI!$E90*impact_process_end!O24</f>
        <v>3.8680677170068629E-7</v>
      </c>
      <c r="P75">
        <f>LCI!$E90*impact_process_end!P24</f>
        <v>4.9465989920733225E-8</v>
      </c>
      <c r="Q75">
        <f>LCI!$E90*impact_process_end!Q24</f>
        <v>2.4253867382183414E-8</v>
      </c>
      <c r="R75">
        <f>LCI!$E90*impact_process_end!R24</f>
        <v>7.0788947391050812E-11</v>
      </c>
      <c r="S75">
        <f>LCI!$E90*impact_process_end!S24</f>
        <v>5.3712034745879485E-11</v>
      </c>
      <c r="T75">
        <f>LCI!$E90*impact_process_end!T24</f>
        <v>2.400957467506611E-7</v>
      </c>
      <c r="U75">
        <f>LCI!$E90*impact_process_end!U24</f>
        <v>9.9792081424139185E-10</v>
      </c>
      <c r="V75">
        <f>LCI!$E90*impact_process_end!V24</f>
        <v>1.5742449746560315E-9</v>
      </c>
      <c r="W75">
        <f>LCI!$E90*impact_process_end!W24</f>
        <v>0.24086652458048358</v>
      </c>
      <c r="X75">
        <f>LCI!$E90*impact_process_end!X24</f>
        <v>1.8294724366943564E-3</v>
      </c>
      <c r="Y75">
        <f>LCI!$E90*impact_process_end!Y24</f>
        <v>1.6318700211680019E-9</v>
      </c>
      <c r="Z75">
        <f>LCI!$E90*impact_process_end!Z24</f>
        <v>7.033182193922775E-7</v>
      </c>
      <c r="AA75">
        <f>LCI!$E90*impact_process_end!AA24</f>
        <v>0.24269599702675099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51468-0BFB-4CC0-86A8-2F8089FAEBA1}">
  <dimension ref="A1:U75"/>
  <sheetViews>
    <sheetView workbookViewId="0"/>
  </sheetViews>
  <sheetFormatPr baseColWidth="10" defaultRowHeight="14.5" x14ac:dyDescent="0.35"/>
  <cols>
    <col min="1" max="1" width="30" customWidth="1"/>
    <col min="2" max="2" width="24.6328125" bestFit="1" customWidth="1"/>
    <col min="3" max="20" width="20.6328125" customWidth="1"/>
  </cols>
  <sheetData>
    <row r="1" spans="1:20" s="31" customFormat="1" ht="87" x14ac:dyDescent="0.35">
      <c r="A1" s="31" t="s">
        <v>0</v>
      </c>
      <c r="C1" s="32" t="s">
        <v>32</v>
      </c>
      <c r="D1" s="32" t="s">
        <v>33</v>
      </c>
      <c r="E1" s="32" t="s">
        <v>34</v>
      </c>
      <c r="F1" s="32" t="s">
        <v>35</v>
      </c>
      <c r="G1" s="32" t="s">
        <v>36</v>
      </c>
      <c r="H1" s="32" t="s">
        <v>37</v>
      </c>
      <c r="I1" s="32" t="s">
        <v>38</v>
      </c>
      <c r="J1" s="32" t="s">
        <v>39</v>
      </c>
      <c r="K1" s="32" t="s">
        <v>40</v>
      </c>
      <c r="L1" s="32" t="s">
        <v>41</v>
      </c>
      <c r="M1" s="32" t="s">
        <v>42</v>
      </c>
      <c r="N1" s="32" t="s">
        <v>43</v>
      </c>
      <c r="O1" s="32" t="s">
        <v>44</v>
      </c>
      <c r="P1" s="32" t="s">
        <v>45</v>
      </c>
      <c r="Q1" s="32" t="s">
        <v>46</v>
      </c>
      <c r="R1" s="32" t="s">
        <v>47</v>
      </c>
      <c r="S1" s="32" t="s">
        <v>48</v>
      </c>
      <c r="T1" s="32" t="s">
        <v>49</v>
      </c>
    </row>
    <row r="2" spans="1:20" x14ac:dyDescent="0.35">
      <c r="A2" t="s">
        <v>5</v>
      </c>
    </row>
    <row r="3" spans="1:20" x14ac:dyDescent="0.35">
      <c r="B3" t="s">
        <v>251</v>
      </c>
      <c r="C3">
        <f>LCI!$E4*impact_process_mid!C2</f>
        <v>9.0312821927291157E-4</v>
      </c>
      <c r="D3">
        <f>LCI!$E4*impact_process_mid!D2</f>
        <v>0.79247376131455494</v>
      </c>
      <c r="E3">
        <f>LCI!$E4*impact_process_mid!E2</f>
        <v>6.1910242536206021E-2</v>
      </c>
      <c r="F3">
        <f>LCI!$E4*impact_process_mid!F2</f>
        <v>7.8345670962325933E-2</v>
      </c>
      <c r="G3">
        <f>LCI!$E4*impact_process_mid!G2</f>
        <v>5.6623344657000505</v>
      </c>
      <c r="H3">
        <f>LCI!$E4*impact_process_mid!H2</f>
        <v>0.24326940164457148</v>
      </c>
      <c r="I3">
        <f>LCI!$E4*impact_process_mid!I2</f>
        <v>1.5313456823503233E-4</v>
      </c>
      <c r="J3">
        <f>LCI!$E4*impact_process_mid!J2</f>
        <v>1.1543479523576296E-4</v>
      </c>
      <c r="K3">
        <f>LCI!$E4*impact_process_mid!K2</f>
        <v>5.902930824914978E-2</v>
      </c>
      <c r="L3">
        <f>LCI!$E4*impact_process_mid!L2</f>
        <v>1.2768809947849726</v>
      </c>
      <c r="M3">
        <f>LCI!$E4*impact_process_mid!M2</f>
        <v>5.4896610827526633</v>
      </c>
      <c r="N3">
        <f>LCI!$E4*impact_process_mid!N2</f>
        <v>2.8448734985388312E-2</v>
      </c>
      <c r="O3">
        <f>LCI!$E4*impact_process_mid!O2</f>
        <v>1.7691736994575557E-2</v>
      </c>
      <c r="P3">
        <f>LCI!$E4*impact_process_mid!P2</f>
        <v>8.628622072860003E-7</v>
      </c>
      <c r="Q3">
        <f>LCI!$E4*impact_process_mid!Q2</f>
        <v>5.0090706833172773E-4</v>
      </c>
      <c r="R3">
        <f>LCI!$E4*impact_process_mid!R2</f>
        <v>8.1527565031312655E-4</v>
      </c>
      <c r="S3">
        <f>LCI!$E4*impact_process_mid!S2</f>
        <v>9.0017742771662421E-4</v>
      </c>
      <c r="T3">
        <f>LCI!$E4*impact_process_mid!T2</f>
        <v>3.1289649930023082E-2</v>
      </c>
    </row>
    <row r="4" spans="1:20" x14ac:dyDescent="0.35">
      <c r="B4" t="s">
        <v>252</v>
      </c>
      <c r="C4">
        <f>LCI!$E5*impact_process_mid!C3</f>
        <v>0</v>
      </c>
      <c r="D4">
        <f>LCI!$E5*impact_process_mid!D3</f>
        <v>0</v>
      </c>
      <c r="E4">
        <f>LCI!$E5*impact_process_mid!E3</f>
        <v>0</v>
      </c>
      <c r="F4">
        <f>LCI!$E5*impact_process_mid!F3</f>
        <v>0</v>
      </c>
      <c r="G4">
        <f>LCI!$E5*impact_process_mid!G3</f>
        <v>0</v>
      </c>
      <c r="H4">
        <f>LCI!$E5*impact_process_mid!H3</f>
        <v>0</v>
      </c>
      <c r="I4">
        <f>LCI!$E5*impact_process_mid!I3</f>
        <v>0</v>
      </c>
      <c r="J4">
        <f>LCI!$E5*impact_process_mid!J3</f>
        <v>0</v>
      </c>
      <c r="K4">
        <f>LCI!$E5*impact_process_mid!K3</f>
        <v>0</v>
      </c>
      <c r="L4">
        <f>LCI!$E5*impact_process_mid!L3</f>
        <v>0</v>
      </c>
      <c r="M4">
        <f>LCI!$E5*impact_process_mid!M3</f>
        <v>0</v>
      </c>
      <c r="N4">
        <f>LCI!$E5*impact_process_mid!N3</f>
        <v>0</v>
      </c>
      <c r="O4">
        <f>LCI!$E5*impact_process_mid!O3</f>
        <v>0</v>
      </c>
      <c r="P4">
        <f>LCI!$E5*impact_process_mid!P3</f>
        <v>0</v>
      </c>
      <c r="Q4">
        <f>LCI!$E5*impact_process_mid!Q3</f>
        <v>0</v>
      </c>
      <c r="R4">
        <f>LCI!$E5*impact_process_mid!R3</f>
        <v>0</v>
      </c>
      <c r="S4">
        <f>LCI!$E5*impact_process_mid!S3</f>
        <v>0</v>
      </c>
      <c r="T4">
        <f>LCI!$E5*impact_process_mid!T3</f>
        <v>0</v>
      </c>
    </row>
    <row r="5" spans="1:20" x14ac:dyDescent="0.35">
      <c r="A5" t="s">
        <v>237</v>
      </c>
    </row>
    <row r="6" spans="1:20" x14ac:dyDescent="0.35">
      <c r="B6" t="s">
        <v>237</v>
      </c>
      <c r="C6">
        <f>LCI!$E7*impact_process_mid!C4</f>
        <v>3.136868825731589E-2</v>
      </c>
      <c r="D6">
        <f>LCI!$E7*impact_process_mid!D4</f>
        <v>9.4255904120400142</v>
      </c>
      <c r="E6">
        <f>LCI!$E7*impact_process_mid!E4</f>
        <v>1.5611552242218518</v>
      </c>
      <c r="F6">
        <f>LCI!$E7*impact_process_mid!F4</f>
        <v>2.0858238050040208</v>
      </c>
      <c r="G6">
        <f>LCI!$E7*impact_process_mid!G4</f>
        <v>21.548877259610556</v>
      </c>
      <c r="H6">
        <f>LCI!$E7*impact_process_mid!H4</f>
        <v>1.3294787034626672</v>
      </c>
      <c r="I6">
        <f>LCI!$E7*impact_process_mid!I4</f>
        <v>1.1197025726516924E-2</v>
      </c>
      <c r="J6">
        <f>LCI!$E7*impact_process_mid!J4</f>
        <v>2.7794864281369667E-3</v>
      </c>
      <c r="K6">
        <f>LCI!$E7*impact_process_mid!K4</f>
        <v>2.4266598230865393</v>
      </c>
      <c r="L6">
        <f>LCI!$E7*impact_process_mid!L4</f>
        <v>69.7281472144969</v>
      </c>
      <c r="M6">
        <f>LCI!$E7*impact_process_mid!M4</f>
        <v>8.7992078302411347E-2</v>
      </c>
      <c r="N6">
        <f>LCI!$E7*impact_process_mid!N4</f>
        <v>0.18236019814038193</v>
      </c>
      <c r="O6">
        <f>LCI!$E7*impact_process_mid!O4</f>
        <v>0.26656717341724856</v>
      </c>
      <c r="P6">
        <f>LCI!$E7*impact_process_mid!P4</f>
        <v>1.3290851713605362E-4</v>
      </c>
      <c r="Q6">
        <f>LCI!$E7*impact_process_mid!Q4</f>
        <v>1.2432831017476624E-2</v>
      </c>
      <c r="R6">
        <f>LCI!$E7*impact_process_mid!R4</f>
        <v>5.9315702886485758E-2</v>
      </c>
      <c r="S6">
        <f>LCI!$E7*impact_process_mid!S4</f>
        <v>6.0004988619273968E-2</v>
      </c>
      <c r="T6">
        <f>LCI!$E7*impact_process_mid!T4</f>
        <v>0.41857403055794579</v>
      </c>
    </row>
    <row r="7" spans="1:20" x14ac:dyDescent="0.35">
      <c r="A7" t="s">
        <v>6</v>
      </c>
    </row>
    <row r="8" spans="1:20" x14ac:dyDescent="0.35">
      <c r="B8" t="s">
        <v>251</v>
      </c>
      <c r="C8">
        <f>LCI!$E10*impact_process_mid!C2</f>
        <v>2.0207267671707532E-3</v>
      </c>
      <c r="D8">
        <f>LCI!$E10*impact_process_mid!D2</f>
        <v>1.7731401893941896</v>
      </c>
      <c r="E8">
        <f>LCI!$E10*impact_process_mid!E2</f>
        <v>0.13852261681698202</v>
      </c>
      <c r="F8">
        <f>LCI!$E10*impact_process_mid!F2</f>
        <v>0.1752964762112964</v>
      </c>
      <c r="G8">
        <f>LCI!$E10*impact_process_mid!G2</f>
        <v>12.66933152495813</v>
      </c>
      <c r="H8">
        <f>LCI!$E10*impact_process_mid!H2</f>
        <v>0.54430919225684182</v>
      </c>
      <c r="I8">
        <f>LCI!$E10*impact_process_mid!I2</f>
        <v>3.4263476038960645E-4</v>
      </c>
      <c r="J8">
        <f>LCI!$E10*impact_process_mid!J2</f>
        <v>2.5828246268683235E-4</v>
      </c>
      <c r="K8">
        <f>LCI!$E10*impact_process_mid!K2</f>
        <v>0.13207659851738623</v>
      </c>
      <c r="L8">
        <f>LCI!$E10*impact_process_mid!L2</f>
        <v>2.8569892398345131</v>
      </c>
      <c r="M8">
        <f>LCI!$E10*impact_process_mid!M2</f>
        <v>12.282979156098897</v>
      </c>
      <c r="N8">
        <f>LCI!$E10*impact_process_mid!N2</f>
        <v>6.3653331886144401E-2</v>
      </c>
      <c r="O8">
        <f>LCI!$E10*impact_process_mid!O2</f>
        <v>3.9584818345578379E-2</v>
      </c>
      <c r="P8">
        <f>LCI!$E10*impact_process_mid!P2</f>
        <v>1.9306325740176742E-6</v>
      </c>
      <c r="Q8">
        <f>LCI!$E10*impact_process_mid!Q2</f>
        <v>1.1207670176199879E-3</v>
      </c>
      <c r="R8">
        <f>LCI!$E10*impact_process_mid!R2</f>
        <v>1.8241588448388896E-3</v>
      </c>
      <c r="S8">
        <f>LCI!$E10*impact_process_mid!S2</f>
        <v>2.0141244449811842E-3</v>
      </c>
      <c r="T8">
        <f>LCI!$E10*impact_process_mid!T2</f>
        <v>7.000980790956067E-2</v>
      </c>
    </row>
    <row r="9" spans="1:20" x14ac:dyDescent="0.35">
      <c r="B9" t="s">
        <v>253</v>
      </c>
      <c r="C9">
        <f>LCI!$E11*impact_process_mid!C10</f>
        <v>1.6095802708112922E-2</v>
      </c>
      <c r="D9">
        <f>LCI!$E11*impact_process_mid!D10</f>
        <v>9.8941121194787538</v>
      </c>
      <c r="E9">
        <f>LCI!$E11*impact_process_mid!E10</f>
        <v>0.1282029015163384</v>
      </c>
      <c r="F9">
        <f>LCI!$E11*impact_process_mid!F10</f>
        <v>0.17567427837356578</v>
      </c>
      <c r="G9">
        <f>LCI!$E11*impact_process_mid!G10</f>
        <v>18.109139111017196</v>
      </c>
      <c r="H9">
        <f>LCI!$E11*impact_process_mid!H10</f>
        <v>3.188825480147889</v>
      </c>
      <c r="I9">
        <f>LCI!$E11*impact_process_mid!I10</f>
        <v>8.1611954235945555E-4</v>
      </c>
      <c r="J9">
        <f>LCI!$E11*impact_process_mid!J10</f>
        <v>8.6770922059635185E-5</v>
      </c>
      <c r="K9">
        <f>LCI!$E11*impact_process_mid!K10</f>
        <v>0.28745089223135945</v>
      </c>
      <c r="L9">
        <f>LCI!$E11*impact_process_mid!L10</f>
        <v>4.4284315000777479</v>
      </c>
      <c r="M9">
        <f>LCI!$E11*impact_process_mid!M10</f>
        <v>0.20363355781915851</v>
      </c>
      <c r="N9">
        <f>LCI!$E11*impact_process_mid!N10</f>
        <v>2.3271913692067154</v>
      </c>
      <c r="O9">
        <f>LCI!$E11*impact_process_mid!O10</f>
        <v>7.5125392121403178E-2</v>
      </c>
      <c r="P9">
        <f>LCI!$E11*impact_process_mid!P10</f>
        <v>5.0548492742886477E-6</v>
      </c>
      <c r="Q9">
        <f>LCI!$E11*impact_process_mid!Q10</f>
        <v>1.6560358533536712E-2</v>
      </c>
      <c r="R9">
        <f>LCI!$E11*impact_process_mid!R10</f>
        <v>3.1879220874158044E-2</v>
      </c>
      <c r="S9">
        <f>LCI!$E11*impact_process_mid!S10</f>
        <v>3.314020895881585E-2</v>
      </c>
      <c r="T9">
        <f>LCI!$E11*impact_process_mid!T10</f>
        <v>3.5388381081113404E-2</v>
      </c>
    </row>
    <row r="10" spans="1:20" x14ac:dyDescent="0.35">
      <c r="B10" t="s">
        <v>24</v>
      </c>
      <c r="C10">
        <f>LCI!$E12*impact_process_mid!C11</f>
        <v>0</v>
      </c>
      <c r="D10">
        <f>LCI!$E12*impact_process_mid!D11</f>
        <v>51.402743268045924</v>
      </c>
      <c r="E10">
        <f>LCI!$E12*impact_process_mid!E11</f>
        <v>0</v>
      </c>
      <c r="F10">
        <f>LCI!$E12*impact_process_mid!F11</f>
        <v>0</v>
      </c>
      <c r="G10">
        <f>LCI!$E12*impact_process_mid!G11</f>
        <v>0</v>
      </c>
      <c r="H10">
        <f>LCI!$E12*impact_process_mid!H11</f>
        <v>0</v>
      </c>
      <c r="I10">
        <f>LCI!$E12*impact_process_mid!I11</f>
        <v>0</v>
      </c>
      <c r="J10">
        <f>LCI!$E12*impact_process_mid!J11</f>
        <v>0</v>
      </c>
      <c r="K10">
        <f>LCI!$E12*impact_process_mid!K11</f>
        <v>0</v>
      </c>
      <c r="L10">
        <f>LCI!$E12*impact_process_mid!L11</f>
        <v>0</v>
      </c>
      <c r="M10">
        <f>LCI!$E12*impact_process_mid!M11</f>
        <v>0</v>
      </c>
      <c r="N10">
        <f>LCI!$E12*impact_process_mid!N11</f>
        <v>0</v>
      </c>
      <c r="O10">
        <f>LCI!$E12*impact_process_mid!O11</f>
        <v>0</v>
      </c>
      <c r="P10">
        <f>LCI!$E12*impact_process_mid!P11</f>
        <v>0</v>
      </c>
      <c r="Q10">
        <f>LCI!$E12*impact_process_mid!Q11</f>
        <v>0</v>
      </c>
      <c r="R10">
        <f>LCI!$E12*impact_process_mid!R11</f>
        <v>0</v>
      </c>
      <c r="S10">
        <f>LCI!$E12*impact_process_mid!S11</f>
        <v>0</v>
      </c>
      <c r="T10">
        <f>LCI!$E12*impact_process_mid!T11</f>
        <v>0</v>
      </c>
    </row>
    <row r="11" spans="1:20" x14ac:dyDescent="0.35">
      <c r="A11" t="s">
        <v>7</v>
      </c>
    </row>
    <row r="12" spans="1:20" x14ac:dyDescent="0.35">
      <c r="B12" t="s">
        <v>25</v>
      </c>
      <c r="C12">
        <f>LCI!$E15*impact_process_mid!C12</f>
        <v>1.3218611465967397E-2</v>
      </c>
      <c r="D12">
        <f>LCI!$E15*impact_process_mid!D12</f>
        <v>0</v>
      </c>
      <c r="E12">
        <f>LCI!$E15*impact_process_mid!E12</f>
        <v>0</v>
      </c>
      <c r="F12">
        <f>LCI!$E15*impact_process_mid!F12</f>
        <v>0</v>
      </c>
      <c r="G12">
        <f>LCI!$E15*impact_process_mid!G12</f>
        <v>0</v>
      </c>
      <c r="H12">
        <f>LCI!$E15*impact_process_mid!H12</f>
        <v>0</v>
      </c>
      <c r="I12">
        <f>LCI!$E15*impact_process_mid!I12</f>
        <v>0</v>
      </c>
      <c r="J12">
        <f>LCI!$E15*impact_process_mid!J12</f>
        <v>0</v>
      </c>
      <c r="K12">
        <f>LCI!$E15*impact_process_mid!K12</f>
        <v>0</v>
      </c>
      <c r="L12">
        <f>LCI!$E15*impact_process_mid!L12</f>
        <v>0</v>
      </c>
      <c r="M12">
        <f>LCI!$E15*impact_process_mid!M12</f>
        <v>0</v>
      </c>
      <c r="N12">
        <f>LCI!$E15*impact_process_mid!N12</f>
        <v>0</v>
      </c>
      <c r="O12">
        <f>LCI!$E15*impact_process_mid!O12</f>
        <v>0</v>
      </c>
      <c r="P12">
        <f>LCI!$E15*impact_process_mid!P12</f>
        <v>0</v>
      </c>
      <c r="Q12">
        <f>LCI!$E15*impact_process_mid!Q12</f>
        <v>4.0390201701567046E-3</v>
      </c>
      <c r="R12">
        <f>LCI!$E15*impact_process_mid!R12</f>
        <v>3.6718365183242771E-2</v>
      </c>
      <c r="S12">
        <f>LCI!$E15*impact_process_mid!S12</f>
        <v>3.6718365183242771E-2</v>
      </c>
      <c r="T12">
        <f>LCI!$E15*impact_process_mid!T12</f>
        <v>0</v>
      </c>
    </row>
    <row r="13" spans="1:20" x14ac:dyDescent="0.35">
      <c r="B13" t="s">
        <v>26</v>
      </c>
      <c r="C13">
        <f>LCI!$E16*impact_process_mid!C13</f>
        <v>0</v>
      </c>
      <c r="D13">
        <f>LCI!$E16*impact_process_mid!D13</f>
        <v>0</v>
      </c>
      <c r="E13">
        <f>LCI!$E16*impact_process_mid!E13</f>
        <v>0</v>
      </c>
      <c r="F13">
        <f>LCI!$E16*impact_process_mid!F13</f>
        <v>0</v>
      </c>
      <c r="G13">
        <f>LCI!$E16*impact_process_mid!G13</f>
        <v>0</v>
      </c>
      <c r="H13">
        <f>LCI!$E16*impact_process_mid!H13</f>
        <v>0</v>
      </c>
      <c r="I13">
        <f>LCI!$E16*impact_process_mid!I13</f>
        <v>0</v>
      </c>
      <c r="J13">
        <f>LCI!$E16*impact_process_mid!J13</f>
        <v>0</v>
      </c>
      <c r="K13">
        <f>LCI!$E16*impact_process_mid!K13</f>
        <v>0</v>
      </c>
      <c r="L13">
        <f>LCI!$E16*impact_process_mid!L13</f>
        <v>0</v>
      </c>
      <c r="M13">
        <f>LCI!$E16*impact_process_mid!M13</f>
        <v>0</v>
      </c>
      <c r="N13">
        <f>LCI!$E16*impact_process_mid!N13</f>
        <v>0</v>
      </c>
      <c r="O13">
        <f>LCI!$E16*impact_process_mid!O13</f>
        <v>0</v>
      </c>
      <c r="P13">
        <f>LCI!$E16*impact_process_mid!P13</f>
        <v>0</v>
      </c>
      <c r="Q13">
        <f>LCI!$E16*impact_process_mid!Q13</f>
        <v>0</v>
      </c>
      <c r="R13">
        <f>LCI!$E16*impact_process_mid!R13</f>
        <v>6.3701118112185567E-2</v>
      </c>
      <c r="S13">
        <f>LCI!$E16*impact_process_mid!S13</f>
        <v>0.10262957918074342</v>
      </c>
      <c r="T13">
        <f>LCI!$E16*impact_process_mid!T13</f>
        <v>0</v>
      </c>
    </row>
    <row r="14" spans="1:20" x14ac:dyDescent="0.35">
      <c r="B14" t="s">
        <v>27</v>
      </c>
      <c r="C14">
        <f>LCI!$E17*impact_process_mid!C14</f>
        <v>3.1472884442779359E-3</v>
      </c>
      <c r="D14">
        <f>LCI!$E17*impact_process_mid!D14</f>
        <v>0</v>
      </c>
      <c r="E14">
        <f>LCI!$E17*impact_process_mid!E14</f>
        <v>0</v>
      </c>
      <c r="F14">
        <f>LCI!$E17*impact_process_mid!F14</f>
        <v>0</v>
      </c>
      <c r="G14">
        <f>LCI!$E17*impact_process_mid!G14</f>
        <v>0</v>
      </c>
      <c r="H14">
        <f>LCI!$E17*impact_process_mid!H14</f>
        <v>0</v>
      </c>
      <c r="I14">
        <f>LCI!$E17*impact_process_mid!I14</f>
        <v>0</v>
      </c>
      <c r="J14">
        <f>LCI!$E17*impact_process_mid!J14</f>
        <v>0</v>
      </c>
      <c r="K14">
        <f>LCI!$E17*impact_process_mid!K14</f>
        <v>0</v>
      </c>
      <c r="L14">
        <f>LCI!$E17*impact_process_mid!L14</f>
        <v>0</v>
      </c>
      <c r="M14">
        <f>LCI!$E17*impact_process_mid!M14</f>
        <v>0</v>
      </c>
      <c r="N14">
        <f>LCI!$E17*impact_process_mid!N14</f>
        <v>0</v>
      </c>
      <c r="O14">
        <f>LCI!$E17*impact_process_mid!O14</f>
        <v>0</v>
      </c>
      <c r="P14">
        <f>LCI!$E17*impact_process_mid!P14</f>
        <v>0</v>
      </c>
      <c r="Q14">
        <f>LCI!$E17*impact_process_mid!Q14</f>
        <v>9.1271364884060137E-4</v>
      </c>
      <c r="R14">
        <f>LCI!$E17*impact_process_mid!R14</f>
        <v>0</v>
      </c>
      <c r="S14">
        <f>LCI!$E17*impact_process_mid!S14</f>
        <v>0</v>
      </c>
      <c r="T14">
        <f>LCI!$E17*impact_process_mid!T14</f>
        <v>0</v>
      </c>
    </row>
    <row r="15" spans="1:20" x14ac:dyDescent="0.35">
      <c r="B15" t="s">
        <v>28</v>
      </c>
      <c r="C15">
        <f>LCI!$E18*impact_process_mid!C21</f>
        <v>0</v>
      </c>
      <c r="D15">
        <f>LCI!$E18*impact_process_mid!D21</f>
        <v>0</v>
      </c>
      <c r="E15">
        <f>LCI!$E18*impact_process_mid!E21</f>
        <v>0</v>
      </c>
      <c r="F15">
        <f>LCI!$E18*impact_process_mid!F21</f>
        <v>0</v>
      </c>
      <c r="G15">
        <f>LCI!$E18*impact_process_mid!G21</f>
        <v>0</v>
      </c>
      <c r="H15">
        <f>LCI!$E18*impact_process_mid!H21</f>
        <v>0</v>
      </c>
      <c r="I15">
        <f>LCI!$E18*impact_process_mid!I21</f>
        <v>0</v>
      </c>
      <c r="J15">
        <f>LCI!$E18*impact_process_mid!J21</f>
        <v>0</v>
      </c>
      <c r="K15">
        <f>LCI!$E18*impact_process_mid!K21</f>
        <v>0</v>
      </c>
      <c r="L15">
        <f>LCI!$E18*impact_process_mid!L21</f>
        <v>0</v>
      </c>
      <c r="M15">
        <f>LCI!$E18*impact_process_mid!M21</f>
        <v>0</v>
      </c>
      <c r="N15">
        <f>LCI!$E18*impact_process_mid!N21</f>
        <v>0</v>
      </c>
      <c r="O15">
        <f>LCI!$E18*impact_process_mid!O21</f>
        <v>0</v>
      </c>
      <c r="P15">
        <f>LCI!$E18*impact_process_mid!P21</f>
        <v>0</v>
      </c>
      <c r="Q15">
        <f>LCI!$E18*impact_process_mid!Q21</f>
        <v>7.693371752679418E-3</v>
      </c>
      <c r="R15">
        <f>LCI!$E18*impact_process_mid!R21</f>
        <v>0</v>
      </c>
      <c r="S15">
        <f>LCI!$E18*impact_process_mid!S21</f>
        <v>0</v>
      </c>
      <c r="T15">
        <f>LCI!$E18*impact_process_mid!T21</f>
        <v>0</v>
      </c>
    </row>
    <row r="16" spans="1:20" x14ac:dyDescent="0.35">
      <c r="B16" t="s">
        <v>29</v>
      </c>
      <c r="C16">
        <f>LCI!$E19*impact_process_mid!C16</f>
        <v>0</v>
      </c>
      <c r="D16">
        <f>LCI!$E19*impact_process_mid!D16</f>
        <v>0</v>
      </c>
      <c r="E16">
        <f>LCI!$E19*impact_process_mid!E16</f>
        <v>0</v>
      </c>
      <c r="F16">
        <f>LCI!$E19*impact_process_mid!F16</f>
        <v>0</v>
      </c>
      <c r="G16">
        <f>LCI!$E19*impact_process_mid!G16</f>
        <v>0</v>
      </c>
      <c r="H16">
        <f>LCI!$E19*impact_process_mid!H16</f>
        <v>0</v>
      </c>
      <c r="I16">
        <f>LCI!$E19*impact_process_mid!I16</f>
        <v>0</v>
      </c>
      <c r="J16">
        <f>LCI!$E19*impact_process_mid!J16</f>
        <v>0</v>
      </c>
      <c r="K16">
        <f>LCI!$E19*impact_process_mid!K16</f>
        <v>0</v>
      </c>
      <c r="L16">
        <f>LCI!$E19*impact_process_mid!L16</f>
        <v>0</v>
      </c>
      <c r="M16">
        <f>LCI!$E19*impact_process_mid!M16</f>
        <v>0</v>
      </c>
      <c r="N16">
        <f>LCI!$E19*impact_process_mid!N16</f>
        <v>0</v>
      </c>
      <c r="O16">
        <f>LCI!$E19*impact_process_mid!O16</f>
        <v>0</v>
      </c>
      <c r="P16">
        <f>LCI!$E19*impact_process_mid!P16</f>
        <v>0</v>
      </c>
      <c r="Q16">
        <f>LCI!$E19*impact_process_mid!Q16</f>
        <v>0</v>
      </c>
      <c r="R16">
        <f>LCI!$E19*impact_process_mid!R16</f>
        <v>0</v>
      </c>
      <c r="S16">
        <f>LCI!$E19*impact_process_mid!S16</f>
        <v>0</v>
      </c>
      <c r="T16">
        <f>LCI!$E19*impact_process_mid!T16</f>
        <v>0</v>
      </c>
    </row>
    <row r="17" spans="1:21" x14ac:dyDescent="0.35">
      <c r="B17" t="s">
        <v>30</v>
      </c>
      <c r="C17">
        <f>LCI!$E20*impact_process_mid!C17</f>
        <v>2.8101788820241728E-2</v>
      </c>
      <c r="D17">
        <f>LCI!$E20*impact_process_mid!D17</f>
        <v>0</v>
      </c>
      <c r="E17">
        <f>LCI!$E20*impact_process_mid!E17</f>
        <v>0</v>
      </c>
      <c r="F17">
        <f>LCI!$E20*impact_process_mid!F17</f>
        <v>0</v>
      </c>
      <c r="G17">
        <f>LCI!$E20*impact_process_mid!G17</f>
        <v>0</v>
      </c>
      <c r="H17">
        <f>LCI!$E20*impact_process_mid!H17</f>
        <v>0</v>
      </c>
      <c r="I17">
        <f>LCI!$E20*impact_process_mid!I17</f>
        <v>0</v>
      </c>
      <c r="J17">
        <f>LCI!$E20*impact_process_mid!J17</f>
        <v>0</v>
      </c>
      <c r="K17">
        <f>LCI!$E20*impact_process_mid!K17</f>
        <v>0</v>
      </c>
      <c r="L17">
        <f>LCI!$E20*impact_process_mid!L17</f>
        <v>0</v>
      </c>
      <c r="M17">
        <f>LCI!$E20*impact_process_mid!M17</f>
        <v>0</v>
      </c>
      <c r="N17">
        <f>LCI!$E20*impact_process_mid!N17</f>
        <v>0</v>
      </c>
      <c r="O17">
        <f>LCI!$E20*impact_process_mid!O17</f>
        <v>0</v>
      </c>
      <c r="P17">
        <f>LCI!$E20*impact_process_mid!P17</f>
        <v>0</v>
      </c>
      <c r="Q17">
        <f>LCI!$E20*impact_process_mid!Q17</f>
        <v>3.4410353657438847E-3</v>
      </c>
      <c r="R17">
        <f>LCI!$E20*impact_process_mid!R17</f>
        <v>0</v>
      </c>
      <c r="S17">
        <f>LCI!$E20*impact_process_mid!S17</f>
        <v>0</v>
      </c>
      <c r="T17">
        <f>LCI!$E20*impact_process_mid!T17</f>
        <v>0</v>
      </c>
    </row>
    <row r="18" spans="1:21" x14ac:dyDescent="0.35">
      <c r="B18" t="s">
        <v>19</v>
      </c>
      <c r="C18">
        <f>LCI!$E21*impact_process_mid!C11</f>
        <v>0</v>
      </c>
      <c r="D18">
        <f>LCI!$E21*impact_process_mid!D11</f>
        <v>32.738190572236306</v>
      </c>
      <c r="E18">
        <f>LCI!$E21*impact_process_mid!E11</f>
        <v>0</v>
      </c>
      <c r="F18">
        <f>LCI!$E21*impact_process_mid!F11</f>
        <v>0</v>
      </c>
      <c r="G18">
        <f>LCI!$E21*impact_process_mid!G11</f>
        <v>0</v>
      </c>
      <c r="H18">
        <f>LCI!$E21*impact_process_mid!H11</f>
        <v>0</v>
      </c>
      <c r="I18">
        <f>LCI!$E21*impact_process_mid!I11</f>
        <v>0</v>
      </c>
      <c r="J18">
        <f>LCI!$E21*impact_process_mid!J11</f>
        <v>0</v>
      </c>
      <c r="K18">
        <f>LCI!$E21*impact_process_mid!K11</f>
        <v>0</v>
      </c>
      <c r="L18">
        <f>LCI!$E21*impact_process_mid!L11</f>
        <v>0</v>
      </c>
      <c r="M18">
        <f>LCI!$E21*impact_process_mid!M11</f>
        <v>0</v>
      </c>
      <c r="N18">
        <f>LCI!$E21*impact_process_mid!N11</f>
        <v>0</v>
      </c>
      <c r="O18">
        <f>LCI!$E21*impact_process_mid!O11</f>
        <v>0</v>
      </c>
      <c r="P18">
        <f>LCI!$E21*impact_process_mid!P11</f>
        <v>0</v>
      </c>
      <c r="Q18">
        <f>LCI!$E21*impact_process_mid!Q11</f>
        <v>0</v>
      </c>
      <c r="R18">
        <f>LCI!$E21*impact_process_mid!R11</f>
        <v>0</v>
      </c>
      <c r="S18">
        <f>LCI!$E21*impact_process_mid!S11</f>
        <v>0</v>
      </c>
      <c r="T18">
        <f>LCI!$E21*impact_process_mid!T11</f>
        <v>0</v>
      </c>
    </row>
    <row r="19" spans="1:21" x14ac:dyDescent="0.35">
      <c r="B19" t="s">
        <v>31</v>
      </c>
      <c r="C19">
        <f>LCI!$E22*impact_process_mid!C19</f>
        <v>0</v>
      </c>
      <c r="D19">
        <f>LCI!$E22*impact_process_mid!D19</f>
        <v>6.8319193210969331</v>
      </c>
      <c r="E19">
        <f>LCI!$E22*impact_process_mid!E19</f>
        <v>0</v>
      </c>
      <c r="F19">
        <f>LCI!$E22*impact_process_mid!F19</f>
        <v>0</v>
      </c>
      <c r="G19">
        <f>LCI!$E22*impact_process_mid!G19</f>
        <v>0</v>
      </c>
      <c r="H19">
        <f>LCI!$E22*impact_process_mid!H19</f>
        <v>0</v>
      </c>
      <c r="I19">
        <f>LCI!$E22*impact_process_mid!I19</f>
        <v>0</v>
      </c>
      <c r="J19">
        <f>LCI!$E22*impact_process_mid!J19</f>
        <v>0</v>
      </c>
      <c r="K19">
        <f>LCI!$E22*impact_process_mid!K19</f>
        <v>0</v>
      </c>
      <c r="L19">
        <f>LCI!$E22*impact_process_mid!L19</f>
        <v>0</v>
      </c>
      <c r="M19">
        <f>LCI!$E22*impact_process_mid!M19</f>
        <v>0</v>
      </c>
      <c r="N19">
        <f>LCI!$E22*impact_process_mid!N19</f>
        <v>0</v>
      </c>
      <c r="O19">
        <f>LCI!$E22*impact_process_mid!O19</f>
        <v>0</v>
      </c>
      <c r="P19">
        <f>LCI!$E22*impact_process_mid!P19</f>
        <v>2.521849413827727E-4</v>
      </c>
      <c r="Q19">
        <f>LCI!$E22*impact_process_mid!Q19</f>
        <v>0</v>
      </c>
      <c r="R19">
        <f>LCI!$E22*impact_process_mid!R19</f>
        <v>0</v>
      </c>
      <c r="S19">
        <f>LCI!$E22*impact_process_mid!S19</f>
        <v>0</v>
      </c>
      <c r="T19">
        <f>LCI!$E22*impact_process_mid!T19</f>
        <v>0</v>
      </c>
    </row>
    <row r="20" spans="1:21" x14ac:dyDescent="0.35">
      <c r="A20" t="s">
        <v>259</v>
      </c>
    </row>
    <row r="21" spans="1:21" x14ac:dyDescent="0.35">
      <c r="B21" s="20" t="s">
        <v>259</v>
      </c>
      <c r="C21" s="20">
        <f>SUM(C3:C4,C6,C8:C10,C12:C19)</f>
        <v>9.4856034682359522E-2</v>
      </c>
      <c r="D21" s="20">
        <f>SUM(D3:D4,D6,D8:D10,D12:D19)</f>
        <v>112.85816964360667</v>
      </c>
      <c r="E21" s="20">
        <f t="shared" ref="E21:T21" si="0">SUM(E3:E4,E6,E8:E10,E12:E19)</f>
        <v>1.8897909850913781</v>
      </c>
      <c r="F21" s="20">
        <f t="shared" si="0"/>
        <v>2.5151402305512089</v>
      </c>
      <c r="G21" s="20">
        <f t="shared" si="0"/>
        <v>57.989682361285929</v>
      </c>
      <c r="H21" s="20">
        <f t="shared" si="0"/>
        <v>5.3058827775119699</v>
      </c>
      <c r="I21" s="20">
        <f t="shared" si="0"/>
        <v>1.2508914597501019E-2</v>
      </c>
      <c r="J21" s="20">
        <f t="shared" si="0"/>
        <v>3.239974608119197E-3</v>
      </c>
      <c r="K21" s="20">
        <f t="shared" si="0"/>
        <v>2.9052166220844349</v>
      </c>
      <c r="L21" s="20">
        <f t="shared" si="0"/>
        <v>78.290448949194143</v>
      </c>
      <c r="M21" s="20">
        <f t="shared" si="0"/>
        <v>18.064265874973131</v>
      </c>
      <c r="N21" s="20">
        <f t="shared" si="0"/>
        <v>2.6016536342186303</v>
      </c>
      <c r="O21" s="20">
        <f t="shared" si="0"/>
        <v>0.39896912087880565</v>
      </c>
      <c r="P21" s="20">
        <f t="shared" si="0"/>
        <v>3.9294180257441866E-4</v>
      </c>
      <c r="Q21" s="20">
        <f t="shared" si="0"/>
        <v>4.6701004574385654E-2</v>
      </c>
      <c r="R21" s="20">
        <f t="shared" si="0"/>
        <v>0.19425384155122416</v>
      </c>
      <c r="S21" s="20">
        <f t="shared" si="0"/>
        <v>0.23540744381477383</v>
      </c>
      <c r="T21" s="20">
        <f t="shared" si="0"/>
        <v>0.55526186947864298</v>
      </c>
    </row>
    <row r="23" spans="1:21" x14ac:dyDescent="0.35">
      <c r="A23" t="s">
        <v>123</v>
      </c>
    </row>
    <row r="24" spans="1:21" x14ac:dyDescent="0.35">
      <c r="B24" t="s">
        <v>98</v>
      </c>
    </row>
    <row r="25" spans="1:21" x14ac:dyDescent="0.35">
      <c r="B25" t="s">
        <v>97</v>
      </c>
      <c r="C25" s="5">
        <f>LCI!$E29*impact_process_mid!C11</f>
        <v>0</v>
      </c>
      <c r="D25" s="5">
        <f>LCI!$E29*impact_process_mid!D11</f>
        <v>0.19491519014931671</v>
      </c>
      <c r="E25" s="5">
        <f>LCI!$E29*impact_process_mid!E11</f>
        <v>0</v>
      </c>
      <c r="F25" s="5">
        <f>LCI!$E29*impact_process_mid!F11</f>
        <v>0</v>
      </c>
      <c r="G25" s="5">
        <f>LCI!$E29*impact_process_mid!G11</f>
        <v>0</v>
      </c>
      <c r="H25" s="5">
        <f>LCI!$E29*impact_process_mid!H11</f>
        <v>0</v>
      </c>
      <c r="I25" s="5">
        <f>LCI!$E29*impact_process_mid!I11</f>
        <v>0</v>
      </c>
      <c r="J25" s="5">
        <f>LCI!$E29*impact_process_mid!J11</f>
        <v>0</v>
      </c>
      <c r="K25" s="5">
        <f>LCI!$E29*impact_process_mid!K11</f>
        <v>0</v>
      </c>
      <c r="L25" s="5">
        <f>LCI!$E29*impact_process_mid!L11</f>
        <v>0</v>
      </c>
      <c r="M25" s="5">
        <f>LCI!$E29*impact_process_mid!M11</f>
        <v>0</v>
      </c>
      <c r="N25" s="5">
        <f>LCI!$E29*impact_process_mid!N11</f>
        <v>0</v>
      </c>
      <c r="O25" s="5">
        <f>LCI!$E29*impact_process_mid!O11</f>
        <v>0</v>
      </c>
      <c r="P25" s="5">
        <f>LCI!$E29*impact_process_mid!P11</f>
        <v>0</v>
      </c>
      <c r="Q25" s="5">
        <f>LCI!$E29*impact_process_mid!Q11</f>
        <v>0</v>
      </c>
      <c r="R25" s="5">
        <f>LCI!$E29*impact_process_mid!R11</f>
        <v>0</v>
      </c>
      <c r="S25" s="5">
        <f>LCI!$E29*impact_process_mid!S11</f>
        <v>0</v>
      </c>
      <c r="T25" s="5">
        <f>LCI!$E29*impact_process_mid!T11</f>
        <v>0</v>
      </c>
    </row>
    <row r="26" spans="1:21" x14ac:dyDescent="0.35">
      <c r="B26" t="s">
        <v>112</v>
      </c>
      <c r="C26" s="5">
        <f>LCI!$E30*impact_process_mid!C19</f>
        <v>0</v>
      </c>
      <c r="D26" s="5">
        <f>LCI!$E30*impact_process_mid!D19</f>
        <v>1.7083743136616583</v>
      </c>
      <c r="E26" s="5">
        <f>LCI!$E30*impact_process_mid!E19</f>
        <v>0</v>
      </c>
      <c r="F26" s="5">
        <f>LCI!$E30*impact_process_mid!F19</f>
        <v>0</v>
      </c>
      <c r="G26" s="5">
        <f>LCI!$E30*impact_process_mid!G19</f>
        <v>0</v>
      </c>
      <c r="H26" s="5">
        <f>LCI!$E30*impact_process_mid!H19</f>
        <v>0</v>
      </c>
      <c r="I26" s="5">
        <f>LCI!$E30*impact_process_mid!I19</f>
        <v>0</v>
      </c>
      <c r="J26" s="5">
        <f>LCI!$E30*impact_process_mid!J19</f>
        <v>0</v>
      </c>
      <c r="K26" s="5">
        <f>LCI!$E30*impact_process_mid!K19</f>
        <v>0</v>
      </c>
      <c r="L26" s="5">
        <f>LCI!$E30*impact_process_mid!L19</f>
        <v>0</v>
      </c>
      <c r="M26" s="5">
        <f>LCI!$E30*impact_process_mid!M19</f>
        <v>0</v>
      </c>
      <c r="N26" s="5">
        <f>LCI!$E30*impact_process_mid!N19</f>
        <v>0</v>
      </c>
      <c r="O26" s="5">
        <f>LCI!$E30*impact_process_mid!O19</f>
        <v>0</v>
      </c>
      <c r="P26" s="5">
        <f>LCI!$E30*impact_process_mid!P19</f>
        <v>6.3060796813014234E-5</v>
      </c>
      <c r="Q26" s="5">
        <f>LCI!$E30*impact_process_mid!Q19</f>
        <v>0</v>
      </c>
      <c r="R26" s="5">
        <f>LCI!$E30*impact_process_mid!R19</f>
        <v>0</v>
      </c>
      <c r="S26" s="5">
        <f>LCI!$E30*impact_process_mid!S19</f>
        <v>0</v>
      </c>
      <c r="T26" s="5">
        <f>LCI!$E30*impact_process_mid!T19</f>
        <v>0</v>
      </c>
    </row>
    <row r="27" spans="1:21" x14ac:dyDescent="0.35">
      <c r="B27" t="s">
        <v>143</v>
      </c>
      <c r="C27" s="5">
        <f>LCI!$E31*impact_process_mid!C18</f>
        <v>3.9771297990026024E-2</v>
      </c>
      <c r="D27" s="5">
        <f>LCI!$E31*impact_process_mid!D18</f>
        <v>0</v>
      </c>
      <c r="E27" s="5">
        <f>LCI!$E31*impact_process_mid!E18</f>
        <v>0</v>
      </c>
      <c r="F27" s="5">
        <f>LCI!$E31*impact_process_mid!F18</f>
        <v>0</v>
      </c>
      <c r="G27" s="5">
        <f>LCI!$E31*impact_process_mid!G18</f>
        <v>0</v>
      </c>
      <c r="H27" s="5">
        <f>LCI!$E31*impact_process_mid!H18</f>
        <v>0</v>
      </c>
      <c r="I27" s="5">
        <f>LCI!$E31*impact_process_mid!I18</f>
        <v>0</v>
      </c>
      <c r="J27" s="5">
        <f>LCI!$E31*impact_process_mid!J18</f>
        <v>0</v>
      </c>
      <c r="K27" s="5">
        <f>LCI!$E31*impact_process_mid!K18</f>
        <v>0</v>
      </c>
      <c r="L27" s="5">
        <f>LCI!$E31*impact_process_mid!L18</f>
        <v>0</v>
      </c>
      <c r="M27" s="5">
        <f>LCI!$E31*impact_process_mid!M18</f>
        <v>0</v>
      </c>
      <c r="N27" s="5">
        <f>LCI!$E31*impact_process_mid!N18</f>
        <v>0</v>
      </c>
      <c r="O27" s="5">
        <f>LCI!$E31*impact_process_mid!O18</f>
        <v>0</v>
      </c>
      <c r="P27" s="5">
        <f>LCI!$E31*impact_process_mid!P18</f>
        <v>0</v>
      </c>
      <c r="Q27" s="5">
        <f>LCI!$E31*impact_process_mid!Q18</f>
        <v>1.1533676417107546E-2</v>
      </c>
      <c r="R27" s="5">
        <f>LCI!$E31*impact_process_mid!R18</f>
        <v>0</v>
      </c>
      <c r="S27" s="5">
        <f>LCI!$E31*impact_process_mid!S18</f>
        <v>0</v>
      </c>
      <c r="T27" s="5">
        <f>LCI!$E31*impact_process_mid!T18</f>
        <v>0</v>
      </c>
    </row>
    <row r="28" spans="1:21" x14ac:dyDescent="0.35">
      <c r="B28" t="s">
        <v>144</v>
      </c>
      <c r="C28" s="5">
        <f>LCI!$E32*impact_process_mid!C15</f>
        <v>0</v>
      </c>
      <c r="D28" s="5">
        <f>LCI!$E32*impact_process_mid!D15</f>
        <v>0</v>
      </c>
      <c r="E28" s="5">
        <f>LCI!$E32*impact_process_mid!E15</f>
        <v>0</v>
      </c>
      <c r="F28" s="5">
        <f>LCI!$E32*impact_process_mid!F15</f>
        <v>0</v>
      </c>
      <c r="G28" s="5">
        <f>LCI!$E32*impact_process_mid!G15</f>
        <v>0</v>
      </c>
      <c r="H28" s="5">
        <f>LCI!$E32*impact_process_mid!H15</f>
        <v>0</v>
      </c>
      <c r="I28" s="5">
        <f>LCI!$E32*impact_process_mid!I15</f>
        <v>0</v>
      </c>
      <c r="J28" s="5">
        <f>LCI!$E32*impact_process_mid!J15</f>
        <v>0</v>
      </c>
      <c r="K28" s="5">
        <f>LCI!$E32*impact_process_mid!K15</f>
        <v>0</v>
      </c>
      <c r="L28" s="5">
        <f>LCI!$E32*impact_process_mid!L15</f>
        <v>0</v>
      </c>
      <c r="M28" s="5">
        <f>LCI!$E32*impact_process_mid!M15</f>
        <v>0</v>
      </c>
      <c r="N28" s="5">
        <f>LCI!$E32*impact_process_mid!N15</f>
        <v>0</v>
      </c>
      <c r="O28" s="5">
        <f>LCI!$E32*impact_process_mid!O15</f>
        <v>0</v>
      </c>
      <c r="P28" s="5">
        <f>LCI!$E32*impact_process_mid!P15</f>
        <v>0</v>
      </c>
      <c r="Q28" s="5">
        <f>LCI!$E32*impact_process_mid!Q15</f>
        <v>0</v>
      </c>
      <c r="R28" s="5">
        <f>LCI!$E32*impact_process_mid!R15</f>
        <v>0</v>
      </c>
      <c r="S28" s="5">
        <f>LCI!$E32*impact_process_mid!S15</f>
        <v>0</v>
      </c>
      <c r="T28" s="5">
        <f>LCI!$E32*impact_process_mid!T15</f>
        <v>0</v>
      </c>
    </row>
    <row r="29" spans="1:21" x14ac:dyDescent="0.35">
      <c r="B29" t="s">
        <v>145</v>
      </c>
      <c r="C29" s="5">
        <f>LCI!$E33*impact_process_mid!C21</f>
        <v>0</v>
      </c>
      <c r="D29" s="5">
        <f>LCI!$E33*impact_process_mid!D21</f>
        <v>0</v>
      </c>
      <c r="E29" s="5">
        <f>LCI!$E33*impact_process_mid!E21</f>
        <v>0</v>
      </c>
      <c r="F29" s="5">
        <f>LCI!$E33*impact_process_mid!F21</f>
        <v>0</v>
      </c>
      <c r="G29" s="5">
        <f>LCI!$E33*impact_process_mid!G21</f>
        <v>0</v>
      </c>
      <c r="H29" s="5">
        <f>LCI!$E33*impact_process_mid!H21</f>
        <v>0</v>
      </c>
      <c r="I29" s="5">
        <f>LCI!$E33*impact_process_mid!I21</f>
        <v>0</v>
      </c>
      <c r="J29" s="5">
        <f>LCI!$E33*impact_process_mid!J21</f>
        <v>0</v>
      </c>
      <c r="K29" s="5">
        <f>LCI!$E33*impact_process_mid!K21</f>
        <v>0</v>
      </c>
      <c r="L29" s="5">
        <f>LCI!$E33*impact_process_mid!L21</f>
        <v>0</v>
      </c>
      <c r="M29" s="5">
        <f>LCI!$E33*impact_process_mid!M21</f>
        <v>0</v>
      </c>
      <c r="N29" s="5">
        <f>LCI!$E33*impact_process_mid!N21</f>
        <v>0</v>
      </c>
      <c r="O29" s="5">
        <f>LCI!$E33*impact_process_mid!O21</f>
        <v>0</v>
      </c>
      <c r="P29" s="5">
        <f>LCI!$E33*impact_process_mid!P21</f>
        <v>0</v>
      </c>
      <c r="Q29" s="5">
        <f>LCI!$E33*impact_process_mid!Q21</f>
        <v>2.9165618526019083E-2</v>
      </c>
      <c r="R29" s="5">
        <f>LCI!$E33*impact_process_mid!R21</f>
        <v>0</v>
      </c>
      <c r="S29" s="5">
        <f>LCI!$E33*impact_process_mid!S21</f>
        <v>0</v>
      </c>
      <c r="T29" s="5">
        <f>LCI!$E33*impact_process_mid!T21</f>
        <v>0</v>
      </c>
    </row>
    <row r="30" spans="1:21" x14ac:dyDescent="0.35">
      <c r="B30" t="s">
        <v>125</v>
      </c>
      <c r="C30" s="5">
        <f>LCI!$E34*impact_process_mid!C12</f>
        <v>0.13801715302484704</v>
      </c>
      <c r="D30" s="5">
        <f>LCI!$E34*impact_process_mid!D12</f>
        <v>0</v>
      </c>
      <c r="E30" s="5">
        <f>LCI!$E34*impact_process_mid!E12</f>
        <v>0</v>
      </c>
      <c r="F30" s="5">
        <f>LCI!$E34*impact_process_mid!F12</f>
        <v>0</v>
      </c>
      <c r="G30" s="5">
        <f>LCI!$E34*impact_process_mid!G12</f>
        <v>0</v>
      </c>
      <c r="H30" s="5">
        <f>LCI!$E34*impact_process_mid!H12</f>
        <v>0</v>
      </c>
      <c r="I30" s="5">
        <f>LCI!$E34*impact_process_mid!I12</f>
        <v>0</v>
      </c>
      <c r="J30" s="5">
        <f>LCI!$E34*impact_process_mid!J12</f>
        <v>0</v>
      </c>
      <c r="K30" s="5">
        <f>LCI!$E34*impact_process_mid!K12</f>
        <v>0</v>
      </c>
      <c r="L30" s="5">
        <f>LCI!$E34*impact_process_mid!L12</f>
        <v>0</v>
      </c>
      <c r="M30" s="5">
        <f>LCI!$E34*impact_process_mid!M12</f>
        <v>0</v>
      </c>
      <c r="N30" s="5">
        <f>LCI!$E34*impact_process_mid!N12</f>
        <v>0</v>
      </c>
      <c r="O30" s="5">
        <f>LCI!$E34*impact_process_mid!O12</f>
        <v>0</v>
      </c>
      <c r="P30" s="5">
        <f>LCI!$E34*impact_process_mid!P12</f>
        <v>0</v>
      </c>
      <c r="Q30" s="5">
        <f>LCI!$E34*impact_process_mid!Q12</f>
        <v>4.2171907868703264E-2</v>
      </c>
      <c r="R30" s="5">
        <f>LCI!$E34*impact_process_mid!R12</f>
        <v>0.38338098062457515</v>
      </c>
      <c r="S30" s="5">
        <f>LCI!$E34*impact_process_mid!S12</f>
        <v>0.38338098062457515</v>
      </c>
      <c r="T30" s="5">
        <f>LCI!$E34*impact_process_mid!T12</f>
        <v>0</v>
      </c>
      <c r="U30" s="5"/>
    </row>
    <row r="31" spans="1:21" x14ac:dyDescent="0.35">
      <c r="B31" t="s">
        <v>111</v>
      </c>
      <c r="C31" s="5">
        <f>LCI!$E35*impact_process_mid!C17</f>
        <v>2.3736657200389581E-2</v>
      </c>
      <c r="D31" s="5">
        <f>LCI!$E35*impact_process_mid!D17</f>
        <v>0</v>
      </c>
      <c r="E31" s="5">
        <f>LCI!$E35*impact_process_mid!E17</f>
        <v>0</v>
      </c>
      <c r="F31" s="5">
        <f>LCI!$E35*impact_process_mid!F17</f>
        <v>0</v>
      </c>
      <c r="G31" s="5">
        <f>LCI!$E35*impact_process_mid!G17</f>
        <v>0</v>
      </c>
      <c r="H31" s="5">
        <f>LCI!$E35*impact_process_mid!H17</f>
        <v>0</v>
      </c>
      <c r="I31" s="5">
        <f>LCI!$E35*impact_process_mid!I17</f>
        <v>0</v>
      </c>
      <c r="J31" s="5">
        <f>LCI!$E35*impact_process_mid!J17</f>
        <v>0</v>
      </c>
      <c r="K31" s="5">
        <f>LCI!$E35*impact_process_mid!K17</f>
        <v>0</v>
      </c>
      <c r="L31" s="5">
        <f>LCI!$E35*impact_process_mid!L17</f>
        <v>0</v>
      </c>
      <c r="M31" s="5">
        <f>LCI!$E35*impact_process_mid!M17</f>
        <v>0</v>
      </c>
      <c r="N31" s="5">
        <f>LCI!$E35*impact_process_mid!N17</f>
        <v>0</v>
      </c>
      <c r="O31" s="5">
        <f>LCI!$E35*impact_process_mid!O17</f>
        <v>0</v>
      </c>
      <c r="P31" s="5">
        <f>LCI!$E35*impact_process_mid!P17</f>
        <v>0</v>
      </c>
      <c r="Q31" s="5">
        <f>LCI!$E35*impact_process_mid!Q17</f>
        <v>2.9065294531089286E-3</v>
      </c>
      <c r="R31" s="5">
        <f>LCI!$E35*impact_process_mid!R17</f>
        <v>0</v>
      </c>
      <c r="S31" s="5">
        <f>LCI!$E35*impact_process_mid!S17</f>
        <v>0</v>
      </c>
      <c r="T31" s="5">
        <f>LCI!$E35*impact_process_mid!T17</f>
        <v>0</v>
      </c>
    </row>
    <row r="32" spans="1:21" x14ac:dyDescent="0.35">
      <c r="B32" t="s">
        <v>124</v>
      </c>
      <c r="C32" s="5">
        <f>LCI!$E36*impact_process_mid!C16</f>
        <v>0</v>
      </c>
      <c r="D32" s="5">
        <f>LCI!$E36*impact_process_mid!D16</f>
        <v>0</v>
      </c>
      <c r="E32" s="5">
        <f>LCI!$E36*impact_process_mid!E16</f>
        <v>0</v>
      </c>
      <c r="F32" s="5">
        <f>LCI!$E36*impact_process_mid!F16</f>
        <v>0</v>
      </c>
      <c r="G32" s="5">
        <f>LCI!$E36*impact_process_mid!G16</f>
        <v>0</v>
      </c>
      <c r="H32" s="5">
        <f>LCI!$E36*impact_process_mid!H16</f>
        <v>0</v>
      </c>
      <c r="I32" s="5">
        <f>LCI!$E36*impact_process_mid!I16</f>
        <v>0</v>
      </c>
      <c r="J32" s="5">
        <f>LCI!$E36*impact_process_mid!J16</f>
        <v>0</v>
      </c>
      <c r="K32" s="5">
        <f>LCI!$E36*impact_process_mid!K16</f>
        <v>0</v>
      </c>
      <c r="L32" s="5">
        <f>LCI!$E36*impact_process_mid!L16</f>
        <v>0</v>
      </c>
      <c r="M32" s="5">
        <f>LCI!$E36*impact_process_mid!M16</f>
        <v>0</v>
      </c>
      <c r="N32" s="5">
        <f>LCI!$E36*impact_process_mid!N16</f>
        <v>0</v>
      </c>
      <c r="O32" s="5">
        <f>LCI!$E36*impact_process_mid!O16</f>
        <v>0</v>
      </c>
      <c r="P32" s="5">
        <f>LCI!$E36*impact_process_mid!P16</f>
        <v>0</v>
      </c>
      <c r="Q32" s="5">
        <f>LCI!$E36*impact_process_mid!Q16</f>
        <v>0</v>
      </c>
      <c r="R32" s="5">
        <f>LCI!$E36*impact_process_mid!R16</f>
        <v>0</v>
      </c>
      <c r="S32" s="5">
        <f>LCI!$E36*impact_process_mid!S16</f>
        <v>0</v>
      </c>
      <c r="T32" s="5">
        <f>LCI!$E36*impact_process_mid!T16</f>
        <v>0</v>
      </c>
    </row>
    <row r="33" spans="1:21" x14ac:dyDescent="0.35">
      <c r="B33" t="s">
        <v>146</v>
      </c>
      <c r="C33" s="5">
        <f>LCI!$E37*impact_process_mid!C13</f>
        <v>0</v>
      </c>
      <c r="D33" s="5">
        <f>LCI!$E37*impact_process_mid!D13</f>
        <v>0</v>
      </c>
      <c r="E33" s="5">
        <f>LCI!$E37*impact_process_mid!E13</f>
        <v>0</v>
      </c>
      <c r="F33" s="5">
        <f>LCI!$E37*impact_process_mid!F13</f>
        <v>0</v>
      </c>
      <c r="G33" s="5">
        <f>LCI!$E37*impact_process_mid!G13</f>
        <v>0</v>
      </c>
      <c r="H33" s="5">
        <f>LCI!$E37*impact_process_mid!H13</f>
        <v>0</v>
      </c>
      <c r="I33" s="5">
        <f>LCI!$E37*impact_process_mid!I13</f>
        <v>0</v>
      </c>
      <c r="J33" s="5">
        <f>LCI!$E37*impact_process_mid!J13</f>
        <v>0</v>
      </c>
      <c r="K33" s="5">
        <f>LCI!$E37*impact_process_mid!K13</f>
        <v>0</v>
      </c>
      <c r="L33" s="5">
        <f>LCI!$E37*impact_process_mid!L13</f>
        <v>0</v>
      </c>
      <c r="M33" s="5">
        <f>LCI!$E37*impact_process_mid!M13</f>
        <v>0</v>
      </c>
      <c r="N33" s="5">
        <f>LCI!$E37*impact_process_mid!N13</f>
        <v>0</v>
      </c>
      <c r="O33" s="5">
        <f>LCI!$E37*impact_process_mid!O13</f>
        <v>0</v>
      </c>
      <c r="P33" s="5">
        <f>LCI!$E37*impact_process_mid!P13</f>
        <v>0</v>
      </c>
      <c r="Q33" s="5">
        <f>LCI!$E37*impact_process_mid!Q13</f>
        <v>0</v>
      </c>
      <c r="R33" s="5">
        <f>LCI!$E37*impact_process_mid!R13</f>
        <v>3.469777024643351E-3</v>
      </c>
      <c r="S33" s="5">
        <f>LCI!$E37*impact_process_mid!S13</f>
        <v>5.5901963174809543E-3</v>
      </c>
      <c r="T33" s="5">
        <f>LCI!$E37*impact_process_mid!T13</f>
        <v>0</v>
      </c>
    </row>
    <row r="34" spans="1:21" x14ac:dyDescent="0.35">
      <c r="B34" t="s">
        <v>251</v>
      </c>
      <c r="C34" s="5">
        <f>LCI!$E38*impact_process_mid!C2</f>
        <v>5.5074494426942396E-5</v>
      </c>
      <c r="D34" s="5">
        <f>LCI!$E38*impact_process_mid!D2</f>
        <v>4.8326572926880994E-2</v>
      </c>
      <c r="E34" s="5">
        <f>LCI!$E38*impact_process_mid!E2</f>
        <v>3.7754055678561171E-3</v>
      </c>
      <c r="F34" s="5">
        <f>LCI!$E38*impact_process_mid!F2</f>
        <v>4.7776695785936912E-3</v>
      </c>
      <c r="G34" s="5">
        <f>LCI!$E38*impact_process_mid!G2</f>
        <v>0.34530003749162541</v>
      </c>
      <c r="H34" s="5">
        <f>LCI!$E38*impact_process_mid!H2</f>
        <v>1.4835035623076804E-2</v>
      </c>
      <c r="I34" s="5">
        <f>LCI!$E38*impact_process_mid!I2</f>
        <v>9.3384402622502364E-6</v>
      </c>
      <c r="J34" s="5">
        <f>LCI!$E38*impact_process_mid!J2</f>
        <v>7.0394356540044281E-6</v>
      </c>
      <c r="K34" s="5">
        <f>LCI!$E38*impact_process_mid!K2</f>
        <v>3.5997206585033732E-3</v>
      </c>
      <c r="L34" s="5">
        <f>LCI!$E38*impact_process_mid!L2</f>
        <v>7.7866656949075935E-2</v>
      </c>
      <c r="M34" s="5">
        <f>LCI!$E38*impact_process_mid!M2</f>
        <v>0.33477008275887066</v>
      </c>
      <c r="N34" s="5">
        <f>LCI!$E38*impact_process_mid!N2</f>
        <v>1.7348585316797269E-3</v>
      </c>
      <c r="O34" s="5">
        <f>LCI!$E38*impact_process_mid!O2</f>
        <v>1.0788761215933661E-3</v>
      </c>
      <c r="P34" s="5">
        <f>LCI!$E38*impact_process_mid!P2</f>
        <v>5.2618995633477933E-8</v>
      </c>
      <c r="Q34" s="5">
        <f>LCI!$E38*impact_process_mid!Q2</f>
        <v>3.054627566112554E-5</v>
      </c>
      <c r="R34" s="5">
        <f>LCI!$E38*impact_process_mid!R2</f>
        <v>4.9717075938276885E-5</v>
      </c>
      <c r="S34" s="5">
        <f>LCI!$E38*impact_process_mid!S2</f>
        <v>5.4894549487061483E-5</v>
      </c>
      <c r="T34" s="5">
        <f>LCI!$E38*impact_process_mid!T2</f>
        <v>1.9081029846231517E-3</v>
      </c>
    </row>
    <row r="36" spans="1:21" x14ac:dyDescent="0.35">
      <c r="A36" t="s">
        <v>260</v>
      </c>
    </row>
    <row r="37" spans="1:21" x14ac:dyDescent="0.35">
      <c r="B37" s="2" t="s">
        <v>98</v>
      </c>
    </row>
    <row r="38" spans="1:21" x14ac:dyDescent="0.35">
      <c r="B38" s="2" t="s">
        <v>97</v>
      </c>
      <c r="C38">
        <f>LCI!$E44*impact_process_mid!C11</f>
        <v>0</v>
      </c>
      <c r="D38">
        <f>LCI!$E44*impact_process_mid!D11</f>
        <v>59.155879116293768</v>
      </c>
      <c r="E38">
        <f>LCI!$E44*impact_process_mid!E11</f>
        <v>0</v>
      </c>
      <c r="F38">
        <f>LCI!$E44*impact_process_mid!F11</f>
        <v>0</v>
      </c>
      <c r="G38">
        <f>LCI!$E44*impact_process_mid!G11</f>
        <v>0</v>
      </c>
      <c r="H38">
        <f>LCI!$E44*impact_process_mid!H11</f>
        <v>0</v>
      </c>
      <c r="I38">
        <f>LCI!$E44*impact_process_mid!I11</f>
        <v>0</v>
      </c>
      <c r="J38">
        <f>LCI!$E44*impact_process_mid!J11</f>
        <v>0</v>
      </c>
      <c r="K38">
        <f>LCI!$E44*impact_process_mid!K11</f>
        <v>0</v>
      </c>
      <c r="L38">
        <f>LCI!$E44*impact_process_mid!L11</f>
        <v>0</v>
      </c>
      <c r="M38">
        <f>LCI!$E44*impact_process_mid!M11</f>
        <v>0</v>
      </c>
      <c r="N38">
        <f>LCI!$E44*impact_process_mid!N11</f>
        <v>0</v>
      </c>
      <c r="O38">
        <f>LCI!$E44*impact_process_mid!O11</f>
        <v>0</v>
      </c>
      <c r="P38">
        <f>LCI!$E44*impact_process_mid!P11</f>
        <v>0</v>
      </c>
      <c r="Q38">
        <f>LCI!$E44*impact_process_mid!Q11</f>
        <v>0</v>
      </c>
      <c r="R38">
        <f>LCI!$E44*impact_process_mid!R11</f>
        <v>0</v>
      </c>
      <c r="S38">
        <f>LCI!$E44*impact_process_mid!S11</f>
        <v>0</v>
      </c>
      <c r="T38">
        <f>LCI!$E44*impact_process_mid!T11</f>
        <v>0</v>
      </c>
    </row>
    <row r="39" spans="1:21" x14ac:dyDescent="0.35">
      <c r="B39" s="2" t="s">
        <v>142</v>
      </c>
      <c r="C39" s="5">
        <f>LCI!$E45*impact_process_mid!C23</f>
        <v>0</v>
      </c>
      <c r="D39" s="5">
        <f>LCI!$E45*impact_process_mid!D23</f>
        <v>0</v>
      </c>
      <c r="E39" s="5">
        <f>LCI!$E45*impact_process_mid!E23</f>
        <v>0</v>
      </c>
      <c r="F39" s="5">
        <f>LCI!$E45*impact_process_mid!F23</f>
        <v>0</v>
      </c>
      <c r="G39" s="5">
        <f>LCI!$E45*impact_process_mid!G23</f>
        <v>0</v>
      </c>
      <c r="H39" s="5">
        <f>LCI!$E45*impact_process_mid!H23</f>
        <v>0</v>
      </c>
      <c r="I39" s="5">
        <f>LCI!$E45*impact_process_mid!I23</f>
        <v>0</v>
      </c>
      <c r="J39" s="5">
        <f>LCI!$E45*impact_process_mid!J23</f>
        <v>0</v>
      </c>
      <c r="K39" s="5">
        <f>LCI!$E45*impact_process_mid!K23</f>
        <v>0</v>
      </c>
      <c r="L39" s="5">
        <f>LCI!$E45*impact_process_mid!L23</f>
        <v>0</v>
      </c>
      <c r="M39" s="5">
        <f>LCI!$E45*impact_process_mid!M23</f>
        <v>0</v>
      </c>
      <c r="N39" s="5">
        <f>LCI!$E45*impact_process_mid!N23</f>
        <v>0</v>
      </c>
      <c r="O39" s="5">
        <f>LCI!$E45*impact_process_mid!O23</f>
        <v>0</v>
      </c>
      <c r="P39" s="5">
        <f>LCI!$E45*impact_process_mid!P23</f>
        <v>0</v>
      </c>
      <c r="Q39" s="5">
        <f>LCI!$E45*impact_process_mid!Q23</f>
        <v>0</v>
      </c>
      <c r="R39" s="5">
        <f>LCI!$E45*impact_process_mid!R23</f>
        <v>0</v>
      </c>
      <c r="S39" s="5">
        <f>LCI!$E45*impact_process_mid!S23</f>
        <v>0</v>
      </c>
      <c r="T39" s="5">
        <f>LCI!$E45*impact_process_mid!T23</f>
        <v>0</v>
      </c>
    </row>
    <row r="40" spans="1:21" x14ac:dyDescent="0.35">
      <c r="B40" s="2" t="s">
        <v>143</v>
      </c>
      <c r="C40" s="5">
        <f>LCI!$E46*impact_process_mid!C18</f>
        <v>1.4767489793918657E-3</v>
      </c>
      <c r="D40" s="5">
        <f>LCI!$E46*impact_process_mid!D18</f>
        <v>0</v>
      </c>
      <c r="E40" s="5">
        <f>LCI!$E46*impact_process_mid!E18</f>
        <v>0</v>
      </c>
      <c r="F40" s="5">
        <f>LCI!$E46*impact_process_mid!F18</f>
        <v>0</v>
      </c>
      <c r="G40" s="5">
        <f>LCI!$E46*impact_process_mid!G18</f>
        <v>0</v>
      </c>
      <c r="H40" s="5">
        <f>LCI!$E46*impact_process_mid!H18</f>
        <v>0</v>
      </c>
      <c r="I40" s="5">
        <f>LCI!$E46*impact_process_mid!I18</f>
        <v>0</v>
      </c>
      <c r="J40" s="5">
        <f>LCI!$E46*impact_process_mid!J18</f>
        <v>0</v>
      </c>
      <c r="K40" s="5">
        <f>LCI!$E46*impact_process_mid!K18</f>
        <v>0</v>
      </c>
      <c r="L40" s="5">
        <f>LCI!$E46*impact_process_mid!L18</f>
        <v>0</v>
      </c>
      <c r="M40" s="5">
        <f>LCI!$E46*impact_process_mid!M18</f>
        <v>0</v>
      </c>
      <c r="N40" s="5">
        <f>LCI!$E46*impact_process_mid!N18</f>
        <v>0</v>
      </c>
      <c r="O40" s="5">
        <f>LCI!$E46*impact_process_mid!O18</f>
        <v>0</v>
      </c>
      <c r="P40" s="5">
        <f>LCI!$E46*impact_process_mid!P18</f>
        <v>0</v>
      </c>
      <c r="Q40" s="5">
        <f>LCI!$E46*impact_process_mid!Q18</f>
        <v>4.2825720402364106E-4</v>
      </c>
      <c r="R40" s="5">
        <f>LCI!$E46*impact_process_mid!R18</f>
        <v>0</v>
      </c>
      <c r="S40" s="5">
        <f>LCI!$E46*impact_process_mid!S18</f>
        <v>0</v>
      </c>
      <c r="T40" s="5">
        <f>LCI!$E46*impact_process_mid!T18</f>
        <v>0</v>
      </c>
    </row>
    <row r="41" spans="1:21" x14ac:dyDescent="0.35">
      <c r="B41" s="2" t="s">
        <v>8</v>
      </c>
      <c r="C41">
        <f>LCI!$E47*impact_process_mid!C2</f>
        <v>6.8843118033677991E-3</v>
      </c>
      <c r="D41">
        <f>LCI!$E47*impact_process_mid!D2</f>
        <v>6.040821615860124</v>
      </c>
      <c r="E41">
        <f>LCI!$E47*impact_process_mid!E2</f>
        <v>0.47192569598201461</v>
      </c>
      <c r="F41">
        <f>LCI!$E47*impact_process_mid!F2</f>
        <v>0.59720869732421134</v>
      </c>
      <c r="G41">
        <f>LCI!$E47*impact_process_mid!G2</f>
        <v>43.162504686453175</v>
      </c>
      <c r="H41">
        <f>LCI!$E47*impact_process_mid!H2</f>
        <v>1.8543794528846005</v>
      </c>
      <c r="I41">
        <f>LCI!$E47*impact_process_mid!I2</f>
        <v>1.1673050327812796E-3</v>
      </c>
      <c r="J41">
        <f>LCI!$E47*impact_process_mid!J2</f>
        <v>8.799294567505535E-4</v>
      </c>
      <c r="K41">
        <f>LCI!$E47*impact_process_mid!K2</f>
        <v>0.44996508231292165</v>
      </c>
      <c r="L41">
        <f>LCI!$E47*impact_process_mid!L2</f>
        <v>9.7333321186344914</v>
      </c>
      <c r="M41">
        <f>LCI!$E47*impact_process_mid!M2</f>
        <v>41.846260344858834</v>
      </c>
      <c r="N41">
        <f>LCI!$E47*impact_process_mid!N2</f>
        <v>0.21685731645996584</v>
      </c>
      <c r="O41">
        <f>LCI!$E47*impact_process_mid!O2</f>
        <v>0.13485951519917078</v>
      </c>
      <c r="P41">
        <f>LCI!$E47*impact_process_mid!P2</f>
        <v>6.5773744541847419E-6</v>
      </c>
      <c r="Q41">
        <f>LCI!$E47*impact_process_mid!Q2</f>
        <v>3.8182844576406926E-3</v>
      </c>
      <c r="R41">
        <f>LCI!$E47*impact_process_mid!R2</f>
        <v>6.2146344922846108E-3</v>
      </c>
      <c r="S41">
        <f>LCI!$E47*impact_process_mid!S2</f>
        <v>6.8618186858826853E-3</v>
      </c>
      <c r="T41">
        <f>LCI!$E47*impact_process_mid!T2</f>
        <v>0.23851287307789396</v>
      </c>
    </row>
    <row r="42" spans="1:21" x14ac:dyDescent="0.35">
      <c r="B42" s="2" t="s">
        <v>128</v>
      </c>
      <c r="C42" s="5">
        <f>LCI!$E48*impact_process_mid!C29</f>
        <v>3.1078495164408803E-3</v>
      </c>
      <c r="D42" s="5">
        <f>LCI!$E48*impact_process_mid!D29</f>
        <v>0.67703742711271797</v>
      </c>
      <c r="E42" s="5">
        <f>LCI!$E48*impact_process_mid!E29</f>
        <v>1.101204221513343E-2</v>
      </c>
      <c r="F42" s="5">
        <f>LCI!$E48*impact_process_mid!F29</f>
        <v>1.5265185085597106E-2</v>
      </c>
      <c r="G42" s="5">
        <f>LCI!$E48*impact_process_mid!G29</f>
        <v>0.75634631044953848</v>
      </c>
      <c r="H42" s="5">
        <f>LCI!$E48*impact_process_mid!H29</f>
        <v>0.1722550677213083</v>
      </c>
      <c r="I42" s="5">
        <f>LCI!$E48*impact_process_mid!I29</f>
        <v>2.6912079114603033E-4</v>
      </c>
      <c r="J42" s="5">
        <f>LCI!$E48*impact_process_mid!J29</f>
        <v>1.8228431405693343E-5</v>
      </c>
      <c r="K42" s="5">
        <f>LCI!$E48*impact_process_mid!K29</f>
        <v>2.4410939628260263E-2</v>
      </c>
      <c r="L42" s="5">
        <f>LCI!$E48*impact_process_mid!L29</f>
        <v>0.47509749214330427</v>
      </c>
      <c r="M42" s="5">
        <f>LCI!$E48*impact_process_mid!M29</f>
        <v>2.4258574266194301E-2</v>
      </c>
      <c r="N42" s="5">
        <f>LCI!$E48*impact_process_mid!N29</f>
        <v>7.8521900532224319E-3</v>
      </c>
      <c r="O42" s="5">
        <f>LCI!$E48*impact_process_mid!O29</f>
        <v>2.047015137518099E-3</v>
      </c>
      <c r="P42" s="5">
        <f>LCI!$E48*impact_process_mid!P29</f>
        <v>1.2739367369345024E-7</v>
      </c>
      <c r="Q42" s="5">
        <f>LCI!$E48*impact_process_mid!Q29</f>
        <v>1.1899084327116137E-3</v>
      </c>
      <c r="R42" s="5">
        <f>LCI!$E48*impact_process_mid!R29</f>
        <v>1.548735986910165E-3</v>
      </c>
      <c r="S42" s="5">
        <f>LCI!$E48*impact_process_mid!S29</f>
        <v>1.5785138119829907E-3</v>
      </c>
      <c r="T42" s="5">
        <f>LCI!$E48*impact_process_mid!T29</f>
        <v>1.8086941331262067E-3</v>
      </c>
      <c r="U42" s="5"/>
    </row>
    <row r="43" spans="1:21" x14ac:dyDescent="0.35">
      <c r="B43" s="2" t="s">
        <v>135</v>
      </c>
      <c r="C43" s="5">
        <f>LCI!$E49*impact_process_mid!C30</f>
        <v>5.7058221543380923E-2</v>
      </c>
      <c r="D43" s="5">
        <f>LCI!$E49*impact_process_mid!D30</f>
        <v>14.118005032059685</v>
      </c>
      <c r="E43" s="5">
        <f>LCI!$E49*impact_process_mid!E30</f>
        <v>1.0534469665585537</v>
      </c>
      <c r="F43" s="5">
        <f>LCI!$E49*impact_process_mid!F30</f>
        <v>1.4234575062505135</v>
      </c>
      <c r="G43" s="5">
        <f>LCI!$E49*impact_process_mid!G30</f>
        <v>90.876651661907673</v>
      </c>
      <c r="H43" s="5">
        <f>LCI!$E49*impact_process_mid!H30</f>
        <v>3.6132734978664209</v>
      </c>
      <c r="I43" s="5">
        <f>LCI!$E49*impact_process_mid!I30</f>
        <v>5.3021398316619667E-3</v>
      </c>
      <c r="J43" s="5">
        <f>LCI!$E49*impact_process_mid!J30</f>
        <v>6.7789181285008945E-4</v>
      </c>
      <c r="K43" s="5">
        <f>LCI!$E49*impact_process_mid!K30</f>
        <v>4.6846482801298652</v>
      </c>
      <c r="L43" s="5">
        <f>LCI!$E49*impact_process_mid!L30</f>
        <v>23.436007134093661</v>
      </c>
      <c r="M43" s="5">
        <f>LCI!$E49*impact_process_mid!M30</f>
        <v>0.76660458304507251</v>
      </c>
      <c r="N43" s="5">
        <f>LCI!$E49*impact_process_mid!N30</f>
        <v>0.32614524131435885</v>
      </c>
      <c r="O43" s="5">
        <f>LCI!$E49*impact_process_mid!O30</f>
        <v>0.93871271483079932</v>
      </c>
      <c r="P43" s="5">
        <f>LCI!$E49*impact_process_mid!P30</f>
        <v>6.4343934545667836E-6</v>
      </c>
      <c r="Q43" s="5">
        <f>LCI!$E49*impact_process_mid!Q30</f>
        <v>2.4815402022818241E-2</v>
      </c>
      <c r="R43" s="5">
        <f>LCI!$E49*impact_process_mid!R30</f>
        <v>3.8592691891166285E-2</v>
      </c>
      <c r="S43" s="5">
        <f>LCI!$E49*impact_process_mid!S30</f>
        <v>3.9793941819165748E-2</v>
      </c>
      <c r="T43" s="5">
        <f>LCI!$E49*impact_process_mid!T30</f>
        <v>0.19788287648531389</v>
      </c>
      <c r="U43" s="5"/>
    </row>
    <row r="45" spans="1:21" x14ac:dyDescent="0.35">
      <c r="A45" t="s">
        <v>130</v>
      </c>
    </row>
    <row r="46" spans="1:21" x14ac:dyDescent="0.35">
      <c r="B46" t="s">
        <v>50</v>
      </c>
      <c r="C46">
        <f>LCI!$E53*impact_process_mid!C12</f>
        <v>2.3580286282770069</v>
      </c>
      <c r="D46">
        <f>LCI!$E53*impact_process_mid!D12</f>
        <v>0</v>
      </c>
      <c r="E46">
        <f>LCI!$E53*impact_process_mid!E12</f>
        <v>0</v>
      </c>
      <c r="F46">
        <f>LCI!$E53*impact_process_mid!F12</f>
        <v>0</v>
      </c>
      <c r="G46">
        <f>LCI!$E53*impact_process_mid!G12</f>
        <v>0</v>
      </c>
      <c r="H46">
        <f>LCI!$E53*impact_process_mid!H12</f>
        <v>0</v>
      </c>
      <c r="I46">
        <f>LCI!$E53*impact_process_mid!I12</f>
        <v>0</v>
      </c>
      <c r="J46">
        <f>LCI!$E53*impact_process_mid!J12</f>
        <v>0</v>
      </c>
      <c r="K46">
        <f>LCI!$E53*impact_process_mid!K12</f>
        <v>0</v>
      </c>
      <c r="L46">
        <f>LCI!$E53*impact_process_mid!L12</f>
        <v>0</v>
      </c>
      <c r="M46">
        <f>LCI!$E53*impact_process_mid!M12</f>
        <v>0</v>
      </c>
      <c r="N46">
        <f>LCI!$E53*impact_process_mid!N12</f>
        <v>0</v>
      </c>
      <c r="O46">
        <f>LCI!$E53*impact_process_mid!O12</f>
        <v>0</v>
      </c>
      <c r="P46">
        <f>LCI!$E53*impact_process_mid!P12</f>
        <v>0</v>
      </c>
      <c r="Q46">
        <f>LCI!$E53*impact_process_mid!Q12</f>
        <v>0.72050874752908545</v>
      </c>
      <c r="R46">
        <f>LCI!$E53*impact_process_mid!R12</f>
        <v>6.5500795229916857</v>
      </c>
      <c r="S46">
        <f>LCI!$E53*impact_process_mid!S12</f>
        <v>6.5500795229916857</v>
      </c>
      <c r="T46">
        <f>LCI!$E53*impact_process_mid!T12</f>
        <v>0</v>
      </c>
    </row>
    <row r="47" spans="1:21" x14ac:dyDescent="0.35">
      <c r="B47" t="s">
        <v>51</v>
      </c>
      <c r="C47">
        <f>LCI!$E54*impact_process_mid!C13</f>
        <v>0</v>
      </c>
      <c r="D47">
        <f>LCI!$E54*impact_process_mid!D13</f>
        <v>0</v>
      </c>
      <c r="E47">
        <f>LCI!$E54*impact_process_mid!E13</f>
        <v>0</v>
      </c>
      <c r="F47">
        <f>LCI!$E54*impact_process_mid!F13</f>
        <v>0</v>
      </c>
      <c r="G47">
        <f>LCI!$E54*impact_process_mid!G13</f>
        <v>0</v>
      </c>
      <c r="H47">
        <f>LCI!$E54*impact_process_mid!H13</f>
        <v>0</v>
      </c>
      <c r="I47">
        <f>LCI!$E54*impact_process_mid!I13</f>
        <v>0</v>
      </c>
      <c r="J47">
        <f>LCI!$E54*impact_process_mid!J13</f>
        <v>0</v>
      </c>
      <c r="K47">
        <f>LCI!$E54*impact_process_mid!K13</f>
        <v>0</v>
      </c>
      <c r="L47">
        <f>LCI!$E54*impact_process_mid!L13</f>
        <v>0</v>
      </c>
      <c r="M47">
        <f>LCI!$E54*impact_process_mid!M13</f>
        <v>0</v>
      </c>
      <c r="N47">
        <f>LCI!$E54*impact_process_mid!N13</f>
        <v>0</v>
      </c>
      <c r="O47">
        <f>LCI!$E54*impact_process_mid!O13</f>
        <v>0</v>
      </c>
      <c r="P47">
        <f>LCI!$E54*impact_process_mid!P13</f>
        <v>0</v>
      </c>
      <c r="Q47">
        <f>LCI!$E54*impact_process_mid!Q13</f>
        <v>0</v>
      </c>
      <c r="R47">
        <f>LCI!$E54*impact_process_mid!R13</f>
        <v>4.4631456686631037E-2</v>
      </c>
      <c r="S47">
        <f>LCI!$E54*impact_process_mid!S13</f>
        <v>7.1906235772905558E-2</v>
      </c>
      <c r="T47">
        <f>LCI!$E54*impact_process_mid!T13</f>
        <v>0</v>
      </c>
    </row>
    <row r="48" spans="1:21" x14ac:dyDescent="0.35">
      <c r="B48" t="s">
        <v>52</v>
      </c>
      <c r="C48">
        <f>LCI!$E55*impact_process_mid!C14</f>
        <v>1.2149674320249561E-3</v>
      </c>
      <c r="D48">
        <f>LCI!$E55*impact_process_mid!D14</f>
        <v>0</v>
      </c>
      <c r="E48">
        <f>LCI!$E55*impact_process_mid!E14</f>
        <v>0</v>
      </c>
      <c r="F48">
        <f>LCI!$E55*impact_process_mid!F14</f>
        <v>0</v>
      </c>
      <c r="G48">
        <f>LCI!$E55*impact_process_mid!G14</f>
        <v>0</v>
      </c>
      <c r="H48">
        <f>LCI!$E55*impact_process_mid!H14</f>
        <v>0</v>
      </c>
      <c r="I48">
        <f>LCI!$E55*impact_process_mid!I14</f>
        <v>0</v>
      </c>
      <c r="J48">
        <f>LCI!$E55*impact_process_mid!J14</f>
        <v>0</v>
      </c>
      <c r="K48">
        <f>LCI!$E55*impact_process_mid!K14</f>
        <v>0</v>
      </c>
      <c r="L48">
        <f>LCI!$E55*impact_process_mid!L14</f>
        <v>0</v>
      </c>
      <c r="M48">
        <f>LCI!$E55*impact_process_mid!M14</f>
        <v>0</v>
      </c>
      <c r="N48">
        <f>LCI!$E55*impact_process_mid!N14</f>
        <v>0</v>
      </c>
      <c r="O48">
        <f>LCI!$E55*impact_process_mid!O14</f>
        <v>0</v>
      </c>
      <c r="P48">
        <f>LCI!$E55*impact_process_mid!P14</f>
        <v>0</v>
      </c>
      <c r="Q48">
        <f>LCI!$E55*impact_process_mid!Q14</f>
        <v>3.5234055528723723E-4</v>
      </c>
      <c r="R48">
        <f>LCI!$E55*impact_process_mid!R14</f>
        <v>0</v>
      </c>
      <c r="S48">
        <f>LCI!$E55*impact_process_mid!S14</f>
        <v>0</v>
      </c>
      <c r="T48">
        <f>LCI!$E55*impact_process_mid!T14</f>
        <v>0</v>
      </c>
    </row>
    <row r="49" spans="1:20" x14ac:dyDescent="0.35">
      <c r="B49" t="s">
        <v>53</v>
      </c>
      <c r="C49">
        <f>LCI!$E56*impact_process_mid!C21</f>
        <v>0</v>
      </c>
      <c r="D49">
        <f>LCI!$E56*impact_process_mid!D21</f>
        <v>0</v>
      </c>
      <c r="E49">
        <f>LCI!$E56*impact_process_mid!E21</f>
        <v>0</v>
      </c>
      <c r="F49">
        <f>LCI!$E56*impact_process_mid!F21</f>
        <v>0</v>
      </c>
      <c r="G49">
        <f>LCI!$E56*impact_process_mid!G21</f>
        <v>0</v>
      </c>
      <c r="H49">
        <f>LCI!$E56*impact_process_mid!H21</f>
        <v>0</v>
      </c>
      <c r="I49">
        <f>LCI!$E56*impact_process_mid!I21</f>
        <v>0</v>
      </c>
      <c r="J49">
        <f>LCI!$E56*impact_process_mid!J21</f>
        <v>0</v>
      </c>
      <c r="K49">
        <f>LCI!$E56*impact_process_mid!K21</f>
        <v>0</v>
      </c>
      <c r="L49">
        <f>LCI!$E56*impact_process_mid!L21</f>
        <v>0</v>
      </c>
      <c r="M49">
        <f>LCI!$E56*impact_process_mid!M21</f>
        <v>0</v>
      </c>
      <c r="N49">
        <f>LCI!$E56*impact_process_mid!N21</f>
        <v>0</v>
      </c>
      <c r="O49">
        <f>LCI!$E56*impact_process_mid!O21</f>
        <v>0</v>
      </c>
      <c r="P49">
        <f>LCI!$E56*impact_process_mid!P21</f>
        <v>0</v>
      </c>
      <c r="Q49">
        <f>LCI!$E56*impact_process_mid!Q21</f>
        <v>0.89326967778691946</v>
      </c>
      <c r="R49">
        <f>LCI!$E56*impact_process_mid!R21</f>
        <v>0</v>
      </c>
      <c r="S49">
        <f>LCI!$E56*impact_process_mid!S21</f>
        <v>0</v>
      </c>
      <c r="T49">
        <f>LCI!$E56*impact_process_mid!T21</f>
        <v>0</v>
      </c>
    </row>
    <row r="50" spans="1:20" x14ac:dyDescent="0.35">
      <c r="B50" t="s">
        <v>54</v>
      </c>
      <c r="C50">
        <f>LCI!$E57*impact_process_mid!C16</f>
        <v>0</v>
      </c>
      <c r="D50">
        <f>LCI!$E57*impact_process_mid!D16</f>
        <v>0</v>
      </c>
      <c r="E50">
        <f>LCI!$E57*impact_process_mid!E16</f>
        <v>0</v>
      </c>
      <c r="F50">
        <f>LCI!$E57*impact_process_mid!F16</f>
        <v>0</v>
      </c>
      <c r="G50">
        <f>LCI!$E57*impact_process_mid!G16</f>
        <v>0</v>
      </c>
      <c r="H50">
        <f>LCI!$E57*impact_process_mid!H16</f>
        <v>0</v>
      </c>
      <c r="I50">
        <f>LCI!$E57*impact_process_mid!I16</f>
        <v>0</v>
      </c>
      <c r="J50">
        <f>LCI!$E57*impact_process_mid!J16</f>
        <v>0</v>
      </c>
      <c r="K50">
        <f>LCI!$E57*impact_process_mid!K16</f>
        <v>0</v>
      </c>
      <c r="L50">
        <f>LCI!$E57*impact_process_mid!L16</f>
        <v>0</v>
      </c>
      <c r="M50">
        <f>LCI!$E57*impact_process_mid!M16</f>
        <v>0</v>
      </c>
      <c r="N50">
        <f>LCI!$E57*impact_process_mid!N16</f>
        <v>0</v>
      </c>
      <c r="O50">
        <f>LCI!$E57*impact_process_mid!O16</f>
        <v>0</v>
      </c>
      <c r="P50">
        <f>LCI!$E57*impact_process_mid!P16</f>
        <v>0</v>
      </c>
      <c r="Q50">
        <f>LCI!$E57*impact_process_mid!Q16</f>
        <v>0</v>
      </c>
      <c r="R50">
        <f>LCI!$E57*impact_process_mid!R16</f>
        <v>0</v>
      </c>
      <c r="S50">
        <f>LCI!$E57*impact_process_mid!S16</f>
        <v>0</v>
      </c>
      <c r="T50">
        <f>LCI!$E57*impact_process_mid!T16</f>
        <v>0</v>
      </c>
    </row>
    <row r="51" spans="1:20" x14ac:dyDescent="0.35">
      <c r="B51" t="s">
        <v>58</v>
      </c>
      <c r="C51">
        <f>LCI!$E58*impact_process_mid!C11</f>
        <v>0</v>
      </c>
      <c r="D51">
        <f>LCI!$E58*impact_process_mid!D11</f>
        <v>101.86716734494954</v>
      </c>
      <c r="E51">
        <f>LCI!$E58*impact_process_mid!E11</f>
        <v>0</v>
      </c>
      <c r="F51">
        <f>LCI!$E58*impact_process_mid!F11</f>
        <v>0</v>
      </c>
      <c r="G51">
        <f>LCI!$E58*impact_process_mid!G11</f>
        <v>0</v>
      </c>
      <c r="H51">
        <f>LCI!$E58*impact_process_mid!H11</f>
        <v>0</v>
      </c>
      <c r="I51">
        <f>LCI!$E58*impact_process_mid!I11</f>
        <v>0</v>
      </c>
      <c r="J51">
        <f>LCI!$E58*impact_process_mid!J11</f>
        <v>0</v>
      </c>
      <c r="K51">
        <f>LCI!$E58*impact_process_mid!K11</f>
        <v>0</v>
      </c>
      <c r="L51">
        <f>LCI!$E58*impact_process_mid!L11</f>
        <v>0</v>
      </c>
      <c r="M51">
        <f>LCI!$E58*impact_process_mid!M11</f>
        <v>0</v>
      </c>
      <c r="N51">
        <f>LCI!$E58*impact_process_mid!N11</f>
        <v>0</v>
      </c>
      <c r="O51">
        <f>LCI!$E58*impact_process_mid!O11</f>
        <v>0</v>
      </c>
      <c r="P51">
        <f>LCI!$E58*impact_process_mid!P11</f>
        <v>0</v>
      </c>
      <c r="Q51">
        <f>LCI!$E58*impact_process_mid!Q11</f>
        <v>0</v>
      </c>
      <c r="R51">
        <f>LCI!$E58*impact_process_mid!R11</f>
        <v>0</v>
      </c>
      <c r="S51">
        <f>LCI!$E58*impact_process_mid!S11</f>
        <v>0</v>
      </c>
      <c r="T51">
        <f>LCI!$E58*impact_process_mid!T11</f>
        <v>0</v>
      </c>
    </row>
    <row r="53" spans="1:20" x14ac:dyDescent="0.35">
      <c r="A53" t="s">
        <v>101</v>
      </c>
    </row>
    <row r="54" spans="1:20" x14ac:dyDescent="0.35">
      <c r="B54" t="s">
        <v>97</v>
      </c>
      <c r="C54">
        <f>LCI!$E63*impact_process_mid!C11</f>
        <v>0</v>
      </c>
      <c r="D54">
        <f>LCI!$E63*impact_process_mid!D11</f>
        <v>59.082151372655559</v>
      </c>
      <c r="E54">
        <f>LCI!$E63*impact_process_mid!E11</f>
        <v>0</v>
      </c>
      <c r="F54">
        <f>LCI!$E63*impact_process_mid!F11</f>
        <v>0</v>
      </c>
      <c r="G54">
        <f>LCI!$E63*impact_process_mid!G11</f>
        <v>0</v>
      </c>
      <c r="H54">
        <f>LCI!$E63*impact_process_mid!H11</f>
        <v>0</v>
      </c>
      <c r="I54">
        <f>LCI!$E63*impact_process_mid!I11</f>
        <v>0</v>
      </c>
      <c r="J54">
        <f>LCI!$E63*impact_process_mid!J11</f>
        <v>0</v>
      </c>
      <c r="K54">
        <f>LCI!$E63*impact_process_mid!K11</f>
        <v>0</v>
      </c>
      <c r="L54">
        <f>LCI!$E63*impact_process_mid!L11</f>
        <v>0</v>
      </c>
      <c r="M54">
        <f>LCI!$E63*impact_process_mid!M11</f>
        <v>0</v>
      </c>
      <c r="N54">
        <f>LCI!$E63*impact_process_mid!N11</f>
        <v>0</v>
      </c>
      <c r="O54">
        <f>LCI!$E63*impact_process_mid!O11</f>
        <v>0</v>
      </c>
      <c r="P54">
        <f>LCI!$E63*impact_process_mid!P11</f>
        <v>0</v>
      </c>
      <c r="Q54">
        <f>LCI!$E63*impact_process_mid!Q11</f>
        <v>0</v>
      </c>
      <c r="R54">
        <f>LCI!$E63*impact_process_mid!R11</f>
        <v>0</v>
      </c>
      <c r="S54">
        <f>LCI!$E63*impact_process_mid!S11</f>
        <v>0</v>
      </c>
      <c r="T54">
        <f>LCI!$E63*impact_process_mid!T11</f>
        <v>0</v>
      </c>
    </row>
    <row r="56" spans="1:20" x14ac:dyDescent="0.35">
      <c r="A56" t="s">
        <v>272</v>
      </c>
    </row>
    <row r="57" spans="1:20" x14ac:dyDescent="0.35">
      <c r="B57" t="s">
        <v>112</v>
      </c>
      <c r="C57">
        <f>LCI!$E67*impact_process_mid!C19</f>
        <v>0</v>
      </c>
      <c r="D57">
        <f>LCI!$E67*impact_process_mid!D19</f>
        <v>56.099064244962484</v>
      </c>
      <c r="E57">
        <f>LCI!$E67*impact_process_mid!E19</f>
        <v>0</v>
      </c>
      <c r="F57">
        <f>LCI!$E67*impact_process_mid!F19</f>
        <v>0</v>
      </c>
      <c r="G57">
        <f>LCI!$E67*impact_process_mid!G19</f>
        <v>0</v>
      </c>
      <c r="H57">
        <f>LCI!$E67*impact_process_mid!H19</f>
        <v>0</v>
      </c>
      <c r="I57">
        <f>LCI!$E67*impact_process_mid!I19</f>
        <v>0</v>
      </c>
      <c r="J57">
        <f>LCI!$E67*impact_process_mid!J19</f>
        <v>0</v>
      </c>
      <c r="K57">
        <f>LCI!$E67*impact_process_mid!K19</f>
        <v>0</v>
      </c>
      <c r="L57">
        <f>LCI!$E67*impact_process_mid!L19</f>
        <v>0</v>
      </c>
      <c r="M57">
        <f>LCI!$E67*impact_process_mid!M19</f>
        <v>0</v>
      </c>
      <c r="N57">
        <f>LCI!$E67*impact_process_mid!N19</f>
        <v>0</v>
      </c>
      <c r="O57">
        <f>LCI!$E67*impact_process_mid!O19</f>
        <v>0</v>
      </c>
      <c r="P57">
        <f>LCI!$E67*impact_process_mid!P19</f>
        <v>2.0707708278341857E-3</v>
      </c>
      <c r="Q57">
        <f>LCI!$E67*impact_process_mid!Q19</f>
        <v>0</v>
      </c>
      <c r="R57">
        <f>LCI!$E67*impact_process_mid!R19</f>
        <v>0</v>
      </c>
      <c r="S57">
        <f>LCI!$E67*impact_process_mid!S19</f>
        <v>0</v>
      </c>
      <c r="T57">
        <f>LCI!$E67*impact_process_mid!T19</f>
        <v>0</v>
      </c>
    </row>
    <row r="58" spans="1:20" x14ac:dyDescent="0.35">
      <c r="B58" t="s">
        <v>111</v>
      </c>
      <c r="C58">
        <f>LCI!$E68*impact_process_mid!C17</f>
        <v>8.7728015236408226</v>
      </c>
      <c r="D58">
        <f>LCI!$E68*impact_process_mid!D17</f>
        <v>0</v>
      </c>
      <c r="E58">
        <f>LCI!$E68*impact_process_mid!E17</f>
        <v>0</v>
      </c>
      <c r="F58">
        <f>LCI!$E68*impact_process_mid!F17</f>
        <v>0</v>
      </c>
      <c r="G58">
        <f>LCI!$E68*impact_process_mid!G17</f>
        <v>0</v>
      </c>
      <c r="H58">
        <f>LCI!$E68*impact_process_mid!H17</f>
        <v>0</v>
      </c>
      <c r="I58">
        <f>LCI!$E68*impact_process_mid!I17</f>
        <v>0</v>
      </c>
      <c r="J58">
        <f>LCI!$E68*impact_process_mid!J17</f>
        <v>0</v>
      </c>
      <c r="K58">
        <f>LCI!$E68*impact_process_mid!K17</f>
        <v>0</v>
      </c>
      <c r="L58">
        <f>LCI!$E68*impact_process_mid!L17</f>
        <v>0</v>
      </c>
      <c r="M58">
        <f>LCI!$E68*impact_process_mid!M17</f>
        <v>0</v>
      </c>
      <c r="N58">
        <f>LCI!$E68*impact_process_mid!N17</f>
        <v>0</v>
      </c>
      <c r="O58">
        <f>LCI!$E68*impact_process_mid!O17</f>
        <v>0</v>
      </c>
      <c r="P58">
        <f>LCI!$E68*impact_process_mid!P17</f>
        <v>0</v>
      </c>
      <c r="Q58">
        <f>LCI!$E68*impact_process_mid!Q17</f>
        <v>1.0742205947315293</v>
      </c>
      <c r="R58">
        <f>LCI!$E68*impact_process_mid!R17</f>
        <v>0</v>
      </c>
      <c r="S58">
        <f>LCI!$E68*impact_process_mid!S17</f>
        <v>0</v>
      </c>
      <c r="T58">
        <f>LCI!$E68*impact_process_mid!T17</f>
        <v>0</v>
      </c>
    </row>
    <row r="59" spans="1:20" x14ac:dyDescent="0.35">
      <c r="B59" t="s">
        <v>115</v>
      </c>
      <c r="C59">
        <f>LCI!$E69*impact_process_mid!C20</f>
        <v>0</v>
      </c>
      <c r="D59">
        <f>LCI!$E69*impact_process_mid!D20</f>
        <v>0</v>
      </c>
      <c r="E59">
        <f>LCI!$E69*impact_process_mid!E20</f>
        <v>0</v>
      </c>
      <c r="F59">
        <f>LCI!$E69*impact_process_mid!F20</f>
        <v>0</v>
      </c>
      <c r="G59">
        <f>LCI!$E69*impact_process_mid!G20</f>
        <v>0</v>
      </c>
      <c r="H59">
        <f>LCI!$E69*impact_process_mid!H20</f>
        <v>0</v>
      </c>
      <c r="I59">
        <f>LCI!$E69*impact_process_mid!I20</f>
        <v>0</v>
      </c>
      <c r="J59">
        <f>LCI!$E69*impact_process_mid!J20</f>
        <v>0.41075115057004674</v>
      </c>
      <c r="K59">
        <f>LCI!$E69*impact_process_mid!K20</f>
        <v>0</v>
      </c>
      <c r="L59">
        <f>LCI!$E69*impact_process_mid!L20</f>
        <v>0</v>
      </c>
      <c r="M59">
        <f>LCI!$E69*impact_process_mid!M20</f>
        <v>0</v>
      </c>
      <c r="N59">
        <f>LCI!$E69*impact_process_mid!N20</f>
        <v>0</v>
      </c>
      <c r="O59">
        <f>LCI!$E69*impact_process_mid!O20</f>
        <v>0</v>
      </c>
      <c r="P59">
        <f>LCI!$E69*impact_process_mid!P20</f>
        <v>0</v>
      </c>
      <c r="Q59">
        <f>LCI!$E69*impact_process_mid!Q20</f>
        <v>0</v>
      </c>
      <c r="R59">
        <f>LCI!$E69*impact_process_mid!R20</f>
        <v>0</v>
      </c>
      <c r="S59">
        <f>LCI!$E69*impact_process_mid!S20</f>
        <v>0</v>
      </c>
      <c r="T59">
        <f>LCI!$E69*impact_process_mid!T20</f>
        <v>0</v>
      </c>
    </row>
    <row r="61" spans="1:20" x14ac:dyDescent="0.35">
      <c r="A61" t="s">
        <v>275</v>
      </c>
    </row>
    <row r="62" spans="1:20" x14ac:dyDescent="0.35">
      <c r="B62" t="s">
        <v>8</v>
      </c>
      <c r="C62">
        <f>LCI!$E73*impact_process_mid!C2</f>
        <v>1.8265950741946032E-4</v>
      </c>
      <c r="D62">
        <f>LCI!$E73*impact_process_mid!D2</f>
        <v>0.1602794196831773</v>
      </c>
      <c r="E62">
        <f>LCI!$E73*impact_process_mid!E2</f>
        <v>1.2521471663222891E-2</v>
      </c>
      <c r="F62">
        <f>LCI!$E73*impact_process_mid!F2</f>
        <v>1.5845570275665508E-2</v>
      </c>
      <c r="G62">
        <f>LCI!$E73*impact_process_mid!G2</f>
        <v>1.1452185883214669</v>
      </c>
      <c r="H62">
        <f>LCI!$E73*impact_process_mid!H2</f>
        <v>4.9201728089504591E-2</v>
      </c>
      <c r="I62">
        <f>LCI!$E73*impact_process_mid!I2</f>
        <v>3.0971775884959016E-5</v>
      </c>
      <c r="J62">
        <f>LCI!$E73*impact_process_mid!J2</f>
        <v>2.3346920610902848E-5</v>
      </c>
      <c r="K62">
        <f>LCI!$E73*impact_process_mid!K2</f>
        <v>1.1938796881778032E-2</v>
      </c>
      <c r="L62">
        <f>LCI!$E73*impact_process_mid!L2</f>
        <v>0.2582517615588022</v>
      </c>
      <c r="M62">
        <f>LCI!$E73*impact_process_mid!M2</f>
        <v>1.1102950476762483</v>
      </c>
      <c r="N62">
        <f>LCI!$E73*impact_process_mid!N2</f>
        <v>5.7538141409437171E-3</v>
      </c>
      <c r="O62">
        <f>LCI!$E73*impact_process_mid!O2</f>
        <v>3.5781895592028722E-3</v>
      </c>
      <c r="P62">
        <f>LCI!$E73*impact_process_mid!P2</f>
        <v>1.7451562512421255E-7</v>
      </c>
      <c r="Q62">
        <f>LCI!$E73*impact_process_mid!Q2</f>
        <v>1.0130946681973936E-4</v>
      </c>
      <c r="R62">
        <f>LCI!$E73*impact_process_mid!R2</f>
        <v>1.6489114781195334E-4</v>
      </c>
      <c r="S62">
        <f>LCI!$E73*impact_process_mid!S2</f>
        <v>1.8206270386414357E-4</v>
      </c>
      <c r="T62">
        <f>LCI!$E73*impact_process_mid!T2</f>
        <v>6.3283949295114151E-3</v>
      </c>
    </row>
    <row r="64" spans="1:20" x14ac:dyDescent="0.35">
      <c r="A64" t="s">
        <v>288</v>
      </c>
    </row>
    <row r="65" spans="1:20" x14ac:dyDescent="0.35">
      <c r="B65" t="s">
        <v>289</v>
      </c>
    </row>
    <row r="66" spans="1:20" x14ac:dyDescent="0.35">
      <c r="B66" t="s">
        <v>288</v>
      </c>
      <c r="C66">
        <f>LCI!$E78*impact_process_mid!C31</f>
        <v>3.7855852658257797E-4</v>
      </c>
      <c r="D66">
        <f>LCI!$E78*impact_process_mid!D31</f>
        <v>0.12545430690251114</v>
      </c>
      <c r="E66">
        <f>LCI!$E78*impact_process_mid!E31</f>
        <v>7.3907465229837883E-3</v>
      </c>
      <c r="F66">
        <f>LCI!$E78*impact_process_mid!F31</f>
        <v>9.9677920024060819E-3</v>
      </c>
      <c r="G66">
        <f>LCI!$E78*impact_process_mid!G31</f>
        <v>0.46337019848792349</v>
      </c>
      <c r="H66">
        <f>LCI!$E78*impact_process_mid!H31</f>
        <v>2.2101395782072313E-2</v>
      </c>
      <c r="I66">
        <f>LCI!$E78*impact_process_mid!I31</f>
        <v>4.6895376565924974E-4</v>
      </c>
      <c r="J66">
        <f>LCI!$E78*impact_process_mid!J31</f>
        <v>1.419288305710987E-3</v>
      </c>
      <c r="K66">
        <f>LCI!$E78*impact_process_mid!K31</f>
        <v>8.6682887274452045E-3</v>
      </c>
      <c r="L66">
        <f>LCI!$E78*impact_process_mid!L31</f>
        <v>0.89011807533187148</v>
      </c>
      <c r="M66">
        <f>LCI!$E78*impact_process_mid!M31</f>
        <v>5.0157820584228836E-3</v>
      </c>
      <c r="N66">
        <f>LCI!$E78*impact_process_mid!N31</f>
        <v>2.2118379976640789E-3</v>
      </c>
      <c r="O66">
        <f>LCI!$E78*impact_process_mid!O31</f>
        <v>1.7163171646857461E-3</v>
      </c>
      <c r="P66">
        <f>LCI!$E78*impact_process_mid!P31</f>
        <v>5.0682912008546004E-7</v>
      </c>
      <c r="Q66">
        <f>LCI!$E78*impact_process_mid!Q31</f>
        <v>1.7959448380599778E-4</v>
      </c>
      <c r="R66">
        <f>LCI!$E78*impact_process_mid!R31</f>
        <v>2.8710663421650762E-4</v>
      </c>
      <c r="S66">
        <f>LCI!$E78*impact_process_mid!S31</f>
        <v>2.942304631168909E-4</v>
      </c>
      <c r="T66">
        <f>LCI!$E78*impact_process_mid!T31</f>
        <v>7.7570300872879762E-4</v>
      </c>
    </row>
    <row r="68" spans="1:20" x14ac:dyDescent="0.35">
      <c r="A68" t="s">
        <v>290</v>
      </c>
    </row>
    <row r="69" spans="1:20" x14ac:dyDescent="0.35">
      <c r="B69" t="s">
        <v>97</v>
      </c>
      <c r="C69">
        <f>LCI!$E83*impact_process_mid!C11</f>
        <v>0</v>
      </c>
      <c r="D69">
        <f>LCI!$E83*impact_process_mid!D11</f>
        <v>2.9997710836105576</v>
      </c>
      <c r="E69">
        <f>LCI!$E83*impact_process_mid!E11</f>
        <v>0</v>
      </c>
      <c r="F69">
        <f>LCI!$E83*impact_process_mid!F11</f>
        <v>0</v>
      </c>
      <c r="G69">
        <f>LCI!$E83*impact_process_mid!G11</f>
        <v>0</v>
      </c>
      <c r="H69">
        <f>LCI!$E83*impact_process_mid!H11</f>
        <v>0</v>
      </c>
      <c r="I69">
        <f>LCI!$E83*impact_process_mid!I11</f>
        <v>0</v>
      </c>
      <c r="J69">
        <f>LCI!$E83*impact_process_mid!J11</f>
        <v>0</v>
      </c>
      <c r="K69">
        <f>LCI!$E83*impact_process_mid!K11</f>
        <v>0</v>
      </c>
      <c r="L69">
        <f>LCI!$E83*impact_process_mid!L11</f>
        <v>0</v>
      </c>
      <c r="M69">
        <f>LCI!$E83*impact_process_mid!M11</f>
        <v>0</v>
      </c>
      <c r="N69">
        <f>LCI!$E83*impact_process_mid!N11</f>
        <v>0</v>
      </c>
      <c r="O69">
        <f>LCI!$E83*impact_process_mid!O11</f>
        <v>0</v>
      </c>
      <c r="P69">
        <f>LCI!$E83*impact_process_mid!P11</f>
        <v>0</v>
      </c>
      <c r="Q69">
        <f>LCI!$E83*impact_process_mid!Q11</f>
        <v>0</v>
      </c>
      <c r="R69">
        <f>LCI!$E83*impact_process_mid!R11</f>
        <v>0</v>
      </c>
      <c r="S69">
        <f>LCI!$E83*impact_process_mid!S11</f>
        <v>0</v>
      </c>
      <c r="T69">
        <f>LCI!$E83*impact_process_mid!T11</f>
        <v>0</v>
      </c>
    </row>
    <row r="70" spans="1:20" x14ac:dyDescent="0.35">
      <c r="B70" t="s">
        <v>112</v>
      </c>
      <c r="C70">
        <f>LCI!$E84*impact_process_mid!C19</f>
        <v>0</v>
      </c>
      <c r="D70">
        <f>LCI!$E84*impact_process_mid!D19</f>
        <v>18.570947921399704</v>
      </c>
      <c r="E70">
        <f>LCI!$E84*impact_process_mid!E19</f>
        <v>0</v>
      </c>
      <c r="F70">
        <f>LCI!$E84*impact_process_mid!F19</f>
        <v>0</v>
      </c>
      <c r="G70">
        <f>LCI!$E84*impact_process_mid!G19</f>
        <v>0</v>
      </c>
      <c r="H70">
        <f>LCI!$E84*impact_process_mid!H19</f>
        <v>0</v>
      </c>
      <c r="I70">
        <f>LCI!$E84*impact_process_mid!I19</f>
        <v>0</v>
      </c>
      <c r="J70">
        <f>LCI!$E84*impact_process_mid!J19</f>
        <v>0</v>
      </c>
      <c r="K70">
        <f>LCI!$E84*impact_process_mid!K19</f>
        <v>0</v>
      </c>
      <c r="L70">
        <f>LCI!$E84*impact_process_mid!L19</f>
        <v>0</v>
      </c>
      <c r="M70">
        <f>LCI!$E84*impact_process_mid!M19</f>
        <v>0</v>
      </c>
      <c r="N70">
        <f>LCI!$E84*impact_process_mid!N19</f>
        <v>0</v>
      </c>
      <c r="O70">
        <f>LCI!$E84*impact_process_mid!O19</f>
        <v>0</v>
      </c>
      <c r="P70">
        <f>LCI!$E84*impact_process_mid!P19</f>
        <v>6.8550478904495543E-4</v>
      </c>
      <c r="Q70">
        <f>LCI!$E84*impact_process_mid!Q19</f>
        <v>0</v>
      </c>
      <c r="R70">
        <f>LCI!$E84*impact_process_mid!R19</f>
        <v>0</v>
      </c>
      <c r="S70">
        <f>LCI!$E84*impact_process_mid!S19</f>
        <v>0</v>
      </c>
      <c r="T70">
        <f>LCI!$E84*impact_process_mid!T19</f>
        <v>0</v>
      </c>
    </row>
    <row r="71" spans="1:20" x14ac:dyDescent="0.35">
      <c r="B71" t="s">
        <v>111</v>
      </c>
      <c r="C71">
        <f>LCI!$E85*impact_process_mid!C17</f>
        <v>0.39740790902092932</v>
      </c>
      <c r="D71">
        <f>LCI!$E85*impact_process_mid!D17</f>
        <v>0</v>
      </c>
      <c r="E71">
        <f>LCI!$E85*impact_process_mid!E17</f>
        <v>0</v>
      </c>
      <c r="F71">
        <f>LCI!$E85*impact_process_mid!F17</f>
        <v>0</v>
      </c>
      <c r="G71">
        <f>LCI!$E85*impact_process_mid!G17</f>
        <v>0</v>
      </c>
      <c r="H71">
        <f>LCI!$E85*impact_process_mid!H17</f>
        <v>0</v>
      </c>
      <c r="I71">
        <f>LCI!$E85*impact_process_mid!I17</f>
        <v>0</v>
      </c>
      <c r="J71">
        <f>LCI!$E85*impact_process_mid!J17</f>
        <v>0</v>
      </c>
      <c r="K71">
        <f>LCI!$E85*impact_process_mid!K17</f>
        <v>0</v>
      </c>
      <c r="L71">
        <f>LCI!$E85*impact_process_mid!L17</f>
        <v>0</v>
      </c>
      <c r="M71">
        <f>LCI!$E85*impact_process_mid!M17</f>
        <v>0</v>
      </c>
      <c r="N71">
        <f>LCI!$E85*impact_process_mid!N17</f>
        <v>0</v>
      </c>
      <c r="O71">
        <f>LCI!$E85*impact_process_mid!O17</f>
        <v>0</v>
      </c>
      <c r="P71">
        <f>LCI!$E85*impact_process_mid!P17</f>
        <v>0</v>
      </c>
      <c r="Q71">
        <f>LCI!$E85*impact_process_mid!Q17</f>
        <v>4.8662192941338278E-2</v>
      </c>
      <c r="R71">
        <f>LCI!$E85*impact_process_mid!R17</f>
        <v>0</v>
      </c>
      <c r="S71">
        <f>LCI!$E85*impact_process_mid!S17</f>
        <v>0</v>
      </c>
      <c r="T71">
        <f>LCI!$E85*impact_process_mid!T17</f>
        <v>0</v>
      </c>
    </row>
    <row r="72" spans="1:20" x14ac:dyDescent="0.35">
      <c r="B72" t="s">
        <v>291</v>
      </c>
      <c r="C72">
        <f>LCI!$E86*impact_process_mid!C22</f>
        <v>0</v>
      </c>
      <c r="D72">
        <f>LCI!$E86*impact_process_mid!D22</f>
        <v>0</v>
      </c>
      <c r="E72">
        <f>LCI!$E86*impact_process_mid!E22</f>
        <v>0</v>
      </c>
      <c r="F72">
        <f>LCI!$E86*impact_process_mid!F22</f>
        <v>0</v>
      </c>
      <c r="G72">
        <f>LCI!$E86*impact_process_mid!G22</f>
        <v>0</v>
      </c>
      <c r="H72">
        <f>LCI!$E86*impact_process_mid!H22</f>
        <v>0</v>
      </c>
      <c r="I72">
        <f>LCI!$E86*impact_process_mid!I22</f>
        <v>0</v>
      </c>
      <c r="J72">
        <f>LCI!$E86*impact_process_mid!J22</f>
        <v>0</v>
      </c>
      <c r="K72">
        <f>LCI!$E86*impact_process_mid!K22</f>
        <v>0</v>
      </c>
      <c r="L72">
        <f>LCI!$E86*impact_process_mid!L22</f>
        <v>0</v>
      </c>
      <c r="M72">
        <f>LCI!$E86*impact_process_mid!M22</f>
        <v>0</v>
      </c>
      <c r="N72">
        <f>LCI!$E86*impact_process_mid!N22</f>
        <v>0</v>
      </c>
      <c r="O72">
        <f>LCI!$E86*impact_process_mid!O22</f>
        <v>0</v>
      </c>
      <c r="P72">
        <f>LCI!$E86*impact_process_mid!P22</f>
        <v>0</v>
      </c>
      <c r="Q72">
        <f>LCI!$E86*impact_process_mid!Q22</f>
        <v>0</v>
      </c>
      <c r="R72">
        <f>LCI!$E86*impact_process_mid!R22</f>
        <v>5.5599130733450484E-3</v>
      </c>
      <c r="S72">
        <f>LCI!$E86*impact_process_mid!S22</f>
        <v>8.9576377292781336E-3</v>
      </c>
      <c r="T72">
        <f>LCI!$E86*impact_process_mid!T22</f>
        <v>0</v>
      </c>
    </row>
    <row r="73" spans="1:20" x14ac:dyDescent="0.35">
      <c r="B73" t="s">
        <v>124</v>
      </c>
      <c r="C73">
        <f>LCI!$E87*impact_process_mid!C16</f>
        <v>0</v>
      </c>
      <c r="D73">
        <f>LCI!$E87*impact_process_mid!D16</f>
        <v>0</v>
      </c>
      <c r="E73">
        <f>LCI!$E87*impact_process_mid!E16</f>
        <v>0</v>
      </c>
      <c r="F73">
        <f>LCI!$E87*impact_process_mid!F16</f>
        <v>0</v>
      </c>
      <c r="G73">
        <f>LCI!$E87*impact_process_mid!G16</f>
        <v>0</v>
      </c>
      <c r="H73">
        <f>LCI!$E87*impact_process_mid!H16</f>
        <v>0</v>
      </c>
      <c r="I73">
        <f>LCI!$E87*impact_process_mid!I16</f>
        <v>0</v>
      </c>
      <c r="J73">
        <f>LCI!$E87*impact_process_mid!J16</f>
        <v>0</v>
      </c>
      <c r="K73">
        <f>LCI!$E87*impact_process_mid!K16</f>
        <v>0</v>
      </c>
      <c r="L73">
        <f>LCI!$E87*impact_process_mid!L16</f>
        <v>0</v>
      </c>
      <c r="M73">
        <f>LCI!$E87*impact_process_mid!M16</f>
        <v>0</v>
      </c>
      <c r="N73">
        <f>LCI!$E87*impact_process_mid!N16</f>
        <v>0</v>
      </c>
      <c r="O73">
        <f>LCI!$E87*impact_process_mid!O16</f>
        <v>0</v>
      </c>
      <c r="P73">
        <f>LCI!$E87*impact_process_mid!P16</f>
        <v>0</v>
      </c>
      <c r="Q73">
        <f>LCI!$E87*impact_process_mid!Q16</f>
        <v>0</v>
      </c>
      <c r="R73">
        <f>LCI!$E87*impact_process_mid!R16</f>
        <v>0</v>
      </c>
      <c r="S73">
        <f>LCI!$E87*impact_process_mid!S16</f>
        <v>0</v>
      </c>
      <c r="T73">
        <f>LCI!$E87*impact_process_mid!T16</f>
        <v>0</v>
      </c>
    </row>
    <row r="74" spans="1:20" x14ac:dyDescent="0.35">
      <c r="B74" t="s">
        <v>276</v>
      </c>
      <c r="C74">
        <f>LCI!$E89*impact_process_mid!C2</f>
        <v>2.8283604383223988E-4</v>
      </c>
      <c r="D74">
        <f>LCI!$E89*impact_process_mid!D2</f>
        <v>0.24818197317709073</v>
      </c>
      <c r="E74">
        <f>LCI!$E89*impact_process_mid!E2</f>
        <v>1.9388662316113033E-2</v>
      </c>
      <c r="F74">
        <f>LCI!$E89*impact_process_mid!F2</f>
        <v>2.453580693581512E-2</v>
      </c>
      <c r="G74">
        <f>LCI!$E89*impact_process_mid!G2</f>
        <v>1.7732944724314825</v>
      </c>
      <c r="H74">
        <f>LCI!$E89*impact_process_mid!H2</f>
        <v>7.6185588799318499E-2</v>
      </c>
      <c r="I74">
        <f>LCI!$E89*impact_process_mid!I2</f>
        <v>4.795772574621159E-5</v>
      </c>
      <c r="J74">
        <f>LCI!$E89*impact_process_mid!J2</f>
        <v>3.6151146767790033E-5</v>
      </c>
      <c r="K74">
        <f>LCI!$E89*impact_process_mid!K2</f>
        <v>1.8486429345308905E-2</v>
      </c>
      <c r="L74">
        <f>LCI!$E89*impact_process_mid!L2</f>
        <v>0.39988559907950699</v>
      </c>
      <c r="M74">
        <f>LCI!$E89*impact_process_mid!M2</f>
        <v>1.7192177029697921</v>
      </c>
      <c r="N74">
        <f>LCI!$E89*impact_process_mid!N2</f>
        <v>8.9093967872878391E-3</v>
      </c>
      <c r="O74">
        <f>LCI!$E89*impact_process_mid!O2</f>
        <v>5.5405874750483709E-3</v>
      </c>
      <c r="P74">
        <f>LCI!$E89*impact_process_mid!P2</f>
        <v>2.7022578618748563E-7</v>
      </c>
      <c r="Q74">
        <f>LCI!$E89*impact_process_mid!Q2</f>
        <v>1.5687094092642833E-4</v>
      </c>
      <c r="R74">
        <f>LCI!$E89*impact_process_mid!R2</f>
        <v>2.5532292607683511E-4</v>
      </c>
      <c r="S74">
        <f>LCI!$E89*impact_process_mid!S2</f>
        <v>2.8191193339903274E-4</v>
      </c>
      <c r="T74">
        <f>LCI!$E89*impact_process_mid!T2</f>
        <v>9.7990967508780318E-3</v>
      </c>
    </row>
    <row r="75" spans="1:20" x14ac:dyDescent="0.35">
      <c r="B75" t="s">
        <v>292</v>
      </c>
      <c r="C75">
        <f>LCI!$E90*impact_process_mid!C24</f>
        <v>1.0551509084848684E-3</v>
      </c>
      <c r="D75">
        <f>LCI!$E90*impact_process_mid!D24</f>
        <v>0.41685771703198737</v>
      </c>
      <c r="E75">
        <f>LCI!$E90*impact_process_mid!E24</f>
        <v>3.63724840737384E-3</v>
      </c>
      <c r="F75">
        <f>LCI!$E90*impact_process_mid!F24</f>
        <v>6.4855792280490787E-3</v>
      </c>
      <c r="G75">
        <f>LCI!$E90*impact_process_mid!G24</f>
        <v>0.83280745746285745</v>
      </c>
      <c r="H75">
        <f>LCI!$E90*impact_process_mid!H24</f>
        <v>0.5397275958391109</v>
      </c>
      <c r="I75">
        <f>LCI!$E90*impact_process_mid!I24</f>
        <v>2.2703649930984119E-5</v>
      </c>
      <c r="J75">
        <f>LCI!$E90*impact_process_mid!J24</f>
        <v>4.2665549415272655E-5</v>
      </c>
      <c r="K75">
        <f>LCI!$E90*impact_process_mid!K24</f>
        <v>1.4899711758887775E-2</v>
      </c>
      <c r="L75">
        <f>LCI!$E90*impact_process_mid!L24</f>
        <v>0.10636357888329026</v>
      </c>
      <c r="M75">
        <f>LCI!$E90*impact_process_mid!M24</f>
        <v>8.3440868255182897E-3</v>
      </c>
      <c r="N75">
        <f>LCI!$E90*impact_process_mid!N24</f>
        <v>3.6844313332009015E-3</v>
      </c>
      <c r="O75">
        <f>LCI!$E90*impact_process_mid!O24</f>
        <v>7.9084108246016815E-3</v>
      </c>
      <c r="P75">
        <f>LCI!$E90*impact_process_mid!P24</f>
        <v>1.0124339029564232E-7</v>
      </c>
      <c r="Q75">
        <f>LCI!$E90*impact_process_mid!Q24</f>
        <v>3.8223633073806757E-4</v>
      </c>
      <c r="R75">
        <f>LCI!$E90*impact_process_mid!R24</f>
        <v>1.0960455286719139E-3</v>
      </c>
      <c r="S75">
        <f>LCI!$E90*impact_process_mid!S24</f>
        <v>1.3896038157386475E-3</v>
      </c>
      <c r="T75">
        <f>LCI!$E90*impact_process_mid!T24</f>
        <v>7.0911935795316724E-4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Waste_characteristics</vt:lpstr>
      <vt:lpstr>LCI</vt:lpstr>
      <vt:lpstr>SP_mid</vt:lpstr>
      <vt:lpstr>SP_end</vt:lpstr>
      <vt:lpstr>Parameters</vt:lpstr>
      <vt:lpstr>Feuil5</vt:lpstr>
      <vt:lpstr>HC_end</vt:lpstr>
      <vt:lpstr>HC_mid</vt:lpstr>
      <vt:lpstr>IC_mid</vt:lpstr>
      <vt:lpstr>IC_end</vt:lpstr>
      <vt:lpstr>impact_process_end</vt:lpstr>
      <vt:lpstr>impact_process_mid</vt:lpstr>
      <vt:lpstr>AD_a_end</vt:lpstr>
      <vt:lpstr>AD_a_mid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2025-06-17T09:55:48Z</dcterms:created>
  <dcterms:modified xsi:type="dcterms:W3CDTF">2025-09-19T13:00:53Z</dcterms:modified>
</cp:coreProperties>
</file>