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"/>
    </mc:Choice>
  </mc:AlternateContent>
  <xr:revisionPtr revIDLastSave="0" documentId="13_ncr:1_{4C7E26AF-1790-4B3C-B869-8C813818BE52}" xr6:coauthVersionLast="36" xr6:coauthVersionMax="36" xr10:uidLastSave="{00000000-0000-0000-0000-000000000000}"/>
  <bookViews>
    <workbookView minimized="1" xWindow="0" yWindow="0" windowWidth="19200" windowHeight="6640" xr2:uid="{9F4004D4-A1D9-4A72-950D-807AD9ECE5A0}"/>
  </bookViews>
  <sheets>
    <sheet name="Feuil1" sheetId="1" r:id="rId1"/>
    <sheet name="Feuil2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" i="1" l="1"/>
  <c r="C5" i="1"/>
  <c r="D16" i="1" l="1"/>
  <c r="D6" i="1" l="1"/>
  <c r="C6" i="1"/>
  <c r="C7" i="1" l="1"/>
  <c r="D7" i="1"/>
</calcChain>
</file>

<file path=xl/sharedStrings.xml><?xml version="1.0" encoding="utf-8"?>
<sst xmlns="http://schemas.openxmlformats.org/spreadsheetml/2006/main" count="54" uniqueCount="36">
  <si>
    <t>Process</t>
  </si>
  <si>
    <t>Unit reference</t>
  </si>
  <si>
    <t>Carbon</t>
  </si>
  <si>
    <t>Water</t>
  </si>
  <si>
    <t>tkm</t>
  </si>
  <si>
    <t>Waste transport, truck</t>
  </si>
  <si>
    <t>Treatment technologies</t>
  </si>
  <si>
    <t>AD-a</t>
  </si>
  <si>
    <t>AD-b</t>
  </si>
  <si>
    <t>HC</t>
  </si>
  <si>
    <t>IC</t>
  </si>
  <si>
    <t>Transport of coproduct</t>
  </si>
  <si>
    <t>t</t>
  </si>
  <si>
    <t>t of waste</t>
  </si>
  <si>
    <t>MJ.km</t>
  </si>
  <si>
    <t>kWh.km</t>
  </si>
  <si>
    <t>Conventional products</t>
  </si>
  <si>
    <t>Fertilizer</t>
  </si>
  <si>
    <t>MJ</t>
  </si>
  <si>
    <t>kWh</t>
  </si>
  <si>
    <t>Net impact of coproduct use</t>
  </si>
  <si>
    <t>kgCO2</t>
  </si>
  <si>
    <t>m3 world-eq</t>
  </si>
  <si>
    <t>Comp</t>
  </si>
  <si>
    <t>Dig</t>
  </si>
  <si>
    <t>Heat</t>
  </si>
  <si>
    <t>Elect</t>
  </si>
  <si>
    <t>AD-c</t>
  </si>
  <si>
    <t>Biomet</t>
  </si>
  <si>
    <t>Gas</t>
  </si>
  <si>
    <t>Home Composting</t>
  </si>
  <si>
    <t>Industrial Composting</t>
  </si>
  <si>
    <t>AD+CHP+Composting</t>
  </si>
  <si>
    <t>AD+CHP+Digestate</t>
  </si>
  <si>
    <t>AD+Injection+Digestate</t>
  </si>
  <si>
    <t>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</si>
</sst>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\ _€_-;\-* #,##0.00\ _€_-;_-* &quot;-&quot;??\ _€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1" fontId="0" fillId="0" borderId="0" xfId="0" applyNumberFormat="1"/>
    <xf numFmtId="4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CA_tec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CIA_AD-f"/>
      <sheetName val="IW+f"/>
      <sheetName val="LCIA_AD-e"/>
      <sheetName val="LCI_AD-e"/>
      <sheetName val="LCI_AD-f"/>
      <sheetName val="LCIA_AD-d"/>
      <sheetName val="Waste_characteristics"/>
      <sheetName val="Parameters"/>
      <sheetName val="LCI"/>
      <sheetName val="LCI_AD-d"/>
      <sheetName val="LCI_AD-a"/>
      <sheetName val="LCI_AD-b"/>
      <sheetName val="params_HC"/>
      <sheetName val="LCIA_HC"/>
      <sheetName val="LCI_HC"/>
      <sheetName val="LCIA_AD-a"/>
      <sheetName val="LCIA_AD-b"/>
      <sheetName val="LCI_AD-c"/>
      <sheetName val="LCIA_AD-c"/>
      <sheetName val="LCI_IC"/>
      <sheetName val="LCIA_IC"/>
      <sheetName val="IW+_end"/>
      <sheetName val="AD_a_end"/>
      <sheetName val="impact_process_end"/>
      <sheetName val="impact_process_mid"/>
      <sheetName val="IW+_mid"/>
      <sheetName val="IC_end"/>
      <sheetName val="AD_a_mi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70">
          <cell r="C70">
            <v>34.264521044421535</v>
          </cell>
          <cell r="G70">
            <v>1.4632061758519388</v>
          </cell>
        </row>
      </sheetData>
      <sheetData sheetId="14" refreshError="1"/>
      <sheetData sheetId="15">
        <row r="5">
          <cell r="C5">
            <v>130.89983518703079</v>
          </cell>
          <cell r="G5">
            <v>15.5837763706547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>
        <row r="29">
          <cell r="C29">
            <v>35.421319139716672</v>
          </cell>
          <cell r="G29">
            <v>13.278828638799126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A6E0B-B9EE-48A8-800F-BDEF0A29E888}">
  <dimension ref="A1:H23"/>
  <sheetViews>
    <sheetView tabSelected="1" zoomScale="80" zoomScaleNormal="80" zoomScaleSheetLayoutView="90" workbookViewId="0">
      <selection activeCell="C9" sqref="C9"/>
    </sheetView>
  </sheetViews>
  <sheetFormatPr baseColWidth="10" defaultRowHeight="14.5" x14ac:dyDescent="0.35"/>
  <cols>
    <col min="1" max="1" width="27.1796875" customWidth="1"/>
    <col min="2" max="2" width="14.90625" customWidth="1"/>
    <col min="3" max="3" width="16.81640625" customWidth="1"/>
    <col min="4" max="4" width="15.26953125" customWidth="1"/>
    <col min="5" max="5" width="16" customWidth="1"/>
    <col min="6" max="6" width="14.179687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spans="1:8" x14ac:dyDescent="0.35">
      <c r="C2" t="s">
        <v>21</v>
      </c>
      <c r="D2" t="s">
        <v>22</v>
      </c>
    </row>
    <row r="3" spans="1:8" x14ac:dyDescent="0.35">
      <c r="A3" s="1" t="s">
        <v>5</v>
      </c>
      <c r="B3" t="s">
        <v>4</v>
      </c>
      <c r="C3">
        <v>0.189012950359117</v>
      </c>
      <c r="D3">
        <v>1.70536535909314E-2</v>
      </c>
    </row>
    <row r="4" spans="1:8" x14ac:dyDescent="0.35">
      <c r="A4" s="2" t="s">
        <v>6</v>
      </c>
    </row>
    <row r="5" spans="1:8" x14ac:dyDescent="0.35">
      <c r="A5" t="s">
        <v>9</v>
      </c>
      <c r="B5" t="s">
        <v>13</v>
      </c>
      <c r="C5" s="3">
        <f>[1]LCIA_HC!$C$70</f>
        <v>34.264521044421535</v>
      </c>
      <c r="D5">
        <f>[1]LCIA_HC!$G$70</f>
        <v>1.4632061758519388</v>
      </c>
    </row>
    <row r="6" spans="1:8" x14ac:dyDescent="0.35">
      <c r="A6" t="s">
        <v>10</v>
      </c>
      <c r="B6" t="s">
        <v>13</v>
      </c>
      <c r="C6" s="4">
        <f>[1]LCIA_IC!$C$29</f>
        <v>35.421319139716672</v>
      </c>
      <c r="D6" s="4">
        <f>[1]LCIA_IC!$G$29</f>
        <v>13.278828638799126</v>
      </c>
      <c r="H6" s="3"/>
    </row>
    <row r="7" spans="1:8" x14ac:dyDescent="0.35">
      <c r="A7" t="s">
        <v>7</v>
      </c>
      <c r="B7" t="s">
        <v>13</v>
      </c>
      <c r="C7" s="4">
        <f>'[1]LCIA_AD-a'!$C$5</f>
        <v>130.89983518703079</v>
      </c>
      <c r="D7" s="4">
        <f>'[1]LCIA_AD-a'!$G$5</f>
        <v>15.5837763706547</v>
      </c>
    </row>
    <row r="8" spans="1:8" x14ac:dyDescent="0.35">
      <c r="A8" s="2" t="s">
        <v>11</v>
      </c>
    </row>
    <row r="9" spans="1:8" x14ac:dyDescent="0.35">
      <c r="A9" t="s">
        <v>23</v>
      </c>
      <c r="B9" t="s">
        <v>4</v>
      </c>
      <c r="C9">
        <v>0.189012950359117</v>
      </c>
      <c r="D9">
        <v>1.70536535909314E-2</v>
      </c>
    </row>
    <row r="10" spans="1:8" x14ac:dyDescent="0.35">
      <c r="A10" t="s">
        <v>24</v>
      </c>
      <c r="B10" t="s">
        <v>4</v>
      </c>
      <c r="C10">
        <v>0.189012950359117</v>
      </c>
      <c r="D10">
        <v>1.70536535909314E-2</v>
      </c>
    </row>
    <row r="11" spans="1:8" x14ac:dyDescent="0.35">
      <c r="A11" t="s">
        <v>25</v>
      </c>
      <c r="B11" t="s">
        <v>14</v>
      </c>
      <c r="C11">
        <v>1</v>
      </c>
      <c r="D11">
        <v>0</v>
      </c>
    </row>
    <row r="12" spans="1:8" x14ac:dyDescent="0.35">
      <c r="A12" t="s">
        <v>26</v>
      </c>
      <c r="B12" t="s">
        <v>15</v>
      </c>
      <c r="C12">
        <v>1</v>
      </c>
      <c r="D12">
        <v>0</v>
      </c>
    </row>
    <row r="13" spans="1:8" x14ac:dyDescent="0.35">
      <c r="A13" s="2" t="s">
        <v>16</v>
      </c>
    </row>
    <row r="14" spans="1:8" x14ac:dyDescent="0.35">
      <c r="A14" t="s">
        <v>17</v>
      </c>
      <c r="B14" t="s">
        <v>12</v>
      </c>
      <c r="C14" s="3">
        <v>1610</v>
      </c>
      <c r="D14" s="3">
        <v>25</v>
      </c>
    </row>
    <row r="15" spans="1:8" x14ac:dyDescent="0.35">
      <c r="A15" t="s">
        <v>25</v>
      </c>
      <c r="B15" t="s">
        <v>18</v>
      </c>
      <c r="C15">
        <v>3.2000000000000001E-2</v>
      </c>
      <c r="D15">
        <v>2.7799999999999998E-4</v>
      </c>
    </row>
    <row r="16" spans="1:8" x14ac:dyDescent="0.35">
      <c r="A16" t="s">
        <v>26</v>
      </c>
      <c r="B16" t="s">
        <v>19</v>
      </c>
      <c r="C16">
        <v>3.7999999999999999E-2</v>
      </c>
      <c r="D16">
        <f>0.0003</f>
        <v>2.9999999999999997E-4</v>
      </c>
    </row>
    <row r="17" spans="1:4" x14ac:dyDescent="0.35">
      <c r="A17" t="s">
        <v>29</v>
      </c>
      <c r="B17" t="s">
        <v>35</v>
      </c>
      <c r="C17">
        <v>0.8</v>
      </c>
      <c r="D17">
        <v>1.6999999999999999E-3</v>
      </c>
    </row>
    <row r="18" spans="1:4" x14ac:dyDescent="0.35">
      <c r="A18" s="2" t="s">
        <v>20</v>
      </c>
    </row>
    <row r="19" spans="1:4" x14ac:dyDescent="0.35">
      <c r="A19" t="s">
        <v>23</v>
      </c>
      <c r="B19" t="s">
        <v>12</v>
      </c>
      <c r="C19" s="3">
        <v>-350</v>
      </c>
      <c r="D19">
        <v>0</v>
      </c>
    </row>
    <row r="20" spans="1:4" x14ac:dyDescent="0.35">
      <c r="A20" t="s">
        <v>24</v>
      </c>
      <c r="B20" t="s">
        <v>12</v>
      </c>
      <c r="C20" s="3">
        <v>-170</v>
      </c>
      <c r="D20">
        <v>0</v>
      </c>
    </row>
    <row r="21" spans="1:4" x14ac:dyDescent="0.35">
      <c r="A21" t="s">
        <v>25</v>
      </c>
      <c r="B21" t="s">
        <v>18</v>
      </c>
      <c r="C21">
        <v>0</v>
      </c>
      <c r="D21">
        <v>0</v>
      </c>
    </row>
    <row r="22" spans="1:4" x14ac:dyDescent="0.35">
      <c r="A22" t="s">
        <v>26</v>
      </c>
      <c r="B22" t="s">
        <v>19</v>
      </c>
      <c r="C22">
        <v>0</v>
      </c>
      <c r="D22">
        <v>0</v>
      </c>
    </row>
    <row r="23" spans="1:4" x14ac:dyDescent="0.35">
      <c r="A23" t="s">
        <v>28</v>
      </c>
      <c r="B23" t="s">
        <v>35</v>
      </c>
      <c r="C23">
        <v>0</v>
      </c>
      <c r="D23">
        <v>0</v>
      </c>
    </row>
  </sheetData>
  <pageMargins left="0.7" right="0.7" top="0.75" bottom="0.75" header="0.3" footer="0.3"/>
  <pageSetup paperSize="9" orientation="portrait" verticalDpi="597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DF1CD-1CDC-4E41-9B2A-3F388EBABF4A}">
  <dimension ref="A1:B5"/>
  <sheetViews>
    <sheetView workbookViewId="0">
      <selection activeCell="B6" sqref="B6"/>
    </sheetView>
  </sheetViews>
  <sheetFormatPr baseColWidth="10" defaultRowHeight="14.5" x14ac:dyDescent="0.35"/>
  <sheetData>
    <row r="1" spans="1:2" x14ac:dyDescent="0.35">
      <c r="A1" t="s">
        <v>9</v>
      </c>
      <c r="B1" t="s">
        <v>30</v>
      </c>
    </row>
    <row r="2" spans="1:2" x14ac:dyDescent="0.35">
      <c r="A2" t="s">
        <v>10</v>
      </c>
      <c r="B2" t="s">
        <v>31</v>
      </c>
    </row>
    <row r="3" spans="1:2" x14ac:dyDescent="0.35">
      <c r="A3" t="s">
        <v>7</v>
      </c>
      <c r="B3" t="s">
        <v>33</v>
      </c>
    </row>
    <row r="4" spans="1:2" x14ac:dyDescent="0.35">
      <c r="A4" t="s">
        <v>8</v>
      </c>
      <c r="B4" t="s">
        <v>32</v>
      </c>
    </row>
    <row r="5" spans="1:2" x14ac:dyDescent="0.35">
      <c r="A5" t="s">
        <v>27</v>
      </c>
      <c r="B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>UTC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Nomena Ravoahangy</dc:creator>
  <cp:lastModifiedBy>Nomena Ravoahangy</cp:lastModifiedBy>
  <dcterms:created xsi:type="dcterms:W3CDTF">2025-09-10T08:13:22Z</dcterms:created>
  <dcterms:modified xsi:type="dcterms:W3CDTF">2025-12-15T13:57:57Z</dcterms:modified>
</cp:coreProperties>
</file>